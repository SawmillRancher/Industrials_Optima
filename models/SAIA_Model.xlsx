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X278" authorId="0">
      <text>
        <r>
          <rPr>
            <sz val="10"/>
            <rFont val="Arial"/>
            <family val="2"/>
          </rPr>
          <t xml:space="preserve">10-Q Q2/26: $100m senior notes (6.09%, due 1-May-2029) under the PGIM Private Shelf Agreement; revolver undrawn.</t>
        </r>
      </text>
    </comment>
    <comment ref="BY34" authorId="0">
      <text>
        <r>
          <rPr>
            <sz val="10"/>
            <rFont val="Arial"/>
            <family val="2"/>
          </rPr>
          <t xml:space="preserve">Q3/26 = average of 13 weekly EIA U.S. on-highway diesel prices (Jul-6 … Sep-28-2026; Jul avg $4.955 = Heartland 10-Q $4.96; Aug $5.46; Sep $6.29).</t>
        </r>
      </text>
    </comment>
    <comment ref="BY59" authorId="0">
      <text>
        <r>
          <rPr>
            <sz val="10"/>
            <rFont val="Arial"/>
            <family val="2"/>
          </rPr>
          <t xml:space="preserve">Saia 8-K (Item 8.01) 3-Sep-2026: Jul tonnage/workday +7.8%, Aug +8.7%, QTD +8.3%.</t>
        </r>
      </text>
    </comment>
    <comment ref="CA62" authorId="0">
      <text>
        <r>
          <rPr>
            <sz val="10"/>
            <rFont val="Arial"/>
            <family val="2"/>
          </rPr>
          <t xml:space="preserve">FY25 adjusted OR 89.6% less the scenario FY26 improvement (Base 100 bps = low end of the 100–200 bps guide).</t>
        </r>
      </text>
    </comment>
    <comment ref="CA322" authorId="0">
      <text>
        <r>
          <rPr>
            <sz val="10"/>
            <rFont val="Arial"/>
            <family val="2"/>
          </rPr>
          <t xml:space="preserve">Share price $350.00 — user-provided input (Oct-2026).</t>
        </r>
      </text>
    </comment>
    <comment ref="CF2" authorId="0">
      <text>
        <r>
          <rPr>
            <sz val="10"/>
            <rFont val="Arial"/>
            <family val="2"/>
          </rPr>
          <t xml:space="preserve">Select Bull / Base / Bear. Scenario values feed rows linked to the scenario table (CN:CR).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6" authorId="0">
      <text>
        <r>
          <rPr>
            <sz val="10"/>
            <rFont val="Arial"/>
            <family val="2"/>
          </rPr>
          <t xml:space="preserve">Assumed exit P/E on adjusted EPS. Saia traded ~20–35x forward EPS 2019–25 (national-network build-out premium). Base 26x / Bull 30x / Bear 20x — user inputs.</t>
        </r>
      </text>
    </comment>
    <comment ref="N26" authorId="0">
      <text>
        <r>
          <rPr>
            <sz val="10"/>
            <rFont val="Arial"/>
            <family val="2"/>
          </rPr>
          <t xml:space="preserve">P/E on adjusted EPS (continuing operations). MLM has traded at ~25–35x NTM EPS over 2019–26 (≈28x 2027E adjusted EPS at $518.70). Base 26x, Bull 30x, Bear 21x applied to 2028E–2030E.</t>
        </r>
      </text>
    </comment>
  </commentList>
</comments>
</file>

<file path=xl/sharedStrings.xml><?xml version="1.0" encoding="utf-8"?>
<sst xmlns="http://schemas.openxmlformats.org/spreadsheetml/2006/main" count="828" uniqueCount="675">
  <si>
    <t xml:space="preserve">SCENARIO SWITCH ▼ (Bull / Base / Bear) — drives all scenario-linked forecast drivers</t>
  </si>
  <si>
    <t xml:space="preserve">Saia, Inc. (NASDAQ: SAIA) — 3-Statement Financial Model</t>
  </si>
  <si>
    <t xml:space="preserve">Base</t>
  </si>
  <si>
    <t xml:space="preserve">US GAAP as reported · USD millions (per-share data in USD; LTL tonnage &amp; shipments in thousands; yields in $/cwt) · Source: Saia Forms 10-K / 10-Q and Form 8-K earnings releases (Ex. 99.1), interim LTL operating-data 8-Ks and call transcripts (8-K Ex. 99.1), SEC EDGAR CIK 0001177702 (investor-relations releases are the same documents as filed on EDGAR); DOE diesel from carrier 10-Q/10-Ks (Knight-Swift, Heartland, Marten) and EIA.</t>
  </si>
  <si>
    <t xml:space="preserve">Basis notes: calendar fiscal year. Continuing operations — Jevic Transportation sold Jun-2006 (discontinued operations to 2010). The Connection (Nov-2006) and Madison Freight (Jan-2007) integrated 2007; Robart (2012) and LinkEx (2015, sold 2018) small. Per-share data split-adjusted for the 3-for-2 split (May-2013). LTL statistics: TL statistics shown separately to 2017; from Q1/18 weight-priced truckload included in LTL (tonnage/shipment basis change — use company-reported change memos for y/y). ASC 606 adopted 1-Jan-2018 (2017 as originally reported). FY2008 per 10-K (Q4/08 release pre-dated the $35.5m goodwill impairment). Saia publishes no EBITDA; Adjusted EBITDA is model-defined. Last reported quarter Q2/26; Q3/26E uses Jul–Aug interim data (8-K 3-Sep-26).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</si>
  <si>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</si>
  <si>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</si>
  <si>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</si>
  <si>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</si>
  <si>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</si>
  <si>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</si>
  <si>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</si>
  <si>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</si>
  <si>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</si>
  <si>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</si>
  <si>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</si>
  <si>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</si>
  <si>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</si>
  <si>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</si>
  <si>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</si>
  <si>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</si>
  <si>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</si>
  <si>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</si>
  <si>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</si>
  <si>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</si>
  <si>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</si>
  <si>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</si>
  <si>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</si>
  <si>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</si>
  <si>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</si>
  <si>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</si>
  <si>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</si>
  <si>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</si>
  <si>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</si>
  <si>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</si>
  <si>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</si>
  <si>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</si>
  <si>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</si>
  <si>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</si>
  <si>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</si>
  <si>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</si>
  <si>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</si>
  <si>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</si>
  <si>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</si>
  <si>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</si>
  <si>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</si>
  <si>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</si>
  <si>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</si>
  <si>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</si>
  <si>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</si>
  <si>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</si>
  <si>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</si>
  <si>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</si>
  <si>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</si>
  <si>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</si>
  <si>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</si>
  <si>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</si>
  <si>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</si>
  <si>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</si>
  <si>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</si>
  <si>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</si>
  <si>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</si>
  <si>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</si>
  <si>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</si>
  <si>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</si>
  <si>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</si>
  <si>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</si>
  <si>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</si>
  <si>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</si>
  <si>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</si>
  <si>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</si>
  <si>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</si>
  <si>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</si>
  <si>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</si>
  <si>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</si>
  <si>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</si>
  <si>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</si>
  <si>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LTL OPERATING BUILD — VOLUME (TONNAGE) × CORE YIELD (REV/CWT EX-FUEL) + FUEL SURCHARGE (DOE DIESEL × SURCHARGE TABLE × CAPTURE) → REVENUE</t>
  </si>
  <si>
    <t xml:space="preserve">LTL BUILD — modelling logic (tonnage × rev/cwt ex-fuel = freight revenue; + fuel surcharge per cwt = all-in yield)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</si>
  <si>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</si>
  <si>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</si>
  <si>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</si>
  <si>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lever header). Outlook block = Bull / Base / Bear end-points of company guidance.</t>
  </si>
  <si>
    <t xml:space="preserve">LTL volume (Saia LTL; shipments &amp; tonnage in thousands; basis: statistics exclude services not priced by weight — truckload volumes priced by weight included from Q1/18)</t>
  </si>
  <si>
    <t xml:space="preserve">VOLUME — modelling logic</t>
  </si>
  <si>
    <t xml:space="preserve">  Workdays</t>
  </si>
  <si>
    <t xml:space="preserve">Q3/26E 64 (= Q3/25); Q4/26E 62 (= Q4/25); 2027E+ 253 workdays (2025: 253).</t>
  </si>
  <si>
    <t xml:space="preserve">FY26 outlook — Q4-25 call (10-Feb-26), Q2-26 release &amp; call (30-Jul-26), Jul–Aug data (3-Sep-26)</t>
  </si>
  <si>
    <t xml:space="preserve">  LTL tonnage per workday (000 tons)</t>
  </si>
  <si>
    <t xml:space="preserve">  FY26 operating-ratio improvement vs FY25 adjusted OR (bps)</t>
  </si>
  <si>
    <t xml:space="preserve">Guide 100–200 bps (Feb-26); Q2 call: 200 bps needs mid-single-digit shipment growth → Base = low end.</t>
  </si>
  <si>
    <t xml:space="preserve">  LTL tonnage per workday y/y %</t>
  </si>
  <si>
    <t xml:space="preserve">Q3/26E = Jul–Aug QTD +8.3% (8-K 3-Sep-26); Q4/26E and 2027E+ = scenario lever TON (Bull/Base/Bear).</t>
  </si>
  <si>
    <t xml:space="preserve">  Q3/26 OR sequential change vs Q2/26 86.9% (bps; + = worse)</t>
  </si>
  <si>
    <t xml:space="preserve">Q2-26 call: ~100 bps degradation (typical 150–200 bps), assuming fuel near late-July level.</t>
  </si>
  <si>
    <t xml:space="preserve">  LTL tonnage (000 tons)</t>
  </si>
  <si>
    <t xml:space="preserve">  FY26 net capital expenditures ($m)</t>
  </si>
  <si>
    <t xml:space="preserve">Guidance $350–400m (Q2-26 release); 1H/26 net capex $158.0m.</t>
  </si>
  <si>
    <t xml:space="preserve">  LTL weight per shipment (lbs)</t>
  </si>
  <si>
    <t xml:space="preserve">  Q4/26E DOE diesel ($/gal)</t>
  </si>
  <si>
    <t xml:space="preserve">Late-Sep-26 weekly DOE $6.38 (record $6.53 on 21-Sep); held near spot in all cases (fuel is a pass-through lever, not a scenario call).</t>
  </si>
  <si>
    <t xml:space="preserve">  Weight per shipment y/y %</t>
  </si>
  <si>
    <t xml:space="preserve">Q3/26E = QTD +7.2%; heavier mix (customer/industrial mix initiatives) lowers rev/cwt — see mix effect below.</t>
  </si>
  <si>
    <t xml:space="preserve">  Q4/26E LTL tonnage/workday y/y</t>
  </si>
  <si>
    <t xml:space="preserve">QTD Jul–Aug +8.3%; Aug +8.7%. Comparison eases (Q4/25 tonnage/day −1.5%).</t>
  </si>
  <si>
    <t xml:space="preserve">  LTL shipments (000s)</t>
  </si>
  <si>
    <t xml:space="preserve">Forecast shipments = tonnage × 2,000 ÷ weight per shipment.</t>
  </si>
  <si>
    <t xml:space="preserve">  Q3/26E core price y/y (before weight mix)</t>
  </si>
  <si>
    <t xml:space="preserve">7.1% GRI (early Jul-26) + renewals +10.7%; core yield ~+3% in Q2 after mix.</t>
  </si>
  <si>
    <t xml:space="preserve">  LTL shipments per workday (000s)</t>
  </si>
  <si>
    <t xml:space="preserve">  Q4/26E core price y/y (before weight mix)</t>
  </si>
  <si>
    <t xml:space="preserve">  LTL shipments per workday y/y %</t>
  </si>
  <si>
    <t xml:space="preserve">Check vs QTD Jul–Aug shipments/workday +1.0% (8-K 3-Sep-26).</t>
  </si>
  <si>
    <t xml:space="preserve">  Q4/26E weight per shipment y/y</t>
  </si>
  <si>
    <t xml:space="preserve">QTD +7.2%; laps the start of the weight increase from Q4/25–Q1/26.</t>
  </si>
  <si>
    <t xml:space="preserve">  Memo: company-reported LTL tonnage/workday change % (release, like-for-like basis)</t>
  </si>
  <si>
    <t xml:space="preserve">From the prior-year column of each release (restated basis) — use for y/y across the Q1/18 statistics-basis change.</t>
  </si>
  <si>
    <t xml:space="preserve">  2H/26 share repurchases ($m)</t>
  </si>
  <si>
    <t xml:space="preserve">No active programme (last buyback 2007); leverage-floor plug applies from 2027E.</t>
  </si>
  <si>
    <t xml:space="preserve">  Memo: company-reported LTL shipments/workday change %</t>
  </si>
  <si>
    <t xml:space="preserve">FY26 point estimates &amp; model constants (all cases)</t>
  </si>
  <si>
    <t xml:space="preserve">  LTL average length of haul (miles)</t>
  </si>
  <si>
    <t xml:space="preserve">  FY25 adjusted operating ratio (base for the FY26 improvement guide)</t>
  </si>
  <si>
    <t xml:space="preserve">Q4-25 release: adjusted OR 89.6% (GAAP 89.1% incl. $14.5m net real-estate gain).</t>
  </si>
  <si>
    <t xml:space="preserve">  Q3/Q4-26E effective tax rate</t>
  </si>
  <si>
    <t xml:space="preserve">1H/26 24.3%; Q2/26 24.9%.</t>
  </si>
  <si>
    <t xml:space="preserve">LTL yield — core price (revenue per hundredweight excluding fuel surcharge)</t>
  </si>
  <si>
    <t xml:space="preserve">CORE YIELD — modelling logic</t>
  </si>
  <si>
    <t xml:space="preserve">  Q3/Q4-26E D&amp;A sequential growth</t>
  </si>
  <si>
    <t xml:space="preserve">Q2/26 D&amp;A $64.2m (+2.6% y/y).</t>
  </si>
  <si>
    <t xml:space="preserve">  LTL revenue/cwt excl. fuel surcharge — as reported ($)</t>
  </si>
  <si>
    <t xml:space="preserve">Reported in releases 2006–Q3/07 and from 2020 (2020 from the prior-year columns of 2021 releases).</t>
  </si>
  <si>
    <t xml:space="preserve">  Fuel-surcharge table: base diesel price ($/gal)</t>
  </si>
  <si>
    <t xml:space="preserve">Saia LTL fuel-surcharge table mechanics (published carrier-table summaries; saia.com not reachable from this environment — verify vs current Saia tariff).</t>
  </si>
  <si>
    <t xml:space="preserve">  LTL revenue/cwt excl. fuel surcharge — model ($)</t>
  </si>
  <si>
    <t xml:space="preserve">Historical: reported where disclosed, else derived = all-in rev/cwt × (1 − company fuel-surcharge % of revenue) (≈ ±1% vs reported on overlap years). FORECAST CORE PRICE INPUT.</t>
  </si>
  <si>
    <t xml:space="preserve">  Fuel-surcharge table: price step ($/gal)</t>
  </si>
  <si>
    <t xml:space="preserve">  Rev/cwt ex-fuel y/y %</t>
  </si>
  <si>
    <t xml:space="preserve">Forecast = core price (contract renewals + GRI) − weight-per-shipment mix effect × elasticity.</t>
  </si>
  <si>
    <t xml:space="preserve">  Fuel-surcharge table: surcharge increment per step</t>
  </si>
  <si>
    <t xml:space="preserve">  Core price y/y % before weight-mix (contract renewals, GRI) — input</t>
  </si>
  <si>
    <t xml:space="preserve">Q2-26 call: core yield ex-fuel ~+3% after mix; contractual renewals +10.7% (Q2/26); 7.1% GRI from early Jul-26.</t>
  </si>
  <si>
    <t xml:space="preserve">  Fuel pass-through into FOS (Δ fuel cost per $1 Δ surcharge revenue)</t>
  </si>
  <si>
    <t xml:space="preserve">Calibrated: Q2/26 vs Q2/25 FOS +$37.1m vs revenue ex-fuel +6.5% and fuel-surcharge revenue +$94m.</t>
  </si>
  <si>
    <t xml:space="preserve">  Weight-mix elasticity of rev/cwt (−Δ rev/cwt per +1% weight/shipment)</t>
  </si>
  <si>
    <t xml:space="preserve">Heavier shipments carry lower rev/cwt. Q2/26: weight +3.9%, rev/cwt ex-fuel −2.2% with ~+3% core → implied ~1.3x incl. LOH/LA mix; 0.75x assumed.</t>
  </si>
  <si>
    <t xml:space="preserve">  Weight-mix elasticity of rev/cwt</t>
  </si>
  <si>
    <t xml:space="preserve">  Memo: company-reported rev/cwt ex-fuel change %</t>
  </si>
  <si>
    <t xml:space="preserve">  Minimum cash balance ($m)</t>
  </si>
  <si>
    <t xml:space="preserve">Saia runs lean cash ($19.7m at YE25) with revolver as liquidity.</t>
  </si>
  <si>
    <t xml:space="preserve">  LTL revenue/shipment excl. fuel surcharge ($)</t>
  </si>
  <si>
    <t xml:space="preserve">  Share-price appreciation % p.a. (buyback pricing)</t>
  </si>
  <si>
    <t xml:space="preserve">Fuel surcharge — DOE diesel × Saia fuel-surcharge table × capture ratio</t>
  </si>
  <si>
    <t xml:space="preserve">FUEL SURCHARGE — modelling logic</t>
  </si>
  <si>
    <t xml:space="preserve">  Minimum net debt / Adjusted EBITDA (x) — buyback floor 2026E+</t>
  </si>
  <si>
    <t xml:space="preserve">Saia is under-levered (net debt ~$16m at Q2/26); Base returns surplus cash only once net debt reaches zero; Bull re-levers to 0.5x.</t>
  </si>
  <si>
    <t xml:space="preserve">  DOE U.S. on-highway diesel — average of weekly prices ($/gal)</t>
  </si>
  <si>
    <t xml:space="preserve">Q1–Q3 &amp; FY per Knight-Swift 10-Qs/10-Ks (weekly DOE average; Heartland &amp; Marten 10-Qs cross-check); Q4 = 4×FY − Q1–Q3. 2006–08 EIA annual averages. Q3/26 $5.56 = 13-week EIA average (Jul $4.955 matches Heartland 10-Q $4.96).</t>
  </si>
  <si>
    <t xml:space="preserve">  Diesel y/y %</t>
  </si>
  <si>
    <t xml:space="preserve">TON (LTL tonnage per workday y/y)</t>
  </si>
  <si>
    <t xml:space="preserve">Δ →</t>
  </si>
  <si>
    <t xml:space="preserve">Industrial recovery + density on the national network (33 terminals added since 2022; ~25% more doors).</t>
  </si>
  <si>
    <t xml:space="preserve">  Fuel-surcharge table % at average diesel (Saia LTL table: base $/gal, +x% per step)</t>
  </si>
  <si>
    <t xml:space="preserve">Table parameters in the scenario panel (current Saia LTL table: $1.25 base, +0.5% per $0.05). Saia revised its program 18-Jan-2016 (10-K); apply to 2016+ only.</t>
  </si>
  <si>
    <t xml:space="preserve">  2027E</t>
  </si>
  <si>
    <t xml:space="preserve">  Effective fuel surcharge % of ex-fuel yield ((all-in ÷ ex-fuel rev/cwt) − 1)</t>
  </si>
  <si>
    <t xml:space="preserve">  2028E</t>
  </si>
  <si>
    <t xml:space="preserve">  Capture ratio (effective ÷ table) — discounts, minimum charges, accessorials not surcharged</t>
  </si>
  <si>
    <t xml:space="preserve">Forecast = trailing-4Q average (Q3/25–Q2/26 ≈ 0.74); stable 0.69–0.77 since 2022.</t>
  </si>
  <si>
    <t xml:space="preserve">  2029E</t>
  </si>
  <si>
    <t xml:space="preserve">  Fuel surcharge per cwt ($)</t>
  </si>
  <si>
    <t xml:space="preserve">  2030E</t>
  </si>
  <si>
    <t xml:space="preserve">  LTL revenue/cwt incl. fuel surcharge ($)</t>
  </si>
  <si>
    <t xml:space="preserve">All-in yield = core yield + fuel surcharge per cwt; drives LTL revenue.</t>
  </si>
  <si>
    <t xml:space="preserve">PRICE (core rev/cwt ex-fuel y/y, before weight mix)</t>
  </si>
  <si>
    <t xml:space="preserve">National-network service premium; pricing ahead of cost inflation (mgmt).</t>
  </si>
  <si>
    <t xml:space="preserve">  Rev/cwt incl. fuel y/y %</t>
  </si>
  <si>
    <t xml:space="preserve">  LTL revenue/shipment incl. fuel surcharge ($)</t>
  </si>
  <si>
    <t xml:space="preserve">  Fuel surcharge revenue % of total operating revenue (company: 10-K/10-Q MD&amp;A; Q4 derived)</t>
  </si>
  <si>
    <t xml:space="preserve">Q2/26: 22.3% (14.6% Q2/25). Q4 = (FY% × FY revenue − Σ Q1–Q3) ÷ Q4 revenue.</t>
  </si>
  <si>
    <t xml:space="preserve">Revenue build (tonnage × yield)</t>
  </si>
  <si>
    <t xml:space="preserve">REVENUE — modelling logic</t>
  </si>
  <si>
    <t xml:space="preserve">WPS (weight per shipment y/y)</t>
  </si>
  <si>
    <t xml:space="preserve">Mix normalises after the 2026 weight step-up.</t>
  </si>
  <si>
    <t xml:space="preserve">  LTL revenue excl. fuel surcharge (tonnage × 20 × rev/cwt ex-fuel)</t>
  </si>
  <si>
    <t xml:space="preserve">Freight (core) revenue = f(tonnage, rev/cwt ex-fuel).</t>
  </si>
  <si>
    <t xml:space="preserve">  LTL fuel surcharge revenue (tonnage × 20 × fuel surcharge/cwt)</t>
  </si>
  <si>
    <t xml:space="preserve">  LTL revenue (tonnage × 20 × rev/cwt incl. fuel)</t>
  </si>
  <si>
    <t xml:space="preserve">  Other revenue (non-weight-priced TL/logistics; revenue-recognition adjustment &amp; other)</t>
  </si>
  <si>
    <t xml:space="preserve">  Other revenue % of LTL revenue</t>
  </si>
  <si>
    <t xml:space="preserve">Forecast: prior-year quarter (Q3/Q4-26E); 2027E+ at 2026E level. TL statistics folded into LTL from Q1/18 (step-down in this ratio).</t>
  </si>
  <si>
    <t xml:space="preserve">DSL (DOE diesel, $/gal)</t>
  </si>
  <si>
    <t xml:space="preserve">Mean-reversion from the 2026 spike (2023–25 avg $3.9); flat across cases — flex here to stress fuel.</t>
  </si>
  <si>
    <t xml:space="preserve">Total operating revenue (LTL build)</t>
  </si>
  <si>
    <t xml:space="preserve">  Revenue y/y %</t>
  </si>
  <si>
    <t xml:space="preserve">  Check: LTL build vs reported operating revenue (should be 0)</t>
  </si>
  <si>
    <t xml:space="preserve">  Memo: total fuel surcharge revenue (company % × revenue; forecast = LTL surcharge grossed up for other revenue)</t>
  </si>
  <si>
    <t xml:space="preserve">  Memo: operating revenue excl. fuel surcharge</t>
  </si>
  <si>
    <t xml:space="preserve">SWB (salaries, wages &amp; benefits per shipment y/y)</t>
  </si>
  <si>
    <t xml:space="preserve">Wage inflation ~3–4% p.a. less density/productivity (20–25% spare network capacity per mgmt; linehaul optimisation, technology).</t>
  </si>
  <si>
    <t xml:space="preserve">  Memo: revenue excl. fuel surcharge y/y %</t>
  </si>
  <si>
    <t xml:space="preserve">Q3/26E–Q4/26E outlook calibration (Jul–Aug interim LTL data; Q2-26 call operating-ratio guidance)</t>
  </si>
  <si>
    <t xml:space="preserve">OUTLOOK CALIBRATION — Q3/Q4-26E</t>
  </si>
  <si>
    <t xml:space="preserve">  Memo: Jul–Aug QTD LTL tonnage/workday y/y (8-K 3-Sep-2026)</t>
  </si>
  <si>
    <t xml:space="preserve">  Memo: Jul–Aug QTD LTL shipments/workday y/y</t>
  </si>
  <si>
    <t xml:space="preserve">CAPEX (gross capex % of revenue)</t>
  </si>
  <si>
    <t xml:space="preserve">2024 33% / 2025 17.6% (network build-out); FY26 guide ≈10% of revenue; 11–12% thereafter (fleet + selective real estate).</t>
  </si>
  <si>
    <t xml:space="preserve">  Memo: Jul–Aug QTD LTL weight/shipment y/y</t>
  </si>
  <si>
    <t xml:space="preserve">  Operating-ratio target: Q3/26E = Q2/26 OR + guided sequential change; Q4/26E solves FY26 target; 2026E = FY25 adj. OR − guided improvement</t>
  </si>
  <si>
    <t xml:space="preserve">Q2-26 call: Q3 OR ~100 bps worse than Q2 (vs 150–200 bps typical), assuming fuel near late-Jul levels. Feb-26: FY26 OR improvement 100–200 bps (200 needs mid-single-digit shipment growth).</t>
  </si>
  <si>
    <t xml:space="preserve">OPERATING COST BUILD → OPERATING RATIO (drivers for each reported expense line)</t>
  </si>
  <si>
    <t xml:space="preserve">COST BUILD — modelling logic</t>
  </si>
  <si>
    <t xml:space="preserve">  Salaries, wages &amp; benefits per shipment ($)</t>
  </si>
  <si>
    <t xml:space="preserve">  SWB per shipment y/y %</t>
  </si>
  <si>
    <t xml:space="preserve">2027E+: scenario lever SWB (wage inflation − productivity). Saia moved its annual wage increase from Oct to Jul (Jul-26).</t>
  </si>
  <si>
    <t xml:space="preserve">  SWB per shipment before outlook calibration (prior-year quarter × (1 + Q2/26 y/y))</t>
  </si>
  <si>
    <t xml:space="preserve">  Outlook calibration: implied Δ SWB/shipment vs run-rate (solves OR target)</t>
  </si>
  <si>
    <t xml:space="preserve">SWB is the balancing line in Q3/Q4-26E so the OR meets guidance; shown as a % shift vs run-rate for reasonableness.</t>
  </si>
  <si>
    <t xml:space="preserve">  Purchased transportation % of revenue</t>
  </si>
  <si>
    <t xml:space="preserve">Q3/Q4-26E at Q2/26 8.9% (rail/truck PT miles 15.4%; diesel embedded in PT rates). 2027E+ 8.0% input as diesel normalises.</t>
  </si>
  <si>
    <t xml:space="preserve">  Fuel pass-through: Δ fuel cost in FOS per $1 of Δ fuel-surcharge revenue</t>
  </si>
  <si>
    <t xml:space="preserve">FOS forecast = prior-year FOS × (1 + revenue ex-fuel growth) + pass-through × (Δ fuel-surcharge revenue beyond volume). 0.31 calibrated on Q2/26 vs Q2/25.</t>
  </si>
  <si>
    <t xml:space="preserve">  Fuel, operating expenses &amp; supplies % of revenue</t>
  </si>
  <si>
    <t xml:space="preserve">  Operating taxes &amp; licenses % of revenue excl. fuel surcharge</t>
  </si>
  <si>
    <t xml:space="preserve">  Claims &amp; insurance % of revenue</t>
  </si>
  <si>
    <t xml:space="preserve">Q3/Q4-26E at the 1H/26 ratio (record cargo claims ratio 0.3% in Q2/26).</t>
  </si>
  <si>
    <t xml:space="preserve">  D&amp;A % of opening net property &amp; equipment</t>
  </si>
  <si>
    <t xml:space="preserve">2027E+ D&amp;A = opening net PP&amp;E × FY25 rate (links capex to depreciation). Q3/Q4-26E = prior quarter × (1 + sequential growth input).</t>
  </si>
  <si>
    <t xml:space="preserve">  Memo: operating cost per shipment ($)</t>
  </si>
  <si>
    <t xml:space="preserve">  Memo: cost per shipment y/y %</t>
  </si>
  <si>
    <t xml:space="preserve">  Stock-based compensation % of revenue</t>
  </si>
  <si>
    <t xml:space="preserve">CONDENSED CONSOLIDATED STATEMENTS OF OPERATIONS (US GAAP; continuing operations; Jevic = discontinued from Q2/06)</t>
  </si>
  <si>
    <t xml:space="preserve">CONSOLIDATED IS — forecast logic</t>
  </si>
  <si>
    <t xml:space="preserve">Operating revenue</t>
  </si>
  <si>
    <t xml:space="preserve">Forecast linked to the LTL build.</t>
  </si>
  <si>
    <t xml:space="preserve">  Salaries, wages &amp; employees' benefits</t>
  </si>
  <si>
    <t xml:space="preserve">Q3/Q4-26E: balancing line to the OR target. 2027E+: shipments × SWB per shipment.</t>
  </si>
  <si>
    <t xml:space="preserve">  Purchased transportation</t>
  </si>
  <si>
    <t xml:space="preserve">  Fuel, operating expenses &amp; supplies</t>
  </si>
  <si>
    <t xml:space="preserve">  Operating taxes &amp; licenses</t>
  </si>
  <si>
    <t xml:space="preserve">  Claims &amp; insurance</t>
  </si>
  <si>
    <t xml:space="preserve">  Depreciation &amp; amortization</t>
  </si>
  <si>
    <t xml:space="preserve">  Other operating (gains) losses, net (property disposals; Q3/25 incl. $16.4m terminal-sale gain &amp; $1.9m impairment)</t>
  </si>
  <si>
    <t xml:space="preserve">  Restructuring charges (2006: Jevic separation / HQ)</t>
  </si>
  <si>
    <t xml:space="preserve">  Integration charges (The Connection, Madison Freight; 2006–07)</t>
  </si>
  <si>
    <t xml:space="preserve">  Goodwill impairment charge (Q4/08)</t>
  </si>
  <si>
    <t xml:space="preserve">Total operating expenses</t>
  </si>
  <si>
    <t xml:space="preserve">Operating income</t>
  </si>
  <si>
    <t xml:space="preserve">  Operating ratio (GAAP) %</t>
  </si>
  <si>
    <t xml:space="preserve">  Memo: operating ratio as reported (release)</t>
  </si>
  <si>
    <t xml:space="preserve">  Check: model operating income vs reported (should be 0)</t>
  </si>
  <si>
    <t xml:space="preserve">  Interest expense</t>
  </si>
  <si>
    <t xml:space="preserve">Q3/Q4-26E: $100m 6.09% Prudential notes ($1.52m/qtr) + ~$0.3m/qtr unused-commitment &amp; LC fees (revolver undrawn at 30-Jun-26). 2027E+: opening balances × rates.</t>
  </si>
  <si>
    <t xml:space="preserve">  Interest income</t>
  </si>
  <si>
    <t xml:space="preserve">  Other, net (incl. deferred-compensation trust / COLI marks)</t>
  </si>
  <si>
    <t xml:space="preserve">  Nonoperating (income) expenses, net</t>
  </si>
  <si>
    <t xml:space="preserve">Income before income taxes</t>
  </si>
  <si>
    <t xml:space="preserve">  Income tax expense (benefit)</t>
  </si>
  <si>
    <t xml:space="preserve">  Effective tax rate</t>
  </si>
  <si>
    <t xml:space="preserve">Q3/Q4-26E at 24.5% (1H/26 24.3%); 2027E+ 24.5% input. FY17 includes the $34m Tax Act benefit.</t>
  </si>
  <si>
    <t xml:space="preserve">Income from continuing operations</t>
  </si>
  <si>
    <t xml:space="preserve">  Income (loss) from discontinued operations, net (Jevic; sold Jun-2006)</t>
  </si>
  <si>
    <t xml:space="preserve">Net income</t>
  </si>
  <si>
    <t xml:space="preserve">  Memo: net income as reported</t>
  </si>
  <si>
    <t xml:space="preserve">  Check: model net income vs reported (should be 0)</t>
  </si>
  <si>
    <t xml:space="preserve">  Memo: stock-based compensation</t>
  </si>
  <si>
    <t xml:space="preserve">Quarters 2013–17: annual ÷ 4 (quarterly not disclosed); 2018+ equity-statement value (XBRL).</t>
  </si>
  <si>
    <t xml:space="preserve">(Per share; share data split-adjusted for the 3-for-2 split of May-2013)</t>
  </si>
  <si>
    <t xml:space="preserve">  Weighted-average basic shares (m)</t>
  </si>
  <si>
    <t xml:space="preserve">  Weighted-average diluted shares (m)</t>
  </si>
  <si>
    <t xml:space="preserve">Basic earnings per share ($)</t>
  </si>
  <si>
    <t xml:space="preserve">Diluted earnings per share ($)</t>
  </si>
  <si>
    <t xml:space="preserve">EPS computed as net income ÷ weighted diluted shares (may differ from reported by rounding).</t>
  </si>
  <si>
    <t xml:space="preserve">Diluted EPS — continuing operations ($)</t>
  </si>
  <si>
    <t xml:space="preserve">  Diluted EPS (continuing) y/y %</t>
  </si>
  <si>
    <t xml:space="preserve">  Memo: diluted EPS as reported ($; split-adjusted)</t>
  </si>
  <si>
    <t xml:space="preserve">  Dividends declared per share ($)</t>
  </si>
  <si>
    <t xml:space="preserve">Saia has not paid a dividend (no dividend policy); capital returned only via repurchases (last: 2006–07).</t>
  </si>
  <si>
    <t xml:space="preserve">RECONCILIATION 1: GAAP OPERATING INCOME → ADJUSTED OPERATING INCOME / ADJUSTED OPERATING RATIO (company definition)</t>
  </si>
  <si>
    <t xml:space="preserve">ADJUSTED OI / OR — per Saia "Non-GAAP Financial Disclosure and Reconciliation" (8-K Ex. 99.1)</t>
  </si>
  <si>
    <t xml:space="preserve">Operating income (GAAP)</t>
  </si>
  <si>
    <t xml:space="preserve">  (+) Restructuring charges</t>
  </si>
  <si>
    <t xml:space="preserve">  (+) Integration charges (company excluded in OR "excluding integration charges")</t>
  </si>
  <si>
    <t xml:space="preserve">  (+) Goodwill impairment (company: "operating ratio excluding impairment")</t>
  </si>
  <si>
    <t xml:space="preserve">  (−) Vacation-policy change benefit (2009; company: "excluding the favorable vacation adjustment")</t>
  </si>
  <si>
    <t xml:space="preserve">2009 vacation expense $12.3m lower after the Aug-2009 policy change (10-K FY2009); called out by the company in 2010 releases.</t>
  </si>
  <si>
    <t xml:space="preserve">  (−) Gain on real-estate disposal (terminal sales; Q3/21 $4.3m, Q3/25 $16.4m)</t>
  </si>
  <si>
    <t xml:space="preserve">  (+) Real-estate impairment (Q3/25 $1.9m)</t>
  </si>
  <si>
    <t xml:space="preserve">  (+/−) Other company items</t>
  </si>
  <si>
    <t xml:space="preserve">  Total adjusting items (pre-tax)</t>
  </si>
  <si>
    <t xml:space="preserve">  = Adjusted operating income</t>
  </si>
  <si>
    <t xml:space="preserve">  Adjusted operating ratio %</t>
  </si>
  <si>
    <t xml:space="preserve">  Company-published adjusted operating income</t>
  </si>
  <si>
    <t xml:space="preserve">  Check: model vs company adjusted operating income (should be 0)</t>
  </si>
  <si>
    <t xml:space="preserve">  Company-published adjusted operating ratio</t>
  </si>
  <si>
    <t xml:space="preserve">  Check: model vs company adjusted OR (bps; rounding to 0.1 pt ok)</t>
  </si>
  <si>
    <t xml:space="preserve">  Definition basis (where the company adjusted)</t>
  </si>
  <si>
    <t xml:space="preserve">Adj. = ex restructuring &amp; integration charges</t>
  </si>
  <si>
    <t xml:space="preserve">Adj. = ex integration charges</t>
  </si>
  <si>
    <t xml:space="preserve">Adj. = ex goodwill impairment (10-K: OR 97.5 ex impairment)</t>
  </si>
  <si>
    <t xml:space="preserve">Adj. = ex vacation-policy benefit (company commentary; no formal table)</t>
  </si>
  <si>
    <t xml:space="preserve">Tax Act only (EPS)</t>
  </si>
  <si>
    <t xml:space="preserve">Ex terminal-sale gain</t>
  </si>
  <si>
    <t xml:space="preserve">Ex terminal-sale gain (company published 9M only)</t>
  </si>
  <si>
    <t xml:space="preserve">Ex terminal gain net of RE impairment</t>
  </si>
  <si>
    <t xml:space="preserve">RECONCILIATION 2: NET INCOME → EBITDA → ADJUSTED EBITDA (model-defined — Saia does not publish EBITDA)</t>
  </si>
  <si>
    <t xml:space="preserve">ADJUSTED EBITDA — model definition: EBITDA + the company adjusting items in Reconciliation 1</t>
  </si>
  <si>
    <t xml:space="preserve">  (+) Interest expense, net of interest income</t>
  </si>
  <si>
    <t xml:space="preserve">  (+) Income tax expense</t>
  </si>
  <si>
    <t xml:space="preserve">  (+) Depreciation &amp; amortization</t>
  </si>
  <si>
    <t xml:space="preserve">  = EBITDA (model)</t>
  </si>
  <si>
    <t xml:space="preserve">  (+) Adjusting items (Reconciliation 1)</t>
  </si>
  <si>
    <t xml:space="preserve">  = Adjusted EBITDA (model)</t>
  </si>
  <si>
    <t xml:space="preserve">Equals adjusted operating income + D&amp;A − other nonoperating (other, net).</t>
  </si>
  <si>
    <t xml:space="preserve">  Adjusted EBITDA margin %</t>
  </si>
  <si>
    <t xml:space="preserve">  Check: Adj. EBITDA − (Adj. OI + D&amp;A − other, net) (should be 0)</t>
  </si>
  <si>
    <t xml:space="preserve">To adjusted EBIT:</t>
  </si>
  <si>
    <t xml:space="preserve">  (−) Depreciation &amp; amortization</t>
  </si>
  <si>
    <t xml:space="preserve">  = Adjusted EBIT (model)</t>
  </si>
  <si>
    <t xml:space="preserve">  Adjusted EBIT margin %</t>
  </si>
  <si>
    <t xml:space="preserve">RECONCILIATION 3: GAAP NET INCOME / DILUTED EPS → ADJUSTED EPS (company definition)</t>
  </si>
  <si>
    <t xml:space="preserve">ADJUSTED EPS — Saia publishes adjusted diluted EPS only when it excludes items</t>
  </si>
  <si>
    <t xml:space="preserve">  (+) Adjusting items, pre-tax (Reconciliation 1)</t>
  </si>
  <si>
    <t xml:space="preserve">  Tax rate applied to adjustments</t>
  </si>
  <si>
    <t xml:space="preserve">Historical: period ETR bounded 15–40% (2017: 37.5% pre-Act statutory-level rate used as bounded).</t>
  </si>
  <si>
    <t xml:space="preserve">  (−) Income tax effect of adjusting items</t>
  </si>
  <si>
    <t xml:space="preserve">  (−) Discrete tax items excluded by the company (Q4/17 Tax Cuts and Jobs Act deferred-tax remeasurement)</t>
  </si>
  <si>
    <t xml:space="preserve">$34m provisional benefit (FY2017 10-K); company adjusted EPS −$1.29 (Q4/17) / −$1.30 (FY17).</t>
  </si>
  <si>
    <t xml:space="preserve">  (+/−) Other company-defined items &amp; per-share rounding (to published)</t>
  </si>
  <si>
    <t xml:space="preserve">  = Adjusted net income (model)</t>
  </si>
  <si>
    <t xml:space="preserve">Adjusted diluted EPS ($) (model)</t>
  </si>
  <si>
    <t xml:space="preserve">  Company-published adjusted diluted EPS ($)</t>
  </si>
  <si>
    <t xml:space="preserve">  Check: model vs company adjusted EPS (should be 0)</t>
  </si>
  <si>
    <t xml:space="preserve">GROWTH &amp; MARGINS</t>
  </si>
  <si>
    <t xml:space="preserve">GROWTH &amp; MARGINS (consolidated) — outputs</t>
  </si>
  <si>
    <t xml:space="preserve">  LTL tonnage/workday y/y % (volume)</t>
  </si>
  <si>
    <t xml:space="preserve">  LTL rev/cwt ex-fuel y/y % (core yield)</t>
  </si>
  <si>
    <t xml:space="preserve">  Adjusted operating income y/y %</t>
  </si>
  <si>
    <t xml:space="preserve">  Adjusted EBITDA y/y %</t>
  </si>
  <si>
    <t xml:space="preserve">  Operating income (GAAP) y/y %</t>
  </si>
  <si>
    <t xml:space="preserve">  Net income y/y %</t>
  </si>
  <si>
    <t xml:space="preserve">  Adjusted EPS y/y %</t>
  </si>
  <si>
    <t xml:space="preserve">  Incremental adjusted operating margin (Δ Adj. OI ÷ Δ revenue)</t>
  </si>
  <si>
    <t xml:space="preserve">  Operating margin (GAAP) % (= 1 − OR)</t>
  </si>
  <si>
    <t xml:space="preserve">  Net margin %</t>
  </si>
  <si>
    <t xml:space="preserve">  Salaries, wages &amp; benefits % of revenue</t>
  </si>
  <si>
    <t xml:space="preserve">CONDENSED CONSOLIDATED STATEMENTS OF CASH FLOWS (quarters = discrete, derived from YTD 10-Q statements)</t>
  </si>
  <si>
    <t xml:space="preserve">CASH FLOW — forecast logic (annual; 2026E = 1H/26 actual + modelled 2H)</t>
  </si>
  <si>
    <t xml:space="preserve">Adjustments:</t>
  </si>
  <si>
    <t xml:space="preserve">  Stock-based compensation</t>
  </si>
  <si>
    <t xml:space="preserve">  (Gains) losses on property disposals</t>
  </si>
  <si>
    <t xml:space="preserve">  Deferred income taxes</t>
  </si>
  <si>
    <t xml:space="preserve">Forecast: deferred tax = tax expense × deferred share (bonus depreciation on revenue equipment); 1H/26 33%.</t>
  </si>
  <si>
    <t xml:space="preserve">  Other non-cash items, net (derived; 2006 incl. Jevic discontinued operations)</t>
  </si>
  <si>
    <t xml:space="preserve">  Changes in operating assets &amp; liabilities, net</t>
  </si>
  <si>
    <t xml:space="preserve">Linked to the balance sheet: −Δ(receivables, prepaid) + Δ(payables, wages, other current, claims &amp; insurance). 2026E: 1H actual + 2H Δ vs 30-Jun-26.</t>
  </si>
  <si>
    <t xml:space="preserve">Net cash provided by operating activities</t>
  </si>
  <si>
    <t xml:space="preserve">Acquisition of property &amp; equipment (gross capex)</t>
  </si>
  <si>
    <t xml:space="preserve">2026E: net capex guidance $350–400m (Q2-26 release; scenario) grossed up for disposal proceeds. 2027E+: scenario lever CAPEX % of revenue.</t>
  </si>
  <si>
    <t xml:space="preserve">Acquisitions of businesses, net of cash</t>
  </si>
  <si>
    <t xml:space="preserve">Proceeds from disposal of property &amp; equipment</t>
  </si>
  <si>
    <t xml:space="preserve">Other investing activities, net (derived; 2006 incl. Jevic sale proceeds)</t>
  </si>
  <si>
    <t xml:space="preserve">Net cash used in investing activities</t>
  </si>
  <si>
    <t xml:space="preserve">Borrowings (revolving credit facility, senior notes)</t>
  </si>
  <si>
    <t xml:space="preserve">Repayments of debt (revolver, notes, finance leases)</t>
  </si>
  <si>
    <t xml:space="preserve">Dividends paid</t>
  </si>
  <si>
    <t xml:space="preserve">Repurchases of common stock</t>
  </si>
  <si>
    <t xml:space="preserve">Stock option exercises, net of shares withheld for taxes</t>
  </si>
  <si>
    <t xml:space="preserve">Other financing activities, net (derived)</t>
  </si>
  <si>
    <t xml:space="preserve">Net cash provided by (used in) financing activities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</si>
  <si>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</si>
  <si>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</si>
  <si>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</si>
  <si>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= change in cash (should be 0)</t>
  </si>
  <si>
    <t xml:space="preserve">  Check: beginning cash + change = ending cash (should be 0)</t>
  </si>
  <si>
    <t xml:space="preserve">(Memo)</t>
  </si>
  <si>
    <t xml:space="preserve">Free cash flow (CFO − gross capex)</t>
  </si>
  <si>
    <t xml:space="preserve">Saia does not publish an FCF measure; defined as CFO − purchases of property &amp; equipment (gross).</t>
  </si>
  <si>
    <t xml:space="preserve">  FCF y/y %</t>
  </si>
  <si>
    <t xml:space="preserve">  FCF % of revenue</t>
  </si>
  <si>
    <t xml:space="preserve">  FCF / adjusted net income conversion %</t>
  </si>
  <si>
    <t xml:space="preserve">  FCF per diluted share ($)</t>
  </si>
  <si>
    <t xml:space="preserve">  Net capital expenditures (gross capex − disposal proceeds; company guidance basis)</t>
  </si>
  <si>
    <t xml:space="preserve">  Gross capex % of revenue</t>
  </si>
  <si>
    <t xml:space="preserve">  Gross capex / D&amp;A (x)</t>
  </si>
  <si>
    <t xml:space="preserve">SHARE COUNT &amp; BUYBACK SCHEDULE</t>
  </si>
  <si>
    <t xml:space="preserve">SHARES — Saia has no active repurchase programme; buybacks only via the leverage floor (scenario)</t>
  </si>
  <si>
    <t xml:space="preserve">  Avg buyback price ($)</t>
  </si>
  <si>
    <t xml:space="preserve">  Buyback cash deployed (USDm)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</si>
  <si>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</si>
  <si>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</si>
  <si>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</si>
  <si>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2026E begins from shares outstanding at 30-Jun-2026 (26.675m, 10-Q).</t>
  </si>
  <si>
    <t xml:space="preserve">  Ending shares outstanding (m)</t>
  </si>
  <si>
    <t xml:space="preserve">  % of shares repurchased</t>
  </si>
  <si>
    <t xml:space="preserve">CONDENSED CONSOLIDATED BALANCE SHEETS</t>
  </si>
  <si>
    <t xml:space="preserve">BS FORECAST — 2026E rolled forward from the 30-Jun-2026 balance sheet with 2H flows</t>
  </si>
  <si>
    <t xml:space="preserve">ASSETS</t>
  </si>
  <si>
    <t xml:space="preserve">  Cash and cash equivalents</t>
  </si>
  <si>
    <t xml:space="preserve">  Accounts receivable, net</t>
  </si>
  <si>
    <t xml:space="preserve">  Prepaid expenses &amp; other current assets (incl. income-tax receivable; 2005–06 disc. ops)</t>
  </si>
  <si>
    <t xml:space="preserve">Total current assets</t>
  </si>
  <si>
    <t xml:space="preserve">  Property &amp; equipment, at cost</t>
  </si>
  <si>
    <t xml:space="preserve">Cost roll-forward: + gross capex − book value of disposals (proceeds less gains).</t>
  </si>
  <si>
    <t xml:space="preserve">  Less: accumulated depreciation</t>
  </si>
  <si>
    <t xml:space="preserve">  Net property &amp; equipment</t>
  </si>
  <si>
    <t xml:space="preserve">  Operating lease right-of-use assets (2019+)</t>
  </si>
  <si>
    <t xml:space="preserve">  Goodwill, intangibles &amp; other noncurrent assets (incl. 2005–06 disc. ops)</t>
  </si>
  <si>
    <t xml:space="preserve">TOTAL ASSETS</t>
  </si>
  <si>
    <t xml:space="preserve">LIABILITIES AND STOCKHOLDERS' EQUITY</t>
  </si>
  <si>
    <t xml:space="preserve">  Accounts payable</t>
  </si>
  <si>
    <t xml:space="preserve">  Wages, vacation &amp; employees' benefits</t>
  </si>
  <si>
    <t xml:space="preserve">  Other current liabilities (incl. current claims accruals; 2005–06 disc. ops)</t>
  </si>
  <si>
    <t xml:space="preserve">  Current portion of long-term debt (incl. finance leases)</t>
  </si>
  <si>
    <t xml:space="preserve">  Current operating lease liability</t>
  </si>
  <si>
    <t xml:space="preserve">Total current liabilities</t>
  </si>
  <si>
    <t xml:space="preserve">  Long-term debt, less current portion</t>
  </si>
  <si>
    <t xml:space="preserve">  Operating lease liability, less current portion</t>
  </si>
  <si>
    <t xml:space="preserve">  Claims, insurance &amp; other (incl. 2005–06 disc. ops)</t>
  </si>
  <si>
    <t xml:space="preserve">Total liabilities</t>
  </si>
  <si>
    <t xml:space="preserve">Stockholders' equity:</t>
  </si>
  <si>
    <t xml:space="preserve">  Common stock &amp; additional paid-in capital</t>
  </si>
  <si>
    <t xml:space="preserve">  Deferred compensation trust &amp; treasury stock</t>
  </si>
  <si>
    <t xml:space="preserve">  Retained earnings</t>
  </si>
  <si>
    <t xml:space="preserve">+ net income − repurchases (retired shares charged to retained earnings).</t>
  </si>
  <si>
    <t xml:space="preserve">Total stockholders' equity</t>
  </si>
  <si>
    <t xml:space="preserve">TOTAL LIABILITIES AND STOCKHOLDERS' EQUITY</t>
  </si>
  <si>
    <t xml:space="preserve">BS tie-out check (TA − TL&amp;E) (should be 0)</t>
  </si>
  <si>
    <t xml:space="preserve">  Memo: total assets as reported</t>
  </si>
  <si>
    <t xml:space="preserve">  Check: model total assets vs reported (should be 0)</t>
  </si>
  <si>
    <t xml:space="preserve">  Check: BS cash vs cash-flow ending cash (should be 0; 2017–21 CF incl. small restricted cash)</t>
  </si>
  <si>
    <t xml:space="preserve">  Memo: common shares outstanding at period end (m)</t>
  </si>
  <si>
    <t xml:space="preserve">  Memo: goodwill &amp; identifiable intangibles (within other noncurrent assets)</t>
  </si>
  <si>
    <t xml:space="preserve">WORKING CAPITAL &amp; CASH CONVERSION</t>
  </si>
  <si>
    <t xml:space="preserve">WORKING CAPITAL — forecast drivers (blue = input; FY2025 levels)</t>
  </si>
  <si>
    <t xml:space="preserve">  DSO — receivables / revenue × 365 (quarters × 91.25)</t>
  </si>
  <si>
    <t xml:space="preserve">  Prepaid &amp; other current assets % of revenue (annualised)</t>
  </si>
  <si>
    <t xml:space="preserve">  Accounts payable % of revenue (annualised)</t>
  </si>
  <si>
    <t xml:space="preserve">  Wages &amp; benefits accrual % of revenue (annualised)</t>
  </si>
  <si>
    <t xml:space="preserve">  Claims, insurance &amp; other (noncurrent) % of revenue</t>
  </si>
  <si>
    <t xml:space="preserve">  Operating NWC (receivables + prepaid − payables − wages − other current)</t>
  </si>
  <si>
    <t xml:space="preserve">  NWC % of revenue (annualised)</t>
  </si>
  <si>
    <t xml:space="preserve">  Deferred taxes % of income tax expense</t>
  </si>
  <si>
    <t xml:space="preserve">2026E 2H at 1H/26 share (100% bonus depreciation restored 2025); 2027E+ 25% input.</t>
  </si>
  <si>
    <t xml:space="preserve">BALANCE SHEET FORECAST SCHEDULES</t>
  </si>
  <si>
    <t xml:space="preserve">BS FORECAST SCHEDULES — explicit driver assumptions</t>
  </si>
  <si>
    <t xml:space="preserve">Debt schedule ($100m 6.09% Prudential senior notes due 1-May-2029; $600m revolving credit facility due Dec-2029)</t>
  </si>
  <si>
    <t xml:space="preserve">  Senior notes outstanding (face, period end)</t>
  </si>
  <si>
    <t xml:space="preserve">Private Shelf Agreement (PGIM): $100m Initial Notes issued 1-May-2024, 6.09%, due 1-May-2029 (10-Q Q2/26).</t>
  </si>
  <si>
    <t xml:space="preserve">  Scheduled note maturities (negative)</t>
  </si>
  <si>
    <t xml:space="preserve">  Refinancing issuance (% refinanced × maturities)</t>
  </si>
  <si>
    <t xml:space="preserve">  Revolving credit facility drawn (prepayable; plug to minimum cash)</t>
  </si>
  <si>
    <t xml:space="preserve">Revolver $0 at 30-Jun-26 ($63m at 31-Dec-25); SOFR + 0.10% + 1.25–2.00%.</t>
  </si>
  <si>
    <t xml:space="preserve">  Finance lease obligations (current; held flat)</t>
  </si>
  <si>
    <t xml:space="preserve">  Total debt (notes + revolver + finance leases)</t>
  </si>
  <si>
    <t xml:space="preserve">  Cash before revolver (opening cash + CFO + CFI + notes + other financing)</t>
  </si>
  <si>
    <t xml:space="preserve">  Interest rate on senior notes %</t>
  </si>
  <si>
    <t xml:space="preserve">  Interest rate on revolver (SOFR + margin) %</t>
  </si>
  <si>
    <t xml:space="preserve">  Unused-commitment, LC &amp; amortised fees (USDm p.a.)</t>
  </si>
  <si>
    <t xml:space="preserve">  Interest income yield on opening cash %</t>
  </si>
  <si>
    <t xml:space="preserve">Leverage-targeted buybacks (repurchases plug to a minimum net debt / Adj. EBITDA floor; scenario)</t>
  </si>
  <si>
    <t xml:space="preserve">  Minimum net debt / Adjusted EBITDA (x) (scenario)</t>
  </si>
  <si>
    <t xml:space="preserve">  Net debt before buybacks (period end)</t>
  </si>
  <si>
    <t xml:space="preserve">  Target minimum net debt = floor × Adjusted EBITDA</t>
  </si>
  <si>
    <t xml:space="preserve">  Share repurchases: plug to minimum leverage (2026E: 2H scenario input)</t>
  </si>
  <si>
    <t xml:space="preserve">Zero while net debt is above the floor. Saia: "as the business generates returns, we will consider buybacks, dividend" (Q4-25 call).</t>
  </si>
  <si>
    <t xml:space="preserve">RATIO ANALYSIS</t>
  </si>
  <si>
    <t xml:space="preserve">RETURNS — annual columns (NOPAT on Adjusted EBIT)</t>
  </si>
  <si>
    <t xml:space="preserve">DuPont decomposition of ROIC</t>
  </si>
  <si>
    <t xml:space="preserve">Adjusted EBIT</t>
  </si>
  <si>
    <t xml:space="preserve">Effective tax rate (actual; bounded 15–40%)</t>
  </si>
  <si>
    <t xml:space="preserve">NOPAT = Adjusted EBIT × (1 − tax rate)</t>
  </si>
  <si>
    <t xml:space="preserve">Invested capital (IC) = Equity + Net debt</t>
  </si>
  <si>
    <t xml:space="preserve">  Net debt = Total debt − Cash</t>
  </si>
  <si>
    <t xml:space="preserve">ROIC = NOPAT / IC</t>
  </si>
  <si>
    <t xml:space="preserve">  Margin = Adjusted EBIT / Revenue</t>
  </si>
  <si>
    <t xml:space="preserve">  Capital turnover = Revenue / IC</t>
  </si>
  <si>
    <t xml:space="preserve">  Tax burden = (1 − tax rate)</t>
  </si>
  <si>
    <t xml:space="preserve">  Check: Margin × Turnover × Tax burden = ROIC</t>
  </si>
  <si>
    <t xml:space="preserve">RONTA decomposition</t>
  </si>
  <si>
    <t xml:space="preserve">NOPAT</t>
  </si>
  <si>
    <t xml:space="preserve">  Total assets</t>
  </si>
  <si>
    <t xml:space="preserve">  − Goodwill &amp; intangibles (2024+ disclosed; earlier within other assets)</t>
  </si>
  <si>
    <t xml:space="preserve">  − Non-interest-bearing current liabilities (total CL excl. current debt)</t>
  </si>
  <si>
    <t xml:space="preserve">  = Net tangible assets</t>
  </si>
  <si>
    <t xml:space="preserve">RONTA = NOPAT / NTA</t>
  </si>
  <si>
    <t xml:space="preserve">Return on Equity (ROE)</t>
  </si>
  <si>
    <t xml:space="preserve">ROE = Net income / Equity</t>
  </si>
  <si>
    <t xml:space="preserve">Leverage</t>
  </si>
  <si>
    <t xml:space="preserve">Net debt = Total debt − cash</t>
  </si>
  <si>
    <t xml:space="preserve">Adjusted EBITDA (model)</t>
  </si>
  <si>
    <t xml:space="preserve">Net debt / Adjusted EBITDA (x)</t>
  </si>
  <si>
    <t xml:space="preserve">VALUATION</t>
  </si>
  <si>
    <t xml:space="preserve">VALUATION — share price input $350.00 (user-provided, Oct-2026); held flat across forecast years</t>
  </si>
  <si>
    <t xml:space="preserve">Share price ($) — current</t>
  </si>
  <si>
    <t xml:space="preserve">Diluted shares at period end (m)</t>
  </si>
  <si>
    <t xml:space="preserve">Market capitalisation (USDm)</t>
  </si>
  <si>
    <t xml:space="preserve">Net debt (USDm)</t>
  </si>
  <si>
    <t xml:space="preserve">Enterprise value (USDm)</t>
  </si>
  <si>
    <t xml:space="preserve">Multiples</t>
  </si>
  <si>
    <t xml:space="preserve">  EV / Revenue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</si>
  <si>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</si>
  <si>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</si>
  <si>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</si>
  <si>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</si>
  <si>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</si>
  <si>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</si>
  <si>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</si>
  <si>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Saia, Inc. (SAIA) — Bull / Base / Bear Case P&amp;L Summary</t>
  </si>
  <si>
    <t xml:space="preserve">Share price ($):</t>
  </si>
  <si>
    <t xml:space="preserve">Adjusted figures (company definition: adjusted operating income / adjusted operating ratio / adjusted diluted EPS; Adjusted EBITDA model-defined — Saia does not publish EBITDA) · USD millions · Live panel linked to Model — toggle scenario via Model!CF2. Bull and Bear panels are value snapshots generated from the Model with the switch set to each case.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</si>
  <si>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</si>
  <si>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</si>
  <si>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</si>
  <si>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</si>
  <si>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</si>
  <si>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</si>
  <si>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</si>
  <si>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</si>
  <si>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</si>
  <si>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</si>
  <si>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Revenues</t>
  </si>
  <si>
    <t xml:space="preserve">   Revenues y/y %</t>
  </si>
  <si>
    <t xml:space="preserve">   LTL tonnage per workday y/y %</t>
  </si>
  <si>
    <t xml:space="preserve">Adjusted EBITDA (model; Saia does not publish EBITDA)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</si>
  <si>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</si>
  <si>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</si>
  <si>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</si>
  <si>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 (= 1 − operating ratio)</t>
  </si>
  <si>
    <t xml:space="preserve">Adjusted Net Income (company definition)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</si>
  <si>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</si>
  <si>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</si>
  <si>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</si>
  <si>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</si>
  <si>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</si>
  <si>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</si>
  <si>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</si>
  <si>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</si>
  <si>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</si>
  <si>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</si>
  <si>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</si>
  <si>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Adjusted Operating Income (company definition)</t>
  </si>
  <si>
    <t xml:space="preserve">   Adjusted operating ratio %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</si>
  <si>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</si>
  <si>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</si>
  <si>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</si>
  <si>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</si>
  <si>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</si>
  <si>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</t>
  </si>
  <si>
    <t xml:space="preserve">Implied Enterprise Value (USDm)</t>
  </si>
  <si>
    <t xml:space="preserve">Implied EV / Adjusted EBITDA (x)</t>
  </si>
  <si>
    <t xml:space="preserve">DCF VALUATION — SAIA, INC. (SAIA)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</si>
  <si>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</si>
  <si>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</si>
  <si>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</si>
  <si>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</si>
  <si>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</si>
  <si>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</si>
  <si>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LTL peers (ODFL ~1.1, XPO ~1.9, ArcBest ~1.6); SAIA 5Y monthly ~1.3–1.6 — industrial-cycle and fuel sensitivity, partly offset by pricing discipline; update to market</t>
  </si>
  <si>
    <t xml:space="preserve">Cost of equity</t>
  </si>
  <si>
    <t xml:space="preserve">Pre-tax cost of debt</t>
  </si>
  <si>
    <t xml:space="preserve">Unrated; $100m 6.09% senior notes (PGIM shelf, May-2024) and SOFR + 1.25–2.00% revolver — marginal cost ~6%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</si>
  <si>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</si>
  <si>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</si>
  <si>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</si>
  <si>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</si>
  <si>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~nil (YE2026E) vs ~$9.3bn market cap ($350 × ~26.7m shares); revolver/lease capacity — 5% debt weight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</si>
  <si>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</si>
  <si>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</si>
  <si>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</si>
  <si>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</si>
  <si>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</si>
  <si>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</si>
  <si>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</si>
  <si>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</si>
  <si>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</si>
  <si>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</si>
  <si>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</si>
  <si>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</si>
  <si>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Adjusted EBIT (Model; Adjusted EBITDA − D&amp;A)</t>
  </si>
  <si>
    <t xml:space="preserve">   y/y %</t>
  </si>
  <si>
    <t xml:space="preserve">(−) Adjusting items excluded from Adjusted EBIT (cash; none forecast)</t>
  </si>
  <si>
    <t xml:space="preserve">× (1 − tax rate)</t>
  </si>
  <si>
    <t xml:space="preserve">NOPAT  =  (Adjusted EBIT − adjusting items) × (1 − t)</t>
  </si>
  <si>
    <t xml:space="preserve">plus depreciation &amp; amortization</t>
  </si>
  <si>
    <t xml:space="preserve">− Net capex (gross capex − disposal proceeds) and acquisitions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</si>
  <si>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</si>
  <si>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</si>
  <si>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</si>
  <si>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net capex (gross capex + disposal proceeds; fade years carry no acquisitions)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</si>
  <si>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</si>
  <si>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</si>
  <si>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</si>
  <si>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</si>
  <si>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</si>
  <si>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Saia's adjusted EBIT deducts all D&amp;A (terminal and fleet depreciation; added back in row 23) and expenses stock-based compensation. Saia publishes no EBITDA; adjusting items (terminal-sale gains, impairments) are non-recurring and not forecast. Operating-lease costs (terminals, equipment) sit inside operating income. Fuel surcharge is a pass-through modelled from DOE diesel; the explicit forecast assumes diesel normalises from the 2026 spike (Model DSL lever).</t>
  </si>
  <si>
    <t xml:space="preserve">Implied ROIC &amp; incremental ROIC (USDm)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</si>
  <si>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</si>
  <si>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</si>
  <si>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</si>
  <si>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</si>
  <si>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</si>
  <si>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</si>
  <si>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</si>
  <si>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</si>
  <si>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book IC (equity + net debt), rolled forward with DCF net investment (net capex + M&amp;A − D&amp;A + ΔWC). Terminal incremental ROIC = g ÷ reinvestment rate. Cumulative = (NOPAT 2035E − 2026E) / Σ net investment 2026E–34E.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</si>
  <si>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</si>
  <si>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</si>
  <si>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</si>
  <si>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</si>
  <si>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year end)</t>
  </si>
  <si>
    <t xml:space="preserve">Less: non-controlling interests (none)</t>
  </si>
  <si>
    <t xml:space="preserve">Equity Value</t>
  </si>
  <si>
    <t xml:space="preserve">Diluted shares (m, Model 2026E period end)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</si>
  <si>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</si>
  <si>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</si>
  <si>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</si>
  <si>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 (discount closes over horizon; value compounds at WACC)</t>
  </si>
  <si>
    <t xml:space="preserve">Target IRR</t>
  </si>
  <si>
    <t xml:space="preserve">Max entry price for target IRR ($) — % vs. current share price shown right</t>
  </si>
  <si>
    <t xml:space="preserve">Years for discount to close</t>
  </si>
  <si>
    <t xml:space="preserve">4. SENSITIVITY: IMPLIED PRICE ($)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</si>
  <si>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</si>
  <si>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</si>
  <si>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</si>
  <si>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</si>
  <si>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price (C58) by changing C32 (terminal growth) or the Model scenario levers (LTL tonnage, core price, SWB per shipment, diesel, capex).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</si>
  <si>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</si>
  <si>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</si>
  <si>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</si>
  <si>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</si>
  <si>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</si>
  <si>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(Saia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</si>
  <si>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</si>
  <si>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</si>
  <si>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</si>
  <si>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2026–30E: tonnage growth on a national network with 20–25% spare capacity + ~5% core pricing, partly offset by fuel normalisation → ~10% NOPAT growth</t>
  </si>
  <si>
    <t xml:space="preserve">ROIIC  (Return on incremental invested capital)</t>
  </si>
  <si>
    <t xml:space="preserve">LTL density economics: incremental tonnage on owned terminals/doors earns high returns (2021–23 ROIC 21–25%); the 2024–25 terminal build earned less while volumes were soft</t>
  </si>
  <si>
    <t xml:space="preserve">N  (Years of value creation / CAP)</t>
  </si>
  <si>
    <t xml:space="preserve">Owned terminal network (218 terminals; ~1bn real-estate investment since 2022) is hard to replicate; LTL industry consolidation (Yellow exit 2023) supports pricing; competitive (ODFL, XPO, FedEx Freight)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</si>
  <si>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</si>
  <si>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</si>
  <si>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</si>
  <si>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</si>
  <si>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</si>
  <si>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</si>
  <si>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</si>
  <si>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</si>
  <si>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</si>
  <si>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 (Model)</t>
  </si>
  <si>
    <t xml:space="preserve">(−) 2028E adjusting items</t>
  </si>
  <si>
    <t xml:space="preserve">Tax rate (from WACC build)</t>
  </si>
  <si>
    <t xml:space="preserve">2028E NOPAT  =  (Adj. EBIT − adjusting items) × (1 − t)</t>
  </si>
  <si>
    <t xml:space="preserve">× Mauboussin EV/NOPAT multiple</t>
  </si>
  <si>
    <t xml:space="preserve">Implied Enterprise Value (2028E basis)</t>
  </si>
  <si>
    <t xml:space="preserve">Less: YE2027 net debt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</si>
  <si>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</si>
  <si>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</si>
  <si>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</si>
  <si>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</si>
  <si>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</si>
  <si>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</t>
  </si>
  <si>
    <t xml:space="preserve">Implied Enterprise Value (today)</t>
  </si>
  <si>
    <t xml:space="preserve">SAIA's market-implied EV/NOPAT (on 2028E NOPAT)</t>
  </si>
  <si>
    <t xml:space="preserve">Multiple gap (Mauboussin − Market)</t>
  </si>
  <si>
    <t xml:space="preserve">Implied re-rating headroom</t>
  </si>
  <si>
    <t xml:space="preserve">Saia, Inc. — Historical Operating Performance (2006–2025)</t>
  </si>
  <si>
    <t xml:space="preserve">All historicals · USDm · Linked to Model. Volume / price = LTL tonnage per workday y/y (company-reported like-for-like change where available, else model) and LTL revenue/cwt ex-fuel y/y (derived from the company fuel-surcharge % where not reported; n/a 2007–09). Adjusted EBITDA model-defined (Saia publishes adjusted OI/OR only).</t>
  </si>
  <si>
    <t xml:space="preserve">LTL tonnage/workday %</t>
  </si>
  <si>
    <t xml:space="preserve">LTL rev/cwt ex-fuel %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</si>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</sst>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;\(#,##0\);\-"/>
    <numFmt numFmtId="166" formatCode="0.00;\(0.00\);\-"/>
    <numFmt numFmtId="167" formatCode="0.0%;\(0.0%\);\-"/>
    <numFmt numFmtId="168" formatCode="0%;\(0%\);&quot;n/m&quot;"/>
    <numFmt numFmtId="169" formatCode="0.0%"/>
    <numFmt numFmtId="170" formatCode="0.0\x;\(0.0&quot;x)&quot;;\-"/>
    <numFmt numFmtId="171" formatCode="\+0.0%;\-0.0%;0.0%"/>
    <numFmt numFmtId="172" formatCode="0.000;\(0.000\);\-"/>
    <numFmt numFmtId="173" formatCode="#,##0.0;\(#,##0.0\);\-"/>
    <numFmt numFmtId="174" formatCode="\+0.00;\-0.00;0.00"/>
    <numFmt numFmtId="175" formatCode="0.00%;\(0.00%\);\-"/>
    <numFmt numFmtId="176" formatCode="#,##0.00"/>
    <numFmt numFmtId="177" formatCode="dd\-mmm\-yy"/>
    <numFmt numFmtId="178" formatCode="0%;\(0%\);\-"/>
    <numFmt numFmtId="179" formatCode="0.0\x"/>
    <numFmt numFmtId="180" formatCode="0.00\x;\(0.00&quot;x)&quot;;\-"/>
    <numFmt numFmtId="181" formatCode="0.00%"/>
    <numFmt numFmtId="182" formatCode="0.00"/>
    <numFmt numFmtId="183" formatCode="0.000"/>
    <numFmt numFmtId="184" formatCode="0%"/>
    <numFmt numFmtId="185" formatCode="0"/>
    <numFmt numFmtId="186" formatCode="#,##0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2"/>
      <charset val="1"/>
    </font>
    <font>
      <b val="true"/>
      <sz val="16"/>
      <color rgb="FF1F3864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0"/>
      <color rgb="FF595959"/>
      <name val="Calibri"/>
      <family val="2"/>
      <charset val="1"/>
    </font>
    <font>
      <sz val="10"/>
      <color rgb="FFC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9"/>
      <color rgb="FF666666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00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name val="Calibri"/>
      <family val="2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2"/>
      <color rgb="FF0000FF"/>
      <name val="Calibri"/>
      <family val="2"/>
      <charset val="1"/>
    </font>
    <font>
      <sz val="12"/>
      <color rgb="FF404040"/>
      <name val="Calibri"/>
      <family val="2"/>
      <charset val="1"/>
    </font>
    <font>
      <sz val="12"/>
      <color rgb="FFA6A6A6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i val="true"/>
      <sz val="12"/>
      <color rgb="FF666666"/>
      <name val="Calibri"/>
      <family val="2"/>
      <charset val="1"/>
    </font>
    <font>
      <sz val="11"/>
      <color rgb="FF0000FF"/>
      <name val="Calibri"/>
      <family val="0"/>
      <charset val="1"/>
    </font>
    <font>
      <sz val="12"/>
      <color rgb="FF000000"/>
      <name val="Calibri"/>
      <family val="2"/>
      <charset val="1"/>
    </font>
    <font>
      <b val="true"/>
      <sz val="12"/>
      <color rgb="FF595959"/>
      <name val="Calibri"/>
      <family val="2"/>
      <charset val="1"/>
    </font>
    <font>
      <b val="true"/>
      <i val="true"/>
      <sz val="11"/>
      <color rgb="FFC00000"/>
      <name val="Calibri"/>
      <family val="2"/>
      <charset val="1"/>
    </font>
    <font>
      <b val="true"/>
      <i val="true"/>
      <sz val="10"/>
      <color rgb="FFC00000"/>
      <name val="Calibri"/>
      <family val="2"/>
      <charset val="1"/>
    </font>
    <font>
      <sz val="11"/>
      <color rgb="FFA6A6A6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2F3E46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595959"/>
      <name val="Calibri"/>
      <family val="2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name val="Calibri"/>
      <family val="2"/>
      <charset val="1"/>
    </font>
    <font>
      <sz val="12"/>
      <color rgb="FF008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6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4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5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LTL Revenue Drivers: Tonnage per Workday vs. Core Yield (Rev/cwt ex-Fuel),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LTL tonnage/workday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0.0632152588555859</c:v>
                </c:pt>
                <c:pt idx="9">
                  <c:v>-0.070220399794977</c:v>
                </c:pt>
                <c:pt idx="10">
                  <c:v>-0.0239801543550167</c:v>
                </c:pt>
                <c:pt idx="11">
                  <c:v>0.0521678030150214</c:v>
                </c:pt>
                <c:pt idx="12">
                  <c:v>0.0662260235039063</c:v>
                </c:pt>
                <c:pt idx="13">
                  <c:v>0.00395750885232227</c:v>
                </c:pt>
                <c:pt idx="14">
                  <c:v>0.000609337733198379</c:v>
                </c:pt>
                <c:pt idx="15">
                  <c:v>0.124300925106377</c:v>
                </c:pt>
                <c:pt idx="16">
                  <c:v>0.00932560432009</c:v>
                </c:pt>
                <c:pt idx="17">
                  <c:v>0.0168090684717763</c:v>
                </c:pt>
                <c:pt idx="18">
                  <c:v>0.0805456552280595</c:v>
                </c:pt>
                <c:pt idx="19">
                  <c:v>0.0245737582667096</c:v>
                </c:pt>
              </c:numCache>
            </c:numRef>
          </c:val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LTL rev/cwt ex-fuel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0.0470586694804873</c:v>
                </c:pt>
                <c:pt idx="6">
                  <c:v>0.0605818134672584</c:v>
                </c:pt>
                <c:pt idx="7">
                  <c:v>0.0438203146620855</c:v>
                </c:pt>
                <c:pt idx="8">
                  <c:v>0.0461866628194296</c:v>
                </c:pt>
                <c:pt idx="9">
                  <c:v>0.0927236820169533</c:v>
                </c:pt>
                <c:pt idx="10">
                  <c:v>0.0551046244843592</c:v>
                </c:pt>
                <c:pt idx="11">
                  <c:v>0.0582010582010581</c:v>
                </c:pt>
                <c:pt idx="12">
                  <c:v>-0.0464327946393378</c:v>
                </c:pt>
                <c:pt idx="13">
                  <c:v>0.0818659060846561</c:v>
                </c:pt>
                <c:pt idx="14">
                  <c:v>0.0360747604037317</c:v>
                </c:pt>
                <c:pt idx="15">
                  <c:v>0.0891210817455439</c:v>
                </c:pt>
                <c:pt idx="16">
                  <c:v>0.107787810383747</c:v>
                </c:pt>
                <c:pt idx="17">
                  <c:v>0.0692817116658175</c:v>
                </c:pt>
                <c:pt idx="18">
                  <c:v>0.0433539780848022</c:v>
                </c:pt>
                <c:pt idx="19">
                  <c:v>-0.0146118721461187</c:v>
                </c:pt>
              </c:numCache>
            </c:numRef>
          </c:val>
        </c:ser>
        <c:gapWidth val="150"/>
        <c:overlap val="100"/>
        <c:axId val="77941756"/>
        <c:axId val="32948597"/>
      </c:barChart>
      <c:catAx>
        <c:axId val="779417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48597"/>
        <c:crosses val="autoZero"/>
        <c:auto val="1"/>
        <c:lblAlgn val="ctr"/>
        <c:lblOffset val="100"/>
        <c:noMultiLvlLbl val="0"/>
      </c:catAx>
      <c:valAx>
        <c:axId val="32948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41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CA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CA" sz="1800" spc="-1" strike="noStrike">
                <a:solidFill>
                  <a:srgbClr val="000000"/>
                </a:solidFill>
                <a:latin typeface="Calibri"/>
              </a:rPr>
              <a:t>Adjusted EBITDA (model)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 (model)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87.8880000000003</c:v>
                </c:pt>
                <c:pt idx="1">
                  <c:v>79.6379999999999</c:v>
                </c:pt>
                <c:pt idx="2">
                  <c:v>66.1390000000001</c:v>
                </c:pt>
                <c:pt idx="3">
                  <c:v>23.557</c:v>
                </c:pt>
                <c:pt idx="4">
                  <c:v>48.694</c:v>
                </c:pt>
                <c:pt idx="5">
                  <c:v>65.476</c:v>
                </c:pt>
                <c:pt idx="6">
                  <c:v>106.931</c:v>
                </c:pt>
                <c:pt idx="7">
                  <c:v>126.199</c:v>
                </c:pt>
                <c:pt idx="8">
                  <c:v>144.814</c:v>
                </c:pt>
                <c:pt idx="9">
                  <c:v>155.09</c:v>
                </c:pt>
                <c:pt idx="10">
                  <c:v>155.553</c:v>
                </c:pt>
                <c:pt idx="11">
                  <c:v>181.931</c:v>
                </c:pt>
                <c:pt idx="12">
                  <c:v>243.404</c:v>
                </c:pt>
                <c:pt idx="13">
                  <c:v>272.475</c:v>
                </c:pt>
                <c:pt idx="14">
                  <c:v>316.11</c:v>
                </c:pt>
                <c:pt idx="15">
                  <c:v>473.418</c:v>
                </c:pt>
                <c:pt idx="16">
                  <c:v>627.861999999999</c:v>
                </c:pt>
                <c:pt idx="17">
                  <c:v>641.399000000001</c:v>
                </c:pt>
                <c:pt idx="18">
                  <c:v>693.994</c:v>
                </c:pt>
                <c:pt idx="19">
                  <c:v>587.752</c:v>
                </c:pt>
              </c:numCache>
            </c:numRef>
          </c:val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49.9940000000003</c:v>
                </c:pt>
                <c:pt idx="1">
                  <c:v>38.1679999999999</c:v>
                </c:pt>
                <c:pt idx="2">
                  <c:v>-9.85099999999989</c:v>
                </c:pt>
                <c:pt idx="3">
                  <c:v>-3.69299999999998</c:v>
                </c:pt>
                <c:pt idx="4">
                  <c:v>12.1</c:v>
                </c:pt>
                <c:pt idx="5">
                  <c:v>28.146</c:v>
                </c:pt>
                <c:pt idx="6">
                  <c:v>58.7340000000002</c:v>
                </c:pt>
                <c:pt idx="7">
                  <c:v>74.4179999999999</c:v>
                </c:pt>
                <c:pt idx="8">
                  <c:v>85.693</c:v>
                </c:pt>
                <c:pt idx="9">
                  <c:v>89.9749999999999</c:v>
                </c:pt>
                <c:pt idx="10">
                  <c:v>79.136</c:v>
                </c:pt>
                <c:pt idx="11">
                  <c:v>94.7370000000001</c:v>
                </c:pt>
                <c:pt idx="12">
                  <c:v>141.177</c:v>
                </c:pt>
                <c:pt idx="13">
                  <c:v>152.586</c:v>
                </c:pt>
                <c:pt idx="14">
                  <c:v>180.321</c:v>
                </c:pt>
                <c:pt idx="15">
                  <c:v>335.141</c:v>
                </c:pt>
                <c:pt idx="16">
                  <c:v>470.487999999999</c:v>
                </c:pt>
                <c:pt idx="17">
                  <c:v>460.496000000001</c:v>
                </c:pt>
                <c:pt idx="18">
                  <c:v>482.16</c:v>
                </c:pt>
                <c:pt idx="19">
                  <c:v>352.2</c:v>
                </c:pt>
              </c:numCache>
            </c:numRef>
          </c:val>
        </c:ser>
        <c:gapWidth val="150"/>
        <c:overlap val="0"/>
        <c:axId val="26158618"/>
        <c:axId val="13707959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0.100473513211956</c:v>
                </c:pt>
                <c:pt idx="1">
                  <c:v>0.0815860296294626</c:v>
                </c:pt>
                <c:pt idx="2">
                  <c:v>0.0641863859529262</c:v>
                </c:pt>
                <c:pt idx="3">
                  <c:v>0.0277421535410492</c:v>
                </c:pt>
                <c:pt idx="4">
                  <c:v>0.0539450069793721</c:v>
                </c:pt>
                <c:pt idx="5">
                  <c:v>0.0635551103449347</c:v>
                </c:pt>
                <c:pt idx="6">
                  <c:v>0.0973268807358657</c:v>
                </c:pt>
                <c:pt idx="7">
                  <c:v>0.110788925233563</c:v>
                </c:pt>
                <c:pt idx="8">
                  <c:v>0.113818761145969</c:v>
                </c:pt>
                <c:pt idx="9">
                  <c:v>0.126986492384004</c:v>
                </c:pt>
                <c:pt idx="10">
                  <c:v>0.12766140793332</c:v>
                </c:pt>
                <c:pt idx="11">
                  <c:v>0.131976554395688</c:v>
                </c:pt>
                <c:pt idx="12">
                  <c:v>0.147174258351276</c:v>
                </c:pt>
                <c:pt idx="13">
                  <c:v>0.152498831667819</c:v>
                </c:pt>
                <c:pt idx="14">
                  <c:v>0.17346131347929</c:v>
                </c:pt>
                <c:pt idx="15">
                  <c:v>0.206849815441403</c:v>
                </c:pt>
                <c:pt idx="16">
                  <c:v>0.224874348911931</c:v>
                </c:pt>
                <c:pt idx="17">
                  <c:v>0.222597228531776</c:v>
                </c:pt>
                <c:pt idx="18">
                  <c:v>0.216259893040796</c:v>
                </c:pt>
                <c:pt idx="19">
                  <c:v>0.18172542564263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0.0571531132750609</c:v>
                </c:pt>
                <c:pt idx="1">
                  <c:v>0.0391016296102027</c:v>
                </c:pt>
                <c:pt idx="2">
                  <c:v>-0.00956017006640964</c:v>
                </c:pt>
                <c:pt idx="3">
                  <c:v>-0.00434910103269067</c:v>
                </c:pt>
                <c:pt idx="4">
                  <c:v>0.0134048257372654</c:v>
                </c:pt>
                <c:pt idx="5">
                  <c:v>0.0273202720961655</c:v>
                </c:pt>
                <c:pt idx="6">
                  <c:v>0.0534587445468605</c:v>
                </c:pt>
                <c:pt idx="7">
                  <c:v>0.0653308682163192</c:v>
                </c:pt>
                <c:pt idx="8">
                  <c:v>0.0673517139149633</c:v>
                </c:pt>
                <c:pt idx="9">
                  <c:v>0.0736708340463649</c:v>
                </c:pt>
                <c:pt idx="10">
                  <c:v>0.0649464374085439</c:v>
                </c:pt>
                <c:pt idx="11">
                  <c:v>0.0687242022183373</c:v>
                </c:pt>
                <c:pt idx="12">
                  <c:v>0.0853626903060679</c:v>
                </c:pt>
                <c:pt idx="13">
                  <c:v>0.0853993457339785</c:v>
                </c:pt>
                <c:pt idx="14">
                  <c:v>0.0989488390367249</c:v>
                </c:pt>
                <c:pt idx="15">
                  <c:v>0.146432653589105</c:v>
                </c:pt>
                <c:pt idx="16">
                  <c:v>0.168509453782641</c:v>
                </c:pt>
                <c:pt idx="17">
                  <c:v>0.159814925420789</c:v>
                </c:pt>
                <c:pt idx="18">
                  <c:v>0.150248950320248</c:v>
                </c:pt>
                <c:pt idx="19">
                  <c:v>0.108895750097549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993586"/>
        <c:axId val="17018481"/>
      </c:lineChart>
      <c:catAx>
        <c:axId val="261586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07959"/>
        <c:crosses val="autoZero"/>
        <c:auto val="1"/>
        <c:lblAlgn val="ctr"/>
        <c:lblOffset val="100"/>
        <c:noMultiLvlLbl val="0"/>
      </c:catAx>
      <c:valAx>
        <c:axId val="13707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58618"/>
        <c:crosses val="autoZero"/>
        <c:crossBetween val="between"/>
      </c:valAx>
      <c:catAx>
        <c:axId val="76993586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18481"/>
        <c:crosses val="autoZero"/>
        <c:auto val="1"/>
        <c:lblAlgn val="ctr"/>
        <c:lblOffset val="100"/>
        <c:noMultiLvlLbl val="0"/>
      </c:catAx>
      <c:valAx>
        <c:axId val="1701848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9358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0.11277632282051</c:v>
                </c:pt>
                <c:pt idx="1">
                  <c:v>0.0671803320613651</c:v>
                </c:pt>
                <c:pt idx="2">
                  <c:v>0.0732472431804995</c:v>
                </c:pt>
                <c:pt idx="3">
                  <c:v>-0.0333562258967721</c:v>
                </c:pt>
                <c:pt idx="4">
                  <c:v>0.039858704963844</c:v>
                </c:pt>
                <c:pt idx="5">
                  <c:v>0.0621912062696573</c:v>
                </c:pt>
                <c:pt idx="6">
                  <c:v>0.117307625030674</c:v>
                </c:pt>
                <c:pt idx="7">
                  <c:v>0.125242328974282</c:v>
                </c:pt>
                <c:pt idx="8">
                  <c:v>0.123239339442179</c:v>
                </c:pt>
                <c:pt idx="9">
                  <c:v>0.116046247232563</c:v>
                </c:pt>
                <c:pt idx="10">
                  <c:v>0.0915482855909655</c:v>
                </c:pt>
                <c:pt idx="11">
                  <c:v>0.113408995938054</c:v>
                </c:pt>
                <c:pt idx="12">
                  <c:v>0.133698129104878</c:v>
                </c:pt>
                <c:pt idx="13">
                  <c:v>0.124978037824468</c:v>
                </c:pt>
                <c:pt idx="14">
                  <c:v>0.141419110911181</c:v>
                </c:pt>
                <c:pt idx="15">
                  <c:v>0.216838361458662</c:v>
                </c:pt>
                <c:pt idx="16">
                  <c:v>0.252583436502599</c:v>
                </c:pt>
                <c:pt idx="17">
                  <c:v>0.211859657867143</c:v>
                </c:pt>
                <c:pt idx="18">
                  <c:v>0.147690979728023</c:v>
                </c:pt>
                <c:pt idx="19">
                  <c:v>0.094192851689127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0.0916691193945949</c:v>
                </c:pt>
                <c:pt idx="1">
                  <c:v>0.0551516173072021</c:v>
                </c:pt>
                <c:pt idx="2">
                  <c:v>0.0539378283932929</c:v>
                </c:pt>
                <c:pt idx="3">
                  <c:v>-0.0260439152493435</c:v>
                </c:pt>
                <c:pt idx="4">
                  <c:v>0.0293088129308401</c:v>
                </c:pt>
                <c:pt idx="5">
                  <c:v>0.0485341421287197</c:v>
                </c:pt>
                <c:pt idx="6">
                  <c:v>0.0922288737826392</c:v>
                </c:pt>
                <c:pt idx="7">
                  <c:v>0.0989096216229215</c:v>
                </c:pt>
                <c:pt idx="8">
                  <c:v>0.0971719284107163</c:v>
                </c:pt>
                <c:pt idx="9">
                  <c:v>0.0960348936043813</c:v>
                </c:pt>
                <c:pt idx="10">
                  <c:v>0.0756345070377007</c:v>
                </c:pt>
                <c:pt idx="11">
                  <c:v>0.0989590865842056</c:v>
                </c:pt>
                <c:pt idx="12">
                  <c:v>0.115826697357471</c:v>
                </c:pt>
                <c:pt idx="13">
                  <c:v>0.0995978605476232</c:v>
                </c:pt>
                <c:pt idx="14">
                  <c:v>0.110081896715758</c:v>
                </c:pt>
                <c:pt idx="15">
                  <c:v>0.163566700438762</c:v>
                </c:pt>
                <c:pt idx="16">
                  <c:v>0.1876704175886</c:v>
                </c:pt>
                <c:pt idx="17">
                  <c:v>0.154978288367345</c:v>
                </c:pt>
                <c:pt idx="18">
                  <c:v>0.127914363034684</c:v>
                </c:pt>
                <c:pt idx="19">
                  <c:v>0.0800543419748925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0.100473513211956</c:v>
                </c:pt>
                <c:pt idx="1">
                  <c:v>0.0815860296294626</c:v>
                </c:pt>
                <c:pt idx="2">
                  <c:v>0.0641863859529262</c:v>
                </c:pt>
                <c:pt idx="3">
                  <c:v>0.0277421535410492</c:v>
                </c:pt>
                <c:pt idx="4">
                  <c:v>0.0539450069793721</c:v>
                </c:pt>
                <c:pt idx="5">
                  <c:v>0.0635551103449347</c:v>
                </c:pt>
                <c:pt idx="6">
                  <c:v>0.0973268807358657</c:v>
                </c:pt>
                <c:pt idx="7">
                  <c:v>0.110788925233563</c:v>
                </c:pt>
                <c:pt idx="8">
                  <c:v>0.113818761145969</c:v>
                </c:pt>
                <c:pt idx="9">
                  <c:v>0.126986492384004</c:v>
                </c:pt>
                <c:pt idx="10">
                  <c:v>0.12766140793332</c:v>
                </c:pt>
                <c:pt idx="11">
                  <c:v>0.131976554395688</c:v>
                </c:pt>
                <c:pt idx="12">
                  <c:v>0.147174258351276</c:v>
                </c:pt>
                <c:pt idx="13">
                  <c:v>0.152498831667819</c:v>
                </c:pt>
                <c:pt idx="14">
                  <c:v>0.17346131347929</c:v>
                </c:pt>
                <c:pt idx="15">
                  <c:v>0.206849815441403</c:v>
                </c:pt>
                <c:pt idx="16">
                  <c:v>0.224874348911931</c:v>
                </c:pt>
                <c:pt idx="17">
                  <c:v>0.222597228531776</c:v>
                </c:pt>
                <c:pt idx="18">
                  <c:v>0.216259893040796</c:v>
                </c:pt>
                <c:pt idx="19">
                  <c:v>0.18172542564263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-0.0195464241864421</c:v>
                </c:pt>
                <c:pt idx="1">
                  <c:v>-0.0504188509030112</c:v>
                </c:pt>
                <c:pt idx="2">
                  <c:v>0.052921087594294</c:v>
                </c:pt>
                <c:pt idx="3">
                  <c:v>0.00674446293371772</c:v>
                </c:pt>
                <c:pt idx="4">
                  <c:v>0.0216814747523985</c:v>
                </c:pt>
                <c:pt idx="5">
                  <c:v>-0.0122798537017192</c:v>
                </c:pt>
                <c:pt idx="6">
                  <c:v>0.0132477274982047</c:v>
                </c:pt>
                <c:pt idx="7">
                  <c:v>-0.0219876498339909</c:v>
                </c:pt>
                <c:pt idx="8">
                  <c:v>0.00347396608245875</c:v>
                </c:pt>
                <c:pt idx="9">
                  <c:v>0.0460284071788431</c:v>
                </c:pt>
                <c:pt idx="10">
                  <c:v>0.0216753482409656</c:v>
                </c:pt>
                <c:pt idx="11">
                  <c:v>-0.0209283937004447</c:v>
                </c:pt>
                <c:pt idx="12">
                  <c:v>0.0198107566047444</c:v>
                </c:pt>
                <c:pt idx="13">
                  <c:v>-0.00827151200373866</c:v>
                </c:pt>
                <c:pt idx="14">
                  <c:v>0.0428031471175384</c:v>
                </c:pt>
                <c:pt idx="15">
                  <c:v>0.0423147772713291</c:v>
                </c:pt>
                <c:pt idx="16">
                  <c:v>0.0378205029481848</c:v>
                </c:pt>
                <c:pt idx="17">
                  <c:v>0.047915741924244</c:v>
                </c:pt>
                <c:pt idx="18">
                  <c:v>-0.143298347124435</c:v>
                </c:pt>
                <c:pt idx="19">
                  <c:v>0.00845132434175578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06277"/>
        <c:axId val="11989267"/>
      </c:lineChart>
      <c:catAx>
        <c:axId val="800062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89267"/>
        <c:crosses val="autoZero"/>
        <c:auto val="1"/>
        <c:lblAlgn val="ctr"/>
        <c:lblOffset val="100"/>
        <c:noMultiLvlLbl val="0"/>
      </c:catAx>
      <c:valAx>
        <c:axId val="11989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6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543240</xdr:colOff>
      <xdr:row>37</xdr:row>
      <xdr:rowOff>1800</xdr:rowOff>
    </xdr:to>
    <xdr:graphicFrame>
      <xdr:nvGraphicFramePr>
        <xdr:cNvPr id="0" name="Chart 1"/>
        <xdr:cNvGraphicFramePr/>
      </xdr:nvGraphicFramePr>
      <xdr:xfrm>
        <a:off x="762120" y="4380120"/>
        <a:ext cx="1083024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543240</xdr:colOff>
      <xdr:row>58</xdr:row>
      <xdr:rowOff>1440</xdr:rowOff>
    </xdr:to>
    <xdr:graphicFrame>
      <xdr:nvGraphicFramePr>
        <xdr:cNvPr id="1" name="Chart 2"/>
        <xdr:cNvGraphicFramePr/>
      </xdr:nvGraphicFramePr>
      <xdr:xfrm>
        <a:off x="762120" y="8380800"/>
        <a:ext cx="1083024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543240</xdr:colOff>
      <xdr:row>79</xdr:row>
      <xdr:rowOff>1800</xdr:rowOff>
    </xdr:to>
    <xdr:graphicFrame>
      <xdr:nvGraphicFramePr>
        <xdr:cNvPr id="2" name="Chart 3"/>
        <xdr:cNvGraphicFramePr/>
      </xdr:nvGraphicFramePr>
      <xdr:xfrm>
        <a:off x="762120" y="12381120"/>
        <a:ext cx="1083024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335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7" topLeftCell="H8" activePane="bottomLeft" state="frozen"/>
      <selection pane="topLeft" activeCell="A1" activeCellId="0" sqref="A1"/>
      <selection pane="bottomLeft" activeCell="A1" activeCellId="0" sqref="A1"/>
    </sheetView>
  </sheetViews>
  <sheetFormatPr defaultColWidth="8.57421875" defaultRowHeight="15" zeroHeight="false" outlineLevelRow="0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6" min="75" style="0" width="9.57"/>
    <col collapsed="false" customWidth="true" hidden="true" outlineLevel="1" max="78" min="77" style="0" width="11.43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6" min="86" style="0" width="14.14"/>
    <col collapsed="false" customWidth="true" hidden="false" outlineLevel="0" max="87" min="87" style="0" width="12.43"/>
    <col collapsed="false" customWidth="true" hidden="false" outlineLevel="0" max="89" min="88" style="0" width="13.43"/>
    <col collapsed="false" customWidth="true" hidden="false" outlineLevel="0" max="90" min="90" style="0" width="2"/>
    <col collapsed="false" customWidth="true" hidden="false" outlineLevel="0" max="91" min="91" style="0" width="6"/>
    <col collapsed="false" customWidth="true" hidden="false" outlineLevel="0" max="92" min="92" style="0" width="46"/>
    <col collapsed="false" customWidth="true" hidden="false" outlineLevel="0" max="95" min="93" style="0" width="11.57"/>
    <col collapsed="false" customWidth="true" hidden="false" outlineLevel="0" max="96" min="96" style="0" width="60"/>
  </cols>
  <sheetData>
    <row r="1" customFormat="false" ht="15" hidden="false" customHeight="true" outlineLevel="0" collapsed="false">
      <c r="CF1" s="1" t="s">
        <v>0</v>
      </c>
    </row>
    <row r="2" customFormat="false" ht="21" hidden="false" customHeight="true" outlineLevel="0" collapsed="false">
      <c r="B2" s="2" t="s">
        <v>1</v>
      </c>
      <c r="CF2" s="3" t="s">
        <v>2</v>
      </c>
    </row>
    <row r="3" customFormat="false" ht="15" hidden="false" customHeight="true" outlineLevel="0" collapsed="false">
      <c r="B3" s="4" t="s">
        <v>3</v>
      </c>
    </row>
    <row r="4" customFormat="false" ht="15" hidden="false" customHeight="true" outlineLevel="0" collapsed="false">
      <c r="B4" s="5" t="s">
        <v>4</v>
      </c>
    </row>
    <row r="5" customFormat="false" ht="15" hidden="false" customHeight="true" outlineLevel="0" collapsed="false">
      <c r="BY5" s="6"/>
      <c r="BZ5" s="6"/>
      <c r="CA5" s="6"/>
      <c r="CB5" s="6"/>
      <c r="CC5" s="6"/>
      <c r="CD5" s="6"/>
      <c r="CE5" s="6"/>
      <c r="CH5" s="7" t="s">
        <v>5</v>
      </c>
      <c r="CI5" s="7" t="s">
        <v>6</v>
      </c>
      <c r="CJ5" s="7" t="s">
        <v>6</v>
      </c>
      <c r="CK5" s="7" t="s">
        <v>6</v>
      </c>
    </row>
    <row r="6" customFormat="false" ht="15" hidden="false" customHeight="tru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n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 t="n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 t="n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 t="n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 t="n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 t="n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 t="n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 t="n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 t="n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 t="n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 t="n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 t="n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 t="n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H6" s="7" t="s">
        <v>70</v>
      </c>
      <c r="CI6" s="7" t="s">
        <v>70</v>
      </c>
      <c r="CJ6" s="7" t="s">
        <v>71</v>
      </c>
      <c r="CK6" s="7" t="s">
        <v>72</v>
      </c>
    </row>
    <row r="7" customFormat="false" ht="15" hidden="false" customHeight="true" outlineLevel="0" collapsed="false">
      <c r="CH7" s="10" t="s">
        <v>73</v>
      </c>
      <c r="CI7" s="10" t="s">
        <v>74</v>
      </c>
      <c r="CJ7" s="10" t="s">
        <v>75</v>
      </c>
      <c r="CK7" s="10" t="s">
        <v>76</v>
      </c>
    </row>
    <row r="8" customFormat="false" ht="15" hidden="false" customHeight="true" outlineLevel="0" collapsed="false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customFormat="false" ht="15" hidden="false" customHeight="true" outlineLevel="0" collapsed="false">
      <c r="CN9" s="12" t="s">
        <v>79</v>
      </c>
      <c r="CO9" s="13" t="s">
        <v>80</v>
      </c>
      <c r="CP9" s="13" t="s">
        <v>2</v>
      </c>
      <c r="CQ9" s="13" t="s">
        <v>81</v>
      </c>
      <c r="CR9" s="14" t="s">
        <v>82</v>
      </c>
    </row>
    <row r="10" customFormat="false" ht="15" hidden="false" customHeight="true" outlineLevel="0" collapsed="false">
      <c r="B10" s="15" t="s">
        <v>83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6" t="s">
        <v>84</v>
      </c>
    </row>
    <row r="11" customFormat="false" ht="15" hidden="false" customHeight="true" outlineLevel="0" collapsed="false">
      <c r="B11" s="17" t="s">
        <v>85</v>
      </c>
      <c r="C11" s="18" t="n">
        <v>252</v>
      </c>
      <c r="D11" s="18" t="n">
        <v>253</v>
      </c>
      <c r="E11" s="18" t="n">
        <v>254</v>
      </c>
      <c r="F11" s="18" t="n">
        <v>253</v>
      </c>
      <c r="G11" s="18" t="n">
        <v>252</v>
      </c>
      <c r="H11" s="18" t="n">
        <v>253</v>
      </c>
      <c r="I11" s="18" t="n">
        <v>253</v>
      </c>
      <c r="J11" s="18" t="n">
        <v>63</v>
      </c>
      <c r="K11" s="18" t="n">
        <v>64</v>
      </c>
      <c r="L11" s="18" t="n">
        <v>64</v>
      </c>
      <c r="M11" s="18" t="n">
        <v>62</v>
      </c>
      <c r="N11" s="18" t="n">
        <v>253</v>
      </c>
      <c r="O11" s="18" t="n">
        <v>63</v>
      </c>
      <c r="P11" s="18" t="n">
        <v>64</v>
      </c>
      <c r="Q11" s="18" t="n">
        <v>64</v>
      </c>
      <c r="R11" s="18" t="n">
        <v>62</v>
      </c>
      <c r="S11" s="18" t="n">
        <v>253</v>
      </c>
      <c r="T11" s="18" t="n">
        <v>63</v>
      </c>
      <c r="U11" s="18" t="n">
        <v>64</v>
      </c>
      <c r="V11" s="18" t="n">
        <v>64</v>
      </c>
      <c r="W11" s="18" t="n">
        <v>62</v>
      </c>
      <c r="X11" s="18" t="n">
        <v>253</v>
      </c>
      <c r="Y11" s="18" t="n">
        <v>64</v>
      </c>
      <c r="Z11" s="18" t="n">
        <v>64</v>
      </c>
      <c r="AA11" s="18" t="n">
        <v>64</v>
      </c>
      <c r="AB11" s="18" t="n">
        <v>61</v>
      </c>
      <c r="AC11" s="18" t="n">
        <v>253</v>
      </c>
      <c r="AD11" s="18" t="n">
        <v>64</v>
      </c>
      <c r="AE11" s="18" t="n">
        <v>64</v>
      </c>
      <c r="AF11" s="18" t="n">
        <v>63</v>
      </c>
      <c r="AG11" s="18" t="n">
        <v>61</v>
      </c>
      <c r="AH11" s="18" t="n">
        <v>252</v>
      </c>
      <c r="AI11" s="18" t="n">
        <v>64</v>
      </c>
      <c r="AJ11" s="18" t="n">
        <v>64</v>
      </c>
      <c r="AK11" s="18" t="n">
        <v>63</v>
      </c>
      <c r="AL11" s="18" t="n">
        <v>62</v>
      </c>
      <c r="AM11" s="18" t="n">
        <v>253</v>
      </c>
      <c r="AN11" s="18" t="n">
        <v>63</v>
      </c>
      <c r="AO11" s="18" t="n">
        <v>64</v>
      </c>
      <c r="AP11" s="18" t="n">
        <v>64</v>
      </c>
      <c r="AQ11" s="18" t="n">
        <v>62</v>
      </c>
      <c r="AR11" s="18" t="n">
        <v>253</v>
      </c>
      <c r="AS11" s="18" t="n">
        <v>64</v>
      </c>
      <c r="AT11" s="18" t="n">
        <v>64</v>
      </c>
      <c r="AU11" s="18" t="n">
        <v>64</v>
      </c>
      <c r="AV11" s="18" t="n">
        <v>62</v>
      </c>
      <c r="AW11" s="18" t="n">
        <v>254</v>
      </c>
      <c r="AX11" s="18" t="n">
        <v>63</v>
      </c>
      <c r="AY11" s="18" t="n">
        <v>64</v>
      </c>
      <c r="AZ11" s="18" t="n">
        <v>64</v>
      </c>
      <c r="BA11" s="18" t="n">
        <v>61</v>
      </c>
      <c r="BB11" s="18" t="n">
        <v>252</v>
      </c>
      <c r="BC11" s="18" t="n">
        <v>64</v>
      </c>
      <c r="BD11" s="18" t="n">
        <v>64</v>
      </c>
      <c r="BE11" s="18" t="n">
        <v>64</v>
      </c>
      <c r="BF11" s="18" t="n">
        <v>61</v>
      </c>
      <c r="BG11" s="18" t="n">
        <v>253</v>
      </c>
      <c r="BH11" s="18" t="n">
        <v>64</v>
      </c>
      <c r="BI11" s="18" t="n">
        <v>64</v>
      </c>
      <c r="BJ11" s="18" t="n">
        <v>63</v>
      </c>
      <c r="BK11" s="18" t="n">
        <v>61</v>
      </c>
      <c r="BL11" s="18" t="n">
        <v>252</v>
      </c>
      <c r="BM11" s="18" t="n">
        <v>64</v>
      </c>
      <c r="BN11" s="18" t="n">
        <v>64</v>
      </c>
      <c r="BO11" s="18" t="n">
        <v>64</v>
      </c>
      <c r="BP11" s="18" t="n">
        <v>62</v>
      </c>
      <c r="BQ11" s="18" t="n">
        <v>254</v>
      </c>
      <c r="BR11" s="18" t="n">
        <v>63</v>
      </c>
      <c r="BS11" s="18" t="n">
        <v>64</v>
      </c>
      <c r="BT11" s="18" t="n">
        <v>64</v>
      </c>
      <c r="BU11" s="18" t="n">
        <v>62</v>
      </c>
      <c r="BV11" s="18" t="n">
        <v>253</v>
      </c>
      <c r="BW11" s="18" t="n">
        <v>63</v>
      </c>
      <c r="BX11" s="18" t="n">
        <v>64</v>
      </c>
      <c r="BY11" s="19" t="n">
        <v>64</v>
      </c>
      <c r="BZ11" s="19" t="n">
        <v>62</v>
      </c>
      <c r="CA11" s="20" t="n">
        <f aca="false">SUM(BW11,BX11,BY11,BZ11)</f>
        <v>253</v>
      </c>
      <c r="CB11" s="19" t="n">
        <v>253</v>
      </c>
      <c r="CC11" s="19" t="n">
        <v>253</v>
      </c>
      <c r="CD11" s="19" t="n">
        <v>253</v>
      </c>
      <c r="CE11" s="19" t="n">
        <v>253</v>
      </c>
      <c r="CF11" s="21" t="s">
        <v>86</v>
      </c>
      <c r="CN11" s="16" t="s">
        <v>87</v>
      </c>
      <c r="CO11" s="13" t="s">
        <v>80</v>
      </c>
      <c r="CP11" s="13" t="s">
        <v>2</v>
      </c>
      <c r="CQ11" s="13" t="s">
        <v>81</v>
      </c>
    </row>
    <row r="12" customFormat="false" ht="15" hidden="false" customHeight="true" outlineLevel="0" collapsed="false">
      <c r="B12" s="22" t="s">
        <v>88</v>
      </c>
      <c r="C12" s="23" t="n">
        <f aca="false">IF(AND(ISNUMBER(C14),ISNUMBER(C11)),IFERROR(C14/C11,""),"")</f>
        <v>13.7301587301587</v>
      </c>
      <c r="D12" s="23" t="n">
        <f aca="false">IF(AND(ISNUMBER(D14),ISNUMBER(D11)),IFERROR(D14/D11,""),"")</f>
        <v>14.99604743083</v>
      </c>
      <c r="E12" s="23" t="n">
        <f aca="false">IF(AND(ISNUMBER(E14),ISNUMBER(E11)),IFERROR(E14/E11,""),"")</f>
        <v>14.5511811023622</v>
      </c>
      <c r="F12" s="23" t="n">
        <f aca="false">IF(AND(ISNUMBER(F14),ISNUMBER(F11)),IFERROR(F14/F11,""),"")</f>
        <v>13.7391304347826</v>
      </c>
      <c r="G12" s="23" t="n">
        <f aca="false">IF(AND(ISNUMBER(G14),ISNUMBER(G11)),IFERROR(G14/G11,""),"")</f>
        <v>14.1388888888889</v>
      </c>
      <c r="H12" s="23" t="n">
        <f aca="false">IF(AND(ISNUMBER(H14),ISNUMBER(H11)),IFERROR(H14/H11,""),"")</f>
        <v>14.5810276679842</v>
      </c>
      <c r="I12" s="23" t="n">
        <f aca="false">IF(AND(ISNUMBER(I14),ISNUMBER(I11)),IFERROR(I14/I11,""),"")</f>
        <v>14.5454545454545</v>
      </c>
      <c r="J12" s="23" t="n">
        <f aca="false">IF(AND(ISNUMBER(J14),ISNUMBER(J11)),IFERROR(J14/J11,""),"")</f>
        <v>14.2222222222222</v>
      </c>
      <c r="K12" s="23" t="n">
        <f aca="false">IF(AND(ISNUMBER(K14),ISNUMBER(K11)),IFERROR(K14/K11,""),"")</f>
        <v>14.921875</v>
      </c>
      <c r="L12" s="23" t="n">
        <f aca="false">IF(AND(ISNUMBER(L14),ISNUMBER(L11)),IFERROR(L14/L11,""),"")</f>
        <v>14.5625</v>
      </c>
      <c r="M12" s="23" t="n">
        <f aca="false">IF(AND(ISNUMBER(M14),ISNUMBER(M11)),IFERROR(M14/M11,""),"")</f>
        <v>14.3225806451613</v>
      </c>
      <c r="N12" s="23" t="n">
        <f aca="false">IF(AND(ISNUMBER(N14),ISNUMBER(N11)),IFERROR(N14/N11,""),"")</f>
        <v>14.5098814229249</v>
      </c>
      <c r="O12" s="23" t="n">
        <f aca="false">IF(AND(ISNUMBER(O14),ISNUMBER(O11)),IFERROR(O14/O11,""),"")</f>
        <v>15.031746031746</v>
      </c>
      <c r="P12" s="23" t="n">
        <f aca="false">IF(AND(ISNUMBER(P14),ISNUMBER(P11)),IFERROR(P14/P11,""),"")</f>
        <v>15.953125</v>
      </c>
      <c r="Q12" s="23" t="n">
        <f aca="false">IF(AND(ISNUMBER(Q14),ISNUMBER(Q11)),IFERROR(Q14/Q11,""),"")</f>
        <v>15.75</v>
      </c>
      <c r="R12" s="23" t="n">
        <f aca="false">IF(AND(ISNUMBER(R14),ISNUMBER(R11)),IFERROR(R14/R11,""),"")</f>
        <v>14.9354838709677</v>
      </c>
      <c r="S12" s="23" t="n">
        <f aca="false">IF(AND(ISNUMBER(S14),ISNUMBER(S11)),IFERROR(S14/S11,""),"")</f>
        <v>15.4229249011858</v>
      </c>
      <c r="T12" s="23" t="n">
        <f aca="false">IF(AND(ISNUMBER(T14),ISNUMBER(T11)),IFERROR(T14/T11,""),"")</f>
        <v>14.031746031746</v>
      </c>
      <c r="U12" s="23" t="n">
        <f aca="false">IF(AND(ISNUMBER(U14),ISNUMBER(U11)),IFERROR(U14/U11,""),"")</f>
        <v>15</v>
      </c>
      <c r="V12" s="23" t="n">
        <f aca="false">IF(AND(ISNUMBER(V14),ISNUMBER(V11)),IFERROR(V14/V11,""),"")</f>
        <v>14.6875</v>
      </c>
      <c r="W12" s="23" t="n">
        <f aca="false">IF(AND(ISNUMBER(W14),ISNUMBER(W11)),IFERROR(W14/W11,""),"")</f>
        <v>13.6129032258065</v>
      </c>
      <c r="X12" s="23" t="n">
        <f aca="false">IF(AND(ISNUMBER(X14),ISNUMBER(X11)),IFERROR(X14/X11,""),"")</f>
        <v>14.3399209486166</v>
      </c>
      <c r="Y12" s="23" t="n">
        <f aca="false">IF(AND(ISNUMBER(Y14),ISNUMBER(Y11)),IFERROR(Y14/Y11,""),"")</f>
        <v>13.5625</v>
      </c>
      <c r="Z12" s="23" t="n">
        <f aca="false">IF(AND(ISNUMBER(Z14),ISNUMBER(Z11)),IFERROR(Z14/Z11,""),"")</f>
        <v>14.359375</v>
      </c>
      <c r="AA12" s="23" t="n">
        <f aca="false">IF(AND(ISNUMBER(AA14),ISNUMBER(AA11)),IFERROR(AA14/AA11,""),"")</f>
        <v>14.265625</v>
      </c>
      <c r="AB12" s="23" t="n">
        <f aca="false">IF(AND(ISNUMBER(AB14),ISNUMBER(AB11)),IFERROR(AB14/AB11,""),"")</f>
        <v>13.8032786885246</v>
      </c>
      <c r="AC12" s="23" t="n">
        <f aca="false">IF(AND(ISNUMBER(AC14),ISNUMBER(AC11)),IFERROR(AC14/AC11,""),"")</f>
        <v>13.99604743083</v>
      </c>
      <c r="AD12" s="23" t="n">
        <f aca="false">IF(AND(ISNUMBER(AD14),ISNUMBER(AD11)),IFERROR(AD14/AD11,""),"")</f>
        <v>13.828125</v>
      </c>
      <c r="AE12" s="23" t="n">
        <f aca="false">IF(AND(ISNUMBER(AE14),ISNUMBER(AE11)),IFERROR(AE14/AE11,""),"")</f>
        <v>15.375</v>
      </c>
      <c r="AF12" s="23" t="n">
        <f aca="false">IF(AND(ISNUMBER(AF14),ISNUMBER(AF11)),IFERROR(AF14/AF11,""),"")</f>
        <v>14.7777777777778</v>
      </c>
      <c r="AG12" s="23" t="n">
        <f aca="false">IF(AND(ISNUMBER(AG14),ISNUMBER(AG11)),IFERROR(AG14/AG11,""),"")</f>
        <v>14.9508196721311</v>
      </c>
      <c r="AH12" s="23" t="n">
        <f aca="false">IF(AND(ISNUMBER(AH14),ISNUMBER(AH11)),IFERROR(AH14/AH11,""),"")</f>
        <v>14.7261904761905</v>
      </c>
      <c r="AI12" s="23" t="n">
        <f aca="false">IF(AND(ISNUMBER(AI14),ISNUMBER(AI11)),IFERROR(AI14/AI11,""),"")</f>
        <v>18.734375</v>
      </c>
      <c r="AJ12" s="23" t="n">
        <f aca="false">IF(AND(ISNUMBER(AJ14),ISNUMBER(AJ11)),IFERROR(AJ14/AJ11,""),"")</f>
        <v>19.96875</v>
      </c>
      <c r="AK12" s="23" t="n">
        <f aca="false">IF(AND(ISNUMBER(AK14),ISNUMBER(AK11)),IFERROR(AK14/AK11,""),"")</f>
        <v>19.1746031746032</v>
      </c>
      <c r="AL12" s="23" t="n">
        <f aca="false">IF(AND(ISNUMBER(AL14),ISNUMBER(AL11)),IFERROR(AL14/AL11,""),"")</f>
        <v>17.9838709677419</v>
      </c>
      <c r="AM12" s="23" t="n">
        <f aca="false">IF(AND(ISNUMBER(AM14),ISNUMBER(AM11)),IFERROR(AM14/AM11,""),"")</f>
        <v>18.9762845849802</v>
      </c>
      <c r="AN12" s="23" t="n">
        <f aca="false">IF(AND(ISNUMBER(AN14),ISNUMBER(AN11)),IFERROR(AN14/AN11,""),"")</f>
        <v>18.0793650793651</v>
      </c>
      <c r="AO12" s="23" t="n">
        <f aca="false">IF(AND(ISNUMBER(AO14),ISNUMBER(AO11)),IFERROR(AO14/AO11,""),"")</f>
        <v>19.59375</v>
      </c>
      <c r="AP12" s="23" t="n">
        <f aca="false">IF(AND(ISNUMBER(AP14),ISNUMBER(AP11)),IFERROR(AP14/AP11,""),"")</f>
        <v>19.734375</v>
      </c>
      <c r="AQ12" s="23" t="n">
        <f aca="false">IF(AND(ISNUMBER(AQ14),ISNUMBER(AQ11)),IFERROR(AQ14/AQ11,""),"")</f>
        <v>18.7741935483871</v>
      </c>
      <c r="AR12" s="23" t="n">
        <f aca="false">IF(AND(ISNUMBER(AR14),ISNUMBER(AR11)),IFERROR(AR14/AR11,""),"")</f>
        <v>19.0513833992095</v>
      </c>
      <c r="AS12" s="23" t="n">
        <f aca="false">IF(AND(ISNUMBER(AS14),ISNUMBER(AS11)),IFERROR(AS14/AS11,""),"")</f>
        <v>18.796875</v>
      </c>
      <c r="AT12" s="23" t="n">
        <f aca="false">IF(AND(ISNUMBER(AT14),ISNUMBER(AT11)),IFERROR(AT14/AT11,""),"")</f>
        <v>17.84375</v>
      </c>
      <c r="AU12" s="23" t="n">
        <f aca="false">IF(AND(ISNUMBER(AU14),ISNUMBER(AU11)),IFERROR(AU14/AU11,""),"")</f>
        <v>19.734375</v>
      </c>
      <c r="AV12" s="23" t="n">
        <f aca="false">IF(AND(ISNUMBER(AV14),ISNUMBER(AV11)),IFERROR(AV14/AV11,""),"")</f>
        <v>19.8870967741935</v>
      </c>
      <c r="AW12" s="23" t="n">
        <f aca="false">IF(AND(ISNUMBER(AW14),ISNUMBER(AW11)),IFERROR(AW14/AW11,""),"")</f>
        <v>19.0629921259843</v>
      </c>
      <c r="AX12" s="23" t="n">
        <f aca="false">IF(AND(ISNUMBER(AX14),ISNUMBER(AX11)),IFERROR(AX14/AX11,""),"")</f>
        <v>19.7936507936508</v>
      </c>
      <c r="AY12" s="23" t="n">
        <f aca="false">IF(AND(ISNUMBER(AY14),ISNUMBER(AY11)),IFERROR(AY14/AY11,""),"")</f>
        <v>21.96875</v>
      </c>
      <c r="AZ12" s="23" t="n">
        <f aca="false">IF(AND(ISNUMBER(AZ14),ISNUMBER(AZ11)),IFERROR(AZ14/AZ11,""),"")</f>
        <v>21.90625</v>
      </c>
      <c r="BA12" s="23" t="n">
        <f aca="false">IF(AND(ISNUMBER(BA14),ISNUMBER(BA11)),IFERROR(BA14/BA11,""),"")</f>
        <v>22.0655737704918</v>
      </c>
      <c r="BB12" s="23" t="n">
        <f aca="false">IF(AND(ISNUMBER(BB14),ISNUMBER(BB11)),IFERROR(BB14/BB11,""),"")</f>
        <v>21.4325396825397</v>
      </c>
      <c r="BC12" s="23" t="n">
        <f aca="false">IF(AND(ISNUMBER(BC14),ISNUMBER(BC11)),IFERROR(BC14/BC11,""),"")</f>
        <v>21.671875</v>
      </c>
      <c r="BD12" s="23" t="n">
        <f aca="false">IF(AND(ISNUMBER(BD14),ISNUMBER(BD11)),IFERROR(BD14/BD11,""),"")</f>
        <v>22.59375</v>
      </c>
      <c r="BE12" s="23" t="n">
        <f aca="false">IF(AND(ISNUMBER(BE14),ISNUMBER(BE11)),IFERROR(BE14/BE11,""),"")</f>
        <v>21.828125</v>
      </c>
      <c r="BF12" s="23" t="n">
        <f aca="false">IF(AND(ISNUMBER(BF14),ISNUMBER(BF11)),IFERROR(BF14/BF11,""),"")</f>
        <v>20.3770491803279</v>
      </c>
      <c r="BG12" s="23" t="n">
        <f aca="false">IF(AND(ISNUMBER(BG14),ISNUMBER(BG11)),IFERROR(BG14/BG11,""),"")</f>
        <v>21.6324110671937</v>
      </c>
      <c r="BH12" s="23" t="n">
        <f aca="false">IF(AND(ISNUMBER(BH14),ISNUMBER(BH11)),IFERROR(BH14/BH11,""),"")</f>
        <v>20.484375</v>
      </c>
      <c r="BI12" s="23" t="n">
        <f aca="false">IF(AND(ISNUMBER(BI14),ISNUMBER(BI11)),IFERROR(BI14/BI11,""),"")</f>
        <v>22.203125</v>
      </c>
      <c r="BJ12" s="23" t="n">
        <f aca="false">IF(AND(ISNUMBER(BJ14),ISNUMBER(BJ11)),IFERROR(BJ14/BJ11,""),"")</f>
        <v>23.2857142857143</v>
      </c>
      <c r="BK12" s="23" t="n">
        <f aca="false">IF(AND(ISNUMBER(BK14),ISNUMBER(BK11)),IFERROR(BK14/BK11,""),"")</f>
        <v>22.0491803278689</v>
      </c>
      <c r="BL12" s="23" t="n">
        <f aca="false">IF(AND(ISNUMBER(BL14),ISNUMBER(BL11)),IFERROR(BL14/BL11,""),"")</f>
        <v>21.9960317460317</v>
      </c>
      <c r="BM12" s="23" t="n">
        <f aca="false">IF(AND(ISNUMBER(BM14),ISNUMBER(BM11)),IFERROR(BM14/BM11,""),"")</f>
        <v>21.75</v>
      </c>
      <c r="BN12" s="23" t="n">
        <f aca="false">IF(AND(ISNUMBER(BN14),ISNUMBER(BN11)),IFERROR(BN14/BN11,""),"")</f>
        <v>24.359375</v>
      </c>
      <c r="BO12" s="23" t="n">
        <f aca="false">IF(AND(ISNUMBER(BO14),ISNUMBER(BO11)),IFERROR(BO14/BO11,""),"")</f>
        <v>25.078125</v>
      </c>
      <c r="BP12" s="23" t="n">
        <f aca="false">IF(AND(ISNUMBER(BP14),ISNUMBER(BP11)),IFERROR(BP14/BP11,""),"")</f>
        <v>23.8870967741935</v>
      </c>
      <c r="BQ12" s="23" t="n">
        <f aca="false">IF(AND(ISNUMBER(BQ14),ISNUMBER(BQ11)),IFERROR(BQ14/BQ11,""),"")</f>
        <v>23.7677165354331</v>
      </c>
      <c r="BR12" s="23" t="n">
        <f aca="false">IF(AND(ISNUMBER(BR14),ISNUMBER(BR11)),IFERROR(BR14/BR11,""),"")</f>
        <v>24.5238095238095</v>
      </c>
      <c r="BS12" s="23" t="n">
        <f aca="false">IF(AND(ISNUMBER(BS14),ISNUMBER(BS11)),IFERROR(BS14/BS11,""),"")</f>
        <v>24.625</v>
      </c>
      <c r="BT12" s="23" t="n">
        <f aca="false">IF(AND(ISNUMBER(BT14),ISNUMBER(BT11)),IFERROR(BT14/BT11,""),"")</f>
        <v>24.703125</v>
      </c>
      <c r="BU12" s="23" t="n">
        <f aca="false">IF(AND(ISNUMBER(BU14),ISNUMBER(BU11)),IFERROR(BU14/BU11,""),"")</f>
        <v>23.5322580645161</v>
      </c>
      <c r="BV12" s="23" t="n">
        <f aca="false">IF(AND(ISNUMBER(BV14),ISNUMBER(BV11)),IFERROR(BV14/BV11,""),"")</f>
        <v>24.3517786561265</v>
      </c>
      <c r="BW12" s="23" t="n">
        <f aca="false">IF(AND(ISNUMBER(BW14),ISNUMBER(BW11)),IFERROR(BW14/BW11,""),"")</f>
        <v>24.015873015873</v>
      </c>
      <c r="BX12" s="23" t="n">
        <f aca="false">IF(AND(ISNUMBER(BX14),ISNUMBER(BX11)),IFERROR(BX14/BX11,""),"")</f>
        <v>26.703125</v>
      </c>
      <c r="BY12" s="24" t="n">
        <f aca="false">BT12*(1+BY13)</f>
        <v>26.753484375</v>
      </c>
      <c r="BZ12" s="24" t="n">
        <f aca="false">BU12*(1+BZ13)</f>
        <v>25.1795161290323</v>
      </c>
      <c r="CA12" s="25" t="n">
        <f aca="false">IF(AND(ISNUMBER(CA14),ISNUMBER(CA11)),IFERROR(CA14/CA11,""),"")</f>
        <v>25.6733320158103</v>
      </c>
      <c r="CB12" s="25" t="n">
        <f aca="false">CA12*(1+CB13)</f>
        <v>26.9569986166008</v>
      </c>
      <c r="CC12" s="25" t="n">
        <f aca="false">CB12*(1+CC13)</f>
        <v>28.1700635543478</v>
      </c>
      <c r="CD12" s="25" t="n">
        <f aca="false">CC12*(1+CD13)</f>
        <v>29.2968660965217</v>
      </c>
      <c r="CE12" s="25" t="n">
        <f aca="false">CD12*(1+CE13)</f>
        <v>30.3222564099</v>
      </c>
      <c r="CF12" s="21"/>
      <c r="CN12" s="22" t="s">
        <v>89</v>
      </c>
      <c r="CO12" s="26" t="n">
        <v>150</v>
      </c>
      <c r="CP12" s="26" t="n">
        <v>100</v>
      </c>
      <c r="CQ12" s="26" t="n">
        <v>50</v>
      </c>
      <c r="CR12" s="14" t="s">
        <v>90</v>
      </c>
    </row>
    <row r="13" customFormat="false" ht="15" hidden="false" customHeight="true" outlineLevel="0" collapsed="false">
      <c r="B13" s="27" t="s">
        <v>91</v>
      </c>
      <c r="C13" s="28"/>
      <c r="D13" s="29" t="n">
        <f aca="false">IF(AND(ISNUMBER(D12),ISNUMBER(C12)),IFERROR(D12/C12-1,""),"")</f>
        <v>0.0921976741529393</v>
      </c>
      <c r="E13" s="29" t="n">
        <f aca="false">IF(AND(ISNUMBER(E12),ISNUMBER(D12)),IFERROR(E12/D12-1,""),"")</f>
        <v>-0.0296655722462735</v>
      </c>
      <c r="F13" s="29" t="n">
        <f aca="false">IF(AND(ISNUMBER(F12),ISNUMBER(E12)),IFERROR(F12/E12-1,""),"")</f>
        <v>-0.0558065123282515</v>
      </c>
      <c r="G13" s="29" t="n">
        <f aca="false">IF(AND(ISNUMBER(G12),ISNUMBER(F12)),IFERROR(G12/F12-1,""),"")</f>
        <v>0.0290963431786218</v>
      </c>
      <c r="H13" s="29" t="n">
        <f aca="false">IF(AND(ISNUMBER(H12),ISNUMBER(G12)),IFERROR(H12/G12-1,""),"")</f>
        <v>0.0312711120774671</v>
      </c>
      <c r="I13" s="29" t="n">
        <f aca="false">IF(AND(ISNUMBER(I12),ISNUMBER(H12)),IFERROR(I12/H12-1,""),"")</f>
        <v>-0.00243968555163998</v>
      </c>
      <c r="J13" s="28"/>
      <c r="K13" s="28"/>
      <c r="L13" s="28"/>
      <c r="M13" s="28"/>
      <c r="N13" s="29" t="n">
        <f aca="false">IF(AND(ISNUMBER(N12),ISNUMBER(I12)),IFERROR(N12/I12-1,""),"")</f>
        <v>-0.00244565217391302</v>
      </c>
      <c r="O13" s="29" t="n">
        <f aca="false">IF(AND(ISNUMBER(O12),ISNUMBER(J12)),IFERROR(O12/J12-1,""),"")</f>
        <v>0.056919642857143</v>
      </c>
      <c r="P13" s="29" t="n">
        <f aca="false">IF(AND(ISNUMBER(P12),ISNUMBER(K12)),IFERROR(P12/K12-1,""),"")</f>
        <v>0.0691099476439792</v>
      </c>
      <c r="Q13" s="29" t="n">
        <f aca="false">IF(AND(ISNUMBER(Q12),ISNUMBER(L12)),IFERROR(Q12/L12-1,""),"")</f>
        <v>0.0815450643776825</v>
      </c>
      <c r="R13" s="29" t="n">
        <f aca="false">IF(AND(ISNUMBER(R12),ISNUMBER(M12)),IFERROR(R12/M12-1,""),"")</f>
        <v>0.0427927927927929</v>
      </c>
      <c r="S13" s="29" t="n">
        <f aca="false">IF(AND(ISNUMBER(S12),ISNUMBER(N12)),IFERROR(S12/N12-1,""),"")</f>
        <v>0.0629256333424135</v>
      </c>
      <c r="T13" s="29" t="n">
        <f aca="false">IF(AND(ISNUMBER(T12),ISNUMBER(O12)),IFERROR(T12/O12-1,""),"")</f>
        <v>-0.0665258711721225</v>
      </c>
      <c r="U13" s="29" t="n">
        <f aca="false">IF(AND(ISNUMBER(U12),ISNUMBER(P12)),IFERROR(U12/P12-1,""),"")</f>
        <v>-0.059745347698335</v>
      </c>
      <c r="V13" s="29" t="n">
        <f aca="false">IF(AND(ISNUMBER(V12),ISNUMBER(Q12)),IFERROR(V12/Q12-1,""),"")</f>
        <v>-0.0674603174603174</v>
      </c>
      <c r="W13" s="29" t="n">
        <f aca="false">IF(AND(ISNUMBER(W12),ISNUMBER(R12)),IFERROR(W12/R12-1,""),"")</f>
        <v>-0.0885529157667386</v>
      </c>
      <c r="X13" s="29" t="n">
        <f aca="false">IF(AND(ISNUMBER(X12),ISNUMBER(S12)),IFERROR(X12/S12-1,""),"")</f>
        <v>-0.070220399794977</v>
      </c>
      <c r="Y13" s="29" t="n">
        <f aca="false">IF(AND(ISNUMBER(Y12),ISNUMBER(T12)),IFERROR(Y12/T12-1,""),"")</f>
        <v>-0.033441742081448</v>
      </c>
      <c r="Z13" s="29" t="n">
        <f aca="false">IF(AND(ISNUMBER(Z12),ISNUMBER(U12)),IFERROR(Z12/U12-1,""),"")</f>
        <v>-0.0427083333333334</v>
      </c>
      <c r="AA13" s="29" t="n">
        <f aca="false">IF(AND(ISNUMBER(AA12),ISNUMBER(V12)),IFERROR(AA12/V12-1,""),"")</f>
        <v>-0.0287234042553192</v>
      </c>
      <c r="AB13" s="29" t="n">
        <f aca="false">IF(AND(ISNUMBER(AB12),ISNUMBER(W12)),IFERROR(AB12/W12-1,""),"")</f>
        <v>0.0139849273560717</v>
      </c>
      <c r="AC13" s="29" t="n">
        <f aca="false">IF(AND(ISNUMBER(AC12),ISNUMBER(X12)),IFERROR(AC12/X12-1,""),"")</f>
        <v>-0.0239801543550167</v>
      </c>
      <c r="AD13" s="29" t="n">
        <f aca="false">IF(AND(ISNUMBER(AD12),ISNUMBER(Y12)),IFERROR(AD12/Y12-1,""),"")</f>
        <v>0.0195852534562213</v>
      </c>
      <c r="AE13" s="29" t="n">
        <f aca="false">IF(AND(ISNUMBER(AE12),ISNUMBER(Z12)),IFERROR(AE12/Z12-1,""),"")</f>
        <v>0.0707290533188247</v>
      </c>
      <c r="AF13" s="29" t="n">
        <f aca="false">IF(AND(ISNUMBER(AF12),ISNUMBER(AA12)),IFERROR(AF12/AA12-1,""),"")</f>
        <v>0.0359011804794938</v>
      </c>
      <c r="AG13" s="29" t="n">
        <f aca="false">IF(AND(ISNUMBER(AG12),ISNUMBER(AB12)),IFERROR(AG12/AB12-1,""),"")</f>
        <v>0.0831353919239906</v>
      </c>
      <c r="AH13" s="29" t="n">
        <f aca="false">IF(AND(ISNUMBER(AH12),ISNUMBER(AC12)),IFERROR(AH12/AC12-1,""),"")</f>
        <v>0.0521678030150214</v>
      </c>
      <c r="AI13" s="29" t="n">
        <f aca="false">IF(AND(ISNUMBER(AI12),ISNUMBER(AD12)),IFERROR(AI12/AD12-1,""),"")</f>
        <v>0.354802259887006</v>
      </c>
      <c r="AJ13" s="29" t="n">
        <f aca="false">IF(AND(ISNUMBER(AJ12),ISNUMBER(AE12)),IFERROR(AJ12/AE12-1,""),"")</f>
        <v>0.298780487804878</v>
      </c>
      <c r="AK13" s="29" t="n">
        <f aca="false">IF(AND(ISNUMBER(AK12),ISNUMBER(AF12)),IFERROR(AK12/AF12-1,""),"")</f>
        <v>0.297529538131042</v>
      </c>
      <c r="AL13" s="29" t="n">
        <f aca="false">IF(AND(ISNUMBER(AL12),ISNUMBER(AG12)),IFERROR(AL12/AG12-1,""),"")</f>
        <v>0.202868562535371</v>
      </c>
      <c r="AM13" s="29" t="n">
        <f aca="false">IF(AND(ISNUMBER(AM12),ISNUMBER(AH12)),IFERROR(AM12/AH12-1,""),"")</f>
        <v>0.288607845706015</v>
      </c>
      <c r="AN13" s="29" t="n">
        <f aca="false">IF(AND(ISNUMBER(AN12),ISNUMBER(AI12)),IFERROR(AN12/AI12-1,""),"")</f>
        <v>-0.0349629982657506</v>
      </c>
      <c r="AO13" s="29" t="n">
        <f aca="false">IF(AND(ISNUMBER(AO12),ISNUMBER(AJ12)),IFERROR(AO12/AJ12-1,""),"")</f>
        <v>-0.0187793427230047</v>
      </c>
      <c r="AP13" s="29" t="n">
        <f aca="false">IF(AND(ISNUMBER(AP12),ISNUMBER(AK12)),IFERROR(AP12/AK12-1,""),"")</f>
        <v>0.029193398178808</v>
      </c>
      <c r="AQ13" s="29" t="n">
        <f aca="false">IF(AND(ISNUMBER(AQ12),ISNUMBER(AL12)),IFERROR(AQ12/AL12-1,""),"")</f>
        <v>0.0439461883408072</v>
      </c>
      <c r="AR13" s="29" t="n">
        <f aca="false">IF(AND(ISNUMBER(AR12),ISNUMBER(AM12)),IFERROR(AR12/AM12-1,""),"")</f>
        <v>0.00395750885232227</v>
      </c>
      <c r="AS13" s="29" t="n">
        <f aca="false">IF(AND(ISNUMBER(AS12),ISNUMBER(AN12)),IFERROR(AS12/AN12-1,""),"")</f>
        <v>0.0396866769095698</v>
      </c>
      <c r="AT13" s="29" t="n">
        <f aca="false">IF(AND(ISNUMBER(AT12),ISNUMBER(AO12)),IFERROR(AT12/AO12-1,""),"")</f>
        <v>-0.0893141945773525</v>
      </c>
      <c r="AU13" s="29" t="n">
        <f aca="false">IF(AND(ISNUMBER(AU12),ISNUMBER(AP12)),IFERROR(AU12/AP12-1,""),"")</f>
        <v>0</v>
      </c>
      <c r="AV13" s="29" t="n">
        <f aca="false">IF(AND(ISNUMBER(AV12),ISNUMBER(AQ12)),IFERROR(AV12/AQ12-1,""),"")</f>
        <v>0.0592783505154639</v>
      </c>
      <c r="AW13" s="29" t="n">
        <f aca="false">IF(AND(ISNUMBER(AW12),ISNUMBER(AR12)),IFERROR(AW12/AR12-1,""),"")</f>
        <v>0.000609337733198379</v>
      </c>
      <c r="AX13" s="29" t="n">
        <f aca="false">IF(AND(ISNUMBER(AX12),ISNUMBER(AS12)),IFERROR(AX12/AS12-1,""),"")</f>
        <v>0.0530288036522451</v>
      </c>
      <c r="AY13" s="29" t="n">
        <f aca="false">IF(AND(ISNUMBER(AY12),ISNUMBER(AT12)),IFERROR(AY12/AT12-1,""),"")</f>
        <v>0.231173380035026</v>
      </c>
      <c r="AZ13" s="29" t="n">
        <f aca="false">IF(AND(ISNUMBER(AZ12),ISNUMBER(AU12)),IFERROR(AZ12/AU12-1,""),"")</f>
        <v>0.110055423594616</v>
      </c>
      <c r="BA13" s="29" t="n">
        <f aca="false">IF(AND(ISNUMBER(BA12),ISNUMBER(AV12)),IFERROR(BA12/AV12-1,""),"")</f>
        <v>0.109542233390504</v>
      </c>
      <c r="BB13" s="29" t="n">
        <f aca="false">IF(AND(ISNUMBER(BB12),ISNUMBER(AW12)),IFERROR(BB12/AW12-1,""),"")</f>
        <v>0.124300925106377</v>
      </c>
      <c r="BC13" s="29" t="n">
        <f aca="false">IF(AND(ISNUMBER(BC12),ISNUMBER(AX12)),IFERROR(BC12/AX12-1,""),"")</f>
        <v>0.0948902365677626</v>
      </c>
      <c r="BD13" s="29" t="n">
        <f aca="false">IF(AND(ISNUMBER(BD12),ISNUMBER(AY12)),IFERROR(BD12/AY12-1,""),"")</f>
        <v>0.0284495021337126</v>
      </c>
      <c r="BE13" s="29" t="n">
        <f aca="false">IF(AND(ISNUMBER(BE12),ISNUMBER(AZ12)),IFERROR(BE12/AZ12-1,""),"")</f>
        <v>-0.00356633380884452</v>
      </c>
      <c r="BF13" s="29" t="n">
        <f aca="false">IF(AND(ISNUMBER(BF12),ISNUMBER(BA12)),IFERROR(BF12/BA12-1,""),"")</f>
        <v>-0.0765230312035661</v>
      </c>
      <c r="BG13" s="29" t="n">
        <f aca="false">IF(AND(ISNUMBER(BG12),ISNUMBER(BB12)),IFERROR(BG12/BB12-1,""),"")</f>
        <v>0.00932560432009</v>
      </c>
      <c r="BH13" s="29" t="n">
        <f aca="false">IF(AND(ISNUMBER(BH12),ISNUMBER(BC12)),IFERROR(BH12/BC12-1,""),"")</f>
        <v>-0.0547945205479452</v>
      </c>
      <c r="BI13" s="29" t="n">
        <f aca="false">IF(AND(ISNUMBER(BI12),ISNUMBER(BD12)),IFERROR(BI12/BD12-1,""),"")</f>
        <v>-0.0172890733056709</v>
      </c>
      <c r="BJ13" s="29" t="n">
        <f aca="false">IF(AND(ISNUMBER(BJ12),ISNUMBER(BE12)),IFERROR(BJ12/BE12-1,""),"")</f>
        <v>0.0667757439410983</v>
      </c>
      <c r="BK13" s="29" t="n">
        <f aca="false">IF(AND(ISNUMBER(BK12),ISNUMBER(BF12)),IFERROR(BK12/BF12-1,""),"")</f>
        <v>0.0820595333869671</v>
      </c>
      <c r="BL13" s="29" t="n">
        <f aca="false">IF(AND(ISNUMBER(BL12),ISNUMBER(BG12)),IFERROR(BL12/BG12-1,""),"")</f>
        <v>0.0168090684717763</v>
      </c>
      <c r="BM13" s="29" t="n">
        <f aca="false">IF(AND(ISNUMBER(BM12),ISNUMBER(BH12)),IFERROR(BM12/BH12-1,""),"")</f>
        <v>0.0617848970251715</v>
      </c>
      <c r="BN13" s="29" t="n">
        <f aca="false">IF(AND(ISNUMBER(BN12),ISNUMBER(BI12)),IFERROR(BN12/BI12-1,""),"")</f>
        <v>0.0971147079521464</v>
      </c>
      <c r="BO13" s="29" t="n">
        <f aca="false">IF(AND(ISNUMBER(BO12),ISNUMBER(BJ12)),IFERROR(BO12/BJ12-1,""),"")</f>
        <v>0.0769746932515338</v>
      </c>
      <c r="BP13" s="29" t="n">
        <f aca="false">IF(AND(ISNUMBER(BP12),ISNUMBER(BK12)),IFERROR(BP12/BK12-1,""),"")</f>
        <v>0.0833553183834992</v>
      </c>
      <c r="BQ13" s="29" t="n">
        <f aca="false">IF(AND(ISNUMBER(BQ12),ISNUMBER(BL12)),IFERROR(BQ12/BL12-1,""),"")</f>
        <v>0.0805456552280595</v>
      </c>
      <c r="BR13" s="29" t="n">
        <f aca="false">IF(AND(ISNUMBER(BR12),ISNUMBER(BM12)),IFERROR(BR12/BM12-1,""),"")</f>
        <v>0.127531472359059</v>
      </c>
      <c r="BS13" s="29" t="n">
        <f aca="false">IF(AND(ISNUMBER(BS12),ISNUMBER(BN12)),IFERROR(BS12/BN12-1,""),"")</f>
        <v>0.0109044259140474</v>
      </c>
      <c r="BT13" s="29" t="n">
        <f aca="false">IF(AND(ISNUMBER(BT12),ISNUMBER(BO12)),IFERROR(BT12/BO12-1,""),"")</f>
        <v>-0.0149532710280373</v>
      </c>
      <c r="BU13" s="29" t="n">
        <f aca="false">IF(AND(ISNUMBER(BU12),ISNUMBER(BP12)),IFERROR(BU12/BP12-1,""),"")</f>
        <v>-0.0148548278190412</v>
      </c>
      <c r="BV13" s="29" t="n">
        <f aca="false">IF(AND(ISNUMBER(BV12),ISNUMBER(BQ12)),IFERROR(BV12/BQ12-1,""),"")</f>
        <v>0.0245737582667096</v>
      </c>
      <c r="BW13" s="29" t="n">
        <f aca="false">IF(AND(ISNUMBER(BW12),ISNUMBER(BR12)),IFERROR(BW12/BR12-1,""),"")</f>
        <v>-0.0207119741100325</v>
      </c>
      <c r="BX13" s="29" t="n">
        <f aca="false">IF(AND(ISNUMBER(BX12),ISNUMBER(BS12)),IFERROR(BX12/BS12-1,""),"")</f>
        <v>0.0843908629441625</v>
      </c>
      <c r="BY13" s="30" t="n">
        <f aca="false">BY59</f>
        <v>0.083</v>
      </c>
      <c r="BZ13" s="30" t="n">
        <f aca="false">CHOOSE(MATCH($CF$2,{"Bull","Base","Bear"},0),$CO$16,$CP$16,$CQ$16)</f>
        <v>0.07</v>
      </c>
      <c r="CA13" s="30" t="n">
        <f aca="false">IF(AND(ISNUMBER(CA12),ISNUMBER(BV12)),IFERROR(CA12/BV12-1,""),"")</f>
        <v>0.0542692744684306</v>
      </c>
      <c r="CB13" s="30" t="n">
        <f aca="false">CHOOSE(MATCH($CF$2,{"Bull","Base","Bear"},0),$CO$36,$CP$36,$CQ$36)</f>
        <v>0.05</v>
      </c>
      <c r="CC13" s="30" t="n">
        <f aca="false">CHOOSE(MATCH($CF$2,{"Bull","Base","Bear"},0),$CO$37,$CP$37,$CQ$37)</f>
        <v>0.045</v>
      </c>
      <c r="CD13" s="30" t="n">
        <f aca="false">CHOOSE(MATCH($CF$2,{"Bull","Base","Bear"},0),$CO$38,$CP$38,$CQ$38)</f>
        <v>0.04</v>
      </c>
      <c r="CE13" s="30" t="n">
        <f aca="false">CHOOSE(MATCH($CF$2,{"Bull","Base","Bear"},0),$CO$39,$CP$39,$CQ$39)</f>
        <v>0.035</v>
      </c>
      <c r="CF13" s="21" t="s">
        <v>92</v>
      </c>
      <c r="CN13" s="22" t="s">
        <v>93</v>
      </c>
      <c r="CO13" s="26" t="n">
        <v>50</v>
      </c>
      <c r="CP13" s="26" t="n">
        <v>100</v>
      </c>
      <c r="CQ13" s="26" t="n">
        <v>150</v>
      </c>
      <c r="CR13" s="14" t="s">
        <v>94</v>
      </c>
    </row>
    <row r="14" customFormat="false" ht="15" hidden="false" customHeight="true" outlineLevel="0" collapsed="false">
      <c r="B14" s="17" t="s">
        <v>95</v>
      </c>
      <c r="C14" s="18" t="n">
        <v>3460</v>
      </c>
      <c r="D14" s="18" t="n">
        <v>3794</v>
      </c>
      <c r="E14" s="18" t="n">
        <v>3696</v>
      </c>
      <c r="F14" s="18" t="n">
        <v>3476</v>
      </c>
      <c r="G14" s="18" t="n">
        <v>3563</v>
      </c>
      <c r="H14" s="18" t="n">
        <v>3689</v>
      </c>
      <c r="I14" s="18" t="n">
        <v>3680</v>
      </c>
      <c r="J14" s="18" t="n">
        <v>896</v>
      </c>
      <c r="K14" s="18" t="n">
        <v>955</v>
      </c>
      <c r="L14" s="18" t="n">
        <v>932</v>
      </c>
      <c r="M14" s="18" t="n">
        <v>888</v>
      </c>
      <c r="N14" s="18" t="n">
        <v>3671</v>
      </c>
      <c r="O14" s="18" t="n">
        <v>947</v>
      </c>
      <c r="P14" s="18" t="n">
        <v>1021</v>
      </c>
      <c r="Q14" s="18" t="n">
        <v>1008</v>
      </c>
      <c r="R14" s="18" t="n">
        <v>926</v>
      </c>
      <c r="S14" s="18" t="n">
        <v>3902</v>
      </c>
      <c r="T14" s="18" t="n">
        <v>884</v>
      </c>
      <c r="U14" s="18" t="n">
        <v>960</v>
      </c>
      <c r="V14" s="18" t="n">
        <v>940</v>
      </c>
      <c r="W14" s="18" t="n">
        <v>844</v>
      </c>
      <c r="X14" s="18" t="n">
        <v>3628</v>
      </c>
      <c r="Y14" s="18" t="n">
        <v>868</v>
      </c>
      <c r="Z14" s="18" t="n">
        <v>919</v>
      </c>
      <c r="AA14" s="18" t="n">
        <v>913</v>
      </c>
      <c r="AB14" s="18" t="n">
        <v>842</v>
      </c>
      <c r="AC14" s="18" t="n">
        <v>3541</v>
      </c>
      <c r="AD14" s="18" t="n">
        <v>885</v>
      </c>
      <c r="AE14" s="18" t="n">
        <v>984</v>
      </c>
      <c r="AF14" s="18" t="n">
        <v>931</v>
      </c>
      <c r="AG14" s="18" t="n">
        <v>912</v>
      </c>
      <c r="AH14" s="18" t="n">
        <v>3711</v>
      </c>
      <c r="AI14" s="18" t="n">
        <v>1199</v>
      </c>
      <c r="AJ14" s="18" t="n">
        <v>1278</v>
      </c>
      <c r="AK14" s="18" t="n">
        <v>1208</v>
      </c>
      <c r="AL14" s="18" t="n">
        <v>1115</v>
      </c>
      <c r="AM14" s="18" t="n">
        <v>4801</v>
      </c>
      <c r="AN14" s="18" t="n">
        <v>1139</v>
      </c>
      <c r="AO14" s="18" t="n">
        <v>1254</v>
      </c>
      <c r="AP14" s="18" t="n">
        <v>1263</v>
      </c>
      <c r="AQ14" s="18" t="n">
        <v>1164</v>
      </c>
      <c r="AR14" s="18" t="n">
        <v>4820</v>
      </c>
      <c r="AS14" s="18" t="n">
        <v>1203</v>
      </c>
      <c r="AT14" s="18" t="n">
        <v>1142</v>
      </c>
      <c r="AU14" s="18" t="n">
        <v>1263</v>
      </c>
      <c r="AV14" s="18" t="n">
        <v>1233</v>
      </c>
      <c r="AW14" s="18" t="n">
        <v>4842</v>
      </c>
      <c r="AX14" s="18" t="n">
        <v>1247</v>
      </c>
      <c r="AY14" s="18" t="n">
        <v>1406</v>
      </c>
      <c r="AZ14" s="18" t="n">
        <v>1402</v>
      </c>
      <c r="BA14" s="18" t="n">
        <v>1346</v>
      </c>
      <c r="BB14" s="18" t="n">
        <v>5401</v>
      </c>
      <c r="BC14" s="18" t="n">
        <v>1387</v>
      </c>
      <c r="BD14" s="18" t="n">
        <v>1446</v>
      </c>
      <c r="BE14" s="18" t="n">
        <v>1397</v>
      </c>
      <c r="BF14" s="18" t="n">
        <v>1243</v>
      </c>
      <c r="BG14" s="18" t="n">
        <v>5473</v>
      </c>
      <c r="BH14" s="18" t="n">
        <v>1311</v>
      </c>
      <c r="BI14" s="18" t="n">
        <v>1421</v>
      </c>
      <c r="BJ14" s="18" t="n">
        <v>1467</v>
      </c>
      <c r="BK14" s="18" t="n">
        <v>1345</v>
      </c>
      <c r="BL14" s="18" t="n">
        <v>5543</v>
      </c>
      <c r="BM14" s="18" t="n">
        <v>1392</v>
      </c>
      <c r="BN14" s="18" t="n">
        <v>1559</v>
      </c>
      <c r="BO14" s="18" t="n">
        <v>1605</v>
      </c>
      <c r="BP14" s="18" t="n">
        <v>1481</v>
      </c>
      <c r="BQ14" s="18" t="n">
        <v>6037</v>
      </c>
      <c r="BR14" s="18" t="n">
        <v>1545</v>
      </c>
      <c r="BS14" s="18" t="n">
        <v>1576</v>
      </c>
      <c r="BT14" s="18" t="n">
        <v>1581</v>
      </c>
      <c r="BU14" s="18" t="n">
        <v>1459</v>
      </c>
      <c r="BV14" s="18" t="n">
        <v>6161</v>
      </c>
      <c r="BW14" s="18" t="n">
        <v>1513</v>
      </c>
      <c r="BX14" s="18" t="n">
        <v>1709</v>
      </c>
      <c r="BY14" s="20" t="n">
        <f aca="false">BY12*BY11</f>
        <v>1712.223</v>
      </c>
      <c r="BZ14" s="20" t="n">
        <f aca="false">BZ12*BZ11</f>
        <v>1561.13</v>
      </c>
      <c r="CA14" s="20" t="n">
        <f aca="false">SUM(BW14,BX14,BY14,BZ14)</f>
        <v>6495.353</v>
      </c>
      <c r="CB14" s="20" t="n">
        <f aca="false">CB12*CB11</f>
        <v>6820.12065</v>
      </c>
      <c r="CC14" s="20" t="n">
        <f aca="false">CC12*CC11</f>
        <v>7127.02607925</v>
      </c>
      <c r="CD14" s="20" t="n">
        <f aca="false">CD12*CD11</f>
        <v>7412.10712242</v>
      </c>
      <c r="CE14" s="20" t="n">
        <f aca="false">CE12*CE11</f>
        <v>7671.5308717047</v>
      </c>
      <c r="CF14" s="21"/>
      <c r="CH14" s="31" t="n">
        <f aca="false">IFERROR((CE14/BV14)^(1/5)-1,"n/m")</f>
        <v>0.0448312792454282</v>
      </c>
      <c r="CI14" s="31" t="n">
        <f aca="false">IFERROR((BV14/AW14)^(1/5)-1,"n/m")</f>
        <v>0.0493618827409028</v>
      </c>
      <c r="CJ14" s="31" t="n">
        <f aca="false">IFERROR((BV14/X14)^(1/10)-1,"n/m")</f>
        <v>0.0543829949973</v>
      </c>
      <c r="CK14" s="31" t="n">
        <f aca="false">IFERROR((BV14/C14)^(1/19)-1,"n/m")</f>
        <v>0.0308326452388183</v>
      </c>
      <c r="CN14" s="22" t="s">
        <v>96</v>
      </c>
      <c r="CO14" s="26" t="n">
        <v>400</v>
      </c>
      <c r="CP14" s="26" t="n">
        <v>375</v>
      </c>
      <c r="CQ14" s="26" t="n">
        <v>350</v>
      </c>
      <c r="CR14" s="14" t="s">
        <v>97</v>
      </c>
    </row>
    <row r="15" customFormat="false" ht="15" hidden="false" customHeight="true" outlineLevel="0" collapsed="false">
      <c r="B15" s="22" t="s">
        <v>98</v>
      </c>
      <c r="C15" s="32" t="n">
        <v>1120.46632124352</v>
      </c>
      <c r="D15" s="32" t="n">
        <v>1101.62601626016</v>
      </c>
      <c r="E15" s="32" t="n">
        <v>1101.6393442623</v>
      </c>
      <c r="F15" s="32" t="n">
        <v>1081.51835718731</v>
      </c>
      <c r="G15" s="32" t="n">
        <v>1113.61150179716</v>
      </c>
      <c r="H15" s="32" t="n">
        <v>1137.35162632958</v>
      </c>
      <c r="I15" s="32" t="n">
        <v>1169.1818903892</v>
      </c>
      <c r="J15" s="32" t="n">
        <v>1179</v>
      </c>
      <c r="K15" s="32" t="n">
        <v>1163</v>
      </c>
      <c r="L15" s="32" t="n">
        <v>1159</v>
      </c>
      <c r="M15" s="32" t="n">
        <v>1191</v>
      </c>
      <c r="N15" s="32" t="n">
        <v>1172.84345047923</v>
      </c>
      <c r="O15" s="32" t="n">
        <v>1195</v>
      </c>
      <c r="P15" s="32" t="n">
        <v>1179</v>
      </c>
      <c r="Q15" s="32" t="n">
        <v>1165</v>
      </c>
      <c r="R15" s="32" t="n">
        <v>1159</v>
      </c>
      <c r="S15" s="32" t="n">
        <v>1174</v>
      </c>
      <c r="T15" s="32" t="n">
        <v>1147</v>
      </c>
      <c r="U15" s="32" t="n">
        <v>1141</v>
      </c>
      <c r="V15" s="32" t="n">
        <v>1134</v>
      </c>
      <c r="W15" s="32" t="n">
        <v>1125</v>
      </c>
      <c r="X15" s="32" t="n">
        <v>1137</v>
      </c>
      <c r="Y15" s="32" t="n">
        <v>1118</v>
      </c>
      <c r="Z15" s="32" t="n">
        <v>1121</v>
      </c>
      <c r="AA15" s="32" t="n">
        <v>1114</v>
      </c>
      <c r="AB15" s="32" t="n">
        <v>1118</v>
      </c>
      <c r="AC15" s="32" t="n">
        <v>1118</v>
      </c>
      <c r="AD15" s="32" t="n">
        <v>1101</v>
      </c>
      <c r="AE15" s="32" t="n">
        <v>1118</v>
      </c>
      <c r="AF15" s="32" t="n">
        <v>1120</v>
      </c>
      <c r="AG15" s="32" t="n">
        <v>1114</v>
      </c>
      <c r="AH15" s="32" t="n">
        <v>1113</v>
      </c>
      <c r="AI15" s="32" t="n">
        <v>1355</v>
      </c>
      <c r="AJ15" s="32" t="n">
        <v>1370</v>
      </c>
      <c r="AK15" s="32" t="n">
        <v>1357</v>
      </c>
      <c r="AL15" s="32" t="n">
        <v>1322</v>
      </c>
      <c r="AM15" s="32" t="n">
        <v>1352</v>
      </c>
      <c r="AN15" s="32" t="n">
        <v>1308</v>
      </c>
      <c r="AO15" s="32" t="n">
        <v>1298</v>
      </c>
      <c r="AP15" s="32" t="n">
        <v>1302</v>
      </c>
      <c r="AQ15" s="32" t="n">
        <v>1297</v>
      </c>
      <c r="AR15" s="32" t="n">
        <v>1301</v>
      </c>
      <c r="AS15" s="32" t="n">
        <v>1331</v>
      </c>
      <c r="AT15" s="32" t="n">
        <v>1309</v>
      </c>
      <c r="AU15" s="32" t="n">
        <v>1289</v>
      </c>
      <c r="AV15" s="32" t="n">
        <v>1327</v>
      </c>
      <c r="AW15" s="32" t="n">
        <v>1314</v>
      </c>
      <c r="AX15" s="32" t="n">
        <v>1366</v>
      </c>
      <c r="AY15" s="32" t="n">
        <v>1397</v>
      </c>
      <c r="AZ15" s="32" t="n">
        <v>1400</v>
      </c>
      <c r="BA15" s="32" t="n">
        <v>1426</v>
      </c>
      <c r="BB15" s="32" t="n">
        <v>1397</v>
      </c>
      <c r="BC15" s="32" t="n">
        <v>1414</v>
      </c>
      <c r="BD15" s="32" t="n">
        <v>1412</v>
      </c>
      <c r="BE15" s="32" t="n">
        <v>1431</v>
      </c>
      <c r="BF15" s="32" t="n">
        <v>1433</v>
      </c>
      <c r="BG15" s="32" t="n">
        <v>1422</v>
      </c>
      <c r="BH15" s="32" t="n">
        <v>1439</v>
      </c>
      <c r="BI15" s="32" t="n">
        <v>1443</v>
      </c>
      <c r="BJ15" s="32" t="n">
        <v>1360</v>
      </c>
      <c r="BK15" s="32" t="n">
        <v>1314</v>
      </c>
      <c r="BL15" s="32" t="n">
        <v>1386</v>
      </c>
      <c r="BM15" s="32" t="n">
        <v>1321</v>
      </c>
      <c r="BN15" s="32" t="n">
        <v>1340</v>
      </c>
      <c r="BO15" s="32" t="n">
        <v>1349</v>
      </c>
      <c r="BP15" s="32" t="n">
        <v>1362</v>
      </c>
      <c r="BQ15" s="32" t="n">
        <v>1343</v>
      </c>
      <c r="BR15" s="32" t="n">
        <v>1424</v>
      </c>
      <c r="BS15" s="32" t="n">
        <v>1394</v>
      </c>
      <c r="BT15" s="32" t="n">
        <v>1355</v>
      </c>
      <c r="BU15" s="32" t="n">
        <v>1348</v>
      </c>
      <c r="BV15" s="32" t="n">
        <v>1380</v>
      </c>
      <c r="BW15" s="32" t="n">
        <v>1380</v>
      </c>
      <c r="BX15" s="32" t="n">
        <v>1448</v>
      </c>
      <c r="BY15" s="33" t="n">
        <f aca="false">BT15*(1+BY16)</f>
        <v>1452.56</v>
      </c>
      <c r="BZ15" s="33" t="n">
        <f aca="false">BU15*(1+BZ16)</f>
        <v>1415.4</v>
      </c>
      <c r="CA15" s="34" t="n">
        <f aca="false">IFERROR(CA14*2000/CA17,"")</f>
        <v>1424.97493996952</v>
      </c>
      <c r="CB15" s="34" t="n">
        <f aca="false">CA15*(1+CB16)</f>
        <v>1439.22468936922</v>
      </c>
      <c r="CC15" s="34" t="n">
        <f aca="false">CB15*(1+CC16)</f>
        <v>1446.42081281607</v>
      </c>
      <c r="CD15" s="34" t="n">
        <f aca="false">CC15*(1+CD16)</f>
        <v>1446.42081281607</v>
      </c>
      <c r="CE15" s="34" t="n">
        <f aca="false">CD15*(1+CE16)</f>
        <v>1446.42081281607</v>
      </c>
      <c r="CF15" s="21"/>
      <c r="CN15" s="22" t="s">
        <v>99</v>
      </c>
      <c r="CO15" s="35" t="n">
        <v>6.25</v>
      </c>
      <c r="CP15" s="35" t="n">
        <v>6.25</v>
      </c>
      <c r="CQ15" s="35" t="n">
        <v>6.25</v>
      </c>
      <c r="CR15" s="14" t="s">
        <v>100</v>
      </c>
    </row>
    <row r="16" customFormat="false" ht="15" hidden="false" customHeight="true" outlineLevel="0" collapsed="false">
      <c r="B16" s="27" t="s">
        <v>101</v>
      </c>
      <c r="C16" s="28"/>
      <c r="D16" s="29" t="n">
        <f aca="false">IF(AND(ISNUMBER(D15),ISNUMBER(C15)),IFERROR(D15/C15-1,""),"")</f>
        <v>-0.0168146999389063</v>
      </c>
      <c r="E16" s="29" t="n">
        <f aca="false">IF(AND(ISNUMBER(E15),ISNUMBER(D15)),IFERROR(E15/D15-1,""),"")</f>
        <v>1.20984816402991E-005</v>
      </c>
      <c r="F16" s="29" t="n">
        <f aca="false">IF(AND(ISNUMBER(F15),ISNUMBER(E15)),IFERROR(F15/E15-1,""),"")</f>
        <v>-0.0182645864817609</v>
      </c>
      <c r="G16" s="29" t="n">
        <f aca="false">IF(AND(ISNUMBER(G15),ISNUMBER(F15)),IFERROR(G15/F15-1,""),"")</f>
        <v>0.0296741561496139</v>
      </c>
      <c r="H16" s="29" t="n">
        <f aca="false">IF(AND(ISNUMBER(H15),ISNUMBER(G15)),IFERROR(H15/G15-1,""),"")</f>
        <v>0.0213181387711188</v>
      </c>
      <c r="I16" s="29" t="n">
        <f aca="false">IF(AND(ISNUMBER(I15),ISNUMBER(H15)),IFERROR(I15/H15-1,""),"")</f>
        <v>0.0279863002107252</v>
      </c>
      <c r="J16" s="28"/>
      <c r="K16" s="28"/>
      <c r="L16" s="28"/>
      <c r="M16" s="28"/>
      <c r="N16" s="29" t="n">
        <f aca="false">IF(AND(ISNUMBER(N15),ISNUMBER(I15)),IFERROR(N15/I15-1,""),"")</f>
        <v>0.00313172836505027</v>
      </c>
      <c r="O16" s="29" t="n">
        <f aca="false">IF(AND(ISNUMBER(O15),ISNUMBER(J15)),IFERROR(O15/J15-1,""),"")</f>
        <v>0.013570822731128</v>
      </c>
      <c r="P16" s="29" t="n">
        <f aca="false">IF(AND(ISNUMBER(P15),ISNUMBER(K15)),IFERROR(P15/K15-1,""),"")</f>
        <v>0.0137575236457437</v>
      </c>
      <c r="Q16" s="29" t="n">
        <f aca="false">IF(AND(ISNUMBER(Q15),ISNUMBER(L15)),IFERROR(Q15/L15-1,""),"")</f>
        <v>0.005176876617774</v>
      </c>
      <c r="R16" s="29" t="n">
        <f aca="false">IF(AND(ISNUMBER(R15),ISNUMBER(M15)),IFERROR(R15/M15-1,""),"")</f>
        <v>-0.0268681780016793</v>
      </c>
      <c r="S16" s="29" t="n">
        <f aca="false">IF(AND(ISNUMBER(S15),ISNUMBER(N15)),IFERROR(S15/N15-1,""),"")</f>
        <v>0.000986107327703767</v>
      </c>
      <c r="T16" s="29" t="n">
        <f aca="false">IF(AND(ISNUMBER(T15),ISNUMBER(O15)),IFERROR(T15/O15-1,""),"")</f>
        <v>-0.0401673640167364</v>
      </c>
      <c r="U16" s="29" t="n">
        <f aca="false">IF(AND(ISNUMBER(U15),ISNUMBER(P15)),IFERROR(U15/P15-1,""),"")</f>
        <v>-0.0322307039864291</v>
      </c>
      <c r="V16" s="29" t="n">
        <f aca="false">IF(AND(ISNUMBER(V15),ISNUMBER(Q15)),IFERROR(V15/Q15-1,""),"")</f>
        <v>-0.0266094420600859</v>
      </c>
      <c r="W16" s="29" t="n">
        <f aca="false">IF(AND(ISNUMBER(W15),ISNUMBER(R15)),IFERROR(W15/R15-1,""),"")</f>
        <v>-0.0293356341673857</v>
      </c>
      <c r="X16" s="29" t="n">
        <f aca="false">IF(AND(ISNUMBER(X15),ISNUMBER(S15)),IFERROR(X15/S15-1,""),"")</f>
        <v>-0.0315161839863714</v>
      </c>
      <c r="Y16" s="29" t="n">
        <f aca="false">IF(AND(ISNUMBER(Y15),ISNUMBER(T15)),IFERROR(Y15/T15-1,""),"")</f>
        <v>-0.025283347863993</v>
      </c>
      <c r="Z16" s="29" t="n">
        <f aca="false">IF(AND(ISNUMBER(Z15),ISNUMBER(U15)),IFERROR(Z15/U15-1,""),"")</f>
        <v>-0.0175284837861525</v>
      </c>
      <c r="AA16" s="29" t="n">
        <f aca="false">IF(AND(ISNUMBER(AA15),ISNUMBER(V15)),IFERROR(AA15/V15-1,""),"")</f>
        <v>-0.017636684303351</v>
      </c>
      <c r="AB16" s="29" t="n">
        <f aca="false">IF(AND(ISNUMBER(AB15),ISNUMBER(W15)),IFERROR(AB15/W15-1,""),"")</f>
        <v>-0.00622222222222224</v>
      </c>
      <c r="AC16" s="29" t="n">
        <f aca="false">IF(AND(ISNUMBER(AC15),ISNUMBER(X15)),IFERROR(AC15/X15-1,""),"")</f>
        <v>-0.0167106420404574</v>
      </c>
      <c r="AD16" s="29" t="n">
        <f aca="false">IF(AND(ISNUMBER(AD15),ISNUMBER(Y15)),IFERROR(AD15/Y15-1,""),"")</f>
        <v>-0.0152057245080501</v>
      </c>
      <c r="AE16" s="29" t="n">
        <f aca="false">IF(AND(ISNUMBER(AE15),ISNUMBER(Z15)),IFERROR(AE15/Z15-1,""),"")</f>
        <v>-0.00267618198037467</v>
      </c>
      <c r="AF16" s="29" t="n">
        <f aca="false">IF(AND(ISNUMBER(AF15),ISNUMBER(AA15)),IFERROR(AF15/AA15-1,""),"")</f>
        <v>0.00538599640933568</v>
      </c>
      <c r="AG16" s="29" t="n">
        <f aca="false">IF(AND(ISNUMBER(AG15),ISNUMBER(AB15)),IFERROR(AG15/AB15-1,""),"")</f>
        <v>-0.00357781753130593</v>
      </c>
      <c r="AH16" s="29" t="n">
        <f aca="false">IF(AND(ISNUMBER(AH15),ISNUMBER(AC15)),IFERROR(AH15/AC15-1,""),"")</f>
        <v>-0.00447227191413235</v>
      </c>
      <c r="AI16" s="29" t="n">
        <f aca="false">IF(AND(ISNUMBER(AI15),ISNUMBER(AD15)),IFERROR(AI15/AD15-1,""),"")</f>
        <v>0.230699364214351</v>
      </c>
      <c r="AJ16" s="29" t="n">
        <f aca="false">IF(AND(ISNUMBER(AJ15),ISNUMBER(AE15)),IFERROR(AJ15/AE15-1,""),"")</f>
        <v>0.225402504472272</v>
      </c>
      <c r="AK16" s="29" t="n">
        <f aca="false">IF(AND(ISNUMBER(AK15),ISNUMBER(AF15)),IFERROR(AK15/AF15-1,""),"")</f>
        <v>0.211607142857143</v>
      </c>
      <c r="AL16" s="29" t="n">
        <f aca="false">IF(AND(ISNUMBER(AL15),ISNUMBER(AG15)),IFERROR(AL15/AG15-1,""),"")</f>
        <v>0.186714542190305</v>
      </c>
      <c r="AM16" s="29" t="n">
        <f aca="false">IF(AND(ISNUMBER(AM15),ISNUMBER(AH15)),IFERROR(AM15/AH15-1,""),"")</f>
        <v>0.214734950584007</v>
      </c>
      <c r="AN16" s="29" t="n">
        <f aca="false">IF(AND(ISNUMBER(AN15),ISNUMBER(AI15)),IFERROR(AN15/AI15-1,""),"")</f>
        <v>-0.0346863468634686</v>
      </c>
      <c r="AO16" s="29" t="n">
        <f aca="false">IF(AND(ISNUMBER(AO15),ISNUMBER(AJ15)),IFERROR(AO15/AJ15-1,""),"")</f>
        <v>-0.0525547445255474</v>
      </c>
      <c r="AP16" s="29" t="n">
        <f aca="false">IF(AND(ISNUMBER(AP15),ISNUMBER(AK15)),IFERROR(AP15/AK15-1,""),"")</f>
        <v>-0.0405305821665438</v>
      </c>
      <c r="AQ16" s="29" t="n">
        <f aca="false">IF(AND(ISNUMBER(AQ15),ISNUMBER(AL15)),IFERROR(AQ15/AL15-1,""),"")</f>
        <v>-0.018910741301059</v>
      </c>
      <c r="AR16" s="29" t="n">
        <f aca="false">IF(AND(ISNUMBER(AR15),ISNUMBER(AM15)),IFERROR(AR15/AM15-1,""),"")</f>
        <v>-0.0377218934911243</v>
      </c>
      <c r="AS16" s="29" t="n">
        <f aca="false">IF(AND(ISNUMBER(AS15),ISNUMBER(AN15)),IFERROR(AS15/AN15-1,""),"")</f>
        <v>0.0175840978593271</v>
      </c>
      <c r="AT16" s="29" t="n">
        <f aca="false">IF(AND(ISNUMBER(AT15),ISNUMBER(AO15)),IFERROR(AT15/AO15-1,""),"")</f>
        <v>0.00847457627118642</v>
      </c>
      <c r="AU16" s="29" t="n">
        <f aca="false">IF(AND(ISNUMBER(AU15),ISNUMBER(AP15)),IFERROR(AU15/AP15-1,""),"")</f>
        <v>-0.00998463901689706</v>
      </c>
      <c r="AV16" s="29" t="n">
        <f aca="false">IF(AND(ISNUMBER(AV15),ISNUMBER(AQ15)),IFERROR(AV15/AQ15-1,""),"")</f>
        <v>0.023130300693909</v>
      </c>
      <c r="AW16" s="29" t="n">
        <f aca="false">IF(AND(ISNUMBER(AW15),ISNUMBER(AR15)),IFERROR(AW15/AR15-1,""),"")</f>
        <v>0.00999231360491937</v>
      </c>
      <c r="AX16" s="29" t="n">
        <f aca="false">IF(AND(ISNUMBER(AX15),ISNUMBER(AS15)),IFERROR(AX15/AS15-1,""),"")</f>
        <v>0.0262960180315552</v>
      </c>
      <c r="AY16" s="29" t="n">
        <f aca="false">IF(AND(ISNUMBER(AY15),ISNUMBER(AT15)),IFERROR(AY15/AT15-1,""),"")</f>
        <v>0.0672268907563025</v>
      </c>
      <c r="AZ16" s="29" t="n">
        <f aca="false">IF(AND(ISNUMBER(AZ15),ISNUMBER(AU15)),IFERROR(AZ15/AU15-1,""),"")</f>
        <v>0.0861132660977502</v>
      </c>
      <c r="BA16" s="29" t="n">
        <f aca="false">IF(AND(ISNUMBER(BA15),ISNUMBER(AV15)),IFERROR(BA15/AV15-1,""),"")</f>
        <v>0.0746043707611153</v>
      </c>
      <c r="BB16" s="29" t="n">
        <f aca="false">IF(AND(ISNUMBER(BB15),ISNUMBER(AW15)),IFERROR(BB15/AW15-1,""),"")</f>
        <v>0.0631659056316591</v>
      </c>
      <c r="BC16" s="29" t="n">
        <f aca="false">IF(AND(ISNUMBER(BC15),ISNUMBER(AX15)),IFERROR(BC15/AX15-1,""),"")</f>
        <v>0.0351390922401171</v>
      </c>
      <c r="BD16" s="29" t="n">
        <f aca="false">IF(AND(ISNUMBER(BD15),ISNUMBER(AY15)),IFERROR(BD15/AY15-1,""),"")</f>
        <v>0.0107372942018611</v>
      </c>
      <c r="BE16" s="29" t="n">
        <f aca="false">IF(AND(ISNUMBER(BE15),ISNUMBER(AZ15)),IFERROR(BE15/AZ15-1,""),"")</f>
        <v>0.0221428571428572</v>
      </c>
      <c r="BF16" s="29" t="n">
        <f aca="false">IF(AND(ISNUMBER(BF15),ISNUMBER(BA15)),IFERROR(BF15/BA15-1,""),"")</f>
        <v>0.00490883590462832</v>
      </c>
      <c r="BG16" s="29" t="n">
        <f aca="false">IF(AND(ISNUMBER(BG15),ISNUMBER(BB15)),IFERROR(BG15/BB15-1,""),"")</f>
        <v>0.0178954903364352</v>
      </c>
      <c r="BH16" s="29" t="n">
        <f aca="false">IF(AND(ISNUMBER(BH15),ISNUMBER(BC15)),IFERROR(BH15/BC15-1,""),"")</f>
        <v>0.0176803394625178</v>
      </c>
      <c r="BI16" s="29" t="n">
        <f aca="false">IF(AND(ISNUMBER(BI15),ISNUMBER(BD15)),IFERROR(BI15/BD15-1,""),"")</f>
        <v>0.0219546742209631</v>
      </c>
      <c r="BJ16" s="29" t="n">
        <f aca="false">IF(AND(ISNUMBER(BJ15),ISNUMBER(BE15)),IFERROR(BJ15/BE15-1,""),"")</f>
        <v>-0.0496156533892383</v>
      </c>
      <c r="BK16" s="29" t="n">
        <f aca="false">IF(AND(ISNUMBER(BK15),ISNUMBER(BF15)),IFERROR(BK15/BF15-1,""),"")</f>
        <v>-0.0830425680390788</v>
      </c>
      <c r="BL16" s="29" t="n">
        <f aca="false">IF(AND(ISNUMBER(BL15),ISNUMBER(BG15)),IFERROR(BL15/BG15-1,""),"")</f>
        <v>-0.0253164556962026</v>
      </c>
      <c r="BM16" s="29" t="n">
        <f aca="false">IF(AND(ISNUMBER(BM15),ISNUMBER(BH15)),IFERROR(BM15/BH15-1,""),"")</f>
        <v>-0.0820013898540654</v>
      </c>
      <c r="BN16" s="29" t="n">
        <f aca="false">IF(AND(ISNUMBER(BN15),ISNUMBER(BI15)),IFERROR(BN15/BI15-1,""),"")</f>
        <v>-0.0713790713790714</v>
      </c>
      <c r="BO16" s="29" t="n">
        <f aca="false">IF(AND(ISNUMBER(BO15),ISNUMBER(BJ15)),IFERROR(BO15/BJ15-1,""),"")</f>
        <v>-0.00808823529411762</v>
      </c>
      <c r="BP16" s="29" t="n">
        <f aca="false">IF(AND(ISNUMBER(BP15),ISNUMBER(BK15)),IFERROR(BP15/BK15-1,""),"")</f>
        <v>0.0365296803652968</v>
      </c>
      <c r="BQ16" s="29" t="n">
        <f aca="false">IF(AND(ISNUMBER(BQ15),ISNUMBER(BL15)),IFERROR(BQ15/BL15-1,""),"")</f>
        <v>-0.0310245310245311</v>
      </c>
      <c r="BR16" s="29" t="n">
        <f aca="false">IF(AND(ISNUMBER(BR15),ISNUMBER(BM15)),IFERROR(BR15/BM15-1,""),"")</f>
        <v>0.0779712339137018</v>
      </c>
      <c r="BS16" s="29" t="n">
        <f aca="false">IF(AND(ISNUMBER(BS15),ISNUMBER(BN15)),IFERROR(BS15/BN15-1,""),"")</f>
        <v>0.0402985074626865</v>
      </c>
      <c r="BT16" s="29" t="n">
        <f aca="false">IF(AND(ISNUMBER(BT15),ISNUMBER(BO15)),IFERROR(BT15/BO15-1,""),"")</f>
        <v>0.00444773906597473</v>
      </c>
      <c r="BU16" s="29" t="n">
        <f aca="false">IF(AND(ISNUMBER(BU15),ISNUMBER(BP15)),IFERROR(BU15/BP15-1,""),"")</f>
        <v>-0.0102790014684288</v>
      </c>
      <c r="BV16" s="29" t="n">
        <f aca="false">IF(AND(ISNUMBER(BV15),ISNUMBER(BQ15)),IFERROR(BV15/BQ15-1,""),"")</f>
        <v>0.0275502606105733</v>
      </c>
      <c r="BW16" s="29" t="n">
        <f aca="false">IF(AND(ISNUMBER(BW15),ISNUMBER(BR15)),IFERROR(BW15/BR15-1,""),"")</f>
        <v>-0.0308988764044944</v>
      </c>
      <c r="BX16" s="29" t="n">
        <f aca="false">IF(AND(ISNUMBER(BX15),ISNUMBER(BS15)),IFERROR(BX15/BS15-1,""),"")</f>
        <v>0.0387374461979915</v>
      </c>
      <c r="BY16" s="30" t="n">
        <f aca="false">BY61</f>
        <v>0.072</v>
      </c>
      <c r="BZ16" s="30" t="n">
        <f aca="false">CHOOSE(MATCH($CF$2,{"Bull","Base","Bear"},0),$CO$19,$CP$19,$CQ$19)</f>
        <v>0.05</v>
      </c>
      <c r="CA16" s="30" t="n">
        <f aca="false">IF(AND(ISNUMBER(CA15),ISNUMBER(BV15)),IFERROR(CA15/BV15-1,""),"")</f>
        <v>0.0325905362098002</v>
      </c>
      <c r="CB16" s="30" t="n">
        <f aca="false">CHOOSE(MATCH($CF$2,{"Bull","Base","Bear"},0),$CO$46,$CP$46,$CQ$46)</f>
        <v>0.01</v>
      </c>
      <c r="CC16" s="30" t="n">
        <f aca="false">CHOOSE(MATCH($CF$2,{"Bull","Base","Bear"},0),$CO$47,$CP$47,$CQ$47)</f>
        <v>0.005</v>
      </c>
      <c r="CD16" s="30" t="n">
        <f aca="false">CHOOSE(MATCH($CF$2,{"Bull","Base","Bear"},0),$CO$48,$CP$48,$CQ$48)</f>
        <v>0</v>
      </c>
      <c r="CE16" s="30" t="n">
        <f aca="false">CHOOSE(MATCH($CF$2,{"Bull","Base","Bear"},0),$CO$49,$CP$49,$CQ$49)</f>
        <v>0</v>
      </c>
      <c r="CF16" s="21" t="s">
        <v>102</v>
      </c>
      <c r="CN16" s="22" t="s">
        <v>103</v>
      </c>
      <c r="CO16" s="36" t="n">
        <v>0.09</v>
      </c>
      <c r="CP16" s="36" t="n">
        <v>0.07</v>
      </c>
      <c r="CQ16" s="36" t="n">
        <v>0.05</v>
      </c>
      <c r="CR16" s="14" t="s">
        <v>104</v>
      </c>
    </row>
    <row r="17" customFormat="false" ht="15" hidden="false" customHeight="true" outlineLevel="0" collapsed="false">
      <c r="B17" s="17" t="s">
        <v>105</v>
      </c>
      <c r="C17" s="18" t="n">
        <v>6176</v>
      </c>
      <c r="D17" s="18" t="n">
        <v>6888</v>
      </c>
      <c r="E17" s="18" t="n">
        <v>6710</v>
      </c>
      <c r="F17" s="18" t="n">
        <v>6428</v>
      </c>
      <c r="G17" s="18" t="n">
        <v>6399</v>
      </c>
      <c r="H17" s="18" t="n">
        <v>6487</v>
      </c>
      <c r="I17" s="18" t="n">
        <v>6295</v>
      </c>
      <c r="J17" s="18" t="n">
        <v>1520</v>
      </c>
      <c r="K17" s="18" t="n">
        <v>1642</v>
      </c>
      <c r="L17" s="18" t="n">
        <v>1608</v>
      </c>
      <c r="M17" s="18" t="n">
        <v>1490</v>
      </c>
      <c r="N17" s="18" t="n">
        <v>6260</v>
      </c>
      <c r="O17" s="18" t="n">
        <v>1586</v>
      </c>
      <c r="P17" s="18" t="n">
        <v>1732</v>
      </c>
      <c r="Q17" s="18" t="n">
        <v>1730</v>
      </c>
      <c r="R17" s="18" t="n">
        <v>1597</v>
      </c>
      <c r="S17" s="18" t="n">
        <v>6646</v>
      </c>
      <c r="T17" s="18" t="n">
        <v>1542</v>
      </c>
      <c r="U17" s="18" t="n">
        <v>1683</v>
      </c>
      <c r="V17" s="18" t="n">
        <v>1658</v>
      </c>
      <c r="W17" s="18" t="n">
        <v>1499</v>
      </c>
      <c r="X17" s="18" t="n">
        <v>6381</v>
      </c>
      <c r="Y17" s="18" t="n">
        <v>1553</v>
      </c>
      <c r="Z17" s="18" t="n">
        <v>1639</v>
      </c>
      <c r="AA17" s="18" t="n">
        <v>1638</v>
      </c>
      <c r="AB17" s="18" t="n">
        <v>1506</v>
      </c>
      <c r="AC17" s="18" t="n">
        <v>6335</v>
      </c>
      <c r="AD17" s="18" t="n">
        <v>1607</v>
      </c>
      <c r="AE17" s="18" t="n">
        <v>1760</v>
      </c>
      <c r="AF17" s="18" t="n">
        <v>1662</v>
      </c>
      <c r="AG17" s="18" t="n">
        <v>1636</v>
      </c>
      <c r="AH17" s="18" t="n">
        <v>6666</v>
      </c>
      <c r="AI17" s="18" t="n">
        <v>1770</v>
      </c>
      <c r="AJ17" s="18" t="n">
        <v>1866</v>
      </c>
      <c r="AK17" s="18" t="n">
        <v>1780</v>
      </c>
      <c r="AL17" s="18" t="n">
        <v>1687</v>
      </c>
      <c r="AM17" s="18" t="n">
        <v>7103</v>
      </c>
      <c r="AN17" s="18" t="n">
        <v>1741</v>
      </c>
      <c r="AO17" s="18" t="n">
        <v>1933</v>
      </c>
      <c r="AP17" s="18" t="n">
        <v>1941</v>
      </c>
      <c r="AQ17" s="18" t="n">
        <v>1794</v>
      </c>
      <c r="AR17" s="18" t="n">
        <v>7409</v>
      </c>
      <c r="AS17" s="18" t="n">
        <v>1809</v>
      </c>
      <c r="AT17" s="18" t="n">
        <v>1745</v>
      </c>
      <c r="AU17" s="18" t="n">
        <v>1959</v>
      </c>
      <c r="AV17" s="18" t="n">
        <v>1859</v>
      </c>
      <c r="AW17" s="18" t="n">
        <v>7371</v>
      </c>
      <c r="AX17" s="18" t="n">
        <v>1826</v>
      </c>
      <c r="AY17" s="18" t="n">
        <v>2012</v>
      </c>
      <c r="AZ17" s="18" t="n">
        <v>2004</v>
      </c>
      <c r="BA17" s="18" t="n">
        <v>1888</v>
      </c>
      <c r="BB17" s="18" t="n">
        <v>7730</v>
      </c>
      <c r="BC17" s="18" t="n">
        <v>1962</v>
      </c>
      <c r="BD17" s="18" t="n">
        <v>2048</v>
      </c>
      <c r="BE17" s="18" t="n">
        <v>1954</v>
      </c>
      <c r="BF17" s="18" t="n">
        <v>1734</v>
      </c>
      <c r="BG17" s="18" t="n">
        <v>7697</v>
      </c>
      <c r="BH17" s="18" t="n">
        <v>1822</v>
      </c>
      <c r="BI17" s="18" t="n">
        <v>1970</v>
      </c>
      <c r="BJ17" s="18" t="n">
        <v>2158</v>
      </c>
      <c r="BK17" s="18" t="n">
        <v>2047</v>
      </c>
      <c r="BL17" s="18" t="n">
        <v>7997</v>
      </c>
      <c r="BM17" s="18" t="n">
        <v>2108</v>
      </c>
      <c r="BN17" s="18" t="n">
        <v>2327</v>
      </c>
      <c r="BO17" s="18" t="n">
        <v>2379</v>
      </c>
      <c r="BP17" s="18" t="n">
        <v>2174</v>
      </c>
      <c r="BQ17" s="18" t="n">
        <v>8988</v>
      </c>
      <c r="BR17" s="18" t="n">
        <v>2170</v>
      </c>
      <c r="BS17" s="18" t="n">
        <v>2261</v>
      </c>
      <c r="BT17" s="18" t="n">
        <v>2333</v>
      </c>
      <c r="BU17" s="18" t="n">
        <v>2164</v>
      </c>
      <c r="BV17" s="18" t="n">
        <v>8929</v>
      </c>
      <c r="BW17" s="18" t="n">
        <v>2192</v>
      </c>
      <c r="BX17" s="18" t="n">
        <v>2361</v>
      </c>
      <c r="BY17" s="20" t="n">
        <f aca="false">IFERROR(BY14*2000/BY15,"")</f>
        <v>2357.52464614198</v>
      </c>
      <c r="BZ17" s="20" t="n">
        <f aca="false">IFERROR(BZ14*2000/BZ15,"")</f>
        <v>2205.9205878197</v>
      </c>
      <c r="CA17" s="20" t="n">
        <f aca="false">SUM(BW17,BX17,BY17,BZ17)</f>
        <v>9116.44523396168</v>
      </c>
      <c r="CB17" s="20" t="n">
        <f aca="false">IFERROR(CB14*2000/CB15,"")</f>
        <v>9477.49256996016</v>
      </c>
      <c r="CC17" s="20" t="n">
        <f aca="false">IFERROR(CC14*2000/CC15,"")</f>
        <v>9854.70620458544</v>
      </c>
      <c r="CD17" s="20" t="n">
        <f aca="false">IFERROR(CD14*2000/CD15,"")</f>
        <v>10248.8944527689</v>
      </c>
      <c r="CE17" s="20" t="n">
        <f aca="false">IFERROR(CE14*2000/CE15,"")</f>
        <v>10607.6057586158</v>
      </c>
      <c r="CF17" s="21" t="s">
        <v>106</v>
      </c>
      <c r="CH17" s="31" t="n">
        <f aca="false">IFERROR((CE17/BV17)^(1/5)-1,"n/m")</f>
        <v>0.035053765112381</v>
      </c>
      <c r="CI17" s="31" t="n">
        <f aca="false">IFERROR((BV17/AW17)^(1/5)-1,"n/m")</f>
        <v>0.0390950653145137</v>
      </c>
      <c r="CJ17" s="31" t="n">
        <f aca="false">IFERROR((BV17/X17)^(1/10)-1,"n/m")</f>
        <v>0.0341687440369505</v>
      </c>
      <c r="CK17" s="31" t="n">
        <f aca="false">IFERROR((BV17/C17)^(1/19)-1,"n/m")</f>
        <v>0.0195912055551861</v>
      </c>
      <c r="CN17" s="22" t="s">
        <v>107</v>
      </c>
      <c r="CO17" s="36" t="n">
        <v>0.04</v>
      </c>
      <c r="CP17" s="36" t="n">
        <v>0.035</v>
      </c>
      <c r="CQ17" s="36" t="n">
        <v>0.03</v>
      </c>
      <c r="CR17" s="14" t="s">
        <v>108</v>
      </c>
    </row>
    <row r="18" customFormat="false" ht="15" hidden="false" customHeight="true" outlineLevel="0" collapsed="false">
      <c r="B18" s="22" t="s">
        <v>109</v>
      </c>
      <c r="C18" s="23" t="n">
        <f aca="false">IF(AND(ISNUMBER(C17),ISNUMBER(C11)),IFERROR(C17/C11,""),"")</f>
        <v>24.5079365079365</v>
      </c>
      <c r="D18" s="23" t="n">
        <f aca="false">IF(AND(ISNUMBER(D17),ISNUMBER(D11)),IFERROR(D17/D11,""),"")</f>
        <v>27.2252964426877</v>
      </c>
      <c r="E18" s="23" t="n">
        <f aca="false">IF(AND(ISNUMBER(E17),ISNUMBER(E11)),IFERROR(E17/E11,""),"")</f>
        <v>26.4173228346457</v>
      </c>
      <c r="F18" s="23" t="n">
        <f aca="false">IF(AND(ISNUMBER(F17),ISNUMBER(F11)),IFERROR(F17/F11,""),"")</f>
        <v>25.4071146245059</v>
      </c>
      <c r="G18" s="23" t="n">
        <f aca="false">IF(AND(ISNUMBER(G17),ISNUMBER(G11)),IFERROR(G17/G11,""),"")</f>
        <v>25.3928571428571</v>
      </c>
      <c r="H18" s="23" t="n">
        <f aca="false">IF(AND(ISNUMBER(H17),ISNUMBER(H11)),IFERROR(H17/H11,""),"")</f>
        <v>25.6403162055336</v>
      </c>
      <c r="I18" s="23" t="n">
        <f aca="false">IF(AND(ISNUMBER(I17),ISNUMBER(I11)),IFERROR(I17/I11,""),"")</f>
        <v>24.8814229249012</v>
      </c>
      <c r="J18" s="23" t="n">
        <f aca="false">IF(AND(ISNUMBER(J17),ISNUMBER(J11)),IFERROR(J17/J11,""),"")</f>
        <v>24.1269841269841</v>
      </c>
      <c r="K18" s="23" t="n">
        <f aca="false">IF(AND(ISNUMBER(K17),ISNUMBER(K11)),IFERROR(K17/K11,""),"")</f>
        <v>25.65625</v>
      </c>
      <c r="L18" s="23" t="n">
        <f aca="false">IF(AND(ISNUMBER(L17),ISNUMBER(L11)),IFERROR(L17/L11,""),"")</f>
        <v>25.125</v>
      </c>
      <c r="M18" s="23" t="n">
        <f aca="false">IF(AND(ISNUMBER(M17),ISNUMBER(M11)),IFERROR(M17/M11,""),"")</f>
        <v>24.0322580645161</v>
      </c>
      <c r="N18" s="23" t="n">
        <f aca="false">IF(AND(ISNUMBER(N17),ISNUMBER(N11)),IFERROR(N17/N11,""),"")</f>
        <v>24.7430830039526</v>
      </c>
      <c r="O18" s="23" t="n">
        <f aca="false">IF(AND(ISNUMBER(O17),ISNUMBER(O11)),IFERROR(O17/O11,""),"")</f>
        <v>25.1746031746032</v>
      </c>
      <c r="P18" s="23" t="n">
        <f aca="false">IF(AND(ISNUMBER(P17),ISNUMBER(P11)),IFERROR(P17/P11,""),"")</f>
        <v>27.0625</v>
      </c>
      <c r="Q18" s="23" t="n">
        <f aca="false">IF(AND(ISNUMBER(Q17),ISNUMBER(Q11)),IFERROR(Q17/Q11,""),"")</f>
        <v>27.03125</v>
      </c>
      <c r="R18" s="23" t="n">
        <f aca="false">IF(AND(ISNUMBER(R17),ISNUMBER(R11)),IFERROR(R17/R11,""),"")</f>
        <v>25.758064516129</v>
      </c>
      <c r="S18" s="23" t="n">
        <f aca="false">IF(AND(ISNUMBER(S17),ISNUMBER(S11)),IFERROR(S17/S11,""),"")</f>
        <v>26.2687747035573</v>
      </c>
      <c r="T18" s="23" t="n">
        <f aca="false">IF(AND(ISNUMBER(T17),ISNUMBER(T11)),IFERROR(T17/T11,""),"")</f>
        <v>24.4761904761905</v>
      </c>
      <c r="U18" s="23" t="n">
        <f aca="false">IF(AND(ISNUMBER(U17),ISNUMBER(U11)),IFERROR(U17/U11,""),"")</f>
        <v>26.296875</v>
      </c>
      <c r="V18" s="23" t="n">
        <f aca="false">IF(AND(ISNUMBER(V17),ISNUMBER(V11)),IFERROR(V17/V11,""),"")</f>
        <v>25.90625</v>
      </c>
      <c r="W18" s="23" t="n">
        <f aca="false">IF(AND(ISNUMBER(W17),ISNUMBER(W11)),IFERROR(W17/W11,""),"")</f>
        <v>24.1774193548387</v>
      </c>
      <c r="X18" s="23" t="n">
        <f aca="false">IF(AND(ISNUMBER(X17),ISNUMBER(X11)),IFERROR(X17/X11,""),"")</f>
        <v>25.2213438735178</v>
      </c>
      <c r="Y18" s="23" t="n">
        <f aca="false">IF(AND(ISNUMBER(Y17),ISNUMBER(Y11)),IFERROR(Y17/Y11,""),"")</f>
        <v>24.265625</v>
      </c>
      <c r="Z18" s="23" t="n">
        <f aca="false">IF(AND(ISNUMBER(Z17),ISNUMBER(Z11)),IFERROR(Z17/Z11,""),"")</f>
        <v>25.609375</v>
      </c>
      <c r="AA18" s="23" t="n">
        <f aca="false">IF(AND(ISNUMBER(AA17),ISNUMBER(AA11)),IFERROR(AA17/AA11,""),"")</f>
        <v>25.59375</v>
      </c>
      <c r="AB18" s="23" t="n">
        <f aca="false">IF(AND(ISNUMBER(AB17),ISNUMBER(AB11)),IFERROR(AB17/AB11,""),"")</f>
        <v>24.6885245901639</v>
      </c>
      <c r="AC18" s="23" t="n">
        <f aca="false">IF(AND(ISNUMBER(AC17),ISNUMBER(AC11)),IFERROR(AC17/AC11,""),"")</f>
        <v>25.0395256916996</v>
      </c>
      <c r="AD18" s="23" t="n">
        <f aca="false">IF(AND(ISNUMBER(AD17),ISNUMBER(AD11)),IFERROR(AD17/AD11,""),"")</f>
        <v>25.109375</v>
      </c>
      <c r="AE18" s="23" t="n">
        <f aca="false">IF(AND(ISNUMBER(AE17),ISNUMBER(AE11)),IFERROR(AE17/AE11,""),"")</f>
        <v>27.5</v>
      </c>
      <c r="AF18" s="23" t="n">
        <f aca="false">IF(AND(ISNUMBER(AF17),ISNUMBER(AF11)),IFERROR(AF17/AF11,""),"")</f>
        <v>26.3809523809524</v>
      </c>
      <c r="AG18" s="23" t="n">
        <f aca="false">IF(AND(ISNUMBER(AG17),ISNUMBER(AG11)),IFERROR(AG17/AG11,""),"")</f>
        <v>26.8196721311475</v>
      </c>
      <c r="AH18" s="23" t="n">
        <f aca="false">IF(AND(ISNUMBER(AH17),ISNUMBER(AH11)),IFERROR(AH17/AH11,""),"")</f>
        <v>26.452380952381</v>
      </c>
      <c r="AI18" s="23" t="n">
        <f aca="false">IF(AND(ISNUMBER(AI17),ISNUMBER(AI11)),IFERROR(AI17/AI11,""),"")</f>
        <v>27.65625</v>
      </c>
      <c r="AJ18" s="23" t="n">
        <f aca="false">IF(AND(ISNUMBER(AJ17),ISNUMBER(AJ11)),IFERROR(AJ17/AJ11,""),"")</f>
        <v>29.15625</v>
      </c>
      <c r="AK18" s="23" t="n">
        <f aca="false">IF(AND(ISNUMBER(AK17),ISNUMBER(AK11)),IFERROR(AK17/AK11,""),"")</f>
        <v>28.2539682539683</v>
      </c>
      <c r="AL18" s="23" t="n">
        <f aca="false">IF(AND(ISNUMBER(AL17),ISNUMBER(AL11)),IFERROR(AL17/AL11,""),"")</f>
        <v>27.2096774193548</v>
      </c>
      <c r="AM18" s="23" t="n">
        <f aca="false">IF(AND(ISNUMBER(AM17),ISNUMBER(AM11)),IFERROR(AM17/AM11,""),"")</f>
        <v>28.0750988142293</v>
      </c>
      <c r="AN18" s="23" t="n">
        <f aca="false">IF(AND(ISNUMBER(AN17),ISNUMBER(AN11)),IFERROR(AN17/AN11,""),"")</f>
        <v>27.6349206349206</v>
      </c>
      <c r="AO18" s="23" t="n">
        <f aca="false">IF(AND(ISNUMBER(AO17),ISNUMBER(AO11)),IFERROR(AO17/AO11,""),"")</f>
        <v>30.203125</v>
      </c>
      <c r="AP18" s="23" t="n">
        <f aca="false">IF(AND(ISNUMBER(AP17),ISNUMBER(AP11)),IFERROR(AP17/AP11,""),"")</f>
        <v>30.328125</v>
      </c>
      <c r="AQ18" s="23" t="n">
        <f aca="false">IF(AND(ISNUMBER(AQ17),ISNUMBER(AQ11)),IFERROR(AQ17/AQ11,""),"")</f>
        <v>28.9354838709677</v>
      </c>
      <c r="AR18" s="23" t="n">
        <f aca="false">IF(AND(ISNUMBER(AR17),ISNUMBER(AR11)),IFERROR(AR17/AR11,""),"")</f>
        <v>29.2845849802372</v>
      </c>
      <c r="AS18" s="23" t="n">
        <f aca="false">IF(AND(ISNUMBER(AS17),ISNUMBER(AS11)),IFERROR(AS17/AS11,""),"")</f>
        <v>28.265625</v>
      </c>
      <c r="AT18" s="23" t="n">
        <f aca="false">IF(AND(ISNUMBER(AT17),ISNUMBER(AT11)),IFERROR(AT17/AT11,""),"")</f>
        <v>27.265625</v>
      </c>
      <c r="AU18" s="23" t="n">
        <f aca="false">IF(AND(ISNUMBER(AU17),ISNUMBER(AU11)),IFERROR(AU17/AU11,""),"")</f>
        <v>30.609375</v>
      </c>
      <c r="AV18" s="23" t="n">
        <f aca="false">IF(AND(ISNUMBER(AV17),ISNUMBER(AV11)),IFERROR(AV17/AV11,""),"")</f>
        <v>29.9838709677419</v>
      </c>
      <c r="AW18" s="23" t="n">
        <f aca="false">IF(AND(ISNUMBER(AW17),ISNUMBER(AW11)),IFERROR(AW17/AW11,""),"")</f>
        <v>29.0196850393701</v>
      </c>
      <c r="AX18" s="23" t="n">
        <f aca="false">IF(AND(ISNUMBER(AX17),ISNUMBER(AX11)),IFERROR(AX17/AX11,""),"")</f>
        <v>28.984126984127</v>
      </c>
      <c r="AY18" s="23" t="n">
        <f aca="false">IF(AND(ISNUMBER(AY17),ISNUMBER(AY11)),IFERROR(AY17/AY11,""),"")</f>
        <v>31.4375</v>
      </c>
      <c r="AZ18" s="23" t="n">
        <f aca="false">IF(AND(ISNUMBER(AZ17),ISNUMBER(AZ11)),IFERROR(AZ17/AZ11,""),"")</f>
        <v>31.3125</v>
      </c>
      <c r="BA18" s="23" t="n">
        <f aca="false">IF(AND(ISNUMBER(BA17),ISNUMBER(BA11)),IFERROR(BA17/BA11,""),"")</f>
        <v>30.9508196721311</v>
      </c>
      <c r="BB18" s="23" t="n">
        <f aca="false">IF(AND(ISNUMBER(BB17),ISNUMBER(BB11)),IFERROR(BB17/BB11,""),"")</f>
        <v>30.6746031746032</v>
      </c>
      <c r="BC18" s="23" t="n">
        <f aca="false">IF(AND(ISNUMBER(BC17),ISNUMBER(BC11)),IFERROR(BC17/BC11,""),"")</f>
        <v>30.65625</v>
      </c>
      <c r="BD18" s="23" t="n">
        <f aca="false">IF(AND(ISNUMBER(BD17),ISNUMBER(BD11)),IFERROR(BD17/BD11,""),"")</f>
        <v>32</v>
      </c>
      <c r="BE18" s="23" t="n">
        <f aca="false">IF(AND(ISNUMBER(BE17),ISNUMBER(BE11)),IFERROR(BE17/BE11,""),"")</f>
        <v>30.53125</v>
      </c>
      <c r="BF18" s="23" t="n">
        <f aca="false">IF(AND(ISNUMBER(BF17),ISNUMBER(BF11)),IFERROR(BF17/BF11,""),"")</f>
        <v>28.4262295081967</v>
      </c>
      <c r="BG18" s="23" t="n">
        <f aca="false">IF(AND(ISNUMBER(BG17),ISNUMBER(BG11)),IFERROR(BG17/BG11,""),"")</f>
        <v>30.4229249011858</v>
      </c>
      <c r="BH18" s="23" t="n">
        <f aca="false">IF(AND(ISNUMBER(BH17),ISNUMBER(BH11)),IFERROR(BH17/BH11,""),"")</f>
        <v>28.46875</v>
      </c>
      <c r="BI18" s="23" t="n">
        <f aca="false">IF(AND(ISNUMBER(BI17),ISNUMBER(BI11)),IFERROR(BI17/BI11,""),"")</f>
        <v>30.78125</v>
      </c>
      <c r="BJ18" s="23" t="n">
        <f aca="false">IF(AND(ISNUMBER(BJ17),ISNUMBER(BJ11)),IFERROR(BJ17/BJ11,""),"")</f>
        <v>34.2539682539683</v>
      </c>
      <c r="BK18" s="23" t="n">
        <f aca="false">IF(AND(ISNUMBER(BK17),ISNUMBER(BK11)),IFERROR(BK17/BK11,""),"")</f>
        <v>33.5573770491803</v>
      </c>
      <c r="BL18" s="23" t="n">
        <f aca="false">IF(AND(ISNUMBER(BL17),ISNUMBER(BL11)),IFERROR(BL17/BL11,""),"")</f>
        <v>31.734126984127</v>
      </c>
      <c r="BM18" s="23" t="n">
        <f aca="false">IF(AND(ISNUMBER(BM17),ISNUMBER(BM11)),IFERROR(BM17/BM11,""),"")</f>
        <v>32.9375</v>
      </c>
      <c r="BN18" s="23" t="n">
        <f aca="false">IF(AND(ISNUMBER(BN17),ISNUMBER(BN11)),IFERROR(BN17/BN11,""),"")</f>
        <v>36.359375</v>
      </c>
      <c r="BO18" s="23" t="n">
        <f aca="false">IF(AND(ISNUMBER(BO17),ISNUMBER(BO11)),IFERROR(BO17/BO11,""),"")</f>
        <v>37.171875</v>
      </c>
      <c r="BP18" s="23" t="n">
        <f aca="false">IF(AND(ISNUMBER(BP17),ISNUMBER(BP11)),IFERROR(BP17/BP11,""),"")</f>
        <v>35.0645161290323</v>
      </c>
      <c r="BQ18" s="23" t="n">
        <f aca="false">IF(AND(ISNUMBER(BQ17),ISNUMBER(BQ11)),IFERROR(BQ17/BQ11,""),"")</f>
        <v>35.3858267716535</v>
      </c>
      <c r="BR18" s="23" t="n">
        <f aca="false">IF(AND(ISNUMBER(BR17),ISNUMBER(BR11)),IFERROR(BR17/BR11,""),"")</f>
        <v>34.4444444444444</v>
      </c>
      <c r="BS18" s="23" t="n">
        <f aca="false">IF(AND(ISNUMBER(BS17),ISNUMBER(BS11)),IFERROR(BS17/BS11,""),"")</f>
        <v>35.328125</v>
      </c>
      <c r="BT18" s="23" t="n">
        <f aca="false">IF(AND(ISNUMBER(BT17),ISNUMBER(BT11)),IFERROR(BT17/BT11,""),"")</f>
        <v>36.453125</v>
      </c>
      <c r="BU18" s="23" t="n">
        <f aca="false">IF(AND(ISNUMBER(BU17),ISNUMBER(BU11)),IFERROR(BU17/BU11,""),"")</f>
        <v>34.9032258064516</v>
      </c>
      <c r="BV18" s="23" t="n">
        <f aca="false">IF(AND(ISNUMBER(BV17),ISNUMBER(BV11)),IFERROR(BV17/BV11,""),"")</f>
        <v>35.2924901185771</v>
      </c>
      <c r="BW18" s="23" t="n">
        <f aca="false">IF(AND(ISNUMBER(BW17),ISNUMBER(BW11)),IFERROR(BW17/BW11,""),"")</f>
        <v>34.7936507936508</v>
      </c>
      <c r="BX18" s="23" t="n">
        <f aca="false">IF(AND(ISNUMBER(BX17),ISNUMBER(BX11)),IFERROR(BX17/BX11,""),"")</f>
        <v>36.890625</v>
      </c>
      <c r="BY18" s="24" t="n">
        <f aca="false">IF(AND(ISNUMBER(BY17),ISNUMBER(BY11)),IFERROR(BY17/BY11,""),"")</f>
        <v>36.8363225959685</v>
      </c>
      <c r="BZ18" s="24" t="n">
        <f aca="false">IF(AND(ISNUMBER(BZ17),ISNUMBER(BZ11)),IFERROR(BZ17/BZ11,""),"")</f>
        <v>35.5793643196725</v>
      </c>
      <c r="CA18" s="25" t="n">
        <f aca="false">IF(AND(ISNUMBER(CA17),ISNUMBER(CA11)),IFERROR(CA17/CA11,""),"")</f>
        <v>36.03338037139</v>
      </c>
      <c r="CB18" s="25" t="n">
        <f aca="false">IF(AND(ISNUMBER(CB17),ISNUMBER(CB11)),IFERROR(CB17/CB11,""),"")</f>
        <v>37.460444940554</v>
      </c>
      <c r="CC18" s="25" t="n">
        <f aca="false">IF(AND(ISNUMBER(CC17),ISNUMBER(CC11)),IFERROR(CC17/CC11,""),"")</f>
        <v>38.9514079232626</v>
      </c>
      <c r="CD18" s="25" t="n">
        <f aca="false">IF(AND(ISNUMBER(CD17),ISNUMBER(CD11)),IFERROR(CD17/CD11,""),"")</f>
        <v>40.5094642401931</v>
      </c>
      <c r="CE18" s="25" t="n">
        <f aca="false">IF(AND(ISNUMBER(CE17),ISNUMBER(CE11)),IFERROR(CE17/CE11,""),"")</f>
        <v>41.9272954885999</v>
      </c>
      <c r="CF18" s="21"/>
      <c r="CN18" s="22" t="s">
        <v>110</v>
      </c>
      <c r="CO18" s="36" t="n">
        <v>0.05</v>
      </c>
      <c r="CP18" s="36" t="n">
        <v>0.04</v>
      </c>
      <c r="CQ18" s="36" t="n">
        <v>0.03</v>
      </c>
      <c r="CR18" s="14"/>
    </row>
    <row r="19" customFormat="false" ht="15" hidden="false" customHeight="true" outlineLevel="0" collapsed="false">
      <c r="B19" s="27" t="s">
        <v>111</v>
      </c>
      <c r="C19" s="28"/>
      <c r="D19" s="29" t="n">
        <f aca="false">IF(AND(ISNUMBER(D18),ISNUMBER(C18)),IFERROR(D18/C18-1,""),"")</f>
        <v>0.110876733088943</v>
      </c>
      <c r="E19" s="29" t="n">
        <f aca="false">IF(AND(ISNUMBER(E18),ISNUMBER(D18)),IFERROR(E18/D18-1,""),"")</f>
        <v>-0.0296773116775037</v>
      </c>
      <c r="F19" s="29" t="n">
        <f aca="false">IF(AND(ISNUMBER(F18),ISNUMBER(E18)),IFERROR(F18/E18-1,""),"")</f>
        <v>-0.0382403703987324</v>
      </c>
      <c r="G19" s="29" t="n">
        <f aca="false">IF(AND(ISNUMBER(G18),ISNUMBER(F18)),IFERROR(G18/F18-1,""),"")</f>
        <v>-0.00056116099208825</v>
      </c>
      <c r="H19" s="29" t="n">
        <f aca="false">IF(AND(ISNUMBER(H18),ISNUMBER(G18)),IFERROR(H18/G18-1,""),"")</f>
        <v>0.00974522328402361</v>
      </c>
      <c r="I19" s="29" t="n">
        <f aca="false">IF(AND(ISNUMBER(I18),ISNUMBER(H18)),IFERROR(I18/H18-1,""),"")</f>
        <v>-0.0295976568521659</v>
      </c>
      <c r="J19" s="28"/>
      <c r="K19" s="28"/>
      <c r="L19" s="28"/>
      <c r="M19" s="28"/>
      <c r="N19" s="29" t="n">
        <f aca="false">IF(AND(ISNUMBER(N18),ISNUMBER(I18)),IFERROR(N18/I18-1,""),"")</f>
        <v>-0.00555996822875304</v>
      </c>
      <c r="O19" s="29" t="n">
        <f aca="false">IF(AND(ISNUMBER(O18),ISNUMBER(J18)),IFERROR(O18/J18-1,""),"")</f>
        <v>0.043421052631579</v>
      </c>
      <c r="P19" s="29" t="n">
        <f aca="false">IF(AND(ISNUMBER(P18),ISNUMBER(K18)),IFERROR(P18/K18-1,""),"")</f>
        <v>0.0548112058465287</v>
      </c>
      <c r="Q19" s="29" t="n">
        <f aca="false">IF(AND(ISNUMBER(Q18),ISNUMBER(L18)),IFERROR(Q18/L18-1,""),"")</f>
        <v>0.0758706467661692</v>
      </c>
      <c r="R19" s="29" t="n">
        <f aca="false">IF(AND(ISNUMBER(R18),ISNUMBER(M18)),IFERROR(R18/M18-1,""),"")</f>
        <v>0.0718120805369127</v>
      </c>
      <c r="S19" s="29" t="n">
        <f aca="false">IF(AND(ISNUMBER(S18),ISNUMBER(N18)),IFERROR(S18/N18-1,""),"")</f>
        <v>0.0616613418530352</v>
      </c>
      <c r="T19" s="29" t="n">
        <f aca="false">IF(AND(ISNUMBER(T18),ISNUMBER(O18)),IFERROR(T18/O18-1,""),"")</f>
        <v>-0.0277427490542245</v>
      </c>
      <c r="U19" s="29" t="n">
        <f aca="false">IF(AND(ISNUMBER(U18),ISNUMBER(P18)),IFERROR(U18/P18-1,""),"")</f>
        <v>-0.0282909930715936</v>
      </c>
      <c r="V19" s="29" t="n">
        <f aca="false">IF(AND(ISNUMBER(V18),ISNUMBER(Q18)),IFERROR(V18/Q18-1,""),"")</f>
        <v>-0.0416184971098266</v>
      </c>
      <c r="W19" s="29" t="n">
        <f aca="false">IF(AND(ISNUMBER(W18),ISNUMBER(R18)),IFERROR(W18/R18-1,""),"")</f>
        <v>-0.0613650594865373</v>
      </c>
      <c r="X19" s="29" t="n">
        <f aca="false">IF(AND(ISNUMBER(X18),ISNUMBER(S18)),IFERROR(X18/S18-1,""),"")</f>
        <v>-0.0398736081853747</v>
      </c>
      <c r="Y19" s="29" t="n">
        <f aca="false">IF(AND(ISNUMBER(Y18),ISNUMBER(T18)),IFERROR(Y18/T18-1,""),"")</f>
        <v>-0.00860286964980539</v>
      </c>
      <c r="Z19" s="29" t="n">
        <f aca="false">IF(AND(ISNUMBER(Z18),ISNUMBER(U18)),IFERROR(Z18/U18-1,""),"")</f>
        <v>-0.0261437908496732</v>
      </c>
      <c r="AA19" s="29" t="n">
        <f aca="false">IF(AND(ISNUMBER(AA18),ISNUMBER(V18)),IFERROR(AA18/V18-1,""),"")</f>
        <v>-0.0120627261761158</v>
      </c>
      <c r="AB19" s="29" t="n">
        <f aca="false">IF(AND(ISNUMBER(AB18),ISNUMBER(W18)),IFERROR(AB18/W18-1,""),"")</f>
        <v>0.0211397762442722</v>
      </c>
      <c r="AC19" s="29" t="n">
        <f aca="false">IF(AND(ISNUMBER(AC18),ISNUMBER(X18)),IFERROR(AC18/X18-1,""),"")</f>
        <v>-0.00720890142610864</v>
      </c>
      <c r="AD19" s="29" t="n">
        <f aca="false">IF(AND(ISNUMBER(AD18),ISNUMBER(Y18)),IFERROR(AD18/Y18-1,""),"")</f>
        <v>0.034771410173857</v>
      </c>
      <c r="AE19" s="29" t="n">
        <f aca="false">IF(AND(ISNUMBER(AE18),ISNUMBER(Z18)),IFERROR(AE18/Z18-1,""),"")</f>
        <v>0.0738255033557047</v>
      </c>
      <c r="AF19" s="29" t="n">
        <f aca="false">IF(AND(ISNUMBER(AF18),ISNUMBER(AA18)),IFERROR(AF18/AA18-1,""),"")</f>
        <v>0.0307576021861735</v>
      </c>
      <c r="AG19" s="29" t="n">
        <f aca="false">IF(AND(ISNUMBER(AG18),ISNUMBER(AB18)),IFERROR(AG18/AB18-1,""),"")</f>
        <v>0.0863213811420984</v>
      </c>
      <c r="AH19" s="29" t="n">
        <f aca="false">IF(AND(ISNUMBER(AH18),ISNUMBER(AC18)),IFERROR(AH18/AC18-1,""),"")</f>
        <v>0.0564250009396023</v>
      </c>
      <c r="AI19" s="29" t="n">
        <f aca="false">IF(AND(ISNUMBER(AI18),ISNUMBER(AD18)),IFERROR(AI18/AD18-1,""),"")</f>
        <v>0.101431238332296</v>
      </c>
      <c r="AJ19" s="29" t="n">
        <f aca="false">IF(AND(ISNUMBER(AJ18),ISNUMBER(AE18)),IFERROR(AJ18/AE18-1,""),"")</f>
        <v>0.0602272727272728</v>
      </c>
      <c r="AK19" s="29" t="n">
        <f aca="false">IF(AND(ISNUMBER(AK18),ISNUMBER(AF18)),IFERROR(AK18/AF18-1,""),"")</f>
        <v>0.0709987966305656</v>
      </c>
      <c r="AL19" s="29" t="n">
        <f aca="false">IF(AND(ISNUMBER(AL18),ISNUMBER(AG18)),IFERROR(AL18/AG18-1,""),"")</f>
        <v>0.0145417619686095</v>
      </c>
      <c r="AM19" s="29" t="n">
        <f aca="false">IF(AND(ISNUMBER(AM18),ISNUMBER(AH18)),IFERROR(AM18/AH18-1,""),"")</f>
        <v>0.0613448696648322</v>
      </c>
      <c r="AN19" s="29" t="n">
        <f aca="false">IF(AND(ISNUMBER(AN18),ISNUMBER(AI18)),IFERROR(AN18/AI18-1,""),"")</f>
        <v>-0.000771231279705797</v>
      </c>
      <c r="AO19" s="29" t="n">
        <f aca="false">IF(AND(ISNUMBER(AO18),ISNUMBER(AJ18)),IFERROR(AO18/AJ18-1,""),"")</f>
        <v>0.0359056806002143</v>
      </c>
      <c r="AP19" s="29" t="n">
        <f aca="false">IF(AND(ISNUMBER(AP18),ISNUMBER(AK18)),IFERROR(AP18/AK18-1,""),"")</f>
        <v>0.0734111657303371</v>
      </c>
      <c r="AQ19" s="29" t="n">
        <f aca="false">IF(AND(ISNUMBER(AQ18),ISNUMBER(AL18)),IFERROR(AQ18/AL18-1,""),"")</f>
        <v>0.0634262003556609</v>
      </c>
      <c r="AR19" s="29" t="n">
        <f aca="false">IF(AND(ISNUMBER(AR18),ISNUMBER(AM18)),IFERROR(AR18/AM18-1,""),"")</f>
        <v>0.0430803885682105</v>
      </c>
      <c r="AS19" s="29" t="n">
        <f aca="false">IF(AND(ISNUMBER(AS18),ISNUMBER(AN18)),IFERROR(AS18/AN18-1,""),"")</f>
        <v>0.0228227311889717</v>
      </c>
      <c r="AT19" s="29" t="n">
        <f aca="false">IF(AND(ISNUMBER(AT18),ISNUMBER(AO18)),IFERROR(AT18/AO18-1,""),"")</f>
        <v>-0.0972581479565442</v>
      </c>
      <c r="AU19" s="29" t="n">
        <f aca="false">IF(AND(ISNUMBER(AU18),ISNUMBER(AP18)),IFERROR(AU18/AP18-1,""),"")</f>
        <v>0.00927357032457499</v>
      </c>
      <c r="AV19" s="29" t="n">
        <f aca="false">IF(AND(ISNUMBER(AV18),ISNUMBER(AQ18)),IFERROR(AV18/AQ18-1,""),"")</f>
        <v>0.0362318840579712</v>
      </c>
      <c r="AW19" s="29" t="n">
        <f aca="false">IF(AND(ISNUMBER(AW18),ISNUMBER(AR18)),IFERROR(AW18/AR18-1,""),"")</f>
        <v>-0.00904571265209475</v>
      </c>
      <c r="AX19" s="29" t="n">
        <f aca="false">IF(AND(ISNUMBER(AX18),ISNUMBER(AS18)),IFERROR(AX18/AS18-1,""),"")</f>
        <v>0.0254196390183123</v>
      </c>
      <c r="AY19" s="29" t="n">
        <f aca="false">IF(AND(ISNUMBER(AY18),ISNUMBER(AT18)),IFERROR(AY18/AT18-1,""),"")</f>
        <v>0.153008595988539</v>
      </c>
      <c r="AZ19" s="29" t="n">
        <f aca="false">IF(AND(ISNUMBER(AZ18),ISNUMBER(AU18)),IFERROR(AZ18/AU18-1,""),"")</f>
        <v>0.0229709035222052</v>
      </c>
      <c r="BA19" s="29" t="n">
        <f aca="false">IF(AND(ISNUMBER(BA18),ISNUMBER(AV18)),IFERROR(BA18/AV18-1,""),"")</f>
        <v>0.0322489616310548</v>
      </c>
      <c r="BB19" s="29" t="n">
        <f aca="false">IF(AND(ISNUMBER(BB18),ISNUMBER(AW18)),IFERROR(BB18/AW18-1,""),"")</f>
        <v>0.0570274326888083</v>
      </c>
      <c r="BC19" s="29" t="n">
        <f aca="false">IF(AND(ISNUMBER(BC18),ISNUMBER(AX18)),IFERROR(BC18/AX18-1,""),"")</f>
        <v>0.057690991237678</v>
      </c>
      <c r="BD19" s="29" t="n">
        <f aca="false">IF(AND(ISNUMBER(BD18),ISNUMBER(AY18)),IFERROR(BD18/AY18-1,""),"")</f>
        <v>0.0178926441351888</v>
      </c>
      <c r="BE19" s="29" t="n">
        <f aca="false">IF(AND(ISNUMBER(BE18),ISNUMBER(AZ18)),IFERROR(BE18/AZ18-1,""),"")</f>
        <v>-0.0249500998003992</v>
      </c>
      <c r="BF19" s="29" t="n">
        <f aca="false">IF(AND(ISNUMBER(BF18),ISNUMBER(BA18)),IFERROR(BF18/BA18-1,""),"")</f>
        <v>-0.0815677966101696</v>
      </c>
      <c r="BG19" s="29" t="n">
        <f aca="false">IF(AND(ISNUMBER(BG18),ISNUMBER(BB18)),IFERROR(BG18/BB18-1,""),"")</f>
        <v>-0.00820477683068377</v>
      </c>
      <c r="BH19" s="29" t="n">
        <f aca="false">IF(AND(ISNUMBER(BH18),ISNUMBER(BC18)),IFERROR(BH18/BC18-1,""),"")</f>
        <v>-0.071355759429154</v>
      </c>
      <c r="BI19" s="29" t="n">
        <f aca="false">IF(AND(ISNUMBER(BI18),ISNUMBER(BD18)),IFERROR(BI18/BD18-1,""),"")</f>
        <v>-0.0380859375</v>
      </c>
      <c r="BJ19" s="29" t="n">
        <f aca="false">IF(AND(ISNUMBER(BJ18),ISNUMBER(BE18)),IFERROR(BJ18/BE18-1,""),"")</f>
        <v>0.12193140647593</v>
      </c>
      <c r="BK19" s="29" t="n">
        <f aca="false">IF(AND(ISNUMBER(BK18),ISNUMBER(BF18)),IFERROR(BK18/BF18-1,""),"")</f>
        <v>0.180507497116494</v>
      </c>
      <c r="BL19" s="29" t="n">
        <f aca="false">IF(AND(ISNUMBER(BL18),ISNUMBER(BG18)),IFERROR(BL18/BG18-1,""),"")</f>
        <v>0.043099146028859</v>
      </c>
      <c r="BM19" s="29" t="n">
        <f aca="false">IF(AND(ISNUMBER(BM18),ISNUMBER(BH18)),IFERROR(BM18/BH18-1,""),"")</f>
        <v>0.156970362239298</v>
      </c>
      <c r="BN19" s="29" t="n">
        <f aca="false">IF(AND(ISNUMBER(BN18),ISNUMBER(BI18)),IFERROR(BN18/BI18-1,""),"")</f>
        <v>0.181218274111675</v>
      </c>
      <c r="BO19" s="29" t="n">
        <f aca="false">IF(AND(ISNUMBER(BO18),ISNUMBER(BJ18)),IFERROR(BO18/BJ18-1,""),"")</f>
        <v>0.0851844879518073</v>
      </c>
      <c r="BP19" s="29" t="n">
        <f aca="false">IF(AND(ISNUMBER(BP18),ISNUMBER(BK18)),IFERROR(BP18/BK18-1,""),"")</f>
        <v>0.044912302819232</v>
      </c>
      <c r="BQ19" s="29" t="n">
        <f aca="false">IF(AND(ISNUMBER(BQ18),ISNUMBER(BL18)),IFERROR(BQ18/BL18-1,""),"")</f>
        <v>0.115071695192784</v>
      </c>
      <c r="BR19" s="29" t="n">
        <f aca="false">IF(AND(ISNUMBER(BR18),ISNUMBER(BM18)),IFERROR(BR18/BM18-1,""),"")</f>
        <v>0.0457516339869282</v>
      </c>
      <c r="BS19" s="29" t="n">
        <f aca="false">IF(AND(ISNUMBER(BS18),ISNUMBER(BN18)),IFERROR(BS18/BN18-1,""),"")</f>
        <v>-0.0283626987537602</v>
      </c>
      <c r="BT19" s="29" t="n">
        <f aca="false">IF(AND(ISNUMBER(BT18),ISNUMBER(BO18)),IFERROR(BT18/BO18-1,""),"")</f>
        <v>-0.0193358554014291</v>
      </c>
      <c r="BU19" s="29" t="n">
        <f aca="false">IF(AND(ISNUMBER(BU18),ISNUMBER(BP18)),IFERROR(BU18/BP18-1,""),"")</f>
        <v>-0.00459981600735959</v>
      </c>
      <c r="BV19" s="29" t="n">
        <f aca="false">IF(AND(ISNUMBER(BV18),ISNUMBER(BQ18)),IFERROR(BV18/BQ18-1,""),"")</f>
        <v>-0.00263768467750569</v>
      </c>
      <c r="BW19" s="29" t="n">
        <f aca="false">IF(AND(ISNUMBER(BW18),ISNUMBER(BR18)),IFERROR(BW18/BR18-1,""),"")</f>
        <v>0.0101382488479262</v>
      </c>
      <c r="BX19" s="29" t="n">
        <f aca="false">IF(AND(ISNUMBER(BX18),ISNUMBER(BS18)),IFERROR(BX18/BS18-1,""),"")</f>
        <v>0.0442282176028306</v>
      </c>
      <c r="BY19" s="30" t="n">
        <f aca="false">IF(AND(ISNUMBER(BY18),ISNUMBER(BT18)),IFERROR(BY18/BT18-1,""),"")</f>
        <v>0.0105120643557579</v>
      </c>
      <c r="BZ19" s="30" t="n">
        <f aca="false">IF(AND(ISNUMBER(BZ18),ISNUMBER(BU18)),IFERROR(BZ18/BU18-1,""),"")</f>
        <v>0.0193718058316532</v>
      </c>
      <c r="CA19" s="30" t="n">
        <f aca="false">IF(AND(ISNUMBER(CA18),ISNUMBER(BV18)),IFERROR(CA18/BV18-1,""),"")</f>
        <v>0.0209928585464978</v>
      </c>
      <c r="CB19" s="30" t="n">
        <f aca="false">IF(AND(ISNUMBER(CB18),ISNUMBER(CA18)),IFERROR(CB18/CA18-1,""),"")</f>
        <v>0.0396039603960399</v>
      </c>
      <c r="CC19" s="30" t="n">
        <f aca="false">IF(AND(ISNUMBER(CC18),ISNUMBER(CB18)),IFERROR(CC18/CB18-1,""),"")</f>
        <v>0.0398009950248757</v>
      </c>
      <c r="CD19" s="30" t="n">
        <f aca="false">IF(AND(ISNUMBER(CD18),ISNUMBER(CC18)),IFERROR(CD18/CC18-1,""),"")</f>
        <v>0.0400000000000003</v>
      </c>
      <c r="CE19" s="30" t="n">
        <f aca="false">IF(AND(ISNUMBER(CE18),ISNUMBER(CD18)),IFERROR(CE18/CD18-1,""),"")</f>
        <v>0.0349999999999999</v>
      </c>
      <c r="CF19" s="21" t="s">
        <v>112</v>
      </c>
      <c r="CN19" s="22" t="s">
        <v>113</v>
      </c>
      <c r="CO19" s="36" t="n">
        <v>0.05</v>
      </c>
      <c r="CP19" s="36" t="n">
        <v>0.05</v>
      </c>
      <c r="CQ19" s="36" t="n">
        <v>0.05</v>
      </c>
      <c r="CR19" s="14" t="s">
        <v>114</v>
      </c>
    </row>
    <row r="20" customFormat="false" ht="15" hidden="false" customHeight="true" outlineLevel="0" collapsed="false">
      <c r="B20" s="37" t="s">
        <v>115</v>
      </c>
      <c r="C20" s="38"/>
      <c r="D20" s="38"/>
      <c r="E20" s="38"/>
      <c r="F20" s="38"/>
      <c r="G20" s="38"/>
      <c r="H20" s="38"/>
      <c r="I20" s="38"/>
      <c r="J20" s="39" t="n">
        <v>-0.020212893194594</v>
      </c>
      <c r="K20" s="39" t="n">
        <v>-0.0154639175257731</v>
      </c>
      <c r="L20" s="39" t="n">
        <v>-0.000612745098039214</v>
      </c>
      <c r="M20" s="39" t="n">
        <v>0.0289687137891077</v>
      </c>
      <c r="N20" s="38"/>
      <c r="O20" s="39" t="n">
        <v>0.056919642857143</v>
      </c>
      <c r="P20" s="39" t="n">
        <v>0.0691099476439792</v>
      </c>
      <c r="Q20" s="39" t="n">
        <v>0.0815450643776825</v>
      </c>
      <c r="R20" s="39" t="n">
        <v>0.0427927927927929</v>
      </c>
      <c r="S20" s="39" t="n">
        <v>0.0632152588555859</v>
      </c>
      <c r="T20" s="39" t="n">
        <v>-0.0665258711721225</v>
      </c>
      <c r="U20" s="39" t="n">
        <v>-0.059745347698335</v>
      </c>
      <c r="V20" s="39" t="n">
        <v>-0.0674603174603174</v>
      </c>
      <c r="W20" s="39" t="n">
        <v>-0.0885529157667386</v>
      </c>
      <c r="X20" s="39" t="n">
        <v>-0.070220399794977</v>
      </c>
      <c r="Y20" s="39" t="n">
        <v>-0.033441742081448</v>
      </c>
      <c r="Z20" s="39" t="n">
        <v>-0.0427083333333334</v>
      </c>
      <c r="AA20" s="39" t="n">
        <v>-0.0287234042553192</v>
      </c>
      <c r="AB20" s="39" t="n">
        <v>0.0139849273560717</v>
      </c>
      <c r="AC20" s="39" t="n">
        <v>-0.0239801543550167</v>
      </c>
      <c r="AD20" s="39" t="n">
        <v>0.0195852534562213</v>
      </c>
      <c r="AE20" s="39" t="n">
        <v>0.0707290533188247</v>
      </c>
      <c r="AF20" s="39" t="n">
        <v>0.0359011804794938</v>
      </c>
      <c r="AG20" s="39" t="n">
        <v>0.0831353919239906</v>
      </c>
      <c r="AH20" s="39" t="n">
        <v>0.0521678030150214</v>
      </c>
      <c r="AI20" s="39" t="n">
        <v>0.122659176029963</v>
      </c>
      <c r="AJ20" s="39" t="n">
        <v>0.0766638584667228</v>
      </c>
      <c r="AK20" s="39" t="n">
        <v>0.0728241563055061</v>
      </c>
      <c r="AL20" s="39" t="n">
        <v>-0.00632597007947633</v>
      </c>
      <c r="AM20" s="39" t="n">
        <v>0.0662260235039063</v>
      </c>
      <c r="AN20" s="39" t="n">
        <v>-0.0349629982657506</v>
      </c>
      <c r="AO20" s="39" t="n">
        <v>-0.0187793427230047</v>
      </c>
      <c r="AP20" s="39" t="n">
        <v>0.029193398178808</v>
      </c>
      <c r="AQ20" s="39" t="n">
        <v>0.0439461883408072</v>
      </c>
      <c r="AR20" s="39" t="n">
        <v>0.00395750885232227</v>
      </c>
      <c r="AS20" s="39" t="n">
        <v>0.0396866769095698</v>
      </c>
      <c r="AT20" s="39" t="n">
        <v>-0.0893141945773525</v>
      </c>
      <c r="AU20" s="39" t="n">
        <v>0</v>
      </c>
      <c r="AV20" s="39" t="n">
        <v>0.0592783505154639</v>
      </c>
      <c r="AW20" s="39" t="n">
        <v>0.000609337733198379</v>
      </c>
      <c r="AX20" s="39" t="n">
        <v>0.0530288036522451</v>
      </c>
      <c r="AY20" s="39" t="n">
        <v>0.231173380035026</v>
      </c>
      <c r="AZ20" s="39" t="n">
        <v>0.110055423594616</v>
      </c>
      <c r="BA20" s="39" t="n">
        <v>0.109542233390504</v>
      </c>
      <c r="BB20" s="39" t="n">
        <v>0.124300925106377</v>
      </c>
      <c r="BC20" s="39" t="n">
        <v>0.0948902365677626</v>
      </c>
      <c r="BD20" s="39" t="n">
        <v>0.0284495021337126</v>
      </c>
      <c r="BE20" s="39" t="n">
        <v>-0.00356633380884452</v>
      </c>
      <c r="BF20" s="39" t="n">
        <v>-0.0765230312035661</v>
      </c>
      <c r="BG20" s="39" t="n">
        <v>0.00932560432009</v>
      </c>
      <c r="BH20" s="39" t="n">
        <v>-0.0547945205479452</v>
      </c>
      <c r="BI20" s="39" t="n">
        <v>-0.0172890733056709</v>
      </c>
      <c r="BJ20" s="39" t="n">
        <v>0.0667757439410983</v>
      </c>
      <c r="BK20" s="39" t="n">
        <v>0.0820595333869671</v>
      </c>
      <c r="BL20" s="40" t="n">
        <v>0.0168090684717763</v>
      </c>
      <c r="BM20" s="39" t="n">
        <v>0.0617848970251715</v>
      </c>
      <c r="BN20" s="39" t="n">
        <v>0.0971147079521464</v>
      </c>
      <c r="BO20" s="39" t="n">
        <v>0.0769746932515338</v>
      </c>
      <c r="BP20" s="39" t="n">
        <v>0.0833553183834992</v>
      </c>
      <c r="BQ20" s="39" t="n">
        <v>0.0805456552280595</v>
      </c>
      <c r="BR20" s="40" t="n">
        <v>0.127531472359059</v>
      </c>
      <c r="BS20" s="40" t="n">
        <v>0.0109044259140474</v>
      </c>
      <c r="BT20" s="39" t="n">
        <v>-0.0149532710280373</v>
      </c>
      <c r="BU20" s="39" t="n">
        <v>-0.0148548278190412</v>
      </c>
      <c r="BV20" s="39" t="n">
        <v>0.0245737582667096</v>
      </c>
      <c r="BW20" s="39" t="n">
        <v>-0.0207119741100325</v>
      </c>
      <c r="BX20" s="39" t="n">
        <v>0.0843908629441625</v>
      </c>
      <c r="BY20" s="41"/>
      <c r="BZ20" s="41"/>
      <c r="CA20" s="41"/>
      <c r="CB20" s="41"/>
      <c r="CC20" s="41"/>
      <c r="CD20" s="41"/>
      <c r="CE20" s="41"/>
      <c r="CF20" s="21" t="s">
        <v>116</v>
      </c>
      <c r="CN20" s="22" t="s">
        <v>117</v>
      </c>
      <c r="CO20" s="36" t="n">
        <v>50</v>
      </c>
      <c r="CP20" s="36" t="n">
        <v>0</v>
      </c>
      <c r="CQ20" s="36" t="n">
        <v>0</v>
      </c>
      <c r="CR20" s="14" t="s">
        <v>118</v>
      </c>
    </row>
    <row r="21" customFormat="false" ht="15" hidden="false" customHeight="true" outlineLevel="0" collapsed="false">
      <c r="B21" s="37" t="s">
        <v>119</v>
      </c>
      <c r="C21" s="38"/>
      <c r="D21" s="38"/>
      <c r="E21" s="38"/>
      <c r="F21" s="38"/>
      <c r="G21" s="38"/>
      <c r="H21" s="38"/>
      <c r="I21" s="38"/>
      <c r="J21" s="39" t="n">
        <v>-0.0343170830975709</v>
      </c>
      <c r="K21" s="39" t="n">
        <v>-0.00845410628019327</v>
      </c>
      <c r="L21" s="39" t="n">
        <v>0.00563850063532412</v>
      </c>
      <c r="M21" s="39" t="n">
        <v>0.0163710777626194</v>
      </c>
      <c r="N21" s="38"/>
      <c r="O21" s="39" t="n">
        <v>0.043421052631579</v>
      </c>
      <c r="P21" s="39" t="n">
        <v>0.0548112058465287</v>
      </c>
      <c r="Q21" s="39" t="n">
        <v>0.0758706467661692</v>
      </c>
      <c r="R21" s="39" t="n">
        <v>0.0718120805369127</v>
      </c>
      <c r="S21" s="39" t="n">
        <v>0.0616613418530352</v>
      </c>
      <c r="T21" s="39" t="n">
        <v>-0.0277427490542245</v>
      </c>
      <c r="U21" s="39" t="n">
        <v>-0.0282909930715936</v>
      </c>
      <c r="V21" s="39" t="n">
        <v>-0.0416184971098266</v>
      </c>
      <c r="W21" s="39" t="n">
        <v>-0.0613650594865373</v>
      </c>
      <c r="X21" s="39" t="n">
        <v>-0.0398736081853747</v>
      </c>
      <c r="Y21" s="39" t="n">
        <v>-0.00860286964980539</v>
      </c>
      <c r="Z21" s="39" t="n">
        <v>-0.0261437908496732</v>
      </c>
      <c r="AA21" s="39" t="n">
        <v>-0.0120627261761158</v>
      </c>
      <c r="AB21" s="39" t="n">
        <v>0.0211397762442722</v>
      </c>
      <c r="AC21" s="39" t="n">
        <v>-0.00720890142610864</v>
      </c>
      <c r="AD21" s="39" t="n">
        <v>0.034771410173857</v>
      </c>
      <c r="AE21" s="39" t="n">
        <v>0.0738255033557047</v>
      </c>
      <c r="AF21" s="39" t="n">
        <v>0.0307576021861735</v>
      </c>
      <c r="AG21" s="39" t="n">
        <v>0.0863213811420984</v>
      </c>
      <c r="AH21" s="39" t="n">
        <v>0.0564250009396023</v>
      </c>
      <c r="AI21" s="39" t="n">
        <v>0.0838946723821188</v>
      </c>
      <c r="AJ21" s="39" t="n">
        <v>0.0436241610738255</v>
      </c>
      <c r="AK21" s="39" t="n">
        <v>0.0532544378698225</v>
      </c>
      <c r="AL21" s="39" t="n">
        <v>-0.00193005256726087</v>
      </c>
      <c r="AM21" s="39" t="n">
        <v>0.0442693581086009</v>
      </c>
      <c r="AN21" s="39" t="n">
        <v>-0.000771231279705797</v>
      </c>
      <c r="AO21" s="39" t="n">
        <v>0.0359056806002143</v>
      </c>
      <c r="AP21" s="39" t="n">
        <v>0.0734111657303371</v>
      </c>
      <c r="AQ21" s="39" t="n">
        <v>0.0634262003556609</v>
      </c>
      <c r="AR21" s="39" t="n">
        <v>0.0430803885682105</v>
      </c>
      <c r="AS21" s="39" t="n">
        <v>0.0228227311889717</v>
      </c>
      <c r="AT21" s="39" t="n">
        <v>-0.0972581479565442</v>
      </c>
      <c r="AU21" s="39" t="n">
        <v>0.00927357032457499</v>
      </c>
      <c r="AV21" s="39" t="n">
        <v>0.0362318840579712</v>
      </c>
      <c r="AW21" s="39" t="n">
        <v>-0.00904571265209475</v>
      </c>
      <c r="AX21" s="39" t="n">
        <v>0.0254196390183124</v>
      </c>
      <c r="AY21" s="39" t="n">
        <v>0.153008595988539</v>
      </c>
      <c r="AZ21" s="39" t="n">
        <v>0.0229709035222052</v>
      </c>
      <c r="BA21" s="39" t="n">
        <v>0.0322489616310548</v>
      </c>
      <c r="BB21" s="39" t="n">
        <v>0.0570274326888083</v>
      </c>
      <c r="BC21" s="39" t="n">
        <v>0.057690991237678</v>
      </c>
      <c r="BD21" s="39" t="n">
        <v>0.0178926441351888</v>
      </c>
      <c r="BE21" s="39" t="n">
        <v>-0.0249500998003992</v>
      </c>
      <c r="BF21" s="39" t="n">
        <v>-0.0815677966101696</v>
      </c>
      <c r="BG21" s="39" t="n">
        <v>-0.00820477683068377</v>
      </c>
      <c r="BH21" s="39" t="n">
        <v>-0.071355759429154</v>
      </c>
      <c r="BI21" s="39" t="n">
        <v>-0.0380859375</v>
      </c>
      <c r="BJ21" s="39" t="n">
        <v>0.121931406475931</v>
      </c>
      <c r="BK21" s="39" t="n">
        <v>0.180507497116494</v>
      </c>
      <c r="BL21" s="40" t="n">
        <v>0.043099146028859</v>
      </c>
      <c r="BM21" s="39" t="n">
        <v>0.156970362239298</v>
      </c>
      <c r="BN21" s="39" t="n">
        <v>0.181218274111675</v>
      </c>
      <c r="BO21" s="39" t="n">
        <v>0.0851844879518073</v>
      </c>
      <c r="BP21" s="39" t="n">
        <v>0.044912302819232</v>
      </c>
      <c r="BQ21" s="39" t="n">
        <v>0.115071695192784</v>
      </c>
      <c r="BR21" s="40" t="n">
        <v>0.0457516339869282</v>
      </c>
      <c r="BS21" s="40" t="n">
        <v>-0.0283626987537602</v>
      </c>
      <c r="BT21" s="39" t="n">
        <v>-0.0193358554014291</v>
      </c>
      <c r="BU21" s="39" t="n">
        <v>-0.00459981600735959</v>
      </c>
      <c r="BV21" s="39" t="n">
        <v>-0.00263768467750569</v>
      </c>
      <c r="BW21" s="39" t="n">
        <v>0.0101382488479263</v>
      </c>
      <c r="BX21" s="39" t="n">
        <v>0.0442282176028306</v>
      </c>
      <c r="BY21" s="41"/>
      <c r="BZ21" s="41"/>
      <c r="CA21" s="41"/>
      <c r="CB21" s="41"/>
      <c r="CC21" s="41"/>
      <c r="CD21" s="41"/>
      <c r="CE21" s="41"/>
      <c r="CF21" s="21"/>
      <c r="CN21" s="16" t="s">
        <v>120</v>
      </c>
      <c r="CO21" s="13" t="s">
        <v>80</v>
      </c>
      <c r="CP21" s="13" t="s">
        <v>2</v>
      </c>
      <c r="CQ21" s="13" t="s">
        <v>81</v>
      </c>
    </row>
    <row r="22" customFormat="false" ht="15" hidden="false" customHeight="true" outlineLevel="0" collapsed="false">
      <c r="B22" s="22" t="s">
        <v>121</v>
      </c>
      <c r="C22" s="42"/>
      <c r="D22" s="42"/>
      <c r="E22" s="42"/>
      <c r="F22" s="42"/>
      <c r="G22" s="42"/>
      <c r="H22" s="42"/>
      <c r="I22" s="42"/>
      <c r="J22" s="32" t="n">
        <v>734</v>
      </c>
      <c r="K22" s="32" t="n">
        <v>743</v>
      </c>
      <c r="L22" s="32" t="n">
        <v>742</v>
      </c>
      <c r="M22" s="32" t="n">
        <v>746</v>
      </c>
      <c r="N22" s="32" t="n">
        <v>741.271884984026</v>
      </c>
      <c r="O22" s="32" t="n">
        <v>753</v>
      </c>
      <c r="P22" s="32" t="n">
        <v>759</v>
      </c>
      <c r="Q22" s="32" t="n">
        <v>766</v>
      </c>
      <c r="R22" s="32" t="n">
        <v>773</v>
      </c>
      <c r="S22" s="32" t="n">
        <v>763</v>
      </c>
      <c r="T22" s="32" t="n">
        <v>773</v>
      </c>
      <c r="U22" s="32" t="n">
        <v>778</v>
      </c>
      <c r="V22" s="32" t="n">
        <v>773</v>
      </c>
      <c r="W22" s="32" t="n">
        <v>775</v>
      </c>
      <c r="X22" s="32" t="n">
        <v>775</v>
      </c>
      <c r="Y22" s="32" t="n">
        <v>781</v>
      </c>
      <c r="Z22" s="32" t="n">
        <v>786</v>
      </c>
      <c r="AA22" s="32" t="n">
        <v>789</v>
      </c>
      <c r="AB22" s="32" t="n">
        <v>792</v>
      </c>
      <c r="AC22" s="32" t="n">
        <v>787</v>
      </c>
      <c r="AD22" s="32" t="n">
        <v>797</v>
      </c>
      <c r="AE22" s="32" t="n">
        <v>806</v>
      </c>
      <c r="AF22" s="32" t="n">
        <v>813</v>
      </c>
      <c r="AG22" s="32" t="n">
        <v>828</v>
      </c>
      <c r="AH22" s="32" t="n">
        <v>811</v>
      </c>
      <c r="AI22" s="32" t="n">
        <v>837</v>
      </c>
      <c r="AJ22" s="32" t="n">
        <v>837</v>
      </c>
      <c r="AK22" s="32" t="n">
        <v>835</v>
      </c>
      <c r="AL22" s="32" t="n">
        <v>837</v>
      </c>
      <c r="AM22" s="32" t="n">
        <v>837</v>
      </c>
      <c r="AN22" s="32" t="n">
        <v>831</v>
      </c>
      <c r="AO22" s="32" t="n">
        <v>841</v>
      </c>
      <c r="AP22" s="32" t="n">
        <v>842</v>
      </c>
      <c r="AQ22" s="32" t="n">
        <v>846</v>
      </c>
      <c r="AR22" s="32" t="n">
        <v>840</v>
      </c>
      <c r="AS22" s="32" t="n">
        <v>848</v>
      </c>
      <c r="AT22" s="32" t="n">
        <v>876</v>
      </c>
      <c r="AU22" s="32" t="n">
        <v>893</v>
      </c>
      <c r="AV22" s="32" t="n">
        <v>898</v>
      </c>
      <c r="AW22" s="32" t="n">
        <v>879</v>
      </c>
      <c r="AX22" s="32" t="n">
        <v>904</v>
      </c>
      <c r="AY22" s="32" t="n">
        <v>911</v>
      </c>
      <c r="AZ22" s="32" t="n">
        <v>915</v>
      </c>
      <c r="BA22" s="32" t="n">
        <v>924</v>
      </c>
      <c r="BB22" s="32" t="n">
        <v>913</v>
      </c>
      <c r="BC22" s="32" t="n">
        <v>915</v>
      </c>
      <c r="BD22" s="32" t="n">
        <v>910</v>
      </c>
      <c r="BE22" s="32" t="n">
        <v>897</v>
      </c>
      <c r="BF22" s="32" t="n">
        <v>892</v>
      </c>
      <c r="BG22" s="32" t="n">
        <v>904</v>
      </c>
      <c r="BH22" s="32" t="n">
        <v>892</v>
      </c>
      <c r="BI22" s="32" t="n">
        <v>892</v>
      </c>
      <c r="BJ22" s="32" t="n">
        <v>896</v>
      </c>
      <c r="BK22" s="32" t="n">
        <v>895</v>
      </c>
      <c r="BL22" s="32" t="n">
        <v>894</v>
      </c>
      <c r="BM22" s="32" t="n">
        <v>888</v>
      </c>
      <c r="BN22" s="32" t="n">
        <v>888</v>
      </c>
      <c r="BO22" s="32" t="n">
        <v>890</v>
      </c>
      <c r="BP22" s="32" t="n">
        <v>898</v>
      </c>
      <c r="BQ22" s="32" t="n">
        <v>891</v>
      </c>
      <c r="BR22" s="32" t="n">
        <v>905</v>
      </c>
      <c r="BS22" s="32" t="n">
        <v>893</v>
      </c>
      <c r="BT22" s="32" t="n">
        <v>894</v>
      </c>
      <c r="BU22" s="32" t="n">
        <v>897</v>
      </c>
      <c r="BV22" s="32" t="n">
        <v>897</v>
      </c>
      <c r="BW22" s="32" t="n">
        <v>890</v>
      </c>
      <c r="BX22" s="32" t="n">
        <v>888</v>
      </c>
      <c r="BY22" s="43"/>
      <c r="BZ22" s="43"/>
      <c r="CA22" s="44"/>
      <c r="CB22" s="44"/>
      <c r="CC22" s="44"/>
      <c r="CD22" s="44"/>
      <c r="CE22" s="44"/>
      <c r="CF22" s="21"/>
      <c r="CN22" s="22" t="s">
        <v>122</v>
      </c>
      <c r="CP22" s="36" t="n">
        <v>0.896</v>
      </c>
      <c r="CR22" s="14" t="s">
        <v>123</v>
      </c>
    </row>
    <row r="23" customFormat="false" ht="15" hidden="false" customHeight="true" outlineLevel="0" collapsed="false">
      <c r="CN23" s="22" t="s">
        <v>124</v>
      </c>
      <c r="CP23" s="36" t="n">
        <v>0.245</v>
      </c>
      <c r="CR23" s="14" t="s">
        <v>125</v>
      </c>
    </row>
    <row r="24" customFormat="false" ht="15" hidden="false" customHeight="true" outlineLevel="0" collapsed="false">
      <c r="B24" s="15" t="s">
        <v>126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6" t="s">
        <v>127</v>
      </c>
      <c r="CN24" s="22" t="s">
        <v>128</v>
      </c>
      <c r="CP24" s="36" t="n">
        <v>0.01</v>
      </c>
      <c r="CR24" s="14" t="s">
        <v>129</v>
      </c>
    </row>
    <row r="25" customFormat="false" ht="15" hidden="false" customHeight="true" outlineLevel="0" collapsed="false">
      <c r="B25" s="22" t="s">
        <v>130</v>
      </c>
      <c r="C25" s="45" t="n">
        <v>10.2644161849711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5" t="n">
        <v>15.78</v>
      </c>
      <c r="AT25" s="45" t="n">
        <v>16.01</v>
      </c>
      <c r="AU25" s="45" t="n">
        <v>16.61</v>
      </c>
      <c r="AV25" s="45" t="n">
        <v>16.57</v>
      </c>
      <c r="AW25" s="45" t="n">
        <v>16.27</v>
      </c>
      <c r="AX25" s="45" t="n">
        <v>16.68</v>
      </c>
      <c r="AY25" s="45" t="n">
        <v>16.92</v>
      </c>
      <c r="AZ25" s="45" t="n">
        <v>18.31</v>
      </c>
      <c r="BA25" s="45" t="n">
        <v>18.89</v>
      </c>
      <c r="BB25" s="45" t="n">
        <v>17.72</v>
      </c>
      <c r="BC25" s="45" t="n">
        <v>19.28</v>
      </c>
      <c r="BD25" s="45" t="n">
        <v>19.44</v>
      </c>
      <c r="BE25" s="45" t="n">
        <v>19.74</v>
      </c>
      <c r="BF25" s="45" t="n">
        <v>20.11</v>
      </c>
      <c r="BG25" s="45" t="n">
        <v>19.63</v>
      </c>
      <c r="BH25" s="45" t="n">
        <v>20.15</v>
      </c>
      <c r="BI25" s="45" t="n">
        <v>19.96</v>
      </c>
      <c r="BJ25" s="45" t="n">
        <v>21.39</v>
      </c>
      <c r="BK25" s="45" t="n">
        <v>22.47</v>
      </c>
      <c r="BL25" s="45" t="n">
        <v>20.99</v>
      </c>
      <c r="BM25" s="45" t="n">
        <v>22.26</v>
      </c>
      <c r="BN25" s="45" t="n">
        <v>21.69</v>
      </c>
      <c r="BO25" s="45" t="n">
        <v>21.75</v>
      </c>
      <c r="BP25" s="45" t="n">
        <v>21.96</v>
      </c>
      <c r="BQ25" s="45" t="n">
        <v>21.9</v>
      </c>
      <c r="BR25" s="45" t="n">
        <v>21.12</v>
      </c>
      <c r="BS25" s="45" t="n">
        <v>21.42</v>
      </c>
      <c r="BT25" s="45" t="n">
        <v>21.72</v>
      </c>
      <c r="BU25" s="45" t="n">
        <v>22.07</v>
      </c>
      <c r="BV25" s="45" t="n">
        <v>21.58</v>
      </c>
      <c r="BW25" s="45" t="n">
        <v>21.52</v>
      </c>
      <c r="BX25" s="45" t="n">
        <v>20.94</v>
      </c>
      <c r="BY25" s="47"/>
      <c r="BZ25" s="47"/>
      <c r="CA25" s="48"/>
      <c r="CB25" s="48"/>
      <c r="CC25" s="48"/>
      <c r="CD25" s="48"/>
      <c r="CE25" s="48"/>
      <c r="CF25" s="21" t="s">
        <v>131</v>
      </c>
      <c r="CN25" s="22" t="s">
        <v>132</v>
      </c>
      <c r="CP25" s="35" t="n">
        <v>1.25</v>
      </c>
      <c r="CR25" s="14" t="s">
        <v>133</v>
      </c>
    </row>
    <row r="26" customFormat="false" ht="15" hidden="false" customHeight="true" outlineLevel="0" collapsed="false">
      <c r="B26" s="17" t="s">
        <v>134</v>
      </c>
      <c r="C26" s="49" t="n">
        <f aca="false">IF(ISNUMBER(C25),C25,IF(AND(ISNUMBER(C40),ISNUMBER(C43)),C40*(1-C43),""))</f>
        <v>10.2644161849711</v>
      </c>
      <c r="D26" s="49" t="str">
        <f aca="false">IF(ISNUMBER(D25),D25,IF(AND(ISNUMBER(D40),ISNUMBER(D43)),D40*(1-D43),""))</f>
        <v/>
      </c>
      <c r="E26" s="49" t="str">
        <f aca="false">IF(ISNUMBER(E25),E25,IF(AND(ISNUMBER(E40),ISNUMBER(E43)),E40*(1-E43),""))</f>
        <v/>
      </c>
      <c r="F26" s="49" t="str">
        <f aca="false">IF(ISNUMBER(F25),F25,IF(AND(ISNUMBER(F40),ISNUMBER(F43)),F40*(1-F43),""))</f>
        <v/>
      </c>
      <c r="G26" s="49" t="n">
        <f aca="false">IF(ISNUMBER(G25),G25,IF(AND(ISNUMBER(G40),ISNUMBER(G43)),G40*(1-G43),""))</f>
        <v>10.2883925792871</v>
      </c>
      <c r="H26" s="49" t="n">
        <f aca="false">IF(ISNUMBER(H25),H25,IF(AND(ISNUMBER(H40),ISNUMBER(H43)),H40*(1-H43),""))</f>
        <v>10.7725506451613</v>
      </c>
      <c r="I26" s="49" t="n">
        <f aca="false">IF(ISNUMBER(I25),I25,IF(AND(ISNUMBER(I40),ISNUMBER(I43)),I40*(1-I43),""))</f>
        <v>11.425171298913</v>
      </c>
      <c r="J26" s="49" t="n">
        <f aca="false">IF(ISNUMBER(J25),J25,IF(AND(ISNUMBER(J40),ISNUMBER(J43)),J40*(1-J43),""))</f>
        <v>11.71268</v>
      </c>
      <c r="K26" s="49" t="n">
        <f aca="false">IF(ISNUMBER(K25),K25,IF(AND(ISNUMBER(K40),ISNUMBER(K43)),K40*(1-K43),""))</f>
        <v>11.79528</v>
      </c>
      <c r="L26" s="49" t="n">
        <f aca="false">IF(ISNUMBER(L25),L25,IF(AND(ISNUMBER(L40),ISNUMBER(L43)),L40*(1-L43),""))</f>
        <v>12.11182</v>
      </c>
      <c r="M26" s="49" t="n">
        <f aca="false">IF(ISNUMBER(M25),M25,IF(AND(ISNUMBER(M40),ISNUMBER(M43)),M40*(1-M43),""))</f>
        <v>12.0853803563677</v>
      </c>
      <c r="N26" s="49" t="n">
        <f aca="false">IF(ISNUMBER(N25),N25,IF(AND(ISNUMBER(N40),ISNUMBER(N43)),N40*(1-N43),""))</f>
        <v>11.9258259002996</v>
      </c>
      <c r="O26" s="49" t="n">
        <f aca="false">IF(ISNUMBER(O25),O25,IF(AND(ISNUMBER(O40),ISNUMBER(O43)),O40*(1-O43),""))</f>
        <v>12.02879</v>
      </c>
      <c r="P26" s="49" t="n">
        <f aca="false">IF(ISNUMBER(P25),P25,IF(AND(ISNUMBER(P40),ISNUMBER(P43)),P40*(1-P43),""))</f>
        <v>12.3255</v>
      </c>
      <c r="Q26" s="49" t="n">
        <f aca="false">IF(ISNUMBER(Q25),Q25,IF(AND(ISNUMBER(Q40),ISNUMBER(Q43)),Q40*(1-Q43),""))</f>
        <v>12.63661</v>
      </c>
      <c r="R26" s="49" t="n">
        <f aca="false">IF(ISNUMBER(R25),R25,IF(AND(ISNUMBER(R40),ISNUMBER(R43)),R40*(1-R43),""))</f>
        <v>12.9413077858084</v>
      </c>
      <c r="S26" s="49" t="n">
        <f aca="false">IF(ISNUMBER(S25),S25,IF(AND(ISNUMBER(S40),ISNUMBER(S43)),S40*(1-S43),""))</f>
        <v>12.47664</v>
      </c>
      <c r="T26" s="49" t="n">
        <f aca="false">IF(ISNUMBER(T25),T25,IF(AND(ISNUMBER(T40),ISNUMBER(T43)),T40*(1-T43),""))</f>
        <v>13.24341</v>
      </c>
      <c r="U26" s="49" t="n">
        <f aca="false">IF(ISNUMBER(U25),U25,IF(AND(ISNUMBER(U40),ISNUMBER(U43)),U40*(1-U43),""))</f>
        <v>13.52334</v>
      </c>
      <c r="V26" s="49" t="n">
        <f aca="false">IF(ISNUMBER(V25),V25,IF(AND(ISNUMBER(V40),ISNUMBER(V43)),V40*(1-V43),""))</f>
        <v>13.74186</v>
      </c>
      <c r="W26" s="49" t="n">
        <f aca="false">IF(ISNUMBER(W25),W25,IF(AND(ISNUMBER(W40),ISNUMBER(W43)),W40*(1-W43),""))</f>
        <v>14.0411919710024</v>
      </c>
      <c r="X26" s="49" t="n">
        <f aca="false">IF(ISNUMBER(X25),X25,IF(AND(ISNUMBER(X40),ISNUMBER(X43)),X40*(1-X43),""))</f>
        <v>13.63352</v>
      </c>
      <c r="Y26" s="49" t="n">
        <f aca="false">IF(ISNUMBER(Y25),Y25,IF(AND(ISNUMBER(Y40),ISNUMBER(Y43)),Y40*(1-Y43),""))</f>
        <v>14.14237</v>
      </c>
      <c r="Z26" s="49" t="n">
        <f aca="false">IF(ISNUMBER(Z25),Z25,IF(AND(ISNUMBER(Z40),ISNUMBER(Z43)),Z40*(1-Z43),""))</f>
        <v>14.20419</v>
      </c>
      <c r="AA26" s="49" t="n">
        <f aca="false">IF(ISNUMBER(AA25),AA25,IF(AND(ISNUMBER(AA40),ISNUMBER(AA43)),AA40*(1-AA43),""))</f>
        <v>14.43984</v>
      </c>
      <c r="AB26" s="49" t="n">
        <f aca="false">IF(ISNUMBER(AB25),AB25,IF(AND(ISNUMBER(AB40),ISNUMBER(AB43)),AB40*(1-AB43),""))</f>
        <v>14.7821936195761</v>
      </c>
      <c r="AC26" s="49" t="n">
        <f aca="false">IF(ISNUMBER(AC25),AC25,IF(AND(ISNUMBER(AC40),ISNUMBER(AC43)),AC40*(1-AC43),""))</f>
        <v>14.38479</v>
      </c>
      <c r="AD26" s="49" t="n">
        <f aca="false">IF(ISNUMBER(AD25),AD25,IF(AND(ISNUMBER(AD40),ISNUMBER(AD43)),AD40*(1-AD43),""))</f>
        <v>14.86188</v>
      </c>
      <c r="AE26" s="49" t="n">
        <f aca="false">IF(ISNUMBER(AE25),AE25,IF(AND(ISNUMBER(AE40),ISNUMBER(AE43)),AE40*(1-AE43),""))</f>
        <v>15.01521</v>
      </c>
      <c r="AF26" s="49" t="n">
        <f aca="false">IF(ISNUMBER(AF25),AF25,IF(AND(ISNUMBER(AF40),ISNUMBER(AF43)),AF40*(1-AF43),""))</f>
        <v>15.39832</v>
      </c>
      <c r="AG26" s="49" t="n">
        <f aca="false">IF(ISNUMBER(AG25),AG25,IF(AND(ISNUMBER(AG40),ISNUMBER(AG43)),AG40*(1-AG43),""))</f>
        <v>15.6283026675367</v>
      </c>
      <c r="AH26" s="49" t="n">
        <f aca="false">IF(ISNUMBER(AH25),AH25,IF(AND(ISNUMBER(AH40),ISNUMBER(AH43)),AH40*(1-AH43),""))</f>
        <v>15.222</v>
      </c>
      <c r="AI26" s="49" t="n">
        <f aca="false">IF(ISNUMBER(AI25),AI25,IF(AND(ISNUMBER(AI40),ISNUMBER(AI43)),AI40*(1-AI43),""))</f>
        <v>13.8504</v>
      </c>
      <c r="AJ26" s="49" t="n">
        <f aca="false">IF(ISNUMBER(AJ25),AJ25,IF(AND(ISNUMBER(AJ40),ISNUMBER(AJ43)),AJ40*(1-AJ43),""))</f>
        <v>14.17128</v>
      </c>
      <c r="AK26" s="49" t="n">
        <f aca="false">IF(ISNUMBER(AK25),AK25,IF(AND(ISNUMBER(AK40),ISNUMBER(AK43)),AK40*(1-AK43),""))</f>
        <v>14.8264</v>
      </c>
      <c r="AL26" s="49" t="n">
        <f aca="false">IF(ISNUMBER(AL25),AL25,IF(AND(ISNUMBER(AL40),ISNUMBER(AL43)),AL40*(1-AL43),""))</f>
        <v>15.2818394388691</v>
      </c>
      <c r="AM26" s="49" t="n">
        <f aca="false">IF(ISNUMBER(AM25),AM25,IF(AND(ISNUMBER(AM40),ISNUMBER(AM43)),AM40*(1-AM43),""))</f>
        <v>14.5152</v>
      </c>
      <c r="AN26" s="49" t="n">
        <f aca="false">IF(ISNUMBER(AN25),AN25,IF(AND(ISNUMBER(AN40),ISNUMBER(AN43)),AN40*(1-AN43),""))</f>
        <v>15.33831</v>
      </c>
      <c r="AO26" s="49" t="n">
        <f aca="false">IF(ISNUMBER(AO25),AO25,IF(AND(ISNUMBER(AO40),ISNUMBER(AO43)),AO40*(1-AO43),""))</f>
        <v>15.6674</v>
      </c>
      <c r="AP26" s="49" t="n">
        <f aca="false">IF(ISNUMBER(AP25),AP25,IF(AND(ISNUMBER(AP40),ISNUMBER(AP43)),AP40*(1-AP43),""))</f>
        <v>15.80064</v>
      </c>
      <c r="AQ26" s="49" t="n">
        <f aca="false">IF(ISNUMBER(AQ25),AQ25,IF(AND(ISNUMBER(AQ40),ISNUMBER(AQ43)),AQ40*(1-AQ43),""))</f>
        <v>15.9731778184239</v>
      </c>
      <c r="AR26" s="49" t="n">
        <f aca="false">IF(ISNUMBER(AR25),AR25,IF(AND(ISNUMBER(AR40),ISNUMBER(AR43)),AR40*(1-AR43),""))</f>
        <v>15.7035</v>
      </c>
      <c r="AS26" s="49" t="n">
        <f aca="false">IF(ISNUMBER(AS25),AS25,IF(AND(ISNUMBER(AS40),ISNUMBER(AS43)),AS40*(1-AS43),""))</f>
        <v>15.78</v>
      </c>
      <c r="AT26" s="49" t="n">
        <f aca="false">IF(ISNUMBER(AT25),AT25,IF(AND(ISNUMBER(AT40),ISNUMBER(AT43)),AT40*(1-AT43),""))</f>
        <v>16.01</v>
      </c>
      <c r="AU26" s="49" t="n">
        <f aca="false">IF(ISNUMBER(AU25),AU25,IF(AND(ISNUMBER(AU40),ISNUMBER(AU43)),AU40*(1-AU43),""))</f>
        <v>16.61</v>
      </c>
      <c r="AV26" s="49" t="n">
        <f aca="false">IF(ISNUMBER(AV25),AV25,IF(AND(ISNUMBER(AV40),ISNUMBER(AV43)),AV40*(1-AV43),""))</f>
        <v>16.57</v>
      </c>
      <c r="AW26" s="49" t="n">
        <f aca="false">IF(ISNUMBER(AW25),AW25,IF(AND(ISNUMBER(AW40),ISNUMBER(AW43)),AW40*(1-AW43),""))</f>
        <v>16.27</v>
      </c>
      <c r="AX26" s="49" t="n">
        <f aca="false">IF(ISNUMBER(AX25),AX25,IF(AND(ISNUMBER(AX40),ISNUMBER(AX43)),AX40*(1-AX43),""))</f>
        <v>16.68</v>
      </c>
      <c r="AY26" s="49" t="n">
        <f aca="false">IF(ISNUMBER(AY25),AY25,IF(AND(ISNUMBER(AY40),ISNUMBER(AY43)),AY40*(1-AY43),""))</f>
        <v>16.92</v>
      </c>
      <c r="AZ26" s="49" t="n">
        <f aca="false">IF(ISNUMBER(AZ25),AZ25,IF(AND(ISNUMBER(AZ40),ISNUMBER(AZ43)),AZ40*(1-AZ43),""))</f>
        <v>18.31</v>
      </c>
      <c r="BA26" s="49" t="n">
        <f aca="false">IF(ISNUMBER(BA25),BA25,IF(AND(ISNUMBER(BA40),ISNUMBER(BA43)),BA40*(1-BA43),""))</f>
        <v>18.89</v>
      </c>
      <c r="BB26" s="49" t="n">
        <f aca="false">IF(ISNUMBER(BB25),BB25,IF(AND(ISNUMBER(BB40),ISNUMBER(BB43)),BB40*(1-BB43),""))</f>
        <v>17.72</v>
      </c>
      <c r="BC26" s="49" t="n">
        <f aca="false">IF(ISNUMBER(BC25),BC25,IF(AND(ISNUMBER(BC40),ISNUMBER(BC43)),BC40*(1-BC43),""))</f>
        <v>19.28</v>
      </c>
      <c r="BD26" s="49" t="n">
        <f aca="false">IF(ISNUMBER(BD25),BD25,IF(AND(ISNUMBER(BD40),ISNUMBER(BD43)),BD40*(1-BD43),""))</f>
        <v>19.44</v>
      </c>
      <c r="BE26" s="49" t="n">
        <f aca="false">IF(ISNUMBER(BE25),BE25,IF(AND(ISNUMBER(BE40),ISNUMBER(BE43)),BE40*(1-BE43),""))</f>
        <v>19.74</v>
      </c>
      <c r="BF26" s="49" t="n">
        <f aca="false">IF(ISNUMBER(BF25),BF25,IF(AND(ISNUMBER(BF40),ISNUMBER(BF43)),BF40*(1-BF43),""))</f>
        <v>20.11</v>
      </c>
      <c r="BG26" s="49" t="n">
        <f aca="false">IF(ISNUMBER(BG25),BG25,IF(AND(ISNUMBER(BG40),ISNUMBER(BG43)),BG40*(1-BG43),""))</f>
        <v>19.63</v>
      </c>
      <c r="BH26" s="49" t="n">
        <f aca="false">IF(ISNUMBER(BH25),BH25,IF(AND(ISNUMBER(BH40),ISNUMBER(BH43)),BH40*(1-BH43),""))</f>
        <v>20.15</v>
      </c>
      <c r="BI26" s="49" t="n">
        <f aca="false">IF(ISNUMBER(BI25),BI25,IF(AND(ISNUMBER(BI40),ISNUMBER(BI43)),BI40*(1-BI43),""))</f>
        <v>19.96</v>
      </c>
      <c r="BJ26" s="49" t="n">
        <f aca="false">IF(ISNUMBER(BJ25),BJ25,IF(AND(ISNUMBER(BJ40),ISNUMBER(BJ43)),BJ40*(1-BJ43),""))</f>
        <v>21.39</v>
      </c>
      <c r="BK26" s="49" t="n">
        <f aca="false">IF(ISNUMBER(BK25),BK25,IF(AND(ISNUMBER(BK40),ISNUMBER(BK43)),BK40*(1-BK43),""))</f>
        <v>22.47</v>
      </c>
      <c r="BL26" s="49" t="n">
        <f aca="false">IF(ISNUMBER(BL25),BL25,IF(AND(ISNUMBER(BL40),ISNUMBER(BL43)),BL40*(1-BL43),""))</f>
        <v>20.99</v>
      </c>
      <c r="BM26" s="49" t="n">
        <f aca="false">IF(ISNUMBER(BM25),BM25,IF(AND(ISNUMBER(BM40),ISNUMBER(BM43)),BM40*(1-BM43),""))</f>
        <v>22.26</v>
      </c>
      <c r="BN26" s="49" t="n">
        <f aca="false">IF(ISNUMBER(BN25),BN25,IF(AND(ISNUMBER(BN40),ISNUMBER(BN43)),BN40*(1-BN43),""))</f>
        <v>21.69</v>
      </c>
      <c r="BO26" s="49" t="n">
        <f aca="false">IF(ISNUMBER(BO25),BO25,IF(AND(ISNUMBER(BO40),ISNUMBER(BO43)),BO40*(1-BO43),""))</f>
        <v>21.75</v>
      </c>
      <c r="BP26" s="49" t="n">
        <f aca="false">IF(ISNUMBER(BP25),BP25,IF(AND(ISNUMBER(BP40),ISNUMBER(BP43)),BP40*(1-BP43),""))</f>
        <v>21.96</v>
      </c>
      <c r="BQ26" s="49" t="n">
        <f aca="false">IF(ISNUMBER(BQ25),BQ25,IF(AND(ISNUMBER(BQ40),ISNUMBER(BQ43)),BQ40*(1-BQ43),""))</f>
        <v>21.9</v>
      </c>
      <c r="BR26" s="49" t="n">
        <f aca="false">IF(ISNUMBER(BR25),BR25,IF(AND(ISNUMBER(BR40),ISNUMBER(BR43)),BR40*(1-BR43),""))</f>
        <v>21.12</v>
      </c>
      <c r="BS26" s="49" t="n">
        <f aca="false">IF(ISNUMBER(BS25),BS25,IF(AND(ISNUMBER(BS40),ISNUMBER(BS43)),BS40*(1-BS43),""))</f>
        <v>21.42</v>
      </c>
      <c r="BT26" s="49" t="n">
        <f aca="false">IF(ISNUMBER(BT25),BT25,IF(AND(ISNUMBER(BT40),ISNUMBER(BT43)),BT40*(1-BT43),""))</f>
        <v>21.72</v>
      </c>
      <c r="BU26" s="49" t="n">
        <f aca="false">IF(ISNUMBER(BU25),BU25,IF(AND(ISNUMBER(BU40),ISNUMBER(BU43)),BU40*(1-BU43),""))</f>
        <v>22.07</v>
      </c>
      <c r="BV26" s="49" t="n">
        <f aca="false">IF(ISNUMBER(BV25),BV25,IF(AND(ISNUMBER(BV40),ISNUMBER(BV43)),BV40*(1-BV43),""))</f>
        <v>21.58</v>
      </c>
      <c r="BW26" s="49" t="n">
        <f aca="false">IF(ISNUMBER(BW25),BW25,IF(AND(ISNUMBER(BW40),ISNUMBER(BW43)),BW40*(1-BW43),""))</f>
        <v>21.52</v>
      </c>
      <c r="BX26" s="49" t="n">
        <f aca="false">IF(ISNUMBER(BX25),BX25,IF(AND(ISNUMBER(BX40),ISNUMBER(BX43)),BX40*(1-BX43),""))</f>
        <v>20.94</v>
      </c>
      <c r="BY26" s="50" t="n">
        <f aca="false">BT26*(1+BY27)</f>
        <v>21.30732</v>
      </c>
      <c r="BZ26" s="50" t="n">
        <f aca="false">BU26*(1+BZ27)</f>
        <v>22.125175</v>
      </c>
      <c r="CA26" s="50" t="n">
        <f aca="false">IFERROR(CA46*1000/(CA14*20),"")</f>
        <v>21.4567826906575</v>
      </c>
      <c r="CB26" s="50" t="n">
        <f aca="false">CA26*(1+CB27)</f>
        <v>22.3686959550104</v>
      </c>
      <c r="CC26" s="50" t="n">
        <f aca="false">CB26*(1+CC27)</f>
        <v>23.4032481429296</v>
      </c>
      <c r="CD26" s="50" t="n">
        <f aca="false">CC26*(1+CD27)</f>
        <v>24.4563943093615</v>
      </c>
      <c r="CE26" s="50" t="n">
        <f aca="false">CD26*(1+CE27)</f>
        <v>25.5569320532827</v>
      </c>
      <c r="CF26" s="21" t="s">
        <v>135</v>
      </c>
      <c r="CH26" s="31" t="n">
        <f aca="false">IFERROR((CE26/BV26)^(1/5)-1,"n/m")</f>
        <v>0.0344070113697237</v>
      </c>
      <c r="CI26" s="31" t="n">
        <f aca="false">IFERROR((BV26/AW26)^(1/5)-1,"n/m")</f>
        <v>0.058114772016949</v>
      </c>
      <c r="CJ26" s="31" t="n">
        <f aca="false">IFERROR((BV26/X26)^(1/10)-1,"n/m")</f>
        <v>0.0469943645091397</v>
      </c>
      <c r="CK26" s="31" t="n">
        <f aca="false">IFERROR((BV26/C26)^(1/19)-1,"n/m")</f>
        <v>0.0398845245593873</v>
      </c>
      <c r="CN26" s="22" t="s">
        <v>136</v>
      </c>
      <c r="CP26" s="35" t="n">
        <v>0.05</v>
      </c>
      <c r="CR26" s="14"/>
    </row>
    <row r="27" customFormat="false" ht="15" hidden="false" customHeight="true" outlineLevel="0" collapsed="false">
      <c r="B27" s="27" t="s">
        <v>137</v>
      </c>
      <c r="C27" s="28"/>
      <c r="D27" s="29" t="str">
        <f aca="false">IF(AND(ISNUMBER(D26),ISNUMBER(C26)),IFERROR(D26/C26-1,""),"")</f>
        <v/>
      </c>
      <c r="E27" s="29" t="str">
        <f aca="false">IF(AND(ISNUMBER(E26),ISNUMBER(D26)),IFERROR(E26/D26-1,""),"")</f>
        <v/>
      </c>
      <c r="F27" s="29" t="str">
        <f aca="false">IF(AND(ISNUMBER(F26),ISNUMBER(E26)),IFERROR(F26/E26-1,""),"")</f>
        <v/>
      </c>
      <c r="G27" s="29" t="str">
        <f aca="false">IF(AND(ISNUMBER(G26),ISNUMBER(F26)),IFERROR(G26/F26-1,""),"")</f>
        <v/>
      </c>
      <c r="H27" s="29" t="n">
        <f aca="false">IF(AND(ISNUMBER(H26),ISNUMBER(G26)),IFERROR(H26/G26-1,""),"")</f>
        <v>0.0470586694804873</v>
      </c>
      <c r="I27" s="29" t="n">
        <f aca="false">IF(AND(ISNUMBER(I26),ISNUMBER(H26)),IFERROR(I26/H26-1,""),"")</f>
        <v>0.0605818134672584</v>
      </c>
      <c r="J27" s="28"/>
      <c r="K27" s="28"/>
      <c r="L27" s="28"/>
      <c r="M27" s="28"/>
      <c r="N27" s="29" t="n">
        <f aca="false">IF(AND(ISNUMBER(N26),ISNUMBER(I26)),IFERROR(N26/I26-1,""),"")</f>
        <v>0.0438203146620855</v>
      </c>
      <c r="O27" s="29" t="n">
        <f aca="false">IF(AND(ISNUMBER(O26),ISNUMBER(J26)),IFERROR(O26/J26-1,""),"")</f>
        <v>0.0269886994266042</v>
      </c>
      <c r="P27" s="29" t="n">
        <f aca="false">IF(AND(ISNUMBER(P26),ISNUMBER(K26)),IFERROR(P26/K26-1,""),"")</f>
        <v>0.0449518790567074</v>
      </c>
      <c r="Q27" s="29" t="n">
        <f aca="false">IF(AND(ISNUMBER(Q26),ISNUMBER(L26)),IFERROR(Q26/L26-1,""),"")</f>
        <v>0.0433287482806053</v>
      </c>
      <c r="R27" s="29" t="n">
        <f aca="false">IF(AND(ISNUMBER(R26),ISNUMBER(M26)),IFERROR(R26/M26-1,""),"")</f>
        <v>0.070823375367723</v>
      </c>
      <c r="S27" s="29" t="n">
        <f aca="false">IF(AND(ISNUMBER(S26),ISNUMBER(N26)),IFERROR(S26/N26-1,""),"")</f>
        <v>0.0461866628194296</v>
      </c>
      <c r="T27" s="29" t="n">
        <f aca="false">IF(AND(ISNUMBER(T26),ISNUMBER(O26)),IFERROR(T26/O26-1,""),"")</f>
        <v>0.100976074900302</v>
      </c>
      <c r="U27" s="29" t="n">
        <f aca="false">IF(AND(ISNUMBER(U26),ISNUMBER(P26)),IFERROR(U26/P26-1,""),"")</f>
        <v>0.0971838870634052</v>
      </c>
      <c r="V27" s="29" t="n">
        <f aca="false">IF(AND(ISNUMBER(V26),ISNUMBER(Q26)),IFERROR(V26/Q26-1,""),"")</f>
        <v>0.0874641221023675</v>
      </c>
      <c r="W27" s="29" t="n">
        <f aca="false">IF(AND(ISNUMBER(W26),ISNUMBER(R26)),IFERROR(W26/R26-1,""),"")</f>
        <v>0.0849901882714006</v>
      </c>
      <c r="X27" s="29" t="n">
        <f aca="false">IF(AND(ISNUMBER(X26),ISNUMBER(S26)),IFERROR(X26/S26-1,""),"")</f>
        <v>0.0927236820169533</v>
      </c>
      <c r="Y27" s="29" t="n">
        <f aca="false">IF(AND(ISNUMBER(Y26),ISNUMBER(T26)),IFERROR(Y26/T26-1,""),"")</f>
        <v>0.0678797983298864</v>
      </c>
      <c r="Z27" s="29" t="n">
        <f aca="false">IF(AND(ISNUMBER(Z26),ISNUMBER(U26)),IFERROR(Z26/U26-1,""),"")</f>
        <v>0.0503462901916243</v>
      </c>
      <c r="AA27" s="29" t="n">
        <f aca="false">IF(AND(ISNUMBER(AA26),ISNUMBER(V26)),IFERROR(AA26/V26-1,""),"")</f>
        <v>0.0507922508306735</v>
      </c>
      <c r="AB27" s="29" t="n">
        <f aca="false">IF(AND(ISNUMBER(AB26),ISNUMBER(W26)),IFERROR(AB26/W26-1,""),"")</f>
        <v>0.0527734148285999</v>
      </c>
      <c r="AC27" s="29" t="n">
        <f aca="false">IF(AND(ISNUMBER(AC26),ISNUMBER(X26)),IFERROR(AC26/X26-1,""),"")</f>
        <v>0.0551046244843592</v>
      </c>
      <c r="AD27" s="29" t="n">
        <f aca="false">IF(AND(ISNUMBER(AD26),ISNUMBER(Y26)),IFERROR(AD26/Y26-1,""),"")</f>
        <v>0.0508761968467801</v>
      </c>
      <c r="AE27" s="29" t="n">
        <f aca="false">IF(AND(ISNUMBER(AE26),ISNUMBER(Z26)),IFERROR(AE26/Z26-1,""),"")</f>
        <v>0.0570972368012537</v>
      </c>
      <c r="AF27" s="29" t="n">
        <f aca="false">IF(AND(ISNUMBER(AF26),ISNUMBER(AA26)),IFERROR(AF26/AA26-1,""),"")</f>
        <v>0.0663774667863357</v>
      </c>
      <c r="AG27" s="29" t="n">
        <f aca="false">IF(AND(ISNUMBER(AG26),ISNUMBER(AB26)),IFERROR(AG26/AB26-1,""),"")</f>
        <v>0.0572383957168616</v>
      </c>
      <c r="AH27" s="29" t="n">
        <f aca="false">IF(AND(ISNUMBER(AH26),ISNUMBER(AC26)),IFERROR(AH26/AC26-1,""),"")</f>
        <v>0.0582010582010581</v>
      </c>
      <c r="AI27" s="29" t="n">
        <f aca="false">IF(AND(ISNUMBER(AI26),ISNUMBER(AD26)),IFERROR(AI26/AD26-1,""),"")</f>
        <v>-0.0680586843656388</v>
      </c>
      <c r="AJ27" s="29" t="n">
        <f aca="false">IF(AND(ISNUMBER(AJ26),ISNUMBER(AE26)),IFERROR(AJ26/AE26-1,""),"")</f>
        <v>-0.0562050081217645</v>
      </c>
      <c r="AK27" s="29" t="n">
        <f aca="false">IF(AND(ISNUMBER(AK26),ISNUMBER(AF26)),IFERROR(AK26/AF26-1,""),"")</f>
        <v>-0.0371417141610254</v>
      </c>
      <c r="AL27" s="29" t="n">
        <f aca="false">IF(AND(ISNUMBER(AL26),ISNUMBER(AG26)),IFERROR(AL26/AG26-1,""),"")</f>
        <v>-0.0221689607654755</v>
      </c>
      <c r="AM27" s="29" t="n">
        <f aca="false">IF(AND(ISNUMBER(AM26),ISNUMBER(AH26)),IFERROR(AM26/AH26-1,""),"")</f>
        <v>-0.0464327946393378</v>
      </c>
      <c r="AN27" s="29" t="n">
        <f aca="false">IF(AND(ISNUMBER(AN26),ISNUMBER(AI26)),IFERROR(AN26/AI26-1,""),"")</f>
        <v>0.107427222318489</v>
      </c>
      <c r="AO27" s="29" t="n">
        <f aca="false">IF(AND(ISNUMBER(AO26),ISNUMBER(AJ26)),IFERROR(AO26/AJ26-1,""),"")</f>
        <v>0.105574090696112</v>
      </c>
      <c r="AP27" s="29" t="n">
        <f aca="false">IF(AND(ISNUMBER(AP26),ISNUMBER(AK26)),IFERROR(AP26/AK26-1,""),"")</f>
        <v>0.0657098149247291</v>
      </c>
      <c r="AQ27" s="29" t="n">
        <f aca="false">IF(AND(ISNUMBER(AQ26),ISNUMBER(AL26)),IFERROR(AQ26/AL26-1,""),"")</f>
        <v>0.0452392123553167</v>
      </c>
      <c r="AR27" s="29" t="n">
        <f aca="false">IF(AND(ISNUMBER(AR26),ISNUMBER(AM26)),IFERROR(AR26/AM26-1,""),"")</f>
        <v>0.0818659060846561</v>
      </c>
      <c r="AS27" s="29" t="n">
        <f aca="false">IF(AND(ISNUMBER(AS26),ISNUMBER(AN26)),IFERROR(AS26/AN26-1,""),"")</f>
        <v>0.0287965232153999</v>
      </c>
      <c r="AT27" s="29" t="n">
        <f aca="false">IF(AND(ISNUMBER(AT26),ISNUMBER(AO26)),IFERROR(AT26/AO26-1,""),"")</f>
        <v>0.0218670615418002</v>
      </c>
      <c r="AU27" s="29" t="n">
        <f aca="false">IF(AND(ISNUMBER(AU26),ISNUMBER(AP26)),IFERROR(AU26/AP26-1,""),"")</f>
        <v>0.0512232415902139</v>
      </c>
      <c r="AV27" s="29" t="n">
        <f aca="false">IF(AND(ISNUMBER(AV26),ISNUMBER(AQ26)),IFERROR(AV26/AQ26-1,""),"")</f>
        <v>0.0373640228863961</v>
      </c>
      <c r="AW27" s="29" t="n">
        <f aca="false">IF(AND(ISNUMBER(AW26),ISNUMBER(AR26)),IFERROR(AW26/AR26-1,""),"")</f>
        <v>0.0360747604037317</v>
      </c>
      <c r="AX27" s="29" t="n">
        <f aca="false">IF(AND(ISNUMBER(AX26),ISNUMBER(AS26)),IFERROR(AX26/AS26-1,""),"")</f>
        <v>0.0570342205323193</v>
      </c>
      <c r="AY27" s="29" t="n">
        <f aca="false">IF(AND(ISNUMBER(AY26),ISNUMBER(AT26)),IFERROR(AY26/AT26-1,""),"")</f>
        <v>0.05683947532792</v>
      </c>
      <c r="AZ27" s="29" t="n">
        <f aca="false">IF(AND(ISNUMBER(AZ26),ISNUMBER(AU26)),IFERROR(AZ26/AU26-1,""),"")</f>
        <v>0.102347983142685</v>
      </c>
      <c r="BA27" s="29" t="n">
        <f aca="false">IF(AND(ISNUMBER(BA26),ISNUMBER(AV26)),IFERROR(BA26/AV26-1,""),"")</f>
        <v>0.140012070006035</v>
      </c>
      <c r="BB27" s="29" t="n">
        <f aca="false">IF(AND(ISNUMBER(BB26),ISNUMBER(AW26)),IFERROR(BB26/AW26-1,""),"")</f>
        <v>0.0891210817455439</v>
      </c>
      <c r="BC27" s="29" t="n">
        <f aca="false">IF(AND(ISNUMBER(BC26),ISNUMBER(AX26)),IFERROR(BC26/AX26-1,""),"")</f>
        <v>0.155875299760192</v>
      </c>
      <c r="BD27" s="29" t="n">
        <f aca="false">IF(AND(ISNUMBER(BD26),ISNUMBER(AY26)),IFERROR(BD26/AY26-1,""),"")</f>
        <v>0.148936170212766</v>
      </c>
      <c r="BE27" s="29" t="n">
        <f aca="false">IF(AND(ISNUMBER(BE26),ISNUMBER(AZ26)),IFERROR(BE26/AZ26-1,""),"")</f>
        <v>0.0780993992353904</v>
      </c>
      <c r="BF27" s="29" t="n">
        <f aca="false">IF(AND(ISNUMBER(BF26),ISNUMBER(BA26)),IFERROR(BF26/BA26-1,""),"")</f>
        <v>0.0645844362096346</v>
      </c>
      <c r="BG27" s="29" t="n">
        <f aca="false">IF(AND(ISNUMBER(BG26),ISNUMBER(BB26)),IFERROR(BG26/BB26-1,""),"")</f>
        <v>0.107787810383747</v>
      </c>
      <c r="BH27" s="29" t="n">
        <f aca="false">IF(AND(ISNUMBER(BH26),ISNUMBER(BC26)),IFERROR(BH26/BC26-1,""),"")</f>
        <v>0.0451244813278007</v>
      </c>
      <c r="BI27" s="29" t="n">
        <f aca="false">IF(AND(ISNUMBER(BI26),ISNUMBER(BD26)),IFERROR(BI26/BD26-1,""),"")</f>
        <v>0.0267489711934157</v>
      </c>
      <c r="BJ27" s="29" t="n">
        <f aca="false">IF(AND(ISNUMBER(BJ26),ISNUMBER(BE26)),IFERROR(BJ26/BE26-1,""),"")</f>
        <v>0.0835866261398177</v>
      </c>
      <c r="BK27" s="29" t="n">
        <f aca="false">IF(AND(ISNUMBER(BK26),ISNUMBER(BF26)),IFERROR(BK26/BF26-1,""),"")</f>
        <v>0.117354549975137</v>
      </c>
      <c r="BL27" s="29" t="n">
        <f aca="false">IF(AND(ISNUMBER(BL26),ISNUMBER(BG26)),IFERROR(BL26/BG26-1,""),"")</f>
        <v>0.0692817116658175</v>
      </c>
      <c r="BM27" s="29" t="n">
        <f aca="false">IF(AND(ISNUMBER(BM26),ISNUMBER(BH26)),IFERROR(BM26/BH26-1,""),"")</f>
        <v>0.104714640198511</v>
      </c>
      <c r="BN27" s="29" t="n">
        <f aca="false">IF(AND(ISNUMBER(BN26),ISNUMBER(BI26)),IFERROR(BN26/BI26-1,""),"")</f>
        <v>0.0866733466933869</v>
      </c>
      <c r="BO27" s="29" t="n">
        <f aca="false">IF(AND(ISNUMBER(BO26),ISNUMBER(BJ26)),IFERROR(BO26/BJ26-1,""),"")</f>
        <v>0.0168302945301542</v>
      </c>
      <c r="BP27" s="29" t="n">
        <f aca="false">IF(AND(ISNUMBER(BP26),ISNUMBER(BK26)),IFERROR(BP26/BK26-1,""),"")</f>
        <v>-0.0226969292389853</v>
      </c>
      <c r="BQ27" s="29" t="n">
        <f aca="false">IF(AND(ISNUMBER(BQ26),ISNUMBER(BL26)),IFERROR(BQ26/BL26-1,""),"")</f>
        <v>0.0433539780848022</v>
      </c>
      <c r="BR27" s="29" t="n">
        <f aca="false">IF(AND(ISNUMBER(BR26),ISNUMBER(BM26)),IFERROR(BR26/BM26-1,""),"")</f>
        <v>-0.0512129380053908</v>
      </c>
      <c r="BS27" s="29" t="n">
        <f aca="false">IF(AND(ISNUMBER(BS26),ISNUMBER(BN26)),IFERROR(BS26/BN26-1,""),"")</f>
        <v>-0.0124481327800829</v>
      </c>
      <c r="BT27" s="29" t="n">
        <f aca="false">IF(AND(ISNUMBER(BT26),ISNUMBER(BO26)),IFERROR(BT26/BO26-1,""),"")</f>
        <v>-0.00137931034482763</v>
      </c>
      <c r="BU27" s="29" t="n">
        <f aca="false">IF(AND(ISNUMBER(BU26),ISNUMBER(BP26)),IFERROR(BU26/BP26-1,""),"")</f>
        <v>0.00500910746812378</v>
      </c>
      <c r="BV27" s="29" t="n">
        <f aca="false">IF(AND(ISNUMBER(BV26),ISNUMBER(BQ26)),IFERROR(BV26/BQ26-1,""),"")</f>
        <v>-0.0146118721461187</v>
      </c>
      <c r="BW27" s="29" t="n">
        <f aca="false">IF(AND(ISNUMBER(BW26),ISNUMBER(BR26)),IFERROR(BW26/BR26-1,""),"")</f>
        <v>0.0189393939393938</v>
      </c>
      <c r="BX27" s="29" t="n">
        <f aca="false">IF(AND(ISNUMBER(BX26),ISNUMBER(BS26)),IFERROR(BX26/BS26-1,""),"")</f>
        <v>-0.0224089635854342</v>
      </c>
      <c r="BY27" s="30" t="n">
        <f aca="false">BY28-BY16*BY29</f>
        <v>-0.019</v>
      </c>
      <c r="BZ27" s="30" t="n">
        <f aca="false">BZ28-BZ16*BZ29</f>
        <v>0.0025</v>
      </c>
      <c r="CA27" s="30" t="n">
        <f aca="false">IF(AND(ISNUMBER(CA26),ISNUMBER(BV26)),IFERROR(CA26/BV26-1,""),"")</f>
        <v>-0.00570979190651244</v>
      </c>
      <c r="CB27" s="30" t="n">
        <f aca="false">CB28-CB16*CB29</f>
        <v>0.0425</v>
      </c>
      <c r="CC27" s="30" t="n">
        <f aca="false">CC28-CC16*CC29</f>
        <v>0.04625</v>
      </c>
      <c r="CD27" s="30" t="n">
        <f aca="false">CD28-CD16*CD29</f>
        <v>0.045</v>
      </c>
      <c r="CE27" s="30" t="n">
        <f aca="false">CE28-CE16*CE29</f>
        <v>0.045</v>
      </c>
      <c r="CF27" s="21" t="s">
        <v>138</v>
      </c>
      <c r="CN27" s="22" t="s">
        <v>139</v>
      </c>
      <c r="CP27" s="51" t="n">
        <v>0.005</v>
      </c>
      <c r="CR27" s="14"/>
    </row>
    <row r="28" customFormat="false" ht="15" hidden="false" customHeight="true" outlineLevel="0" collapsed="false">
      <c r="B28" s="22" t="s">
        <v>140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52" t="n">
        <f aca="false">CHOOSE(MATCH($CF$2,{"Bull","Base","Bear"},0),$CO$17,$CP$17,$CQ$17)</f>
        <v>0.035</v>
      </c>
      <c r="BZ28" s="52" t="n">
        <f aca="false">CHOOSE(MATCH($CF$2,{"Bull","Base","Bear"},0),$CO$18,$CP$18,$CQ$18)</f>
        <v>0.04</v>
      </c>
      <c r="CA28" s="53"/>
      <c r="CB28" s="30" t="n">
        <f aca="false">CHOOSE(MATCH($CF$2,{"Bull","Base","Bear"},0),$CO$41,$CP$41,$CQ$41)</f>
        <v>0.05</v>
      </c>
      <c r="CC28" s="30" t="n">
        <f aca="false">CHOOSE(MATCH($CF$2,{"Bull","Base","Bear"},0),$CO$42,$CP$42,$CQ$42)</f>
        <v>0.05</v>
      </c>
      <c r="CD28" s="30" t="n">
        <f aca="false">CHOOSE(MATCH($CF$2,{"Bull","Base","Bear"},0),$CO$43,$CP$43,$CQ$43)</f>
        <v>0.045</v>
      </c>
      <c r="CE28" s="30" t="n">
        <f aca="false">CHOOSE(MATCH($CF$2,{"Bull","Base","Bear"},0),$CO$44,$CP$44,$CQ$44)</f>
        <v>0.045</v>
      </c>
      <c r="CF28" s="21" t="s">
        <v>141</v>
      </c>
      <c r="CN28" s="22" t="s">
        <v>142</v>
      </c>
      <c r="CP28" s="36" t="n">
        <v>0.31</v>
      </c>
      <c r="CR28" s="14" t="s">
        <v>143</v>
      </c>
    </row>
    <row r="29" customFormat="false" ht="15" hidden="false" customHeight="true" outlineLevel="0" collapsed="false">
      <c r="B29" s="22" t="s">
        <v>144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24" t="n">
        <f aca="false">$CP$29</f>
        <v>0.75</v>
      </c>
      <c r="BZ29" s="24" t="n">
        <f aca="false">$CP$29</f>
        <v>0.75</v>
      </c>
      <c r="CA29" s="48"/>
      <c r="CB29" s="25" t="n">
        <f aca="false">$CP$29</f>
        <v>0.75</v>
      </c>
      <c r="CC29" s="25" t="n">
        <f aca="false">$CP$29</f>
        <v>0.75</v>
      </c>
      <c r="CD29" s="25" t="n">
        <f aca="false">$CP$29</f>
        <v>0.75</v>
      </c>
      <c r="CE29" s="25" t="n">
        <f aca="false">$CP$29</f>
        <v>0.75</v>
      </c>
      <c r="CF29" s="21" t="s">
        <v>145</v>
      </c>
      <c r="CN29" s="22" t="s">
        <v>146</v>
      </c>
      <c r="CP29" s="36" t="n">
        <v>0.75</v>
      </c>
      <c r="CR29" s="14"/>
    </row>
    <row r="30" customFormat="false" ht="15" hidden="false" customHeight="true" outlineLevel="0" collapsed="false">
      <c r="B30" s="37" t="s">
        <v>147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9" t="n">
        <v>0.0570342205323193</v>
      </c>
      <c r="AY30" s="39" t="n">
        <v>0.05683947532792</v>
      </c>
      <c r="AZ30" s="39" t="n">
        <v>0.102347983142685</v>
      </c>
      <c r="BA30" s="39" t="n">
        <v>0.140012070006035</v>
      </c>
      <c r="BB30" s="39" t="n">
        <v>0.0891210817455439</v>
      </c>
      <c r="BC30" s="39" t="n">
        <v>0.155875299760192</v>
      </c>
      <c r="BD30" s="39" t="n">
        <v>0.148936170212766</v>
      </c>
      <c r="BE30" s="39" t="n">
        <v>0.0780993992353904</v>
      </c>
      <c r="BF30" s="39" t="n">
        <v>0.0645844362096346</v>
      </c>
      <c r="BG30" s="39" t="n">
        <v>0.107787810383747</v>
      </c>
      <c r="BH30" s="39" t="n">
        <v>0.0451244813278007</v>
      </c>
      <c r="BI30" s="39" t="n">
        <v>0.0267489711934157</v>
      </c>
      <c r="BJ30" s="39" t="n">
        <v>0.0835866261398177</v>
      </c>
      <c r="BK30" s="39" t="n">
        <v>0.117354549975137</v>
      </c>
      <c r="BL30" s="40" t="n">
        <v>0.0692817116658175</v>
      </c>
      <c r="BM30" s="39" t="n">
        <v>0.104714640198511</v>
      </c>
      <c r="BN30" s="39" t="n">
        <v>0.0866733466933869</v>
      </c>
      <c r="BO30" s="39" t="n">
        <v>0.0168302945301542</v>
      </c>
      <c r="BP30" s="39" t="n">
        <v>-0.0226969292389853</v>
      </c>
      <c r="BQ30" s="39" t="n">
        <v>0.0433539780848022</v>
      </c>
      <c r="BR30" s="40" t="n">
        <v>-0.0512129380053908</v>
      </c>
      <c r="BS30" s="40" t="n">
        <v>-0.0124481327800829</v>
      </c>
      <c r="BT30" s="39" t="n">
        <v>-0.00137931034482763</v>
      </c>
      <c r="BU30" s="39" t="n">
        <v>0.00500910746812378</v>
      </c>
      <c r="BV30" s="39" t="n">
        <v>-0.0146118721461187</v>
      </c>
      <c r="BW30" s="39" t="n">
        <v>0.0189393939393938</v>
      </c>
      <c r="BX30" s="39" t="n">
        <v>-0.0224089635854342</v>
      </c>
      <c r="BY30" s="41"/>
      <c r="BZ30" s="41"/>
      <c r="CA30" s="41"/>
      <c r="CB30" s="41"/>
      <c r="CC30" s="41"/>
      <c r="CD30" s="41"/>
      <c r="CE30" s="41"/>
      <c r="CF30" s="21"/>
      <c r="CN30" s="22" t="s">
        <v>148</v>
      </c>
      <c r="CP30" s="26" t="n">
        <v>25</v>
      </c>
      <c r="CR30" s="14" t="s">
        <v>149</v>
      </c>
    </row>
    <row r="31" customFormat="false" ht="15" hidden="false" customHeight="true" outlineLevel="0" collapsed="false">
      <c r="B31" s="22" t="s">
        <v>150</v>
      </c>
      <c r="C31" s="23" t="n">
        <f aca="false">IF(ISNUMBER(C26),IFERROR(C26*C15/100,""),"")</f>
        <v>115.00932642487</v>
      </c>
      <c r="D31" s="23" t="str">
        <f aca="false">IF(ISNUMBER(D26),IFERROR(D26*D15/100,""),"")</f>
        <v/>
      </c>
      <c r="E31" s="23" t="str">
        <f aca="false">IF(ISNUMBER(E26),IFERROR(E26*E15/100,""),"")</f>
        <v/>
      </c>
      <c r="F31" s="23" t="str">
        <f aca="false">IF(ISNUMBER(F26),IFERROR(F26*F15/100,""),"")</f>
        <v/>
      </c>
      <c r="G31" s="23" t="n">
        <f aca="false">IF(ISNUMBER(G26),IFERROR(G26*G15/100,""),"")</f>
        <v>114.572723112986</v>
      </c>
      <c r="H31" s="23" t="n">
        <f aca="false">IF(ISNUMBER(H26),IFERROR(H26*H15/100,""),"")</f>
        <v>122.52177995992</v>
      </c>
      <c r="I31" s="23" t="n">
        <f aca="false">IF(ISNUMBER(I26),IFERROR(I26*I15/100,""),"")</f>
        <v>133.581033772836</v>
      </c>
      <c r="J31" s="23" t="n">
        <f aca="false">IF(ISNUMBER(J26),IFERROR(J26*J15/100,""),"")</f>
        <v>138.0924972</v>
      </c>
      <c r="K31" s="23" t="n">
        <f aca="false">IF(ISNUMBER(K26),IFERROR(K26*K15/100,""),"")</f>
        <v>137.1791064</v>
      </c>
      <c r="L31" s="23" t="n">
        <f aca="false">IF(ISNUMBER(L26),IFERROR(L26*L15/100,""),"")</f>
        <v>140.3759938</v>
      </c>
      <c r="M31" s="23" t="n">
        <f aca="false">IF(ISNUMBER(M26),IFERROR(M26*M15/100,""),"")</f>
        <v>143.936880044339</v>
      </c>
      <c r="N31" s="23" t="n">
        <f aca="false">IF(ISNUMBER(N26),IFERROR(N26*N15/100,""),"")</f>
        <v>139.87126798722</v>
      </c>
      <c r="O31" s="23" t="n">
        <f aca="false">IF(ISNUMBER(O26),IFERROR(O26*O15/100,""),"")</f>
        <v>143.7440405</v>
      </c>
      <c r="P31" s="23" t="n">
        <f aca="false">IF(ISNUMBER(P26),IFERROR(P26*P15/100,""),"")</f>
        <v>145.317645</v>
      </c>
      <c r="Q31" s="23" t="n">
        <f aca="false">IF(ISNUMBER(Q26),IFERROR(Q26*Q15/100,""),"")</f>
        <v>147.2165065</v>
      </c>
      <c r="R31" s="23" t="n">
        <f aca="false">IF(ISNUMBER(R26),IFERROR(R26*R15/100,""),"")</f>
        <v>149.989757237519</v>
      </c>
      <c r="S31" s="23" t="n">
        <f aca="false">IF(ISNUMBER(S26),IFERROR(S26*S15/100,""),"")</f>
        <v>146.4757536</v>
      </c>
      <c r="T31" s="23" t="n">
        <f aca="false">IF(ISNUMBER(T26),IFERROR(T26*T15/100,""),"")</f>
        <v>151.9019127</v>
      </c>
      <c r="U31" s="23" t="n">
        <f aca="false">IF(ISNUMBER(U26),IFERROR(U26*U15/100,""),"")</f>
        <v>154.3013094</v>
      </c>
      <c r="V31" s="23" t="n">
        <f aca="false">IF(ISNUMBER(V26),IFERROR(V26*V15/100,""),"")</f>
        <v>155.8326924</v>
      </c>
      <c r="W31" s="23" t="n">
        <f aca="false">IF(ISNUMBER(W26),IFERROR(W26*W15/100,""),"")</f>
        <v>157.963409673777</v>
      </c>
      <c r="X31" s="23" t="n">
        <f aca="false">IF(ISNUMBER(X26),IFERROR(X26*X15/100,""),"")</f>
        <v>155.0131224</v>
      </c>
      <c r="Y31" s="23" t="n">
        <f aca="false">IF(ISNUMBER(Y26),IFERROR(Y26*Y15/100,""),"")</f>
        <v>158.1116966</v>
      </c>
      <c r="Z31" s="23" t="n">
        <f aca="false">IF(ISNUMBER(Z26),IFERROR(Z26*Z15/100,""),"")</f>
        <v>159.2289699</v>
      </c>
      <c r="AA31" s="23" t="n">
        <f aca="false">IF(ISNUMBER(AA26),IFERROR(AA26*AA15/100,""),"")</f>
        <v>160.8598176</v>
      </c>
      <c r="AB31" s="23" t="n">
        <f aca="false">IF(ISNUMBER(AB26),IFERROR(AB26*AB15/100,""),"")</f>
        <v>165.264924666861</v>
      </c>
      <c r="AC31" s="23" t="n">
        <f aca="false">IF(ISNUMBER(AC26),IFERROR(AC26*AC15/100,""),"")</f>
        <v>160.8219522</v>
      </c>
      <c r="AD31" s="23" t="n">
        <f aca="false">IF(ISNUMBER(AD26),IFERROR(AD26*AD15/100,""),"")</f>
        <v>163.6292988</v>
      </c>
      <c r="AE31" s="23" t="n">
        <f aca="false">IF(ISNUMBER(AE26),IFERROR(AE26*AE15/100,""),"")</f>
        <v>167.8700478</v>
      </c>
      <c r="AF31" s="23" t="n">
        <f aca="false">IF(ISNUMBER(AF26),IFERROR(AF26*AF15/100,""),"")</f>
        <v>172.461184</v>
      </c>
      <c r="AG31" s="23" t="n">
        <f aca="false">IF(ISNUMBER(AG26),IFERROR(AG26*AG15/100,""),"")</f>
        <v>174.099291716359</v>
      </c>
      <c r="AH31" s="23" t="n">
        <f aca="false">IF(ISNUMBER(AH26),IFERROR(AH26*AH15/100,""),"")</f>
        <v>169.42086</v>
      </c>
      <c r="AI31" s="23" t="n">
        <f aca="false">IF(ISNUMBER(AI26),IFERROR(AI26*AI15/100,""),"")</f>
        <v>187.67292</v>
      </c>
      <c r="AJ31" s="23" t="n">
        <f aca="false">IF(ISNUMBER(AJ26),IFERROR(AJ26*AJ15/100,""),"")</f>
        <v>194.146536</v>
      </c>
      <c r="AK31" s="23" t="n">
        <f aca="false">IF(ISNUMBER(AK26),IFERROR(AK26*AK15/100,""),"")</f>
        <v>201.194248</v>
      </c>
      <c r="AL31" s="23" t="n">
        <f aca="false">IF(ISNUMBER(AL26),IFERROR(AL26*AL15/100,""),"")</f>
        <v>202.025917381849</v>
      </c>
      <c r="AM31" s="23" t="n">
        <f aca="false">IF(ISNUMBER(AM26),IFERROR(AM26*AM15/100,""),"")</f>
        <v>196.245504</v>
      </c>
      <c r="AN31" s="23" t="n">
        <f aca="false">IF(ISNUMBER(AN26),IFERROR(AN26*AN15/100,""),"")</f>
        <v>200.6250948</v>
      </c>
      <c r="AO31" s="23" t="n">
        <f aca="false">IF(ISNUMBER(AO26),IFERROR(AO26*AO15/100,""),"")</f>
        <v>203.362852</v>
      </c>
      <c r="AP31" s="23" t="n">
        <f aca="false">IF(ISNUMBER(AP26),IFERROR(AP26*AP15/100,""),"")</f>
        <v>205.7243328</v>
      </c>
      <c r="AQ31" s="23" t="n">
        <f aca="false">IF(ISNUMBER(AQ26),IFERROR(AQ26*AQ15/100,""),"")</f>
        <v>207.172116304958</v>
      </c>
      <c r="AR31" s="23" t="n">
        <f aca="false">IF(ISNUMBER(AR26),IFERROR(AR26*AR15/100,""),"")</f>
        <v>204.302535</v>
      </c>
      <c r="AS31" s="23" t="n">
        <f aca="false">IF(ISNUMBER(AS26),IFERROR(AS26*AS15/100,""),"")</f>
        <v>210.0318</v>
      </c>
      <c r="AT31" s="23" t="n">
        <f aca="false">IF(ISNUMBER(AT26),IFERROR(AT26*AT15/100,""),"")</f>
        <v>209.5709</v>
      </c>
      <c r="AU31" s="23" t="n">
        <f aca="false">IF(ISNUMBER(AU26),IFERROR(AU26*AU15/100,""),"")</f>
        <v>214.1029</v>
      </c>
      <c r="AV31" s="23" t="n">
        <f aca="false">IF(ISNUMBER(AV26),IFERROR(AV26*AV15/100,""),"")</f>
        <v>219.8839</v>
      </c>
      <c r="AW31" s="23" t="n">
        <f aca="false">IF(ISNUMBER(AW26),IFERROR(AW26*AW15/100,""),"")</f>
        <v>213.7878</v>
      </c>
      <c r="AX31" s="23" t="n">
        <f aca="false">IF(ISNUMBER(AX26),IFERROR(AX26*AX15/100,""),"")</f>
        <v>227.8488</v>
      </c>
      <c r="AY31" s="23" t="n">
        <f aca="false">IF(ISNUMBER(AY26),IFERROR(AY26*AY15/100,""),"")</f>
        <v>236.3724</v>
      </c>
      <c r="AZ31" s="23" t="n">
        <f aca="false">IF(ISNUMBER(AZ26),IFERROR(AZ26*AZ15/100,""),"")</f>
        <v>256.34</v>
      </c>
      <c r="BA31" s="23" t="n">
        <f aca="false">IF(ISNUMBER(BA26),IFERROR(BA26*BA15/100,""),"")</f>
        <v>269.3714</v>
      </c>
      <c r="BB31" s="23" t="n">
        <f aca="false">IF(ISNUMBER(BB26),IFERROR(BB26*BB15/100,""),"")</f>
        <v>247.5484</v>
      </c>
      <c r="BC31" s="23" t="n">
        <f aca="false">IF(ISNUMBER(BC26),IFERROR(BC26*BC15/100,""),"")</f>
        <v>272.6192</v>
      </c>
      <c r="BD31" s="23" t="n">
        <f aca="false">IF(ISNUMBER(BD26),IFERROR(BD26*BD15/100,""),"")</f>
        <v>274.4928</v>
      </c>
      <c r="BE31" s="23" t="n">
        <f aca="false">IF(ISNUMBER(BE26),IFERROR(BE26*BE15/100,""),"")</f>
        <v>282.4794</v>
      </c>
      <c r="BF31" s="23" t="n">
        <f aca="false">IF(ISNUMBER(BF26),IFERROR(BF26*BF15/100,""),"")</f>
        <v>288.1763</v>
      </c>
      <c r="BG31" s="23" t="n">
        <f aca="false">IF(ISNUMBER(BG26),IFERROR(BG26*BG15/100,""),"")</f>
        <v>279.1386</v>
      </c>
      <c r="BH31" s="23" t="n">
        <f aca="false">IF(ISNUMBER(BH26),IFERROR(BH26*BH15/100,""),"")</f>
        <v>289.9585</v>
      </c>
      <c r="BI31" s="23" t="n">
        <f aca="false">IF(ISNUMBER(BI26),IFERROR(BI26*BI15/100,""),"")</f>
        <v>288.0228</v>
      </c>
      <c r="BJ31" s="23" t="n">
        <f aca="false">IF(ISNUMBER(BJ26),IFERROR(BJ26*BJ15/100,""),"")</f>
        <v>290.904</v>
      </c>
      <c r="BK31" s="23" t="n">
        <f aca="false">IF(ISNUMBER(BK26),IFERROR(BK26*BK15/100,""),"")</f>
        <v>295.2558</v>
      </c>
      <c r="BL31" s="23" t="n">
        <f aca="false">IF(ISNUMBER(BL26),IFERROR(BL26*BL15/100,""),"")</f>
        <v>290.9214</v>
      </c>
      <c r="BM31" s="23" t="n">
        <f aca="false">IF(ISNUMBER(BM26),IFERROR(BM26*BM15/100,""),"")</f>
        <v>294.0546</v>
      </c>
      <c r="BN31" s="23" t="n">
        <f aca="false">IF(ISNUMBER(BN26),IFERROR(BN26*BN15/100,""),"")</f>
        <v>290.646</v>
      </c>
      <c r="BO31" s="23" t="n">
        <f aca="false">IF(ISNUMBER(BO26),IFERROR(BO26*BO15/100,""),"")</f>
        <v>293.4075</v>
      </c>
      <c r="BP31" s="23" t="n">
        <f aca="false">IF(ISNUMBER(BP26),IFERROR(BP26*BP15/100,""),"")</f>
        <v>299.0952</v>
      </c>
      <c r="BQ31" s="23" t="n">
        <f aca="false">IF(ISNUMBER(BQ26),IFERROR(BQ26*BQ15/100,""),"")</f>
        <v>294.117</v>
      </c>
      <c r="BR31" s="23" t="n">
        <f aca="false">IF(ISNUMBER(BR26),IFERROR(BR26*BR15/100,""),"")</f>
        <v>300.7488</v>
      </c>
      <c r="BS31" s="23" t="n">
        <f aca="false">IF(ISNUMBER(BS26),IFERROR(BS26*BS15/100,""),"")</f>
        <v>298.5948</v>
      </c>
      <c r="BT31" s="23" t="n">
        <f aca="false">IF(ISNUMBER(BT26),IFERROR(BT26*BT15/100,""),"")</f>
        <v>294.306</v>
      </c>
      <c r="BU31" s="23" t="n">
        <f aca="false">IF(ISNUMBER(BU26),IFERROR(BU26*BU15/100,""),"")</f>
        <v>297.5036</v>
      </c>
      <c r="BV31" s="23" t="n">
        <f aca="false">IF(ISNUMBER(BV26),IFERROR(BV26*BV15/100,""),"")</f>
        <v>297.804</v>
      </c>
      <c r="BW31" s="23" t="n">
        <f aca="false">IF(ISNUMBER(BW26),IFERROR(BW26*BW15/100,""),"")</f>
        <v>296.976</v>
      </c>
      <c r="BX31" s="23" t="n">
        <f aca="false">IF(ISNUMBER(BX26),IFERROR(BX26*BX15/100,""),"")</f>
        <v>303.2112</v>
      </c>
      <c r="BY31" s="24" t="n">
        <f aca="false">IFERROR(BY26*BY15/100,"")</f>
        <v>309.501607392</v>
      </c>
      <c r="BZ31" s="24" t="n">
        <f aca="false">IFERROR(BZ26*BZ15/100,"")</f>
        <v>313.15972695</v>
      </c>
      <c r="CA31" s="25" t="n">
        <f aca="false">IFERROR(CA26*CA15/100,"")</f>
        <v>305.753776265587</v>
      </c>
      <c r="CB31" s="25" t="n">
        <f aca="false">IFERROR(CB26*CB15/100,"")</f>
        <v>321.935794874444</v>
      </c>
      <c r="CC31" s="25" t="n">
        <f aca="false">IFERROR(CC26*CC15/100,"")</f>
        <v>338.509452014324</v>
      </c>
      <c r="CD31" s="25" t="n">
        <f aca="false">IFERROR(CD26*CD15/100,"")</f>
        <v>353.742377354968</v>
      </c>
      <c r="CE31" s="25" t="n">
        <f aca="false">IFERROR(CE26*CE15/100,"")</f>
        <v>369.660784335942</v>
      </c>
      <c r="CF31" s="21"/>
      <c r="CH31" s="31" t="n">
        <f aca="false">IFERROR((CE31/BV31)^(1/5)-1,"n/m")</f>
        <v>0.0441780770557003</v>
      </c>
      <c r="CI31" s="31" t="n">
        <f aca="false">IFERROR((BV31/AW31)^(1/5)-1,"n/m")</f>
        <v>0.0685368935528441</v>
      </c>
      <c r="CJ31" s="31" t="n">
        <f aca="false">IFERROR((BV31/X31)^(1/10)-1,"n/m")</f>
        <v>0.0674712971049098</v>
      </c>
      <c r="CK31" s="31" t="n">
        <f aca="false">IFERROR((BV31/C31)^(1/19)-1,"n/m")</f>
        <v>0.051349796788327</v>
      </c>
      <c r="CN31" s="22" t="s">
        <v>151</v>
      </c>
      <c r="CP31" s="36" t="n">
        <v>0.07</v>
      </c>
      <c r="CR31" s="14"/>
    </row>
    <row r="32" customFormat="false" ht="15" hidden="false" customHeight="true" outlineLevel="0" collapsed="false"/>
    <row r="33" customFormat="false" ht="15" hidden="false" customHeight="true" outlineLevel="0" collapsed="false">
      <c r="B33" s="15" t="s">
        <v>152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6" t="s">
        <v>153</v>
      </c>
      <c r="CN33" s="22" t="s">
        <v>154</v>
      </c>
      <c r="CO33" s="54" t="n">
        <v>0.5</v>
      </c>
      <c r="CP33" s="54" t="n">
        <v>0</v>
      </c>
      <c r="CQ33" s="54" t="n">
        <v>0</v>
      </c>
      <c r="CR33" s="14" t="s">
        <v>155</v>
      </c>
    </row>
    <row r="34" customFormat="false" ht="15" hidden="false" customHeight="true" outlineLevel="0" collapsed="false">
      <c r="B34" s="17" t="s">
        <v>156</v>
      </c>
      <c r="C34" s="55" t="n">
        <v>2.705</v>
      </c>
      <c r="D34" s="55" t="n">
        <v>2.885</v>
      </c>
      <c r="E34" s="55" t="n">
        <v>3.803</v>
      </c>
      <c r="F34" s="55" t="n">
        <v>2.47</v>
      </c>
      <c r="G34" s="55" t="n">
        <v>2.99</v>
      </c>
      <c r="H34" s="55" t="n">
        <v>3.85</v>
      </c>
      <c r="I34" s="55" t="n">
        <v>3.97</v>
      </c>
      <c r="J34" s="55" t="n">
        <v>4.03</v>
      </c>
      <c r="K34" s="55" t="n">
        <v>3.87</v>
      </c>
      <c r="L34" s="55" t="n">
        <v>3.92</v>
      </c>
      <c r="M34" s="49" t="n">
        <f aca="false">4*N34-J34-K34-L34</f>
        <v>3.86</v>
      </c>
      <c r="N34" s="55" t="n">
        <v>3.92</v>
      </c>
      <c r="O34" s="55" t="n">
        <v>3.96</v>
      </c>
      <c r="P34" s="55" t="n">
        <v>3.94</v>
      </c>
      <c r="Q34" s="55" t="n">
        <v>3.83</v>
      </c>
      <c r="R34" s="49" t="n">
        <f aca="false">4*S34-O34-P34-Q34</f>
        <v>3.59</v>
      </c>
      <c r="S34" s="55" t="n">
        <v>3.83</v>
      </c>
      <c r="T34" s="55" t="n">
        <v>2.92</v>
      </c>
      <c r="U34" s="55" t="n">
        <v>2.85</v>
      </c>
      <c r="V34" s="55" t="n">
        <v>2.63</v>
      </c>
      <c r="W34" s="49" t="n">
        <f aca="false">4*X34-T34-U34-V34</f>
        <v>2.44</v>
      </c>
      <c r="X34" s="55" t="n">
        <v>2.71</v>
      </c>
      <c r="Y34" s="55" t="n">
        <v>2.07</v>
      </c>
      <c r="Z34" s="55" t="n">
        <v>2.3</v>
      </c>
      <c r="AA34" s="55" t="n">
        <v>2.38</v>
      </c>
      <c r="AB34" s="49" t="n">
        <f aca="false">4*AC34-Y34-Z34-AA34</f>
        <v>2.45</v>
      </c>
      <c r="AC34" s="55" t="n">
        <v>2.3</v>
      </c>
      <c r="AD34" s="55" t="n">
        <v>2.57</v>
      </c>
      <c r="AE34" s="55" t="n">
        <v>2.55</v>
      </c>
      <c r="AF34" s="55" t="n">
        <v>2.63</v>
      </c>
      <c r="AG34" s="49" t="n">
        <f aca="false">4*AH34-AD34-AE34-AF34</f>
        <v>2.85</v>
      </c>
      <c r="AH34" s="55" t="n">
        <v>2.65</v>
      </c>
      <c r="AI34" s="55" t="n">
        <v>3.02</v>
      </c>
      <c r="AJ34" s="55" t="n">
        <v>3.19</v>
      </c>
      <c r="AK34" s="55" t="n">
        <v>3.24</v>
      </c>
      <c r="AL34" s="49" t="n">
        <f aca="false">4*AM34-AI34-AJ34-AK34</f>
        <v>3.27</v>
      </c>
      <c r="AM34" s="55" t="n">
        <v>3.18</v>
      </c>
      <c r="AN34" s="55" t="n">
        <v>3.02</v>
      </c>
      <c r="AO34" s="55" t="n">
        <v>3.12</v>
      </c>
      <c r="AP34" s="55" t="n">
        <v>3.02</v>
      </c>
      <c r="AQ34" s="49" t="n">
        <f aca="false">4*AR34-AN34-AO34-AP34</f>
        <v>3.08</v>
      </c>
      <c r="AR34" s="55" t="n">
        <v>3.06</v>
      </c>
      <c r="AS34" s="55" t="n">
        <v>2.92</v>
      </c>
      <c r="AT34" s="55" t="n">
        <v>2.44</v>
      </c>
      <c r="AU34" s="55" t="n">
        <v>2.43</v>
      </c>
      <c r="AV34" s="49" t="n">
        <f aca="false">4*AW34-AS34-AT34-AU34</f>
        <v>2.45</v>
      </c>
      <c r="AW34" s="55" t="n">
        <v>2.56</v>
      </c>
      <c r="AX34" s="55" t="n">
        <v>2.91</v>
      </c>
      <c r="AY34" s="55" t="n">
        <v>3.21</v>
      </c>
      <c r="AZ34" s="55" t="n">
        <v>3.36</v>
      </c>
      <c r="BA34" s="49" t="n">
        <f aca="false">4*BB34-AX34-AY34-AZ34</f>
        <v>3.68</v>
      </c>
      <c r="BB34" s="55" t="n">
        <v>3.29</v>
      </c>
      <c r="BC34" s="55" t="n">
        <v>4.36</v>
      </c>
      <c r="BD34" s="55" t="n">
        <v>5.53</v>
      </c>
      <c r="BE34" s="55" t="n">
        <v>5.09</v>
      </c>
      <c r="BF34" s="49" t="n">
        <f aca="false">4*BG34-BC34-BD34-BE34</f>
        <v>5.06</v>
      </c>
      <c r="BG34" s="55" t="n">
        <v>5.01</v>
      </c>
      <c r="BH34" s="55" t="n">
        <v>4.4</v>
      </c>
      <c r="BI34" s="55" t="n">
        <v>3.94</v>
      </c>
      <c r="BJ34" s="55" t="n">
        <v>4.27</v>
      </c>
      <c r="BK34" s="49" t="n">
        <f aca="false">4*BL34-BH34-BI34-BJ34</f>
        <v>4.19</v>
      </c>
      <c r="BL34" s="55" t="n">
        <v>4.2</v>
      </c>
      <c r="BM34" s="55" t="n">
        <v>3.96</v>
      </c>
      <c r="BN34" s="55" t="n">
        <v>3.86</v>
      </c>
      <c r="BO34" s="55" t="n">
        <v>3.69</v>
      </c>
      <c r="BP34" s="49" t="n">
        <f aca="false">4*BQ34-BM34-BN34-BO34</f>
        <v>3.53</v>
      </c>
      <c r="BQ34" s="55" t="n">
        <v>3.76</v>
      </c>
      <c r="BR34" s="55" t="n">
        <v>3.63</v>
      </c>
      <c r="BS34" s="55" t="n">
        <v>3.56</v>
      </c>
      <c r="BT34" s="55" t="n">
        <v>3.76</v>
      </c>
      <c r="BU34" s="49" t="n">
        <f aca="false">4*BV34-BR34-BS34-BT34</f>
        <v>3.69</v>
      </c>
      <c r="BV34" s="55" t="n">
        <v>3.66</v>
      </c>
      <c r="BW34" s="55" t="n">
        <v>4.12</v>
      </c>
      <c r="BX34" s="55" t="n">
        <v>5.33</v>
      </c>
      <c r="BY34" s="56" t="n">
        <v>5.56</v>
      </c>
      <c r="BZ34" s="50" t="n">
        <f aca="false">CHOOSE(MATCH($CF$2,{"Bull","Base","Bear"},0),$CO$15,$CP$15,$CQ$15)</f>
        <v>6.25</v>
      </c>
      <c r="CA34" s="50" t="n">
        <f aca="false">AVERAGE(BW34,BX34,BY34,BZ34)</f>
        <v>5.315</v>
      </c>
      <c r="CB34" s="50" t="n">
        <f aca="false">CHOOSE(MATCH($CF$2,{"Bull","Base","Bear"},0),$CO$51,$CP$51,$CQ$51)</f>
        <v>5.25</v>
      </c>
      <c r="CC34" s="50" t="n">
        <f aca="false">CHOOSE(MATCH($CF$2,{"Bull","Base","Bear"},0),$CO$52,$CP$52,$CQ$52)</f>
        <v>4.75</v>
      </c>
      <c r="CD34" s="50" t="n">
        <f aca="false">CHOOSE(MATCH($CF$2,{"Bull","Base","Bear"},0),$CO$53,$CP$53,$CQ$53)</f>
        <v>4.5</v>
      </c>
      <c r="CE34" s="50" t="n">
        <f aca="false">CHOOSE(MATCH($CF$2,{"Bull","Base","Bear"},0),$CO$54,$CP$54,$CQ$54)</f>
        <v>4.5</v>
      </c>
      <c r="CF34" s="21" t="s">
        <v>157</v>
      </c>
    </row>
    <row r="35" customFormat="false" ht="15" hidden="false" customHeight="true" outlineLevel="0" collapsed="false">
      <c r="B35" s="27" t="s">
        <v>158</v>
      </c>
      <c r="C35" s="28"/>
      <c r="D35" s="29" t="n">
        <f aca="false">IF(AND(ISNUMBER(D34),ISNUMBER(C34)),IFERROR(D34/C34-1,""),"")</f>
        <v>0.066543438077634</v>
      </c>
      <c r="E35" s="29" t="n">
        <f aca="false">IF(AND(ISNUMBER(E34),ISNUMBER(D34)),IFERROR(E34/D34-1,""),"")</f>
        <v>0.318197573656846</v>
      </c>
      <c r="F35" s="29" t="n">
        <f aca="false">IF(AND(ISNUMBER(F34),ISNUMBER(E34)),IFERROR(F34/E34-1,""),"")</f>
        <v>-0.350512753089666</v>
      </c>
      <c r="G35" s="29" t="n">
        <f aca="false">IF(AND(ISNUMBER(G34),ISNUMBER(F34)),IFERROR(G34/F34-1,""),"")</f>
        <v>0.210526315789474</v>
      </c>
      <c r="H35" s="29" t="n">
        <f aca="false">IF(AND(ISNUMBER(H34),ISNUMBER(G34)),IFERROR(H34/G34-1,""),"")</f>
        <v>0.287625418060201</v>
      </c>
      <c r="I35" s="29" t="n">
        <f aca="false">IF(AND(ISNUMBER(I34),ISNUMBER(H34)),IFERROR(I34/H34-1,""),"")</f>
        <v>0.0311688311688312</v>
      </c>
      <c r="J35" s="28"/>
      <c r="K35" s="28"/>
      <c r="L35" s="28"/>
      <c r="M35" s="28"/>
      <c r="N35" s="29" t="n">
        <f aca="false">IF(AND(ISNUMBER(N34),ISNUMBER(I34)),IFERROR(N34/I34-1,""),"")</f>
        <v>-0.0125944584382872</v>
      </c>
      <c r="O35" s="29" t="n">
        <f aca="false">IF(AND(ISNUMBER(O34),ISNUMBER(J34)),IFERROR(O34/J34-1,""),"")</f>
        <v>-0.0173697270471465</v>
      </c>
      <c r="P35" s="29" t="n">
        <f aca="false">IF(AND(ISNUMBER(P34),ISNUMBER(K34)),IFERROR(P34/K34-1,""),"")</f>
        <v>0.0180878552971575</v>
      </c>
      <c r="Q35" s="29" t="n">
        <f aca="false">IF(AND(ISNUMBER(Q34),ISNUMBER(L34)),IFERROR(Q34/L34-1,""),"")</f>
        <v>-0.0229591836734694</v>
      </c>
      <c r="R35" s="29" t="n">
        <f aca="false">IF(AND(ISNUMBER(R34),ISNUMBER(M34)),IFERROR(R34/M34-1,""),"")</f>
        <v>-0.0699481865284971</v>
      </c>
      <c r="S35" s="29" t="n">
        <f aca="false">IF(AND(ISNUMBER(S34),ISNUMBER(N34)),IFERROR(S34/N34-1,""),"")</f>
        <v>-0.0229591836734694</v>
      </c>
      <c r="T35" s="29" t="n">
        <f aca="false">IF(AND(ISNUMBER(T34),ISNUMBER(O34)),IFERROR(T34/O34-1,""),"")</f>
        <v>-0.262626262626263</v>
      </c>
      <c r="U35" s="29" t="n">
        <f aca="false">IF(AND(ISNUMBER(U34),ISNUMBER(P34)),IFERROR(U34/P34-1,""),"")</f>
        <v>-0.276649746192893</v>
      </c>
      <c r="V35" s="29" t="n">
        <f aca="false">IF(AND(ISNUMBER(V34),ISNUMBER(Q34)),IFERROR(V34/Q34-1,""),"")</f>
        <v>-0.31331592689295</v>
      </c>
      <c r="W35" s="29" t="n">
        <f aca="false">IF(AND(ISNUMBER(W34),ISNUMBER(R34)),IFERROR(W34/R34-1,""),"")</f>
        <v>-0.32033426183844</v>
      </c>
      <c r="X35" s="29" t="n">
        <f aca="false">IF(AND(ISNUMBER(X34),ISNUMBER(S34)),IFERROR(X34/S34-1,""),"")</f>
        <v>-0.29242819843342</v>
      </c>
      <c r="Y35" s="29" t="n">
        <f aca="false">IF(AND(ISNUMBER(Y34),ISNUMBER(T34)),IFERROR(Y34/T34-1,""),"")</f>
        <v>-0.291095890410959</v>
      </c>
      <c r="Z35" s="29" t="n">
        <f aca="false">IF(AND(ISNUMBER(Z34),ISNUMBER(U34)),IFERROR(Z34/U34-1,""),"")</f>
        <v>-0.192982456140351</v>
      </c>
      <c r="AA35" s="29" t="n">
        <f aca="false">IF(AND(ISNUMBER(AA34),ISNUMBER(V34)),IFERROR(AA34/V34-1,""),"")</f>
        <v>-0.0950570342205324</v>
      </c>
      <c r="AB35" s="29" t="n">
        <f aca="false">IF(AND(ISNUMBER(AB34),ISNUMBER(W34)),IFERROR(AB34/W34-1,""),"")</f>
        <v>0.00409836065573721</v>
      </c>
      <c r="AC35" s="29" t="n">
        <f aca="false">IF(AND(ISNUMBER(AC34),ISNUMBER(X34)),IFERROR(AC34/X34-1,""),"")</f>
        <v>-0.151291512915129</v>
      </c>
      <c r="AD35" s="29" t="n">
        <f aca="false">IF(AND(ISNUMBER(AD34),ISNUMBER(Y34)),IFERROR(AD34/Y34-1,""),"")</f>
        <v>0.241545893719807</v>
      </c>
      <c r="AE35" s="29" t="n">
        <f aca="false">IF(AND(ISNUMBER(AE34),ISNUMBER(Z34)),IFERROR(AE34/Z34-1,""),"")</f>
        <v>0.108695652173913</v>
      </c>
      <c r="AF35" s="29" t="n">
        <f aca="false">IF(AND(ISNUMBER(AF34),ISNUMBER(AA34)),IFERROR(AF34/AA34-1,""),"")</f>
        <v>0.105042016806723</v>
      </c>
      <c r="AG35" s="29" t="n">
        <f aca="false">IF(AND(ISNUMBER(AG34),ISNUMBER(AB34)),IFERROR(AG34/AB34-1,""),"")</f>
        <v>0.163265306122449</v>
      </c>
      <c r="AH35" s="29" t="n">
        <f aca="false">IF(AND(ISNUMBER(AH34),ISNUMBER(AC34)),IFERROR(AH34/AC34-1,""),"")</f>
        <v>0.152173913043478</v>
      </c>
      <c r="AI35" s="29" t="n">
        <f aca="false">IF(AND(ISNUMBER(AI34),ISNUMBER(AD34)),IFERROR(AI34/AD34-1,""),"")</f>
        <v>0.175097276264591</v>
      </c>
      <c r="AJ35" s="29" t="n">
        <f aca="false">IF(AND(ISNUMBER(AJ34),ISNUMBER(AE34)),IFERROR(AJ34/AE34-1,""),"")</f>
        <v>0.250980392156863</v>
      </c>
      <c r="AK35" s="29" t="n">
        <f aca="false">IF(AND(ISNUMBER(AK34),ISNUMBER(AF34)),IFERROR(AK34/AF34-1,""),"")</f>
        <v>0.231939163498099</v>
      </c>
      <c r="AL35" s="29" t="n">
        <f aca="false">IF(AND(ISNUMBER(AL34),ISNUMBER(AG34)),IFERROR(AL34/AG34-1,""),"")</f>
        <v>0.147368421052632</v>
      </c>
      <c r="AM35" s="29" t="n">
        <f aca="false">IF(AND(ISNUMBER(AM34),ISNUMBER(AH34)),IFERROR(AM34/AH34-1,""),"")</f>
        <v>0.2</v>
      </c>
      <c r="AN35" s="29" t="n">
        <f aca="false">IF(AND(ISNUMBER(AN34),ISNUMBER(AI34)),IFERROR(AN34/AI34-1,""),"")</f>
        <v>0</v>
      </c>
      <c r="AO35" s="29" t="n">
        <f aca="false">IF(AND(ISNUMBER(AO34),ISNUMBER(AJ34)),IFERROR(AO34/AJ34-1,""),"")</f>
        <v>-0.0219435736677116</v>
      </c>
      <c r="AP35" s="29" t="n">
        <f aca="false">IF(AND(ISNUMBER(AP34),ISNUMBER(AK34)),IFERROR(AP34/AK34-1,""),"")</f>
        <v>-0.0679012345679013</v>
      </c>
      <c r="AQ35" s="29" t="n">
        <f aca="false">IF(AND(ISNUMBER(AQ34),ISNUMBER(AL34)),IFERROR(AQ34/AL34-1,""),"")</f>
        <v>-0.0581039755351684</v>
      </c>
      <c r="AR35" s="29" t="n">
        <f aca="false">IF(AND(ISNUMBER(AR34),ISNUMBER(AM34)),IFERROR(AR34/AM34-1,""),"")</f>
        <v>-0.0377358490566038</v>
      </c>
      <c r="AS35" s="29" t="n">
        <f aca="false">IF(AND(ISNUMBER(AS34),ISNUMBER(AN34)),IFERROR(AS34/AN34-1,""),"")</f>
        <v>-0.033112582781457</v>
      </c>
      <c r="AT35" s="29" t="n">
        <f aca="false">IF(AND(ISNUMBER(AT34),ISNUMBER(AO34)),IFERROR(AT34/AO34-1,""),"")</f>
        <v>-0.217948717948718</v>
      </c>
      <c r="AU35" s="29" t="n">
        <f aca="false">IF(AND(ISNUMBER(AU34),ISNUMBER(AP34)),IFERROR(AU34/AP34-1,""),"")</f>
        <v>-0.195364238410596</v>
      </c>
      <c r="AV35" s="29" t="n">
        <f aca="false">IF(AND(ISNUMBER(AV34),ISNUMBER(AQ34)),IFERROR(AV34/AQ34-1,""),"")</f>
        <v>-0.204545454545454</v>
      </c>
      <c r="AW35" s="29" t="n">
        <f aca="false">IF(AND(ISNUMBER(AW34),ISNUMBER(AR34)),IFERROR(AW34/AR34-1,""),"")</f>
        <v>-0.163398692810458</v>
      </c>
      <c r="AX35" s="29" t="n">
        <f aca="false">IF(AND(ISNUMBER(AX34),ISNUMBER(AS34)),IFERROR(AX34/AS34-1,""),"")</f>
        <v>-0.00342465753424648</v>
      </c>
      <c r="AY35" s="29" t="n">
        <f aca="false">IF(AND(ISNUMBER(AY34),ISNUMBER(AT34)),IFERROR(AY34/AT34-1,""),"")</f>
        <v>0.315573770491803</v>
      </c>
      <c r="AZ35" s="29" t="n">
        <f aca="false">IF(AND(ISNUMBER(AZ34),ISNUMBER(AU34)),IFERROR(AZ34/AU34-1,""),"")</f>
        <v>0.382716049382716</v>
      </c>
      <c r="BA35" s="29" t="n">
        <f aca="false">IF(AND(ISNUMBER(BA34),ISNUMBER(AV34)),IFERROR(BA34/AV34-1,""),"")</f>
        <v>0.50204081632653</v>
      </c>
      <c r="BB35" s="29" t="n">
        <f aca="false">IF(AND(ISNUMBER(BB34),ISNUMBER(AW34)),IFERROR(BB34/AW34-1,""),"")</f>
        <v>0.28515625</v>
      </c>
      <c r="BC35" s="29" t="n">
        <f aca="false">IF(AND(ISNUMBER(BC34),ISNUMBER(AX34)),IFERROR(BC34/AX34-1,""),"")</f>
        <v>0.498281786941581</v>
      </c>
      <c r="BD35" s="29" t="n">
        <f aca="false">IF(AND(ISNUMBER(BD34),ISNUMBER(AY34)),IFERROR(BD34/AY34-1,""),"")</f>
        <v>0.722741433021807</v>
      </c>
      <c r="BE35" s="29" t="n">
        <f aca="false">IF(AND(ISNUMBER(BE34),ISNUMBER(AZ34)),IFERROR(BE34/AZ34-1,""),"")</f>
        <v>0.514880952380952</v>
      </c>
      <c r="BF35" s="29" t="n">
        <f aca="false">IF(AND(ISNUMBER(BF34),ISNUMBER(BA34)),IFERROR(BF34/BA34-1,""),"")</f>
        <v>0.375</v>
      </c>
      <c r="BG35" s="29" t="n">
        <f aca="false">IF(AND(ISNUMBER(BG34),ISNUMBER(BB34)),IFERROR(BG34/BB34-1,""),"")</f>
        <v>0.522796352583587</v>
      </c>
      <c r="BH35" s="29" t="n">
        <f aca="false">IF(AND(ISNUMBER(BH34),ISNUMBER(BC34)),IFERROR(BH34/BC34-1,""),"")</f>
        <v>0.00917431192660545</v>
      </c>
      <c r="BI35" s="29" t="n">
        <f aca="false">IF(AND(ISNUMBER(BI34),ISNUMBER(BD34)),IFERROR(BI34/BD34-1,""),"")</f>
        <v>-0.2875226039783</v>
      </c>
      <c r="BJ35" s="29" t="n">
        <f aca="false">IF(AND(ISNUMBER(BJ34),ISNUMBER(BE34)),IFERROR(BJ34/BE34-1,""),"")</f>
        <v>-0.161100196463654</v>
      </c>
      <c r="BK35" s="29" t="n">
        <f aca="false">IF(AND(ISNUMBER(BK34),ISNUMBER(BF34)),IFERROR(BK34/BF34-1,""),"")</f>
        <v>-0.17193675889328</v>
      </c>
      <c r="BL35" s="29" t="n">
        <f aca="false">IF(AND(ISNUMBER(BL34),ISNUMBER(BG34)),IFERROR(BL34/BG34-1,""),"")</f>
        <v>-0.161676646706587</v>
      </c>
      <c r="BM35" s="29" t="n">
        <f aca="false">IF(AND(ISNUMBER(BM34),ISNUMBER(BH34)),IFERROR(BM34/BH34-1,""),"")</f>
        <v>-0.1</v>
      </c>
      <c r="BN35" s="29" t="n">
        <f aca="false">IF(AND(ISNUMBER(BN34),ISNUMBER(BI34)),IFERROR(BN34/BI34-1,""),"")</f>
        <v>-0.0203045685279188</v>
      </c>
      <c r="BO35" s="29" t="n">
        <f aca="false">IF(AND(ISNUMBER(BO34),ISNUMBER(BJ34)),IFERROR(BO34/BJ34-1,""),"")</f>
        <v>-0.135831381733021</v>
      </c>
      <c r="BP35" s="29" t="n">
        <f aca="false">IF(AND(ISNUMBER(BP34),ISNUMBER(BK34)),IFERROR(BP34/BK34-1,""),"")</f>
        <v>-0.157517899761337</v>
      </c>
      <c r="BQ35" s="29" t="n">
        <f aca="false">IF(AND(ISNUMBER(BQ34),ISNUMBER(BL34)),IFERROR(BQ34/BL34-1,""),"")</f>
        <v>-0.104761904761905</v>
      </c>
      <c r="BR35" s="29" t="n">
        <f aca="false">IF(AND(ISNUMBER(BR34),ISNUMBER(BM34)),IFERROR(BR34/BM34-1,""),"")</f>
        <v>-0.0833333333333334</v>
      </c>
      <c r="BS35" s="29" t="n">
        <f aca="false">IF(AND(ISNUMBER(BS34),ISNUMBER(BN34)),IFERROR(BS34/BN34-1,""),"")</f>
        <v>-0.077720207253886</v>
      </c>
      <c r="BT35" s="29" t="n">
        <f aca="false">IF(AND(ISNUMBER(BT34),ISNUMBER(BO34)),IFERROR(BT34/BO34-1,""),"")</f>
        <v>0.018970189701897</v>
      </c>
      <c r="BU35" s="29" t="n">
        <f aca="false">IF(AND(ISNUMBER(BU34),ISNUMBER(BP34)),IFERROR(BU34/BP34-1,""),"")</f>
        <v>0.0453257790368278</v>
      </c>
      <c r="BV35" s="29" t="n">
        <f aca="false">IF(AND(ISNUMBER(BV34),ISNUMBER(BQ34)),IFERROR(BV34/BQ34-1,""),"")</f>
        <v>-0.026595744680851</v>
      </c>
      <c r="BW35" s="29" t="n">
        <f aca="false">IF(AND(ISNUMBER(BW34),ISNUMBER(BR34)),IFERROR(BW34/BR34-1,""),"")</f>
        <v>0.134986225895317</v>
      </c>
      <c r="BX35" s="29" t="n">
        <f aca="false">IF(AND(ISNUMBER(BX34),ISNUMBER(BS34)),IFERROR(BX34/BS34-1,""),"")</f>
        <v>0.497191011235955</v>
      </c>
      <c r="BY35" s="30" t="n">
        <f aca="false">IF(AND(ISNUMBER(BY34),ISNUMBER(BT34)),IFERROR(BY34/BT34-1,""),"")</f>
        <v>0.478723404255319</v>
      </c>
      <c r="BZ35" s="30" t="n">
        <f aca="false">IF(AND(ISNUMBER(BZ34),ISNUMBER(BU34)),IFERROR(BZ34/BU34-1,""),"")</f>
        <v>0.693766937669376</v>
      </c>
      <c r="CA35" s="30" t="n">
        <f aca="false">IF(AND(ISNUMBER(CA34),ISNUMBER(BV34)),IFERROR(CA34/BV34-1,""),"")</f>
        <v>0.452185792349727</v>
      </c>
      <c r="CB35" s="30" t="n">
        <f aca="false">IF(AND(ISNUMBER(CB34),ISNUMBER(CA34)),IFERROR(CB34/CA34-1,""),"")</f>
        <v>-0.0122295390404514</v>
      </c>
      <c r="CC35" s="30" t="n">
        <f aca="false">IF(AND(ISNUMBER(CC34),ISNUMBER(CB34)),IFERROR(CC34/CB34-1,""),"")</f>
        <v>-0.0952380952380952</v>
      </c>
      <c r="CD35" s="30" t="n">
        <f aca="false">IF(AND(ISNUMBER(CD34),ISNUMBER(CC34)),IFERROR(CD34/CC34-1,""),"")</f>
        <v>-0.0526315789473685</v>
      </c>
      <c r="CE35" s="30" t="n">
        <f aca="false">IF(AND(ISNUMBER(CE34),ISNUMBER(CD34)),IFERROR(CE34/CD34-1,""),"")</f>
        <v>0</v>
      </c>
      <c r="CF35" s="21"/>
      <c r="CN35" s="16" t="s">
        <v>159</v>
      </c>
      <c r="CO35" s="57" t="n">
        <v>0.02</v>
      </c>
      <c r="CP35" s="58" t="s">
        <v>160</v>
      </c>
      <c r="CQ35" s="57" t="n">
        <v>-0.02</v>
      </c>
      <c r="CR35" s="14" t="s">
        <v>161</v>
      </c>
    </row>
    <row r="36" customFormat="false" ht="15" hidden="false" customHeight="true" outlineLevel="0" collapsed="false">
      <c r="B36" s="22" t="s">
        <v>162</v>
      </c>
      <c r="C36" s="59" t="n">
        <f aca="false">IF(ISNUMBER(C34),MAX(0,ROUNDDOWN((C34-$CP$25)/$CP$26,0)*$CP$27),"")</f>
        <v>0.145</v>
      </c>
      <c r="D36" s="59" t="n">
        <f aca="false">IF(ISNUMBER(D34),MAX(0,ROUNDDOWN((D34-$CP$25)/$CP$26,0)*$CP$27),"")</f>
        <v>0.16</v>
      </c>
      <c r="E36" s="59" t="n">
        <f aca="false">IF(ISNUMBER(E34),MAX(0,ROUNDDOWN((E34-$CP$25)/$CP$26,0)*$CP$27),"")</f>
        <v>0.255</v>
      </c>
      <c r="F36" s="59" t="n">
        <f aca="false">IF(ISNUMBER(F34),MAX(0,ROUNDDOWN((F34-$CP$25)/$CP$26,0)*$CP$27),"")</f>
        <v>0.12</v>
      </c>
      <c r="G36" s="59" t="n">
        <f aca="false">IF(ISNUMBER(G34),MAX(0,ROUNDDOWN((G34-$CP$25)/$CP$26,0)*$CP$27),"")</f>
        <v>0.17</v>
      </c>
      <c r="H36" s="59" t="n">
        <f aca="false">IF(ISNUMBER(H34),MAX(0,ROUNDDOWN((H34-$CP$25)/$CP$26,0)*$CP$27),"")</f>
        <v>0.26</v>
      </c>
      <c r="I36" s="59" t="n">
        <f aca="false">IF(ISNUMBER(I34),MAX(0,ROUNDDOWN((I34-$CP$25)/$CP$26,0)*$CP$27),"")</f>
        <v>0.27</v>
      </c>
      <c r="J36" s="59" t="n">
        <f aca="false">IF(ISNUMBER(J34),MAX(0,ROUNDDOWN((J34-$CP$25)/$CP$26,0)*$CP$27),"")</f>
        <v>0.275</v>
      </c>
      <c r="K36" s="59" t="n">
        <f aca="false">IF(ISNUMBER(K34),MAX(0,ROUNDDOWN((K34-$CP$25)/$CP$26,0)*$CP$27),"")</f>
        <v>0.26</v>
      </c>
      <c r="L36" s="59" t="n">
        <f aca="false">IF(ISNUMBER(L34),MAX(0,ROUNDDOWN((L34-$CP$25)/$CP$26,0)*$CP$27),"")</f>
        <v>0.265</v>
      </c>
      <c r="M36" s="59" t="n">
        <f aca="false">IF(ISNUMBER(M34),MAX(0,ROUNDDOWN((M34-$CP$25)/$CP$26,0)*$CP$27),"")</f>
        <v>0.26</v>
      </c>
      <c r="N36" s="59" t="n">
        <f aca="false">IF(ISNUMBER(N34),MAX(0,ROUNDDOWN((N34-$CP$25)/$CP$26,0)*$CP$27),"")</f>
        <v>0.265</v>
      </c>
      <c r="O36" s="59" t="n">
        <f aca="false">IF(ISNUMBER(O34),MAX(0,ROUNDDOWN((O34-$CP$25)/$CP$26,0)*$CP$27),"")</f>
        <v>0.27</v>
      </c>
      <c r="P36" s="59" t="n">
        <f aca="false">IF(ISNUMBER(P34),MAX(0,ROUNDDOWN((P34-$CP$25)/$CP$26,0)*$CP$27),"")</f>
        <v>0.265</v>
      </c>
      <c r="Q36" s="59" t="n">
        <f aca="false">IF(ISNUMBER(Q34),MAX(0,ROUNDDOWN((Q34-$CP$25)/$CP$26,0)*$CP$27),"")</f>
        <v>0.255</v>
      </c>
      <c r="R36" s="59" t="n">
        <f aca="false">IF(ISNUMBER(R34),MAX(0,ROUNDDOWN((R34-$CP$25)/$CP$26,0)*$CP$27),"")</f>
        <v>0.23</v>
      </c>
      <c r="S36" s="59" t="n">
        <f aca="false">IF(ISNUMBER(S34),MAX(0,ROUNDDOWN((S34-$CP$25)/$CP$26,0)*$CP$27),"")</f>
        <v>0.255</v>
      </c>
      <c r="T36" s="59" t="n">
        <f aca="false">IF(ISNUMBER(T34),MAX(0,ROUNDDOWN((T34-$CP$25)/$CP$26,0)*$CP$27),"")</f>
        <v>0.165</v>
      </c>
      <c r="U36" s="59" t="n">
        <f aca="false">IF(ISNUMBER(U34),MAX(0,ROUNDDOWN((U34-$CP$25)/$CP$26,0)*$CP$27),"")</f>
        <v>0.16</v>
      </c>
      <c r="V36" s="59" t="n">
        <f aca="false">IF(ISNUMBER(V34),MAX(0,ROUNDDOWN((V34-$CP$25)/$CP$26,0)*$CP$27),"")</f>
        <v>0.135</v>
      </c>
      <c r="W36" s="59" t="n">
        <f aca="false">IF(ISNUMBER(W34),MAX(0,ROUNDDOWN((W34-$CP$25)/$CP$26,0)*$CP$27),"")</f>
        <v>0.115</v>
      </c>
      <c r="X36" s="59" t="n">
        <f aca="false">IF(ISNUMBER(X34),MAX(0,ROUNDDOWN((X34-$CP$25)/$CP$26,0)*$CP$27),"")</f>
        <v>0.145</v>
      </c>
      <c r="Y36" s="59" t="n">
        <f aca="false">IF(ISNUMBER(Y34),MAX(0,ROUNDDOWN((Y34-$CP$25)/$CP$26,0)*$CP$27),"")</f>
        <v>0.08</v>
      </c>
      <c r="Z36" s="59" t="n">
        <f aca="false">IF(ISNUMBER(Z34),MAX(0,ROUNDDOWN((Z34-$CP$25)/$CP$26,0)*$CP$27),"")</f>
        <v>0.105</v>
      </c>
      <c r="AA36" s="59" t="n">
        <f aca="false">IF(ISNUMBER(AA34),MAX(0,ROUNDDOWN((AA34-$CP$25)/$CP$26,0)*$CP$27),"")</f>
        <v>0.11</v>
      </c>
      <c r="AB36" s="59" t="n">
        <f aca="false">IF(ISNUMBER(AB34),MAX(0,ROUNDDOWN((AB34-$CP$25)/$CP$26,0)*$CP$27),"")</f>
        <v>0.12</v>
      </c>
      <c r="AC36" s="59" t="n">
        <f aca="false">IF(ISNUMBER(AC34),MAX(0,ROUNDDOWN((AC34-$CP$25)/$CP$26,0)*$CP$27),"")</f>
        <v>0.105</v>
      </c>
      <c r="AD36" s="59" t="n">
        <f aca="false">IF(ISNUMBER(AD34),MAX(0,ROUNDDOWN((AD34-$CP$25)/$CP$26,0)*$CP$27),"")</f>
        <v>0.13</v>
      </c>
      <c r="AE36" s="59" t="n">
        <f aca="false">IF(ISNUMBER(AE34),MAX(0,ROUNDDOWN((AE34-$CP$25)/$CP$26,0)*$CP$27),"")</f>
        <v>0.13</v>
      </c>
      <c r="AF36" s="59" t="n">
        <f aca="false">IF(ISNUMBER(AF34),MAX(0,ROUNDDOWN((AF34-$CP$25)/$CP$26,0)*$CP$27),"")</f>
        <v>0.135</v>
      </c>
      <c r="AG36" s="59" t="n">
        <f aca="false">IF(ISNUMBER(AG34),MAX(0,ROUNDDOWN((AG34-$CP$25)/$CP$26,0)*$CP$27),"")</f>
        <v>0.16</v>
      </c>
      <c r="AH36" s="59" t="n">
        <f aca="false">IF(ISNUMBER(AH34),MAX(0,ROUNDDOWN((AH34-$CP$25)/$CP$26,0)*$CP$27),"")</f>
        <v>0.14</v>
      </c>
      <c r="AI36" s="59" t="n">
        <f aca="false">IF(ISNUMBER(AI34),MAX(0,ROUNDDOWN((AI34-$CP$25)/$CP$26,0)*$CP$27),"")</f>
        <v>0.175</v>
      </c>
      <c r="AJ36" s="59" t="n">
        <f aca="false">IF(ISNUMBER(AJ34),MAX(0,ROUNDDOWN((AJ34-$CP$25)/$CP$26,0)*$CP$27),"")</f>
        <v>0.19</v>
      </c>
      <c r="AK36" s="59" t="n">
        <f aca="false">IF(ISNUMBER(AK34),MAX(0,ROUNDDOWN((AK34-$CP$25)/$CP$26,0)*$CP$27),"")</f>
        <v>0.195</v>
      </c>
      <c r="AL36" s="59" t="n">
        <f aca="false">IF(ISNUMBER(AL34),MAX(0,ROUNDDOWN((AL34-$CP$25)/$CP$26,0)*$CP$27),"")</f>
        <v>0.2</v>
      </c>
      <c r="AM36" s="59" t="n">
        <f aca="false">IF(ISNUMBER(AM34),MAX(0,ROUNDDOWN((AM34-$CP$25)/$CP$26,0)*$CP$27),"")</f>
        <v>0.19</v>
      </c>
      <c r="AN36" s="59" t="n">
        <f aca="false">IF(ISNUMBER(AN34),MAX(0,ROUNDDOWN((AN34-$CP$25)/$CP$26,0)*$CP$27),"")</f>
        <v>0.175</v>
      </c>
      <c r="AO36" s="59" t="n">
        <f aca="false">IF(ISNUMBER(AO34),MAX(0,ROUNDDOWN((AO34-$CP$25)/$CP$26,0)*$CP$27),"")</f>
        <v>0.185</v>
      </c>
      <c r="AP36" s="59" t="n">
        <f aca="false">IF(ISNUMBER(AP34),MAX(0,ROUNDDOWN((AP34-$CP$25)/$CP$26,0)*$CP$27),"")</f>
        <v>0.175</v>
      </c>
      <c r="AQ36" s="59" t="n">
        <f aca="false">IF(ISNUMBER(AQ34),MAX(0,ROUNDDOWN((AQ34-$CP$25)/$CP$26,0)*$CP$27),"")</f>
        <v>0.18</v>
      </c>
      <c r="AR36" s="59" t="n">
        <f aca="false">IF(ISNUMBER(AR34),MAX(0,ROUNDDOWN((AR34-$CP$25)/$CP$26,0)*$CP$27),"")</f>
        <v>0.18</v>
      </c>
      <c r="AS36" s="59" t="n">
        <f aca="false">IF(ISNUMBER(AS34),MAX(0,ROUNDDOWN((AS34-$CP$25)/$CP$26,0)*$CP$27),"")</f>
        <v>0.165</v>
      </c>
      <c r="AT36" s="59" t="n">
        <f aca="false">IF(ISNUMBER(AT34),MAX(0,ROUNDDOWN((AT34-$CP$25)/$CP$26,0)*$CP$27),"")</f>
        <v>0.115</v>
      </c>
      <c r="AU36" s="59" t="n">
        <f aca="false">IF(ISNUMBER(AU34),MAX(0,ROUNDDOWN((AU34-$CP$25)/$CP$26,0)*$CP$27),"")</f>
        <v>0.115</v>
      </c>
      <c r="AV36" s="59" t="n">
        <f aca="false">IF(ISNUMBER(AV34),MAX(0,ROUNDDOWN((AV34-$CP$25)/$CP$26,0)*$CP$27),"")</f>
        <v>0.12</v>
      </c>
      <c r="AW36" s="59" t="n">
        <f aca="false">IF(ISNUMBER(AW34),MAX(0,ROUNDDOWN((AW34-$CP$25)/$CP$26,0)*$CP$27),"")</f>
        <v>0.13</v>
      </c>
      <c r="AX36" s="59" t="n">
        <f aca="false">IF(ISNUMBER(AX34),MAX(0,ROUNDDOWN((AX34-$CP$25)/$CP$26,0)*$CP$27),"")</f>
        <v>0.165</v>
      </c>
      <c r="AY36" s="59" t="n">
        <f aca="false">IF(ISNUMBER(AY34),MAX(0,ROUNDDOWN((AY34-$CP$25)/$CP$26,0)*$CP$27),"")</f>
        <v>0.195</v>
      </c>
      <c r="AZ36" s="59" t="n">
        <f aca="false">IF(ISNUMBER(AZ34),MAX(0,ROUNDDOWN((AZ34-$CP$25)/$CP$26,0)*$CP$27),"")</f>
        <v>0.21</v>
      </c>
      <c r="BA36" s="59" t="n">
        <f aca="false">IF(ISNUMBER(BA34),MAX(0,ROUNDDOWN((BA34-$CP$25)/$CP$26,0)*$CP$27),"")</f>
        <v>0.24</v>
      </c>
      <c r="BB36" s="59" t="n">
        <f aca="false">IF(ISNUMBER(BB34),MAX(0,ROUNDDOWN((BB34-$CP$25)/$CP$26,0)*$CP$27),"")</f>
        <v>0.2</v>
      </c>
      <c r="BC36" s="59" t="n">
        <f aca="false">IF(ISNUMBER(BC34),MAX(0,ROUNDDOWN((BC34-$CP$25)/$CP$26,0)*$CP$27),"")</f>
        <v>0.31</v>
      </c>
      <c r="BD36" s="59" t="n">
        <f aca="false">IF(ISNUMBER(BD34),MAX(0,ROUNDDOWN((BD34-$CP$25)/$CP$26,0)*$CP$27),"")</f>
        <v>0.425</v>
      </c>
      <c r="BE36" s="59" t="n">
        <f aca="false">IF(ISNUMBER(BE34),MAX(0,ROUNDDOWN((BE34-$CP$25)/$CP$26,0)*$CP$27),"")</f>
        <v>0.38</v>
      </c>
      <c r="BF36" s="59" t="n">
        <f aca="false">IF(ISNUMBER(BF34),MAX(0,ROUNDDOWN((BF34-$CP$25)/$CP$26,0)*$CP$27),"")</f>
        <v>0.38</v>
      </c>
      <c r="BG36" s="59" t="n">
        <f aca="false">IF(ISNUMBER(BG34),MAX(0,ROUNDDOWN((BG34-$CP$25)/$CP$26,0)*$CP$27),"")</f>
        <v>0.375</v>
      </c>
      <c r="BH36" s="59" t="n">
        <f aca="false">IF(ISNUMBER(BH34),MAX(0,ROUNDDOWN((BH34-$CP$25)/$CP$26,0)*$CP$27),"")</f>
        <v>0.315</v>
      </c>
      <c r="BI36" s="59" t="n">
        <f aca="false">IF(ISNUMBER(BI34),MAX(0,ROUNDDOWN((BI34-$CP$25)/$CP$26,0)*$CP$27),"")</f>
        <v>0.265</v>
      </c>
      <c r="BJ36" s="59" t="n">
        <f aca="false">IF(ISNUMBER(BJ34),MAX(0,ROUNDDOWN((BJ34-$CP$25)/$CP$26,0)*$CP$27),"")</f>
        <v>0.3</v>
      </c>
      <c r="BK36" s="59" t="n">
        <f aca="false">IF(ISNUMBER(BK34),MAX(0,ROUNDDOWN((BK34-$CP$25)/$CP$26,0)*$CP$27),"")</f>
        <v>0.29</v>
      </c>
      <c r="BL36" s="59" t="n">
        <f aca="false">IF(ISNUMBER(BL34),MAX(0,ROUNDDOWN((BL34-$CP$25)/$CP$26,0)*$CP$27),"")</f>
        <v>0.295</v>
      </c>
      <c r="BM36" s="59" t="n">
        <f aca="false">IF(ISNUMBER(BM34),MAX(0,ROUNDDOWN((BM34-$CP$25)/$CP$26,0)*$CP$27),"")</f>
        <v>0.27</v>
      </c>
      <c r="BN36" s="59" t="n">
        <f aca="false">IF(ISNUMBER(BN34),MAX(0,ROUNDDOWN((BN34-$CP$25)/$CP$26,0)*$CP$27),"")</f>
        <v>0.26</v>
      </c>
      <c r="BO36" s="59" t="n">
        <f aca="false">IF(ISNUMBER(BO34),MAX(0,ROUNDDOWN((BO34-$CP$25)/$CP$26,0)*$CP$27),"")</f>
        <v>0.24</v>
      </c>
      <c r="BP36" s="59" t="n">
        <f aca="false">IF(ISNUMBER(BP34),MAX(0,ROUNDDOWN((BP34-$CP$25)/$CP$26,0)*$CP$27),"")</f>
        <v>0.225</v>
      </c>
      <c r="BQ36" s="59" t="n">
        <f aca="false">IF(ISNUMBER(BQ34),MAX(0,ROUNDDOWN((BQ34-$CP$25)/$CP$26,0)*$CP$27),"")</f>
        <v>0.25</v>
      </c>
      <c r="BR36" s="59" t="n">
        <f aca="false">IF(ISNUMBER(BR34),MAX(0,ROUNDDOWN((BR34-$CP$25)/$CP$26,0)*$CP$27),"")</f>
        <v>0.235</v>
      </c>
      <c r="BS36" s="59" t="n">
        <f aca="false">IF(ISNUMBER(BS34),MAX(0,ROUNDDOWN((BS34-$CP$25)/$CP$26,0)*$CP$27),"")</f>
        <v>0.23</v>
      </c>
      <c r="BT36" s="59" t="n">
        <f aca="false">IF(ISNUMBER(BT34),MAX(0,ROUNDDOWN((BT34-$CP$25)/$CP$26,0)*$CP$27),"")</f>
        <v>0.25</v>
      </c>
      <c r="BU36" s="59" t="n">
        <f aca="false">IF(ISNUMBER(BU34),MAX(0,ROUNDDOWN((BU34-$CP$25)/$CP$26,0)*$CP$27),"")</f>
        <v>0.24</v>
      </c>
      <c r="BV36" s="59" t="n">
        <f aca="false">IF(ISNUMBER(BV34),MAX(0,ROUNDDOWN((BV34-$CP$25)/$CP$26,0)*$CP$27),"")</f>
        <v>0.24</v>
      </c>
      <c r="BW36" s="59" t="n">
        <f aca="false">IF(ISNUMBER(BW34),MAX(0,ROUNDDOWN((BW34-$CP$25)/$CP$26,0)*$CP$27),"")</f>
        <v>0.285</v>
      </c>
      <c r="BX36" s="59" t="n">
        <f aca="false">IF(ISNUMBER(BX34),MAX(0,ROUNDDOWN((BX34-$CP$25)/$CP$26,0)*$CP$27),"")</f>
        <v>0.405</v>
      </c>
      <c r="BY36" s="52" t="n">
        <f aca="false">IF(ISNUMBER(BY34),MAX(0,ROUNDDOWN((BY34-$CP$25)/$CP$26,0)*$CP$27),"")</f>
        <v>0.43</v>
      </c>
      <c r="BZ36" s="52" t="n">
        <f aca="false">IF(ISNUMBER(BZ34),MAX(0,ROUNDDOWN((BZ34-$CP$25)/$CP$26,0)*$CP$27),"")</f>
        <v>0.5</v>
      </c>
      <c r="CA36" s="30" t="n">
        <f aca="false">IF(ISNUMBER(CA34),MAX(0,ROUNDDOWN((CA34-$CP$25)/$CP$26,0)*$CP$27),"")</f>
        <v>0.405</v>
      </c>
      <c r="CB36" s="30" t="n">
        <f aca="false">IF(ISNUMBER(CB34),MAX(0,ROUNDDOWN((CB34-$CP$25)/$CP$26,0)*$CP$27),"")</f>
        <v>0.4</v>
      </c>
      <c r="CC36" s="30" t="n">
        <f aca="false">IF(ISNUMBER(CC34),MAX(0,ROUNDDOWN((CC34-$CP$25)/$CP$26,0)*$CP$27),"")</f>
        <v>0.35</v>
      </c>
      <c r="CD36" s="30" t="n">
        <f aca="false">IF(ISNUMBER(CD34),MAX(0,ROUNDDOWN((CD34-$CP$25)/$CP$26,0)*$CP$27),"")</f>
        <v>0.325</v>
      </c>
      <c r="CE36" s="30" t="n">
        <f aca="false">IF(ISNUMBER(CE34),MAX(0,ROUNDDOWN((CE34-$CP$25)/$CP$26,0)*$CP$27),"")</f>
        <v>0.325</v>
      </c>
      <c r="CF36" s="21" t="s">
        <v>163</v>
      </c>
      <c r="CN36" s="22" t="s">
        <v>164</v>
      </c>
      <c r="CO36" s="60" t="n">
        <f aca="false">CP36+$CO$35</f>
        <v>0.07</v>
      </c>
      <c r="CP36" s="36" t="n">
        <v>0.05</v>
      </c>
      <c r="CQ36" s="60" t="n">
        <f aca="false">CP36+$CQ$35</f>
        <v>0.03</v>
      </c>
    </row>
    <row r="37" customFormat="false" ht="15" hidden="false" customHeight="true" outlineLevel="0" collapsed="false">
      <c r="B37" s="22" t="s">
        <v>165</v>
      </c>
      <c r="C37" s="59" t="n">
        <f aca="false">IF(AND(ISNUMBER(C40),ISNUMBER(C26)),IFERROR(C40/C26-1,""),"")</f>
        <v>0.143397077506667</v>
      </c>
      <c r="D37" s="59" t="str">
        <f aca="false">IF(AND(ISNUMBER(D40),ISNUMBER(D26)),IFERROR(D40/D26-1,""),"")</f>
        <v/>
      </c>
      <c r="E37" s="59" t="str">
        <f aca="false">IF(AND(ISNUMBER(E40),ISNUMBER(E26)),IFERROR(E40/E26-1,""),"")</f>
        <v/>
      </c>
      <c r="F37" s="59" t="str">
        <f aca="false">IF(AND(ISNUMBER(F40),ISNUMBER(F26)),IFERROR(F40/F26-1,""),"")</f>
        <v/>
      </c>
      <c r="G37" s="59" t="n">
        <f aca="false">IF(AND(ISNUMBER(G40),ISNUMBER(G26)),IFERROR(G40/G26-1,""),"")</f>
        <v>0.141552511415525</v>
      </c>
      <c r="H37" s="59" t="n">
        <f aca="false">IF(AND(ISNUMBER(H40),ISNUMBER(H26)),IFERROR(H40/H26-1,""),"")</f>
        <v>0.200480192076831</v>
      </c>
      <c r="I37" s="59" t="n">
        <f aca="false">IF(AND(ISNUMBER(I40),ISNUMBER(I26)),IFERROR(I40/I26-1,""),"")</f>
        <v>0.209189842805321</v>
      </c>
      <c r="J37" s="59" t="n">
        <f aca="false">IF(AND(ISNUMBER(J40),ISNUMBER(J26)),IFERROR(J40/J26-1,""),"")</f>
        <v>0.210653753026634</v>
      </c>
      <c r="K37" s="59" t="n">
        <f aca="false">IF(AND(ISNUMBER(K40),ISNUMBER(K26)),IFERROR(K40/K26-1,""),"")</f>
        <v>0.200480192076831</v>
      </c>
      <c r="L37" s="59" t="n">
        <f aca="false">IF(AND(ISNUMBER(L40),ISNUMBER(L26)),IFERROR(L40/L26-1,""),"")</f>
        <v>0.200480192076831</v>
      </c>
      <c r="M37" s="59" t="n">
        <f aca="false">IF(AND(ISNUMBER(M40),ISNUMBER(M26)),IFERROR(M40/M26-1,""),"")</f>
        <v>0.196486959748947</v>
      </c>
      <c r="N37" s="59" t="n">
        <f aca="false">IF(AND(ISNUMBER(N40),ISNUMBER(N26)),IFERROR(N40/N26-1,""),"")</f>
        <v>0.201923076923077</v>
      </c>
      <c r="O37" s="59" t="n">
        <f aca="false">IF(AND(ISNUMBER(O40),ISNUMBER(O26)),IFERROR(O40/O26-1,""),"")</f>
        <v>0.20627261761158</v>
      </c>
      <c r="P37" s="59" t="n">
        <f aca="false">IF(AND(ISNUMBER(P40),ISNUMBER(P26)),IFERROR(P40/P26-1,""),"")</f>
        <v>0.204819277108434</v>
      </c>
      <c r="Q37" s="59" t="n">
        <f aca="false">IF(AND(ISNUMBER(Q40),ISNUMBER(Q26)),IFERROR(Q40/Q26-1,""),"")</f>
        <v>0.200480192076831</v>
      </c>
      <c r="R37" s="59" t="n">
        <f aca="false">IF(AND(ISNUMBER(R40),ISNUMBER(R26)),IFERROR(R40/R26-1,""),"")</f>
        <v>0.184578889068002</v>
      </c>
      <c r="S37" s="59" t="n">
        <f aca="false">IF(AND(ISNUMBER(S40),ISNUMBER(S26)),IFERROR(S40/S26-1,""),"")</f>
        <v>0.199040767386091</v>
      </c>
      <c r="T37" s="59" t="n">
        <f aca="false">IF(AND(ISNUMBER(T40),ISNUMBER(T26)),IFERROR(T40/T26-1,""),"")</f>
        <v>0.145475372279496</v>
      </c>
      <c r="U37" s="59" t="n">
        <f aca="false">IF(AND(ISNUMBER(U40),ISNUMBER(U26)),IFERROR(U40/U26-1,""),"")</f>
        <v>0.140250855188141</v>
      </c>
      <c r="V37" s="59" t="n">
        <f aca="false">IF(AND(ISNUMBER(V40),ISNUMBER(V26)),IFERROR(V40/V26-1,""),"")</f>
        <v>0.128668171557562</v>
      </c>
      <c r="W37" s="59" t="n">
        <f aca="false">IF(AND(ISNUMBER(W40),ISNUMBER(W26)),IFERROR(W40/W26-1,""),"")</f>
        <v>0.115289929255346</v>
      </c>
      <c r="X37" s="59" t="n">
        <f aca="false">IF(AND(ISNUMBER(X40),ISNUMBER(X26)),IFERROR(X40/X26-1,""),"")</f>
        <v>0.132502831257078</v>
      </c>
      <c r="Y37" s="59" t="n">
        <f aca="false">IF(AND(ISNUMBER(Y40),ISNUMBER(Y26)),IFERROR(Y40/Y26-1,""),"")</f>
        <v>0.0952902519167578</v>
      </c>
      <c r="Z37" s="59" t="n">
        <f aca="false">IF(AND(ISNUMBER(Z40),ISNUMBER(Z26)),IFERROR(Z40/Z26-1,""),"")</f>
        <v>0.107419712070875</v>
      </c>
      <c r="AA37" s="59" t="n">
        <f aca="false">IF(AND(ISNUMBER(AA40),ISNUMBER(AA26)),IFERROR(AA40/AA26-1,""),"")</f>
        <v>0.11358574610245</v>
      </c>
      <c r="AB37" s="59" t="n">
        <f aca="false">IF(AND(ISNUMBER(AB40),ISNUMBER(AB26)),IFERROR(AB40/AB26-1,""),"")</f>
        <v>0.112825364309611</v>
      </c>
      <c r="AC37" s="59" t="n">
        <f aca="false">IF(AND(ISNUMBER(AC40),ISNUMBER(AC26)),IFERROR(AC40/AC26-1,""),"")</f>
        <v>0.107419712070875</v>
      </c>
      <c r="AD37" s="59" t="n">
        <f aca="false">IF(AND(ISNUMBER(AD40),ISNUMBER(AD26)),IFERROR(AD40/AD26-1,""),"")</f>
        <v>0.122334455667789</v>
      </c>
      <c r="AE37" s="59" t="n">
        <f aca="false">IF(AND(ISNUMBER(AE40),ISNUMBER(AE26)),IFERROR(AE40/AE26-1,""),"")</f>
        <v>0.124859392575928</v>
      </c>
      <c r="AF37" s="59" t="n">
        <f aca="false">IF(AND(ISNUMBER(AF40),ISNUMBER(AF26)),IFERROR(AF40/AF26-1,""),"")</f>
        <v>0.12739571589628</v>
      </c>
      <c r="AG37" s="59" t="n">
        <f aca="false">IF(AND(ISNUMBER(AG40),ISNUMBER(AG26)),IFERROR(AG40/AG26-1,""),"")</f>
        <v>0.144718040120975</v>
      </c>
      <c r="AH37" s="59" t="n">
        <f aca="false">IF(AND(ISNUMBER(AH40),ISNUMBER(AH26)),IFERROR(AH40/AH26-1,""),"")</f>
        <v>0.129943502824859</v>
      </c>
      <c r="AI37" s="59" t="n">
        <f aca="false">IF(AND(ISNUMBER(AI40),ISNUMBER(AI26)),IFERROR(AI40/AI26-1,""),"")</f>
        <v>0.149425287356322</v>
      </c>
      <c r="AJ37" s="59" t="n">
        <f aca="false">IF(AND(ISNUMBER(AJ40),ISNUMBER(AJ26)),IFERROR(AJ40/AJ26-1,""),"")</f>
        <v>0.160092807424594</v>
      </c>
      <c r="AK37" s="59" t="n">
        <f aca="false">IF(AND(ISNUMBER(AK40),ISNUMBER(AK26)),IFERROR(AK40/AK26-1,""),"")</f>
        <v>0.160092807424594</v>
      </c>
      <c r="AL37" s="59" t="n">
        <f aca="false">IF(AND(ISNUMBER(AL40),ISNUMBER(AL26)),IFERROR(AL40/AL26-1,""),"")</f>
        <v>0.159546275229767</v>
      </c>
      <c r="AM37" s="59" t="n">
        <f aca="false">IF(AND(ISNUMBER(AM40),ISNUMBER(AM26)),IFERROR(AM40/AM26-1,""),"")</f>
        <v>0.157407407407407</v>
      </c>
      <c r="AN37" s="59" t="n">
        <f aca="false">IF(AND(ISNUMBER(AN40),ISNUMBER(AN26)),IFERROR(AN40/AN26-1,""),"")</f>
        <v>0.148105625717566</v>
      </c>
      <c r="AO37" s="59" t="n">
        <f aca="false">IF(AND(ISNUMBER(AO40),ISNUMBER(AO26)),IFERROR(AO40/AO26-1,""),"")</f>
        <v>0.152073732718894</v>
      </c>
      <c r="AP37" s="59" t="n">
        <f aca="false">IF(AND(ISNUMBER(AP40),ISNUMBER(AP26)),IFERROR(AP40/AP26-1,""),"")</f>
        <v>0.146788990825688</v>
      </c>
      <c r="AQ37" s="59" t="n">
        <f aca="false">IF(AND(ISNUMBER(AQ40),ISNUMBER(AQ26)),IFERROR(AQ40/AQ26-1,""),"")</f>
        <v>0.150678982537837</v>
      </c>
      <c r="AR37" s="59" t="n">
        <f aca="false">IF(AND(ISNUMBER(AR40),ISNUMBER(AR26)),IFERROR(AR40/AR26-1,""),"")</f>
        <v>0.149425287356322</v>
      </c>
      <c r="AS37" s="59" t="n">
        <f aca="false">IF(AND(ISNUMBER(AS40),ISNUMBER(AS26)),IFERROR(AS40/AS26-1,""),"")</f>
        <v>0.150823827629911</v>
      </c>
      <c r="AT37" s="59" t="n">
        <f aca="false">IF(AND(ISNUMBER(AT40),ISNUMBER(AT26)),IFERROR(AT40/AT26-1,""),"")</f>
        <v>0.121174266083698</v>
      </c>
      <c r="AU37" s="59" t="n">
        <f aca="false">IF(AND(ISNUMBER(AU40),ISNUMBER(AU26)),IFERROR(AU40/AU26-1,""),"")</f>
        <v>0.119205298013245</v>
      </c>
      <c r="AV37" s="59" t="n">
        <f aca="false">IF(AND(ISNUMBER(AV40),ISNUMBER(AV26)),IFERROR(AV40/AV26-1,""),"")</f>
        <v>0.122510561255281</v>
      </c>
      <c r="AW37" s="59" t="n">
        <f aca="false">IF(AND(ISNUMBER(AW40),ISNUMBER(AW26)),IFERROR(AW40/AW26-1,""),"")</f>
        <v>0.126613398893669</v>
      </c>
      <c r="AX37" s="59" t="n">
        <f aca="false">IF(AND(ISNUMBER(AX40),ISNUMBER(AX26)),IFERROR(AX40/AX26-1,""),"")</f>
        <v>0.149880095923261</v>
      </c>
      <c r="AY37" s="59" t="n">
        <f aca="false">IF(AND(ISNUMBER(AY40),ISNUMBER(AY26)),IFERROR(AY40/AY26-1,""),"")</f>
        <v>0.1725768321513</v>
      </c>
      <c r="AZ37" s="59" t="n">
        <f aca="false">IF(AND(ISNUMBER(AZ40),ISNUMBER(AZ26)),IFERROR(AZ40/AZ26-1,""),"")</f>
        <v>0.166575641725833</v>
      </c>
      <c r="BA37" s="59" t="n">
        <f aca="false">IF(AND(ISNUMBER(BA40),ISNUMBER(BA26)),IFERROR(BA40/BA26-1,""),"")</f>
        <v>0.177342509264161</v>
      </c>
      <c r="BB37" s="59" t="n">
        <f aca="false">IF(AND(ISNUMBER(BB40),ISNUMBER(BB26)),IFERROR(BB40/BB26-1,""),"")</f>
        <v>0.167042889390519</v>
      </c>
      <c r="BC37" s="59" t="n">
        <f aca="false">IF(AND(ISNUMBER(BC40),ISNUMBER(BC26)),IFERROR(BC40/BC26-1,""),"")</f>
        <v>0.20798755186722</v>
      </c>
      <c r="BD37" s="59" t="n">
        <f aca="false">IF(AND(ISNUMBER(BD40),ISNUMBER(BD26)),IFERROR(BD40/BD26-1,""),"")</f>
        <v>0.28858024691358</v>
      </c>
      <c r="BE37" s="59" t="n">
        <f aca="false">IF(AND(ISNUMBER(BE40),ISNUMBER(BE26)),IFERROR(BE40/BE26-1,""),"")</f>
        <v>0.271529888551165</v>
      </c>
      <c r="BF37" s="59" t="n">
        <f aca="false">IF(AND(ISNUMBER(BF40),ISNUMBER(BF26)),IFERROR(BF40/BF26-1,""),"")</f>
        <v>0.264047737444058</v>
      </c>
      <c r="BG37" s="59" t="n">
        <f aca="false">IF(AND(ISNUMBER(BG40),ISNUMBER(BG26)),IFERROR(BG40/BG26-1,""),"")</f>
        <v>0.258278145695364</v>
      </c>
      <c r="BH37" s="59" t="n">
        <f aca="false">IF(AND(ISNUMBER(BH40),ISNUMBER(BH26)),IFERROR(BH40/BH26-1,""),"")</f>
        <v>0.222332506203474</v>
      </c>
      <c r="BI37" s="59" t="n">
        <f aca="false">IF(AND(ISNUMBER(BI40),ISNUMBER(BI26)),IFERROR(BI40/BI26-1,""),"")</f>
        <v>0.194889779559118</v>
      </c>
      <c r="BJ37" s="59" t="n">
        <f aca="false">IF(AND(ISNUMBER(BJ40),ISNUMBER(BJ26)),IFERROR(BJ40/BJ26-1,""),"")</f>
        <v>0.209443665264142</v>
      </c>
      <c r="BK37" s="59" t="n">
        <f aca="false">IF(AND(ISNUMBER(BK40),ISNUMBER(BK26)),IFERROR(BK40/BK26-1,""),"")</f>
        <v>0.210947930574099</v>
      </c>
      <c r="BL37" s="59" t="n">
        <f aca="false">IF(AND(ISNUMBER(BL40),ISNUMBER(BL26)),IFERROR(BL40/BL26-1,""),"")</f>
        <v>0.209147212958552</v>
      </c>
      <c r="BM37" s="59" t="n">
        <f aca="false">IF(AND(ISNUMBER(BM40),ISNUMBER(BM26)),IFERROR(BM40/BM26-1,""),"")</f>
        <v>0.190925426774483</v>
      </c>
      <c r="BN37" s="59" t="n">
        <f aca="false">IF(AND(ISNUMBER(BN40),ISNUMBER(BN26)),IFERROR(BN40/BN26-1,""),"")</f>
        <v>0.187183033656063</v>
      </c>
      <c r="BO37" s="59" t="n">
        <f aca="false">IF(AND(ISNUMBER(BO40),ISNUMBER(BO26)),IFERROR(BO40/BO26-1,""),"")</f>
        <v>0.178850574712644</v>
      </c>
      <c r="BP37" s="59" t="n">
        <f aca="false">IF(AND(ISNUMBER(BP40),ISNUMBER(BP26)),IFERROR(BP40/BP26-1,""),"")</f>
        <v>0.171675774134791</v>
      </c>
      <c r="BQ37" s="59" t="n">
        <f aca="false">IF(AND(ISNUMBER(BQ40),ISNUMBER(BQ26)),IFERROR(BQ40/BQ26-1,""),"")</f>
        <v>0.182191780821918</v>
      </c>
      <c r="BR37" s="59" t="n">
        <f aca="false">IF(AND(ISNUMBER(BR40),ISNUMBER(BR26)),IFERROR(BR40/BR26-1,""),"")</f>
        <v>0.182291666666667</v>
      </c>
      <c r="BS37" s="59" t="n">
        <f aca="false">IF(AND(ISNUMBER(BS40),ISNUMBER(BS26)),IFERROR(BS40/BS26-1,""),"")</f>
        <v>0.176470588235294</v>
      </c>
      <c r="BT37" s="59" t="n">
        <f aca="false">IF(AND(ISNUMBER(BT40),ISNUMBER(BT26)),IFERROR(BT40/BT26-1,""),"")</f>
        <v>0.186003683241252</v>
      </c>
      <c r="BU37" s="59" t="n">
        <f aca="false">IF(AND(ISNUMBER(BU40),ISNUMBER(BU26)),IFERROR(BU40/BU26-1,""),"")</f>
        <v>0.183960126869053</v>
      </c>
      <c r="BV37" s="59" t="n">
        <f aca="false">IF(AND(ISNUMBER(BV40),ISNUMBER(BV26)),IFERROR(BV40/BV26-1,""),"")</f>
        <v>0.181649675625579</v>
      </c>
      <c r="BW37" s="59" t="n">
        <f aca="false">IF(AND(ISNUMBER(BW40),ISNUMBER(BW26)),IFERROR(BW40/BW26-1,""),"")</f>
        <v>0.204925650557621</v>
      </c>
      <c r="BX37" s="59" t="n">
        <f aca="false">IF(AND(ISNUMBER(BX40),ISNUMBER(BX26)),IFERROR(BX40/BX26-1,""),"")</f>
        <v>0.297994269340974</v>
      </c>
      <c r="BY37" s="52" t="n">
        <f aca="false">BY36*BY38</f>
        <v>0.318774152267342</v>
      </c>
      <c r="BZ37" s="52" t="n">
        <f aca="false">BZ36*BZ38</f>
        <v>0.370667618915514</v>
      </c>
      <c r="CA37" s="30" t="n">
        <f aca="false">IFERROR(CA40/CA26-1,"")</f>
        <v>0.299701786424286</v>
      </c>
      <c r="CB37" s="30" t="n">
        <f aca="false">CB36*CB38</f>
        <v>0.296534095132411</v>
      </c>
      <c r="CC37" s="30" t="n">
        <f aca="false">CC36*CC38</f>
        <v>0.25946733324086</v>
      </c>
      <c r="CD37" s="30" t="n">
        <f aca="false">CD36*CD38</f>
        <v>0.240933952295084</v>
      </c>
      <c r="CE37" s="30" t="n">
        <f aca="false">CE36*CE38</f>
        <v>0.240933952295084</v>
      </c>
      <c r="CF37" s="21"/>
      <c r="CN37" s="22" t="s">
        <v>166</v>
      </c>
      <c r="CO37" s="60" t="n">
        <f aca="false">CP37+$CO$35</f>
        <v>0.065</v>
      </c>
      <c r="CP37" s="36" t="n">
        <v>0.045</v>
      </c>
      <c r="CQ37" s="60" t="n">
        <f aca="false">CP37+$CQ$35</f>
        <v>0.025</v>
      </c>
    </row>
    <row r="38" customFormat="false" ht="15" hidden="false" customHeight="true" outlineLevel="0" collapsed="false">
      <c r="B38" s="22" t="s">
        <v>167</v>
      </c>
      <c r="C38" s="61" t="n">
        <f aca="false">IF(AND(ISNUMBER(C37),ISNUMBER(C36)),IFERROR(C37/C36,""),"")</f>
        <v>0.988945362114945</v>
      </c>
      <c r="D38" s="61" t="str">
        <f aca="false">IF(AND(ISNUMBER(D37),ISNUMBER(D36)),IFERROR(D37/D36,""),"")</f>
        <v/>
      </c>
      <c r="E38" s="61" t="str">
        <f aca="false">IF(AND(ISNUMBER(E37),ISNUMBER(E36)),IFERROR(E37/E36,""),"")</f>
        <v/>
      </c>
      <c r="F38" s="61" t="str">
        <f aca="false">IF(AND(ISNUMBER(F37),ISNUMBER(F36)),IFERROR(F37/F36,""),"")</f>
        <v/>
      </c>
      <c r="G38" s="61" t="n">
        <f aca="false">IF(AND(ISNUMBER(G37),ISNUMBER(G36)),IFERROR(G37/G36,""),"")</f>
        <v>0.83266183185603</v>
      </c>
      <c r="H38" s="61" t="n">
        <f aca="false">IF(AND(ISNUMBER(H37),ISNUMBER(H36)),IFERROR(H37/H36,""),"")</f>
        <v>0.771077661833965</v>
      </c>
      <c r="I38" s="61" t="n">
        <f aca="false">IF(AND(ISNUMBER(I37),ISNUMBER(I36)),IFERROR(I37/I36,""),"")</f>
        <v>0.774777195575261</v>
      </c>
      <c r="J38" s="61" t="n">
        <f aca="false">IF(AND(ISNUMBER(J37),ISNUMBER(J36)),IFERROR(J37/J36,""),"")</f>
        <v>0.766013647369579</v>
      </c>
      <c r="K38" s="61" t="n">
        <f aca="false">IF(AND(ISNUMBER(K37),ISNUMBER(K36)),IFERROR(K37/K36,""),"")</f>
        <v>0.771077661833964</v>
      </c>
      <c r="L38" s="61" t="n">
        <f aca="false">IF(AND(ISNUMBER(L37),ISNUMBER(L36)),IFERROR(L37/L36,""),"")</f>
        <v>0.756529026705022</v>
      </c>
      <c r="M38" s="61" t="n">
        <f aca="false">IF(AND(ISNUMBER(M37),ISNUMBER(M36)),IFERROR(M37/M36,""),"")</f>
        <v>0.75571907595749</v>
      </c>
      <c r="N38" s="61" t="n">
        <f aca="false">IF(AND(ISNUMBER(N37),ISNUMBER(N36)),IFERROR(N37/N36,""),"")</f>
        <v>0.761973875181423</v>
      </c>
      <c r="O38" s="61" t="n">
        <f aca="false">IF(AND(ISNUMBER(O37),ISNUMBER(O36)),IFERROR(O37/O36,""),"")</f>
        <v>0.763972657820668</v>
      </c>
      <c r="P38" s="61" t="n">
        <f aca="false">IF(AND(ISNUMBER(P37),ISNUMBER(P36)),IFERROR(P37/P36,""),"")</f>
        <v>0.772902932484655</v>
      </c>
      <c r="Q38" s="61" t="n">
        <f aca="false">IF(AND(ISNUMBER(Q37),ISNUMBER(Q36)),IFERROR(Q37/Q36,""),"")</f>
        <v>0.786196831673847</v>
      </c>
      <c r="R38" s="61" t="n">
        <f aca="false">IF(AND(ISNUMBER(R37),ISNUMBER(R36)),IFERROR(R37/R36,""),"")</f>
        <v>0.802516908991313</v>
      </c>
      <c r="S38" s="61" t="n">
        <f aca="false">IF(AND(ISNUMBER(S37),ISNUMBER(S36)),IFERROR(S37/S36,""),"")</f>
        <v>0.780552028965064</v>
      </c>
      <c r="T38" s="61" t="n">
        <f aca="false">IF(AND(ISNUMBER(T37),ISNUMBER(T36)),IFERROR(T37/T36,""),"")</f>
        <v>0.881668922906036</v>
      </c>
      <c r="U38" s="61" t="n">
        <f aca="false">IF(AND(ISNUMBER(U37),ISNUMBER(U36)),IFERROR(U37/U36,""),"")</f>
        <v>0.876567844925884</v>
      </c>
      <c r="V38" s="61" t="n">
        <f aca="false">IF(AND(ISNUMBER(V37),ISNUMBER(V36)),IFERROR(V37/V36,""),"")</f>
        <v>0.953097567093053</v>
      </c>
      <c r="W38" s="61" t="n">
        <f aca="false">IF(AND(ISNUMBER(W37),ISNUMBER(W36)),IFERROR(W37/W36,""),"")</f>
        <v>1.00252112395953</v>
      </c>
      <c r="X38" s="61" t="n">
        <f aca="false">IF(AND(ISNUMBER(X37),ISNUMBER(X36)),IFERROR(X37/X36,""),"")</f>
        <v>0.91381262935916</v>
      </c>
      <c r="Y38" s="61" t="n">
        <f aca="false">IF(AND(ISNUMBER(Y37),ISNUMBER(Y36)),IFERROR(Y37/Y36,""),"")</f>
        <v>1.19112814895947</v>
      </c>
      <c r="Z38" s="61" t="n">
        <f aca="false">IF(AND(ISNUMBER(Z37),ISNUMBER(Z36)),IFERROR(Z37/Z36,""),"")</f>
        <v>1.02304487686548</v>
      </c>
      <c r="AA38" s="61" t="n">
        <f aca="false">IF(AND(ISNUMBER(AA37),ISNUMBER(AA36)),IFERROR(AA37/AA36,""),"")</f>
        <v>1.03259769184045</v>
      </c>
      <c r="AB38" s="61" t="n">
        <f aca="false">IF(AND(ISNUMBER(AB37),ISNUMBER(AB36)),IFERROR(AB37/AB36,""),"")</f>
        <v>0.940211369246759</v>
      </c>
      <c r="AC38" s="61" t="n">
        <f aca="false">IF(AND(ISNUMBER(AC37),ISNUMBER(AC36)),IFERROR(AC37/AC36,""),"")</f>
        <v>1.02304487686548</v>
      </c>
      <c r="AD38" s="61" t="n">
        <f aca="false">IF(AND(ISNUMBER(AD37),ISNUMBER(AD36)),IFERROR(AD37/AD36,""),"")</f>
        <v>0.941034274367608</v>
      </c>
      <c r="AE38" s="61" t="n">
        <f aca="false">IF(AND(ISNUMBER(AE37),ISNUMBER(AE36)),IFERROR(AE37/AE36,""),"")</f>
        <v>0.960456865968677</v>
      </c>
      <c r="AF38" s="61" t="n">
        <f aca="false">IF(AND(ISNUMBER(AF37),ISNUMBER(AF36)),IFERROR(AF37/AF36,""),"")</f>
        <v>0.94367196960207</v>
      </c>
      <c r="AG38" s="61" t="n">
        <f aca="false">IF(AND(ISNUMBER(AG37),ISNUMBER(AG36)),IFERROR(AG37/AG36,""),"")</f>
        <v>0.904487750756096</v>
      </c>
      <c r="AH38" s="61" t="n">
        <f aca="false">IF(AND(ISNUMBER(AH37),ISNUMBER(AH36)),IFERROR(AH37/AH36,""),"")</f>
        <v>0.92816787732042</v>
      </c>
      <c r="AI38" s="61" t="n">
        <f aca="false">IF(AND(ISNUMBER(AI37),ISNUMBER(AI36)),IFERROR(AI37/AI36,""),"")</f>
        <v>0.853858784893267</v>
      </c>
      <c r="AJ38" s="61" t="n">
        <f aca="false">IF(AND(ISNUMBER(AJ37),ISNUMBER(AJ36)),IFERROR(AJ37/AJ36,""),"")</f>
        <v>0.842593723287337</v>
      </c>
      <c r="AK38" s="61" t="n">
        <f aca="false">IF(AND(ISNUMBER(AK37),ISNUMBER(AK36)),IFERROR(AK37/AK36,""),"")</f>
        <v>0.820988756023559</v>
      </c>
      <c r="AL38" s="61" t="n">
        <f aca="false">IF(AND(ISNUMBER(AL37),ISNUMBER(AL36)),IFERROR(AL37/AL36,""),"")</f>
        <v>0.797731376148836</v>
      </c>
      <c r="AM38" s="61" t="n">
        <f aca="false">IF(AND(ISNUMBER(AM37),ISNUMBER(AM36)),IFERROR(AM37/AM36,""),"")</f>
        <v>0.828460038986355</v>
      </c>
      <c r="AN38" s="61" t="n">
        <f aca="false">IF(AND(ISNUMBER(AN37),ISNUMBER(AN36)),IFERROR(AN37/AN36,""),"")</f>
        <v>0.846317861243234</v>
      </c>
      <c r="AO38" s="61" t="n">
        <f aca="false">IF(AND(ISNUMBER(AO37),ISNUMBER(AO36)),IFERROR(AO37/AO36,""),"")</f>
        <v>0.822020176858886</v>
      </c>
      <c r="AP38" s="61" t="n">
        <f aca="false">IF(AND(ISNUMBER(AP37),ISNUMBER(AP36)),IFERROR(AP37/AP36,""),"")</f>
        <v>0.838794233289646</v>
      </c>
      <c r="AQ38" s="61" t="n">
        <f aca="false">IF(AND(ISNUMBER(AQ37),ISNUMBER(AQ36)),IFERROR(AQ37/AQ36,""),"")</f>
        <v>0.837105458543539</v>
      </c>
      <c r="AR38" s="61" t="n">
        <f aca="false">IF(AND(ISNUMBER(AR37),ISNUMBER(AR36)),IFERROR(AR37/AR36,""),"")</f>
        <v>0.8301404853129</v>
      </c>
      <c r="AS38" s="61" t="n">
        <f aca="false">IF(AND(ISNUMBER(AS37),ISNUMBER(AS36)),IFERROR(AS37/AS36,""),"")</f>
        <v>0.914083803817645</v>
      </c>
      <c r="AT38" s="61" t="n">
        <f aca="false">IF(AND(ISNUMBER(AT37),ISNUMBER(AT36)),IFERROR(AT37/AT36,""),"")</f>
        <v>1.05368927029302</v>
      </c>
      <c r="AU38" s="61" t="n">
        <f aca="false">IF(AND(ISNUMBER(AU37),ISNUMBER(AU36)),IFERROR(AU37/AU36,""),"")</f>
        <v>1.03656780881083</v>
      </c>
      <c r="AV38" s="61" t="n">
        <f aca="false">IF(AND(ISNUMBER(AV37),ISNUMBER(AV36)),IFERROR(AV37/AV36,""),"")</f>
        <v>1.02092134379401</v>
      </c>
      <c r="AW38" s="61" t="n">
        <f aca="false">IF(AND(ISNUMBER(AW37),ISNUMBER(AW36)),IFERROR(AW37/AW36,""),"")</f>
        <v>0.973949222258995</v>
      </c>
      <c r="AX38" s="61" t="n">
        <f aca="false">IF(AND(ISNUMBER(AX37),ISNUMBER(AX36)),IFERROR(AX37/AX36,""),"")</f>
        <v>0.908364217716735</v>
      </c>
      <c r="AY38" s="61" t="n">
        <f aca="false">IF(AND(ISNUMBER(AY37),ISNUMBER(AY36)),IFERROR(AY37/AY36,""),"")</f>
        <v>0.885009395647693</v>
      </c>
      <c r="AZ38" s="61" t="n">
        <f aca="false">IF(AND(ISNUMBER(AZ37),ISNUMBER(AZ36)),IFERROR(AZ37/AZ36,""),"")</f>
        <v>0.793217341551585</v>
      </c>
      <c r="BA38" s="61" t="n">
        <f aca="false">IF(AND(ISNUMBER(BA37),ISNUMBER(BA36)),IFERROR(BA37/BA36,""),"")</f>
        <v>0.738927121934003</v>
      </c>
      <c r="BB38" s="61" t="n">
        <f aca="false">IF(AND(ISNUMBER(BB37),ISNUMBER(BB36)),IFERROR(BB37/BB36,""),"")</f>
        <v>0.835214446952596</v>
      </c>
      <c r="BC38" s="61" t="n">
        <f aca="false">IF(AND(ISNUMBER(BC37),ISNUMBER(BC36)),IFERROR(BC37/BC36,""),"")</f>
        <v>0.670927586668451</v>
      </c>
      <c r="BD38" s="61" t="n">
        <f aca="false">IF(AND(ISNUMBER(BD37),ISNUMBER(BD36)),IFERROR(BD37/BD36,""),"")</f>
        <v>0.679012345679013</v>
      </c>
      <c r="BE38" s="61" t="n">
        <f aca="false">IF(AND(ISNUMBER(BE37),ISNUMBER(BE36)),IFERROR(BE37/BE36,""),"")</f>
        <v>0.71455233829254</v>
      </c>
      <c r="BF38" s="61" t="n">
        <f aca="false">IF(AND(ISNUMBER(BF37),ISNUMBER(BF36)),IFERROR(BF37/BF36,""),"")</f>
        <v>0.694862466958047</v>
      </c>
      <c r="BG38" s="61" t="n">
        <f aca="false">IF(AND(ISNUMBER(BG37),ISNUMBER(BG36)),IFERROR(BG37/BG36,""),"")</f>
        <v>0.688741721854305</v>
      </c>
      <c r="BH38" s="61" t="n">
        <f aca="false">IF(AND(ISNUMBER(BH37),ISNUMBER(BH36)),IFERROR(BH37/BH36,""),"")</f>
        <v>0.705817480011029</v>
      </c>
      <c r="BI38" s="61" t="n">
        <f aca="false">IF(AND(ISNUMBER(BI37),ISNUMBER(BI36)),IFERROR(BI37/BI36,""),"")</f>
        <v>0.735433130411767</v>
      </c>
      <c r="BJ38" s="61" t="n">
        <f aca="false">IF(AND(ISNUMBER(BJ37),ISNUMBER(BJ36)),IFERROR(BJ37/BJ36,""),"")</f>
        <v>0.698145550880474</v>
      </c>
      <c r="BK38" s="61" t="n">
        <f aca="false">IF(AND(ISNUMBER(BK37),ISNUMBER(BK36)),IFERROR(BK37/BK36,""),"")</f>
        <v>0.727406657152065</v>
      </c>
      <c r="BL38" s="61" t="n">
        <f aca="false">IF(AND(ISNUMBER(BL37),ISNUMBER(BL36)),IFERROR(BL37/BL36,""),"")</f>
        <v>0.708973603249328</v>
      </c>
      <c r="BM38" s="61" t="n">
        <f aca="false">IF(AND(ISNUMBER(BM37),ISNUMBER(BM36)),IFERROR(BM37/BM36,""),"")</f>
        <v>0.707131210275864</v>
      </c>
      <c r="BN38" s="61" t="n">
        <f aca="false">IF(AND(ISNUMBER(BN37),ISNUMBER(BN36)),IFERROR(BN37/BN36,""),"")</f>
        <v>0.71993474483101</v>
      </c>
      <c r="BO38" s="61" t="n">
        <f aca="false">IF(AND(ISNUMBER(BO37),ISNUMBER(BO36)),IFERROR(BO37/BO36,""),"")</f>
        <v>0.745210727969349</v>
      </c>
      <c r="BP38" s="61" t="n">
        <f aca="false">IF(AND(ISNUMBER(BP37),ISNUMBER(BP36)),IFERROR(BP37/BP36,""),"")</f>
        <v>0.763003440599069</v>
      </c>
      <c r="BQ38" s="61" t="n">
        <f aca="false">IF(AND(ISNUMBER(BQ37),ISNUMBER(BQ36)),IFERROR(BQ37/BQ36,""),"")</f>
        <v>0.728767123287672</v>
      </c>
      <c r="BR38" s="61" t="n">
        <f aca="false">IF(AND(ISNUMBER(BR37),ISNUMBER(BR36)),IFERROR(BR37/BR36,""),"")</f>
        <v>0.775709219858155</v>
      </c>
      <c r="BS38" s="61" t="n">
        <f aca="false">IF(AND(ISNUMBER(BS37),ISNUMBER(BS36)),IFERROR(BS37/BS36,""),"")</f>
        <v>0.767263427109974</v>
      </c>
      <c r="BT38" s="61" t="n">
        <f aca="false">IF(AND(ISNUMBER(BT37),ISNUMBER(BT36)),IFERROR(BT37/BT36,""),"")</f>
        <v>0.74401473296501</v>
      </c>
      <c r="BU38" s="61" t="n">
        <f aca="false">IF(AND(ISNUMBER(BU37),ISNUMBER(BU36)),IFERROR(BU37/BU36,""),"")</f>
        <v>0.766500528621054</v>
      </c>
      <c r="BV38" s="61" t="n">
        <f aca="false">IF(AND(ISNUMBER(BV37),ISNUMBER(BV36)),IFERROR(BV37/BV36,""),"")</f>
        <v>0.756873648439914</v>
      </c>
      <c r="BW38" s="61" t="n">
        <f aca="false">IF(AND(ISNUMBER(BW37),ISNUMBER(BW36)),IFERROR(BW37/BW36,""),"")</f>
        <v>0.719037370377617</v>
      </c>
      <c r="BX38" s="61" t="n">
        <f aca="false">IF(AND(ISNUMBER(BX37),ISNUMBER(BX36)),IFERROR(BX37/BX36,""),"")</f>
        <v>0.73578831936043</v>
      </c>
      <c r="BY38" s="62" t="n">
        <f aca="false">AVERAGE($BT$38,$BU$38,$BW$38,$BX$38)</f>
        <v>0.741335237831028</v>
      </c>
      <c r="BZ38" s="62" t="n">
        <f aca="false">AVERAGE($BT$38,$BU$38,$BW$38,$BX$38)</f>
        <v>0.741335237831028</v>
      </c>
      <c r="CA38" s="63" t="n">
        <f aca="false">IFERROR(CA37/CA36,"")</f>
        <v>0.740004410924163</v>
      </c>
      <c r="CB38" s="63" t="n">
        <f aca="false">AVERAGE($BT$38,$BU$38,$BW$38,$BX$38)</f>
        <v>0.741335237831028</v>
      </c>
      <c r="CC38" s="63" t="n">
        <f aca="false">AVERAGE($BT$38,$BU$38,$BW$38,$BX$38)</f>
        <v>0.741335237831028</v>
      </c>
      <c r="CD38" s="63" t="n">
        <f aca="false">AVERAGE($BT$38,$BU$38,$BW$38,$BX$38)</f>
        <v>0.741335237831028</v>
      </c>
      <c r="CE38" s="63" t="n">
        <f aca="false">AVERAGE($BT$38,$BU$38,$BW$38,$BX$38)</f>
        <v>0.741335237831028</v>
      </c>
      <c r="CF38" s="21" t="s">
        <v>168</v>
      </c>
      <c r="CH38" s="64" t="n">
        <f aca="false">IFERROR(AVERAGE(CA38,CB38,CC38,CD38,CE38),"n/m")</f>
        <v>0.741069072449655</v>
      </c>
      <c r="CI38" s="64" t="n">
        <f aca="false">IFERROR(AVERAGE(BB38,BG38,BL38,BQ38,BV38),"n/m")</f>
        <v>0.743714108756763</v>
      </c>
      <c r="CJ38" s="64" t="n">
        <f aca="false">IFERROR(AVERAGE(AC38,AH38,AM38,AR38,AW38,BB38,BG38,BL38,BQ38,BV38),"n/m")</f>
        <v>0.830233304452796</v>
      </c>
      <c r="CK38" s="64" t="n">
        <f aca="false">IFERROR(AVERAGE(C38,D38,E38,F38,G38,H38,I38,N38,S38,X38,AC38,AH38,AM38,AR38,AW38,BB38,BG38,BL38,BQ38,BV38),"n/m")</f>
        <v>0.830949037024342</v>
      </c>
      <c r="CN38" s="22" t="s">
        <v>169</v>
      </c>
      <c r="CO38" s="60" t="n">
        <f aca="false">CP38+$CO$35</f>
        <v>0.06</v>
      </c>
      <c r="CP38" s="36" t="n">
        <v>0.04</v>
      </c>
      <c r="CQ38" s="60" t="n">
        <f aca="false">CP38+$CQ$35</f>
        <v>0.02</v>
      </c>
    </row>
    <row r="39" customFormat="false" ht="15" hidden="false" customHeight="true" outlineLevel="0" collapsed="false">
      <c r="B39" s="22" t="s">
        <v>170</v>
      </c>
      <c r="C39" s="23" t="n">
        <f aca="false">IF(AND(ISNUMBER(C40),ISNUMBER(C26)),C40-C26,"")</f>
        <v>1.47188728323699</v>
      </c>
      <c r="D39" s="23" t="str">
        <f aca="false">IF(AND(ISNUMBER(D40),ISNUMBER(D26)),D40-D26,"")</f>
        <v/>
      </c>
      <c r="E39" s="23" t="str">
        <f aca="false">IF(AND(ISNUMBER(E40),ISNUMBER(E26)),E40-E26,"")</f>
        <v/>
      </c>
      <c r="F39" s="23" t="str">
        <f aca="false">IF(AND(ISNUMBER(F40),ISNUMBER(F26)),F40-F26,"")</f>
        <v/>
      </c>
      <c r="G39" s="23" t="n">
        <f aca="false">IF(AND(ISNUMBER(G40),ISNUMBER(G26)),G40-G26,"")</f>
        <v>1.45634780802694</v>
      </c>
      <c r="H39" s="23" t="n">
        <f aca="false">IF(AND(ISNUMBER(H40),ISNUMBER(H26)),H40-H26,"")</f>
        <v>2.15968302249932</v>
      </c>
      <c r="I39" s="23" t="n">
        <f aca="false">IF(AND(ISNUMBER(I40),ISNUMBER(I26)),I40-I26,"")</f>
        <v>2.39002978804348</v>
      </c>
      <c r="J39" s="23" t="n">
        <f aca="false">IF(AND(ISNUMBER(J40),ISNUMBER(J26)),J40-J26,"")</f>
        <v>2.46732</v>
      </c>
      <c r="K39" s="23" t="n">
        <f aca="false">IF(AND(ISNUMBER(K40),ISNUMBER(K26)),K40-K26,"")</f>
        <v>2.36472</v>
      </c>
      <c r="L39" s="23" t="n">
        <f aca="false">IF(AND(ISNUMBER(L40),ISNUMBER(L26)),L40-L26,"")</f>
        <v>2.42818</v>
      </c>
      <c r="M39" s="23" t="n">
        <f aca="false">IF(AND(ISNUMBER(M40),ISNUMBER(M26)),M40-M26,"")</f>
        <v>2.37461964363233</v>
      </c>
      <c r="N39" s="23" t="n">
        <f aca="false">IF(AND(ISNUMBER(N40),ISNUMBER(N26)),N40-N26,"")</f>
        <v>2.40809946063743</v>
      </c>
      <c r="O39" s="23" t="n">
        <f aca="false">IF(AND(ISNUMBER(O40),ISNUMBER(O26)),O40-O26,"")</f>
        <v>2.48121</v>
      </c>
      <c r="P39" s="23" t="n">
        <f aca="false">IF(AND(ISNUMBER(P40),ISNUMBER(P26)),P40-P26,"")</f>
        <v>2.5245</v>
      </c>
      <c r="Q39" s="23" t="n">
        <f aca="false">IF(AND(ISNUMBER(Q40),ISNUMBER(Q26)),Q40-Q26,"")</f>
        <v>2.53339</v>
      </c>
      <c r="R39" s="23" t="n">
        <f aca="false">IF(AND(ISNUMBER(R40),ISNUMBER(R26)),R40-R26,"")</f>
        <v>2.3886922141916</v>
      </c>
      <c r="S39" s="23" t="n">
        <f aca="false">IF(AND(ISNUMBER(S40),ISNUMBER(S26)),S40-S26,"")</f>
        <v>2.48336</v>
      </c>
      <c r="T39" s="23" t="n">
        <f aca="false">IF(AND(ISNUMBER(T40),ISNUMBER(T26)),T40-T26,"")</f>
        <v>1.92659</v>
      </c>
      <c r="U39" s="23" t="n">
        <f aca="false">IF(AND(ISNUMBER(U40),ISNUMBER(U26)),U40-U26,"")</f>
        <v>1.89666</v>
      </c>
      <c r="V39" s="23" t="n">
        <f aca="false">IF(AND(ISNUMBER(V40),ISNUMBER(V26)),V40-V26,"")</f>
        <v>1.76814</v>
      </c>
      <c r="W39" s="23" t="n">
        <f aca="false">IF(AND(ISNUMBER(W40),ISNUMBER(W26)),W40-W26,"")</f>
        <v>1.6188080289976</v>
      </c>
      <c r="X39" s="23" t="n">
        <f aca="false">IF(AND(ISNUMBER(X40),ISNUMBER(X26)),X40-X26,"")</f>
        <v>1.80648</v>
      </c>
      <c r="Y39" s="23" t="n">
        <f aca="false">IF(AND(ISNUMBER(Y40),ISNUMBER(Y26)),Y40-Y26,"")</f>
        <v>1.34763</v>
      </c>
      <c r="Z39" s="23" t="n">
        <f aca="false">IF(AND(ISNUMBER(Z40),ISNUMBER(Z26)),Z40-Z26,"")</f>
        <v>1.52581</v>
      </c>
      <c r="AA39" s="23" t="n">
        <f aca="false">IF(AND(ISNUMBER(AA40),ISNUMBER(AA26)),AA40-AA26,"")</f>
        <v>1.64016</v>
      </c>
      <c r="AB39" s="23" t="n">
        <f aca="false">IF(AND(ISNUMBER(AB40),ISNUMBER(AB26)),AB40-AB26,"")</f>
        <v>1.66780638042389</v>
      </c>
      <c r="AC39" s="23" t="n">
        <f aca="false">IF(AND(ISNUMBER(AC40),ISNUMBER(AC26)),AC40-AC26,"")</f>
        <v>1.54521</v>
      </c>
      <c r="AD39" s="23" t="n">
        <f aca="false">IF(AND(ISNUMBER(AD40),ISNUMBER(AD26)),AD40-AD26,"")</f>
        <v>1.81812</v>
      </c>
      <c r="AE39" s="23" t="n">
        <f aca="false">IF(AND(ISNUMBER(AE40),ISNUMBER(AE26)),AE40-AE26,"")</f>
        <v>1.87479</v>
      </c>
      <c r="AF39" s="23" t="n">
        <f aca="false">IF(AND(ISNUMBER(AF40),ISNUMBER(AF26)),AF40-AF26,"")</f>
        <v>1.96168</v>
      </c>
      <c r="AG39" s="23" t="n">
        <f aca="false">IF(AND(ISNUMBER(AG40),ISNUMBER(AG26)),AG40-AG26,"")</f>
        <v>2.26169733246332</v>
      </c>
      <c r="AH39" s="23" t="n">
        <f aca="false">IF(AND(ISNUMBER(AH40),ISNUMBER(AH26)),AH40-AH26,"")</f>
        <v>1.978</v>
      </c>
      <c r="AI39" s="23" t="n">
        <f aca="false">IF(AND(ISNUMBER(AI40),ISNUMBER(AI26)),AI40-AI26,"")</f>
        <v>2.0696</v>
      </c>
      <c r="AJ39" s="23" t="n">
        <f aca="false">IF(AND(ISNUMBER(AJ40),ISNUMBER(AJ26)),AJ40-AJ26,"")</f>
        <v>2.26872</v>
      </c>
      <c r="AK39" s="23" t="n">
        <f aca="false">IF(AND(ISNUMBER(AK40),ISNUMBER(AK26)),AK40-AK26,"")</f>
        <v>2.3736</v>
      </c>
      <c r="AL39" s="23" t="n">
        <f aca="false">IF(AND(ISNUMBER(AL40),ISNUMBER(AL26)),AL40-AL26,"")</f>
        <v>2.43816056113092</v>
      </c>
      <c r="AM39" s="23" t="n">
        <f aca="false">IF(AND(ISNUMBER(AM40),ISNUMBER(AM26)),AM40-AM26,"")</f>
        <v>2.2848</v>
      </c>
      <c r="AN39" s="23" t="n">
        <f aca="false">IF(AND(ISNUMBER(AN40),ISNUMBER(AN26)),AN40-AN26,"")</f>
        <v>2.27169</v>
      </c>
      <c r="AO39" s="23" t="n">
        <f aca="false">IF(AND(ISNUMBER(AO40),ISNUMBER(AO26)),AO40-AO26,"")</f>
        <v>2.3826</v>
      </c>
      <c r="AP39" s="23" t="n">
        <f aca="false">IF(AND(ISNUMBER(AP40),ISNUMBER(AP26)),AP40-AP26,"")</f>
        <v>2.31936</v>
      </c>
      <c r="AQ39" s="23" t="n">
        <f aca="false">IF(AND(ISNUMBER(AQ40),ISNUMBER(AQ26)),AQ40-AQ26,"")</f>
        <v>2.40682218157606</v>
      </c>
      <c r="AR39" s="23" t="n">
        <f aca="false">IF(AND(ISNUMBER(AR40),ISNUMBER(AR26)),AR40-AR26,"")</f>
        <v>2.3465</v>
      </c>
      <c r="AS39" s="23" t="n">
        <f aca="false">IF(AND(ISNUMBER(AS40),ISNUMBER(AS26)),AS40-AS26,"")</f>
        <v>2.38</v>
      </c>
      <c r="AT39" s="23" t="n">
        <f aca="false">IF(AND(ISNUMBER(AT40),ISNUMBER(AT26)),AT40-AT26,"")</f>
        <v>1.94</v>
      </c>
      <c r="AU39" s="23" t="n">
        <f aca="false">IF(AND(ISNUMBER(AU40),ISNUMBER(AU26)),AU40-AU26,"")</f>
        <v>1.98</v>
      </c>
      <c r="AV39" s="23" t="n">
        <f aca="false">IF(AND(ISNUMBER(AV40),ISNUMBER(AV26)),AV40-AV26,"")</f>
        <v>2.03</v>
      </c>
      <c r="AW39" s="23" t="n">
        <f aca="false">IF(AND(ISNUMBER(AW40),ISNUMBER(AW26)),AW40-AW26,"")</f>
        <v>2.06</v>
      </c>
      <c r="AX39" s="23" t="n">
        <f aca="false">IF(AND(ISNUMBER(AX40),ISNUMBER(AX26)),AX40-AX26,"")</f>
        <v>2.5</v>
      </c>
      <c r="AY39" s="23" t="n">
        <f aca="false">IF(AND(ISNUMBER(AY40),ISNUMBER(AY26)),AY40-AY26,"")</f>
        <v>2.92</v>
      </c>
      <c r="AZ39" s="23" t="n">
        <f aca="false">IF(AND(ISNUMBER(AZ40),ISNUMBER(AZ26)),AZ40-AZ26,"")</f>
        <v>3.05</v>
      </c>
      <c r="BA39" s="23" t="n">
        <f aca="false">IF(AND(ISNUMBER(BA40),ISNUMBER(BA26)),BA40-BA26,"")</f>
        <v>3.35</v>
      </c>
      <c r="BB39" s="23" t="n">
        <f aca="false">IF(AND(ISNUMBER(BB40),ISNUMBER(BB26)),BB40-BB26,"")</f>
        <v>2.96</v>
      </c>
      <c r="BC39" s="23" t="n">
        <f aca="false">IF(AND(ISNUMBER(BC40),ISNUMBER(BC26)),BC40-BC26,"")</f>
        <v>4.01</v>
      </c>
      <c r="BD39" s="23" t="n">
        <f aca="false">IF(AND(ISNUMBER(BD40),ISNUMBER(BD26)),BD40-BD26,"")</f>
        <v>5.61</v>
      </c>
      <c r="BE39" s="23" t="n">
        <f aca="false">IF(AND(ISNUMBER(BE40),ISNUMBER(BE26)),BE40-BE26,"")</f>
        <v>5.36</v>
      </c>
      <c r="BF39" s="23" t="n">
        <f aca="false">IF(AND(ISNUMBER(BF40),ISNUMBER(BF26)),BF40-BF26,"")</f>
        <v>5.31</v>
      </c>
      <c r="BG39" s="23" t="n">
        <f aca="false">IF(AND(ISNUMBER(BG40),ISNUMBER(BG26)),BG40-BG26,"")</f>
        <v>5.07</v>
      </c>
      <c r="BH39" s="23" t="n">
        <f aca="false">IF(AND(ISNUMBER(BH40),ISNUMBER(BH26)),BH40-BH26,"")</f>
        <v>4.48</v>
      </c>
      <c r="BI39" s="23" t="n">
        <f aca="false">IF(AND(ISNUMBER(BI40),ISNUMBER(BI26)),BI40-BI26,"")</f>
        <v>3.89</v>
      </c>
      <c r="BJ39" s="23" t="n">
        <f aca="false">IF(AND(ISNUMBER(BJ40),ISNUMBER(BJ26)),BJ40-BJ26,"")</f>
        <v>4.48</v>
      </c>
      <c r="BK39" s="23" t="n">
        <f aca="false">IF(AND(ISNUMBER(BK40),ISNUMBER(BK26)),BK40-BK26,"")</f>
        <v>4.74</v>
      </c>
      <c r="BL39" s="23" t="n">
        <f aca="false">IF(AND(ISNUMBER(BL40),ISNUMBER(BL26)),BL40-BL26,"")</f>
        <v>4.39</v>
      </c>
      <c r="BM39" s="23" t="n">
        <f aca="false">IF(AND(ISNUMBER(BM40),ISNUMBER(BM26)),BM40-BM26,"")</f>
        <v>4.25</v>
      </c>
      <c r="BN39" s="23" t="n">
        <f aca="false">IF(AND(ISNUMBER(BN40),ISNUMBER(BN26)),BN40-BN26,"")</f>
        <v>4.06</v>
      </c>
      <c r="BO39" s="23" t="n">
        <f aca="false">IF(AND(ISNUMBER(BO40),ISNUMBER(BO26)),BO40-BO26,"")</f>
        <v>3.89</v>
      </c>
      <c r="BP39" s="23" t="n">
        <f aca="false">IF(AND(ISNUMBER(BP40),ISNUMBER(BP26)),BP40-BP26,"")</f>
        <v>3.77</v>
      </c>
      <c r="BQ39" s="23" t="n">
        <f aca="false">IF(AND(ISNUMBER(BQ40),ISNUMBER(BQ26)),BQ40-BQ26,"")</f>
        <v>3.99</v>
      </c>
      <c r="BR39" s="23" t="n">
        <f aca="false">IF(AND(ISNUMBER(BR40),ISNUMBER(BR26)),BR40-BR26,"")</f>
        <v>3.85</v>
      </c>
      <c r="BS39" s="23" t="n">
        <f aca="false">IF(AND(ISNUMBER(BS40),ISNUMBER(BS26)),BS40-BS26,"")</f>
        <v>3.78</v>
      </c>
      <c r="BT39" s="23" t="n">
        <f aca="false">IF(AND(ISNUMBER(BT40),ISNUMBER(BT26)),BT40-BT26,"")</f>
        <v>4.04</v>
      </c>
      <c r="BU39" s="23" t="n">
        <f aca="false">IF(AND(ISNUMBER(BU40),ISNUMBER(BU26)),BU40-BU26,"")</f>
        <v>4.06</v>
      </c>
      <c r="BV39" s="23" t="n">
        <f aca="false">IF(AND(ISNUMBER(BV40),ISNUMBER(BV26)),BV40-BV26,"")</f>
        <v>3.92</v>
      </c>
      <c r="BW39" s="23" t="n">
        <f aca="false">IF(AND(ISNUMBER(BW40),ISNUMBER(BW26)),BW40-BW26,"")</f>
        <v>4.41</v>
      </c>
      <c r="BX39" s="23" t="n">
        <f aca="false">IF(AND(ISNUMBER(BX40),ISNUMBER(BX26)),BX40-BX26,"")</f>
        <v>6.24</v>
      </c>
      <c r="BY39" s="24" t="n">
        <f aca="false">BY26*BY37</f>
        <v>6.79222287008898</v>
      </c>
      <c r="BZ39" s="24" t="n">
        <f aca="false">BZ26*BZ37</f>
        <v>8.20108593533905</v>
      </c>
      <c r="CA39" s="25" t="n">
        <f aca="false">IFERROR(CA47*1000/(CA14*20),"")</f>
        <v>6.43063610330774</v>
      </c>
      <c r="CB39" s="25" t="n">
        <f aca="false">CB26*CB37</f>
        <v>6.63308101431103</v>
      </c>
      <c r="CC39" s="25" t="n">
        <f aca="false">CC26*CC37</f>
        <v>6.07237838482005</v>
      </c>
      <c r="CD39" s="25" t="n">
        <f aca="false">CD26*CD37</f>
        <v>5.89237573984146</v>
      </c>
      <c r="CE39" s="25" t="n">
        <f aca="false">CE26*CE37</f>
        <v>6.15753264813432</v>
      </c>
      <c r="CF39" s="21"/>
      <c r="CN39" s="22" t="s">
        <v>171</v>
      </c>
      <c r="CO39" s="60" t="n">
        <f aca="false">CP39+$CO$35</f>
        <v>0.055</v>
      </c>
      <c r="CP39" s="36" t="n">
        <v>0.035</v>
      </c>
      <c r="CQ39" s="60" t="n">
        <f aca="false">CP39+$CQ$35</f>
        <v>0.015</v>
      </c>
    </row>
    <row r="40" customFormat="false" ht="15" hidden="false" customHeight="true" outlineLevel="0" collapsed="false">
      <c r="B40" s="17" t="s">
        <v>172</v>
      </c>
      <c r="C40" s="55" t="n">
        <v>11.7363034682081</v>
      </c>
      <c r="D40" s="55" t="n">
        <v>11.9830258302583</v>
      </c>
      <c r="E40" s="55" t="n">
        <v>12.9468966450216</v>
      </c>
      <c r="F40" s="55" t="n">
        <v>11.4203768699655</v>
      </c>
      <c r="G40" s="55" t="n">
        <v>11.7447403873141</v>
      </c>
      <c r="H40" s="55" t="n">
        <v>12.9322336676606</v>
      </c>
      <c r="I40" s="55" t="n">
        <v>13.8152010869565</v>
      </c>
      <c r="J40" s="55" t="n">
        <v>14.18</v>
      </c>
      <c r="K40" s="55" t="n">
        <v>14.16</v>
      </c>
      <c r="L40" s="55" t="n">
        <v>14.54</v>
      </c>
      <c r="M40" s="55" t="n">
        <v>14.46</v>
      </c>
      <c r="N40" s="55" t="n">
        <v>14.3339253609371</v>
      </c>
      <c r="O40" s="55" t="n">
        <v>14.51</v>
      </c>
      <c r="P40" s="55" t="n">
        <v>14.85</v>
      </c>
      <c r="Q40" s="55" t="n">
        <v>15.17</v>
      </c>
      <c r="R40" s="55" t="n">
        <v>15.33</v>
      </c>
      <c r="S40" s="55" t="n">
        <v>14.96</v>
      </c>
      <c r="T40" s="55" t="n">
        <v>15.17</v>
      </c>
      <c r="U40" s="55" t="n">
        <v>15.42</v>
      </c>
      <c r="V40" s="55" t="n">
        <v>15.51</v>
      </c>
      <c r="W40" s="55" t="n">
        <v>15.66</v>
      </c>
      <c r="X40" s="55" t="n">
        <v>15.44</v>
      </c>
      <c r="Y40" s="55" t="n">
        <v>15.49</v>
      </c>
      <c r="Z40" s="55" t="n">
        <v>15.73</v>
      </c>
      <c r="AA40" s="55" t="n">
        <v>16.08</v>
      </c>
      <c r="AB40" s="55" t="n">
        <v>16.45</v>
      </c>
      <c r="AC40" s="55" t="n">
        <v>15.93</v>
      </c>
      <c r="AD40" s="55" t="n">
        <v>16.68</v>
      </c>
      <c r="AE40" s="55" t="n">
        <v>16.89</v>
      </c>
      <c r="AF40" s="55" t="n">
        <v>17.36</v>
      </c>
      <c r="AG40" s="55" t="n">
        <v>17.89</v>
      </c>
      <c r="AH40" s="55" t="n">
        <v>17.2</v>
      </c>
      <c r="AI40" s="55" t="n">
        <v>15.92</v>
      </c>
      <c r="AJ40" s="55" t="n">
        <v>16.44</v>
      </c>
      <c r="AK40" s="55" t="n">
        <v>17.2</v>
      </c>
      <c r="AL40" s="55" t="n">
        <v>17.72</v>
      </c>
      <c r="AM40" s="55" t="n">
        <v>16.8</v>
      </c>
      <c r="AN40" s="55" t="n">
        <v>17.61</v>
      </c>
      <c r="AO40" s="55" t="n">
        <v>18.05</v>
      </c>
      <c r="AP40" s="55" t="n">
        <v>18.12</v>
      </c>
      <c r="AQ40" s="55" t="n">
        <v>18.38</v>
      </c>
      <c r="AR40" s="55" t="n">
        <v>18.05</v>
      </c>
      <c r="AS40" s="55" t="n">
        <v>18.16</v>
      </c>
      <c r="AT40" s="55" t="n">
        <v>17.95</v>
      </c>
      <c r="AU40" s="55" t="n">
        <v>18.59</v>
      </c>
      <c r="AV40" s="55" t="n">
        <v>18.6</v>
      </c>
      <c r="AW40" s="55" t="n">
        <v>18.33</v>
      </c>
      <c r="AX40" s="55" t="n">
        <v>19.18</v>
      </c>
      <c r="AY40" s="55" t="n">
        <v>19.84</v>
      </c>
      <c r="AZ40" s="55" t="n">
        <v>21.36</v>
      </c>
      <c r="BA40" s="55" t="n">
        <v>22.24</v>
      </c>
      <c r="BB40" s="55" t="n">
        <v>20.68</v>
      </c>
      <c r="BC40" s="55" t="n">
        <v>23.29</v>
      </c>
      <c r="BD40" s="55" t="n">
        <v>25.05</v>
      </c>
      <c r="BE40" s="55" t="n">
        <v>25.1</v>
      </c>
      <c r="BF40" s="55" t="n">
        <v>25.42</v>
      </c>
      <c r="BG40" s="55" t="n">
        <v>24.7</v>
      </c>
      <c r="BH40" s="55" t="n">
        <v>24.63</v>
      </c>
      <c r="BI40" s="55" t="n">
        <v>23.85</v>
      </c>
      <c r="BJ40" s="55" t="n">
        <v>25.87</v>
      </c>
      <c r="BK40" s="55" t="n">
        <v>27.21</v>
      </c>
      <c r="BL40" s="55" t="n">
        <v>25.38</v>
      </c>
      <c r="BM40" s="55" t="n">
        <v>26.51</v>
      </c>
      <c r="BN40" s="55" t="n">
        <v>25.75</v>
      </c>
      <c r="BO40" s="55" t="n">
        <v>25.64</v>
      </c>
      <c r="BP40" s="55" t="n">
        <v>25.73</v>
      </c>
      <c r="BQ40" s="55" t="n">
        <v>25.89</v>
      </c>
      <c r="BR40" s="55" t="n">
        <v>24.97</v>
      </c>
      <c r="BS40" s="55" t="n">
        <v>25.2</v>
      </c>
      <c r="BT40" s="55" t="n">
        <v>25.76</v>
      </c>
      <c r="BU40" s="55" t="n">
        <v>26.13</v>
      </c>
      <c r="BV40" s="55" t="n">
        <v>25.5</v>
      </c>
      <c r="BW40" s="55" t="n">
        <v>25.93</v>
      </c>
      <c r="BX40" s="55" t="n">
        <v>27.18</v>
      </c>
      <c r="BY40" s="50" t="n">
        <f aca="false">BY26+BY39</f>
        <v>28.099542870089</v>
      </c>
      <c r="BZ40" s="50" t="n">
        <f aca="false">BZ26+BZ39</f>
        <v>30.3262609353391</v>
      </c>
      <c r="CA40" s="50" t="n">
        <f aca="false">IFERROR(CA48*1000/(CA14*20),"")</f>
        <v>27.8874187939652</v>
      </c>
      <c r="CB40" s="50" t="n">
        <f aca="false">CB26+CB39</f>
        <v>29.0017769693214</v>
      </c>
      <c r="CC40" s="50" t="n">
        <f aca="false">CC26+CC39</f>
        <v>29.4756265277497</v>
      </c>
      <c r="CD40" s="50" t="n">
        <f aca="false">CD26+CD39</f>
        <v>30.3487700492029</v>
      </c>
      <c r="CE40" s="50" t="n">
        <f aca="false">CE26+CE39</f>
        <v>31.7144647014171</v>
      </c>
      <c r="CF40" s="21" t="s">
        <v>173</v>
      </c>
      <c r="CH40" s="31" t="n">
        <f aca="false">IFERROR((CE40/BV40)^(1/5)-1,"n/m")</f>
        <v>0.0445841721891893</v>
      </c>
      <c r="CI40" s="31" t="n">
        <f aca="false">IFERROR((BV40/AW40)^(1/5)-1,"n/m")</f>
        <v>0.0682564976723452</v>
      </c>
      <c r="CJ40" s="31" t="n">
        <f aca="false">IFERROR((BV40/X40)^(1/10)-1,"n/m")</f>
        <v>0.0514516054015588</v>
      </c>
      <c r="CK40" s="31" t="n">
        <f aca="false">IFERROR((BV40/C40)^(1/19)-1,"n/m")</f>
        <v>0.041687152497613</v>
      </c>
      <c r="CN40" s="16" t="s">
        <v>174</v>
      </c>
      <c r="CO40" s="57" t="n">
        <v>0.015</v>
      </c>
      <c r="CP40" s="58" t="s">
        <v>160</v>
      </c>
      <c r="CQ40" s="57" t="n">
        <v>-0.015</v>
      </c>
      <c r="CR40" s="14" t="s">
        <v>175</v>
      </c>
    </row>
    <row r="41" customFormat="false" ht="15" hidden="false" customHeight="true" outlineLevel="0" collapsed="false">
      <c r="B41" s="27" t="s">
        <v>176</v>
      </c>
      <c r="C41" s="28"/>
      <c r="D41" s="29" t="n">
        <f aca="false">IF(AND(ISNUMBER(D40),ISNUMBER(C40)),IFERROR(D40/C40-1,""),"")</f>
        <v>0.0210221525643526</v>
      </c>
      <c r="E41" s="29" t="n">
        <f aca="false">IF(AND(ISNUMBER(E40),ISNUMBER(D40)),IFERROR(E40/D40-1,""),"")</f>
        <v>0.0804363462464941</v>
      </c>
      <c r="F41" s="29" t="n">
        <f aca="false">IF(AND(ISNUMBER(F40),ISNUMBER(E40)),IFERROR(F40/E40-1,""),"")</f>
        <v>-0.117906230111379</v>
      </c>
      <c r="G41" s="29" t="n">
        <f aca="false">IF(AND(ISNUMBER(G40),ISNUMBER(F40)),IFERROR(G40/F40-1,""),"")</f>
        <v>0.0284021728040889</v>
      </c>
      <c r="H41" s="29" t="n">
        <f aca="false">IF(AND(ISNUMBER(H40),ISNUMBER(G40)),IFERROR(H40/G40-1,""),"")</f>
        <v>0.101108516764594</v>
      </c>
      <c r="I41" s="29" t="n">
        <f aca="false">IF(AND(ISNUMBER(I40),ISNUMBER(H40)),IFERROR(I40/H40-1,""),"")</f>
        <v>0.0682764820051103</v>
      </c>
      <c r="J41" s="28"/>
      <c r="K41" s="28"/>
      <c r="L41" s="28"/>
      <c r="M41" s="28"/>
      <c r="N41" s="29" t="n">
        <f aca="false">IF(AND(ISNUMBER(N40),ISNUMBER(I40)),IFERROR(N40/I40-1,""),"")</f>
        <v>0.0375473560403183</v>
      </c>
      <c r="O41" s="29" t="n">
        <f aca="false">IF(AND(ISNUMBER(O40),ISNUMBER(J40)),IFERROR(O40/J40-1,""),"")</f>
        <v>0.0232722143864599</v>
      </c>
      <c r="P41" s="29" t="n">
        <f aca="false">IF(AND(ISNUMBER(P40),ISNUMBER(K40)),IFERROR(P40/K40-1,""),"")</f>
        <v>0.048728813559322</v>
      </c>
      <c r="Q41" s="29" t="n">
        <f aca="false">IF(AND(ISNUMBER(Q40),ISNUMBER(L40)),IFERROR(Q40/L40-1,""),"")</f>
        <v>0.0433287482806053</v>
      </c>
      <c r="R41" s="29" t="n">
        <f aca="false">IF(AND(ISNUMBER(R40),ISNUMBER(M40)),IFERROR(R40/M40-1,""),"")</f>
        <v>0.0601659751037345</v>
      </c>
      <c r="S41" s="29" t="n">
        <f aca="false">IF(AND(ISNUMBER(S40),ISNUMBER(N40)),IFERROR(S40/N40-1,""),"")</f>
        <v>0.0436778219013974</v>
      </c>
      <c r="T41" s="29" t="n">
        <f aca="false">IF(AND(ISNUMBER(T40),ISNUMBER(O40)),IFERROR(T40/O40-1,""),"")</f>
        <v>0.045485871812543</v>
      </c>
      <c r="U41" s="29" t="n">
        <f aca="false">IF(AND(ISNUMBER(U40),ISNUMBER(P40)),IFERROR(U40/P40-1,""),"")</f>
        <v>0.0383838383838384</v>
      </c>
      <c r="V41" s="29" t="n">
        <f aca="false">IF(AND(ISNUMBER(V40),ISNUMBER(Q40)),IFERROR(V40/Q40-1,""),"")</f>
        <v>0.0224126565589979</v>
      </c>
      <c r="W41" s="29" t="n">
        <f aca="false">IF(AND(ISNUMBER(W40),ISNUMBER(R40)),IFERROR(W40/R40-1,""),"")</f>
        <v>0.0215264187866928</v>
      </c>
      <c r="X41" s="29" t="n">
        <f aca="false">IF(AND(ISNUMBER(X40),ISNUMBER(S40)),IFERROR(X40/S40-1,""),"")</f>
        <v>0.0320855614973261</v>
      </c>
      <c r="Y41" s="29" t="n">
        <f aca="false">IF(AND(ISNUMBER(Y40),ISNUMBER(T40)),IFERROR(Y40/T40-1,""),"")</f>
        <v>0.0210942649967041</v>
      </c>
      <c r="Z41" s="29" t="n">
        <f aca="false">IF(AND(ISNUMBER(Z40),ISNUMBER(U40)),IFERROR(Z40/U40-1,""),"")</f>
        <v>0.0201037613488975</v>
      </c>
      <c r="AA41" s="29" t="n">
        <f aca="false">IF(AND(ISNUMBER(AA40),ISNUMBER(V40)),IFERROR(AA40/V40-1,""),"")</f>
        <v>0.036750483558994</v>
      </c>
      <c r="AB41" s="29" t="n">
        <f aca="false">IF(AND(ISNUMBER(AB40),ISNUMBER(W40)),IFERROR(AB40/W40-1,""),"")</f>
        <v>0.0504469987228609</v>
      </c>
      <c r="AC41" s="29" t="n">
        <f aca="false">IF(AND(ISNUMBER(AC40),ISNUMBER(X40)),IFERROR(AC40/X40-1,""),"")</f>
        <v>0.0317357512953369</v>
      </c>
      <c r="AD41" s="29" t="n">
        <f aca="false">IF(AND(ISNUMBER(AD40),ISNUMBER(Y40)),IFERROR(AD40/Y40-1,""),"")</f>
        <v>0.0768237572627502</v>
      </c>
      <c r="AE41" s="29" t="n">
        <f aca="false">IF(AND(ISNUMBER(AE40),ISNUMBER(Z40)),IFERROR(AE40/Z40-1,""),"")</f>
        <v>0.0737444373808009</v>
      </c>
      <c r="AF41" s="29" t="n">
        <f aca="false">IF(AND(ISNUMBER(AF40),ISNUMBER(AA40)),IFERROR(AF40/AA40-1,""),"")</f>
        <v>0.0796019900497513</v>
      </c>
      <c r="AG41" s="29" t="n">
        <f aca="false">IF(AND(ISNUMBER(AG40),ISNUMBER(AB40)),IFERROR(AG40/AB40-1,""),"")</f>
        <v>0.0875379939209728</v>
      </c>
      <c r="AH41" s="29" t="n">
        <f aca="false">IF(AND(ISNUMBER(AH40),ISNUMBER(AC40)),IFERROR(AH40/AC40-1,""),"")</f>
        <v>0.0797237915881983</v>
      </c>
      <c r="AI41" s="29" t="n">
        <f aca="false">IF(AND(ISNUMBER(AI40),ISNUMBER(AD40)),IFERROR(AI40/AD40-1,""),"")</f>
        <v>-0.0455635491606714</v>
      </c>
      <c r="AJ41" s="29" t="n">
        <f aca="false">IF(AND(ISNUMBER(AJ40),ISNUMBER(AE40)),IFERROR(AJ40/AE40-1,""),"")</f>
        <v>-0.0266429840142095</v>
      </c>
      <c r="AK41" s="29" t="n">
        <f aca="false">IF(AND(ISNUMBER(AK40),ISNUMBER(AF40)),IFERROR(AK40/AF40-1,""),"")</f>
        <v>-0.00921658986175111</v>
      </c>
      <c r="AL41" s="29" t="n">
        <f aca="false">IF(AND(ISNUMBER(AL40),ISNUMBER(AG40)),IFERROR(AL40/AG40-1,""),"")</f>
        <v>-0.00950251537171609</v>
      </c>
      <c r="AM41" s="29" t="n">
        <f aca="false">IF(AND(ISNUMBER(AM40),ISNUMBER(AH40)),IFERROR(AM40/AH40-1,""),"")</f>
        <v>-0.0232558139534883</v>
      </c>
      <c r="AN41" s="29" t="n">
        <f aca="false">IF(AND(ISNUMBER(AN40),ISNUMBER(AI40)),IFERROR(AN40/AI40-1,""),"")</f>
        <v>0.106155778894472</v>
      </c>
      <c r="AO41" s="29" t="n">
        <f aca="false">IF(AND(ISNUMBER(AO40),ISNUMBER(AJ40)),IFERROR(AO40/AJ40-1,""),"")</f>
        <v>0.0979318734793186</v>
      </c>
      <c r="AP41" s="29" t="n">
        <f aca="false">IF(AND(ISNUMBER(AP40),ISNUMBER(AK40)),IFERROR(AP40/AK40-1,""),"")</f>
        <v>0.0534883720930233</v>
      </c>
      <c r="AQ41" s="29" t="n">
        <f aca="false">IF(AND(ISNUMBER(AQ40),ISNUMBER(AL40)),IFERROR(AQ40/AL40-1,""),"")</f>
        <v>0.0372460496613996</v>
      </c>
      <c r="AR41" s="29" t="n">
        <f aca="false">IF(AND(ISNUMBER(AR40),ISNUMBER(AM40)),IFERROR(AR40/AM40-1,""),"")</f>
        <v>0.0744047619047619</v>
      </c>
      <c r="AS41" s="29" t="n">
        <f aca="false">IF(AND(ISNUMBER(AS40),ISNUMBER(AN40)),IFERROR(AS40/AN40-1,""),"")</f>
        <v>0.0312322544009087</v>
      </c>
      <c r="AT41" s="29" t="n">
        <f aca="false">IF(AND(ISNUMBER(AT40),ISNUMBER(AO40)),IFERROR(AT40/AO40-1,""),"")</f>
        <v>-0.00554016620498621</v>
      </c>
      <c r="AU41" s="29" t="n">
        <f aca="false">IF(AND(ISNUMBER(AU40),ISNUMBER(AP40)),IFERROR(AU40/AP40-1,""),"")</f>
        <v>0.0259381898454745</v>
      </c>
      <c r="AV41" s="29" t="n">
        <f aca="false">IF(AND(ISNUMBER(AV40),ISNUMBER(AQ40)),IFERROR(AV40/AQ40-1,""),"")</f>
        <v>0.011969532100109</v>
      </c>
      <c r="AW41" s="29" t="n">
        <f aca="false">IF(AND(ISNUMBER(AW40),ISNUMBER(AR40)),IFERROR(AW40/AR40-1,""),"")</f>
        <v>0.0155124653739611</v>
      </c>
      <c r="AX41" s="29" t="n">
        <f aca="false">IF(AND(ISNUMBER(AX40),ISNUMBER(AS40)),IFERROR(AX40/AS40-1,""),"")</f>
        <v>0.0561674008810573</v>
      </c>
      <c r="AY41" s="29" t="n">
        <f aca="false">IF(AND(ISNUMBER(AY40),ISNUMBER(AT40)),IFERROR(AY40/AT40-1,""),"")</f>
        <v>0.105292479108635</v>
      </c>
      <c r="AZ41" s="29" t="n">
        <f aca="false">IF(AND(ISNUMBER(AZ40),ISNUMBER(AU40)),IFERROR(AZ40/AU40-1,""),"")</f>
        <v>0.149004841312534</v>
      </c>
      <c r="BA41" s="29" t="n">
        <f aca="false">IF(AND(ISNUMBER(BA40),ISNUMBER(AV40)),IFERROR(BA40/AV40-1,""),"")</f>
        <v>0.195698924731183</v>
      </c>
      <c r="BB41" s="29" t="n">
        <f aca="false">IF(AND(ISNUMBER(BB40),ISNUMBER(AW40)),IFERROR(BB40/AW40-1,""),"")</f>
        <v>0.128205128205128</v>
      </c>
      <c r="BC41" s="29" t="n">
        <f aca="false">IF(AND(ISNUMBER(BC40),ISNUMBER(AX40)),IFERROR(BC40/AX40-1,""),"")</f>
        <v>0.214285714285714</v>
      </c>
      <c r="BD41" s="29" t="n">
        <f aca="false">IF(AND(ISNUMBER(BD40),ISNUMBER(AY40)),IFERROR(BD40/AY40-1,""),"")</f>
        <v>0.262600806451613</v>
      </c>
      <c r="BE41" s="29" t="n">
        <f aca="false">IF(AND(ISNUMBER(BE40),ISNUMBER(AZ40)),IFERROR(BE40/AZ40-1,""),"")</f>
        <v>0.175093632958802</v>
      </c>
      <c r="BF41" s="29" t="n">
        <f aca="false">IF(AND(ISNUMBER(BF40),ISNUMBER(BA40)),IFERROR(BF40/BA40-1,""),"")</f>
        <v>0.142985611510791</v>
      </c>
      <c r="BG41" s="29" t="n">
        <f aca="false">IF(AND(ISNUMBER(BG40),ISNUMBER(BB40)),IFERROR(BG40/BB40-1,""),"")</f>
        <v>0.194390715667311</v>
      </c>
      <c r="BH41" s="29" t="n">
        <f aca="false">IF(AND(ISNUMBER(BH40),ISNUMBER(BC40)),IFERROR(BH40/BC40-1,""),"")</f>
        <v>0.0575354229282954</v>
      </c>
      <c r="BI41" s="29" t="n">
        <f aca="false">IF(AND(ISNUMBER(BI40),ISNUMBER(BD40)),IFERROR(BI40/BD40-1,""),"")</f>
        <v>-0.0479041916167664</v>
      </c>
      <c r="BJ41" s="29" t="n">
        <f aca="false">IF(AND(ISNUMBER(BJ40),ISNUMBER(BE40)),IFERROR(BJ40/BE40-1,""),"")</f>
        <v>0.0306772908366533</v>
      </c>
      <c r="BK41" s="29" t="n">
        <f aca="false">IF(AND(ISNUMBER(BK40),ISNUMBER(BF40)),IFERROR(BK40/BF40-1,""),"")</f>
        <v>0.0704169944925255</v>
      </c>
      <c r="BL41" s="29" t="n">
        <f aca="false">IF(AND(ISNUMBER(BL40),ISNUMBER(BG40)),IFERROR(BL40/BG40-1,""),"")</f>
        <v>0.0275303643724696</v>
      </c>
      <c r="BM41" s="29" t="n">
        <f aca="false">IF(AND(ISNUMBER(BM40),ISNUMBER(BH40)),IFERROR(BM40/BH40-1,""),"")</f>
        <v>0.0763296792529438</v>
      </c>
      <c r="BN41" s="29" t="n">
        <f aca="false">IF(AND(ISNUMBER(BN40),ISNUMBER(BI40)),IFERROR(BN40/BI40-1,""),"")</f>
        <v>0.0796645702306078</v>
      </c>
      <c r="BO41" s="29" t="n">
        <f aca="false">IF(AND(ISNUMBER(BO40),ISNUMBER(BJ40)),IFERROR(BO40/BJ40-1,""),"")</f>
        <v>-0.00889060688055665</v>
      </c>
      <c r="BP41" s="29" t="n">
        <f aca="false">IF(AND(ISNUMBER(BP40),ISNUMBER(BK40)),IFERROR(BP40/BK40-1,""),"")</f>
        <v>-0.0543917677324514</v>
      </c>
      <c r="BQ41" s="29" t="n">
        <f aca="false">IF(AND(ISNUMBER(BQ40),ISNUMBER(BL40)),IFERROR(BQ40/BL40-1,""),"")</f>
        <v>0.0200945626477542</v>
      </c>
      <c r="BR41" s="29" t="n">
        <f aca="false">IF(AND(ISNUMBER(BR40),ISNUMBER(BM40)),IFERROR(BR40/BM40-1,""),"")</f>
        <v>-0.0580912863070541</v>
      </c>
      <c r="BS41" s="29" t="n">
        <f aca="false">IF(AND(ISNUMBER(BS40),ISNUMBER(BN40)),IFERROR(BS40/BN40-1,""),"")</f>
        <v>-0.021359223300971</v>
      </c>
      <c r="BT41" s="29" t="n">
        <f aca="false">IF(AND(ISNUMBER(BT40),ISNUMBER(BO40)),IFERROR(BT40/BO40-1,""),"")</f>
        <v>0.00468018720748842</v>
      </c>
      <c r="BU41" s="29" t="n">
        <f aca="false">IF(AND(ISNUMBER(BU40),ISNUMBER(BP40)),IFERROR(BU40/BP40-1,""),"")</f>
        <v>0.0155460551884958</v>
      </c>
      <c r="BV41" s="29" t="n">
        <f aca="false">IF(AND(ISNUMBER(BV40),ISNUMBER(BQ40)),IFERROR(BV40/BQ40-1,""),"")</f>
        <v>-0.0150637311703361</v>
      </c>
      <c r="BW41" s="29" t="n">
        <f aca="false">IF(AND(ISNUMBER(BW40),ISNUMBER(BR40)),IFERROR(BW40/BR40-1,""),"")</f>
        <v>0.038446135362435</v>
      </c>
      <c r="BX41" s="29" t="n">
        <f aca="false">IF(AND(ISNUMBER(BX40),ISNUMBER(BS40)),IFERROR(BX40/BS40-1,""),"")</f>
        <v>0.0785714285714285</v>
      </c>
      <c r="BY41" s="30" t="n">
        <f aca="false">IF(AND(ISNUMBER(BY40),ISNUMBER(BT40)),IFERROR(BY40/BT40-1,""),"")</f>
        <v>0.0908207635904104</v>
      </c>
      <c r="BZ41" s="30" t="n">
        <f aca="false">IF(AND(ISNUMBER(BZ40),ISNUMBER(BU40)),IFERROR(BZ40/BU40-1,""),"")</f>
        <v>0.160591692894721</v>
      </c>
      <c r="CA41" s="30" t="n">
        <f aca="false">IF(AND(ISNUMBER(CA40),ISNUMBER(BV40)),IFERROR(CA40/BV40-1,""),"")</f>
        <v>0.0936242664300078</v>
      </c>
      <c r="CB41" s="30" t="n">
        <f aca="false">IF(AND(ISNUMBER(CB40),ISNUMBER(CA40)),IFERROR(CB40/CA40-1,""),"")</f>
        <v>0.0399591723991819</v>
      </c>
      <c r="CC41" s="30" t="n">
        <f aca="false">IF(AND(ISNUMBER(CC40),ISNUMBER(CB40)),IFERROR(CC40/CB40-1,""),"")</f>
        <v>0.0163386387989084</v>
      </c>
      <c r="CD41" s="30" t="n">
        <f aca="false">IF(AND(ISNUMBER(CD40),ISNUMBER(CC40)),IFERROR(CD40/CC40-1,""),"")</f>
        <v>0.0296225602068618</v>
      </c>
      <c r="CE41" s="30" t="n">
        <f aca="false">IF(AND(ISNUMBER(CE40),ISNUMBER(CD40)),IFERROR(CE40/CD40-1,""),"")</f>
        <v>0.0449999999999999</v>
      </c>
      <c r="CF41" s="21"/>
      <c r="CN41" s="22" t="s">
        <v>164</v>
      </c>
      <c r="CO41" s="60" t="n">
        <f aca="false">CP41+$CO$40</f>
        <v>0.065</v>
      </c>
      <c r="CP41" s="36" t="n">
        <v>0.05</v>
      </c>
      <c r="CQ41" s="60" t="n">
        <f aca="false">CP41+$CQ$40</f>
        <v>0.035</v>
      </c>
    </row>
    <row r="42" customFormat="false" ht="15" hidden="false" customHeight="true" outlineLevel="0" collapsed="false">
      <c r="B42" s="22" t="s">
        <v>177</v>
      </c>
      <c r="C42" s="46"/>
      <c r="D42" s="46"/>
      <c r="E42" s="46"/>
      <c r="F42" s="46"/>
      <c r="G42" s="46"/>
      <c r="H42" s="46"/>
      <c r="I42" s="46"/>
      <c r="J42" s="45" t="n">
        <v>167.25</v>
      </c>
      <c r="K42" s="45" t="n">
        <v>164.68</v>
      </c>
      <c r="L42" s="45" t="n">
        <v>168.43</v>
      </c>
      <c r="M42" s="45" t="n">
        <v>172.22</v>
      </c>
      <c r="N42" s="46"/>
      <c r="O42" s="45" t="n">
        <v>173.28</v>
      </c>
      <c r="P42" s="45" t="n">
        <v>175.09</v>
      </c>
      <c r="Q42" s="45" t="n">
        <v>176.71</v>
      </c>
      <c r="R42" s="45" t="n">
        <v>177.72</v>
      </c>
      <c r="S42" s="45" t="n">
        <v>175.71</v>
      </c>
      <c r="T42" s="45" t="n">
        <v>174.12</v>
      </c>
      <c r="U42" s="45" t="n">
        <v>176.02</v>
      </c>
      <c r="V42" s="45" t="n">
        <v>175.77</v>
      </c>
      <c r="W42" s="45" t="n">
        <v>176.23</v>
      </c>
      <c r="X42" s="45" t="n">
        <v>175.55</v>
      </c>
      <c r="Y42" s="45" t="n">
        <v>173.2</v>
      </c>
      <c r="Z42" s="45" t="n">
        <v>176.45</v>
      </c>
      <c r="AA42" s="45" t="n">
        <v>179.17</v>
      </c>
      <c r="AB42" s="45" t="n">
        <v>183.91</v>
      </c>
      <c r="AC42" s="45" t="n">
        <v>178.13</v>
      </c>
      <c r="AD42" s="45" t="n">
        <v>183.68</v>
      </c>
      <c r="AE42" s="45" t="n">
        <v>188.78</v>
      </c>
      <c r="AF42" s="45" t="n">
        <v>194.36</v>
      </c>
      <c r="AG42" s="45" t="n">
        <v>199.39</v>
      </c>
      <c r="AH42" s="45" t="n">
        <v>191.55</v>
      </c>
      <c r="AI42" s="45" t="n">
        <v>215.79</v>
      </c>
      <c r="AJ42" s="45" t="n">
        <v>225.24</v>
      </c>
      <c r="AK42" s="45" t="n">
        <v>233.38</v>
      </c>
      <c r="AL42" s="45" t="n">
        <v>234.33</v>
      </c>
      <c r="AM42" s="45" t="n">
        <v>227.08</v>
      </c>
      <c r="AN42" s="45" t="n">
        <v>230.43</v>
      </c>
      <c r="AO42" s="45" t="n">
        <v>234.33</v>
      </c>
      <c r="AP42" s="45" t="n">
        <v>235.87</v>
      </c>
      <c r="AQ42" s="45" t="n">
        <v>238.45</v>
      </c>
      <c r="AR42" s="45" t="n">
        <v>234.81</v>
      </c>
      <c r="AS42" s="45" t="n">
        <v>241.61</v>
      </c>
      <c r="AT42" s="45" t="n">
        <v>235.08</v>
      </c>
      <c r="AU42" s="45" t="n">
        <v>239.6</v>
      </c>
      <c r="AV42" s="45" t="n">
        <v>246.88</v>
      </c>
      <c r="AW42" s="45" t="n">
        <v>240.86</v>
      </c>
      <c r="AX42" s="45" t="n">
        <v>261.96</v>
      </c>
      <c r="AY42" s="45" t="n">
        <v>277.24</v>
      </c>
      <c r="AZ42" s="45" t="n">
        <v>299.02</v>
      </c>
      <c r="BA42" s="45" t="n">
        <v>317.04</v>
      </c>
      <c r="BB42" s="45" t="n">
        <v>289</v>
      </c>
      <c r="BC42" s="45" t="n">
        <v>329.3</v>
      </c>
      <c r="BD42" s="45" t="n">
        <v>353.75</v>
      </c>
      <c r="BE42" s="45" t="n">
        <v>359.04</v>
      </c>
      <c r="BF42" s="45" t="n">
        <v>364.44</v>
      </c>
      <c r="BG42" s="45" t="n">
        <v>351.27</v>
      </c>
      <c r="BH42" s="45" t="n">
        <v>354.37</v>
      </c>
      <c r="BI42" s="45" t="n">
        <v>344.08</v>
      </c>
      <c r="BJ42" s="45" t="n">
        <v>351.64</v>
      </c>
      <c r="BK42" s="45" t="n">
        <v>357.5</v>
      </c>
      <c r="BL42" s="45" t="n">
        <v>351.9</v>
      </c>
      <c r="BM42" s="45" t="n">
        <v>350.18</v>
      </c>
      <c r="BN42" s="45" t="n">
        <v>345.07</v>
      </c>
      <c r="BO42" s="45" t="n">
        <v>345.93</v>
      </c>
      <c r="BP42" s="45" t="n">
        <v>350.51</v>
      </c>
      <c r="BQ42" s="45" t="n">
        <v>347.81</v>
      </c>
      <c r="BR42" s="45" t="n">
        <v>355.48</v>
      </c>
      <c r="BS42" s="45" t="n">
        <v>351.36</v>
      </c>
      <c r="BT42" s="45" t="n">
        <v>349.07</v>
      </c>
      <c r="BU42" s="45" t="n">
        <v>352.27</v>
      </c>
      <c r="BV42" s="45" t="n">
        <v>351.99</v>
      </c>
      <c r="BW42" s="45" t="n">
        <v>357.93</v>
      </c>
      <c r="BX42" s="45" t="n">
        <v>393.56</v>
      </c>
      <c r="BY42" s="24" t="n">
        <f aca="false">IFERROR(BY40*BY15/100,"")</f>
        <v>408.162719913765</v>
      </c>
      <c r="BZ42" s="24" t="n">
        <f aca="false">IFERROR(BZ40*BZ15/100,"")</f>
        <v>429.237897278789</v>
      </c>
      <c r="CA42" s="25" t="n">
        <f aca="false">IFERROR(CA40*CA15/100,"")</f>
        <v>397.388729218355</v>
      </c>
      <c r="CB42" s="25" t="n">
        <f aca="false">IFERROR(CB40*CB15/100,"")</f>
        <v>417.40073449827</v>
      </c>
      <c r="CC42" s="25" t="n">
        <f aca="false">IFERROR(CC40*CC15/100,"")</f>
        <v>426.341596805305</v>
      </c>
      <c r="CD42" s="25" t="n">
        <f aca="false">IFERROR(CD40*CD15/100,"")</f>
        <v>438.970926425359</v>
      </c>
      <c r="CE42" s="25" t="n">
        <f aca="false">IFERROR(CE40*CE15/100,"")</f>
        <v>458.724618114501</v>
      </c>
      <c r="CF42" s="21"/>
      <c r="CH42" s="31" t="n">
        <f aca="false">IFERROR((CE42/BV42)^(1/5)-1,"n/m")</f>
        <v>0.0543974440411632</v>
      </c>
      <c r="CI42" s="31" t="n">
        <f aca="false">IFERROR((BV42/AW42)^(1/5)-1,"n/m")</f>
        <v>0.0788302829568326</v>
      </c>
      <c r="CJ42" s="31" t="n">
        <f aca="false">IFERROR((BV42/X42)^(1/10)-1,"n/m")</f>
        <v>0.0720448359443282</v>
      </c>
      <c r="CK42" s="31" t="str">
        <f aca="false">IFERROR((BV42/C42)^(1/19)-1,"n/m")</f>
        <v>n/m</v>
      </c>
      <c r="CN42" s="22" t="s">
        <v>166</v>
      </c>
      <c r="CO42" s="60" t="n">
        <f aca="false">CP42+$CO$40</f>
        <v>0.065</v>
      </c>
      <c r="CP42" s="36" t="n">
        <v>0.05</v>
      </c>
      <c r="CQ42" s="60" t="n">
        <f aca="false">CP42+$CQ$40</f>
        <v>0.035</v>
      </c>
    </row>
    <row r="43" customFormat="false" ht="15" hidden="false" customHeight="true" outlineLevel="0" collapsed="false">
      <c r="B43" s="37" t="s">
        <v>178</v>
      </c>
      <c r="C43" s="39" t="n">
        <v>0.119</v>
      </c>
      <c r="D43" s="38"/>
      <c r="E43" s="38"/>
      <c r="F43" s="38"/>
      <c r="G43" s="39" t="n">
        <v>0.124</v>
      </c>
      <c r="H43" s="39" t="n">
        <v>0.167</v>
      </c>
      <c r="I43" s="39" t="n">
        <v>0.173</v>
      </c>
      <c r="J43" s="39" t="n">
        <v>0.174</v>
      </c>
      <c r="K43" s="39" t="n">
        <v>0.167</v>
      </c>
      <c r="L43" s="39" t="n">
        <v>0.167</v>
      </c>
      <c r="M43" s="59" t="n">
        <f aca="false">IFERROR((N43*N81-J43*J81-K43*K81-L43*L81)/M81,"")</f>
        <v>0.164219892367381</v>
      </c>
      <c r="N43" s="39" t="n">
        <v>0.168</v>
      </c>
      <c r="O43" s="39" t="n">
        <v>0.171</v>
      </c>
      <c r="P43" s="39" t="n">
        <v>0.17</v>
      </c>
      <c r="Q43" s="39" t="n">
        <v>0.167</v>
      </c>
      <c r="R43" s="59" t="n">
        <f aca="false">IFERROR((S43*S81-O43*O81-P43*P81-Q43*Q81)/R81,"")</f>
        <v>0.155818148349093</v>
      </c>
      <c r="S43" s="39" t="n">
        <v>0.166</v>
      </c>
      <c r="T43" s="39" t="n">
        <v>0.127</v>
      </c>
      <c r="U43" s="39" t="n">
        <v>0.123</v>
      </c>
      <c r="V43" s="39" t="n">
        <v>0.114</v>
      </c>
      <c r="W43" s="59" t="n">
        <f aca="false">IFERROR((X43*X81-T43*T81-U43*U81-V43*V81)/W81,"")</f>
        <v>0.10337216021696</v>
      </c>
      <c r="X43" s="39" t="n">
        <v>0.117</v>
      </c>
      <c r="Y43" s="39" t="n">
        <v>0.087</v>
      </c>
      <c r="Z43" s="39" t="n">
        <v>0.097</v>
      </c>
      <c r="AA43" s="39" t="n">
        <v>0.102</v>
      </c>
      <c r="AB43" s="59" t="n">
        <f aca="false">IFERROR((AC43*AC81-Y43*Y81-Z43*Z81-AA43*AA81)/AB81,"")</f>
        <v>0.101386406104795</v>
      </c>
      <c r="AC43" s="39" t="n">
        <v>0.097</v>
      </c>
      <c r="AD43" s="39" t="n">
        <v>0.109</v>
      </c>
      <c r="AE43" s="39" t="n">
        <v>0.111</v>
      </c>
      <c r="AF43" s="39" t="n">
        <v>0.113</v>
      </c>
      <c r="AG43" s="59" t="n">
        <f aca="false">IFERROR((AH43*AH81-AD43*AD81-AE43*AE81-AF43*AF81)/AG81,"")</f>
        <v>0.126422433340599</v>
      </c>
      <c r="AH43" s="39" t="n">
        <v>0.115</v>
      </c>
      <c r="AI43" s="39" t="n">
        <v>0.13</v>
      </c>
      <c r="AJ43" s="39" t="n">
        <v>0.138</v>
      </c>
      <c r="AK43" s="39" t="n">
        <v>0.138</v>
      </c>
      <c r="AL43" s="59" t="n">
        <f aca="false">IFERROR((AM43*AM81-AI43*AI81-AJ43*AJ81-AK43*AK81)/AL81,"")</f>
        <v>0.137593711124769</v>
      </c>
      <c r="AM43" s="39" t="n">
        <v>0.136</v>
      </c>
      <c r="AN43" s="39" t="n">
        <v>0.129</v>
      </c>
      <c r="AO43" s="39" t="n">
        <v>0.132</v>
      </c>
      <c r="AP43" s="39" t="n">
        <v>0.128</v>
      </c>
      <c r="AQ43" s="59" t="n">
        <f aca="false">IFERROR((AR43*AR81-AN43*AN81-AO43*AO81-AP43*AP81)/AQ81,"")</f>
        <v>0.130947888007403</v>
      </c>
      <c r="AR43" s="39" t="n">
        <v>0.13</v>
      </c>
      <c r="AS43" s="39" t="n">
        <v>0.128</v>
      </c>
      <c r="AT43" s="39" t="n">
        <v>0.106</v>
      </c>
      <c r="AU43" s="39" t="n">
        <v>0.104</v>
      </c>
      <c r="AV43" s="59" t="n">
        <f aca="false">IFERROR((AW43*AW81-AS43*AS81-AT43*AT81-AU43*AU81)/AV81,"")</f>
        <v>0.106532792424478</v>
      </c>
      <c r="AW43" s="39" t="n">
        <v>0.111</v>
      </c>
      <c r="AX43" s="39" t="n">
        <v>0.129</v>
      </c>
      <c r="AY43" s="39" t="n">
        <v>0.144</v>
      </c>
      <c r="AZ43" s="39" t="n">
        <v>0.139</v>
      </c>
      <c r="BA43" s="59" t="n">
        <f aca="false">IFERROR((BB43*BB81-AX43*AX81-AY43*AY81-AZ43*AZ81)/BA81,"")</f>
        <v>0.145924178511411</v>
      </c>
      <c r="BB43" s="39" t="n">
        <v>0.14</v>
      </c>
      <c r="BC43" s="39" t="n">
        <v>0.168</v>
      </c>
      <c r="BD43" s="39" t="n">
        <v>0.217</v>
      </c>
      <c r="BE43" s="39" t="n">
        <v>0.205</v>
      </c>
      <c r="BF43" s="59" t="n">
        <f aca="false">IFERROR((BG43*BG81-BC43*BC81-BD43*BD81-BE43*BE81)/BF81,"")</f>
        <v>0.203118119458432</v>
      </c>
      <c r="BG43" s="39" t="n">
        <v>0.199</v>
      </c>
      <c r="BH43" s="39" t="n">
        <v>0.178</v>
      </c>
      <c r="BI43" s="39" t="n">
        <v>0.159</v>
      </c>
      <c r="BJ43" s="39" t="n">
        <v>0.169</v>
      </c>
      <c r="BK43" s="59" t="n">
        <f aca="false">IFERROR((BL43*BL81-BH43*BH81-BI43*BI81-BJ43*BJ81)/BK81,"")</f>
        <v>0.170333194431871</v>
      </c>
      <c r="BL43" s="40" t="n">
        <v>0.169</v>
      </c>
      <c r="BM43" s="39" t="n">
        <v>0.157</v>
      </c>
      <c r="BN43" s="39" t="n">
        <v>0.154</v>
      </c>
      <c r="BO43" s="39" t="n">
        <v>0.148</v>
      </c>
      <c r="BP43" s="59" t="n">
        <f aca="false">IFERROR((BQ43*BQ81-BM43*BM81-BN43*BN81-BO43*BO81)/BP81,"")</f>
        <v>0.14126411365964</v>
      </c>
      <c r="BQ43" s="39" t="n">
        <v>0.15</v>
      </c>
      <c r="BR43" s="40" t="n">
        <v>0.151</v>
      </c>
      <c r="BS43" s="40" t="n">
        <v>0.146</v>
      </c>
      <c r="BT43" s="39" t="n">
        <v>0.152</v>
      </c>
      <c r="BU43" s="59" t="n">
        <f aca="false">IFERROR((BV43*BV81-BR43*BR81-BS43*BS81-BT43*BT81)/BU81,"")</f>
        <v>0.151014741402009</v>
      </c>
      <c r="BV43" s="39" t="n">
        <v>0.15</v>
      </c>
      <c r="BW43" s="39" t="n">
        <v>0.165</v>
      </c>
      <c r="BX43" s="39" t="n">
        <v>0.223</v>
      </c>
      <c r="BY43" s="52" t="n">
        <f aca="false">IFERROR(BY54/BY81,"")</f>
        <v>0.241720048667378</v>
      </c>
      <c r="BZ43" s="52" t="n">
        <f aca="false">IFERROR(BZ54/BZ81,"")</f>
        <v>0.270428522422372</v>
      </c>
      <c r="CA43" s="52" t="n">
        <f aca="false">IFERROR(CA54/CA81,"")</f>
        <v>0.227908018106664</v>
      </c>
      <c r="CB43" s="52" t="n">
        <f aca="false">IFERROR(CB54/CB81,"")</f>
        <v>0.228712917188751</v>
      </c>
      <c r="CC43" s="52" t="n">
        <f aca="false">IFERROR(CC54/CC81,"")</f>
        <v>0.20601354746788</v>
      </c>
      <c r="CD43" s="52" t="n">
        <f aca="false">IFERROR(CD54/CD81,"")</f>
        <v>0.194155339089144</v>
      </c>
      <c r="CE43" s="52" t="n">
        <f aca="false">IFERROR(CE54/CE81,"")</f>
        <v>0.194155339089144</v>
      </c>
      <c r="CF43" s="21" t="s">
        <v>179</v>
      </c>
      <c r="CH43" s="64" t="n">
        <f aca="false">IFERROR(AVERAGE(CA43,CB43,CC43,CD43,CE43),"n/m")</f>
        <v>0.210189032188317</v>
      </c>
      <c r="CI43" s="64" t="n">
        <f aca="false">IFERROR(AVERAGE(BB43,BG43,BL43,BQ43,BV43),"n/m")</f>
        <v>0.1616</v>
      </c>
      <c r="CJ43" s="64" t="n">
        <f aca="false">IFERROR(AVERAGE(AC43,AH43,AM43,AR43,AW43,BB43,BG43,BL43,BQ43,BV43),"n/m")</f>
        <v>0.1397</v>
      </c>
      <c r="CK43" s="64" t="n">
        <f aca="false">IFERROR(AVERAGE(C43,D43,E43,F43,G43,H43,I43,N43,S43,X43,AC43,AH43,AM43,AR43,AW43,BB43,BG43,BL43,BQ43,BV43),"n/m")</f>
        <v>0.143</v>
      </c>
      <c r="CN43" s="22" t="s">
        <v>169</v>
      </c>
      <c r="CO43" s="60" t="n">
        <f aca="false">CP43+$CO$40</f>
        <v>0.06</v>
      </c>
      <c r="CP43" s="36" t="n">
        <v>0.045</v>
      </c>
      <c r="CQ43" s="60" t="n">
        <f aca="false">CP43+$CQ$40</f>
        <v>0.03</v>
      </c>
    </row>
    <row r="44" customFormat="false" ht="15" hidden="false" customHeight="true" outlineLevel="0" collapsed="false">
      <c r="CN44" s="22" t="s">
        <v>171</v>
      </c>
      <c r="CO44" s="60" t="n">
        <f aca="false">CP44+$CO$40</f>
        <v>0.06</v>
      </c>
      <c r="CP44" s="36" t="n">
        <v>0.045</v>
      </c>
      <c r="CQ44" s="60" t="n">
        <f aca="false">CP44+$CQ$40</f>
        <v>0.03</v>
      </c>
    </row>
    <row r="45" customFormat="false" ht="15" hidden="false" customHeight="true" outlineLevel="0" collapsed="false">
      <c r="B45" s="15" t="s">
        <v>180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 t="s">
        <v>181</v>
      </c>
      <c r="CN45" s="16" t="s">
        <v>182</v>
      </c>
      <c r="CO45" s="57" t="n">
        <v>0</v>
      </c>
      <c r="CP45" s="58" t="s">
        <v>160</v>
      </c>
      <c r="CQ45" s="57" t="n">
        <v>0</v>
      </c>
      <c r="CR45" s="14" t="s">
        <v>183</v>
      </c>
    </row>
    <row r="46" customFormat="false" ht="15" hidden="false" customHeight="true" outlineLevel="0" collapsed="false">
      <c r="B46" s="22" t="s">
        <v>184</v>
      </c>
      <c r="C46" s="65" t="n">
        <f aca="false">IF(AND(ISNUMBER(C14),ISNUMBER(C26)),C14*20*C26/1000,"")</f>
        <v>710.2976</v>
      </c>
      <c r="D46" s="65" t="str">
        <f aca="false">IF(AND(ISNUMBER(D14),ISNUMBER(D26)),D14*20*D26/1000,"")</f>
        <v/>
      </c>
      <c r="E46" s="65" t="str">
        <f aca="false">IF(AND(ISNUMBER(E14),ISNUMBER(E26)),E14*20*E26/1000,"")</f>
        <v/>
      </c>
      <c r="F46" s="65" t="str">
        <f aca="false">IF(AND(ISNUMBER(F14),ISNUMBER(F26)),F14*20*F26/1000,"")</f>
        <v/>
      </c>
      <c r="G46" s="65" t="n">
        <f aca="false">IF(AND(ISNUMBER(G14),ISNUMBER(G26)),G14*20*G26/1000,"")</f>
        <v>733.1508552</v>
      </c>
      <c r="H46" s="65" t="n">
        <f aca="false">IF(AND(ISNUMBER(H14),ISNUMBER(H26)),H14*20*H26/1000,"")</f>
        <v>794.7987866</v>
      </c>
      <c r="I46" s="65" t="n">
        <f aca="false">IF(AND(ISNUMBER(I14),ISNUMBER(I26)),I14*20*I26/1000,"")</f>
        <v>840.8926076</v>
      </c>
      <c r="J46" s="65" t="n">
        <f aca="false">IF(AND(ISNUMBER(J14),ISNUMBER(J26)),J14*20*J26/1000,"")</f>
        <v>209.8912256</v>
      </c>
      <c r="K46" s="65" t="n">
        <f aca="false">IF(AND(ISNUMBER(K14),ISNUMBER(K26)),K14*20*K26/1000,"")</f>
        <v>225.289848</v>
      </c>
      <c r="L46" s="65" t="n">
        <f aca="false">IF(AND(ISNUMBER(L14),ISNUMBER(L26)),L14*20*L26/1000,"")</f>
        <v>225.7643248</v>
      </c>
      <c r="M46" s="65" t="n">
        <f aca="false">IF(AND(ISNUMBER(M14),ISNUMBER(M26)),M14*20*M26/1000,"")</f>
        <v>214.63635512909</v>
      </c>
      <c r="N46" s="65" t="n">
        <f aca="false">IF(AND(ISNUMBER(N14),ISNUMBER(N26)),N14*20*N26/1000,"")</f>
        <v>875.5941376</v>
      </c>
      <c r="O46" s="65" t="n">
        <f aca="false">IF(AND(ISNUMBER(O14),ISNUMBER(O26)),O14*20*O26/1000,"")</f>
        <v>227.8252826</v>
      </c>
      <c r="P46" s="65" t="n">
        <f aca="false">IF(AND(ISNUMBER(P14),ISNUMBER(P26)),P14*20*P26/1000,"")</f>
        <v>251.68671</v>
      </c>
      <c r="Q46" s="65" t="n">
        <f aca="false">IF(AND(ISNUMBER(Q14),ISNUMBER(Q26)),Q14*20*Q26/1000,"")</f>
        <v>254.7540576</v>
      </c>
      <c r="R46" s="65" t="n">
        <f aca="false">IF(AND(ISNUMBER(R14),ISNUMBER(R26)),R14*20*R26/1000,"")</f>
        <v>239.673020193172</v>
      </c>
      <c r="S46" s="65" t="n">
        <f aca="false">IF(AND(ISNUMBER(S14),ISNUMBER(S26)),S14*20*S26/1000,"")</f>
        <v>973.6769856</v>
      </c>
      <c r="T46" s="65" t="n">
        <f aca="false">IF(AND(ISNUMBER(T14),ISNUMBER(T26)),T14*20*T26/1000,"")</f>
        <v>234.1434888</v>
      </c>
      <c r="U46" s="65" t="n">
        <f aca="false">IF(AND(ISNUMBER(U14),ISNUMBER(U26)),U14*20*U26/1000,"")</f>
        <v>259.648128</v>
      </c>
      <c r="V46" s="65" t="n">
        <f aca="false">IF(AND(ISNUMBER(V14),ISNUMBER(V26)),V14*20*V26/1000,"")</f>
        <v>258.346968</v>
      </c>
      <c r="W46" s="65" t="n">
        <f aca="false">IF(AND(ISNUMBER(W14),ISNUMBER(W26)),W14*20*W26/1000,"")</f>
        <v>237.015320470521</v>
      </c>
      <c r="X46" s="65" t="n">
        <f aca="false">IF(AND(ISNUMBER(X14),ISNUMBER(X26)),X14*20*X26/1000,"")</f>
        <v>989.2482112</v>
      </c>
      <c r="Y46" s="65" t="n">
        <f aca="false">IF(AND(ISNUMBER(Y14),ISNUMBER(Y26)),Y14*20*Y26/1000,"")</f>
        <v>245.5115432</v>
      </c>
      <c r="Z46" s="65" t="n">
        <f aca="false">IF(AND(ISNUMBER(Z14),ISNUMBER(Z26)),Z14*20*Z26/1000,"")</f>
        <v>261.0730122</v>
      </c>
      <c r="AA46" s="65" t="n">
        <f aca="false">IF(AND(ISNUMBER(AA14),ISNUMBER(AA26)),AA14*20*AA26/1000,"")</f>
        <v>263.6714784</v>
      </c>
      <c r="AB46" s="65" t="n">
        <f aca="false">IF(AND(ISNUMBER(AB14),ISNUMBER(AB26)),AB14*20*AB26/1000,"")</f>
        <v>248.932140553662</v>
      </c>
      <c r="AC46" s="65" t="n">
        <f aca="false">IF(AND(ISNUMBER(AC14),ISNUMBER(AC26)),AC14*20*AC26/1000,"")</f>
        <v>1018.7308278</v>
      </c>
      <c r="AD46" s="65" t="n">
        <f aca="false">IF(AND(ISNUMBER(AD14),ISNUMBER(AD26)),AD14*20*AD26/1000,"")</f>
        <v>263.055276</v>
      </c>
      <c r="AE46" s="65" t="n">
        <f aca="false">IF(AND(ISNUMBER(AE14),ISNUMBER(AE26)),AE14*20*AE26/1000,"")</f>
        <v>295.4993328</v>
      </c>
      <c r="AF46" s="65" t="n">
        <f aca="false">IF(AND(ISNUMBER(AF14),ISNUMBER(AF26)),AF14*20*AF26/1000,"")</f>
        <v>286.7167184</v>
      </c>
      <c r="AG46" s="65" t="n">
        <f aca="false">IF(AND(ISNUMBER(AG14),ISNUMBER(AG26)),AG14*20*AG26/1000,"")</f>
        <v>285.060240655869</v>
      </c>
      <c r="AH46" s="65" t="n">
        <f aca="false">IF(AND(ISNUMBER(AH14),ISNUMBER(AH26)),AH14*20*AH26/1000,"")</f>
        <v>1129.77684</v>
      </c>
      <c r="AI46" s="65" t="n">
        <f aca="false">IF(AND(ISNUMBER(AI14),ISNUMBER(AI26)),AI14*20*AI26/1000,"")</f>
        <v>332.132592</v>
      </c>
      <c r="AJ46" s="65" t="n">
        <f aca="false">IF(AND(ISNUMBER(AJ14),ISNUMBER(AJ26)),AJ14*20*AJ26/1000,"")</f>
        <v>362.2179168</v>
      </c>
      <c r="AK46" s="65" t="n">
        <f aca="false">IF(AND(ISNUMBER(AK14),ISNUMBER(AK26)),AK14*20*AK26/1000,"")</f>
        <v>358.205824</v>
      </c>
      <c r="AL46" s="65" t="n">
        <f aca="false">IF(AND(ISNUMBER(AL14),ISNUMBER(AL26)),AL14*20*AL26/1000,"")</f>
        <v>340.785019486781</v>
      </c>
      <c r="AM46" s="65" t="n">
        <f aca="false">IF(AND(ISNUMBER(AM14),ISNUMBER(AM26)),AM14*20*AM26/1000,"")</f>
        <v>1393.749504</v>
      </c>
      <c r="AN46" s="65" t="n">
        <f aca="false">IF(AND(ISNUMBER(AN14),ISNUMBER(AN26)),AN14*20*AN26/1000,"")</f>
        <v>349.4067018</v>
      </c>
      <c r="AO46" s="65" t="n">
        <f aca="false">IF(AND(ISNUMBER(AO14),ISNUMBER(AO26)),AO14*20*AO26/1000,"")</f>
        <v>392.938392</v>
      </c>
      <c r="AP46" s="65" t="n">
        <f aca="false">IF(AND(ISNUMBER(AP14),ISNUMBER(AP26)),AP14*20*AP26/1000,"")</f>
        <v>399.1241664</v>
      </c>
      <c r="AQ46" s="65" t="n">
        <f aca="false">IF(AND(ISNUMBER(AQ14),ISNUMBER(AQ26)),AQ14*20*AQ26/1000,"")</f>
        <v>371.855579612909</v>
      </c>
      <c r="AR46" s="65" t="n">
        <f aca="false">IF(AND(ISNUMBER(AR14),ISNUMBER(AR26)),AR14*20*AR26/1000,"")</f>
        <v>1513.8174</v>
      </c>
      <c r="AS46" s="65" t="n">
        <f aca="false">IF(AND(ISNUMBER(AS14),ISNUMBER(AS26)),AS14*20*AS26/1000,"")</f>
        <v>379.6668</v>
      </c>
      <c r="AT46" s="65" t="n">
        <f aca="false">IF(AND(ISNUMBER(AT14),ISNUMBER(AT26)),AT14*20*AT26/1000,"")</f>
        <v>365.6684</v>
      </c>
      <c r="AU46" s="65" t="n">
        <f aca="false">IF(AND(ISNUMBER(AU14),ISNUMBER(AU26)),AU14*20*AU26/1000,"")</f>
        <v>419.5686</v>
      </c>
      <c r="AV46" s="65" t="n">
        <f aca="false">IF(AND(ISNUMBER(AV14),ISNUMBER(AV26)),AV14*20*AV26/1000,"")</f>
        <v>408.6162</v>
      </c>
      <c r="AW46" s="65" t="n">
        <f aca="false">IF(AND(ISNUMBER(AW14),ISNUMBER(AW26)),AW14*20*AW26/1000,"")</f>
        <v>1575.5868</v>
      </c>
      <c r="AX46" s="65" t="n">
        <f aca="false">IF(AND(ISNUMBER(AX14),ISNUMBER(AX26)),AX14*20*AX26/1000,"")</f>
        <v>415.9992</v>
      </c>
      <c r="AY46" s="65" t="n">
        <f aca="false">IF(AND(ISNUMBER(AY14),ISNUMBER(AY26)),AY14*20*AY26/1000,"")</f>
        <v>475.7904</v>
      </c>
      <c r="AZ46" s="65" t="n">
        <f aca="false">IF(AND(ISNUMBER(AZ14),ISNUMBER(AZ26)),AZ14*20*AZ26/1000,"")</f>
        <v>513.4124</v>
      </c>
      <c r="BA46" s="65" t="n">
        <f aca="false">IF(AND(ISNUMBER(BA14),ISNUMBER(BA26)),BA14*20*BA26/1000,"")</f>
        <v>508.5188</v>
      </c>
      <c r="BB46" s="65" t="n">
        <f aca="false">IF(AND(ISNUMBER(BB14),ISNUMBER(BB26)),BB14*20*BB26/1000,"")</f>
        <v>1914.1144</v>
      </c>
      <c r="BC46" s="65" t="n">
        <f aca="false">IF(AND(ISNUMBER(BC14),ISNUMBER(BC26)),BC14*20*BC26/1000,"")</f>
        <v>534.8272</v>
      </c>
      <c r="BD46" s="65" t="n">
        <f aca="false">IF(AND(ISNUMBER(BD14),ISNUMBER(BD26)),BD14*20*BD26/1000,"")</f>
        <v>562.2048</v>
      </c>
      <c r="BE46" s="65" t="n">
        <f aca="false">IF(AND(ISNUMBER(BE14),ISNUMBER(BE26)),BE14*20*BE26/1000,"")</f>
        <v>551.5356</v>
      </c>
      <c r="BF46" s="65" t="n">
        <f aca="false">IF(AND(ISNUMBER(BF14),ISNUMBER(BF26)),BF14*20*BF26/1000,"")</f>
        <v>499.9346</v>
      </c>
      <c r="BG46" s="65" t="n">
        <f aca="false">IF(AND(ISNUMBER(BG14),ISNUMBER(BG26)),BG14*20*BG26/1000,"")</f>
        <v>2148.6998</v>
      </c>
      <c r="BH46" s="65" t="n">
        <f aca="false">IF(AND(ISNUMBER(BH14),ISNUMBER(BH26)),BH14*20*BH26/1000,"")</f>
        <v>528.333</v>
      </c>
      <c r="BI46" s="65" t="n">
        <f aca="false">IF(AND(ISNUMBER(BI14),ISNUMBER(BI26)),BI14*20*BI26/1000,"")</f>
        <v>567.2632</v>
      </c>
      <c r="BJ46" s="65" t="n">
        <f aca="false">IF(AND(ISNUMBER(BJ14),ISNUMBER(BJ26)),BJ14*20*BJ26/1000,"")</f>
        <v>627.5826</v>
      </c>
      <c r="BK46" s="65" t="n">
        <f aca="false">IF(AND(ISNUMBER(BK14),ISNUMBER(BK26)),BK14*20*BK26/1000,"")</f>
        <v>604.443</v>
      </c>
      <c r="BL46" s="65" t="n">
        <f aca="false">IF(AND(ISNUMBER(BL14),ISNUMBER(BL26)),BL14*20*BL26/1000,"")</f>
        <v>2326.9514</v>
      </c>
      <c r="BM46" s="65" t="n">
        <f aca="false">IF(AND(ISNUMBER(BM14),ISNUMBER(BM26)),BM14*20*BM26/1000,"")</f>
        <v>619.7184</v>
      </c>
      <c r="BN46" s="65" t="n">
        <f aca="false">IF(AND(ISNUMBER(BN14),ISNUMBER(BN26)),BN14*20*BN26/1000,"")</f>
        <v>676.2942</v>
      </c>
      <c r="BO46" s="65" t="n">
        <f aca="false">IF(AND(ISNUMBER(BO14),ISNUMBER(BO26)),BO14*20*BO26/1000,"")</f>
        <v>698.175</v>
      </c>
      <c r="BP46" s="65" t="n">
        <f aca="false">IF(AND(ISNUMBER(BP14),ISNUMBER(BP26)),BP14*20*BP26/1000,"")</f>
        <v>650.4552</v>
      </c>
      <c r="BQ46" s="65" t="n">
        <f aca="false">IF(AND(ISNUMBER(BQ14),ISNUMBER(BQ26)),BQ14*20*BQ26/1000,"")</f>
        <v>2644.206</v>
      </c>
      <c r="BR46" s="65" t="n">
        <f aca="false">IF(AND(ISNUMBER(BR14),ISNUMBER(BR26)),BR14*20*BR26/1000,"")</f>
        <v>652.608</v>
      </c>
      <c r="BS46" s="65" t="n">
        <f aca="false">IF(AND(ISNUMBER(BS14),ISNUMBER(BS26)),BS14*20*BS26/1000,"")</f>
        <v>675.1584</v>
      </c>
      <c r="BT46" s="65" t="n">
        <f aca="false">IF(AND(ISNUMBER(BT14),ISNUMBER(BT26)),BT14*20*BT26/1000,"")</f>
        <v>686.7864</v>
      </c>
      <c r="BU46" s="65" t="n">
        <f aca="false">IF(AND(ISNUMBER(BU14),ISNUMBER(BU26)),BU14*20*BU26/1000,"")</f>
        <v>644.0026</v>
      </c>
      <c r="BV46" s="65" t="n">
        <f aca="false">IF(AND(ISNUMBER(BV14),ISNUMBER(BV26)),BV14*20*BV26/1000,"")</f>
        <v>2659.0876</v>
      </c>
      <c r="BW46" s="65" t="n">
        <f aca="false">IF(AND(ISNUMBER(BW14),ISNUMBER(BW26)),BW14*20*BW26/1000,"")</f>
        <v>651.1952</v>
      </c>
      <c r="BX46" s="65" t="n">
        <f aca="false">IF(AND(ISNUMBER(BX14),ISNUMBER(BX26)),BX14*20*BX26/1000,"")</f>
        <v>715.7292</v>
      </c>
      <c r="BY46" s="66" t="n">
        <f aca="false">BY14*20*BY26/1000</f>
        <v>729.6576674472</v>
      </c>
      <c r="BZ46" s="66" t="n">
        <f aca="false">BZ14*20*BZ26/1000</f>
        <v>690.805488955</v>
      </c>
      <c r="CA46" s="67" t="n">
        <f aca="false">SUM(BW46,BX46,BY46,BZ46)</f>
        <v>2787.3875564022</v>
      </c>
      <c r="CB46" s="67" t="n">
        <f aca="false">CB14*20*CB26/1000</f>
        <v>3051.14410392676</v>
      </c>
      <c r="CC46" s="67" t="n">
        <f aca="false">CC14*20*CC26/1000</f>
        <v>3335.91119707637</v>
      </c>
      <c r="CD46" s="67" t="n">
        <f aca="false">CD14*20*CD26/1000</f>
        <v>3625.4682889826</v>
      </c>
      <c r="CE46" s="67" t="n">
        <f aca="false">CE14*20*CE26/1000</f>
        <v>3921.21586465636</v>
      </c>
      <c r="CF46" s="21" t="s">
        <v>185</v>
      </c>
      <c r="CN46" s="22" t="s">
        <v>164</v>
      </c>
      <c r="CO46" s="60" t="n">
        <f aca="false">CP46+$CO$45</f>
        <v>0.01</v>
      </c>
      <c r="CP46" s="36" t="n">
        <v>0.01</v>
      </c>
      <c r="CQ46" s="60" t="n">
        <f aca="false">CP46+$CQ$45</f>
        <v>0.01</v>
      </c>
    </row>
    <row r="47" customFormat="false" ht="15" hidden="false" customHeight="true" outlineLevel="0" collapsed="false">
      <c r="B47" s="22" t="s">
        <v>186</v>
      </c>
      <c r="C47" s="65" t="n">
        <f aca="false">IF(AND(ISNUMBER(C14),ISNUMBER(C39)),C14*20*C39/1000,"")</f>
        <v>101.8546</v>
      </c>
      <c r="D47" s="65" t="str">
        <f aca="false">IF(AND(ISNUMBER(D14),ISNUMBER(D39)),D14*20*D39/1000,"")</f>
        <v/>
      </c>
      <c r="E47" s="65" t="str">
        <f aca="false">IF(AND(ISNUMBER(E14),ISNUMBER(E39)),E14*20*E39/1000,"")</f>
        <v/>
      </c>
      <c r="F47" s="65" t="str">
        <f aca="false">IF(AND(ISNUMBER(F14),ISNUMBER(F39)),F14*20*F39/1000,"")</f>
        <v/>
      </c>
      <c r="G47" s="65" t="n">
        <f aca="false">IF(AND(ISNUMBER(G14),ISNUMBER(G39)),G14*20*G39/1000,"")</f>
        <v>103.7793448</v>
      </c>
      <c r="H47" s="65" t="n">
        <f aca="false">IF(AND(ISNUMBER(H14),ISNUMBER(H39)),H14*20*H39/1000,"")</f>
        <v>159.3414134</v>
      </c>
      <c r="I47" s="65" t="n">
        <f aca="false">IF(AND(ISNUMBER(I14),ISNUMBER(I39)),I14*20*I39/1000,"")</f>
        <v>175.9061924</v>
      </c>
      <c r="J47" s="65" t="n">
        <f aca="false">IF(AND(ISNUMBER(J14),ISNUMBER(J39)),J14*20*J39/1000,"")</f>
        <v>44.2143744</v>
      </c>
      <c r="K47" s="65" t="n">
        <f aca="false">IF(AND(ISNUMBER(K14),ISNUMBER(K39)),K14*20*K39/1000,"")</f>
        <v>45.166152</v>
      </c>
      <c r="L47" s="65" t="n">
        <f aca="false">IF(AND(ISNUMBER(L14),ISNUMBER(L39)),L14*20*L39/1000,"")</f>
        <v>45.2612752</v>
      </c>
      <c r="M47" s="65" t="n">
        <f aca="false">IF(AND(ISNUMBER(M14),ISNUMBER(M39)),M14*20*M39/1000,"")</f>
        <v>42.1732448709102</v>
      </c>
      <c r="N47" s="65" t="n">
        <f aca="false">IF(AND(ISNUMBER(N14),ISNUMBER(N39)),N14*20*N39/1000,"")</f>
        <v>176.8026624</v>
      </c>
      <c r="O47" s="65" t="n">
        <f aca="false">IF(AND(ISNUMBER(O14),ISNUMBER(O39)),O14*20*O39/1000,"")</f>
        <v>46.9941174</v>
      </c>
      <c r="P47" s="65" t="n">
        <f aca="false">IF(AND(ISNUMBER(P14),ISNUMBER(P39)),P14*20*P39/1000,"")</f>
        <v>51.55029</v>
      </c>
      <c r="Q47" s="65" t="n">
        <f aca="false">IF(AND(ISNUMBER(Q14),ISNUMBER(Q39)),Q14*20*Q39/1000,"")</f>
        <v>51.0731424</v>
      </c>
      <c r="R47" s="65" t="n">
        <f aca="false">IF(AND(ISNUMBER(R14),ISNUMBER(R39)),R14*20*R39/1000,"")</f>
        <v>44.2385798068284</v>
      </c>
      <c r="S47" s="65" t="n">
        <f aca="false">IF(AND(ISNUMBER(S14),ISNUMBER(S39)),S14*20*S39/1000,"")</f>
        <v>193.8014144</v>
      </c>
      <c r="T47" s="65" t="n">
        <f aca="false">IF(AND(ISNUMBER(T14),ISNUMBER(T39)),T14*20*T39/1000,"")</f>
        <v>34.0621112</v>
      </c>
      <c r="U47" s="65" t="n">
        <f aca="false">IF(AND(ISNUMBER(U14),ISNUMBER(U39)),U14*20*U39/1000,"")</f>
        <v>36.415872</v>
      </c>
      <c r="V47" s="65" t="n">
        <f aca="false">IF(AND(ISNUMBER(V14),ISNUMBER(V39)),V14*20*V39/1000,"")</f>
        <v>33.241032</v>
      </c>
      <c r="W47" s="65" t="n">
        <f aca="false">IF(AND(ISNUMBER(W14),ISNUMBER(W39)),W14*20*W39/1000,"")</f>
        <v>27.3254795294795</v>
      </c>
      <c r="X47" s="65" t="n">
        <f aca="false">IF(AND(ISNUMBER(X14),ISNUMBER(X39)),X14*20*X39/1000,"")</f>
        <v>131.0781888</v>
      </c>
      <c r="Y47" s="65" t="n">
        <f aca="false">IF(AND(ISNUMBER(Y14),ISNUMBER(Y39)),Y14*20*Y39/1000,"")</f>
        <v>23.3948568</v>
      </c>
      <c r="Z47" s="65" t="n">
        <f aca="false">IF(AND(ISNUMBER(Z14),ISNUMBER(Z39)),Z14*20*Z39/1000,"")</f>
        <v>28.0443878</v>
      </c>
      <c r="AA47" s="65" t="n">
        <f aca="false">IF(AND(ISNUMBER(AA14),ISNUMBER(AA39)),AA14*20*AA39/1000,"")</f>
        <v>29.9493216</v>
      </c>
      <c r="AB47" s="65" t="n">
        <f aca="false">IF(AND(ISNUMBER(AB14),ISNUMBER(AB39)),AB14*20*AB39/1000,"")</f>
        <v>28.0858594463382</v>
      </c>
      <c r="AC47" s="65" t="n">
        <f aca="false">IF(AND(ISNUMBER(AC14),ISNUMBER(AC39)),AC14*20*AC39/1000,"")</f>
        <v>109.4317722</v>
      </c>
      <c r="AD47" s="65" t="n">
        <f aca="false">IF(AND(ISNUMBER(AD14),ISNUMBER(AD39)),AD14*20*AD39/1000,"")</f>
        <v>32.180724</v>
      </c>
      <c r="AE47" s="65" t="n">
        <f aca="false">IF(AND(ISNUMBER(AE14),ISNUMBER(AE39)),AE14*20*AE39/1000,"")</f>
        <v>36.8958672</v>
      </c>
      <c r="AF47" s="65" t="n">
        <f aca="false">IF(AND(ISNUMBER(AF14),ISNUMBER(AF39)),AF14*20*AF39/1000,"")</f>
        <v>36.5264816</v>
      </c>
      <c r="AG47" s="65" t="n">
        <f aca="false">IF(AND(ISNUMBER(AG14),ISNUMBER(AG39)),AG14*20*AG39/1000,"")</f>
        <v>41.253359344131</v>
      </c>
      <c r="AH47" s="65" t="n">
        <f aca="false">IF(AND(ISNUMBER(AH14),ISNUMBER(AH39)),AH14*20*AH39/1000,"")</f>
        <v>146.80716</v>
      </c>
      <c r="AI47" s="65" t="n">
        <f aca="false">IF(AND(ISNUMBER(AI14),ISNUMBER(AI39)),AI14*20*AI39/1000,"")</f>
        <v>49.629008</v>
      </c>
      <c r="AJ47" s="65" t="n">
        <f aca="false">IF(AND(ISNUMBER(AJ14),ISNUMBER(AJ39)),AJ14*20*AJ39/1000,"")</f>
        <v>57.9884832</v>
      </c>
      <c r="AK47" s="65" t="n">
        <f aca="false">IF(AND(ISNUMBER(AK14),ISNUMBER(AK39)),AK14*20*AK39/1000,"")</f>
        <v>57.346176</v>
      </c>
      <c r="AL47" s="65" t="n">
        <f aca="false">IF(AND(ISNUMBER(AL14),ISNUMBER(AL39)),AL14*20*AL39/1000,"")</f>
        <v>54.3709805132194</v>
      </c>
      <c r="AM47" s="65" t="n">
        <f aca="false">IF(AND(ISNUMBER(AM14),ISNUMBER(AM39)),AM14*20*AM39/1000,"")</f>
        <v>219.386496</v>
      </c>
      <c r="AN47" s="65" t="n">
        <f aca="false">IF(AND(ISNUMBER(AN14),ISNUMBER(AN39)),AN14*20*AN39/1000,"")</f>
        <v>51.7490982</v>
      </c>
      <c r="AO47" s="65" t="n">
        <f aca="false">IF(AND(ISNUMBER(AO14),ISNUMBER(AO39)),AO14*20*AO39/1000,"")</f>
        <v>59.755608</v>
      </c>
      <c r="AP47" s="65" t="n">
        <f aca="false">IF(AND(ISNUMBER(AP14),ISNUMBER(AP39)),AP14*20*AP39/1000,"")</f>
        <v>58.5870336</v>
      </c>
      <c r="AQ47" s="65" t="n">
        <f aca="false">IF(AND(ISNUMBER(AQ14),ISNUMBER(AQ39)),AQ14*20*AQ39/1000,"")</f>
        <v>56.0308203870908</v>
      </c>
      <c r="AR47" s="65" t="n">
        <f aca="false">IF(AND(ISNUMBER(AR14),ISNUMBER(AR39)),AR14*20*AR39/1000,"")</f>
        <v>226.2026</v>
      </c>
      <c r="AS47" s="65" t="n">
        <f aca="false">IF(AND(ISNUMBER(AS14),ISNUMBER(AS39)),AS14*20*AS39/1000,"")</f>
        <v>57.2628</v>
      </c>
      <c r="AT47" s="65" t="n">
        <f aca="false">IF(AND(ISNUMBER(AT14),ISNUMBER(AT39)),AT14*20*AT39/1000,"")</f>
        <v>44.3095999999999</v>
      </c>
      <c r="AU47" s="65" t="n">
        <f aca="false">IF(AND(ISNUMBER(AU14),ISNUMBER(AU39)),AU14*20*AU39/1000,"")</f>
        <v>50.0148</v>
      </c>
      <c r="AV47" s="65" t="n">
        <f aca="false">IF(AND(ISNUMBER(AV14),ISNUMBER(AV39)),AV14*20*AV39/1000,"")</f>
        <v>50.0598</v>
      </c>
      <c r="AW47" s="65" t="n">
        <f aca="false">IF(AND(ISNUMBER(AW14),ISNUMBER(AW39)),AW14*20*AW39/1000,"")</f>
        <v>199.4904</v>
      </c>
      <c r="AX47" s="65" t="n">
        <f aca="false">IF(AND(ISNUMBER(AX14),ISNUMBER(AX39)),AX14*20*AX39/1000,"")</f>
        <v>62.35</v>
      </c>
      <c r="AY47" s="65" t="n">
        <f aca="false">IF(AND(ISNUMBER(AY14),ISNUMBER(AY39)),AY14*20*AY39/1000,"")</f>
        <v>82.1104</v>
      </c>
      <c r="AZ47" s="65" t="n">
        <f aca="false">IF(AND(ISNUMBER(AZ14),ISNUMBER(AZ39)),AZ14*20*AZ39/1000,"")</f>
        <v>85.522</v>
      </c>
      <c r="BA47" s="65" t="n">
        <f aca="false">IF(AND(ISNUMBER(BA14),ISNUMBER(BA39)),BA14*20*BA39/1000,"")</f>
        <v>90.182</v>
      </c>
      <c r="BB47" s="65" t="n">
        <f aca="false">IF(AND(ISNUMBER(BB14),ISNUMBER(BB39)),BB14*20*BB39/1000,"")</f>
        <v>319.7392</v>
      </c>
      <c r="BC47" s="65" t="n">
        <f aca="false">IF(AND(ISNUMBER(BC14),ISNUMBER(BC39)),BC14*20*BC39/1000,"")</f>
        <v>111.2374</v>
      </c>
      <c r="BD47" s="65" t="n">
        <f aca="false">IF(AND(ISNUMBER(BD14),ISNUMBER(BD39)),BD14*20*BD39/1000,"")</f>
        <v>162.2412</v>
      </c>
      <c r="BE47" s="65" t="n">
        <f aca="false">IF(AND(ISNUMBER(BE14),ISNUMBER(BE39)),BE14*20*BE39/1000,"")</f>
        <v>149.7584</v>
      </c>
      <c r="BF47" s="65" t="n">
        <f aca="false">IF(AND(ISNUMBER(BF14),ISNUMBER(BF39)),BF14*20*BF39/1000,"")</f>
        <v>132.0066</v>
      </c>
      <c r="BG47" s="65" t="n">
        <f aca="false">IF(AND(ISNUMBER(BG14),ISNUMBER(BG39)),BG14*20*BG39/1000,"")</f>
        <v>554.9622</v>
      </c>
      <c r="BH47" s="65" t="n">
        <f aca="false">IF(AND(ISNUMBER(BH14),ISNUMBER(BH39)),BH14*20*BH39/1000,"")</f>
        <v>117.4656</v>
      </c>
      <c r="BI47" s="65" t="n">
        <f aca="false">IF(AND(ISNUMBER(BI14),ISNUMBER(BI39)),BI14*20*BI39/1000,"")</f>
        <v>110.5538</v>
      </c>
      <c r="BJ47" s="65" t="n">
        <f aca="false">IF(AND(ISNUMBER(BJ14),ISNUMBER(BJ39)),BJ14*20*BJ39/1000,"")</f>
        <v>131.4432</v>
      </c>
      <c r="BK47" s="65" t="n">
        <f aca="false">IF(AND(ISNUMBER(BK14),ISNUMBER(BK39)),BK14*20*BK39/1000,"")</f>
        <v>127.506</v>
      </c>
      <c r="BL47" s="65" t="n">
        <f aca="false">IF(AND(ISNUMBER(BL14),ISNUMBER(BL39)),BL14*20*BL39/1000,"")</f>
        <v>486.6754</v>
      </c>
      <c r="BM47" s="65" t="n">
        <f aca="false">IF(AND(ISNUMBER(BM14),ISNUMBER(BM39)),BM14*20*BM39/1000,"")</f>
        <v>118.32</v>
      </c>
      <c r="BN47" s="65" t="n">
        <f aca="false">IF(AND(ISNUMBER(BN14),ISNUMBER(BN39)),BN14*20*BN39/1000,"")</f>
        <v>126.5908</v>
      </c>
      <c r="BO47" s="65" t="n">
        <f aca="false">IF(AND(ISNUMBER(BO14),ISNUMBER(BO39)),BO14*20*BO39/1000,"")</f>
        <v>124.869</v>
      </c>
      <c r="BP47" s="65" t="n">
        <f aca="false">IF(AND(ISNUMBER(BP14),ISNUMBER(BP39)),BP14*20*BP39/1000,"")</f>
        <v>111.6674</v>
      </c>
      <c r="BQ47" s="65" t="n">
        <f aca="false">IF(AND(ISNUMBER(BQ14),ISNUMBER(BQ39)),BQ14*20*BQ39/1000,"")</f>
        <v>481.7526</v>
      </c>
      <c r="BR47" s="65" t="n">
        <f aca="false">IF(AND(ISNUMBER(BR14),ISNUMBER(BR39)),BR14*20*BR39/1000,"")</f>
        <v>118.965</v>
      </c>
      <c r="BS47" s="65" t="n">
        <f aca="false">IF(AND(ISNUMBER(BS14),ISNUMBER(BS39)),BS14*20*BS39/1000,"")</f>
        <v>119.1456</v>
      </c>
      <c r="BT47" s="65" t="n">
        <f aca="false">IF(AND(ISNUMBER(BT14),ISNUMBER(BT39)),BT14*20*BT39/1000,"")</f>
        <v>127.7448</v>
      </c>
      <c r="BU47" s="65" t="n">
        <f aca="false">IF(AND(ISNUMBER(BU14),ISNUMBER(BU39)),BU14*20*BU39/1000,"")</f>
        <v>118.4708</v>
      </c>
      <c r="BV47" s="65" t="n">
        <f aca="false">IF(AND(ISNUMBER(BV14),ISNUMBER(BV39)),BV14*20*BV39/1000,"")</f>
        <v>483.0224</v>
      </c>
      <c r="BW47" s="65" t="n">
        <f aca="false">IF(AND(ISNUMBER(BW14),ISNUMBER(BW39)),BW14*20*BW39/1000,"")</f>
        <v>133.4466</v>
      </c>
      <c r="BX47" s="65" t="n">
        <f aca="false">IF(AND(ISNUMBER(BX14),ISNUMBER(BX39)),BX14*20*BX39/1000,"")</f>
        <v>213.2832</v>
      </c>
      <c r="BY47" s="66" t="n">
        <f aca="false">BY14*20*BY39/1000</f>
        <v>232.596004385847</v>
      </c>
      <c r="BZ47" s="66" t="n">
        <f aca="false">BZ14*20*BZ39/1000</f>
        <v>256.059225724717</v>
      </c>
      <c r="CA47" s="67" t="n">
        <f aca="false">SUM(BW47,BX47,BY47,BZ47)</f>
        <v>835.385030110564</v>
      </c>
      <c r="CB47" s="67" t="n">
        <f aca="false">CB14*20*CB39/1000</f>
        <v>904.768255976513</v>
      </c>
      <c r="CC47" s="67" t="n">
        <f aca="false">CC14*20*CC39/1000</f>
        <v>865.55998223373</v>
      </c>
      <c r="CD47" s="67" t="n">
        <f aca="false">CD14*20*CD39/1000</f>
        <v>873.498403785074</v>
      </c>
      <c r="CE47" s="67" t="n">
        <f aca="false">CE14*20*CE39/1000</f>
        <v>944.754036073841</v>
      </c>
      <c r="CF47" s="21"/>
      <c r="CN47" s="22" t="s">
        <v>166</v>
      </c>
      <c r="CO47" s="60" t="n">
        <f aca="false">CP47+$CO$45</f>
        <v>0.005</v>
      </c>
      <c r="CP47" s="36" t="n">
        <v>0.005</v>
      </c>
      <c r="CQ47" s="60" t="n">
        <f aca="false">CP47+$CQ$45</f>
        <v>0.005</v>
      </c>
    </row>
    <row r="48" customFormat="false" ht="15" hidden="false" customHeight="true" outlineLevel="0" collapsed="false">
      <c r="B48" s="17" t="s">
        <v>187</v>
      </c>
      <c r="C48" s="68" t="n">
        <f aca="false">IF(AND(ISNUMBER(C14),ISNUMBER(C40)),C14*20*C40/1000,"")</f>
        <v>812.1522</v>
      </c>
      <c r="D48" s="68" t="n">
        <f aca="false">IF(AND(ISNUMBER(D14),ISNUMBER(D40)),D14*20*D40/1000,"")</f>
        <v>909.272</v>
      </c>
      <c r="E48" s="68" t="n">
        <f aca="false">IF(AND(ISNUMBER(E14),ISNUMBER(E40)),E14*20*E40/1000,"")</f>
        <v>957.0346</v>
      </c>
      <c r="F48" s="68" t="n">
        <f aca="false">IF(AND(ISNUMBER(F14),ISNUMBER(F40)),F14*20*F40/1000,"")</f>
        <v>793.9446</v>
      </c>
      <c r="G48" s="68" t="n">
        <f aca="false">IF(AND(ISNUMBER(G14),ISNUMBER(G40)),G14*20*G40/1000,"")</f>
        <v>836.9302</v>
      </c>
      <c r="H48" s="68" t="n">
        <f aca="false">IF(AND(ISNUMBER(H14),ISNUMBER(H40)),H14*20*H40/1000,"")</f>
        <v>954.1402</v>
      </c>
      <c r="I48" s="68" t="n">
        <f aca="false">IF(AND(ISNUMBER(I14),ISNUMBER(I40)),I14*20*I40/1000,"")</f>
        <v>1016.7988</v>
      </c>
      <c r="J48" s="68" t="n">
        <f aca="false">IF(AND(ISNUMBER(J14),ISNUMBER(J40)),J14*20*J40/1000,"")</f>
        <v>254.1056</v>
      </c>
      <c r="K48" s="68" t="n">
        <f aca="false">IF(AND(ISNUMBER(K14),ISNUMBER(K40)),K14*20*K40/1000,"")</f>
        <v>270.456</v>
      </c>
      <c r="L48" s="68" t="n">
        <f aca="false">IF(AND(ISNUMBER(L14),ISNUMBER(L40)),L14*20*L40/1000,"")</f>
        <v>271.0256</v>
      </c>
      <c r="M48" s="68" t="n">
        <f aca="false">IF(AND(ISNUMBER(M14),ISNUMBER(M40)),M14*20*M40/1000,"")</f>
        <v>256.8096</v>
      </c>
      <c r="N48" s="68" t="n">
        <f aca="false">IF(AND(ISNUMBER(N14),ISNUMBER(N40)),N14*20*N40/1000,"")</f>
        <v>1052.3968</v>
      </c>
      <c r="O48" s="68" t="n">
        <f aca="false">IF(AND(ISNUMBER(O14),ISNUMBER(O40)),O14*20*O40/1000,"")</f>
        <v>274.8194</v>
      </c>
      <c r="P48" s="68" t="n">
        <f aca="false">IF(AND(ISNUMBER(P14),ISNUMBER(P40)),P14*20*P40/1000,"")</f>
        <v>303.237</v>
      </c>
      <c r="Q48" s="68" t="n">
        <f aca="false">IF(AND(ISNUMBER(Q14),ISNUMBER(Q40)),Q14*20*Q40/1000,"")</f>
        <v>305.8272</v>
      </c>
      <c r="R48" s="68" t="n">
        <f aca="false">IF(AND(ISNUMBER(R14),ISNUMBER(R40)),R14*20*R40/1000,"")</f>
        <v>283.9116</v>
      </c>
      <c r="S48" s="68" t="n">
        <f aca="false">IF(AND(ISNUMBER(S14),ISNUMBER(S40)),S14*20*S40/1000,"")</f>
        <v>1167.4784</v>
      </c>
      <c r="T48" s="68" t="n">
        <f aca="false">IF(AND(ISNUMBER(T14),ISNUMBER(T40)),T14*20*T40/1000,"")</f>
        <v>268.2056</v>
      </c>
      <c r="U48" s="68" t="n">
        <f aca="false">IF(AND(ISNUMBER(U14),ISNUMBER(U40)),U14*20*U40/1000,"")</f>
        <v>296.064</v>
      </c>
      <c r="V48" s="68" t="n">
        <f aca="false">IF(AND(ISNUMBER(V14),ISNUMBER(V40)),V14*20*V40/1000,"")</f>
        <v>291.588</v>
      </c>
      <c r="W48" s="68" t="n">
        <f aca="false">IF(AND(ISNUMBER(W14),ISNUMBER(W40)),W14*20*W40/1000,"")</f>
        <v>264.3408</v>
      </c>
      <c r="X48" s="68" t="n">
        <f aca="false">IF(AND(ISNUMBER(X14),ISNUMBER(X40)),X14*20*X40/1000,"")</f>
        <v>1120.3264</v>
      </c>
      <c r="Y48" s="68" t="n">
        <f aca="false">IF(AND(ISNUMBER(Y14),ISNUMBER(Y40)),Y14*20*Y40/1000,"")</f>
        <v>268.9064</v>
      </c>
      <c r="Z48" s="68" t="n">
        <f aca="false">IF(AND(ISNUMBER(Z14),ISNUMBER(Z40)),Z14*20*Z40/1000,"")</f>
        <v>289.1174</v>
      </c>
      <c r="AA48" s="68" t="n">
        <f aca="false">IF(AND(ISNUMBER(AA14),ISNUMBER(AA40)),AA14*20*AA40/1000,"")</f>
        <v>293.6208</v>
      </c>
      <c r="AB48" s="68" t="n">
        <f aca="false">IF(AND(ISNUMBER(AB14),ISNUMBER(AB40)),AB14*20*AB40/1000,"")</f>
        <v>277.018</v>
      </c>
      <c r="AC48" s="68" t="n">
        <f aca="false">IF(AND(ISNUMBER(AC14),ISNUMBER(AC40)),AC14*20*AC40/1000,"")</f>
        <v>1128.1626</v>
      </c>
      <c r="AD48" s="68" t="n">
        <f aca="false">IF(AND(ISNUMBER(AD14),ISNUMBER(AD40)),AD14*20*AD40/1000,"")</f>
        <v>295.236</v>
      </c>
      <c r="AE48" s="68" t="n">
        <f aca="false">IF(AND(ISNUMBER(AE14),ISNUMBER(AE40)),AE14*20*AE40/1000,"")</f>
        <v>332.3952</v>
      </c>
      <c r="AF48" s="68" t="n">
        <f aca="false">IF(AND(ISNUMBER(AF14),ISNUMBER(AF40)),AF14*20*AF40/1000,"")</f>
        <v>323.2432</v>
      </c>
      <c r="AG48" s="68" t="n">
        <f aca="false">IF(AND(ISNUMBER(AG14),ISNUMBER(AG40)),AG14*20*AG40/1000,"")</f>
        <v>326.3136</v>
      </c>
      <c r="AH48" s="68" t="n">
        <f aca="false">IF(AND(ISNUMBER(AH14),ISNUMBER(AH40)),AH14*20*AH40/1000,"")</f>
        <v>1276.584</v>
      </c>
      <c r="AI48" s="68" t="n">
        <f aca="false">IF(AND(ISNUMBER(AI14),ISNUMBER(AI40)),AI14*20*AI40/1000,"")</f>
        <v>381.7616</v>
      </c>
      <c r="AJ48" s="68" t="n">
        <f aca="false">IF(AND(ISNUMBER(AJ14),ISNUMBER(AJ40)),AJ14*20*AJ40/1000,"")</f>
        <v>420.2064</v>
      </c>
      <c r="AK48" s="68" t="n">
        <f aca="false">IF(AND(ISNUMBER(AK14),ISNUMBER(AK40)),AK14*20*AK40/1000,"")</f>
        <v>415.552</v>
      </c>
      <c r="AL48" s="68" t="n">
        <f aca="false">IF(AND(ISNUMBER(AL14),ISNUMBER(AL40)),AL14*20*AL40/1000,"")</f>
        <v>395.156</v>
      </c>
      <c r="AM48" s="68" t="n">
        <f aca="false">IF(AND(ISNUMBER(AM14),ISNUMBER(AM40)),AM14*20*AM40/1000,"")</f>
        <v>1613.136</v>
      </c>
      <c r="AN48" s="68" t="n">
        <f aca="false">IF(AND(ISNUMBER(AN14),ISNUMBER(AN40)),AN14*20*AN40/1000,"")</f>
        <v>401.1558</v>
      </c>
      <c r="AO48" s="68" t="n">
        <f aca="false">IF(AND(ISNUMBER(AO14),ISNUMBER(AO40)),AO14*20*AO40/1000,"")</f>
        <v>452.694</v>
      </c>
      <c r="AP48" s="68" t="n">
        <f aca="false">IF(AND(ISNUMBER(AP14),ISNUMBER(AP40)),AP14*20*AP40/1000,"")</f>
        <v>457.7112</v>
      </c>
      <c r="AQ48" s="68" t="n">
        <f aca="false">IF(AND(ISNUMBER(AQ14),ISNUMBER(AQ40)),AQ14*20*AQ40/1000,"")</f>
        <v>427.8864</v>
      </c>
      <c r="AR48" s="68" t="n">
        <f aca="false">IF(AND(ISNUMBER(AR14),ISNUMBER(AR40)),AR14*20*AR40/1000,"")</f>
        <v>1740.02</v>
      </c>
      <c r="AS48" s="68" t="n">
        <f aca="false">IF(AND(ISNUMBER(AS14),ISNUMBER(AS40)),AS14*20*AS40/1000,"")</f>
        <v>436.9296</v>
      </c>
      <c r="AT48" s="68" t="n">
        <f aca="false">IF(AND(ISNUMBER(AT14),ISNUMBER(AT40)),AT14*20*AT40/1000,"")</f>
        <v>409.978</v>
      </c>
      <c r="AU48" s="68" t="n">
        <f aca="false">IF(AND(ISNUMBER(AU14),ISNUMBER(AU40)),AU14*20*AU40/1000,"")</f>
        <v>469.5834</v>
      </c>
      <c r="AV48" s="68" t="n">
        <f aca="false">IF(AND(ISNUMBER(AV14),ISNUMBER(AV40)),AV14*20*AV40/1000,"")</f>
        <v>458.676</v>
      </c>
      <c r="AW48" s="68" t="n">
        <f aca="false">IF(AND(ISNUMBER(AW14),ISNUMBER(AW40)),AW14*20*AW40/1000,"")</f>
        <v>1775.0772</v>
      </c>
      <c r="AX48" s="68" t="n">
        <f aca="false">IF(AND(ISNUMBER(AX14),ISNUMBER(AX40)),AX14*20*AX40/1000,"")</f>
        <v>478.3492</v>
      </c>
      <c r="AY48" s="68" t="n">
        <f aca="false">IF(AND(ISNUMBER(AY14),ISNUMBER(AY40)),AY14*20*AY40/1000,"")</f>
        <v>557.9008</v>
      </c>
      <c r="AZ48" s="68" t="n">
        <f aca="false">IF(AND(ISNUMBER(AZ14),ISNUMBER(AZ40)),AZ14*20*AZ40/1000,"")</f>
        <v>598.9344</v>
      </c>
      <c r="BA48" s="68" t="n">
        <f aca="false">IF(AND(ISNUMBER(BA14),ISNUMBER(BA40)),BA14*20*BA40/1000,"")</f>
        <v>598.7008</v>
      </c>
      <c r="BB48" s="68" t="n">
        <f aca="false">IF(AND(ISNUMBER(BB14),ISNUMBER(BB40)),BB14*20*BB40/1000,"")</f>
        <v>2233.8536</v>
      </c>
      <c r="BC48" s="68" t="n">
        <f aca="false">IF(AND(ISNUMBER(BC14),ISNUMBER(BC40)),BC14*20*BC40/1000,"")</f>
        <v>646.0646</v>
      </c>
      <c r="BD48" s="68" t="n">
        <f aca="false">IF(AND(ISNUMBER(BD14),ISNUMBER(BD40)),BD14*20*BD40/1000,"")</f>
        <v>724.446</v>
      </c>
      <c r="BE48" s="68" t="n">
        <f aca="false">IF(AND(ISNUMBER(BE14),ISNUMBER(BE40)),BE14*20*BE40/1000,"")</f>
        <v>701.294</v>
      </c>
      <c r="BF48" s="68" t="n">
        <f aca="false">IF(AND(ISNUMBER(BF14),ISNUMBER(BF40)),BF14*20*BF40/1000,"")</f>
        <v>631.9412</v>
      </c>
      <c r="BG48" s="68" t="n">
        <f aca="false">IF(AND(ISNUMBER(BG14),ISNUMBER(BG40)),BG14*20*BG40/1000,"")</f>
        <v>2703.662</v>
      </c>
      <c r="BH48" s="68" t="n">
        <f aca="false">IF(AND(ISNUMBER(BH14),ISNUMBER(BH40)),BH14*20*BH40/1000,"")</f>
        <v>645.7986</v>
      </c>
      <c r="BI48" s="68" t="n">
        <f aca="false">IF(AND(ISNUMBER(BI14),ISNUMBER(BI40)),BI14*20*BI40/1000,"")</f>
        <v>677.817</v>
      </c>
      <c r="BJ48" s="68" t="n">
        <f aca="false">IF(AND(ISNUMBER(BJ14),ISNUMBER(BJ40)),BJ14*20*BJ40/1000,"")</f>
        <v>759.0258</v>
      </c>
      <c r="BK48" s="68" t="n">
        <f aca="false">IF(AND(ISNUMBER(BK14),ISNUMBER(BK40)),BK14*20*BK40/1000,"")</f>
        <v>731.949</v>
      </c>
      <c r="BL48" s="68" t="n">
        <f aca="false">IF(AND(ISNUMBER(BL14),ISNUMBER(BL40)),BL14*20*BL40/1000,"")</f>
        <v>2813.6268</v>
      </c>
      <c r="BM48" s="68" t="n">
        <f aca="false">IF(AND(ISNUMBER(BM14),ISNUMBER(BM40)),BM14*20*BM40/1000,"")</f>
        <v>738.0384</v>
      </c>
      <c r="BN48" s="68" t="n">
        <f aca="false">IF(AND(ISNUMBER(BN14),ISNUMBER(BN40)),BN14*20*BN40/1000,"")</f>
        <v>802.885</v>
      </c>
      <c r="BO48" s="68" t="n">
        <f aca="false">IF(AND(ISNUMBER(BO14),ISNUMBER(BO40)),BO14*20*BO40/1000,"")</f>
        <v>823.044</v>
      </c>
      <c r="BP48" s="68" t="n">
        <f aca="false">IF(AND(ISNUMBER(BP14),ISNUMBER(BP40)),BP14*20*BP40/1000,"")</f>
        <v>762.1226</v>
      </c>
      <c r="BQ48" s="68" t="n">
        <f aca="false">IF(AND(ISNUMBER(BQ14),ISNUMBER(BQ40)),BQ14*20*BQ40/1000,"")</f>
        <v>3125.9586</v>
      </c>
      <c r="BR48" s="68" t="n">
        <f aca="false">IF(AND(ISNUMBER(BR14),ISNUMBER(BR40)),BR14*20*BR40/1000,"")</f>
        <v>771.573</v>
      </c>
      <c r="BS48" s="68" t="n">
        <f aca="false">IF(AND(ISNUMBER(BS14),ISNUMBER(BS40)),BS14*20*BS40/1000,"")</f>
        <v>794.304</v>
      </c>
      <c r="BT48" s="68" t="n">
        <f aca="false">IF(AND(ISNUMBER(BT14),ISNUMBER(BT40)),BT14*20*BT40/1000,"")</f>
        <v>814.5312</v>
      </c>
      <c r="BU48" s="68" t="n">
        <f aca="false">IF(AND(ISNUMBER(BU14),ISNUMBER(BU40)),BU14*20*BU40/1000,"")</f>
        <v>762.4734</v>
      </c>
      <c r="BV48" s="68" t="n">
        <f aca="false">IF(AND(ISNUMBER(BV14),ISNUMBER(BV40)),BV14*20*BV40/1000,"")</f>
        <v>3142.11</v>
      </c>
      <c r="BW48" s="68" t="n">
        <f aca="false">IF(AND(ISNUMBER(BW14),ISNUMBER(BW40)),BW14*20*BW40/1000,"")</f>
        <v>784.6418</v>
      </c>
      <c r="BX48" s="68" t="n">
        <f aca="false">IF(AND(ISNUMBER(BX14),ISNUMBER(BX40)),BX14*20*BX40/1000,"")</f>
        <v>929.0124</v>
      </c>
      <c r="BY48" s="69" t="n">
        <f aca="false">BY46+BY47</f>
        <v>962.253671833047</v>
      </c>
      <c r="BZ48" s="69" t="n">
        <f aca="false">BZ46+BZ47</f>
        <v>946.864714679717</v>
      </c>
      <c r="CA48" s="69" t="n">
        <f aca="false">SUM(BW48,BX48,BY48,BZ48)</f>
        <v>3622.77258651276</v>
      </c>
      <c r="CB48" s="69" t="n">
        <f aca="false">CB46+CB47</f>
        <v>3955.91235990327</v>
      </c>
      <c r="CC48" s="69" t="n">
        <f aca="false">CC46+CC47</f>
        <v>4201.4711793101</v>
      </c>
      <c r="CD48" s="69" t="n">
        <f aca="false">CD46+CD47</f>
        <v>4498.96669276767</v>
      </c>
      <c r="CE48" s="69" t="n">
        <f aca="false">CE46+CE47</f>
        <v>4865.9699007302</v>
      </c>
      <c r="CF48" s="21"/>
      <c r="CH48" s="31" t="n">
        <f aca="false">IFERROR((CE48/BV48)^(1/5)-1,"n/m")</f>
        <v>0.0914142169079573</v>
      </c>
      <c r="CI48" s="31" t="n">
        <f aca="false">IFERROR((BV48/AW48)^(1/5)-1,"n/m")</f>
        <v>0.120987649647655</v>
      </c>
      <c r="CJ48" s="31" t="n">
        <f aca="false">IFERROR((BV48/X48)^(1/10)-1,"n/m")</f>
        <v>0.108632692798015</v>
      </c>
      <c r="CK48" s="31" t="n">
        <f aca="false">IFERROR((BV48/C48)^(1/19)-1,"n/m")</f>
        <v>0.0738051229204069</v>
      </c>
      <c r="CN48" s="22" t="s">
        <v>169</v>
      </c>
      <c r="CO48" s="60" t="n">
        <f aca="false">CP48+$CO$45</f>
        <v>0</v>
      </c>
      <c r="CP48" s="36" t="n">
        <v>0</v>
      </c>
      <c r="CQ48" s="60" t="n">
        <f aca="false">CP48+$CQ$45</f>
        <v>0</v>
      </c>
    </row>
    <row r="49" customFormat="false" ht="15" hidden="false" customHeight="true" outlineLevel="0" collapsed="false">
      <c r="B49" s="22" t="s">
        <v>188</v>
      </c>
      <c r="C49" s="65" t="n">
        <f aca="false">IF(ISNUMBER(C48),C81-C48,"")</f>
        <v>62.5858000000002</v>
      </c>
      <c r="D49" s="65" t="n">
        <f aca="false">IF(ISNUMBER(D48),D81-D48,"")</f>
        <v>66.8510000000001</v>
      </c>
      <c r="E49" s="65" t="n">
        <f aca="false">IF(ISNUMBER(E48),E81-E48,"")</f>
        <v>73.3864000000004</v>
      </c>
      <c r="F49" s="65" t="n">
        <f aca="false">IF(ISNUMBER(F48),F81-F48,"")</f>
        <v>55.1963999999997</v>
      </c>
      <c r="G49" s="65" t="n">
        <f aca="false">IF(ISNUMBER(G48),G81-G48,"")</f>
        <v>65.7298000000001</v>
      </c>
      <c r="H49" s="65" t="n">
        <f aca="false">IF(ISNUMBER(H48),H81-H48,"")</f>
        <v>76.0838000000002</v>
      </c>
      <c r="I49" s="65" t="n">
        <f aca="false">IF(ISNUMBER(I48),I81-I48,"")</f>
        <v>81.8802000000002</v>
      </c>
      <c r="J49" s="65" t="n">
        <f aca="false">IF(ISNUMBER(J48),J81-J48,"")</f>
        <v>19.6894</v>
      </c>
      <c r="K49" s="65" t="n">
        <f aca="false">IF(ISNUMBER(K48),K81-K48,"")</f>
        <v>22.101</v>
      </c>
      <c r="L49" s="65" t="n">
        <f aca="false">IF(ISNUMBER(L48),L81-L48,"")</f>
        <v>22.0614</v>
      </c>
      <c r="M49" s="65" t="n">
        <f aca="false">IF(ISNUMBER(M48),M81-M48,"")</f>
        <v>22.8454</v>
      </c>
      <c r="N49" s="65" t="n">
        <f aca="false">IF(ISNUMBER(N48),N81-N48,"")</f>
        <v>86.6972000000005</v>
      </c>
      <c r="O49" s="65" t="n">
        <f aca="false">IF(ISNUMBER(O48),O81-O48,"")</f>
        <v>24.9106</v>
      </c>
      <c r="P49" s="65" t="n">
        <f aca="false">IF(ISNUMBER(P48),P81-P48,"")</f>
        <v>27.162</v>
      </c>
      <c r="Q49" s="65" t="n">
        <f aca="false">IF(ISNUMBER(Q48),Q81-Q48,"")</f>
        <v>26.7168</v>
      </c>
      <c r="R49" s="65" t="n">
        <f aca="false">IF(ISNUMBER(R48),R81-R48,"")</f>
        <v>25.7364000000001</v>
      </c>
      <c r="S49" s="65" t="n">
        <f aca="false">IF(ISNUMBER(S48),S81-S48,"")</f>
        <v>104.8426</v>
      </c>
      <c r="T49" s="65" t="n">
        <f aca="false">IF(ISNUMBER(T48),T81-T48,"")</f>
        <v>24.8164</v>
      </c>
      <c r="U49" s="65" t="n">
        <f aca="false">IF(ISNUMBER(U48),U81-U48,"")</f>
        <v>27.416</v>
      </c>
      <c r="V49" s="65" t="n">
        <f aca="false">IF(ISNUMBER(V48),V81-V48,"")</f>
        <v>25.611</v>
      </c>
      <c r="W49" s="65" t="n">
        <f aca="false">IF(ISNUMBER(W48),W81-W48,"")</f>
        <v>23.2692</v>
      </c>
      <c r="X49" s="65" t="n">
        <f aca="false">IF(ISNUMBER(X48),X81-X48,"")</f>
        <v>100.9846</v>
      </c>
      <c r="Y49" s="65" t="n">
        <f aca="false">IF(ISNUMBER(Y48),Y81-Y48,"")</f>
        <v>21.0046</v>
      </c>
      <c r="Z49" s="65" t="n">
        <f aca="false">IF(ISNUMBER(Z48),Z81-Z48,"")</f>
        <v>22.7875999999999</v>
      </c>
      <c r="AA49" s="65" t="n">
        <f aca="false">IF(ISNUMBER(AA48),AA81-AA48,"")</f>
        <v>22.8212</v>
      </c>
      <c r="AB49" s="65" t="n">
        <f aca="false">IF(ISNUMBER(AB48),AB81-AB48,"")</f>
        <v>23.205</v>
      </c>
      <c r="AC49" s="65" t="n">
        <f aca="false">IF(ISNUMBER(AC48),AC81-AC48,"")</f>
        <v>90.3183999999999</v>
      </c>
      <c r="AD49" s="65" t="n">
        <f aca="false">IF(ISNUMBER(AD48),AD81-AD48,"")</f>
        <v>21.801</v>
      </c>
      <c r="AE49" s="65" t="n">
        <f aca="false">IF(ISNUMBER(AE48),AE81-AE48,"")</f>
        <v>25.7648</v>
      </c>
      <c r="AF49" s="65" t="n">
        <f aca="false">IF(ISNUMBER(AF48),AF81-AF48,"")</f>
        <v>26.8188</v>
      </c>
      <c r="AG49" s="65" t="n">
        <f aca="false">IF(ISNUMBER(AG48),AG81-AG48,"")</f>
        <v>26.9374</v>
      </c>
      <c r="AH49" s="65" t="n">
        <f aca="false">IF(ISNUMBER(AH48),AH81-AH48,"")</f>
        <v>101.926</v>
      </c>
      <c r="AI49" s="65" t="n">
        <f aca="false">IF(ISNUMBER(AI48),AI81-AI48,"")</f>
        <v>11.0434</v>
      </c>
      <c r="AJ49" s="65" t="n">
        <f aca="false">IF(ISNUMBER(AJ48),AJ81-AJ48,"")</f>
        <v>8.5256</v>
      </c>
      <c r="AK49" s="65" t="n">
        <f aca="false">IF(ISNUMBER(AK48),AK81-AK48,"")</f>
        <v>10.01</v>
      </c>
      <c r="AL49" s="65" t="n">
        <f aca="false">IF(ISNUMBER(AL48),AL81-AL48,"")</f>
        <v>11.594</v>
      </c>
      <c r="AM49" s="65" t="n">
        <f aca="false">IF(ISNUMBER(AM48),AM81-AM48,"")</f>
        <v>40.713</v>
      </c>
      <c r="AN49" s="65" t="n">
        <f aca="false">IF(ISNUMBER(AN48),AN81-AN48,"")</f>
        <v>9.4282</v>
      </c>
      <c r="AO49" s="65" t="n">
        <f aca="false">IF(ISNUMBER(AO48),AO81-AO48,"")</f>
        <v>11.501</v>
      </c>
      <c r="AP49" s="65" t="n">
        <f aca="false">IF(ISNUMBER(AP48),AP81-AP48,"")</f>
        <v>11.1798</v>
      </c>
      <c r="AQ49" s="65" t="n">
        <f aca="false">IF(ISNUMBER(AQ48),AQ81-AQ48,"")</f>
        <v>15.1786</v>
      </c>
      <c r="AR49" s="65" t="n">
        <f aca="false">IF(ISNUMBER(AR48),AR81-AR48,"")</f>
        <v>46.7149999999999</v>
      </c>
      <c r="AS49" s="65" t="n">
        <f aca="false">IF(ISNUMBER(AS48),AS81-AS48,"")</f>
        <v>9.46640000000002</v>
      </c>
      <c r="AT49" s="65" t="n">
        <f aca="false">IF(ISNUMBER(AT48),AT81-AT48,"")</f>
        <v>8.13599999999997</v>
      </c>
      <c r="AU49" s="65" t="n">
        <f aca="false">IF(ISNUMBER(AU48),AU81-AU48,"")</f>
        <v>11.7906</v>
      </c>
      <c r="AV49" s="65" t="n">
        <f aca="false">IF(ISNUMBER(AV48),AV81-AV48,"")</f>
        <v>17.806</v>
      </c>
      <c r="AW49" s="65" t="n">
        <f aca="false">IF(ISNUMBER(AW48),AW81-AW48,"")</f>
        <v>47.2888000000003</v>
      </c>
      <c r="AX49" s="65" t="n">
        <f aca="false">IF(ISNUMBER(AX48),AX81-AX48,"")</f>
        <v>5.72480000000002</v>
      </c>
      <c r="AY49" s="65" t="n">
        <f aca="false">IF(ISNUMBER(AY48),AY81-AY48,"")</f>
        <v>13.4322</v>
      </c>
      <c r="AZ49" s="65" t="n">
        <f aca="false">IF(ISNUMBER(AZ48),AZ81-AZ48,"")</f>
        <v>17.2816</v>
      </c>
      <c r="BA49" s="65" t="n">
        <f aca="false">IF(ISNUMBER(BA48),BA81-BA48,"")</f>
        <v>18.3802000000001</v>
      </c>
      <c r="BB49" s="65" t="n">
        <f aca="false">IF(ISNUMBER(BB48),BB81-BB48,"")</f>
        <v>54.8504000000003</v>
      </c>
      <c r="BC49" s="65" t="n">
        <f aca="false">IF(ISNUMBER(BC48),BC81-BC48,"")</f>
        <v>15.1514000000001</v>
      </c>
      <c r="BD49" s="65" t="n">
        <f aca="false">IF(ISNUMBER(BD48),BD81-BD48,"")</f>
        <v>21.1079999999999</v>
      </c>
      <c r="BE49" s="65" t="n">
        <f aca="false">IF(ISNUMBER(BE48),BE81-BE48,"")</f>
        <v>28.2670000000001</v>
      </c>
      <c r="BF49" s="65" t="n">
        <f aca="false">IF(ISNUMBER(BF48),BF81-BF48,"")</f>
        <v>23.7847999999999</v>
      </c>
      <c r="BG49" s="65" t="n">
        <f aca="false">IF(ISNUMBER(BG48),BG81-BG48,"")</f>
        <v>88.395</v>
      </c>
      <c r="BH49" s="65" t="n">
        <f aca="false">IF(ISNUMBER(BH48),BH81-BH48,"")</f>
        <v>14.7364</v>
      </c>
      <c r="BI49" s="65" t="n">
        <f aca="false">IF(ISNUMBER(BI48),BI81-BI48,"")</f>
        <v>16.805</v>
      </c>
      <c r="BJ49" s="65" t="n">
        <f aca="false">IF(ISNUMBER(BJ48),BJ81-BJ48,"")</f>
        <v>16.1182</v>
      </c>
      <c r="BK49" s="65" t="n">
        <f aca="false">IF(ISNUMBER(BK48),BK81-BK48,"")</f>
        <v>19.183</v>
      </c>
      <c r="BL49" s="65" t="n">
        <f aca="false">IF(ISNUMBER(BL48),BL81-BL48,"")</f>
        <v>67.8062</v>
      </c>
      <c r="BM49" s="65" t="n">
        <f aca="false">IF(ISNUMBER(BM48),BM81-BM48,"")</f>
        <v>16.7366</v>
      </c>
      <c r="BN49" s="65" t="n">
        <f aca="false">IF(ISNUMBER(BN48),BN81-BN48,"")</f>
        <v>20.359</v>
      </c>
      <c r="BO49" s="65" t="n">
        <f aca="false">IF(ISNUMBER(BO48),BO81-BO48,"")</f>
        <v>19.059</v>
      </c>
      <c r="BP49" s="65" t="n">
        <f aca="false">IF(ISNUMBER(BP48),BP81-BP48,"")</f>
        <v>26.8294000000001</v>
      </c>
      <c r="BQ49" s="65" t="n">
        <f aca="false">IF(ISNUMBER(BQ48),BQ81-BQ48,"")</f>
        <v>83.1154000000001</v>
      </c>
      <c r="BR49" s="65" t="n">
        <f aca="false">IF(ISNUMBER(BR48),BR81-BR48,"")</f>
        <v>16.0020000000001</v>
      </c>
      <c r="BS49" s="65" t="n">
        <f aca="false">IF(ISNUMBER(BS48),BS81-BS48,"")</f>
        <v>22.811</v>
      </c>
      <c r="BT49" s="65" t="n">
        <f aca="false">IF(ISNUMBER(BT48),BT81-BT48,"")</f>
        <v>25.1127999999999</v>
      </c>
      <c r="BU49" s="65" t="n">
        <f aca="false">IF(ISNUMBER(BU48),BU81-BU48,"")</f>
        <v>27.4786</v>
      </c>
      <c r="BV49" s="65" t="n">
        <f aca="false">IF(ISNUMBER(BV48),BV81-BV48,"")</f>
        <v>92.1759999999999</v>
      </c>
      <c r="BW49" s="65" t="n">
        <f aca="false">IF(ISNUMBER(BW48),BW81-BW48,"")</f>
        <v>21.5841999999999</v>
      </c>
      <c r="BX49" s="65" t="n">
        <f aca="false">IF(ISNUMBER(BX48),BX81-BX48,"")</f>
        <v>27.4816</v>
      </c>
      <c r="BY49" s="66" t="n">
        <f aca="false">BY48*BY50</f>
        <v>29.6672294566603</v>
      </c>
      <c r="BZ49" s="66" t="n">
        <f aca="false">BZ48*BZ50</f>
        <v>34.1238353348433</v>
      </c>
      <c r="CA49" s="67" t="n">
        <f aca="false">SUM(BW49,BX49,BY49,BZ49)</f>
        <v>112.856864791503</v>
      </c>
      <c r="CB49" s="67" t="n">
        <f aca="false">CB48*CB50</f>
        <v>123.234858293545</v>
      </c>
      <c r="CC49" s="67" t="n">
        <f aca="false">CC48*CC50</f>
        <v>130.884523796517</v>
      </c>
      <c r="CD49" s="67" t="n">
        <f aca="false">CD48*CD50</f>
        <v>140.152124822139</v>
      </c>
      <c r="CE49" s="67" t="n">
        <f aca="false">CE48*CE50</f>
        <v>151.585034404504</v>
      </c>
      <c r="CF49" s="21"/>
      <c r="CN49" s="22" t="s">
        <v>171</v>
      </c>
      <c r="CO49" s="60" t="n">
        <f aca="false">CP49+$CO$45</f>
        <v>0</v>
      </c>
      <c r="CP49" s="36" t="n">
        <v>0</v>
      </c>
      <c r="CQ49" s="60" t="n">
        <f aca="false">CP49+$CQ$45</f>
        <v>0</v>
      </c>
    </row>
    <row r="50" customFormat="false" ht="15" hidden="false" customHeight="true" outlineLevel="0" collapsed="false">
      <c r="B50" s="22" t="s">
        <v>189</v>
      </c>
      <c r="C50" s="59" t="n">
        <f aca="false">IF(ISNUMBER(C49),IFERROR(C49/C48,""),"")</f>
        <v>0.07706166405755</v>
      </c>
      <c r="D50" s="59" t="n">
        <f aca="false">IF(ISNUMBER(D49),IFERROR(D49/D48,""),"")</f>
        <v>0.0735214545262585</v>
      </c>
      <c r="E50" s="59" t="n">
        <f aca="false">IF(ISNUMBER(E49),IFERROR(E49/E48,""),"")</f>
        <v>0.0766810311769297</v>
      </c>
      <c r="F50" s="59" t="n">
        <f aca="false">IF(ISNUMBER(F49),IFERROR(F49/F48,""),"")</f>
        <v>0.0695217273346272</v>
      </c>
      <c r="G50" s="59" t="n">
        <f aca="false">IF(ISNUMBER(G49),IFERROR(G49/G48,""),"")</f>
        <v>0.0785367764241272</v>
      </c>
      <c r="H50" s="59" t="n">
        <f aca="false">IF(ISNUMBER(H49),IFERROR(H49/H48,""),"")</f>
        <v>0.0797406921959689</v>
      </c>
      <c r="I50" s="59" t="n">
        <f aca="false">IF(ISNUMBER(I49),IFERROR(I49/I48,""),"")</f>
        <v>0.0805274357129455</v>
      </c>
      <c r="J50" s="59" t="n">
        <f aca="false">IF(ISNUMBER(J49),IFERROR(J49/J48,""),"")</f>
        <v>0.0774851085532944</v>
      </c>
      <c r="K50" s="59" t="n">
        <f aca="false">IF(ISNUMBER(K49),IFERROR(K49/K48,""),"")</f>
        <v>0.0817175437039666</v>
      </c>
      <c r="L50" s="59" t="n">
        <f aca="false">IF(ISNUMBER(L49),IFERROR(L49/L48,""),"")</f>
        <v>0.0813996906565284</v>
      </c>
      <c r="M50" s="59" t="n">
        <f aca="false">IF(ISNUMBER(M49),IFERROR(M49/M48,""),"")</f>
        <v>0.088958512454363</v>
      </c>
      <c r="N50" s="59" t="n">
        <f aca="false">IF(ISNUMBER(N49),IFERROR(N49/N48,""),"")</f>
        <v>0.0823807141944945</v>
      </c>
      <c r="O50" s="59" t="n">
        <f aca="false">IF(ISNUMBER(O49),IFERROR(O49/O48,""),"")</f>
        <v>0.0906435280769843</v>
      </c>
      <c r="P50" s="59" t="n">
        <f aca="false">IF(ISNUMBER(P49),IFERROR(P49/P48,""),"")</f>
        <v>0.0895735019143441</v>
      </c>
      <c r="Q50" s="59" t="n">
        <f aca="false">IF(ISNUMBER(Q49),IFERROR(Q49/Q48,""),"")</f>
        <v>0.0873591361396239</v>
      </c>
      <c r="R50" s="59" t="n">
        <f aca="false">IF(ISNUMBER(R49),IFERROR(R49/R48,""),"")</f>
        <v>0.0906493429645005</v>
      </c>
      <c r="S50" s="59" t="n">
        <f aca="false">IF(ISNUMBER(S49),IFERROR(S49/S48,""),"")</f>
        <v>0.0898026036284695</v>
      </c>
      <c r="T50" s="59" t="n">
        <f aca="false">IF(ISNUMBER(T49),IFERROR(T49/T48,""),"")</f>
        <v>0.0925275236609526</v>
      </c>
      <c r="U50" s="59" t="n">
        <f aca="false">IF(ISNUMBER(U49),IFERROR(U49/U48,""),"")</f>
        <v>0.0926015996541288</v>
      </c>
      <c r="V50" s="59" t="n">
        <f aca="false">IF(ISNUMBER(V49),IFERROR(V49/V48,""),"")</f>
        <v>0.087832832626857</v>
      </c>
      <c r="W50" s="59" t="n">
        <f aca="false">IF(ISNUMBER(W49),IFERROR(W49/W48,""),"")</f>
        <v>0.0880272738828059</v>
      </c>
      <c r="X50" s="59" t="n">
        <f aca="false">IF(ISNUMBER(X49),IFERROR(X49/X48,""),"")</f>
        <v>0.0901385524789918</v>
      </c>
      <c r="Y50" s="59" t="n">
        <f aca="false">IF(ISNUMBER(Y49),IFERROR(Y49/Y48,""),"")</f>
        <v>0.0781111940809143</v>
      </c>
      <c r="Z50" s="59" t="n">
        <f aca="false">IF(ISNUMBER(Z49),IFERROR(Z49/Z48,""),"")</f>
        <v>0.0788178089592669</v>
      </c>
      <c r="AA50" s="59" t="n">
        <f aca="false">IF(ISNUMBER(AA49),IFERROR(AA49/AA48,""),"")</f>
        <v>0.077723376545531</v>
      </c>
      <c r="AB50" s="59" t="n">
        <f aca="false">IF(ISNUMBER(AB49),IFERROR(AB49/AB48,""),"")</f>
        <v>0.0837671198261486</v>
      </c>
      <c r="AC50" s="59" t="n">
        <f aca="false">IF(ISNUMBER(AC49),IFERROR(AC49/AC48,""),"")</f>
        <v>0.080057963275861</v>
      </c>
      <c r="AD50" s="59" t="n">
        <f aca="false">IF(ISNUMBER(AD49),IFERROR(AD49/AD48,""),"")</f>
        <v>0.0738426208185993</v>
      </c>
      <c r="AE50" s="59" t="n">
        <f aca="false">IF(ISNUMBER(AE49),IFERROR(AE49/AE48,""),"")</f>
        <v>0.0775125513244476</v>
      </c>
      <c r="AF50" s="59" t="n">
        <f aca="false">IF(ISNUMBER(AF49),IFERROR(AF49/AF48,""),"")</f>
        <v>0.0829678706311533</v>
      </c>
      <c r="AG50" s="59" t="n">
        <f aca="false">IF(ISNUMBER(AG49),IFERROR(AG49/AG48,""),"")</f>
        <v>0.0825506506624302</v>
      </c>
      <c r="AH50" s="59" t="n">
        <f aca="false">IF(ISNUMBER(AH49),IFERROR(AH49/AH48,""),"")</f>
        <v>0.0798427678867978</v>
      </c>
      <c r="AI50" s="59" t="n">
        <f aca="false">IF(ISNUMBER(AI49),IFERROR(AI49/AI48,""),"")</f>
        <v>0.0289274772528196</v>
      </c>
      <c r="AJ50" s="59" t="n">
        <f aca="false">IF(ISNUMBER(AJ49),IFERROR(AJ49/AJ48,""),"")</f>
        <v>0.0202890769869283</v>
      </c>
      <c r="AK50" s="59" t="n">
        <f aca="false">IF(ISNUMBER(AK49),IFERROR(AK49/AK48,""),"")</f>
        <v>0.0240884413984291</v>
      </c>
      <c r="AL50" s="59" t="n">
        <f aca="false">IF(ISNUMBER(AL49),IFERROR(AL49/AL48,""),"")</f>
        <v>0.0293403111682475</v>
      </c>
      <c r="AM50" s="59" t="n">
        <f aca="false">IF(ISNUMBER(AM49),IFERROR(AM49/AM48,""),"")</f>
        <v>0.0252384175915732</v>
      </c>
      <c r="AN50" s="59" t="n">
        <f aca="false">IF(ISNUMBER(AN49),IFERROR(AN49/AN48,""),"")</f>
        <v>0.0235025892683092</v>
      </c>
      <c r="AO50" s="59" t="n">
        <f aca="false">IF(ISNUMBER(AO49),IFERROR(AO49/AO48,""),"")</f>
        <v>0.0254056824256561</v>
      </c>
      <c r="AP50" s="59" t="n">
        <f aca="false">IF(ISNUMBER(AP49),IFERROR(AP49/AP48,""),"")</f>
        <v>0.0244254455648016</v>
      </c>
      <c r="AQ50" s="59" t="n">
        <f aca="false">IF(ISNUMBER(AQ49),IFERROR(AQ49/AQ48,""),"")</f>
        <v>0.0354734340703514</v>
      </c>
      <c r="AR50" s="59" t="n">
        <f aca="false">IF(ISNUMBER(AR49),IFERROR(AR49/AR48,""),"")</f>
        <v>0.0268473925587062</v>
      </c>
      <c r="AS50" s="59" t="n">
        <f aca="false">IF(ISNUMBER(AS49),IFERROR(AS49/AS48,""),"")</f>
        <v>0.0216657328777909</v>
      </c>
      <c r="AT50" s="59" t="n">
        <f aca="false">IF(ISNUMBER(AT49),IFERROR(AT49/AT48,""),"")</f>
        <v>0.0198449672909277</v>
      </c>
      <c r="AU50" s="59" t="n">
        <f aca="false">IF(ISNUMBER(AU49),IFERROR(AU49/AU48,""),"")</f>
        <v>0.0251086388488179</v>
      </c>
      <c r="AV50" s="59" t="n">
        <f aca="false">IF(ISNUMBER(AV49),IFERROR(AV49/AV48,""),"")</f>
        <v>0.0388204309796021</v>
      </c>
      <c r="AW50" s="59" t="n">
        <f aca="false">IF(ISNUMBER(AW49),IFERROR(AW49/AW48,""),"")</f>
        <v>0.0266404187941799</v>
      </c>
      <c r="AX50" s="59" t="n">
        <f aca="false">IF(ISNUMBER(AX49),IFERROR(AX49/AX48,""),"")</f>
        <v>0.0119678260149699</v>
      </c>
      <c r="AY50" s="59" t="n">
        <f aca="false">IF(ISNUMBER(AY49),IFERROR(AY49/AY48,""),"")</f>
        <v>0.0240763232459964</v>
      </c>
      <c r="AZ50" s="59" t="n">
        <f aca="false">IF(ISNUMBER(AZ49),IFERROR(AZ49/AZ48,""),"")</f>
        <v>0.028853911212981</v>
      </c>
      <c r="BA50" s="59" t="n">
        <f aca="false">IF(ISNUMBER(BA49),IFERROR(BA49/BA48,""),"")</f>
        <v>0.0307001427090127</v>
      </c>
      <c r="BB50" s="59" t="n">
        <f aca="false">IF(ISNUMBER(BB49),IFERROR(BB49/BB48,""),"")</f>
        <v>0.0245541605770406</v>
      </c>
      <c r="BC50" s="59" t="n">
        <f aca="false">IF(ISNUMBER(BC49),IFERROR(BC49/BC48,""),"")</f>
        <v>0.0234518343831253</v>
      </c>
      <c r="BD50" s="59" t="n">
        <f aca="false">IF(ISNUMBER(BD49),IFERROR(BD49/BD48,""),"")</f>
        <v>0.0291367472523831</v>
      </c>
      <c r="BE50" s="59" t="n">
        <f aca="false">IF(ISNUMBER(BE49),IFERROR(BE49/BE48,""),"")</f>
        <v>0.0403069183537861</v>
      </c>
      <c r="BF50" s="59" t="n">
        <f aca="false">IF(ISNUMBER(BF49),IFERROR(BF49/BF48,""),"")</f>
        <v>0.0376376789486109</v>
      </c>
      <c r="BG50" s="59" t="n">
        <f aca="false">IF(ISNUMBER(BG49),IFERROR(BG49/BG48,""),"")</f>
        <v>0.0326945453980564</v>
      </c>
      <c r="BH50" s="59" t="n">
        <f aca="false">IF(ISNUMBER(BH49),IFERROR(BH49/BH48,""),"")</f>
        <v>0.0228188788269284</v>
      </c>
      <c r="BI50" s="59" t="n">
        <f aca="false">IF(ISNUMBER(BI49),IFERROR(BI49/BI48,""),"")</f>
        <v>0.0247928275626016</v>
      </c>
      <c r="BJ50" s="59" t="n">
        <f aca="false">IF(ISNUMBER(BJ49),IFERROR(BJ49/BJ48,""),"")</f>
        <v>0.0212353782967588</v>
      </c>
      <c r="BK50" s="59" t="n">
        <f aca="false">IF(ISNUMBER(BK49),IFERROR(BK49/BK48,""),"")</f>
        <v>0.0262081101278914</v>
      </c>
      <c r="BL50" s="59" t="n">
        <f aca="false">IF(ISNUMBER(BL49),IFERROR(BL49/BL48,""),"")</f>
        <v>0.0240992160012124</v>
      </c>
      <c r="BM50" s="59" t="n">
        <f aca="false">IF(ISNUMBER(BM49),IFERROR(BM49/BM48,""),"")</f>
        <v>0.0226771398344584</v>
      </c>
      <c r="BN50" s="59" t="n">
        <f aca="false">IF(ISNUMBER(BN49),IFERROR(BN49/BN48,""),"")</f>
        <v>0.0253573052180574</v>
      </c>
      <c r="BO50" s="59" t="n">
        <f aca="false">IF(ISNUMBER(BO49),IFERROR(BO49/BO48,""),"")</f>
        <v>0.0231567206613498</v>
      </c>
      <c r="BP50" s="59" t="n">
        <f aca="false">IF(ISNUMBER(BP49),IFERROR(BP49/BP48,""),"")</f>
        <v>0.0352035223729097</v>
      </c>
      <c r="BQ50" s="59" t="n">
        <f aca="false">IF(ISNUMBER(BQ49),IFERROR(BQ49/BQ48,""),"")</f>
        <v>0.0265887718410603</v>
      </c>
      <c r="BR50" s="59" t="n">
        <f aca="false">IF(ISNUMBER(BR49),IFERROR(BR49/BR48,""),"")</f>
        <v>0.020739450447333</v>
      </c>
      <c r="BS50" s="59" t="n">
        <f aca="false">IF(ISNUMBER(BS49),IFERROR(BS49/BS48,""),"")</f>
        <v>0.0287182237531223</v>
      </c>
      <c r="BT50" s="59" t="n">
        <f aca="false">IF(ISNUMBER(BT49),IFERROR(BT49/BT48,""),"")</f>
        <v>0.0308309859708258</v>
      </c>
      <c r="BU50" s="59" t="n">
        <f aca="false">IF(ISNUMBER(BU49),IFERROR(BU49/BU48,""),"")</f>
        <v>0.0360387654179149</v>
      </c>
      <c r="BV50" s="59" t="n">
        <f aca="false">IF(ISNUMBER(BV49),IFERROR(BV49/BV48,""),"")</f>
        <v>0.0293357011689597</v>
      </c>
      <c r="BW50" s="59" t="n">
        <f aca="false">IF(ISNUMBER(BW49),IFERROR(BW49/BW48,""),"")</f>
        <v>0.0275083483954078</v>
      </c>
      <c r="BX50" s="59" t="n">
        <f aca="false">IF(ISNUMBER(BX49),IFERROR(BX49/BX48,""),"")</f>
        <v>0.0295815211939044</v>
      </c>
      <c r="BY50" s="52" t="n">
        <f aca="false">BT50</f>
        <v>0.0308309859708258</v>
      </c>
      <c r="BZ50" s="52" t="n">
        <f aca="false">BU50</f>
        <v>0.0360387654179149</v>
      </c>
      <c r="CA50" s="30" t="n">
        <f aca="false">IFERROR(CA49/CA48,"")</f>
        <v>0.0311520698847227</v>
      </c>
      <c r="CB50" s="30" t="n">
        <f aca="false">$CA$50</f>
        <v>0.0311520698847227</v>
      </c>
      <c r="CC50" s="30" t="n">
        <f aca="false">$CA$50</f>
        <v>0.0311520698847227</v>
      </c>
      <c r="CD50" s="30" t="n">
        <f aca="false">$CA$50</f>
        <v>0.0311520698847227</v>
      </c>
      <c r="CE50" s="30" t="n">
        <f aca="false">$CA$50</f>
        <v>0.0311520698847227</v>
      </c>
      <c r="CF50" s="21" t="s">
        <v>190</v>
      </c>
      <c r="CN50" s="16" t="s">
        <v>191</v>
      </c>
      <c r="CO50" s="70" t="n">
        <v>0</v>
      </c>
      <c r="CP50" s="58" t="s">
        <v>160</v>
      </c>
      <c r="CQ50" s="70" t="n">
        <v>0</v>
      </c>
      <c r="CR50" s="14" t="s">
        <v>192</v>
      </c>
    </row>
    <row r="51" customFormat="false" ht="15" hidden="false" customHeight="true" outlineLevel="0" collapsed="false">
      <c r="B51" s="71" t="s">
        <v>193</v>
      </c>
      <c r="C51" s="72" t="n">
        <f aca="false">IF(ISNUMBER(C48),C48+C49,"")</f>
        <v>874.738</v>
      </c>
      <c r="D51" s="72" t="n">
        <f aca="false">IF(ISNUMBER(D48),D48+D49,"")</f>
        <v>976.123</v>
      </c>
      <c r="E51" s="72" t="n">
        <f aca="false">IF(ISNUMBER(E48),E48+E49,"")</f>
        <v>1030.421</v>
      </c>
      <c r="F51" s="72" t="n">
        <f aca="false">IF(ISNUMBER(F48),F48+F49,"")</f>
        <v>849.141</v>
      </c>
      <c r="G51" s="72" t="n">
        <f aca="false">IF(ISNUMBER(G48),G48+G49,"")</f>
        <v>902.66</v>
      </c>
      <c r="H51" s="72" t="n">
        <f aca="false">IF(ISNUMBER(H48),H48+H49,"")</f>
        <v>1030.224</v>
      </c>
      <c r="I51" s="72" t="n">
        <f aca="false">IF(ISNUMBER(I48),I48+I49,"")</f>
        <v>1098.679</v>
      </c>
      <c r="J51" s="72" t="n">
        <f aca="false">IF(ISNUMBER(J48),J48+J49,"")</f>
        <v>273.795</v>
      </c>
      <c r="K51" s="72" t="n">
        <f aca="false">IF(ISNUMBER(K48),K48+K49,"")</f>
        <v>292.557</v>
      </c>
      <c r="L51" s="72" t="n">
        <f aca="false">IF(ISNUMBER(L48),L48+L49,"")</f>
        <v>293.087</v>
      </c>
      <c r="M51" s="72" t="n">
        <f aca="false">IF(ISNUMBER(M48),M48+M49,"")</f>
        <v>279.655</v>
      </c>
      <c r="N51" s="72" t="n">
        <f aca="false">IF(ISNUMBER(N48),N48+N49,"")</f>
        <v>1139.094</v>
      </c>
      <c r="O51" s="72" t="n">
        <f aca="false">IF(ISNUMBER(O48),O48+O49,"")</f>
        <v>299.73</v>
      </c>
      <c r="P51" s="72" t="n">
        <f aca="false">IF(ISNUMBER(P48),P48+P49,"")</f>
        <v>330.399</v>
      </c>
      <c r="Q51" s="72" t="n">
        <f aca="false">IF(ISNUMBER(Q48),Q48+Q49,"")</f>
        <v>332.544</v>
      </c>
      <c r="R51" s="72" t="n">
        <f aca="false">IF(ISNUMBER(R48),R48+R49,"")</f>
        <v>309.648</v>
      </c>
      <c r="S51" s="72" t="n">
        <f aca="false">IF(ISNUMBER(S48),S48+S49,"")</f>
        <v>1272.321</v>
      </c>
      <c r="T51" s="72" t="n">
        <f aca="false">IF(ISNUMBER(T48),T48+T49,"")</f>
        <v>293.022</v>
      </c>
      <c r="U51" s="72" t="n">
        <f aca="false">IF(ISNUMBER(U48),U48+U49,"")</f>
        <v>323.48</v>
      </c>
      <c r="V51" s="72" t="n">
        <f aca="false">IF(ISNUMBER(V48),V48+V49,"")</f>
        <v>317.199</v>
      </c>
      <c r="W51" s="72" t="n">
        <f aca="false">IF(ISNUMBER(W48),W48+W49,"")</f>
        <v>287.61</v>
      </c>
      <c r="X51" s="72" t="n">
        <f aca="false">IF(ISNUMBER(X48),X48+X49,"")</f>
        <v>1221.311</v>
      </c>
      <c r="Y51" s="72" t="n">
        <f aca="false">IF(ISNUMBER(Y48),Y48+Y49,"")</f>
        <v>289.911</v>
      </c>
      <c r="Z51" s="72" t="n">
        <f aca="false">IF(ISNUMBER(Z48),Z48+Z49,"")</f>
        <v>311.905</v>
      </c>
      <c r="AA51" s="72" t="n">
        <f aca="false">IF(ISNUMBER(AA48),AA48+AA49,"")</f>
        <v>316.442</v>
      </c>
      <c r="AB51" s="72" t="n">
        <f aca="false">IF(ISNUMBER(AB48),AB48+AB49,"")</f>
        <v>300.223</v>
      </c>
      <c r="AC51" s="72" t="n">
        <f aca="false">IF(ISNUMBER(AC48),AC48+AC49,"")</f>
        <v>1218.481</v>
      </c>
      <c r="AD51" s="72" t="n">
        <f aca="false">IF(ISNUMBER(AD48),AD48+AD49,"")</f>
        <v>317.037</v>
      </c>
      <c r="AE51" s="72" t="n">
        <f aca="false">IF(ISNUMBER(AE48),AE48+AE49,"")</f>
        <v>358.16</v>
      </c>
      <c r="AF51" s="72" t="n">
        <f aca="false">IF(ISNUMBER(AF48),AF48+AF49,"")</f>
        <v>350.062</v>
      </c>
      <c r="AG51" s="72" t="n">
        <f aca="false">IF(ISNUMBER(AG48),AG48+AG49,"")</f>
        <v>353.251</v>
      </c>
      <c r="AH51" s="72" t="n">
        <f aca="false">IF(ISNUMBER(AH48),AH48+AH49,"")</f>
        <v>1378.51</v>
      </c>
      <c r="AI51" s="72" t="n">
        <f aca="false">IF(ISNUMBER(AI48),AI48+AI49,"")</f>
        <v>392.805</v>
      </c>
      <c r="AJ51" s="72" t="n">
        <f aca="false">IF(ISNUMBER(AJ48),AJ48+AJ49,"")</f>
        <v>428.732</v>
      </c>
      <c r="AK51" s="72" t="n">
        <f aca="false">IF(ISNUMBER(AK48),AK48+AK49,"")</f>
        <v>425.562</v>
      </c>
      <c r="AL51" s="72" t="n">
        <f aca="false">IF(ISNUMBER(AL48),AL48+AL49,"")</f>
        <v>406.75</v>
      </c>
      <c r="AM51" s="72" t="n">
        <f aca="false">IF(ISNUMBER(AM48),AM48+AM49,"")</f>
        <v>1653.849</v>
      </c>
      <c r="AN51" s="72" t="n">
        <f aca="false">IF(ISNUMBER(AN48),AN48+AN49,"")</f>
        <v>410.584</v>
      </c>
      <c r="AO51" s="72" t="n">
        <f aca="false">IF(ISNUMBER(AO48),AO48+AO49,"")</f>
        <v>464.195</v>
      </c>
      <c r="AP51" s="72" t="n">
        <f aca="false">IF(ISNUMBER(AP48),AP48+AP49,"")</f>
        <v>468.891</v>
      </c>
      <c r="AQ51" s="72" t="n">
        <f aca="false">IF(ISNUMBER(AQ48),AQ48+AQ49,"")</f>
        <v>443.065</v>
      </c>
      <c r="AR51" s="72" t="n">
        <f aca="false">IF(ISNUMBER(AR48),AR48+AR49,"")</f>
        <v>1786.735</v>
      </c>
      <c r="AS51" s="72" t="n">
        <f aca="false">IF(ISNUMBER(AS48),AS48+AS49,"")</f>
        <v>446.396</v>
      </c>
      <c r="AT51" s="72" t="n">
        <f aca="false">IF(ISNUMBER(AT48),AT48+AT49,"")</f>
        <v>418.114</v>
      </c>
      <c r="AU51" s="72" t="n">
        <f aca="false">IF(ISNUMBER(AU48),AU48+AU49,"")</f>
        <v>481.374</v>
      </c>
      <c r="AV51" s="72" t="n">
        <f aca="false">IF(ISNUMBER(AV48),AV48+AV49,"")</f>
        <v>476.482</v>
      </c>
      <c r="AW51" s="72" t="n">
        <f aca="false">IF(ISNUMBER(AW48),AW48+AW49,"")</f>
        <v>1822.366</v>
      </c>
      <c r="AX51" s="72" t="n">
        <f aca="false">IF(ISNUMBER(AX48),AX48+AX49,"")</f>
        <v>484.074</v>
      </c>
      <c r="AY51" s="72" t="n">
        <f aca="false">IF(ISNUMBER(AY48),AY48+AY49,"")</f>
        <v>571.333</v>
      </c>
      <c r="AZ51" s="72" t="n">
        <f aca="false">IF(ISNUMBER(AZ48),AZ48+AZ49,"")</f>
        <v>616.216</v>
      </c>
      <c r="BA51" s="72" t="n">
        <f aca="false">IF(ISNUMBER(BA48),BA48+BA49,"")</f>
        <v>617.081</v>
      </c>
      <c r="BB51" s="72" t="n">
        <f aca="false">IF(ISNUMBER(BB48),BB48+BB49,"")</f>
        <v>2288.704</v>
      </c>
      <c r="BC51" s="72" t="n">
        <f aca="false">IF(ISNUMBER(BC48),BC48+BC49,"")</f>
        <v>661.216</v>
      </c>
      <c r="BD51" s="72" t="n">
        <f aca="false">IF(ISNUMBER(BD48),BD48+BD49,"")</f>
        <v>745.554</v>
      </c>
      <c r="BE51" s="72" t="n">
        <f aca="false">IF(ISNUMBER(BE48),BE48+BE49,"")</f>
        <v>729.561</v>
      </c>
      <c r="BF51" s="72" t="n">
        <f aca="false">IF(ISNUMBER(BF48),BF48+BF49,"")</f>
        <v>655.726</v>
      </c>
      <c r="BG51" s="72" t="n">
        <f aca="false">IF(ISNUMBER(BG48),BG48+BG49,"")</f>
        <v>2792.057</v>
      </c>
      <c r="BH51" s="72" t="n">
        <f aca="false">IF(ISNUMBER(BH48),BH48+BH49,"")</f>
        <v>660.535</v>
      </c>
      <c r="BI51" s="72" t="n">
        <f aca="false">IF(ISNUMBER(BI48),BI48+BI49,"")</f>
        <v>694.622</v>
      </c>
      <c r="BJ51" s="72" t="n">
        <f aca="false">IF(ISNUMBER(BJ48),BJ48+BJ49,"")</f>
        <v>775.144</v>
      </c>
      <c r="BK51" s="72" t="n">
        <f aca="false">IF(ISNUMBER(BK48),BK48+BK49,"")</f>
        <v>751.132</v>
      </c>
      <c r="BL51" s="72" t="n">
        <f aca="false">IF(ISNUMBER(BL48),BL48+BL49,"")</f>
        <v>2881.433</v>
      </c>
      <c r="BM51" s="72" t="n">
        <f aca="false">IF(ISNUMBER(BM48),BM48+BM49,"")</f>
        <v>754.775</v>
      </c>
      <c r="BN51" s="72" t="n">
        <f aca="false">IF(ISNUMBER(BN48),BN48+BN49,"")</f>
        <v>823.244</v>
      </c>
      <c r="BO51" s="72" t="n">
        <f aca="false">IF(ISNUMBER(BO48),BO48+BO49,"")</f>
        <v>842.103</v>
      </c>
      <c r="BP51" s="72" t="n">
        <f aca="false">IF(ISNUMBER(BP48),BP48+BP49,"")</f>
        <v>788.952</v>
      </c>
      <c r="BQ51" s="72" t="n">
        <f aca="false">IF(ISNUMBER(BQ48),BQ48+BQ49,"")</f>
        <v>3209.074</v>
      </c>
      <c r="BR51" s="72" t="n">
        <f aca="false">IF(ISNUMBER(BR48),BR48+BR49,"")</f>
        <v>787.575</v>
      </c>
      <c r="BS51" s="72" t="n">
        <f aca="false">IF(ISNUMBER(BS48),BS48+BS49,"")</f>
        <v>817.115</v>
      </c>
      <c r="BT51" s="72" t="n">
        <f aca="false">IF(ISNUMBER(BT48),BT48+BT49,"")</f>
        <v>839.644</v>
      </c>
      <c r="BU51" s="72" t="n">
        <f aca="false">IF(ISNUMBER(BU48),BU48+BU49,"")</f>
        <v>789.952</v>
      </c>
      <c r="BV51" s="72" t="n">
        <f aca="false">IF(ISNUMBER(BV48),BV48+BV49,"")</f>
        <v>3234.286</v>
      </c>
      <c r="BW51" s="72" t="n">
        <f aca="false">IF(ISNUMBER(BW48),BW48+BW49,"")</f>
        <v>806.226</v>
      </c>
      <c r="BX51" s="72" t="n">
        <f aca="false">IF(ISNUMBER(BX48),BX48+BX49,"")</f>
        <v>956.494</v>
      </c>
      <c r="BY51" s="72" t="n">
        <f aca="false">BY48+BY49</f>
        <v>991.920901289707</v>
      </c>
      <c r="BZ51" s="72" t="n">
        <f aca="false">BZ48+BZ49</f>
        <v>980.98855001456</v>
      </c>
      <c r="CA51" s="72" t="n">
        <f aca="false">CA48+CA49</f>
        <v>3735.62945130427</v>
      </c>
      <c r="CB51" s="72" t="n">
        <f aca="false">CB48+CB49</f>
        <v>4079.14721819682</v>
      </c>
      <c r="CC51" s="72" t="n">
        <f aca="false">CC48+CC49</f>
        <v>4332.35570310662</v>
      </c>
      <c r="CD51" s="72" t="n">
        <f aca="false">CD48+CD49</f>
        <v>4639.11881758981</v>
      </c>
      <c r="CE51" s="72" t="n">
        <f aca="false">CE48+CE49</f>
        <v>5017.5549351347</v>
      </c>
      <c r="CF51" s="21"/>
      <c r="CN51" s="22" t="s">
        <v>164</v>
      </c>
      <c r="CO51" s="73" t="n">
        <f aca="false">CP51+$CO$50</f>
        <v>5.25</v>
      </c>
      <c r="CP51" s="35" t="n">
        <v>5.25</v>
      </c>
      <c r="CQ51" s="73" t="n">
        <f aca="false">CP51+$CQ$50</f>
        <v>5.25</v>
      </c>
    </row>
    <row r="52" customFormat="false" ht="15" hidden="false" customHeight="true" outlineLevel="0" collapsed="false">
      <c r="B52" s="27" t="s">
        <v>194</v>
      </c>
      <c r="C52" s="28"/>
      <c r="D52" s="29" t="n">
        <f aca="false">IF(AND(ISNUMBER(D81),ISNUMBER(C81)),IFERROR(D81/C81-1,""),"")</f>
        <v>0.115903276180982</v>
      </c>
      <c r="E52" s="29" t="n">
        <f aca="false">IF(AND(ISNUMBER(E81),ISNUMBER(D81)),IFERROR(E81/D81-1,""),"")</f>
        <v>0.0556261864539613</v>
      </c>
      <c r="F52" s="29" t="n">
        <f aca="false">IF(AND(ISNUMBER(F81),ISNUMBER(E81)),IFERROR(F81/E81-1,""),"")</f>
        <v>-0.175928091527638</v>
      </c>
      <c r="G52" s="29" t="n">
        <f aca="false">IF(AND(ISNUMBER(G81),ISNUMBER(F81)),IFERROR(G81/F81-1,""),"")</f>
        <v>0.0630272239828249</v>
      </c>
      <c r="H52" s="29" t="n">
        <f aca="false">IF(AND(ISNUMBER(H81),ISNUMBER(G81)),IFERROR(H81/G81-1,""),"")</f>
        <v>0.141320098375911</v>
      </c>
      <c r="I52" s="29" t="n">
        <f aca="false">IF(AND(ISNUMBER(I81),ISNUMBER(H81)),IFERROR(I81/H81-1,""),"")</f>
        <v>0.0664467145009242</v>
      </c>
      <c r="J52" s="28"/>
      <c r="K52" s="28"/>
      <c r="L52" s="28"/>
      <c r="M52" s="28"/>
      <c r="N52" s="29" t="n">
        <f aca="false">IF(AND(ISNUMBER(N81),ISNUMBER(I81)),IFERROR(N81/I81-1,""),"")</f>
        <v>0.0367850846334552</v>
      </c>
      <c r="O52" s="29" t="n">
        <f aca="false">IF(AND(ISNUMBER(O81),ISNUMBER(J81)),IFERROR(O81/J81-1,""),"")</f>
        <v>0.0947241549334357</v>
      </c>
      <c r="P52" s="29" t="n">
        <f aca="false">IF(AND(ISNUMBER(P81),ISNUMBER(K81)),IFERROR(P81/K81-1,""),"")</f>
        <v>0.129349152472851</v>
      </c>
      <c r="Q52" s="29" t="n">
        <f aca="false">IF(AND(ISNUMBER(Q81),ISNUMBER(L81)),IFERROR(Q81/L81-1,""),"")</f>
        <v>0.134625554869373</v>
      </c>
      <c r="R52" s="29" t="n">
        <f aca="false">IF(AND(ISNUMBER(R81),ISNUMBER(M81)),IFERROR(R81/M81-1,""),"")</f>
        <v>0.107250004469793</v>
      </c>
      <c r="S52" s="29" t="n">
        <f aca="false">IF(AND(ISNUMBER(S81),ISNUMBER(N81)),IFERROR(S81/N81-1,""),"")</f>
        <v>0.116958740894079</v>
      </c>
      <c r="T52" s="29" t="n">
        <f aca="false">IF(AND(ISNUMBER(T81),ISNUMBER(O81)),IFERROR(T81/O81-1,""),"")</f>
        <v>-0.0223801421279152</v>
      </c>
      <c r="U52" s="29" t="n">
        <f aca="false">IF(AND(ISNUMBER(U81),ISNUMBER(P81)),IFERROR(U81/P81-1,""),"")</f>
        <v>-0.020941346674778</v>
      </c>
      <c r="V52" s="29" t="n">
        <f aca="false">IF(AND(ISNUMBER(V81),ISNUMBER(Q81)),IFERROR(V81/Q81-1,""),"")</f>
        <v>-0.0461442696304849</v>
      </c>
      <c r="W52" s="29" t="n">
        <f aca="false">IF(AND(ISNUMBER(W81),ISNUMBER(R81)),IFERROR(W81/R81-1,""),"")</f>
        <v>-0.0711711362579446</v>
      </c>
      <c r="X52" s="29" t="n">
        <f aca="false">IF(AND(ISNUMBER(X81),ISNUMBER(S81)),IFERROR(X81/S81-1,""),"")</f>
        <v>-0.0400920836801405</v>
      </c>
      <c r="Y52" s="29" t="n">
        <f aca="false">IF(AND(ISNUMBER(Y81),ISNUMBER(T81)),IFERROR(Y81/T81-1,""),"")</f>
        <v>-0.0106169502631202</v>
      </c>
      <c r="Z52" s="29" t="n">
        <f aca="false">IF(AND(ISNUMBER(Z81),ISNUMBER(U81)),IFERROR(Z81/U81-1,""),"")</f>
        <v>-0.0357827377272166</v>
      </c>
      <c r="AA52" s="29" t="n">
        <f aca="false">IF(AND(ISNUMBER(AA81),ISNUMBER(V81)),IFERROR(AA81/V81-1,""),"")</f>
        <v>-0.00238651445937721</v>
      </c>
      <c r="AB52" s="29" t="n">
        <f aca="false">IF(AND(ISNUMBER(AB81),ISNUMBER(W81)),IFERROR(AB81/W81-1,""),"")</f>
        <v>0.0438545252251312</v>
      </c>
      <c r="AC52" s="29" t="n">
        <f aca="false">IF(AND(ISNUMBER(AC81),ISNUMBER(X81)),IFERROR(AC81/X81-1,""),"")</f>
        <v>-0.00231718211004395</v>
      </c>
      <c r="AD52" s="29" t="n">
        <f aca="false">IF(AND(ISNUMBER(AD81),ISNUMBER(Y81)),IFERROR(AD81/Y81-1,""),"")</f>
        <v>0.0935666463155933</v>
      </c>
      <c r="AE52" s="29" t="n">
        <f aca="false">IF(AND(ISNUMBER(AE81),ISNUMBER(Z81)),IFERROR(AE81/Z81-1,""),"")</f>
        <v>0.148298360077588</v>
      </c>
      <c r="AF52" s="29" t="n">
        <f aca="false">IF(AND(ISNUMBER(AF81),ISNUMBER(AA81)),IFERROR(AF81/AA81-1,""),"")</f>
        <v>0.106243798231588</v>
      </c>
      <c r="AG52" s="29" t="n">
        <f aca="false">IF(AND(ISNUMBER(AG81),ISNUMBER(AB81)),IFERROR(AG81/AB81-1,""),"")</f>
        <v>0.17662870599521</v>
      </c>
      <c r="AH52" s="29" t="n">
        <f aca="false">IF(AND(ISNUMBER(AH81),ISNUMBER(AC81)),IFERROR(AH81/AC81-1,""),"")</f>
        <v>0.131334834109026</v>
      </c>
      <c r="AI52" s="29" t="n">
        <f aca="false">IF(AND(ISNUMBER(AI81),ISNUMBER(AD81)),IFERROR(AI81/AD81-1,""),"")</f>
        <v>0.238987878386435</v>
      </c>
      <c r="AJ52" s="29" t="n">
        <f aca="false">IF(AND(ISNUMBER(AJ81),ISNUMBER(AE81)),IFERROR(AJ81/AE81-1,""),"")</f>
        <v>0.197040428858611</v>
      </c>
      <c r="AK52" s="29" t="n">
        <f aca="false">IF(AND(ISNUMBER(AK81),ISNUMBER(AF81)),IFERROR(AK81/AF81-1,""),"")</f>
        <v>0.215676080237215</v>
      </c>
      <c r="AL52" s="29" t="n">
        <f aca="false">IF(AND(ISNUMBER(AL81),ISNUMBER(AG81)),IFERROR(AL81/AG81-1,""),"")</f>
        <v>0.151447554288594</v>
      </c>
      <c r="AM52" s="29" t="n">
        <f aca="false">IF(AND(ISNUMBER(AM81),ISNUMBER(AH81)),IFERROR(AM81/AH81-1,""),"")</f>
        <v>0.199736672204046</v>
      </c>
      <c r="AN52" s="29" t="n">
        <f aca="false">IF(AND(ISNUMBER(AN81),ISNUMBER(AI81)),IFERROR(AN81/AI81-1,""),"")</f>
        <v>0.0452616438181794</v>
      </c>
      <c r="AO52" s="29" t="n">
        <f aca="false">IF(AND(ISNUMBER(AO81),ISNUMBER(AJ81)),IFERROR(AO81/AJ81-1,""),"")</f>
        <v>0.0827160090686021</v>
      </c>
      <c r="AP52" s="29" t="n">
        <f aca="false">IF(AND(ISNUMBER(AP81),ISNUMBER(AK81)),IFERROR(AP81/AK81-1,""),"")</f>
        <v>0.101815951612221</v>
      </c>
      <c r="AQ52" s="29" t="n">
        <f aca="false">IF(AND(ISNUMBER(AQ81),ISNUMBER(AL81)),IFERROR(AQ81/AL81-1,""),"")</f>
        <v>0.0892808850645359</v>
      </c>
      <c r="AR52" s="29" t="n">
        <f aca="false">IF(AND(ISNUMBER(AR81),ISNUMBER(AM81)),IFERROR(AR81/AM81-1,""),"")</f>
        <v>0.0803495361426587</v>
      </c>
      <c r="AS52" s="29" t="n">
        <f aca="false">IF(AND(ISNUMBER(AS81),ISNUMBER(AN81)),IFERROR(AS81/AN81-1,""),"")</f>
        <v>0.0872221031506342</v>
      </c>
      <c r="AT52" s="29" t="n">
        <f aca="false">IF(AND(ISNUMBER(AT81),ISNUMBER(AO81)),IFERROR(AT81/AO81-1,""),"")</f>
        <v>-0.0992707805986709</v>
      </c>
      <c r="AU52" s="29" t="n">
        <f aca="false">IF(AND(ISNUMBER(AU81),ISNUMBER(AP81)),IFERROR(AU81/AP81-1,""),"")</f>
        <v>0.026622391984491</v>
      </c>
      <c r="AV52" s="29" t="n">
        <f aca="false">IF(AND(ISNUMBER(AV81),ISNUMBER(AQ81)),IFERROR(AV81/AQ81-1,""),"")</f>
        <v>0.0754223420942752</v>
      </c>
      <c r="AW52" s="29" t="n">
        <f aca="false">IF(AND(ISNUMBER(AW81),ISNUMBER(AR81)),IFERROR(AW81/AR81-1,""),"")</f>
        <v>0.0199419611749925</v>
      </c>
      <c r="AX52" s="29" t="n">
        <f aca="false">IF(AND(ISNUMBER(AX81),ISNUMBER(AS81)),IFERROR(AX81/AS81-1,""),"")</f>
        <v>0.0844048781799121</v>
      </c>
      <c r="AY52" s="29" t="n">
        <f aca="false">IF(AND(ISNUMBER(AY81),ISNUMBER(AT81)),IFERROR(AY81/AT81-1,""),"")</f>
        <v>0.366452689936238</v>
      </c>
      <c r="AZ52" s="29" t="n">
        <f aca="false">IF(AND(ISNUMBER(AZ81),ISNUMBER(AU81)),IFERROR(AZ81/AU81-1,""),"")</f>
        <v>0.280118992716682</v>
      </c>
      <c r="BA52" s="29" t="n">
        <f aca="false">IF(AND(ISNUMBER(BA81),ISNUMBER(AV81)),IFERROR(BA81/AV81-1,""),"")</f>
        <v>0.295077253705282</v>
      </c>
      <c r="BB52" s="29" t="n">
        <f aca="false">IF(AND(ISNUMBER(BB81),ISNUMBER(AW81)),IFERROR(BB81/AW81-1,""),"")</f>
        <v>0.255897004224179</v>
      </c>
      <c r="BC52" s="29" t="n">
        <f aca="false">IF(AND(ISNUMBER(BC81),ISNUMBER(AX81)),IFERROR(BC81/AX81-1,""),"")</f>
        <v>0.365939918276958</v>
      </c>
      <c r="BD52" s="29" t="n">
        <f aca="false">IF(AND(ISNUMBER(BD81),ISNUMBER(AY81)),IFERROR(BD81/AY81-1,""),"")</f>
        <v>0.304937750838828</v>
      </c>
      <c r="BE52" s="29" t="n">
        <f aca="false">IF(AND(ISNUMBER(BE81),ISNUMBER(AZ81)),IFERROR(BE81/AZ81-1,""),"")</f>
        <v>0.183937125942851</v>
      </c>
      <c r="BF52" s="29" t="n">
        <f aca="false">IF(AND(ISNUMBER(BF81),ISNUMBER(BA81)),IFERROR(BF81/BA81-1,""),"")</f>
        <v>0.062625490008605</v>
      </c>
      <c r="BG52" s="29" t="n">
        <f aca="false">IF(AND(ISNUMBER(BG81),ISNUMBER(BB81)),IFERROR(BG81/BB81-1,""),"")</f>
        <v>0.21992927001482</v>
      </c>
      <c r="BH52" s="29" t="n">
        <f aca="false">IF(AND(ISNUMBER(BH81),ISNUMBER(BC81)),IFERROR(BH81/BC81-1,""),"")</f>
        <v>-0.00102992063107976</v>
      </c>
      <c r="BI52" s="29" t="n">
        <f aca="false">IF(AND(ISNUMBER(BI81),ISNUMBER(BD81)),IFERROR(BI81/BD81-1,""),"")</f>
        <v>-0.0683143005067373</v>
      </c>
      <c r="BJ52" s="29" t="n">
        <f aca="false">IF(AND(ISNUMBER(BJ81),ISNUMBER(BE81)),IFERROR(BJ81/BE81-1,""),"")</f>
        <v>0.0624800393661393</v>
      </c>
      <c r="BK52" s="29" t="n">
        <f aca="false">IF(AND(ISNUMBER(BK81),ISNUMBER(BF81)),IFERROR(BK81/BF81-1,""),"")</f>
        <v>0.145496747116936</v>
      </c>
      <c r="BL52" s="29" t="n">
        <f aca="false">IF(AND(ISNUMBER(BL81),ISNUMBER(BG81)),IFERROR(BL81/BG81-1,""),"")</f>
        <v>0.0320108078022763</v>
      </c>
      <c r="BM52" s="29" t="n">
        <f aca="false">IF(AND(ISNUMBER(BM81),ISNUMBER(BH81)),IFERROR(BM81/BH81-1,""),"")</f>
        <v>0.142672227815332</v>
      </c>
      <c r="BN52" s="29" t="n">
        <f aca="false">IF(AND(ISNUMBER(BN81),ISNUMBER(BI81)),IFERROR(BN81/BI81-1,""),"")</f>
        <v>0.185168336159811</v>
      </c>
      <c r="BO52" s="29" t="n">
        <f aca="false">IF(AND(ISNUMBER(BO81),ISNUMBER(BJ81)),IFERROR(BO81/BJ81-1,""),"")</f>
        <v>0.0863826592220283</v>
      </c>
      <c r="BP52" s="29" t="n">
        <f aca="false">IF(AND(ISNUMBER(BP81),ISNUMBER(BK81)),IFERROR(BP81/BK81-1,""),"")</f>
        <v>0.0503506707209918</v>
      </c>
      <c r="BQ52" s="29" t="n">
        <f aca="false">IF(AND(ISNUMBER(BQ81),ISNUMBER(BL81)),IFERROR(BQ81/BL81-1,""),"")</f>
        <v>0.113707658654565</v>
      </c>
      <c r="BR52" s="29" t="n">
        <f aca="false">IF(AND(ISNUMBER(BR81),ISNUMBER(BM81)),IFERROR(BR81/BM81-1,""),"")</f>
        <v>0.0434566592693189</v>
      </c>
      <c r="BS52" s="29" t="n">
        <f aca="false">IF(AND(ISNUMBER(BS81),ISNUMBER(BN81)),IFERROR(BS81/BN81-1,""),"")</f>
        <v>-0.00744493734542862</v>
      </c>
      <c r="BT52" s="29" t="n">
        <f aca="false">IF(AND(ISNUMBER(BT81),ISNUMBER(BO81)),IFERROR(BT81/BO81-1,""),"")</f>
        <v>-0.00292007034768904</v>
      </c>
      <c r="BU52" s="29" t="n">
        <f aca="false">IF(AND(ISNUMBER(BU81),ISNUMBER(BP81)),IFERROR(BU81/BP81-1,""),"")</f>
        <v>0.00126750423346422</v>
      </c>
      <c r="BV52" s="29" t="n">
        <f aca="false">IF(AND(ISNUMBER(BV81),ISNUMBER(BQ81)),IFERROR(BV81/BQ81-1,""),"")</f>
        <v>0.00785647199160877</v>
      </c>
      <c r="BW52" s="29" t="n">
        <f aca="false">IF(AND(ISNUMBER(BW81),ISNUMBER(BR81)),IFERROR(BW81/BR81-1,""),"")</f>
        <v>0.0236815541377011</v>
      </c>
      <c r="BX52" s="29" t="n">
        <f aca="false">IF(AND(ISNUMBER(BX81),ISNUMBER(BS81)),IFERROR(BX81/BS81-1,""),"")</f>
        <v>0.170574521334206</v>
      </c>
      <c r="BY52" s="30" t="n">
        <f aca="false">IF(AND(ISNUMBER(BY51),ISNUMBER(BT51)),IFERROR(BY51/BT51-1,""),"")</f>
        <v>0.181358886968415</v>
      </c>
      <c r="BZ52" s="30" t="n">
        <f aca="false">IF(AND(ISNUMBER(BZ51),ISNUMBER(BU51)),IFERROR(BZ51/BU51-1,""),"")</f>
        <v>0.241833111397351</v>
      </c>
      <c r="CA52" s="30" t="n">
        <f aca="false">IF(AND(ISNUMBER(CA51),ISNUMBER(BV51)),IFERROR(CA51/BV51-1,""),"")</f>
        <v>0.155009003936037</v>
      </c>
      <c r="CB52" s="30" t="n">
        <f aca="false">IF(AND(ISNUMBER(CB51),ISNUMBER(CA51)),IFERROR(CB51/CA51-1,""),"")</f>
        <v>0.0919571310191409</v>
      </c>
      <c r="CC52" s="30" t="n">
        <f aca="false">IF(AND(ISNUMBER(CC51),ISNUMBER(CB51)),IFERROR(CC51/CB51-1,""),"")</f>
        <v>0.0620738775448595</v>
      </c>
      <c r="CD52" s="30" t="n">
        <f aca="false">IF(AND(ISNUMBER(CD51),ISNUMBER(CC51)),IFERROR(CD51/CC51-1,""),"")</f>
        <v>0.0708074626151363</v>
      </c>
      <c r="CE52" s="30" t="n">
        <f aca="false">IF(AND(ISNUMBER(CE51),ISNUMBER(CD51)),IFERROR(CE51/CD51-1,""),"")</f>
        <v>0.081575</v>
      </c>
      <c r="CF52" s="21"/>
      <c r="CN52" s="22" t="s">
        <v>166</v>
      </c>
      <c r="CO52" s="73" t="n">
        <f aca="false">CP52+$CO$50</f>
        <v>4.75</v>
      </c>
      <c r="CP52" s="35" t="n">
        <v>4.75</v>
      </c>
      <c r="CQ52" s="73" t="n">
        <f aca="false">CP52+$CQ$50</f>
        <v>4.75</v>
      </c>
    </row>
    <row r="53" customFormat="false" ht="15" hidden="false" customHeight="true" outlineLevel="0" collapsed="false">
      <c r="B53" s="74" t="s">
        <v>195</v>
      </c>
      <c r="C53" s="65" t="n">
        <f aca="false">IF(ISNUMBER(C51),ROUND(C51-C81,1),"")</f>
        <v>0</v>
      </c>
      <c r="D53" s="65" t="n">
        <f aca="false">IF(ISNUMBER(D51),ROUND(D51-D81,1),"")</f>
        <v>0</v>
      </c>
      <c r="E53" s="65" t="n">
        <f aca="false">IF(ISNUMBER(E51),ROUND(E51-E81,1),"")</f>
        <v>0</v>
      </c>
      <c r="F53" s="65" t="n">
        <f aca="false">IF(ISNUMBER(F51),ROUND(F51-F81,1),"")</f>
        <v>0</v>
      </c>
      <c r="G53" s="65" t="n">
        <f aca="false">IF(ISNUMBER(G51),ROUND(G51-G81,1),"")</f>
        <v>0</v>
      </c>
      <c r="H53" s="65" t="n">
        <f aca="false">IF(ISNUMBER(H51),ROUND(H51-H81,1),"")</f>
        <v>0</v>
      </c>
      <c r="I53" s="65" t="n">
        <f aca="false">IF(ISNUMBER(I51),ROUND(I51-I81,1),"")</f>
        <v>0</v>
      </c>
      <c r="J53" s="65" t="n">
        <f aca="false">IF(ISNUMBER(J51),ROUND(J51-J81,1),"")</f>
        <v>0</v>
      </c>
      <c r="K53" s="65" t="n">
        <f aca="false">IF(ISNUMBER(K51),ROUND(K51-K81,1),"")</f>
        <v>0</v>
      </c>
      <c r="L53" s="65" t="n">
        <f aca="false">IF(ISNUMBER(L51),ROUND(L51-L81,1),"")</f>
        <v>0</v>
      </c>
      <c r="M53" s="65" t="n">
        <f aca="false">IF(ISNUMBER(M51),ROUND(M51-M81,1),"")</f>
        <v>0</v>
      </c>
      <c r="N53" s="65" t="n">
        <f aca="false">IF(ISNUMBER(N51),ROUND(N51-N81,1),"")</f>
        <v>0</v>
      </c>
      <c r="O53" s="65" t="n">
        <f aca="false">IF(ISNUMBER(O51),ROUND(O51-O81,1),"")</f>
        <v>0</v>
      </c>
      <c r="P53" s="65" t="n">
        <f aca="false">IF(ISNUMBER(P51),ROUND(P51-P81,1),"")</f>
        <v>0</v>
      </c>
      <c r="Q53" s="65" t="n">
        <f aca="false">IF(ISNUMBER(Q51),ROUND(Q51-Q81,1),"")</f>
        <v>0</v>
      </c>
      <c r="R53" s="65" t="n">
        <f aca="false">IF(ISNUMBER(R51),ROUND(R51-R81,1),"")</f>
        <v>0</v>
      </c>
      <c r="S53" s="65" t="n">
        <f aca="false">IF(ISNUMBER(S51),ROUND(S51-S81,1),"")</f>
        <v>0</v>
      </c>
      <c r="T53" s="65" t="n">
        <f aca="false">IF(ISNUMBER(T51),ROUND(T51-T81,1),"")</f>
        <v>0</v>
      </c>
      <c r="U53" s="65" t="n">
        <f aca="false">IF(ISNUMBER(U51),ROUND(U51-U81,1),"")</f>
        <v>0</v>
      </c>
      <c r="V53" s="65" t="n">
        <f aca="false">IF(ISNUMBER(V51),ROUND(V51-V81,1),"")</f>
        <v>0</v>
      </c>
      <c r="W53" s="65" t="n">
        <f aca="false">IF(ISNUMBER(W51),ROUND(W51-W81,1),"")</f>
        <v>0</v>
      </c>
      <c r="X53" s="65" t="n">
        <f aca="false">IF(ISNUMBER(X51),ROUND(X51-X81,1),"")</f>
        <v>0</v>
      </c>
      <c r="Y53" s="65" t="n">
        <f aca="false">IF(ISNUMBER(Y51),ROUND(Y51-Y81,1),"")</f>
        <v>0</v>
      </c>
      <c r="Z53" s="65" t="n">
        <f aca="false">IF(ISNUMBER(Z51),ROUND(Z51-Z81,1),"")</f>
        <v>0</v>
      </c>
      <c r="AA53" s="65" t="n">
        <f aca="false">IF(ISNUMBER(AA51),ROUND(AA51-AA81,1),"")</f>
        <v>0</v>
      </c>
      <c r="AB53" s="65" t="n">
        <f aca="false">IF(ISNUMBER(AB51),ROUND(AB51-AB81,1),"")</f>
        <v>0</v>
      </c>
      <c r="AC53" s="65" t="n">
        <f aca="false">IF(ISNUMBER(AC51),ROUND(AC51-AC81,1),"")</f>
        <v>0</v>
      </c>
      <c r="AD53" s="65" t="n">
        <f aca="false">IF(ISNUMBER(AD51),ROUND(AD51-AD81,1),"")</f>
        <v>0</v>
      </c>
      <c r="AE53" s="65" t="n">
        <f aca="false">IF(ISNUMBER(AE51),ROUND(AE51-AE81,1),"")</f>
        <v>0</v>
      </c>
      <c r="AF53" s="65" t="n">
        <f aca="false">IF(ISNUMBER(AF51),ROUND(AF51-AF81,1),"")</f>
        <v>0</v>
      </c>
      <c r="AG53" s="65" t="n">
        <f aca="false">IF(ISNUMBER(AG51),ROUND(AG51-AG81,1),"")</f>
        <v>0</v>
      </c>
      <c r="AH53" s="65" t="n">
        <f aca="false">IF(ISNUMBER(AH51),ROUND(AH51-AH81,1),"")</f>
        <v>0</v>
      </c>
      <c r="AI53" s="65" t="n">
        <f aca="false">IF(ISNUMBER(AI51),ROUND(AI51-AI81,1),"")</f>
        <v>0</v>
      </c>
      <c r="AJ53" s="65" t="n">
        <f aca="false">IF(ISNUMBER(AJ51),ROUND(AJ51-AJ81,1),"")</f>
        <v>0</v>
      </c>
      <c r="AK53" s="65" t="n">
        <f aca="false">IF(ISNUMBER(AK51),ROUND(AK51-AK81,1),"")</f>
        <v>0</v>
      </c>
      <c r="AL53" s="65" t="n">
        <f aca="false">IF(ISNUMBER(AL51),ROUND(AL51-AL81,1),"")</f>
        <v>0</v>
      </c>
      <c r="AM53" s="65" t="n">
        <f aca="false">IF(ISNUMBER(AM51),ROUND(AM51-AM81,1),"")</f>
        <v>0</v>
      </c>
      <c r="AN53" s="65" t="n">
        <f aca="false">IF(ISNUMBER(AN51),ROUND(AN51-AN81,1),"")</f>
        <v>0</v>
      </c>
      <c r="AO53" s="65" t="n">
        <f aca="false">IF(ISNUMBER(AO51),ROUND(AO51-AO81,1),"")</f>
        <v>0</v>
      </c>
      <c r="AP53" s="65" t="n">
        <f aca="false">IF(ISNUMBER(AP51),ROUND(AP51-AP81,1),"")</f>
        <v>0</v>
      </c>
      <c r="AQ53" s="65" t="n">
        <f aca="false">IF(ISNUMBER(AQ51),ROUND(AQ51-AQ81,1),"")</f>
        <v>0</v>
      </c>
      <c r="AR53" s="65" t="n">
        <f aca="false">IF(ISNUMBER(AR51),ROUND(AR51-AR81,1),"")</f>
        <v>0</v>
      </c>
      <c r="AS53" s="65" t="n">
        <f aca="false">IF(ISNUMBER(AS51),ROUND(AS51-AS81,1),"")</f>
        <v>0</v>
      </c>
      <c r="AT53" s="65" t="n">
        <f aca="false">IF(ISNUMBER(AT51),ROUND(AT51-AT81,1),"")</f>
        <v>0</v>
      </c>
      <c r="AU53" s="65" t="n">
        <f aca="false">IF(ISNUMBER(AU51),ROUND(AU51-AU81,1),"")</f>
        <v>0</v>
      </c>
      <c r="AV53" s="65" t="n">
        <f aca="false">IF(ISNUMBER(AV51),ROUND(AV51-AV81,1),"")</f>
        <v>0</v>
      </c>
      <c r="AW53" s="65" t="n">
        <f aca="false">IF(ISNUMBER(AW51),ROUND(AW51-AW81,1),"")</f>
        <v>0</v>
      </c>
      <c r="AX53" s="65" t="n">
        <f aca="false">IF(ISNUMBER(AX51),ROUND(AX51-AX81,1),"")</f>
        <v>0</v>
      </c>
      <c r="AY53" s="65" t="n">
        <f aca="false">IF(ISNUMBER(AY51),ROUND(AY51-AY81,1),"")</f>
        <v>0</v>
      </c>
      <c r="AZ53" s="65" t="n">
        <f aca="false">IF(ISNUMBER(AZ51),ROUND(AZ51-AZ81,1),"")</f>
        <v>0</v>
      </c>
      <c r="BA53" s="65" t="n">
        <f aca="false">IF(ISNUMBER(BA51),ROUND(BA51-BA81,1),"")</f>
        <v>0</v>
      </c>
      <c r="BB53" s="65" t="n">
        <f aca="false">IF(ISNUMBER(BB51),ROUND(BB51-BB81,1),"")</f>
        <v>0</v>
      </c>
      <c r="BC53" s="65" t="n">
        <f aca="false">IF(ISNUMBER(BC51),ROUND(BC51-BC81,1),"")</f>
        <v>0</v>
      </c>
      <c r="BD53" s="65" t="n">
        <f aca="false">IF(ISNUMBER(BD51),ROUND(BD51-BD81,1),"")</f>
        <v>0</v>
      </c>
      <c r="BE53" s="65" t="n">
        <f aca="false">IF(ISNUMBER(BE51),ROUND(BE51-BE81,1),"")</f>
        <v>0</v>
      </c>
      <c r="BF53" s="65" t="n">
        <f aca="false">IF(ISNUMBER(BF51),ROUND(BF51-BF81,1),"")</f>
        <v>0</v>
      </c>
      <c r="BG53" s="65" t="n">
        <f aca="false">IF(ISNUMBER(BG51),ROUND(BG51-BG81,1),"")</f>
        <v>0</v>
      </c>
      <c r="BH53" s="65" t="n">
        <f aca="false">IF(ISNUMBER(BH51),ROUND(BH51-BH81,1),"")</f>
        <v>0</v>
      </c>
      <c r="BI53" s="65" t="n">
        <f aca="false">IF(ISNUMBER(BI51),ROUND(BI51-BI81,1),"")</f>
        <v>0</v>
      </c>
      <c r="BJ53" s="65" t="n">
        <f aca="false">IF(ISNUMBER(BJ51),ROUND(BJ51-BJ81,1),"")</f>
        <v>0</v>
      </c>
      <c r="BK53" s="65" t="n">
        <f aca="false">IF(ISNUMBER(BK51),ROUND(BK51-BK81,1),"")</f>
        <v>0</v>
      </c>
      <c r="BL53" s="65" t="n">
        <f aca="false">IF(ISNUMBER(BL51),ROUND(BL51-BL81,1),"")</f>
        <v>0</v>
      </c>
      <c r="BM53" s="65" t="n">
        <f aca="false">IF(ISNUMBER(BM51),ROUND(BM51-BM81,1),"")</f>
        <v>0</v>
      </c>
      <c r="BN53" s="65" t="n">
        <f aca="false">IF(ISNUMBER(BN51),ROUND(BN51-BN81,1),"")</f>
        <v>0</v>
      </c>
      <c r="BO53" s="65" t="n">
        <f aca="false">IF(ISNUMBER(BO51),ROUND(BO51-BO81,1),"")</f>
        <v>0</v>
      </c>
      <c r="BP53" s="65" t="n">
        <f aca="false">IF(ISNUMBER(BP51),ROUND(BP51-BP81,1),"")</f>
        <v>0</v>
      </c>
      <c r="BQ53" s="65" t="n">
        <f aca="false">IF(ISNUMBER(BQ51),ROUND(BQ51-BQ81,1),"")</f>
        <v>0</v>
      </c>
      <c r="BR53" s="65" t="n">
        <f aca="false">IF(ISNUMBER(BR51),ROUND(BR51-BR81,1),"")</f>
        <v>0</v>
      </c>
      <c r="BS53" s="65" t="n">
        <f aca="false">IF(ISNUMBER(BS51),ROUND(BS51-BS81,1),"")</f>
        <v>0</v>
      </c>
      <c r="BT53" s="65" t="n">
        <f aca="false">IF(ISNUMBER(BT51),ROUND(BT51-BT81,1),"")</f>
        <v>0</v>
      </c>
      <c r="BU53" s="65" t="n">
        <f aca="false">IF(ISNUMBER(BU51),ROUND(BU51-BU81,1),"")</f>
        <v>0</v>
      </c>
      <c r="BV53" s="65" t="n">
        <f aca="false">IF(ISNUMBER(BV51),ROUND(BV51-BV81,1),"")</f>
        <v>0</v>
      </c>
      <c r="BW53" s="65" t="n">
        <f aca="false">IF(ISNUMBER(BW51),ROUND(BW51-BW81,1),"")</f>
        <v>0</v>
      </c>
      <c r="BX53" s="65" t="n">
        <f aca="false">IF(ISNUMBER(BX51),ROUND(BX51-BX81,1),"")</f>
        <v>0</v>
      </c>
      <c r="BY53" s="67" t="n">
        <f aca="false">ROUND(BY51-BY81,1)</f>
        <v>0</v>
      </c>
      <c r="BZ53" s="67" t="n">
        <f aca="false">ROUND(BZ51-BZ81,1)</f>
        <v>0</v>
      </c>
      <c r="CA53" s="67" t="n">
        <f aca="false">ROUND(CA51-CA81,1)</f>
        <v>0</v>
      </c>
      <c r="CB53" s="67" t="n">
        <f aca="false">ROUND(CB51-CB81,1)</f>
        <v>0</v>
      </c>
      <c r="CC53" s="67" t="n">
        <f aca="false">ROUND(CC51-CC81,1)</f>
        <v>0</v>
      </c>
      <c r="CD53" s="67" t="n">
        <f aca="false">ROUND(CD51-CD81,1)</f>
        <v>0</v>
      </c>
      <c r="CE53" s="67" t="n">
        <f aca="false">ROUND(CE51-CE81,1)</f>
        <v>0</v>
      </c>
      <c r="CF53" s="21"/>
      <c r="CN53" s="22" t="s">
        <v>169</v>
      </c>
      <c r="CO53" s="73" t="n">
        <f aca="false">CP53+$CO$50</f>
        <v>4.5</v>
      </c>
      <c r="CP53" s="35" t="n">
        <v>4.5</v>
      </c>
      <c r="CQ53" s="73" t="n">
        <f aca="false">CP53+$CQ$50</f>
        <v>4.5</v>
      </c>
    </row>
    <row r="54" customFormat="false" ht="15" hidden="false" customHeight="true" outlineLevel="0" collapsed="false">
      <c r="B54" s="37" t="s">
        <v>196</v>
      </c>
      <c r="C54" s="65" t="n">
        <f aca="false">IF(ISNUMBER(C43),C43*C81,"")</f>
        <v>104.093822</v>
      </c>
      <c r="D54" s="65" t="str">
        <f aca="false">IF(ISNUMBER(D43),D43*D81,"")</f>
        <v/>
      </c>
      <c r="E54" s="65" t="str">
        <f aca="false">IF(ISNUMBER(E43),E43*E81,"")</f>
        <v/>
      </c>
      <c r="F54" s="65" t="str">
        <f aca="false">IF(ISNUMBER(F43),F43*F81,"")</f>
        <v/>
      </c>
      <c r="G54" s="65" t="n">
        <f aca="false">IF(ISNUMBER(G43),G43*G81,"")</f>
        <v>111.92984</v>
      </c>
      <c r="H54" s="65" t="n">
        <f aca="false">IF(ISNUMBER(H43),H43*H81,"")</f>
        <v>172.047408</v>
      </c>
      <c r="I54" s="65" t="n">
        <f aca="false">IF(ISNUMBER(I43),I43*I81,"")</f>
        <v>190.071467</v>
      </c>
      <c r="J54" s="65" t="n">
        <f aca="false">IF(ISNUMBER(J43),J43*J81,"")</f>
        <v>47.64033</v>
      </c>
      <c r="K54" s="65" t="n">
        <f aca="false">IF(ISNUMBER(K43),K43*K81,"")</f>
        <v>48.857019</v>
      </c>
      <c r="L54" s="65" t="n">
        <f aca="false">IF(ISNUMBER(L43),L43*L81,"")</f>
        <v>48.945529</v>
      </c>
      <c r="M54" s="65" t="n">
        <f aca="false">IF(ISNUMBER(M43),M43*M81,"")</f>
        <v>45.924914</v>
      </c>
      <c r="N54" s="65" t="n">
        <f aca="false">IF(ISNUMBER(N43),N43*N81,"")</f>
        <v>191.367792</v>
      </c>
      <c r="O54" s="65" t="n">
        <f aca="false">IF(ISNUMBER(O43),O43*O81,"")</f>
        <v>51.25383</v>
      </c>
      <c r="P54" s="65" t="n">
        <f aca="false">IF(ISNUMBER(P43),P43*P81,"")</f>
        <v>56.16783</v>
      </c>
      <c r="Q54" s="65" t="n">
        <f aca="false">IF(ISNUMBER(Q43),Q43*Q81,"")</f>
        <v>55.534848</v>
      </c>
      <c r="R54" s="65" t="n">
        <f aca="false">IF(ISNUMBER(R43),R43*R81,"")</f>
        <v>48.248778</v>
      </c>
      <c r="S54" s="65" t="n">
        <f aca="false">IF(ISNUMBER(S43),S43*S81,"")</f>
        <v>211.205286</v>
      </c>
      <c r="T54" s="65" t="n">
        <f aca="false">IF(ISNUMBER(T43),T43*T81,"")</f>
        <v>37.213794</v>
      </c>
      <c r="U54" s="65" t="n">
        <f aca="false">IF(ISNUMBER(U43),U43*U81,"")</f>
        <v>39.78804</v>
      </c>
      <c r="V54" s="65" t="n">
        <f aca="false">IF(ISNUMBER(V43),V43*V81,"")</f>
        <v>36.160686</v>
      </c>
      <c r="W54" s="65" t="n">
        <f aca="false">IF(ISNUMBER(W43),W43*W81,"")</f>
        <v>29.730867</v>
      </c>
      <c r="X54" s="65" t="n">
        <f aca="false">IF(ISNUMBER(X43),X43*X81,"")</f>
        <v>142.893387</v>
      </c>
      <c r="Y54" s="65" t="n">
        <f aca="false">IF(ISNUMBER(Y43),Y43*Y81,"")</f>
        <v>25.222257</v>
      </c>
      <c r="Z54" s="65" t="n">
        <f aca="false">IF(ISNUMBER(Z43),Z43*Z81,"")</f>
        <v>30.254785</v>
      </c>
      <c r="AA54" s="65" t="n">
        <f aca="false">IF(ISNUMBER(AA43),AA43*AA81,"")</f>
        <v>32.277084</v>
      </c>
      <c r="AB54" s="65" t="n">
        <f aca="false">IF(ISNUMBER(AB43),AB43*AB81,"")</f>
        <v>30.438531</v>
      </c>
      <c r="AC54" s="65" t="n">
        <f aca="false">IF(ISNUMBER(AC43),AC43*AC81,"")</f>
        <v>118.192657</v>
      </c>
      <c r="AD54" s="65" t="n">
        <f aca="false">IF(ISNUMBER(AD43),AD43*AD81,"")</f>
        <v>34.557033</v>
      </c>
      <c r="AE54" s="65" t="n">
        <f aca="false">IF(ISNUMBER(AE43),AE43*AE81,"")</f>
        <v>39.75576</v>
      </c>
      <c r="AF54" s="65" t="n">
        <f aca="false">IF(ISNUMBER(AF43),AF43*AF81,"")</f>
        <v>39.557006</v>
      </c>
      <c r="AG54" s="65" t="n">
        <f aca="false">IF(ISNUMBER(AG43),AG43*AG81,"")</f>
        <v>44.658851</v>
      </c>
      <c r="AH54" s="65" t="n">
        <f aca="false">IF(ISNUMBER(AH43),AH43*AH81,"")</f>
        <v>158.52865</v>
      </c>
      <c r="AI54" s="65" t="n">
        <f aca="false">IF(ISNUMBER(AI43),AI43*AI81,"")</f>
        <v>51.06465</v>
      </c>
      <c r="AJ54" s="65" t="n">
        <f aca="false">IF(ISNUMBER(AJ43),AJ43*AJ81,"")</f>
        <v>59.165016</v>
      </c>
      <c r="AK54" s="65" t="n">
        <f aca="false">IF(ISNUMBER(AK43),AK43*AK81,"")</f>
        <v>58.727556</v>
      </c>
      <c r="AL54" s="65" t="n">
        <f aca="false">IF(ISNUMBER(AL43),AL43*AL81,"")</f>
        <v>55.966242</v>
      </c>
      <c r="AM54" s="65" t="n">
        <f aca="false">IF(ISNUMBER(AM43),AM43*AM81,"")</f>
        <v>224.923464</v>
      </c>
      <c r="AN54" s="65" t="n">
        <f aca="false">IF(ISNUMBER(AN43),AN43*AN81,"")</f>
        <v>52.965336</v>
      </c>
      <c r="AO54" s="65" t="n">
        <f aca="false">IF(ISNUMBER(AO43),AO43*AO81,"")</f>
        <v>61.27374</v>
      </c>
      <c r="AP54" s="65" t="n">
        <f aca="false">IF(ISNUMBER(AP43),AP43*AP81,"")</f>
        <v>60.018048</v>
      </c>
      <c r="AQ54" s="65" t="n">
        <f aca="false">IF(ISNUMBER(AQ43),AQ43*AQ81,"")</f>
        <v>58.018426</v>
      </c>
      <c r="AR54" s="65" t="n">
        <f aca="false">IF(ISNUMBER(AR43),AR43*AR81,"")</f>
        <v>232.27555</v>
      </c>
      <c r="AS54" s="65" t="n">
        <f aca="false">IF(ISNUMBER(AS43),AS43*AS81,"")</f>
        <v>57.138688</v>
      </c>
      <c r="AT54" s="65" t="n">
        <f aca="false">IF(ISNUMBER(AT43),AT43*AT81,"")</f>
        <v>44.320084</v>
      </c>
      <c r="AU54" s="65" t="n">
        <f aca="false">IF(ISNUMBER(AU43),AU43*AU81,"")</f>
        <v>50.062896</v>
      </c>
      <c r="AV54" s="65" t="n">
        <f aca="false">IF(ISNUMBER(AV43),AV43*AV81,"")</f>
        <v>50.760958</v>
      </c>
      <c r="AW54" s="65" t="n">
        <f aca="false">IF(ISNUMBER(AW43),AW43*AW81,"")</f>
        <v>202.282626</v>
      </c>
      <c r="AX54" s="65" t="n">
        <f aca="false">IF(ISNUMBER(AX43),AX43*AX81,"")</f>
        <v>62.445546</v>
      </c>
      <c r="AY54" s="65" t="n">
        <f aca="false">IF(ISNUMBER(AY43),AY43*AY81,"")</f>
        <v>82.271952</v>
      </c>
      <c r="AZ54" s="65" t="n">
        <f aca="false">IF(ISNUMBER(AZ43),AZ43*AZ81,"")</f>
        <v>85.654024</v>
      </c>
      <c r="BA54" s="65" t="n">
        <f aca="false">IF(ISNUMBER(BA43),BA43*BA81,"")</f>
        <v>90.0470380000001</v>
      </c>
      <c r="BB54" s="65" t="n">
        <f aca="false">IF(ISNUMBER(BB43),BB43*BB81,"")</f>
        <v>320.41856</v>
      </c>
      <c r="BC54" s="65" t="n">
        <f aca="false">IF(ISNUMBER(BC43),BC43*BC81,"")</f>
        <v>111.084288</v>
      </c>
      <c r="BD54" s="65" t="n">
        <f aca="false">IF(ISNUMBER(BD43),BD43*BD81,"")</f>
        <v>161.785218</v>
      </c>
      <c r="BE54" s="65" t="n">
        <f aca="false">IF(ISNUMBER(BE43),BE43*BE81,"")</f>
        <v>149.560005</v>
      </c>
      <c r="BF54" s="65" t="n">
        <f aca="false">IF(ISNUMBER(BF43),BF43*BF81,"")</f>
        <v>133.189832</v>
      </c>
      <c r="BG54" s="65" t="n">
        <f aca="false">IF(ISNUMBER(BG43),BG43*BG81,"")</f>
        <v>555.619343</v>
      </c>
      <c r="BH54" s="65" t="n">
        <f aca="false">IF(ISNUMBER(BH43),BH43*BH81,"")</f>
        <v>117.57523</v>
      </c>
      <c r="BI54" s="65" t="n">
        <f aca="false">IF(ISNUMBER(BI43),BI43*BI81,"")</f>
        <v>110.444898</v>
      </c>
      <c r="BJ54" s="65" t="n">
        <f aca="false">IF(ISNUMBER(BJ43),BJ43*BJ81,"")</f>
        <v>130.999336</v>
      </c>
      <c r="BK54" s="65" t="n">
        <f aca="false">IF(ISNUMBER(BK43),BK43*BK81,"")</f>
        <v>127.942713</v>
      </c>
      <c r="BL54" s="75" t="n">
        <f aca="false">IF(ISNUMBER(BL43),BL43*BL81,"")</f>
        <v>486.962177</v>
      </c>
      <c r="BM54" s="65" t="n">
        <f aca="false">IF(ISNUMBER(BM43),BM43*BM81,"")</f>
        <v>118.499675</v>
      </c>
      <c r="BN54" s="65" t="n">
        <f aca="false">IF(ISNUMBER(BN43),BN43*BN81,"")</f>
        <v>126.779576</v>
      </c>
      <c r="BO54" s="65" t="n">
        <f aca="false">IF(ISNUMBER(BO43),BO43*BO81,"")</f>
        <v>124.631244</v>
      </c>
      <c r="BP54" s="65" t="n">
        <f aca="false">IF(ISNUMBER(BP43),BP43*BP81,"")</f>
        <v>111.450605</v>
      </c>
      <c r="BQ54" s="65" t="n">
        <f aca="false">IF(ISNUMBER(BQ43),BQ43*BQ81,"")</f>
        <v>481.3611</v>
      </c>
      <c r="BR54" s="75" t="n">
        <f aca="false">IF(ISNUMBER(BR43),BR43*BR81,"")</f>
        <v>118.923825</v>
      </c>
      <c r="BS54" s="75" t="n">
        <f aca="false">IF(ISNUMBER(BS43),BS43*BS81,"")</f>
        <v>119.29879</v>
      </c>
      <c r="BT54" s="65" t="n">
        <f aca="false">IF(ISNUMBER(BT43),BT43*BT81,"")</f>
        <v>127.625888</v>
      </c>
      <c r="BU54" s="65" t="n">
        <f aca="false">IF(ISNUMBER(BU43),BU43*BU81,"")</f>
        <v>119.294397</v>
      </c>
      <c r="BV54" s="65" t="n">
        <f aca="false">IF(ISNUMBER(BV43),BV43*BV81,"")</f>
        <v>485.1429</v>
      </c>
      <c r="BW54" s="65" t="n">
        <f aca="false">IF(ISNUMBER(BW43),BW43*BW81,"")</f>
        <v>133.02729</v>
      </c>
      <c r="BX54" s="65" t="n">
        <f aca="false">IF(ISNUMBER(BX43),BX43*BX81,"")</f>
        <v>213.298162</v>
      </c>
      <c r="BY54" s="66" t="n">
        <f aca="false">BY47*(1+BY50)</f>
        <v>239.767168533937</v>
      </c>
      <c r="BZ54" s="66" t="n">
        <f aca="false">BZ47*(1+BZ50)</f>
        <v>265.287284093703</v>
      </c>
      <c r="CA54" s="66" t="n">
        <f aca="false">SUM(BW54,BX54,BY54,BZ54)</f>
        <v>851.379904627641</v>
      </c>
      <c r="CB54" s="66" t="n">
        <f aca="false">CB47*(1+CB50)</f>
        <v>932.953659916172</v>
      </c>
      <c r="CC54" s="66" t="n">
        <f aca="false">CC47*(1+CC50)</f>
        <v>892.523967289695</v>
      </c>
      <c r="CD54" s="66" t="n">
        <f aca="false">CD47*(1+CD50)</f>
        <v>900.70968710398</v>
      </c>
      <c r="CE54" s="66" t="n">
        <f aca="false">CE47*(1+CE50)</f>
        <v>974.185079829487</v>
      </c>
      <c r="CF54" s="21"/>
      <c r="CN54" s="22" t="s">
        <v>171</v>
      </c>
      <c r="CO54" s="73" t="n">
        <f aca="false">CP54+$CO$50</f>
        <v>4.5</v>
      </c>
      <c r="CP54" s="35" t="n">
        <v>4.5</v>
      </c>
      <c r="CQ54" s="73" t="n">
        <f aca="false">CP54+$CQ$50</f>
        <v>4.5</v>
      </c>
    </row>
    <row r="55" customFormat="false" ht="15" hidden="false" customHeight="true" outlineLevel="0" collapsed="false">
      <c r="B55" s="37" t="s">
        <v>197</v>
      </c>
      <c r="C55" s="65" t="n">
        <f aca="false">IF(ISNUMBER(C54),C81-C54,"")</f>
        <v>770.644178</v>
      </c>
      <c r="D55" s="65" t="str">
        <f aca="false">IF(ISNUMBER(D54),D81-D54,"")</f>
        <v/>
      </c>
      <c r="E55" s="65" t="str">
        <f aca="false">IF(ISNUMBER(E54),E81-E54,"")</f>
        <v/>
      </c>
      <c r="F55" s="65" t="str">
        <f aca="false">IF(ISNUMBER(F54),F81-F54,"")</f>
        <v/>
      </c>
      <c r="G55" s="65" t="n">
        <f aca="false">IF(ISNUMBER(G54),G81-G54,"")</f>
        <v>790.73016</v>
      </c>
      <c r="H55" s="65" t="n">
        <f aca="false">IF(ISNUMBER(H54),H81-H54,"")</f>
        <v>858.176592</v>
      </c>
      <c r="I55" s="65" t="n">
        <f aca="false">IF(ISNUMBER(I54),I81-I54,"")</f>
        <v>908.607533</v>
      </c>
      <c r="J55" s="65" t="n">
        <f aca="false">IF(ISNUMBER(J54),J81-J54,"")</f>
        <v>226.15467</v>
      </c>
      <c r="K55" s="65" t="n">
        <f aca="false">IF(ISNUMBER(K54),K81-K54,"")</f>
        <v>243.699981</v>
      </c>
      <c r="L55" s="65" t="n">
        <f aca="false">IF(ISNUMBER(L54),L81-L54,"")</f>
        <v>244.141471</v>
      </c>
      <c r="M55" s="65" t="n">
        <f aca="false">IF(ISNUMBER(M54),M81-M54,"")</f>
        <v>233.730086</v>
      </c>
      <c r="N55" s="65" t="n">
        <f aca="false">IF(ISNUMBER(N54),N81-N54,"")</f>
        <v>947.726208</v>
      </c>
      <c r="O55" s="65" t="n">
        <f aca="false">IF(ISNUMBER(O54),O81-O54,"")</f>
        <v>248.47617</v>
      </c>
      <c r="P55" s="65" t="n">
        <f aca="false">IF(ISNUMBER(P54),P81-P54,"")</f>
        <v>274.23117</v>
      </c>
      <c r="Q55" s="65" t="n">
        <f aca="false">IF(ISNUMBER(Q54),Q81-Q54,"")</f>
        <v>277.009152</v>
      </c>
      <c r="R55" s="65" t="n">
        <f aca="false">IF(ISNUMBER(R54),R81-R54,"")</f>
        <v>261.399222</v>
      </c>
      <c r="S55" s="65" t="n">
        <f aca="false">IF(ISNUMBER(S54),S81-S54,"")</f>
        <v>1061.115714</v>
      </c>
      <c r="T55" s="65" t="n">
        <f aca="false">IF(ISNUMBER(T54),T81-T54,"")</f>
        <v>255.808206</v>
      </c>
      <c r="U55" s="65" t="n">
        <f aca="false">IF(ISNUMBER(U54),U81-U54,"")</f>
        <v>283.69196</v>
      </c>
      <c r="V55" s="65" t="n">
        <f aca="false">IF(ISNUMBER(V54),V81-V54,"")</f>
        <v>281.038314</v>
      </c>
      <c r="W55" s="65" t="n">
        <f aca="false">IF(ISNUMBER(W54),W81-W54,"")</f>
        <v>257.879133</v>
      </c>
      <c r="X55" s="65" t="n">
        <f aca="false">IF(ISNUMBER(X54),X81-X54,"")</f>
        <v>1078.417613</v>
      </c>
      <c r="Y55" s="65" t="n">
        <f aca="false">IF(ISNUMBER(Y54),Y81-Y54,"")</f>
        <v>264.688743</v>
      </c>
      <c r="Z55" s="65" t="n">
        <f aca="false">IF(ISNUMBER(Z54),Z81-Z54,"")</f>
        <v>281.650215</v>
      </c>
      <c r="AA55" s="65" t="n">
        <f aca="false">IF(ISNUMBER(AA54),AA81-AA54,"")</f>
        <v>284.164916</v>
      </c>
      <c r="AB55" s="65" t="n">
        <f aca="false">IF(ISNUMBER(AB54),AB81-AB54,"")</f>
        <v>269.784469</v>
      </c>
      <c r="AC55" s="65" t="n">
        <f aca="false">IF(ISNUMBER(AC54),AC81-AC54,"")</f>
        <v>1100.288343</v>
      </c>
      <c r="AD55" s="65" t="n">
        <f aca="false">IF(ISNUMBER(AD54),AD81-AD54,"")</f>
        <v>282.479967</v>
      </c>
      <c r="AE55" s="65" t="n">
        <f aca="false">IF(ISNUMBER(AE54),AE81-AE54,"")</f>
        <v>318.40424</v>
      </c>
      <c r="AF55" s="65" t="n">
        <f aca="false">IF(ISNUMBER(AF54),AF81-AF54,"")</f>
        <v>310.504994</v>
      </c>
      <c r="AG55" s="65" t="n">
        <f aca="false">IF(ISNUMBER(AG54),AG81-AG54,"")</f>
        <v>308.592149</v>
      </c>
      <c r="AH55" s="65" t="n">
        <f aca="false">IF(ISNUMBER(AH54),AH81-AH54,"")</f>
        <v>1219.98135</v>
      </c>
      <c r="AI55" s="65" t="n">
        <f aca="false">IF(ISNUMBER(AI54),AI81-AI54,"")</f>
        <v>341.74035</v>
      </c>
      <c r="AJ55" s="65" t="n">
        <f aca="false">IF(ISNUMBER(AJ54),AJ81-AJ54,"")</f>
        <v>369.566984</v>
      </c>
      <c r="AK55" s="65" t="n">
        <f aca="false">IF(ISNUMBER(AK54),AK81-AK54,"")</f>
        <v>366.834444</v>
      </c>
      <c r="AL55" s="65" t="n">
        <f aca="false">IF(ISNUMBER(AL54),AL81-AL54,"")</f>
        <v>350.783758</v>
      </c>
      <c r="AM55" s="65" t="n">
        <f aca="false">IF(ISNUMBER(AM54),AM81-AM54,"")</f>
        <v>1428.925536</v>
      </c>
      <c r="AN55" s="65" t="n">
        <f aca="false">IF(ISNUMBER(AN54),AN81-AN54,"")</f>
        <v>357.618664</v>
      </c>
      <c r="AO55" s="65" t="n">
        <f aca="false">IF(ISNUMBER(AO54),AO81-AO54,"")</f>
        <v>402.92126</v>
      </c>
      <c r="AP55" s="65" t="n">
        <f aca="false">IF(ISNUMBER(AP54),AP81-AP54,"")</f>
        <v>408.872952</v>
      </c>
      <c r="AQ55" s="65" t="n">
        <f aca="false">IF(ISNUMBER(AQ54),AQ81-AQ54,"")</f>
        <v>385.046574</v>
      </c>
      <c r="AR55" s="65" t="n">
        <f aca="false">IF(ISNUMBER(AR54),AR81-AR54,"")</f>
        <v>1554.45945</v>
      </c>
      <c r="AS55" s="65" t="n">
        <f aca="false">IF(ISNUMBER(AS54),AS81-AS54,"")</f>
        <v>389.257312</v>
      </c>
      <c r="AT55" s="65" t="n">
        <f aca="false">IF(ISNUMBER(AT54),AT81-AT54,"")</f>
        <v>373.793916</v>
      </c>
      <c r="AU55" s="65" t="n">
        <f aca="false">IF(ISNUMBER(AU54),AU81-AU54,"")</f>
        <v>431.311104</v>
      </c>
      <c r="AV55" s="65" t="n">
        <f aca="false">IF(ISNUMBER(AV54),AV81-AV54,"")</f>
        <v>425.721042</v>
      </c>
      <c r="AW55" s="65" t="n">
        <f aca="false">IF(ISNUMBER(AW54),AW81-AW54,"")</f>
        <v>1620.083374</v>
      </c>
      <c r="AX55" s="65" t="n">
        <f aca="false">IF(ISNUMBER(AX54),AX81-AX54,"")</f>
        <v>421.628454</v>
      </c>
      <c r="AY55" s="65" t="n">
        <f aca="false">IF(ISNUMBER(AY54),AY81-AY54,"")</f>
        <v>489.061048</v>
      </c>
      <c r="AZ55" s="65" t="n">
        <f aca="false">IF(ISNUMBER(AZ54),AZ81-AZ54,"")</f>
        <v>530.561976</v>
      </c>
      <c r="BA55" s="65" t="n">
        <f aca="false">IF(ISNUMBER(BA54),BA81-BA54,"")</f>
        <v>527.033962</v>
      </c>
      <c r="BB55" s="65" t="n">
        <f aca="false">IF(ISNUMBER(BB54),BB81-BB54,"")</f>
        <v>1968.28544</v>
      </c>
      <c r="BC55" s="65" t="n">
        <f aca="false">IF(ISNUMBER(BC54),BC81-BC54,"")</f>
        <v>550.131712</v>
      </c>
      <c r="BD55" s="65" t="n">
        <f aca="false">IF(ISNUMBER(BD54),BD81-BD54,"")</f>
        <v>583.768782</v>
      </c>
      <c r="BE55" s="65" t="n">
        <f aca="false">IF(ISNUMBER(BE54),BE81-BE54,"")</f>
        <v>580.000995</v>
      </c>
      <c r="BF55" s="65" t="n">
        <f aca="false">IF(ISNUMBER(BF54),BF81-BF54,"")</f>
        <v>522.536168</v>
      </c>
      <c r="BG55" s="65" t="n">
        <f aca="false">IF(ISNUMBER(BG54),BG81-BG54,"")</f>
        <v>2236.437657</v>
      </c>
      <c r="BH55" s="65" t="n">
        <f aca="false">IF(ISNUMBER(BH54),BH81-BH54,"")</f>
        <v>542.95977</v>
      </c>
      <c r="BI55" s="65" t="n">
        <f aca="false">IF(ISNUMBER(BI54),BI81-BI54,"")</f>
        <v>584.177102</v>
      </c>
      <c r="BJ55" s="65" t="n">
        <f aca="false">IF(ISNUMBER(BJ54),BJ81-BJ54,"")</f>
        <v>644.144664</v>
      </c>
      <c r="BK55" s="65" t="n">
        <f aca="false">IF(ISNUMBER(BK54),BK81-BK54,"")</f>
        <v>623.189287</v>
      </c>
      <c r="BL55" s="75" t="n">
        <f aca="false">IF(ISNUMBER(BL54),BL81-BL54,"")</f>
        <v>2394.470823</v>
      </c>
      <c r="BM55" s="65" t="n">
        <f aca="false">IF(ISNUMBER(BM54),BM81-BM54,"")</f>
        <v>636.275325</v>
      </c>
      <c r="BN55" s="65" t="n">
        <f aca="false">IF(ISNUMBER(BN54),BN81-BN54,"")</f>
        <v>696.464424</v>
      </c>
      <c r="BO55" s="65" t="n">
        <f aca="false">IF(ISNUMBER(BO54),BO81-BO54,"")</f>
        <v>717.471756</v>
      </c>
      <c r="BP55" s="65" t="n">
        <f aca="false">IF(ISNUMBER(BP54),BP81-BP54,"")</f>
        <v>677.501395</v>
      </c>
      <c r="BQ55" s="65" t="n">
        <f aca="false">IF(ISNUMBER(BQ54),BQ81-BQ54,"")</f>
        <v>2727.7129</v>
      </c>
      <c r="BR55" s="75" t="n">
        <f aca="false">IF(ISNUMBER(BR54),BR81-BR54,"")</f>
        <v>668.651175</v>
      </c>
      <c r="BS55" s="75" t="n">
        <f aca="false">IF(ISNUMBER(BS54),BS81-BS54,"")</f>
        <v>697.81621</v>
      </c>
      <c r="BT55" s="65" t="n">
        <f aca="false">IF(ISNUMBER(BT54),BT81-BT54,"")</f>
        <v>712.018112</v>
      </c>
      <c r="BU55" s="65" t="n">
        <f aca="false">IF(ISNUMBER(BU54),BU81-BU54,"")</f>
        <v>670.657603</v>
      </c>
      <c r="BV55" s="65" t="n">
        <f aca="false">IF(ISNUMBER(BV54),BV81-BV54,"")</f>
        <v>2749.1431</v>
      </c>
      <c r="BW55" s="65" t="n">
        <f aca="false">IF(ISNUMBER(BW54),BW81-BW54,"")</f>
        <v>673.19871</v>
      </c>
      <c r="BX55" s="65" t="n">
        <f aca="false">IF(ISNUMBER(BX54),BX81-BX54,"")</f>
        <v>743.195838</v>
      </c>
      <c r="BY55" s="66" t="n">
        <f aca="false">BY81-BY54</f>
        <v>752.15373275577</v>
      </c>
      <c r="BZ55" s="66" t="n">
        <f aca="false">BZ81-BZ54</f>
        <v>715.701265920857</v>
      </c>
      <c r="CA55" s="66" t="n">
        <f aca="false">CA81-CA54</f>
        <v>2884.24954667663</v>
      </c>
      <c r="CB55" s="66" t="n">
        <f aca="false">CB81-CB54</f>
        <v>3146.19355828064</v>
      </c>
      <c r="CC55" s="66" t="n">
        <f aca="false">CC81-CC54</f>
        <v>3439.83173581692</v>
      </c>
      <c r="CD55" s="66" t="n">
        <f aca="false">CD81-CD54</f>
        <v>3738.40913048583</v>
      </c>
      <c r="CE55" s="66" t="n">
        <f aca="false">CE81-CE54</f>
        <v>4043.36985530521</v>
      </c>
      <c r="CF55" s="21"/>
      <c r="CN55" s="16" t="s">
        <v>198</v>
      </c>
      <c r="CO55" s="57" t="n">
        <v>-0.01</v>
      </c>
      <c r="CP55" s="58" t="s">
        <v>160</v>
      </c>
      <c r="CQ55" s="57" t="n">
        <v>0.01</v>
      </c>
      <c r="CR55" s="14" t="s">
        <v>199</v>
      </c>
    </row>
    <row r="56" customFormat="false" ht="15" hidden="false" customHeight="true" outlineLevel="0" collapsed="false">
      <c r="B56" s="27" t="s">
        <v>200</v>
      </c>
      <c r="C56" s="28"/>
      <c r="D56" s="29" t="str">
        <f aca="false">IF(AND(ISNUMBER(D55),ISNUMBER(C55)),IFERROR(D55/C55-1,""),"")</f>
        <v/>
      </c>
      <c r="E56" s="29" t="str">
        <f aca="false">IF(AND(ISNUMBER(E55),ISNUMBER(D55)),IFERROR(E55/D55-1,""),"")</f>
        <v/>
      </c>
      <c r="F56" s="29" t="str">
        <f aca="false">IF(AND(ISNUMBER(F55),ISNUMBER(E55)),IFERROR(F55/E55-1,""),"")</f>
        <v/>
      </c>
      <c r="G56" s="29" t="str">
        <f aca="false">IF(AND(ISNUMBER(G55),ISNUMBER(F55)),IFERROR(G55/F55-1,""),"")</f>
        <v/>
      </c>
      <c r="H56" s="29" t="n">
        <f aca="false">IF(AND(ISNUMBER(H55),ISNUMBER(G55)),IFERROR(H55/G55-1,""),"")</f>
        <v>0.0852963949168195</v>
      </c>
      <c r="I56" s="29" t="n">
        <f aca="false">IF(AND(ISNUMBER(I55),ISNUMBER(H55)),IFERROR(I55/H55-1,""),"")</f>
        <v>0.0587652255609417</v>
      </c>
      <c r="J56" s="28"/>
      <c r="K56" s="28"/>
      <c r="L56" s="28"/>
      <c r="M56" s="28"/>
      <c r="N56" s="29" t="n">
        <f aca="false">IF(AND(ISNUMBER(N55),ISNUMBER(I55)),IFERROR(N55/I55-1,""),"")</f>
        <v>0.0430534346010094</v>
      </c>
      <c r="O56" s="29" t="n">
        <f aca="false">IF(AND(ISNUMBER(O55),ISNUMBER(J55)),IFERROR(O55/J55-1,""),"")</f>
        <v>0.098700150653533</v>
      </c>
      <c r="P56" s="29" t="n">
        <f aca="false">IF(AND(ISNUMBER(P55),ISNUMBER(K55)),IFERROR(P55/K55-1,""),"")</f>
        <v>0.125281868610404</v>
      </c>
      <c r="Q56" s="29" t="n">
        <f aca="false">IF(AND(ISNUMBER(Q55),ISNUMBER(L55)),IFERROR(Q55/L55-1,""),"")</f>
        <v>0.134625554869373</v>
      </c>
      <c r="R56" s="29" t="n">
        <f aca="false">IF(AND(ISNUMBER(R55),ISNUMBER(M55)),IFERROR(R55/M55-1,""),"")</f>
        <v>0.118380720571848</v>
      </c>
      <c r="S56" s="29" t="n">
        <f aca="false">IF(AND(ISNUMBER(S55),ISNUMBER(N55)),IFERROR(S55/N55-1,""),"")</f>
        <v>0.119643737867382</v>
      </c>
      <c r="T56" s="29" t="n">
        <f aca="false">IF(AND(ISNUMBER(T55),ISNUMBER(O55)),IFERROR(T55/O55-1,""),"")</f>
        <v>0.0295080047313991</v>
      </c>
      <c r="U56" s="29" t="n">
        <f aca="false">IF(AND(ISNUMBER(U55),ISNUMBER(P55)),IFERROR(U55/P55-1,""),"")</f>
        <v>0.0344993240556861</v>
      </c>
      <c r="V56" s="29" t="n">
        <f aca="false">IF(AND(ISNUMBER(V55),ISNUMBER(Q55)),IFERROR(V55/Q55-1,""),"")</f>
        <v>0.0145452306211169</v>
      </c>
      <c r="W56" s="29" t="n">
        <f aca="false">IF(AND(ISNUMBER(W55),ISNUMBER(R55)),IFERROR(W55/R55-1,""),"")</f>
        <v>-0.0134663331170893</v>
      </c>
      <c r="X56" s="29" t="n">
        <f aca="false">IF(AND(ISNUMBER(X55),ISNUMBER(S55)),IFERROR(X55/S55-1,""),"")</f>
        <v>0.0163053838254625</v>
      </c>
      <c r="Y56" s="29" t="n">
        <f aca="false">IF(AND(ISNUMBER(Y55),ISNUMBER(T55)),IFERROR(Y55/T55-1,""),"")</f>
        <v>0.0347156064258549</v>
      </c>
      <c r="Z56" s="29" t="n">
        <f aca="false">IF(AND(ISNUMBER(Z55),ISNUMBER(U55)),IFERROR(Z55/U55-1,""),"")</f>
        <v>-0.00719704922198006</v>
      </c>
      <c r="AA56" s="29" t="n">
        <f aca="false">IF(AND(ISNUMBER(AA55),ISNUMBER(V55)),IFERROR(AA55/V55-1,""),"")</f>
        <v>0.0111251806043784</v>
      </c>
      <c r="AB56" s="29" t="n">
        <f aca="false">IF(AND(ISNUMBER(AB55),ISNUMBER(W55)),IFERROR(AB55/W55-1,""),"")</f>
        <v>0.0461663410354338</v>
      </c>
      <c r="AC56" s="29" t="n">
        <f aca="false">IF(AND(ISNUMBER(AC55),ISNUMBER(X55)),IFERROR(AC55/X55-1,""),"")</f>
        <v>0.0202803902090944</v>
      </c>
      <c r="AD56" s="29" t="n">
        <f aca="false">IF(AND(ISNUMBER(AD55),ISNUMBER(Y55)),IFERROR(AD55/Y55-1,""),"")</f>
        <v>0.0672156427899164</v>
      </c>
      <c r="AE56" s="29" t="n">
        <f aca="false">IF(AND(ISNUMBER(AE55),ISNUMBER(Z55)),IFERROR(AE55/Z55-1,""),"")</f>
        <v>0.130495284727548</v>
      </c>
      <c r="AF56" s="29" t="n">
        <f aca="false">IF(AND(ISNUMBER(AF55),ISNUMBER(AA55)),IFERROR(AF55/AA55-1,""),"")</f>
        <v>0.0926929276519133</v>
      </c>
      <c r="AG56" s="29" t="n">
        <f aca="false">IF(AND(ISNUMBER(AG55),ISNUMBER(AB55)),IFERROR(AG55/AB55-1,""),"")</f>
        <v>0.143846975861312</v>
      </c>
      <c r="AH56" s="29" t="n">
        <f aca="false">IF(AND(ISNUMBER(AH55),ISNUMBER(AC55)),IFERROR(AH55/AC55-1,""),"")</f>
        <v>0.10878330917662</v>
      </c>
      <c r="AI56" s="29" t="n">
        <f aca="false">IF(AND(ISNUMBER(AI55),ISNUMBER(AD55)),IFERROR(AI55/AD55-1,""),"")</f>
        <v>0.20978614387901</v>
      </c>
      <c r="AJ56" s="29" t="n">
        <f aca="false">IF(AND(ISNUMBER(AJ55),ISNUMBER(AE55)),IFERROR(AJ55/AE55-1,""),"")</f>
        <v>0.160684870276853</v>
      </c>
      <c r="AK56" s="29" t="n">
        <f aca="false">IF(AND(ISNUMBER(AK55),ISNUMBER(AF55)),IFERROR(AK55/AF55-1,""),"")</f>
        <v>0.18141238011779</v>
      </c>
      <c r="AL56" s="29" t="n">
        <f aca="false">IF(AND(ISNUMBER(AL55),ISNUMBER(AG55)),IFERROR(AL55/AG55-1,""),"")</f>
        <v>0.136722885325252</v>
      </c>
      <c r="AM56" s="29" t="n">
        <f aca="false">IF(AND(ISNUMBER(AM55),ISNUMBER(AH55)),IFERROR(AM55/AH55-1,""),"")</f>
        <v>0.171268344389035</v>
      </c>
      <c r="AN56" s="29" t="n">
        <f aca="false">IF(AND(ISNUMBER(AN55),ISNUMBER(AI55)),IFERROR(AN55/AI55-1,""),"")</f>
        <v>0.0464630939834878</v>
      </c>
      <c r="AO56" s="29" t="n">
        <f aca="false">IF(AND(ISNUMBER(AO55),ISNUMBER(AJ55)),IFERROR(AO55/AJ55-1,""),"")</f>
        <v>0.0902523153962258</v>
      </c>
      <c r="AP56" s="29" t="n">
        <f aca="false">IF(AND(ISNUMBER(AP55),ISNUMBER(AK55)),IFERROR(AP55/AK55-1,""),"")</f>
        <v>0.114598039217931</v>
      </c>
      <c r="AQ56" s="29" t="n">
        <f aca="false">IF(AND(ISNUMBER(AQ55),ISNUMBER(AL55)),IFERROR(AQ55/AL55-1,""),"")</f>
        <v>0.0976750354558891</v>
      </c>
      <c r="AR56" s="29" t="n">
        <f aca="false">IF(AND(ISNUMBER(AR55),ISNUMBER(AM55)),IFERROR(AR55/AM55-1,""),"")</f>
        <v>0.0878519634769828</v>
      </c>
      <c r="AS56" s="29" t="n">
        <f aca="false">IF(AND(ISNUMBER(AS55),ISNUMBER(AN55)),IFERROR(AS55/AN55-1,""),"")</f>
        <v>0.088470348963666</v>
      </c>
      <c r="AT56" s="29" t="n">
        <f aca="false">IF(AND(ISNUMBER(AT55),ISNUMBER(AO55)),IFERROR(AT55/AO55-1,""),"")</f>
        <v>-0.0722904122755895</v>
      </c>
      <c r="AU56" s="29" t="n">
        <f aca="false">IF(AND(ISNUMBER(AU55),ISNUMBER(AP55)),IFERROR(AU55/AP55-1,""),"")</f>
        <v>0.0548780541492018</v>
      </c>
      <c r="AV56" s="29" t="n">
        <f aca="false">IF(AND(ISNUMBER(AV55),ISNUMBER(AQ55)),IFERROR(AV55/AQ55-1,""),"")</f>
        <v>0.105635189991328</v>
      </c>
      <c r="AW56" s="29" t="n">
        <f aca="false">IF(AND(ISNUMBER(AW55),ISNUMBER(AR55)),IFERROR(AW55/AR55-1,""),"")</f>
        <v>0.042216555729389</v>
      </c>
      <c r="AX56" s="29" t="n">
        <f aca="false">IF(AND(ISNUMBER(AX55),ISNUMBER(AS55)),IFERROR(AX55/AS55-1,""),"")</f>
        <v>0.0831612946040177</v>
      </c>
      <c r="AY56" s="29" t="n">
        <f aca="false">IF(AND(ISNUMBER(AY55),ISNUMBER(AT55)),IFERROR(AY55/AT55-1,""),"")</f>
        <v>0.308370808261095</v>
      </c>
      <c r="AZ56" s="29" t="n">
        <f aca="false">IF(AND(ISNUMBER(AZ55),ISNUMBER(AU55)),IFERROR(AZ55/AU55-1,""),"")</f>
        <v>0.230114344563686</v>
      </c>
      <c r="BA56" s="29" t="n">
        <f aca="false">IF(AND(ISNUMBER(BA55),ISNUMBER(AV55)),IFERROR(BA55/AV55-1,""),"")</f>
        <v>0.237979592279585</v>
      </c>
      <c r="BB56" s="29" t="n">
        <f aca="false">IF(AND(ISNUMBER(BB55),ISNUMBER(AW55)),IFERROR(BB55/AW55-1,""),"")</f>
        <v>0.214928485526202</v>
      </c>
      <c r="BC56" s="29" t="n">
        <f aca="false">IF(AND(ISNUMBER(BC55),ISNUMBER(AX55)),IFERROR(BC55/AX55-1,""),"")</f>
        <v>0.304778429398885</v>
      </c>
      <c r="BD56" s="29" t="n">
        <f aca="false">IF(AND(ISNUMBER(BD55),ISNUMBER(AY55)),IFERROR(BD55/AY55-1,""),"")</f>
        <v>0.193652171620096</v>
      </c>
      <c r="BE56" s="29" t="n">
        <f aca="false">IF(AND(ISNUMBER(BE55),ISNUMBER(AZ55)),IFERROR(BE55/AZ55-1,""),"")</f>
        <v>0.0931823636754552</v>
      </c>
      <c r="BF56" s="29" t="n">
        <f aca="false">IF(AND(ISNUMBER(BF55),ISNUMBER(BA55)),IFERROR(BF55/BA55-1,""),"")</f>
        <v>-0.00853416349665881</v>
      </c>
      <c r="BG56" s="29" t="n">
        <f aca="false">IF(AND(ISNUMBER(BG55),ISNUMBER(BB55)),IFERROR(BG55/BB55-1,""),"")</f>
        <v>0.136236448002176</v>
      </c>
      <c r="BH56" s="29" t="n">
        <f aca="false">IF(AND(ISNUMBER(BH55),ISNUMBER(BC55)),IFERROR(BH55/BC55-1,""),"")</f>
        <v>-0.0130367725465717</v>
      </c>
      <c r="BI56" s="29" t="n">
        <f aca="false">IF(AND(ISNUMBER(BI55),ISNUMBER(BD55)),IFERROR(BI55/BD55-1,""),"")</f>
        <v>0.000699455011282213</v>
      </c>
      <c r="BJ56" s="29" t="n">
        <f aca="false">IF(AND(ISNUMBER(BJ55),ISNUMBER(BE55)),IFERROR(BJ55/BE55-1,""),"")</f>
        <v>0.110592343035549</v>
      </c>
      <c r="BK56" s="29" t="n">
        <f aca="false">IF(AND(ISNUMBER(BK55),ISNUMBER(BF55)),IFERROR(BK55/BF55-1,""),"")</f>
        <v>0.192624214674456</v>
      </c>
      <c r="BL56" s="29" t="n">
        <f aca="false">IF(AND(ISNUMBER(BL55),ISNUMBER(BG55)),IFERROR(BL55/BG55-1,""),"")</f>
        <v>0.0706628979821369</v>
      </c>
      <c r="BM56" s="29" t="n">
        <f aca="false">IF(AND(ISNUMBER(BM55),ISNUMBER(BH55)),IFERROR(BM55/BH55-1,""),"")</f>
        <v>0.171864584000395</v>
      </c>
      <c r="BN56" s="29" t="n">
        <f aca="false">IF(AND(ISNUMBER(BN55),ISNUMBER(BI55)),IFERROR(BN55/BI55-1,""),"")</f>
        <v>0.192214521273722</v>
      </c>
      <c r="BO56" s="29" t="n">
        <f aca="false">IF(AND(ISNUMBER(BO55),ISNUMBER(BJ55)),IFERROR(BO55/BJ55-1,""),"")</f>
        <v>0.113836372631971</v>
      </c>
      <c r="BP56" s="29" t="n">
        <f aca="false">IF(AND(ISNUMBER(BP55),ISNUMBER(BK55)),IFERROR(BP55/BK55-1,""),"")</f>
        <v>0.087151864021052</v>
      </c>
      <c r="BQ56" s="29" t="n">
        <f aca="false">IF(AND(ISNUMBER(BQ55),ISNUMBER(BL55)),IFERROR(BQ55/BL55-1,""),"")</f>
        <v>0.139171492005271</v>
      </c>
      <c r="BR56" s="29" t="n">
        <f aca="false">IF(AND(ISNUMBER(BR55),ISNUMBER(BM55)),IFERROR(BR55/BM55-1,""),"")</f>
        <v>0.0508833970577125</v>
      </c>
      <c r="BS56" s="29" t="n">
        <f aca="false">IF(AND(ISNUMBER(BS55),ISNUMBER(BN55)),IFERROR(BS55/BN55-1,""),"")</f>
        <v>0.00194092613121022</v>
      </c>
      <c r="BT56" s="29" t="n">
        <f aca="false">IF(AND(ISNUMBER(BT55),ISNUMBER(BO55)),IFERROR(BT55/BO55-1,""),"")</f>
        <v>-0.00760119677798155</v>
      </c>
      <c r="BU56" s="29" t="n">
        <f aca="false">IF(AND(ISNUMBER(BU55),ISNUMBER(BP55)),IFERROR(BU55/BP55-1,""),"")</f>
        <v>-0.0101015172079463</v>
      </c>
      <c r="BV56" s="29" t="n">
        <f aca="false">IF(AND(ISNUMBER(BV55),ISNUMBER(BQ55)),IFERROR(BV55/BQ55-1,""),"")</f>
        <v>0.00785647199160899</v>
      </c>
      <c r="BW56" s="29" t="n">
        <f aca="false">IF(AND(ISNUMBER(BW55),ISNUMBER(BR55)),IFERROR(BW55/BR55-1,""),"")</f>
        <v>0.00680105736746817</v>
      </c>
      <c r="BX56" s="29" t="n">
        <f aca="false">IF(AND(ISNUMBER(BX55),ISNUMBER(BS55)),IFERROR(BX55/BS55-1,""),"")</f>
        <v>0.0650309169516139</v>
      </c>
      <c r="BY56" s="30" t="n">
        <f aca="false">IF(AND(ISNUMBER(BY55),ISNUMBER(BT55)),IFERROR(BY55/BT55-1,""),"")</f>
        <v>0.0563688199490213</v>
      </c>
      <c r="BZ56" s="30" t="n">
        <f aca="false">IF(AND(ISNUMBER(BZ55),ISNUMBER(BU55)),IFERROR(BZ55/BU55-1,""),"")</f>
        <v>0.0671634269400165</v>
      </c>
      <c r="CA56" s="30" t="n">
        <f aca="false">IF(AND(ISNUMBER(CA55),ISNUMBER(BV55)),IFERROR(CA55/BV55-1,""),"")</f>
        <v>0.0491449305336733</v>
      </c>
      <c r="CB56" s="30" t="n">
        <f aca="false">IF(AND(ISNUMBER(CB55),ISNUMBER(CA55)),IFERROR(CB55/CA55-1,""),"")</f>
        <v>0.0908187753399639</v>
      </c>
      <c r="CC56" s="30" t="n">
        <f aca="false">IF(AND(ISNUMBER(CC55),ISNUMBER(CB55)),IFERROR(CC55/CB55-1,""),"")</f>
        <v>0.0933312499999999</v>
      </c>
      <c r="CD56" s="30" t="n">
        <f aca="false">IF(AND(ISNUMBER(CD55),ISNUMBER(CC55)),IFERROR(CD55/CC55-1,""),"")</f>
        <v>0.0867999999999998</v>
      </c>
      <c r="CE56" s="30" t="n">
        <f aca="false">IF(AND(ISNUMBER(CE55),ISNUMBER(CD55)),IFERROR(CE55/CD55-1,""),"")</f>
        <v>0.081575</v>
      </c>
      <c r="CF56" s="21"/>
      <c r="CN56" s="22" t="s">
        <v>164</v>
      </c>
      <c r="CO56" s="60" t="n">
        <f aca="false">CP56+$CO$55</f>
        <v>0.015</v>
      </c>
      <c r="CP56" s="36" t="n">
        <v>0.025</v>
      </c>
      <c r="CQ56" s="60" t="n">
        <f aca="false">CP56+$CQ$55</f>
        <v>0.035</v>
      </c>
    </row>
    <row r="57" customFormat="false" ht="15" hidden="false" customHeight="true" outlineLevel="0" collapsed="false">
      <c r="CN57" s="22" t="s">
        <v>166</v>
      </c>
      <c r="CO57" s="60" t="n">
        <f aca="false">CP57+$CO$55</f>
        <v>0.015</v>
      </c>
      <c r="CP57" s="36" t="n">
        <v>0.025</v>
      </c>
      <c r="CQ57" s="60" t="n">
        <f aca="false">CP57+$CQ$55</f>
        <v>0.035</v>
      </c>
    </row>
    <row r="58" customFormat="false" ht="15" hidden="false" customHeight="true" outlineLevel="0" collapsed="false">
      <c r="B58" s="15" t="s">
        <v>201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 t="s">
        <v>202</v>
      </c>
      <c r="CN58" s="22" t="s">
        <v>169</v>
      </c>
      <c r="CO58" s="60" t="n">
        <f aca="false">CP58+$CO$55</f>
        <v>0.02</v>
      </c>
      <c r="CP58" s="36" t="n">
        <v>0.03</v>
      </c>
      <c r="CQ58" s="60" t="n">
        <f aca="false">CP58+$CQ$55</f>
        <v>0.04</v>
      </c>
    </row>
    <row r="59" customFormat="false" ht="15" hidden="false" customHeight="true" outlineLevel="0" collapsed="false">
      <c r="B59" s="37" t="s">
        <v>203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28"/>
      <c r="BM59" s="38"/>
      <c r="BN59" s="38"/>
      <c r="BO59" s="38"/>
      <c r="BP59" s="38"/>
      <c r="BQ59" s="38"/>
      <c r="BR59" s="28"/>
      <c r="BS59" s="28"/>
      <c r="BT59" s="38"/>
      <c r="BU59" s="38"/>
      <c r="BV59" s="38"/>
      <c r="BW59" s="38"/>
      <c r="BX59" s="38"/>
      <c r="BY59" s="76" t="n">
        <v>0.083</v>
      </c>
      <c r="BZ59" s="41"/>
      <c r="CA59" s="41"/>
      <c r="CB59" s="41"/>
      <c r="CC59" s="41"/>
      <c r="CD59" s="41"/>
      <c r="CE59" s="41"/>
      <c r="CF59" s="21"/>
      <c r="CN59" s="22" t="s">
        <v>171</v>
      </c>
      <c r="CO59" s="60" t="n">
        <f aca="false">CP59+$CO$55</f>
        <v>0.02</v>
      </c>
      <c r="CP59" s="36" t="n">
        <v>0.03</v>
      </c>
      <c r="CQ59" s="60" t="n">
        <f aca="false">CP59+$CQ$55</f>
        <v>0.04</v>
      </c>
    </row>
    <row r="60" customFormat="false" ht="15" hidden="false" customHeight="true" outlineLevel="0" collapsed="false">
      <c r="B60" s="37" t="s">
        <v>204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28"/>
      <c r="BM60" s="38"/>
      <c r="BN60" s="38"/>
      <c r="BO60" s="38"/>
      <c r="BP60" s="38"/>
      <c r="BQ60" s="38"/>
      <c r="BR60" s="28"/>
      <c r="BS60" s="28"/>
      <c r="BT60" s="38"/>
      <c r="BU60" s="38"/>
      <c r="BV60" s="38"/>
      <c r="BW60" s="38"/>
      <c r="BX60" s="38"/>
      <c r="BY60" s="76" t="n">
        <v>0.01</v>
      </c>
      <c r="BZ60" s="41"/>
      <c r="CA60" s="41"/>
      <c r="CB60" s="41"/>
      <c r="CC60" s="41"/>
      <c r="CD60" s="41"/>
      <c r="CE60" s="41"/>
      <c r="CF60" s="21"/>
      <c r="CN60" s="16" t="s">
        <v>205</v>
      </c>
      <c r="CO60" s="57" t="n">
        <v>0</v>
      </c>
      <c r="CP60" s="58" t="s">
        <v>160</v>
      </c>
      <c r="CQ60" s="57" t="n">
        <v>0</v>
      </c>
      <c r="CR60" s="14" t="s">
        <v>206</v>
      </c>
    </row>
    <row r="61" customFormat="false" ht="15" hidden="false" customHeight="true" outlineLevel="0" collapsed="false">
      <c r="B61" s="37" t="s">
        <v>207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28"/>
      <c r="BM61" s="38"/>
      <c r="BN61" s="38"/>
      <c r="BO61" s="38"/>
      <c r="BP61" s="38"/>
      <c r="BQ61" s="38"/>
      <c r="BR61" s="28"/>
      <c r="BS61" s="28"/>
      <c r="BT61" s="38"/>
      <c r="BU61" s="38"/>
      <c r="BV61" s="38"/>
      <c r="BW61" s="38"/>
      <c r="BX61" s="38"/>
      <c r="BY61" s="76" t="n">
        <v>0.072</v>
      </c>
      <c r="BZ61" s="41"/>
      <c r="CA61" s="41"/>
      <c r="CB61" s="41"/>
      <c r="CC61" s="41"/>
      <c r="CD61" s="41"/>
      <c r="CE61" s="41"/>
      <c r="CF61" s="21"/>
      <c r="CN61" s="22" t="s">
        <v>164</v>
      </c>
      <c r="CO61" s="60" t="n">
        <f aca="false">CP61+$CO$60</f>
        <v>0.11</v>
      </c>
      <c r="CP61" s="36" t="n">
        <v>0.11</v>
      </c>
      <c r="CQ61" s="60" t="n">
        <f aca="false">CP61+$CQ$60</f>
        <v>0.11</v>
      </c>
    </row>
    <row r="62" customFormat="false" ht="15" hidden="false" customHeight="true" outlineLevel="0" collapsed="false">
      <c r="B62" s="22" t="s">
        <v>208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52" t="n">
        <f aca="false">$BX$94+CHOOSE(MATCH($CF$2,{"Bull","Base","Bear"},0),$CO$13,$CP$13,$CQ$13)/10000</f>
        <v>0.879092749144271</v>
      </c>
      <c r="BZ62" s="52" t="n">
        <f aca="false">($CA$62*$CA$81-$BW$92-$BX$92-$BY$92)/$BZ$81</f>
        <v>0.883879044046212</v>
      </c>
      <c r="CA62" s="30" t="n">
        <f aca="false">$CP$22-CHOOSE(MATCH($CF$2,{"Bull","Base","Bear"},0),$CO$12,$CP$12,$CQ$12)/10000</f>
        <v>0.886</v>
      </c>
      <c r="CB62" s="53"/>
      <c r="CC62" s="53"/>
      <c r="CD62" s="53"/>
      <c r="CE62" s="53"/>
      <c r="CF62" s="21" t="s">
        <v>209</v>
      </c>
      <c r="CN62" s="22" t="s">
        <v>166</v>
      </c>
      <c r="CO62" s="60" t="n">
        <f aca="false">CP62+$CO$60</f>
        <v>0.11</v>
      </c>
      <c r="CP62" s="36" t="n">
        <v>0.11</v>
      </c>
      <c r="CQ62" s="60" t="n">
        <f aca="false">CP62+$CQ$60</f>
        <v>0.11</v>
      </c>
    </row>
    <row r="63" customFormat="false" ht="15" hidden="false" customHeight="true" outlineLevel="0" collapsed="false">
      <c r="CN63" s="22" t="s">
        <v>169</v>
      </c>
      <c r="CO63" s="60" t="n">
        <f aca="false">CP63+$CO$60</f>
        <v>0.12</v>
      </c>
      <c r="CP63" s="36" t="n">
        <v>0.12</v>
      </c>
      <c r="CQ63" s="60" t="n">
        <f aca="false">CP63+$CQ$60</f>
        <v>0.12</v>
      </c>
    </row>
    <row r="64" customFormat="false" ht="15" hidden="false" customHeight="true" outlineLevel="0" collapsed="false">
      <c r="B64" s="11" t="s">
        <v>210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 t="s">
        <v>211</v>
      </c>
      <c r="CN64" s="22" t="s">
        <v>171</v>
      </c>
      <c r="CO64" s="60" t="n">
        <f aca="false">CP64+$CO$60</f>
        <v>0.12</v>
      </c>
      <c r="CP64" s="36" t="n">
        <v>0.12</v>
      </c>
      <c r="CQ64" s="60" t="n">
        <f aca="false">CP64+$CQ$60</f>
        <v>0.12</v>
      </c>
    </row>
    <row r="65" customFormat="false" ht="15" hidden="false" customHeight="true" outlineLevel="0" collapsed="false"/>
    <row r="66" customFormat="false" ht="15" hidden="false" customHeight="true" outlineLevel="0" collapsed="false">
      <c r="B66" s="17" t="s">
        <v>212</v>
      </c>
      <c r="C66" s="49" t="n">
        <f aca="false">IF(ISNUMBER(C17),IFERROR(C82*1000/C17,""),"")</f>
        <v>76.7415803108808</v>
      </c>
      <c r="D66" s="49" t="n">
        <f aca="false">IF(ISNUMBER(D17),IFERROR(D82*1000/D17,""),"")</f>
        <v>76.1612950058072</v>
      </c>
      <c r="E66" s="49" t="n">
        <f aca="false">IF(ISNUMBER(E17),IFERROR(E82*1000/E17,""),"")</f>
        <v>80.1575260804769</v>
      </c>
      <c r="F66" s="49" t="n">
        <f aca="false">IF(ISNUMBER(F17),IFERROR(F82*1000/F17,""),"")</f>
        <v>75.6803049159925</v>
      </c>
      <c r="G66" s="49" t="n">
        <f aca="false">IF(ISNUMBER(G17),IFERROR(G82*1000/G17,""),"")</f>
        <v>75.1987810595406</v>
      </c>
      <c r="H66" s="49" t="n">
        <f aca="false">IF(ISNUMBER(H17),IFERROR(H82*1000/H17,""),"")</f>
        <v>79.2318483120086</v>
      </c>
      <c r="I66" s="49" t="n">
        <f aca="false">IF(ISNUMBER(I17),IFERROR(I82*1000/I17,""),"")</f>
        <v>86.8554408260524</v>
      </c>
      <c r="J66" s="49" t="n">
        <f aca="false">IF(ISNUMBER(J17),IFERROR(J82*1000/J17,""),"")</f>
        <v>90.0355263157895</v>
      </c>
      <c r="K66" s="49" t="n">
        <f aca="false">IF(ISNUMBER(K17),IFERROR(K82*1000/K17,""),"")</f>
        <v>87.8861144945189</v>
      </c>
      <c r="L66" s="49" t="n">
        <f aca="false">IF(ISNUMBER(L17),IFERROR(L82*1000/L17,""),"")</f>
        <v>91.6075870646766</v>
      </c>
      <c r="M66" s="49" t="n">
        <f aca="false">IF(ISNUMBER(M17),IFERROR(M82*1000/M17,""),"")</f>
        <v>96.6570469798658</v>
      </c>
      <c r="N66" s="49" t="n">
        <f aca="false">IF(ISNUMBER(N17),IFERROR(N82*1000/N17,""),"")</f>
        <v>91.4515974440895</v>
      </c>
      <c r="O66" s="49" t="n">
        <f aca="false">IF(ISNUMBER(O17),IFERROR(O82*1000/O17,""),"")</f>
        <v>94.7175283732661</v>
      </c>
      <c r="P66" s="49" t="n">
        <f aca="false">IF(ISNUMBER(P17),IFERROR(P82*1000/P17,""),"")</f>
        <v>92.4965357967668</v>
      </c>
      <c r="Q66" s="49" t="n">
        <f aca="false">IF(ISNUMBER(Q17),IFERROR(Q82*1000/Q17,""),"")</f>
        <v>96.1578034682081</v>
      </c>
      <c r="R66" s="49" t="n">
        <f aca="false">IF(ISNUMBER(R17),IFERROR(R82*1000/R17,""),"")</f>
        <v>101.974953036944</v>
      </c>
      <c r="S66" s="49" t="n">
        <f aca="false">IF(ISNUMBER(S17),IFERROR(S82*1000/S17,""),"")</f>
        <v>96.2433042431538</v>
      </c>
      <c r="T66" s="49" t="n">
        <f aca="false">IF(ISNUMBER(T17),IFERROR(T82*1000/T17,""),"")</f>
        <v>102.288586251621</v>
      </c>
      <c r="U66" s="49" t="n">
        <f aca="false">IF(ISNUMBER(U17),IFERROR(U82*1000/U17,""),"")</f>
        <v>101.286393345217</v>
      </c>
      <c r="V66" s="49" t="n">
        <f aca="false">IF(ISNUMBER(V17),IFERROR(V82*1000/V17,""),"")</f>
        <v>107.130880579011</v>
      </c>
      <c r="W66" s="49" t="n">
        <f aca="false">IF(ISNUMBER(W17),IFERROR(W82*1000/W17,""),"")</f>
        <v>109.643762508339</v>
      </c>
      <c r="X66" s="49" t="n">
        <f aca="false">IF(ISNUMBER(X17),IFERROR(X82*1000/X17,""),"")</f>
        <v>105.02632816173</v>
      </c>
      <c r="Y66" s="49" t="n">
        <f aca="false">IF(ISNUMBER(Y17),IFERROR(Y82*1000/Y17,""),"")</f>
        <v>109.636831938184</v>
      </c>
      <c r="Z66" s="49" t="n">
        <f aca="false">IF(ISNUMBER(Z17),IFERROR(Z82*1000/Z17,""),"")</f>
        <v>107.336180597926</v>
      </c>
      <c r="AA66" s="49" t="n">
        <f aca="false">IF(ISNUMBER(AA17),IFERROR(AA82*1000/AA17,""),"")</f>
        <v>109.088522588523</v>
      </c>
      <c r="AB66" s="49" t="n">
        <f aca="false">IF(ISNUMBER(AB17),IFERROR(AB82*1000/AB17,""),"")</f>
        <v>113.658034528552</v>
      </c>
      <c r="AC66" s="49" t="n">
        <f aca="false">IF(ISNUMBER(AC17),IFERROR(AC82*1000/AC17,""),"")</f>
        <v>109.873086029992</v>
      </c>
      <c r="AD66" s="49" t="n">
        <f aca="false">IF(ISNUMBER(AD17),IFERROR(AD82*1000/AD17,""),"")</f>
        <v>112.571873055383</v>
      </c>
      <c r="AE66" s="49" t="n">
        <f aca="false">IF(ISNUMBER(AE17),IFERROR(AE82*1000/AE17,""),"")</f>
        <v>111.584090909091</v>
      </c>
      <c r="AF66" s="49" t="n">
        <f aca="false">IF(ISNUMBER(AF17),IFERROR(AF82*1000/AF17,""),"")</f>
        <v>117.280385078219</v>
      </c>
      <c r="AG66" s="49" t="n">
        <f aca="false">IF(ISNUMBER(AG17),IFERROR(AG82*1000/AG17,""),"")</f>
        <v>118.935819070905</v>
      </c>
      <c r="AH66" s="49" t="n">
        <f aca="false">IF(ISNUMBER(AH17),IFERROR(AH82*1000/AH17,""),"")</f>
        <v>115.0300030003</v>
      </c>
      <c r="AI66" s="49" t="n">
        <f aca="false">IF(ISNUMBER(AI17),IFERROR(AI82*1000/AI17,""),"")</f>
        <v>119.279096045198</v>
      </c>
      <c r="AJ66" s="49" t="n">
        <f aca="false">IF(ISNUMBER(AJ17),IFERROR(AJ82*1000/AJ17,""),"")</f>
        <v>118.116827438371</v>
      </c>
      <c r="AK66" s="49" t="n">
        <f aca="false">IF(ISNUMBER(AK17),IFERROR(AK82*1000/AK17,""),"")</f>
        <v>126.199438202247</v>
      </c>
      <c r="AL66" s="49" t="n">
        <f aca="false">IF(ISNUMBER(AL17),IFERROR(AL82*1000/AL17,""),"")</f>
        <v>128.368109069354</v>
      </c>
      <c r="AM66" s="49" t="n">
        <f aca="false">IF(ISNUMBER(AM17),IFERROR(AM82*1000/AM17,""),"")</f>
        <v>122.866676052372</v>
      </c>
      <c r="AN66" s="49" t="n">
        <f aca="false">IF(ISNUMBER(AN17),IFERROR(AN82*1000/AN17,""),"")</f>
        <v>126.566341183228</v>
      </c>
      <c r="AO66" s="49" t="n">
        <f aca="false">IF(ISNUMBER(AO17),IFERROR(AO82*1000/AO17,""),"")</f>
        <v>122.963786859803</v>
      </c>
      <c r="AP66" s="49" t="n">
        <f aca="false">IF(ISNUMBER(AP17),IFERROR(AP82*1000/AP17,""),"")</f>
        <v>128.88304997424</v>
      </c>
      <c r="AQ66" s="49" t="n">
        <f aca="false">IF(ISNUMBER(AQ17),IFERROR(AQ82*1000/AQ17,""),"")</f>
        <v>133.616499442586</v>
      </c>
      <c r="AR66" s="49" t="n">
        <f aca="false">IF(ISNUMBER(AR17),IFERROR(AR82*1000/AR17,""),"")</f>
        <v>127.940477797274</v>
      </c>
      <c r="AS66" s="49" t="n">
        <f aca="false">IF(ISNUMBER(AS17),IFERROR(AS82*1000/AS17,""),"")</f>
        <v>131.920950801548</v>
      </c>
      <c r="AT66" s="49" t="n">
        <f aca="false">IF(ISNUMBER(AT17),IFERROR(AT82*1000/AT17,""),"")</f>
        <v>128.525501432665</v>
      </c>
      <c r="AU66" s="49" t="n">
        <f aca="false">IF(ISNUMBER(AU17),IFERROR(AU82*1000/AU17,""),"")</f>
        <v>128.684022460439</v>
      </c>
      <c r="AV66" s="49" t="n">
        <f aca="false">IF(ISNUMBER(AV17),IFERROR(AV82*1000/AV17,""),"")</f>
        <v>133.537385691232</v>
      </c>
      <c r="AW66" s="49" t="n">
        <f aca="false">IF(ISNUMBER(AW17),IFERROR(AW82*1000/AW17,""),"")</f>
        <v>130.682404015737</v>
      </c>
      <c r="AX66" s="49" t="n">
        <f aca="false">IF(ISNUMBER(AX17),IFERROR(AX82*1000/AX17,""),"")</f>
        <v>133.864731653888</v>
      </c>
      <c r="AY66" s="49" t="n">
        <f aca="false">IF(ISNUMBER(AY17),IFERROR(AY82*1000/AY17,""),"")</f>
        <v>133.591451292247</v>
      </c>
      <c r="AZ66" s="49" t="n">
        <f aca="false">IF(ISNUMBER(AZ17),IFERROR(AZ82*1000/AZ17,""),"")</f>
        <v>138.266966067864</v>
      </c>
      <c r="BA66" s="49" t="n">
        <f aca="false">IF(ISNUMBER(BA17),IFERROR(BA82*1000/BA17,""),"")</f>
        <v>144.80561440678</v>
      </c>
      <c r="BB66" s="49" t="n">
        <f aca="false">IF(ISNUMBER(BB17),IFERROR(BB82*1000/BB17,""),"")</f>
        <v>137.607115135834</v>
      </c>
      <c r="BC66" s="49" t="n">
        <f aca="false">IF(ISNUMBER(BC17),IFERROR(BC82*1000/BC17,""),"")</f>
        <v>147.534658511723</v>
      </c>
      <c r="BD66" s="49" t="n">
        <f aca="false">IF(ISNUMBER(BD17),IFERROR(BD82*1000/BD17,""),"")</f>
        <v>144.068359375</v>
      </c>
      <c r="BE66" s="49" t="n">
        <f aca="false">IF(ISNUMBER(BE17),IFERROR(BE82*1000/BE17,""),"")</f>
        <v>152.122313203685</v>
      </c>
      <c r="BF66" s="49" t="n">
        <f aca="false">IF(ISNUMBER(BF17),IFERROR(BF82*1000/BF17,""),"")</f>
        <v>165.961361014994</v>
      </c>
      <c r="BG66" s="49" t="n">
        <f aca="false">IF(ISNUMBER(BG17),IFERROR(BG82*1000/BG17,""),"")</f>
        <v>151.947382096921</v>
      </c>
      <c r="BH66" s="49" t="n">
        <f aca="false">IF(ISNUMBER(BH17),IFERROR(BH82*1000/BH17,""),"")</f>
        <v>164.081229418222</v>
      </c>
      <c r="BI66" s="49" t="n">
        <f aca="false">IF(ISNUMBER(BI17),IFERROR(BI82*1000/BI17,""),"")</f>
        <v>158.318781725888</v>
      </c>
      <c r="BJ66" s="49" t="n">
        <f aca="false">IF(ISNUMBER(BJ17),IFERROR(BJ82*1000/BJ17,""),"")</f>
        <v>159.687210379981</v>
      </c>
      <c r="BK66" s="49" t="n">
        <f aca="false">IF(ISNUMBER(BK17),IFERROR(BK82*1000/BK17,""),"")</f>
        <v>168.945285784074</v>
      </c>
      <c r="BL66" s="49" t="n">
        <f aca="false">IF(ISNUMBER(BL17),IFERROR(BL82*1000/BL17,""),"")</f>
        <v>162.721020382644</v>
      </c>
      <c r="BM66" s="49" t="n">
        <f aca="false">IF(ISNUMBER(BM17),IFERROR(BM82*1000/BM17,""),"")</f>
        <v>162.102941176471</v>
      </c>
      <c r="BN66" s="49" t="n">
        <f aca="false">IF(ISNUMBER(BN17),IFERROR(BN82*1000/BN17,""),"")</f>
        <v>159.965620971208</v>
      </c>
      <c r="BO66" s="49" t="n">
        <f aca="false">IF(ISNUMBER(BO17),IFERROR(BO82*1000/BO17,""),"")</f>
        <v>167.3535098781</v>
      </c>
      <c r="BP66" s="49" t="n">
        <f aca="false">IF(ISNUMBER(BP17),IFERROR(BP82*1000/BP17,""),"")</f>
        <v>172.842686292548</v>
      </c>
      <c r="BQ66" s="49" t="n">
        <f aca="false">IF(ISNUMBER(BQ17),IFERROR(BQ82*1000/BQ17,""),"")</f>
        <v>165.537049399199</v>
      </c>
      <c r="BR66" s="49" t="n">
        <f aca="false">IF(ISNUMBER(BR17),IFERROR(BR82*1000/BR17,""),"")</f>
        <v>179.38064516129</v>
      </c>
      <c r="BS66" s="49" t="n">
        <f aca="false">IF(ISNUMBER(BS17),IFERROR(BS82*1000/BS17,""),"")</f>
        <v>172.921273772667</v>
      </c>
      <c r="BT66" s="49" t="n">
        <f aca="false">IF(ISNUMBER(BT17),IFERROR(BT82*1000/BT17,""),"")</f>
        <v>171.906558079726</v>
      </c>
      <c r="BU66" s="49" t="n">
        <f aca="false">IF(ISNUMBER(BU17),IFERROR(BU82*1000/BU17,""),"")</f>
        <v>184.15157116451</v>
      </c>
      <c r="BV66" s="49" t="n">
        <f aca="false">IF(ISNUMBER(BV17),IFERROR(BV82*1000/BV17,""),"")</f>
        <v>176.928323440475</v>
      </c>
      <c r="BW66" s="49" t="n">
        <f aca="false">IF(ISNUMBER(BW17),IFERROR(BW82*1000/BW17,""),"")</f>
        <v>179.423357664234</v>
      </c>
      <c r="BX66" s="49" t="n">
        <f aca="false">IF(ISNUMBER(BX17),IFERROR(BX82*1000/BX17,""),"")</f>
        <v>183.983481575604</v>
      </c>
      <c r="BY66" s="50" t="n">
        <f aca="false">IFERROR(BY82*1000/BY17,"")</f>
        <v>196.295515578161</v>
      </c>
      <c r="BZ66" s="50" t="n">
        <f aca="false">IFERROR(BZ82*1000/BZ17,"")</f>
        <v>204.772999726816</v>
      </c>
      <c r="CA66" s="50" t="n">
        <f aca="false">IFERROR(CA82*1000/CA17,"")</f>
        <v>191.101404891845</v>
      </c>
      <c r="CB66" s="50" t="n">
        <f aca="false">CA66*(1+CB67)</f>
        <v>195.878940014141</v>
      </c>
      <c r="CC66" s="50" t="n">
        <f aca="false">CB66*(1+CC67)</f>
        <v>200.775913514495</v>
      </c>
      <c r="CD66" s="50" t="n">
        <f aca="false">CC66*(1+CD67)</f>
        <v>206.79919091993</v>
      </c>
      <c r="CE66" s="50" t="n">
        <f aca="false">CD66*(1+CE67)</f>
        <v>213.003166647528</v>
      </c>
      <c r="CF66" s="21"/>
      <c r="CH66" s="31" t="n">
        <f aca="false">IFERROR((CE66/BV66)^(1/5)-1,"n/m")</f>
        <v>0.037809733465243</v>
      </c>
      <c r="CI66" s="31" t="n">
        <f aca="false">IFERROR((BV66/AW66)^(1/5)-1,"n/m")</f>
        <v>0.0624684668271913</v>
      </c>
      <c r="CJ66" s="31" t="n">
        <f aca="false">IFERROR((BV66/X66)^(1/10)-1,"n/m")</f>
        <v>0.0535373043053193</v>
      </c>
      <c r="CK66" s="31" t="n">
        <f aca="false">IFERROR((BV66/C66)^(1/19)-1,"n/m")</f>
        <v>0.0449439123768833</v>
      </c>
    </row>
    <row r="67" customFormat="false" ht="15" hidden="false" customHeight="true" outlineLevel="0" collapsed="false">
      <c r="B67" s="27" t="s">
        <v>213</v>
      </c>
      <c r="C67" s="28"/>
      <c r="D67" s="29" t="n">
        <f aca="false">IF(AND(ISNUMBER(D66),ISNUMBER(C66)),IFERROR(D66/C66-1,""),"")</f>
        <v>-0.00756155011042115</v>
      </c>
      <c r="E67" s="29" t="n">
        <f aca="false">IF(AND(ISNUMBER(E66),ISNUMBER(D66)),IFERROR(E66/D66-1,""),"")</f>
        <v>0.05247062926602</v>
      </c>
      <c r="F67" s="29" t="n">
        <f aca="false">IF(AND(ISNUMBER(F66),ISNUMBER(E66)),IFERROR(F66/E66-1,""),"")</f>
        <v>-0.0558552812619155</v>
      </c>
      <c r="G67" s="29" t="n">
        <f aca="false">IF(AND(ISNUMBER(G66),ISNUMBER(F66)),IFERROR(G66/F66-1,""),"")</f>
        <v>-0.00636260460348959</v>
      </c>
      <c r="H67" s="29" t="n">
        <f aca="false">IF(AND(ISNUMBER(H66),ISNUMBER(G66)),IFERROR(H66/G66-1,""),"")</f>
        <v>0.0536320828029753</v>
      </c>
      <c r="I67" s="29" t="n">
        <f aca="false">IF(AND(ISNUMBER(I66),ISNUMBER(H66)),IFERROR(I66/H66-1,""),"")</f>
        <v>0.0962187892427131</v>
      </c>
      <c r="J67" s="28"/>
      <c r="K67" s="28"/>
      <c r="L67" s="28"/>
      <c r="M67" s="28"/>
      <c r="N67" s="29" t="n">
        <f aca="false">IF(AND(ISNUMBER(N66),ISNUMBER(I66)),IFERROR(N66/I66-1,""),"")</f>
        <v>0.0529173138069943</v>
      </c>
      <c r="O67" s="29" t="n">
        <f aca="false">IF(AND(ISNUMBER(O66),ISNUMBER(J66)),IFERROR(O66/J66-1,""),"")</f>
        <v>0.0520017180890908</v>
      </c>
      <c r="P67" s="29" t="n">
        <f aca="false">IF(AND(ISNUMBER(P66),ISNUMBER(K66)),IFERROR(P66/K66-1,""),"")</f>
        <v>0.0524590412121975</v>
      </c>
      <c r="Q67" s="29" t="n">
        <f aca="false">IF(AND(ISNUMBER(Q66),ISNUMBER(L66)),IFERROR(Q66/L66-1,""),"")</f>
        <v>0.0496707374283194</v>
      </c>
      <c r="R67" s="29" t="n">
        <f aca="false">IF(AND(ISNUMBER(R66),ISNUMBER(M66)),IFERROR(R66/M66-1,""),"")</f>
        <v>0.0550182963709438</v>
      </c>
      <c r="S67" s="29" t="n">
        <f aca="false">IF(AND(ISNUMBER(S66),ISNUMBER(N66)),IFERROR(S66/N66-1,""),"")</f>
        <v>0.0523960973125024</v>
      </c>
      <c r="T67" s="29" t="n">
        <f aca="false">IF(AND(ISNUMBER(T66),ISNUMBER(O66)),IFERROR(T66/O66-1,""),"")</f>
        <v>0.0799330177675131</v>
      </c>
      <c r="U67" s="29" t="n">
        <f aca="false">IF(AND(ISNUMBER(U66),ISNUMBER(P66)),IFERROR(U66/P66-1,""),"")</f>
        <v>0.095029045928414</v>
      </c>
      <c r="V67" s="29" t="n">
        <f aca="false">IF(AND(ISNUMBER(V66),ISNUMBER(Q66)),IFERROR(V66/Q66-1,""),"")</f>
        <v>0.114115305414924</v>
      </c>
      <c r="W67" s="29" t="n">
        <f aca="false">IF(AND(ISNUMBER(W66),ISNUMBER(R66)),IFERROR(W66/R66-1,""),"")</f>
        <v>0.0752028732841517</v>
      </c>
      <c r="X67" s="29" t="n">
        <f aca="false">IF(AND(ISNUMBER(X66),ISNUMBER(S66)),IFERROR(X66/S66-1,""),"")</f>
        <v>0.0912585450764087</v>
      </c>
      <c r="Y67" s="29" t="n">
        <f aca="false">IF(AND(ISNUMBER(Y66),ISNUMBER(T66)),IFERROR(Y66/T66-1,""),"")</f>
        <v>0.071838373721256</v>
      </c>
      <c r="Z67" s="29" t="n">
        <f aca="false">IF(AND(ISNUMBER(Z66),ISNUMBER(U66)),IFERROR(Z66/U66-1,""),"")</f>
        <v>0.0597295160080293</v>
      </c>
      <c r="AA67" s="29" t="n">
        <f aca="false">IF(AND(ISNUMBER(AA66),ISNUMBER(V66)),IFERROR(AA66/V66-1,""),"")</f>
        <v>0.0182733680422607</v>
      </c>
      <c r="AB67" s="29" t="n">
        <f aca="false">IF(AND(ISNUMBER(AB66),ISNUMBER(W66)),IFERROR(AB66/W66-1,""),"")</f>
        <v>0.036611950633382</v>
      </c>
      <c r="AC67" s="29" t="n">
        <f aca="false">IF(AND(ISNUMBER(AC66),ISNUMBER(X66)),IFERROR(AC66/X66-1,""),"")</f>
        <v>0.0461480273860326</v>
      </c>
      <c r="AD67" s="29" t="n">
        <f aca="false">IF(AND(ISNUMBER(AD66),ISNUMBER(Y66)),IFERROR(AD66/Y66-1,""),"")</f>
        <v>0.026770575775606</v>
      </c>
      <c r="AE67" s="29" t="n">
        <f aca="false">IF(AND(ISNUMBER(AE66),ISNUMBER(Z66)),IFERROR(AE66/Z66-1,""),"")</f>
        <v>0.0395757543029944</v>
      </c>
      <c r="AF67" s="29" t="n">
        <f aca="false">IF(AND(ISNUMBER(AF66),ISNUMBER(AA66)),IFERROR(AF66/AA66-1,""),"")</f>
        <v>0.0750937155927556</v>
      </c>
      <c r="AG67" s="29" t="n">
        <f aca="false">IF(AND(ISNUMBER(AG66),ISNUMBER(AB66)),IFERROR(AG66/AB66-1,""),"")</f>
        <v>0.0464356485156914</v>
      </c>
      <c r="AH67" s="29" t="n">
        <f aca="false">IF(AND(ISNUMBER(AH66),ISNUMBER(AC66)),IFERROR(AH66/AC66-1,""),"")</f>
        <v>0.0469352154985456</v>
      </c>
      <c r="AI67" s="29" t="n">
        <f aca="false">IF(AND(ISNUMBER(AI66),ISNUMBER(AD66)),IFERROR(AI66/AD66-1,""),"")</f>
        <v>0.0595816948565406</v>
      </c>
      <c r="AJ67" s="29" t="n">
        <f aca="false">IF(AND(ISNUMBER(AJ66),ISNUMBER(AE66)),IFERROR(AJ66/AE66-1,""),"")</f>
        <v>0.0585454115909969</v>
      </c>
      <c r="AK67" s="29" t="n">
        <f aca="false">IF(AND(ISNUMBER(AK66),ISNUMBER(AF66)),IFERROR(AK66/AF66-1,""),"")</f>
        <v>0.0760489754367681</v>
      </c>
      <c r="AL67" s="29" t="n">
        <f aca="false">IF(AND(ISNUMBER(AL66),ISNUMBER(AG66)),IFERROR(AL66/AG66-1,""),"")</f>
        <v>0.0793057135531736</v>
      </c>
      <c r="AM67" s="29" t="n">
        <f aca="false">IF(AND(ISNUMBER(AM66),ISNUMBER(AH66)),IFERROR(AM66/AH66-1,""),"")</f>
        <v>0.0681272089687051</v>
      </c>
      <c r="AN67" s="29" t="n">
        <f aca="false">IF(AND(ISNUMBER(AN66),ISNUMBER(AI66)),IFERROR(AN66/AI66-1,""),"")</f>
        <v>0.061094067440526</v>
      </c>
      <c r="AO67" s="29" t="n">
        <f aca="false">IF(AND(ISNUMBER(AO66),ISNUMBER(AJ66)),IFERROR(AO66/AJ66-1,""),"")</f>
        <v>0.0410352997667631</v>
      </c>
      <c r="AP67" s="29" t="n">
        <f aca="false">IF(AND(ISNUMBER(AP66),ISNUMBER(AK66)),IFERROR(AP66/AK66-1,""),"")</f>
        <v>0.0212648472150261</v>
      </c>
      <c r="AQ67" s="29" t="n">
        <f aca="false">IF(AND(ISNUMBER(AQ66),ISNUMBER(AL66)),IFERROR(AQ66/AL66-1,""),"")</f>
        <v>0.0408854692281626</v>
      </c>
      <c r="AR67" s="29" t="n">
        <f aca="false">IF(AND(ISNUMBER(AR66),ISNUMBER(AM66)),IFERROR(AR66/AM66-1,""),"")</f>
        <v>0.0412951819640552</v>
      </c>
      <c r="AS67" s="29" t="n">
        <f aca="false">IF(AND(ISNUMBER(AS66),ISNUMBER(AN66)),IFERROR(AS66/AN66-1,""),"")</f>
        <v>0.0423067426004518</v>
      </c>
      <c r="AT67" s="29" t="n">
        <f aca="false">IF(AND(ISNUMBER(AT66),ISNUMBER(AO66)),IFERROR(AT66/AO66-1,""),"")</f>
        <v>0.0452305082243645</v>
      </c>
      <c r="AU67" s="29" t="n">
        <f aca="false">IF(AND(ISNUMBER(AU66),ISNUMBER(AP66)),IFERROR(AU66/AP66-1,""),"")</f>
        <v>-0.00154424894383609</v>
      </c>
      <c r="AV67" s="29" t="n">
        <f aca="false">IF(AND(ISNUMBER(AV66),ISNUMBER(AQ66)),IFERROR(AV66/AQ66-1,""),"")</f>
        <v>-0.000592095674445847</v>
      </c>
      <c r="AW67" s="29" t="n">
        <f aca="false">IF(AND(ISNUMBER(AW66),ISNUMBER(AR66)),IFERROR(AW66/AR66-1,""),"")</f>
        <v>0.0214312644885417</v>
      </c>
      <c r="AX67" s="29" t="n">
        <f aca="false">IF(AND(ISNUMBER(AX66),ISNUMBER(AS66)),IFERROR(AX66/AS66-1,""),"")</f>
        <v>0.0147344363463886</v>
      </c>
      <c r="AY67" s="29" t="n">
        <f aca="false">IF(AND(ISNUMBER(AY66),ISNUMBER(AT66)),IFERROR(AY66/AT66-1,""),"")</f>
        <v>0.0394159120416724</v>
      </c>
      <c r="AZ67" s="29" t="n">
        <f aca="false">IF(AND(ISNUMBER(AZ66),ISNUMBER(AU66)),IFERROR(AZ66/AU66-1,""),"")</f>
        <v>0.0744687912624999</v>
      </c>
      <c r="BA67" s="29" t="n">
        <f aca="false">IF(AND(ISNUMBER(BA66),ISNUMBER(AV66)),IFERROR(BA66/AV66-1,""),"")</f>
        <v>0.0843825768882616</v>
      </c>
      <c r="BB67" s="29" t="n">
        <f aca="false">IF(AND(ISNUMBER(BB66),ISNUMBER(AW66)),IFERROR(BB66/AW66-1,""),"")</f>
        <v>0.0529888562446645</v>
      </c>
      <c r="BC67" s="29" t="n">
        <f aca="false">IF(AND(ISNUMBER(BC66),ISNUMBER(AX66)),IFERROR(BC66/AX66-1,""),"")</f>
        <v>0.102117463568959</v>
      </c>
      <c r="BD67" s="29" t="n">
        <f aca="false">IF(AND(ISNUMBER(BD66),ISNUMBER(AY66)),IFERROR(BD66/AY66-1,""),"")</f>
        <v>0.0784249888852098</v>
      </c>
      <c r="BE67" s="29" t="n">
        <f aca="false">IF(AND(ISNUMBER(BE66),ISNUMBER(AZ66)),IFERROR(BE66/AZ66-1,""),"")</f>
        <v>0.100207211670646</v>
      </c>
      <c r="BF67" s="29" t="n">
        <f aca="false">IF(AND(ISNUMBER(BF66),ISNUMBER(BA66)),IFERROR(BF66/BA66-1,""),"")</f>
        <v>0.146097557714752</v>
      </c>
      <c r="BG67" s="29" t="n">
        <f aca="false">IF(AND(ISNUMBER(BG66),ISNUMBER(BB66)),IFERROR(BG66/BB66-1,""),"")</f>
        <v>0.104211667739208</v>
      </c>
      <c r="BH67" s="29" t="n">
        <f aca="false">IF(AND(ISNUMBER(BH66),ISNUMBER(BC66)),IFERROR(BH66/BC66-1,""),"")</f>
        <v>0.112153788631193</v>
      </c>
      <c r="BI67" s="29" t="n">
        <f aca="false">IF(AND(ISNUMBER(BI66),ISNUMBER(BD66)),IFERROR(BI66/BD66-1,""),"")</f>
        <v>0.0989143099339076</v>
      </c>
      <c r="BJ67" s="29" t="n">
        <f aca="false">IF(AND(ISNUMBER(BJ66),ISNUMBER(BE66)),IFERROR(BJ66/BE66-1,""),"")</f>
        <v>0.0497290438002194</v>
      </c>
      <c r="BK67" s="29" t="n">
        <f aca="false">IF(AND(ISNUMBER(BK66),ISNUMBER(BF66)),IFERROR(BK66/BF66-1,""),"")</f>
        <v>0.0179796354454482</v>
      </c>
      <c r="BL67" s="29" t="n">
        <f aca="false">IF(AND(ISNUMBER(BL66),ISNUMBER(BG66)),IFERROR(BL66/BG66-1,""),"")</f>
        <v>0.0709037440266696</v>
      </c>
      <c r="BM67" s="29" t="n">
        <f aca="false">IF(AND(ISNUMBER(BM66),ISNUMBER(BH66)),IFERROR(BM66/BH66-1,""),"")</f>
        <v>-0.0120567614514197</v>
      </c>
      <c r="BN67" s="29" t="n">
        <f aca="false">IF(AND(ISNUMBER(BN66),ISNUMBER(BI66)),IFERROR(BN66/BI66-1,""),"")</f>
        <v>0.0104020459693188</v>
      </c>
      <c r="BO67" s="29" t="n">
        <f aca="false">IF(AND(ISNUMBER(BO66),ISNUMBER(BJ66)),IFERROR(BO66/BJ66-1,""),"")</f>
        <v>0.0480082248282525</v>
      </c>
      <c r="BP67" s="29" t="n">
        <f aca="false">IF(AND(ISNUMBER(BP66),ISNUMBER(BK66)),IFERROR(BP66/BK66-1,""),"")</f>
        <v>0.0230690101258892</v>
      </c>
      <c r="BQ67" s="29" t="n">
        <f aca="false">IF(AND(ISNUMBER(BQ66),ISNUMBER(BL66)),IFERROR(BQ66/BL66-1,""),"")</f>
        <v>0.0173058711771439</v>
      </c>
      <c r="BR67" s="29" t="n">
        <f aca="false">IF(AND(ISNUMBER(BR66),ISNUMBER(BM66)),IFERROR(BR66/BM66-1,""),"")</f>
        <v>0.106584765578131</v>
      </c>
      <c r="BS67" s="29" t="n">
        <f aca="false">IF(AND(ISNUMBER(BS66),ISNUMBER(BN66)),IFERROR(BS66/BN66-1,""),"")</f>
        <v>0.0809902322936709</v>
      </c>
      <c r="BT67" s="29" t="n">
        <f aca="false">IF(AND(ISNUMBER(BT66),ISNUMBER(BO66)),IFERROR(BT66/BO66-1,""),"")</f>
        <v>0.0272061709667282</v>
      </c>
      <c r="BU67" s="29" t="n">
        <f aca="false">IF(AND(ISNUMBER(BU66),ISNUMBER(BP66)),IFERROR(BU66/BP66-1,""),"")</f>
        <v>0.0654287729179399</v>
      </c>
      <c r="BV67" s="29" t="n">
        <f aca="false">IF(AND(ISNUMBER(BV66),ISNUMBER(BQ66)),IFERROR(BV66/BQ66-1,""),"")</f>
        <v>0.068814045451574</v>
      </c>
      <c r="BW67" s="29" t="n">
        <f aca="false">IF(AND(ISNUMBER(BW66),ISNUMBER(BR66)),IFERROR(BW66/BR66-1,""),"")</f>
        <v>0.00023811098964921</v>
      </c>
      <c r="BX67" s="29" t="n">
        <f aca="false">IF(AND(ISNUMBER(BX66),ISNUMBER(BS66)),IFERROR(BX66/BS66-1,""),"")</f>
        <v>0.0639725093482695</v>
      </c>
      <c r="BY67" s="30" t="n">
        <f aca="false">IF(AND(ISNUMBER(BY66),ISNUMBER(BT66)),IFERROR(BY66/BT66-1,""),"")</f>
        <v>0.141873339626315</v>
      </c>
      <c r="BZ67" s="30" t="n">
        <f aca="false">IF(AND(ISNUMBER(BZ66),ISNUMBER(BU66)),IFERROR(BZ66/BU66-1,""),"")</f>
        <v>0.111980736476496</v>
      </c>
      <c r="CA67" s="30" t="n">
        <f aca="false">IF(AND(ISNUMBER(CA66),ISNUMBER(BV66)),IFERROR(CA66/BV66-1,""),"")</f>
        <v>0.0801063457549729</v>
      </c>
      <c r="CB67" s="30" t="n">
        <f aca="false">CHOOSE(MATCH($CF$2,{"Bull","Base","Bear"},0),$CO$56,$CP$56,$CQ$56)</f>
        <v>0.025</v>
      </c>
      <c r="CC67" s="30" t="n">
        <f aca="false">CHOOSE(MATCH($CF$2,{"Bull","Base","Bear"},0),$CO$57,$CP$57,$CQ$57)</f>
        <v>0.025</v>
      </c>
      <c r="CD67" s="30" t="n">
        <f aca="false">CHOOSE(MATCH($CF$2,{"Bull","Base","Bear"},0),$CO$58,$CP$58,$CQ$58)</f>
        <v>0.03</v>
      </c>
      <c r="CE67" s="30" t="n">
        <f aca="false">CHOOSE(MATCH($CF$2,{"Bull","Base","Bear"},0),$CO$59,$CP$59,$CQ$59)</f>
        <v>0.03</v>
      </c>
      <c r="CF67" s="21" t="s">
        <v>214</v>
      </c>
    </row>
    <row r="68" customFormat="false" ht="15" hidden="false" customHeight="true" outlineLevel="0" collapsed="false">
      <c r="B68" s="22" t="s">
        <v>215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24" t="n">
        <f aca="false">BT66*(1+$BX$67)</f>
        <v>182.90385197351</v>
      </c>
      <c r="BZ68" s="24" t="n">
        <f aca="false">BU66*(1+$BX$67)</f>
        <v>195.93220927233</v>
      </c>
      <c r="CA68" s="48"/>
      <c r="CB68" s="48"/>
      <c r="CC68" s="48"/>
      <c r="CD68" s="48"/>
      <c r="CE68" s="48"/>
      <c r="CF68" s="21"/>
    </row>
    <row r="69" customFormat="false" ht="15" hidden="false" customHeight="true" outlineLevel="0" collapsed="false">
      <c r="B69" s="22" t="s">
        <v>216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52" t="n">
        <f aca="false">IFERROR(BY66/BY68-1,"")</f>
        <v>0.0732169577630939</v>
      </c>
      <c r="BZ69" s="52" t="n">
        <f aca="false">IFERROR(BZ66/BZ68-1,"")</f>
        <v>0.045121680030656</v>
      </c>
      <c r="CA69" s="53"/>
      <c r="CB69" s="53"/>
      <c r="CC69" s="53"/>
      <c r="CD69" s="53"/>
      <c r="CE69" s="53"/>
      <c r="CF69" s="21" t="s">
        <v>217</v>
      </c>
    </row>
    <row r="70" customFormat="false" ht="15" hidden="false" customHeight="true" outlineLevel="0" collapsed="false">
      <c r="B70" s="22" t="s">
        <v>218</v>
      </c>
      <c r="C70" s="59" t="n">
        <f aca="false">IF(AND(ISNUMBER(C83),ISNUMBER(C81)),IFERROR(C83/C81,""),"")</f>
        <v>0.0800571142444938</v>
      </c>
      <c r="D70" s="59" t="n">
        <f aca="false">IF(AND(ISNUMBER(D83),ISNUMBER(D81)),IFERROR(D83/D81,""),"")</f>
        <v>0.0779850490153393</v>
      </c>
      <c r="E70" s="59" t="n">
        <f aca="false">IF(AND(ISNUMBER(E83),ISNUMBER(E81)),IFERROR(E83/E81,""),"")</f>
        <v>0.0761455754492581</v>
      </c>
      <c r="F70" s="59" t="n">
        <f aca="false">IF(AND(ISNUMBER(F83),ISNUMBER(F81)),IFERROR(F83/F81,""),"")</f>
        <v>0.0762276229742764</v>
      </c>
      <c r="G70" s="59" t="n">
        <f aca="false">IF(AND(ISNUMBER(G83),ISNUMBER(G81)),IFERROR(G83/G81,""),"")</f>
        <v>0.0895785788669045</v>
      </c>
      <c r="H70" s="59" t="n">
        <f aca="false">IF(AND(ISNUMBER(H83),ISNUMBER(H81)),IFERROR(H83/H81,""),"")</f>
        <v>0.0846019894702512</v>
      </c>
      <c r="I70" s="59" t="n">
        <f aca="false">IF(AND(ISNUMBER(I83),ISNUMBER(I81)),IFERROR(I83/I81,""),"")</f>
        <v>0.0678278186804335</v>
      </c>
      <c r="J70" s="59" t="n">
        <f aca="false">IF(AND(ISNUMBER(J83),ISNUMBER(J81)),IFERROR(J83/J81,""),"")</f>
        <v>0.0612538578133275</v>
      </c>
      <c r="K70" s="59" t="n">
        <f aca="false">IF(AND(ISNUMBER(K83),ISNUMBER(K81)),IFERROR(K83/K81,""),"")</f>
        <v>0.0660999394989694</v>
      </c>
      <c r="L70" s="59" t="n">
        <f aca="false">IF(AND(ISNUMBER(L83),ISNUMBER(L81)),IFERROR(L83/L81,""),"")</f>
        <v>0.0645337391286546</v>
      </c>
      <c r="M70" s="59" t="n">
        <f aca="false">IF(AND(ISNUMBER(M83),ISNUMBER(M81)),IFERROR(M83/M81,""),"")</f>
        <v>0.0641933811303213</v>
      </c>
      <c r="N70" s="59" t="n">
        <f aca="false">IF(AND(ISNUMBER(N83),ISNUMBER(N81)),IFERROR(N83/N81,""),"")</f>
        <v>0.0640640719729891</v>
      </c>
      <c r="O70" s="59" t="n">
        <f aca="false">IF(AND(ISNUMBER(O83),ISNUMBER(O81)),IFERROR(O83/O81,""),"")</f>
        <v>0.0733693657625196</v>
      </c>
      <c r="P70" s="59" t="n">
        <f aca="false">IF(AND(ISNUMBER(P83),ISNUMBER(P81)),IFERROR(P83/P81,""),"")</f>
        <v>0.0845220475848898</v>
      </c>
      <c r="Q70" s="59" t="n">
        <f aca="false">IF(AND(ISNUMBER(Q83),ISNUMBER(Q81)),IFERROR(Q83/Q81,""),"")</f>
        <v>0.0826326741724403</v>
      </c>
      <c r="R70" s="59" t="n">
        <f aca="false">IF(AND(ISNUMBER(R83),ISNUMBER(R81)),IFERROR(R83/R81,""),"")</f>
        <v>0.0717395235880742</v>
      </c>
      <c r="S70" s="59" t="n">
        <f aca="false">IF(AND(ISNUMBER(S83),ISNUMBER(S81)),IFERROR(S83/S81,""),"")</f>
        <v>0.0782899912836462</v>
      </c>
      <c r="T70" s="59" t="n">
        <f aca="false">IF(AND(ISNUMBER(T83),ISNUMBER(T81)),IFERROR(T83/T81,""),"")</f>
        <v>0.060452798765963</v>
      </c>
      <c r="U70" s="59" t="n">
        <f aca="false">IF(AND(ISNUMBER(U83),ISNUMBER(U81)),IFERROR(U83/U81,""),"")</f>
        <v>0.062396438728824</v>
      </c>
      <c r="V70" s="59" t="n">
        <f aca="false">IF(AND(ISNUMBER(V83),ISNUMBER(V81)),IFERROR(V83/V81,""),"")</f>
        <v>0.0608892209622351</v>
      </c>
      <c r="W70" s="59" t="n">
        <f aca="false">IF(AND(ISNUMBER(W83),ISNUMBER(W81)),IFERROR(W83/W81,""),"")</f>
        <v>0.0465873926497688</v>
      </c>
      <c r="X70" s="59" t="n">
        <f aca="false">IF(AND(ISNUMBER(X83),ISNUMBER(X81)),IFERROR(X83/X81,""),"")</f>
        <v>0.0578157406262615</v>
      </c>
      <c r="Y70" s="59" t="n">
        <f aca="false">IF(AND(ISNUMBER(Y83),ISNUMBER(Y81)),IFERROR(Y83/Y81,""),"")</f>
        <v>0.0430028525995909</v>
      </c>
      <c r="Z70" s="59" t="n">
        <f aca="false">IF(AND(ISNUMBER(Z83),ISNUMBER(Z81)),IFERROR(Z83/Z81,""),"")</f>
        <v>0.0458953848126834</v>
      </c>
      <c r="AA70" s="59" t="n">
        <f aca="false">IF(AND(ISNUMBER(AA83),ISNUMBER(AA81)),IFERROR(AA83/AA81,""),"")</f>
        <v>0.0494782614191542</v>
      </c>
      <c r="AB70" s="59" t="n">
        <f aca="false">IF(AND(ISNUMBER(AB83),ISNUMBER(AB81)),IFERROR(AB83/AB81,""),"")</f>
        <v>0.046265609230472</v>
      </c>
      <c r="AC70" s="59" t="n">
        <f aca="false">IF(AND(ISNUMBER(AC83),ISNUMBER(AC81)),IFERROR(AC83/AC81,""),"")</f>
        <v>0.0462288702080705</v>
      </c>
      <c r="AD70" s="59" t="n">
        <f aca="false">IF(AND(ISNUMBER(AD83),ISNUMBER(AD81)),IFERROR(AD83/AD81,""),"")</f>
        <v>0.0466033932947889</v>
      </c>
      <c r="AE70" s="59" t="n">
        <f aca="false">IF(AND(ISNUMBER(AE83),ISNUMBER(AE81)),IFERROR(AE83/AE81,""),"")</f>
        <v>0.0624385749385749</v>
      </c>
      <c r="AF70" s="59" t="n">
        <f aca="false">IF(AND(ISNUMBER(AF83),ISNUMBER(AF81)),IFERROR(AF83/AF81,""),"")</f>
        <v>0.0659140380846821</v>
      </c>
      <c r="AG70" s="59" t="n">
        <f aca="false">IF(AND(ISNUMBER(AG83),ISNUMBER(AG81)),IFERROR(AG83/AG81,""),"")</f>
        <v>0.0602121437731245</v>
      </c>
      <c r="AH70" s="59" t="n">
        <f aca="false">IF(AND(ISNUMBER(AH83),ISNUMBER(AH81)),IFERROR(AH83/AH81,""),"")</f>
        <v>0.0591087478509405</v>
      </c>
      <c r="AI70" s="59" t="n">
        <f aca="false">IF(AND(ISNUMBER(AI83),ISNUMBER(AI81)),IFERROR(AI83/AI81,""),"")</f>
        <v>0.0761599266811777</v>
      </c>
      <c r="AJ70" s="59" t="n">
        <f aca="false">IF(AND(ISNUMBER(AJ83),ISNUMBER(AJ81)),IFERROR(AJ83/AJ81,""),"")</f>
        <v>0.0795671888265863</v>
      </c>
      <c r="AK70" s="59" t="n">
        <f aca="false">IF(AND(ISNUMBER(AK83),ISNUMBER(AK81)),IFERROR(AK83/AK81,""),"")</f>
        <v>0.0733524139843313</v>
      </c>
      <c r="AL70" s="59" t="n">
        <f aca="false">IF(AND(ISNUMBER(AL83),ISNUMBER(AL81)),IFERROR(AL83/AL81,""),"")</f>
        <v>0.0704585125998771</v>
      </c>
      <c r="AM70" s="59" t="n">
        <f aca="false">IF(AND(ISNUMBER(AM83),ISNUMBER(AM81)),IFERROR(AM83/AM81,""),"")</f>
        <v>0.0749185687447887</v>
      </c>
      <c r="AN70" s="59" t="n">
        <f aca="false">IF(AND(ISNUMBER(AN83),ISNUMBER(AN81)),IFERROR(AN83/AN81,""),"")</f>
        <v>0.0692136079340646</v>
      </c>
      <c r="AO70" s="59" t="n">
        <f aca="false">IF(AND(ISNUMBER(AO83),ISNUMBER(AO81)),IFERROR(AO83/AO81,""),"")</f>
        <v>0.0735768373205226</v>
      </c>
      <c r="AP70" s="59" t="n">
        <f aca="false">IF(AND(ISNUMBER(AP83),ISNUMBER(AP81)),IFERROR(AP83/AP81,""),"")</f>
        <v>0.076442072891141</v>
      </c>
      <c r="AQ70" s="59" t="n">
        <f aca="false">IF(AND(ISNUMBER(AQ83),ISNUMBER(AQ81)),IFERROR(AQ83/AQ81,""),"")</f>
        <v>0.0712423685012357</v>
      </c>
      <c r="AR70" s="59" t="n">
        <f aca="false">IF(AND(ISNUMBER(AR83),ISNUMBER(AR81)),IFERROR(AR83/AR81,""),"")</f>
        <v>0.0727472176903682</v>
      </c>
      <c r="AS70" s="59" t="n">
        <f aca="false">IF(AND(ISNUMBER(AS83),ISNUMBER(AS81)),IFERROR(AS83/AS81,""),"")</f>
        <v>0.0673370729128397</v>
      </c>
      <c r="AT70" s="59" t="n">
        <f aca="false">IF(AND(ISNUMBER(AT83),ISNUMBER(AT81)),IFERROR(AT83/AT81,""),"")</f>
        <v>0.0631550247061806</v>
      </c>
      <c r="AU70" s="59" t="n">
        <f aca="false">IF(AND(ISNUMBER(AU83),ISNUMBER(AU81)),IFERROR(AU83/AU81,""),"")</f>
        <v>0.0832055740442982</v>
      </c>
      <c r="AV70" s="59" t="n">
        <f aca="false">IF(AND(ISNUMBER(AV83),ISNUMBER(AV81)),IFERROR(AV83/AV81,""),"")</f>
        <v>0.0941294739360563</v>
      </c>
      <c r="AW70" s="59" t="n">
        <f aca="false">IF(AND(ISNUMBER(AW83),ISNUMBER(AW81)),IFERROR(AW83/AW81,""),"")</f>
        <v>0.0775744279689151</v>
      </c>
      <c r="AX70" s="59" t="n">
        <f aca="false">IF(AND(ISNUMBER(AX83),ISNUMBER(AX81)),IFERROR(AX83/AX81,""),"")</f>
        <v>0.0930250333626677</v>
      </c>
      <c r="AY70" s="59" t="n">
        <f aca="false">IF(AND(ISNUMBER(AY83),ISNUMBER(AY81)),IFERROR(AY83/AY81,""),"")</f>
        <v>0.109360040466768</v>
      </c>
      <c r="AZ70" s="59" t="n">
        <f aca="false">IF(AND(ISNUMBER(AZ83),ISNUMBER(AZ81)),IFERROR(AZ83/AZ81,""),"")</f>
        <v>0.117155348124684</v>
      </c>
      <c r="BA70" s="59" t="n">
        <f aca="false">IF(AND(ISNUMBER(BA83),ISNUMBER(BA81)),IFERROR(BA83/BA81,""),"")</f>
        <v>0.113445398578145</v>
      </c>
      <c r="BB70" s="59" t="n">
        <f aca="false">IF(AND(ISNUMBER(BB83),ISNUMBER(BB81)),IFERROR(BB83/BB81,""),"")</f>
        <v>0.109105415117027</v>
      </c>
      <c r="BC70" s="59" t="n">
        <f aca="false">IF(AND(ISNUMBER(BC83),ISNUMBER(BC81)),IFERROR(BC83/BC81,""),"")</f>
        <v>0.118339544112665</v>
      </c>
      <c r="BD70" s="59" t="n">
        <f aca="false">IF(AND(ISNUMBER(BD83),ISNUMBER(BD81)),IFERROR(BD83/BD81,""),"")</f>
        <v>0.123155398535854</v>
      </c>
      <c r="BE70" s="59" t="n">
        <f aca="false">IF(AND(ISNUMBER(BE83),ISNUMBER(BE81)),IFERROR(BE83/BE81,""),"")</f>
        <v>0.117127971478739</v>
      </c>
      <c r="BF70" s="59" t="n">
        <f aca="false">IF(AND(ISNUMBER(BF83),ISNUMBER(BF81)),IFERROR(BF83/BF81,""),"")</f>
        <v>0.0920765685667489</v>
      </c>
      <c r="BG70" s="59" t="n">
        <f aca="false">IF(AND(ISNUMBER(BG83),ISNUMBER(BG81)),IFERROR(BG83/BG81,""),"")</f>
        <v>0.113140956649524</v>
      </c>
      <c r="BH70" s="59" t="n">
        <f aca="false">IF(AND(ISNUMBER(BH83),ISNUMBER(BH81)),IFERROR(BH83/BH81,""),"")</f>
        <v>0.0707411416503289</v>
      </c>
      <c r="BI70" s="59" t="n">
        <f aca="false">IF(AND(ISNUMBER(BI83),ISNUMBER(BI81)),IFERROR(BI83/BI81,""),"")</f>
        <v>0.0716519200370849</v>
      </c>
      <c r="BJ70" s="59" t="n">
        <f aca="false">IF(AND(ISNUMBER(BJ83),ISNUMBER(BJ81)),IFERROR(BJ83/BJ81,""),"")</f>
        <v>0.0990087003189085</v>
      </c>
      <c r="BK70" s="59" t="n">
        <f aca="false">IF(AND(ISNUMBER(BK83),ISNUMBER(BK81)),IFERROR(BK83/BK81,""),"")</f>
        <v>0.0871271627357109</v>
      </c>
      <c r="BL70" s="59" t="n">
        <f aca="false">IF(AND(ISNUMBER(BL83),ISNUMBER(BL81)),IFERROR(BL83/BL81,""),"")</f>
        <v>0.0828365608362228</v>
      </c>
      <c r="BM70" s="59" t="n">
        <f aca="false">IF(AND(ISNUMBER(BM83),ISNUMBER(BM81)),IFERROR(BM83/BM81,""),"")</f>
        <v>0.0695664270809182</v>
      </c>
      <c r="BN70" s="59" t="n">
        <f aca="false">IF(AND(ISNUMBER(BN83),ISNUMBER(BN81)),IFERROR(BN83/BN81,""),"")</f>
        <v>0.0741541997269339</v>
      </c>
      <c r="BO70" s="59" t="n">
        <f aca="false">IF(AND(ISNUMBER(BO83),ISNUMBER(BO81)),IFERROR(BO83/BO81,""),"")</f>
        <v>0.07788120930575</v>
      </c>
      <c r="BP70" s="59" t="n">
        <f aca="false">IF(AND(ISNUMBER(BP83),ISNUMBER(BP81)),IFERROR(BP83/BP81,""),"")</f>
        <v>0.0737281862521421</v>
      </c>
      <c r="BQ70" s="59" t="n">
        <f aca="false">IF(AND(ISNUMBER(BQ83),ISNUMBER(BQ81)),IFERROR(BQ83/BQ81,""),"")</f>
        <v>0.0739484349690908</v>
      </c>
      <c r="BR70" s="59" t="n">
        <f aca="false">IF(AND(ISNUMBER(BR83),ISNUMBER(BR81)),IFERROR(BR83/BR81,""),"")</f>
        <v>0.0759914928736946</v>
      </c>
      <c r="BS70" s="59" t="n">
        <f aca="false">IF(AND(ISNUMBER(BS83),ISNUMBER(BS81)),IFERROR(BS83/BS81,""),"")</f>
        <v>0.0706130715994689</v>
      </c>
      <c r="BT70" s="59" t="n">
        <f aca="false">IF(AND(ISNUMBER(BT83),ISNUMBER(BT81)),IFERROR(BT83/BT81,""),"")</f>
        <v>0.0706597081620306</v>
      </c>
      <c r="BU70" s="59" t="n">
        <f aca="false">IF(AND(ISNUMBER(BU83),ISNUMBER(BU81)),IFERROR(BU83/BU81,""),"")</f>
        <v>0.0730651988981609</v>
      </c>
      <c r="BV70" s="59" t="n">
        <f aca="false">IF(AND(ISNUMBER(BV83),ISNUMBER(BV81)),IFERROR(BV83/BV81,""),"")</f>
        <v>0.0725337833450721</v>
      </c>
      <c r="BW70" s="59" t="n">
        <f aca="false">IF(AND(ISNUMBER(BW83),ISNUMBER(BW81)),IFERROR(BW83/BW81,""),"")</f>
        <v>0.079789041782329</v>
      </c>
      <c r="BX70" s="59" t="n">
        <f aca="false">IF(AND(ISNUMBER(BX83),ISNUMBER(BX81)),IFERROR(BX83/BX81,""),"")</f>
        <v>0.0888453037865371</v>
      </c>
      <c r="BY70" s="52" t="n">
        <f aca="false">$BX$70</f>
        <v>0.0888453037865371</v>
      </c>
      <c r="BZ70" s="52" t="n">
        <f aca="false">$BX$70</f>
        <v>0.0888453037865371</v>
      </c>
      <c r="CA70" s="30" t="n">
        <f aca="false">IF(AND(ISNUMBER(CA83),ISNUMBER(CA81)),IFERROR(CA83/CA81,""),"")</f>
        <v>0.0868907753768589</v>
      </c>
      <c r="CB70" s="77" t="n">
        <v>0.08</v>
      </c>
      <c r="CC70" s="77" t="n">
        <v>0.08</v>
      </c>
      <c r="CD70" s="77" t="n">
        <v>0.08</v>
      </c>
      <c r="CE70" s="77" t="n">
        <v>0.08</v>
      </c>
      <c r="CF70" s="21" t="s">
        <v>219</v>
      </c>
      <c r="CH70" s="64" t="n">
        <f aca="false">IFERROR(AVERAGE(CA70,CB70,CC70,CD70,CE70),"n/m")</f>
        <v>0.0813781550753718</v>
      </c>
      <c r="CI70" s="64" t="n">
        <f aca="false">IFERROR(AVERAGE(BB70,BG70,BL70,BQ70,BV70),"n/m")</f>
        <v>0.0903130301833873</v>
      </c>
      <c r="CJ70" s="64" t="n">
        <f aca="false">IFERROR(AVERAGE(AC70,AH70,AM70,AR70,AW70,BB70,BG70,BL70,BQ70,BV70),"n/m")</f>
        <v>0.078214298338002</v>
      </c>
      <c r="CK70" s="64" t="n">
        <f aca="false">IFERROR(AVERAGE(C70,D70,E70,F70,G70,H70,I70,N70,S70,X70,AC70,AH70,AM70,AR70,AW70,BB70,BG70,BL70,BQ70,BV70),"n/m")</f>
        <v>0.0767368267981936</v>
      </c>
    </row>
    <row r="71" customFormat="false" ht="15" hidden="false" customHeight="true" outlineLevel="0" collapsed="false">
      <c r="B71" s="22" t="s">
        <v>220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24" t="n">
        <f aca="false">$CP$28</f>
        <v>0.31</v>
      </c>
      <c r="BZ71" s="24" t="n">
        <f aca="false">$CP$28</f>
        <v>0.31</v>
      </c>
      <c r="CA71" s="48"/>
      <c r="CB71" s="25" t="n">
        <f aca="false">$CP$28</f>
        <v>0.31</v>
      </c>
      <c r="CC71" s="25" t="n">
        <f aca="false">$CP$28</f>
        <v>0.31</v>
      </c>
      <c r="CD71" s="25" t="n">
        <f aca="false">$CP$28</f>
        <v>0.31</v>
      </c>
      <c r="CE71" s="25" t="n">
        <f aca="false">$CP$28</f>
        <v>0.31</v>
      </c>
      <c r="CF71" s="21" t="s">
        <v>221</v>
      </c>
    </row>
    <row r="72" customFormat="false" ht="15" hidden="false" customHeight="true" outlineLevel="0" collapsed="false">
      <c r="B72" s="22" t="s">
        <v>222</v>
      </c>
      <c r="C72" s="59" t="n">
        <f aca="false">IF(AND(ISNUMBER(C84),ISNUMBER(C81)),IFERROR(C84/C81,""),"")</f>
        <v>0.215614275360165</v>
      </c>
      <c r="D72" s="59" t="n">
        <f aca="false">IF(AND(ISNUMBER(D84),ISNUMBER(D81)),IFERROR(D84/D81,""),"")</f>
        <v>0.232755503148681</v>
      </c>
      <c r="E72" s="59" t="n">
        <f aca="false">IF(AND(ISNUMBER(E84),ISNUMBER(E81)),IFERROR(E84/E81,""),"")</f>
        <v>0.271503589309612</v>
      </c>
      <c r="F72" s="59" t="n">
        <f aca="false">IF(AND(ISNUMBER(F84),ISNUMBER(F81)),IFERROR(F84/F81,""),"")</f>
        <v>0.232126348863145</v>
      </c>
      <c r="G72" s="59" t="n">
        <f aca="false">IF(AND(ISNUMBER(G84),ISNUMBER(G81)),IFERROR(G84/G81,""),"")</f>
        <v>0.25898012540713</v>
      </c>
      <c r="H72" s="59" t="n">
        <f aca="false">IF(AND(ISNUMBER(H84),ISNUMBER(H81)),IFERROR(H84/H81,""),"")</f>
        <v>0.284922502290764</v>
      </c>
      <c r="I72" s="59" t="n">
        <f aca="false">IF(AND(ISNUMBER(I84),ISNUMBER(I81)),IFERROR(I84/I81,""),"")</f>
        <v>0.2804968512186</v>
      </c>
      <c r="J72" s="59" t="n">
        <f aca="false">IF(AND(ISNUMBER(J84),ISNUMBER(J81)),IFERROR(J84/J81,""),"")</f>
        <v>0.288544348874158</v>
      </c>
      <c r="K72" s="59" t="n">
        <f aca="false">IF(AND(ISNUMBER(K84),ISNUMBER(K81)),IFERROR(K84/K81,""),"")</f>
        <v>0.267141104126717</v>
      </c>
      <c r="L72" s="59" t="n">
        <f aca="false">IF(AND(ISNUMBER(L84),ISNUMBER(L81)),IFERROR(L84/L81,""),"")</f>
        <v>0.258636514072613</v>
      </c>
      <c r="M72" s="59" t="n">
        <f aca="false">IF(AND(ISNUMBER(M84),ISNUMBER(M81)),IFERROR(M84/M81,""),"")</f>
        <v>0.26248413223436</v>
      </c>
      <c r="N72" s="59" t="n">
        <f aca="false">IF(AND(ISNUMBER(N84),ISNUMBER(N81)),IFERROR(N84/N81,""),"")</f>
        <v>0.268954098608192</v>
      </c>
      <c r="O72" s="59" t="n">
        <f aca="false">IF(AND(ISNUMBER(O84),ISNUMBER(O81)),IFERROR(O84/O81,""),"")</f>
        <v>0.266770093083775</v>
      </c>
      <c r="P72" s="59" t="n">
        <f aca="false">IF(AND(ISNUMBER(P84),ISNUMBER(P81)),IFERROR(P84/P81,""),"")</f>
        <v>0.245993480609808</v>
      </c>
      <c r="Q72" s="59" t="n">
        <f aca="false">IF(AND(ISNUMBER(Q84),ISNUMBER(Q81)),IFERROR(Q84/Q81,""),"")</f>
        <v>0.241189135873749</v>
      </c>
      <c r="R72" s="59" t="n">
        <f aca="false">IF(AND(ISNUMBER(R84),ISNUMBER(R81)),IFERROR(R84/R81,""),"")</f>
        <v>0.236872190358084</v>
      </c>
      <c r="S72" s="59" t="n">
        <f aca="false">IF(AND(ISNUMBER(S84),ISNUMBER(S81)),IFERROR(S84/S81,""),"")</f>
        <v>0.247412406145933</v>
      </c>
      <c r="T72" s="59" t="n">
        <f aca="false">IF(AND(ISNUMBER(T84),ISNUMBER(T81)),IFERROR(T84/T81,""),"")</f>
        <v>0.229146616977565</v>
      </c>
      <c r="U72" s="59" t="n">
        <f aca="false">IF(AND(ISNUMBER(U84),ISNUMBER(U81)),IFERROR(U84/U81,""),"")</f>
        <v>0.213815382712996</v>
      </c>
      <c r="V72" s="59" t="n">
        <f aca="false">IF(AND(ISNUMBER(V84),ISNUMBER(V81)),IFERROR(V84/V81,""),"")</f>
        <v>0.205303295407615</v>
      </c>
      <c r="W72" s="59" t="n">
        <f aca="false">IF(AND(ISNUMBER(W84),ISNUMBER(W81)),IFERROR(W84/W81,""),"")</f>
        <v>0.20845937206634</v>
      </c>
      <c r="X72" s="59" t="n">
        <f aca="false">IF(AND(ISNUMBER(X84),ISNUMBER(X81)),IFERROR(X84/X81,""),"")</f>
        <v>0.214021653780241</v>
      </c>
      <c r="Y72" s="59" t="n">
        <f aca="false">IF(AND(ISNUMBER(Y84),ISNUMBER(Y81)),IFERROR(Y84/Y81,""),"")</f>
        <v>0.186402033727592</v>
      </c>
      <c r="Z72" s="59" t="n">
        <f aca="false">IF(AND(ISNUMBER(Z84),ISNUMBER(Z81)),IFERROR(Z84/Z81,""),"")</f>
        <v>0.189243519661435</v>
      </c>
      <c r="AA72" s="59" t="n">
        <f aca="false">IF(AND(ISNUMBER(AA84),ISNUMBER(AA81)),IFERROR(AA84/AA81,""),"")</f>
        <v>0.187538316658345</v>
      </c>
      <c r="AB72" s="59" t="n">
        <f aca="false">IF(AND(ISNUMBER(AB84),ISNUMBER(AB81)),IFERROR(AB84/AB81,""),"")</f>
        <v>0.193033178670522</v>
      </c>
      <c r="AC72" s="59" t="n">
        <f aca="false">IF(AND(ISNUMBER(AC84),ISNUMBER(AC81)),IFERROR(AC84/AC81,""),"")</f>
        <v>0.189058343954481</v>
      </c>
      <c r="AD72" s="59" t="n">
        <f aca="false">IF(AND(ISNUMBER(AD84),ISNUMBER(AD81)),IFERROR(AD84/AD81,""),"")</f>
        <v>0.201837640401594</v>
      </c>
      <c r="AE72" s="59" t="n">
        <f aca="false">IF(AND(ISNUMBER(AE84),ISNUMBER(AE81)),IFERROR(AE84/AE81,""),"")</f>
        <v>0.184532052713871</v>
      </c>
      <c r="AF72" s="59" t="n">
        <f aca="false">IF(AND(ISNUMBER(AF84),ISNUMBER(AF81)),IFERROR(AF84/AF81,""),"")</f>
        <v>0.190477686809765</v>
      </c>
      <c r="AG72" s="59" t="n">
        <f aca="false">IF(AND(ISNUMBER(AG84),ISNUMBER(AG81)),IFERROR(AG84/AG81,""),"")</f>
        <v>0.201921579839831</v>
      </c>
      <c r="AH72" s="59" t="n">
        <f aca="false">IF(AND(ISNUMBER(AH84),ISNUMBER(AH81)),IFERROR(AH84/AH81,""),"")</f>
        <v>0.194478095915155</v>
      </c>
      <c r="AI72" s="59" t="n">
        <f aca="false">IF(AND(ISNUMBER(AI84),ISNUMBER(AI81)),IFERROR(AI84/AI81,""),"")</f>
        <v>0.200593169638879</v>
      </c>
      <c r="AJ72" s="59" t="n">
        <f aca="false">IF(AND(ISNUMBER(AJ84),ISNUMBER(AJ81)),IFERROR(AJ84/AJ81,""),"")</f>
        <v>0.197664275118256</v>
      </c>
      <c r="AK72" s="59" t="n">
        <f aca="false">IF(AND(ISNUMBER(AK84),ISNUMBER(AK81)),IFERROR(AK84/AK81,""),"")</f>
        <v>0.191847486382713</v>
      </c>
      <c r="AL72" s="59" t="n">
        <f aca="false">IF(AND(ISNUMBER(AL84),ISNUMBER(AL81)),IFERROR(AL84/AL81,""),"")</f>
        <v>0.196233558696988</v>
      </c>
      <c r="AM72" s="59" t="n">
        <f aca="false">IF(AND(ISNUMBER(AM84),ISNUMBER(AM81)),IFERROR(AM84/AM81,""),"")</f>
        <v>0.196511289724757</v>
      </c>
      <c r="AN72" s="59" t="n">
        <f aca="false">IF(AND(ISNUMBER(AN84),ISNUMBER(AN81)),IFERROR(AN84/AN81,""),"")</f>
        <v>0.203473588839312</v>
      </c>
      <c r="AO72" s="59" t="n">
        <f aca="false">IF(AND(ISNUMBER(AO84),ISNUMBER(AO81)),IFERROR(AO84/AO81,""),"")</f>
        <v>0.183819300078631</v>
      </c>
      <c r="AP72" s="59" t="n">
        <f aca="false">IF(AND(ISNUMBER(AP84),ISNUMBER(AP81)),IFERROR(AP84/AP81,""),"")</f>
        <v>0.17969848003054</v>
      </c>
      <c r="AQ72" s="59" t="n">
        <f aca="false">IF(AND(ISNUMBER(AQ84),ISNUMBER(AQ81)),IFERROR(AQ84/AQ81,""),"")</f>
        <v>0.196192432261632</v>
      </c>
      <c r="AR72" s="59" t="n">
        <f aca="false">IF(AND(ISNUMBER(AR84),ISNUMBER(AR81)),IFERROR(AR84/AR81,""),"")</f>
        <v>0.190322571618063</v>
      </c>
      <c r="AS72" s="59" t="n">
        <f aca="false">IF(AND(ISNUMBER(AS84),ISNUMBER(AS81)),IFERROR(AS84/AS81,""),"")</f>
        <v>0.18570730920528</v>
      </c>
      <c r="AT72" s="59" t="n">
        <f aca="false">IF(AND(ISNUMBER(AT84),ISNUMBER(AT81)),IFERROR(AT84/AT81,""),"")</f>
        <v>0.157617300544828</v>
      </c>
      <c r="AU72" s="59" t="n">
        <f aca="false">IF(AND(ISNUMBER(AU84),ISNUMBER(AU81)),IFERROR(AU84/AU81,""),"")</f>
        <v>0.15394682720712</v>
      </c>
      <c r="AV72" s="59" t="n">
        <f aca="false">IF(AND(ISNUMBER(AV84),ISNUMBER(AV81)),IFERROR(AV84/AV81,""),"")</f>
        <v>0.160188632519172</v>
      </c>
      <c r="AW72" s="59" t="n">
        <f aca="false">IF(AND(ISNUMBER(AW84),ISNUMBER(AW81)),IFERROR(AW84/AW81,""),"")</f>
        <v>0.164200824642251</v>
      </c>
      <c r="AX72" s="59" t="n">
        <f aca="false">IF(AND(ISNUMBER(AX84),ISNUMBER(AX81)),IFERROR(AX84/AX81,""),"")</f>
        <v>0.175388473663118</v>
      </c>
      <c r="AY72" s="59" t="n">
        <f aca="false">IF(AND(ISNUMBER(AY84),ISNUMBER(AY81)),IFERROR(AY84/AY81,""),"")</f>
        <v>0.158688540658425</v>
      </c>
      <c r="AZ72" s="59" t="n">
        <f aca="false">IF(AND(ISNUMBER(AZ84),ISNUMBER(AZ81)),IFERROR(AZ84/AZ81,""),"")</f>
        <v>0.160388565048619</v>
      </c>
      <c r="BA72" s="59" t="n">
        <f aca="false">IF(AND(ISNUMBER(BA84),ISNUMBER(BA81)),IFERROR(BA84/BA81,""),"")</f>
        <v>0.174215378532154</v>
      </c>
      <c r="BB72" s="59" t="n">
        <f aca="false">IF(AND(ISNUMBER(BB84),ISNUMBER(BB81)),IFERROR(BB84/BB81,""),"")</f>
        <v>0.166864740918878</v>
      </c>
      <c r="BC72" s="59" t="n">
        <f aca="false">IF(AND(ISNUMBER(BC84),ISNUMBER(BC81)),IFERROR(BC84/BC81,""),"")</f>
        <v>0.185674575327881</v>
      </c>
      <c r="BD72" s="59" t="n">
        <f aca="false">IF(AND(ISNUMBER(BD84),ISNUMBER(BD81)),IFERROR(BD84/BD81,""),"")</f>
        <v>0.195197128578212</v>
      </c>
      <c r="BE72" s="59" t="n">
        <f aca="false">IF(AND(ISNUMBER(BE84),ISNUMBER(BE81)),IFERROR(BE84/BE81,""),"")</f>
        <v>0.199381545888555</v>
      </c>
      <c r="BF72" s="59" t="n">
        <f aca="false">IF(AND(ISNUMBER(BF84),ISNUMBER(BF81)),IFERROR(BF84/BF81,""),"")</f>
        <v>0.220662288821855</v>
      </c>
      <c r="BG72" s="59" t="n">
        <f aca="false">IF(AND(ISNUMBER(BG84),ISNUMBER(BG81)),IFERROR(BG84/BG81,""),"")</f>
        <v>0.20001597388592</v>
      </c>
      <c r="BH72" s="59" t="n">
        <f aca="false">IF(AND(ISNUMBER(BH84),ISNUMBER(BH81)),IFERROR(BH84/BH81,""),"")</f>
        <v>0.214409531667512</v>
      </c>
      <c r="BI72" s="59" t="n">
        <f aca="false">IF(AND(ISNUMBER(BI84),ISNUMBER(BI81)),IFERROR(BI84/BI81,""),"")</f>
        <v>0.192176464321602</v>
      </c>
      <c r="BJ72" s="59" t="n">
        <f aca="false">IF(AND(ISNUMBER(BJ84),ISNUMBER(BJ81)),IFERROR(BJ84/BJ81,""),"")</f>
        <v>0.186135737359768</v>
      </c>
      <c r="BK72" s="59" t="n">
        <f aca="false">IF(AND(ISNUMBER(BK84),ISNUMBER(BK81)),IFERROR(BK84/BK81,""),"")</f>
        <v>0.192098059994781</v>
      </c>
      <c r="BL72" s="59" t="n">
        <f aca="false">IF(AND(ISNUMBER(BL84),ISNUMBER(BL81)),IFERROR(BL84/BL81,""),"")</f>
        <v>0.195627661653073</v>
      </c>
      <c r="BM72" s="59" t="n">
        <f aca="false">IF(AND(ISNUMBER(BM84),ISNUMBER(BM81)),IFERROR(BM84/BM81,""),"")</f>
        <v>0.207114703057202</v>
      </c>
      <c r="BN72" s="59" t="n">
        <f aca="false">IF(AND(ISNUMBER(BN84),ISNUMBER(BN81)),IFERROR(BN84/BN81,""),"")</f>
        <v>0.195418369280554</v>
      </c>
      <c r="BO72" s="59" t="n">
        <f aca="false">IF(AND(ISNUMBER(BO84),ISNUMBER(BO81)),IFERROR(BO84/BO81,""),"")</f>
        <v>0.18849594408285</v>
      </c>
      <c r="BP72" s="59" t="n">
        <f aca="false">IF(AND(ISNUMBER(BP84),ISNUMBER(BP81)),IFERROR(BP84/BP81,""),"")</f>
        <v>0.194520072197041</v>
      </c>
      <c r="BQ72" s="59" t="n">
        <f aca="false">IF(AND(ISNUMBER(BQ84),ISNUMBER(BQ81)),IFERROR(BQ84/BQ81,""),"")</f>
        <v>0.196131968287425</v>
      </c>
      <c r="BR72" s="59" t="n">
        <f aca="false">IF(AND(ISNUMBER(BR84),ISNUMBER(BR81)),IFERROR(BR84/BR81,""),"")</f>
        <v>0.211625559470527</v>
      </c>
      <c r="BS72" s="59" t="n">
        <f aca="false">IF(AND(ISNUMBER(BS84),ISNUMBER(BS81)),IFERROR(BS84/BS81,""),"")</f>
        <v>0.197810589696677</v>
      </c>
      <c r="BT72" s="59" t="n">
        <f aca="false">IF(AND(ISNUMBER(BT84),ISNUMBER(BT81)),IFERROR(BT84/BT81,""),"")</f>
        <v>0.197377698167319</v>
      </c>
      <c r="BU72" s="59" t="n">
        <f aca="false">IF(AND(ISNUMBER(BU84),ISNUMBER(BU81)),IFERROR(BU84/BU81,""),"")</f>
        <v>0.203399700234951</v>
      </c>
      <c r="BV72" s="59" t="n">
        <f aca="false">IF(AND(ISNUMBER(BV84),ISNUMBER(BV81)),IFERROR(BV84/BV81,""),"")</f>
        <v>0.202427367276734</v>
      </c>
      <c r="BW72" s="59" t="n">
        <f aca="false">IF(AND(ISNUMBER(BW84),ISNUMBER(BW81)),IFERROR(BW84/BW81,""),"")</f>
        <v>0.215186560592191</v>
      </c>
      <c r="BX72" s="59" t="n">
        <f aca="false">IF(AND(ISNUMBER(BX84),ISNUMBER(BX81)),IFERROR(BX84/BX81,""),"")</f>
        <v>0.207782798428427</v>
      </c>
      <c r="BY72" s="52" t="n">
        <f aca="false">IF(AND(ISNUMBER(BY84),ISNUMBER(BY81)),IFERROR(BY84/BY81,""),"")</f>
        <v>0.209293356659607</v>
      </c>
      <c r="BZ72" s="52" t="n">
        <f aca="false">IF(AND(ISNUMBER(BZ84),ISNUMBER(BZ81)),IFERROR(BZ84/BZ81,""),"")</f>
        <v>0.218393535197257</v>
      </c>
      <c r="CA72" s="30" t="n">
        <f aca="false">IF(AND(ISNUMBER(CA84),ISNUMBER(CA81)),IFERROR(CA84/CA81,""),"")</f>
        <v>0.21256819573478</v>
      </c>
      <c r="CB72" s="30" t="n">
        <f aca="false">IF(AND(ISNUMBER(CB84),ISNUMBER(CB81)),IFERROR(CB84/CB81,""),"")</f>
        <v>0.212669767531481</v>
      </c>
      <c r="CC72" s="30" t="n">
        <f aca="false">IF(AND(ISNUMBER(CC84),ISNUMBER(CC81)),IFERROR(CC84/CC81,""),"")</f>
        <v>0.209805289464808</v>
      </c>
      <c r="CD72" s="30" t="n">
        <f aca="false">IF(AND(ISNUMBER(CD84),ISNUMBER(CD81)),IFERROR(CD84/CD81,""),"")</f>
        <v>0.208308878849508</v>
      </c>
      <c r="CE72" s="30" t="n">
        <f aca="false">IF(AND(ISNUMBER(CE84),ISNUMBER(CE81)),IFERROR(CE84/CE81,""),"")</f>
        <v>0.208308878849508</v>
      </c>
      <c r="CF72" s="21"/>
      <c r="CH72" s="64" t="n">
        <f aca="false">IFERROR(AVERAGE(CA72,CB72,CC72,CD72,CE72),"n/m")</f>
        <v>0.210332202086017</v>
      </c>
      <c r="CI72" s="64" t="n">
        <f aca="false">IFERROR(AVERAGE(BB72,BG72,BL72,BQ72,BV72),"n/m")</f>
        <v>0.192213542404406</v>
      </c>
      <c r="CJ72" s="64" t="n">
        <f aca="false">IFERROR(AVERAGE(AC72,AH72,AM72,AR72,AW72,BB72,BG72,BL72,BQ72,BV72),"n/m")</f>
        <v>0.189563883787674</v>
      </c>
      <c r="CK72" s="64" t="n">
        <f aca="false">IFERROR(AVERAGE(C72,D72,E72,F72,G72,H72,I72,N72,S72,X72,AC72,AH72,AM72,AR72,AW72,BB72,BG72,BL72,BQ72,BV72),"n/m")</f>
        <v>0.22012130960046</v>
      </c>
    </row>
    <row r="73" customFormat="false" ht="15" hidden="false" customHeight="true" outlineLevel="0" collapsed="false">
      <c r="B73" s="22" t="s">
        <v>223</v>
      </c>
      <c r="C73" s="59" t="n">
        <f aca="false">IF(ISNUMBER(C55),IFERROR(C85/C55,""),"")</f>
        <v>0.037440106372931</v>
      </c>
      <c r="D73" s="59" t="str">
        <f aca="false">IF(ISNUMBER(D55),IFERROR(D85/D55,""),"")</f>
        <v/>
      </c>
      <c r="E73" s="59" t="str">
        <f aca="false">IF(ISNUMBER(E55),IFERROR(E85/E55,""),"")</f>
        <v/>
      </c>
      <c r="F73" s="59" t="str">
        <f aca="false">IF(ISNUMBER(F55),IFERROR(F85/F55,""),"")</f>
        <v/>
      </c>
      <c r="G73" s="59" t="n">
        <f aca="false">IF(ISNUMBER(G55),IFERROR(G85/G55,""),"")</f>
        <v>0.0467681667789174</v>
      </c>
      <c r="H73" s="59" t="n">
        <f aca="false">IF(ISNUMBER(H55),IFERROR(H85/H55,""),"")</f>
        <v>0.0445456102582672</v>
      </c>
      <c r="I73" s="59" t="n">
        <f aca="false">IF(ISNUMBER(I55),IFERROR(I85/I55,""),"")</f>
        <v>0.0421337030671525</v>
      </c>
      <c r="J73" s="59" t="n">
        <f aca="false">IF(ISNUMBER(J55),IFERROR(J85/J55,""),"")</f>
        <v>0.0423559681522385</v>
      </c>
      <c r="K73" s="59" t="n">
        <f aca="false">IF(ISNUMBER(K55),IFERROR(K85/K55,""),"")</f>
        <v>0.0382847793492442</v>
      </c>
      <c r="L73" s="59" t="n">
        <f aca="false">IF(ISNUMBER(L55),IFERROR(L85/L55,""),"")</f>
        <v>0.0371669752084028</v>
      </c>
      <c r="M73" s="59" t="n">
        <f aca="false">IF(ISNUMBER(M55),IFERROR(M85/M55,""),"")</f>
        <v>0.0364950877569095</v>
      </c>
      <c r="N73" s="59" t="n">
        <f aca="false">IF(ISNUMBER(N55),IFERROR(N85/N55,""),"")</f>
        <v>0.0385269497580466</v>
      </c>
      <c r="O73" s="59" t="n">
        <f aca="false">IF(ISNUMBER(O55),IFERROR(O85/O55,""),"")</f>
        <v>0.0361201639577751</v>
      </c>
      <c r="P73" s="59" t="n">
        <f aca="false">IF(ISNUMBER(P55),IFERROR(P85/P55,""),"")</f>
        <v>0.0327935004616725</v>
      </c>
      <c r="Q73" s="59" t="n">
        <f aca="false">IF(ISNUMBER(Q55),IFERROR(Q85/Q55,""),"")</f>
        <v>0.0326090309102856</v>
      </c>
      <c r="R73" s="59" t="n">
        <f aca="false">IF(ISNUMBER(R55),IFERROR(R85/R55,""),"")</f>
        <v>0.0345333851070146</v>
      </c>
      <c r="S73" s="59" t="n">
        <f aca="false">IF(ISNUMBER(S55),IFERROR(S85/S55,""),"")</f>
        <v>0.0339529417241294</v>
      </c>
      <c r="T73" s="59" t="n">
        <f aca="false">IF(ISNUMBER(T55),IFERROR(T85/T55,""),"")</f>
        <v>0.0355578898043638</v>
      </c>
      <c r="U73" s="59" t="n">
        <f aca="false">IF(ISNUMBER(U55),IFERROR(U85/U55,""),"")</f>
        <v>0.0331733052991703</v>
      </c>
      <c r="V73" s="59" t="n">
        <f aca="false">IF(ISNUMBER(V55),IFERROR(V85/V55,""),"")</f>
        <v>0.0329421275990148</v>
      </c>
      <c r="W73" s="59" t="n">
        <f aca="false">IF(ISNUMBER(W55),IFERROR(W85/W55,""),"")</f>
        <v>0.0358229837851983</v>
      </c>
      <c r="X73" s="59" t="n">
        <f aca="false">IF(ISNUMBER(X55),IFERROR(X85/X55,""),"")</f>
        <v>0.0343123105130517</v>
      </c>
      <c r="Y73" s="59" t="n">
        <f aca="false">IF(ISNUMBER(Y55),IFERROR(Y85/Y55,""),"")</f>
        <v>0.0379313448928956</v>
      </c>
      <c r="Z73" s="59" t="n">
        <f aca="false">IF(ISNUMBER(Z55),IFERROR(Z85/Z55,""),"")</f>
        <v>0.035952395775732</v>
      </c>
      <c r="AA73" s="59" t="n">
        <f aca="false">IF(ISNUMBER(AA55),IFERROR(AA85/AA55,""),"")</f>
        <v>0.035405496715154</v>
      </c>
      <c r="AB73" s="59" t="n">
        <f aca="false">IF(ISNUMBER(AB55),IFERROR(AB85/AB55,""),"")</f>
        <v>0.036317880107472</v>
      </c>
      <c r="AC73" s="59" t="n">
        <f aca="false">IF(ISNUMBER(AC55),IFERROR(AC85/AC55,""),"")</f>
        <v>0.0363768281783932</v>
      </c>
      <c r="AD73" s="59" t="n">
        <f aca="false">IF(ISNUMBER(AD55),IFERROR(AD85/AD55,""),"")</f>
        <v>0.0374610635663236</v>
      </c>
      <c r="AE73" s="59" t="n">
        <f aca="false">IF(ISNUMBER(AE55),IFERROR(AE85/AE55,""),"")</f>
        <v>0.0341546959299286</v>
      </c>
      <c r="AF73" s="59" t="n">
        <f aca="false">IF(ISNUMBER(AF55),IFERROR(AF85/AF55,""),"")</f>
        <v>0.0342377746104786</v>
      </c>
      <c r="AG73" s="59" t="n">
        <f aca="false">IF(ISNUMBER(AG55),IFERROR(AG85/AG55,""),"")</f>
        <v>0.0364299611523818</v>
      </c>
      <c r="AH73" s="59" t="n">
        <f aca="false">IF(ISNUMBER(AH55),IFERROR(AH85/AH55,""),"")</f>
        <v>0.0355169363859538</v>
      </c>
      <c r="AI73" s="59" t="n">
        <f aca="false">IF(ISNUMBER(AI55),IFERROR(AI85/AI55,""),"")</f>
        <v>0.0355533082353313</v>
      </c>
      <c r="AJ73" s="59" t="n">
        <f aca="false">IF(ISNUMBER(AJ55),IFERROR(AJ85/AJ55,""),"")</f>
        <v>0.0346188933370736</v>
      </c>
      <c r="AK73" s="59" t="n">
        <f aca="false">IF(ISNUMBER(AK55),IFERROR(AK85/AK55,""),"")</f>
        <v>0.0337100296939401</v>
      </c>
      <c r="AL73" s="59" t="n">
        <f aca="false">IF(ISNUMBER(AL55),IFERROR(AL85/AL55,""),"")</f>
        <v>0.0364298508940656</v>
      </c>
      <c r="AM73" s="59" t="n">
        <f aca="false">IF(ISNUMBER(AM55),IFERROR(AM85/AM55,""),"")</f>
        <v>0.035053611079143</v>
      </c>
      <c r="AN73" s="59" t="n">
        <f aca="false">IF(ISNUMBER(AN55),IFERROR(AN85/AN55,""),"")</f>
        <v>0.0369164177628045</v>
      </c>
      <c r="AO73" s="59" t="n">
        <f aca="false">IF(ISNUMBER(AO55),IFERROR(AO85/AO55,""),"")</f>
        <v>0.0335772800869331</v>
      </c>
      <c r="AP73" s="59" t="n">
        <f aca="false">IF(ISNUMBER(AP55),IFERROR(AP85/AP55,""),"")</f>
        <v>0.0333453214092773</v>
      </c>
      <c r="AQ73" s="59" t="n">
        <f aca="false">IF(ISNUMBER(AQ55),IFERROR(AQ85/AQ55,""),"")</f>
        <v>0.0364423447642466</v>
      </c>
      <c r="AR73" s="59" t="n">
        <f aca="false">IF(ISNUMBER(AR55),IFERROR(AR85/AR55,""),"")</f>
        <v>0.0349941582586796</v>
      </c>
      <c r="AS73" s="59" t="n">
        <f aca="false">IF(ISNUMBER(AS55),IFERROR(AS85/AS55,""),"")</f>
        <v>0.0369832487565449</v>
      </c>
      <c r="AT73" s="59" t="n">
        <f aca="false">IF(ISNUMBER(AT55),IFERROR(AT85/AT55,""),"")</f>
        <v>0.036766248490786</v>
      </c>
      <c r="AU73" s="59" t="n">
        <f aca="false">IF(ISNUMBER(AU55),IFERROR(AU85/AU55,""),"")</f>
        <v>0.0326005981983714</v>
      </c>
      <c r="AV73" s="59" t="n">
        <f aca="false">IF(ISNUMBER(AV55),IFERROR(AV85/AV55,""),"")</f>
        <v>0.0331061859986709</v>
      </c>
      <c r="AW73" s="59" t="n">
        <f aca="false">IF(ISNUMBER(AW55),IFERROR(AW85/AW55,""),"")</f>
        <v>0.0347475944160884</v>
      </c>
      <c r="AX73" s="59" t="n">
        <f aca="false">IF(ISNUMBER(AX55),IFERROR(AX85/AX55,""),"")</f>
        <v>0.0340062438006141</v>
      </c>
      <c r="AY73" s="59" t="n">
        <f aca="false">IF(ISNUMBER(AY55),IFERROR(AY85/AY55,""),"")</f>
        <v>0.0297692896613594</v>
      </c>
      <c r="AZ73" s="59" t="n">
        <f aca="false">IF(ISNUMBER(AZ55),IFERROR(AZ85/AZ55,""),"")</f>
        <v>0.0274652173717025</v>
      </c>
      <c r="BA73" s="59" t="n">
        <f aca="false">IF(ISNUMBER(BA55),IFERROR(BA85/BA55,""),"")</f>
        <v>0.0296489431927728</v>
      </c>
      <c r="BB73" s="59" t="n">
        <f aca="false">IF(ISNUMBER(BB55),IFERROR(BB85/BB55,""),"")</f>
        <v>0.0300235925130859</v>
      </c>
      <c r="BC73" s="59" t="n">
        <f aca="false">IF(ISNUMBER(BC55),IFERROR(BC85/BC55,""),"")</f>
        <v>0.0301255129244395</v>
      </c>
      <c r="BD73" s="59" t="n">
        <f aca="false">IF(ISNUMBER(BD55),IFERROR(BD85/BD55,""),"")</f>
        <v>0.0273721385807164</v>
      </c>
      <c r="BE73" s="59" t="n">
        <f aca="false">IF(ISNUMBER(BE55),IFERROR(BE85/BE55,""),"")</f>
        <v>0.0280361588000379</v>
      </c>
      <c r="BF73" s="59" t="n">
        <f aca="false">IF(ISNUMBER(BF55),IFERROR(BF85/BF55,""),"")</f>
        <v>0.0287271980759808</v>
      </c>
      <c r="BG73" s="59" t="n">
        <f aca="false">IF(ISNUMBER(BG55),IFERROR(BG85/BG55,""),"")</f>
        <v>0.028538242414329</v>
      </c>
      <c r="BH73" s="59" t="n">
        <f aca="false">IF(ISNUMBER(BH55),IFERROR(BH85/BH55,""),"")</f>
        <v>0.0314295845528298</v>
      </c>
      <c r="BI73" s="59" t="n">
        <f aca="false">IF(ISNUMBER(BI55),IFERROR(BI85/BI55,""),"")</f>
        <v>0.0298830610447309</v>
      </c>
      <c r="BJ73" s="59" t="n">
        <f aca="false">IF(ISNUMBER(BJ55),IFERROR(BJ85/BJ55,""),"")</f>
        <v>0.0264195311256976</v>
      </c>
      <c r="BK73" s="59" t="n">
        <f aca="false">IF(ISNUMBER(BK55),IFERROR(BK85/BK55,""),"")</f>
        <v>0.0288868893858248</v>
      </c>
      <c r="BL73" s="59" t="n">
        <f aca="false">IF(ISNUMBER(BL55),IFERROR(BL85/BL55,""),"")</f>
        <v>0.0290427426937163</v>
      </c>
      <c r="BM73" s="59" t="n">
        <f aca="false">IF(ISNUMBER(BM55),IFERROR(BM85/BM55,""),"")</f>
        <v>0.0310651682115757</v>
      </c>
      <c r="BN73" s="59" t="n">
        <f aca="false">IF(ISNUMBER(BN55),IFERROR(BN85/BN55,""),"")</f>
        <v>0.0282756725561046</v>
      </c>
      <c r="BO73" s="59" t="n">
        <f aca="false">IF(ISNUMBER(BO55),IFERROR(BO85/BO55,""),"")</f>
        <v>0.0277948223511672</v>
      </c>
      <c r="BP73" s="59" t="n">
        <f aca="false">IF(ISNUMBER(BP55),IFERROR(BP85/BP55,""),"")</f>
        <v>0.0305932949407433</v>
      </c>
      <c r="BQ73" s="59" t="n">
        <f aca="false">IF(ISNUMBER(BQ55),IFERROR(BQ85/BQ55,""),"")</f>
        <v>0.0293755255547605</v>
      </c>
      <c r="BR73" s="59" t="n">
        <f aca="false">IF(ISNUMBER(BR55),IFERROR(BR85/BR55,""),"")</f>
        <v>0.030564516692878</v>
      </c>
      <c r="BS73" s="59" t="n">
        <f aca="false">IF(ISNUMBER(BS55),IFERROR(BS85/BS55,""),"")</f>
        <v>0.0315469885688095</v>
      </c>
      <c r="BT73" s="59" t="n">
        <f aca="false">IF(ISNUMBER(BT55),IFERROR(BT85/BT55,""),"")</f>
        <v>0.0293068387563714</v>
      </c>
      <c r="BU73" s="59" t="n">
        <f aca="false">IF(ISNUMBER(BU55),IFERROR(BU85/BU55,""),"")</f>
        <v>0.0309681123528544</v>
      </c>
      <c r="BV73" s="59" t="n">
        <f aca="false">IF(ISNUMBER(BV55),IFERROR(BV85/BV55,""),"")</f>
        <v>0.0305866217004128</v>
      </c>
      <c r="BW73" s="59" t="n">
        <f aca="false">IF(ISNUMBER(BW55),IFERROR(BW85/BW55,""),"")</f>
        <v>0.0330244245417523</v>
      </c>
      <c r="BX73" s="59" t="n">
        <f aca="false">IF(ISNUMBER(BX55),IFERROR(BX85/BX55,""),"")</f>
        <v>0.0301912347361665</v>
      </c>
      <c r="BY73" s="52" t="n">
        <f aca="false">BT73</f>
        <v>0.0293068387563714</v>
      </c>
      <c r="BZ73" s="52" t="n">
        <f aca="false">BU73</f>
        <v>0.0309681123528544</v>
      </c>
      <c r="CA73" s="30" t="n">
        <f aca="false">IFERROR(CA85/CA55,"")</f>
        <v>0.0308146586977545</v>
      </c>
      <c r="CB73" s="30" t="n">
        <f aca="false">$CA$73</f>
        <v>0.0308146586977545</v>
      </c>
      <c r="CC73" s="30" t="n">
        <f aca="false">$CA$73</f>
        <v>0.0308146586977545</v>
      </c>
      <c r="CD73" s="30" t="n">
        <f aca="false">$CA$73</f>
        <v>0.0308146586977545</v>
      </c>
      <c r="CE73" s="30" t="n">
        <f aca="false">$CA$73</f>
        <v>0.0308146586977545</v>
      </c>
      <c r="CF73" s="21"/>
    </row>
    <row r="74" customFormat="false" ht="15" hidden="false" customHeight="true" outlineLevel="0" collapsed="false">
      <c r="B74" s="22" t="s">
        <v>224</v>
      </c>
      <c r="C74" s="59" t="n">
        <f aca="false">IF(AND(ISNUMBER(C86),ISNUMBER(C81)),IFERROR(C86/C81,""),"")</f>
        <v>0.0321113293351838</v>
      </c>
      <c r="D74" s="59" t="n">
        <f aca="false">IF(AND(ISNUMBER(D86),ISNUMBER(D81)),IFERROR(D86/D81,""),"")</f>
        <v>0.0376530416761002</v>
      </c>
      <c r="E74" s="59" t="n">
        <f aca="false">IF(AND(ISNUMBER(E86),ISNUMBER(E81)),IFERROR(E86/E81,""),"")</f>
        <v>0.0318898780207313</v>
      </c>
      <c r="F74" s="59" t="n">
        <f aca="false">IF(AND(ISNUMBER(F86),ISNUMBER(F81)),IFERROR(F86/F81,""),"")</f>
        <v>0.0351084213340305</v>
      </c>
      <c r="G74" s="59" t="n">
        <f aca="false">IF(AND(ISNUMBER(G86),ISNUMBER(G81)),IFERROR(G86/G81,""),"")</f>
        <v>0.0242283916424789</v>
      </c>
      <c r="H74" s="59" t="n">
        <f aca="false">IF(AND(ISNUMBER(H86),ISNUMBER(H81)),IFERROR(H86/H81,""),"")</f>
        <v>0.0311262405069189</v>
      </c>
      <c r="I74" s="59" t="n">
        <f aca="false">IF(AND(ISNUMBER(I86),ISNUMBER(I81)),IFERROR(I86/I81,""),"")</f>
        <v>0.0224924659522936</v>
      </c>
      <c r="J74" s="59" t="n">
        <f aca="false">IF(AND(ISNUMBER(J86),ISNUMBER(J81)),IFERROR(J86/J81,""),"")</f>
        <v>0.0204349969867967</v>
      </c>
      <c r="K74" s="59" t="n">
        <f aca="false">IF(AND(ISNUMBER(K86),ISNUMBER(K81)),IFERROR(K86/K81,""),"")</f>
        <v>0.0201089018550231</v>
      </c>
      <c r="L74" s="59" t="n">
        <f aca="false">IF(AND(ISNUMBER(L86),ISNUMBER(L81)),IFERROR(L86/L81,""),"")</f>
        <v>0.022542794460348</v>
      </c>
      <c r="M74" s="59" t="n">
        <f aca="false">IF(AND(ISNUMBER(M86),ISNUMBER(M81)),IFERROR(M86/M81,""),"")</f>
        <v>0.026493357887397</v>
      </c>
      <c r="N74" s="59" t="n">
        <f aca="false">IF(AND(ISNUMBER(N86),ISNUMBER(N81)),IFERROR(N86/N81,""),"")</f>
        <v>0.0223809448561752</v>
      </c>
      <c r="O74" s="59" t="n">
        <f aca="false">IF(AND(ISNUMBER(O86),ISNUMBER(O81)),IFERROR(O86/O81,""),"")</f>
        <v>0.0317552463884162</v>
      </c>
      <c r="P74" s="59" t="n">
        <f aca="false">IF(AND(ISNUMBER(P86),ISNUMBER(P81)),IFERROR(P86/P81,""),"")</f>
        <v>0.0429087255106704</v>
      </c>
      <c r="Q74" s="59" t="n">
        <f aca="false">IF(AND(ISNUMBER(Q86),ISNUMBER(Q81)),IFERROR(Q86/Q81,""),"")</f>
        <v>0.020917532717475</v>
      </c>
      <c r="R74" s="59" t="n">
        <f aca="false">IF(AND(ISNUMBER(R86),ISNUMBER(R81)),IFERROR(R86/R81,""),"")</f>
        <v>0.0223221206014571</v>
      </c>
      <c r="S74" s="59" t="n">
        <f aca="false">IF(AND(ISNUMBER(S86),ISNUMBER(S81)),IFERROR(S86/S81,""),"")</f>
        <v>0.0295232099446602</v>
      </c>
      <c r="T74" s="59" t="n">
        <f aca="false">IF(AND(ISNUMBER(T86),ISNUMBER(T81)),IFERROR(T86/T81,""),"")</f>
        <v>0.0165072929677635</v>
      </c>
      <c r="U74" s="59" t="n">
        <f aca="false">IF(AND(ISNUMBER(U86),ISNUMBER(U81)),IFERROR(U86/U81,""),"")</f>
        <v>0.0196642759985161</v>
      </c>
      <c r="V74" s="59" t="n">
        <f aca="false">IF(AND(ISNUMBER(V86),ISNUMBER(V81)),IFERROR(V86/V81,""),"")</f>
        <v>0.0288336344061614</v>
      </c>
      <c r="W74" s="59" t="n">
        <f aca="false">IF(AND(ISNUMBER(W86),ISNUMBER(W81)),IFERROR(W86/W81,""),"")</f>
        <v>0.0225583255102396</v>
      </c>
      <c r="X74" s="59" t="n">
        <f aca="false">IF(AND(ISNUMBER(X86),ISNUMBER(X81)),IFERROR(X86/X81,""),"")</f>
        <v>0.0219698340553717</v>
      </c>
      <c r="Y74" s="59" t="n">
        <f aca="false">IF(AND(ISNUMBER(Y86),ISNUMBER(Y81)),IFERROR(Y86/Y81,""),"")</f>
        <v>0.0278740716978659</v>
      </c>
      <c r="Z74" s="59" t="n">
        <f aca="false">IF(AND(ISNUMBER(Z86),ISNUMBER(Z81)),IFERROR(Z86/Z81,""),"")</f>
        <v>0.034882416120293</v>
      </c>
      <c r="AA74" s="59" t="n">
        <f aca="false">IF(AND(ISNUMBER(AA86),ISNUMBER(AA81)),IFERROR(AA86/AA81,""),"")</f>
        <v>0.0315634460659457</v>
      </c>
      <c r="AB74" s="59" t="n">
        <f aca="false">IF(AND(ISNUMBER(AB86),ISNUMBER(AB81)),IFERROR(AB86/AB81,""),"")</f>
        <v>0.0355602335597206</v>
      </c>
      <c r="AC74" s="59" t="n">
        <f aca="false">IF(AND(ISNUMBER(AC86),ISNUMBER(AC81)),IFERROR(AC86/AC81,""),"")</f>
        <v>0.0325199982601288</v>
      </c>
      <c r="AD74" s="59" t="n">
        <f aca="false">IF(AND(ISNUMBER(AD86),ISNUMBER(AD81)),IFERROR(AD86/AD81,""),"")</f>
        <v>0.0285424098764498</v>
      </c>
      <c r="AE74" s="59" t="n">
        <f aca="false">IF(AND(ISNUMBER(AE86),ISNUMBER(AE81)),IFERROR(AE86/AE81,""),"")</f>
        <v>0.0291098950189859</v>
      </c>
      <c r="AF74" s="59" t="n">
        <f aca="false">IF(AND(ISNUMBER(AF86),ISNUMBER(AF81)),IFERROR(AF86/AF81,""),"")</f>
        <v>0.0243813952956905</v>
      </c>
      <c r="AG74" s="59" t="n">
        <f aca="false">IF(AND(ISNUMBER(AG86),ISNUMBER(AG81)),IFERROR(AG86/AG81,""),"")</f>
        <v>0.0259079238275334</v>
      </c>
      <c r="AH74" s="59" t="n">
        <f aca="false">IF(AND(ISNUMBER(AH86),ISNUMBER(AH81)),IFERROR(AH86/AH81,""),"")</f>
        <v>0.0269580924331343</v>
      </c>
      <c r="AI74" s="59" t="n">
        <f aca="false">IF(AND(ISNUMBER(AI86),ISNUMBER(AI81)),IFERROR(AI86/AI81,""),"")</f>
        <v>0.025944170771757</v>
      </c>
      <c r="AJ74" s="59" t="n">
        <f aca="false">IF(AND(ISNUMBER(AJ86),ISNUMBER(AJ81)),IFERROR(AJ86/AJ81,""),"")</f>
        <v>0.0231146730358359</v>
      </c>
      <c r="AK74" s="59" t="n">
        <f aca="false">IF(AND(ISNUMBER(AK86),ISNUMBER(AK81)),IFERROR(AK86/AK81,""),"")</f>
        <v>0.023463091159455</v>
      </c>
      <c r="AL74" s="59" t="n">
        <f aca="false">IF(AND(ISNUMBER(AL86),ISNUMBER(AL81)),IFERROR(AL86/AL81,""),"")</f>
        <v>0.0205015365703749</v>
      </c>
      <c r="AM74" s="59" t="n">
        <f aca="false">IF(AND(ISNUMBER(AM86),ISNUMBER(AM81)),IFERROR(AM86/AM81,""),"")</f>
        <v>0.0232336809466886</v>
      </c>
      <c r="AN74" s="59" t="n">
        <f aca="false">IF(AND(ISNUMBER(AN86),ISNUMBER(AN81)),IFERROR(AN86/AN81,""),"")</f>
        <v>0.023210841143347</v>
      </c>
      <c r="AO74" s="59" t="n">
        <f aca="false">IF(AND(ISNUMBER(AO86),ISNUMBER(AO81)),IFERROR(AO86/AO81,""),"")</f>
        <v>0.0283415375004039</v>
      </c>
      <c r="AP74" s="59" t="n">
        <f aca="false">IF(AND(ISNUMBER(AP86),ISNUMBER(AP81)),IFERROR(AP86/AP81,""),"")</f>
        <v>0.0167416307841268</v>
      </c>
      <c r="AQ74" s="59" t="n">
        <f aca="false">IF(AND(ISNUMBER(AQ86),ISNUMBER(AQ81)),IFERROR(AQ86/AQ81,""),"")</f>
        <v>0.0282960739394897</v>
      </c>
      <c r="AR74" s="59" t="n">
        <f aca="false">IF(AND(ISNUMBER(AR86),ISNUMBER(AR81)),IFERROR(AR86/AR81,""),"")</f>
        <v>0.024107100381422</v>
      </c>
      <c r="AS74" s="59" t="n">
        <f aca="false">IF(AND(ISNUMBER(AS86),ISNUMBER(AS81)),IFERROR(AS86/AS81,""),"")</f>
        <v>0.0233447432324662</v>
      </c>
      <c r="AT74" s="59" t="n">
        <f aca="false">IF(AND(ISNUMBER(AT86),ISNUMBER(AT81)),IFERROR(AT86/AT81,""),"")</f>
        <v>0.0437512257422617</v>
      </c>
      <c r="AU74" s="59" t="n">
        <f aca="false">IF(AND(ISNUMBER(AU86),ISNUMBER(AU81)),IFERROR(AU86/AU81,""),"")</f>
        <v>0.0247998437805116</v>
      </c>
      <c r="AV74" s="59" t="n">
        <f aca="false">IF(AND(ISNUMBER(AV86),ISNUMBER(AV81)),IFERROR(AV86/AV81,""),"")</f>
        <v>0.0191171964523319</v>
      </c>
      <c r="AW74" s="59" t="n">
        <f aca="false">IF(AND(ISNUMBER(AW86),ISNUMBER(AW81)),IFERROR(AW86/AW81,""),"")</f>
        <v>0.0273057113664324</v>
      </c>
      <c r="AX74" s="59" t="n">
        <f aca="false">IF(AND(ISNUMBER(AX86),ISNUMBER(AX81)),IFERROR(AX86/AX81,""),"")</f>
        <v>0.0237153823588955</v>
      </c>
      <c r="AY74" s="59" t="n">
        <f aca="false">IF(AND(ISNUMBER(AY86),ISNUMBER(AY81)),IFERROR(AY86/AY81,""),"")</f>
        <v>0.0303290725373819</v>
      </c>
      <c r="AZ74" s="59" t="n">
        <f aca="false">IF(AND(ISNUMBER(AZ86),ISNUMBER(AZ81)),IFERROR(AZ86/AZ81,""),"")</f>
        <v>0.0251827281342906</v>
      </c>
      <c r="BA74" s="59" t="n">
        <f aca="false">IF(AND(ISNUMBER(BA86),ISNUMBER(BA81)),IFERROR(BA86/BA81,""),"")</f>
        <v>0.0275798477023276</v>
      </c>
      <c r="BB74" s="59" t="n">
        <f aca="false">IF(AND(ISNUMBER(BB86),ISNUMBER(BB81)),IFERROR(BB86/BB81,""),"")</f>
        <v>0.0268033786806857</v>
      </c>
      <c r="BC74" s="59" t="n">
        <f aca="false">IF(AND(ISNUMBER(BC86),ISNUMBER(BC81)),IFERROR(BC86/BC81,""),"")</f>
        <v>0.01623675168175</v>
      </c>
      <c r="BD74" s="59" t="n">
        <f aca="false">IF(AND(ISNUMBER(BD86),ISNUMBER(BD81)),IFERROR(BD86/BD81,""),"")</f>
        <v>0.0190676999922206</v>
      </c>
      <c r="BE74" s="59" t="n">
        <f aca="false">IF(AND(ISNUMBER(BE86),ISNUMBER(BE81)),IFERROR(BE86/BE81,""),"")</f>
        <v>0.0219145486121106</v>
      </c>
      <c r="BF74" s="59" t="n">
        <f aca="false">IF(AND(ISNUMBER(BF86),ISNUMBER(BF81)),IFERROR(BF86/BF81,""),"")</f>
        <v>0.0238834513196061</v>
      </c>
      <c r="BG74" s="59" t="n">
        <f aca="false">IF(AND(ISNUMBER(BG86),ISNUMBER(BG81)),IFERROR(BG86/BG81,""),"")</f>
        <v>0.0202721506043752</v>
      </c>
      <c r="BH74" s="59" t="n">
        <f aca="false">IF(AND(ISNUMBER(BH86),ISNUMBER(BH81)),IFERROR(BH86/BH81,""),"")</f>
        <v>0.0212842619997426</v>
      </c>
      <c r="BI74" s="59" t="n">
        <f aca="false">IF(AND(ISNUMBER(BI86),ISNUMBER(BI81)),IFERROR(BI86/BI81,""),"")</f>
        <v>0.0244103987492478</v>
      </c>
      <c r="BJ74" s="59" t="n">
        <f aca="false">IF(AND(ISNUMBER(BJ86),ISNUMBER(BJ81)),IFERROR(BJ86/BJ81,""),"")</f>
        <v>0.0232524537376281</v>
      </c>
      <c r="BK74" s="59" t="n">
        <f aca="false">IF(AND(ISNUMBER(BK86),ISNUMBER(BK81)),IFERROR(BK86/BK81,""),"")</f>
        <v>0.0252219316977575</v>
      </c>
      <c r="BL74" s="59" t="n">
        <f aca="false">IF(AND(ISNUMBER(BL86),ISNUMBER(BL81)),IFERROR(BL86/BL81,""),"")</f>
        <v>0.0235938159936393</v>
      </c>
      <c r="BM74" s="59" t="n">
        <f aca="false">IF(AND(ISNUMBER(BM86),ISNUMBER(BM81)),IFERROR(BM86/BM81,""),"")</f>
        <v>0.0231366963664668</v>
      </c>
      <c r="BN74" s="59" t="n">
        <f aca="false">IF(AND(ISNUMBER(BN86),ISNUMBER(BN81)),IFERROR(BN86/BN81,""),"")</f>
        <v>0.0228704976896279</v>
      </c>
      <c r="BO74" s="59" t="n">
        <f aca="false">IF(AND(ISNUMBER(BO86),ISNUMBER(BO81)),IFERROR(BO86/BO81,""),"")</f>
        <v>0.0228879365113294</v>
      </c>
      <c r="BP74" s="59" t="n">
        <f aca="false">IF(AND(ISNUMBER(BP86),ISNUMBER(BP81)),IFERROR(BP86/BP81,""),"")</f>
        <v>0.0279915634918221</v>
      </c>
      <c r="BQ74" s="59" t="n">
        <f aca="false">IF(AND(ISNUMBER(BQ86),ISNUMBER(BQ81)),IFERROR(BQ86/BQ81,""),"")</f>
        <v>0.0241966997333187</v>
      </c>
      <c r="BR74" s="59" t="n">
        <f aca="false">IF(AND(ISNUMBER(BR86),ISNUMBER(BR81)),IFERROR(BR86/BR81,""),"")</f>
        <v>0.0273561248135098</v>
      </c>
      <c r="BS74" s="59" t="n">
        <f aca="false">IF(AND(ISNUMBER(BS86),ISNUMBER(BS81)),IFERROR(BS86/BS81,""),"")</f>
        <v>0.0279348684089755</v>
      </c>
      <c r="BT74" s="59" t="n">
        <f aca="false">IF(AND(ISNUMBER(BT86),ISNUMBER(BT81)),IFERROR(BT86/BT81,""),"")</f>
        <v>0.0281238239063222</v>
      </c>
      <c r="BU74" s="59" t="n">
        <f aca="false">IF(AND(ISNUMBER(BU86),ISNUMBER(BU81)),IFERROR(BU86/BU81,""),"")</f>
        <v>0.0313981102649275</v>
      </c>
      <c r="BV74" s="59" t="n">
        <f aca="false">IF(AND(ISNUMBER(BV86),ISNUMBER(BV81)),IFERROR(BV86/BV81,""),"")</f>
        <v>0.0286888667235983</v>
      </c>
      <c r="BW74" s="59" t="n">
        <f aca="false">IF(AND(ISNUMBER(BW86),ISNUMBER(BW81)),IFERROR(BW86/BW81,""),"")</f>
        <v>0.0284064269820125</v>
      </c>
      <c r="BX74" s="59" t="n">
        <f aca="false">IF(AND(ISNUMBER(BX86),ISNUMBER(BX81)),IFERROR(BX86/BX81,""),"")</f>
        <v>0.0255192400579617</v>
      </c>
      <c r="BY74" s="52" t="n">
        <f aca="false">($BW$86+$BX$86)/($BW$81+$BX$81)</f>
        <v>0.0268397703549061</v>
      </c>
      <c r="BZ74" s="52" t="n">
        <f aca="false">($BW$86+$BX$86)/($BW$81+$BX$81)</f>
        <v>0.0268397703549061</v>
      </c>
      <c r="CA74" s="30" t="n">
        <f aca="false">IF(AND(ISNUMBER(CA86),ISNUMBER(CA81)),IFERROR(CA86/CA81,""),"")</f>
        <v>0.0268397703549061</v>
      </c>
      <c r="CB74" s="30" t="n">
        <f aca="false">$CA$74</f>
        <v>0.0268397703549061</v>
      </c>
      <c r="CC74" s="30" t="n">
        <f aca="false">$CA$74</f>
        <v>0.0268397703549061</v>
      </c>
      <c r="CD74" s="30" t="n">
        <f aca="false">$CA$74</f>
        <v>0.0268397703549061</v>
      </c>
      <c r="CE74" s="30" t="n">
        <f aca="false">$CA$74</f>
        <v>0.0268397703549061</v>
      </c>
      <c r="CF74" s="21" t="s">
        <v>225</v>
      </c>
      <c r="CH74" s="64" t="n">
        <f aca="false">IFERROR(AVERAGE(CA74,CB74,CC74,CD74,CE74),"n/m")</f>
        <v>0.0268397703549061</v>
      </c>
      <c r="CI74" s="64" t="n">
        <f aca="false">IFERROR(AVERAGE(BB74,BG74,BL74,BQ74,BV74),"n/m")</f>
        <v>0.0247109823471234</v>
      </c>
      <c r="CJ74" s="64" t="n">
        <f aca="false">IFERROR(AVERAGE(AC74,AH74,AM74,AR74,AW74,BB74,BG74,BL74,BQ74,BV74),"n/m")</f>
        <v>0.0257679495123423</v>
      </c>
      <c r="CK74" s="64" t="n">
        <f aca="false">IFERROR(AVERAGE(C74,D74,E74,F74,G74,H74,I74,N74,S74,X74,AC74,AH74,AM74,AR74,AW74,BB74,BG74,BL74,BQ74,BV74),"n/m")</f>
        <v>0.0273081626223684</v>
      </c>
    </row>
    <row r="75" customFormat="false" ht="15" hidden="false" customHeight="true" outlineLevel="0" collapsed="false">
      <c r="B75" s="22" t="s">
        <v>226</v>
      </c>
      <c r="C75" s="38"/>
      <c r="D75" s="59" t="n">
        <f aca="false">IF(ISNUMBER(C237),IFERROR(D87/C237,""),"")</f>
        <v>0.12287505717335</v>
      </c>
      <c r="E75" s="59" t="n">
        <f aca="false">IF(ISNUMBER(D237),IFERROR(E87/D237,""),"")</f>
        <v>0.11090321390995</v>
      </c>
      <c r="F75" s="59" t="n">
        <f aca="false">IF(ISNUMBER(E237),IFERROR(F87/E237,""),"")</f>
        <v>0.110572734273557</v>
      </c>
      <c r="G75" s="59" t="n">
        <f aca="false">IF(ISNUMBER(F237),IFERROR(G87/F237,""),"")</f>
        <v>0.111822736269174</v>
      </c>
      <c r="H75" s="59" t="n">
        <f aca="false">IF(ISNUMBER(G237),IFERROR(H87/G237,""),"")</f>
        <v>0.128130392042291</v>
      </c>
      <c r="I75" s="59" t="n">
        <f aca="false">IF(ISNUMBER(H237),IFERROR(I87/H237,""),"")</f>
        <v>0.147894160977639</v>
      </c>
      <c r="J75" s="38"/>
      <c r="K75" s="38"/>
      <c r="L75" s="38"/>
      <c r="M75" s="38"/>
      <c r="N75" s="59" t="n">
        <f aca="false">IF(ISNUMBER(I237),IFERROR(N87/I237,""),"")</f>
        <v>0.142558556167474</v>
      </c>
      <c r="O75" s="38"/>
      <c r="P75" s="38"/>
      <c r="Q75" s="38"/>
      <c r="R75" s="38"/>
      <c r="S75" s="59" t="n">
        <f aca="false">IF(ISNUMBER(N237),IFERROR(S87/N237,""),"")</f>
        <v>0.136553562256782</v>
      </c>
      <c r="T75" s="38"/>
      <c r="U75" s="38"/>
      <c r="V75" s="38"/>
      <c r="W75" s="38"/>
      <c r="X75" s="59" t="n">
        <f aca="false">IF(ISNUMBER(S237),IFERROR(X87/S237,""),"")</f>
        <v>0.134438838805723</v>
      </c>
      <c r="Y75" s="38"/>
      <c r="Z75" s="38"/>
      <c r="AA75" s="38"/>
      <c r="AB75" s="38"/>
      <c r="AC75" s="59" t="n">
        <f aca="false">IF(ISNUMBER(X237),IFERROR(AC87/X237,""),"")</f>
        <v>0.141400165807645</v>
      </c>
      <c r="AD75" s="38"/>
      <c r="AE75" s="38"/>
      <c r="AF75" s="38"/>
      <c r="AG75" s="38"/>
      <c r="AH75" s="59" t="n">
        <f aca="false">IF(ISNUMBER(AC237),IFERROR(AH87/AC237,""),"")</f>
        <v>0.144180202907043</v>
      </c>
      <c r="AI75" s="38"/>
      <c r="AJ75" s="38"/>
      <c r="AK75" s="38"/>
      <c r="AL75" s="38"/>
      <c r="AM75" s="59" t="n">
        <f aca="false">IF(ISNUMBER(AH237),IFERROR(AM87/AH237,""),"")</f>
        <v>0.138836336948544</v>
      </c>
      <c r="AN75" s="38"/>
      <c r="AO75" s="38"/>
      <c r="AP75" s="38"/>
      <c r="AQ75" s="38"/>
      <c r="AR75" s="59" t="n">
        <f aca="false">IF(ISNUMBER(AM237),IFERROR(AR87/AM237,""),"")</f>
        <v>0.133401190068282</v>
      </c>
      <c r="AS75" s="38"/>
      <c r="AT75" s="38"/>
      <c r="AU75" s="38"/>
      <c r="AV75" s="38"/>
      <c r="AW75" s="59" t="n">
        <f aca="false">IF(ISNUMBER(AR237),IFERROR(AW87/AR237,""),"")</f>
        <v>0.127926209316178</v>
      </c>
      <c r="AX75" s="38"/>
      <c r="AY75" s="38"/>
      <c r="AZ75" s="38"/>
      <c r="BA75" s="38"/>
      <c r="BB75" s="59" t="n">
        <f aca="false">IF(ISNUMBER(AW237),IFERROR(BB87/AW237,""),"")</f>
        <v>0.124732950889371</v>
      </c>
      <c r="BC75" s="38"/>
      <c r="BD75" s="38"/>
      <c r="BE75" s="38"/>
      <c r="BF75" s="38"/>
      <c r="BG75" s="59" t="n">
        <f aca="false">IF(ISNUMBER(BB237),IFERROR(BG87/BB237,""),"")</f>
        <v>0.122771298305132</v>
      </c>
      <c r="BH75" s="38"/>
      <c r="BI75" s="38"/>
      <c r="BJ75" s="38"/>
      <c r="BK75" s="38"/>
      <c r="BL75" s="59" t="n">
        <f aca="false">IF(ISNUMBER(BG237),IFERROR(BL87/BG237,""),"")</f>
        <v>0.120627672633581</v>
      </c>
      <c r="BM75" s="38"/>
      <c r="BN75" s="38"/>
      <c r="BO75" s="38"/>
      <c r="BP75" s="38"/>
      <c r="BQ75" s="59" t="n">
        <f aca="false">IF(ISNUMBER(BL237),IFERROR(BQ87/BL237,""),"")</f>
        <v>0.11915388576471</v>
      </c>
      <c r="BR75" s="38"/>
      <c r="BS75" s="38"/>
      <c r="BT75" s="38"/>
      <c r="BU75" s="38"/>
      <c r="BV75" s="59" t="n">
        <f aca="false">IF(ISNUMBER(BQ237),IFERROR(BV87/BQ237,""),"")</f>
        <v>0.0972152205668114</v>
      </c>
      <c r="BW75" s="38"/>
      <c r="BX75" s="38"/>
      <c r="BY75" s="41"/>
      <c r="BZ75" s="41"/>
      <c r="CA75" s="30" t="n">
        <f aca="false">IFERROR(CA87/BV237,"")</f>
        <v>0.0902367000767486</v>
      </c>
      <c r="CB75" s="30" t="n">
        <f aca="false">$BV$75</f>
        <v>0.0972152205668114</v>
      </c>
      <c r="CC75" s="30" t="n">
        <f aca="false">$BV$75</f>
        <v>0.0972152205668114</v>
      </c>
      <c r="CD75" s="30" t="n">
        <f aca="false">$BV$75</f>
        <v>0.0972152205668114</v>
      </c>
      <c r="CE75" s="30" t="n">
        <f aca="false">$BV$75</f>
        <v>0.0972152205668114</v>
      </c>
      <c r="CF75" s="21" t="s">
        <v>227</v>
      </c>
      <c r="CH75" s="64" t="n">
        <f aca="false">IFERROR(AVERAGE(CA75,CB75,CC75,CD75,CE75),"n/m")</f>
        <v>0.0958195164687989</v>
      </c>
      <c r="CI75" s="64" t="n">
        <f aca="false">IFERROR(AVERAGE(BB75,BG75,BL75,BQ75,BV75),"n/m")</f>
        <v>0.116900205631921</v>
      </c>
      <c r="CJ75" s="64" t="n">
        <f aca="false">IFERROR(AVERAGE(AC75,AH75,AM75,AR75,AW75,BB75,BG75,BL75,BQ75,BV75),"n/m")</f>
        <v>0.12702451332073</v>
      </c>
      <c r="CK75" s="64" t="n">
        <f aca="false">IFERROR(AVERAGE(C75,D75,E75,F75,G75,H75,I75,N75,S75,X75,AC75,AH75,AM75,AR75,AW75,BB75,BG75,BL75,BQ75,BV75),"n/m")</f>
        <v>0.127157599214907</v>
      </c>
    </row>
    <row r="76" customFormat="false" ht="15" hidden="false" customHeight="true" outlineLevel="0" collapsed="false">
      <c r="B76" s="37" t="s">
        <v>228</v>
      </c>
      <c r="C76" s="23" t="n">
        <f aca="false">IF(ISNUMBER(C17),IFERROR(C92*1000/C17,""),"")</f>
        <v>133.540155440414</v>
      </c>
      <c r="D76" s="23" t="n">
        <f aca="false">IF(ISNUMBER(D17),IFERROR(D92*1000/D17,""),"")</f>
        <v>136.172328687573</v>
      </c>
      <c r="E76" s="23" t="n">
        <f aca="false">IF(ISNUMBER(E17),IFERROR(E92*1000/E17,""),"")</f>
        <v>155.033084947839</v>
      </c>
      <c r="F76" s="23" t="n">
        <f aca="false">IF(ISNUMBER(F17),IFERROR(F92*1000/F17,""),"")</f>
        <v>132.674859987554</v>
      </c>
      <c r="G76" s="23" t="n">
        <f aca="false">IF(ISNUMBER(G17),IFERROR(G92*1000/G17,""),"")</f>
        <v>139.171745585248</v>
      </c>
      <c r="H76" s="23" t="n">
        <f aca="false">IF(ISNUMBER(H17),IFERROR(H92*1000/H17,""),"")</f>
        <v>154.474795745337</v>
      </c>
      <c r="I76" s="23" t="n">
        <f aca="false">IF(ISNUMBER(I17),IFERROR(I92*1000/I17,""),"")</f>
        <v>165.201747418586</v>
      </c>
      <c r="J76" s="23" t="n">
        <f aca="false">IF(ISNUMBER(J17),IFERROR(J92*1000/J17,""),"")</f>
        <v>170.567763157895</v>
      </c>
      <c r="K76" s="23" t="n">
        <f aca="false">IF(ISNUMBER(K17),IFERROR(K92*1000/K17,""),"")</f>
        <v>164.006090133983</v>
      </c>
      <c r="L76" s="23" t="n">
        <f aca="false">IF(ISNUMBER(L17),IFERROR(L92*1000/L17,""),"")</f>
        <v>168.626865671642</v>
      </c>
      <c r="M76" s="23" t="n">
        <f aca="false">IF(ISNUMBER(M17),IFERROR(M92*1000/M17,""),"")</f>
        <v>177.827516778523</v>
      </c>
      <c r="N76" s="23" t="n">
        <f aca="false">IF(ISNUMBER(N17),IFERROR(N92*1000/N17,""),"")</f>
        <v>170.076038338658</v>
      </c>
      <c r="O76" s="23" t="n">
        <f aca="false">IF(ISNUMBER(O17),IFERROR(O92*1000/O17,""),"")</f>
        <v>179.381462799496</v>
      </c>
      <c r="P76" s="23" t="n">
        <f aca="false">IF(ISNUMBER(P17),IFERROR(P92*1000/P17,""),"")</f>
        <v>177.631639722864</v>
      </c>
      <c r="Q76" s="23" t="n">
        <f aca="false">IF(ISNUMBER(Q17),IFERROR(Q92*1000/Q17,""),"")</f>
        <v>176.528901734104</v>
      </c>
      <c r="R76" s="23" t="n">
        <f aca="false">IF(ISNUMBER(R17),IFERROR(R92*1000/R17,""),"")</f>
        <v>181.011897307451</v>
      </c>
      <c r="S76" s="23" t="n">
        <f aca="false">IF(ISNUMBER(S17),IFERROR(S92*1000/S17,""),"")</f>
        <v>178.547697863376</v>
      </c>
      <c r="T76" s="23" t="n">
        <f aca="false">IF(ISNUMBER(T17),IFERROR(T92*1000/T17,""),"")</f>
        <v>176.257457846952</v>
      </c>
      <c r="U76" s="23" t="n">
        <f aca="false">IF(ISNUMBER(U17),IFERROR(U92*1000/U17,""),"")</f>
        <v>173.617944147356</v>
      </c>
      <c r="V76" s="23" t="n">
        <f aca="false">IF(ISNUMBER(V17),IFERROR(V92*1000/V17,""),"")</f>
        <v>179.344993968637</v>
      </c>
      <c r="W76" s="23" t="n">
        <f aca="false">IF(ISNUMBER(W17),IFERROR(W92*1000/W17,""),"")</f>
        <v>180.116077384923</v>
      </c>
      <c r="X76" s="23" t="n">
        <f aca="false">IF(ISNUMBER(X17),IFERROR(X92*1000/X17,""),"")</f>
        <v>177.2976022567</v>
      </c>
      <c r="Y76" s="23" t="n">
        <f aca="false">IF(ISNUMBER(Y17),IFERROR(Y92*1000/Y17,""),"")</f>
        <v>175.355441081777</v>
      </c>
      <c r="Z76" s="23" t="n">
        <f aca="false">IF(ISNUMBER(Z17),IFERROR(Z92*1000/Z17,""),"")</f>
        <v>177.049420378279</v>
      </c>
      <c r="AA76" s="23" t="n">
        <f aca="false">IF(ISNUMBER(AA17),IFERROR(AA92*1000/AA17,""),"")</f>
        <v>179.363858363858</v>
      </c>
      <c r="AB76" s="23" t="n">
        <f aca="false">IF(ISNUMBER(AB17),IFERROR(AB92*1000/AB17,""),"")</f>
        <v>187.938911022576</v>
      </c>
      <c r="AC76" s="23" t="n">
        <f aca="false">IF(ISNUMBER(AC17),IFERROR(AC92*1000/AC17,""),"")</f>
        <v>179.849250197317</v>
      </c>
      <c r="AD76" s="23" t="n">
        <f aca="false">IF(ISNUMBER(AD17),IFERROR(AD92*1000/AD17,""),"")</f>
        <v>186.383322962041</v>
      </c>
      <c r="AE76" s="23" t="n">
        <f aca="false">IF(ISNUMBER(AE17),IFERROR(AE92*1000/AE17,""),"")</f>
        <v>186.614772727273</v>
      </c>
      <c r="AF76" s="23" t="n">
        <f aca="false">IF(ISNUMBER(AF17),IFERROR(AF92*1000/AF17,""),"")</f>
        <v>195.824308062575</v>
      </c>
      <c r="AG76" s="23" t="n">
        <f aca="false">IF(ISNUMBER(AG17),IFERROR(AG92*1000/AG17,""),"")</f>
        <v>201.927261613692</v>
      </c>
      <c r="AH76" s="23" t="n">
        <f aca="false">IF(ISNUMBER(AH17),IFERROR(AH92*1000/AH17,""),"")</f>
        <v>192.585208520852</v>
      </c>
      <c r="AI76" s="23" t="n">
        <f aca="false">IF(ISNUMBER(AI17),IFERROR(AI92*1000/AI17,""),"")</f>
        <v>206.342372881356</v>
      </c>
      <c r="AJ76" s="23" t="n">
        <f aca="false">IF(ISNUMBER(AJ17),IFERROR(AJ92*1000/AJ17,""),"")</f>
        <v>207.484994640943</v>
      </c>
      <c r="AK76" s="23" t="n">
        <f aca="false">IF(ISNUMBER(AK17),IFERROR(AK92*1000/AK17,""),"")</f>
        <v>217.339887640449</v>
      </c>
      <c r="AL76" s="23" t="n">
        <f aca="false">IF(ISNUMBER(AL17),IFERROR(AL92*1000/AL17,""),"")</f>
        <v>221.347954949615</v>
      </c>
      <c r="AM76" s="23" t="n">
        <f aca="false">IF(ISNUMBER(AM17),IFERROR(AM92*1000/AM17,""),"")</f>
        <v>212.96241024919</v>
      </c>
      <c r="AN76" s="23" t="n">
        <f aca="false">IF(ISNUMBER(AN17),IFERROR(AN92*1000/AN17,""),"")</f>
        <v>219.387133831132</v>
      </c>
      <c r="AO76" s="23" t="n">
        <f aca="false">IF(ISNUMBER(AO17),IFERROR(AO92*1000/AO17,""),"")</f>
        <v>213.672529746508</v>
      </c>
      <c r="AP76" s="23" t="n">
        <f aca="false">IF(ISNUMBER(AP17),IFERROR(AP92*1000/AP17,""),"")</f>
        <v>218.202988150438</v>
      </c>
      <c r="AQ76" s="23" t="n">
        <f aca="false">IF(ISNUMBER(AQ17),IFERROR(AQ92*1000/AQ17,""),"")</f>
        <v>231.680602006689</v>
      </c>
      <c r="AR76" s="23" t="n">
        <f aca="false">IF(ISNUMBER(AR17),IFERROR(AR92*1000/AR17,""),"")</f>
        <v>220.562694020786</v>
      </c>
      <c r="AS76" s="23" t="n">
        <f aca="false">IF(ISNUMBER(AS17),IFERROR(AS92*1000/AS17,""),"")</f>
        <v>225.328911000553</v>
      </c>
      <c r="AT76" s="23" t="n">
        <f aca="false">IF(ISNUMBER(AT17),IFERROR(AT92*1000/AT17,""),"")</f>
        <v>219.159312320917</v>
      </c>
      <c r="AU76" s="23" t="n">
        <f aca="false">IF(ISNUMBER(AU17),IFERROR(AU92*1000/AU17,""),"")</f>
        <v>217.538540071465</v>
      </c>
      <c r="AV76" s="23" t="n">
        <f aca="false">IF(ISNUMBER(AV17),IFERROR(AV92*1000/AV17,""),"")</f>
        <v>229.066164604626</v>
      </c>
      <c r="AW76" s="23" t="n">
        <f aca="false">IF(ISNUMBER(AW17),IFERROR(AW92*1000/AW17,""),"")</f>
        <v>222.770994437661</v>
      </c>
      <c r="AX76" s="23" t="n">
        <f aca="false">IF(ISNUMBER(AX17),IFERROR(AX92*1000/AX17,""),"")</f>
        <v>238.42278203724</v>
      </c>
      <c r="AY76" s="23" t="n">
        <f aca="false">IF(ISNUMBER(AY17),IFERROR(AY92*1000/AY17,""),"")</f>
        <v>242.747514910537</v>
      </c>
      <c r="AZ76" s="23" t="n">
        <f aca="false">IF(ISNUMBER(AZ17),IFERROR(AZ92*1000/AZ17,""),"")</f>
        <v>254.540419161677</v>
      </c>
      <c r="BA76" s="23" t="n">
        <f aca="false">IF(ISNUMBER(BA17),IFERROR(BA92*1000/BA17,""),"")</f>
        <v>275.262711864407</v>
      </c>
      <c r="BB76" s="23" t="n">
        <f aca="false">IF(ISNUMBER(BB17),IFERROR(BB92*1000/BB17,""),"")</f>
        <v>252.724838292367</v>
      </c>
      <c r="BC76" s="23" t="n">
        <f aca="false">IF(ISNUMBER(BC17),IFERROR(BC92*1000/BC17,""),"")</f>
        <v>284.284913353721</v>
      </c>
      <c r="BD76" s="23" t="n">
        <f aca="false">IF(ISNUMBER(BD17),IFERROR(BD92*1000/BD17,""),"")</f>
        <v>292.75439453125</v>
      </c>
      <c r="BE76" s="23" t="n">
        <f aca="false">IF(ISNUMBER(BE17),IFERROR(BE92*1000/BE17,""),"")</f>
        <v>307.679631525077</v>
      </c>
      <c r="BF76" s="23" t="n">
        <f aca="false">IF(ISNUMBER(BF17),IFERROR(BF92*1000/BF17,""),"")</f>
        <v>324.702998846597</v>
      </c>
      <c r="BG76" s="23" t="n">
        <f aca="false">IF(ISNUMBER(BG17),IFERROR(BG92*1000/BG17,""),"")</f>
        <v>301.619981811095</v>
      </c>
      <c r="BH76" s="23" t="n">
        <f aca="false">IF(ISNUMBER(BH17),IFERROR(BH92*1000/BH17,""),"")</f>
        <v>308.11855104281</v>
      </c>
      <c r="BI76" s="23" t="n">
        <f aca="false">IF(ISNUMBER(BI17),IFERROR(BI92*1000/BI17,""),"")</f>
        <v>291.556852791878</v>
      </c>
      <c r="BJ76" s="23" t="n">
        <f aca="false">IF(ISNUMBER(BJ17),IFERROR(BJ92*1000/BJ17,""),"")</f>
        <v>299.679796107507</v>
      </c>
      <c r="BK76" s="23" t="n">
        <f aca="false">IF(ISNUMBER(BK17),IFERROR(BK92*1000/BK17,""),"")</f>
        <v>311.904738641915</v>
      </c>
      <c r="BL76" s="78" t="n">
        <f aca="false">IF(ISNUMBER(BL17),IFERROR(BL92*1000/BL17,""),"")</f>
        <v>302.730648993373</v>
      </c>
      <c r="BM76" s="23" t="n">
        <f aca="false">IF(ISNUMBER(BM17),IFERROR(BM92*1000/BM17,""),"")</f>
        <v>302.117172675522</v>
      </c>
      <c r="BN76" s="23" t="n">
        <f aca="false">IF(ISNUMBER(BN17),IFERROR(BN92*1000/BN17,""),"")</f>
        <v>294.650193382037</v>
      </c>
      <c r="BO76" s="23" t="n">
        <f aca="false">IF(ISNUMBER(BO17),IFERROR(BO92*1000/BO17,""),"")</f>
        <v>301.358554014292</v>
      </c>
      <c r="BP76" s="23" t="n">
        <f aca="false">IF(ISNUMBER(BP17),IFERROR(BP92*1000/BP17,""),"")</f>
        <v>316.222631094756</v>
      </c>
      <c r="BQ76" s="23" t="n">
        <f aca="false">IF(ISNUMBER(BQ17),IFERROR(BQ92*1000/BQ17,""),"")</f>
        <v>303.394971072541</v>
      </c>
      <c r="BR76" s="78" t="n">
        <f aca="false">IF(ISNUMBER(BR17),IFERROR(BR92*1000/BR17,""),"")</f>
        <v>330.602304147465</v>
      </c>
      <c r="BS76" s="78" t="n">
        <f aca="false">IF(ISNUMBER(BS17),IFERROR(BS92*1000/BS17,""),"")</f>
        <v>317.432994250332</v>
      </c>
      <c r="BT76" s="23" t="n">
        <f aca="false">IF(ISNUMBER(BT17),IFERROR(BT92*1000/BT17,""),"")</f>
        <v>309.058722674668</v>
      </c>
      <c r="BU76" s="23" t="n">
        <f aca="false">IF(ISNUMBER(BU17),IFERROR(BU92*1000/BU17,""),"")</f>
        <v>335.457024029575</v>
      </c>
      <c r="BV76" s="23" t="n">
        <f aca="false">IF(ISNUMBER(BV17),IFERROR(BV92*1000/BV17,""),"")</f>
        <v>322.778138649345</v>
      </c>
      <c r="BW76" s="23" t="n">
        <f aca="false">IF(ISNUMBER(BW17),IFERROR(BW92*1000/BW17,""),"")</f>
        <v>337.326642335766</v>
      </c>
      <c r="BX76" s="23" t="n">
        <f aca="false">IF(ISNUMBER(BX17),IFERROR(BX92*1000/BX17,""),"")</f>
        <v>352.088945362135</v>
      </c>
      <c r="BY76" s="24" t="n">
        <f aca="false">IFERROR(BY92*1000/BY17,"")</f>
        <v>369.875442649313</v>
      </c>
      <c r="BZ76" s="24" t="n">
        <f aca="false">IFERROR(BZ92*1000/BZ17,"")</f>
        <v>393.067287460314</v>
      </c>
      <c r="CA76" s="24" t="n">
        <f aca="false">IFERROR(CA92*1000/CA17,"")</f>
        <v>363.054634664577</v>
      </c>
      <c r="CB76" s="24" t="n">
        <f aca="false">IFERROR(CB92*1000/CB17,"")</f>
        <v>374.311956386153</v>
      </c>
      <c r="CC76" s="24" t="n">
        <f aca="false">IFERROR(CC92*1000/CC17,"")</f>
        <v>381.804877678783</v>
      </c>
      <c r="CD76" s="24" t="n">
        <f aca="false">IFERROR(CD92*1000/CD17,"")</f>
        <v>392.179686795864</v>
      </c>
      <c r="CE76" s="24" t="n">
        <f aca="false">IFERROR(CE92*1000/CE17,"")</f>
        <v>406.38803082874</v>
      </c>
      <c r="CF76" s="21"/>
      <c r="CH76" s="31" t="n">
        <f aca="false">IFERROR((CE76/BV76)^(1/5)-1,"n/m")</f>
        <v>0.0471462917656686</v>
      </c>
      <c r="CI76" s="31" t="n">
        <f aca="false">IFERROR((BV76/AW76)^(1/5)-1,"n/m")</f>
        <v>0.0769836094908896</v>
      </c>
      <c r="CJ76" s="31" t="n">
        <f aca="false">IFERROR((BV76/X76)^(1/10)-1,"n/m")</f>
        <v>0.0617447569340428</v>
      </c>
      <c r="CK76" s="31" t="n">
        <f aca="false">IFERROR((BV76/C76)^(1/19)-1,"n/m")</f>
        <v>0.0475464165291175</v>
      </c>
    </row>
    <row r="77" customFormat="false" ht="15" hidden="false" customHeight="true" outlineLevel="0" collapsed="false">
      <c r="B77" s="27" t="s">
        <v>229</v>
      </c>
      <c r="C77" s="28"/>
      <c r="D77" s="29" t="n">
        <f aca="false">IF(AND(ISNUMBER(D76),ISNUMBER(C76)),IFERROR(D76/C76-1,""),"")</f>
        <v>0.0197107247514969</v>
      </c>
      <c r="E77" s="29" t="n">
        <f aca="false">IF(AND(ISNUMBER(E76),ISNUMBER(D76)),IFERROR(E76/D76-1,""),"")</f>
        <v>0.138506526561205</v>
      </c>
      <c r="F77" s="29" t="n">
        <f aca="false">IF(AND(ISNUMBER(F76),ISNUMBER(E76)),IFERROR(F76/E76-1,""),"")</f>
        <v>-0.144215829594096</v>
      </c>
      <c r="G77" s="29" t="n">
        <f aca="false">IF(AND(ISNUMBER(G76),ISNUMBER(F76)),IFERROR(G76/F76-1,""),"")</f>
        <v>0.0489684752507196</v>
      </c>
      <c r="H77" s="29" t="n">
        <f aca="false">IF(AND(ISNUMBER(H76),ISNUMBER(G76)),IFERROR(H76/G76-1,""),"")</f>
        <v>0.109958024135836</v>
      </c>
      <c r="I77" s="29" t="n">
        <f aca="false">IF(AND(ISNUMBER(I76),ISNUMBER(H76)),IFERROR(I76/H76-1,""),"")</f>
        <v>0.0694414361999449</v>
      </c>
      <c r="J77" s="28"/>
      <c r="K77" s="28"/>
      <c r="L77" s="28"/>
      <c r="M77" s="28"/>
      <c r="N77" s="29" t="n">
        <f aca="false">IF(AND(ISNUMBER(N76),ISNUMBER(I76)),IFERROR(N76/I76-1,""),"")</f>
        <v>0.0295050808858675</v>
      </c>
      <c r="O77" s="29" t="n">
        <f aca="false">IF(AND(ISNUMBER(O76),ISNUMBER(J76)),IFERROR(O76/J76-1,""),"")</f>
        <v>0.0516727163352788</v>
      </c>
      <c r="P77" s="29" t="n">
        <f aca="false">IF(AND(ISNUMBER(P76),ISNUMBER(K76)),IFERROR(P76/K76-1,""),"")</f>
        <v>0.0830795342889372</v>
      </c>
      <c r="Q77" s="29" t="n">
        <f aca="false">IF(AND(ISNUMBER(Q76),ISNUMBER(L76)),IFERROR(Q76/L76-1,""),"")</f>
        <v>0.0468610741887918</v>
      </c>
      <c r="R77" s="29" t="n">
        <f aca="false">IF(AND(ISNUMBER(R76),ISNUMBER(M76)),IFERROR(R76/M76-1,""),"")</f>
        <v>0.0179071303846299</v>
      </c>
      <c r="S77" s="29" t="n">
        <f aca="false">IF(AND(ISNUMBER(S76),ISNUMBER(N76)),IFERROR(S76/N76-1,""),"")</f>
        <v>0.0498110116361565</v>
      </c>
      <c r="T77" s="29" t="n">
        <f aca="false">IF(AND(ISNUMBER(T76),ISNUMBER(O76)),IFERROR(T76/O76-1,""),"")</f>
        <v>-0.0174154280146297</v>
      </c>
      <c r="U77" s="29" t="n">
        <f aca="false">IF(AND(ISNUMBER(U76),ISNUMBER(P76)),IFERROR(U76/P76-1,""),"")</f>
        <v>-0.0225956118052499</v>
      </c>
      <c r="V77" s="29" t="n">
        <f aca="false">IF(AND(ISNUMBER(V76),ISNUMBER(Q76)),IFERROR(V76/Q76-1,""),"")</f>
        <v>0.0159525845732307</v>
      </c>
      <c r="W77" s="29" t="n">
        <f aca="false">IF(AND(ISNUMBER(W76),ISNUMBER(R76)),IFERROR(W76/R76-1,""),"")</f>
        <v>-0.00494895604020218</v>
      </c>
      <c r="X77" s="29" t="n">
        <f aca="false">IF(AND(ISNUMBER(X76),ISNUMBER(S76)),IFERROR(X76/S76-1,""),"")</f>
        <v>-0.00700146583594408</v>
      </c>
      <c r="Y77" s="29" t="n">
        <f aca="false">IF(AND(ISNUMBER(Y76),ISNUMBER(T76)),IFERROR(Y76/T76-1,""),"")</f>
        <v>-0.00511760907137371</v>
      </c>
      <c r="Z77" s="29" t="n">
        <f aca="false">IF(AND(ISNUMBER(Z76),ISNUMBER(U76)),IFERROR(Z76/U76-1,""),"")</f>
        <v>0.0197645251922298</v>
      </c>
      <c r="AA77" s="29" t="n">
        <f aca="false">IF(AND(ISNUMBER(AA76),ISNUMBER(V76)),IFERROR(AA76/V76-1,""),"")</f>
        <v>0.000105184955565329</v>
      </c>
      <c r="AB77" s="29" t="n">
        <f aca="false">IF(AND(ISNUMBER(AB76),ISNUMBER(W76)),IFERROR(AB76/W76-1,""),"")</f>
        <v>0.0434321785774574</v>
      </c>
      <c r="AC77" s="29" t="n">
        <f aca="false">IF(AND(ISNUMBER(AC76),ISNUMBER(X76)),IFERROR(AC76/X76-1,""),"")</f>
        <v>0.014391891983528</v>
      </c>
      <c r="AD77" s="29" t="n">
        <f aca="false">IF(AND(ISNUMBER(AD76),ISNUMBER(Y76)),IFERROR(AD76/Y76-1,""),"")</f>
        <v>0.0628887350870453</v>
      </c>
      <c r="AE77" s="29" t="n">
        <f aca="false">IF(AND(ISNUMBER(AE76),ISNUMBER(Z76)),IFERROR(AE76/Z76-1,""),"")</f>
        <v>0.0540264539051085</v>
      </c>
      <c r="AF77" s="29" t="n">
        <f aca="false">IF(AND(ISNUMBER(AF76),ISNUMBER(AA76)),IFERROR(AF76/AA76-1,""),"")</f>
        <v>0.0917712734821146</v>
      </c>
      <c r="AG77" s="29" t="n">
        <f aca="false">IF(AND(ISNUMBER(AG76),ISNUMBER(AB76)),IFERROR(AG76/AB76-1,""),"")</f>
        <v>0.0744303056509419</v>
      </c>
      <c r="AH77" s="29" t="n">
        <f aca="false">IF(AND(ISNUMBER(AH76),ISNUMBER(AC76)),IFERROR(AH76/AC76-1,""),"")</f>
        <v>0.0708146311956412</v>
      </c>
      <c r="AI77" s="29" t="n">
        <f aca="false">IF(AND(ISNUMBER(AI76),ISNUMBER(AD76)),IFERROR(AI76/AD76-1,""),"")</f>
        <v>0.107086028954316</v>
      </c>
      <c r="AJ77" s="29" t="n">
        <f aca="false">IF(AND(ISNUMBER(AJ76),ISNUMBER(AE76)),IFERROR(AJ76/AE76-1,""),"")</f>
        <v>0.111835850981483</v>
      </c>
      <c r="AK77" s="29" t="n">
        <f aca="false">IF(AND(ISNUMBER(AK76),ISNUMBER(AF76)),IFERROR(AK76/AF76-1,""),"")</f>
        <v>0.109871852941765</v>
      </c>
      <c r="AL77" s="29" t="n">
        <f aca="false">IF(AND(ISNUMBER(AL76),ISNUMBER(AG76)),IFERROR(AL76/AG76-1,""),"")</f>
        <v>0.0961766785758556</v>
      </c>
      <c r="AM77" s="29" t="n">
        <f aca="false">IF(AND(ISNUMBER(AM76),ISNUMBER(AH76)),IFERROR(AM76/AH76-1,""),"")</f>
        <v>0.105808758028953</v>
      </c>
      <c r="AN77" s="29" t="n">
        <f aca="false">IF(AND(ISNUMBER(AN76),ISNUMBER(AI76)),IFERROR(AN76/AI76-1,""),"")</f>
        <v>0.0632190120120224</v>
      </c>
      <c r="AO77" s="29" t="n">
        <f aca="false">IF(AND(ISNUMBER(AO76),ISNUMBER(AJ76)),IFERROR(AO76/AJ76-1,""),"")</f>
        <v>0.0298216028405931</v>
      </c>
      <c r="AP77" s="29" t="n">
        <f aca="false">IF(AND(ISNUMBER(AP76),ISNUMBER(AK76)),IFERROR(AP76/AK76-1,""),"")</f>
        <v>0.00397120160205633</v>
      </c>
      <c r="AQ77" s="29" t="n">
        <f aca="false">IF(AND(ISNUMBER(AQ76),ISNUMBER(AL76)),IFERROR(AQ76/AL76-1,""),"")</f>
        <v>0.0466805625533169</v>
      </c>
      <c r="AR77" s="29" t="n">
        <f aca="false">IF(AND(ISNUMBER(AR76),ISNUMBER(AM76)),IFERROR(AR76/AM76-1,""),"")</f>
        <v>0.0356883816383458</v>
      </c>
      <c r="AS77" s="29" t="n">
        <f aca="false">IF(AND(ISNUMBER(AS76),ISNUMBER(AN76)),IFERROR(AS76/AN76-1,""),"")</f>
        <v>0.0270835261196074</v>
      </c>
      <c r="AT77" s="29" t="n">
        <f aca="false">IF(AND(ISNUMBER(AT76),ISNUMBER(AO76)),IFERROR(AT76/AO76-1,""),"")</f>
        <v>0.025678464989946</v>
      </c>
      <c r="AU77" s="29" t="n">
        <f aca="false">IF(AND(ISNUMBER(AU76),ISNUMBER(AP76)),IFERROR(AU76/AP76-1,""),"")</f>
        <v>-0.0030450915663669</v>
      </c>
      <c r="AV77" s="29" t="n">
        <f aca="false">IF(AND(ISNUMBER(AV76),ISNUMBER(AQ76)),IFERROR(AV76/AQ76-1,""),"")</f>
        <v>-0.0112846625026783</v>
      </c>
      <c r="AW77" s="29" t="n">
        <f aca="false">IF(AND(ISNUMBER(AW76),ISNUMBER(AR76)),IFERROR(AW76/AR76-1,""),"")</f>
        <v>0.010012121164368</v>
      </c>
      <c r="AX77" s="29" t="n">
        <f aca="false">IF(AND(ISNUMBER(AX76),ISNUMBER(AS76)),IFERROR(AX76/AS76-1,""),"")</f>
        <v>0.0581100355855135</v>
      </c>
      <c r="AY77" s="29" t="n">
        <f aca="false">IF(AND(ISNUMBER(AY76),ISNUMBER(AT76)),IFERROR(AY76/AT76-1,""),"")</f>
        <v>0.107630391516649</v>
      </c>
      <c r="AZ77" s="29" t="n">
        <f aca="false">IF(AND(ISNUMBER(AZ76),ISNUMBER(AU76)),IFERROR(AZ76/AU76-1,""),"")</f>
        <v>0.170093442192155</v>
      </c>
      <c r="BA77" s="29" t="n">
        <f aca="false">IF(AND(ISNUMBER(BA76),ISNUMBER(AV76)),IFERROR(BA76/AV76-1,""),"")</f>
        <v>0.201673378255217</v>
      </c>
      <c r="BB77" s="29" t="n">
        <f aca="false">IF(AND(ISNUMBER(BB76),ISNUMBER(AW76)),IFERROR(BB76/AW76-1,""),"")</f>
        <v>0.134460251121644</v>
      </c>
      <c r="BC77" s="29" t="n">
        <f aca="false">IF(AND(ISNUMBER(BC76),ISNUMBER(AX76)),IFERROR(BC76/AX76-1,""),"")</f>
        <v>0.192356329896853</v>
      </c>
      <c r="BD77" s="29" t="n">
        <f aca="false">IF(AND(ISNUMBER(BD76),ISNUMBER(AY76)),IFERROR(BD76/AY76-1,""),"")</f>
        <v>0.206003672742615</v>
      </c>
      <c r="BE77" s="29" t="n">
        <f aca="false">IF(AND(ISNUMBER(BE76),ISNUMBER(AZ76)),IFERROR(BE76/AZ76-1,""),"")</f>
        <v>0.208765321195011</v>
      </c>
      <c r="BF77" s="29" t="n">
        <f aca="false">IF(AND(ISNUMBER(BF76),ISNUMBER(BA76)),IFERROR(BF76/BA76-1,""),"")</f>
        <v>0.179611276250685</v>
      </c>
      <c r="BG77" s="29" t="n">
        <f aca="false">IF(AND(ISNUMBER(BG76),ISNUMBER(BB76)),IFERROR(BG76/BB76-1,""),"")</f>
        <v>0.193471855988144</v>
      </c>
      <c r="BH77" s="29" t="n">
        <f aca="false">IF(AND(ISNUMBER(BH76),ISNUMBER(BC76)),IFERROR(BH76/BC76-1,""),"")</f>
        <v>0.0838371526927793</v>
      </c>
      <c r="BI77" s="29" t="n">
        <f aca="false">IF(AND(ISNUMBER(BI76),ISNUMBER(BD76)),IFERROR(BI76/BD76-1,""),"")</f>
        <v>-0.00409060209425471</v>
      </c>
      <c r="BJ77" s="29" t="n">
        <f aca="false">IF(AND(ISNUMBER(BJ76),ISNUMBER(BE76)),IFERROR(BJ76/BE76-1,""),"")</f>
        <v>-0.0260005362653258</v>
      </c>
      <c r="BK77" s="29" t="n">
        <f aca="false">IF(AND(ISNUMBER(BK76),ISNUMBER(BF76)),IFERROR(BK76/BF76-1,""),"")</f>
        <v>-0.0394152818118223</v>
      </c>
      <c r="BL77" s="29" t="n">
        <f aca="false">IF(AND(ISNUMBER(BL76),ISNUMBER(BG76)),IFERROR(BL76/BG76-1,""),"")</f>
        <v>0.00368233953071728</v>
      </c>
      <c r="BM77" s="29" t="n">
        <f aca="false">IF(AND(ISNUMBER(BM76),ISNUMBER(BH76)),IFERROR(BM76/BH76-1,""),"")</f>
        <v>-0.0194774976935889</v>
      </c>
      <c r="BN77" s="29" t="n">
        <f aca="false">IF(AND(ISNUMBER(BN76),ISNUMBER(BI76)),IFERROR(BN76/BI76-1,""),"")</f>
        <v>0.0106097337810367</v>
      </c>
      <c r="BO77" s="29" t="n">
        <f aca="false">IF(AND(ISNUMBER(BO76),ISNUMBER(BJ76)),IFERROR(BO76/BJ76-1,""),"")</f>
        <v>0.00560183879123599</v>
      </c>
      <c r="BP77" s="29" t="n">
        <f aca="false">IF(AND(ISNUMBER(BP76),ISNUMBER(BK76)),IFERROR(BP76/BK76-1,""),"")</f>
        <v>0.0138436256904655</v>
      </c>
      <c r="BQ77" s="29" t="n">
        <f aca="false">IF(AND(ISNUMBER(BQ76),ISNUMBER(BL76)),IFERROR(BQ76/BL76-1,""),"")</f>
        <v>0.00219443284443677</v>
      </c>
      <c r="BR77" s="29" t="n">
        <f aca="false">IF(AND(ISNUMBER(BR76),ISNUMBER(BM76)),IFERROR(BR76/BM76-1,""),"")</f>
        <v>0.0942850458306683</v>
      </c>
      <c r="BS77" s="29" t="n">
        <f aca="false">IF(AND(ISNUMBER(BS76),ISNUMBER(BN76)),IFERROR(BS76/BN76-1,""),"")</f>
        <v>0.0773215201618929</v>
      </c>
      <c r="BT77" s="29" t="n">
        <f aca="false">IF(AND(ISNUMBER(BT76),ISNUMBER(BO76)),IFERROR(BT76/BO76-1,""),"")</f>
        <v>0.0255515184746042</v>
      </c>
      <c r="BU77" s="29" t="n">
        <f aca="false">IF(AND(ISNUMBER(BU76),ISNUMBER(BP76)),IFERROR(BU76/BP76-1,""),"")</f>
        <v>0.0608254787718061</v>
      </c>
      <c r="BV77" s="29" t="n">
        <f aca="false">IF(AND(ISNUMBER(BV76),ISNUMBER(BQ76)),IFERROR(BV76/BQ76-1,""),"")</f>
        <v>0.063887570411209</v>
      </c>
      <c r="BW77" s="29" t="n">
        <f aca="false">IF(AND(ISNUMBER(BW76),ISNUMBER(BR76)),IFERROR(BW76/BR76-1,""),"")</f>
        <v>0.0203396591734029</v>
      </c>
      <c r="BX77" s="29" t="n">
        <f aca="false">IF(AND(ISNUMBER(BX76),ISNUMBER(BS76)),IFERROR(BX76/BS76-1,""),"")</f>
        <v>0.10917564254355</v>
      </c>
      <c r="BY77" s="30" t="n">
        <f aca="false">IF(AND(ISNUMBER(BY76),ISNUMBER(BT76)),IFERROR(BY76/BT76-1,""),"")</f>
        <v>0.196780467635156</v>
      </c>
      <c r="BZ77" s="30" t="n">
        <f aca="false">IF(AND(ISNUMBER(BZ76),ISNUMBER(BU76)),IFERROR(BZ76/BU76-1,""),"")</f>
        <v>0.171736643754581</v>
      </c>
      <c r="CA77" s="30" t="n">
        <f aca="false">IF(AND(ISNUMBER(CA76),ISNUMBER(BV76)),IFERROR(CA76/BV76-1,""),"")</f>
        <v>0.124780743156174</v>
      </c>
      <c r="CB77" s="30" t="n">
        <f aca="false">IF(AND(ISNUMBER(CB76),ISNUMBER(CA76)),IFERROR(CB76/CA76-1,""),"")</f>
        <v>0.0310072387093392</v>
      </c>
      <c r="CC77" s="30" t="n">
        <f aca="false">IF(AND(ISNUMBER(CC76),ISNUMBER(CB76)),IFERROR(CC76/CB76-1,""),"")</f>
        <v>0.0200178518607084</v>
      </c>
      <c r="CD77" s="30" t="n">
        <f aca="false">IF(AND(ISNUMBER(CD76),ISNUMBER(CC76)),IFERROR(CD76/CC76-1,""),"")</f>
        <v>0.0271730659392189</v>
      </c>
      <c r="CE77" s="30" t="n">
        <f aca="false">IF(AND(ISNUMBER(CE76),ISNUMBER(CD76)),IFERROR(CE76/CD76-1,""),"")</f>
        <v>0.03622916869805</v>
      </c>
      <c r="CF77" s="21"/>
    </row>
    <row r="78" customFormat="false" ht="15" hidden="false" customHeight="true" outlineLevel="0" collapsed="false">
      <c r="B78" s="22" t="s">
        <v>230</v>
      </c>
      <c r="C78" s="79" t="n">
        <f aca="false">IF(AND(ISNUMBER(C109),ISNUMBER(C81)),IFERROR(C109/C81,""),"")</f>
        <v>0.000732790847087928</v>
      </c>
      <c r="D78" s="79" t="n">
        <f aca="false">IF(AND(ISNUMBER(D109),ISNUMBER(D81)),IFERROR(D109/D81,""),"")</f>
        <v>0.00105212150517916</v>
      </c>
      <c r="E78" s="79" t="n">
        <f aca="false">IF(AND(ISNUMBER(E109),ISNUMBER(E81)),IFERROR(E109/E81,""),"")</f>
        <v>0.00171192163203196</v>
      </c>
      <c r="F78" s="79" t="n">
        <f aca="false">IF(AND(ISNUMBER(F109),ISNUMBER(F81)),IFERROR(F109/F81,""),"")</f>
        <v>0.00216218507880317</v>
      </c>
      <c r="G78" s="79" t="n">
        <f aca="false">IF(AND(ISNUMBER(G109),ISNUMBER(G81)),IFERROR(G109/G81,""),"")</f>
        <v>0.00209602729709968</v>
      </c>
      <c r="H78" s="79" t="n">
        <f aca="false">IF(AND(ISNUMBER(H109),ISNUMBER(H81)),IFERROR(H109/H81,""),"")</f>
        <v>0.00174233953004395</v>
      </c>
      <c r="I78" s="79" t="n">
        <f aca="false">IF(AND(ISNUMBER(I109),ISNUMBER(I81)),IFERROR(I109/I81,""),"")</f>
        <v>0.0024456642932103</v>
      </c>
      <c r="J78" s="79" t="n">
        <f aca="false">IF(AND(ISNUMBER(J109),ISNUMBER(J81)),IFERROR(J109/J81,""),"")</f>
        <v>0.00264979272813601</v>
      </c>
      <c r="K78" s="79" t="n">
        <f aca="false">IF(AND(ISNUMBER(K109),ISNUMBER(K81)),IFERROR(K109/K81,""),"")</f>
        <v>0.00247985862584043</v>
      </c>
      <c r="L78" s="79" t="n">
        <f aca="false">IF(AND(ISNUMBER(L109),ISNUMBER(L81)),IFERROR(L109/L81,""),"")</f>
        <v>0.00247537420629369</v>
      </c>
      <c r="M78" s="79" t="n">
        <f aca="false">IF(AND(ISNUMBER(M109),ISNUMBER(M81)),IFERROR(M109/M81,""),"")</f>
        <v>0.00259426793727986</v>
      </c>
      <c r="N78" s="79" t="n">
        <f aca="false">IF(AND(ISNUMBER(N109),ISNUMBER(N81)),IFERROR(N109/N81,""),"")</f>
        <v>0.00254763873745275</v>
      </c>
      <c r="O78" s="79" t="n">
        <f aca="false">IF(AND(ISNUMBER(O109),ISNUMBER(O81)),IFERROR(O109/O81,""),"")</f>
        <v>0.00347479398124979</v>
      </c>
      <c r="P78" s="79" t="n">
        <f aca="false">IF(AND(ISNUMBER(P109),ISNUMBER(P81)),IFERROR(P109/P81,""),"")</f>
        <v>0.00315224925014906</v>
      </c>
      <c r="Q78" s="79" t="n">
        <f aca="false">IF(AND(ISNUMBER(Q109),ISNUMBER(Q81)),IFERROR(Q109/Q81,""),"")</f>
        <v>0.00313191637798306</v>
      </c>
      <c r="R78" s="79" t="n">
        <f aca="false">IF(AND(ISNUMBER(R109),ISNUMBER(R81)),IFERROR(R109/R81,""),"")</f>
        <v>0.00336349661551181</v>
      </c>
      <c r="S78" s="79" t="n">
        <f aca="false">IF(AND(ISNUMBER(S109),ISNUMBER(S81)),IFERROR(S109/S81,""),"")</f>
        <v>0.00327433092749393</v>
      </c>
      <c r="T78" s="79" t="n">
        <f aca="false">IF(AND(ISNUMBER(T109),ISNUMBER(T81)),IFERROR(T109/T81,""),"")</f>
        <v>0.00330862529093379</v>
      </c>
      <c r="U78" s="79" t="n">
        <f aca="false">IF(AND(ISNUMBER(U109),ISNUMBER(U81)),IFERROR(U109/U81,""),"")</f>
        <v>0.00299709410164461</v>
      </c>
      <c r="V78" s="79" t="n">
        <f aca="false">IF(AND(ISNUMBER(V109),ISNUMBER(V81)),IFERROR(V109/V81,""),"")</f>
        <v>0.00305644090933452</v>
      </c>
      <c r="W78" s="79" t="n">
        <f aca="false">IF(AND(ISNUMBER(W109),ISNUMBER(W81)),IFERROR(W109/W81,""),"")</f>
        <v>0.00337088418344286</v>
      </c>
      <c r="X78" s="79" t="n">
        <f aca="false">IF(AND(ISNUMBER(X109),ISNUMBER(X81)),IFERROR(X109/X81,""),"")</f>
        <v>0.00317527640379887</v>
      </c>
      <c r="Y78" s="79" t="n">
        <f aca="false">IF(AND(ISNUMBER(Y109),ISNUMBER(Y81)),IFERROR(Y109/Y81,""),"")</f>
        <v>0.00396587228494262</v>
      </c>
      <c r="Z78" s="79" t="n">
        <f aca="false">IF(AND(ISNUMBER(Z109),ISNUMBER(Z81)),IFERROR(Z109/Z81,""),"")</f>
        <v>0.0036862185601385</v>
      </c>
      <c r="AA78" s="79" t="n">
        <f aca="false">IF(AND(ISNUMBER(AA109),ISNUMBER(AA81)),IFERROR(AA109/AA81,""),"")</f>
        <v>0.00363336725213467</v>
      </c>
      <c r="AB78" s="79" t="n">
        <f aca="false">IF(AND(ISNUMBER(AB109),ISNUMBER(AB81)),IFERROR(AB109/AB81,""),"")</f>
        <v>0.00382965329105365</v>
      </c>
      <c r="AC78" s="79" t="n">
        <f aca="false">IF(AND(ISNUMBER(AC109),ISNUMBER(AC81)),IFERROR(AC109/AC81,""),"")</f>
        <v>0.00377437153308094</v>
      </c>
      <c r="AD78" s="79" t="n">
        <f aca="false">IF(AND(ISNUMBER(AD109),ISNUMBER(AD81)),IFERROR(AD109/AD81,""),"")</f>
        <v>0.00400820724394945</v>
      </c>
      <c r="AE78" s="79" t="n">
        <f aca="false">IF(AND(ISNUMBER(AE109),ISNUMBER(AE81)),IFERROR(AE109/AE81,""),"")</f>
        <v>0.00354799530935895</v>
      </c>
      <c r="AF78" s="79" t="n">
        <f aca="false">IF(AND(ISNUMBER(AF109),ISNUMBER(AF81)),IFERROR(AF109/AF81,""),"")</f>
        <v>0.0036300712445224</v>
      </c>
      <c r="AG78" s="79" t="n">
        <f aca="false">IF(AND(ISNUMBER(AG109),ISNUMBER(AG81)),IFERROR(AG109/AG81,""),"")</f>
        <v>0.00359730050304175</v>
      </c>
      <c r="AH78" s="79" t="n">
        <f aca="false">IF(AND(ISNUMBER(AH109),ISNUMBER(AH81)),IFERROR(AH109/AH81,""),"")</f>
        <v>0.00368731456427592</v>
      </c>
      <c r="AI78" s="79" t="n">
        <f aca="false">IF(AND(ISNUMBER(AI109),ISNUMBER(AI81)),IFERROR(AI109/AI81,""),"")</f>
        <v>0.00269344840315169</v>
      </c>
      <c r="AJ78" s="79" t="n">
        <f aca="false">IF(AND(ISNUMBER(AJ109),ISNUMBER(AJ81)),IFERROR(AJ109/AJ81,""),"")</f>
        <v>0.00247473946428072</v>
      </c>
      <c r="AK78" s="79" t="n">
        <f aca="false">IF(AND(ISNUMBER(AK109),ISNUMBER(AK81)),IFERROR(AK109/AK81,""),"")</f>
        <v>0.00281275113849451</v>
      </c>
      <c r="AL78" s="79" t="n">
        <f aca="false">IF(AND(ISNUMBER(AL109),ISNUMBER(AL81)),IFERROR(AL109/AL81,""),"")</f>
        <v>0.00293300553165335</v>
      </c>
      <c r="AM78" s="79" t="n">
        <f aca="false">IF(AND(ISNUMBER(AM109),ISNUMBER(AM81)),IFERROR(AM109/AM81,""),"")</f>
        <v>0.00339752903681049</v>
      </c>
      <c r="AN78" s="79" t="n">
        <f aca="false">IF(AND(ISNUMBER(AN109),ISNUMBER(AN81)),IFERROR(AN109/AN81,""),"")</f>
        <v>0.00243068409874715</v>
      </c>
      <c r="AO78" s="79" t="n">
        <f aca="false">IF(AND(ISNUMBER(AO109),ISNUMBER(AO81)),IFERROR(AO109/AO81,""),"")</f>
        <v>0.00289102640054288</v>
      </c>
      <c r="AP78" s="79" t="n">
        <f aca="false">IF(AND(ISNUMBER(AP109),ISNUMBER(AP81)),IFERROR(AP109/AP81,""),"")</f>
        <v>0.00276183590642601</v>
      </c>
      <c r="AQ78" s="79" t="n">
        <f aca="false">IF(AND(ISNUMBER(AQ109),ISNUMBER(AQ81)),IFERROR(AQ109/AQ81,""),"")</f>
        <v>0.00302890095132769</v>
      </c>
      <c r="AR78" s="79" t="n">
        <f aca="false">IF(AND(ISNUMBER(AR109),ISNUMBER(AR81)),IFERROR(AR109/AR81,""),"")</f>
        <v>0.00346274069741736</v>
      </c>
      <c r="AS78" s="79" t="n">
        <f aca="false">IF(AND(ISNUMBER(AS109),ISNUMBER(AS81)),IFERROR(AS109/AS81,""),"")</f>
        <v>0.0029502952535417</v>
      </c>
      <c r="AT78" s="79" t="n">
        <f aca="false">IF(AND(ISNUMBER(AT109),ISNUMBER(AT81)),IFERROR(AT109/AT81,""),"")</f>
        <v>0.00392237523737545</v>
      </c>
      <c r="AU78" s="79" t="n">
        <f aca="false">IF(AND(ISNUMBER(AU109),ISNUMBER(AU81)),IFERROR(AU109/AU81,""),"")</f>
        <v>0.0034692359786777</v>
      </c>
      <c r="AV78" s="79" t="n">
        <f aca="false">IF(AND(ISNUMBER(AV109),ISNUMBER(AV81)),IFERROR(AV109/AV81,""),"")</f>
        <v>0.00352374276467946</v>
      </c>
      <c r="AW78" s="79" t="n">
        <f aca="false">IF(AND(ISNUMBER(AW109),ISNUMBER(AW81)),IFERROR(AW109/AW81,""),"")</f>
        <v>0.00413528347214555</v>
      </c>
      <c r="AX78" s="79" t="n">
        <f aca="false">IF(AND(ISNUMBER(AX109),ISNUMBER(AX81)),IFERROR(AX109/AX81,""),"")</f>
        <v>0.00353458355540682</v>
      </c>
      <c r="AY78" s="79" t="n">
        <f aca="false">IF(AND(ISNUMBER(AY109),ISNUMBER(AY81)),IFERROR(AY109/AY81,""),"")</f>
        <v>0.00316802985299291</v>
      </c>
      <c r="AZ78" s="79" t="n">
        <f aca="false">IF(AND(ISNUMBER(AZ109),ISNUMBER(AZ81)),IFERROR(AZ109/AZ81,""),"")</f>
        <v>0.00304763264829216</v>
      </c>
      <c r="BA78" s="79" t="n">
        <f aca="false">IF(AND(ISNUMBER(BA109),ISNUMBER(BA81)),IFERROR(BA109/BA81,""),"")</f>
        <v>0.00299150354653603</v>
      </c>
      <c r="BB78" s="79" t="n">
        <f aca="false">IF(AND(ISNUMBER(BB109),ISNUMBER(BB81)),IFERROR(BB109/BB81,""),"")</f>
        <v>0.00380258871396214</v>
      </c>
      <c r="BC78" s="79" t="n">
        <f aca="false">IF(AND(ISNUMBER(BC109),ISNUMBER(BC81)),IFERROR(BC109/BC81,""),"")</f>
        <v>0.00310942263950056</v>
      </c>
      <c r="BD78" s="79" t="n">
        <f aca="false">IF(AND(ISNUMBER(BD109),ISNUMBER(BD81)),IFERROR(BD109/BD81,""),"")</f>
        <v>0.00235529552520676</v>
      </c>
      <c r="BE78" s="79" t="n">
        <f aca="false">IF(AND(ISNUMBER(BE109),ISNUMBER(BE81)),IFERROR(BE109/BE81,""),"")</f>
        <v>0.00259608175327354</v>
      </c>
      <c r="BF78" s="79" t="n">
        <f aca="false">IF(AND(ISNUMBER(BF109),ISNUMBER(BF81)),IFERROR(BF109/BF81,""),"")</f>
        <v>0.00297532810960676</v>
      </c>
      <c r="BG78" s="79" t="n">
        <f aca="false">IF(AND(ISNUMBER(BG109),ISNUMBER(BG81)),IFERROR(BG109/BG81,""),"")</f>
        <v>0.00316146840841716</v>
      </c>
      <c r="BH78" s="79" t="n">
        <f aca="false">IF(AND(ISNUMBER(BH109),ISNUMBER(BH81)),IFERROR(BH109/BH81,""),"")</f>
        <v>0.00336848160960434</v>
      </c>
      <c r="BI78" s="79" t="n">
        <f aca="false">IF(AND(ISNUMBER(BI109),ISNUMBER(BI81)),IFERROR(BI109/BI81,""),"")</f>
        <v>0.00359907978727999</v>
      </c>
      <c r="BJ78" s="79" t="n">
        <f aca="false">IF(AND(ISNUMBER(BJ109),ISNUMBER(BJ81)),IFERROR(BJ109/BJ81,""),"")</f>
        <v>0.00346516260204556</v>
      </c>
      <c r="BK78" s="79" t="n">
        <f aca="false">IF(AND(ISNUMBER(BK109),ISNUMBER(BK81)),IFERROR(BK109/BK81,""),"")</f>
        <v>0.0037383575723042</v>
      </c>
      <c r="BL78" s="79" t="n">
        <f aca="false">IF(AND(ISNUMBER(BL109),ISNUMBER(BL81)),IFERROR(BL109/BL81,""),"")</f>
        <v>0.00403826845878422</v>
      </c>
      <c r="BM78" s="79" t="n">
        <f aca="false">IF(AND(ISNUMBER(BM109),ISNUMBER(BM81)),IFERROR(BM109/BM81,""),"")</f>
        <v>0.00360902255639098</v>
      </c>
      <c r="BN78" s="79" t="n">
        <f aca="false">IF(AND(ISNUMBER(BN109),ISNUMBER(BN81)),IFERROR(BN109/BN81,""),"")</f>
        <v>0.00389556437702552</v>
      </c>
      <c r="BO78" s="79" t="n">
        <f aca="false">IF(AND(ISNUMBER(BO109),ISNUMBER(BO81)),IFERROR(BO109/BO81,""),"")</f>
        <v>0.00411232355186955</v>
      </c>
      <c r="BP78" s="79" t="n">
        <f aca="false">IF(AND(ISNUMBER(BP109),ISNUMBER(BP81)),IFERROR(BP109/BP81,""),"")</f>
        <v>0.00434500451231507</v>
      </c>
      <c r="BQ78" s="79" t="n">
        <f aca="false">IF(AND(ISNUMBER(BQ109),ISNUMBER(BQ81)),IFERROR(BQ109/BQ81,""),"")</f>
        <v>0.00443835199811534</v>
      </c>
      <c r="BR78" s="79" t="n">
        <f aca="false">IF(AND(ISNUMBER(BR109),ISNUMBER(BR81)),IFERROR(BR109/BR81,""),"")</f>
        <v>0.0057480239977145</v>
      </c>
      <c r="BS78" s="79" t="n">
        <f aca="false">IF(AND(ISNUMBER(BS109),ISNUMBER(BS81)),IFERROR(BS109/BS81,""),"")</f>
        <v>0.00456116948042809</v>
      </c>
      <c r="BT78" s="79" t="n">
        <f aca="false">IF(AND(ISNUMBER(BT109),ISNUMBER(BT81)),IFERROR(BT109/BT81,""),"")</f>
        <v>0.00473772217749427</v>
      </c>
      <c r="BU78" s="79" t="n">
        <f aca="false">IF(AND(ISNUMBER(BU109),ISNUMBER(BU81)),IFERROR(BU109/BU81,""),"")</f>
        <v>0.00502815360933323</v>
      </c>
      <c r="BV78" s="79" t="n">
        <f aca="false">IF(AND(ISNUMBER(BV109),ISNUMBER(BV81)),IFERROR(BV109/BV81,""),"")</f>
        <v>0.00537893062023581</v>
      </c>
      <c r="BW78" s="79" t="n">
        <f aca="false">IF(AND(ISNUMBER(BW109),ISNUMBER(BW81)),IFERROR(BW109/BW81,""),"")</f>
        <v>0.00483859364495811</v>
      </c>
      <c r="BX78" s="79" t="n">
        <f aca="false">IF(AND(ISNUMBER(BX109),ISNUMBER(BX81)),IFERROR(BX109/BX81,""),"")</f>
        <v>0.00451440364497843</v>
      </c>
      <c r="BY78" s="80" t="n">
        <f aca="false">($BW$109+$BX$109)/($BW$81+$BX$81)</f>
        <v>0.00466268040301352</v>
      </c>
      <c r="BZ78" s="80" t="n">
        <f aca="false">($BW$109+$BX$109)/($BW$81+$BX$81)</f>
        <v>0.00466268040301352</v>
      </c>
      <c r="CA78" s="81" t="n">
        <f aca="false">IF(AND(ISNUMBER(CA109),ISNUMBER(CA81)),IFERROR(CA109/CA81,""),"")</f>
        <v>0.00466268040301352</v>
      </c>
      <c r="CB78" s="81" t="n">
        <f aca="false">$CA$78</f>
        <v>0.00466268040301352</v>
      </c>
      <c r="CC78" s="81" t="n">
        <f aca="false">$CA$78</f>
        <v>0.00466268040301352</v>
      </c>
      <c r="CD78" s="81" t="n">
        <f aca="false">$CA$78</f>
        <v>0.00466268040301352</v>
      </c>
      <c r="CE78" s="81" t="n">
        <f aca="false">$CA$78</f>
        <v>0.00466268040301352</v>
      </c>
      <c r="CF78" s="21"/>
    </row>
    <row r="79" customFormat="false" ht="15" hidden="false" customHeight="true" outlineLevel="0" collapsed="false"/>
    <row r="80" customFormat="false" ht="15" hidden="false" customHeight="true" outlineLevel="0" collapsed="false">
      <c r="B80" s="11" t="s">
        <v>231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 t="s">
        <v>232</v>
      </c>
    </row>
    <row r="81" customFormat="false" ht="15" hidden="false" customHeight="true" outlineLevel="0" collapsed="false">
      <c r="B81" s="71" t="s">
        <v>233</v>
      </c>
      <c r="C81" s="82" t="n">
        <v>874.738</v>
      </c>
      <c r="D81" s="82" t="n">
        <v>976.123</v>
      </c>
      <c r="E81" s="82" t="n">
        <v>1030.421</v>
      </c>
      <c r="F81" s="82" t="n">
        <v>849.141</v>
      </c>
      <c r="G81" s="82" t="n">
        <v>902.66</v>
      </c>
      <c r="H81" s="82" t="n">
        <v>1030.224</v>
      </c>
      <c r="I81" s="82" t="n">
        <v>1098.679</v>
      </c>
      <c r="J81" s="82" t="n">
        <v>273.795</v>
      </c>
      <c r="K81" s="82" t="n">
        <v>292.557</v>
      </c>
      <c r="L81" s="82" t="n">
        <v>293.087</v>
      </c>
      <c r="M81" s="82" t="n">
        <v>279.655</v>
      </c>
      <c r="N81" s="82" t="n">
        <v>1139.094</v>
      </c>
      <c r="O81" s="82" t="n">
        <v>299.73</v>
      </c>
      <c r="P81" s="82" t="n">
        <v>330.399</v>
      </c>
      <c r="Q81" s="82" t="n">
        <v>332.544</v>
      </c>
      <c r="R81" s="82" t="n">
        <v>309.648</v>
      </c>
      <c r="S81" s="82" t="n">
        <v>1272.321</v>
      </c>
      <c r="T81" s="82" t="n">
        <v>293.022</v>
      </c>
      <c r="U81" s="82" t="n">
        <v>323.48</v>
      </c>
      <c r="V81" s="82" t="n">
        <v>317.199</v>
      </c>
      <c r="W81" s="82" t="n">
        <v>287.61</v>
      </c>
      <c r="X81" s="82" t="n">
        <v>1221.311</v>
      </c>
      <c r="Y81" s="82" t="n">
        <v>289.911</v>
      </c>
      <c r="Z81" s="82" t="n">
        <v>311.905</v>
      </c>
      <c r="AA81" s="82" t="n">
        <v>316.442</v>
      </c>
      <c r="AB81" s="82" t="n">
        <v>300.223</v>
      </c>
      <c r="AC81" s="82" t="n">
        <v>1218.481</v>
      </c>
      <c r="AD81" s="82" t="n">
        <v>317.037</v>
      </c>
      <c r="AE81" s="82" t="n">
        <v>358.16</v>
      </c>
      <c r="AF81" s="82" t="n">
        <v>350.062</v>
      </c>
      <c r="AG81" s="82" t="n">
        <v>353.251</v>
      </c>
      <c r="AH81" s="82" t="n">
        <v>1378.51</v>
      </c>
      <c r="AI81" s="82" t="n">
        <v>392.805</v>
      </c>
      <c r="AJ81" s="82" t="n">
        <v>428.732</v>
      </c>
      <c r="AK81" s="82" t="n">
        <v>425.562</v>
      </c>
      <c r="AL81" s="82" t="n">
        <v>406.75</v>
      </c>
      <c r="AM81" s="82" t="n">
        <v>1653.849</v>
      </c>
      <c r="AN81" s="82" t="n">
        <v>410.584</v>
      </c>
      <c r="AO81" s="82" t="n">
        <v>464.195</v>
      </c>
      <c r="AP81" s="82" t="n">
        <v>468.891</v>
      </c>
      <c r="AQ81" s="82" t="n">
        <v>443.065</v>
      </c>
      <c r="AR81" s="82" t="n">
        <v>1786.735</v>
      </c>
      <c r="AS81" s="82" t="n">
        <v>446.396</v>
      </c>
      <c r="AT81" s="82" t="n">
        <v>418.114</v>
      </c>
      <c r="AU81" s="82" t="n">
        <v>481.374</v>
      </c>
      <c r="AV81" s="82" t="n">
        <v>476.482</v>
      </c>
      <c r="AW81" s="82" t="n">
        <v>1822.366</v>
      </c>
      <c r="AX81" s="82" t="n">
        <v>484.074</v>
      </c>
      <c r="AY81" s="82" t="n">
        <v>571.333</v>
      </c>
      <c r="AZ81" s="82" t="n">
        <v>616.216</v>
      </c>
      <c r="BA81" s="82" t="n">
        <v>617.081</v>
      </c>
      <c r="BB81" s="82" t="n">
        <v>2288.704</v>
      </c>
      <c r="BC81" s="82" t="n">
        <v>661.216</v>
      </c>
      <c r="BD81" s="82" t="n">
        <v>745.554</v>
      </c>
      <c r="BE81" s="82" t="n">
        <v>729.561</v>
      </c>
      <c r="BF81" s="82" t="n">
        <v>655.726</v>
      </c>
      <c r="BG81" s="82" t="n">
        <v>2792.057</v>
      </c>
      <c r="BH81" s="82" t="n">
        <v>660.535</v>
      </c>
      <c r="BI81" s="82" t="n">
        <v>694.622</v>
      </c>
      <c r="BJ81" s="82" t="n">
        <v>775.144</v>
      </c>
      <c r="BK81" s="82" t="n">
        <v>751.132</v>
      </c>
      <c r="BL81" s="82" t="n">
        <v>2881.433</v>
      </c>
      <c r="BM81" s="82" t="n">
        <v>754.775</v>
      </c>
      <c r="BN81" s="82" t="n">
        <v>823.244</v>
      </c>
      <c r="BO81" s="82" t="n">
        <v>842.103</v>
      </c>
      <c r="BP81" s="82" t="n">
        <v>788.952</v>
      </c>
      <c r="BQ81" s="82" t="n">
        <v>3209.074</v>
      </c>
      <c r="BR81" s="82" t="n">
        <v>787.575</v>
      </c>
      <c r="BS81" s="82" t="n">
        <v>817.115</v>
      </c>
      <c r="BT81" s="82" t="n">
        <v>839.644</v>
      </c>
      <c r="BU81" s="82" t="n">
        <v>789.952</v>
      </c>
      <c r="BV81" s="82" t="n">
        <v>3234.286</v>
      </c>
      <c r="BW81" s="82" t="n">
        <v>806.226</v>
      </c>
      <c r="BX81" s="82" t="n">
        <v>956.494</v>
      </c>
      <c r="BY81" s="72" t="n">
        <f aca="false">BY51</f>
        <v>991.920901289707</v>
      </c>
      <c r="BZ81" s="72" t="n">
        <f aca="false">BZ51</f>
        <v>980.98855001456</v>
      </c>
      <c r="CA81" s="72" t="n">
        <f aca="false">SUM(BW81,BX81,BY81,BZ81)</f>
        <v>3735.62945130427</v>
      </c>
      <c r="CB81" s="72" t="n">
        <f aca="false">CB51</f>
        <v>4079.14721819682</v>
      </c>
      <c r="CC81" s="72" t="n">
        <f aca="false">CC51</f>
        <v>4332.35570310662</v>
      </c>
      <c r="CD81" s="72" t="n">
        <f aca="false">CD51</f>
        <v>4639.11881758981</v>
      </c>
      <c r="CE81" s="72" t="n">
        <f aca="false">CE51</f>
        <v>5017.5549351347</v>
      </c>
      <c r="CF81" s="21" t="s">
        <v>234</v>
      </c>
      <c r="CH81" s="31" t="n">
        <f aca="false">IFERROR((CE81/BV81)^(1/5)-1,"n/m")</f>
        <v>0.0917991278461392</v>
      </c>
      <c r="CI81" s="31" t="n">
        <f aca="false">IFERROR((BV81/AW81)^(1/5)-1,"n/m")</f>
        <v>0.121575627741493</v>
      </c>
      <c r="CJ81" s="31" t="n">
        <f aca="false">IFERROR((BV81/X81)^(1/10)-1,"n/m")</f>
        <v>0.102288344429296</v>
      </c>
      <c r="CK81" s="31" t="n">
        <f aca="false">IFERROR((BV81/C81)^(1/19)-1,"n/m")</f>
        <v>0.0712466977915649</v>
      </c>
    </row>
    <row r="82" customFormat="false" ht="15" hidden="false" customHeight="true" outlineLevel="0" collapsed="false">
      <c r="B82" s="22" t="s">
        <v>235</v>
      </c>
      <c r="C82" s="83" t="n">
        <v>473.956</v>
      </c>
      <c r="D82" s="83" t="n">
        <v>524.599</v>
      </c>
      <c r="E82" s="83" t="n">
        <v>537.857</v>
      </c>
      <c r="F82" s="83" t="n">
        <v>486.473</v>
      </c>
      <c r="G82" s="83" t="n">
        <v>481.197</v>
      </c>
      <c r="H82" s="83" t="n">
        <v>513.977</v>
      </c>
      <c r="I82" s="83" t="n">
        <v>546.755</v>
      </c>
      <c r="J82" s="83" t="n">
        <v>136.854</v>
      </c>
      <c r="K82" s="83" t="n">
        <v>144.309</v>
      </c>
      <c r="L82" s="83" t="n">
        <v>147.305</v>
      </c>
      <c r="M82" s="83" t="n">
        <v>144.019</v>
      </c>
      <c r="N82" s="83" t="n">
        <v>572.487</v>
      </c>
      <c r="O82" s="83" t="n">
        <v>150.222</v>
      </c>
      <c r="P82" s="83" t="n">
        <v>160.204</v>
      </c>
      <c r="Q82" s="83" t="n">
        <v>166.353</v>
      </c>
      <c r="R82" s="83" t="n">
        <v>162.854</v>
      </c>
      <c r="S82" s="83" t="n">
        <v>639.633</v>
      </c>
      <c r="T82" s="83" t="n">
        <v>157.729</v>
      </c>
      <c r="U82" s="83" t="n">
        <v>170.465</v>
      </c>
      <c r="V82" s="83" t="n">
        <v>177.623</v>
      </c>
      <c r="W82" s="83" t="n">
        <v>164.356</v>
      </c>
      <c r="X82" s="83" t="n">
        <v>670.173</v>
      </c>
      <c r="Y82" s="83" t="n">
        <v>170.266</v>
      </c>
      <c r="Z82" s="83" t="n">
        <v>175.924</v>
      </c>
      <c r="AA82" s="83" t="n">
        <v>178.687</v>
      </c>
      <c r="AB82" s="83" t="n">
        <v>171.169</v>
      </c>
      <c r="AC82" s="83" t="n">
        <v>696.046</v>
      </c>
      <c r="AD82" s="83" t="n">
        <v>180.903</v>
      </c>
      <c r="AE82" s="83" t="n">
        <v>196.388</v>
      </c>
      <c r="AF82" s="83" t="n">
        <v>194.92</v>
      </c>
      <c r="AG82" s="83" t="n">
        <v>194.579</v>
      </c>
      <c r="AH82" s="83" t="n">
        <v>766.79</v>
      </c>
      <c r="AI82" s="83" t="n">
        <v>211.124</v>
      </c>
      <c r="AJ82" s="83" t="n">
        <v>220.406</v>
      </c>
      <c r="AK82" s="83" t="n">
        <v>224.635</v>
      </c>
      <c r="AL82" s="83" t="n">
        <v>216.557</v>
      </c>
      <c r="AM82" s="83" t="n">
        <v>872.722</v>
      </c>
      <c r="AN82" s="83" t="n">
        <v>220.352</v>
      </c>
      <c r="AO82" s="83" t="n">
        <v>237.689</v>
      </c>
      <c r="AP82" s="83" t="n">
        <v>250.162</v>
      </c>
      <c r="AQ82" s="83" t="n">
        <v>239.708</v>
      </c>
      <c r="AR82" s="83" t="n">
        <v>947.911</v>
      </c>
      <c r="AS82" s="83" t="n">
        <v>238.645</v>
      </c>
      <c r="AT82" s="83" t="n">
        <v>224.277</v>
      </c>
      <c r="AU82" s="83" t="n">
        <v>252.092</v>
      </c>
      <c r="AV82" s="83" t="n">
        <v>248.246</v>
      </c>
      <c r="AW82" s="83" t="n">
        <v>963.26</v>
      </c>
      <c r="AX82" s="83" t="n">
        <v>244.437</v>
      </c>
      <c r="AY82" s="83" t="n">
        <v>268.786</v>
      </c>
      <c r="AZ82" s="83" t="n">
        <v>277.087</v>
      </c>
      <c r="BA82" s="83" t="n">
        <v>273.393</v>
      </c>
      <c r="BB82" s="83" t="n">
        <v>1063.703</v>
      </c>
      <c r="BC82" s="83" t="n">
        <v>289.463</v>
      </c>
      <c r="BD82" s="83" t="n">
        <v>295.052</v>
      </c>
      <c r="BE82" s="83" t="n">
        <v>297.247</v>
      </c>
      <c r="BF82" s="83" t="n">
        <v>287.777</v>
      </c>
      <c r="BG82" s="83" t="n">
        <v>1169.539</v>
      </c>
      <c r="BH82" s="83" t="n">
        <v>298.956</v>
      </c>
      <c r="BI82" s="83" t="n">
        <v>311.888</v>
      </c>
      <c r="BJ82" s="83" t="n">
        <v>344.605</v>
      </c>
      <c r="BK82" s="83" t="n">
        <v>345.831</v>
      </c>
      <c r="BL82" s="83" t="n">
        <v>1301.28</v>
      </c>
      <c r="BM82" s="83" t="n">
        <v>341.713</v>
      </c>
      <c r="BN82" s="83" t="n">
        <v>372.24</v>
      </c>
      <c r="BO82" s="83" t="n">
        <v>398.134</v>
      </c>
      <c r="BP82" s="83" t="n">
        <v>375.76</v>
      </c>
      <c r="BQ82" s="83" t="n">
        <v>1487.847</v>
      </c>
      <c r="BR82" s="83" t="n">
        <v>389.256</v>
      </c>
      <c r="BS82" s="83" t="n">
        <v>390.975</v>
      </c>
      <c r="BT82" s="83" t="n">
        <v>401.058</v>
      </c>
      <c r="BU82" s="83" t="n">
        <v>398.504</v>
      </c>
      <c r="BV82" s="83" t="n">
        <v>1579.793</v>
      </c>
      <c r="BW82" s="83" t="n">
        <v>393.296</v>
      </c>
      <c r="BX82" s="83" t="n">
        <v>434.385</v>
      </c>
      <c r="BY82" s="66" t="n">
        <f aca="false">BY62*BY81-(BY83+BY84+BY85+BY86+BY87+BY88)</f>
        <v>462.771515902663</v>
      </c>
      <c r="BZ82" s="66" t="n">
        <f aca="false">BZ62*BZ81-(BZ83+BZ84+BZ85+BZ86+BZ87+BZ88)</f>
        <v>451.712975926981</v>
      </c>
      <c r="CA82" s="67" t="n">
        <f aca="false">SUM(BW82,BX82,BY82,BZ82)</f>
        <v>1742.16549182964</v>
      </c>
      <c r="CB82" s="67" t="n">
        <f aca="false">CB17*CB66/1000</f>
        <v>1856.4411985957</v>
      </c>
      <c r="CC82" s="67" t="n">
        <f aca="false">CC17*CC66/1000</f>
        <v>1978.5876406426</v>
      </c>
      <c r="CD82" s="67" t="n">
        <f aca="false">CD17*CD66/1000</f>
        <v>2119.46308065636</v>
      </c>
      <c r="CE82" s="67" t="n">
        <f aca="false">CE17*CE66/1000</f>
        <v>2259.45361713371</v>
      </c>
      <c r="CF82" s="21" t="s">
        <v>236</v>
      </c>
    </row>
    <row r="83" customFormat="false" ht="15" hidden="false" customHeight="true" outlineLevel="0" collapsed="false">
      <c r="B83" s="22" t="s">
        <v>237</v>
      </c>
      <c r="C83" s="83" t="n">
        <v>70.029</v>
      </c>
      <c r="D83" s="83" t="n">
        <v>76.123</v>
      </c>
      <c r="E83" s="83" t="n">
        <v>78.462</v>
      </c>
      <c r="F83" s="83" t="n">
        <v>64.728</v>
      </c>
      <c r="G83" s="83" t="n">
        <v>80.859</v>
      </c>
      <c r="H83" s="83" t="n">
        <v>87.159</v>
      </c>
      <c r="I83" s="83" t="n">
        <v>74.521</v>
      </c>
      <c r="J83" s="83" t="n">
        <v>16.771</v>
      </c>
      <c r="K83" s="83" t="n">
        <v>19.338</v>
      </c>
      <c r="L83" s="83" t="n">
        <v>18.914</v>
      </c>
      <c r="M83" s="83" t="n">
        <v>17.952</v>
      </c>
      <c r="N83" s="83" t="n">
        <v>72.975</v>
      </c>
      <c r="O83" s="83" t="n">
        <v>21.991</v>
      </c>
      <c r="P83" s="83" t="n">
        <v>27.926</v>
      </c>
      <c r="Q83" s="83" t="n">
        <v>27.479</v>
      </c>
      <c r="R83" s="83" t="n">
        <v>22.214</v>
      </c>
      <c r="S83" s="83" t="n">
        <v>99.61</v>
      </c>
      <c r="T83" s="83" t="n">
        <v>17.714</v>
      </c>
      <c r="U83" s="83" t="n">
        <v>20.184</v>
      </c>
      <c r="V83" s="83" t="n">
        <v>19.314</v>
      </c>
      <c r="W83" s="83" t="n">
        <v>13.399</v>
      </c>
      <c r="X83" s="83" t="n">
        <v>70.611</v>
      </c>
      <c r="Y83" s="83" t="n">
        <v>12.467</v>
      </c>
      <c r="Z83" s="83" t="n">
        <v>14.315</v>
      </c>
      <c r="AA83" s="83" t="n">
        <v>15.657</v>
      </c>
      <c r="AB83" s="83" t="n">
        <v>13.89</v>
      </c>
      <c r="AC83" s="83" t="n">
        <v>56.329</v>
      </c>
      <c r="AD83" s="83" t="n">
        <v>14.775</v>
      </c>
      <c r="AE83" s="83" t="n">
        <v>22.363</v>
      </c>
      <c r="AF83" s="83" t="n">
        <v>23.074</v>
      </c>
      <c r="AG83" s="83" t="n">
        <v>21.27</v>
      </c>
      <c r="AH83" s="83" t="n">
        <v>81.482</v>
      </c>
      <c r="AI83" s="83" t="n">
        <v>29.916</v>
      </c>
      <c r="AJ83" s="83" t="n">
        <v>34.113</v>
      </c>
      <c r="AK83" s="83" t="n">
        <v>31.216</v>
      </c>
      <c r="AL83" s="83" t="n">
        <v>28.659</v>
      </c>
      <c r="AM83" s="83" t="n">
        <v>123.904</v>
      </c>
      <c r="AN83" s="83" t="n">
        <v>28.418</v>
      </c>
      <c r="AO83" s="83" t="n">
        <v>34.154</v>
      </c>
      <c r="AP83" s="83" t="n">
        <v>35.843</v>
      </c>
      <c r="AQ83" s="83" t="n">
        <v>31.565</v>
      </c>
      <c r="AR83" s="83" t="n">
        <v>129.98</v>
      </c>
      <c r="AS83" s="83" t="n">
        <v>30.059</v>
      </c>
      <c r="AT83" s="83" t="n">
        <v>26.406</v>
      </c>
      <c r="AU83" s="83" t="n">
        <v>40.053</v>
      </c>
      <c r="AV83" s="83" t="n">
        <v>44.851</v>
      </c>
      <c r="AW83" s="83" t="n">
        <v>141.369</v>
      </c>
      <c r="AX83" s="83" t="n">
        <v>45.031</v>
      </c>
      <c r="AY83" s="83" t="n">
        <v>62.481</v>
      </c>
      <c r="AZ83" s="83" t="n">
        <v>72.193</v>
      </c>
      <c r="BA83" s="83" t="n">
        <v>70.005</v>
      </c>
      <c r="BB83" s="83" t="n">
        <v>249.71</v>
      </c>
      <c r="BC83" s="83" t="n">
        <v>78.248</v>
      </c>
      <c r="BD83" s="83" t="n">
        <v>91.819</v>
      </c>
      <c r="BE83" s="83" t="n">
        <v>85.452</v>
      </c>
      <c r="BF83" s="83" t="n">
        <v>60.377</v>
      </c>
      <c r="BG83" s="83" t="n">
        <v>315.896</v>
      </c>
      <c r="BH83" s="83" t="n">
        <v>46.727</v>
      </c>
      <c r="BI83" s="83" t="n">
        <v>49.771</v>
      </c>
      <c r="BJ83" s="83" t="n">
        <v>76.746</v>
      </c>
      <c r="BK83" s="83" t="n">
        <v>65.444</v>
      </c>
      <c r="BL83" s="83" t="n">
        <v>238.688</v>
      </c>
      <c r="BM83" s="83" t="n">
        <v>52.507</v>
      </c>
      <c r="BN83" s="83" t="n">
        <v>61.047</v>
      </c>
      <c r="BO83" s="83" t="n">
        <v>65.584</v>
      </c>
      <c r="BP83" s="83" t="n">
        <v>58.168</v>
      </c>
      <c r="BQ83" s="83" t="n">
        <v>237.306</v>
      </c>
      <c r="BR83" s="83" t="n">
        <v>59.849</v>
      </c>
      <c r="BS83" s="83" t="n">
        <v>57.699</v>
      </c>
      <c r="BT83" s="83" t="n">
        <v>59.329</v>
      </c>
      <c r="BU83" s="83" t="n">
        <v>57.718</v>
      </c>
      <c r="BV83" s="83" t="n">
        <v>234.595</v>
      </c>
      <c r="BW83" s="83" t="n">
        <v>64.328</v>
      </c>
      <c r="BX83" s="83" t="n">
        <v>84.98</v>
      </c>
      <c r="BY83" s="66" t="n">
        <f aca="false">BY81*BY70</f>
        <v>88.1275138072997</v>
      </c>
      <c r="BZ83" s="66" t="n">
        <f aca="false">BZ81*BZ70</f>
        <v>87.1562257371581</v>
      </c>
      <c r="CA83" s="67" t="n">
        <f aca="false">SUM(BW83,BX83,BY83,BZ83)</f>
        <v>324.591739544458</v>
      </c>
      <c r="CB83" s="67" t="n">
        <f aca="false">CB81*CB70</f>
        <v>326.331777455745</v>
      </c>
      <c r="CC83" s="67" t="n">
        <f aca="false">CC81*CC70</f>
        <v>346.58845624853</v>
      </c>
      <c r="CD83" s="67" t="n">
        <f aca="false">CD81*CD70</f>
        <v>371.129505407185</v>
      </c>
      <c r="CE83" s="67" t="n">
        <f aca="false">CE81*CE70</f>
        <v>401.404394810776</v>
      </c>
      <c r="CF83" s="21"/>
    </row>
    <row r="84" customFormat="false" ht="15" hidden="false" customHeight="true" outlineLevel="0" collapsed="false">
      <c r="B84" s="22" t="s">
        <v>238</v>
      </c>
      <c r="C84" s="83" t="n">
        <v>188.606</v>
      </c>
      <c r="D84" s="83" t="n">
        <v>227.198</v>
      </c>
      <c r="E84" s="83" t="n">
        <v>279.763</v>
      </c>
      <c r="F84" s="83" t="n">
        <v>197.108</v>
      </c>
      <c r="G84" s="83" t="n">
        <v>233.771</v>
      </c>
      <c r="H84" s="83" t="n">
        <v>293.534</v>
      </c>
      <c r="I84" s="83" t="n">
        <v>308.176</v>
      </c>
      <c r="J84" s="83" t="n">
        <v>79.002</v>
      </c>
      <c r="K84" s="83" t="n">
        <v>78.154</v>
      </c>
      <c r="L84" s="83" t="n">
        <v>75.803</v>
      </c>
      <c r="M84" s="83" t="n">
        <v>73.405</v>
      </c>
      <c r="N84" s="83" t="n">
        <v>306.364</v>
      </c>
      <c r="O84" s="83" t="n">
        <v>79.959</v>
      </c>
      <c r="P84" s="83" t="n">
        <v>81.276</v>
      </c>
      <c r="Q84" s="83" t="n">
        <v>80.206</v>
      </c>
      <c r="R84" s="83" t="n">
        <v>73.347</v>
      </c>
      <c r="S84" s="83" t="n">
        <v>314.788</v>
      </c>
      <c r="T84" s="83" t="n">
        <v>67.145</v>
      </c>
      <c r="U84" s="83" t="n">
        <v>69.165</v>
      </c>
      <c r="V84" s="83" t="n">
        <v>65.122</v>
      </c>
      <c r="W84" s="83" t="n">
        <v>59.955</v>
      </c>
      <c r="X84" s="83" t="n">
        <v>261.387</v>
      </c>
      <c r="Y84" s="83" t="n">
        <v>54.04</v>
      </c>
      <c r="Z84" s="83" t="n">
        <v>59.026</v>
      </c>
      <c r="AA84" s="83" t="n">
        <v>59.345</v>
      </c>
      <c r="AB84" s="83" t="n">
        <v>57.953</v>
      </c>
      <c r="AC84" s="83" t="n">
        <v>230.364</v>
      </c>
      <c r="AD84" s="83" t="n">
        <v>63.99</v>
      </c>
      <c r="AE84" s="83" t="n">
        <v>66.092</v>
      </c>
      <c r="AF84" s="83" t="n">
        <v>66.679</v>
      </c>
      <c r="AG84" s="83" t="n">
        <v>71.329</v>
      </c>
      <c r="AH84" s="83" t="n">
        <v>268.09</v>
      </c>
      <c r="AI84" s="83" t="n">
        <v>78.794</v>
      </c>
      <c r="AJ84" s="83" t="n">
        <v>84.745</v>
      </c>
      <c r="AK84" s="83" t="n">
        <v>81.643</v>
      </c>
      <c r="AL84" s="83" t="n">
        <v>79.818</v>
      </c>
      <c r="AM84" s="83" t="n">
        <v>325</v>
      </c>
      <c r="AN84" s="83" t="n">
        <v>83.543</v>
      </c>
      <c r="AO84" s="83" t="n">
        <v>85.328</v>
      </c>
      <c r="AP84" s="83" t="n">
        <v>84.259</v>
      </c>
      <c r="AQ84" s="83" t="n">
        <v>86.926</v>
      </c>
      <c r="AR84" s="83" t="n">
        <v>340.056</v>
      </c>
      <c r="AS84" s="83" t="n">
        <v>82.899</v>
      </c>
      <c r="AT84" s="83" t="n">
        <v>65.902</v>
      </c>
      <c r="AU84" s="83" t="n">
        <v>74.106</v>
      </c>
      <c r="AV84" s="83" t="n">
        <v>76.327</v>
      </c>
      <c r="AW84" s="83" t="n">
        <v>299.234</v>
      </c>
      <c r="AX84" s="83" t="n">
        <v>84.901</v>
      </c>
      <c r="AY84" s="83" t="n">
        <v>90.664</v>
      </c>
      <c r="AZ84" s="83" t="n">
        <v>98.834</v>
      </c>
      <c r="BA84" s="83" t="n">
        <v>107.505</v>
      </c>
      <c r="BB84" s="83" t="n">
        <v>381.904</v>
      </c>
      <c r="BC84" s="83" t="n">
        <v>122.771</v>
      </c>
      <c r="BD84" s="83" t="n">
        <v>145.53</v>
      </c>
      <c r="BE84" s="83" t="n">
        <v>145.461</v>
      </c>
      <c r="BF84" s="83" t="n">
        <v>144.694</v>
      </c>
      <c r="BG84" s="83" t="n">
        <v>558.456</v>
      </c>
      <c r="BH84" s="83" t="n">
        <v>141.625</v>
      </c>
      <c r="BI84" s="83" t="n">
        <v>133.49</v>
      </c>
      <c r="BJ84" s="83" t="n">
        <v>144.282</v>
      </c>
      <c r="BK84" s="83" t="n">
        <v>144.291</v>
      </c>
      <c r="BL84" s="83" t="n">
        <v>563.688</v>
      </c>
      <c r="BM84" s="83" t="n">
        <v>156.325</v>
      </c>
      <c r="BN84" s="83" t="n">
        <v>160.877</v>
      </c>
      <c r="BO84" s="83" t="n">
        <v>158.733</v>
      </c>
      <c r="BP84" s="83" t="n">
        <v>153.467</v>
      </c>
      <c r="BQ84" s="83" t="n">
        <v>629.402</v>
      </c>
      <c r="BR84" s="83" t="n">
        <v>166.671</v>
      </c>
      <c r="BS84" s="83" t="n">
        <v>161.634</v>
      </c>
      <c r="BT84" s="83" t="n">
        <v>165.727</v>
      </c>
      <c r="BU84" s="83" t="n">
        <v>160.676</v>
      </c>
      <c r="BV84" s="83" t="n">
        <v>654.708</v>
      </c>
      <c r="BW84" s="83" t="n">
        <v>173.489</v>
      </c>
      <c r="BX84" s="83" t="n">
        <v>198.743</v>
      </c>
      <c r="BY84" s="66" t="n">
        <f aca="false">BT84*(BY55/BT55)+BY71*(BY54-BT54*(BY55/BT55))</f>
        <v>207.602454971745</v>
      </c>
      <c r="BZ84" s="66" t="n">
        <f aca="false">BU84*(BZ55/BU55)+BZ71*(BZ54-BU54*(BZ55/BU55))</f>
        <v>214.241557425711</v>
      </c>
      <c r="CA84" s="67" t="n">
        <f aca="false">SUM(BW84,BX84,BY84,BZ84)</f>
        <v>794.076012397456</v>
      </c>
      <c r="CB84" s="67" t="n">
        <f aca="false">CA84*(CB55/CA55)+CB71*(CB54-CA54*(CB55/CA55))</f>
        <v>867.511290620605</v>
      </c>
      <c r="CC84" s="67" t="n">
        <f aca="false">CB84*(CC55/CB55)+CC71*(CC54-CB54*(CC55/CB55))</f>
        <v>908.951142354795</v>
      </c>
      <c r="CD84" s="67" t="n">
        <f aca="false">CC84*(CD55/CC55)+CD71*(CD54-CC54*(CD55/CC55))</f>
        <v>966.369639741789</v>
      </c>
      <c r="CE84" s="67" t="n">
        <f aca="false">CD84*(CE55/CD55)+CE71*(CE54-CD54*(CE55/CD55))</f>
        <v>1045.20124310373</v>
      </c>
      <c r="CF84" s="21"/>
    </row>
    <row r="85" customFormat="false" ht="15" hidden="false" customHeight="true" outlineLevel="0" collapsed="false">
      <c r="B85" s="22" t="s">
        <v>239</v>
      </c>
      <c r="C85" s="83" t="n">
        <v>28.853</v>
      </c>
      <c r="D85" s="83" t="n">
        <v>34.474</v>
      </c>
      <c r="E85" s="83" t="n">
        <v>35.356</v>
      </c>
      <c r="F85" s="83" t="n">
        <v>35.465</v>
      </c>
      <c r="G85" s="83" t="n">
        <v>36.981</v>
      </c>
      <c r="H85" s="83" t="n">
        <v>38.228</v>
      </c>
      <c r="I85" s="83" t="n">
        <v>38.283</v>
      </c>
      <c r="J85" s="83" t="n">
        <v>9.579</v>
      </c>
      <c r="K85" s="83" t="n">
        <v>9.33</v>
      </c>
      <c r="L85" s="83" t="n">
        <v>9.074</v>
      </c>
      <c r="M85" s="83" t="n">
        <v>8.53</v>
      </c>
      <c r="N85" s="83" t="n">
        <v>36.513</v>
      </c>
      <c r="O85" s="83" t="n">
        <v>8.975</v>
      </c>
      <c r="P85" s="83" t="n">
        <v>8.993</v>
      </c>
      <c r="Q85" s="83" t="n">
        <v>9.033</v>
      </c>
      <c r="R85" s="83" t="n">
        <v>9.027</v>
      </c>
      <c r="S85" s="83" t="n">
        <v>36.028</v>
      </c>
      <c r="T85" s="83" t="n">
        <v>9.096</v>
      </c>
      <c r="U85" s="83" t="n">
        <v>9.411</v>
      </c>
      <c r="V85" s="83" t="n">
        <v>9.258</v>
      </c>
      <c r="W85" s="83" t="n">
        <v>9.238</v>
      </c>
      <c r="X85" s="83" t="n">
        <v>37.003</v>
      </c>
      <c r="Y85" s="83" t="n">
        <v>10.04</v>
      </c>
      <c r="Z85" s="83" t="n">
        <v>10.126</v>
      </c>
      <c r="AA85" s="83" t="n">
        <v>10.061</v>
      </c>
      <c r="AB85" s="83" t="n">
        <v>9.798</v>
      </c>
      <c r="AC85" s="83" t="n">
        <v>40.025</v>
      </c>
      <c r="AD85" s="83" t="n">
        <v>10.582</v>
      </c>
      <c r="AE85" s="83" t="n">
        <v>10.875</v>
      </c>
      <c r="AF85" s="83" t="n">
        <v>10.631</v>
      </c>
      <c r="AG85" s="83" t="n">
        <v>11.242</v>
      </c>
      <c r="AH85" s="83" t="n">
        <v>43.33</v>
      </c>
      <c r="AI85" s="83" t="n">
        <v>12.15</v>
      </c>
      <c r="AJ85" s="83" t="n">
        <v>12.794</v>
      </c>
      <c r="AK85" s="83" t="n">
        <v>12.366</v>
      </c>
      <c r="AL85" s="83" t="n">
        <v>12.779</v>
      </c>
      <c r="AM85" s="83" t="n">
        <v>50.089</v>
      </c>
      <c r="AN85" s="83" t="n">
        <v>13.202</v>
      </c>
      <c r="AO85" s="83" t="n">
        <v>13.529</v>
      </c>
      <c r="AP85" s="83" t="n">
        <v>13.634</v>
      </c>
      <c r="AQ85" s="83" t="n">
        <v>14.032</v>
      </c>
      <c r="AR85" s="83" t="n">
        <v>54.397</v>
      </c>
      <c r="AS85" s="83" t="n">
        <v>14.396</v>
      </c>
      <c r="AT85" s="83" t="n">
        <v>13.743</v>
      </c>
      <c r="AU85" s="83" t="n">
        <v>14.061</v>
      </c>
      <c r="AV85" s="83" t="n">
        <v>14.094</v>
      </c>
      <c r="AW85" s="83" t="n">
        <v>56.294</v>
      </c>
      <c r="AX85" s="83" t="n">
        <v>14.338</v>
      </c>
      <c r="AY85" s="83" t="n">
        <v>14.559</v>
      </c>
      <c r="AZ85" s="83" t="n">
        <v>14.572</v>
      </c>
      <c r="BA85" s="83" t="n">
        <v>15.626</v>
      </c>
      <c r="BB85" s="83" t="n">
        <v>59.095</v>
      </c>
      <c r="BC85" s="83" t="n">
        <v>16.573</v>
      </c>
      <c r="BD85" s="83" t="n">
        <v>15.979</v>
      </c>
      <c r="BE85" s="83" t="n">
        <v>16.261</v>
      </c>
      <c r="BF85" s="83" t="n">
        <v>15.011</v>
      </c>
      <c r="BG85" s="83" t="n">
        <v>63.824</v>
      </c>
      <c r="BH85" s="83" t="n">
        <v>17.065</v>
      </c>
      <c r="BI85" s="83" t="n">
        <v>17.457</v>
      </c>
      <c r="BJ85" s="83" t="n">
        <v>17.018</v>
      </c>
      <c r="BK85" s="83" t="n">
        <v>18.002</v>
      </c>
      <c r="BL85" s="83" t="n">
        <v>69.542</v>
      </c>
      <c r="BM85" s="83" t="n">
        <v>19.766</v>
      </c>
      <c r="BN85" s="83" t="n">
        <v>19.693</v>
      </c>
      <c r="BO85" s="83" t="n">
        <v>19.942</v>
      </c>
      <c r="BP85" s="83" t="n">
        <v>20.727</v>
      </c>
      <c r="BQ85" s="83" t="n">
        <v>80.128</v>
      </c>
      <c r="BR85" s="83" t="n">
        <v>20.437</v>
      </c>
      <c r="BS85" s="83" t="n">
        <v>22.014</v>
      </c>
      <c r="BT85" s="83" t="n">
        <v>20.867</v>
      </c>
      <c r="BU85" s="83" t="n">
        <v>20.769</v>
      </c>
      <c r="BV85" s="83" t="n">
        <v>84.087</v>
      </c>
      <c r="BW85" s="83" t="n">
        <v>22.232</v>
      </c>
      <c r="BX85" s="83" t="n">
        <v>22.438</v>
      </c>
      <c r="BY85" s="66" t="n">
        <f aca="false">BY55*BY73</f>
        <v>22.0432481658762</v>
      </c>
      <c r="BZ85" s="66" t="n">
        <f aca="false">BZ55*BZ73</f>
        <v>22.1639172141172</v>
      </c>
      <c r="CA85" s="67" t="n">
        <f aca="false">SUM(BW85,BX85,BY85,BZ85)</f>
        <v>88.8771653799934</v>
      </c>
      <c r="CB85" s="67" t="n">
        <f aca="false">CB55*CB73</f>
        <v>96.9488806954919</v>
      </c>
      <c r="CC85" s="67" t="n">
        <f aca="false">CC55*CC73</f>
        <v>105.997240916903</v>
      </c>
      <c r="CD85" s="67" t="n">
        <f aca="false">CD55*CD73</f>
        <v>115.19780142849</v>
      </c>
      <c r="CE85" s="67" t="n">
        <f aca="false">CE55*CE73</f>
        <v>124.595062080019</v>
      </c>
      <c r="CF85" s="21"/>
    </row>
    <row r="86" customFormat="false" ht="15" hidden="false" customHeight="true" outlineLevel="0" collapsed="false">
      <c r="B86" s="22" t="s">
        <v>240</v>
      </c>
      <c r="C86" s="83" t="n">
        <v>28.089</v>
      </c>
      <c r="D86" s="83" t="n">
        <v>36.754</v>
      </c>
      <c r="E86" s="83" t="n">
        <v>32.86</v>
      </c>
      <c r="F86" s="83" t="n">
        <v>29.812</v>
      </c>
      <c r="G86" s="83" t="n">
        <v>21.87</v>
      </c>
      <c r="H86" s="83" t="n">
        <v>32.067</v>
      </c>
      <c r="I86" s="83" t="n">
        <v>24.712</v>
      </c>
      <c r="J86" s="83" t="n">
        <v>5.595</v>
      </c>
      <c r="K86" s="83" t="n">
        <v>5.883</v>
      </c>
      <c r="L86" s="83" t="n">
        <v>6.607</v>
      </c>
      <c r="M86" s="83" t="n">
        <v>7.409</v>
      </c>
      <c r="N86" s="83" t="n">
        <v>25.494</v>
      </c>
      <c r="O86" s="83" t="n">
        <v>9.518</v>
      </c>
      <c r="P86" s="83" t="n">
        <v>14.177</v>
      </c>
      <c r="Q86" s="83" t="n">
        <v>6.956</v>
      </c>
      <c r="R86" s="83" t="n">
        <v>6.912</v>
      </c>
      <c r="S86" s="83" t="n">
        <v>37.563</v>
      </c>
      <c r="T86" s="83" t="n">
        <v>4.837</v>
      </c>
      <c r="U86" s="83" t="n">
        <v>6.361</v>
      </c>
      <c r="V86" s="83" t="n">
        <v>9.146</v>
      </c>
      <c r="W86" s="83" t="n">
        <v>6.488</v>
      </c>
      <c r="X86" s="83" t="n">
        <v>26.832</v>
      </c>
      <c r="Y86" s="83" t="n">
        <v>8.081</v>
      </c>
      <c r="Z86" s="83" t="n">
        <v>10.88</v>
      </c>
      <c r="AA86" s="83" t="n">
        <v>9.988</v>
      </c>
      <c r="AB86" s="83" t="n">
        <v>10.676</v>
      </c>
      <c r="AC86" s="83" t="n">
        <v>39.625</v>
      </c>
      <c r="AD86" s="83" t="n">
        <v>9.049</v>
      </c>
      <c r="AE86" s="83" t="n">
        <v>10.426</v>
      </c>
      <c r="AF86" s="83" t="n">
        <v>8.535</v>
      </c>
      <c r="AG86" s="83" t="n">
        <v>9.152</v>
      </c>
      <c r="AH86" s="83" t="n">
        <v>37.162</v>
      </c>
      <c r="AI86" s="83" t="n">
        <v>10.191</v>
      </c>
      <c r="AJ86" s="83" t="n">
        <v>9.91</v>
      </c>
      <c r="AK86" s="83" t="n">
        <v>9.985</v>
      </c>
      <c r="AL86" s="83" t="n">
        <v>8.339</v>
      </c>
      <c r="AM86" s="83" t="n">
        <v>38.425</v>
      </c>
      <c r="AN86" s="83" t="n">
        <v>9.53</v>
      </c>
      <c r="AO86" s="83" t="n">
        <v>13.156</v>
      </c>
      <c r="AP86" s="83" t="n">
        <v>7.85</v>
      </c>
      <c r="AQ86" s="83" t="n">
        <v>12.537</v>
      </c>
      <c r="AR86" s="83" t="n">
        <v>43.073</v>
      </c>
      <c r="AS86" s="83" t="n">
        <v>10.421</v>
      </c>
      <c r="AT86" s="83" t="n">
        <v>18.293</v>
      </c>
      <c r="AU86" s="83" t="n">
        <v>11.938</v>
      </c>
      <c r="AV86" s="83" t="n">
        <v>9.109</v>
      </c>
      <c r="AW86" s="83" t="n">
        <v>49.761</v>
      </c>
      <c r="AX86" s="83" t="n">
        <v>11.48</v>
      </c>
      <c r="AY86" s="83" t="n">
        <v>17.328</v>
      </c>
      <c r="AZ86" s="83" t="n">
        <v>15.518</v>
      </c>
      <c r="BA86" s="83" t="n">
        <v>17.019</v>
      </c>
      <c r="BB86" s="83" t="n">
        <v>61.345</v>
      </c>
      <c r="BC86" s="83" t="n">
        <v>10.736</v>
      </c>
      <c r="BD86" s="83" t="n">
        <v>14.216</v>
      </c>
      <c r="BE86" s="83" t="n">
        <v>15.988</v>
      </c>
      <c r="BF86" s="83" t="n">
        <v>15.661</v>
      </c>
      <c r="BG86" s="83" t="n">
        <v>56.601</v>
      </c>
      <c r="BH86" s="83" t="n">
        <v>14.059</v>
      </c>
      <c r="BI86" s="83" t="n">
        <v>16.956</v>
      </c>
      <c r="BJ86" s="83" t="n">
        <v>18.024</v>
      </c>
      <c r="BK86" s="83" t="n">
        <v>18.945</v>
      </c>
      <c r="BL86" s="83" t="n">
        <v>67.984</v>
      </c>
      <c r="BM86" s="83" t="n">
        <v>17.463</v>
      </c>
      <c r="BN86" s="83" t="n">
        <v>18.828</v>
      </c>
      <c r="BO86" s="83" t="n">
        <v>19.274</v>
      </c>
      <c r="BP86" s="83" t="n">
        <v>22.084</v>
      </c>
      <c r="BQ86" s="83" t="n">
        <v>77.649</v>
      </c>
      <c r="BR86" s="83" t="n">
        <v>21.545</v>
      </c>
      <c r="BS86" s="83" t="n">
        <v>22.826</v>
      </c>
      <c r="BT86" s="83" t="n">
        <v>23.614</v>
      </c>
      <c r="BU86" s="83" t="n">
        <v>24.803</v>
      </c>
      <c r="BV86" s="83" t="n">
        <v>92.788</v>
      </c>
      <c r="BW86" s="83" t="n">
        <v>22.902</v>
      </c>
      <c r="BX86" s="83" t="n">
        <v>24.409</v>
      </c>
      <c r="BY86" s="66" t="n">
        <f aca="false">BY81*BY74</f>
        <v>26.6229292008472</v>
      </c>
      <c r="BZ86" s="66" t="n">
        <f aca="false">BZ81*BZ74</f>
        <v>26.3295074031831</v>
      </c>
      <c r="CA86" s="67" t="n">
        <f aca="false">SUM(BW86,BX86,BY86,BZ86)</f>
        <v>100.26343660403</v>
      </c>
      <c r="CB86" s="67" t="n">
        <f aca="false">CB81*CB74</f>
        <v>109.483374580256</v>
      </c>
      <c r="CC86" s="67" t="n">
        <f aca="false">CC81*CC74</f>
        <v>116.279432167149</v>
      </c>
      <c r="CD86" s="67" t="n">
        <f aca="false">CD81*CD74</f>
        <v>124.512883713234</v>
      </c>
      <c r="CE86" s="67" t="n">
        <f aca="false">CE81*CE74</f>
        <v>134.670022202141</v>
      </c>
      <c r="CF86" s="21"/>
    </row>
    <row r="87" customFormat="false" ht="15" hidden="false" customHeight="true" outlineLevel="0" collapsed="false">
      <c r="B87" s="22" t="s">
        <v>241</v>
      </c>
      <c r="C87" s="83" t="n">
        <v>32.55</v>
      </c>
      <c r="D87" s="83" t="n">
        <v>38.685</v>
      </c>
      <c r="E87" s="83" t="n">
        <v>40.898</v>
      </c>
      <c r="F87" s="83" t="n">
        <v>39.342</v>
      </c>
      <c r="G87" s="83" t="n">
        <v>36.159</v>
      </c>
      <c r="H87" s="83" t="n">
        <v>37.278</v>
      </c>
      <c r="I87" s="83" t="n">
        <v>47.985</v>
      </c>
      <c r="J87" s="83" t="n">
        <v>11.634</v>
      </c>
      <c r="K87" s="83" t="n">
        <v>12.386</v>
      </c>
      <c r="L87" s="83" t="n">
        <v>13.745</v>
      </c>
      <c r="M87" s="83" t="n">
        <v>13.799</v>
      </c>
      <c r="N87" s="83" t="n">
        <v>51.564</v>
      </c>
      <c r="O87" s="83" t="n">
        <v>13.841</v>
      </c>
      <c r="P87" s="83" t="n">
        <v>15.087</v>
      </c>
      <c r="Q87" s="83" t="n">
        <v>15.336</v>
      </c>
      <c r="R87" s="83" t="n">
        <v>14.758</v>
      </c>
      <c r="S87" s="83" t="n">
        <v>59.022</v>
      </c>
      <c r="T87" s="83" t="n">
        <v>15.199</v>
      </c>
      <c r="U87" s="83" t="n">
        <v>16.561</v>
      </c>
      <c r="V87" s="83" t="n">
        <v>16.765</v>
      </c>
      <c r="W87" s="83" t="n">
        <v>16.495</v>
      </c>
      <c r="X87" s="83" t="n">
        <v>65.02</v>
      </c>
      <c r="Y87" s="83" t="n">
        <v>17.243</v>
      </c>
      <c r="Z87" s="83" t="n">
        <v>19.74</v>
      </c>
      <c r="AA87" s="83" t="n">
        <v>19.927</v>
      </c>
      <c r="AB87" s="83" t="n">
        <v>19.33</v>
      </c>
      <c r="AC87" s="83" t="n">
        <v>76.24</v>
      </c>
      <c r="AD87" s="83" t="n">
        <v>20.087</v>
      </c>
      <c r="AE87" s="83" t="n">
        <v>22.182</v>
      </c>
      <c r="AF87" s="83" t="n">
        <v>22.338</v>
      </c>
      <c r="AG87" s="83" t="n">
        <v>22.495</v>
      </c>
      <c r="AH87" s="83" t="n">
        <v>87.102</v>
      </c>
      <c r="AI87" s="83" t="n">
        <v>23.03</v>
      </c>
      <c r="AJ87" s="83" t="n">
        <v>25.241</v>
      </c>
      <c r="AK87" s="83" t="n">
        <v>26.694</v>
      </c>
      <c r="AL87" s="83" t="n">
        <v>27.188</v>
      </c>
      <c r="AM87" s="83" t="n">
        <v>102.153</v>
      </c>
      <c r="AN87" s="83" t="n">
        <v>26.782</v>
      </c>
      <c r="AO87" s="83" t="n">
        <v>29.143</v>
      </c>
      <c r="AP87" s="83" t="n">
        <v>31.333</v>
      </c>
      <c r="AQ87" s="83" t="n">
        <v>31.877</v>
      </c>
      <c r="AR87" s="83" t="n">
        <v>119.135</v>
      </c>
      <c r="AS87" s="83" t="n">
        <v>32.59</v>
      </c>
      <c r="AT87" s="83" t="n">
        <v>33.664</v>
      </c>
      <c r="AU87" s="83" t="n">
        <v>34.224</v>
      </c>
      <c r="AV87" s="83" t="n">
        <v>34.177</v>
      </c>
      <c r="AW87" s="83" t="n">
        <v>134.655</v>
      </c>
      <c r="AX87" s="83" t="n">
        <v>35.372</v>
      </c>
      <c r="AY87" s="83" t="n">
        <v>34.659</v>
      </c>
      <c r="AZ87" s="83" t="n">
        <v>35.742</v>
      </c>
      <c r="BA87" s="83" t="n">
        <v>35.927</v>
      </c>
      <c r="BB87" s="83" t="n">
        <v>141.7</v>
      </c>
      <c r="BC87" s="83" t="n">
        <v>39.952</v>
      </c>
      <c r="BD87" s="83" t="n">
        <v>36.944</v>
      </c>
      <c r="BE87" s="83" t="n">
        <v>40.682</v>
      </c>
      <c r="BF87" s="83" t="n">
        <v>39.625</v>
      </c>
      <c r="BG87" s="83" t="n">
        <v>157.203</v>
      </c>
      <c r="BH87" s="83" t="n">
        <v>42.88</v>
      </c>
      <c r="BI87" s="83" t="n">
        <v>44.658</v>
      </c>
      <c r="BJ87" s="83" t="n">
        <v>45.618</v>
      </c>
      <c r="BK87" s="83" t="n">
        <v>45.689</v>
      </c>
      <c r="BL87" s="83" t="n">
        <v>178.845</v>
      </c>
      <c r="BM87" s="83" t="n">
        <v>48.849</v>
      </c>
      <c r="BN87" s="83" t="n">
        <v>52.536</v>
      </c>
      <c r="BO87" s="83" t="n">
        <v>54.656</v>
      </c>
      <c r="BP87" s="83" t="n">
        <v>54.064</v>
      </c>
      <c r="BQ87" s="83" t="n">
        <v>210.105</v>
      </c>
      <c r="BR87" s="83" t="n">
        <v>59.043</v>
      </c>
      <c r="BS87" s="83" t="n">
        <v>62.546</v>
      </c>
      <c r="BT87" s="83" t="n">
        <v>64.037</v>
      </c>
      <c r="BU87" s="83" t="n">
        <v>62.947</v>
      </c>
      <c r="BV87" s="83" t="n">
        <v>248.573</v>
      </c>
      <c r="BW87" s="83" t="n">
        <v>62.19</v>
      </c>
      <c r="BX87" s="83" t="n">
        <v>64.181</v>
      </c>
      <c r="BY87" s="66" t="n">
        <f aca="false">BX87*(1+$CP$24)</f>
        <v>64.82281</v>
      </c>
      <c r="BZ87" s="66" t="n">
        <f aca="false">BY87*(1+$CP$24)</f>
        <v>65.4710381</v>
      </c>
      <c r="CA87" s="67" t="n">
        <f aca="false">SUM(BW87,BX87,BY87,BZ87)</f>
        <v>256.6648481</v>
      </c>
      <c r="CB87" s="67" t="n">
        <f aca="false">CA237*CB75</f>
        <v>290.822263549225</v>
      </c>
      <c r="CC87" s="67" t="n">
        <f aca="false">CB237*CC75</f>
        <v>306.170984672113</v>
      </c>
      <c r="CD87" s="67" t="n">
        <f aca="false">CC237*CD75</f>
        <v>322.735305543709</v>
      </c>
      <c r="CE87" s="67" t="n">
        <f aca="false">CD237*CE75</f>
        <v>345.479676721097</v>
      </c>
      <c r="CF87" s="21"/>
    </row>
    <row r="88" customFormat="false" ht="15" hidden="false" customHeight="true" outlineLevel="0" collapsed="false">
      <c r="B88" s="22" t="s">
        <v>242</v>
      </c>
      <c r="C88" s="83" t="n">
        <v>-1.416</v>
      </c>
      <c r="D88" s="83" t="n">
        <v>-2.305</v>
      </c>
      <c r="E88" s="83" t="n">
        <v>-0.435</v>
      </c>
      <c r="F88" s="83" t="n">
        <v>-0.094</v>
      </c>
      <c r="G88" s="83" t="n">
        <v>-0.277</v>
      </c>
      <c r="H88" s="83" t="n">
        <v>-0.165</v>
      </c>
      <c r="I88" s="83" t="n">
        <v>-0.487</v>
      </c>
      <c r="J88" s="83" t="n">
        <v>-0.172</v>
      </c>
      <c r="K88" s="83" t="n">
        <v>-0.102</v>
      </c>
      <c r="L88" s="83" t="n">
        <v>-0.296</v>
      </c>
      <c r="M88" s="83" t="n">
        <v>-0.151</v>
      </c>
      <c r="N88" s="83" t="n">
        <v>-0.721</v>
      </c>
      <c r="O88" s="83" t="n">
        <v>-0.007</v>
      </c>
      <c r="P88" s="83" t="n">
        <v>-0.005</v>
      </c>
      <c r="Q88" s="83" t="n">
        <v>0.032</v>
      </c>
      <c r="R88" s="83" t="n">
        <v>-0.036</v>
      </c>
      <c r="S88" s="83" t="n">
        <v>-0.016</v>
      </c>
      <c r="T88" s="83" t="n">
        <v>0.069</v>
      </c>
      <c r="U88" s="83" t="n">
        <v>0.052</v>
      </c>
      <c r="V88" s="83" t="n">
        <v>0.126</v>
      </c>
      <c r="W88" s="83" t="n">
        <v>0.063</v>
      </c>
      <c r="X88" s="83" t="n">
        <v>0.31</v>
      </c>
      <c r="Y88" s="83" t="n">
        <v>0.19</v>
      </c>
      <c r="Z88" s="83" t="n">
        <v>0.173</v>
      </c>
      <c r="AA88" s="83" t="n">
        <v>0.133</v>
      </c>
      <c r="AB88" s="83" t="n">
        <v>0.22</v>
      </c>
      <c r="AC88" s="83" t="n">
        <v>0.716</v>
      </c>
      <c r="AD88" s="83" t="n">
        <v>0.132</v>
      </c>
      <c r="AE88" s="83" t="n">
        <v>0.116</v>
      </c>
      <c r="AF88" s="83" t="n">
        <v>-0.717</v>
      </c>
      <c r="AG88" s="83" t="n">
        <v>0.286</v>
      </c>
      <c r="AH88" s="83" t="n">
        <v>-0.183</v>
      </c>
      <c r="AI88" s="83" t="n">
        <v>0.021</v>
      </c>
      <c r="AJ88" s="83" t="n">
        <v>-0.042</v>
      </c>
      <c r="AK88" s="83" t="n">
        <v>0.326</v>
      </c>
      <c r="AL88" s="83" t="n">
        <v>0.074</v>
      </c>
      <c r="AM88" s="83" t="n">
        <v>0.379</v>
      </c>
      <c r="AN88" s="83" t="n">
        <v>0.126</v>
      </c>
      <c r="AO88" s="83" t="n">
        <v>0.03</v>
      </c>
      <c r="AP88" s="83" t="n">
        <v>0.451</v>
      </c>
      <c r="AQ88" s="83" t="n">
        <v>-1.01</v>
      </c>
      <c r="AR88" s="83" t="n">
        <v>-0.403</v>
      </c>
      <c r="AS88" s="83" t="n">
        <v>-1.39</v>
      </c>
      <c r="AT88" s="83" t="n">
        <v>0.148</v>
      </c>
      <c r="AU88" s="83" t="n">
        <v>-0.316</v>
      </c>
      <c r="AV88" s="83" t="n">
        <v>-0.97</v>
      </c>
      <c r="AW88" s="83" t="n">
        <v>-2.528</v>
      </c>
      <c r="AX88" s="83" t="n">
        <v>-0.199</v>
      </c>
      <c r="AY88" s="83" t="n">
        <v>-0.069</v>
      </c>
      <c r="AZ88" s="83" t="n">
        <v>-3.847</v>
      </c>
      <c r="BA88" s="83" t="n">
        <v>0.221</v>
      </c>
      <c r="BB88" s="83" t="n">
        <v>-3.894</v>
      </c>
      <c r="BC88" s="83" t="n">
        <v>0.024</v>
      </c>
      <c r="BD88" s="83" t="n">
        <v>0.021</v>
      </c>
      <c r="BE88" s="83" t="n">
        <v>0.115</v>
      </c>
      <c r="BF88" s="83" t="n">
        <v>-0.11</v>
      </c>
      <c r="BG88" s="83" t="n">
        <v>0.05</v>
      </c>
      <c r="BH88" s="83" t="n">
        <v>0.08</v>
      </c>
      <c r="BI88" s="83" t="n">
        <v>0.147</v>
      </c>
      <c r="BJ88" s="83" t="n">
        <v>0.416</v>
      </c>
      <c r="BK88" s="83" t="n">
        <v>0.267</v>
      </c>
      <c r="BL88" s="83" t="n">
        <v>0.91</v>
      </c>
      <c r="BM88" s="83" t="n">
        <v>0.24</v>
      </c>
      <c r="BN88" s="83" t="n">
        <v>0.43</v>
      </c>
      <c r="BO88" s="83" t="n">
        <v>0.609</v>
      </c>
      <c r="BP88" s="83" t="n">
        <v>3.198</v>
      </c>
      <c r="BQ88" s="83" t="n">
        <v>4.477</v>
      </c>
      <c r="BR88" s="83" t="n">
        <v>0.606</v>
      </c>
      <c r="BS88" s="83" t="n">
        <v>0.022</v>
      </c>
      <c r="BT88" s="83" t="n">
        <v>-13.598</v>
      </c>
      <c r="BU88" s="83" t="n">
        <v>0.512</v>
      </c>
      <c r="BV88" s="83" t="n">
        <v>-12.458</v>
      </c>
      <c r="BW88" s="83" t="n">
        <v>0.983</v>
      </c>
      <c r="BX88" s="83" t="n">
        <v>2.146</v>
      </c>
      <c r="BY88" s="84" t="n">
        <v>0</v>
      </c>
      <c r="BZ88" s="84" t="n">
        <v>0</v>
      </c>
      <c r="CA88" s="67" t="n">
        <f aca="false">SUM(BW88,BX88,BY88,BZ88)</f>
        <v>3.129</v>
      </c>
      <c r="CB88" s="85" t="n">
        <v>0</v>
      </c>
      <c r="CC88" s="85" t="n">
        <v>0</v>
      </c>
      <c r="CD88" s="85" t="n">
        <v>0</v>
      </c>
      <c r="CE88" s="85" t="n">
        <v>0</v>
      </c>
      <c r="CF88" s="21"/>
    </row>
    <row r="89" customFormat="false" ht="15" hidden="false" customHeight="true" outlineLevel="0" collapsed="false">
      <c r="B89" s="22" t="s">
        <v>243</v>
      </c>
      <c r="C89" s="83" t="n">
        <v>2.587</v>
      </c>
      <c r="D89" s="83" t="n">
        <v>0</v>
      </c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7"/>
      <c r="BZ89" s="87"/>
      <c r="CA89" s="88"/>
      <c r="CB89" s="88"/>
      <c r="CC89" s="88"/>
      <c r="CD89" s="88"/>
      <c r="CE89" s="88"/>
      <c r="CF89" s="21"/>
    </row>
    <row r="90" customFormat="false" ht="15" hidden="false" customHeight="true" outlineLevel="0" collapsed="false">
      <c r="B90" s="22" t="s">
        <v>244</v>
      </c>
      <c r="C90" s="83" t="n">
        <v>1.49</v>
      </c>
      <c r="D90" s="83" t="n">
        <v>2.427</v>
      </c>
      <c r="E90" s="83" t="n">
        <v>0</v>
      </c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7"/>
      <c r="BZ90" s="87"/>
      <c r="CA90" s="88"/>
      <c r="CB90" s="88"/>
      <c r="CC90" s="88"/>
      <c r="CD90" s="88"/>
      <c r="CE90" s="88"/>
      <c r="CF90" s="21"/>
    </row>
    <row r="91" customFormat="false" ht="15" hidden="false" customHeight="true" outlineLevel="0" collapsed="false">
      <c r="B91" s="22" t="s">
        <v>245</v>
      </c>
      <c r="C91" s="86"/>
      <c r="D91" s="86"/>
      <c r="E91" s="83" t="n">
        <v>35.511</v>
      </c>
      <c r="F91" s="83" t="n">
        <v>0</v>
      </c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7"/>
      <c r="BZ91" s="87"/>
      <c r="CA91" s="88"/>
      <c r="CB91" s="88"/>
      <c r="CC91" s="88"/>
      <c r="CD91" s="88"/>
      <c r="CE91" s="88"/>
      <c r="CF91" s="21"/>
    </row>
    <row r="92" customFormat="false" ht="15" hidden="false" customHeight="true" outlineLevel="0" collapsed="false">
      <c r="B92" s="17" t="s">
        <v>246</v>
      </c>
      <c r="C92" s="68" t="n">
        <f aca="false">C82+C83+C84+C85+C86+C87+N(C88)+N(C89)+N(C90)+N(C91)</f>
        <v>824.744</v>
      </c>
      <c r="D92" s="68" t="n">
        <f aca="false">D82+D83+D84+D85+D86+D87+N(D88)+N(D89)+N(D90)+N(D91)</f>
        <v>937.955</v>
      </c>
      <c r="E92" s="68" t="n">
        <f aca="false">E82+E83+E84+E85+E86+E87+N(E88)+N(E89)+N(E90)+N(E91)</f>
        <v>1040.272</v>
      </c>
      <c r="F92" s="68" t="n">
        <f aca="false">F82+F83+F84+F85+F86+F87+N(F88)+N(F89)+N(F90)+N(F91)</f>
        <v>852.834</v>
      </c>
      <c r="G92" s="68" t="n">
        <f aca="false">G82+G83+G84+G85+G86+G87+N(G88)+N(G89)+N(G90)+N(G91)</f>
        <v>890.56</v>
      </c>
      <c r="H92" s="68" t="n">
        <f aca="false">H82+H83+H84+H85+H86+H87+N(H88)+N(H89)+N(H90)+N(H91)</f>
        <v>1002.078</v>
      </c>
      <c r="I92" s="68" t="n">
        <f aca="false">I82+I83+I84+I85+I86+I87+N(I88)+N(I89)+N(I90)+N(I91)</f>
        <v>1039.945</v>
      </c>
      <c r="J92" s="68" t="n">
        <f aca="false">J82+J83+J84+J85+J86+J87+N(J88)+N(J89)+N(J90)+N(J91)</f>
        <v>259.263</v>
      </c>
      <c r="K92" s="68" t="n">
        <f aca="false">K82+K83+K84+K85+K86+K87+N(K88)+N(K89)+N(K90)+N(K91)</f>
        <v>269.298</v>
      </c>
      <c r="L92" s="68" t="n">
        <f aca="false">L82+L83+L84+L85+L86+L87+N(L88)+N(L89)+N(L90)+N(L91)</f>
        <v>271.152</v>
      </c>
      <c r="M92" s="68" t="n">
        <f aca="false">M82+M83+M84+M85+M86+M87+N(M88)+N(M89)+N(M90)+N(M91)</f>
        <v>264.963</v>
      </c>
      <c r="N92" s="68" t="n">
        <f aca="false">N82+N83+N84+N85+N86+N87+N(N88)+N(N89)+N(N90)+N(N91)</f>
        <v>1064.676</v>
      </c>
      <c r="O92" s="68" t="n">
        <f aca="false">O82+O83+O84+O85+O86+O87+N(O88)+N(O89)+N(O90)+N(O91)</f>
        <v>284.499</v>
      </c>
      <c r="P92" s="68" t="n">
        <f aca="false">P82+P83+P84+P85+P86+P87+N(P88)+N(P89)+N(P90)+N(P91)</f>
        <v>307.658</v>
      </c>
      <c r="Q92" s="68" t="n">
        <f aca="false">Q82+Q83+Q84+Q85+Q86+Q87+N(Q88)+N(Q89)+N(Q90)+N(Q91)</f>
        <v>305.395</v>
      </c>
      <c r="R92" s="68" t="n">
        <f aca="false">R82+R83+R84+R85+R86+R87+N(R88)+N(R89)+N(R90)+N(R91)</f>
        <v>289.076</v>
      </c>
      <c r="S92" s="68" t="n">
        <f aca="false">S82+S83+S84+S85+S86+S87+N(S88)+N(S89)+N(S90)+N(S91)</f>
        <v>1186.628</v>
      </c>
      <c r="T92" s="68" t="n">
        <f aca="false">T82+T83+T84+T85+T86+T87+N(T88)+N(T89)+N(T90)+N(T91)</f>
        <v>271.789</v>
      </c>
      <c r="U92" s="68" t="n">
        <f aca="false">U82+U83+U84+U85+U86+U87+N(U88)+N(U89)+N(U90)+N(U91)</f>
        <v>292.199</v>
      </c>
      <c r="V92" s="68" t="n">
        <f aca="false">V82+V83+V84+V85+V86+V87+N(V88)+N(V89)+N(V90)+N(V91)</f>
        <v>297.354</v>
      </c>
      <c r="W92" s="68" t="n">
        <f aca="false">W82+W83+W84+W85+W86+W87+N(W88)+N(W89)+N(W90)+N(W91)</f>
        <v>269.994</v>
      </c>
      <c r="X92" s="68" t="n">
        <f aca="false">X82+X83+X84+X85+X86+X87+N(X88)+N(X89)+N(X90)+N(X91)</f>
        <v>1131.336</v>
      </c>
      <c r="Y92" s="68" t="n">
        <f aca="false">Y82+Y83+Y84+Y85+Y86+Y87+N(Y88)+N(Y89)+N(Y90)+N(Y91)</f>
        <v>272.327</v>
      </c>
      <c r="Z92" s="68" t="n">
        <f aca="false">Z82+Z83+Z84+Z85+Z86+Z87+N(Z88)+N(Z89)+N(Z90)+N(Z91)</f>
        <v>290.184</v>
      </c>
      <c r="AA92" s="68" t="n">
        <f aca="false">AA82+AA83+AA84+AA85+AA86+AA87+N(AA88)+N(AA89)+N(AA90)+N(AA91)</f>
        <v>293.798</v>
      </c>
      <c r="AB92" s="68" t="n">
        <f aca="false">AB82+AB83+AB84+AB85+AB86+AB87+N(AB88)+N(AB89)+N(AB90)+N(AB91)</f>
        <v>283.036</v>
      </c>
      <c r="AC92" s="68" t="n">
        <f aca="false">AC82+AC83+AC84+AC85+AC86+AC87+N(AC88)+N(AC89)+N(AC90)+N(AC91)</f>
        <v>1139.345</v>
      </c>
      <c r="AD92" s="68" t="n">
        <f aca="false">AD82+AD83+AD84+AD85+AD86+AD87+N(AD88)+N(AD89)+N(AD90)+N(AD91)</f>
        <v>299.518</v>
      </c>
      <c r="AE92" s="68" t="n">
        <f aca="false">AE82+AE83+AE84+AE85+AE86+AE87+N(AE88)+N(AE89)+N(AE90)+N(AE91)</f>
        <v>328.442</v>
      </c>
      <c r="AF92" s="68" t="n">
        <f aca="false">AF82+AF83+AF84+AF85+AF86+AF87+N(AF88)+N(AF89)+N(AF90)+N(AF91)</f>
        <v>325.46</v>
      </c>
      <c r="AG92" s="68" t="n">
        <f aca="false">AG82+AG83+AG84+AG85+AG86+AG87+N(AG88)+N(AG89)+N(AG90)+N(AG91)</f>
        <v>330.353</v>
      </c>
      <c r="AH92" s="68" t="n">
        <f aca="false">AH82+AH83+AH84+AH85+AH86+AH87+N(AH88)+N(AH89)+N(AH90)+N(AH91)</f>
        <v>1283.773</v>
      </c>
      <c r="AI92" s="68" t="n">
        <f aca="false">AI82+AI83+AI84+AI85+AI86+AI87+N(AI88)+N(AI89)+N(AI90)+N(AI91)</f>
        <v>365.226</v>
      </c>
      <c r="AJ92" s="68" t="n">
        <f aca="false">AJ82+AJ83+AJ84+AJ85+AJ86+AJ87+N(AJ88)+N(AJ89)+N(AJ90)+N(AJ91)</f>
        <v>387.167</v>
      </c>
      <c r="AK92" s="68" t="n">
        <f aca="false">AK82+AK83+AK84+AK85+AK86+AK87+N(AK88)+N(AK89)+N(AK90)+N(AK91)</f>
        <v>386.865</v>
      </c>
      <c r="AL92" s="68" t="n">
        <f aca="false">AL82+AL83+AL84+AL85+AL86+AL87+N(AL88)+N(AL89)+N(AL90)+N(AL91)</f>
        <v>373.414</v>
      </c>
      <c r="AM92" s="68" t="n">
        <f aca="false">AM82+AM83+AM84+AM85+AM86+AM87+N(AM88)+N(AM89)+N(AM90)+N(AM91)</f>
        <v>1512.672</v>
      </c>
      <c r="AN92" s="68" t="n">
        <f aca="false">AN82+AN83+AN84+AN85+AN86+AN87+N(AN88)+N(AN89)+N(AN90)+N(AN91)</f>
        <v>381.953</v>
      </c>
      <c r="AO92" s="68" t="n">
        <f aca="false">AO82+AO83+AO84+AO85+AO86+AO87+N(AO88)+N(AO89)+N(AO90)+N(AO91)</f>
        <v>413.029</v>
      </c>
      <c r="AP92" s="68" t="n">
        <f aca="false">AP82+AP83+AP84+AP85+AP86+AP87+N(AP88)+N(AP89)+N(AP90)+N(AP91)</f>
        <v>423.532</v>
      </c>
      <c r="AQ92" s="68" t="n">
        <f aca="false">AQ82+AQ83+AQ84+AQ85+AQ86+AQ87+N(AQ88)+N(AQ89)+N(AQ90)+N(AQ91)</f>
        <v>415.635</v>
      </c>
      <c r="AR92" s="68" t="n">
        <f aca="false">AR82+AR83+AR84+AR85+AR86+AR87+N(AR88)+N(AR89)+N(AR90)+N(AR91)</f>
        <v>1634.149</v>
      </c>
      <c r="AS92" s="68" t="n">
        <f aca="false">AS82+AS83+AS84+AS85+AS86+AS87+N(AS88)+N(AS89)+N(AS90)+N(AS91)</f>
        <v>407.62</v>
      </c>
      <c r="AT92" s="68" t="n">
        <f aca="false">AT82+AT83+AT84+AT85+AT86+AT87+N(AT88)+N(AT89)+N(AT90)+N(AT91)</f>
        <v>382.433</v>
      </c>
      <c r="AU92" s="68" t="n">
        <f aca="false">AU82+AU83+AU84+AU85+AU86+AU87+N(AU88)+N(AU89)+N(AU90)+N(AU91)</f>
        <v>426.158</v>
      </c>
      <c r="AV92" s="68" t="n">
        <f aca="false">AV82+AV83+AV84+AV85+AV86+AV87+N(AV88)+N(AV89)+N(AV90)+N(AV91)</f>
        <v>425.834</v>
      </c>
      <c r="AW92" s="68" t="n">
        <f aca="false">AW82+AW83+AW84+AW85+AW86+AW87+N(AW88)+N(AW89)+N(AW90)+N(AW91)</f>
        <v>1642.045</v>
      </c>
      <c r="AX92" s="68" t="n">
        <f aca="false">AX82+AX83+AX84+AX85+AX86+AX87+N(AX88)+N(AX89)+N(AX90)+N(AX91)</f>
        <v>435.36</v>
      </c>
      <c r="AY92" s="68" t="n">
        <f aca="false">AY82+AY83+AY84+AY85+AY86+AY87+N(AY88)+N(AY89)+N(AY90)+N(AY91)</f>
        <v>488.408</v>
      </c>
      <c r="AZ92" s="68" t="n">
        <f aca="false">AZ82+AZ83+AZ84+AZ85+AZ86+AZ87+N(AZ88)+N(AZ89)+N(AZ90)+N(AZ91)</f>
        <v>510.099</v>
      </c>
      <c r="BA92" s="68" t="n">
        <f aca="false">BA82+BA83+BA84+BA85+BA86+BA87+N(BA88)+N(BA89)+N(BA90)+N(BA91)</f>
        <v>519.696</v>
      </c>
      <c r="BB92" s="68" t="n">
        <f aca="false">BB82+BB83+BB84+BB85+BB86+BB87+N(BB88)+N(BB89)+N(BB90)+N(BB91)</f>
        <v>1953.563</v>
      </c>
      <c r="BC92" s="68" t="n">
        <f aca="false">BC82+BC83+BC84+BC85+BC86+BC87+N(BC88)+N(BC89)+N(BC90)+N(BC91)</f>
        <v>557.767</v>
      </c>
      <c r="BD92" s="68" t="n">
        <f aca="false">BD82+BD83+BD84+BD85+BD86+BD87+N(BD88)+N(BD89)+N(BD90)+N(BD91)</f>
        <v>599.561</v>
      </c>
      <c r="BE92" s="68" t="n">
        <f aca="false">BE82+BE83+BE84+BE85+BE86+BE87+N(BE88)+N(BE89)+N(BE90)+N(BE91)</f>
        <v>601.206</v>
      </c>
      <c r="BF92" s="68" t="n">
        <f aca="false">BF82+BF83+BF84+BF85+BF86+BF87+N(BF88)+N(BF89)+N(BF90)+N(BF91)</f>
        <v>563.035</v>
      </c>
      <c r="BG92" s="68" t="n">
        <f aca="false">BG82+BG83+BG84+BG85+BG86+BG87+N(BG88)+N(BG89)+N(BG90)+N(BG91)</f>
        <v>2321.569</v>
      </c>
      <c r="BH92" s="68" t="n">
        <f aca="false">BH82+BH83+BH84+BH85+BH86+BH87+N(BH88)+N(BH89)+N(BH90)+N(BH91)</f>
        <v>561.392</v>
      </c>
      <c r="BI92" s="68" t="n">
        <f aca="false">BI82+BI83+BI84+BI85+BI86+BI87+N(BI88)+N(BI89)+N(BI90)+N(BI91)</f>
        <v>574.367</v>
      </c>
      <c r="BJ92" s="68" t="n">
        <f aca="false">BJ82+BJ83+BJ84+BJ85+BJ86+BJ87+N(BJ88)+N(BJ89)+N(BJ90)+N(BJ91)</f>
        <v>646.709</v>
      </c>
      <c r="BK92" s="68" t="n">
        <f aca="false">BK82+BK83+BK84+BK85+BK86+BK87+N(BK88)+N(BK89)+N(BK90)+N(BK91)</f>
        <v>638.469</v>
      </c>
      <c r="BL92" s="68" t="n">
        <f aca="false">BL82+BL83+BL84+BL85+BL86+BL87+N(BL88)+N(BL89)+N(BL90)+N(BL91)</f>
        <v>2420.937</v>
      </c>
      <c r="BM92" s="68" t="n">
        <f aca="false">BM82+BM83+BM84+BM85+BM86+BM87+N(BM88)+N(BM89)+N(BM90)+N(BM91)</f>
        <v>636.863</v>
      </c>
      <c r="BN92" s="68" t="n">
        <f aca="false">BN82+BN83+BN84+BN85+BN86+BN87+N(BN88)+N(BN89)+N(BN90)+N(BN91)</f>
        <v>685.651</v>
      </c>
      <c r="BO92" s="68" t="n">
        <f aca="false">BO82+BO83+BO84+BO85+BO86+BO87+N(BO88)+N(BO89)+N(BO90)+N(BO91)</f>
        <v>716.932</v>
      </c>
      <c r="BP92" s="68" t="n">
        <f aca="false">BP82+BP83+BP84+BP85+BP86+BP87+N(BP88)+N(BP89)+N(BP90)+N(BP91)</f>
        <v>687.468</v>
      </c>
      <c r="BQ92" s="68" t="n">
        <f aca="false">BQ82+BQ83+BQ84+BQ85+BQ86+BQ87+N(BQ88)+N(BQ89)+N(BQ90)+N(BQ91)</f>
        <v>2726.914</v>
      </c>
      <c r="BR92" s="68" t="n">
        <f aca="false">BR82+BR83+BR84+BR85+BR86+BR87+N(BR88)+N(BR89)+N(BR90)+N(BR91)</f>
        <v>717.407</v>
      </c>
      <c r="BS92" s="68" t="n">
        <f aca="false">BS82+BS83+BS84+BS85+BS86+BS87+N(BS88)+N(BS89)+N(BS90)+N(BS91)</f>
        <v>717.716</v>
      </c>
      <c r="BT92" s="68" t="n">
        <f aca="false">BT82+BT83+BT84+BT85+BT86+BT87+N(BT88)+N(BT89)+N(BT90)+N(BT91)</f>
        <v>721.034</v>
      </c>
      <c r="BU92" s="68" t="n">
        <f aca="false">BU82+BU83+BU84+BU85+BU86+BU87+N(BU88)+N(BU89)+N(BU90)+N(BU91)</f>
        <v>725.929</v>
      </c>
      <c r="BV92" s="68" t="n">
        <f aca="false">BV82+BV83+BV84+BV85+BV86+BV87+N(BV88)+N(BV89)+N(BV90)+N(BV91)</f>
        <v>2882.086</v>
      </c>
      <c r="BW92" s="68" t="n">
        <f aca="false">BW82+BW83+BW84+BW85+BW86+BW87+N(BW88)+N(BW89)+N(BW90)+N(BW91)</f>
        <v>739.42</v>
      </c>
      <c r="BX92" s="68" t="n">
        <f aca="false">BX82+BX83+BX84+BX85+BX86+BX87+N(BX88)+N(BX89)+N(BX90)+N(BX91)</f>
        <v>831.282</v>
      </c>
      <c r="BY92" s="69" t="n">
        <f aca="false">BY82+BY83+BY84+BY85+BY86+BY87+N(BY88)</f>
        <v>871.990472048432</v>
      </c>
      <c r="BZ92" s="69" t="n">
        <f aca="false">BZ82+BZ83+BZ84+BZ85+BZ86+BZ87+N(BZ88)</f>
        <v>867.07522180715</v>
      </c>
      <c r="CA92" s="69" t="n">
        <f aca="false">CA82+CA83+CA84+CA85+CA86+CA87+N(CA88)</f>
        <v>3309.76769385558</v>
      </c>
      <c r="CB92" s="69" t="n">
        <f aca="false">CB82+CB83+CB84+CB85+CB86+CB87+N(CB88)</f>
        <v>3547.53878549702</v>
      </c>
      <c r="CC92" s="69" t="n">
        <f aca="false">CC82+CC83+CC84+CC85+CC86+CC87+N(CC88)</f>
        <v>3762.57489700209</v>
      </c>
      <c r="CD92" s="69" t="n">
        <f aca="false">CD82+CD83+CD84+CD85+CD86+CD87+N(CD88)</f>
        <v>4019.40821649076</v>
      </c>
      <c r="CE92" s="69" t="n">
        <f aca="false">CE82+CE83+CE84+CE85+CE86+CE87+N(CE88)</f>
        <v>4310.80401605147</v>
      </c>
      <c r="CF92" s="21"/>
    </row>
    <row r="93" customFormat="false" ht="15" hidden="false" customHeight="true" outlineLevel="0" collapsed="false">
      <c r="B93" s="71" t="s">
        <v>247</v>
      </c>
      <c r="C93" s="72" t="n">
        <f aca="false">C81-C92</f>
        <v>49.9940000000003</v>
      </c>
      <c r="D93" s="72" t="n">
        <f aca="false">D81-D92</f>
        <v>38.1679999999999</v>
      </c>
      <c r="E93" s="72" t="n">
        <f aca="false">E81-E92</f>
        <v>-9.85099999999989</v>
      </c>
      <c r="F93" s="72" t="n">
        <f aca="false">F81-F92</f>
        <v>-3.69299999999998</v>
      </c>
      <c r="G93" s="72" t="n">
        <f aca="false">G81-G92</f>
        <v>12.1</v>
      </c>
      <c r="H93" s="72" t="n">
        <f aca="false">H81-H92</f>
        <v>28.146</v>
      </c>
      <c r="I93" s="72" t="n">
        <f aca="false">I81-I92</f>
        <v>58.7340000000002</v>
      </c>
      <c r="J93" s="72" t="n">
        <f aca="false">J81-J92</f>
        <v>14.532</v>
      </c>
      <c r="K93" s="72" t="n">
        <f aca="false">K81-K92</f>
        <v>23.259</v>
      </c>
      <c r="L93" s="72" t="n">
        <f aca="false">L81-L92</f>
        <v>21.9349999999999</v>
      </c>
      <c r="M93" s="72" t="n">
        <f aca="false">M81-M92</f>
        <v>14.692</v>
      </c>
      <c r="N93" s="72" t="n">
        <f aca="false">N81-N92</f>
        <v>74.4179999999999</v>
      </c>
      <c r="O93" s="72" t="n">
        <f aca="false">O81-O92</f>
        <v>15.2309999999999</v>
      </c>
      <c r="P93" s="72" t="n">
        <f aca="false">P81-P92</f>
        <v>22.741</v>
      </c>
      <c r="Q93" s="72" t="n">
        <f aca="false">Q81-Q92</f>
        <v>27.1489999999999</v>
      </c>
      <c r="R93" s="72" t="n">
        <f aca="false">R81-R92</f>
        <v>20.5720000000001</v>
      </c>
      <c r="S93" s="72" t="n">
        <f aca="false">S81-S92</f>
        <v>85.693</v>
      </c>
      <c r="T93" s="72" t="n">
        <f aca="false">T81-T92</f>
        <v>21.2329999999999</v>
      </c>
      <c r="U93" s="72" t="n">
        <f aca="false">U81-U92</f>
        <v>31.281</v>
      </c>
      <c r="V93" s="72" t="n">
        <f aca="false">V81-V92</f>
        <v>19.8450000000001</v>
      </c>
      <c r="W93" s="72" t="n">
        <f aca="false">W81-W92</f>
        <v>17.616</v>
      </c>
      <c r="X93" s="72" t="n">
        <f aca="false">X81-X92</f>
        <v>89.9749999999999</v>
      </c>
      <c r="Y93" s="72" t="n">
        <f aca="false">Y81-Y92</f>
        <v>17.584</v>
      </c>
      <c r="Z93" s="72" t="n">
        <f aca="false">Z81-Z92</f>
        <v>21.7209999999999</v>
      </c>
      <c r="AA93" s="72" t="n">
        <f aca="false">AA81-AA92</f>
        <v>22.644</v>
      </c>
      <c r="AB93" s="72" t="n">
        <f aca="false">AB81-AB92</f>
        <v>17.187</v>
      </c>
      <c r="AC93" s="72" t="n">
        <f aca="false">AC81-AC92</f>
        <v>79.136</v>
      </c>
      <c r="AD93" s="72" t="n">
        <f aca="false">AD81-AD92</f>
        <v>17.519</v>
      </c>
      <c r="AE93" s="72" t="n">
        <f aca="false">AE81-AE92</f>
        <v>29.718</v>
      </c>
      <c r="AF93" s="72" t="n">
        <f aca="false">AF81-AF92</f>
        <v>24.602</v>
      </c>
      <c r="AG93" s="72" t="n">
        <f aca="false">AG81-AG92</f>
        <v>22.898</v>
      </c>
      <c r="AH93" s="72" t="n">
        <f aca="false">AH81-AH92</f>
        <v>94.7370000000001</v>
      </c>
      <c r="AI93" s="72" t="n">
        <f aca="false">AI81-AI92</f>
        <v>27.5790000000001</v>
      </c>
      <c r="AJ93" s="72" t="n">
        <f aca="false">AJ81-AJ92</f>
        <v>41.565</v>
      </c>
      <c r="AK93" s="72" t="n">
        <f aca="false">AK81-AK92</f>
        <v>38.6969999999999</v>
      </c>
      <c r="AL93" s="72" t="n">
        <f aca="false">AL81-AL92</f>
        <v>33.336</v>
      </c>
      <c r="AM93" s="72" t="n">
        <f aca="false">AM81-AM92</f>
        <v>141.177</v>
      </c>
      <c r="AN93" s="72" t="n">
        <f aca="false">AN81-AN92</f>
        <v>28.6310000000001</v>
      </c>
      <c r="AO93" s="72" t="n">
        <f aca="false">AO81-AO92</f>
        <v>51.166</v>
      </c>
      <c r="AP93" s="72" t="n">
        <f aca="false">AP81-AP92</f>
        <v>45.359</v>
      </c>
      <c r="AQ93" s="72" t="n">
        <f aca="false">AQ81-AQ92</f>
        <v>27.43</v>
      </c>
      <c r="AR93" s="72" t="n">
        <f aca="false">AR81-AR92</f>
        <v>152.586</v>
      </c>
      <c r="AS93" s="72" t="n">
        <f aca="false">AS81-AS92</f>
        <v>38.776</v>
      </c>
      <c r="AT93" s="72" t="n">
        <f aca="false">AT81-AT92</f>
        <v>35.681</v>
      </c>
      <c r="AU93" s="72" t="n">
        <f aca="false">AU81-AU92</f>
        <v>55.2160000000001</v>
      </c>
      <c r="AV93" s="72" t="n">
        <f aca="false">AV81-AV92</f>
        <v>50.6480000000001</v>
      </c>
      <c r="AW93" s="72" t="n">
        <f aca="false">AW81-AW92</f>
        <v>180.321</v>
      </c>
      <c r="AX93" s="72" t="n">
        <f aca="false">AX81-AX92</f>
        <v>48.7139999999999</v>
      </c>
      <c r="AY93" s="72" t="n">
        <f aca="false">AY81-AY92</f>
        <v>82.925</v>
      </c>
      <c r="AZ93" s="72" t="n">
        <f aca="false">AZ81-AZ92</f>
        <v>106.117</v>
      </c>
      <c r="BA93" s="72" t="n">
        <f aca="false">BA81-BA92</f>
        <v>97.3850000000001</v>
      </c>
      <c r="BB93" s="72" t="n">
        <f aca="false">BB81-BB92</f>
        <v>335.141</v>
      </c>
      <c r="BC93" s="72" t="n">
        <f aca="false">BC81-BC92</f>
        <v>103.449</v>
      </c>
      <c r="BD93" s="72" t="n">
        <f aca="false">BD81-BD92</f>
        <v>145.993</v>
      </c>
      <c r="BE93" s="72" t="n">
        <f aca="false">BE81-BE92</f>
        <v>128.355</v>
      </c>
      <c r="BF93" s="72" t="n">
        <f aca="false">BF81-BF92</f>
        <v>92.691</v>
      </c>
      <c r="BG93" s="72" t="n">
        <f aca="false">BG81-BG92</f>
        <v>470.487999999999</v>
      </c>
      <c r="BH93" s="72" t="n">
        <f aca="false">BH81-BH92</f>
        <v>99.1429999999999</v>
      </c>
      <c r="BI93" s="72" t="n">
        <f aca="false">BI81-BI92</f>
        <v>120.255</v>
      </c>
      <c r="BJ93" s="72" t="n">
        <f aca="false">BJ81-BJ92</f>
        <v>128.435</v>
      </c>
      <c r="BK93" s="72" t="n">
        <f aca="false">BK81-BK92</f>
        <v>112.663</v>
      </c>
      <c r="BL93" s="72" t="n">
        <f aca="false">BL81-BL92</f>
        <v>460.496000000001</v>
      </c>
      <c r="BM93" s="72" t="n">
        <f aca="false">BM81-BM92</f>
        <v>117.912</v>
      </c>
      <c r="BN93" s="72" t="n">
        <f aca="false">BN81-BN92</f>
        <v>137.593</v>
      </c>
      <c r="BO93" s="72" t="n">
        <f aca="false">BO81-BO92</f>
        <v>125.171</v>
      </c>
      <c r="BP93" s="72" t="n">
        <f aca="false">BP81-BP92</f>
        <v>101.484</v>
      </c>
      <c r="BQ93" s="72" t="n">
        <f aca="false">BQ81-BQ92</f>
        <v>482.16</v>
      </c>
      <c r="BR93" s="72" t="n">
        <f aca="false">BR81-BR92</f>
        <v>70.1680000000001</v>
      </c>
      <c r="BS93" s="72" t="n">
        <f aca="false">BS81-BS92</f>
        <v>99.3989999999999</v>
      </c>
      <c r="BT93" s="72" t="n">
        <f aca="false">BT81-BT92</f>
        <v>118.61</v>
      </c>
      <c r="BU93" s="72" t="n">
        <f aca="false">BU81-BU92</f>
        <v>64.023</v>
      </c>
      <c r="BV93" s="72" t="n">
        <f aca="false">BV81-BV92</f>
        <v>352.2</v>
      </c>
      <c r="BW93" s="72" t="n">
        <f aca="false">BW81-BW92</f>
        <v>66.8059999999999</v>
      </c>
      <c r="BX93" s="72" t="n">
        <f aca="false">BX81-BX92</f>
        <v>125.212</v>
      </c>
      <c r="BY93" s="72" t="n">
        <f aca="false">BY81-BY92</f>
        <v>119.930429241276</v>
      </c>
      <c r="BZ93" s="72" t="n">
        <f aca="false">BZ81-BZ92</f>
        <v>113.913328207411</v>
      </c>
      <c r="CA93" s="72" t="n">
        <f aca="false">CA81-CA92</f>
        <v>425.861757448687</v>
      </c>
      <c r="CB93" s="72" t="n">
        <f aca="false">CB81-CB92</f>
        <v>531.608432699796</v>
      </c>
      <c r="CC93" s="72" t="n">
        <f aca="false">CC81-CC92</f>
        <v>569.780806104527</v>
      </c>
      <c r="CD93" s="72" t="n">
        <f aca="false">CD81-CD92</f>
        <v>619.71060109905</v>
      </c>
      <c r="CE93" s="72" t="n">
        <f aca="false">CE81-CE92</f>
        <v>706.750919083235</v>
      </c>
      <c r="CF93" s="21"/>
      <c r="CH93" s="31" t="n">
        <f aca="false">IFERROR((CE93/BV93)^(1/5)-1,"n/m")</f>
        <v>0.149464084397129</v>
      </c>
      <c r="CI93" s="31" t="n">
        <f aca="false">IFERROR((BV93/AW93)^(1/5)-1,"n/m")</f>
        <v>0.143269477100941</v>
      </c>
      <c r="CJ93" s="31" t="n">
        <f aca="false">IFERROR((BV93/X93)^(1/10)-1,"n/m")</f>
        <v>0.146216747335598</v>
      </c>
      <c r="CK93" s="31" t="n">
        <f aca="false">IFERROR((BV93/C93)^(1/19)-1,"n/m")</f>
        <v>0.10821701544879</v>
      </c>
    </row>
    <row r="94" customFormat="false" ht="15" hidden="false" customHeight="true" outlineLevel="0" collapsed="false">
      <c r="B94" s="22" t="s">
        <v>248</v>
      </c>
      <c r="C94" s="59" t="n">
        <f aca="false">IF(AND(ISNUMBER(C92),ISNUMBER(C81)),IFERROR(C92/C81,""),"")</f>
        <v>0.942846886724939</v>
      </c>
      <c r="D94" s="59" t="n">
        <f aca="false">IF(AND(ISNUMBER(D92),ISNUMBER(D81)),IFERROR(D92/D81,""),"")</f>
        <v>0.960898370389797</v>
      </c>
      <c r="E94" s="59" t="n">
        <f aca="false">IF(AND(ISNUMBER(E92),ISNUMBER(E81)),IFERROR(E92/E81,""),"")</f>
        <v>1.00956017006641</v>
      </c>
      <c r="F94" s="59" t="n">
        <f aca="false">IF(AND(ISNUMBER(F92),ISNUMBER(F81)),IFERROR(F92/F81,""),"")</f>
        <v>1.00434910103269</v>
      </c>
      <c r="G94" s="59" t="n">
        <f aca="false">IF(AND(ISNUMBER(G92),ISNUMBER(G81)),IFERROR(G92/G81,""),"")</f>
        <v>0.986595174262735</v>
      </c>
      <c r="H94" s="59" t="n">
        <f aca="false">IF(AND(ISNUMBER(H92),ISNUMBER(H81)),IFERROR(H92/H81,""),"")</f>
        <v>0.972679727903835</v>
      </c>
      <c r="I94" s="59" t="n">
        <f aca="false">IF(AND(ISNUMBER(I92),ISNUMBER(I81)),IFERROR(I92/I81,""),"")</f>
        <v>0.94654125545314</v>
      </c>
      <c r="J94" s="59" t="n">
        <f aca="false">IF(AND(ISNUMBER(J92),ISNUMBER(J81)),IFERROR(J92/J81,""),"")</f>
        <v>0.946923793349038</v>
      </c>
      <c r="K94" s="59" t="n">
        <f aca="false">IF(AND(ISNUMBER(K92),ISNUMBER(K81)),IFERROR(K92/K81,""),"")</f>
        <v>0.920497544068336</v>
      </c>
      <c r="L94" s="59" t="n">
        <f aca="false">IF(AND(ISNUMBER(L92),ISNUMBER(L81)),IFERROR(L92/L81,""),"")</f>
        <v>0.925158741261127</v>
      </c>
      <c r="M94" s="59" t="n">
        <f aca="false">IF(AND(ISNUMBER(M92),ISNUMBER(M81)),IFERROR(M92/M81,""),"")</f>
        <v>0.947463839373514</v>
      </c>
      <c r="N94" s="59" t="n">
        <f aca="false">IF(AND(ISNUMBER(N92),ISNUMBER(N81)),IFERROR(N92/N81,""),"")</f>
        <v>0.934669131783681</v>
      </c>
      <c r="O94" s="59" t="n">
        <f aca="false">IF(AND(ISNUMBER(O92),ISNUMBER(O81)),IFERROR(O92/O81,""),"")</f>
        <v>0.949184265839256</v>
      </c>
      <c r="P94" s="59" t="n">
        <f aca="false">IF(AND(ISNUMBER(P92),ISNUMBER(P81)),IFERROR(P92/P81,""),"")</f>
        <v>0.931171099186136</v>
      </c>
      <c r="Q94" s="59" t="n">
        <f aca="false">IF(AND(ISNUMBER(Q92),ISNUMBER(Q81)),IFERROR(Q92/Q81,""),"")</f>
        <v>0.918359675712086</v>
      </c>
      <c r="R94" s="59" t="n">
        <f aca="false">IF(AND(ISNUMBER(R92),ISNUMBER(R81)),IFERROR(R92/R81,""),"")</f>
        <v>0.933563271844158</v>
      </c>
      <c r="S94" s="59" t="n">
        <f aca="false">IF(AND(ISNUMBER(S92),ISNUMBER(S81)),IFERROR(S92/S81,""),"")</f>
        <v>0.932648286085037</v>
      </c>
      <c r="T94" s="59" t="n">
        <f aca="false">IF(AND(ISNUMBER(T92),ISNUMBER(T81)),IFERROR(T92/T81,""),"")</f>
        <v>0.927537864051164</v>
      </c>
      <c r="U94" s="59" t="n">
        <f aca="false">IF(AND(ISNUMBER(U92),ISNUMBER(U81)),IFERROR(U92/U81,""),"")</f>
        <v>0.903298503771485</v>
      </c>
      <c r="V94" s="59" t="n">
        <f aca="false">IF(AND(ISNUMBER(V92),ISNUMBER(V81)),IFERROR(V92/V81,""),"")</f>
        <v>0.937436751061636</v>
      </c>
      <c r="W94" s="59" t="n">
        <f aca="false">IF(AND(ISNUMBER(W92),ISNUMBER(W81)),IFERROR(W92/W81,""),"")</f>
        <v>0.938750391154689</v>
      </c>
      <c r="X94" s="59" t="n">
        <f aca="false">IF(AND(ISNUMBER(X92),ISNUMBER(X81)),IFERROR(X92/X81,""),"")</f>
        <v>0.926329165953635</v>
      </c>
      <c r="Y94" s="59" t="n">
        <f aca="false">IF(AND(ISNUMBER(Y92),ISNUMBER(Y81)),IFERROR(Y92/Y81,""),"")</f>
        <v>0.939346903015063</v>
      </c>
      <c r="Z94" s="59" t="n">
        <f aca="false">IF(AND(ISNUMBER(Z92),ISNUMBER(Z81)),IFERROR(Z92/Z81,""),"")</f>
        <v>0.930360205831904</v>
      </c>
      <c r="AA94" s="59" t="n">
        <f aca="false">IF(AND(ISNUMBER(AA92),ISNUMBER(AA81)),IFERROR(AA92/AA81,""),"")</f>
        <v>0.928441862963829</v>
      </c>
      <c r="AB94" s="59" t="n">
        <f aca="false">IF(AND(ISNUMBER(AB92),ISNUMBER(AB81)),IFERROR(AB92/AB81,""),"")</f>
        <v>0.942752553934909</v>
      </c>
      <c r="AC94" s="59" t="n">
        <f aca="false">IF(AND(ISNUMBER(AC92),ISNUMBER(AC81)),IFERROR(AC92/AC81,""),"")</f>
        <v>0.935053562591456</v>
      </c>
      <c r="AD94" s="59" t="n">
        <f aca="false">IF(AND(ISNUMBER(AD92),ISNUMBER(AD81)),IFERROR(AD92/AD81,""),"")</f>
        <v>0.944741465507181</v>
      </c>
      <c r="AE94" s="59" t="n">
        <f aca="false">IF(AND(ISNUMBER(AE92),ISNUMBER(AE81)),IFERROR(AE92/AE81,""),"")</f>
        <v>0.917025910207728</v>
      </c>
      <c r="AF94" s="59" t="n">
        <f aca="false">IF(AND(ISNUMBER(AF92),ISNUMBER(AF81)),IFERROR(AF92/AF81,""),"")</f>
        <v>0.929721020847736</v>
      </c>
      <c r="AG94" s="59" t="n">
        <f aca="false">IF(AND(ISNUMBER(AG92),ISNUMBER(AG81)),IFERROR(AG92/AG81,""),"")</f>
        <v>0.935179235161401</v>
      </c>
      <c r="AH94" s="59" t="n">
        <f aca="false">IF(AND(ISNUMBER(AH92),ISNUMBER(AH81)),IFERROR(AH92/AH81,""),"")</f>
        <v>0.931275797781663</v>
      </c>
      <c r="AI94" s="59" t="n">
        <f aca="false">IF(AND(ISNUMBER(AI92),ISNUMBER(AI81)),IFERROR(AI92/AI81,""),"")</f>
        <v>0.929789590254706</v>
      </c>
      <c r="AJ94" s="59" t="n">
        <f aca="false">IF(AND(ISNUMBER(AJ92),ISNUMBER(AJ81)),IFERROR(AJ92/AJ81,""),"")</f>
        <v>0.903051323437485</v>
      </c>
      <c r="AK94" s="59" t="n">
        <f aca="false">IF(AND(ISNUMBER(AK92),ISNUMBER(AK81)),IFERROR(AK92/AK81,""),"")</f>
        <v>0.909068478858545</v>
      </c>
      <c r="AL94" s="59" t="n">
        <f aca="false">IF(AND(ISNUMBER(AL92),ISNUMBER(AL81)),IFERROR(AL92/AL81,""),"")</f>
        <v>0.918043023970498</v>
      </c>
      <c r="AM94" s="59" t="n">
        <f aca="false">IF(AND(ISNUMBER(AM92),ISNUMBER(AM81)),IFERROR(AM92/AM81,""),"")</f>
        <v>0.914637309693932</v>
      </c>
      <c r="AN94" s="59" t="n">
        <f aca="false">IF(AND(ISNUMBER(AN92),ISNUMBER(AN81)),IFERROR(AN92/AN81,""),"")</f>
        <v>0.930267618806383</v>
      </c>
      <c r="AO94" s="59" t="n">
        <f aca="false">IF(AND(ISNUMBER(AO92),ISNUMBER(AO81)),IFERROR(AO92/AO81,""),"")</f>
        <v>0.889774771378408</v>
      </c>
      <c r="AP94" s="59" t="n">
        <f aca="false">IF(AND(ISNUMBER(AP92),ISNUMBER(AP81)),IFERROR(AP92/AP81,""),"")</f>
        <v>0.903263231753222</v>
      </c>
      <c r="AQ94" s="59" t="n">
        <f aca="false">IF(AND(ISNUMBER(AQ92),ISNUMBER(AQ81)),IFERROR(AQ92/AQ81,""),"")</f>
        <v>0.938090347917349</v>
      </c>
      <c r="AR94" s="59" t="n">
        <f aca="false">IF(AND(ISNUMBER(AR92),ISNUMBER(AR81)),IFERROR(AR92/AR81,""),"")</f>
        <v>0.914600654266022</v>
      </c>
      <c r="AS94" s="59" t="n">
        <f aca="false">IF(AND(ISNUMBER(AS92),ISNUMBER(AS81)),IFERROR(AS92/AS81,""),"")</f>
        <v>0.913135422360415</v>
      </c>
      <c r="AT94" s="59" t="n">
        <f aca="false">IF(AND(ISNUMBER(AT92),ISNUMBER(AT81)),IFERROR(AT92/AT81,""),"")</f>
        <v>0.914662029972687</v>
      </c>
      <c r="AU94" s="59" t="n">
        <f aca="false">IF(AND(ISNUMBER(AU92),ISNUMBER(AU81)),IFERROR(AU92/AU81,""),"")</f>
        <v>0.885295009701396</v>
      </c>
      <c r="AV94" s="59" t="n">
        <f aca="false">IF(AND(ISNUMBER(AV92),ISNUMBER(AV81)),IFERROR(AV92/AV81,""),"")</f>
        <v>0.893704274243308</v>
      </c>
      <c r="AW94" s="59" t="n">
        <f aca="false">IF(AND(ISNUMBER(AW92),ISNUMBER(AW81)),IFERROR(AW92/AW81,""),"")</f>
        <v>0.901051160963275</v>
      </c>
      <c r="AX94" s="59" t="n">
        <f aca="false">IF(AND(ISNUMBER(AX92),ISNUMBER(AX81)),IFERROR(AX92/AX81,""),"")</f>
        <v>0.89936662576383</v>
      </c>
      <c r="AY94" s="59" t="n">
        <f aca="false">IF(AND(ISNUMBER(AY92),ISNUMBER(AY81)),IFERROR(AY92/AY81,""),"")</f>
        <v>0.85485697482904</v>
      </c>
      <c r="AZ94" s="59" t="n">
        <f aca="false">IF(AND(ISNUMBER(AZ92),ISNUMBER(AZ81)),IFERROR(AZ92/AZ81,""),"")</f>
        <v>0.827792527295624</v>
      </c>
      <c r="BA94" s="59" t="n">
        <f aca="false">IF(AND(ISNUMBER(BA92),ISNUMBER(BA81)),IFERROR(BA92/BA81,""),"")</f>
        <v>0.842184413391435</v>
      </c>
      <c r="BB94" s="59" t="n">
        <f aca="false">IF(AND(ISNUMBER(BB92),ISNUMBER(BB81)),IFERROR(BB92/BB81,""),"")</f>
        <v>0.853567346410895</v>
      </c>
      <c r="BC94" s="59" t="n">
        <f aca="false">IF(AND(ISNUMBER(BC92),ISNUMBER(BC81)),IFERROR(BC92/BC81,""),"")</f>
        <v>0.843547343076998</v>
      </c>
      <c r="BD94" s="59" t="n">
        <f aca="false">IF(AND(ISNUMBER(BD92),ISNUMBER(BD81)),IFERROR(BD92/BD81,""),"")</f>
        <v>0.804181856713263</v>
      </c>
      <c r="BE94" s="59" t="n">
        <f aca="false">IF(AND(ISNUMBER(BE92),ISNUMBER(BE81)),IFERROR(BE92/BE81,""),"")</f>
        <v>0.824065431129131</v>
      </c>
      <c r="BF94" s="59" t="n">
        <f aca="false">IF(AND(ISNUMBER(BF92),ISNUMBER(BF81)),IFERROR(BF92/BF81,""),"")</f>
        <v>0.858643701790077</v>
      </c>
      <c r="BG94" s="59" t="n">
        <f aca="false">IF(AND(ISNUMBER(BG92),ISNUMBER(BG81)),IFERROR(BG92/BG81,""),"")</f>
        <v>0.831490546217359</v>
      </c>
      <c r="BH94" s="59" t="n">
        <f aca="false">IF(AND(ISNUMBER(BH92),ISNUMBER(BH81)),IFERROR(BH92/BH81,""),"")</f>
        <v>0.849905001248988</v>
      </c>
      <c r="BI94" s="59" t="n">
        <f aca="false">IF(AND(ISNUMBER(BI92),ISNUMBER(BI81)),IFERROR(BI92/BI81,""),"")</f>
        <v>0.826877064072258</v>
      </c>
      <c r="BJ94" s="59" t="n">
        <f aca="false">IF(AND(ISNUMBER(BJ92),ISNUMBER(BJ81)),IFERROR(BJ92/BJ81,""),"")</f>
        <v>0.834308205959151</v>
      </c>
      <c r="BK94" s="59" t="n">
        <f aca="false">IF(AND(ISNUMBER(BK92),ISNUMBER(BK81)),IFERROR(BK92/BK81,""),"")</f>
        <v>0.850009053002668</v>
      </c>
      <c r="BL94" s="59" t="n">
        <f aca="false">IF(AND(ISNUMBER(BL92),ISNUMBER(BL81)),IFERROR(BL92/BL81,""),"")</f>
        <v>0.840185074579211</v>
      </c>
      <c r="BM94" s="59" t="n">
        <f aca="false">IF(AND(ISNUMBER(BM92),ISNUMBER(BM81)),IFERROR(BM92/BM81,""),"")</f>
        <v>0.843778609519393</v>
      </c>
      <c r="BN94" s="59" t="n">
        <f aca="false">IF(AND(ISNUMBER(BN92),ISNUMBER(BN81)),IFERROR(BN92/BN81,""),"")</f>
        <v>0.832864861450554</v>
      </c>
      <c r="BO94" s="59" t="n">
        <f aca="false">IF(AND(ISNUMBER(BO92),ISNUMBER(BO81)),IFERROR(BO92/BO81,""),"")</f>
        <v>0.851359038027415</v>
      </c>
      <c r="BP94" s="59" t="n">
        <f aca="false">IF(AND(ISNUMBER(BP92),ISNUMBER(BP81)),IFERROR(BP92/BP81,""),"")</f>
        <v>0.871368600371125</v>
      </c>
      <c r="BQ94" s="59" t="n">
        <f aca="false">IF(AND(ISNUMBER(BQ92),ISNUMBER(BQ81)),IFERROR(BQ92/BQ81,""),"")</f>
        <v>0.849751049679752</v>
      </c>
      <c r="BR94" s="59" t="n">
        <f aca="false">IF(AND(ISNUMBER(BR92),ISNUMBER(BR81)),IFERROR(BR92/BR81,""),"")</f>
        <v>0.910906262895597</v>
      </c>
      <c r="BS94" s="59" t="n">
        <f aca="false">IF(AND(ISNUMBER(BS92),ISNUMBER(BS81)),IFERROR(BS92/BS81,""),"")</f>
        <v>0.878353720100598</v>
      </c>
      <c r="BT94" s="59" t="n">
        <f aca="false">IF(AND(ISNUMBER(BT92),ISNUMBER(BT81)),IFERROR(BT92/BT81,""),"")</f>
        <v>0.858737750761037</v>
      </c>
      <c r="BU94" s="59" t="n">
        <f aca="false">IF(AND(ISNUMBER(BU92),ISNUMBER(BU81)),IFERROR(BU92/BU81,""),"")</f>
        <v>0.918953303491858</v>
      </c>
      <c r="BV94" s="59" t="n">
        <f aca="false">IF(AND(ISNUMBER(BV92),ISNUMBER(BV81)),IFERROR(BV92/BV81,""),"")</f>
        <v>0.891104249902451</v>
      </c>
      <c r="BW94" s="59" t="n">
        <f aca="false">IF(AND(ISNUMBER(BW92),ISNUMBER(BW81)),IFERROR(BW92/BW81,""),"")</f>
        <v>0.917137378352968</v>
      </c>
      <c r="BX94" s="59" t="n">
        <f aca="false">IF(AND(ISNUMBER(BX92),ISNUMBER(BX81)),IFERROR(BX92/BX81,""),"")</f>
        <v>0.869092749144271</v>
      </c>
      <c r="BY94" s="52" t="n">
        <f aca="false">IF(AND(ISNUMBER(BY92),ISNUMBER(BY81)),IFERROR(BY92/BY81,""),"")</f>
        <v>0.879092749144271</v>
      </c>
      <c r="BZ94" s="52" t="n">
        <f aca="false">IF(AND(ISNUMBER(BZ92),ISNUMBER(BZ81)),IFERROR(BZ92/BZ81,""),"")</f>
        <v>0.883879044046212</v>
      </c>
      <c r="CA94" s="30" t="n">
        <f aca="false">IF(AND(ISNUMBER(CA92),ISNUMBER(CA81)),IFERROR(CA92/CA81,""),"")</f>
        <v>0.886</v>
      </c>
      <c r="CB94" s="30" t="n">
        <f aca="false">IF(AND(ISNUMBER(CB92),ISNUMBER(CB81)),IFERROR(CB92/CB81,""),"")</f>
        <v>0.86967657594501</v>
      </c>
      <c r="CC94" s="30" t="n">
        <f aca="false">IF(AND(ISNUMBER(CC92),ISNUMBER(CC81)),IFERROR(CC92/CC81,""),"")</f>
        <v>0.868482450391607</v>
      </c>
      <c r="CD94" s="30" t="n">
        <f aca="false">IF(AND(ISNUMBER(CD92),ISNUMBER(CD81)),IFERROR(CD92/CD81,""),"")</f>
        <v>0.866416311919122</v>
      </c>
      <c r="CE94" s="30" t="n">
        <f aca="false">IF(AND(ISNUMBER(CE92),ISNUMBER(CE81)),IFERROR(CE92/CE81,""),"")</f>
        <v>0.859144358513284</v>
      </c>
      <c r="CF94" s="21"/>
      <c r="CH94" s="64" t="n">
        <f aca="false">IFERROR(AVERAGE(CA94,CB94,CC94,CD94,CE94),"n/m")</f>
        <v>0.869943939353805</v>
      </c>
      <c r="CI94" s="64" t="n">
        <f aca="false">IFERROR(AVERAGE(BB94,BG94,BL94,BQ94,BV94),"n/m")</f>
        <v>0.853219653357934</v>
      </c>
      <c r="CJ94" s="64" t="n">
        <f aca="false">IFERROR(AVERAGE(AC94,AH94,AM94,AR94,AW94,BB94,BG94,BL94,BQ94,BV94),"n/m")</f>
        <v>0.886271675208602</v>
      </c>
      <c r="CK94" s="64" t="n">
        <f aca="false">IFERROR(AVERAGE(C94,D94,E94,F94,G94,H94,I94,N94,S94,X94,AC94,AH94,AM94,AR94,AW94,BB94,BG94,BL94,BQ94,BV94),"n/m")</f>
        <v>0.923991701087096</v>
      </c>
    </row>
    <row r="95" customFormat="false" ht="15" hidden="false" customHeight="true" outlineLevel="0" collapsed="false">
      <c r="B95" s="37" t="s">
        <v>249</v>
      </c>
      <c r="C95" s="38"/>
      <c r="D95" s="38"/>
      <c r="E95" s="38"/>
      <c r="F95" s="38"/>
      <c r="G95" s="38"/>
      <c r="H95" s="38"/>
      <c r="I95" s="38"/>
      <c r="J95" s="39" t="n">
        <v>0.947</v>
      </c>
      <c r="K95" s="39" t="n">
        <v>0.92</v>
      </c>
      <c r="L95" s="39" t="n">
        <v>0.925</v>
      </c>
      <c r="M95" s="39" t="n">
        <v>0.947</v>
      </c>
      <c r="N95" s="38"/>
      <c r="O95" s="39" t="n">
        <v>0.949</v>
      </c>
      <c r="P95" s="39" t="n">
        <v>0.931</v>
      </c>
      <c r="Q95" s="39" t="n">
        <v>0.918</v>
      </c>
      <c r="R95" s="39" t="n">
        <v>0.934</v>
      </c>
      <c r="S95" s="39" t="n">
        <v>0.933</v>
      </c>
      <c r="T95" s="39" t="n">
        <v>0.928</v>
      </c>
      <c r="U95" s="39" t="n">
        <v>0.903</v>
      </c>
      <c r="V95" s="39" t="n">
        <v>0.937</v>
      </c>
      <c r="W95" s="39" t="n">
        <v>0.939</v>
      </c>
      <c r="X95" s="39" t="n">
        <v>0.926</v>
      </c>
      <c r="Y95" s="39" t="n">
        <v>0.939</v>
      </c>
      <c r="Z95" s="39" t="n">
        <v>0.93</v>
      </c>
      <c r="AA95" s="39" t="n">
        <v>0.928</v>
      </c>
      <c r="AB95" s="39" t="n">
        <v>0.943</v>
      </c>
      <c r="AC95" s="39" t="n">
        <v>0.935</v>
      </c>
      <c r="AD95" s="39" t="n">
        <v>0.945</v>
      </c>
      <c r="AE95" s="39" t="n">
        <v>0.917</v>
      </c>
      <c r="AF95" s="39" t="n">
        <v>0.93</v>
      </c>
      <c r="AG95" s="39" t="n">
        <v>0.935</v>
      </c>
      <c r="AH95" s="39" t="n">
        <v>0.931</v>
      </c>
      <c r="AI95" s="39" t="n">
        <v>0.93</v>
      </c>
      <c r="AJ95" s="39" t="n">
        <v>0.903</v>
      </c>
      <c r="AK95" s="39" t="n">
        <v>0.909</v>
      </c>
      <c r="AL95" s="39" t="n">
        <v>0.918</v>
      </c>
      <c r="AM95" s="39" t="n">
        <v>0.915</v>
      </c>
      <c r="AN95" s="39" t="n">
        <v>0.93</v>
      </c>
      <c r="AO95" s="39" t="n">
        <v>0.89</v>
      </c>
      <c r="AP95" s="39" t="n">
        <v>0.903</v>
      </c>
      <c r="AQ95" s="39" t="n">
        <v>0.938</v>
      </c>
      <c r="AR95" s="39" t="n">
        <v>0.915</v>
      </c>
      <c r="AS95" s="39" t="n">
        <v>0.913</v>
      </c>
      <c r="AT95" s="39" t="n">
        <v>0.915</v>
      </c>
      <c r="AU95" s="39" t="n">
        <v>0.885</v>
      </c>
      <c r="AV95" s="39" t="n">
        <v>0.894</v>
      </c>
      <c r="AW95" s="39" t="n">
        <v>0.901</v>
      </c>
      <c r="AX95" s="39" t="n">
        <v>0.899</v>
      </c>
      <c r="AY95" s="39" t="n">
        <v>0.855</v>
      </c>
      <c r="AZ95" s="39" t="n">
        <v>0.828</v>
      </c>
      <c r="BA95" s="39" t="n">
        <v>0.842</v>
      </c>
      <c r="BB95" s="39" t="n">
        <v>0.854</v>
      </c>
      <c r="BC95" s="39" t="n">
        <v>0.844</v>
      </c>
      <c r="BD95" s="39" t="n">
        <v>0.804</v>
      </c>
      <c r="BE95" s="39" t="n">
        <v>0.824</v>
      </c>
      <c r="BF95" s="39" t="n">
        <v>0.859</v>
      </c>
      <c r="BG95" s="39" t="n">
        <v>0.831</v>
      </c>
      <c r="BH95" s="39" t="n">
        <v>0.85</v>
      </c>
      <c r="BI95" s="39" t="n">
        <v>0.827</v>
      </c>
      <c r="BJ95" s="39" t="n">
        <v>0.834</v>
      </c>
      <c r="BK95" s="39" t="n">
        <v>0.85</v>
      </c>
      <c r="BL95" s="40" t="n">
        <v>0.84</v>
      </c>
      <c r="BM95" s="39" t="n">
        <v>0.844</v>
      </c>
      <c r="BN95" s="39" t="n">
        <v>0.833</v>
      </c>
      <c r="BO95" s="39" t="n">
        <v>0.851</v>
      </c>
      <c r="BP95" s="39" t="n">
        <v>0.871</v>
      </c>
      <c r="BQ95" s="39" t="n">
        <v>0.85</v>
      </c>
      <c r="BR95" s="40" t="n">
        <v>0.911</v>
      </c>
      <c r="BS95" s="40" t="n">
        <v>0.878</v>
      </c>
      <c r="BT95" s="39" t="n">
        <v>0.859</v>
      </c>
      <c r="BU95" s="39" t="n">
        <v>0.919</v>
      </c>
      <c r="BV95" s="39" t="n">
        <v>0.891</v>
      </c>
      <c r="BW95" s="39" t="n">
        <v>0.917</v>
      </c>
      <c r="BX95" s="39" t="n">
        <v>0.869</v>
      </c>
      <c r="BY95" s="41"/>
      <c r="BZ95" s="41"/>
      <c r="CA95" s="41"/>
      <c r="CB95" s="41"/>
      <c r="CC95" s="41"/>
      <c r="CD95" s="41"/>
      <c r="CE95" s="41"/>
      <c r="CF95" s="21"/>
    </row>
    <row r="96" customFormat="false" ht="15" hidden="false" customHeight="true" outlineLevel="0" collapsed="false">
      <c r="B96" s="74" t="s">
        <v>250</v>
      </c>
      <c r="C96" s="65" t="n">
        <f aca="false">ROUND(C93-49.994,1)</f>
        <v>0</v>
      </c>
      <c r="D96" s="65" t="n">
        <f aca="false">ROUND(D93-38.168,1)</f>
        <v>0</v>
      </c>
      <c r="E96" s="65" t="n">
        <f aca="false">ROUND(E93--9.851,1)</f>
        <v>0</v>
      </c>
      <c r="F96" s="65" t="n">
        <f aca="false">ROUND(F93--3.693,1)</f>
        <v>0</v>
      </c>
      <c r="G96" s="65" t="n">
        <f aca="false">ROUND(G93-12.1,1)</f>
        <v>0</v>
      </c>
      <c r="H96" s="65" t="n">
        <f aca="false">ROUND(H93-28.146,1)</f>
        <v>0</v>
      </c>
      <c r="I96" s="65" t="n">
        <f aca="false">ROUND(I93-58.734,1)</f>
        <v>0</v>
      </c>
      <c r="J96" s="65" t="n">
        <f aca="false">ROUND(J93-14.532,1)</f>
        <v>0</v>
      </c>
      <c r="K96" s="65" t="n">
        <f aca="false">ROUND(K93-23.259,1)</f>
        <v>0</v>
      </c>
      <c r="L96" s="65" t="n">
        <f aca="false">ROUND(L93-21.935,1)</f>
        <v>0</v>
      </c>
      <c r="M96" s="65" t="n">
        <f aca="false">ROUND(M93-14.692,1)</f>
        <v>0</v>
      </c>
      <c r="N96" s="65" t="n">
        <f aca="false">ROUND(N93-74.418,1)</f>
        <v>0</v>
      </c>
      <c r="O96" s="65" t="n">
        <f aca="false">ROUND(O93-15.231,1)</f>
        <v>-0</v>
      </c>
      <c r="P96" s="65" t="n">
        <f aca="false">ROUND(P93-22.741,1)</f>
        <v>0</v>
      </c>
      <c r="Q96" s="65" t="n">
        <f aca="false">ROUND(Q93-27.149,1)</f>
        <v>0</v>
      </c>
      <c r="R96" s="65" t="n">
        <f aca="false">ROUND(R93-20.572,1)</f>
        <v>0</v>
      </c>
      <c r="S96" s="65" t="n">
        <f aca="false">ROUND(S93-85.693,1)</f>
        <v>0</v>
      </c>
      <c r="T96" s="65" t="n">
        <f aca="false">ROUND(T93-21.233,1)</f>
        <v>0</v>
      </c>
      <c r="U96" s="65" t="n">
        <f aca="false">ROUND(U93-31.281,1)</f>
        <v>0</v>
      </c>
      <c r="V96" s="65" t="n">
        <f aca="false">ROUND(V93-19.845,1)</f>
        <v>0</v>
      </c>
      <c r="W96" s="65" t="n">
        <f aca="false">ROUND(W93-17.616,1)</f>
        <v>0</v>
      </c>
      <c r="X96" s="65" t="n">
        <f aca="false">ROUND(X93-89.975,1)</f>
        <v>0</v>
      </c>
      <c r="Y96" s="65" t="n">
        <f aca="false">ROUND(Y93-17.584,1)</f>
        <v>0</v>
      </c>
      <c r="Z96" s="65" t="n">
        <f aca="false">ROUND(Z93-21.721,1)</f>
        <v>0</v>
      </c>
      <c r="AA96" s="65" t="n">
        <f aca="false">ROUND(AA93-22.644,1)</f>
        <v>0</v>
      </c>
      <c r="AB96" s="65" t="n">
        <f aca="false">ROUND(AB93-17.187,1)</f>
        <v>0</v>
      </c>
      <c r="AC96" s="65" t="n">
        <f aca="false">ROUND(AC93-79.136,1)</f>
        <v>0</v>
      </c>
      <c r="AD96" s="65" t="n">
        <f aca="false">ROUND(AD93-17.519,1)</f>
        <v>0</v>
      </c>
      <c r="AE96" s="65" t="n">
        <f aca="false">ROUND(AE93-29.718,1)</f>
        <v>0</v>
      </c>
      <c r="AF96" s="65" t="n">
        <f aca="false">ROUND(AF93-24.602,1)</f>
        <v>0</v>
      </c>
      <c r="AG96" s="65" t="n">
        <f aca="false">ROUND(AG93-22.898,1)</f>
        <v>0</v>
      </c>
      <c r="AH96" s="65" t="n">
        <f aca="false">ROUND(AH93-94.737,1)</f>
        <v>0</v>
      </c>
      <c r="AI96" s="65" t="n">
        <f aca="false">ROUND(AI93-27.579,1)</f>
        <v>0</v>
      </c>
      <c r="AJ96" s="65" t="n">
        <f aca="false">ROUND(AJ93-41.565,1)</f>
        <v>0</v>
      </c>
      <c r="AK96" s="65" t="n">
        <f aca="false">ROUND(AK93-38.697,1)</f>
        <v>0</v>
      </c>
      <c r="AL96" s="65" t="n">
        <f aca="false">ROUND(AL93-33.336,1)</f>
        <v>0</v>
      </c>
      <c r="AM96" s="65" t="n">
        <f aca="false">ROUND(AM93-141.177,1)</f>
        <v>0</v>
      </c>
      <c r="AN96" s="65" t="n">
        <f aca="false">ROUND(AN93-28.631,1)</f>
        <v>0</v>
      </c>
      <c r="AO96" s="65" t="n">
        <f aca="false">ROUND(AO93-51.166,1)</f>
        <v>0</v>
      </c>
      <c r="AP96" s="65" t="n">
        <f aca="false">ROUND(AP93-45.359,1)</f>
        <v>0</v>
      </c>
      <c r="AQ96" s="65" t="n">
        <f aca="false">ROUND(AQ93-27.43,1)</f>
        <v>0</v>
      </c>
      <c r="AR96" s="65" t="n">
        <f aca="false">ROUND(AR93-152.586,1)</f>
        <v>0</v>
      </c>
      <c r="AS96" s="65" t="n">
        <f aca="false">ROUND(AS93-38.776,1)</f>
        <v>0</v>
      </c>
      <c r="AT96" s="65" t="n">
        <f aca="false">ROUND(AT93-35.681,1)</f>
        <v>0</v>
      </c>
      <c r="AU96" s="65" t="n">
        <f aca="false">ROUND(AU93-55.216,1)</f>
        <v>0</v>
      </c>
      <c r="AV96" s="65" t="n">
        <f aca="false">ROUND(AV93-50.648,1)</f>
        <v>0</v>
      </c>
      <c r="AW96" s="65" t="n">
        <f aca="false">ROUND(AW93-180.321,1)</f>
        <v>0</v>
      </c>
      <c r="AX96" s="65" t="n">
        <f aca="false">ROUND(AX93-48.714,1)</f>
        <v>0</v>
      </c>
      <c r="AY96" s="65" t="n">
        <f aca="false">ROUND(AY93-82.925,1)</f>
        <v>0</v>
      </c>
      <c r="AZ96" s="65" t="n">
        <f aca="false">ROUND(AZ93-106.117,1)</f>
        <v>0</v>
      </c>
      <c r="BA96" s="65" t="n">
        <f aca="false">ROUND(BA93-97.385,1)</f>
        <v>0</v>
      </c>
      <c r="BB96" s="65" t="n">
        <f aca="false">ROUND(BB93-335.141,1)</f>
        <v>0</v>
      </c>
      <c r="BC96" s="65" t="n">
        <f aca="false">ROUND(BC93-103.449,1)</f>
        <v>0</v>
      </c>
      <c r="BD96" s="65" t="n">
        <f aca="false">ROUND(BD93-145.993,1)</f>
        <v>0</v>
      </c>
      <c r="BE96" s="65" t="n">
        <f aca="false">ROUND(BE93-128.355,1)</f>
        <v>0</v>
      </c>
      <c r="BF96" s="65" t="n">
        <f aca="false">ROUND(BF93-92.691,1)</f>
        <v>0</v>
      </c>
      <c r="BG96" s="65" t="n">
        <f aca="false">ROUND(BG93-470.488,1)</f>
        <v>0</v>
      </c>
      <c r="BH96" s="65" t="n">
        <f aca="false">ROUND(BH93-99.143,1)</f>
        <v>0</v>
      </c>
      <c r="BI96" s="65" t="n">
        <f aca="false">ROUND(BI93-120.255,1)</f>
        <v>0</v>
      </c>
      <c r="BJ96" s="65" t="n">
        <f aca="false">ROUND(BJ93-128.435,1)</f>
        <v>0</v>
      </c>
      <c r="BK96" s="65" t="n">
        <f aca="false">ROUND(BK93-112.663,1)</f>
        <v>0</v>
      </c>
      <c r="BL96" s="65" t="n">
        <f aca="false">ROUND(BL93-460.496,1)</f>
        <v>0</v>
      </c>
      <c r="BM96" s="65" t="n">
        <f aca="false">ROUND(BM93-117.912,1)</f>
        <v>0</v>
      </c>
      <c r="BN96" s="65" t="n">
        <f aca="false">ROUND(BN93-137.593,1)</f>
        <v>0</v>
      </c>
      <c r="BO96" s="65" t="n">
        <f aca="false">ROUND(BO93-125.171,1)</f>
        <v>0</v>
      </c>
      <c r="BP96" s="65" t="n">
        <f aca="false">ROUND(BP93-101.484,1)</f>
        <v>0</v>
      </c>
      <c r="BQ96" s="65" t="n">
        <f aca="false">ROUND(BQ93-482.16,1)</f>
        <v>0</v>
      </c>
      <c r="BR96" s="65" t="n">
        <f aca="false">ROUND(BR93-70.168,1)</f>
        <v>0</v>
      </c>
      <c r="BS96" s="65" t="n">
        <f aca="false">ROUND(BS93-99.399,1)</f>
        <v>0</v>
      </c>
      <c r="BT96" s="65" t="n">
        <f aca="false">ROUND(BT93-118.61,1)</f>
        <v>0</v>
      </c>
      <c r="BU96" s="65" t="n">
        <f aca="false">ROUND(BU93-64.023,1)</f>
        <v>0</v>
      </c>
      <c r="BV96" s="65" t="n">
        <f aca="false">ROUND(BV93-352.2,1)</f>
        <v>0</v>
      </c>
      <c r="BW96" s="65" t="n">
        <f aca="false">ROUND(BW93-66.806,1)</f>
        <v>0</v>
      </c>
      <c r="BX96" s="65" t="n">
        <f aca="false">ROUND(BX93-125.212,1)</f>
        <v>0</v>
      </c>
      <c r="BY96" s="88"/>
      <c r="BZ96" s="88"/>
      <c r="CA96" s="88"/>
      <c r="CB96" s="88"/>
      <c r="CC96" s="88"/>
      <c r="CD96" s="88"/>
      <c r="CE96" s="88"/>
      <c r="CF96" s="21"/>
    </row>
    <row r="97" customFormat="false" ht="15" hidden="false" customHeight="true" outlineLevel="0" collapsed="false">
      <c r="B97" s="22" t="s">
        <v>251</v>
      </c>
      <c r="C97" s="83" t="n">
        <v>9.288</v>
      </c>
      <c r="D97" s="83" t="n">
        <v>10.135</v>
      </c>
      <c r="E97" s="83" t="n">
        <v>12.441</v>
      </c>
      <c r="F97" s="83" t="n">
        <v>12.156</v>
      </c>
      <c r="G97" s="83" t="n">
        <v>10.602</v>
      </c>
      <c r="H97" s="83" t="n">
        <v>10.468</v>
      </c>
      <c r="I97" s="83" t="n">
        <v>7.807</v>
      </c>
      <c r="J97" s="83" t="n">
        <v>1.528</v>
      </c>
      <c r="K97" s="83" t="n">
        <v>1.618</v>
      </c>
      <c r="L97" s="83" t="n">
        <v>1.76</v>
      </c>
      <c r="M97" s="83" t="n">
        <v>1.584</v>
      </c>
      <c r="N97" s="83" t="n">
        <v>6.49</v>
      </c>
      <c r="O97" s="83" t="n">
        <v>1.316</v>
      </c>
      <c r="P97" s="83" t="n">
        <v>1.177</v>
      </c>
      <c r="Q97" s="83" t="n">
        <v>1.064</v>
      </c>
      <c r="R97" s="83" t="n">
        <v>1.007</v>
      </c>
      <c r="S97" s="83" t="n">
        <v>4.564</v>
      </c>
      <c r="T97" s="83" t="n">
        <v>1.019</v>
      </c>
      <c r="U97" s="83" t="n">
        <v>1.074</v>
      </c>
      <c r="V97" s="83" t="n">
        <v>1.033</v>
      </c>
      <c r="W97" s="83" t="n">
        <v>0.981</v>
      </c>
      <c r="X97" s="83" t="n">
        <v>4.107</v>
      </c>
      <c r="Y97" s="83" t="n">
        <v>0.963</v>
      </c>
      <c r="Z97" s="83" t="n">
        <v>1.264</v>
      </c>
      <c r="AA97" s="83" t="n">
        <v>1.183</v>
      </c>
      <c r="AB97" s="83" t="n">
        <v>0.984</v>
      </c>
      <c r="AC97" s="83" t="n">
        <v>4.394</v>
      </c>
      <c r="AD97" s="83" t="n">
        <v>0.911</v>
      </c>
      <c r="AE97" s="83" t="n">
        <v>1.538</v>
      </c>
      <c r="AF97" s="83" t="n">
        <v>1.313</v>
      </c>
      <c r="AG97" s="83" t="n">
        <v>1.289</v>
      </c>
      <c r="AH97" s="83" t="n">
        <v>5.051</v>
      </c>
      <c r="AI97" s="83" t="n">
        <v>1.226</v>
      </c>
      <c r="AJ97" s="83" t="n">
        <v>1.454</v>
      </c>
      <c r="AK97" s="83" t="n">
        <v>1.41</v>
      </c>
      <c r="AL97" s="83" t="n">
        <v>1.328</v>
      </c>
      <c r="AM97" s="83" t="n">
        <v>5.418</v>
      </c>
      <c r="AN97" s="83" t="n">
        <v>1.383</v>
      </c>
      <c r="AO97" s="83" t="n">
        <v>1.903</v>
      </c>
      <c r="AP97" s="83" t="n">
        <v>1.868</v>
      </c>
      <c r="AQ97" s="83" t="n">
        <v>1.534</v>
      </c>
      <c r="AR97" s="83" t="n">
        <v>6.688</v>
      </c>
      <c r="AS97" s="83" t="n">
        <v>1.402</v>
      </c>
      <c r="AT97" s="83" t="n">
        <v>1.594</v>
      </c>
      <c r="AU97" s="83" t="n">
        <v>1.174</v>
      </c>
      <c r="AV97" s="83" t="n">
        <v>1.007</v>
      </c>
      <c r="AW97" s="83" t="n">
        <v>5.177</v>
      </c>
      <c r="AX97" s="83" t="n">
        <v>0.852</v>
      </c>
      <c r="AY97" s="83" t="n">
        <v>0.834</v>
      </c>
      <c r="AZ97" s="83" t="n">
        <v>0.777</v>
      </c>
      <c r="BA97" s="83" t="n">
        <v>0.749</v>
      </c>
      <c r="BB97" s="83" t="n">
        <v>3.212</v>
      </c>
      <c r="BC97" s="83" t="n">
        <v>0.692</v>
      </c>
      <c r="BD97" s="83" t="n">
        <v>0.668</v>
      </c>
      <c r="BE97" s="83" t="n">
        <v>0.581</v>
      </c>
      <c r="BF97" s="83" t="n">
        <v>0.67</v>
      </c>
      <c r="BG97" s="83" t="n">
        <v>2.611</v>
      </c>
      <c r="BH97" s="83" t="n">
        <v>0.688</v>
      </c>
      <c r="BI97" s="83" t="n">
        <v>0.458</v>
      </c>
      <c r="BJ97" s="83" t="n">
        <v>0.454</v>
      </c>
      <c r="BK97" s="83" t="n">
        <v>0.935</v>
      </c>
      <c r="BL97" s="83" t="n">
        <v>2.535</v>
      </c>
      <c r="BM97" s="83" t="n">
        <v>0.542</v>
      </c>
      <c r="BN97" s="83" t="n">
        <v>2.412</v>
      </c>
      <c r="BO97" s="83" t="n">
        <v>2.997</v>
      </c>
      <c r="BP97" s="83" t="n">
        <v>2.979</v>
      </c>
      <c r="BQ97" s="83" t="n">
        <v>8.93</v>
      </c>
      <c r="BR97" s="83" t="n">
        <v>4.285</v>
      </c>
      <c r="BS97" s="83" t="n">
        <v>4.742</v>
      </c>
      <c r="BT97" s="83" t="n">
        <v>4.483</v>
      </c>
      <c r="BU97" s="83" t="n">
        <v>2.934</v>
      </c>
      <c r="BV97" s="83" t="n">
        <v>16.444</v>
      </c>
      <c r="BW97" s="83" t="n">
        <v>2.574</v>
      </c>
      <c r="BX97" s="83" t="n">
        <v>2.048</v>
      </c>
      <c r="BY97" s="66" t="n">
        <f aca="false">$BX$278*$CB$285/4+$CB$287/4</f>
        <v>1.8225</v>
      </c>
      <c r="BZ97" s="66" t="n">
        <f aca="false">$BX$278*$CB$285/4+$CB$287/4</f>
        <v>1.8225</v>
      </c>
      <c r="CA97" s="67" t="n">
        <f aca="false">SUM(BW97,BX97,BY97,BZ97)</f>
        <v>8.267</v>
      </c>
      <c r="CB97" s="67" t="n">
        <f aca="false">CA278*CB285+CA281*CB286+CB287</f>
        <v>7.29</v>
      </c>
      <c r="CC97" s="67" t="n">
        <f aca="false">CB278*CC285+CB281*CC286+CC287</f>
        <v>7.29</v>
      </c>
      <c r="CD97" s="67" t="n">
        <f aca="false">CC278*CD285+CC281*CD286+CD287</f>
        <v>7.29</v>
      </c>
      <c r="CE97" s="67" t="n">
        <f aca="false">CD278*CE285+CD281*CE286+CE287</f>
        <v>7.29</v>
      </c>
      <c r="CF97" s="21" t="s">
        <v>252</v>
      </c>
    </row>
    <row r="98" customFormat="false" ht="15" hidden="false" customHeight="true" outlineLevel="0" collapsed="false">
      <c r="B98" s="22" t="s">
        <v>253</v>
      </c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3" t="n">
        <v>-0.487</v>
      </c>
      <c r="BJ98" s="83" t="n">
        <v>-2.423</v>
      </c>
      <c r="BK98" s="83" t="n">
        <v>-3.158</v>
      </c>
      <c r="BL98" s="83" t="n">
        <v>-6.208</v>
      </c>
      <c r="BM98" s="83" t="n">
        <v>-0.755</v>
      </c>
      <c r="BN98" s="83" t="n">
        <v>-0.11</v>
      </c>
      <c r="BO98" s="83" t="n">
        <v>-0.045</v>
      </c>
      <c r="BP98" s="83" t="n">
        <v>-0.139</v>
      </c>
      <c r="BQ98" s="83" t="n">
        <v>-1.049</v>
      </c>
      <c r="BR98" s="83" t="n">
        <v>-0.039</v>
      </c>
      <c r="BS98" s="83" t="n">
        <v>-0.034</v>
      </c>
      <c r="BT98" s="83" t="n">
        <v>-0.044</v>
      </c>
      <c r="BU98" s="83" t="n">
        <v>-0.034</v>
      </c>
      <c r="BV98" s="83" t="n">
        <v>-0.151</v>
      </c>
      <c r="BW98" s="83" t="n">
        <v>-0.063</v>
      </c>
      <c r="BX98" s="83" t="n">
        <v>-0.317</v>
      </c>
      <c r="BY98" s="66" t="n">
        <f aca="false">-$BX$231*$CB$288/4</f>
        <v>-0.630105</v>
      </c>
      <c r="BZ98" s="66" t="n">
        <f aca="false">-$BX$231*$CB$288/4</f>
        <v>-0.630105</v>
      </c>
      <c r="CA98" s="67" t="n">
        <f aca="false">SUM(BW98,BX98,BY98,BZ98)</f>
        <v>-1.64021</v>
      </c>
      <c r="CB98" s="67" t="n">
        <f aca="false">-CA231*CB288</f>
        <v>-4.63735631487109</v>
      </c>
      <c r="CC98" s="67" t="n">
        <f aca="false">-CB231*CC288</f>
        <v>-3.00372</v>
      </c>
      <c r="CD98" s="67" t="n">
        <f aca="false">-CC231*CD288</f>
        <v>-3.00372</v>
      </c>
      <c r="CE98" s="67" t="n">
        <f aca="false">-CD231*CE288</f>
        <v>-3.00372</v>
      </c>
      <c r="CF98" s="21"/>
    </row>
    <row r="99" customFormat="false" ht="15" hidden="false" customHeight="true" outlineLevel="0" collapsed="false">
      <c r="B99" s="22" t="s">
        <v>254</v>
      </c>
      <c r="C99" s="83" t="n">
        <v>-1.267</v>
      </c>
      <c r="D99" s="83" t="n">
        <v>-0.358</v>
      </c>
      <c r="E99" s="83" t="n">
        <v>0.419</v>
      </c>
      <c r="F99" s="83" t="n">
        <v>-0.208</v>
      </c>
      <c r="G99" s="83" t="n">
        <v>-0.435</v>
      </c>
      <c r="H99" s="83" t="n">
        <v>-0.052</v>
      </c>
      <c r="I99" s="83" t="n">
        <v>-0.212</v>
      </c>
      <c r="J99" s="83" t="n">
        <v>-0.066</v>
      </c>
      <c r="K99" s="83" t="n">
        <v>-0.029</v>
      </c>
      <c r="L99" s="83" t="n">
        <v>-0.085</v>
      </c>
      <c r="M99" s="83" t="n">
        <v>-0.037</v>
      </c>
      <c r="N99" s="83" t="n">
        <v>-0.217</v>
      </c>
      <c r="O99" s="83" t="n">
        <v>-0.03</v>
      </c>
      <c r="P99" s="83" t="n">
        <v>-0.035</v>
      </c>
      <c r="Q99" s="83" t="n">
        <v>0.016</v>
      </c>
      <c r="R99" s="83" t="n">
        <v>-0.05</v>
      </c>
      <c r="S99" s="83" t="n">
        <v>-0.099</v>
      </c>
      <c r="T99" s="83" t="n">
        <v>-0.051</v>
      </c>
      <c r="U99" s="83" t="n">
        <v>-0.014</v>
      </c>
      <c r="V99" s="83" t="n">
        <v>0.046</v>
      </c>
      <c r="W99" s="83" t="n">
        <v>-0.076</v>
      </c>
      <c r="X99" s="83" t="n">
        <v>-0.095</v>
      </c>
      <c r="Y99" s="83" t="n">
        <v>-0.007</v>
      </c>
      <c r="Z99" s="83" t="n">
        <v>-0.036</v>
      </c>
      <c r="AA99" s="83" t="n">
        <v>-0.104</v>
      </c>
      <c r="AB99" s="83" t="n">
        <v>-0.03</v>
      </c>
      <c r="AC99" s="83" t="n">
        <v>-0.177</v>
      </c>
      <c r="AD99" s="83" t="n">
        <v>0.098</v>
      </c>
      <c r="AE99" s="83" t="n">
        <v>0.09</v>
      </c>
      <c r="AF99" s="83" t="n">
        <v>-0.131</v>
      </c>
      <c r="AG99" s="83" t="n">
        <v>-0.149</v>
      </c>
      <c r="AH99" s="83" t="n">
        <v>-0.092</v>
      </c>
      <c r="AI99" s="83" t="n">
        <v>-0.103</v>
      </c>
      <c r="AJ99" s="83" t="n">
        <v>-0.142</v>
      </c>
      <c r="AK99" s="83" t="n">
        <v>-0.139</v>
      </c>
      <c r="AL99" s="83" t="n">
        <v>0.31</v>
      </c>
      <c r="AM99" s="83" t="n">
        <v>-0.074</v>
      </c>
      <c r="AN99" s="83" t="n">
        <v>-0.334</v>
      </c>
      <c r="AO99" s="83" t="n">
        <v>-0.14</v>
      </c>
      <c r="AP99" s="83" t="n">
        <v>-0.02</v>
      </c>
      <c r="AQ99" s="83" t="n">
        <v>-0.26</v>
      </c>
      <c r="AR99" s="83" t="n">
        <v>-0.754</v>
      </c>
      <c r="AS99" s="83" t="n">
        <v>0.547</v>
      </c>
      <c r="AT99" s="83" t="n">
        <v>-0.751</v>
      </c>
      <c r="AU99" s="83" t="n">
        <v>-0.391</v>
      </c>
      <c r="AV99" s="83" t="n">
        <v>-0.539</v>
      </c>
      <c r="AW99" s="83" t="n">
        <v>-1.134</v>
      </c>
      <c r="AX99" s="83" t="n">
        <v>-0.131</v>
      </c>
      <c r="AY99" s="83" t="n">
        <v>-0.43</v>
      </c>
      <c r="AZ99" s="83" t="n">
        <v>0.014</v>
      </c>
      <c r="BA99" s="83" t="n">
        <v>-0.297</v>
      </c>
      <c r="BB99" s="83" t="n">
        <v>-0.844</v>
      </c>
      <c r="BC99" s="83" t="n">
        <v>0.235</v>
      </c>
      <c r="BD99" s="83" t="n">
        <v>0.769</v>
      </c>
      <c r="BE99" s="83" t="n">
        <v>0.068</v>
      </c>
      <c r="BF99" s="83" t="n">
        <v>-1.243</v>
      </c>
      <c r="BG99" s="83" t="n">
        <v>-0.171</v>
      </c>
      <c r="BH99" s="83" t="n">
        <v>-0.643</v>
      </c>
      <c r="BI99" s="83" t="n">
        <v>-0.99</v>
      </c>
      <c r="BJ99" s="83" t="n">
        <v>0.157</v>
      </c>
      <c r="BK99" s="83" t="n">
        <v>-0.722</v>
      </c>
      <c r="BL99" s="83" t="n">
        <v>-2.058</v>
      </c>
      <c r="BM99" s="83" t="n">
        <v>-0.788</v>
      </c>
      <c r="BN99" s="83" t="n">
        <v>-0.326</v>
      </c>
      <c r="BO99" s="83" t="n">
        <v>-0.46</v>
      </c>
      <c r="BP99" s="83" t="n">
        <v>-0.155</v>
      </c>
      <c r="BQ99" s="83" t="n">
        <v>-1.729</v>
      </c>
      <c r="BR99" s="83" t="n">
        <v>0.357</v>
      </c>
      <c r="BS99" s="83" t="n">
        <v>-0.873</v>
      </c>
      <c r="BT99" s="83" t="n">
        <v>-0.654</v>
      </c>
      <c r="BU99" s="83" t="n">
        <v>-0.312</v>
      </c>
      <c r="BV99" s="83" t="n">
        <v>-1.482</v>
      </c>
      <c r="BW99" s="83" t="n">
        <v>-0.74</v>
      </c>
      <c r="BX99" s="83" t="n">
        <v>-1.994</v>
      </c>
      <c r="BY99" s="66" t="n">
        <f aca="false">($BW$99+$BX$99)/2</f>
        <v>-1.367</v>
      </c>
      <c r="BZ99" s="66" t="n">
        <f aca="false">($BW$99+$BX$99)/2</f>
        <v>-1.367</v>
      </c>
      <c r="CA99" s="67" t="n">
        <f aca="false">SUM(BW99,BX99,BY99,BZ99)</f>
        <v>-5.468</v>
      </c>
      <c r="CB99" s="85" t="n">
        <v>0</v>
      </c>
      <c r="CC99" s="85" t="n">
        <v>0</v>
      </c>
      <c r="CD99" s="85" t="n">
        <v>0</v>
      </c>
      <c r="CE99" s="85" t="n">
        <v>0</v>
      </c>
      <c r="CF99" s="21"/>
    </row>
    <row r="100" customFormat="false" ht="15" hidden="false" customHeight="true" outlineLevel="0" collapsed="false">
      <c r="B100" s="22" t="s">
        <v>255</v>
      </c>
      <c r="C100" s="65" t="n">
        <f aca="false">C97+N(C98)+C99</f>
        <v>8.021</v>
      </c>
      <c r="D100" s="65" t="n">
        <f aca="false">D97+N(D98)+D99</f>
        <v>9.777</v>
      </c>
      <c r="E100" s="65" t="n">
        <f aca="false">E97+N(E98)+E99</f>
        <v>12.86</v>
      </c>
      <c r="F100" s="65" t="n">
        <f aca="false">F97+N(F98)+F99</f>
        <v>11.948</v>
      </c>
      <c r="G100" s="65" t="n">
        <f aca="false">G97+N(G98)+G99</f>
        <v>10.167</v>
      </c>
      <c r="H100" s="65" t="n">
        <f aca="false">H97+N(H98)+H99</f>
        <v>10.416</v>
      </c>
      <c r="I100" s="65" t="n">
        <f aca="false">I97+N(I98)+I99</f>
        <v>7.595</v>
      </c>
      <c r="J100" s="65" t="n">
        <f aca="false">J97+N(J98)+J99</f>
        <v>1.462</v>
      </c>
      <c r="K100" s="65" t="n">
        <f aca="false">K97+N(K98)+K99</f>
        <v>1.589</v>
      </c>
      <c r="L100" s="65" t="n">
        <f aca="false">L97+N(L98)+L99</f>
        <v>1.675</v>
      </c>
      <c r="M100" s="65" t="n">
        <f aca="false">M97+N(M98)+M99</f>
        <v>1.547</v>
      </c>
      <c r="N100" s="65" t="n">
        <f aca="false">N97+N(N98)+N99</f>
        <v>6.273</v>
      </c>
      <c r="O100" s="65" t="n">
        <f aca="false">O97+N(O98)+O99</f>
        <v>1.286</v>
      </c>
      <c r="P100" s="65" t="n">
        <f aca="false">P97+N(P98)+P99</f>
        <v>1.142</v>
      </c>
      <c r="Q100" s="65" t="n">
        <f aca="false">Q97+N(Q98)+Q99</f>
        <v>1.08</v>
      </c>
      <c r="R100" s="65" t="n">
        <f aca="false">R97+N(R98)+R99</f>
        <v>0.957</v>
      </c>
      <c r="S100" s="65" t="n">
        <f aca="false">S97+N(S98)+S99</f>
        <v>4.465</v>
      </c>
      <c r="T100" s="65" t="n">
        <f aca="false">T97+N(T98)+T99</f>
        <v>0.968</v>
      </c>
      <c r="U100" s="65" t="n">
        <f aca="false">U97+N(U98)+U99</f>
        <v>1.06</v>
      </c>
      <c r="V100" s="65" t="n">
        <f aca="false">V97+N(V98)+V99</f>
        <v>1.079</v>
      </c>
      <c r="W100" s="65" t="n">
        <f aca="false">W97+N(W98)+W99</f>
        <v>0.905</v>
      </c>
      <c r="X100" s="65" t="n">
        <f aca="false">X97+N(X98)+X99</f>
        <v>4.012</v>
      </c>
      <c r="Y100" s="65" t="n">
        <f aca="false">Y97+N(Y98)+Y99</f>
        <v>0.956</v>
      </c>
      <c r="Z100" s="65" t="n">
        <f aca="false">Z97+N(Z98)+Z99</f>
        <v>1.228</v>
      </c>
      <c r="AA100" s="65" t="n">
        <f aca="false">AA97+N(AA98)+AA99</f>
        <v>1.079</v>
      </c>
      <c r="AB100" s="65" t="n">
        <f aca="false">AB97+N(AB98)+AB99</f>
        <v>0.954</v>
      </c>
      <c r="AC100" s="65" t="n">
        <f aca="false">AC97+N(AC98)+AC99</f>
        <v>4.217</v>
      </c>
      <c r="AD100" s="65" t="n">
        <f aca="false">AD97+N(AD98)+AD99</f>
        <v>1.009</v>
      </c>
      <c r="AE100" s="65" t="n">
        <f aca="false">AE97+N(AE98)+AE99</f>
        <v>1.628</v>
      </c>
      <c r="AF100" s="65" t="n">
        <f aca="false">AF97+N(AF98)+AF99</f>
        <v>1.182</v>
      </c>
      <c r="AG100" s="65" t="n">
        <f aca="false">AG97+N(AG98)+AG99</f>
        <v>1.14</v>
      </c>
      <c r="AH100" s="65" t="n">
        <f aca="false">AH97+N(AH98)+AH99</f>
        <v>4.959</v>
      </c>
      <c r="AI100" s="65" t="n">
        <f aca="false">AI97+N(AI98)+AI99</f>
        <v>1.123</v>
      </c>
      <c r="AJ100" s="65" t="n">
        <f aca="false">AJ97+N(AJ98)+AJ99</f>
        <v>1.312</v>
      </c>
      <c r="AK100" s="65" t="n">
        <f aca="false">AK97+N(AK98)+AK99</f>
        <v>1.271</v>
      </c>
      <c r="AL100" s="65" t="n">
        <f aca="false">AL97+N(AL98)+AL99</f>
        <v>1.638</v>
      </c>
      <c r="AM100" s="65" t="n">
        <f aca="false">AM97+N(AM98)+AM99</f>
        <v>5.344</v>
      </c>
      <c r="AN100" s="65" t="n">
        <f aca="false">AN97+N(AN98)+AN99</f>
        <v>1.049</v>
      </c>
      <c r="AO100" s="65" t="n">
        <f aca="false">AO97+N(AO98)+AO99</f>
        <v>1.763</v>
      </c>
      <c r="AP100" s="65" t="n">
        <f aca="false">AP97+N(AP98)+AP99</f>
        <v>1.848</v>
      </c>
      <c r="AQ100" s="65" t="n">
        <f aca="false">AQ97+N(AQ98)+AQ99</f>
        <v>1.274</v>
      </c>
      <c r="AR100" s="65" t="n">
        <f aca="false">AR97+N(AR98)+AR99</f>
        <v>5.934</v>
      </c>
      <c r="AS100" s="65" t="n">
        <f aca="false">AS97+N(AS98)+AS99</f>
        <v>1.949</v>
      </c>
      <c r="AT100" s="65" t="n">
        <f aca="false">AT97+N(AT98)+AT99</f>
        <v>0.843</v>
      </c>
      <c r="AU100" s="65" t="n">
        <f aca="false">AU97+N(AU98)+AU99</f>
        <v>0.783</v>
      </c>
      <c r="AV100" s="65" t="n">
        <f aca="false">AV97+N(AV98)+AV99</f>
        <v>0.468</v>
      </c>
      <c r="AW100" s="65" t="n">
        <f aca="false">AW97+N(AW98)+AW99</f>
        <v>4.043</v>
      </c>
      <c r="AX100" s="65" t="n">
        <f aca="false">AX97+N(AX98)+AX99</f>
        <v>0.721</v>
      </c>
      <c r="AY100" s="65" t="n">
        <f aca="false">AY97+N(AY98)+AY99</f>
        <v>0.404</v>
      </c>
      <c r="AZ100" s="65" t="n">
        <f aca="false">AZ97+N(AZ98)+AZ99</f>
        <v>0.791</v>
      </c>
      <c r="BA100" s="65" t="n">
        <f aca="false">BA97+N(BA98)+BA99</f>
        <v>0.452</v>
      </c>
      <c r="BB100" s="65" t="n">
        <f aca="false">BB97+N(BB98)+BB99</f>
        <v>2.368</v>
      </c>
      <c r="BC100" s="65" t="n">
        <f aca="false">BC97+N(BC98)+BC99</f>
        <v>0.927</v>
      </c>
      <c r="BD100" s="65" t="n">
        <f aca="false">BD97+N(BD98)+BD99</f>
        <v>1.437</v>
      </c>
      <c r="BE100" s="65" t="n">
        <f aca="false">BE97+N(BE98)+BE99</f>
        <v>0.649</v>
      </c>
      <c r="BF100" s="65" t="n">
        <f aca="false">BF97+N(BF98)+BF99</f>
        <v>-0.573</v>
      </c>
      <c r="BG100" s="65" t="n">
        <f aca="false">BG97+N(BG98)+BG99</f>
        <v>2.44</v>
      </c>
      <c r="BH100" s="65" t="n">
        <f aca="false">BH97+N(BH98)+BH99</f>
        <v>0.0449999999999999</v>
      </c>
      <c r="BI100" s="65" t="n">
        <f aca="false">BI97+N(BI98)+BI99</f>
        <v>-1.019</v>
      </c>
      <c r="BJ100" s="65" t="n">
        <f aca="false">BJ97+N(BJ98)+BJ99</f>
        <v>-1.812</v>
      </c>
      <c r="BK100" s="65" t="n">
        <f aca="false">BK97+N(BK98)+BK99</f>
        <v>-2.945</v>
      </c>
      <c r="BL100" s="65" t="n">
        <f aca="false">BL97+N(BL98)+BL99</f>
        <v>-5.731</v>
      </c>
      <c r="BM100" s="65" t="n">
        <f aca="false">BM97+N(BM98)+BM99</f>
        <v>-1.001</v>
      </c>
      <c r="BN100" s="65" t="n">
        <f aca="false">BN97+N(BN98)+BN99</f>
        <v>1.976</v>
      </c>
      <c r="BO100" s="65" t="n">
        <f aca="false">BO97+N(BO98)+BO99</f>
        <v>2.492</v>
      </c>
      <c r="BP100" s="65" t="n">
        <f aca="false">BP97+N(BP98)+BP99</f>
        <v>2.685</v>
      </c>
      <c r="BQ100" s="65" t="n">
        <f aca="false">BQ97+N(BQ98)+BQ99</f>
        <v>6.152</v>
      </c>
      <c r="BR100" s="65" t="n">
        <f aca="false">BR97+N(BR98)+BR99</f>
        <v>4.603</v>
      </c>
      <c r="BS100" s="65" t="n">
        <f aca="false">BS97+N(BS98)+BS99</f>
        <v>3.835</v>
      </c>
      <c r="BT100" s="65" t="n">
        <f aca="false">BT97+N(BT98)+BT99</f>
        <v>3.785</v>
      </c>
      <c r="BU100" s="65" t="n">
        <f aca="false">BU97+N(BU98)+BU99</f>
        <v>2.588</v>
      </c>
      <c r="BV100" s="65" t="n">
        <f aca="false">BV97+N(BV98)+BV99</f>
        <v>14.811</v>
      </c>
      <c r="BW100" s="65" t="n">
        <f aca="false">BW97+N(BW98)+BW99</f>
        <v>1.771</v>
      </c>
      <c r="BX100" s="65" t="n">
        <f aca="false">BX97+N(BX98)+BX99</f>
        <v>-0.263</v>
      </c>
      <c r="BY100" s="66" t="n">
        <f aca="false">BY97+N(BY98)+BY99</f>
        <v>-0.174605</v>
      </c>
      <c r="BZ100" s="66" t="n">
        <f aca="false">BZ97+N(BZ98)+BZ99</f>
        <v>-0.174605</v>
      </c>
      <c r="CA100" s="67" t="n">
        <f aca="false">CA97+N(CA98)+CA99</f>
        <v>1.15879</v>
      </c>
      <c r="CB100" s="67" t="n">
        <f aca="false">CB97+N(CB98)+CB99</f>
        <v>2.65264368512891</v>
      </c>
      <c r="CC100" s="67" t="n">
        <f aca="false">CC97+N(CC98)+CC99</f>
        <v>4.28628</v>
      </c>
      <c r="CD100" s="67" t="n">
        <f aca="false">CD97+N(CD98)+CD99</f>
        <v>4.28628</v>
      </c>
      <c r="CE100" s="67" t="n">
        <f aca="false">CE97+N(CE98)+CE99</f>
        <v>4.28628</v>
      </c>
      <c r="CF100" s="21"/>
    </row>
    <row r="101" customFormat="false" ht="15" hidden="false" customHeight="true" outlineLevel="0" collapsed="false">
      <c r="B101" s="17" t="s">
        <v>256</v>
      </c>
      <c r="C101" s="68" t="n">
        <f aca="false">C93-C100</f>
        <v>41.9730000000003</v>
      </c>
      <c r="D101" s="68" t="n">
        <f aca="false">D93-D100</f>
        <v>28.3909999999999</v>
      </c>
      <c r="E101" s="68" t="n">
        <f aca="false">E93-E100</f>
        <v>-22.7109999999999</v>
      </c>
      <c r="F101" s="68" t="n">
        <f aca="false">F93-F100</f>
        <v>-15.641</v>
      </c>
      <c r="G101" s="68" t="n">
        <f aca="false">G93-G100</f>
        <v>1.93300000000002</v>
      </c>
      <c r="H101" s="68" t="n">
        <f aca="false">H93-H100</f>
        <v>17.73</v>
      </c>
      <c r="I101" s="68" t="n">
        <f aca="false">I93-I100</f>
        <v>51.1390000000002</v>
      </c>
      <c r="J101" s="68" t="n">
        <f aca="false">J93-J100</f>
        <v>13.07</v>
      </c>
      <c r="K101" s="68" t="n">
        <f aca="false">K93-K100</f>
        <v>21.67</v>
      </c>
      <c r="L101" s="68" t="n">
        <f aca="false">L93-L100</f>
        <v>20.2599999999999</v>
      </c>
      <c r="M101" s="68" t="n">
        <f aca="false">M93-M100</f>
        <v>13.145</v>
      </c>
      <c r="N101" s="68" t="n">
        <f aca="false">N93-N100</f>
        <v>68.1449999999999</v>
      </c>
      <c r="O101" s="68" t="n">
        <f aca="false">O93-O100</f>
        <v>13.9449999999999</v>
      </c>
      <c r="P101" s="68" t="n">
        <f aca="false">P93-P100</f>
        <v>21.599</v>
      </c>
      <c r="Q101" s="68" t="n">
        <f aca="false">Q93-Q100</f>
        <v>26.0689999999999</v>
      </c>
      <c r="R101" s="68" t="n">
        <f aca="false">R93-R100</f>
        <v>19.6150000000001</v>
      </c>
      <c r="S101" s="68" t="n">
        <f aca="false">S93-S100</f>
        <v>81.228</v>
      </c>
      <c r="T101" s="68" t="n">
        <f aca="false">T93-T100</f>
        <v>20.2649999999999</v>
      </c>
      <c r="U101" s="68" t="n">
        <f aca="false">U93-U100</f>
        <v>30.221</v>
      </c>
      <c r="V101" s="68" t="n">
        <f aca="false">V93-V100</f>
        <v>18.7660000000001</v>
      </c>
      <c r="W101" s="68" t="n">
        <f aca="false">W93-W100</f>
        <v>16.711</v>
      </c>
      <c r="X101" s="68" t="n">
        <f aca="false">X93-X100</f>
        <v>85.9629999999999</v>
      </c>
      <c r="Y101" s="68" t="n">
        <f aca="false">Y93-Y100</f>
        <v>16.628</v>
      </c>
      <c r="Z101" s="68" t="n">
        <f aca="false">Z93-Z100</f>
        <v>20.4929999999999</v>
      </c>
      <c r="AA101" s="68" t="n">
        <f aca="false">AA93-AA100</f>
        <v>21.565</v>
      </c>
      <c r="AB101" s="68" t="n">
        <f aca="false">AB93-AB100</f>
        <v>16.233</v>
      </c>
      <c r="AC101" s="68" t="n">
        <f aca="false">AC93-AC100</f>
        <v>74.919</v>
      </c>
      <c r="AD101" s="68" t="n">
        <f aca="false">AD93-AD100</f>
        <v>16.51</v>
      </c>
      <c r="AE101" s="68" t="n">
        <f aca="false">AE93-AE100</f>
        <v>28.09</v>
      </c>
      <c r="AF101" s="68" t="n">
        <f aca="false">AF93-AF100</f>
        <v>23.42</v>
      </c>
      <c r="AG101" s="68" t="n">
        <f aca="false">AG93-AG100</f>
        <v>21.758</v>
      </c>
      <c r="AH101" s="68" t="n">
        <f aca="false">AH93-AH100</f>
        <v>89.7780000000001</v>
      </c>
      <c r="AI101" s="68" t="n">
        <f aca="false">AI93-AI100</f>
        <v>26.4560000000001</v>
      </c>
      <c r="AJ101" s="68" t="n">
        <f aca="false">AJ93-AJ100</f>
        <v>40.253</v>
      </c>
      <c r="AK101" s="68" t="n">
        <f aca="false">AK93-AK100</f>
        <v>37.4259999999999</v>
      </c>
      <c r="AL101" s="68" t="n">
        <f aca="false">AL93-AL100</f>
        <v>31.698</v>
      </c>
      <c r="AM101" s="68" t="n">
        <f aca="false">AM93-AM100</f>
        <v>135.833</v>
      </c>
      <c r="AN101" s="68" t="n">
        <f aca="false">AN93-AN100</f>
        <v>27.5820000000001</v>
      </c>
      <c r="AO101" s="68" t="n">
        <f aca="false">AO93-AO100</f>
        <v>49.403</v>
      </c>
      <c r="AP101" s="68" t="n">
        <f aca="false">AP93-AP100</f>
        <v>43.511</v>
      </c>
      <c r="AQ101" s="68" t="n">
        <f aca="false">AQ93-AQ100</f>
        <v>26.156</v>
      </c>
      <c r="AR101" s="68" t="n">
        <f aca="false">AR93-AR100</f>
        <v>146.652</v>
      </c>
      <c r="AS101" s="68" t="n">
        <f aca="false">AS93-AS100</f>
        <v>36.827</v>
      </c>
      <c r="AT101" s="68" t="n">
        <f aca="false">AT93-AT100</f>
        <v>34.838</v>
      </c>
      <c r="AU101" s="68" t="n">
        <f aca="false">AU93-AU100</f>
        <v>54.4330000000001</v>
      </c>
      <c r="AV101" s="68" t="n">
        <f aca="false">AV93-AV100</f>
        <v>50.1800000000001</v>
      </c>
      <c r="AW101" s="68" t="n">
        <f aca="false">AW93-AW100</f>
        <v>176.278</v>
      </c>
      <c r="AX101" s="68" t="n">
        <f aca="false">AX93-AX100</f>
        <v>47.9929999999999</v>
      </c>
      <c r="AY101" s="68" t="n">
        <f aca="false">AY93-AY100</f>
        <v>82.521</v>
      </c>
      <c r="AZ101" s="68" t="n">
        <f aca="false">AZ93-AZ100</f>
        <v>105.326</v>
      </c>
      <c r="BA101" s="68" t="n">
        <f aca="false">BA93-BA100</f>
        <v>96.9330000000001</v>
      </c>
      <c r="BB101" s="68" t="n">
        <f aca="false">BB93-BB100</f>
        <v>332.773</v>
      </c>
      <c r="BC101" s="68" t="n">
        <f aca="false">BC93-BC100</f>
        <v>102.522</v>
      </c>
      <c r="BD101" s="68" t="n">
        <f aca="false">BD93-BD100</f>
        <v>144.556</v>
      </c>
      <c r="BE101" s="68" t="n">
        <f aca="false">BE93-BE100</f>
        <v>127.706</v>
      </c>
      <c r="BF101" s="68" t="n">
        <f aca="false">BF93-BF100</f>
        <v>93.264</v>
      </c>
      <c r="BG101" s="68" t="n">
        <f aca="false">BG93-BG100</f>
        <v>468.047999999999</v>
      </c>
      <c r="BH101" s="68" t="n">
        <f aca="false">BH93-BH100</f>
        <v>99.0979999999999</v>
      </c>
      <c r="BI101" s="68" t="n">
        <f aca="false">BI93-BI100</f>
        <v>121.274</v>
      </c>
      <c r="BJ101" s="68" t="n">
        <f aca="false">BJ93-BJ100</f>
        <v>130.247</v>
      </c>
      <c r="BK101" s="68" t="n">
        <f aca="false">BK93-BK100</f>
        <v>115.608</v>
      </c>
      <c r="BL101" s="68" t="n">
        <f aca="false">BL93-BL100</f>
        <v>466.227000000001</v>
      </c>
      <c r="BM101" s="68" t="n">
        <f aca="false">BM93-BM100</f>
        <v>118.913</v>
      </c>
      <c r="BN101" s="68" t="n">
        <f aca="false">BN93-BN100</f>
        <v>135.617</v>
      </c>
      <c r="BO101" s="68" t="n">
        <f aca="false">BO93-BO100</f>
        <v>122.679</v>
      </c>
      <c r="BP101" s="68" t="n">
        <f aca="false">BP93-BP100</f>
        <v>98.7990000000002</v>
      </c>
      <c r="BQ101" s="68" t="n">
        <f aca="false">BQ93-BQ100</f>
        <v>476.008</v>
      </c>
      <c r="BR101" s="68" t="n">
        <f aca="false">BR93-BR100</f>
        <v>65.5650000000001</v>
      </c>
      <c r="BS101" s="68" t="n">
        <f aca="false">BS93-BS100</f>
        <v>95.5639999999999</v>
      </c>
      <c r="BT101" s="68" t="n">
        <f aca="false">BT93-BT100</f>
        <v>114.825</v>
      </c>
      <c r="BU101" s="68" t="n">
        <f aca="false">BU93-BU100</f>
        <v>61.435</v>
      </c>
      <c r="BV101" s="68" t="n">
        <f aca="false">BV93-BV100</f>
        <v>337.389</v>
      </c>
      <c r="BW101" s="68" t="n">
        <f aca="false">BW93-BW100</f>
        <v>65.0349999999999</v>
      </c>
      <c r="BX101" s="68" t="n">
        <f aca="false">BX93-BX100</f>
        <v>125.475</v>
      </c>
      <c r="BY101" s="69" t="n">
        <f aca="false">BY93-BY100</f>
        <v>120.105034241276</v>
      </c>
      <c r="BZ101" s="69" t="n">
        <f aca="false">BZ93-BZ100</f>
        <v>114.087933207411</v>
      </c>
      <c r="CA101" s="69" t="n">
        <f aca="false">CA93-CA100</f>
        <v>424.702967448687</v>
      </c>
      <c r="CB101" s="69" t="n">
        <f aca="false">CB93-CB100</f>
        <v>528.955789014667</v>
      </c>
      <c r="CC101" s="69" t="n">
        <f aca="false">CC93-CC100</f>
        <v>565.494526104527</v>
      </c>
      <c r="CD101" s="69" t="n">
        <f aca="false">CD93-CD100</f>
        <v>615.42432109905</v>
      </c>
      <c r="CE101" s="69" t="n">
        <f aca="false">CE93-CE100</f>
        <v>702.464639083235</v>
      </c>
      <c r="CF101" s="21"/>
      <c r="CH101" s="31" t="n">
        <f aca="false">IFERROR((CE101/BV101)^(1/5)-1,"n/m")</f>
        <v>0.157973737097417</v>
      </c>
      <c r="CI101" s="31" t="n">
        <f aca="false">IFERROR((BV101/AW101)^(1/5)-1,"n/m")</f>
        <v>0.138640326585651</v>
      </c>
      <c r="CJ101" s="31" t="n">
        <f aca="false">IFERROR((BV101/X101)^(1/10)-1,"n/m")</f>
        <v>0.146520793462341</v>
      </c>
      <c r="CK101" s="31" t="n">
        <f aca="false">IFERROR((BV101/C101)^(1/19)-1,"n/m")</f>
        <v>0.115937951989</v>
      </c>
    </row>
    <row r="102" customFormat="false" ht="15" hidden="false" customHeight="true" outlineLevel="0" collapsed="false">
      <c r="B102" s="22" t="s">
        <v>257</v>
      </c>
      <c r="C102" s="83" t="n">
        <v>16.1</v>
      </c>
      <c r="D102" s="83" t="n">
        <v>11.306</v>
      </c>
      <c r="E102" s="83" t="n">
        <v>-3.022</v>
      </c>
      <c r="F102" s="83" t="n">
        <v>-6.605</v>
      </c>
      <c r="G102" s="83" t="n">
        <v>-0.024</v>
      </c>
      <c r="H102" s="83" t="n">
        <v>6.357</v>
      </c>
      <c r="I102" s="83" t="n">
        <v>19.091</v>
      </c>
      <c r="J102" s="83" t="n">
        <v>3.915</v>
      </c>
      <c r="K102" s="83" t="n">
        <v>8.17</v>
      </c>
      <c r="L102" s="83" t="n">
        <v>7.352</v>
      </c>
      <c r="M102" s="83" t="n">
        <v>5.081</v>
      </c>
      <c r="N102" s="83" t="n">
        <v>24.518</v>
      </c>
      <c r="O102" s="83" t="n">
        <v>5.369</v>
      </c>
      <c r="P102" s="83" t="n">
        <v>8.031</v>
      </c>
      <c r="Q102" s="83" t="n">
        <v>9.791</v>
      </c>
      <c r="R102" s="83" t="n">
        <v>6.046</v>
      </c>
      <c r="S102" s="83" t="n">
        <v>29.237</v>
      </c>
      <c r="T102" s="83" t="n">
        <v>7.66</v>
      </c>
      <c r="U102" s="83" t="n">
        <v>10.974</v>
      </c>
      <c r="V102" s="83" t="n">
        <v>6.989</v>
      </c>
      <c r="W102" s="83" t="n">
        <v>5.324</v>
      </c>
      <c r="X102" s="83" t="n">
        <v>30.947</v>
      </c>
      <c r="Y102" s="83" t="n">
        <v>6.053</v>
      </c>
      <c r="Z102" s="83" t="n">
        <v>7.218</v>
      </c>
      <c r="AA102" s="83" t="n">
        <v>7.739</v>
      </c>
      <c r="AB102" s="83" t="n">
        <v>5.885</v>
      </c>
      <c r="AC102" s="83" t="n">
        <v>26.895</v>
      </c>
      <c r="AD102" s="83" t="n">
        <v>5.123</v>
      </c>
      <c r="AE102" s="83" t="n">
        <v>10.487</v>
      </c>
      <c r="AF102" s="83" t="n">
        <v>9.013</v>
      </c>
      <c r="AG102" s="83" t="n">
        <v>-26.001</v>
      </c>
      <c r="AH102" s="83" t="n">
        <v>-1.378</v>
      </c>
      <c r="AI102" s="83" t="n">
        <v>5.331</v>
      </c>
      <c r="AJ102" s="83" t="n">
        <v>9.972</v>
      </c>
      <c r="AK102" s="83" t="n">
        <v>9.231</v>
      </c>
      <c r="AL102" s="83" t="n">
        <v>6.318</v>
      </c>
      <c r="AM102" s="83" t="n">
        <v>30.852</v>
      </c>
      <c r="AN102" s="83" t="n">
        <v>5.323</v>
      </c>
      <c r="AO102" s="83" t="n">
        <v>12.33</v>
      </c>
      <c r="AP102" s="83" t="n">
        <v>10.543</v>
      </c>
      <c r="AQ102" s="83" t="n">
        <v>4.737</v>
      </c>
      <c r="AR102" s="83" t="n">
        <v>32.933</v>
      </c>
      <c r="AS102" s="83" t="n">
        <v>8.716</v>
      </c>
      <c r="AT102" s="83" t="n">
        <v>6.384</v>
      </c>
      <c r="AU102" s="83" t="n">
        <v>12.894</v>
      </c>
      <c r="AV102" s="83" t="n">
        <v>9.944</v>
      </c>
      <c r="AW102" s="83" t="n">
        <v>37.938</v>
      </c>
      <c r="AX102" s="83" t="n">
        <v>10.702</v>
      </c>
      <c r="AY102" s="83" t="n">
        <v>20.047</v>
      </c>
      <c r="AZ102" s="83" t="n">
        <v>25.617</v>
      </c>
      <c r="BA102" s="83" t="n">
        <v>23.172</v>
      </c>
      <c r="BB102" s="83" t="n">
        <v>79.538</v>
      </c>
      <c r="BC102" s="83" t="n">
        <v>23.098</v>
      </c>
      <c r="BD102" s="83" t="n">
        <v>35.311</v>
      </c>
      <c r="BE102" s="83" t="n">
        <v>29.815</v>
      </c>
      <c r="BF102" s="83" t="n">
        <v>22.402</v>
      </c>
      <c r="BG102" s="83" t="n">
        <v>110.626</v>
      </c>
      <c r="BH102" s="83" t="n">
        <v>23.001</v>
      </c>
      <c r="BI102" s="83" t="n">
        <v>29.955</v>
      </c>
      <c r="BJ102" s="83" t="n">
        <v>32.034</v>
      </c>
      <c r="BK102" s="83" t="n">
        <v>26.38</v>
      </c>
      <c r="BL102" s="83" t="n">
        <v>111.37</v>
      </c>
      <c r="BM102" s="83" t="n">
        <v>28.218</v>
      </c>
      <c r="BN102" s="83" t="n">
        <v>33.098</v>
      </c>
      <c r="BO102" s="83" t="n">
        <v>29.931</v>
      </c>
      <c r="BP102" s="83" t="n">
        <v>22.696</v>
      </c>
      <c r="BQ102" s="83" t="n">
        <v>113.943</v>
      </c>
      <c r="BR102" s="83" t="n">
        <v>15.755</v>
      </c>
      <c r="BS102" s="83" t="n">
        <v>24.173</v>
      </c>
      <c r="BT102" s="83" t="n">
        <v>28.509</v>
      </c>
      <c r="BU102" s="83" t="n">
        <v>13.916</v>
      </c>
      <c r="BV102" s="83" t="n">
        <v>82.353</v>
      </c>
      <c r="BW102" s="83" t="n">
        <v>15.166</v>
      </c>
      <c r="BX102" s="83" t="n">
        <v>31.215</v>
      </c>
      <c r="BY102" s="66" t="n">
        <f aca="false">BY101*BY103</f>
        <v>29.4257333891126</v>
      </c>
      <c r="BZ102" s="66" t="n">
        <f aca="false">BZ101*BZ103</f>
        <v>27.9515436358157</v>
      </c>
      <c r="CA102" s="67" t="n">
        <f aca="false">SUM(BW102,BX102,BY102,BZ102)</f>
        <v>103.758277024928</v>
      </c>
      <c r="CB102" s="67" t="n">
        <f aca="false">CB101*CB103</f>
        <v>129.594168308593</v>
      </c>
      <c r="CC102" s="67" t="n">
        <f aca="false">CC101*CC103</f>
        <v>138.546158895609</v>
      </c>
      <c r="CD102" s="67" t="n">
        <f aca="false">CD101*CD103</f>
        <v>150.778958669267</v>
      </c>
      <c r="CE102" s="67" t="n">
        <f aca="false">CE101*CE103</f>
        <v>172.103836575393</v>
      </c>
      <c r="CF102" s="21"/>
    </row>
    <row r="103" customFormat="false" ht="15" hidden="false" customHeight="true" outlineLevel="0" collapsed="false">
      <c r="B103" s="22" t="s">
        <v>258</v>
      </c>
      <c r="C103" s="59" t="n">
        <f aca="false">IF(AND(ISNUMBER(C102),ISNUMBER(C101)),IFERROR(C102/C101,""),"")</f>
        <v>0.383579920425033</v>
      </c>
      <c r="D103" s="59" t="n">
        <f aca="false">IF(AND(ISNUMBER(D102),ISNUMBER(D101)),IFERROR(D102/D101,""),"")</f>
        <v>0.398224789545984</v>
      </c>
      <c r="E103" s="59" t="n">
        <f aca="false">IF(AND(ISNUMBER(E102),ISNUMBER(E101)),IFERROR(E102/E101,""),"")</f>
        <v>0.133063273303686</v>
      </c>
      <c r="F103" s="59" t="n">
        <f aca="false">IF(AND(ISNUMBER(F102),ISNUMBER(F101)),IFERROR(F102/F101,""),"")</f>
        <v>0.422287577520619</v>
      </c>
      <c r="G103" s="59" t="n">
        <f aca="false">IF(AND(ISNUMBER(G102),ISNUMBER(G101)),IFERROR(G102/G101,""),"")</f>
        <v>-0.0124159337816864</v>
      </c>
      <c r="H103" s="59" t="n">
        <f aca="false">IF(AND(ISNUMBER(H102),ISNUMBER(H101)),IFERROR(H102/H101,""),"")</f>
        <v>0.3585448392555</v>
      </c>
      <c r="I103" s="59" t="n">
        <f aca="false">IF(AND(ISNUMBER(I102),ISNUMBER(I101)),IFERROR(I102/I101,""),"")</f>
        <v>0.373315864604313</v>
      </c>
      <c r="J103" s="59" t="n">
        <f aca="false">IF(AND(ISNUMBER(J102),ISNUMBER(J101)),IFERROR(J102/J101,""),"")</f>
        <v>0.299540933435347</v>
      </c>
      <c r="K103" s="59" t="n">
        <f aca="false">IF(AND(ISNUMBER(K102),ISNUMBER(K101)),IFERROR(K102/K101,""),"")</f>
        <v>0.377018920166129</v>
      </c>
      <c r="L103" s="59" t="n">
        <f aca="false">IF(AND(ISNUMBER(L102),ISNUMBER(L101)),IFERROR(L102/L101,""),"")</f>
        <v>0.362882527147089</v>
      </c>
      <c r="M103" s="59" t="n">
        <f aca="false">IF(AND(ISNUMBER(M102),ISNUMBER(M101)),IFERROR(M102/M101,""),"")</f>
        <v>0.386534804108026</v>
      </c>
      <c r="N103" s="59" t="n">
        <f aca="false">IF(AND(ISNUMBER(N102),ISNUMBER(N101)),IFERROR(N102/N101,""),"")</f>
        <v>0.359791620808571</v>
      </c>
      <c r="O103" s="59" t="n">
        <f aca="false">IF(AND(ISNUMBER(O102),ISNUMBER(O101)),IFERROR(O102/O101,""),"")</f>
        <v>0.385012549300826</v>
      </c>
      <c r="P103" s="59" t="n">
        <f aca="false">IF(AND(ISNUMBER(P102),ISNUMBER(P101)),IFERROR(P102/P101,""),"")</f>
        <v>0.371822769572666</v>
      </c>
      <c r="Q103" s="59" t="n">
        <f aca="false">IF(AND(ISNUMBER(Q102),ISNUMBER(Q101)),IFERROR(Q102/Q101,""),"")</f>
        <v>0.375580191031494</v>
      </c>
      <c r="R103" s="59" t="n">
        <f aca="false">IF(AND(ISNUMBER(R102),ISNUMBER(R101)),IFERROR(R102/R101,""),"")</f>
        <v>0.308233494774406</v>
      </c>
      <c r="S103" s="59" t="n">
        <f aca="false">IF(AND(ISNUMBER(S102),ISNUMBER(S101)),IFERROR(S102/S101,""),"")</f>
        <v>0.359937459989166</v>
      </c>
      <c r="T103" s="59" t="n">
        <f aca="false">IF(AND(ISNUMBER(T102),ISNUMBER(T101)),IFERROR(T102/T101,""),"")</f>
        <v>0.377991611152234</v>
      </c>
      <c r="U103" s="59" t="n">
        <f aca="false">IF(AND(ISNUMBER(U102),ISNUMBER(U101)),IFERROR(U102/U101,""),"")</f>
        <v>0.363124979319017</v>
      </c>
      <c r="V103" s="59" t="n">
        <f aca="false">IF(AND(ISNUMBER(V102),ISNUMBER(V101)),IFERROR(V102/V101,""),"")</f>
        <v>0.37242886070553</v>
      </c>
      <c r="W103" s="59" t="n">
        <f aca="false">IF(AND(ISNUMBER(W102),ISNUMBER(W101)),IFERROR(W102/W101,""),"")</f>
        <v>0.318592543833402</v>
      </c>
      <c r="X103" s="59" t="n">
        <f aca="false">IF(AND(ISNUMBER(X102),ISNUMBER(X101)),IFERROR(X102/X101,""),"")</f>
        <v>0.360003722531787</v>
      </c>
      <c r="Y103" s="59" t="n">
        <f aca="false">IF(AND(ISNUMBER(Y102),ISNUMBER(Y101)),IFERROR(Y102/Y101,""),"")</f>
        <v>0.364024536925667</v>
      </c>
      <c r="Z103" s="59" t="n">
        <f aca="false">IF(AND(ISNUMBER(Z102),ISNUMBER(Z101)),IFERROR(Z102/Z101,""),"")</f>
        <v>0.352217830478701</v>
      </c>
      <c r="AA103" s="59" t="n">
        <f aca="false">IF(AND(ISNUMBER(AA102),ISNUMBER(AA101)),IFERROR(AA102/AA101,""),"")</f>
        <v>0.35886853698122</v>
      </c>
      <c r="AB103" s="59" t="n">
        <f aca="false">IF(AND(ISNUMBER(AB102),ISNUMBER(AB101)),IFERROR(AB102/AB101,""),"")</f>
        <v>0.362533111562867</v>
      </c>
      <c r="AC103" s="59" t="n">
        <f aca="false">IF(AND(ISNUMBER(AC102),ISNUMBER(AC101)),IFERROR(AC102/AC101,""),"")</f>
        <v>0.358987706723261</v>
      </c>
      <c r="AD103" s="59" t="n">
        <f aca="false">IF(AND(ISNUMBER(AD102),ISNUMBER(AD101)),IFERROR(AD102/AD101,""),"")</f>
        <v>0.310296789824349</v>
      </c>
      <c r="AE103" s="59" t="n">
        <f aca="false">IF(AND(ISNUMBER(AE102),ISNUMBER(AE101)),IFERROR(AE102/AE101,""),"")</f>
        <v>0.373335706657173</v>
      </c>
      <c r="AF103" s="59" t="n">
        <f aca="false">IF(AND(ISNUMBER(AF102),ISNUMBER(AF101)),IFERROR(AF102/AF101,""),"")</f>
        <v>0.384842015371478</v>
      </c>
      <c r="AG103" s="59" t="n">
        <f aca="false">IF(AND(ISNUMBER(AG102),ISNUMBER(AG101)),IFERROR(AG102/AG101,""),"")</f>
        <v>-1.19500873242026</v>
      </c>
      <c r="AH103" s="59" t="n">
        <f aca="false">IF(AND(ISNUMBER(AH102),ISNUMBER(AH101)),IFERROR(AH102/AH101,""),"")</f>
        <v>-0.0153489719084854</v>
      </c>
      <c r="AI103" s="59" t="n">
        <f aca="false">IF(AND(ISNUMBER(AI102),ISNUMBER(AI101)),IFERROR(AI102/AI101,""),"")</f>
        <v>0.201504384638645</v>
      </c>
      <c r="AJ103" s="59" t="n">
        <f aca="false">IF(AND(ISNUMBER(AJ102),ISNUMBER(AJ101)),IFERROR(AJ102/AJ101,""),"")</f>
        <v>0.247733088217027</v>
      </c>
      <c r="AK103" s="59" t="n">
        <f aca="false">IF(AND(ISNUMBER(AK102),ISNUMBER(AK101)),IFERROR(AK102/AK101,""),"")</f>
        <v>0.246646716186609</v>
      </c>
      <c r="AL103" s="59" t="n">
        <f aca="false">IF(AND(ISNUMBER(AL102),ISNUMBER(AL101)),IFERROR(AL102/AL101,""),"")</f>
        <v>0.199318568994889</v>
      </c>
      <c r="AM103" s="59" t="n">
        <f aca="false">IF(AND(ISNUMBER(AM102),ISNUMBER(AM101)),IFERROR(AM102/AM101,""),"")</f>
        <v>0.227131845722321</v>
      </c>
      <c r="AN103" s="59" t="n">
        <f aca="false">IF(AND(ISNUMBER(AN102),ISNUMBER(AN101)),IFERROR(AN102/AN101,""),"")</f>
        <v>0.192988180697556</v>
      </c>
      <c r="AO103" s="59" t="n">
        <f aca="false">IF(AND(ISNUMBER(AO102),ISNUMBER(AO101)),IFERROR(AO102/AO101,""),"")</f>
        <v>0.249579985021153</v>
      </c>
      <c r="AP103" s="59" t="n">
        <f aca="false">IF(AND(ISNUMBER(AP102),ISNUMBER(AP101)),IFERROR(AP102/AP101,""),"")</f>
        <v>0.242306543172991</v>
      </c>
      <c r="AQ103" s="59" t="n">
        <f aca="false">IF(AND(ISNUMBER(AQ102),ISNUMBER(AQ101)),IFERROR(AQ102/AQ101,""),"")</f>
        <v>0.181105673650405</v>
      </c>
      <c r="AR103" s="59" t="n">
        <f aca="false">IF(AND(ISNUMBER(AR102),ISNUMBER(AR101)),IFERROR(AR102/AR101,""),"")</f>
        <v>0.22456563838202</v>
      </c>
      <c r="AS103" s="59" t="n">
        <f aca="false">IF(AND(ISNUMBER(AS102),ISNUMBER(AS101)),IFERROR(AS102/AS101,""),"")</f>
        <v>0.236674179270644</v>
      </c>
      <c r="AT103" s="59" t="n">
        <f aca="false">IF(AND(ISNUMBER(AT102),ISNUMBER(AT101)),IFERROR(AT102/AT101,""),"")</f>
        <v>0.183248177277685</v>
      </c>
      <c r="AU103" s="59" t="n">
        <f aca="false">IF(AND(ISNUMBER(AU102),ISNUMBER(AU101)),IFERROR(AU102/AU101,""),"")</f>
        <v>0.236878364227582</v>
      </c>
      <c r="AV103" s="59" t="n">
        <f aca="false">IF(AND(ISNUMBER(AV102),ISNUMBER(AV101)),IFERROR(AV102/AV101,""),"")</f>
        <v>0.198166600239139</v>
      </c>
      <c r="AW103" s="59" t="n">
        <f aca="false">IF(AND(ISNUMBER(AW102),ISNUMBER(AW101)),IFERROR(AW102/AW101,""),"")</f>
        <v>0.21521687334778</v>
      </c>
      <c r="AX103" s="59" t="n">
        <f aca="false">IF(AND(ISNUMBER(AX102),ISNUMBER(AX101)),IFERROR(AX102/AX101,""),"")</f>
        <v>0.222990852832705</v>
      </c>
      <c r="AY103" s="59" t="n">
        <f aca="false">IF(AND(ISNUMBER(AY102),ISNUMBER(AY101)),IFERROR(AY102/AY101,""),"")</f>
        <v>0.242932102131579</v>
      </c>
      <c r="AZ103" s="59" t="n">
        <f aca="false">IF(AND(ISNUMBER(AZ102),ISNUMBER(AZ101)),IFERROR(AZ102/AZ101,""),"")</f>
        <v>0.243216299868978</v>
      </c>
      <c r="BA103" s="59" t="n">
        <f aca="false">IF(AND(ISNUMBER(BA102),ISNUMBER(BA101)),IFERROR(BA102/BA101,""),"")</f>
        <v>0.239051716133824</v>
      </c>
      <c r="BB103" s="59" t="n">
        <f aca="false">IF(AND(ISNUMBER(BB102),ISNUMBER(BB101)),IFERROR(BB102/BB101,""),"")</f>
        <v>0.239015785535485</v>
      </c>
      <c r="BC103" s="59" t="n">
        <f aca="false">IF(AND(ISNUMBER(BC102),ISNUMBER(BC101)),IFERROR(BC102/BC101,""),"")</f>
        <v>0.22529798482277</v>
      </c>
      <c r="BD103" s="59" t="n">
        <f aca="false">IF(AND(ISNUMBER(BD102),ISNUMBER(BD101)),IFERROR(BD102/BD101,""),"")</f>
        <v>0.244272115996569</v>
      </c>
      <c r="BE103" s="59" t="n">
        <f aca="false">IF(AND(ISNUMBER(BE102),ISNUMBER(BE101)),IFERROR(BE102/BE101,""),"")</f>
        <v>0.233465929556951</v>
      </c>
      <c r="BF103" s="59" t="n">
        <f aca="false">IF(AND(ISNUMBER(BF102),ISNUMBER(BF101)),IFERROR(BF102/BF101,""),"")</f>
        <v>0.24019986275519</v>
      </c>
      <c r="BG103" s="59" t="n">
        <f aca="false">IF(AND(ISNUMBER(BG102),ISNUMBER(BG101)),IFERROR(BG102/BG101,""),"")</f>
        <v>0.236356100229037</v>
      </c>
      <c r="BH103" s="59" t="n">
        <f aca="false">IF(AND(ISNUMBER(BH102),ISNUMBER(BH101)),IFERROR(BH102/BH101,""),"")</f>
        <v>0.232103574239642</v>
      </c>
      <c r="BI103" s="59" t="n">
        <f aca="false">IF(AND(ISNUMBER(BI102),ISNUMBER(BI101)),IFERROR(BI102/BI101,""),"")</f>
        <v>0.247002655144549</v>
      </c>
      <c r="BJ103" s="59" t="n">
        <f aca="false">IF(AND(ISNUMBER(BJ102),ISNUMBER(BJ101)),IFERROR(BJ102/BJ101,""),"")</f>
        <v>0.245948083257196</v>
      </c>
      <c r="BK103" s="59" t="n">
        <f aca="false">IF(AND(ISNUMBER(BK102),ISNUMBER(BK101)),IFERROR(BK102/BK101,""),"")</f>
        <v>0.228184900698914</v>
      </c>
      <c r="BL103" s="59" t="n">
        <f aca="false">IF(AND(ISNUMBER(BL102),ISNUMBER(BL101)),IFERROR(BL102/BL101,""),"")</f>
        <v>0.238875054426277</v>
      </c>
      <c r="BM103" s="59" t="n">
        <f aca="false">IF(AND(ISNUMBER(BM102),ISNUMBER(BM101)),IFERROR(BM102/BM101,""),"")</f>
        <v>0.23729953831793</v>
      </c>
      <c r="BN103" s="59" t="n">
        <f aca="false">IF(AND(ISNUMBER(BN102),ISNUMBER(BN101)),IFERROR(BN102/BN101,""),"")</f>
        <v>0.244054948863343</v>
      </c>
      <c r="BO103" s="59" t="n">
        <f aca="false">IF(AND(ISNUMBER(BO102),ISNUMBER(BO101)),IFERROR(BO102/BO101,""),"")</f>
        <v>0.243978186975766</v>
      </c>
      <c r="BP103" s="59" t="n">
        <f aca="false">IF(AND(ISNUMBER(BP102),ISNUMBER(BP101)),IFERROR(BP102/BP101,""),"")</f>
        <v>0.22971892428061</v>
      </c>
      <c r="BQ103" s="59" t="n">
        <f aca="false">IF(AND(ISNUMBER(BQ102),ISNUMBER(BQ101)),IFERROR(BQ102/BQ101,""),"")</f>
        <v>0.239372027360885</v>
      </c>
      <c r="BR103" s="59" t="n">
        <f aca="false">IF(AND(ISNUMBER(BR102),ISNUMBER(BR101)),IFERROR(BR102/BR101,""),"")</f>
        <v>0.24029588957523</v>
      </c>
      <c r="BS103" s="59" t="n">
        <f aca="false">IF(AND(ISNUMBER(BS102),ISNUMBER(BS101)),IFERROR(BS102/BS101,""),"")</f>
        <v>0.252950902013311</v>
      </c>
      <c r="BT103" s="59" t="n">
        <f aca="false">IF(AND(ISNUMBER(BT102),ISNUMBER(BT101)),IFERROR(BT102/BT101,""),"")</f>
        <v>0.248282168517309</v>
      </c>
      <c r="BU103" s="59" t="n">
        <f aca="false">IF(AND(ISNUMBER(BU102),ISNUMBER(BU101)),IFERROR(BU102/BU101,""),"")</f>
        <v>0.226515829738748</v>
      </c>
      <c r="BV103" s="59" t="n">
        <f aca="false">IF(AND(ISNUMBER(BV102),ISNUMBER(BV101)),IFERROR(BV102/BV101,""),"")</f>
        <v>0.244089167103847</v>
      </c>
      <c r="BW103" s="59" t="n">
        <f aca="false">IF(AND(ISNUMBER(BW102),ISNUMBER(BW101)),IFERROR(BW102/BW101,""),"")</f>
        <v>0.233197509033598</v>
      </c>
      <c r="BX103" s="59" t="n">
        <f aca="false">IF(AND(ISNUMBER(BX102),ISNUMBER(BX101)),IFERROR(BX102/BX101,""),"")</f>
        <v>0.248774656306037</v>
      </c>
      <c r="BY103" s="52" t="n">
        <f aca="false">$CP$23</f>
        <v>0.245</v>
      </c>
      <c r="BZ103" s="52" t="n">
        <f aca="false">$CP$23</f>
        <v>0.245</v>
      </c>
      <c r="CA103" s="30" t="n">
        <f aca="false">IF(AND(ISNUMBER(CA102),ISNUMBER(CA101)),IFERROR(CA102/CA101,""),"")</f>
        <v>0.244307869210884</v>
      </c>
      <c r="CB103" s="77" t="n">
        <v>0.245</v>
      </c>
      <c r="CC103" s="77" t="n">
        <v>0.245</v>
      </c>
      <c r="CD103" s="77" t="n">
        <v>0.245</v>
      </c>
      <c r="CE103" s="77" t="n">
        <v>0.245</v>
      </c>
      <c r="CF103" s="21" t="s">
        <v>259</v>
      </c>
      <c r="CH103" s="64" t="n">
        <f aca="false">IFERROR(AVERAGE(CA103,CB103,CC103,CD103,CE103),"n/m")</f>
        <v>0.244861573842177</v>
      </c>
      <c r="CI103" s="64" t="n">
        <f aca="false">IFERROR(AVERAGE(BB103,BG103,BL103,BQ103,BV103),"n/m")</f>
        <v>0.239541626931106</v>
      </c>
      <c r="CJ103" s="64" t="n">
        <f aca="false">IFERROR(AVERAGE(AC103,AH103,AM103,AR103,AW103,BB103,BG103,BL103,BQ103,BV103),"n/m")</f>
        <v>0.220826122692243</v>
      </c>
      <c r="CK103" s="64" t="n">
        <f aca="false">IFERROR(AVERAGE(C103,D103,E103,F103,G103,H103,I103,N103,S103,X103,AC103,AH103,AM103,AR103,AW103,BB103,BG103,BL103,BQ103,BV103),"n/m")</f>
        <v>0.26722971805627</v>
      </c>
    </row>
    <row r="104" customFormat="false" ht="15" hidden="false" customHeight="true" outlineLevel="0" collapsed="false">
      <c r="B104" s="17" t="s">
        <v>260</v>
      </c>
      <c r="C104" s="68" t="n">
        <f aca="false">C101-C102</f>
        <v>25.8730000000003</v>
      </c>
      <c r="D104" s="68" t="n">
        <f aca="false">D101-D102</f>
        <v>17.0849999999999</v>
      </c>
      <c r="E104" s="68" t="n">
        <f aca="false">E101-E102</f>
        <v>-19.6889999999999</v>
      </c>
      <c r="F104" s="68" t="n">
        <f aca="false">F101-F102</f>
        <v>-9.03599999999998</v>
      </c>
      <c r="G104" s="68" t="n">
        <f aca="false">G101-G102</f>
        <v>1.95700000000002</v>
      </c>
      <c r="H104" s="68" t="n">
        <f aca="false">H101-H102</f>
        <v>11.373</v>
      </c>
      <c r="I104" s="68" t="n">
        <f aca="false">I101-I102</f>
        <v>32.0480000000002</v>
      </c>
      <c r="J104" s="68" t="n">
        <f aca="false">J101-J102</f>
        <v>9.15500000000004</v>
      </c>
      <c r="K104" s="68" t="n">
        <f aca="false">K101-K102</f>
        <v>13.5</v>
      </c>
      <c r="L104" s="68" t="n">
        <f aca="false">L101-L102</f>
        <v>12.9079999999999</v>
      </c>
      <c r="M104" s="68" t="n">
        <f aca="false">M101-M102</f>
        <v>8.06400000000001</v>
      </c>
      <c r="N104" s="68" t="n">
        <f aca="false">N101-N102</f>
        <v>43.6269999999999</v>
      </c>
      <c r="O104" s="68" t="n">
        <f aca="false">O101-O102</f>
        <v>8.57599999999994</v>
      </c>
      <c r="P104" s="68" t="n">
        <f aca="false">P101-P102</f>
        <v>13.568</v>
      </c>
      <c r="Q104" s="68" t="n">
        <f aca="false">Q101-Q102</f>
        <v>16.2779999999999</v>
      </c>
      <c r="R104" s="68" t="n">
        <f aca="false">R101-R102</f>
        <v>13.5690000000001</v>
      </c>
      <c r="S104" s="68" t="n">
        <f aca="false">S101-S102</f>
        <v>51.991</v>
      </c>
      <c r="T104" s="68" t="n">
        <f aca="false">T101-T102</f>
        <v>12.6049999999999</v>
      </c>
      <c r="U104" s="68" t="n">
        <f aca="false">U101-U102</f>
        <v>19.247</v>
      </c>
      <c r="V104" s="68" t="n">
        <f aca="false">V101-V102</f>
        <v>11.7770000000001</v>
      </c>
      <c r="W104" s="68" t="n">
        <f aca="false">W101-W102</f>
        <v>11.387</v>
      </c>
      <c r="X104" s="68" t="n">
        <f aca="false">X101-X102</f>
        <v>55.0159999999999</v>
      </c>
      <c r="Y104" s="68" t="n">
        <f aca="false">Y101-Y102</f>
        <v>10.575</v>
      </c>
      <c r="Z104" s="68" t="n">
        <f aca="false">Z101-Z102</f>
        <v>13.2749999999999</v>
      </c>
      <c r="AA104" s="68" t="n">
        <f aca="false">AA101-AA102</f>
        <v>13.826</v>
      </c>
      <c r="AB104" s="68" t="n">
        <f aca="false">AB101-AB102</f>
        <v>10.348</v>
      </c>
      <c r="AC104" s="68" t="n">
        <f aca="false">AC101-AC102</f>
        <v>48.024</v>
      </c>
      <c r="AD104" s="68" t="n">
        <f aca="false">AD101-AD102</f>
        <v>11.387</v>
      </c>
      <c r="AE104" s="68" t="n">
        <f aca="false">AE101-AE102</f>
        <v>17.603</v>
      </c>
      <c r="AF104" s="68" t="n">
        <f aca="false">AF101-AF102</f>
        <v>14.407</v>
      </c>
      <c r="AG104" s="68" t="n">
        <f aca="false">AG101-AG102</f>
        <v>47.759</v>
      </c>
      <c r="AH104" s="68" t="n">
        <f aca="false">AH101-AH102</f>
        <v>91.1560000000001</v>
      </c>
      <c r="AI104" s="68" t="n">
        <f aca="false">AI101-AI102</f>
        <v>21.1250000000001</v>
      </c>
      <c r="AJ104" s="68" t="n">
        <f aca="false">AJ101-AJ102</f>
        <v>30.281</v>
      </c>
      <c r="AK104" s="68" t="n">
        <f aca="false">AK101-AK102</f>
        <v>28.1949999999999</v>
      </c>
      <c r="AL104" s="68" t="n">
        <f aca="false">AL101-AL102</f>
        <v>25.38</v>
      </c>
      <c r="AM104" s="68" t="n">
        <f aca="false">AM101-AM102</f>
        <v>104.981</v>
      </c>
      <c r="AN104" s="68" t="n">
        <f aca="false">AN101-AN102</f>
        <v>22.2590000000001</v>
      </c>
      <c r="AO104" s="68" t="n">
        <f aca="false">AO101-AO102</f>
        <v>37.073</v>
      </c>
      <c r="AP104" s="68" t="n">
        <f aca="false">AP101-AP102</f>
        <v>32.968</v>
      </c>
      <c r="AQ104" s="68" t="n">
        <f aca="false">AQ101-AQ102</f>
        <v>21.419</v>
      </c>
      <c r="AR104" s="68" t="n">
        <f aca="false">AR101-AR102</f>
        <v>113.719</v>
      </c>
      <c r="AS104" s="68" t="n">
        <f aca="false">AS101-AS102</f>
        <v>28.111</v>
      </c>
      <c r="AT104" s="68" t="n">
        <f aca="false">AT101-AT102</f>
        <v>28.454</v>
      </c>
      <c r="AU104" s="68" t="n">
        <f aca="false">AU101-AU102</f>
        <v>41.5390000000001</v>
      </c>
      <c r="AV104" s="68" t="n">
        <f aca="false">AV101-AV102</f>
        <v>40.2360000000001</v>
      </c>
      <c r="AW104" s="68" t="n">
        <f aca="false">AW101-AW102</f>
        <v>138.34</v>
      </c>
      <c r="AX104" s="68" t="n">
        <f aca="false">AX101-AX102</f>
        <v>37.291</v>
      </c>
      <c r="AY104" s="68" t="n">
        <f aca="false">AY101-AY102</f>
        <v>62.474</v>
      </c>
      <c r="AZ104" s="68" t="n">
        <f aca="false">AZ101-AZ102</f>
        <v>79.7090000000001</v>
      </c>
      <c r="BA104" s="68" t="n">
        <f aca="false">BA101-BA102</f>
        <v>73.7610000000001</v>
      </c>
      <c r="BB104" s="68" t="n">
        <f aca="false">BB101-BB102</f>
        <v>253.235</v>
      </c>
      <c r="BC104" s="68" t="n">
        <f aca="false">BC101-BC102</f>
        <v>79.424</v>
      </c>
      <c r="BD104" s="68" t="n">
        <f aca="false">BD101-BD102</f>
        <v>109.245</v>
      </c>
      <c r="BE104" s="68" t="n">
        <f aca="false">BE101-BE102</f>
        <v>97.8909999999999</v>
      </c>
      <c r="BF104" s="68" t="n">
        <f aca="false">BF101-BF102</f>
        <v>70.862</v>
      </c>
      <c r="BG104" s="68" t="n">
        <f aca="false">BG101-BG102</f>
        <v>357.421999999999</v>
      </c>
      <c r="BH104" s="68" t="n">
        <f aca="false">BH101-BH102</f>
        <v>76.0969999999999</v>
      </c>
      <c r="BI104" s="68" t="n">
        <f aca="false">BI101-BI102</f>
        <v>91.3189999999999</v>
      </c>
      <c r="BJ104" s="68" t="n">
        <f aca="false">BJ101-BJ102</f>
        <v>98.2129999999999</v>
      </c>
      <c r="BK104" s="68" t="n">
        <f aca="false">BK101-BK102</f>
        <v>89.2279999999999</v>
      </c>
      <c r="BL104" s="68" t="n">
        <f aca="false">BL101-BL102</f>
        <v>354.857000000001</v>
      </c>
      <c r="BM104" s="68" t="n">
        <f aca="false">BM101-BM102</f>
        <v>90.6949999999999</v>
      </c>
      <c r="BN104" s="68" t="n">
        <f aca="false">BN101-BN102</f>
        <v>102.519</v>
      </c>
      <c r="BO104" s="68" t="n">
        <f aca="false">BO101-BO102</f>
        <v>92.7479999999999</v>
      </c>
      <c r="BP104" s="68" t="n">
        <f aca="false">BP101-BP102</f>
        <v>76.1030000000002</v>
      </c>
      <c r="BQ104" s="68" t="n">
        <f aca="false">BQ101-BQ102</f>
        <v>362.065</v>
      </c>
      <c r="BR104" s="68" t="n">
        <f aca="false">BR101-BR102</f>
        <v>49.8100000000001</v>
      </c>
      <c r="BS104" s="68" t="n">
        <f aca="false">BS101-BS102</f>
        <v>71.3909999999999</v>
      </c>
      <c r="BT104" s="68" t="n">
        <f aca="false">BT101-BT102</f>
        <v>86.3159999999999</v>
      </c>
      <c r="BU104" s="68" t="n">
        <f aca="false">BU101-BU102</f>
        <v>47.519</v>
      </c>
      <c r="BV104" s="68" t="n">
        <f aca="false">BV101-BV102</f>
        <v>255.036</v>
      </c>
      <c r="BW104" s="68" t="n">
        <f aca="false">BW101-BW102</f>
        <v>49.8689999999999</v>
      </c>
      <c r="BX104" s="68" t="n">
        <f aca="false">BX101-BX102</f>
        <v>94.2600000000001</v>
      </c>
      <c r="BY104" s="69" t="n">
        <f aca="false">BY101-BY102</f>
        <v>90.6793008521634</v>
      </c>
      <c r="BZ104" s="69" t="n">
        <f aca="false">BZ101-BZ102</f>
        <v>86.1363895715952</v>
      </c>
      <c r="CA104" s="69" t="n">
        <f aca="false">CA101-CA102</f>
        <v>320.944690423759</v>
      </c>
      <c r="CB104" s="69" t="n">
        <f aca="false">CB101-CB102</f>
        <v>399.361620706074</v>
      </c>
      <c r="CC104" s="69" t="n">
        <f aca="false">CC101-CC102</f>
        <v>426.948367208918</v>
      </c>
      <c r="CD104" s="69" t="n">
        <f aca="false">CD101-CD102</f>
        <v>464.645362429783</v>
      </c>
      <c r="CE104" s="69" t="n">
        <f aca="false">CE101-CE102</f>
        <v>530.360802507843</v>
      </c>
      <c r="CF104" s="21"/>
    </row>
    <row r="105" customFormat="false" ht="15" hidden="false" customHeight="true" outlineLevel="0" collapsed="false">
      <c r="B105" s="22" t="s">
        <v>261</v>
      </c>
      <c r="C105" s="83" t="n">
        <v>-46.554</v>
      </c>
      <c r="D105" s="83" t="n">
        <v>1.257</v>
      </c>
      <c r="E105" s="83" t="n">
        <v>-1.038</v>
      </c>
      <c r="F105" s="83" t="n">
        <v>1.161</v>
      </c>
      <c r="G105" s="83" t="n">
        <v>0</v>
      </c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4" t="n">
        <v>0</v>
      </c>
      <c r="BZ105" s="84" t="n">
        <v>0</v>
      </c>
      <c r="CA105" s="67" t="n">
        <f aca="false">SUM(BW105,BX105,BY105,BZ105)</f>
        <v>0</v>
      </c>
      <c r="CB105" s="85" t="n">
        <v>0</v>
      </c>
      <c r="CC105" s="85" t="n">
        <v>0</v>
      </c>
      <c r="CD105" s="85" t="n">
        <v>0</v>
      </c>
      <c r="CE105" s="85" t="n">
        <v>0</v>
      </c>
      <c r="CF105" s="21"/>
    </row>
    <row r="106" customFormat="false" ht="15" hidden="false" customHeight="true" outlineLevel="0" collapsed="false">
      <c r="B106" s="71" t="s">
        <v>262</v>
      </c>
      <c r="C106" s="72" t="n">
        <f aca="false">C104+N(C105)</f>
        <v>-20.6809999999998</v>
      </c>
      <c r="D106" s="72" t="n">
        <f aca="false">D104+N(D105)</f>
        <v>18.3419999999999</v>
      </c>
      <c r="E106" s="72" t="n">
        <f aca="false">E104+N(E105)</f>
        <v>-20.7269999999999</v>
      </c>
      <c r="F106" s="72" t="n">
        <f aca="false">F104+N(F105)</f>
        <v>-7.87499999999998</v>
      </c>
      <c r="G106" s="72" t="n">
        <f aca="false">G104+N(G105)</f>
        <v>1.95700000000002</v>
      </c>
      <c r="H106" s="72" t="n">
        <f aca="false">H104+N(H105)</f>
        <v>11.373</v>
      </c>
      <c r="I106" s="72" t="n">
        <f aca="false">I104+N(I105)</f>
        <v>32.0480000000002</v>
      </c>
      <c r="J106" s="72" t="n">
        <f aca="false">J104+N(J105)</f>
        <v>9.15500000000004</v>
      </c>
      <c r="K106" s="72" t="n">
        <f aca="false">K104+N(K105)</f>
        <v>13.5</v>
      </c>
      <c r="L106" s="72" t="n">
        <f aca="false">L104+N(L105)</f>
        <v>12.9079999999999</v>
      </c>
      <c r="M106" s="72" t="n">
        <f aca="false">M104+N(M105)</f>
        <v>8.06400000000001</v>
      </c>
      <c r="N106" s="72" t="n">
        <f aca="false">N104+N(N105)</f>
        <v>43.6269999999999</v>
      </c>
      <c r="O106" s="72" t="n">
        <f aca="false">O104+N(O105)</f>
        <v>8.57599999999994</v>
      </c>
      <c r="P106" s="72" t="n">
        <f aca="false">P104+N(P105)</f>
        <v>13.568</v>
      </c>
      <c r="Q106" s="72" t="n">
        <f aca="false">Q104+N(Q105)</f>
        <v>16.2779999999999</v>
      </c>
      <c r="R106" s="72" t="n">
        <f aca="false">R104+N(R105)</f>
        <v>13.5690000000001</v>
      </c>
      <c r="S106" s="72" t="n">
        <f aca="false">S104+N(S105)</f>
        <v>51.991</v>
      </c>
      <c r="T106" s="72" t="n">
        <f aca="false">T104+N(T105)</f>
        <v>12.6049999999999</v>
      </c>
      <c r="U106" s="72" t="n">
        <f aca="false">U104+N(U105)</f>
        <v>19.247</v>
      </c>
      <c r="V106" s="72" t="n">
        <f aca="false">V104+N(V105)</f>
        <v>11.7770000000001</v>
      </c>
      <c r="W106" s="72" t="n">
        <f aca="false">W104+N(W105)</f>
        <v>11.387</v>
      </c>
      <c r="X106" s="72" t="n">
        <f aca="false">X104+N(X105)</f>
        <v>55.0159999999999</v>
      </c>
      <c r="Y106" s="72" t="n">
        <f aca="false">Y104+N(Y105)</f>
        <v>10.575</v>
      </c>
      <c r="Z106" s="72" t="n">
        <f aca="false">Z104+N(Z105)</f>
        <v>13.2749999999999</v>
      </c>
      <c r="AA106" s="72" t="n">
        <f aca="false">AA104+N(AA105)</f>
        <v>13.826</v>
      </c>
      <c r="AB106" s="72" t="n">
        <f aca="false">AB104+N(AB105)</f>
        <v>10.348</v>
      </c>
      <c r="AC106" s="72" t="n">
        <f aca="false">AC104+N(AC105)</f>
        <v>48.024</v>
      </c>
      <c r="AD106" s="72" t="n">
        <f aca="false">AD104+N(AD105)</f>
        <v>11.387</v>
      </c>
      <c r="AE106" s="72" t="n">
        <f aca="false">AE104+N(AE105)</f>
        <v>17.603</v>
      </c>
      <c r="AF106" s="72" t="n">
        <f aca="false">AF104+N(AF105)</f>
        <v>14.407</v>
      </c>
      <c r="AG106" s="72" t="n">
        <f aca="false">AG104+N(AG105)</f>
        <v>47.759</v>
      </c>
      <c r="AH106" s="72" t="n">
        <f aca="false">AH104+N(AH105)</f>
        <v>91.1560000000001</v>
      </c>
      <c r="AI106" s="72" t="n">
        <f aca="false">AI104+N(AI105)</f>
        <v>21.1250000000001</v>
      </c>
      <c r="AJ106" s="72" t="n">
        <f aca="false">AJ104+N(AJ105)</f>
        <v>30.281</v>
      </c>
      <c r="AK106" s="72" t="n">
        <f aca="false">AK104+N(AK105)</f>
        <v>28.1949999999999</v>
      </c>
      <c r="AL106" s="72" t="n">
        <f aca="false">AL104+N(AL105)</f>
        <v>25.38</v>
      </c>
      <c r="AM106" s="72" t="n">
        <f aca="false">AM104+N(AM105)</f>
        <v>104.981</v>
      </c>
      <c r="AN106" s="72" t="n">
        <f aca="false">AN104+N(AN105)</f>
        <v>22.2590000000001</v>
      </c>
      <c r="AO106" s="72" t="n">
        <f aca="false">AO104+N(AO105)</f>
        <v>37.073</v>
      </c>
      <c r="AP106" s="72" t="n">
        <f aca="false">AP104+N(AP105)</f>
        <v>32.968</v>
      </c>
      <c r="AQ106" s="72" t="n">
        <f aca="false">AQ104+N(AQ105)</f>
        <v>21.419</v>
      </c>
      <c r="AR106" s="72" t="n">
        <f aca="false">AR104+N(AR105)</f>
        <v>113.719</v>
      </c>
      <c r="AS106" s="72" t="n">
        <f aca="false">AS104+N(AS105)</f>
        <v>28.111</v>
      </c>
      <c r="AT106" s="72" t="n">
        <f aca="false">AT104+N(AT105)</f>
        <v>28.454</v>
      </c>
      <c r="AU106" s="72" t="n">
        <f aca="false">AU104+N(AU105)</f>
        <v>41.5390000000001</v>
      </c>
      <c r="AV106" s="72" t="n">
        <f aca="false">AV104+N(AV105)</f>
        <v>40.2360000000001</v>
      </c>
      <c r="AW106" s="72" t="n">
        <f aca="false">AW104+N(AW105)</f>
        <v>138.34</v>
      </c>
      <c r="AX106" s="72" t="n">
        <f aca="false">AX104+N(AX105)</f>
        <v>37.291</v>
      </c>
      <c r="AY106" s="72" t="n">
        <f aca="false">AY104+N(AY105)</f>
        <v>62.474</v>
      </c>
      <c r="AZ106" s="72" t="n">
        <f aca="false">AZ104+N(AZ105)</f>
        <v>79.7090000000001</v>
      </c>
      <c r="BA106" s="72" t="n">
        <f aca="false">BA104+N(BA105)</f>
        <v>73.7610000000001</v>
      </c>
      <c r="BB106" s="72" t="n">
        <f aca="false">BB104+N(BB105)</f>
        <v>253.235</v>
      </c>
      <c r="BC106" s="72" t="n">
        <f aca="false">BC104+N(BC105)</f>
        <v>79.424</v>
      </c>
      <c r="BD106" s="72" t="n">
        <f aca="false">BD104+N(BD105)</f>
        <v>109.245</v>
      </c>
      <c r="BE106" s="72" t="n">
        <f aca="false">BE104+N(BE105)</f>
        <v>97.8909999999999</v>
      </c>
      <c r="BF106" s="72" t="n">
        <f aca="false">BF104+N(BF105)</f>
        <v>70.862</v>
      </c>
      <c r="BG106" s="72" t="n">
        <f aca="false">BG104+N(BG105)</f>
        <v>357.421999999999</v>
      </c>
      <c r="BH106" s="72" t="n">
        <f aca="false">BH104+N(BH105)</f>
        <v>76.0969999999999</v>
      </c>
      <c r="BI106" s="72" t="n">
        <f aca="false">BI104+N(BI105)</f>
        <v>91.3189999999999</v>
      </c>
      <c r="BJ106" s="72" t="n">
        <f aca="false">BJ104+N(BJ105)</f>
        <v>98.2129999999999</v>
      </c>
      <c r="BK106" s="72" t="n">
        <f aca="false">BK104+N(BK105)</f>
        <v>89.2279999999999</v>
      </c>
      <c r="BL106" s="72" t="n">
        <f aca="false">BL104+N(BL105)</f>
        <v>354.857000000001</v>
      </c>
      <c r="BM106" s="72" t="n">
        <f aca="false">BM104+N(BM105)</f>
        <v>90.6949999999999</v>
      </c>
      <c r="BN106" s="72" t="n">
        <f aca="false">BN104+N(BN105)</f>
        <v>102.519</v>
      </c>
      <c r="BO106" s="72" t="n">
        <f aca="false">BO104+N(BO105)</f>
        <v>92.7479999999999</v>
      </c>
      <c r="BP106" s="72" t="n">
        <f aca="false">BP104+N(BP105)</f>
        <v>76.1030000000002</v>
      </c>
      <c r="BQ106" s="72" t="n">
        <f aca="false">BQ104+N(BQ105)</f>
        <v>362.065</v>
      </c>
      <c r="BR106" s="72" t="n">
        <f aca="false">BR104+N(BR105)</f>
        <v>49.8100000000001</v>
      </c>
      <c r="BS106" s="72" t="n">
        <f aca="false">BS104+N(BS105)</f>
        <v>71.3909999999999</v>
      </c>
      <c r="BT106" s="72" t="n">
        <f aca="false">BT104+N(BT105)</f>
        <v>86.3159999999999</v>
      </c>
      <c r="BU106" s="72" t="n">
        <f aca="false">BU104+N(BU105)</f>
        <v>47.519</v>
      </c>
      <c r="BV106" s="72" t="n">
        <f aca="false">BV104+N(BV105)</f>
        <v>255.036</v>
      </c>
      <c r="BW106" s="72" t="n">
        <f aca="false">BW104+N(BW105)</f>
        <v>49.8689999999999</v>
      </c>
      <c r="BX106" s="72" t="n">
        <f aca="false">BX104+N(BX105)</f>
        <v>94.2600000000001</v>
      </c>
      <c r="BY106" s="72" t="n">
        <f aca="false">BY104+N(BY105)</f>
        <v>90.6793008521634</v>
      </c>
      <c r="BZ106" s="72" t="n">
        <f aca="false">BZ104+N(BZ105)</f>
        <v>86.1363895715952</v>
      </c>
      <c r="CA106" s="72" t="n">
        <f aca="false">CA104+N(CA105)</f>
        <v>320.944690423759</v>
      </c>
      <c r="CB106" s="72" t="n">
        <f aca="false">CB104+N(CB105)</f>
        <v>399.361620706074</v>
      </c>
      <c r="CC106" s="72" t="n">
        <f aca="false">CC104+N(CC105)</f>
        <v>426.948367208918</v>
      </c>
      <c r="CD106" s="72" t="n">
        <f aca="false">CD104+N(CD105)</f>
        <v>464.645362429783</v>
      </c>
      <c r="CE106" s="72" t="n">
        <f aca="false">CE104+N(CE105)</f>
        <v>530.360802507843</v>
      </c>
      <c r="CF106" s="21"/>
      <c r="CH106" s="31" t="n">
        <f aca="false">IFERROR((CE106/BV106)^(1/5)-1,"n/m")</f>
        <v>0.157694542978819</v>
      </c>
      <c r="CI106" s="31" t="n">
        <f aca="false">IFERROR((BV106/AW106)^(1/5)-1,"n/m")</f>
        <v>0.130136088414874</v>
      </c>
      <c r="CJ106" s="31" t="n">
        <f aca="false">IFERROR((BV106/X106)^(1/10)-1,"n/m")</f>
        <v>0.165765631947796</v>
      </c>
      <c r="CK106" s="31" t="n">
        <f aca="false">IFERROR((BV106/C106)^(1/19)-1,"n/m")</f>
        <v>-2.14135994981801</v>
      </c>
    </row>
    <row r="107" customFormat="false" ht="15" hidden="false" customHeight="true" outlineLevel="0" collapsed="false">
      <c r="B107" s="37" t="s">
        <v>263</v>
      </c>
      <c r="C107" s="83" t="n">
        <v>-20.681</v>
      </c>
      <c r="D107" s="83" t="n">
        <v>18.342</v>
      </c>
      <c r="E107" s="83" t="n">
        <v>-20.727</v>
      </c>
      <c r="F107" s="83" t="n">
        <v>-7.875</v>
      </c>
      <c r="G107" s="83" t="n">
        <v>1.957</v>
      </c>
      <c r="H107" s="83" t="n">
        <v>11.373</v>
      </c>
      <c r="I107" s="83" t="n">
        <v>32.048</v>
      </c>
      <c r="J107" s="83" t="n">
        <v>9.155</v>
      </c>
      <c r="K107" s="83" t="n">
        <v>13.5</v>
      </c>
      <c r="L107" s="83" t="n">
        <v>12.908</v>
      </c>
      <c r="M107" s="83" t="n">
        <v>8.064</v>
      </c>
      <c r="N107" s="83" t="n">
        <v>43.627</v>
      </c>
      <c r="O107" s="83" t="n">
        <v>8.576</v>
      </c>
      <c r="P107" s="83" t="n">
        <v>13.568</v>
      </c>
      <c r="Q107" s="83" t="n">
        <v>16.278</v>
      </c>
      <c r="R107" s="83" t="n">
        <v>13.569</v>
      </c>
      <c r="S107" s="83" t="n">
        <v>51.991</v>
      </c>
      <c r="T107" s="83" t="n">
        <v>12.605</v>
      </c>
      <c r="U107" s="83" t="n">
        <v>19.247</v>
      </c>
      <c r="V107" s="83" t="n">
        <v>11.777</v>
      </c>
      <c r="W107" s="83" t="n">
        <v>11.387</v>
      </c>
      <c r="X107" s="83" t="n">
        <v>55.016</v>
      </c>
      <c r="Y107" s="83" t="n">
        <v>10.575</v>
      </c>
      <c r="Z107" s="83" t="n">
        <v>13.275</v>
      </c>
      <c r="AA107" s="83" t="n">
        <v>13.826</v>
      </c>
      <c r="AB107" s="83" t="n">
        <v>10.348</v>
      </c>
      <c r="AC107" s="83" t="n">
        <v>48.024</v>
      </c>
      <c r="AD107" s="83" t="n">
        <v>11.387</v>
      </c>
      <c r="AE107" s="83" t="n">
        <v>17.603</v>
      </c>
      <c r="AF107" s="83" t="n">
        <v>14.407</v>
      </c>
      <c r="AG107" s="83" t="n">
        <v>47.759</v>
      </c>
      <c r="AH107" s="83" t="n">
        <v>91.156</v>
      </c>
      <c r="AI107" s="83" t="n">
        <v>21.125</v>
      </c>
      <c r="AJ107" s="83" t="n">
        <v>30.281</v>
      </c>
      <c r="AK107" s="83" t="n">
        <v>28.195</v>
      </c>
      <c r="AL107" s="83" t="n">
        <v>25.38</v>
      </c>
      <c r="AM107" s="83" t="n">
        <v>104.981</v>
      </c>
      <c r="AN107" s="83" t="n">
        <v>22.259</v>
      </c>
      <c r="AO107" s="83" t="n">
        <v>37.073</v>
      </c>
      <c r="AP107" s="83" t="n">
        <v>32.968</v>
      </c>
      <c r="AQ107" s="83" t="n">
        <v>21.419</v>
      </c>
      <c r="AR107" s="83" t="n">
        <v>113.719</v>
      </c>
      <c r="AS107" s="83" t="n">
        <v>28.111</v>
      </c>
      <c r="AT107" s="83" t="n">
        <v>28.454</v>
      </c>
      <c r="AU107" s="83" t="n">
        <v>41.539</v>
      </c>
      <c r="AV107" s="83" t="n">
        <v>40.236</v>
      </c>
      <c r="AW107" s="83" t="n">
        <v>138.34</v>
      </c>
      <c r="AX107" s="83" t="n">
        <v>37.291</v>
      </c>
      <c r="AY107" s="83" t="n">
        <v>62.474</v>
      </c>
      <c r="AZ107" s="83" t="n">
        <v>79.709</v>
      </c>
      <c r="BA107" s="83" t="n">
        <v>73.761</v>
      </c>
      <c r="BB107" s="83" t="n">
        <v>253.235</v>
      </c>
      <c r="BC107" s="83" t="n">
        <v>79.424</v>
      </c>
      <c r="BD107" s="83" t="n">
        <v>109.245</v>
      </c>
      <c r="BE107" s="83" t="n">
        <v>97.891</v>
      </c>
      <c r="BF107" s="83" t="n">
        <v>70.862</v>
      </c>
      <c r="BG107" s="83" t="n">
        <v>357.422</v>
      </c>
      <c r="BH107" s="83" t="n">
        <v>76.097</v>
      </c>
      <c r="BI107" s="83" t="n">
        <v>91.319</v>
      </c>
      <c r="BJ107" s="83" t="n">
        <v>98.213</v>
      </c>
      <c r="BK107" s="83" t="n">
        <v>89.228</v>
      </c>
      <c r="BL107" s="89" t="n">
        <v>354.857</v>
      </c>
      <c r="BM107" s="83" t="n">
        <v>90.695</v>
      </c>
      <c r="BN107" s="83" t="n">
        <v>102.519</v>
      </c>
      <c r="BO107" s="83" t="n">
        <v>92.748</v>
      </c>
      <c r="BP107" s="83" t="n">
        <v>76.103</v>
      </c>
      <c r="BQ107" s="83" t="n">
        <v>362.065</v>
      </c>
      <c r="BR107" s="89" t="n">
        <v>49.81</v>
      </c>
      <c r="BS107" s="89" t="n">
        <v>71.391</v>
      </c>
      <c r="BT107" s="83" t="n">
        <v>86.316</v>
      </c>
      <c r="BU107" s="83" t="n">
        <v>47.519</v>
      </c>
      <c r="BV107" s="83" t="n">
        <v>255.036</v>
      </c>
      <c r="BW107" s="83" t="n">
        <v>49.869</v>
      </c>
      <c r="BX107" s="83" t="n">
        <v>94.26</v>
      </c>
      <c r="BY107" s="87"/>
      <c r="BZ107" s="87"/>
      <c r="CA107" s="87"/>
      <c r="CB107" s="87"/>
      <c r="CC107" s="87"/>
      <c r="CD107" s="87"/>
      <c r="CE107" s="87"/>
      <c r="CF107" s="21"/>
    </row>
    <row r="108" customFormat="false" ht="15" hidden="false" customHeight="true" outlineLevel="0" collapsed="false">
      <c r="B108" s="74" t="s">
        <v>264</v>
      </c>
      <c r="C108" s="65" t="n">
        <f aca="false">IF(ISNUMBER(C107),ROUND(C106-C107,1),"")</f>
        <v>0</v>
      </c>
      <c r="D108" s="65" t="n">
        <f aca="false">IF(ISNUMBER(D107),ROUND(D106-D107,1),"")</f>
        <v>-0</v>
      </c>
      <c r="E108" s="65" t="n">
        <f aca="false">IF(ISNUMBER(E107),ROUND(E106-E107,1),"")</f>
        <v>0</v>
      </c>
      <c r="F108" s="65" t="n">
        <f aca="false">IF(ISNUMBER(F107),ROUND(F106-F107,1),"")</f>
        <v>0</v>
      </c>
      <c r="G108" s="65" t="n">
        <f aca="false">IF(ISNUMBER(G107),ROUND(G106-G107,1),"")</f>
        <v>0</v>
      </c>
      <c r="H108" s="65" t="n">
        <f aca="false">IF(ISNUMBER(H107),ROUND(H106-H107,1),"")</f>
        <v>-0</v>
      </c>
      <c r="I108" s="65" t="n">
        <f aca="false">IF(ISNUMBER(I107),ROUND(I106-I107,1),"")</f>
        <v>0</v>
      </c>
      <c r="J108" s="65" t="n">
        <f aca="false">IF(ISNUMBER(J107),ROUND(J106-J107,1),"")</f>
        <v>0</v>
      </c>
      <c r="K108" s="65" t="n">
        <f aca="false">IF(ISNUMBER(K107),ROUND(K106-K107,1),"")</f>
        <v>0</v>
      </c>
      <c r="L108" s="65" t="n">
        <f aca="false">IF(ISNUMBER(L107),ROUND(L106-L107,1),"")</f>
        <v>-0</v>
      </c>
      <c r="M108" s="65" t="n">
        <f aca="false">IF(ISNUMBER(M107),ROUND(M106-M107,1),"")</f>
        <v>0</v>
      </c>
      <c r="N108" s="65" t="n">
        <f aca="false">IF(ISNUMBER(N107),ROUND(N106-N107,1),"")</f>
        <v>0</v>
      </c>
      <c r="O108" s="65" t="n">
        <f aca="false">IF(ISNUMBER(O107),ROUND(O106-O107,1),"")</f>
        <v>-0</v>
      </c>
      <c r="P108" s="65" t="n">
        <f aca="false">IF(ISNUMBER(P107),ROUND(P106-P107,1),"")</f>
        <v>0</v>
      </c>
      <c r="Q108" s="65" t="n">
        <f aca="false">IF(ISNUMBER(Q107),ROUND(Q106-Q107,1),"")</f>
        <v>0</v>
      </c>
      <c r="R108" s="65" t="n">
        <f aca="false">IF(ISNUMBER(R107),ROUND(R106-R107,1),"")</f>
        <v>0</v>
      </c>
      <c r="S108" s="65" t="n">
        <f aca="false">IF(ISNUMBER(S107),ROUND(S106-S107,1),"")</f>
        <v>0</v>
      </c>
      <c r="T108" s="65" t="n">
        <f aca="false">IF(ISNUMBER(T107),ROUND(T106-T107,1),"")</f>
        <v>-0</v>
      </c>
      <c r="U108" s="65" t="n">
        <f aca="false">IF(ISNUMBER(U107),ROUND(U106-U107,1),"")</f>
        <v>0</v>
      </c>
      <c r="V108" s="65" t="n">
        <f aca="false">IF(ISNUMBER(V107),ROUND(V106-V107,1),"")</f>
        <v>0</v>
      </c>
      <c r="W108" s="65" t="n">
        <f aca="false">IF(ISNUMBER(W107),ROUND(W106-W107,1),"")</f>
        <v>0</v>
      </c>
      <c r="X108" s="65" t="n">
        <f aca="false">IF(ISNUMBER(X107),ROUND(X106-X107,1),"")</f>
        <v>0</v>
      </c>
      <c r="Y108" s="65" t="n">
        <f aca="false">IF(ISNUMBER(Y107),ROUND(Y106-Y107,1),"")</f>
        <v>0</v>
      </c>
      <c r="Z108" s="65" t="n">
        <f aca="false">IF(ISNUMBER(Z107),ROUND(Z106-Z107,1),"")</f>
        <v>-0</v>
      </c>
      <c r="AA108" s="65" t="n">
        <f aca="false">IF(ISNUMBER(AA107),ROUND(AA106-AA107,1),"")</f>
        <v>0</v>
      </c>
      <c r="AB108" s="65" t="n">
        <f aca="false">IF(ISNUMBER(AB107),ROUND(AB106-AB107,1),"")</f>
        <v>-0</v>
      </c>
      <c r="AC108" s="65" t="n">
        <f aca="false">IF(ISNUMBER(AC107),ROUND(AC106-AC107,1),"")</f>
        <v>0</v>
      </c>
      <c r="AD108" s="65" t="n">
        <f aca="false">IF(ISNUMBER(AD107),ROUND(AD106-AD107,1),"")</f>
        <v>0</v>
      </c>
      <c r="AE108" s="65" t="n">
        <f aca="false">IF(ISNUMBER(AE107),ROUND(AE106-AE107,1),"")</f>
        <v>0</v>
      </c>
      <c r="AF108" s="65" t="n">
        <f aca="false">IF(ISNUMBER(AF107),ROUND(AF106-AF107,1),"")</f>
        <v>0</v>
      </c>
      <c r="AG108" s="65" t="n">
        <f aca="false">IF(ISNUMBER(AG107),ROUND(AG106-AG107,1),"")</f>
        <v>0</v>
      </c>
      <c r="AH108" s="65" t="n">
        <f aca="false">IF(ISNUMBER(AH107),ROUND(AH106-AH107,1),"")</f>
        <v>0</v>
      </c>
      <c r="AI108" s="65" t="n">
        <f aca="false">IF(ISNUMBER(AI107),ROUND(AI106-AI107,1),"")</f>
        <v>0</v>
      </c>
      <c r="AJ108" s="65" t="n">
        <f aca="false">IF(ISNUMBER(AJ107),ROUND(AJ106-AJ107,1),"")</f>
        <v>0</v>
      </c>
      <c r="AK108" s="65" t="n">
        <f aca="false">IF(ISNUMBER(AK107),ROUND(AK106-AK107,1),"")</f>
        <v>0</v>
      </c>
      <c r="AL108" s="65" t="n">
        <f aca="false">IF(ISNUMBER(AL107),ROUND(AL106-AL107,1),"")</f>
        <v>0</v>
      </c>
      <c r="AM108" s="65" t="n">
        <f aca="false">IF(ISNUMBER(AM107),ROUND(AM106-AM107,1),"")</f>
        <v>0</v>
      </c>
      <c r="AN108" s="65" t="n">
        <f aca="false">IF(ISNUMBER(AN107),ROUND(AN106-AN107,1),"")</f>
        <v>0</v>
      </c>
      <c r="AO108" s="65" t="n">
        <f aca="false">IF(ISNUMBER(AO107),ROUND(AO106-AO107,1),"")</f>
        <v>0</v>
      </c>
      <c r="AP108" s="65" t="n">
        <f aca="false">IF(ISNUMBER(AP107),ROUND(AP106-AP107,1),"")</f>
        <v>0</v>
      </c>
      <c r="AQ108" s="65" t="n">
        <f aca="false">IF(ISNUMBER(AQ107),ROUND(AQ106-AQ107,1),"")</f>
        <v>0</v>
      </c>
      <c r="AR108" s="65" t="n">
        <f aca="false">IF(ISNUMBER(AR107),ROUND(AR106-AR107,1),"")</f>
        <v>0</v>
      </c>
      <c r="AS108" s="65" t="n">
        <f aca="false">IF(ISNUMBER(AS107),ROUND(AS106-AS107,1),"")</f>
        <v>0</v>
      </c>
      <c r="AT108" s="65" t="n">
        <f aca="false">IF(ISNUMBER(AT107),ROUND(AT106-AT107,1),"")</f>
        <v>0</v>
      </c>
      <c r="AU108" s="65" t="n">
        <f aca="false">IF(ISNUMBER(AU107),ROUND(AU106-AU107,1),"")</f>
        <v>0</v>
      </c>
      <c r="AV108" s="65" t="n">
        <f aca="false">IF(ISNUMBER(AV107),ROUND(AV106-AV107,1),"")</f>
        <v>0</v>
      </c>
      <c r="AW108" s="65" t="n">
        <f aca="false">IF(ISNUMBER(AW107),ROUND(AW106-AW107,1),"")</f>
        <v>0</v>
      </c>
      <c r="AX108" s="65" t="n">
        <f aca="false">IF(ISNUMBER(AX107),ROUND(AX106-AX107,1),"")</f>
        <v>0</v>
      </c>
      <c r="AY108" s="65" t="n">
        <f aca="false">IF(ISNUMBER(AY107),ROUND(AY106-AY107,1),"")</f>
        <v>0</v>
      </c>
      <c r="AZ108" s="65" t="n">
        <f aca="false">IF(ISNUMBER(AZ107),ROUND(AZ106-AZ107,1),"")</f>
        <v>0</v>
      </c>
      <c r="BA108" s="65" t="n">
        <f aca="false">IF(ISNUMBER(BA107),ROUND(BA106-BA107,1),"")</f>
        <v>0</v>
      </c>
      <c r="BB108" s="65" t="n">
        <f aca="false">IF(ISNUMBER(BB107),ROUND(BB106-BB107,1),"")</f>
        <v>0</v>
      </c>
      <c r="BC108" s="65" t="n">
        <f aca="false">IF(ISNUMBER(BC107),ROUND(BC106-BC107,1),"")</f>
        <v>0</v>
      </c>
      <c r="BD108" s="65" t="n">
        <f aca="false">IF(ISNUMBER(BD107),ROUND(BD106-BD107,1),"")</f>
        <v>0</v>
      </c>
      <c r="BE108" s="65" t="n">
        <f aca="false">IF(ISNUMBER(BE107),ROUND(BE106-BE107,1),"")</f>
        <v>0</v>
      </c>
      <c r="BF108" s="65" t="n">
        <f aca="false">IF(ISNUMBER(BF107),ROUND(BF106-BF107,1),"")</f>
        <v>0</v>
      </c>
      <c r="BG108" s="65" t="n">
        <f aca="false">IF(ISNUMBER(BG107),ROUND(BG106-BG107,1),"")</f>
        <v>0</v>
      </c>
      <c r="BH108" s="65" t="n">
        <f aca="false">IF(ISNUMBER(BH107),ROUND(BH106-BH107,1),"")</f>
        <v>0</v>
      </c>
      <c r="BI108" s="65" t="n">
        <f aca="false">IF(ISNUMBER(BI107),ROUND(BI106-BI107,1),"")</f>
        <v>0</v>
      </c>
      <c r="BJ108" s="65" t="n">
        <f aca="false">IF(ISNUMBER(BJ107),ROUND(BJ106-BJ107,1),"")</f>
        <v>0</v>
      </c>
      <c r="BK108" s="65" t="n">
        <f aca="false">IF(ISNUMBER(BK107),ROUND(BK106-BK107,1),"")</f>
        <v>0</v>
      </c>
      <c r="BL108" s="65" t="n">
        <f aca="false">IF(ISNUMBER(BL107),ROUND(BL106-BL107,1),"")</f>
        <v>0</v>
      </c>
      <c r="BM108" s="65" t="n">
        <f aca="false">IF(ISNUMBER(BM107),ROUND(BM106-BM107,1),"")</f>
        <v>0</v>
      </c>
      <c r="BN108" s="65" t="n">
        <f aca="false">IF(ISNUMBER(BN107),ROUND(BN106-BN107,1),"")</f>
        <v>0</v>
      </c>
      <c r="BO108" s="65" t="n">
        <f aca="false">IF(ISNUMBER(BO107),ROUND(BO106-BO107,1),"")</f>
        <v>0</v>
      </c>
      <c r="BP108" s="65" t="n">
        <f aca="false">IF(ISNUMBER(BP107),ROUND(BP106-BP107,1),"")</f>
        <v>0</v>
      </c>
      <c r="BQ108" s="65" t="n">
        <f aca="false">IF(ISNUMBER(BQ107),ROUND(BQ106-BQ107,1),"")</f>
        <v>0</v>
      </c>
      <c r="BR108" s="65" t="n">
        <f aca="false">IF(ISNUMBER(BR107),ROUND(BR106-BR107,1),"")</f>
        <v>0</v>
      </c>
      <c r="BS108" s="65" t="n">
        <f aca="false">IF(ISNUMBER(BS107),ROUND(BS106-BS107,1),"")</f>
        <v>0</v>
      </c>
      <c r="BT108" s="65" t="n">
        <f aca="false">IF(ISNUMBER(BT107),ROUND(BT106-BT107,1),"")</f>
        <v>0</v>
      </c>
      <c r="BU108" s="65" t="n">
        <f aca="false">IF(ISNUMBER(BU107),ROUND(BU106-BU107,1),"")</f>
        <v>0</v>
      </c>
      <c r="BV108" s="65" t="n">
        <f aca="false">IF(ISNUMBER(BV107),ROUND(BV106-BV107,1),"")</f>
        <v>0</v>
      </c>
      <c r="BW108" s="65" t="n">
        <f aca="false">IF(ISNUMBER(BW107),ROUND(BW106-BW107,1),"")</f>
        <v>0</v>
      </c>
      <c r="BX108" s="65" t="n">
        <f aca="false">IF(ISNUMBER(BX107),ROUND(BX106-BX107,1),"")</f>
        <v>0</v>
      </c>
      <c r="BY108" s="88"/>
      <c r="BZ108" s="88"/>
      <c r="CA108" s="88"/>
      <c r="CB108" s="88"/>
      <c r="CC108" s="88"/>
      <c r="CD108" s="88"/>
      <c r="CE108" s="88"/>
      <c r="CF108" s="21"/>
    </row>
    <row r="109" customFormat="false" ht="15" hidden="false" customHeight="true" outlineLevel="0" collapsed="false">
      <c r="B109" s="37" t="s">
        <v>265</v>
      </c>
      <c r="C109" s="83" t="n">
        <v>0.641</v>
      </c>
      <c r="D109" s="83" t="n">
        <v>1.027</v>
      </c>
      <c r="E109" s="83" t="n">
        <v>1.764</v>
      </c>
      <c r="F109" s="83" t="n">
        <v>1.836</v>
      </c>
      <c r="G109" s="83" t="n">
        <v>1.892</v>
      </c>
      <c r="H109" s="83" t="n">
        <v>1.795</v>
      </c>
      <c r="I109" s="83" t="n">
        <v>2.687</v>
      </c>
      <c r="J109" s="83" t="n">
        <v>0.7255</v>
      </c>
      <c r="K109" s="83" t="n">
        <v>0.7255</v>
      </c>
      <c r="L109" s="83" t="n">
        <v>0.7255</v>
      </c>
      <c r="M109" s="83" t="n">
        <v>0.7255</v>
      </c>
      <c r="N109" s="83" t="n">
        <v>2.902</v>
      </c>
      <c r="O109" s="83" t="n">
        <v>1.0415</v>
      </c>
      <c r="P109" s="83" t="n">
        <v>1.0415</v>
      </c>
      <c r="Q109" s="83" t="n">
        <v>1.0415</v>
      </c>
      <c r="R109" s="83" t="n">
        <v>1.0415</v>
      </c>
      <c r="S109" s="83" t="n">
        <v>4.166</v>
      </c>
      <c r="T109" s="83" t="n">
        <v>0.9695</v>
      </c>
      <c r="U109" s="83" t="n">
        <v>0.9695</v>
      </c>
      <c r="V109" s="83" t="n">
        <v>0.9695</v>
      </c>
      <c r="W109" s="83" t="n">
        <v>0.9695</v>
      </c>
      <c r="X109" s="83" t="n">
        <v>3.878</v>
      </c>
      <c r="Y109" s="83" t="n">
        <v>1.14975</v>
      </c>
      <c r="Z109" s="83" t="n">
        <v>1.14975</v>
      </c>
      <c r="AA109" s="83" t="n">
        <v>1.14975</v>
      </c>
      <c r="AB109" s="83" t="n">
        <v>1.14975</v>
      </c>
      <c r="AC109" s="83" t="n">
        <v>4.599</v>
      </c>
      <c r="AD109" s="83" t="n">
        <v>1.27075</v>
      </c>
      <c r="AE109" s="83" t="n">
        <v>1.27075</v>
      </c>
      <c r="AF109" s="83" t="n">
        <v>1.27075</v>
      </c>
      <c r="AG109" s="83" t="n">
        <v>1.27075</v>
      </c>
      <c r="AH109" s="83" t="n">
        <v>5.083</v>
      </c>
      <c r="AI109" s="83" t="n">
        <v>1.058</v>
      </c>
      <c r="AJ109" s="83" t="n">
        <v>1.061</v>
      </c>
      <c r="AK109" s="83" t="n">
        <v>1.197</v>
      </c>
      <c r="AL109" s="83" t="n">
        <v>1.193</v>
      </c>
      <c r="AM109" s="83" t="n">
        <v>5.619</v>
      </c>
      <c r="AN109" s="83" t="n">
        <v>0.998</v>
      </c>
      <c r="AO109" s="83" t="n">
        <v>1.342</v>
      </c>
      <c r="AP109" s="83" t="n">
        <v>1.295</v>
      </c>
      <c r="AQ109" s="83" t="n">
        <v>1.342</v>
      </c>
      <c r="AR109" s="83" t="n">
        <v>6.187</v>
      </c>
      <c r="AS109" s="83" t="n">
        <v>1.317</v>
      </c>
      <c r="AT109" s="83" t="n">
        <v>1.64</v>
      </c>
      <c r="AU109" s="83" t="n">
        <v>1.67</v>
      </c>
      <c r="AV109" s="83" t="n">
        <v>1.679</v>
      </c>
      <c r="AW109" s="83" t="n">
        <v>7.536</v>
      </c>
      <c r="AX109" s="83" t="n">
        <v>1.711</v>
      </c>
      <c r="AY109" s="83" t="n">
        <v>1.81</v>
      </c>
      <c r="AZ109" s="83" t="n">
        <v>1.878</v>
      </c>
      <c r="BA109" s="83" t="n">
        <v>1.846</v>
      </c>
      <c r="BB109" s="83" t="n">
        <v>8.703</v>
      </c>
      <c r="BC109" s="83" t="n">
        <v>2.056</v>
      </c>
      <c r="BD109" s="83" t="n">
        <v>1.756</v>
      </c>
      <c r="BE109" s="83" t="n">
        <v>1.894</v>
      </c>
      <c r="BF109" s="83" t="n">
        <v>1.951</v>
      </c>
      <c r="BG109" s="83" t="n">
        <v>8.827</v>
      </c>
      <c r="BH109" s="83" t="n">
        <v>2.225</v>
      </c>
      <c r="BI109" s="83" t="n">
        <v>2.5</v>
      </c>
      <c r="BJ109" s="83" t="n">
        <v>2.686</v>
      </c>
      <c r="BK109" s="83" t="n">
        <v>2.808</v>
      </c>
      <c r="BL109" s="89" t="n">
        <v>11.636</v>
      </c>
      <c r="BM109" s="83" t="n">
        <v>2.724</v>
      </c>
      <c r="BN109" s="83" t="n">
        <v>3.207</v>
      </c>
      <c r="BO109" s="83" t="n">
        <v>3.463</v>
      </c>
      <c r="BP109" s="83" t="n">
        <v>3.428</v>
      </c>
      <c r="BQ109" s="83" t="n">
        <v>14.243</v>
      </c>
      <c r="BR109" s="89" t="n">
        <v>4.527</v>
      </c>
      <c r="BS109" s="89" t="n">
        <v>3.727</v>
      </c>
      <c r="BT109" s="83" t="n">
        <v>3.978</v>
      </c>
      <c r="BU109" s="83" t="n">
        <v>3.972</v>
      </c>
      <c r="BV109" s="83" t="n">
        <v>17.397</v>
      </c>
      <c r="BW109" s="83" t="n">
        <v>3.901</v>
      </c>
      <c r="BX109" s="83" t="n">
        <v>4.318</v>
      </c>
      <c r="BY109" s="66" t="n">
        <f aca="false">BY81*BY78</f>
        <v>4.62501014778303</v>
      </c>
      <c r="BZ109" s="66" t="n">
        <f aca="false">BZ81*BZ78</f>
        <v>4.57403608773354</v>
      </c>
      <c r="CA109" s="66" t="n">
        <f aca="false">SUM(BW109,BX109,BY109,BZ109)</f>
        <v>17.4180462355166</v>
      </c>
      <c r="CB109" s="66" t="n">
        <f aca="false">CB81*CB78</f>
        <v>19.0197597952934</v>
      </c>
      <c r="CC109" s="66" t="n">
        <f aca="false">CC81*CC78</f>
        <v>20.2003900357591</v>
      </c>
      <c r="CD109" s="66" t="n">
        <f aca="false">CD81*CD78</f>
        <v>21.6307283980273</v>
      </c>
      <c r="CE109" s="66" t="n">
        <f aca="false">CE81*CE78</f>
        <v>23.3952550670964</v>
      </c>
      <c r="CF109" s="21" t="s">
        <v>266</v>
      </c>
    </row>
    <row r="110" customFormat="false" ht="15" hidden="false" customHeight="true" outlineLevel="0" collapsed="false">
      <c r="B110" s="37" t="s">
        <v>267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90"/>
      <c r="BM110" s="42"/>
      <c r="BN110" s="42"/>
      <c r="BO110" s="42"/>
      <c r="BP110" s="42"/>
      <c r="BQ110" s="42"/>
      <c r="BR110" s="90"/>
      <c r="BS110" s="90"/>
      <c r="BT110" s="42"/>
      <c r="BU110" s="42"/>
      <c r="BV110" s="42"/>
      <c r="BW110" s="42"/>
      <c r="BX110" s="42"/>
      <c r="BY110" s="43"/>
      <c r="BZ110" s="43"/>
      <c r="CA110" s="43"/>
      <c r="CB110" s="43"/>
      <c r="CC110" s="43"/>
      <c r="CD110" s="43"/>
      <c r="CE110" s="43"/>
      <c r="CF110" s="21"/>
    </row>
    <row r="111" customFormat="false" ht="15" hidden="false" customHeight="true" outlineLevel="0" collapsed="false">
      <c r="B111" s="22" t="s">
        <v>268</v>
      </c>
      <c r="C111" s="45" t="n">
        <v>21.804</v>
      </c>
      <c r="D111" s="45" t="n">
        <v>20.7345</v>
      </c>
      <c r="E111" s="45" t="n">
        <v>19.974</v>
      </c>
      <c r="F111" s="45" t="n">
        <v>20.1345</v>
      </c>
      <c r="G111" s="45" t="n">
        <v>23.5695</v>
      </c>
      <c r="H111" s="45" t="n">
        <v>23.6835</v>
      </c>
      <c r="I111" s="45" t="n">
        <v>23.823</v>
      </c>
      <c r="J111" s="45" t="n">
        <v>23.985</v>
      </c>
      <c r="K111" s="45" t="n">
        <v>24.163</v>
      </c>
      <c r="L111" s="45" t="n">
        <v>24.22</v>
      </c>
      <c r="M111" s="45" t="n">
        <v>24.246</v>
      </c>
      <c r="N111" s="45" t="n">
        <v>24.154</v>
      </c>
      <c r="O111" s="45" t="n">
        <v>24.382</v>
      </c>
      <c r="P111" s="45" t="n">
        <v>24.484</v>
      </c>
      <c r="Q111" s="45" t="n">
        <v>24.527</v>
      </c>
      <c r="R111" s="45" t="n">
        <v>24.624</v>
      </c>
      <c r="S111" s="45" t="n">
        <v>24.505</v>
      </c>
      <c r="T111" s="45" t="n">
        <v>24.803</v>
      </c>
      <c r="U111" s="45" t="n">
        <v>24.936</v>
      </c>
      <c r="V111" s="45" t="n">
        <v>24.963</v>
      </c>
      <c r="W111" s="45" t="n">
        <v>24.972</v>
      </c>
      <c r="X111" s="45" t="n">
        <v>24.919</v>
      </c>
      <c r="Y111" s="45" t="n">
        <v>24.998</v>
      </c>
      <c r="Z111" s="45" t="n">
        <v>25.03</v>
      </c>
      <c r="AA111" s="45" t="n">
        <v>25.038</v>
      </c>
      <c r="AB111" s="45" t="n">
        <v>25.084</v>
      </c>
      <c r="AC111" s="45" t="n">
        <v>25.038</v>
      </c>
      <c r="AD111" s="45" t="n">
        <v>25.225</v>
      </c>
      <c r="AE111" s="45" t="n">
        <v>25.501</v>
      </c>
      <c r="AF111" s="45" t="n">
        <v>25.527</v>
      </c>
      <c r="AG111" s="45" t="n">
        <v>25.589</v>
      </c>
      <c r="AH111" s="45" t="n">
        <v>25.518</v>
      </c>
      <c r="AI111" s="45" t="n">
        <v>25.698</v>
      </c>
      <c r="AJ111" s="45" t="n">
        <v>25.766</v>
      </c>
      <c r="AK111" s="45" t="n">
        <v>25.792</v>
      </c>
      <c r="AL111" s="45" t="n">
        <v>25.791</v>
      </c>
      <c r="AM111" s="45" t="n">
        <v>25.762</v>
      </c>
      <c r="AN111" s="45" t="n">
        <v>25.873</v>
      </c>
      <c r="AO111" s="45" t="n">
        <v>25.958</v>
      </c>
      <c r="AP111" s="45" t="n">
        <v>25.978</v>
      </c>
      <c r="AQ111" s="45" t="n">
        <v>26</v>
      </c>
      <c r="AR111" s="45" t="n">
        <v>25.952</v>
      </c>
      <c r="AS111" s="45" t="n">
        <v>26.07</v>
      </c>
      <c r="AT111" s="45" t="n">
        <v>26.134</v>
      </c>
      <c r="AU111" s="45" t="n">
        <v>26.15</v>
      </c>
      <c r="AV111" s="45" t="n">
        <v>26.203</v>
      </c>
      <c r="AW111" s="45" t="n">
        <v>26.14</v>
      </c>
      <c r="AX111" s="45" t="n">
        <v>26.285</v>
      </c>
      <c r="AY111" s="45" t="n">
        <v>26.332</v>
      </c>
      <c r="AZ111" s="45" t="n">
        <v>26.334</v>
      </c>
      <c r="BA111" s="45" t="n">
        <v>26.336</v>
      </c>
      <c r="BB111" s="45" t="n">
        <v>26.322</v>
      </c>
      <c r="BC111" s="45" t="n">
        <v>26.391</v>
      </c>
      <c r="BD111" s="45" t="n">
        <v>26.507</v>
      </c>
      <c r="BE111" s="45" t="n">
        <v>26.539</v>
      </c>
      <c r="BF111" s="45" t="n">
        <v>26.561</v>
      </c>
      <c r="BG111" s="45" t="n">
        <v>26.52</v>
      </c>
      <c r="BH111" s="45" t="n">
        <v>26.6</v>
      </c>
      <c r="BI111" s="45" t="n">
        <v>26.634</v>
      </c>
      <c r="BJ111" s="45" t="n">
        <v>26.644</v>
      </c>
      <c r="BK111" s="45" t="n">
        <v>26.648</v>
      </c>
      <c r="BL111" s="45" t="n">
        <v>26.632</v>
      </c>
      <c r="BM111" s="45" t="n">
        <v>26.672</v>
      </c>
      <c r="BN111" s="45" t="n">
        <v>26.691</v>
      </c>
      <c r="BO111" s="45" t="n">
        <v>26.695</v>
      </c>
      <c r="BP111" s="45" t="n">
        <v>26.699</v>
      </c>
      <c r="BQ111" s="45" t="n">
        <v>26.689</v>
      </c>
      <c r="BR111" s="45" t="n">
        <v>26.72</v>
      </c>
      <c r="BS111" s="45" t="n">
        <v>26.739</v>
      </c>
      <c r="BT111" s="45" t="n">
        <v>26.745</v>
      </c>
      <c r="BU111" s="45" t="n">
        <v>26.748</v>
      </c>
      <c r="BV111" s="45" t="n">
        <v>26.738</v>
      </c>
      <c r="BW111" s="45" t="n">
        <v>26.764</v>
      </c>
      <c r="BX111" s="45" t="n">
        <v>26.779</v>
      </c>
      <c r="BY111" s="24" t="n">
        <f aca="false">$BX$111</f>
        <v>26.779</v>
      </c>
      <c r="BZ111" s="24" t="n">
        <f aca="false">$BX$111</f>
        <v>26.779</v>
      </c>
      <c r="CA111" s="25" t="n">
        <f aca="false">AVERAGE(BW111,BX111,BY111,BZ111)</f>
        <v>26.77525</v>
      </c>
      <c r="CB111" s="25" t="n">
        <f aca="false">AVERAGE(CB225,CB226)</f>
        <v>26.3027547653389</v>
      </c>
      <c r="CC111" s="25" t="n">
        <f aca="false">AVERAGE(CC225,CC226)</f>
        <v>25.5458936286344</v>
      </c>
      <c r="CD111" s="25" t="n">
        <f aca="false">AVERAGE(CD225,CD226)</f>
        <v>24.9082052877175</v>
      </c>
      <c r="CE111" s="25" t="n">
        <f aca="false">AVERAGE(CE225,CE226)</f>
        <v>24.2928591027701</v>
      </c>
      <c r="CF111" s="21"/>
    </row>
    <row r="112" customFormat="false" ht="15" hidden="false" customHeight="true" outlineLevel="0" collapsed="false">
      <c r="B112" s="22" t="s">
        <v>269</v>
      </c>
      <c r="C112" s="45" t="n">
        <v>22.2615</v>
      </c>
      <c r="D112" s="45" t="n">
        <v>21.057</v>
      </c>
      <c r="E112" s="45" t="n">
        <v>19.974</v>
      </c>
      <c r="F112" s="45" t="n">
        <v>20.1345</v>
      </c>
      <c r="G112" s="45" t="n">
        <v>24.1725</v>
      </c>
      <c r="H112" s="45" t="n">
        <v>24.204</v>
      </c>
      <c r="I112" s="45" t="n">
        <v>24.8145</v>
      </c>
      <c r="J112" s="45" t="n">
        <v>24.948</v>
      </c>
      <c r="K112" s="45" t="n">
        <v>25.218</v>
      </c>
      <c r="L112" s="45" t="n">
        <v>25.269</v>
      </c>
      <c r="M112" s="45" t="n">
        <v>25.289</v>
      </c>
      <c r="N112" s="45" t="n">
        <v>25.205</v>
      </c>
      <c r="O112" s="45" t="n">
        <v>25.361</v>
      </c>
      <c r="P112" s="45" t="n">
        <v>25.447</v>
      </c>
      <c r="Q112" s="45" t="n">
        <v>25.505</v>
      </c>
      <c r="R112" s="45" t="n">
        <v>25.565</v>
      </c>
      <c r="S112" s="45" t="n">
        <v>25.463</v>
      </c>
      <c r="T112" s="45" t="n">
        <v>25.513</v>
      </c>
      <c r="U112" s="45" t="n">
        <v>25.561</v>
      </c>
      <c r="V112" s="45" t="n">
        <v>25.555</v>
      </c>
      <c r="W112" s="45" t="n">
        <v>25.483</v>
      </c>
      <c r="X112" s="45" t="n">
        <v>25.471</v>
      </c>
      <c r="Y112" s="45" t="n">
        <v>25.445</v>
      </c>
      <c r="Z112" s="45" t="n">
        <v>25.583</v>
      </c>
      <c r="AA112" s="45" t="n">
        <v>25.658</v>
      </c>
      <c r="AB112" s="45" t="n">
        <v>25.782</v>
      </c>
      <c r="AC112" s="45" t="n">
        <v>25.68</v>
      </c>
      <c r="AD112" s="45" t="n">
        <v>25.971</v>
      </c>
      <c r="AE112" s="45" t="n">
        <v>26</v>
      </c>
      <c r="AF112" s="45" t="n">
        <v>26.113</v>
      </c>
      <c r="AG112" s="45" t="n">
        <v>26.189</v>
      </c>
      <c r="AH112" s="45" t="n">
        <v>26.086</v>
      </c>
      <c r="AI112" s="45" t="n">
        <v>26.308</v>
      </c>
      <c r="AJ112" s="45" t="n">
        <v>26.354</v>
      </c>
      <c r="AK112" s="45" t="n">
        <v>26.354</v>
      </c>
      <c r="AL112" s="45" t="n">
        <v>26.289</v>
      </c>
      <c r="AM112" s="45" t="n">
        <v>26.291</v>
      </c>
      <c r="AN112" s="45" t="n">
        <v>26.322</v>
      </c>
      <c r="AO112" s="45" t="n">
        <v>26.406</v>
      </c>
      <c r="AP112" s="45" t="n">
        <v>26.46</v>
      </c>
      <c r="AQ112" s="45" t="n">
        <v>26.498</v>
      </c>
      <c r="AR112" s="45" t="n">
        <v>26.435</v>
      </c>
      <c r="AS112" s="45" t="n">
        <v>26.492</v>
      </c>
      <c r="AT112" s="45" t="n">
        <v>26.569</v>
      </c>
      <c r="AU112" s="45" t="n">
        <v>26.615</v>
      </c>
      <c r="AV112" s="45" t="n">
        <v>26.653</v>
      </c>
      <c r="AW112" s="45" t="n">
        <v>26.592</v>
      </c>
      <c r="AX112" s="45" t="n">
        <v>26.671</v>
      </c>
      <c r="AY112" s="45" t="n">
        <v>26.704</v>
      </c>
      <c r="AZ112" s="45" t="n">
        <v>26.713</v>
      </c>
      <c r="BA112" s="45" t="n">
        <v>26.734</v>
      </c>
      <c r="BB112" s="45" t="n">
        <v>26.707</v>
      </c>
      <c r="BC112" s="45" t="n">
        <v>26.67</v>
      </c>
      <c r="BD112" s="45" t="n">
        <v>26.665</v>
      </c>
      <c r="BE112" s="45" t="n">
        <v>26.676</v>
      </c>
      <c r="BF112" s="45" t="n">
        <v>26.691</v>
      </c>
      <c r="BG112" s="45" t="n">
        <v>26.674</v>
      </c>
      <c r="BH112" s="45" t="n">
        <v>26.702</v>
      </c>
      <c r="BI112" s="45" t="n">
        <v>26.736</v>
      </c>
      <c r="BJ112" s="45" t="n">
        <v>26.779</v>
      </c>
      <c r="BK112" s="45" t="n">
        <v>26.785</v>
      </c>
      <c r="BL112" s="45" t="n">
        <v>26.763</v>
      </c>
      <c r="BM112" s="45" t="n">
        <v>26.794</v>
      </c>
      <c r="BN112" s="45" t="n">
        <v>26.802</v>
      </c>
      <c r="BO112" s="45" t="n">
        <v>26.789</v>
      </c>
      <c r="BP112" s="45" t="n">
        <v>26.811</v>
      </c>
      <c r="BQ112" s="45" t="n">
        <v>26.802</v>
      </c>
      <c r="BR112" s="45" t="n">
        <v>26.788</v>
      </c>
      <c r="BS112" s="45" t="n">
        <v>26.785</v>
      </c>
      <c r="BT112" s="45" t="n">
        <v>26.79</v>
      </c>
      <c r="BU112" s="45" t="n">
        <v>26.795</v>
      </c>
      <c r="BV112" s="45" t="n">
        <v>26.786</v>
      </c>
      <c r="BW112" s="45" t="n">
        <v>26.807</v>
      </c>
      <c r="BX112" s="45" t="n">
        <v>26.833</v>
      </c>
      <c r="BY112" s="24" t="n">
        <f aca="false">$BX$112</f>
        <v>26.833</v>
      </c>
      <c r="BZ112" s="24" t="n">
        <f aca="false">$BX$112</f>
        <v>26.833</v>
      </c>
      <c r="CA112" s="25" t="n">
        <f aca="false">AVERAGE(BW112,BX112,BY112,BZ112)</f>
        <v>26.8265</v>
      </c>
      <c r="CB112" s="25" t="n">
        <f aca="false">CB111+($BX$112-$BX$111)</f>
        <v>26.3567547653389</v>
      </c>
      <c r="CC112" s="25" t="n">
        <f aca="false">CC111+($BX$112-$BX$111)</f>
        <v>25.5998936286344</v>
      </c>
      <c r="CD112" s="25" t="n">
        <f aca="false">CD111+($BX$112-$BX$111)</f>
        <v>24.9622052877175</v>
      </c>
      <c r="CE112" s="25" t="n">
        <f aca="false">CE111+($BX$112-$BX$111)</f>
        <v>24.3468591027701</v>
      </c>
      <c r="CF112" s="21"/>
    </row>
    <row r="113" customFormat="false" ht="15" hidden="false" customHeight="true" outlineLevel="0" collapsed="false">
      <c r="B113" s="22" t="s">
        <v>270</v>
      </c>
      <c r="C113" s="23" t="n">
        <f aca="false">IF(AND(ISNUMBER(C106),ISNUMBER(C111)),IFERROR(C106/C111,""),"")</f>
        <v>-0.948495688864417</v>
      </c>
      <c r="D113" s="23" t="n">
        <f aca="false">IF(AND(ISNUMBER(D106),ISNUMBER(D111)),IFERROR(D106/D111,""),"")</f>
        <v>0.88461260218476</v>
      </c>
      <c r="E113" s="23" t="n">
        <f aca="false">IF(AND(ISNUMBER(E106),ISNUMBER(E111)),IFERROR(E106/E111,""),"")</f>
        <v>-1.03769900871132</v>
      </c>
      <c r="F113" s="23" t="n">
        <f aca="false">IF(AND(ISNUMBER(F106),ISNUMBER(F111)),IFERROR(F106/F111,""),"")</f>
        <v>-0.391119719883781</v>
      </c>
      <c r="G113" s="23" t="n">
        <f aca="false">IF(AND(ISNUMBER(G106),ISNUMBER(G111)),IFERROR(G106/G111,""),"")</f>
        <v>0.083031035872633</v>
      </c>
      <c r="H113" s="23" t="n">
        <f aca="false">IF(AND(ISNUMBER(H106),ISNUMBER(H111)),IFERROR(H106/H111,""),"")</f>
        <v>0.480207739565519</v>
      </c>
      <c r="I113" s="23" t="n">
        <f aca="false">IF(AND(ISNUMBER(I106),ISNUMBER(I111)),IFERROR(I106/I111,""),"")</f>
        <v>1.34525458590438</v>
      </c>
      <c r="J113" s="23" t="n">
        <f aca="false">IF(AND(ISNUMBER(J106),ISNUMBER(J111)),IFERROR(J106/J111,""),"")</f>
        <v>0.381696893892018</v>
      </c>
      <c r="K113" s="23" t="n">
        <f aca="false">IF(AND(ISNUMBER(K106),ISNUMBER(K111)),IFERROR(K106/K111,""),"")</f>
        <v>0.558705458759258</v>
      </c>
      <c r="L113" s="23" t="n">
        <f aca="false">IF(AND(ISNUMBER(L106),ISNUMBER(L111)),IFERROR(L106/L111,""),"")</f>
        <v>0.53294797687861</v>
      </c>
      <c r="M113" s="23" t="n">
        <f aca="false">IF(AND(ISNUMBER(M106),ISNUMBER(M111)),IFERROR(M106/M111,""),"")</f>
        <v>0.332590942835932</v>
      </c>
      <c r="N113" s="23" t="n">
        <f aca="false">IF(AND(ISNUMBER(N106),ISNUMBER(N111)),IFERROR(N106/N111,""),"")</f>
        <v>1.80620187132566</v>
      </c>
      <c r="O113" s="23" t="n">
        <f aca="false">IF(AND(ISNUMBER(O106),ISNUMBER(O111)),IFERROR(O106/O111,""),"")</f>
        <v>0.351734886391598</v>
      </c>
      <c r="P113" s="23" t="n">
        <f aca="false">IF(AND(ISNUMBER(P106),ISNUMBER(P111)),IFERROR(P106/P111,""),"")</f>
        <v>0.554157817350106</v>
      </c>
      <c r="Q113" s="23" t="n">
        <f aca="false">IF(AND(ISNUMBER(Q106),ISNUMBER(Q111)),IFERROR(Q106/Q111,""),"")</f>
        <v>0.663676764382107</v>
      </c>
      <c r="R113" s="23" t="n">
        <f aca="false">IF(AND(ISNUMBER(R106),ISNUMBER(R111)),IFERROR(R106/R111,""),"")</f>
        <v>0.551047758284603</v>
      </c>
      <c r="S113" s="23" t="n">
        <f aca="false">IF(AND(ISNUMBER(S106),ISNUMBER(S111)),IFERROR(S106/S111,""),"")</f>
        <v>2.12164864313405</v>
      </c>
      <c r="T113" s="23" t="n">
        <f aca="false">IF(AND(ISNUMBER(T106),ISNUMBER(T111)),IFERROR(T106/T111,""),"")</f>
        <v>0.508204652662982</v>
      </c>
      <c r="U113" s="23" t="n">
        <f aca="false">IF(AND(ISNUMBER(U106),ISNUMBER(U111)),IFERROR(U106/U111,""),"")</f>
        <v>0.771855951235162</v>
      </c>
      <c r="V113" s="23" t="n">
        <f aca="false">IF(AND(ISNUMBER(V106),ISNUMBER(V111)),IFERROR(V106/V111,""),"")</f>
        <v>0.471778231783042</v>
      </c>
      <c r="W113" s="23" t="n">
        <f aca="false">IF(AND(ISNUMBER(W106),ISNUMBER(W111)),IFERROR(W106/W111,""),"")</f>
        <v>0.455990709594748</v>
      </c>
      <c r="X113" s="23" t="n">
        <f aca="false">IF(AND(ISNUMBER(X106),ISNUMBER(X111)),IFERROR(X106/X111,""),"")</f>
        <v>2.20779325013042</v>
      </c>
      <c r="Y113" s="23" t="n">
        <f aca="false">IF(AND(ISNUMBER(Y106),ISNUMBER(Y111)),IFERROR(Y106/Y111,""),"")</f>
        <v>0.423033842707417</v>
      </c>
      <c r="Z113" s="23" t="n">
        <f aca="false">IF(AND(ISNUMBER(Z106),ISNUMBER(Z111)),IFERROR(Z106/Z111,""),"")</f>
        <v>0.53036356372353</v>
      </c>
      <c r="AA113" s="23" t="n">
        <f aca="false">IF(AND(ISNUMBER(AA106),ISNUMBER(AA111)),IFERROR(AA106/AA111,""),"")</f>
        <v>0.552200655004394</v>
      </c>
      <c r="AB113" s="23" t="n">
        <f aca="false">IF(AND(ISNUMBER(AB106),ISNUMBER(AB111)),IFERROR(AB106/AB111,""),"")</f>
        <v>0.412533886142559</v>
      </c>
      <c r="AC113" s="23" t="n">
        <f aca="false">IF(AND(ISNUMBER(AC106),ISNUMBER(AC111)),IFERROR(AC106/AC111,""),"")</f>
        <v>1.91804457225018</v>
      </c>
      <c r="AD113" s="23" t="n">
        <f aca="false">IF(AND(ISNUMBER(AD106),ISNUMBER(AD111)),IFERROR(AD106/AD111,""),"")</f>
        <v>0.451417244796829</v>
      </c>
      <c r="AE113" s="23" t="n">
        <f aca="false">IF(AND(ISNUMBER(AE106),ISNUMBER(AE111)),IFERROR(AE106/AE111,""),"")</f>
        <v>0.690286655425278</v>
      </c>
      <c r="AF113" s="23" t="n">
        <f aca="false">IF(AND(ISNUMBER(AF106),ISNUMBER(AF111)),IFERROR(AF106/AF111,""),"")</f>
        <v>0.56438281035766</v>
      </c>
      <c r="AG113" s="23" t="n">
        <f aca="false">IF(AND(ISNUMBER(AG106),ISNUMBER(AG111)),IFERROR(AG106/AG111,""),"")</f>
        <v>1.86638790105123</v>
      </c>
      <c r="AH113" s="23" t="n">
        <f aca="false">IF(AND(ISNUMBER(AH106),ISNUMBER(AH111)),IFERROR(AH106/AH111,""),"")</f>
        <v>3.5722235284897</v>
      </c>
      <c r="AI113" s="23" t="n">
        <f aca="false">IF(AND(ISNUMBER(AI106),ISNUMBER(AI111)),IFERROR(AI106/AI111,""),"")</f>
        <v>0.822048408436457</v>
      </c>
      <c r="AJ113" s="23" t="n">
        <f aca="false">IF(AND(ISNUMBER(AJ106),ISNUMBER(AJ111)),IFERROR(AJ106/AJ111,""),"")</f>
        <v>1.17523092447411</v>
      </c>
      <c r="AK113" s="23" t="n">
        <f aca="false">IF(AND(ISNUMBER(AK106),ISNUMBER(AK111)),IFERROR(AK106/AK111,""),"")</f>
        <v>1.09316842431762</v>
      </c>
      <c r="AL113" s="23" t="n">
        <f aca="false">IF(AND(ISNUMBER(AL106),ISNUMBER(AL111)),IFERROR(AL106/AL111,""),"")</f>
        <v>0.984064208444807</v>
      </c>
      <c r="AM113" s="23" t="n">
        <f aca="false">IF(AND(ISNUMBER(AM106),ISNUMBER(AM111)),IFERROR(AM106/AM111,""),"")</f>
        <v>4.07503299433274</v>
      </c>
      <c r="AN113" s="23" t="n">
        <f aca="false">IF(AND(ISNUMBER(AN106),ISNUMBER(AN111)),IFERROR(AN106/AN111,""),"")</f>
        <v>0.860317705716387</v>
      </c>
      <c r="AO113" s="23" t="n">
        <f aca="false">IF(AND(ISNUMBER(AO106),ISNUMBER(AO111)),IFERROR(AO106/AO111,""),"")</f>
        <v>1.42819169427537</v>
      </c>
      <c r="AP113" s="23" t="n">
        <f aca="false">IF(AND(ISNUMBER(AP106),ISNUMBER(AP111)),IFERROR(AP106/AP111,""),"")</f>
        <v>1.26907383170375</v>
      </c>
      <c r="AQ113" s="23" t="n">
        <f aca="false">IF(AND(ISNUMBER(AQ106),ISNUMBER(AQ111)),IFERROR(AQ106/AQ111,""),"")</f>
        <v>0.823807692307693</v>
      </c>
      <c r="AR113" s="23" t="n">
        <f aca="false">IF(AND(ISNUMBER(AR106),ISNUMBER(AR111)),IFERROR(AR106/AR111,""),"")</f>
        <v>4.38189734895191</v>
      </c>
      <c r="AS113" s="23" t="n">
        <f aca="false">IF(AND(ISNUMBER(AS106),ISNUMBER(AS111)),IFERROR(AS106/AS111,""),"")</f>
        <v>1.0782892213272</v>
      </c>
      <c r="AT113" s="23" t="n">
        <f aca="false">IF(AND(ISNUMBER(AT106),ISNUMBER(AT111)),IFERROR(AT106/AT111,""),"")</f>
        <v>1.08877324558047</v>
      </c>
      <c r="AU113" s="23" t="n">
        <f aca="false">IF(AND(ISNUMBER(AU106),ISNUMBER(AU111)),IFERROR(AU106/AU111,""),"")</f>
        <v>1.58848948374761</v>
      </c>
      <c r="AV113" s="23" t="n">
        <f aca="false">IF(AND(ISNUMBER(AV106),ISNUMBER(AV111)),IFERROR(AV106/AV111,""),"")</f>
        <v>1.53554936457658</v>
      </c>
      <c r="AW113" s="23" t="n">
        <f aca="false">IF(AND(ISNUMBER(AW106),ISNUMBER(AW111)),IFERROR(AW106/AW111,""),"")</f>
        <v>5.29227237949503</v>
      </c>
      <c r="AX113" s="23" t="n">
        <f aca="false">IF(AND(ISNUMBER(AX106),ISNUMBER(AX111)),IFERROR(AX106/AX111,""),"")</f>
        <v>1.41871789994293</v>
      </c>
      <c r="AY113" s="23" t="n">
        <f aca="false">IF(AND(ISNUMBER(AY106),ISNUMBER(AY111)),IFERROR(AY106/AY111,""),"")</f>
        <v>2.37255050888653</v>
      </c>
      <c r="AZ113" s="23" t="n">
        <f aca="false">IF(AND(ISNUMBER(AZ106),ISNUMBER(AZ111)),IFERROR(AZ106/AZ111,""),"")</f>
        <v>3.02684742158427</v>
      </c>
      <c r="BA113" s="23" t="n">
        <f aca="false">IF(AND(ISNUMBER(BA106),ISNUMBER(BA111)),IFERROR(BA106/BA111,""),"")</f>
        <v>2.80076701093561</v>
      </c>
      <c r="BB113" s="23" t="n">
        <f aca="false">IF(AND(ISNUMBER(BB106),ISNUMBER(BB111)),IFERROR(BB106/BB111,""),"")</f>
        <v>9.62065952435226</v>
      </c>
      <c r="BC113" s="23" t="n">
        <f aca="false">IF(AND(ISNUMBER(BC106),ISNUMBER(BC111)),IFERROR(BC106/BC111,""),"")</f>
        <v>3.00951081808192</v>
      </c>
      <c r="BD113" s="23" t="n">
        <f aca="false">IF(AND(ISNUMBER(BD106),ISNUMBER(BD111)),IFERROR(BD106/BD111,""),"")</f>
        <v>4.12136416795563</v>
      </c>
      <c r="BE113" s="23" t="n">
        <f aca="false">IF(AND(ISNUMBER(BE106),ISNUMBER(BE111)),IFERROR(BE106/BE111,""),"")</f>
        <v>3.6885715362297</v>
      </c>
      <c r="BF113" s="23" t="n">
        <f aca="false">IF(AND(ISNUMBER(BF106),ISNUMBER(BF111)),IFERROR(BF106/BF111,""),"")</f>
        <v>2.66789654003991</v>
      </c>
      <c r="BG113" s="23" t="n">
        <f aca="false">IF(AND(ISNUMBER(BG106),ISNUMBER(BG111)),IFERROR(BG106/BG111,""),"")</f>
        <v>13.4774509803921</v>
      </c>
      <c r="BH113" s="23" t="n">
        <f aca="false">IF(AND(ISNUMBER(BH106),ISNUMBER(BH111)),IFERROR(BH106/BH111,""),"")</f>
        <v>2.86078947368421</v>
      </c>
      <c r="BI113" s="23" t="n">
        <f aca="false">IF(AND(ISNUMBER(BI106),ISNUMBER(BI111)),IFERROR(BI106/BI111,""),"")</f>
        <v>3.42866261169933</v>
      </c>
      <c r="BJ113" s="23" t="n">
        <f aca="false">IF(AND(ISNUMBER(BJ106),ISNUMBER(BJ111)),IFERROR(BJ106/BJ111,""),"")</f>
        <v>3.6861207025972</v>
      </c>
      <c r="BK113" s="23" t="n">
        <f aca="false">IF(AND(ISNUMBER(BK106),ISNUMBER(BK111)),IFERROR(BK106/BK111,""),"")</f>
        <v>3.348393875713</v>
      </c>
      <c r="BL113" s="23" t="n">
        <f aca="false">IF(AND(ISNUMBER(BL106),ISNUMBER(BL111)),IFERROR(BL106/BL111,""),"")</f>
        <v>13.3244592970862</v>
      </c>
      <c r="BM113" s="23" t="n">
        <f aca="false">IF(AND(ISNUMBER(BM106),ISNUMBER(BM111)),IFERROR(BM106/BM111,""),"")</f>
        <v>3.40038242351529</v>
      </c>
      <c r="BN113" s="23" t="n">
        <f aca="false">IF(AND(ISNUMBER(BN106),ISNUMBER(BN111)),IFERROR(BN106/BN111,""),"")</f>
        <v>3.84095762616613</v>
      </c>
      <c r="BO113" s="23" t="n">
        <f aca="false">IF(AND(ISNUMBER(BO106),ISNUMBER(BO111)),IFERROR(BO106/BO111,""),"")</f>
        <v>3.47435849410002</v>
      </c>
      <c r="BP113" s="23" t="n">
        <f aca="false">IF(AND(ISNUMBER(BP106),ISNUMBER(BP111)),IFERROR(BP106/BP111,""),"")</f>
        <v>2.85040638226151</v>
      </c>
      <c r="BQ113" s="23" t="n">
        <f aca="false">IF(AND(ISNUMBER(BQ106),ISNUMBER(BQ111)),IFERROR(BQ106/BQ111,""),"")</f>
        <v>13.5660759114242</v>
      </c>
      <c r="BR113" s="23" t="n">
        <f aca="false">IF(AND(ISNUMBER(BR106),ISNUMBER(BR111)),IFERROR(BR106/BR111,""),"")</f>
        <v>1.86414670658683</v>
      </c>
      <c r="BS113" s="23" t="n">
        <f aca="false">IF(AND(ISNUMBER(BS106),ISNUMBER(BS111)),IFERROR(BS106/BS111,""),"")</f>
        <v>2.66992034107483</v>
      </c>
      <c r="BT113" s="23" t="n">
        <f aca="false">IF(AND(ISNUMBER(BT106),ISNUMBER(BT111)),IFERROR(BT106/BT111,""),"")</f>
        <v>3.22736960179472</v>
      </c>
      <c r="BU113" s="23" t="n">
        <f aca="false">IF(AND(ISNUMBER(BU106),ISNUMBER(BU111)),IFERROR(BU106/BU111,""),"")</f>
        <v>1.77654404067594</v>
      </c>
      <c r="BV113" s="23" t="n">
        <f aca="false">IF(AND(ISNUMBER(BV106),ISNUMBER(BV111)),IFERROR(BV106/BV111,""),"")</f>
        <v>9.53833495399807</v>
      </c>
      <c r="BW113" s="23" t="n">
        <f aca="false">IF(AND(ISNUMBER(BW106),ISNUMBER(BW111)),IFERROR(BW106/BW111,""),"")</f>
        <v>1.86328650425945</v>
      </c>
      <c r="BX113" s="23" t="n">
        <f aca="false">IF(AND(ISNUMBER(BX106),ISNUMBER(BX111)),IFERROR(BX106/BX111,""),"")</f>
        <v>3.51992232719669</v>
      </c>
      <c r="BY113" s="24" t="n">
        <f aca="false">IF(AND(ISNUMBER(BY106),ISNUMBER(BY111)),IFERROR(BY106/BY111,""),"")</f>
        <v>3.38620937496409</v>
      </c>
      <c r="BZ113" s="24" t="n">
        <f aca="false">IF(AND(ISNUMBER(BZ106),ISNUMBER(BZ111)),IFERROR(BZ106/BZ111,""),"")</f>
        <v>3.21656482959017</v>
      </c>
      <c r="CA113" s="25" t="n">
        <f aca="false">IF(AND(ISNUMBER(CA106),ISNUMBER(CA111)),IFERROR(CA106/CA111,""),"")</f>
        <v>11.9866178812059</v>
      </c>
      <c r="CB113" s="25" t="n">
        <f aca="false">IF(AND(ISNUMBER(CB106),ISNUMBER(CB111)),IFERROR(CB106/CB111,""),"")</f>
        <v>15.1832621437942</v>
      </c>
      <c r="CC113" s="25" t="n">
        <f aca="false">IF(AND(ISNUMBER(CC106),ISNUMBER(CC111)),IFERROR(CC106/CC111,""),"")</f>
        <v>16.7129940105266</v>
      </c>
      <c r="CD113" s="25" t="n">
        <f aca="false">IF(AND(ISNUMBER(CD106),ISNUMBER(CD111)),IFERROR(CD106/CD111,""),"")</f>
        <v>18.654309174933</v>
      </c>
      <c r="CE113" s="25" t="n">
        <f aca="false">IF(AND(ISNUMBER(CE106),ISNUMBER(CE111)),IFERROR(CE106/CE111,""),"")</f>
        <v>21.8319630581221</v>
      </c>
      <c r="CF113" s="21"/>
    </row>
    <row r="114" customFormat="false" ht="15" hidden="false" customHeight="true" outlineLevel="0" collapsed="false">
      <c r="B114" s="17" t="s">
        <v>271</v>
      </c>
      <c r="C114" s="49" t="n">
        <f aca="false">IF(AND(ISNUMBER(C106),ISNUMBER(C112)),IFERROR(C106/C112,""),"")</f>
        <v>-0.929002987220077</v>
      </c>
      <c r="D114" s="49" t="n">
        <f aca="false">IF(AND(ISNUMBER(D106),ISNUMBER(D112)),IFERROR(D106/D112,""),"")</f>
        <v>0.871064254167255</v>
      </c>
      <c r="E114" s="49" t="n">
        <f aca="false">IF(AND(ISNUMBER(E106),ISNUMBER(E112)),IFERROR(E106/E112,""),"")</f>
        <v>-1.03769900871132</v>
      </c>
      <c r="F114" s="49" t="n">
        <f aca="false">IF(AND(ISNUMBER(F106),ISNUMBER(F112)),IFERROR(F106/F112,""),"")</f>
        <v>-0.391119719883781</v>
      </c>
      <c r="G114" s="49" t="n">
        <f aca="false">IF(AND(ISNUMBER(G106),ISNUMBER(G112)),IFERROR(G106/G112,""),"")</f>
        <v>0.0809597683317829</v>
      </c>
      <c r="H114" s="49" t="n">
        <f aca="false">IF(AND(ISNUMBER(H106),ISNUMBER(H112)),IFERROR(H106/H112,""),"")</f>
        <v>0.469881011403072</v>
      </c>
      <c r="I114" s="49" t="n">
        <f aca="false">IF(AND(ISNUMBER(I106),ISNUMBER(I112)),IFERROR(I106/I112,""),"")</f>
        <v>1.29150295190313</v>
      </c>
      <c r="J114" s="49" t="n">
        <f aca="false">IF(AND(ISNUMBER(J106),ISNUMBER(J112)),IFERROR(J106/J112,""),"")</f>
        <v>0.366963283629952</v>
      </c>
      <c r="K114" s="49" t="n">
        <f aca="false">IF(AND(ISNUMBER(K106),ISNUMBER(K112)),IFERROR(K106/K112,""),"")</f>
        <v>0.535331905781583</v>
      </c>
      <c r="L114" s="49" t="n">
        <f aca="false">IF(AND(ISNUMBER(L106),ISNUMBER(L112)),IFERROR(L106/L112,""),"")</f>
        <v>0.510823538723335</v>
      </c>
      <c r="M114" s="49" t="n">
        <f aca="false">IF(AND(ISNUMBER(M106),ISNUMBER(M112)),IFERROR(M106/M112,""),"")</f>
        <v>0.318873818656333</v>
      </c>
      <c r="N114" s="49" t="n">
        <f aca="false">IF(AND(ISNUMBER(N106),ISNUMBER(N112)),IFERROR(N106/N112,""),"")</f>
        <v>1.73088672882364</v>
      </c>
      <c r="O114" s="49" t="n">
        <f aca="false">IF(AND(ISNUMBER(O106),ISNUMBER(O112)),IFERROR(O106/O112,""),"")</f>
        <v>0.338157012736088</v>
      </c>
      <c r="P114" s="49" t="n">
        <f aca="false">IF(AND(ISNUMBER(P106),ISNUMBER(P112)),IFERROR(P106/P112,""),"")</f>
        <v>0.533186623177584</v>
      </c>
      <c r="Q114" s="49" t="n">
        <f aca="false">IF(AND(ISNUMBER(Q106),ISNUMBER(Q112)),IFERROR(Q106/Q112,""),"")</f>
        <v>0.638227798470886</v>
      </c>
      <c r="R114" s="49" t="n">
        <f aca="false">IF(AND(ISNUMBER(R106),ISNUMBER(R112)),IFERROR(R106/R112,""),"")</f>
        <v>0.530764717387055</v>
      </c>
      <c r="S114" s="49" t="n">
        <f aca="false">IF(AND(ISNUMBER(S106),ISNUMBER(S112)),IFERROR(S106/S112,""),"")</f>
        <v>2.04182539370852</v>
      </c>
      <c r="T114" s="49" t="n">
        <f aca="false">IF(AND(ISNUMBER(T106),ISNUMBER(T112)),IFERROR(T106/T112,""),"")</f>
        <v>0.494061850821148</v>
      </c>
      <c r="U114" s="49" t="n">
        <f aca="false">IF(AND(ISNUMBER(U106),ISNUMBER(U112)),IFERROR(U106/U112,""),"")</f>
        <v>0.752983060130668</v>
      </c>
      <c r="V114" s="49" t="n">
        <f aca="false">IF(AND(ISNUMBER(V106),ISNUMBER(V112)),IFERROR(V106/V112,""),"")</f>
        <v>0.460849148894544</v>
      </c>
      <c r="W114" s="49" t="n">
        <f aca="false">IF(AND(ISNUMBER(W106),ISNUMBER(W112)),IFERROR(W106/W112,""),"")</f>
        <v>0.44684691755288</v>
      </c>
      <c r="X114" s="49" t="n">
        <f aca="false">IF(AND(ISNUMBER(X106),ISNUMBER(X112)),IFERROR(X106/X112,""),"")</f>
        <v>2.15994660594401</v>
      </c>
      <c r="Y114" s="49" t="n">
        <f aca="false">IF(AND(ISNUMBER(Y106),ISNUMBER(Y112)),IFERROR(Y106/Y112,""),"")</f>
        <v>0.415602279426214</v>
      </c>
      <c r="Z114" s="49" t="n">
        <f aca="false">IF(AND(ISNUMBER(Z106),ISNUMBER(Z112)),IFERROR(Z106/Z112,""),"")</f>
        <v>0.518899269045849</v>
      </c>
      <c r="AA114" s="49" t="n">
        <f aca="false">IF(AND(ISNUMBER(AA106),ISNUMBER(AA112)),IFERROR(AA106/AA112,""),"")</f>
        <v>0.538857276482968</v>
      </c>
      <c r="AB114" s="49" t="n">
        <f aca="false">IF(AND(ISNUMBER(AB106),ISNUMBER(AB112)),IFERROR(AB106/AB112,""),"")</f>
        <v>0.401365293615699</v>
      </c>
      <c r="AC114" s="49" t="n">
        <f aca="false">IF(AND(ISNUMBER(AC106),ISNUMBER(AC112)),IFERROR(AC106/AC112,""),"")</f>
        <v>1.87009345794392</v>
      </c>
      <c r="AD114" s="49" t="n">
        <f aca="false">IF(AND(ISNUMBER(AD106),ISNUMBER(AD112)),IFERROR(AD106/AD112,""),"")</f>
        <v>0.438450579492511</v>
      </c>
      <c r="AE114" s="49" t="n">
        <f aca="false">IF(AND(ISNUMBER(AE106),ISNUMBER(AE112)),IFERROR(AE106/AE112,""),"")</f>
        <v>0.677038461538462</v>
      </c>
      <c r="AF114" s="49" t="n">
        <f aca="false">IF(AND(ISNUMBER(AF106),ISNUMBER(AF112)),IFERROR(AF106/AF112,""),"")</f>
        <v>0.551717535327231</v>
      </c>
      <c r="AG114" s="49" t="n">
        <f aca="false">IF(AND(ISNUMBER(AG106),ISNUMBER(AG112)),IFERROR(AG106/AG112,""),"")</f>
        <v>1.82362824086448</v>
      </c>
      <c r="AH114" s="49" t="n">
        <f aca="false">IF(AND(ISNUMBER(AH106),ISNUMBER(AH112)),IFERROR(AH106/AH112,""),"")</f>
        <v>3.49444146285364</v>
      </c>
      <c r="AI114" s="49" t="n">
        <f aca="false">IF(AND(ISNUMBER(AI106),ISNUMBER(AI112)),IFERROR(AI106/AI112,""),"")</f>
        <v>0.802987684354571</v>
      </c>
      <c r="AJ114" s="49" t="n">
        <f aca="false">IF(AND(ISNUMBER(AJ106),ISNUMBER(AJ112)),IFERROR(AJ106/AJ112,""),"")</f>
        <v>1.14900963800562</v>
      </c>
      <c r="AK114" s="49" t="n">
        <f aca="false">IF(AND(ISNUMBER(AK106),ISNUMBER(AK112)),IFERROR(AK106/AK112,""),"")</f>
        <v>1.06985656826288</v>
      </c>
      <c r="AL114" s="49" t="n">
        <f aca="false">IF(AND(ISNUMBER(AL106),ISNUMBER(AL112)),IFERROR(AL106/AL112,""),"")</f>
        <v>0.965422800410819</v>
      </c>
      <c r="AM114" s="49" t="n">
        <f aca="false">IF(AND(ISNUMBER(AM106),ISNUMBER(AM112)),IFERROR(AM106/AM112,""),"")</f>
        <v>3.99303944315546</v>
      </c>
      <c r="AN114" s="49" t="n">
        <f aca="false">IF(AND(ISNUMBER(AN106),ISNUMBER(AN112)),IFERROR(AN106/AN112,""),"")</f>
        <v>0.845642428386904</v>
      </c>
      <c r="AO114" s="49" t="n">
        <f aca="false">IF(AND(ISNUMBER(AO106),ISNUMBER(AO112)),IFERROR(AO106/AO112,""),"")</f>
        <v>1.40396122093464</v>
      </c>
      <c r="AP114" s="49" t="n">
        <f aca="false">IF(AND(ISNUMBER(AP106),ISNUMBER(AP112)),IFERROR(AP106/AP112,""),"")</f>
        <v>1.24595616024187</v>
      </c>
      <c r="AQ114" s="49" t="n">
        <f aca="false">IF(AND(ISNUMBER(AQ106),ISNUMBER(AQ112)),IFERROR(AQ106/AQ112,""),"")</f>
        <v>0.808325156615594</v>
      </c>
      <c r="AR114" s="49" t="n">
        <f aca="false">IF(AND(ISNUMBER(AR106),ISNUMBER(AR112)),IFERROR(AR106/AR112,""),"")</f>
        <v>4.30183468885947</v>
      </c>
      <c r="AS114" s="49" t="n">
        <f aca="false">IF(AND(ISNUMBER(AS106),ISNUMBER(AS112)),IFERROR(AS106/AS112,""),"")</f>
        <v>1.06111278876642</v>
      </c>
      <c r="AT114" s="49" t="n">
        <f aca="false">IF(AND(ISNUMBER(AT106),ISNUMBER(AT112)),IFERROR(AT106/AT112,""),"")</f>
        <v>1.07094734464978</v>
      </c>
      <c r="AU114" s="49" t="n">
        <f aca="false">IF(AND(ISNUMBER(AU106),ISNUMBER(AU112)),IFERROR(AU106/AU112,""),"")</f>
        <v>1.56073642682698</v>
      </c>
      <c r="AV114" s="49" t="n">
        <f aca="false">IF(AND(ISNUMBER(AV106),ISNUMBER(AV112)),IFERROR(AV106/AV112,""),"")</f>
        <v>1.5096236821371</v>
      </c>
      <c r="AW114" s="49" t="n">
        <f aca="false">IF(AND(ISNUMBER(AW106),ISNUMBER(AW112)),IFERROR(AW106/AW112,""),"")</f>
        <v>5.20231648616126</v>
      </c>
      <c r="AX114" s="49" t="n">
        <f aca="false">IF(AND(ISNUMBER(AX106),ISNUMBER(AX112)),IFERROR(AX106/AX112,""),"")</f>
        <v>1.39818529488958</v>
      </c>
      <c r="AY114" s="49" t="n">
        <f aca="false">IF(AND(ISNUMBER(AY106),ISNUMBER(AY112)),IFERROR(AY106/AY112,""),"")</f>
        <v>2.33949970041941</v>
      </c>
      <c r="AZ114" s="49" t="n">
        <f aca="false">IF(AND(ISNUMBER(AZ106),ISNUMBER(AZ112)),IFERROR(AZ106/AZ112,""),"")</f>
        <v>2.98390296859207</v>
      </c>
      <c r="BA114" s="49" t="n">
        <f aca="false">IF(AND(ISNUMBER(BA106),ISNUMBER(BA112)),IFERROR(BA106/BA112,""),"")</f>
        <v>2.75907084611357</v>
      </c>
      <c r="BB114" s="49" t="n">
        <f aca="false">IF(AND(ISNUMBER(BB106),ISNUMBER(BB112)),IFERROR(BB106/BB112,""),"")</f>
        <v>9.48197101883402</v>
      </c>
      <c r="BC114" s="49" t="n">
        <f aca="false">IF(AND(ISNUMBER(BC106),ISNUMBER(BC112)),IFERROR(BC106/BC112,""),"")</f>
        <v>2.97802774653168</v>
      </c>
      <c r="BD114" s="49" t="n">
        <f aca="false">IF(AND(ISNUMBER(BD106),ISNUMBER(BD112)),IFERROR(BD106/BD112,""),"")</f>
        <v>4.09694355897243</v>
      </c>
      <c r="BE114" s="49" t="n">
        <f aca="false">IF(AND(ISNUMBER(BE106),ISNUMBER(BE112)),IFERROR(BE106/BE112,""),"")</f>
        <v>3.66962813015444</v>
      </c>
      <c r="BF114" s="49" t="n">
        <f aca="false">IF(AND(ISNUMBER(BF106),ISNUMBER(BF112)),IFERROR(BF106/BF112,""),"")</f>
        <v>2.65490240155858</v>
      </c>
      <c r="BG114" s="49" t="n">
        <f aca="false">IF(AND(ISNUMBER(BG106),ISNUMBER(BG112)),IFERROR(BG106/BG112,""),"")</f>
        <v>13.3996400989728</v>
      </c>
      <c r="BH114" s="49" t="n">
        <f aca="false">IF(AND(ISNUMBER(BH106),ISNUMBER(BH112)),IFERROR(BH106/BH112,""),"")</f>
        <v>2.84986143360048</v>
      </c>
      <c r="BI114" s="49" t="n">
        <f aca="false">IF(AND(ISNUMBER(BI106),ISNUMBER(BI112)),IFERROR(BI106/BI112,""),"")</f>
        <v>3.41558198683423</v>
      </c>
      <c r="BJ114" s="49" t="n">
        <f aca="false">IF(AND(ISNUMBER(BJ106),ISNUMBER(BJ112)),IFERROR(BJ106/BJ112,""),"")</f>
        <v>3.66753799619104</v>
      </c>
      <c r="BK114" s="49" t="n">
        <f aca="false">IF(AND(ISNUMBER(BK106),ISNUMBER(BK112)),IFERROR(BK106/BK112,""),"")</f>
        <v>3.33126750046668</v>
      </c>
      <c r="BL114" s="49" t="n">
        <f aca="false">IF(AND(ISNUMBER(BL106),ISNUMBER(BL112)),IFERROR(BL106/BL112,""),"")</f>
        <v>13.2592385009155</v>
      </c>
      <c r="BM114" s="49" t="n">
        <f aca="false">IF(AND(ISNUMBER(BM106),ISNUMBER(BM112)),IFERROR(BM106/BM112,""),"")</f>
        <v>3.38489960438904</v>
      </c>
      <c r="BN114" s="49" t="n">
        <f aca="false">IF(AND(ISNUMBER(BN106),ISNUMBER(BN112)),IFERROR(BN106/BN112,""),"")</f>
        <v>3.82505036937542</v>
      </c>
      <c r="BO114" s="49" t="n">
        <f aca="false">IF(AND(ISNUMBER(BO106),ISNUMBER(BO112)),IFERROR(BO106/BO112,""),"")</f>
        <v>3.46216730747695</v>
      </c>
      <c r="BP114" s="49" t="n">
        <f aca="false">IF(AND(ISNUMBER(BP106),ISNUMBER(BP112)),IFERROR(BP106/BP112,""),"")</f>
        <v>2.83849912349409</v>
      </c>
      <c r="BQ114" s="49" t="n">
        <f aca="false">IF(AND(ISNUMBER(BQ106),ISNUMBER(BQ112)),IFERROR(BQ106/BQ112,""),"")</f>
        <v>13.5088799343333</v>
      </c>
      <c r="BR114" s="49" t="n">
        <f aca="false">IF(AND(ISNUMBER(BR106),ISNUMBER(BR112)),IFERROR(BR106/BR112,""),"")</f>
        <v>1.85941466328207</v>
      </c>
      <c r="BS114" s="49" t="n">
        <f aca="false">IF(AND(ISNUMBER(BS106),ISNUMBER(BS112)),IFERROR(BS106/BS112,""),"")</f>
        <v>2.66533507560201</v>
      </c>
      <c r="BT114" s="49" t="n">
        <f aca="false">IF(AND(ISNUMBER(BT106),ISNUMBER(BT112)),IFERROR(BT106/BT112,""),"")</f>
        <v>3.22194848824188</v>
      </c>
      <c r="BU114" s="49" t="n">
        <f aca="false">IF(AND(ISNUMBER(BU106),ISNUMBER(BU112)),IFERROR(BU106/BU112,""),"")</f>
        <v>1.77342787833551</v>
      </c>
      <c r="BV114" s="49" t="n">
        <f aca="false">IF(AND(ISNUMBER(BV106),ISNUMBER(BV112)),IFERROR(BV106/BV112,""),"")</f>
        <v>9.52124244008065</v>
      </c>
      <c r="BW114" s="49" t="n">
        <f aca="false">IF(AND(ISNUMBER(BW106),ISNUMBER(BW112)),IFERROR(BW106/BW112,""),"")</f>
        <v>1.86029768344089</v>
      </c>
      <c r="BX114" s="49" t="n">
        <f aca="false">IF(AND(ISNUMBER(BX106),ISNUMBER(BX112)),IFERROR(BX106/BX112,""),"")</f>
        <v>3.51283866880334</v>
      </c>
      <c r="BY114" s="50" t="n">
        <f aca="false">IF(AND(ISNUMBER(BY106),ISNUMBER(BY112)),IFERROR(BY106/BY112,""),"")</f>
        <v>3.37939480684841</v>
      </c>
      <c r="BZ114" s="50" t="n">
        <f aca="false">IF(AND(ISNUMBER(BZ106),ISNUMBER(BZ112)),IFERROR(BZ106/BZ112,""),"")</f>
        <v>3.2100916621919</v>
      </c>
      <c r="CA114" s="50" t="n">
        <f aca="false">IF(AND(ISNUMBER(CA106),ISNUMBER(CA112)),IFERROR(CA106/CA112,""),"")</f>
        <v>11.9637183540066</v>
      </c>
      <c r="CB114" s="50" t="n">
        <f aca="false">IF(AND(ISNUMBER(CB106),ISNUMBER(CB112)),IFERROR(CB106/CB112,""),"")</f>
        <v>15.1521545145332</v>
      </c>
      <c r="CC114" s="50" t="n">
        <f aca="false">IF(AND(ISNUMBER(CC106),ISNUMBER(CC112)),IFERROR(CC106/CC112,""),"")</f>
        <v>16.6777398923002</v>
      </c>
      <c r="CD114" s="50" t="n">
        <f aca="false">IF(AND(ISNUMBER(CD106),ISNUMBER(CD112)),IFERROR(CD106/CD112,""),"")</f>
        <v>18.6139548599262</v>
      </c>
      <c r="CE114" s="50" t="n">
        <f aca="false">IF(AND(ISNUMBER(CE106),ISNUMBER(CE112)),IFERROR(CE106/CE112,""),"")</f>
        <v>21.783540959807</v>
      </c>
      <c r="CF114" s="21" t="s">
        <v>272</v>
      </c>
      <c r="CH114" s="31" t="n">
        <f aca="false">IFERROR((CE114/BV114)^(1/5)-1,"n/m")</f>
        <v>0.18001348551977</v>
      </c>
      <c r="CI114" s="31" t="n">
        <f aca="false">IFERROR((BV114/AW114)^(1/5)-1,"n/m")</f>
        <v>0.128494302855022</v>
      </c>
      <c r="CJ114" s="31" t="n">
        <f aca="false">IFERROR((BV114/X114)^(1/10)-1,"n/m")</f>
        <v>0.159912051623403</v>
      </c>
      <c r="CK114" s="31" t="n">
        <f aca="false">IFERROR((BV114/C114)^(1/19)-1,"n/m")</f>
        <v>-2.13029940946448</v>
      </c>
    </row>
    <row r="115" customFormat="false" ht="15" hidden="false" customHeight="true" outlineLevel="0" collapsed="false">
      <c r="B115" s="22" t="s">
        <v>273</v>
      </c>
      <c r="C115" s="23" t="n">
        <f aca="false">IF(AND(ISNUMBER(C104),ISNUMBER(C112)),IFERROR(C104/C112,""),"")</f>
        <v>1.16223075713677</v>
      </c>
      <c r="D115" s="23" t="n">
        <f aca="false">IF(AND(ISNUMBER(D104),ISNUMBER(D112)),IFERROR(D104/D112,""),"")</f>
        <v>0.811369140903258</v>
      </c>
      <c r="E115" s="23" t="n">
        <f aca="false">IF(AND(ISNUMBER(E104),ISNUMBER(E112)),IFERROR(E104/E112,""),"")</f>
        <v>-0.985731450886146</v>
      </c>
      <c r="F115" s="23" t="n">
        <f aca="false">IF(AND(ISNUMBER(F104),ISNUMBER(F112)),IFERROR(F104/F112,""),"")</f>
        <v>-0.44878194144379</v>
      </c>
      <c r="G115" s="23" t="n">
        <f aca="false">IF(AND(ISNUMBER(G104),ISNUMBER(G112)),IFERROR(G104/G112,""),"")</f>
        <v>0.0809597683317829</v>
      </c>
      <c r="H115" s="23" t="n">
        <f aca="false">IF(AND(ISNUMBER(H104),ISNUMBER(H112)),IFERROR(H104/H112,""),"")</f>
        <v>0.469881011403072</v>
      </c>
      <c r="I115" s="23" t="n">
        <f aca="false">IF(AND(ISNUMBER(I104),ISNUMBER(I112)),IFERROR(I104/I112,""),"")</f>
        <v>1.29150295190313</v>
      </c>
      <c r="J115" s="23" t="n">
        <f aca="false">IF(AND(ISNUMBER(J104),ISNUMBER(J112)),IFERROR(J104/J112,""),"")</f>
        <v>0.366963283629952</v>
      </c>
      <c r="K115" s="23" t="n">
        <f aca="false">IF(AND(ISNUMBER(K104),ISNUMBER(K112)),IFERROR(K104/K112,""),"")</f>
        <v>0.535331905781583</v>
      </c>
      <c r="L115" s="23" t="n">
        <f aca="false">IF(AND(ISNUMBER(L104),ISNUMBER(L112)),IFERROR(L104/L112,""),"")</f>
        <v>0.510823538723335</v>
      </c>
      <c r="M115" s="23" t="n">
        <f aca="false">IF(AND(ISNUMBER(M104),ISNUMBER(M112)),IFERROR(M104/M112,""),"")</f>
        <v>0.318873818656333</v>
      </c>
      <c r="N115" s="23" t="n">
        <f aca="false">IF(AND(ISNUMBER(N104),ISNUMBER(N112)),IFERROR(N104/N112,""),"")</f>
        <v>1.73088672882364</v>
      </c>
      <c r="O115" s="23" t="n">
        <f aca="false">IF(AND(ISNUMBER(O104),ISNUMBER(O112)),IFERROR(O104/O112,""),"")</f>
        <v>0.338157012736088</v>
      </c>
      <c r="P115" s="23" t="n">
        <f aca="false">IF(AND(ISNUMBER(P104),ISNUMBER(P112)),IFERROR(P104/P112,""),"")</f>
        <v>0.533186623177584</v>
      </c>
      <c r="Q115" s="23" t="n">
        <f aca="false">IF(AND(ISNUMBER(Q104),ISNUMBER(Q112)),IFERROR(Q104/Q112,""),"")</f>
        <v>0.638227798470886</v>
      </c>
      <c r="R115" s="23" t="n">
        <f aca="false">IF(AND(ISNUMBER(R104),ISNUMBER(R112)),IFERROR(R104/R112,""),"")</f>
        <v>0.530764717387055</v>
      </c>
      <c r="S115" s="23" t="n">
        <f aca="false">IF(AND(ISNUMBER(S104),ISNUMBER(S112)),IFERROR(S104/S112,""),"")</f>
        <v>2.04182539370852</v>
      </c>
      <c r="T115" s="23" t="n">
        <f aca="false">IF(AND(ISNUMBER(T104),ISNUMBER(T112)),IFERROR(T104/T112,""),"")</f>
        <v>0.494061850821148</v>
      </c>
      <c r="U115" s="23" t="n">
        <f aca="false">IF(AND(ISNUMBER(U104),ISNUMBER(U112)),IFERROR(U104/U112,""),"")</f>
        <v>0.752983060130668</v>
      </c>
      <c r="V115" s="23" t="n">
        <f aca="false">IF(AND(ISNUMBER(V104),ISNUMBER(V112)),IFERROR(V104/V112,""),"")</f>
        <v>0.460849148894544</v>
      </c>
      <c r="W115" s="23" t="n">
        <f aca="false">IF(AND(ISNUMBER(W104),ISNUMBER(W112)),IFERROR(W104/W112,""),"")</f>
        <v>0.44684691755288</v>
      </c>
      <c r="X115" s="23" t="n">
        <f aca="false">IF(AND(ISNUMBER(X104),ISNUMBER(X112)),IFERROR(X104/X112,""),"")</f>
        <v>2.15994660594401</v>
      </c>
      <c r="Y115" s="23" t="n">
        <f aca="false">IF(AND(ISNUMBER(Y104),ISNUMBER(Y112)),IFERROR(Y104/Y112,""),"")</f>
        <v>0.415602279426214</v>
      </c>
      <c r="Z115" s="23" t="n">
        <f aca="false">IF(AND(ISNUMBER(Z104),ISNUMBER(Z112)),IFERROR(Z104/Z112,""),"")</f>
        <v>0.518899269045849</v>
      </c>
      <c r="AA115" s="23" t="n">
        <f aca="false">IF(AND(ISNUMBER(AA104),ISNUMBER(AA112)),IFERROR(AA104/AA112,""),"")</f>
        <v>0.538857276482968</v>
      </c>
      <c r="AB115" s="23" t="n">
        <f aca="false">IF(AND(ISNUMBER(AB104),ISNUMBER(AB112)),IFERROR(AB104/AB112,""),"")</f>
        <v>0.401365293615699</v>
      </c>
      <c r="AC115" s="23" t="n">
        <f aca="false">IF(AND(ISNUMBER(AC104),ISNUMBER(AC112)),IFERROR(AC104/AC112,""),"")</f>
        <v>1.87009345794392</v>
      </c>
      <c r="AD115" s="23" t="n">
        <f aca="false">IF(AND(ISNUMBER(AD104),ISNUMBER(AD112)),IFERROR(AD104/AD112,""),"")</f>
        <v>0.438450579492511</v>
      </c>
      <c r="AE115" s="23" t="n">
        <f aca="false">IF(AND(ISNUMBER(AE104),ISNUMBER(AE112)),IFERROR(AE104/AE112,""),"")</f>
        <v>0.677038461538462</v>
      </c>
      <c r="AF115" s="23" t="n">
        <f aca="false">IF(AND(ISNUMBER(AF104),ISNUMBER(AF112)),IFERROR(AF104/AF112,""),"")</f>
        <v>0.551717535327231</v>
      </c>
      <c r="AG115" s="23" t="n">
        <f aca="false">IF(AND(ISNUMBER(AG104),ISNUMBER(AG112)),IFERROR(AG104/AG112,""),"")</f>
        <v>1.82362824086448</v>
      </c>
      <c r="AH115" s="23" t="n">
        <f aca="false">IF(AND(ISNUMBER(AH104),ISNUMBER(AH112)),IFERROR(AH104/AH112,""),"")</f>
        <v>3.49444146285364</v>
      </c>
      <c r="AI115" s="23" t="n">
        <f aca="false">IF(AND(ISNUMBER(AI104),ISNUMBER(AI112)),IFERROR(AI104/AI112,""),"")</f>
        <v>0.802987684354571</v>
      </c>
      <c r="AJ115" s="23" t="n">
        <f aca="false">IF(AND(ISNUMBER(AJ104),ISNUMBER(AJ112)),IFERROR(AJ104/AJ112,""),"")</f>
        <v>1.14900963800562</v>
      </c>
      <c r="AK115" s="23" t="n">
        <f aca="false">IF(AND(ISNUMBER(AK104),ISNUMBER(AK112)),IFERROR(AK104/AK112,""),"")</f>
        <v>1.06985656826288</v>
      </c>
      <c r="AL115" s="23" t="n">
        <f aca="false">IF(AND(ISNUMBER(AL104),ISNUMBER(AL112)),IFERROR(AL104/AL112,""),"")</f>
        <v>0.965422800410819</v>
      </c>
      <c r="AM115" s="23" t="n">
        <f aca="false">IF(AND(ISNUMBER(AM104),ISNUMBER(AM112)),IFERROR(AM104/AM112,""),"")</f>
        <v>3.99303944315546</v>
      </c>
      <c r="AN115" s="23" t="n">
        <f aca="false">IF(AND(ISNUMBER(AN104),ISNUMBER(AN112)),IFERROR(AN104/AN112,""),"")</f>
        <v>0.845642428386904</v>
      </c>
      <c r="AO115" s="23" t="n">
        <f aca="false">IF(AND(ISNUMBER(AO104),ISNUMBER(AO112)),IFERROR(AO104/AO112,""),"")</f>
        <v>1.40396122093464</v>
      </c>
      <c r="AP115" s="23" t="n">
        <f aca="false">IF(AND(ISNUMBER(AP104),ISNUMBER(AP112)),IFERROR(AP104/AP112,""),"")</f>
        <v>1.24595616024187</v>
      </c>
      <c r="AQ115" s="23" t="n">
        <f aca="false">IF(AND(ISNUMBER(AQ104),ISNUMBER(AQ112)),IFERROR(AQ104/AQ112,""),"")</f>
        <v>0.808325156615594</v>
      </c>
      <c r="AR115" s="23" t="n">
        <f aca="false">IF(AND(ISNUMBER(AR104),ISNUMBER(AR112)),IFERROR(AR104/AR112,""),"")</f>
        <v>4.30183468885947</v>
      </c>
      <c r="AS115" s="23" t="n">
        <f aca="false">IF(AND(ISNUMBER(AS104),ISNUMBER(AS112)),IFERROR(AS104/AS112,""),"")</f>
        <v>1.06111278876642</v>
      </c>
      <c r="AT115" s="23" t="n">
        <f aca="false">IF(AND(ISNUMBER(AT104),ISNUMBER(AT112)),IFERROR(AT104/AT112,""),"")</f>
        <v>1.07094734464978</v>
      </c>
      <c r="AU115" s="23" t="n">
        <f aca="false">IF(AND(ISNUMBER(AU104),ISNUMBER(AU112)),IFERROR(AU104/AU112,""),"")</f>
        <v>1.56073642682698</v>
      </c>
      <c r="AV115" s="23" t="n">
        <f aca="false">IF(AND(ISNUMBER(AV104),ISNUMBER(AV112)),IFERROR(AV104/AV112,""),"")</f>
        <v>1.5096236821371</v>
      </c>
      <c r="AW115" s="23" t="n">
        <f aca="false">IF(AND(ISNUMBER(AW104),ISNUMBER(AW112)),IFERROR(AW104/AW112,""),"")</f>
        <v>5.20231648616126</v>
      </c>
      <c r="AX115" s="23" t="n">
        <f aca="false">IF(AND(ISNUMBER(AX104),ISNUMBER(AX112)),IFERROR(AX104/AX112,""),"")</f>
        <v>1.39818529488958</v>
      </c>
      <c r="AY115" s="23" t="n">
        <f aca="false">IF(AND(ISNUMBER(AY104),ISNUMBER(AY112)),IFERROR(AY104/AY112,""),"")</f>
        <v>2.33949970041941</v>
      </c>
      <c r="AZ115" s="23" t="n">
        <f aca="false">IF(AND(ISNUMBER(AZ104),ISNUMBER(AZ112)),IFERROR(AZ104/AZ112,""),"")</f>
        <v>2.98390296859207</v>
      </c>
      <c r="BA115" s="23" t="n">
        <f aca="false">IF(AND(ISNUMBER(BA104),ISNUMBER(BA112)),IFERROR(BA104/BA112,""),"")</f>
        <v>2.75907084611357</v>
      </c>
      <c r="BB115" s="23" t="n">
        <f aca="false">IF(AND(ISNUMBER(BB104),ISNUMBER(BB112)),IFERROR(BB104/BB112,""),"")</f>
        <v>9.48197101883402</v>
      </c>
      <c r="BC115" s="23" t="n">
        <f aca="false">IF(AND(ISNUMBER(BC104),ISNUMBER(BC112)),IFERROR(BC104/BC112,""),"")</f>
        <v>2.97802774653168</v>
      </c>
      <c r="BD115" s="23" t="n">
        <f aca="false">IF(AND(ISNUMBER(BD104),ISNUMBER(BD112)),IFERROR(BD104/BD112,""),"")</f>
        <v>4.09694355897243</v>
      </c>
      <c r="BE115" s="23" t="n">
        <f aca="false">IF(AND(ISNUMBER(BE104),ISNUMBER(BE112)),IFERROR(BE104/BE112,""),"")</f>
        <v>3.66962813015444</v>
      </c>
      <c r="BF115" s="23" t="n">
        <f aca="false">IF(AND(ISNUMBER(BF104),ISNUMBER(BF112)),IFERROR(BF104/BF112,""),"")</f>
        <v>2.65490240155858</v>
      </c>
      <c r="BG115" s="23" t="n">
        <f aca="false">IF(AND(ISNUMBER(BG104),ISNUMBER(BG112)),IFERROR(BG104/BG112,""),"")</f>
        <v>13.3996400989728</v>
      </c>
      <c r="BH115" s="23" t="n">
        <f aca="false">IF(AND(ISNUMBER(BH104),ISNUMBER(BH112)),IFERROR(BH104/BH112,""),"")</f>
        <v>2.84986143360048</v>
      </c>
      <c r="BI115" s="23" t="n">
        <f aca="false">IF(AND(ISNUMBER(BI104),ISNUMBER(BI112)),IFERROR(BI104/BI112,""),"")</f>
        <v>3.41558198683423</v>
      </c>
      <c r="BJ115" s="23" t="n">
        <f aca="false">IF(AND(ISNUMBER(BJ104),ISNUMBER(BJ112)),IFERROR(BJ104/BJ112,""),"")</f>
        <v>3.66753799619104</v>
      </c>
      <c r="BK115" s="23" t="n">
        <f aca="false">IF(AND(ISNUMBER(BK104),ISNUMBER(BK112)),IFERROR(BK104/BK112,""),"")</f>
        <v>3.33126750046668</v>
      </c>
      <c r="BL115" s="23" t="n">
        <f aca="false">IF(AND(ISNUMBER(BL104),ISNUMBER(BL112)),IFERROR(BL104/BL112,""),"")</f>
        <v>13.2592385009155</v>
      </c>
      <c r="BM115" s="23" t="n">
        <f aca="false">IF(AND(ISNUMBER(BM104),ISNUMBER(BM112)),IFERROR(BM104/BM112,""),"")</f>
        <v>3.38489960438904</v>
      </c>
      <c r="BN115" s="23" t="n">
        <f aca="false">IF(AND(ISNUMBER(BN104),ISNUMBER(BN112)),IFERROR(BN104/BN112,""),"")</f>
        <v>3.82505036937542</v>
      </c>
      <c r="BO115" s="23" t="n">
        <f aca="false">IF(AND(ISNUMBER(BO104),ISNUMBER(BO112)),IFERROR(BO104/BO112,""),"")</f>
        <v>3.46216730747695</v>
      </c>
      <c r="BP115" s="23" t="n">
        <f aca="false">IF(AND(ISNUMBER(BP104),ISNUMBER(BP112)),IFERROR(BP104/BP112,""),"")</f>
        <v>2.83849912349409</v>
      </c>
      <c r="BQ115" s="23" t="n">
        <f aca="false">IF(AND(ISNUMBER(BQ104),ISNUMBER(BQ112)),IFERROR(BQ104/BQ112,""),"")</f>
        <v>13.5088799343333</v>
      </c>
      <c r="BR115" s="23" t="n">
        <f aca="false">IF(AND(ISNUMBER(BR104),ISNUMBER(BR112)),IFERROR(BR104/BR112,""),"")</f>
        <v>1.85941466328207</v>
      </c>
      <c r="BS115" s="23" t="n">
        <f aca="false">IF(AND(ISNUMBER(BS104),ISNUMBER(BS112)),IFERROR(BS104/BS112,""),"")</f>
        <v>2.66533507560201</v>
      </c>
      <c r="BT115" s="23" t="n">
        <f aca="false">IF(AND(ISNUMBER(BT104),ISNUMBER(BT112)),IFERROR(BT104/BT112,""),"")</f>
        <v>3.22194848824188</v>
      </c>
      <c r="BU115" s="23" t="n">
        <f aca="false">IF(AND(ISNUMBER(BU104),ISNUMBER(BU112)),IFERROR(BU104/BU112,""),"")</f>
        <v>1.77342787833551</v>
      </c>
      <c r="BV115" s="23" t="n">
        <f aca="false">IF(AND(ISNUMBER(BV104),ISNUMBER(BV112)),IFERROR(BV104/BV112,""),"")</f>
        <v>9.52124244008065</v>
      </c>
      <c r="BW115" s="23" t="n">
        <f aca="false">IF(AND(ISNUMBER(BW104),ISNUMBER(BW112)),IFERROR(BW104/BW112,""),"")</f>
        <v>1.86029768344089</v>
      </c>
      <c r="BX115" s="23" t="n">
        <f aca="false">IF(AND(ISNUMBER(BX104),ISNUMBER(BX112)),IFERROR(BX104/BX112,""),"")</f>
        <v>3.51283866880334</v>
      </c>
      <c r="BY115" s="24" t="n">
        <f aca="false">IF(AND(ISNUMBER(BY104),ISNUMBER(BY112)),IFERROR(BY104/BY112,""),"")</f>
        <v>3.37939480684841</v>
      </c>
      <c r="BZ115" s="24" t="n">
        <f aca="false">IF(AND(ISNUMBER(BZ104),ISNUMBER(BZ112)),IFERROR(BZ104/BZ112,""),"")</f>
        <v>3.2100916621919</v>
      </c>
      <c r="CA115" s="25" t="n">
        <f aca="false">IF(AND(ISNUMBER(CA104),ISNUMBER(CA112)),IFERROR(CA104/CA112,""),"")</f>
        <v>11.9637183540066</v>
      </c>
      <c r="CB115" s="25" t="n">
        <f aca="false">IF(AND(ISNUMBER(CB104),ISNUMBER(CB112)),IFERROR(CB104/CB112,""),"")</f>
        <v>15.1521545145332</v>
      </c>
      <c r="CC115" s="25" t="n">
        <f aca="false">IF(AND(ISNUMBER(CC104),ISNUMBER(CC112)),IFERROR(CC104/CC112,""),"")</f>
        <v>16.6777398923002</v>
      </c>
      <c r="CD115" s="25" t="n">
        <f aca="false">IF(AND(ISNUMBER(CD104),ISNUMBER(CD112)),IFERROR(CD104/CD112,""),"")</f>
        <v>18.6139548599262</v>
      </c>
      <c r="CE115" s="25" t="n">
        <f aca="false">IF(AND(ISNUMBER(CE104),ISNUMBER(CE112)),IFERROR(CE104/CE112,""),"")</f>
        <v>21.783540959807</v>
      </c>
      <c r="CF115" s="21"/>
    </row>
    <row r="116" customFormat="false" ht="15" hidden="false" customHeight="true" outlineLevel="0" collapsed="false">
      <c r="B116" s="27" t="s">
        <v>274</v>
      </c>
      <c r="C116" s="28"/>
      <c r="D116" s="29" t="n">
        <f aca="false">IF(AND(ISNUMBER(D115),ISNUMBER(C115)),IFERROR(D115/C115-1,""),"")</f>
        <v>-0.30188636299549</v>
      </c>
      <c r="E116" s="29" t="n">
        <f aca="false">IF(AND(ISNUMBER(E115),ISNUMBER(D115)),IFERROR(E115/D115-1,""),"")</f>
        <v>-2.21489886808954</v>
      </c>
      <c r="F116" s="29" t="n">
        <f aca="false">IF(AND(ISNUMBER(F115),ISNUMBER(E115)),IFERROR(F115/E115-1,""),"")</f>
        <v>-0.544721900634958</v>
      </c>
      <c r="G116" s="29" t="n">
        <f aca="false">IF(AND(ISNUMBER(G115),ISNUMBER(F115)),IFERROR(G115/F115-1,""),"")</f>
        <v>-1.1803988994551</v>
      </c>
      <c r="H116" s="29" t="n">
        <f aca="false">IF(AND(ISNUMBER(H115),ISNUMBER(G115)),IFERROR(H115/G115-1,""),"")</f>
        <v>4.80388285546276</v>
      </c>
      <c r="I116" s="29" t="n">
        <f aca="false">IF(AND(ISNUMBER(I115),ISNUMBER(H115)),IFERROR(I115/H115-1,""),"")</f>
        <v>1.74857447004866</v>
      </c>
      <c r="J116" s="28"/>
      <c r="K116" s="28"/>
      <c r="L116" s="28"/>
      <c r="M116" s="28"/>
      <c r="N116" s="29" t="n">
        <f aca="false">IF(AND(ISNUMBER(N115),ISNUMBER(I115)),IFERROR(N115/I115-1,""),"")</f>
        <v>0.340211206078197</v>
      </c>
      <c r="O116" s="29" t="n">
        <f aca="false">IF(AND(ISNUMBER(O115),ISNUMBER(J115)),IFERROR(O115/J115-1,""),"")</f>
        <v>-0.0784990547526056</v>
      </c>
      <c r="P116" s="29" t="n">
        <f aca="false">IF(AND(ISNUMBER(P115),ISNUMBER(K115)),IFERROR(P115/K115-1,""),"")</f>
        <v>-0.00400738790426958</v>
      </c>
      <c r="Q116" s="29" t="n">
        <f aca="false">IF(AND(ISNUMBER(Q115),ISNUMBER(L115)),IFERROR(Q115/L115-1,""),"")</f>
        <v>0.249409532039114</v>
      </c>
      <c r="R116" s="29" t="n">
        <f aca="false">IF(AND(ISNUMBER(R115),ISNUMBER(M115)),IFERROR(R115/M115-1,""),"")</f>
        <v>0.664497636160865</v>
      </c>
      <c r="S116" s="29" t="n">
        <f aca="false">IF(AND(ISNUMBER(S115),ISNUMBER(N115)),IFERROR(S115/N115-1,""),"")</f>
        <v>0.179641255379084</v>
      </c>
      <c r="T116" s="29" t="n">
        <f aca="false">IF(AND(ISNUMBER(T115),ISNUMBER(O115)),IFERROR(T115/O115-1,""),"")</f>
        <v>0.461042747047018</v>
      </c>
      <c r="U116" s="29" t="n">
        <f aca="false">IF(AND(ISNUMBER(U115),ISNUMBER(P115)),IFERROR(U115/P115-1,""),"")</f>
        <v>0.412231716623315</v>
      </c>
      <c r="V116" s="29" t="n">
        <f aca="false">IF(AND(ISNUMBER(V115),ISNUMBER(Q115)),IFERROR(V115/Q115-1,""),"")</f>
        <v>-0.277923728802347</v>
      </c>
      <c r="W116" s="29" t="n">
        <f aca="false">IF(AND(ISNUMBER(W115),ISNUMBER(R115)),IFERROR(W115/R115-1,""),"")</f>
        <v>-0.158107344149213</v>
      </c>
      <c r="X116" s="29" t="n">
        <f aca="false">IF(AND(ISNUMBER(X115),ISNUMBER(S115)),IFERROR(X115/S115-1,""),"")</f>
        <v>0.0578507900819829</v>
      </c>
      <c r="Y116" s="29" t="n">
        <f aca="false">IF(AND(ISNUMBER(Y115),ISNUMBER(T115)),IFERROR(Y115/T115-1,""),"")</f>
        <v>-0.158805160253786</v>
      </c>
      <c r="Z116" s="29" t="n">
        <f aca="false">IF(AND(ISNUMBER(Z115),ISNUMBER(U115)),IFERROR(Z115/U115-1,""),"")</f>
        <v>-0.310875242059493</v>
      </c>
      <c r="AA116" s="29" t="n">
        <f aca="false">IF(AND(ISNUMBER(AA115),ISNUMBER(V115)),IFERROR(AA115/V115-1,""),"")</f>
        <v>0.169270416958662</v>
      </c>
      <c r="AB116" s="29" t="n">
        <f aca="false">IF(AND(ISNUMBER(AB115),ISNUMBER(W115)),IFERROR(AB115/W115-1,""),"")</f>
        <v>-0.101783456818405</v>
      </c>
      <c r="AC116" s="29" t="n">
        <f aca="false">IF(AND(ISNUMBER(AC115),ISNUMBER(X115)),IFERROR(AC115/X115-1,""),"")</f>
        <v>-0.134194589441439</v>
      </c>
      <c r="AD116" s="29" t="n">
        <f aca="false">IF(AND(ISNUMBER(AD115),ISNUMBER(Y115)),IFERROR(AD115/Y115-1,""),"")</f>
        <v>0.0549763588829257</v>
      </c>
      <c r="AE116" s="29" t="n">
        <f aca="false">IF(AND(ISNUMBER(AE115),ISNUMBER(Z115)),IFERROR(AE115/Z115-1,""),"")</f>
        <v>0.30475894248878</v>
      </c>
      <c r="AF116" s="29" t="n">
        <f aca="false">IF(AND(ISNUMBER(AF115),ISNUMBER(AA115)),IFERROR(AF115/AA115-1,""),"")</f>
        <v>0.023865797875458</v>
      </c>
      <c r="AG116" s="29" t="n">
        <f aca="false">IF(AND(ISNUMBER(AG115),ISNUMBER(AB115)),IFERROR(AG115/AB115-1,""),"")</f>
        <v>3.54356236045307</v>
      </c>
      <c r="AH116" s="29" t="n">
        <f aca="false">IF(AND(ISNUMBER(AH115),ISNUMBER(AC115)),IFERROR(AH115/AC115-1,""),"")</f>
        <v>0.868591886683358</v>
      </c>
      <c r="AI116" s="29" t="n">
        <f aca="false">IF(AND(ISNUMBER(AI115),ISNUMBER(AD115)),IFERROR(AI115/AD115-1,""),"")</f>
        <v>0.831421195255341</v>
      </c>
      <c r="AJ116" s="29" t="n">
        <f aca="false">IF(AND(ISNUMBER(AJ115),ISNUMBER(AE115)),IFERROR(AJ115/AE115-1,""),"")</f>
        <v>0.697111321260353</v>
      </c>
      <c r="AK116" s="29" t="n">
        <f aca="false">IF(AND(ISNUMBER(AK115),ISNUMBER(AF115)),IFERROR(AK115/AF115-1,""),"")</f>
        <v>0.939138236069177</v>
      </c>
      <c r="AL116" s="29" t="n">
        <f aca="false">IF(AND(ISNUMBER(AL115),ISNUMBER(AG115)),IFERROR(AL115/AG115-1,""),"")</f>
        <v>-0.470603284826756</v>
      </c>
      <c r="AM116" s="29" t="n">
        <f aca="false">IF(AND(ISNUMBER(AM115),ISNUMBER(AH115)),IFERROR(AM115/AH115-1,""),"")</f>
        <v>0.142683168569849</v>
      </c>
      <c r="AN116" s="29" t="n">
        <f aca="false">IF(AND(ISNUMBER(AN115),ISNUMBER(AI115)),IFERROR(AN115/AI115-1,""),"")</f>
        <v>0.0531200476214251</v>
      </c>
      <c r="AO116" s="29" t="n">
        <f aca="false">IF(AND(ISNUMBER(AO115),ISNUMBER(AJ115)),IFERROR(AO115/AJ115-1,""),"")</f>
        <v>0.22188811520463</v>
      </c>
      <c r="AP116" s="29" t="n">
        <f aca="false">IF(AND(ISNUMBER(AP115),ISNUMBER(AK115)),IFERROR(AP115/AK115-1,""),"")</f>
        <v>0.164601122433566</v>
      </c>
      <c r="AQ116" s="29" t="n">
        <f aca="false">IF(AND(ISNUMBER(AQ115),ISNUMBER(AL115)),IFERROR(AQ115/AL115-1,""),"")</f>
        <v>-0.162724190612004</v>
      </c>
      <c r="AR116" s="29" t="n">
        <f aca="false">IF(AND(ISNUMBER(AR115),ISNUMBER(AM115)),IFERROR(AR115/AM115-1,""),"")</f>
        <v>0.0773333822768321</v>
      </c>
      <c r="AS116" s="29" t="n">
        <f aca="false">IF(AND(ISNUMBER(AS115),ISNUMBER(AN115)),IFERROR(AS115/AN115-1,""),"")</f>
        <v>0.254800791855412</v>
      </c>
      <c r="AT116" s="29" t="n">
        <f aca="false">IF(AND(ISNUMBER(AT115),ISNUMBER(AO115)),IFERROR(AT115/AO115-1,""),"")</f>
        <v>-0.237195922023519</v>
      </c>
      <c r="AU116" s="29" t="n">
        <f aca="false">IF(AND(ISNUMBER(AU115),ISNUMBER(AP115)),IFERROR(AU115/AP115-1,""),"")</f>
        <v>0.25264152674842</v>
      </c>
      <c r="AV116" s="29" t="n">
        <f aca="false">IF(AND(ISNUMBER(AV115),ISNUMBER(AQ115)),IFERROR(AV115/AQ115-1,""),"")</f>
        <v>0.867594580945368</v>
      </c>
      <c r="AW116" s="29" t="n">
        <f aca="false">IF(AND(ISNUMBER(AW115),ISNUMBER(AR115)),IFERROR(AW115/AR115-1,""),"")</f>
        <v>0.209325058360281</v>
      </c>
      <c r="AX116" s="29" t="n">
        <f aca="false">IF(AND(ISNUMBER(AX115),ISNUMBER(AS115)),IFERROR(AX115/AS115-1,""),"")</f>
        <v>0.317659451183334</v>
      </c>
      <c r="AY116" s="29" t="n">
        <f aca="false">IF(AND(ISNUMBER(AY115),ISNUMBER(AT115)),IFERROR(AY115/AT115-1,""),"")</f>
        <v>1.18451421734882</v>
      </c>
      <c r="AZ116" s="29" t="n">
        <f aca="false">IF(AND(ISNUMBER(AZ115),ISNUMBER(AU115)),IFERROR(AZ115/AU115-1,""),"")</f>
        <v>0.911855786347238</v>
      </c>
      <c r="BA116" s="29" t="n">
        <f aca="false">IF(AND(ISNUMBER(BA115),ISNUMBER(AV115)),IFERROR(BA115/AV115-1,""),"")</f>
        <v>0.82765471869631</v>
      </c>
      <c r="BB116" s="29" t="n">
        <f aca="false">IF(AND(ISNUMBER(BB115),ISNUMBER(AW115)),IFERROR(BB115/AW115-1,""),"")</f>
        <v>0.822644017152189</v>
      </c>
      <c r="BC116" s="29" t="n">
        <f aca="false">IF(AND(ISNUMBER(BC115),ISNUMBER(AX115)),IFERROR(BC115/AX115-1,""),"")</f>
        <v>1.12992352116453</v>
      </c>
      <c r="BD116" s="29" t="n">
        <f aca="false">IF(AND(ISNUMBER(BD115),ISNUMBER(AY115)),IFERROR(BD115/AY115-1,""),"")</f>
        <v>0.751204994058325</v>
      </c>
      <c r="BE116" s="29" t="n">
        <f aca="false">IF(AND(ISNUMBER(BE115),ISNUMBER(AZ115)),IFERROR(BE115/AZ115-1,""),"")</f>
        <v>0.229808130083373</v>
      </c>
      <c r="BF116" s="29" t="n">
        <f aca="false">IF(AND(ISNUMBER(BF115),ISNUMBER(BA115)),IFERROR(BF115/BA115-1,""),"")</f>
        <v>-0.0377549002417681</v>
      </c>
      <c r="BG116" s="29" t="n">
        <f aca="false">IF(AND(ISNUMBER(BG115),ISNUMBER(BB115)),IFERROR(BG115/BB115-1,""),"")</f>
        <v>0.413170328443009</v>
      </c>
      <c r="BH116" s="29" t="n">
        <f aca="false">IF(AND(ISNUMBER(BH115),ISNUMBER(BC115)),IFERROR(BH115/BC115-1,""),"")</f>
        <v>-0.0430373132286872</v>
      </c>
      <c r="BI116" s="29" t="n">
        <f aca="false">IF(AND(ISNUMBER(BI115),ISNUMBER(BD115)),IFERROR(BI115/BD115-1,""),"")</f>
        <v>-0.166309728784524</v>
      </c>
      <c r="BJ116" s="29" t="n">
        <f aca="false">IF(AND(ISNUMBER(BJ115),ISNUMBER(BE115)),IFERROR(BJ115/BE115-1,""),"")</f>
        <v>-0.000569576504558467</v>
      </c>
      <c r="BK116" s="29" t="n">
        <f aca="false">IF(AND(ISNUMBER(BK115),ISNUMBER(BF115)),IFERROR(BK115/BF115-1,""),"")</f>
        <v>0.254760814751997</v>
      </c>
      <c r="BL116" s="29" t="n">
        <f aca="false">IF(AND(ISNUMBER(BL115),ISNUMBER(BG115)),IFERROR(BL115/BG115-1,""),"")</f>
        <v>-0.0104780126197613</v>
      </c>
      <c r="BM116" s="29" t="n">
        <f aca="false">IF(AND(ISNUMBER(BM115),ISNUMBER(BH115)),IFERROR(BM115/BH115-1,""),"")</f>
        <v>0.187741819472466</v>
      </c>
      <c r="BN116" s="29" t="n">
        <f aca="false">IF(AND(ISNUMBER(BN115),ISNUMBER(BI115)),IFERROR(BN115/BI115-1,""),"")</f>
        <v>0.119882463404346</v>
      </c>
      <c r="BO116" s="29" t="n">
        <f aca="false">IF(AND(ISNUMBER(BO115),ISNUMBER(BJ115)),IFERROR(BO115/BJ115-1,""),"")</f>
        <v>-0.0559968809941117</v>
      </c>
      <c r="BP116" s="29" t="n">
        <f aca="false">IF(AND(ISNUMBER(BP115),ISNUMBER(BK115)),IFERROR(BP115/BK115-1,""),"")</f>
        <v>-0.147922187846983</v>
      </c>
      <c r="BQ116" s="29" t="n">
        <f aca="false">IF(AND(ISNUMBER(BQ115),ISNUMBER(BL115)),IFERROR(BQ115/BL115-1,""),"")</f>
        <v>0.0188277353484936</v>
      </c>
      <c r="BR116" s="29" t="n">
        <f aca="false">IF(AND(ISNUMBER(BR115),ISNUMBER(BM115)),IFERROR(BR115/BM115-1,""),"")</f>
        <v>-0.450673614995536</v>
      </c>
      <c r="BS116" s="29" t="n">
        <f aca="false">IF(AND(ISNUMBER(BS115),ISNUMBER(BN115)),IFERROR(BS115/BN115-1,""),"")</f>
        <v>-0.303189548315092</v>
      </c>
      <c r="BT116" s="29" t="n">
        <f aca="false">IF(AND(ISNUMBER(BT115),ISNUMBER(BO115)),IFERROR(BT115/BO115-1,""),"")</f>
        <v>-0.0693839430336856</v>
      </c>
      <c r="BU116" s="29" t="n">
        <f aca="false">IF(AND(ISNUMBER(BU115),ISNUMBER(BP115)),IFERROR(BU115/BP115-1,""),"")</f>
        <v>-0.375223383492723</v>
      </c>
      <c r="BV116" s="29" t="n">
        <f aca="false">IF(AND(ISNUMBER(BV115),ISNUMBER(BQ115)),IFERROR(BV115/BQ115-1,""),"")</f>
        <v>-0.295186389518342</v>
      </c>
      <c r="BW116" s="29" t="n">
        <f aca="false">IF(AND(ISNUMBER(BW115),ISNUMBER(BR115)),IFERROR(BW115/BR115-1,""),"")</f>
        <v>0.000474891467866501</v>
      </c>
      <c r="BX116" s="29" t="n">
        <f aca="false">IF(AND(ISNUMBER(BX115),ISNUMBER(BS115)),IFERROR(BX115/BS115-1,""),"")</f>
        <v>0.317972626015852</v>
      </c>
      <c r="BY116" s="30" t="n">
        <f aca="false">IF(AND(ISNUMBER(BY115),ISNUMBER(BT115)),IFERROR(BY115/BT115-1,""),"")</f>
        <v>0.0488668019309166</v>
      </c>
      <c r="BZ116" s="30" t="n">
        <f aca="false">IF(AND(ISNUMBER(BZ115),ISNUMBER(BU115)),IFERROR(BZ115/BU115-1,""),"")</f>
        <v>0.810105559637868</v>
      </c>
      <c r="CA116" s="30" t="n">
        <f aca="false">IF(AND(ISNUMBER(CA115),ISNUMBER(BV115)),IFERROR(CA115/BV115-1,""),"")</f>
        <v>0.256529116793006</v>
      </c>
      <c r="CB116" s="30" t="n">
        <f aca="false">IF(AND(ISNUMBER(CB115),ISNUMBER(CA115)),IFERROR(CB115/CA115-1,""),"")</f>
        <v>0.266508794856303</v>
      </c>
      <c r="CC116" s="30" t="n">
        <f aca="false">IF(AND(ISNUMBER(CC115),ISNUMBER(CB115)),IFERROR(CC115/CB115-1,""),"")</f>
        <v>0.100684386257001</v>
      </c>
      <c r="CD116" s="30" t="n">
        <f aca="false">IF(AND(ISNUMBER(CD115),ISNUMBER(CC115)),IFERROR(CD115/CC115-1,""),"")</f>
        <v>0.116095764781646</v>
      </c>
      <c r="CE116" s="30" t="n">
        <f aca="false">IF(AND(ISNUMBER(CE115),ISNUMBER(CD115)),IFERROR(CE115/CD115-1,""),"")</f>
        <v>0.17028010026524</v>
      </c>
      <c r="CF116" s="21"/>
    </row>
    <row r="117" customFormat="false" ht="15" hidden="false" customHeight="true" outlineLevel="0" collapsed="false">
      <c r="B117" s="37" t="s">
        <v>275</v>
      </c>
      <c r="C117" s="45" t="n">
        <v>-0.926666666666667</v>
      </c>
      <c r="D117" s="45" t="n">
        <v>0.873333333333333</v>
      </c>
      <c r="E117" s="45" t="n">
        <v>-1.04</v>
      </c>
      <c r="F117" s="45" t="n">
        <v>-0.393333333333333</v>
      </c>
      <c r="G117" s="45" t="n">
        <v>0.08</v>
      </c>
      <c r="H117" s="45" t="n">
        <v>0.466666666666667</v>
      </c>
      <c r="I117" s="45" t="n">
        <v>1.29333333333333</v>
      </c>
      <c r="J117" s="45" t="n">
        <v>0.366666666666667</v>
      </c>
      <c r="K117" s="45" t="n">
        <v>0.54</v>
      </c>
      <c r="L117" s="45" t="n">
        <v>0.51</v>
      </c>
      <c r="M117" s="45" t="n">
        <v>0.32</v>
      </c>
      <c r="N117" s="45" t="n">
        <v>1.73</v>
      </c>
      <c r="O117" s="45" t="n">
        <v>0.34</v>
      </c>
      <c r="P117" s="45" t="n">
        <v>0.53</v>
      </c>
      <c r="Q117" s="45" t="n">
        <v>0.64</v>
      </c>
      <c r="R117" s="45" t="n">
        <v>0.53</v>
      </c>
      <c r="S117" s="45" t="n">
        <v>2.04</v>
      </c>
      <c r="T117" s="45" t="n">
        <v>0.49</v>
      </c>
      <c r="U117" s="45" t="n">
        <v>0.75</v>
      </c>
      <c r="V117" s="45" t="n">
        <v>0.46</v>
      </c>
      <c r="W117" s="45" t="n">
        <v>0.45</v>
      </c>
      <c r="X117" s="45" t="n">
        <v>2.16</v>
      </c>
      <c r="Y117" s="45" t="n">
        <v>0.42</v>
      </c>
      <c r="Z117" s="45" t="n">
        <v>0.52</v>
      </c>
      <c r="AA117" s="45" t="n">
        <v>0.54</v>
      </c>
      <c r="AB117" s="45" t="n">
        <v>0.4</v>
      </c>
      <c r="AC117" s="45" t="n">
        <v>1.87</v>
      </c>
      <c r="AD117" s="45" t="n">
        <v>0.44</v>
      </c>
      <c r="AE117" s="45" t="n">
        <v>0.68</v>
      </c>
      <c r="AF117" s="45" t="n">
        <v>0.55</v>
      </c>
      <c r="AG117" s="45" t="n">
        <v>1.82</v>
      </c>
      <c r="AH117" s="45" t="n">
        <v>3.49</v>
      </c>
      <c r="AI117" s="45" t="n">
        <v>0.8</v>
      </c>
      <c r="AJ117" s="45" t="n">
        <v>1.15</v>
      </c>
      <c r="AK117" s="45" t="n">
        <v>1.07</v>
      </c>
      <c r="AL117" s="45" t="n">
        <v>0.97</v>
      </c>
      <c r="AM117" s="45" t="n">
        <v>3.99</v>
      </c>
      <c r="AN117" s="45" t="n">
        <v>0.85</v>
      </c>
      <c r="AO117" s="45" t="n">
        <v>1.4</v>
      </c>
      <c r="AP117" s="45" t="n">
        <v>1.25</v>
      </c>
      <c r="AQ117" s="45" t="n">
        <v>0.81</v>
      </c>
      <c r="AR117" s="45" t="n">
        <v>4.3</v>
      </c>
      <c r="AS117" s="45" t="n">
        <v>1.06</v>
      </c>
      <c r="AT117" s="45" t="n">
        <v>1.07</v>
      </c>
      <c r="AU117" s="45" t="n">
        <v>1.56</v>
      </c>
      <c r="AV117" s="45" t="n">
        <v>1.51</v>
      </c>
      <c r="AW117" s="45" t="n">
        <v>5.2</v>
      </c>
      <c r="AX117" s="45" t="n">
        <v>1.4</v>
      </c>
      <c r="AY117" s="45" t="n">
        <v>2.34</v>
      </c>
      <c r="AZ117" s="45" t="n">
        <v>2.98</v>
      </c>
      <c r="BA117" s="45" t="n">
        <v>2.76</v>
      </c>
      <c r="BB117" s="45" t="n">
        <v>9.48</v>
      </c>
      <c r="BC117" s="45" t="n">
        <v>2.98</v>
      </c>
      <c r="BD117" s="45" t="n">
        <v>4.1</v>
      </c>
      <c r="BE117" s="45" t="n">
        <v>3.67</v>
      </c>
      <c r="BF117" s="45" t="n">
        <v>2.65</v>
      </c>
      <c r="BG117" s="45" t="n">
        <v>13.4</v>
      </c>
      <c r="BH117" s="45" t="n">
        <v>2.85</v>
      </c>
      <c r="BI117" s="45" t="n">
        <v>3.42</v>
      </c>
      <c r="BJ117" s="45" t="n">
        <v>3.67</v>
      </c>
      <c r="BK117" s="45" t="n">
        <v>3.33</v>
      </c>
      <c r="BL117" s="91" t="n">
        <v>13.26</v>
      </c>
      <c r="BM117" s="45" t="n">
        <v>3.38</v>
      </c>
      <c r="BN117" s="45" t="n">
        <v>3.83</v>
      </c>
      <c r="BO117" s="45" t="n">
        <v>3.46</v>
      </c>
      <c r="BP117" s="45" t="n">
        <v>2.84</v>
      </c>
      <c r="BQ117" s="45" t="n">
        <v>13.51</v>
      </c>
      <c r="BR117" s="91" t="n">
        <v>1.86</v>
      </c>
      <c r="BS117" s="91" t="n">
        <v>2.67</v>
      </c>
      <c r="BT117" s="45" t="n">
        <v>3.22</v>
      </c>
      <c r="BU117" s="45" t="n">
        <v>1.77</v>
      </c>
      <c r="BV117" s="45" t="n">
        <v>9.52</v>
      </c>
      <c r="BW117" s="45" t="n">
        <v>1.86</v>
      </c>
      <c r="BX117" s="45" t="n">
        <v>3.51</v>
      </c>
      <c r="BY117" s="47"/>
      <c r="BZ117" s="47"/>
      <c r="CA117" s="47"/>
      <c r="CB117" s="47"/>
      <c r="CC117" s="47"/>
      <c r="CD117" s="47"/>
      <c r="CE117" s="47"/>
      <c r="CF117" s="21"/>
    </row>
    <row r="118" customFormat="false" ht="15" hidden="false" customHeight="true" outlineLevel="0" collapsed="false">
      <c r="B118" s="22" t="s">
        <v>276</v>
      </c>
      <c r="C118" s="45" t="n">
        <v>0</v>
      </c>
      <c r="D118" s="45" t="n">
        <v>0</v>
      </c>
      <c r="E118" s="45" t="n">
        <v>0</v>
      </c>
      <c r="F118" s="45" t="n">
        <v>0</v>
      </c>
      <c r="G118" s="45" t="n">
        <v>0</v>
      </c>
      <c r="H118" s="45" t="n">
        <v>0</v>
      </c>
      <c r="I118" s="45" t="n">
        <v>0</v>
      </c>
      <c r="J118" s="45" t="n">
        <v>0</v>
      </c>
      <c r="K118" s="45" t="n">
        <v>0</v>
      </c>
      <c r="L118" s="45" t="n">
        <v>0</v>
      </c>
      <c r="M118" s="45" t="n">
        <v>0</v>
      </c>
      <c r="N118" s="45" t="n">
        <v>0</v>
      </c>
      <c r="O118" s="45" t="n">
        <v>0</v>
      </c>
      <c r="P118" s="45" t="n">
        <v>0</v>
      </c>
      <c r="Q118" s="45" t="n">
        <v>0</v>
      </c>
      <c r="R118" s="45" t="n">
        <v>0</v>
      </c>
      <c r="S118" s="45" t="n">
        <v>0</v>
      </c>
      <c r="T118" s="45" t="n">
        <v>0</v>
      </c>
      <c r="U118" s="45" t="n">
        <v>0</v>
      </c>
      <c r="V118" s="45" t="n">
        <v>0</v>
      </c>
      <c r="W118" s="45" t="n">
        <v>0</v>
      </c>
      <c r="X118" s="45" t="n">
        <v>0</v>
      </c>
      <c r="Y118" s="45" t="n">
        <v>0</v>
      </c>
      <c r="Z118" s="45" t="n">
        <v>0</v>
      </c>
      <c r="AA118" s="45" t="n">
        <v>0</v>
      </c>
      <c r="AB118" s="45" t="n">
        <v>0</v>
      </c>
      <c r="AC118" s="45" t="n">
        <v>0</v>
      </c>
      <c r="AD118" s="45" t="n">
        <v>0</v>
      </c>
      <c r="AE118" s="45" t="n">
        <v>0</v>
      </c>
      <c r="AF118" s="45" t="n">
        <v>0</v>
      </c>
      <c r="AG118" s="45" t="n">
        <v>0</v>
      </c>
      <c r="AH118" s="45" t="n">
        <v>0</v>
      </c>
      <c r="AI118" s="45" t="n">
        <v>0</v>
      </c>
      <c r="AJ118" s="45" t="n">
        <v>0</v>
      </c>
      <c r="AK118" s="45" t="n">
        <v>0</v>
      </c>
      <c r="AL118" s="45" t="n">
        <v>0</v>
      </c>
      <c r="AM118" s="45" t="n">
        <v>0</v>
      </c>
      <c r="AN118" s="45" t="n">
        <v>0</v>
      </c>
      <c r="AO118" s="45" t="n">
        <v>0</v>
      </c>
      <c r="AP118" s="45" t="n">
        <v>0</v>
      </c>
      <c r="AQ118" s="45" t="n">
        <v>0</v>
      </c>
      <c r="AR118" s="45" t="n">
        <v>0</v>
      </c>
      <c r="AS118" s="45" t="n">
        <v>0</v>
      </c>
      <c r="AT118" s="45" t="n">
        <v>0</v>
      </c>
      <c r="AU118" s="45" t="n">
        <v>0</v>
      </c>
      <c r="AV118" s="45" t="n">
        <v>0</v>
      </c>
      <c r="AW118" s="45" t="n">
        <v>0</v>
      </c>
      <c r="AX118" s="45" t="n">
        <v>0</v>
      </c>
      <c r="AY118" s="45" t="n">
        <v>0</v>
      </c>
      <c r="AZ118" s="45" t="n">
        <v>0</v>
      </c>
      <c r="BA118" s="45" t="n">
        <v>0</v>
      </c>
      <c r="BB118" s="45" t="n">
        <v>0</v>
      </c>
      <c r="BC118" s="45" t="n">
        <v>0</v>
      </c>
      <c r="BD118" s="45" t="n">
        <v>0</v>
      </c>
      <c r="BE118" s="45" t="n">
        <v>0</v>
      </c>
      <c r="BF118" s="45" t="n">
        <v>0</v>
      </c>
      <c r="BG118" s="45" t="n">
        <v>0</v>
      </c>
      <c r="BH118" s="45" t="n">
        <v>0</v>
      </c>
      <c r="BI118" s="45" t="n">
        <v>0</v>
      </c>
      <c r="BJ118" s="45" t="n">
        <v>0</v>
      </c>
      <c r="BK118" s="45" t="n">
        <v>0</v>
      </c>
      <c r="BL118" s="45" t="n">
        <v>0</v>
      </c>
      <c r="BM118" s="45" t="n">
        <v>0</v>
      </c>
      <c r="BN118" s="45" t="n">
        <v>0</v>
      </c>
      <c r="BO118" s="45" t="n">
        <v>0</v>
      </c>
      <c r="BP118" s="45" t="n">
        <v>0</v>
      </c>
      <c r="BQ118" s="45" t="n">
        <v>0</v>
      </c>
      <c r="BR118" s="45" t="n">
        <v>0</v>
      </c>
      <c r="BS118" s="45" t="n">
        <v>0</v>
      </c>
      <c r="BT118" s="45" t="n">
        <v>0</v>
      </c>
      <c r="BU118" s="45" t="n">
        <v>0</v>
      </c>
      <c r="BV118" s="45" t="n">
        <v>0</v>
      </c>
      <c r="BW118" s="45" t="n">
        <v>0</v>
      </c>
      <c r="BX118" s="45" t="n">
        <v>0</v>
      </c>
      <c r="BY118" s="92" t="n">
        <v>0</v>
      </c>
      <c r="BZ118" s="92" t="n">
        <v>0</v>
      </c>
      <c r="CA118" s="93" t="n">
        <v>0</v>
      </c>
      <c r="CB118" s="93" t="n">
        <v>0</v>
      </c>
      <c r="CC118" s="93" t="n">
        <v>0</v>
      </c>
      <c r="CD118" s="93" t="n">
        <v>0</v>
      </c>
      <c r="CE118" s="93" t="n">
        <v>0</v>
      </c>
      <c r="CF118" s="21" t="s">
        <v>277</v>
      </c>
    </row>
    <row r="119" customFormat="false" ht="15" hidden="false" customHeight="true" outlineLevel="0" collapsed="false"/>
    <row r="120" customFormat="false" ht="15" hidden="false" customHeight="true" outlineLevel="0" collapsed="false">
      <c r="B120" s="11" t="s">
        <v>278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 t="s">
        <v>279</v>
      </c>
    </row>
    <row r="121" customFormat="false" ht="15" hidden="false" customHeight="true" outlineLevel="0" collapsed="false">
      <c r="B121" s="17" t="s">
        <v>280</v>
      </c>
      <c r="C121" s="68" t="n">
        <f aca="false">C93</f>
        <v>49.9940000000003</v>
      </c>
      <c r="D121" s="68" t="n">
        <f aca="false">D93</f>
        <v>38.1679999999999</v>
      </c>
      <c r="E121" s="68" t="n">
        <f aca="false">E93</f>
        <v>-9.85099999999989</v>
      </c>
      <c r="F121" s="68" t="n">
        <f aca="false">F93</f>
        <v>-3.69299999999998</v>
      </c>
      <c r="G121" s="68" t="n">
        <f aca="false">G93</f>
        <v>12.1</v>
      </c>
      <c r="H121" s="68" t="n">
        <f aca="false">H93</f>
        <v>28.146</v>
      </c>
      <c r="I121" s="68" t="n">
        <f aca="false">I93</f>
        <v>58.7340000000002</v>
      </c>
      <c r="J121" s="68" t="n">
        <f aca="false">J93</f>
        <v>14.532</v>
      </c>
      <c r="K121" s="68" t="n">
        <f aca="false">K93</f>
        <v>23.259</v>
      </c>
      <c r="L121" s="68" t="n">
        <f aca="false">L93</f>
        <v>21.9349999999999</v>
      </c>
      <c r="M121" s="68" t="n">
        <f aca="false">M93</f>
        <v>14.692</v>
      </c>
      <c r="N121" s="68" t="n">
        <f aca="false">N93</f>
        <v>74.4179999999999</v>
      </c>
      <c r="O121" s="68" t="n">
        <f aca="false">O93</f>
        <v>15.2309999999999</v>
      </c>
      <c r="P121" s="68" t="n">
        <f aca="false">P93</f>
        <v>22.741</v>
      </c>
      <c r="Q121" s="68" t="n">
        <f aca="false">Q93</f>
        <v>27.1489999999999</v>
      </c>
      <c r="R121" s="68" t="n">
        <f aca="false">R93</f>
        <v>20.5720000000001</v>
      </c>
      <c r="S121" s="68" t="n">
        <f aca="false">S93</f>
        <v>85.693</v>
      </c>
      <c r="T121" s="68" t="n">
        <f aca="false">T93</f>
        <v>21.2329999999999</v>
      </c>
      <c r="U121" s="68" t="n">
        <f aca="false">U93</f>
        <v>31.281</v>
      </c>
      <c r="V121" s="68" t="n">
        <f aca="false">V93</f>
        <v>19.8450000000001</v>
      </c>
      <c r="W121" s="68" t="n">
        <f aca="false">W93</f>
        <v>17.616</v>
      </c>
      <c r="X121" s="68" t="n">
        <f aca="false">X93</f>
        <v>89.9749999999999</v>
      </c>
      <c r="Y121" s="68" t="n">
        <f aca="false">Y93</f>
        <v>17.584</v>
      </c>
      <c r="Z121" s="68" t="n">
        <f aca="false">Z93</f>
        <v>21.7209999999999</v>
      </c>
      <c r="AA121" s="68" t="n">
        <f aca="false">AA93</f>
        <v>22.644</v>
      </c>
      <c r="AB121" s="68" t="n">
        <f aca="false">AB93</f>
        <v>17.187</v>
      </c>
      <c r="AC121" s="68" t="n">
        <f aca="false">AC93</f>
        <v>79.136</v>
      </c>
      <c r="AD121" s="68" t="n">
        <f aca="false">AD93</f>
        <v>17.519</v>
      </c>
      <c r="AE121" s="68" t="n">
        <f aca="false">AE93</f>
        <v>29.718</v>
      </c>
      <c r="AF121" s="68" t="n">
        <f aca="false">AF93</f>
        <v>24.602</v>
      </c>
      <c r="AG121" s="68" t="n">
        <f aca="false">AG93</f>
        <v>22.898</v>
      </c>
      <c r="AH121" s="68" t="n">
        <f aca="false">AH93</f>
        <v>94.7370000000001</v>
      </c>
      <c r="AI121" s="68" t="n">
        <f aca="false">AI93</f>
        <v>27.5790000000001</v>
      </c>
      <c r="AJ121" s="68" t="n">
        <f aca="false">AJ93</f>
        <v>41.565</v>
      </c>
      <c r="AK121" s="68" t="n">
        <f aca="false">AK93</f>
        <v>38.6969999999999</v>
      </c>
      <c r="AL121" s="68" t="n">
        <f aca="false">AL93</f>
        <v>33.336</v>
      </c>
      <c r="AM121" s="68" t="n">
        <f aca="false">AM93</f>
        <v>141.177</v>
      </c>
      <c r="AN121" s="68" t="n">
        <f aca="false">AN93</f>
        <v>28.6310000000001</v>
      </c>
      <c r="AO121" s="68" t="n">
        <f aca="false">AO93</f>
        <v>51.166</v>
      </c>
      <c r="AP121" s="68" t="n">
        <f aca="false">AP93</f>
        <v>45.359</v>
      </c>
      <c r="AQ121" s="68" t="n">
        <f aca="false">AQ93</f>
        <v>27.43</v>
      </c>
      <c r="AR121" s="68" t="n">
        <f aca="false">AR93</f>
        <v>152.586</v>
      </c>
      <c r="AS121" s="68" t="n">
        <f aca="false">AS93</f>
        <v>38.776</v>
      </c>
      <c r="AT121" s="68" t="n">
        <f aca="false">AT93</f>
        <v>35.681</v>
      </c>
      <c r="AU121" s="68" t="n">
        <f aca="false">AU93</f>
        <v>55.2160000000001</v>
      </c>
      <c r="AV121" s="68" t="n">
        <f aca="false">AV93</f>
        <v>50.6480000000001</v>
      </c>
      <c r="AW121" s="68" t="n">
        <f aca="false">AW93</f>
        <v>180.321</v>
      </c>
      <c r="AX121" s="68" t="n">
        <f aca="false">AX93</f>
        <v>48.7139999999999</v>
      </c>
      <c r="AY121" s="68" t="n">
        <f aca="false">AY93</f>
        <v>82.925</v>
      </c>
      <c r="AZ121" s="68" t="n">
        <f aca="false">AZ93</f>
        <v>106.117</v>
      </c>
      <c r="BA121" s="68" t="n">
        <f aca="false">BA93</f>
        <v>97.3850000000001</v>
      </c>
      <c r="BB121" s="68" t="n">
        <f aca="false">BB93</f>
        <v>335.141</v>
      </c>
      <c r="BC121" s="68" t="n">
        <f aca="false">BC93</f>
        <v>103.449</v>
      </c>
      <c r="BD121" s="68" t="n">
        <f aca="false">BD93</f>
        <v>145.993</v>
      </c>
      <c r="BE121" s="68" t="n">
        <f aca="false">BE93</f>
        <v>128.355</v>
      </c>
      <c r="BF121" s="68" t="n">
        <f aca="false">BF93</f>
        <v>92.691</v>
      </c>
      <c r="BG121" s="68" t="n">
        <f aca="false">BG93</f>
        <v>470.487999999999</v>
      </c>
      <c r="BH121" s="68" t="n">
        <f aca="false">BH93</f>
        <v>99.1429999999999</v>
      </c>
      <c r="BI121" s="68" t="n">
        <f aca="false">BI93</f>
        <v>120.255</v>
      </c>
      <c r="BJ121" s="68" t="n">
        <f aca="false">BJ93</f>
        <v>128.435</v>
      </c>
      <c r="BK121" s="68" t="n">
        <f aca="false">BK93</f>
        <v>112.663</v>
      </c>
      <c r="BL121" s="68" t="n">
        <f aca="false">BL93</f>
        <v>460.496000000001</v>
      </c>
      <c r="BM121" s="68" t="n">
        <f aca="false">BM93</f>
        <v>117.912</v>
      </c>
      <c r="BN121" s="68" t="n">
        <f aca="false">BN93</f>
        <v>137.593</v>
      </c>
      <c r="BO121" s="68" t="n">
        <f aca="false">BO93</f>
        <v>125.171</v>
      </c>
      <c r="BP121" s="68" t="n">
        <f aca="false">BP93</f>
        <v>101.484</v>
      </c>
      <c r="BQ121" s="68" t="n">
        <f aca="false">BQ93</f>
        <v>482.16</v>
      </c>
      <c r="BR121" s="68" t="n">
        <f aca="false">BR93</f>
        <v>70.1680000000001</v>
      </c>
      <c r="BS121" s="68" t="n">
        <f aca="false">BS93</f>
        <v>99.3989999999999</v>
      </c>
      <c r="BT121" s="68" t="n">
        <f aca="false">BT93</f>
        <v>118.61</v>
      </c>
      <c r="BU121" s="68" t="n">
        <f aca="false">BU93</f>
        <v>64.023</v>
      </c>
      <c r="BV121" s="68" t="n">
        <f aca="false">BV93</f>
        <v>352.2</v>
      </c>
      <c r="BW121" s="68" t="n">
        <f aca="false">BW93</f>
        <v>66.8059999999999</v>
      </c>
      <c r="BX121" s="68" t="n">
        <f aca="false">BX93</f>
        <v>125.212</v>
      </c>
      <c r="BY121" s="69" t="n">
        <f aca="false">BY93</f>
        <v>119.930429241276</v>
      </c>
      <c r="BZ121" s="69" t="n">
        <f aca="false">BZ93</f>
        <v>113.913328207411</v>
      </c>
      <c r="CA121" s="69" t="n">
        <f aca="false">CA93</f>
        <v>425.861757448687</v>
      </c>
      <c r="CB121" s="69" t="n">
        <f aca="false">CB93</f>
        <v>531.608432699796</v>
      </c>
      <c r="CC121" s="69" t="n">
        <f aca="false">CC93</f>
        <v>569.780806104527</v>
      </c>
      <c r="CD121" s="69" t="n">
        <f aca="false">CD93</f>
        <v>619.71060109905</v>
      </c>
      <c r="CE121" s="69" t="n">
        <f aca="false">CE93</f>
        <v>706.750919083235</v>
      </c>
      <c r="CF121" s="21"/>
    </row>
    <row r="122" customFormat="false" ht="15" hidden="false" customHeight="true" outlineLevel="0" collapsed="false">
      <c r="B122" s="22" t="s">
        <v>281</v>
      </c>
      <c r="C122" s="65" t="n">
        <f aca="false">N(C89)</f>
        <v>2.587</v>
      </c>
      <c r="D122" s="65" t="n">
        <f aca="false">N(D89)</f>
        <v>0</v>
      </c>
      <c r="E122" s="65" t="n">
        <f aca="false">N(E89)</f>
        <v>0</v>
      </c>
      <c r="F122" s="65" t="n">
        <f aca="false">N(F89)</f>
        <v>0</v>
      </c>
      <c r="G122" s="65" t="n">
        <f aca="false">N(G89)</f>
        <v>0</v>
      </c>
      <c r="H122" s="65" t="n">
        <f aca="false">N(H89)</f>
        <v>0</v>
      </c>
      <c r="I122" s="65" t="n">
        <f aca="false">N(I89)</f>
        <v>0</v>
      </c>
      <c r="J122" s="86"/>
      <c r="K122" s="86"/>
      <c r="L122" s="86"/>
      <c r="M122" s="86"/>
      <c r="N122" s="65" t="n">
        <f aca="false">N(N89)</f>
        <v>0</v>
      </c>
      <c r="O122" s="86"/>
      <c r="P122" s="86"/>
      <c r="Q122" s="86"/>
      <c r="R122" s="86"/>
      <c r="S122" s="65" t="n">
        <f aca="false">N(S89)</f>
        <v>0</v>
      </c>
      <c r="T122" s="86"/>
      <c r="U122" s="86"/>
      <c r="V122" s="86"/>
      <c r="W122" s="86"/>
      <c r="X122" s="65" t="n">
        <f aca="false">N(X89)</f>
        <v>0</v>
      </c>
      <c r="Y122" s="86"/>
      <c r="Z122" s="86"/>
      <c r="AA122" s="86"/>
      <c r="AB122" s="86"/>
      <c r="AC122" s="65" t="n">
        <f aca="false">N(AC89)</f>
        <v>0</v>
      </c>
      <c r="AD122" s="86"/>
      <c r="AE122" s="86"/>
      <c r="AF122" s="86"/>
      <c r="AG122" s="86"/>
      <c r="AH122" s="65" t="n">
        <f aca="false">N(AH89)</f>
        <v>0</v>
      </c>
      <c r="AI122" s="86"/>
      <c r="AJ122" s="86"/>
      <c r="AK122" s="86"/>
      <c r="AL122" s="86"/>
      <c r="AM122" s="65" t="n">
        <f aca="false">N(AM89)</f>
        <v>0</v>
      </c>
      <c r="AN122" s="86"/>
      <c r="AO122" s="86"/>
      <c r="AP122" s="86"/>
      <c r="AQ122" s="86"/>
      <c r="AR122" s="65" t="n">
        <f aca="false">N(AR89)</f>
        <v>0</v>
      </c>
      <c r="AS122" s="86"/>
      <c r="AT122" s="86"/>
      <c r="AU122" s="86"/>
      <c r="AV122" s="86"/>
      <c r="AW122" s="65" t="n">
        <f aca="false">N(AW89)</f>
        <v>0</v>
      </c>
      <c r="AX122" s="86"/>
      <c r="AY122" s="86"/>
      <c r="AZ122" s="86"/>
      <c r="BA122" s="86"/>
      <c r="BB122" s="65" t="n">
        <f aca="false">N(BB89)</f>
        <v>0</v>
      </c>
      <c r="BC122" s="86"/>
      <c r="BD122" s="86"/>
      <c r="BE122" s="86"/>
      <c r="BF122" s="86"/>
      <c r="BG122" s="65" t="n">
        <f aca="false">N(BG89)</f>
        <v>0</v>
      </c>
      <c r="BH122" s="86"/>
      <c r="BI122" s="86"/>
      <c r="BJ122" s="86"/>
      <c r="BK122" s="86"/>
      <c r="BL122" s="65" t="n">
        <f aca="false">N(BL89)</f>
        <v>0</v>
      </c>
      <c r="BM122" s="86"/>
      <c r="BN122" s="86"/>
      <c r="BO122" s="86"/>
      <c r="BP122" s="86"/>
      <c r="BQ122" s="65" t="n">
        <f aca="false">N(BQ89)</f>
        <v>0</v>
      </c>
      <c r="BR122" s="86"/>
      <c r="BS122" s="86"/>
      <c r="BT122" s="86"/>
      <c r="BU122" s="86"/>
      <c r="BV122" s="65" t="n">
        <f aca="false">N(BV89)</f>
        <v>0</v>
      </c>
      <c r="BW122" s="86"/>
      <c r="BX122" s="86"/>
      <c r="BY122" s="87"/>
      <c r="BZ122" s="87"/>
      <c r="CA122" s="88"/>
      <c r="CB122" s="88"/>
      <c r="CC122" s="88"/>
      <c r="CD122" s="88"/>
      <c r="CE122" s="88"/>
      <c r="CF122" s="21"/>
    </row>
    <row r="123" customFormat="false" ht="15" hidden="false" customHeight="true" outlineLevel="0" collapsed="false">
      <c r="B123" s="22" t="s">
        <v>282</v>
      </c>
      <c r="C123" s="65" t="n">
        <f aca="false">N(C90)</f>
        <v>1.49</v>
      </c>
      <c r="D123" s="65" t="n">
        <f aca="false">N(D90)</f>
        <v>2.427</v>
      </c>
      <c r="E123" s="65" t="n">
        <f aca="false">N(E90)</f>
        <v>0</v>
      </c>
      <c r="F123" s="65" t="n">
        <f aca="false">N(F90)</f>
        <v>0</v>
      </c>
      <c r="G123" s="65" t="n">
        <f aca="false">N(G90)</f>
        <v>0</v>
      </c>
      <c r="H123" s="65" t="n">
        <f aca="false">N(H90)</f>
        <v>0</v>
      </c>
      <c r="I123" s="65" t="n">
        <f aca="false">N(I90)</f>
        <v>0</v>
      </c>
      <c r="J123" s="86"/>
      <c r="K123" s="86"/>
      <c r="L123" s="86"/>
      <c r="M123" s="86"/>
      <c r="N123" s="65" t="n">
        <f aca="false">N(N90)</f>
        <v>0</v>
      </c>
      <c r="O123" s="86"/>
      <c r="P123" s="86"/>
      <c r="Q123" s="86"/>
      <c r="R123" s="86"/>
      <c r="S123" s="65" t="n">
        <f aca="false">N(S90)</f>
        <v>0</v>
      </c>
      <c r="T123" s="86"/>
      <c r="U123" s="86"/>
      <c r="V123" s="86"/>
      <c r="W123" s="86"/>
      <c r="X123" s="65" t="n">
        <f aca="false">N(X90)</f>
        <v>0</v>
      </c>
      <c r="Y123" s="86"/>
      <c r="Z123" s="86"/>
      <c r="AA123" s="86"/>
      <c r="AB123" s="86"/>
      <c r="AC123" s="65" t="n">
        <f aca="false">N(AC90)</f>
        <v>0</v>
      </c>
      <c r="AD123" s="86"/>
      <c r="AE123" s="86"/>
      <c r="AF123" s="86"/>
      <c r="AG123" s="86"/>
      <c r="AH123" s="65" t="n">
        <f aca="false">N(AH90)</f>
        <v>0</v>
      </c>
      <c r="AI123" s="86"/>
      <c r="AJ123" s="86"/>
      <c r="AK123" s="86"/>
      <c r="AL123" s="86"/>
      <c r="AM123" s="65" t="n">
        <f aca="false">N(AM90)</f>
        <v>0</v>
      </c>
      <c r="AN123" s="86"/>
      <c r="AO123" s="86"/>
      <c r="AP123" s="86"/>
      <c r="AQ123" s="86"/>
      <c r="AR123" s="65" t="n">
        <f aca="false">N(AR90)</f>
        <v>0</v>
      </c>
      <c r="AS123" s="86"/>
      <c r="AT123" s="86"/>
      <c r="AU123" s="86"/>
      <c r="AV123" s="86"/>
      <c r="AW123" s="65" t="n">
        <f aca="false">N(AW90)</f>
        <v>0</v>
      </c>
      <c r="AX123" s="86"/>
      <c r="AY123" s="86"/>
      <c r="AZ123" s="86"/>
      <c r="BA123" s="86"/>
      <c r="BB123" s="65" t="n">
        <f aca="false">N(BB90)</f>
        <v>0</v>
      </c>
      <c r="BC123" s="86"/>
      <c r="BD123" s="86"/>
      <c r="BE123" s="86"/>
      <c r="BF123" s="86"/>
      <c r="BG123" s="65" t="n">
        <f aca="false">N(BG90)</f>
        <v>0</v>
      </c>
      <c r="BH123" s="86"/>
      <c r="BI123" s="86"/>
      <c r="BJ123" s="86"/>
      <c r="BK123" s="86"/>
      <c r="BL123" s="65" t="n">
        <f aca="false">N(BL90)</f>
        <v>0</v>
      </c>
      <c r="BM123" s="86"/>
      <c r="BN123" s="86"/>
      <c r="BO123" s="86"/>
      <c r="BP123" s="86"/>
      <c r="BQ123" s="65" t="n">
        <f aca="false">N(BQ90)</f>
        <v>0</v>
      </c>
      <c r="BR123" s="86"/>
      <c r="BS123" s="86"/>
      <c r="BT123" s="86"/>
      <c r="BU123" s="86"/>
      <c r="BV123" s="65" t="n">
        <f aca="false">N(BV90)</f>
        <v>0</v>
      </c>
      <c r="BW123" s="86"/>
      <c r="BX123" s="86"/>
      <c r="BY123" s="87"/>
      <c r="BZ123" s="87"/>
      <c r="CA123" s="88"/>
      <c r="CB123" s="88"/>
      <c r="CC123" s="88"/>
      <c r="CD123" s="88"/>
      <c r="CE123" s="88"/>
      <c r="CF123" s="21"/>
    </row>
    <row r="124" customFormat="false" ht="15" hidden="false" customHeight="true" outlineLevel="0" collapsed="false">
      <c r="B124" s="22" t="s">
        <v>283</v>
      </c>
      <c r="C124" s="65" t="n">
        <f aca="false">N(C91)</f>
        <v>0</v>
      </c>
      <c r="D124" s="65" t="n">
        <f aca="false">N(D91)</f>
        <v>0</v>
      </c>
      <c r="E124" s="65" t="n">
        <f aca="false">N(E91)</f>
        <v>35.511</v>
      </c>
      <c r="F124" s="65" t="n">
        <f aca="false">N(F91)</f>
        <v>0</v>
      </c>
      <c r="G124" s="65" t="n">
        <f aca="false">N(G91)</f>
        <v>0</v>
      </c>
      <c r="H124" s="65" t="n">
        <f aca="false">N(H91)</f>
        <v>0</v>
      </c>
      <c r="I124" s="65" t="n">
        <f aca="false">N(I91)</f>
        <v>0</v>
      </c>
      <c r="J124" s="86"/>
      <c r="K124" s="86"/>
      <c r="L124" s="86"/>
      <c r="M124" s="86"/>
      <c r="N124" s="65" t="n">
        <f aca="false">N(N91)</f>
        <v>0</v>
      </c>
      <c r="O124" s="86"/>
      <c r="P124" s="86"/>
      <c r="Q124" s="86"/>
      <c r="R124" s="86"/>
      <c r="S124" s="65" t="n">
        <f aca="false">N(S91)</f>
        <v>0</v>
      </c>
      <c r="T124" s="86"/>
      <c r="U124" s="86"/>
      <c r="V124" s="86"/>
      <c r="W124" s="86"/>
      <c r="X124" s="65" t="n">
        <f aca="false">N(X91)</f>
        <v>0</v>
      </c>
      <c r="Y124" s="86"/>
      <c r="Z124" s="86"/>
      <c r="AA124" s="86"/>
      <c r="AB124" s="86"/>
      <c r="AC124" s="65" t="n">
        <f aca="false">N(AC91)</f>
        <v>0</v>
      </c>
      <c r="AD124" s="86"/>
      <c r="AE124" s="86"/>
      <c r="AF124" s="86"/>
      <c r="AG124" s="86"/>
      <c r="AH124" s="65" t="n">
        <f aca="false">N(AH91)</f>
        <v>0</v>
      </c>
      <c r="AI124" s="86"/>
      <c r="AJ124" s="86"/>
      <c r="AK124" s="86"/>
      <c r="AL124" s="86"/>
      <c r="AM124" s="65" t="n">
        <f aca="false">N(AM91)</f>
        <v>0</v>
      </c>
      <c r="AN124" s="86"/>
      <c r="AO124" s="86"/>
      <c r="AP124" s="86"/>
      <c r="AQ124" s="86"/>
      <c r="AR124" s="65" t="n">
        <f aca="false">N(AR91)</f>
        <v>0</v>
      </c>
      <c r="AS124" s="86"/>
      <c r="AT124" s="86"/>
      <c r="AU124" s="86"/>
      <c r="AV124" s="86"/>
      <c r="AW124" s="65" t="n">
        <f aca="false">N(AW91)</f>
        <v>0</v>
      </c>
      <c r="AX124" s="86"/>
      <c r="AY124" s="86"/>
      <c r="AZ124" s="86"/>
      <c r="BA124" s="86"/>
      <c r="BB124" s="65" t="n">
        <f aca="false">N(BB91)</f>
        <v>0</v>
      </c>
      <c r="BC124" s="86"/>
      <c r="BD124" s="86"/>
      <c r="BE124" s="86"/>
      <c r="BF124" s="86"/>
      <c r="BG124" s="65" t="n">
        <f aca="false">N(BG91)</f>
        <v>0</v>
      </c>
      <c r="BH124" s="86"/>
      <c r="BI124" s="86"/>
      <c r="BJ124" s="86"/>
      <c r="BK124" s="86"/>
      <c r="BL124" s="65" t="n">
        <f aca="false">N(BL91)</f>
        <v>0</v>
      </c>
      <c r="BM124" s="86"/>
      <c r="BN124" s="86"/>
      <c r="BO124" s="86"/>
      <c r="BP124" s="86"/>
      <c r="BQ124" s="65" t="n">
        <f aca="false">N(BQ91)</f>
        <v>0</v>
      </c>
      <c r="BR124" s="86"/>
      <c r="BS124" s="86"/>
      <c r="BT124" s="86"/>
      <c r="BU124" s="86"/>
      <c r="BV124" s="65" t="n">
        <f aca="false">N(BV91)</f>
        <v>0</v>
      </c>
      <c r="BW124" s="86"/>
      <c r="BX124" s="86"/>
      <c r="BY124" s="87"/>
      <c r="BZ124" s="87"/>
      <c r="CA124" s="88"/>
      <c r="CB124" s="88"/>
      <c r="CC124" s="88"/>
      <c r="CD124" s="88"/>
      <c r="CE124" s="88"/>
      <c r="CF124" s="21"/>
    </row>
    <row r="125" customFormat="false" ht="15" hidden="false" customHeight="true" outlineLevel="0" collapsed="false">
      <c r="B125" s="22" t="s">
        <v>284</v>
      </c>
      <c r="C125" s="86"/>
      <c r="D125" s="86"/>
      <c r="E125" s="86"/>
      <c r="F125" s="83" t="n">
        <v>-12.3</v>
      </c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7"/>
      <c r="BZ125" s="87"/>
      <c r="CA125" s="88"/>
      <c r="CB125" s="88"/>
      <c r="CC125" s="88"/>
      <c r="CD125" s="88"/>
      <c r="CE125" s="88"/>
      <c r="CF125" s="21" t="s">
        <v>285</v>
      </c>
    </row>
    <row r="126" customFormat="false" ht="15" hidden="false" customHeight="true" outlineLevel="0" collapsed="false">
      <c r="B126" s="22" t="s">
        <v>286</v>
      </c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3" t="n">
        <v>-4.267</v>
      </c>
      <c r="BA126" s="86"/>
      <c r="BB126" s="83" t="n">
        <v>-4.267</v>
      </c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3" t="n">
        <v>-16.4</v>
      </c>
      <c r="BU126" s="86"/>
      <c r="BV126" s="83" t="n">
        <v>-16.4</v>
      </c>
      <c r="BW126" s="86"/>
      <c r="BX126" s="86"/>
      <c r="BY126" s="87"/>
      <c r="BZ126" s="87"/>
      <c r="CA126" s="88"/>
      <c r="CB126" s="88"/>
      <c r="CC126" s="88"/>
      <c r="CD126" s="88"/>
      <c r="CE126" s="88"/>
      <c r="CF126" s="21"/>
    </row>
    <row r="127" customFormat="false" ht="15" hidden="false" customHeight="true" outlineLevel="0" collapsed="false">
      <c r="B127" s="22" t="s">
        <v>287</v>
      </c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3" t="n">
        <v>1.897</v>
      </c>
      <c r="BU127" s="86"/>
      <c r="BV127" s="83" t="n">
        <v>1.897</v>
      </c>
      <c r="BW127" s="86"/>
      <c r="BX127" s="86"/>
      <c r="BY127" s="87"/>
      <c r="BZ127" s="87"/>
      <c r="CA127" s="88"/>
      <c r="CB127" s="88"/>
      <c r="CC127" s="88"/>
      <c r="CD127" s="88"/>
      <c r="CE127" s="88"/>
      <c r="CF127" s="21"/>
    </row>
    <row r="128" customFormat="false" ht="15" hidden="false" customHeight="true" outlineLevel="0" collapsed="false">
      <c r="B128" s="22" t="s">
        <v>288</v>
      </c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4" t="n">
        <v>0</v>
      </c>
      <c r="BZ128" s="84" t="n">
        <v>0</v>
      </c>
      <c r="CA128" s="67" t="n">
        <f aca="false">SUM(BW128,BX128,BY128,BZ128)</f>
        <v>0</v>
      </c>
      <c r="CB128" s="85" t="n">
        <v>0</v>
      </c>
      <c r="CC128" s="85" t="n">
        <v>0</v>
      </c>
      <c r="CD128" s="85" t="n">
        <v>0</v>
      </c>
      <c r="CE128" s="85" t="n">
        <v>0</v>
      </c>
      <c r="CF128" s="21"/>
    </row>
    <row r="129" customFormat="false" ht="15" hidden="false" customHeight="true" outlineLevel="0" collapsed="false">
      <c r="B129" s="22" t="s">
        <v>289</v>
      </c>
      <c r="C129" s="65" t="n">
        <f aca="false">N(C122)+N(C123)+N(C124)+N(C125)+N(C126)+N(C127)+N(C128)</f>
        <v>4.077</v>
      </c>
      <c r="D129" s="65" t="n">
        <f aca="false">N(D122)+N(D123)+N(D124)+N(D125)+N(D126)+N(D127)+N(D128)</f>
        <v>2.427</v>
      </c>
      <c r="E129" s="65" t="n">
        <f aca="false">N(E122)+N(E123)+N(E124)+N(E125)+N(E126)+N(E127)+N(E128)</f>
        <v>35.511</v>
      </c>
      <c r="F129" s="65" t="n">
        <f aca="false">N(F122)+N(F123)+N(F124)+N(F125)+N(F126)+N(F127)+N(F128)</f>
        <v>-12.3</v>
      </c>
      <c r="G129" s="65" t="n">
        <f aca="false">N(G122)+N(G123)+N(G124)+N(G125)+N(G126)+N(G127)+N(G128)</f>
        <v>0</v>
      </c>
      <c r="H129" s="65" t="n">
        <f aca="false">N(H122)+N(H123)+N(H124)+N(H125)+N(H126)+N(H127)+N(H128)</f>
        <v>0</v>
      </c>
      <c r="I129" s="65" t="n">
        <f aca="false">N(I122)+N(I123)+N(I124)+N(I125)+N(I126)+N(I127)+N(I128)</f>
        <v>0</v>
      </c>
      <c r="J129" s="65" t="n">
        <f aca="false">N(J122)+N(J123)+N(J124)+N(J125)+N(J126)+N(J127)+N(J128)</f>
        <v>0</v>
      </c>
      <c r="K129" s="65" t="n">
        <f aca="false">N(K122)+N(K123)+N(K124)+N(K125)+N(K126)+N(K127)+N(K128)</f>
        <v>0</v>
      </c>
      <c r="L129" s="65" t="n">
        <f aca="false">N(L122)+N(L123)+N(L124)+N(L125)+N(L126)+N(L127)+N(L128)</f>
        <v>0</v>
      </c>
      <c r="M129" s="65" t="n">
        <f aca="false">N(M122)+N(M123)+N(M124)+N(M125)+N(M126)+N(M127)+N(M128)</f>
        <v>0</v>
      </c>
      <c r="N129" s="65" t="n">
        <f aca="false">N(N122)+N(N123)+N(N124)+N(N125)+N(N126)+N(N127)+N(N128)</f>
        <v>0</v>
      </c>
      <c r="O129" s="65" t="n">
        <f aca="false">N(O122)+N(O123)+N(O124)+N(O125)+N(O126)+N(O127)+N(O128)</f>
        <v>0</v>
      </c>
      <c r="P129" s="65" t="n">
        <f aca="false">N(P122)+N(P123)+N(P124)+N(P125)+N(P126)+N(P127)+N(P128)</f>
        <v>0</v>
      </c>
      <c r="Q129" s="65" t="n">
        <f aca="false">N(Q122)+N(Q123)+N(Q124)+N(Q125)+N(Q126)+N(Q127)+N(Q128)</f>
        <v>0</v>
      </c>
      <c r="R129" s="65" t="n">
        <f aca="false">N(R122)+N(R123)+N(R124)+N(R125)+N(R126)+N(R127)+N(R128)</f>
        <v>0</v>
      </c>
      <c r="S129" s="65" t="n">
        <f aca="false">N(S122)+N(S123)+N(S124)+N(S125)+N(S126)+N(S127)+N(S128)</f>
        <v>0</v>
      </c>
      <c r="T129" s="65" t="n">
        <f aca="false">N(T122)+N(T123)+N(T124)+N(T125)+N(T126)+N(T127)+N(T128)</f>
        <v>0</v>
      </c>
      <c r="U129" s="65" t="n">
        <f aca="false">N(U122)+N(U123)+N(U124)+N(U125)+N(U126)+N(U127)+N(U128)</f>
        <v>0</v>
      </c>
      <c r="V129" s="65" t="n">
        <f aca="false">N(V122)+N(V123)+N(V124)+N(V125)+N(V126)+N(V127)+N(V128)</f>
        <v>0</v>
      </c>
      <c r="W129" s="65" t="n">
        <f aca="false">N(W122)+N(W123)+N(W124)+N(W125)+N(W126)+N(W127)+N(W128)</f>
        <v>0</v>
      </c>
      <c r="X129" s="65" t="n">
        <f aca="false">N(X122)+N(X123)+N(X124)+N(X125)+N(X126)+N(X127)+N(X128)</f>
        <v>0</v>
      </c>
      <c r="Y129" s="65" t="n">
        <f aca="false">N(Y122)+N(Y123)+N(Y124)+N(Y125)+N(Y126)+N(Y127)+N(Y128)</f>
        <v>0</v>
      </c>
      <c r="Z129" s="65" t="n">
        <f aca="false">N(Z122)+N(Z123)+N(Z124)+N(Z125)+N(Z126)+N(Z127)+N(Z128)</f>
        <v>0</v>
      </c>
      <c r="AA129" s="65" t="n">
        <f aca="false">N(AA122)+N(AA123)+N(AA124)+N(AA125)+N(AA126)+N(AA127)+N(AA128)</f>
        <v>0</v>
      </c>
      <c r="AB129" s="65" t="n">
        <f aca="false">N(AB122)+N(AB123)+N(AB124)+N(AB125)+N(AB126)+N(AB127)+N(AB128)</f>
        <v>0</v>
      </c>
      <c r="AC129" s="65" t="n">
        <f aca="false">N(AC122)+N(AC123)+N(AC124)+N(AC125)+N(AC126)+N(AC127)+N(AC128)</f>
        <v>0</v>
      </c>
      <c r="AD129" s="65" t="n">
        <f aca="false">N(AD122)+N(AD123)+N(AD124)+N(AD125)+N(AD126)+N(AD127)+N(AD128)</f>
        <v>0</v>
      </c>
      <c r="AE129" s="65" t="n">
        <f aca="false">N(AE122)+N(AE123)+N(AE124)+N(AE125)+N(AE126)+N(AE127)+N(AE128)</f>
        <v>0</v>
      </c>
      <c r="AF129" s="65" t="n">
        <f aca="false">N(AF122)+N(AF123)+N(AF124)+N(AF125)+N(AF126)+N(AF127)+N(AF128)</f>
        <v>0</v>
      </c>
      <c r="AG129" s="65" t="n">
        <f aca="false">N(AG122)+N(AG123)+N(AG124)+N(AG125)+N(AG126)+N(AG127)+N(AG128)</f>
        <v>0</v>
      </c>
      <c r="AH129" s="65" t="n">
        <f aca="false">N(AH122)+N(AH123)+N(AH124)+N(AH125)+N(AH126)+N(AH127)+N(AH128)</f>
        <v>0</v>
      </c>
      <c r="AI129" s="65" t="n">
        <f aca="false">N(AI122)+N(AI123)+N(AI124)+N(AI125)+N(AI126)+N(AI127)+N(AI128)</f>
        <v>0</v>
      </c>
      <c r="AJ129" s="65" t="n">
        <f aca="false">N(AJ122)+N(AJ123)+N(AJ124)+N(AJ125)+N(AJ126)+N(AJ127)+N(AJ128)</f>
        <v>0</v>
      </c>
      <c r="AK129" s="65" t="n">
        <f aca="false">N(AK122)+N(AK123)+N(AK124)+N(AK125)+N(AK126)+N(AK127)+N(AK128)</f>
        <v>0</v>
      </c>
      <c r="AL129" s="65" t="n">
        <f aca="false">N(AL122)+N(AL123)+N(AL124)+N(AL125)+N(AL126)+N(AL127)+N(AL128)</f>
        <v>0</v>
      </c>
      <c r="AM129" s="65" t="n">
        <f aca="false">N(AM122)+N(AM123)+N(AM124)+N(AM125)+N(AM126)+N(AM127)+N(AM128)</f>
        <v>0</v>
      </c>
      <c r="AN129" s="65" t="n">
        <f aca="false">N(AN122)+N(AN123)+N(AN124)+N(AN125)+N(AN126)+N(AN127)+N(AN128)</f>
        <v>0</v>
      </c>
      <c r="AO129" s="65" t="n">
        <f aca="false">N(AO122)+N(AO123)+N(AO124)+N(AO125)+N(AO126)+N(AO127)+N(AO128)</f>
        <v>0</v>
      </c>
      <c r="AP129" s="65" t="n">
        <f aca="false">N(AP122)+N(AP123)+N(AP124)+N(AP125)+N(AP126)+N(AP127)+N(AP128)</f>
        <v>0</v>
      </c>
      <c r="AQ129" s="65" t="n">
        <f aca="false">N(AQ122)+N(AQ123)+N(AQ124)+N(AQ125)+N(AQ126)+N(AQ127)+N(AQ128)</f>
        <v>0</v>
      </c>
      <c r="AR129" s="65" t="n">
        <f aca="false">N(AR122)+N(AR123)+N(AR124)+N(AR125)+N(AR126)+N(AR127)+N(AR128)</f>
        <v>0</v>
      </c>
      <c r="AS129" s="65" t="n">
        <f aca="false">N(AS122)+N(AS123)+N(AS124)+N(AS125)+N(AS126)+N(AS127)+N(AS128)</f>
        <v>0</v>
      </c>
      <c r="AT129" s="65" t="n">
        <f aca="false">N(AT122)+N(AT123)+N(AT124)+N(AT125)+N(AT126)+N(AT127)+N(AT128)</f>
        <v>0</v>
      </c>
      <c r="AU129" s="65" t="n">
        <f aca="false">N(AU122)+N(AU123)+N(AU124)+N(AU125)+N(AU126)+N(AU127)+N(AU128)</f>
        <v>0</v>
      </c>
      <c r="AV129" s="65" t="n">
        <f aca="false">N(AV122)+N(AV123)+N(AV124)+N(AV125)+N(AV126)+N(AV127)+N(AV128)</f>
        <v>0</v>
      </c>
      <c r="AW129" s="65" t="n">
        <f aca="false">N(AW122)+N(AW123)+N(AW124)+N(AW125)+N(AW126)+N(AW127)+N(AW128)</f>
        <v>0</v>
      </c>
      <c r="AX129" s="65" t="n">
        <f aca="false">N(AX122)+N(AX123)+N(AX124)+N(AX125)+N(AX126)+N(AX127)+N(AX128)</f>
        <v>0</v>
      </c>
      <c r="AY129" s="65" t="n">
        <f aca="false">N(AY122)+N(AY123)+N(AY124)+N(AY125)+N(AY126)+N(AY127)+N(AY128)</f>
        <v>0</v>
      </c>
      <c r="AZ129" s="65" t="n">
        <f aca="false">N(AZ122)+N(AZ123)+N(AZ124)+N(AZ125)+N(AZ126)+N(AZ127)+N(AZ128)</f>
        <v>-4.267</v>
      </c>
      <c r="BA129" s="65" t="n">
        <f aca="false">N(BA122)+N(BA123)+N(BA124)+N(BA125)+N(BA126)+N(BA127)+N(BA128)</f>
        <v>0</v>
      </c>
      <c r="BB129" s="65" t="n">
        <f aca="false">N(BB122)+N(BB123)+N(BB124)+N(BB125)+N(BB126)+N(BB127)+N(BB128)</f>
        <v>-4.267</v>
      </c>
      <c r="BC129" s="65" t="n">
        <f aca="false">N(BC122)+N(BC123)+N(BC124)+N(BC125)+N(BC126)+N(BC127)+N(BC128)</f>
        <v>0</v>
      </c>
      <c r="BD129" s="65" t="n">
        <f aca="false">N(BD122)+N(BD123)+N(BD124)+N(BD125)+N(BD126)+N(BD127)+N(BD128)</f>
        <v>0</v>
      </c>
      <c r="BE129" s="65" t="n">
        <f aca="false">N(BE122)+N(BE123)+N(BE124)+N(BE125)+N(BE126)+N(BE127)+N(BE128)</f>
        <v>0</v>
      </c>
      <c r="BF129" s="65" t="n">
        <f aca="false">N(BF122)+N(BF123)+N(BF124)+N(BF125)+N(BF126)+N(BF127)+N(BF128)</f>
        <v>0</v>
      </c>
      <c r="BG129" s="65" t="n">
        <f aca="false">N(BG122)+N(BG123)+N(BG124)+N(BG125)+N(BG126)+N(BG127)+N(BG128)</f>
        <v>0</v>
      </c>
      <c r="BH129" s="65" t="n">
        <f aca="false">N(BH122)+N(BH123)+N(BH124)+N(BH125)+N(BH126)+N(BH127)+N(BH128)</f>
        <v>0</v>
      </c>
      <c r="BI129" s="65" t="n">
        <f aca="false">N(BI122)+N(BI123)+N(BI124)+N(BI125)+N(BI126)+N(BI127)+N(BI128)</f>
        <v>0</v>
      </c>
      <c r="BJ129" s="65" t="n">
        <f aca="false">N(BJ122)+N(BJ123)+N(BJ124)+N(BJ125)+N(BJ126)+N(BJ127)+N(BJ128)</f>
        <v>0</v>
      </c>
      <c r="BK129" s="65" t="n">
        <f aca="false">N(BK122)+N(BK123)+N(BK124)+N(BK125)+N(BK126)+N(BK127)+N(BK128)</f>
        <v>0</v>
      </c>
      <c r="BL129" s="65" t="n">
        <f aca="false">N(BL122)+N(BL123)+N(BL124)+N(BL125)+N(BL126)+N(BL127)+N(BL128)</f>
        <v>0</v>
      </c>
      <c r="BM129" s="65" t="n">
        <f aca="false">N(BM122)+N(BM123)+N(BM124)+N(BM125)+N(BM126)+N(BM127)+N(BM128)</f>
        <v>0</v>
      </c>
      <c r="BN129" s="65" t="n">
        <f aca="false">N(BN122)+N(BN123)+N(BN124)+N(BN125)+N(BN126)+N(BN127)+N(BN128)</f>
        <v>0</v>
      </c>
      <c r="BO129" s="65" t="n">
        <f aca="false">N(BO122)+N(BO123)+N(BO124)+N(BO125)+N(BO126)+N(BO127)+N(BO128)</f>
        <v>0</v>
      </c>
      <c r="BP129" s="65" t="n">
        <f aca="false">N(BP122)+N(BP123)+N(BP124)+N(BP125)+N(BP126)+N(BP127)+N(BP128)</f>
        <v>0</v>
      </c>
      <c r="BQ129" s="65" t="n">
        <f aca="false">N(BQ122)+N(BQ123)+N(BQ124)+N(BQ125)+N(BQ126)+N(BQ127)+N(BQ128)</f>
        <v>0</v>
      </c>
      <c r="BR129" s="65" t="n">
        <f aca="false">N(BR122)+N(BR123)+N(BR124)+N(BR125)+N(BR126)+N(BR127)+N(BR128)</f>
        <v>0</v>
      </c>
      <c r="BS129" s="65" t="n">
        <f aca="false">N(BS122)+N(BS123)+N(BS124)+N(BS125)+N(BS126)+N(BS127)+N(BS128)</f>
        <v>0</v>
      </c>
      <c r="BT129" s="65" t="n">
        <f aca="false">N(BT122)+N(BT123)+N(BT124)+N(BT125)+N(BT126)+N(BT127)+N(BT128)</f>
        <v>-14.503</v>
      </c>
      <c r="BU129" s="65" t="n">
        <f aca="false">N(BU122)+N(BU123)+N(BU124)+N(BU125)+N(BU126)+N(BU127)+N(BU128)</f>
        <v>0</v>
      </c>
      <c r="BV129" s="65" t="n">
        <f aca="false">N(BV122)+N(BV123)+N(BV124)+N(BV125)+N(BV126)+N(BV127)+N(BV128)</f>
        <v>-14.503</v>
      </c>
      <c r="BW129" s="65" t="n">
        <f aca="false">N(BW122)+N(BW123)+N(BW124)+N(BW125)+N(BW126)+N(BW127)+N(BW128)</f>
        <v>0</v>
      </c>
      <c r="BX129" s="65" t="n">
        <f aca="false">N(BX122)+N(BX123)+N(BX124)+N(BX125)+N(BX126)+N(BX127)+N(BX128)</f>
        <v>0</v>
      </c>
      <c r="BY129" s="66" t="n">
        <f aca="false">N(BY128)</f>
        <v>0</v>
      </c>
      <c r="BZ129" s="66" t="n">
        <f aca="false">N(BZ128)</f>
        <v>0</v>
      </c>
      <c r="CA129" s="67" t="n">
        <f aca="false">N(CA128)</f>
        <v>0</v>
      </c>
      <c r="CB129" s="67" t="n">
        <f aca="false">N(CB128)</f>
        <v>0</v>
      </c>
      <c r="CC129" s="67" t="n">
        <f aca="false">N(CC128)</f>
        <v>0</v>
      </c>
      <c r="CD129" s="67" t="n">
        <f aca="false">N(CD128)</f>
        <v>0</v>
      </c>
      <c r="CE129" s="67" t="n">
        <f aca="false">N(CE128)</f>
        <v>0</v>
      </c>
      <c r="CF129" s="21"/>
    </row>
    <row r="130" customFormat="false" ht="15" hidden="false" customHeight="true" outlineLevel="0" collapsed="false">
      <c r="B130" s="71" t="s">
        <v>290</v>
      </c>
      <c r="C130" s="72" t="n">
        <f aca="false">C121+C129</f>
        <v>54.0710000000003</v>
      </c>
      <c r="D130" s="72" t="n">
        <f aca="false">D121+D129</f>
        <v>40.5949999999999</v>
      </c>
      <c r="E130" s="72" t="n">
        <f aca="false">E121+E129</f>
        <v>25.6600000000001</v>
      </c>
      <c r="F130" s="72" t="n">
        <f aca="false">F121+F129</f>
        <v>-15.993</v>
      </c>
      <c r="G130" s="72" t="n">
        <f aca="false">G121+G129</f>
        <v>12.1</v>
      </c>
      <c r="H130" s="72" t="n">
        <f aca="false">H121+H129</f>
        <v>28.146</v>
      </c>
      <c r="I130" s="72" t="n">
        <f aca="false">I121+I129</f>
        <v>58.7340000000002</v>
      </c>
      <c r="J130" s="72" t="n">
        <f aca="false">J121+J129</f>
        <v>14.532</v>
      </c>
      <c r="K130" s="72" t="n">
        <f aca="false">K121+K129</f>
        <v>23.259</v>
      </c>
      <c r="L130" s="72" t="n">
        <f aca="false">L121+L129</f>
        <v>21.9349999999999</v>
      </c>
      <c r="M130" s="72" t="n">
        <f aca="false">M121+M129</f>
        <v>14.692</v>
      </c>
      <c r="N130" s="72" t="n">
        <f aca="false">N121+N129</f>
        <v>74.4179999999999</v>
      </c>
      <c r="O130" s="72" t="n">
        <f aca="false">O121+O129</f>
        <v>15.2309999999999</v>
      </c>
      <c r="P130" s="72" t="n">
        <f aca="false">P121+P129</f>
        <v>22.741</v>
      </c>
      <c r="Q130" s="72" t="n">
        <f aca="false">Q121+Q129</f>
        <v>27.1489999999999</v>
      </c>
      <c r="R130" s="72" t="n">
        <f aca="false">R121+R129</f>
        <v>20.5720000000001</v>
      </c>
      <c r="S130" s="72" t="n">
        <f aca="false">S121+S129</f>
        <v>85.693</v>
      </c>
      <c r="T130" s="72" t="n">
        <f aca="false">T121+T129</f>
        <v>21.2329999999999</v>
      </c>
      <c r="U130" s="72" t="n">
        <f aca="false">U121+U129</f>
        <v>31.281</v>
      </c>
      <c r="V130" s="72" t="n">
        <f aca="false">V121+V129</f>
        <v>19.8450000000001</v>
      </c>
      <c r="W130" s="72" t="n">
        <f aca="false">W121+W129</f>
        <v>17.616</v>
      </c>
      <c r="X130" s="72" t="n">
        <f aca="false">X121+X129</f>
        <v>89.9749999999999</v>
      </c>
      <c r="Y130" s="72" t="n">
        <f aca="false">Y121+Y129</f>
        <v>17.584</v>
      </c>
      <c r="Z130" s="72" t="n">
        <f aca="false">Z121+Z129</f>
        <v>21.7209999999999</v>
      </c>
      <c r="AA130" s="72" t="n">
        <f aca="false">AA121+AA129</f>
        <v>22.644</v>
      </c>
      <c r="AB130" s="72" t="n">
        <f aca="false">AB121+AB129</f>
        <v>17.187</v>
      </c>
      <c r="AC130" s="72" t="n">
        <f aca="false">AC121+AC129</f>
        <v>79.136</v>
      </c>
      <c r="AD130" s="72" t="n">
        <f aca="false">AD121+AD129</f>
        <v>17.519</v>
      </c>
      <c r="AE130" s="72" t="n">
        <f aca="false">AE121+AE129</f>
        <v>29.718</v>
      </c>
      <c r="AF130" s="72" t="n">
        <f aca="false">AF121+AF129</f>
        <v>24.602</v>
      </c>
      <c r="AG130" s="72" t="n">
        <f aca="false">AG121+AG129</f>
        <v>22.898</v>
      </c>
      <c r="AH130" s="72" t="n">
        <f aca="false">AH121+AH129</f>
        <v>94.7370000000001</v>
      </c>
      <c r="AI130" s="72" t="n">
        <f aca="false">AI121+AI129</f>
        <v>27.5790000000001</v>
      </c>
      <c r="AJ130" s="72" t="n">
        <f aca="false">AJ121+AJ129</f>
        <v>41.565</v>
      </c>
      <c r="AK130" s="72" t="n">
        <f aca="false">AK121+AK129</f>
        <v>38.6969999999999</v>
      </c>
      <c r="AL130" s="72" t="n">
        <f aca="false">AL121+AL129</f>
        <v>33.336</v>
      </c>
      <c r="AM130" s="72" t="n">
        <f aca="false">AM121+AM129</f>
        <v>141.177</v>
      </c>
      <c r="AN130" s="72" t="n">
        <f aca="false">AN121+AN129</f>
        <v>28.6310000000001</v>
      </c>
      <c r="AO130" s="72" t="n">
        <f aca="false">AO121+AO129</f>
        <v>51.166</v>
      </c>
      <c r="AP130" s="72" t="n">
        <f aca="false">AP121+AP129</f>
        <v>45.359</v>
      </c>
      <c r="AQ130" s="72" t="n">
        <f aca="false">AQ121+AQ129</f>
        <v>27.43</v>
      </c>
      <c r="AR130" s="72" t="n">
        <f aca="false">AR121+AR129</f>
        <v>152.586</v>
      </c>
      <c r="AS130" s="72" t="n">
        <f aca="false">AS121+AS129</f>
        <v>38.776</v>
      </c>
      <c r="AT130" s="72" t="n">
        <f aca="false">AT121+AT129</f>
        <v>35.681</v>
      </c>
      <c r="AU130" s="72" t="n">
        <f aca="false">AU121+AU129</f>
        <v>55.2160000000001</v>
      </c>
      <c r="AV130" s="72" t="n">
        <f aca="false">AV121+AV129</f>
        <v>50.6480000000001</v>
      </c>
      <c r="AW130" s="72" t="n">
        <f aca="false">AW121+AW129</f>
        <v>180.321</v>
      </c>
      <c r="AX130" s="72" t="n">
        <f aca="false">AX121+AX129</f>
        <v>48.7139999999999</v>
      </c>
      <c r="AY130" s="72" t="n">
        <f aca="false">AY121+AY129</f>
        <v>82.925</v>
      </c>
      <c r="AZ130" s="72" t="n">
        <f aca="false">AZ121+AZ129</f>
        <v>101.85</v>
      </c>
      <c r="BA130" s="72" t="n">
        <f aca="false">BA121+BA129</f>
        <v>97.3850000000001</v>
      </c>
      <c r="BB130" s="72" t="n">
        <f aca="false">BB121+BB129</f>
        <v>330.874</v>
      </c>
      <c r="BC130" s="72" t="n">
        <f aca="false">BC121+BC129</f>
        <v>103.449</v>
      </c>
      <c r="BD130" s="72" t="n">
        <f aca="false">BD121+BD129</f>
        <v>145.993</v>
      </c>
      <c r="BE130" s="72" t="n">
        <f aca="false">BE121+BE129</f>
        <v>128.355</v>
      </c>
      <c r="BF130" s="72" t="n">
        <f aca="false">BF121+BF129</f>
        <v>92.691</v>
      </c>
      <c r="BG130" s="72" t="n">
        <f aca="false">BG121+BG129</f>
        <v>470.487999999999</v>
      </c>
      <c r="BH130" s="72" t="n">
        <f aca="false">BH121+BH129</f>
        <v>99.1429999999999</v>
      </c>
      <c r="BI130" s="72" t="n">
        <f aca="false">BI121+BI129</f>
        <v>120.255</v>
      </c>
      <c r="BJ130" s="72" t="n">
        <f aca="false">BJ121+BJ129</f>
        <v>128.435</v>
      </c>
      <c r="BK130" s="72" t="n">
        <f aca="false">BK121+BK129</f>
        <v>112.663</v>
      </c>
      <c r="BL130" s="72" t="n">
        <f aca="false">BL121+BL129</f>
        <v>460.496000000001</v>
      </c>
      <c r="BM130" s="72" t="n">
        <f aca="false">BM121+BM129</f>
        <v>117.912</v>
      </c>
      <c r="BN130" s="72" t="n">
        <f aca="false">BN121+BN129</f>
        <v>137.593</v>
      </c>
      <c r="BO130" s="72" t="n">
        <f aca="false">BO121+BO129</f>
        <v>125.171</v>
      </c>
      <c r="BP130" s="72" t="n">
        <f aca="false">BP121+BP129</f>
        <v>101.484</v>
      </c>
      <c r="BQ130" s="72" t="n">
        <f aca="false">BQ121+BQ129</f>
        <v>482.16</v>
      </c>
      <c r="BR130" s="72" t="n">
        <f aca="false">BR121+BR129</f>
        <v>70.1680000000001</v>
      </c>
      <c r="BS130" s="72" t="n">
        <f aca="false">BS121+BS129</f>
        <v>99.3989999999999</v>
      </c>
      <c r="BT130" s="72" t="n">
        <f aca="false">BT121+BT129</f>
        <v>104.107</v>
      </c>
      <c r="BU130" s="72" t="n">
        <f aca="false">BU121+BU129</f>
        <v>64.023</v>
      </c>
      <c r="BV130" s="72" t="n">
        <f aca="false">BV121+BV129</f>
        <v>337.697</v>
      </c>
      <c r="BW130" s="72" t="n">
        <f aca="false">BW121+BW129</f>
        <v>66.8059999999999</v>
      </c>
      <c r="BX130" s="72" t="n">
        <f aca="false">BX121+BX129</f>
        <v>125.212</v>
      </c>
      <c r="BY130" s="72" t="n">
        <f aca="false">BY121+BY129</f>
        <v>119.930429241276</v>
      </c>
      <c r="BZ130" s="72" t="n">
        <f aca="false">BZ121+BZ129</f>
        <v>113.913328207411</v>
      </c>
      <c r="CA130" s="72" t="n">
        <f aca="false">CA121+CA129</f>
        <v>425.861757448687</v>
      </c>
      <c r="CB130" s="72" t="n">
        <f aca="false">CB121+CB129</f>
        <v>531.608432699796</v>
      </c>
      <c r="CC130" s="72" t="n">
        <f aca="false">CC121+CC129</f>
        <v>569.780806104527</v>
      </c>
      <c r="CD130" s="72" t="n">
        <f aca="false">CD121+CD129</f>
        <v>619.71060109905</v>
      </c>
      <c r="CE130" s="72" t="n">
        <f aca="false">CE121+CE129</f>
        <v>706.750919083235</v>
      </c>
      <c r="CF130" s="21"/>
      <c r="CH130" s="31" t="n">
        <f aca="false">IFERROR((CE130/BV130)^(1/5)-1,"n/m")</f>
        <v>0.159171876563317</v>
      </c>
      <c r="CI130" s="31" t="n">
        <f aca="false">IFERROR((BV130/AW130)^(1/5)-1,"n/m")</f>
        <v>0.133694863794631</v>
      </c>
      <c r="CJ130" s="31" t="n">
        <f aca="false">IFERROR((BV130/X130)^(1/10)-1,"n/m")</f>
        <v>0.141407008052895</v>
      </c>
      <c r="CK130" s="31" t="n">
        <f aca="false">IFERROR((BV130/C130)^(1/19)-1,"n/m")</f>
        <v>0.101214005876332</v>
      </c>
    </row>
    <row r="131" customFormat="false" ht="15" hidden="false" customHeight="true" outlineLevel="0" collapsed="false">
      <c r="B131" s="17" t="s">
        <v>291</v>
      </c>
      <c r="C131" s="94" t="n">
        <f aca="false">IFERROR(1-C130/C81,"")</f>
        <v>0.938186062569592</v>
      </c>
      <c r="D131" s="94" t="n">
        <f aca="false">IFERROR(1-D130/D81,"")</f>
        <v>0.958412003405309</v>
      </c>
      <c r="E131" s="94" t="n">
        <f aca="false">IFERROR(1-E130/E81,"")</f>
        <v>0.975097557212052</v>
      </c>
      <c r="F131" s="94" t="n">
        <f aca="false">IFERROR(1-F130/F81,"")</f>
        <v>1.01883432786781</v>
      </c>
      <c r="G131" s="94" t="n">
        <f aca="false">IFERROR(1-G130/G81,"")</f>
        <v>0.986595174262735</v>
      </c>
      <c r="H131" s="94" t="n">
        <f aca="false">IFERROR(1-H130/H81,"")</f>
        <v>0.972679727903835</v>
      </c>
      <c r="I131" s="94" t="n">
        <f aca="false">IFERROR(1-I130/I81,"")</f>
        <v>0.94654125545314</v>
      </c>
      <c r="J131" s="94" t="n">
        <f aca="false">IFERROR(1-J130/J81,"")</f>
        <v>0.946923793349038</v>
      </c>
      <c r="K131" s="94" t="n">
        <f aca="false">IFERROR(1-K130/K81,"")</f>
        <v>0.920497544068336</v>
      </c>
      <c r="L131" s="94" t="n">
        <f aca="false">IFERROR(1-L130/L81,"")</f>
        <v>0.925158741261127</v>
      </c>
      <c r="M131" s="94" t="n">
        <f aca="false">IFERROR(1-M130/M81,"")</f>
        <v>0.947463839373514</v>
      </c>
      <c r="N131" s="94" t="n">
        <f aca="false">IFERROR(1-N130/N81,"")</f>
        <v>0.934669131783681</v>
      </c>
      <c r="O131" s="94" t="n">
        <f aca="false">IFERROR(1-O130/O81,"")</f>
        <v>0.949184265839256</v>
      </c>
      <c r="P131" s="94" t="n">
        <f aca="false">IFERROR(1-P130/P81,"")</f>
        <v>0.931171099186136</v>
      </c>
      <c r="Q131" s="94" t="n">
        <f aca="false">IFERROR(1-Q130/Q81,"")</f>
        <v>0.918359675712086</v>
      </c>
      <c r="R131" s="94" t="n">
        <f aca="false">IFERROR(1-R130/R81,"")</f>
        <v>0.933563271844158</v>
      </c>
      <c r="S131" s="94" t="n">
        <f aca="false">IFERROR(1-S130/S81,"")</f>
        <v>0.932648286085037</v>
      </c>
      <c r="T131" s="94" t="n">
        <f aca="false">IFERROR(1-T130/T81,"")</f>
        <v>0.927537864051164</v>
      </c>
      <c r="U131" s="94" t="n">
        <f aca="false">IFERROR(1-U130/U81,"")</f>
        <v>0.903298503771485</v>
      </c>
      <c r="V131" s="94" t="n">
        <f aca="false">IFERROR(1-V130/V81,"")</f>
        <v>0.937436751061636</v>
      </c>
      <c r="W131" s="94" t="n">
        <f aca="false">IFERROR(1-W130/W81,"")</f>
        <v>0.938750391154689</v>
      </c>
      <c r="X131" s="94" t="n">
        <f aca="false">IFERROR(1-X130/X81,"")</f>
        <v>0.926329165953635</v>
      </c>
      <c r="Y131" s="94" t="n">
        <f aca="false">IFERROR(1-Y130/Y81,"")</f>
        <v>0.939346903015063</v>
      </c>
      <c r="Z131" s="94" t="n">
        <f aca="false">IFERROR(1-Z130/Z81,"")</f>
        <v>0.930360205831904</v>
      </c>
      <c r="AA131" s="94" t="n">
        <f aca="false">IFERROR(1-AA130/AA81,"")</f>
        <v>0.928441862963829</v>
      </c>
      <c r="AB131" s="94" t="n">
        <f aca="false">IFERROR(1-AB130/AB81,"")</f>
        <v>0.942752553934909</v>
      </c>
      <c r="AC131" s="94" t="n">
        <f aca="false">IFERROR(1-AC130/AC81,"")</f>
        <v>0.935053562591456</v>
      </c>
      <c r="AD131" s="94" t="n">
        <f aca="false">IFERROR(1-AD130/AD81,"")</f>
        <v>0.944741465507181</v>
      </c>
      <c r="AE131" s="94" t="n">
        <f aca="false">IFERROR(1-AE130/AE81,"")</f>
        <v>0.917025910207728</v>
      </c>
      <c r="AF131" s="94" t="n">
        <f aca="false">IFERROR(1-AF130/AF81,"")</f>
        <v>0.929721020847736</v>
      </c>
      <c r="AG131" s="94" t="n">
        <f aca="false">IFERROR(1-AG130/AG81,"")</f>
        <v>0.935179235161401</v>
      </c>
      <c r="AH131" s="94" t="n">
        <f aca="false">IFERROR(1-AH130/AH81,"")</f>
        <v>0.931275797781663</v>
      </c>
      <c r="AI131" s="94" t="n">
        <f aca="false">IFERROR(1-AI130/AI81,"")</f>
        <v>0.929789590254706</v>
      </c>
      <c r="AJ131" s="94" t="n">
        <f aca="false">IFERROR(1-AJ130/AJ81,"")</f>
        <v>0.903051323437485</v>
      </c>
      <c r="AK131" s="94" t="n">
        <f aca="false">IFERROR(1-AK130/AK81,"")</f>
        <v>0.909068478858545</v>
      </c>
      <c r="AL131" s="94" t="n">
        <f aca="false">IFERROR(1-AL130/AL81,"")</f>
        <v>0.918043023970498</v>
      </c>
      <c r="AM131" s="94" t="n">
        <f aca="false">IFERROR(1-AM130/AM81,"")</f>
        <v>0.914637309693932</v>
      </c>
      <c r="AN131" s="94" t="n">
        <f aca="false">IFERROR(1-AN130/AN81,"")</f>
        <v>0.930267618806383</v>
      </c>
      <c r="AO131" s="94" t="n">
        <f aca="false">IFERROR(1-AO130/AO81,"")</f>
        <v>0.889774771378408</v>
      </c>
      <c r="AP131" s="94" t="n">
        <f aca="false">IFERROR(1-AP130/AP81,"")</f>
        <v>0.903263231753222</v>
      </c>
      <c r="AQ131" s="94" t="n">
        <f aca="false">IFERROR(1-AQ130/AQ81,"")</f>
        <v>0.938090347917349</v>
      </c>
      <c r="AR131" s="94" t="n">
        <f aca="false">IFERROR(1-AR130/AR81,"")</f>
        <v>0.914600654266022</v>
      </c>
      <c r="AS131" s="94" t="n">
        <f aca="false">IFERROR(1-AS130/AS81,"")</f>
        <v>0.913135422360415</v>
      </c>
      <c r="AT131" s="94" t="n">
        <f aca="false">IFERROR(1-AT130/AT81,"")</f>
        <v>0.914662029972687</v>
      </c>
      <c r="AU131" s="94" t="n">
        <f aca="false">IFERROR(1-AU130/AU81,"")</f>
        <v>0.885295009701396</v>
      </c>
      <c r="AV131" s="94" t="n">
        <f aca="false">IFERROR(1-AV130/AV81,"")</f>
        <v>0.893704274243308</v>
      </c>
      <c r="AW131" s="94" t="n">
        <f aca="false">IFERROR(1-AW130/AW81,"")</f>
        <v>0.901051160963275</v>
      </c>
      <c r="AX131" s="94" t="n">
        <f aca="false">IFERROR(1-AX130/AX81,"")</f>
        <v>0.89936662576383</v>
      </c>
      <c r="AY131" s="94" t="n">
        <f aca="false">IFERROR(1-AY130/AY81,"")</f>
        <v>0.85485697482904</v>
      </c>
      <c r="AZ131" s="94" t="n">
        <f aca="false">IFERROR(1-AZ130/AZ81,"")</f>
        <v>0.834717047269139</v>
      </c>
      <c r="BA131" s="94" t="n">
        <f aca="false">IFERROR(1-BA130/BA81,"")</f>
        <v>0.842184413391435</v>
      </c>
      <c r="BB131" s="94" t="n">
        <f aca="false">IFERROR(1-BB130/BB81,"")</f>
        <v>0.855431720309835</v>
      </c>
      <c r="BC131" s="94" t="n">
        <f aca="false">IFERROR(1-BC130/BC81,"")</f>
        <v>0.843547343076998</v>
      </c>
      <c r="BD131" s="94" t="n">
        <f aca="false">IFERROR(1-BD130/BD81,"")</f>
        <v>0.804181856713263</v>
      </c>
      <c r="BE131" s="94" t="n">
        <f aca="false">IFERROR(1-BE130/BE81,"")</f>
        <v>0.824065431129131</v>
      </c>
      <c r="BF131" s="94" t="n">
        <f aca="false">IFERROR(1-BF130/BF81,"")</f>
        <v>0.858643701790077</v>
      </c>
      <c r="BG131" s="94" t="n">
        <f aca="false">IFERROR(1-BG130/BG81,"")</f>
        <v>0.831490546217359</v>
      </c>
      <c r="BH131" s="94" t="n">
        <f aca="false">IFERROR(1-BH130/BH81,"")</f>
        <v>0.849905001248988</v>
      </c>
      <c r="BI131" s="94" t="n">
        <f aca="false">IFERROR(1-BI130/BI81,"")</f>
        <v>0.826877064072258</v>
      </c>
      <c r="BJ131" s="94" t="n">
        <f aca="false">IFERROR(1-BJ130/BJ81,"")</f>
        <v>0.834308205959151</v>
      </c>
      <c r="BK131" s="94" t="n">
        <f aca="false">IFERROR(1-BK130/BK81,"")</f>
        <v>0.850009053002668</v>
      </c>
      <c r="BL131" s="94" t="n">
        <f aca="false">IFERROR(1-BL130/BL81,"")</f>
        <v>0.840185074579211</v>
      </c>
      <c r="BM131" s="94" t="n">
        <f aca="false">IFERROR(1-BM130/BM81,"")</f>
        <v>0.843778609519393</v>
      </c>
      <c r="BN131" s="94" t="n">
        <f aca="false">IFERROR(1-BN130/BN81,"")</f>
        <v>0.832864861450554</v>
      </c>
      <c r="BO131" s="94" t="n">
        <f aca="false">IFERROR(1-BO130/BO81,"")</f>
        <v>0.851359038027415</v>
      </c>
      <c r="BP131" s="94" t="n">
        <f aca="false">IFERROR(1-BP130/BP81,"")</f>
        <v>0.871368600371125</v>
      </c>
      <c r="BQ131" s="94" t="n">
        <f aca="false">IFERROR(1-BQ130/BQ81,"")</f>
        <v>0.849751049679752</v>
      </c>
      <c r="BR131" s="94" t="n">
        <f aca="false">IFERROR(1-BR130/BR81,"")</f>
        <v>0.910906262895597</v>
      </c>
      <c r="BS131" s="94" t="n">
        <f aca="false">IFERROR(1-BS130/BS81,"")</f>
        <v>0.878353720100598</v>
      </c>
      <c r="BT131" s="94" t="n">
        <f aca="false">IFERROR(1-BT130/BT81,"")</f>
        <v>0.876010547327201</v>
      </c>
      <c r="BU131" s="94" t="n">
        <f aca="false">IFERROR(1-BU130/BU81,"")</f>
        <v>0.918953303491858</v>
      </c>
      <c r="BV131" s="94" t="n">
        <f aca="false">IFERROR(1-BV130/BV81,"")</f>
        <v>0.895588392615866</v>
      </c>
      <c r="BW131" s="94" t="n">
        <f aca="false">IFERROR(1-BW130/BW81,"")</f>
        <v>0.917137378352968</v>
      </c>
      <c r="BX131" s="94" t="n">
        <f aca="false">IFERROR(1-BX130/BX81,"")</f>
        <v>0.869092749144271</v>
      </c>
      <c r="BY131" s="95" t="n">
        <f aca="false">IFERROR(1-BY130/BY81,"")</f>
        <v>0.879092749144271</v>
      </c>
      <c r="BZ131" s="95" t="n">
        <f aca="false">IFERROR(1-BZ130/BZ81,"")</f>
        <v>0.883879044046212</v>
      </c>
      <c r="CA131" s="95" t="n">
        <f aca="false">IFERROR(1-CA130/CA81,"")</f>
        <v>0.886</v>
      </c>
      <c r="CB131" s="95" t="n">
        <f aca="false">IFERROR(1-CB130/CB81,"")</f>
        <v>0.86967657594501</v>
      </c>
      <c r="CC131" s="95" t="n">
        <f aca="false">IFERROR(1-CC130/CC81,"")</f>
        <v>0.868482450391608</v>
      </c>
      <c r="CD131" s="95" t="n">
        <f aca="false">IFERROR(1-CD130/CD81,"")</f>
        <v>0.866416311919122</v>
      </c>
      <c r="CE131" s="95" t="n">
        <f aca="false">IFERROR(1-CE130/CE81,"")</f>
        <v>0.859144358513284</v>
      </c>
      <c r="CF131" s="21"/>
      <c r="CH131" s="64" t="n">
        <f aca="false">IFERROR(AVERAGE(CA131,CB131,CC131,CD131,CE131),"n/m")</f>
        <v>0.869943939353805</v>
      </c>
      <c r="CI131" s="64" t="n">
        <f aca="false">IFERROR(AVERAGE(BB131,BG131,BL131,BQ131,BV131),"n/m")</f>
        <v>0.854489356680405</v>
      </c>
      <c r="CJ131" s="64" t="n">
        <f aca="false">IFERROR(AVERAGE(AC131,AH131,AM131,AR131,AW131,BB131,BG131,BL131,BQ131,BV131),"n/m")</f>
        <v>0.886906526869837</v>
      </c>
      <c r="CK131" s="64" t="n">
        <f aca="false">IFERROR(AVERAGE(C131,D131,E131,F131,G131,H131,I131,N131,S131,X131,AC131,AH131,AM131,AR131,AW131,BB131,BG131,BL131,BQ131,BV131),"n/m")</f>
        <v>0.92295289805976</v>
      </c>
    </row>
    <row r="132" customFormat="false" ht="15" hidden="false" customHeight="true" outlineLevel="0" collapsed="false">
      <c r="B132" s="37" t="s">
        <v>292</v>
      </c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3" t="n">
        <v>101.85</v>
      </c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96"/>
      <c r="BM132" s="86"/>
      <c r="BN132" s="86"/>
      <c r="BO132" s="86"/>
      <c r="BP132" s="86"/>
      <c r="BQ132" s="86"/>
      <c r="BR132" s="96"/>
      <c r="BS132" s="96"/>
      <c r="BT132" s="83" t="n">
        <v>104.107</v>
      </c>
      <c r="BU132" s="86"/>
      <c r="BV132" s="83" t="n">
        <v>337.697</v>
      </c>
      <c r="BW132" s="86"/>
      <c r="BX132" s="86"/>
      <c r="BY132" s="87"/>
      <c r="BZ132" s="87"/>
      <c r="CA132" s="87"/>
      <c r="CB132" s="87"/>
      <c r="CC132" s="87"/>
      <c r="CD132" s="87"/>
      <c r="CE132" s="87"/>
      <c r="CF132" s="21"/>
    </row>
    <row r="133" customFormat="false" ht="15" hidden="false" customHeight="true" outlineLevel="0" collapsed="false">
      <c r="B133" s="74" t="s">
        <v>293</v>
      </c>
      <c r="C133" s="65" t="str">
        <f aca="false">IF(ISNUMBER(C132),ROUND(C130-C132,1),"")</f>
        <v/>
      </c>
      <c r="D133" s="65" t="str">
        <f aca="false">IF(ISNUMBER(D132),ROUND(D130-D132,1),"")</f>
        <v/>
      </c>
      <c r="E133" s="65" t="str">
        <f aca="false">IF(ISNUMBER(E132),ROUND(E130-E132,1),"")</f>
        <v/>
      </c>
      <c r="F133" s="65" t="str">
        <f aca="false">IF(ISNUMBER(F132),ROUND(F130-F132,1),"")</f>
        <v/>
      </c>
      <c r="G133" s="65" t="str">
        <f aca="false">IF(ISNUMBER(G132),ROUND(G130-G132,1),"")</f>
        <v/>
      </c>
      <c r="H133" s="65" t="str">
        <f aca="false">IF(ISNUMBER(H132),ROUND(H130-H132,1),"")</f>
        <v/>
      </c>
      <c r="I133" s="65" t="str">
        <f aca="false">IF(ISNUMBER(I132),ROUND(I130-I132,1),"")</f>
        <v/>
      </c>
      <c r="J133" s="65" t="str">
        <f aca="false">IF(ISNUMBER(J132),ROUND(J130-J132,1),"")</f>
        <v/>
      </c>
      <c r="K133" s="65" t="str">
        <f aca="false">IF(ISNUMBER(K132),ROUND(K130-K132,1),"")</f>
        <v/>
      </c>
      <c r="L133" s="65" t="str">
        <f aca="false">IF(ISNUMBER(L132),ROUND(L130-L132,1),"")</f>
        <v/>
      </c>
      <c r="M133" s="65" t="str">
        <f aca="false">IF(ISNUMBER(M132),ROUND(M130-M132,1),"")</f>
        <v/>
      </c>
      <c r="N133" s="65" t="str">
        <f aca="false">IF(ISNUMBER(N132),ROUND(N130-N132,1),"")</f>
        <v/>
      </c>
      <c r="O133" s="65" t="str">
        <f aca="false">IF(ISNUMBER(O132),ROUND(O130-O132,1),"")</f>
        <v/>
      </c>
      <c r="P133" s="65" t="str">
        <f aca="false">IF(ISNUMBER(P132),ROUND(P130-P132,1),"")</f>
        <v/>
      </c>
      <c r="Q133" s="65" t="str">
        <f aca="false">IF(ISNUMBER(Q132),ROUND(Q130-Q132,1),"")</f>
        <v/>
      </c>
      <c r="R133" s="65" t="str">
        <f aca="false">IF(ISNUMBER(R132),ROUND(R130-R132,1),"")</f>
        <v/>
      </c>
      <c r="S133" s="65" t="str">
        <f aca="false">IF(ISNUMBER(S132),ROUND(S130-S132,1),"")</f>
        <v/>
      </c>
      <c r="T133" s="65" t="str">
        <f aca="false">IF(ISNUMBER(T132),ROUND(T130-T132,1),"")</f>
        <v/>
      </c>
      <c r="U133" s="65" t="str">
        <f aca="false">IF(ISNUMBER(U132),ROUND(U130-U132,1),"")</f>
        <v/>
      </c>
      <c r="V133" s="65" t="str">
        <f aca="false">IF(ISNUMBER(V132),ROUND(V130-V132,1),"")</f>
        <v/>
      </c>
      <c r="W133" s="65" t="str">
        <f aca="false">IF(ISNUMBER(W132),ROUND(W130-W132,1),"")</f>
        <v/>
      </c>
      <c r="X133" s="65" t="str">
        <f aca="false">IF(ISNUMBER(X132),ROUND(X130-X132,1),"")</f>
        <v/>
      </c>
      <c r="Y133" s="65" t="str">
        <f aca="false">IF(ISNUMBER(Y132),ROUND(Y130-Y132,1),"")</f>
        <v/>
      </c>
      <c r="Z133" s="65" t="str">
        <f aca="false">IF(ISNUMBER(Z132),ROUND(Z130-Z132,1),"")</f>
        <v/>
      </c>
      <c r="AA133" s="65" t="str">
        <f aca="false">IF(ISNUMBER(AA132),ROUND(AA130-AA132,1),"")</f>
        <v/>
      </c>
      <c r="AB133" s="65" t="str">
        <f aca="false">IF(ISNUMBER(AB132),ROUND(AB130-AB132,1),"")</f>
        <v/>
      </c>
      <c r="AC133" s="65" t="str">
        <f aca="false">IF(ISNUMBER(AC132),ROUND(AC130-AC132,1),"")</f>
        <v/>
      </c>
      <c r="AD133" s="65" t="str">
        <f aca="false">IF(ISNUMBER(AD132),ROUND(AD130-AD132,1),"")</f>
        <v/>
      </c>
      <c r="AE133" s="65" t="str">
        <f aca="false">IF(ISNUMBER(AE132),ROUND(AE130-AE132,1),"")</f>
        <v/>
      </c>
      <c r="AF133" s="65" t="str">
        <f aca="false">IF(ISNUMBER(AF132),ROUND(AF130-AF132,1),"")</f>
        <v/>
      </c>
      <c r="AG133" s="65" t="str">
        <f aca="false">IF(ISNUMBER(AG132),ROUND(AG130-AG132,1),"")</f>
        <v/>
      </c>
      <c r="AH133" s="65" t="str">
        <f aca="false">IF(ISNUMBER(AH132),ROUND(AH130-AH132,1),"")</f>
        <v/>
      </c>
      <c r="AI133" s="65" t="str">
        <f aca="false">IF(ISNUMBER(AI132),ROUND(AI130-AI132,1),"")</f>
        <v/>
      </c>
      <c r="AJ133" s="65" t="str">
        <f aca="false">IF(ISNUMBER(AJ132),ROUND(AJ130-AJ132,1),"")</f>
        <v/>
      </c>
      <c r="AK133" s="65" t="str">
        <f aca="false">IF(ISNUMBER(AK132),ROUND(AK130-AK132,1),"")</f>
        <v/>
      </c>
      <c r="AL133" s="65" t="str">
        <f aca="false">IF(ISNUMBER(AL132),ROUND(AL130-AL132,1),"")</f>
        <v/>
      </c>
      <c r="AM133" s="65" t="str">
        <f aca="false">IF(ISNUMBER(AM132),ROUND(AM130-AM132,1),"")</f>
        <v/>
      </c>
      <c r="AN133" s="65" t="str">
        <f aca="false">IF(ISNUMBER(AN132),ROUND(AN130-AN132,1),"")</f>
        <v/>
      </c>
      <c r="AO133" s="65" t="str">
        <f aca="false">IF(ISNUMBER(AO132),ROUND(AO130-AO132,1),"")</f>
        <v/>
      </c>
      <c r="AP133" s="65" t="str">
        <f aca="false">IF(ISNUMBER(AP132),ROUND(AP130-AP132,1),"")</f>
        <v/>
      </c>
      <c r="AQ133" s="65" t="str">
        <f aca="false">IF(ISNUMBER(AQ132),ROUND(AQ130-AQ132,1),"")</f>
        <v/>
      </c>
      <c r="AR133" s="65" t="str">
        <f aca="false">IF(ISNUMBER(AR132),ROUND(AR130-AR132,1),"")</f>
        <v/>
      </c>
      <c r="AS133" s="65" t="str">
        <f aca="false">IF(ISNUMBER(AS132),ROUND(AS130-AS132,1),"")</f>
        <v/>
      </c>
      <c r="AT133" s="65" t="str">
        <f aca="false">IF(ISNUMBER(AT132),ROUND(AT130-AT132,1),"")</f>
        <v/>
      </c>
      <c r="AU133" s="65" t="str">
        <f aca="false">IF(ISNUMBER(AU132),ROUND(AU130-AU132,1),"")</f>
        <v/>
      </c>
      <c r="AV133" s="65" t="str">
        <f aca="false">IF(ISNUMBER(AV132),ROUND(AV130-AV132,1),"")</f>
        <v/>
      </c>
      <c r="AW133" s="65" t="str">
        <f aca="false">IF(ISNUMBER(AW132),ROUND(AW130-AW132,1),"")</f>
        <v/>
      </c>
      <c r="AX133" s="65" t="str">
        <f aca="false">IF(ISNUMBER(AX132),ROUND(AX130-AX132,1),"")</f>
        <v/>
      </c>
      <c r="AY133" s="65" t="str">
        <f aca="false">IF(ISNUMBER(AY132),ROUND(AY130-AY132,1),"")</f>
        <v/>
      </c>
      <c r="AZ133" s="65" t="n">
        <f aca="false">IF(ISNUMBER(AZ132),ROUND(AZ130-AZ132,1),"")</f>
        <v>0</v>
      </c>
      <c r="BA133" s="65" t="str">
        <f aca="false">IF(ISNUMBER(BA132),ROUND(BA130-BA132,1),"")</f>
        <v/>
      </c>
      <c r="BB133" s="65" t="str">
        <f aca="false">IF(ISNUMBER(BB132),ROUND(BB130-BB132,1),"")</f>
        <v/>
      </c>
      <c r="BC133" s="65" t="str">
        <f aca="false">IF(ISNUMBER(BC132),ROUND(BC130-BC132,1),"")</f>
        <v/>
      </c>
      <c r="BD133" s="65" t="str">
        <f aca="false">IF(ISNUMBER(BD132),ROUND(BD130-BD132,1),"")</f>
        <v/>
      </c>
      <c r="BE133" s="65" t="str">
        <f aca="false">IF(ISNUMBER(BE132),ROUND(BE130-BE132,1),"")</f>
        <v/>
      </c>
      <c r="BF133" s="65" t="str">
        <f aca="false">IF(ISNUMBER(BF132),ROUND(BF130-BF132,1),"")</f>
        <v/>
      </c>
      <c r="BG133" s="65" t="str">
        <f aca="false">IF(ISNUMBER(BG132),ROUND(BG130-BG132,1),"")</f>
        <v/>
      </c>
      <c r="BH133" s="65" t="str">
        <f aca="false">IF(ISNUMBER(BH132),ROUND(BH130-BH132,1),"")</f>
        <v/>
      </c>
      <c r="BI133" s="65" t="str">
        <f aca="false">IF(ISNUMBER(BI132),ROUND(BI130-BI132,1),"")</f>
        <v/>
      </c>
      <c r="BJ133" s="65" t="str">
        <f aca="false">IF(ISNUMBER(BJ132),ROUND(BJ130-BJ132,1),"")</f>
        <v/>
      </c>
      <c r="BK133" s="65" t="str">
        <f aca="false">IF(ISNUMBER(BK132),ROUND(BK130-BK132,1),"")</f>
        <v/>
      </c>
      <c r="BL133" s="65" t="str">
        <f aca="false">IF(ISNUMBER(BL132),ROUND(BL130-BL132,1),"")</f>
        <v/>
      </c>
      <c r="BM133" s="65" t="str">
        <f aca="false">IF(ISNUMBER(BM132),ROUND(BM130-BM132,1),"")</f>
        <v/>
      </c>
      <c r="BN133" s="65" t="str">
        <f aca="false">IF(ISNUMBER(BN132),ROUND(BN130-BN132,1),"")</f>
        <v/>
      </c>
      <c r="BO133" s="65" t="str">
        <f aca="false">IF(ISNUMBER(BO132),ROUND(BO130-BO132,1),"")</f>
        <v/>
      </c>
      <c r="BP133" s="65" t="str">
        <f aca="false">IF(ISNUMBER(BP132),ROUND(BP130-BP132,1),"")</f>
        <v/>
      </c>
      <c r="BQ133" s="65" t="str">
        <f aca="false">IF(ISNUMBER(BQ132),ROUND(BQ130-BQ132,1),"")</f>
        <v/>
      </c>
      <c r="BR133" s="65" t="str">
        <f aca="false">IF(ISNUMBER(BR132),ROUND(BR130-BR132,1),"")</f>
        <v/>
      </c>
      <c r="BS133" s="65" t="str">
        <f aca="false">IF(ISNUMBER(BS132),ROUND(BS130-BS132,1),"")</f>
        <v/>
      </c>
      <c r="BT133" s="65" t="n">
        <f aca="false">IF(ISNUMBER(BT132),ROUND(BT130-BT132,1),"")</f>
        <v>0</v>
      </c>
      <c r="BU133" s="65" t="str">
        <f aca="false">IF(ISNUMBER(BU132),ROUND(BU130-BU132,1),"")</f>
        <v/>
      </c>
      <c r="BV133" s="65" t="n">
        <f aca="false">IF(ISNUMBER(BV132),ROUND(BV130-BV132,1),"")</f>
        <v>0</v>
      </c>
      <c r="BW133" s="65" t="str">
        <f aca="false">IF(ISNUMBER(BW132),ROUND(BW130-BW132,1),"")</f>
        <v/>
      </c>
      <c r="BX133" s="65" t="str">
        <f aca="false">IF(ISNUMBER(BX132),ROUND(BX130-BX132,1),"")</f>
        <v/>
      </c>
      <c r="BY133" s="88"/>
      <c r="BZ133" s="88"/>
      <c r="CA133" s="88"/>
      <c r="CB133" s="88"/>
      <c r="CC133" s="88"/>
      <c r="CD133" s="88"/>
      <c r="CE133" s="88"/>
      <c r="CF133" s="21"/>
    </row>
    <row r="134" customFormat="false" ht="15" hidden="false" customHeight="true" outlineLevel="0" collapsed="false">
      <c r="B134" s="37" t="s">
        <v>294</v>
      </c>
      <c r="C134" s="38"/>
      <c r="D134" s="38"/>
      <c r="E134" s="39" t="n">
        <v>0.975</v>
      </c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9" t="n">
        <v>0.835</v>
      </c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28"/>
      <c r="BM134" s="38"/>
      <c r="BN134" s="38"/>
      <c r="BO134" s="38"/>
      <c r="BP134" s="38"/>
      <c r="BQ134" s="38"/>
      <c r="BR134" s="28"/>
      <c r="BS134" s="28"/>
      <c r="BT134" s="39" t="n">
        <v>0.876</v>
      </c>
      <c r="BU134" s="38"/>
      <c r="BV134" s="39" t="n">
        <v>0.896</v>
      </c>
      <c r="BW134" s="38"/>
      <c r="BX134" s="38"/>
      <c r="BY134" s="41"/>
      <c r="BZ134" s="41"/>
      <c r="CA134" s="41"/>
      <c r="CB134" s="41"/>
      <c r="CC134" s="41"/>
      <c r="CD134" s="41"/>
      <c r="CE134" s="41"/>
      <c r="CF134" s="21"/>
    </row>
    <row r="135" customFormat="false" ht="15" hidden="false" customHeight="true" outlineLevel="0" collapsed="false">
      <c r="B135" s="74" t="s">
        <v>295</v>
      </c>
      <c r="C135" s="97" t="str">
        <f aca="false">IF(ISNUMBER(C134),ROUND((C131-C134)*10000,0),"")</f>
        <v/>
      </c>
      <c r="D135" s="97" t="str">
        <f aca="false">IF(ISNUMBER(D134),ROUND((D131-D134)*10000,0),"")</f>
        <v/>
      </c>
      <c r="E135" s="97" t="n">
        <f aca="false">IF(ISNUMBER(E134),ROUND((E131-E134)*10000,0),"")</f>
        <v>1</v>
      </c>
      <c r="F135" s="97" t="str">
        <f aca="false">IF(ISNUMBER(F134),ROUND((F131-F134)*10000,0),"")</f>
        <v/>
      </c>
      <c r="G135" s="97" t="str">
        <f aca="false">IF(ISNUMBER(G134),ROUND((G131-G134)*10000,0),"")</f>
        <v/>
      </c>
      <c r="H135" s="97" t="str">
        <f aca="false">IF(ISNUMBER(H134),ROUND((H131-H134)*10000,0),"")</f>
        <v/>
      </c>
      <c r="I135" s="97" t="str">
        <f aca="false">IF(ISNUMBER(I134),ROUND((I131-I134)*10000,0),"")</f>
        <v/>
      </c>
      <c r="J135" s="97" t="str">
        <f aca="false">IF(ISNUMBER(J134),ROUND((J131-J134)*10000,0),"")</f>
        <v/>
      </c>
      <c r="K135" s="97" t="str">
        <f aca="false">IF(ISNUMBER(K134),ROUND((K131-K134)*10000,0),"")</f>
        <v/>
      </c>
      <c r="L135" s="97" t="str">
        <f aca="false">IF(ISNUMBER(L134),ROUND((L131-L134)*10000,0),"")</f>
        <v/>
      </c>
      <c r="M135" s="97" t="str">
        <f aca="false">IF(ISNUMBER(M134),ROUND((M131-M134)*10000,0),"")</f>
        <v/>
      </c>
      <c r="N135" s="97" t="str">
        <f aca="false">IF(ISNUMBER(N134),ROUND((N131-N134)*10000,0),"")</f>
        <v/>
      </c>
      <c r="O135" s="97" t="str">
        <f aca="false">IF(ISNUMBER(O134),ROUND((O131-O134)*10000,0),"")</f>
        <v/>
      </c>
      <c r="P135" s="97" t="str">
        <f aca="false">IF(ISNUMBER(P134),ROUND((P131-P134)*10000,0),"")</f>
        <v/>
      </c>
      <c r="Q135" s="97" t="str">
        <f aca="false">IF(ISNUMBER(Q134),ROUND((Q131-Q134)*10000,0),"")</f>
        <v/>
      </c>
      <c r="R135" s="97" t="str">
        <f aca="false">IF(ISNUMBER(R134),ROUND((R131-R134)*10000,0),"")</f>
        <v/>
      </c>
      <c r="S135" s="97" t="str">
        <f aca="false">IF(ISNUMBER(S134),ROUND((S131-S134)*10000,0),"")</f>
        <v/>
      </c>
      <c r="T135" s="97" t="str">
        <f aca="false">IF(ISNUMBER(T134),ROUND((T131-T134)*10000,0),"")</f>
        <v/>
      </c>
      <c r="U135" s="97" t="str">
        <f aca="false">IF(ISNUMBER(U134),ROUND((U131-U134)*10000,0),"")</f>
        <v/>
      </c>
      <c r="V135" s="97" t="str">
        <f aca="false">IF(ISNUMBER(V134),ROUND((V131-V134)*10000,0),"")</f>
        <v/>
      </c>
      <c r="W135" s="97" t="str">
        <f aca="false">IF(ISNUMBER(W134),ROUND((W131-W134)*10000,0),"")</f>
        <v/>
      </c>
      <c r="X135" s="97" t="str">
        <f aca="false">IF(ISNUMBER(X134),ROUND((X131-X134)*10000,0),"")</f>
        <v/>
      </c>
      <c r="Y135" s="97" t="str">
        <f aca="false">IF(ISNUMBER(Y134),ROUND((Y131-Y134)*10000,0),"")</f>
        <v/>
      </c>
      <c r="Z135" s="97" t="str">
        <f aca="false">IF(ISNUMBER(Z134),ROUND((Z131-Z134)*10000,0),"")</f>
        <v/>
      </c>
      <c r="AA135" s="97" t="str">
        <f aca="false">IF(ISNUMBER(AA134),ROUND((AA131-AA134)*10000,0),"")</f>
        <v/>
      </c>
      <c r="AB135" s="97" t="str">
        <f aca="false">IF(ISNUMBER(AB134),ROUND((AB131-AB134)*10000,0),"")</f>
        <v/>
      </c>
      <c r="AC135" s="97" t="str">
        <f aca="false">IF(ISNUMBER(AC134),ROUND((AC131-AC134)*10000,0),"")</f>
        <v/>
      </c>
      <c r="AD135" s="97" t="str">
        <f aca="false">IF(ISNUMBER(AD134),ROUND((AD131-AD134)*10000,0),"")</f>
        <v/>
      </c>
      <c r="AE135" s="97" t="str">
        <f aca="false">IF(ISNUMBER(AE134),ROUND((AE131-AE134)*10000,0),"")</f>
        <v/>
      </c>
      <c r="AF135" s="97" t="str">
        <f aca="false">IF(ISNUMBER(AF134),ROUND((AF131-AF134)*10000,0),"")</f>
        <v/>
      </c>
      <c r="AG135" s="97" t="str">
        <f aca="false">IF(ISNUMBER(AG134),ROUND((AG131-AG134)*10000,0),"")</f>
        <v/>
      </c>
      <c r="AH135" s="97" t="str">
        <f aca="false">IF(ISNUMBER(AH134),ROUND((AH131-AH134)*10000,0),"")</f>
        <v/>
      </c>
      <c r="AI135" s="97" t="str">
        <f aca="false">IF(ISNUMBER(AI134),ROUND((AI131-AI134)*10000,0),"")</f>
        <v/>
      </c>
      <c r="AJ135" s="97" t="str">
        <f aca="false">IF(ISNUMBER(AJ134),ROUND((AJ131-AJ134)*10000,0),"")</f>
        <v/>
      </c>
      <c r="AK135" s="97" t="str">
        <f aca="false">IF(ISNUMBER(AK134),ROUND((AK131-AK134)*10000,0),"")</f>
        <v/>
      </c>
      <c r="AL135" s="97" t="str">
        <f aca="false">IF(ISNUMBER(AL134),ROUND((AL131-AL134)*10000,0),"")</f>
        <v/>
      </c>
      <c r="AM135" s="97" t="str">
        <f aca="false">IF(ISNUMBER(AM134),ROUND((AM131-AM134)*10000,0),"")</f>
        <v/>
      </c>
      <c r="AN135" s="97" t="str">
        <f aca="false">IF(ISNUMBER(AN134),ROUND((AN131-AN134)*10000,0),"")</f>
        <v/>
      </c>
      <c r="AO135" s="97" t="str">
        <f aca="false">IF(ISNUMBER(AO134),ROUND((AO131-AO134)*10000,0),"")</f>
        <v/>
      </c>
      <c r="AP135" s="97" t="str">
        <f aca="false">IF(ISNUMBER(AP134),ROUND((AP131-AP134)*10000,0),"")</f>
        <v/>
      </c>
      <c r="AQ135" s="97" t="str">
        <f aca="false">IF(ISNUMBER(AQ134),ROUND((AQ131-AQ134)*10000,0),"")</f>
        <v/>
      </c>
      <c r="AR135" s="97" t="str">
        <f aca="false">IF(ISNUMBER(AR134),ROUND((AR131-AR134)*10000,0),"")</f>
        <v/>
      </c>
      <c r="AS135" s="97" t="str">
        <f aca="false">IF(ISNUMBER(AS134),ROUND((AS131-AS134)*10000,0),"")</f>
        <v/>
      </c>
      <c r="AT135" s="97" t="str">
        <f aca="false">IF(ISNUMBER(AT134),ROUND((AT131-AT134)*10000,0),"")</f>
        <v/>
      </c>
      <c r="AU135" s="97" t="str">
        <f aca="false">IF(ISNUMBER(AU134),ROUND((AU131-AU134)*10000,0),"")</f>
        <v/>
      </c>
      <c r="AV135" s="97" t="str">
        <f aca="false">IF(ISNUMBER(AV134),ROUND((AV131-AV134)*10000,0),"")</f>
        <v/>
      </c>
      <c r="AW135" s="97" t="str">
        <f aca="false">IF(ISNUMBER(AW134),ROUND((AW131-AW134)*10000,0),"")</f>
        <v/>
      </c>
      <c r="AX135" s="97" t="str">
        <f aca="false">IF(ISNUMBER(AX134),ROUND((AX131-AX134)*10000,0),"")</f>
        <v/>
      </c>
      <c r="AY135" s="97" t="str">
        <f aca="false">IF(ISNUMBER(AY134),ROUND((AY131-AY134)*10000,0),"")</f>
        <v/>
      </c>
      <c r="AZ135" s="97" t="n">
        <f aca="false">IF(ISNUMBER(AZ134),ROUND((AZ131-AZ134)*10000,0),"")</f>
        <v>-3</v>
      </c>
      <c r="BA135" s="97" t="str">
        <f aca="false">IF(ISNUMBER(BA134),ROUND((BA131-BA134)*10000,0),"")</f>
        <v/>
      </c>
      <c r="BB135" s="97" t="str">
        <f aca="false">IF(ISNUMBER(BB134),ROUND((BB131-BB134)*10000,0),"")</f>
        <v/>
      </c>
      <c r="BC135" s="97" t="str">
        <f aca="false">IF(ISNUMBER(BC134),ROUND((BC131-BC134)*10000,0),"")</f>
        <v/>
      </c>
      <c r="BD135" s="97" t="str">
        <f aca="false">IF(ISNUMBER(BD134),ROUND((BD131-BD134)*10000,0),"")</f>
        <v/>
      </c>
      <c r="BE135" s="97" t="str">
        <f aca="false">IF(ISNUMBER(BE134),ROUND((BE131-BE134)*10000,0),"")</f>
        <v/>
      </c>
      <c r="BF135" s="97" t="str">
        <f aca="false">IF(ISNUMBER(BF134),ROUND((BF131-BF134)*10000,0),"")</f>
        <v/>
      </c>
      <c r="BG135" s="97" t="str">
        <f aca="false">IF(ISNUMBER(BG134),ROUND((BG131-BG134)*10000,0),"")</f>
        <v/>
      </c>
      <c r="BH135" s="97" t="str">
        <f aca="false">IF(ISNUMBER(BH134),ROUND((BH131-BH134)*10000,0),"")</f>
        <v/>
      </c>
      <c r="BI135" s="97" t="str">
        <f aca="false">IF(ISNUMBER(BI134),ROUND((BI131-BI134)*10000,0),"")</f>
        <v/>
      </c>
      <c r="BJ135" s="97" t="str">
        <f aca="false">IF(ISNUMBER(BJ134),ROUND((BJ131-BJ134)*10000,0),"")</f>
        <v/>
      </c>
      <c r="BK135" s="97" t="str">
        <f aca="false">IF(ISNUMBER(BK134),ROUND((BK131-BK134)*10000,0),"")</f>
        <v/>
      </c>
      <c r="BL135" s="97" t="str">
        <f aca="false">IF(ISNUMBER(BL134),ROUND((BL131-BL134)*10000,0),"")</f>
        <v/>
      </c>
      <c r="BM135" s="97" t="str">
        <f aca="false">IF(ISNUMBER(BM134),ROUND((BM131-BM134)*10000,0),"")</f>
        <v/>
      </c>
      <c r="BN135" s="97" t="str">
        <f aca="false">IF(ISNUMBER(BN134),ROUND((BN131-BN134)*10000,0),"")</f>
        <v/>
      </c>
      <c r="BO135" s="97" t="str">
        <f aca="false">IF(ISNUMBER(BO134),ROUND((BO131-BO134)*10000,0),"")</f>
        <v/>
      </c>
      <c r="BP135" s="97" t="str">
        <f aca="false">IF(ISNUMBER(BP134),ROUND((BP131-BP134)*10000,0),"")</f>
        <v/>
      </c>
      <c r="BQ135" s="97" t="str">
        <f aca="false">IF(ISNUMBER(BQ134),ROUND((BQ131-BQ134)*10000,0),"")</f>
        <v/>
      </c>
      <c r="BR135" s="97" t="str">
        <f aca="false">IF(ISNUMBER(BR134),ROUND((BR131-BR134)*10000,0),"")</f>
        <v/>
      </c>
      <c r="BS135" s="97" t="str">
        <f aca="false">IF(ISNUMBER(BS134),ROUND((BS131-BS134)*10000,0),"")</f>
        <v/>
      </c>
      <c r="BT135" s="97" t="n">
        <f aca="false">IF(ISNUMBER(BT134),ROUND((BT131-BT134)*10000,0),"")</f>
        <v>0</v>
      </c>
      <c r="BU135" s="97" t="str">
        <f aca="false">IF(ISNUMBER(BU134),ROUND((BU131-BU134)*10000,0),"")</f>
        <v/>
      </c>
      <c r="BV135" s="97" t="n">
        <f aca="false">IF(ISNUMBER(BV134),ROUND((BV131-BV134)*10000,0),"")</f>
        <v>-4</v>
      </c>
      <c r="BW135" s="97" t="str">
        <f aca="false">IF(ISNUMBER(BW134),ROUND((BW131-BW134)*10000,0),"")</f>
        <v/>
      </c>
      <c r="BX135" s="97" t="str">
        <f aca="false">IF(ISNUMBER(BX134),ROUND((BX131-BX134)*10000,0),"")</f>
        <v/>
      </c>
      <c r="BY135" s="44"/>
      <c r="BZ135" s="44"/>
      <c r="CA135" s="44"/>
      <c r="CB135" s="44"/>
      <c r="CC135" s="44"/>
      <c r="CD135" s="44"/>
      <c r="CE135" s="44"/>
      <c r="CF135" s="21"/>
    </row>
    <row r="136" customFormat="false" ht="15" hidden="false" customHeight="true" outlineLevel="0" collapsed="false">
      <c r="B136" s="98" t="s">
        <v>296</v>
      </c>
      <c r="C136" s="99" t="s">
        <v>297</v>
      </c>
      <c r="D136" s="100" t="s">
        <v>298</v>
      </c>
      <c r="E136" s="100" t="s">
        <v>299</v>
      </c>
      <c r="F136" s="100" t="s">
        <v>300</v>
      </c>
      <c r="J136" s="99"/>
      <c r="AG136" s="100" t="s">
        <v>301</v>
      </c>
      <c r="AH136" s="100" t="s">
        <v>301</v>
      </c>
      <c r="AJ136" s="99"/>
      <c r="AN136" s="99"/>
      <c r="AZ136" s="100" t="s">
        <v>302</v>
      </c>
      <c r="BA136" s="99"/>
      <c r="BB136" s="100" t="s">
        <v>303</v>
      </c>
      <c r="BM136" s="99"/>
      <c r="BT136" s="99" t="s">
        <v>304</v>
      </c>
      <c r="BV136" s="100" t="s">
        <v>304</v>
      </c>
      <c r="BY136" s="6"/>
      <c r="BZ136" s="6"/>
      <c r="CA136" s="6"/>
      <c r="CB136" s="6"/>
      <c r="CC136" s="6"/>
      <c r="CD136" s="6"/>
      <c r="CE136" s="6"/>
      <c r="CF136" s="21"/>
    </row>
    <row r="137" customFormat="false" ht="15" hidden="false" customHeight="true" outlineLevel="0" collapsed="false"/>
    <row r="138" customFormat="false" ht="15" hidden="false" customHeight="true" outlineLevel="0" collapsed="false">
      <c r="B138" s="11" t="s">
        <v>305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 t="s">
        <v>306</v>
      </c>
    </row>
    <row r="139" customFormat="false" ht="15" hidden="false" customHeight="true" outlineLevel="0" collapsed="false">
      <c r="B139" s="17" t="s">
        <v>260</v>
      </c>
      <c r="C139" s="68" t="n">
        <f aca="false">C104</f>
        <v>25.8730000000003</v>
      </c>
      <c r="D139" s="68" t="n">
        <f aca="false">D104</f>
        <v>17.0849999999999</v>
      </c>
      <c r="E139" s="68" t="n">
        <f aca="false">E104</f>
        <v>-19.6889999999999</v>
      </c>
      <c r="F139" s="68" t="n">
        <f aca="false">F104</f>
        <v>-9.03599999999998</v>
      </c>
      <c r="G139" s="68" t="n">
        <f aca="false">G104</f>
        <v>1.95700000000002</v>
      </c>
      <c r="H139" s="68" t="n">
        <f aca="false">H104</f>
        <v>11.373</v>
      </c>
      <c r="I139" s="68" t="n">
        <f aca="false">I104</f>
        <v>32.0480000000002</v>
      </c>
      <c r="J139" s="68" t="n">
        <f aca="false">J104</f>
        <v>9.15500000000004</v>
      </c>
      <c r="K139" s="68" t="n">
        <f aca="false">K104</f>
        <v>13.5</v>
      </c>
      <c r="L139" s="68" t="n">
        <f aca="false">L104</f>
        <v>12.9079999999999</v>
      </c>
      <c r="M139" s="68" t="n">
        <f aca="false">M104</f>
        <v>8.06400000000001</v>
      </c>
      <c r="N139" s="68" t="n">
        <f aca="false">N104</f>
        <v>43.6269999999999</v>
      </c>
      <c r="O139" s="68" t="n">
        <f aca="false">O104</f>
        <v>8.57599999999994</v>
      </c>
      <c r="P139" s="68" t="n">
        <f aca="false">P104</f>
        <v>13.568</v>
      </c>
      <c r="Q139" s="68" t="n">
        <f aca="false">Q104</f>
        <v>16.2779999999999</v>
      </c>
      <c r="R139" s="68" t="n">
        <f aca="false">R104</f>
        <v>13.5690000000001</v>
      </c>
      <c r="S139" s="68" t="n">
        <f aca="false">S104</f>
        <v>51.991</v>
      </c>
      <c r="T139" s="68" t="n">
        <f aca="false">T104</f>
        <v>12.6049999999999</v>
      </c>
      <c r="U139" s="68" t="n">
        <f aca="false">U104</f>
        <v>19.247</v>
      </c>
      <c r="V139" s="68" t="n">
        <f aca="false">V104</f>
        <v>11.7770000000001</v>
      </c>
      <c r="W139" s="68" t="n">
        <f aca="false">W104</f>
        <v>11.387</v>
      </c>
      <c r="X139" s="68" t="n">
        <f aca="false">X104</f>
        <v>55.0159999999999</v>
      </c>
      <c r="Y139" s="68" t="n">
        <f aca="false">Y104</f>
        <v>10.575</v>
      </c>
      <c r="Z139" s="68" t="n">
        <f aca="false">Z104</f>
        <v>13.2749999999999</v>
      </c>
      <c r="AA139" s="68" t="n">
        <f aca="false">AA104</f>
        <v>13.826</v>
      </c>
      <c r="AB139" s="68" t="n">
        <f aca="false">AB104</f>
        <v>10.348</v>
      </c>
      <c r="AC139" s="68" t="n">
        <f aca="false">AC104</f>
        <v>48.024</v>
      </c>
      <c r="AD139" s="68" t="n">
        <f aca="false">AD104</f>
        <v>11.387</v>
      </c>
      <c r="AE139" s="68" t="n">
        <f aca="false">AE104</f>
        <v>17.603</v>
      </c>
      <c r="AF139" s="68" t="n">
        <f aca="false">AF104</f>
        <v>14.407</v>
      </c>
      <c r="AG139" s="68" t="n">
        <f aca="false">AG104</f>
        <v>47.759</v>
      </c>
      <c r="AH139" s="68" t="n">
        <f aca="false">AH104</f>
        <v>91.1560000000001</v>
      </c>
      <c r="AI139" s="68" t="n">
        <f aca="false">AI104</f>
        <v>21.1250000000001</v>
      </c>
      <c r="AJ139" s="68" t="n">
        <f aca="false">AJ104</f>
        <v>30.281</v>
      </c>
      <c r="AK139" s="68" t="n">
        <f aca="false">AK104</f>
        <v>28.1949999999999</v>
      </c>
      <c r="AL139" s="68" t="n">
        <f aca="false">AL104</f>
        <v>25.38</v>
      </c>
      <c r="AM139" s="68" t="n">
        <f aca="false">AM104</f>
        <v>104.981</v>
      </c>
      <c r="AN139" s="68" t="n">
        <f aca="false">AN104</f>
        <v>22.2590000000001</v>
      </c>
      <c r="AO139" s="68" t="n">
        <f aca="false">AO104</f>
        <v>37.073</v>
      </c>
      <c r="AP139" s="68" t="n">
        <f aca="false">AP104</f>
        <v>32.968</v>
      </c>
      <c r="AQ139" s="68" t="n">
        <f aca="false">AQ104</f>
        <v>21.419</v>
      </c>
      <c r="AR139" s="68" t="n">
        <f aca="false">AR104</f>
        <v>113.719</v>
      </c>
      <c r="AS139" s="68" t="n">
        <f aca="false">AS104</f>
        <v>28.111</v>
      </c>
      <c r="AT139" s="68" t="n">
        <f aca="false">AT104</f>
        <v>28.454</v>
      </c>
      <c r="AU139" s="68" t="n">
        <f aca="false">AU104</f>
        <v>41.5390000000001</v>
      </c>
      <c r="AV139" s="68" t="n">
        <f aca="false">AV104</f>
        <v>40.2360000000001</v>
      </c>
      <c r="AW139" s="68" t="n">
        <f aca="false">AW104</f>
        <v>138.34</v>
      </c>
      <c r="AX139" s="68" t="n">
        <f aca="false">AX104</f>
        <v>37.291</v>
      </c>
      <c r="AY139" s="68" t="n">
        <f aca="false">AY104</f>
        <v>62.474</v>
      </c>
      <c r="AZ139" s="68" t="n">
        <f aca="false">AZ104</f>
        <v>79.7090000000001</v>
      </c>
      <c r="BA139" s="68" t="n">
        <f aca="false">BA104</f>
        <v>73.7610000000001</v>
      </c>
      <c r="BB139" s="68" t="n">
        <f aca="false">BB104</f>
        <v>253.235</v>
      </c>
      <c r="BC139" s="68" t="n">
        <f aca="false">BC104</f>
        <v>79.424</v>
      </c>
      <c r="BD139" s="68" t="n">
        <f aca="false">BD104</f>
        <v>109.245</v>
      </c>
      <c r="BE139" s="68" t="n">
        <f aca="false">BE104</f>
        <v>97.8909999999999</v>
      </c>
      <c r="BF139" s="68" t="n">
        <f aca="false">BF104</f>
        <v>70.862</v>
      </c>
      <c r="BG139" s="68" t="n">
        <f aca="false">BG104</f>
        <v>357.421999999999</v>
      </c>
      <c r="BH139" s="68" t="n">
        <f aca="false">BH104</f>
        <v>76.0969999999999</v>
      </c>
      <c r="BI139" s="68" t="n">
        <f aca="false">BI104</f>
        <v>91.3189999999999</v>
      </c>
      <c r="BJ139" s="68" t="n">
        <f aca="false">BJ104</f>
        <v>98.2129999999999</v>
      </c>
      <c r="BK139" s="68" t="n">
        <f aca="false">BK104</f>
        <v>89.2279999999999</v>
      </c>
      <c r="BL139" s="68" t="n">
        <f aca="false">BL104</f>
        <v>354.857000000001</v>
      </c>
      <c r="BM139" s="68" t="n">
        <f aca="false">BM104</f>
        <v>90.6949999999999</v>
      </c>
      <c r="BN139" s="68" t="n">
        <f aca="false">BN104</f>
        <v>102.519</v>
      </c>
      <c r="BO139" s="68" t="n">
        <f aca="false">BO104</f>
        <v>92.7479999999999</v>
      </c>
      <c r="BP139" s="68" t="n">
        <f aca="false">BP104</f>
        <v>76.1030000000002</v>
      </c>
      <c r="BQ139" s="68" t="n">
        <f aca="false">BQ104</f>
        <v>362.065</v>
      </c>
      <c r="BR139" s="68" t="n">
        <f aca="false">BR104</f>
        <v>49.8100000000001</v>
      </c>
      <c r="BS139" s="68" t="n">
        <f aca="false">BS104</f>
        <v>71.3909999999999</v>
      </c>
      <c r="BT139" s="68" t="n">
        <f aca="false">BT104</f>
        <v>86.3159999999999</v>
      </c>
      <c r="BU139" s="68" t="n">
        <f aca="false">BU104</f>
        <v>47.519</v>
      </c>
      <c r="BV139" s="68" t="n">
        <f aca="false">BV104</f>
        <v>255.036</v>
      </c>
      <c r="BW139" s="68" t="n">
        <f aca="false">BW104</f>
        <v>49.8689999999999</v>
      </c>
      <c r="BX139" s="68" t="n">
        <f aca="false">BX104</f>
        <v>94.2600000000001</v>
      </c>
      <c r="BY139" s="69" t="n">
        <f aca="false">BY104</f>
        <v>90.6793008521634</v>
      </c>
      <c r="BZ139" s="69" t="n">
        <f aca="false">BZ104</f>
        <v>86.1363895715952</v>
      </c>
      <c r="CA139" s="69" t="n">
        <f aca="false">CA104</f>
        <v>320.944690423759</v>
      </c>
      <c r="CB139" s="69" t="n">
        <f aca="false">CB104</f>
        <v>399.361620706074</v>
      </c>
      <c r="CC139" s="69" t="n">
        <f aca="false">CC104</f>
        <v>426.948367208918</v>
      </c>
      <c r="CD139" s="69" t="n">
        <f aca="false">CD104</f>
        <v>464.645362429783</v>
      </c>
      <c r="CE139" s="69" t="n">
        <f aca="false">CE104</f>
        <v>530.360802507843</v>
      </c>
      <c r="CF139" s="21"/>
    </row>
    <row r="140" customFormat="false" ht="15" hidden="false" customHeight="true" outlineLevel="0" collapsed="false">
      <c r="B140" s="22" t="s">
        <v>307</v>
      </c>
      <c r="C140" s="65" t="n">
        <f aca="false">C97+N(C98)</f>
        <v>9.288</v>
      </c>
      <c r="D140" s="65" t="n">
        <f aca="false">D97+N(D98)</f>
        <v>10.135</v>
      </c>
      <c r="E140" s="65" t="n">
        <f aca="false">E97+N(E98)</f>
        <v>12.441</v>
      </c>
      <c r="F140" s="65" t="n">
        <f aca="false">F97+N(F98)</f>
        <v>12.156</v>
      </c>
      <c r="G140" s="65" t="n">
        <f aca="false">G97+N(G98)</f>
        <v>10.602</v>
      </c>
      <c r="H140" s="65" t="n">
        <f aca="false">H97+N(H98)</f>
        <v>10.468</v>
      </c>
      <c r="I140" s="65" t="n">
        <f aca="false">I97+N(I98)</f>
        <v>7.807</v>
      </c>
      <c r="J140" s="65" t="n">
        <f aca="false">J97+N(J98)</f>
        <v>1.528</v>
      </c>
      <c r="K140" s="65" t="n">
        <f aca="false">K97+N(K98)</f>
        <v>1.618</v>
      </c>
      <c r="L140" s="65" t="n">
        <f aca="false">L97+N(L98)</f>
        <v>1.76</v>
      </c>
      <c r="M140" s="65" t="n">
        <f aca="false">M97+N(M98)</f>
        <v>1.584</v>
      </c>
      <c r="N140" s="65" t="n">
        <f aca="false">N97+N(N98)</f>
        <v>6.49</v>
      </c>
      <c r="O140" s="65" t="n">
        <f aca="false">O97+N(O98)</f>
        <v>1.316</v>
      </c>
      <c r="P140" s="65" t="n">
        <f aca="false">P97+N(P98)</f>
        <v>1.177</v>
      </c>
      <c r="Q140" s="65" t="n">
        <f aca="false">Q97+N(Q98)</f>
        <v>1.064</v>
      </c>
      <c r="R140" s="65" t="n">
        <f aca="false">R97+N(R98)</f>
        <v>1.007</v>
      </c>
      <c r="S140" s="65" t="n">
        <f aca="false">S97+N(S98)</f>
        <v>4.564</v>
      </c>
      <c r="T140" s="65" t="n">
        <f aca="false">T97+N(T98)</f>
        <v>1.019</v>
      </c>
      <c r="U140" s="65" t="n">
        <f aca="false">U97+N(U98)</f>
        <v>1.074</v>
      </c>
      <c r="V140" s="65" t="n">
        <f aca="false">V97+N(V98)</f>
        <v>1.033</v>
      </c>
      <c r="W140" s="65" t="n">
        <f aca="false">W97+N(W98)</f>
        <v>0.981</v>
      </c>
      <c r="X140" s="65" t="n">
        <f aca="false">X97+N(X98)</f>
        <v>4.107</v>
      </c>
      <c r="Y140" s="65" t="n">
        <f aca="false">Y97+N(Y98)</f>
        <v>0.963</v>
      </c>
      <c r="Z140" s="65" t="n">
        <f aca="false">Z97+N(Z98)</f>
        <v>1.264</v>
      </c>
      <c r="AA140" s="65" t="n">
        <f aca="false">AA97+N(AA98)</f>
        <v>1.183</v>
      </c>
      <c r="AB140" s="65" t="n">
        <f aca="false">AB97+N(AB98)</f>
        <v>0.984</v>
      </c>
      <c r="AC140" s="65" t="n">
        <f aca="false">AC97+N(AC98)</f>
        <v>4.394</v>
      </c>
      <c r="AD140" s="65" t="n">
        <f aca="false">AD97+N(AD98)</f>
        <v>0.911</v>
      </c>
      <c r="AE140" s="65" t="n">
        <f aca="false">AE97+N(AE98)</f>
        <v>1.538</v>
      </c>
      <c r="AF140" s="65" t="n">
        <f aca="false">AF97+N(AF98)</f>
        <v>1.313</v>
      </c>
      <c r="AG140" s="65" t="n">
        <f aca="false">AG97+N(AG98)</f>
        <v>1.289</v>
      </c>
      <c r="AH140" s="65" t="n">
        <f aca="false">AH97+N(AH98)</f>
        <v>5.051</v>
      </c>
      <c r="AI140" s="65" t="n">
        <f aca="false">AI97+N(AI98)</f>
        <v>1.226</v>
      </c>
      <c r="AJ140" s="65" t="n">
        <f aca="false">AJ97+N(AJ98)</f>
        <v>1.454</v>
      </c>
      <c r="AK140" s="65" t="n">
        <f aca="false">AK97+N(AK98)</f>
        <v>1.41</v>
      </c>
      <c r="AL140" s="65" t="n">
        <f aca="false">AL97+N(AL98)</f>
        <v>1.328</v>
      </c>
      <c r="AM140" s="65" t="n">
        <f aca="false">AM97+N(AM98)</f>
        <v>5.418</v>
      </c>
      <c r="AN140" s="65" t="n">
        <f aca="false">AN97+N(AN98)</f>
        <v>1.383</v>
      </c>
      <c r="AO140" s="65" t="n">
        <f aca="false">AO97+N(AO98)</f>
        <v>1.903</v>
      </c>
      <c r="AP140" s="65" t="n">
        <f aca="false">AP97+N(AP98)</f>
        <v>1.868</v>
      </c>
      <c r="AQ140" s="65" t="n">
        <f aca="false">AQ97+N(AQ98)</f>
        <v>1.534</v>
      </c>
      <c r="AR140" s="65" t="n">
        <f aca="false">AR97+N(AR98)</f>
        <v>6.688</v>
      </c>
      <c r="AS140" s="65" t="n">
        <f aca="false">AS97+N(AS98)</f>
        <v>1.402</v>
      </c>
      <c r="AT140" s="65" t="n">
        <f aca="false">AT97+N(AT98)</f>
        <v>1.594</v>
      </c>
      <c r="AU140" s="65" t="n">
        <f aca="false">AU97+N(AU98)</f>
        <v>1.174</v>
      </c>
      <c r="AV140" s="65" t="n">
        <f aca="false">AV97+N(AV98)</f>
        <v>1.007</v>
      </c>
      <c r="AW140" s="65" t="n">
        <f aca="false">AW97+N(AW98)</f>
        <v>5.177</v>
      </c>
      <c r="AX140" s="65" t="n">
        <f aca="false">AX97+N(AX98)</f>
        <v>0.852</v>
      </c>
      <c r="AY140" s="65" t="n">
        <f aca="false">AY97+N(AY98)</f>
        <v>0.834</v>
      </c>
      <c r="AZ140" s="65" t="n">
        <f aca="false">AZ97+N(AZ98)</f>
        <v>0.777</v>
      </c>
      <c r="BA140" s="65" t="n">
        <f aca="false">BA97+N(BA98)</f>
        <v>0.749</v>
      </c>
      <c r="BB140" s="65" t="n">
        <f aca="false">BB97+N(BB98)</f>
        <v>3.212</v>
      </c>
      <c r="BC140" s="65" t="n">
        <f aca="false">BC97+N(BC98)</f>
        <v>0.692</v>
      </c>
      <c r="BD140" s="65" t="n">
        <f aca="false">BD97+N(BD98)</f>
        <v>0.668</v>
      </c>
      <c r="BE140" s="65" t="n">
        <f aca="false">BE97+N(BE98)</f>
        <v>0.581</v>
      </c>
      <c r="BF140" s="65" t="n">
        <f aca="false">BF97+N(BF98)</f>
        <v>0.67</v>
      </c>
      <c r="BG140" s="65" t="n">
        <f aca="false">BG97+N(BG98)</f>
        <v>2.611</v>
      </c>
      <c r="BH140" s="65" t="n">
        <f aca="false">BH97+N(BH98)</f>
        <v>0.688</v>
      </c>
      <c r="BI140" s="65" t="n">
        <f aca="false">BI97+N(BI98)</f>
        <v>-0.029</v>
      </c>
      <c r="BJ140" s="65" t="n">
        <f aca="false">BJ97+N(BJ98)</f>
        <v>-1.969</v>
      </c>
      <c r="BK140" s="65" t="n">
        <f aca="false">BK97+N(BK98)</f>
        <v>-2.223</v>
      </c>
      <c r="BL140" s="65" t="n">
        <f aca="false">BL97+N(BL98)</f>
        <v>-3.673</v>
      </c>
      <c r="BM140" s="65" t="n">
        <f aca="false">BM97+N(BM98)</f>
        <v>-0.213</v>
      </c>
      <c r="BN140" s="65" t="n">
        <f aca="false">BN97+N(BN98)</f>
        <v>2.302</v>
      </c>
      <c r="BO140" s="65" t="n">
        <f aca="false">BO97+N(BO98)</f>
        <v>2.952</v>
      </c>
      <c r="BP140" s="65" t="n">
        <f aca="false">BP97+N(BP98)</f>
        <v>2.84</v>
      </c>
      <c r="BQ140" s="65" t="n">
        <f aca="false">BQ97+N(BQ98)</f>
        <v>7.881</v>
      </c>
      <c r="BR140" s="65" t="n">
        <f aca="false">BR97+N(BR98)</f>
        <v>4.246</v>
      </c>
      <c r="BS140" s="65" t="n">
        <f aca="false">BS97+N(BS98)</f>
        <v>4.708</v>
      </c>
      <c r="BT140" s="65" t="n">
        <f aca="false">BT97+N(BT98)</f>
        <v>4.439</v>
      </c>
      <c r="BU140" s="65" t="n">
        <f aca="false">BU97+N(BU98)</f>
        <v>2.9</v>
      </c>
      <c r="BV140" s="65" t="n">
        <f aca="false">BV97+N(BV98)</f>
        <v>16.293</v>
      </c>
      <c r="BW140" s="65" t="n">
        <f aca="false">BW97+N(BW98)</f>
        <v>2.511</v>
      </c>
      <c r="BX140" s="65" t="n">
        <f aca="false">BX97+N(BX98)</f>
        <v>1.731</v>
      </c>
      <c r="BY140" s="66" t="n">
        <f aca="false">BY97+N(BY98)</f>
        <v>1.192395</v>
      </c>
      <c r="BZ140" s="66" t="n">
        <f aca="false">BZ97+N(BZ98)</f>
        <v>1.192395</v>
      </c>
      <c r="CA140" s="67" t="n">
        <f aca="false">CA97+N(CA98)</f>
        <v>6.62679</v>
      </c>
      <c r="CB140" s="67" t="n">
        <f aca="false">CB97+N(CB98)</f>
        <v>2.65264368512891</v>
      </c>
      <c r="CC140" s="67" t="n">
        <f aca="false">CC97+N(CC98)</f>
        <v>4.28628</v>
      </c>
      <c r="CD140" s="67" t="n">
        <f aca="false">CD97+N(CD98)</f>
        <v>4.28628</v>
      </c>
      <c r="CE140" s="67" t="n">
        <f aca="false">CE97+N(CE98)</f>
        <v>4.28628</v>
      </c>
      <c r="CF140" s="21"/>
    </row>
    <row r="141" customFormat="false" ht="15" hidden="false" customHeight="true" outlineLevel="0" collapsed="false">
      <c r="B141" s="22" t="s">
        <v>308</v>
      </c>
      <c r="C141" s="65" t="n">
        <f aca="false">C102</f>
        <v>16.1</v>
      </c>
      <c r="D141" s="65" t="n">
        <f aca="false">D102</f>
        <v>11.306</v>
      </c>
      <c r="E141" s="65" t="n">
        <f aca="false">E102</f>
        <v>-3.022</v>
      </c>
      <c r="F141" s="65" t="n">
        <f aca="false">F102</f>
        <v>-6.605</v>
      </c>
      <c r="G141" s="65" t="n">
        <f aca="false">G102</f>
        <v>-0.024</v>
      </c>
      <c r="H141" s="65" t="n">
        <f aca="false">H102</f>
        <v>6.357</v>
      </c>
      <c r="I141" s="65" t="n">
        <f aca="false">I102</f>
        <v>19.091</v>
      </c>
      <c r="J141" s="65" t="n">
        <f aca="false">J102</f>
        <v>3.915</v>
      </c>
      <c r="K141" s="65" t="n">
        <f aca="false">K102</f>
        <v>8.17</v>
      </c>
      <c r="L141" s="65" t="n">
        <f aca="false">L102</f>
        <v>7.352</v>
      </c>
      <c r="M141" s="65" t="n">
        <f aca="false">M102</f>
        <v>5.081</v>
      </c>
      <c r="N141" s="65" t="n">
        <f aca="false">N102</f>
        <v>24.518</v>
      </c>
      <c r="O141" s="65" t="n">
        <f aca="false">O102</f>
        <v>5.369</v>
      </c>
      <c r="P141" s="65" t="n">
        <f aca="false">P102</f>
        <v>8.031</v>
      </c>
      <c r="Q141" s="65" t="n">
        <f aca="false">Q102</f>
        <v>9.791</v>
      </c>
      <c r="R141" s="65" t="n">
        <f aca="false">R102</f>
        <v>6.046</v>
      </c>
      <c r="S141" s="65" t="n">
        <f aca="false">S102</f>
        <v>29.237</v>
      </c>
      <c r="T141" s="65" t="n">
        <f aca="false">T102</f>
        <v>7.66</v>
      </c>
      <c r="U141" s="65" t="n">
        <f aca="false">U102</f>
        <v>10.974</v>
      </c>
      <c r="V141" s="65" t="n">
        <f aca="false">V102</f>
        <v>6.989</v>
      </c>
      <c r="W141" s="65" t="n">
        <f aca="false">W102</f>
        <v>5.324</v>
      </c>
      <c r="X141" s="65" t="n">
        <f aca="false">X102</f>
        <v>30.947</v>
      </c>
      <c r="Y141" s="65" t="n">
        <f aca="false">Y102</f>
        <v>6.053</v>
      </c>
      <c r="Z141" s="65" t="n">
        <f aca="false">Z102</f>
        <v>7.218</v>
      </c>
      <c r="AA141" s="65" t="n">
        <f aca="false">AA102</f>
        <v>7.739</v>
      </c>
      <c r="AB141" s="65" t="n">
        <f aca="false">AB102</f>
        <v>5.885</v>
      </c>
      <c r="AC141" s="65" t="n">
        <f aca="false">AC102</f>
        <v>26.895</v>
      </c>
      <c r="AD141" s="65" t="n">
        <f aca="false">AD102</f>
        <v>5.123</v>
      </c>
      <c r="AE141" s="65" t="n">
        <f aca="false">AE102</f>
        <v>10.487</v>
      </c>
      <c r="AF141" s="65" t="n">
        <f aca="false">AF102</f>
        <v>9.013</v>
      </c>
      <c r="AG141" s="65" t="n">
        <f aca="false">AG102</f>
        <v>-26.001</v>
      </c>
      <c r="AH141" s="65" t="n">
        <f aca="false">AH102</f>
        <v>-1.378</v>
      </c>
      <c r="AI141" s="65" t="n">
        <f aca="false">AI102</f>
        <v>5.331</v>
      </c>
      <c r="AJ141" s="65" t="n">
        <f aca="false">AJ102</f>
        <v>9.972</v>
      </c>
      <c r="AK141" s="65" t="n">
        <f aca="false">AK102</f>
        <v>9.231</v>
      </c>
      <c r="AL141" s="65" t="n">
        <f aca="false">AL102</f>
        <v>6.318</v>
      </c>
      <c r="AM141" s="65" t="n">
        <f aca="false">AM102</f>
        <v>30.852</v>
      </c>
      <c r="AN141" s="65" t="n">
        <f aca="false">AN102</f>
        <v>5.323</v>
      </c>
      <c r="AO141" s="65" t="n">
        <f aca="false">AO102</f>
        <v>12.33</v>
      </c>
      <c r="AP141" s="65" t="n">
        <f aca="false">AP102</f>
        <v>10.543</v>
      </c>
      <c r="AQ141" s="65" t="n">
        <f aca="false">AQ102</f>
        <v>4.737</v>
      </c>
      <c r="AR141" s="65" t="n">
        <f aca="false">AR102</f>
        <v>32.933</v>
      </c>
      <c r="AS141" s="65" t="n">
        <f aca="false">AS102</f>
        <v>8.716</v>
      </c>
      <c r="AT141" s="65" t="n">
        <f aca="false">AT102</f>
        <v>6.384</v>
      </c>
      <c r="AU141" s="65" t="n">
        <f aca="false">AU102</f>
        <v>12.894</v>
      </c>
      <c r="AV141" s="65" t="n">
        <f aca="false">AV102</f>
        <v>9.944</v>
      </c>
      <c r="AW141" s="65" t="n">
        <f aca="false">AW102</f>
        <v>37.938</v>
      </c>
      <c r="AX141" s="65" t="n">
        <f aca="false">AX102</f>
        <v>10.702</v>
      </c>
      <c r="AY141" s="65" t="n">
        <f aca="false">AY102</f>
        <v>20.047</v>
      </c>
      <c r="AZ141" s="65" t="n">
        <f aca="false">AZ102</f>
        <v>25.617</v>
      </c>
      <c r="BA141" s="65" t="n">
        <f aca="false">BA102</f>
        <v>23.172</v>
      </c>
      <c r="BB141" s="65" t="n">
        <f aca="false">BB102</f>
        <v>79.538</v>
      </c>
      <c r="BC141" s="65" t="n">
        <f aca="false">BC102</f>
        <v>23.098</v>
      </c>
      <c r="BD141" s="65" t="n">
        <f aca="false">BD102</f>
        <v>35.311</v>
      </c>
      <c r="BE141" s="65" t="n">
        <f aca="false">BE102</f>
        <v>29.815</v>
      </c>
      <c r="BF141" s="65" t="n">
        <f aca="false">BF102</f>
        <v>22.402</v>
      </c>
      <c r="BG141" s="65" t="n">
        <f aca="false">BG102</f>
        <v>110.626</v>
      </c>
      <c r="BH141" s="65" t="n">
        <f aca="false">BH102</f>
        <v>23.001</v>
      </c>
      <c r="BI141" s="65" t="n">
        <f aca="false">BI102</f>
        <v>29.955</v>
      </c>
      <c r="BJ141" s="65" t="n">
        <f aca="false">BJ102</f>
        <v>32.034</v>
      </c>
      <c r="BK141" s="65" t="n">
        <f aca="false">BK102</f>
        <v>26.38</v>
      </c>
      <c r="BL141" s="65" t="n">
        <f aca="false">BL102</f>
        <v>111.37</v>
      </c>
      <c r="BM141" s="65" t="n">
        <f aca="false">BM102</f>
        <v>28.218</v>
      </c>
      <c r="BN141" s="65" t="n">
        <f aca="false">BN102</f>
        <v>33.098</v>
      </c>
      <c r="BO141" s="65" t="n">
        <f aca="false">BO102</f>
        <v>29.931</v>
      </c>
      <c r="BP141" s="65" t="n">
        <f aca="false">BP102</f>
        <v>22.696</v>
      </c>
      <c r="BQ141" s="65" t="n">
        <f aca="false">BQ102</f>
        <v>113.943</v>
      </c>
      <c r="BR141" s="65" t="n">
        <f aca="false">BR102</f>
        <v>15.755</v>
      </c>
      <c r="BS141" s="65" t="n">
        <f aca="false">BS102</f>
        <v>24.173</v>
      </c>
      <c r="BT141" s="65" t="n">
        <f aca="false">BT102</f>
        <v>28.509</v>
      </c>
      <c r="BU141" s="65" t="n">
        <f aca="false">BU102</f>
        <v>13.916</v>
      </c>
      <c r="BV141" s="65" t="n">
        <f aca="false">BV102</f>
        <v>82.353</v>
      </c>
      <c r="BW141" s="65" t="n">
        <f aca="false">BW102</f>
        <v>15.166</v>
      </c>
      <c r="BX141" s="65" t="n">
        <f aca="false">BX102</f>
        <v>31.215</v>
      </c>
      <c r="BY141" s="66" t="n">
        <f aca="false">BY102</f>
        <v>29.4257333891126</v>
      </c>
      <c r="BZ141" s="66" t="n">
        <f aca="false">BZ102</f>
        <v>27.9515436358157</v>
      </c>
      <c r="CA141" s="67" t="n">
        <f aca="false">CA102</f>
        <v>103.758277024928</v>
      </c>
      <c r="CB141" s="67" t="n">
        <f aca="false">CB102</f>
        <v>129.594168308593</v>
      </c>
      <c r="CC141" s="67" t="n">
        <f aca="false">CC102</f>
        <v>138.546158895609</v>
      </c>
      <c r="CD141" s="67" t="n">
        <f aca="false">CD102</f>
        <v>150.778958669267</v>
      </c>
      <c r="CE141" s="67" t="n">
        <f aca="false">CE102</f>
        <v>172.103836575393</v>
      </c>
      <c r="CF141" s="21"/>
    </row>
    <row r="142" customFormat="false" ht="15" hidden="false" customHeight="true" outlineLevel="0" collapsed="false">
      <c r="B142" s="22" t="s">
        <v>309</v>
      </c>
      <c r="C142" s="65" t="n">
        <f aca="false">C87</f>
        <v>32.55</v>
      </c>
      <c r="D142" s="65" t="n">
        <f aca="false">D87</f>
        <v>38.685</v>
      </c>
      <c r="E142" s="65" t="n">
        <f aca="false">E87</f>
        <v>40.898</v>
      </c>
      <c r="F142" s="65" t="n">
        <f aca="false">F87</f>
        <v>39.342</v>
      </c>
      <c r="G142" s="65" t="n">
        <f aca="false">G87</f>
        <v>36.159</v>
      </c>
      <c r="H142" s="65" t="n">
        <f aca="false">H87</f>
        <v>37.278</v>
      </c>
      <c r="I142" s="65" t="n">
        <f aca="false">I87</f>
        <v>47.985</v>
      </c>
      <c r="J142" s="65" t="n">
        <f aca="false">J87</f>
        <v>11.634</v>
      </c>
      <c r="K142" s="65" t="n">
        <f aca="false">K87</f>
        <v>12.386</v>
      </c>
      <c r="L142" s="65" t="n">
        <f aca="false">L87</f>
        <v>13.745</v>
      </c>
      <c r="M142" s="65" t="n">
        <f aca="false">M87</f>
        <v>13.799</v>
      </c>
      <c r="N142" s="65" t="n">
        <f aca="false">N87</f>
        <v>51.564</v>
      </c>
      <c r="O142" s="65" t="n">
        <f aca="false">O87</f>
        <v>13.841</v>
      </c>
      <c r="P142" s="65" t="n">
        <f aca="false">P87</f>
        <v>15.087</v>
      </c>
      <c r="Q142" s="65" t="n">
        <f aca="false">Q87</f>
        <v>15.336</v>
      </c>
      <c r="R142" s="65" t="n">
        <f aca="false">R87</f>
        <v>14.758</v>
      </c>
      <c r="S142" s="65" t="n">
        <f aca="false">S87</f>
        <v>59.022</v>
      </c>
      <c r="T142" s="65" t="n">
        <f aca="false">T87</f>
        <v>15.199</v>
      </c>
      <c r="U142" s="65" t="n">
        <f aca="false">U87</f>
        <v>16.561</v>
      </c>
      <c r="V142" s="65" t="n">
        <f aca="false">V87</f>
        <v>16.765</v>
      </c>
      <c r="W142" s="65" t="n">
        <f aca="false">W87</f>
        <v>16.495</v>
      </c>
      <c r="X142" s="65" t="n">
        <f aca="false">X87</f>
        <v>65.02</v>
      </c>
      <c r="Y142" s="65" t="n">
        <f aca="false">Y87</f>
        <v>17.243</v>
      </c>
      <c r="Z142" s="65" t="n">
        <f aca="false">Z87</f>
        <v>19.74</v>
      </c>
      <c r="AA142" s="65" t="n">
        <f aca="false">AA87</f>
        <v>19.927</v>
      </c>
      <c r="AB142" s="65" t="n">
        <f aca="false">AB87</f>
        <v>19.33</v>
      </c>
      <c r="AC142" s="65" t="n">
        <f aca="false">AC87</f>
        <v>76.24</v>
      </c>
      <c r="AD142" s="65" t="n">
        <f aca="false">AD87</f>
        <v>20.087</v>
      </c>
      <c r="AE142" s="65" t="n">
        <f aca="false">AE87</f>
        <v>22.182</v>
      </c>
      <c r="AF142" s="65" t="n">
        <f aca="false">AF87</f>
        <v>22.338</v>
      </c>
      <c r="AG142" s="65" t="n">
        <f aca="false">AG87</f>
        <v>22.495</v>
      </c>
      <c r="AH142" s="65" t="n">
        <f aca="false">AH87</f>
        <v>87.102</v>
      </c>
      <c r="AI142" s="65" t="n">
        <f aca="false">AI87</f>
        <v>23.03</v>
      </c>
      <c r="AJ142" s="65" t="n">
        <f aca="false">AJ87</f>
        <v>25.241</v>
      </c>
      <c r="AK142" s="65" t="n">
        <f aca="false">AK87</f>
        <v>26.694</v>
      </c>
      <c r="AL142" s="65" t="n">
        <f aca="false">AL87</f>
        <v>27.188</v>
      </c>
      <c r="AM142" s="65" t="n">
        <f aca="false">AM87</f>
        <v>102.153</v>
      </c>
      <c r="AN142" s="65" t="n">
        <f aca="false">AN87</f>
        <v>26.782</v>
      </c>
      <c r="AO142" s="65" t="n">
        <f aca="false">AO87</f>
        <v>29.143</v>
      </c>
      <c r="AP142" s="65" t="n">
        <f aca="false">AP87</f>
        <v>31.333</v>
      </c>
      <c r="AQ142" s="65" t="n">
        <f aca="false">AQ87</f>
        <v>31.877</v>
      </c>
      <c r="AR142" s="65" t="n">
        <f aca="false">AR87</f>
        <v>119.135</v>
      </c>
      <c r="AS142" s="65" t="n">
        <f aca="false">AS87</f>
        <v>32.59</v>
      </c>
      <c r="AT142" s="65" t="n">
        <f aca="false">AT87</f>
        <v>33.664</v>
      </c>
      <c r="AU142" s="65" t="n">
        <f aca="false">AU87</f>
        <v>34.224</v>
      </c>
      <c r="AV142" s="65" t="n">
        <f aca="false">AV87</f>
        <v>34.177</v>
      </c>
      <c r="AW142" s="65" t="n">
        <f aca="false">AW87</f>
        <v>134.655</v>
      </c>
      <c r="AX142" s="65" t="n">
        <f aca="false">AX87</f>
        <v>35.372</v>
      </c>
      <c r="AY142" s="65" t="n">
        <f aca="false">AY87</f>
        <v>34.659</v>
      </c>
      <c r="AZ142" s="65" t="n">
        <f aca="false">AZ87</f>
        <v>35.742</v>
      </c>
      <c r="BA142" s="65" t="n">
        <f aca="false">BA87</f>
        <v>35.927</v>
      </c>
      <c r="BB142" s="65" t="n">
        <f aca="false">BB87</f>
        <v>141.7</v>
      </c>
      <c r="BC142" s="65" t="n">
        <f aca="false">BC87</f>
        <v>39.952</v>
      </c>
      <c r="BD142" s="65" t="n">
        <f aca="false">BD87</f>
        <v>36.944</v>
      </c>
      <c r="BE142" s="65" t="n">
        <f aca="false">BE87</f>
        <v>40.682</v>
      </c>
      <c r="BF142" s="65" t="n">
        <f aca="false">BF87</f>
        <v>39.625</v>
      </c>
      <c r="BG142" s="65" t="n">
        <f aca="false">BG87</f>
        <v>157.203</v>
      </c>
      <c r="BH142" s="65" t="n">
        <f aca="false">BH87</f>
        <v>42.88</v>
      </c>
      <c r="BI142" s="65" t="n">
        <f aca="false">BI87</f>
        <v>44.658</v>
      </c>
      <c r="BJ142" s="65" t="n">
        <f aca="false">BJ87</f>
        <v>45.618</v>
      </c>
      <c r="BK142" s="65" t="n">
        <f aca="false">BK87</f>
        <v>45.689</v>
      </c>
      <c r="BL142" s="65" t="n">
        <f aca="false">BL87</f>
        <v>178.845</v>
      </c>
      <c r="BM142" s="65" t="n">
        <f aca="false">BM87</f>
        <v>48.849</v>
      </c>
      <c r="BN142" s="65" t="n">
        <f aca="false">BN87</f>
        <v>52.536</v>
      </c>
      <c r="BO142" s="65" t="n">
        <f aca="false">BO87</f>
        <v>54.656</v>
      </c>
      <c r="BP142" s="65" t="n">
        <f aca="false">BP87</f>
        <v>54.064</v>
      </c>
      <c r="BQ142" s="65" t="n">
        <f aca="false">BQ87</f>
        <v>210.105</v>
      </c>
      <c r="BR142" s="65" t="n">
        <f aca="false">BR87</f>
        <v>59.043</v>
      </c>
      <c r="BS142" s="65" t="n">
        <f aca="false">BS87</f>
        <v>62.546</v>
      </c>
      <c r="BT142" s="65" t="n">
        <f aca="false">BT87</f>
        <v>64.037</v>
      </c>
      <c r="BU142" s="65" t="n">
        <f aca="false">BU87</f>
        <v>62.947</v>
      </c>
      <c r="BV142" s="65" t="n">
        <f aca="false">BV87</f>
        <v>248.573</v>
      </c>
      <c r="BW142" s="65" t="n">
        <f aca="false">BW87</f>
        <v>62.19</v>
      </c>
      <c r="BX142" s="65" t="n">
        <f aca="false">BX87</f>
        <v>64.181</v>
      </c>
      <c r="BY142" s="66" t="n">
        <f aca="false">BY87</f>
        <v>64.82281</v>
      </c>
      <c r="BZ142" s="66" t="n">
        <f aca="false">BZ87</f>
        <v>65.4710381</v>
      </c>
      <c r="CA142" s="67" t="n">
        <f aca="false">CA87</f>
        <v>256.6648481</v>
      </c>
      <c r="CB142" s="67" t="n">
        <f aca="false">CB87</f>
        <v>290.822263549225</v>
      </c>
      <c r="CC142" s="67" t="n">
        <f aca="false">CC87</f>
        <v>306.170984672113</v>
      </c>
      <c r="CD142" s="67" t="n">
        <f aca="false">CD87</f>
        <v>322.735305543709</v>
      </c>
      <c r="CE142" s="67" t="n">
        <f aca="false">CE87</f>
        <v>345.479676721097</v>
      </c>
      <c r="CF142" s="21"/>
    </row>
    <row r="143" customFormat="false" ht="15" hidden="false" customHeight="true" outlineLevel="0" collapsed="false">
      <c r="B143" s="71" t="s">
        <v>310</v>
      </c>
      <c r="C143" s="72" t="n">
        <f aca="false">C139+C140+C141+C142</f>
        <v>83.8110000000003</v>
      </c>
      <c r="D143" s="72" t="n">
        <f aca="false">D139+D140+D141+D142</f>
        <v>77.2109999999999</v>
      </c>
      <c r="E143" s="72" t="n">
        <f aca="false">E139+E140+E141+E142</f>
        <v>30.6280000000001</v>
      </c>
      <c r="F143" s="72" t="n">
        <f aca="false">F139+F140+F141+F142</f>
        <v>35.857</v>
      </c>
      <c r="G143" s="72" t="n">
        <f aca="false">G139+G140+G141+G142</f>
        <v>48.694</v>
      </c>
      <c r="H143" s="72" t="n">
        <f aca="false">H139+H140+H141+H142</f>
        <v>65.476</v>
      </c>
      <c r="I143" s="72" t="n">
        <f aca="false">I139+I140+I141+I142</f>
        <v>106.931</v>
      </c>
      <c r="J143" s="72" t="n">
        <f aca="false">J139+J140+J141+J142</f>
        <v>26.232</v>
      </c>
      <c r="K143" s="72" t="n">
        <f aca="false">K139+K140+K141+K142</f>
        <v>35.674</v>
      </c>
      <c r="L143" s="72" t="n">
        <f aca="false">L139+L140+L141+L142</f>
        <v>35.7649999999999</v>
      </c>
      <c r="M143" s="72" t="n">
        <f aca="false">M139+M140+M141+M142</f>
        <v>28.528</v>
      </c>
      <c r="N143" s="72" t="n">
        <f aca="false">N139+N140+N141+N142</f>
        <v>126.199</v>
      </c>
      <c r="O143" s="72" t="n">
        <f aca="false">O139+O140+O141+O142</f>
        <v>29.1019999999999</v>
      </c>
      <c r="P143" s="72" t="n">
        <f aca="false">P139+P140+P141+P142</f>
        <v>37.863</v>
      </c>
      <c r="Q143" s="72" t="n">
        <f aca="false">Q139+Q140+Q141+Q142</f>
        <v>42.4689999999999</v>
      </c>
      <c r="R143" s="72" t="n">
        <f aca="false">R139+R140+R141+R142</f>
        <v>35.3800000000001</v>
      </c>
      <c r="S143" s="72" t="n">
        <f aca="false">S139+S140+S141+S142</f>
        <v>144.814</v>
      </c>
      <c r="T143" s="72" t="n">
        <f aca="false">T139+T140+T141+T142</f>
        <v>36.483</v>
      </c>
      <c r="U143" s="72" t="n">
        <f aca="false">U139+U140+U141+U142</f>
        <v>47.856</v>
      </c>
      <c r="V143" s="72" t="n">
        <f aca="false">V139+V140+V141+V142</f>
        <v>36.5640000000001</v>
      </c>
      <c r="W143" s="72" t="n">
        <f aca="false">W139+W140+W141+W142</f>
        <v>34.187</v>
      </c>
      <c r="X143" s="72" t="n">
        <f aca="false">X139+X140+X141+X142</f>
        <v>155.09</v>
      </c>
      <c r="Y143" s="72" t="n">
        <f aca="false">Y139+Y140+Y141+Y142</f>
        <v>34.834</v>
      </c>
      <c r="Z143" s="72" t="n">
        <f aca="false">Z139+Z140+Z141+Z142</f>
        <v>41.4969999999999</v>
      </c>
      <c r="AA143" s="72" t="n">
        <f aca="false">AA139+AA140+AA141+AA142</f>
        <v>42.675</v>
      </c>
      <c r="AB143" s="72" t="n">
        <f aca="false">AB139+AB140+AB141+AB142</f>
        <v>36.547</v>
      </c>
      <c r="AC143" s="72" t="n">
        <f aca="false">AC139+AC140+AC141+AC142</f>
        <v>155.553</v>
      </c>
      <c r="AD143" s="72" t="n">
        <f aca="false">AD139+AD140+AD141+AD142</f>
        <v>37.508</v>
      </c>
      <c r="AE143" s="72" t="n">
        <f aca="false">AE139+AE140+AE141+AE142</f>
        <v>51.81</v>
      </c>
      <c r="AF143" s="72" t="n">
        <f aca="false">AF139+AF140+AF141+AF142</f>
        <v>47.071</v>
      </c>
      <c r="AG143" s="72" t="n">
        <f aca="false">AG139+AG140+AG141+AG142</f>
        <v>45.542</v>
      </c>
      <c r="AH143" s="72" t="n">
        <f aca="false">AH139+AH140+AH141+AH142</f>
        <v>181.931</v>
      </c>
      <c r="AI143" s="72" t="n">
        <f aca="false">AI139+AI140+AI141+AI142</f>
        <v>50.7120000000001</v>
      </c>
      <c r="AJ143" s="72" t="n">
        <f aca="false">AJ139+AJ140+AJ141+AJ142</f>
        <v>66.948</v>
      </c>
      <c r="AK143" s="72" t="n">
        <f aca="false">AK139+AK140+AK141+AK142</f>
        <v>65.5299999999999</v>
      </c>
      <c r="AL143" s="72" t="n">
        <f aca="false">AL139+AL140+AL141+AL142</f>
        <v>60.214</v>
      </c>
      <c r="AM143" s="72" t="n">
        <f aca="false">AM139+AM140+AM141+AM142</f>
        <v>243.404</v>
      </c>
      <c r="AN143" s="72" t="n">
        <f aca="false">AN139+AN140+AN141+AN142</f>
        <v>55.7470000000001</v>
      </c>
      <c r="AO143" s="72" t="n">
        <f aca="false">AO139+AO140+AO141+AO142</f>
        <v>80.449</v>
      </c>
      <c r="AP143" s="72" t="n">
        <f aca="false">AP139+AP140+AP141+AP142</f>
        <v>76.712</v>
      </c>
      <c r="AQ143" s="72" t="n">
        <f aca="false">AQ139+AQ140+AQ141+AQ142</f>
        <v>59.567</v>
      </c>
      <c r="AR143" s="72" t="n">
        <f aca="false">AR139+AR140+AR141+AR142</f>
        <v>272.475</v>
      </c>
      <c r="AS143" s="72" t="n">
        <f aca="false">AS139+AS140+AS141+AS142</f>
        <v>70.819</v>
      </c>
      <c r="AT143" s="72" t="n">
        <f aca="false">AT139+AT140+AT141+AT142</f>
        <v>70.096</v>
      </c>
      <c r="AU143" s="72" t="n">
        <f aca="false">AU139+AU140+AU141+AU142</f>
        <v>89.8310000000001</v>
      </c>
      <c r="AV143" s="72" t="n">
        <f aca="false">AV139+AV140+AV141+AV142</f>
        <v>85.3640000000001</v>
      </c>
      <c r="AW143" s="72" t="n">
        <f aca="false">AW139+AW140+AW141+AW142</f>
        <v>316.11</v>
      </c>
      <c r="AX143" s="72" t="n">
        <f aca="false">AX139+AX140+AX141+AX142</f>
        <v>84.2169999999999</v>
      </c>
      <c r="AY143" s="72" t="n">
        <f aca="false">AY139+AY140+AY141+AY142</f>
        <v>118.014</v>
      </c>
      <c r="AZ143" s="72" t="n">
        <f aca="false">AZ139+AZ140+AZ141+AZ142</f>
        <v>141.845</v>
      </c>
      <c r="BA143" s="72" t="n">
        <f aca="false">BA139+BA140+BA141+BA142</f>
        <v>133.609</v>
      </c>
      <c r="BB143" s="72" t="n">
        <f aca="false">BB139+BB140+BB141+BB142</f>
        <v>477.685</v>
      </c>
      <c r="BC143" s="72" t="n">
        <f aca="false">BC139+BC140+BC141+BC142</f>
        <v>143.166</v>
      </c>
      <c r="BD143" s="72" t="n">
        <f aca="false">BD139+BD140+BD141+BD142</f>
        <v>182.168</v>
      </c>
      <c r="BE143" s="72" t="n">
        <f aca="false">BE139+BE140+BE141+BE142</f>
        <v>168.969</v>
      </c>
      <c r="BF143" s="72" t="n">
        <f aca="false">BF139+BF140+BF141+BF142</f>
        <v>133.559</v>
      </c>
      <c r="BG143" s="72" t="n">
        <f aca="false">BG139+BG140+BG141+BG142</f>
        <v>627.861999999999</v>
      </c>
      <c r="BH143" s="72" t="n">
        <f aca="false">BH139+BH140+BH141+BH142</f>
        <v>142.666</v>
      </c>
      <c r="BI143" s="72" t="n">
        <f aca="false">BI139+BI140+BI141+BI142</f>
        <v>165.903</v>
      </c>
      <c r="BJ143" s="72" t="n">
        <f aca="false">BJ139+BJ140+BJ141+BJ142</f>
        <v>173.896</v>
      </c>
      <c r="BK143" s="72" t="n">
        <f aca="false">BK139+BK140+BK141+BK142</f>
        <v>159.074</v>
      </c>
      <c r="BL143" s="72" t="n">
        <f aca="false">BL139+BL140+BL141+BL142</f>
        <v>641.399000000001</v>
      </c>
      <c r="BM143" s="72" t="n">
        <f aca="false">BM139+BM140+BM141+BM142</f>
        <v>167.549</v>
      </c>
      <c r="BN143" s="72" t="n">
        <f aca="false">BN139+BN140+BN141+BN142</f>
        <v>190.455</v>
      </c>
      <c r="BO143" s="72" t="n">
        <f aca="false">BO139+BO140+BO141+BO142</f>
        <v>180.287</v>
      </c>
      <c r="BP143" s="72" t="n">
        <f aca="false">BP139+BP140+BP141+BP142</f>
        <v>155.703</v>
      </c>
      <c r="BQ143" s="72" t="n">
        <f aca="false">BQ139+BQ140+BQ141+BQ142</f>
        <v>693.994</v>
      </c>
      <c r="BR143" s="72" t="n">
        <f aca="false">BR139+BR140+BR141+BR142</f>
        <v>128.854</v>
      </c>
      <c r="BS143" s="72" t="n">
        <f aca="false">BS139+BS140+BS141+BS142</f>
        <v>162.818</v>
      </c>
      <c r="BT143" s="72" t="n">
        <f aca="false">BT139+BT140+BT141+BT142</f>
        <v>183.301</v>
      </c>
      <c r="BU143" s="72" t="n">
        <f aca="false">BU139+BU140+BU141+BU142</f>
        <v>127.282</v>
      </c>
      <c r="BV143" s="72" t="n">
        <f aca="false">BV139+BV140+BV141+BV142</f>
        <v>602.255</v>
      </c>
      <c r="BW143" s="72" t="n">
        <f aca="false">BW139+BW140+BW141+BW142</f>
        <v>129.736</v>
      </c>
      <c r="BX143" s="72" t="n">
        <f aca="false">BX139+BX140+BX141+BX142</f>
        <v>191.387</v>
      </c>
      <c r="BY143" s="72" t="n">
        <f aca="false">BY139+BY140+BY141+BY142</f>
        <v>186.120239241276</v>
      </c>
      <c r="BZ143" s="72" t="n">
        <f aca="false">BZ139+BZ140+BZ141+BZ142</f>
        <v>180.751366307411</v>
      </c>
      <c r="CA143" s="72" t="n">
        <f aca="false">CA139+CA140+CA141+CA142</f>
        <v>687.994605548687</v>
      </c>
      <c r="CB143" s="72" t="n">
        <f aca="false">CB139+CB140+CB141+CB142</f>
        <v>822.430696249021</v>
      </c>
      <c r="CC143" s="72" t="n">
        <f aca="false">CC139+CC140+CC141+CC142</f>
        <v>875.95179077664</v>
      </c>
      <c r="CD143" s="72" t="n">
        <f aca="false">CD139+CD140+CD141+CD142</f>
        <v>942.445906642759</v>
      </c>
      <c r="CE143" s="72" t="n">
        <f aca="false">CE139+CE140+CE141+CE142</f>
        <v>1052.23059580433</v>
      </c>
      <c r="CF143" s="21"/>
      <c r="CH143" s="31" t="n">
        <f aca="false">IFERROR((CE143/BV143)^(1/5)-1,"n/m")</f>
        <v>0.118062553734741</v>
      </c>
      <c r="CI143" s="31" t="n">
        <f aca="false">IFERROR((BV143/AW143)^(1/5)-1,"n/m")</f>
        <v>0.137596994247912</v>
      </c>
      <c r="CJ143" s="31" t="n">
        <f aca="false">IFERROR((BV143/X143)^(1/10)-1,"n/m")</f>
        <v>0.145301057785127</v>
      </c>
      <c r="CK143" s="31" t="n">
        <f aca="false">IFERROR((BV143/C143)^(1/19)-1,"n/m")</f>
        <v>0.109373692101325</v>
      </c>
    </row>
    <row r="144" customFormat="false" ht="15" hidden="false" customHeight="true" outlineLevel="0" collapsed="false">
      <c r="B144" s="22" t="s">
        <v>311</v>
      </c>
      <c r="C144" s="65" t="n">
        <f aca="false">C129</f>
        <v>4.077</v>
      </c>
      <c r="D144" s="65" t="n">
        <f aca="false">D129</f>
        <v>2.427</v>
      </c>
      <c r="E144" s="65" t="n">
        <f aca="false">E129</f>
        <v>35.511</v>
      </c>
      <c r="F144" s="65" t="n">
        <f aca="false">F129</f>
        <v>-12.3</v>
      </c>
      <c r="G144" s="65" t="n">
        <f aca="false">G129</f>
        <v>0</v>
      </c>
      <c r="H144" s="65" t="n">
        <f aca="false">H129</f>
        <v>0</v>
      </c>
      <c r="I144" s="65" t="n">
        <f aca="false">I129</f>
        <v>0</v>
      </c>
      <c r="J144" s="65" t="n">
        <f aca="false">J129</f>
        <v>0</v>
      </c>
      <c r="K144" s="65" t="n">
        <f aca="false">K129</f>
        <v>0</v>
      </c>
      <c r="L144" s="65" t="n">
        <f aca="false">L129</f>
        <v>0</v>
      </c>
      <c r="M144" s="65" t="n">
        <f aca="false">M129</f>
        <v>0</v>
      </c>
      <c r="N144" s="65" t="n">
        <f aca="false">N129</f>
        <v>0</v>
      </c>
      <c r="O144" s="65" t="n">
        <f aca="false">O129</f>
        <v>0</v>
      </c>
      <c r="P144" s="65" t="n">
        <f aca="false">P129</f>
        <v>0</v>
      </c>
      <c r="Q144" s="65" t="n">
        <f aca="false">Q129</f>
        <v>0</v>
      </c>
      <c r="R144" s="65" t="n">
        <f aca="false">R129</f>
        <v>0</v>
      </c>
      <c r="S144" s="65" t="n">
        <f aca="false">S129</f>
        <v>0</v>
      </c>
      <c r="T144" s="65" t="n">
        <f aca="false">T129</f>
        <v>0</v>
      </c>
      <c r="U144" s="65" t="n">
        <f aca="false">U129</f>
        <v>0</v>
      </c>
      <c r="V144" s="65" t="n">
        <f aca="false">V129</f>
        <v>0</v>
      </c>
      <c r="W144" s="65" t="n">
        <f aca="false">W129</f>
        <v>0</v>
      </c>
      <c r="X144" s="65" t="n">
        <f aca="false">X129</f>
        <v>0</v>
      </c>
      <c r="Y144" s="65" t="n">
        <f aca="false">Y129</f>
        <v>0</v>
      </c>
      <c r="Z144" s="65" t="n">
        <f aca="false">Z129</f>
        <v>0</v>
      </c>
      <c r="AA144" s="65" t="n">
        <f aca="false">AA129</f>
        <v>0</v>
      </c>
      <c r="AB144" s="65" t="n">
        <f aca="false">AB129</f>
        <v>0</v>
      </c>
      <c r="AC144" s="65" t="n">
        <f aca="false">AC129</f>
        <v>0</v>
      </c>
      <c r="AD144" s="65" t="n">
        <f aca="false">AD129</f>
        <v>0</v>
      </c>
      <c r="AE144" s="65" t="n">
        <f aca="false">AE129</f>
        <v>0</v>
      </c>
      <c r="AF144" s="65" t="n">
        <f aca="false">AF129</f>
        <v>0</v>
      </c>
      <c r="AG144" s="65" t="n">
        <f aca="false">AG129</f>
        <v>0</v>
      </c>
      <c r="AH144" s="65" t="n">
        <f aca="false">AH129</f>
        <v>0</v>
      </c>
      <c r="AI144" s="65" t="n">
        <f aca="false">AI129</f>
        <v>0</v>
      </c>
      <c r="AJ144" s="65" t="n">
        <f aca="false">AJ129</f>
        <v>0</v>
      </c>
      <c r="AK144" s="65" t="n">
        <f aca="false">AK129</f>
        <v>0</v>
      </c>
      <c r="AL144" s="65" t="n">
        <f aca="false">AL129</f>
        <v>0</v>
      </c>
      <c r="AM144" s="65" t="n">
        <f aca="false">AM129</f>
        <v>0</v>
      </c>
      <c r="AN144" s="65" t="n">
        <f aca="false">AN129</f>
        <v>0</v>
      </c>
      <c r="AO144" s="65" t="n">
        <f aca="false">AO129</f>
        <v>0</v>
      </c>
      <c r="AP144" s="65" t="n">
        <f aca="false">AP129</f>
        <v>0</v>
      </c>
      <c r="AQ144" s="65" t="n">
        <f aca="false">AQ129</f>
        <v>0</v>
      </c>
      <c r="AR144" s="65" t="n">
        <f aca="false">AR129</f>
        <v>0</v>
      </c>
      <c r="AS144" s="65" t="n">
        <f aca="false">AS129</f>
        <v>0</v>
      </c>
      <c r="AT144" s="65" t="n">
        <f aca="false">AT129</f>
        <v>0</v>
      </c>
      <c r="AU144" s="65" t="n">
        <f aca="false">AU129</f>
        <v>0</v>
      </c>
      <c r="AV144" s="65" t="n">
        <f aca="false">AV129</f>
        <v>0</v>
      </c>
      <c r="AW144" s="65" t="n">
        <f aca="false">AW129</f>
        <v>0</v>
      </c>
      <c r="AX144" s="65" t="n">
        <f aca="false">AX129</f>
        <v>0</v>
      </c>
      <c r="AY144" s="65" t="n">
        <f aca="false">AY129</f>
        <v>0</v>
      </c>
      <c r="AZ144" s="65" t="n">
        <f aca="false">AZ129</f>
        <v>-4.267</v>
      </c>
      <c r="BA144" s="65" t="n">
        <f aca="false">BA129</f>
        <v>0</v>
      </c>
      <c r="BB144" s="65" t="n">
        <f aca="false">BB129</f>
        <v>-4.267</v>
      </c>
      <c r="BC144" s="65" t="n">
        <f aca="false">BC129</f>
        <v>0</v>
      </c>
      <c r="BD144" s="65" t="n">
        <f aca="false">BD129</f>
        <v>0</v>
      </c>
      <c r="BE144" s="65" t="n">
        <f aca="false">BE129</f>
        <v>0</v>
      </c>
      <c r="BF144" s="65" t="n">
        <f aca="false">BF129</f>
        <v>0</v>
      </c>
      <c r="BG144" s="65" t="n">
        <f aca="false">BG129</f>
        <v>0</v>
      </c>
      <c r="BH144" s="65" t="n">
        <f aca="false">BH129</f>
        <v>0</v>
      </c>
      <c r="BI144" s="65" t="n">
        <f aca="false">BI129</f>
        <v>0</v>
      </c>
      <c r="BJ144" s="65" t="n">
        <f aca="false">BJ129</f>
        <v>0</v>
      </c>
      <c r="BK144" s="65" t="n">
        <f aca="false">BK129</f>
        <v>0</v>
      </c>
      <c r="BL144" s="65" t="n">
        <f aca="false">BL129</f>
        <v>0</v>
      </c>
      <c r="BM144" s="65" t="n">
        <f aca="false">BM129</f>
        <v>0</v>
      </c>
      <c r="BN144" s="65" t="n">
        <f aca="false">BN129</f>
        <v>0</v>
      </c>
      <c r="BO144" s="65" t="n">
        <f aca="false">BO129</f>
        <v>0</v>
      </c>
      <c r="BP144" s="65" t="n">
        <f aca="false">BP129</f>
        <v>0</v>
      </c>
      <c r="BQ144" s="65" t="n">
        <f aca="false">BQ129</f>
        <v>0</v>
      </c>
      <c r="BR144" s="65" t="n">
        <f aca="false">BR129</f>
        <v>0</v>
      </c>
      <c r="BS144" s="65" t="n">
        <f aca="false">BS129</f>
        <v>0</v>
      </c>
      <c r="BT144" s="65" t="n">
        <f aca="false">BT129</f>
        <v>-14.503</v>
      </c>
      <c r="BU144" s="65" t="n">
        <f aca="false">BU129</f>
        <v>0</v>
      </c>
      <c r="BV144" s="65" t="n">
        <f aca="false">BV129</f>
        <v>-14.503</v>
      </c>
      <c r="BW144" s="65" t="n">
        <f aca="false">BW129</f>
        <v>0</v>
      </c>
      <c r="BX144" s="65" t="n">
        <f aca="false">BX129</f>
        <v>0</v>
      </c>
      <c r="BY144" s="66" t="n">
        <f aca="false">BY129</f>
        <v>0</v>
      </c>
      <c r="BZ144" s="66" t="n">
        <f aca="false">BZ129</f>
        <v>0</v>
      </c>
      <c r="CA144" s="67" t="n">
        <f aca="false">CA129</f>
        <v>0</v>
      </c>
      <c r="CB144" s="67" t="n">
        <f aca="false">CB129</f>
        <v>0</v>
      </c>
      <c r="CC144" s="67" t="n">
        <f aca="false">CC129</f>
        <v>0</v>
      </c>
      <c r="CD144" s="67" t="n">
        <f aca="false">CD129</f>
        <v>0</v>
      </c>
      <c r="CE144" s="67" t="n">
        <f aca="false">CE129</f>
        <v>0</v>
      </c>
      <c r="CF144" s="21"/>
    </row>
    <row r="145" customFormat="false" ht="15" hidden="false" customHeight="true" outlineLevel="0" collapsed="false">
      <c r="B145" s="71" t="s">
        <v>312</v>
      </c>
      <c r="C145" s="72" t="n">
        <f aca="false">C143+C144</f>
        <v>87.8880000000003</v>
      </c>
      <c r="D145" s="72" t="n">
        <f aca="false">D143+D144</f>
        <v>79.6379999999999</v>
      </c>
      <c r="E145" s="72" t="n">
        <f aca="false">E143+E144</f>
        <v>66.1390000000001</v>
      </c>
      <c r="F145" s="72" t="n">
        <f aca="false">F143+F144</f>
        <v>23.557</v>
      </c>
      <c r="G145" s="72" t="n">
        <f aca="false">G143+G144</f>
        <v>48.694</v>
      </c>
      <c r="H145" s="72" t="n">
        <f aca="false">H143+H144</f>
        <v>65.476</v>
      </c>
      <c r="I145" s="72" t="n">
        <f aca="false">I143+I144</f>
        <v>106.931</v>
      </c>
      <c r="J145" s="72" t="n">
        <f aca="false">J143+J144</f>
        <v>26.232</v>
      </c>
      <c r="K145" s="72" t="n">
        <f aca="false">K143+K144</f>
        <v>35.674</v>
      </c>
      <c r="L145" s="72" t="n">
        <f aca="false">L143+L144</f>
        <v>35.7649999999999</v>
      </c>
      <c r="M145" s="72" t="n">
        <f aca="false">M143+M144</f>
        <v>28.528</v>
      </c>
      <c r="N145" s="72" t="n">
        <f aca="false">N143+N144</f>
        <v>126.199</v>
      </c>
      <c r="O145" s="72" t="n">
        <f aca="false">O143+O144</f>
        <v>29.1019999999999</v>
      </c>
      <c r="P145" s="72" t="n">
        <f aca="false">P143+P144</f>
        <v>37.863</v>
      </c>
      <c r="Q145" s="72" t="n">
        <f aca="false">Q143+Q144</f>
        <v>42.4689999999999</v>
      </c>
      <c r="R145" s="72" t="n">
        <f aca="false">R143+R144</f>
        <v>35.3800000000001</v>
      </c>
      <c r="S145" s="72" t="n">
        <f aca="false">S143+S144</f>
        <v>144.814</v>
      </c>
      <c r="T145" s="72" t="n">
        <f aca="false">T143+T144</f>
        <v>36.483</v>
      </c>
      <c r="U145" s="72" t="n">
        <f aca="false">U143+U144</f>
        <v>47.856</v>
      </c>
      <c r="V145" s="72" t="n">
        <f aca="false">V143+V144</f>
        <v>36.5640000000001</v>
      </c>
      <c r="W145" s="72" t="n">
        <f aca="false">W143+W144</f>
        <v>34.187</v>
      </c>
      <c r="X145" s="72" t="n">
        <f aca="false">X143+X144</f>
        <v>155.09</v>
      </c>
      <c r="Y145" s="72" t="n">
        <f aca="false">Y143+Y144</f>
        <v>34.834</v>
      </c>
      <c r="Z145" s="72" t="n">
        <f aca="false">Z143+Z144</f>
        <v>41.4969999999999</v>
      </c>
      <c r="AA145" s="72" t="n">
        <f aca="false">AA143+AA144</f>
        <v>42.675</v>
      </c>
      <c r="AB145" s="72" t="n">
        <f aca="false">AB143+AB144</f>
        <v>36.547</v>
      </c>
      <c r="AC145" s="72" t="n">
        <f aca="false">AC143+AC144</f>
        <v>155.553</v>
      </c>
      <c r="AD145" s="72" t="n">
        <f aca="false">AD143+AD144</f>
        <v>37.508</v>
      </c>
      <c r="AE145" s="72" t="n">
        <f aca="false">AE143+AE144</f>
        <v>51.81</v>
      </c>
      <c r="AF145" s="72" t="n">
        <f aca="false">AF143+AF144</f>
        <v>47.071</v>
      </c>
      <c r="AG145" s="72" t="n">
        <f aca="false">AG143+AG144</f>
        <v>45.542</v>
      </c>
      <c r="AH145" s="72" t="n">
        <f aca="false">AH143+AH144</f>
        <v>181.931</v>
      </c>
      <c r="AI145" s="72" t="n">
        <f aca="false">AI143+AI144</f>
        <v>50.7120000000001</v>
      </c>
      <c r="AJ145" s="72" t="n">
        <f aca="false">AJ143+AJ144</f>
        <v>66.948</v>
      </c>
      <c r="AK145" s="72" t="n">
        <f aca="false">AK143+AK144</f>
        <v>65.5299999999999</v>
      </c>
      <c r="AL145" s="72" t="n">
        <f aca="false">AL143+AL144</f>
        <v>60.214</v>
      </c>
      <c r="AM145" s="72" t="n">
        <f aca="false">AM143+AM144</f>
        <v>243.404</v>
      </c>
      <c r="AN145" s="72" t="n">
        <f aca="false">AN143+AN144</f>
        <v>55.7470000000001</v>
      </c>
      <c r="AO145" s="72" t="n">
        <f aca="false">AO143+AO144</f>
        <v>80.449</v>
      </c>
      <c r="AP145" s="72" t="n">
        <f aca="false">AP143+AP144</f>
        <v>76.712</v>
      </c>
      <c r="AQ145" s="72" t="n">
        <f aca="false">AQ143+AQ144</f>
        <v>59.567</v>
      </c>
      <c r="AR145" s="72" t="n">
        <f aca="false">AR143+AR144</f>
        <v>272.475</v>
      </c>
      <c r="AS145" s="72" t="n">
        <f aca="false">AS143+AS144</f>
        <v>70.819</v>
      </c>
      <c r="AT145" s="72" t="n">
        <f aca="false">AT143+AT144</f>
        <v>70.096</v>
      </c>
      <c r="AU145" s="72" t="n">
        <f aca="false">AU143+AU144</f>
        <v>89.8310000000001</v>
      </c>
      <c r="AV145" s="72" t="n">
        <f aca="false">AV143+AV144</f>
        <v>85.3640000000001</v>
      </c>
      <c r="AW145" s="72" t="n">
        <f aca="false">AW143+AW144</f>
        <v>316.11</v>
      </c>
      <c r="AX145" s="72" t="n">
        <f aca="false">AX143+AX144</f>
        <v>84.2169999999999</v>
      </c>
      <c r="AY145" s="72" t="n">
        <f aca="false">AY143+AY144</f>
        <v>118.014</v>
      </c>
      <c r="AZ145" s="72" t="n">
        <f aca="false">AZ143+AZ144</f>
        <v>137.578</v>
      </c>
      <c r="BA145" s="72" t="n">
        <f aca="false">BA143+BA144</f>
        <v>133.609</v>
      </c>
      <c r="BB145" s="72" t="n">
        <f aca="false">BB143+BB144</f>
        <v>473.418</v>
      </c>
      <c r="BC145" s="72" t="n">
        <f aca="false">BC143+BC144</f>
        <v>143.166</v>
      </c>
      <c r="BD145" s="72" t="n">
        <f aca="false">BD143+BD144</f>
        <v>182.168</v>
      </c>
      <c r="BE145" s="72" t="n">
        <f aca="false">BE143+BE144</f>
        <v>168.969</v>
      </c>
      <c r="BF145" s="72" t="n">
        <f aca="false">BF143+BF144</f>
        <v>133.559</v>
      </c>
      <c r="BG145" s="72" t="n">
        <f aca="false">BG143+BG144</f>
        <v>627.861999999999</v>
      </c>
      <c r="BH145" s="72" t="n">
        <f aca="false">BH143+BH144</f>
        <v>142.666</v>
      </c>
      <c r="BI145" s="72" t="n">
        <f aca="false">BI143+BI144</f>
        <v>165.903</v>
      </c>
      <c r="BJ145" s="72" t="n">
        <f aca="false">BJ143+BJ144</f>
        <v>173.896</v>
      </c>
      <c r="BK145" s="72" t="n">
        <f aca="false">BK143+BK144</f>
        <v>159.074</v>
      </c>
      <c r="BL145" s="72" t="n">
        <f aca="false">BL143+BL144</f>
        <v>641.399000000001</v>
      </c>
      <c r="BM145" s="72" t="n">
        <f aca="false">BM143+BM144</f>
        <v>167.549</v>
      </c>
      <c r="BN145" s="72" t="n">
        <f aca="false">BN143+BN144</f>
        <v>190.455</v>
      </c>
      <c r="BO145" s="72" t="n">
        <f aca="false">BO143+BO144</f>
        <v>180.287</v>
      </c>
      <c r="BP145" s="72" t="n">
        <f aca="false">BP143+BP144</f>
        <v>155.703</v>
      </c>
      <c r="BQ145" s="72" t="n">
        <f aca="false">BQ143+BQ144</f>
        <v>693.994</v>
      </c>
      <c r="BR145" s="72" t="n">
        <f aca="false">BR143+BR144</f>
        <v>128.854</v>
      </c>
      <c r="BS145" s="72" t="n">
        <f aca="false">BS143+BS144</f>
        <v>162.818</v>
      </c>
      <c r="BT145" s="72" t="n">
        <f aca="false">BT143+BT144</f>
        <v>168.798</v>
      </c>
      <c r="BU145" s="72" t="n">
        <f aca="false">BU143+BU144</f>
        <v>127.282</v>
      </c>
      <c r="BV145" s="72" t="n">
        <f aca="false">BV143+BV144</f>
        <v>587.752</v>
      </c>
      <c r="BW145" s="72" t="n">
        <f aca="false">BW143+BW144</f>
        <v>129.736</v>
      </c>
      <c r="BX145" s="72" t="n">
        <f aca="false">BX143+BX144</f>
        <v>191.387</v>
      </c>
      <c r="BY145" s="72" t="n">
        <f aca="false">BY143+BY144</f>
        <v>186.120239241276</v>
      </c>
      <c r="BZ145" s="72" t="n">
        <f aca="false">BZ143+BZ144</f>
        <v>180.751366307411</v>
      </c>
      <c r="CA145" s="72" t="n">
        <f aca="false">CA143+CA144</f>
        <v>687.994605548687</v>
      </c>
      <c r="CB145" s="72" t="n">
        <f aca="false">CB143+CB144</f>
        <v>822.430696249021</v>
      </c>
      <c r="CC145" s="72" t="n">
        <f aca="false">CC143+CC144</f>
        <v>875.95179077664</v>
      </c>
      <c r="CD145" s="72" t="n">
        <f aca="false">CD143+CD144</f>
        <v>942.445906642759</v>
      </c>
      <c r="CE145" s="72" t="n">
        <f aca="false">CE143+CE144</f>
        <v>1052.23059580433</v>
      </c>
      <c r="CF145" s="21" t="s">
        <v>313</v>
      </c>
      <c r="CH145" s="31" t="n">
        <f aca="false">IFERROR((CE145/BV145)^(1/5)-1,"n/m")</f>
        <v>0.123526607799777</v>
      </c>
      <c r="CI145" s="31" t="n">
        <f aca="false">IFERROR((BV145/AW145)^(1/5)-1,"n/m")</f>
        <v>0.132064511583379</v>
      </c>
      <c r="CJ145" s="31" t="n">
        <f aca="false">IFERROR((BV145/X145)^(1/10)-1,"n/m")</f>
        <v>0.142512688537001</v>
      </c>
      <c r="CK145" s="31" t="n">
        <f aca="false">IFERROR((BV145/C145)^(1/19)-1,"n/m")</f>
        <v>0.105184983711576</v>
      </c>
    </row>
    <row r="146" customFormat="false" ht="15" hidden="false" customHeight="true" outlineLevel="0" collapsed="false">
      <c r="B146" s="22" t="s">
        <v>314</v>
      </c>
      <c r="C146" s="59" t="n">
        <f aca="false">IF(AND(ISNUMBER(C145),ISNUMBER(C81)),IFERROR(C145/C81,""),"")</f>
        <v>0.100473513211956</v>
      </c>
      <c r="D146" s="59" t="n">
        <f aca="false">IF(AND(ISNUMBER(D145),ISNUMBER(D81)),IFERROR(D145/D81,""),"")</f>
        <v>0.0815860296294626</v>
      </c>
      <c r="E146" s="59" t="n">
        <f aca="false">IF(AND(ISNUMBER(E145),ISNUMBER(E81)),IFERROR(E145/E81,""),"")</f>
        <v>0.0641863859529262</v>
      </c>
      <c r="F146" s="59" t="n">
        <f aca="false">IF(AND(ISNUMBER(F145),ISNUMBER(F81)),IFERROR(F145/F81,""),"")</f>
        <v>0.0277421535410492</v>
      </c>
      <c r="G146" s="59" t="n">
        <f aca="false">IF(AND(ISNUMBER(G145),ISNUMBER(G81)),IFERROR(G145/G81,""),"")</f>
        <v>0.0539450069793721</v>
      </c>
      <c r="H146" s="59" t="n">
        <f aca="false">IF(AND(ISNUMBER(H145),ISNUMBER(H81)),IFERROR(H145/H81,""),"")</f>
        <v>0.0635551103449347</v>
      </c>
      <c r="I146" s="59" t="n">
        <f aca="false">IF(AND(ISNUMBER(I145),ISNUMBER(I81)),IFERROR(I145/I81,""),"")</f>
        <v>0.0973268807358657</v>
      </c>
      <c r="J146" s="59" t="n">
        <f aca="false">IF(AND(ISNUMBER(J145),ISNUMBER(J81)),IFERROR(J145/J81,""),"")</f>
        <v>0.095808908124692</v>
      </c>
      <c r="K146" s="59" t="n">
        <f aca="false">IF(AND(ISNUMBER(K145),ISNUMBER(K81)),IFERROR(K145/K81,""),"")</f>
        <v>0.121938630762552</v>
      </c>
      <c r="L146" s="59" t="n">
        <f aca="false">IF(AND(ISNUMBER(L145),ISNUMBER(L81)),IFERROR(L145/L81,""),"")</f>
        <v>0.122028612664499</v>
      </c>
      <c r="M146" s="59" t="n">
        <f aca="false">IF(AND(ISNUMBER(M145),ISNUMBER(M81)),IFERROR(M145/M81,""),"")</f>
        <v>0.102011406912088</v>
      </c>
      <c r="N146" s="59" t="n">
        <f aca="false">IF(AND(ISNUMBER(N145),ISNUMBER(N81)),IFERROR(N145/N81,""),"")</f>
        <v>0.110788925233563</v>
      </c>
      <c r="O146" s="59" t="n">
        <f aca="false">IF(AND(ISNUMBER(O145),ISNUMBER(O81)),IFERROR(O145/O81,""),"")</f>
        <v>0.097094051312848</v>
      </c>
      <c r="P146" s="59" t="n">
        <f aca="false">IF(AND(ISNUMBER(P145),ISNUMBER(P81)),IFERROR(P145/P81,""),"")</f>
        <v>0.114597804472774</v>
      </c>
      <c r="Q146" s="59" t="n">
        <f aca="false">IF(AND(ISNUMBER(Q145),ISNUMBER(Q81)),IFERROR(Q145/Q81,""),"")</f>
        <v>0.127709415896844</v>
      </c>
      <c r="R146" s="59" t="n">
        <f aca="false">IF(AND(ISNUMBER(R145),ISNUMBER(R81)),IFERROR(R145/R81,""),"")</f>
        <v>0.114258771249936</v>
      </c>
      <c r="S146" s="59" t="n">
        <f aca="false">IF(AND(ISNUMBER(S145),ISNUMBER(S81)),IFERROR(S145/S81,""),"")</f>
        <v>0.113818761145969</v>
      </c>
      <c r="T146" s="59" t="n">
        <f aca="false">IF(AND(ISNUMBER(T145),ISNUMBER(T81)),IFERROR(T145/T81,""),"")</f>
        <v>0.124506009787661</v>
      </c>
      <c r="U146" s="59" t="n">
        <f aca="false">IF(AND(ISNUMBER(U145),ISNUMBER(U81)),IFERROR(U145/U81,""),"")</f>
        <v>0.147941140101397</v>
      </c>
      <c r="V146" s="59" t="n">
        <f aca="false">IF(AND(ISNUMBER(V145),ISNUMBER(V81)),IFERROR(V145/V81,""),"")</f>
        <v>0.115271485723474</v>
      </c>
      <c r="W146" s="59" t="n">
        <f aca="false">IF(AND(ISNUMBER(W145),ISNUMBER(W81)),IFERROR(W145/W81,""),"")</f>
        <v>0.11886582524947</v>
      </c>
      <c r="X146" s="59" t="n">
        <f aca="false">IF(AND(ISNUMBER(X145),ISNUMBER(X81)),IFERROR(X145/X81,""),"")</f>
        <v>0.126986492384004</v>
      </c>
      <c r="Y146" s="59" t="n">
        <f aca="false">IF(AND(ISNUMBER(Y145),ISNUMBER(Y81)),IFERROR(Y145/Y81,""),"")</f>
        <v>0.120154116263267</v>
      </c>
      <c r="Z146" s="59" t="n">
        <f aca="false">IF(AND(ISNUMBER(Z145),ISNUMBER(Z81)),IFERROR(Z145/Z81,""),"")</f>
        <v>0.133043715233805</v>
      </c>
      <c r="AA146" s="59" t="n">
        <f aca="false">IF(AND(ISNUMBER(AA145),ISNUMBER(AA81)),IFERROR(AA145/AA81,""),"")</f>
        <v>0.134858836690452</v>
      </c>
      <c r="AB146" s="59" t="n">
        <f aca="false">IF(AND(ISNUMBER(AB145),ISNUMBER(AB81)),IFERROR(AB145/AB81,""),"")</f>
        <v>0.121732845251696</v>
      </c>
      <c r="AC146" s="59" t="n">
        <f aca="false">IF(AND(ISNUMBER(AC145),ISNUMBER(AC81)),IFERROR(AC145/AC81,""),"")</f>
        <v>0.12766140793332</v>
      </c>
      <c r="AD146" s="59" t="n">
        <f aca="false">IF(AND(ISNUMBER(AD145),ISNUMBER(AD81)),IFERROR(AD145/AD81,""),"")</f>
        <v>0.118307957746257</v>
      </c>
      <c r="AE146" s="59" t="n">
        <f aca="false">IF(AND(ISNUMBER(AE145),ISNUMBER(AE81)),IFERROR(AE145/AE81,""),"")</f>
        <v>0.14465601965602</v>
      </c>
      <c r="AF146" s="59" t="n">
        <f aca="false">IF(AND(ISNUMBER(AF145),ISNUMBER(AF81)),IFERROR(AF145/AF81,""),"")</f>
        <v>0.134464751958224</v>
      </c>
      <c r="AG146" s="59" t="n">
        <f aca="false">IF(AND(ISNUMBER(AG145),ISNUMBER(AG81)),IFERROR(AG145/AG81,""),"")</f>
        <v>0.128922494203838</v>
      </c>
      <c r="AH146" s="59" t="n">
        <f aca="false">IF(AND(ISNUMBER(AH145),ISNUMBER(AH81)),IFERROR(AH145/AH81,""),"")</f>
        <v>0.131976554395688</v>
      </c>
      <c r="AI146" s="59" t="n">
        <f aca="false">IF(AND(ISNUMBER(AI145),ISNUMBER(AI81)),IFERROR(AI145/AI81,""),"")</f>
        <v>0.12910222629549</v>
      </c>
      <c r="AJ146" s="59" t="n">
        <f aca="false">IF(AND(ISNUMBER(AJ145),ISNUMBER(AJ81)),IFERROR(AJ145/AJ81,""),"")</f>
        <v>0.156153494490731</v>
      </c>
      <c r="AK146" s="59" t="n">
        <f aca="false">IF(AND(ISNUMBER(AK145),ISNUMBER(AK81)),IFERROR(AK145/AK81,""),"")</f>
        <v>0.15398461328784</v>
      </c>
      <c r="AL146" s="59" t="n">
        <f aca="false">IF(AND(ISNUMBER(AL145),ISNUMBER(AL81)),IFERROR(AL145/AL81,""),"")</f>
        <v>0.148036877688998</v>
      </c>
      <c r="AM146" s="59" t="n">
        <f aca="false">IF(AND(ISNUMBER(AM145),ISNUMBER(AM81)),IFERROR(AM145/AM81,""),"")</f>
        <v>0.147174258351276</v>
      </c>
      <c r="AN146" s="59" t="n">
        <f aca="false">IF(AND(ISNUMBER(AN145),ISNUMBER(AN81)),IFERROR(AN145/AN81,""),"")</f>
        <v>0.135774896245348</v>
      </c>
      <c r="AO146" s="59" t="n">
        <f aca="false">IF(AND(ISNUMBER(AO145),ISNUMBER(AO81)),IFERROR(AO145/AO81,""),"")</f>
        <v>0.173308631070994</v>
      </c>
      <c r="AP146" s="59" t="n">
        <f aca="false">IF(AND(ISNUMBER(AP145),ISNUMBER(AP81)),IFERROR(AP145/AP81,""),"")</f>
        <v>0.163603054867762</v>
      </c>
      <c r="AQ146" s="59" t="n">
        <f aca="false">IF(AND(ISNUMBER(AQ145),ISNUMBER(AQ81)),IFERROR(AQ145/AQ81,""),"")</f>
        <v>0.134443027546748</v>
      </c>
      <c r="AR146" s="59" t="n">
        <f aca="false">IF(AND(ISNUMBER(AR145),ISNUMBER(AR81)),IFERROR(AR145/AR81,""),"")</f>
        <v>0.152498831667819</v>
      </c>
      <c r="AS146" s="59" t="n">
        <f aca="false">IF(AND(ISNUMBER(AS145),ISNUMBER(AS81)),IFERROR(AS145/AS81,""),"")</f>
        <v>0.158646134821997</v>
      </c>
      <c r="AT146" s="59" t="n">
        <f aca="false">IF(AND(ISNUMBER(AT145),ISNUMBER(AT81)),IFERROR(AT145/AT81,""),"")</f>
        <v>0.16764805770675</v>
      </c>
      <c r="AU146" s="59" t="n">
        <f aca="false">IF(AND(ISNUMBER(AU145),ISNUMBER(AU81)),IFERROR(AU145/AU81,""),"")</f>
        <v>0.186613734850657</v>
      </c>
      <c r="AV146" s="59" t="n">
        <f aca="false">IF(AND(ISNUMBER(AV145),ISNUMBER(AV81)),IFERROR(AV145/AV81,""),"")</f>
        <v>0.17915472147951</v>
      </c>
      <c r="AW146" s="59" t="n">
        <f aca="false">IF(AND(ISNUMBER(AW145),ISNUMBER(AW81)),IFERROR(AW145/AW81,""),"")</f>
        <v>0.17346131347929</v>
      </c>
      <c r="AX146" s="59" t="n">
        <f aca="false">IF(AND(ISNUMBER(AX145),ISNUMBER(AX81)),IFERROR(AX145/AX81,""),"")</f>
        <v>0.173975466560898</v>
      </c>
      <c r="AY146" s="59" t="n">
        <f aca="false">IF(AND(ISNUMBER(AY145),ISNUMBER(AY81)),IFERROR(AY145/AY81,""),"")</f>
        <v>0.206559047000611</v>
      </c>
      <c r="AZ146" s="59" t="n">
        <f aca="false">IF(AND(ISNUMBER(AZ145),ISNUMBER(AZ81)),IFERROR(AZ145/AZ81,""),"")</f>
        <v>0.223262622197411</v>
      </c>
      <c r="BA146" s="59" t="n">
        <f aca="false">IF(AND(ISNUMBER(BA145),ISNUMBER(BA81)),IFERROR(BA145/BA81,""),"")</f>
        <v>0.21651776671134</v>
      </c>
      <c r="BB146" s="59" t="n">
        <f aca="false">IF(AND(ISNUMBER(BB145),ISNUMBER(BB81)),IFERROR(BB145/BB81,""),"")</f>
        <v>0.206849815441403</v>
      </c>
      <c r="BC146" s="59" t="n">
        <f aca="false">IF(AND(ISNUMBER(BC145),ISNUMBER(BC81)),IFERROR(BC145/BC81,""),"")</f>
        <v>0.216519261481876</v>
      </c>
      <c r="BD146" s="59" t="n">
        <f aca="false">IF(AND(ISNUMBER(BD145),ISNUMBER(BD81)),IFERROR(BD145/BD81,""),"")</f>
        <v>0.244339108904251</v>
      </c>
      <c r="BE146" s="59" t="n">
        <f aca="false">IF(AND(ISNUMBER(BE145),ISNUMBER(BE81)),IFERROR(BE145/BE81,""),"")</f>
        <v>0.23160366302475</v>
      </c>
      <c r="BF146" s="59" t="n">
        <f aca="false">IF(AND(ISNUMBER(BF145),ISNUMBER(BF81)),IFERROR(BF145/BF81,""),"")</f>
        <v>0.203681110707826</v>
      </c>
      <c r="BG146" s="59" t="n">
        <f aca="false">IF(AND(ISNUMBER(BG145),ISNUMBER(BG81)),IFERROR(BG145/BG81,""),"")</f>
        <v>0.224874348911931</v>
      </c>
      <c r="BH146" s="59" t="n">
        <f aca="false">IF(AND(ISNUMBER(BH145),ISNUMBER(BH81)),IFERROR(BH145/BH81,""),"")</f>
        <v>0.215985526883511</v>
      </c>
      <c r="BI146" s="59" t="n">
        <f aca="false">IF(AND(ISNUMBER(BI145),ISNUMBER(BI81)),IFERROR(BI145/BI81,""),"")</f>
        <v>0.238839253579645</v>
      </c>
      <c r="BJ146" s="59" t="n">
        <f aca="false">IF(AND(ISNUMBER(BJ145),ISNUMBER(BJ81)),IFERROR(BJ145/BJ81,""),"")</f>
        <v>0.224340251617764</v>
      </c>
      <c r="BK146" s="59" t="n">
        <f aca="false">IF(AND(ISNUMBER(BK145),ISNUMBER(BK81)),IFERROR(BK145/BK81,""),"")</f>
        <v>0.21177902153017</v>
      </c>
      <c r="BL146" s="59" t="n">
        <f aca="false">IF(AND(ISNUMBER(BL145),ISNUMBER(BL81)),IFERROR(BL145/BL81,""),"")</f>
        <v>0.222597228531776</v>
      </c>
      <c r="BM146" s="59" t="n">
        <f aca="false">IF(AND(ISNUMBER(BM145),ISNUMBER(BM81)),IFERROR(BM145/BM81,""),"")</f>
        <v>0.221985359875459</v>
      </c>
      <c r="BN146" s="59" t="n">
        <f aca="false">IF(AND(ISNUMBER(BN145),ISNUMBER(BN81)),IFERROR(BN145/BN81,""),"")</f>
        <v>0.231346963962082</v>
      </c>
      <c r="BO146" s="59" t="n">
        <f aca="false">IF(AND(ISNUMBER(BO145),ISNUMBER(BO81)),IFERROR(BO145/BO81,""),"")</f>
        <v>0.214091387870605</v>
      </c>
      <c r="BP146" s="59" t="n">
        <f aca="false">IF(AND(ISNUMBER(BP145),ISNUMBER(BP81)),IFERROR(BP145/BP81,""),"")</f>
        <v>0.197354211663067</v>
      </c>
      <c r="BQ146" s="59" t="n">
        <f aca="false">IF(AND(ISNUMBER(BQ145),ISNUMBER(BQ81)),IFERROR(BQ145/BQ81,""),"")</f>
        <v>0.216259893040796</v>
      </c>
      <c r="BR146" s="59" t="n">
        <f aca="false">IF(AND(ISNUMBER(BR145),ISNUMBER(BR81)),IFERROR(BR145/BR81,""),"")</f>
        <v>0.163608545217916</v>
      </c>
      <c r="BS146" s="59" t="n">
        <f aca="false">IF(AND(ISNUMBER(BS145),ISNUMBER(BS81)),IFERROR(BS145/BS81,""),"")</f>
        <v>0.19925959014337</v>
      </c>
      <c r="BT146" s="59" t="n">
        <f aca="false">IF(AND(ISNUMBER(BT145),ISNUMBER(BT81)),IFERROR(BT145/BT81,""),"")</f>
        <v>0.201035200632649</v>
      </c>
      <c r="BU146" s="59" t="n">
        <f aca="false">IF(AND(ISNUMBER(BU145),ISNUMBER(BU81)),IFERROR(BU145/BU81,""),"")</f>
        <v>0.161126245645305</v>
      </c>
      <c r="BV146" s="59" t="n">
        <f aca="false">IF(AND(ISNUMBER(BV145),ISNUMBER(BV81)),IFERROR(BV145/BV81,""),"")</f>
        <v>0.18172542564263</v>
      </c>
      <c r="BW146" s="59" t="n">
        <f aca="false">IF(AND(ISNUMBER(BW145),ISNUMBER(BW81)),IFERROR(BW145/BW81,""),"")</f>
        <v>0.160917658324093</v>
      </c>
      <c r="BX146" s="59" t="n">
        <f aca="false">IF(AND(ISNUMBER(BX145),ISNUMBER(BX81)),IFERROR(BX145/BX81,""),"")</f>
        <v>0.20009221176505</v>
      </c>
      <c r="BY146" s="52" t="n">
        <f aca="false">IF(AND(ISNUMBER(BY145),ISNUMBER(BY81)),IFERROR(BY145/BY81,""),"")</f>
        <v>0.187636170383425</v>
      </c>
      <c r="BZ146" s="52" t="n">
        <f aca="false">IF(AND(ISNUMBER(BZ145),ISNUMBER(BZ81)),IFERROR(BZ145/BZ81,""),"")</f>
        <v>0.184254307866007</v>
      </c>
      <c r="CA146" s="30" t="n">
        <f aca="false">IF(AND(ISNUMBER(CA145),ISNUMBER(CA81)),IFERROR(CA145/CA81,""),"")</f>
        <v>0.184170998359722</v>
      </c>
      <c r="CB146" s="30" t="n">
        <f aca="false">IF(AND(ISNUMBER(CB145),ISNUMBER(CB81)),IFERROR(CB145/CB81,""),"")</f>
        <v>0.201618292318603</v>
      </c>
      <c r="CC146" s="30" t="n">
        <f aca="false">IF(AND(ISNUMBER(CC145),ISNUMBER(CC81)),IFERROR(CC145/CC81,""),"")</f>
        <v>0.202188336047411</v>
      </c>
      <c r="CD146" s="30" t="n">
        <f aca="false">IF(AND(ISNUMBER(CD145),ISNUMBER(CD81)),IFERROR(CD145/CD81,""),"")</f>
        <v>0.203151922530924</v>
      </c>
      <c r="CE146" s="30" t="n">
        <f aca="false">IF(AND(ISNUMBER(CE145),ISNUMBER(CE81)),IFERROR(CE145/CE81,""),"")</f>
        <v>0.209709830665976</v>
      </c>
      <c r="CF146" s="21"/>
      <c r="CH146" s="64" t="n">
        <f aca="false">IFERROR(AVERAGE(CA146,CB146,CC146,CD146,CE146),"n/m")</f>
        <v>0.200167875984527</v>
      </c>
      <c r="CI146" s="64" t="n">
        <f aca="false">IFERROR(AVERAGE(BB146,BG146,BL146,BQ146,BV146),"n/m")</f>
        <v>0.210461342313707</v>
      </c>
      <c r="CJ146" s="64" t="n">
        <f aca="false">IFERROR(AVERAGE(AC146,AH146,AM146,AR146,AW146,BB146,BG146,BL146,BQ146,BV146),"n/m")</f>
        <v>0.178507907739593</v>
      </c>
      <c r="CK146" s="64" t="n">
        <f aca="false">IFERROR(AVERAGE(C146,D146,E146,F146,G146,H146,I146,N146,S146,X146,AC146,AH146,AM146,AR146,AW146,BB146,BG146,BL146,BQ146,BV146),"n/m")</f>
        <v>0.131274416827752</v>
      </c>
    </row>
    <row r="147" customFormat="false" ht="15" hidden="false" customHeight="true" outlineLevel="0" collapsed="false">
      <c r="B147" s="74" t="s">
        <v>315</v>
      </c>
      <c r="C147" s="65" t="n">
        <f aca="false">ROUND(C145-(C130+C87-C99),1)</f>
        <v>0</v>
      </c>
      <c r="D147" s="65" t="n">
        <f aca="false">ROUND(D145-(D130+D87-D99),1)</f>
        <v>0</v>
      </c>
      <c r="E147" s="65" t="n">
        <f aca="false">ROUND(E145-(E130+E87-E99),1)</f>
        <v>0</v>
      </c>
      <c r="F147" s="65" t="n">
        <f aca="false">ROUND(F145-(F130+F87-F99),1)</f>
        <v>0</v>
      </c>
      <c r="G147" s="65" t="n">
        <f aca="false">ROUND(G145-(G130+G87-G99),1)</f>
        <v>0</v>
      </c>
      <c r="H147" s="65" t="n">
        <f aca="false">ROUND(H145-(H130+H87-H99),1)</f>
        <v>0</v>
      </c>
      <c r="I147" s="65" t="n">
        <f aca="false">ROUND(I145-(I130+I87-I99),1)</f>
        <v>0</v>
      </c>
      <c r="J147" s="65" t="n">
        <f aca="false">ROUND(J145-(J130+J87-J99),1)</f>
        <v>0</v>
      </c>
      <c r="K147" s="65" t="n">
        <f aca="false">ROUND(K145-(K130+K87-K99),1)</f>
        <v>0</v>
      </c>
      <c r="L147" s="65" t="n">
        <f aca="false">ROUND(L145-(L130+L87-L99),1)</f>
        <v>0</v>
      </c>
      <c r="M147" s="65" t="n">
        <f aca="false">ROUND(M145-(M130+M87-M99),1)</f>
        <v>0</v>
      </c>
      <c r="N147" s="65" t="n">
        <f aca="false">ROUND(N145-(N130+N87-N99),1)</f>
        <v>0</v>
      </c>
      <c r="O147" s="65" t="n">
        <f aca="false">ROUND(O145-(O130+O87-O99),1)</f>
        <v>0</v>
      </c>
      <c r="P147" s="65" t="n">
        <f aca="false">ROUND(P145-(P130+P87-P99),1)</f>
        <v>0</v>
      </c>
      <c r="Q147" s="65" t="n">
        <f aca="false">ROUND(Q145-(Q130+Q87-Q99),1)</f>
        <v>0</v>
      </c>
      <c r="R147" s="65" t="n">
        <f aca="false">ROUND(R145-(R130+R87-R99),1)</f>
        <v>0</v>
      </c>
      <c r="S147" s="65" t="n">
        <f aca="false">ROUND(S145-(S130+S87-S99),1)</f>
        <v>0</v>
      </c>
      <c r="T147" s="65" t="n">
        <f aca="false">ROUND(T145-(T130+T87-T99),1)</f>
        <v>0</v>
      </c>
      <c r="U147" s="65" t="n">
        <f aca="false">ROUND(U145-(U130+U87-U99),1)</f>
        <v>0</v>
      </c>
      <c r="V147" s="65" t="n">
        <f aca="false">ROUND(V145-(V130+V87-V99),1)</f>
        <v>0</v>
      </c>
      <c r="W147" s="65" t="n">
        <f aca="false">ROUND(W145-(W130+W87-W99),1)</f>
        <v>0</v>
      </c>
      <c r="X147" s="65" t="n">
        <f aca="false">ROUND(X145-(X130+X87-X99),1)</f>
        <v>0</v>
      </c>
      <c r="Y147" s="65" t="n">
        <f aca="false">ROUND(Y145-(Y130+Y87-Y99),1)</f>
        <v>0</v>
      </c>
      <c r="Z147" s="65" t="n">
        <f aca="false">ROUND(Z145-(Z130+Z87-Z99),1)</f>
        <v>0</v>
      </c>
      <c r="AA147" s="65" t="n">
        <f aca="false">ROUND(AA145-(AA130+AA87-AA99),1)</f>
        <v>0</v>
      </c>
      <c r="AB147" s="65" t="n">
        <f aca="false">ROUND(AB145-(AB130+AB87-AB99),1)</f>
        <v>0</v>
      </c>
      <c r="AC147" s="65" t="n">
        <f aca="false">ROUND(AC145-(AC130+AC87-AC99),1)</f>
        <v>0</v>
      </c>
      <c r="AD147" s="65" t="n">
        <f aca="false">ROUND(AD145-(AD130+AD87-AD99),1)</f>
        <v>0</v>
      </c>
      <c r="AE147" s="65" t="n">
        <f aca="false">ROUND(AE145-(AE130+AE87-AE99),1)</f>
        <v>0</v>
      </c>
      <c r="AF147" s="65" t="n">
        <f aca="false">ROUND(AF145-(AF130+AF87-AF99),1)</f>
        <v>0</v>
      </c>
      <c r="AG147" s="65" t="n">
        <f aca="false">ROUND(AG145-(AG130+AG87-AG99),1)</f>
        <v>0</v>
      </c>
      <c r="AH147" s="65" t="n">
        <f aca="false">ROUND(AH145-(AH130+AH87-AH99),1)</f>
        <v>0</v>
      </c>
      <c r="AI147" s="65" t="n">
        <f aca="false">ROUND(AI145-(AI130+AI87-AI99),1)</f>
        <v>0</v>
      </c>
      <c r="AJ147" s="65" t="n">
        <f aca="false">ROUND(AJ145-(AJ130+AJ87-AJ99),1)</f>
        <v>0</v>
      </c>
      <c r="AK147" s="65" t="n">
        <f aca="false">ROUND(AK145-(AK130+AK87-AK99),1)</f>
        <v>0</v>
      </c>
      <c r="AL147" s="65" t="n">
        <f aca="false">ROUND(AL145-(AL130+AL87-AL99),1)</f>
        <v>0</v>
      </c>
      <c r="AM147" s="65" t="n">
        <f aca="false">ROUND(AM145-(AM130+AM87-AM99),1)</f>
        <v>0</v>
      </c>
      <c r="AN147" s="65" t="n">
        <f aca="false">ROUND(AN145-(AN130+AN87-AN99),1)</f>
        <v>0</v>
      </c>
      <c r="AO147" s="65" t="n">
        <f aca="false">ROUND(AO145-(AO130+AO87-AO99),1)</f>
        <v>0</v>
      </c>
      <c r="AP147" s="65" t="n">
        <f aca="false">ROUND(AP145-(AP130+AP87-AP99),1)</f>
        <v>0</v>
      </c>
      <c r="AQ147" s="65" t="n">
        <f aca="false">ROUND(AQ145-(AQ130+AQ87-AQ99),1)</f>
        <v>0</v>
      </c>
      <c r="AR147" s="65" t="n">
        <f aca="false">ROUND(AR145-(AR130+AR87-AR99),1)</f>
        <v>0</v>
      </c>
      <c r="AS147" s="65" t="n">
        <f aca="false">ROUND(AS145-(AS130+AS87-AS99),1)</f>
        <v>0</v>
      </c>
      <c r="AT147" s="65" t="n">
        <f aca="false">ROUND(AT145-(AT130+AT87-AT99),1)</f>
        <v>0</v>
      </c>
      <c r="AU147" s="65" t="n">
        <f aca="false">ROUND(AU145-(AU130+AU87-AU99),1)</f>
        <v>0</v>
      </c>
      <c r="AV147" s="65" t="n">
        <f aca="false">ROUND(AV145-(AV130+AV87-AV99),1)</f>
        <v>0</v>
      </c>
      <c r="AW147" s="65" t="n">
        <f aca="false">ROUND(AW145-(AW130+AW87-AW99),1)</f>
        <v>0</v>
      </c>
      <c r="AX147" s="65" t="n">
        <f aca="false">ROUND(AX145-(AX130+AX87-AX99),1)</f>
        <v>0</v>
      </c>
      <c r="AY147" s="65" t="n">
        <f aca="false">ROUND(AY145-(AY130+AY87-AY99),1)</f>
        <v>0</v>
      </c>
      <c r="AZ147" s="65" t="n">
        <f aca="false">ROUND(AZ145-(AZ130+AZ87-AZ99),1)</f>
        <v>0</v>
      </c>
      <c r="BA147" s="65" t="n">
        <f aca="false">ROUND(BA145-(BA130+BA87-BA99),1)</f>
        <v>0</v>
      </c>
      <c r="BB147" s="65" t="n">
        <f aca="false">ROUND(BB145-(BB130+BB87-BB99),1)</f>
        <v>0</v>
      </c>
      <c r="BC147" s="65" t="n">
        <f aca="false">ROUND(BC145-(BC130+BC87-BC99),1)</f>
        <v>0</v>
      </c>
      <c r="BD147" s="65" t="n">
        <f aca="false">ROUND(BD145-(BD130+BD87-BD99),1)</f>
        <v>0</v>
      </c>
      <c r="BE147" s="65" t="n">
        <f aca="false">ROUND(BE145-(BE130+BE87-BE99),1)</f>
        <v>0</v>
      </c>
      <c r="BF147" s="65" t="n">
        <f aca="false">ROUND(BF145-(BF130+BF87-BF99),1)</f>
        <v>0</v>
      </c>
      <c r="BG147" s="65" t="n">
        <f aca="false">ROUND(BG145-(BG130+BG87-BG99),1)</f>
        <v>0</v>
      </c>
      <c r="BH147" s="65" t="n">
        <f aca="false">ROUND(BH145-(BH130+BH87-BH99),1)</f>
        <v>0</v>
      </c>
      <c r="BI147" s="65" t="n">
        <f aca="false">ROUND(BI145-(BI130+BI87-BI99),1)</f>
        <v>0</v>
      </c>
      <c r="BJ147" s="65" t="n">
        <f aca="false">ROUND(BJ145-(BJ130+BJ87-BJ99),1)</f>
        <v>0</v>
      </c>
      <c r="BK147" s="65" t="n">
        <f aca="false">ROUND(BK145-(BK130+BK87-BK99),1)</f>
        <v>0</v>
      </c>
      <c r="BL147" s="65" t="n">
        <f aca="false">ROUND(BL145-(BL130+BL87-BL99),1)</f>
        <v>0</v>
      </c>
      <c r="BM147" s="65" t="n">
        <f aca="false">ROUND(BM145-(BM130+BM87-BM99),1)</f>
        <v>0</v>
      </c>
      <c r="BN147" s="65" t="n">
        <f aca="false">ROUND(BN145-(BN130+BN87-BN99),1)</f>
        <v>0</v>
      </c>
      <c r="BO147" s="65" t="n">
        <f aca="false">ROUND(BO145-(BO130+BO87-BO99),1)</f>
        <v>0</v>
      </c>
      <c r="BP147" s="65" t="n">
        <f aca="false">ROUND(BP145-(BP130+BP87-BP99),1)</f>
        <v>0</v>
      </c>
      <c r="BQ147" s="65" t="n">
        <f aca="false">ROUND(BQ145-(BQ130+BQ87-BQ99),1)</f>
        <v>0</v>
      </c>
      <c r="BR147" s="65" t="n">
        <f aca="false">ROUND(BR145-(BR130+BR87-BR99),1)</f>
        <v>0</v>
      </c>
      <c r="BS147" s="65" t="n">
        <f aca="false">ROUND(BS145-(BS130+BS87-BS99),1)</f>
        <v>0</v>
      </c>
      <c r="BT147" s="65" t="n">
        <f aca="false">ROUND(BT145-(BT130+BT87-BT99),1)</f>
        <v>0</v>
      </c>
      <c r="BU147" s="65" t="n">
        <f aca="false">ROUND(BU145-(BU130+BU87-BU99),1)</f>
        <v>0</v>
      </c>
      <c r="BV147" s="65" t="n">
        <f aca="false">ROUND(BV145-(BV130+BV87-BV99),1)</f>
        <v>0</v>
      </c>
      <c r="BW147" s="65" t="n">
        <f aca="false">ROUND(BW145-(BW130+BW87-BW99),1)</f>
        <v>0</v>
      </c>
      <c r="BX147" s="65" t="n">
        <f aca="false">ROUND(BX145-(BX130+BX87-BX99),1)</f>
        <v>0</v>
      </c>
      <c r="BY147" s="67" t="n">
        <f aca="false">ROUND(BY145-(BY130+BY87-BY99),1)</f>
        <v>0</v>
      </c>
      <c r="BZ147" s="67" t="n">
        <f aca="false">ROUND(BZ145-(BZ130+BZ87-BZ99),1)</f>
        <v>0</v>
      </c>
      <c r="CA147" s="67" t="n">
        <f aca="false">ROUND(CA145-(CA130+CA87-CA99),1)</f>
        <v>0</v>
      </c>
      <c r="CB147" s="67" t="n">
        <f aca="false">ROUND(CB145-(CB130+CB87-CB99),1)</f>
        <v>0</v>
      </c>
      <c r="CC147" s="67" t="n">
        <f aca="false">ROUND(CC145-(CC130+CC87-CC99),1)</f>
        <v>0</v>
      </c>
      <c r="CD147" s="67" t="n">
        <f aca="false">ROUND(CD145-(CD130+CD87-CD99),1)</f>
        <v>0</v>
      </c>
      <c r="CE147" s="67" t="n">
        <f aca="false">ROUND(CE145-(CE130+CE87-CE99),1)</f>
        <v>0</v>
      </c>
      <c r="CF147" s="21"/>
    </row>
    <row r="148" customFormat="false" ht="15" hidden="false" customHeight="true" outlineLevel="0" collapsed="false">
      <c r="B148" s="37" t="s">
        <v>316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90"/>
      <c r="BM148" s="42"/>
      <c r="BN148" s="42"/>
      <c r="BO148" s="42"/>
      <c r="BP148" s="42"/>
      <c r="BQ148" s="42"/>
      <c r="BR148" s="90"/>
      <c r="BS148" s="90"/>
      <c r="BT148" s="42"/>
      <c r="BU148" s="42"/>
      <c r="BV148" s="42"/>
      <c r="BW148" s="42"/>
      <c r="BX148" s="42"/>
      <c r="BY148" s="43"/>
      <c r="BZ148" s="43"/>
      <c r="CA148" s="43"/>
      <c r="CB148" s="43"/>
      <c r="CC148" s="43"/>
      <c r="CD148" s="43"/>
      <c r="CE148" s="43"/>
      <c r="CF148" s="21"/>
    </row>
    <row r="149" customFormat="false" ht="15" hidden="false" customHeight="true" outlineLevel="0" collapsed="false">
      <c r="B149" s="22" t="s">
        <v>317</v>
      </c>
      <c r="C149" s="65" t="n">
        <f aca="false">-C87</f>
        <v>-32.55</v>
      </c>
      <c r="D149" s="65" t="n">
        <f aca="false">-D87</f>
        <v>-38.685</v>
      </c>
      <c r="E149" s="65" t="n">
        <f aca="false">-E87</f>
        <v>-40.898</v>
      </c>
      <c r="F149" s="65" t="n">
        <f aca="false">-F87</f>
        <v>-39.342</v>
      </c>
      <c r="G149" s="65" t="n">
        <f aca="false">-G87</f>
        <v>-36.159</v>
      </c>
      <c r="H149" s="65" t="n">
        <f aca="false">-H87</f>
        <v>-37.278</v>
      </c>
      <c r="I149" s="65" t="n">
        <f aca="false">-I87</f>
        <v>-47.985</v>
      </c>
      <c r="J149" s="65" t="n">
        <f aca="false">-J87</f>
        <v>-11.634</v>
      </c>
      <c r="K149" s="65" t="n">
        <f aca="false">-K87</f>
        <v>-12.386</v>
      </c>
      <c r="L149" s="65" t="n">
        <f aca="false">-L87</f>
        <v>-13.745</v>
      </c>
      <c r="M149" s="65" t="n">
        <f aca="false">-M87</f>
        <v>-13.799</v>
      </c>
      <c r="N149" s="65" t="n">
        <f aca="false">-N87</f>
        <v>-51.564</v>
      </c>
      <c r="O149" s="65" t="n">
        <f aca="false">-O87</f>
        <v>-13.841</v>
      </c>
      <c r="P149" s="65" t="n">
        <f aca="false">-P87</f>
        <v>-15.087</v>
      </c>
      <c r="Q149" s="65" t="n">
        <f aca="false">-Q87</f>
        <v>-15.336</v>
      </c>
      <c r="R149" s="65" t="n">
        <f aca="false">-R87</f>
        <v>-14.758</v>
      </c>
      <c r="S149" s="65" t="n">
        <f aca="false">-S87</f>
        <v>-59.022</v>
      </c>
      <c r="T149" s="65" t="n">
        <f aca="false">-T87</f>
        <v>-15.199</v>
      </c>
      <c r="U149" s="65" t="n">
        <f aca="false">-U87</f>
        <v>-16.561</v>
      </c>
      <c r="V149" s="65" t="n">
        <f aca="false">-V87</f>
        <v>-16.765</v>
      </c>
      <c r="W149" s="65" t="n">
        <f aca="false">-W87</f>
        <v>-16.495</v>
      </c>
      <c r="X149" s="65" t="n">
        <f aca="false">-X87</f>
        <v>-65.02</v>
      </c>
      <c r="Y149" s="65" t="n">
        <f aca="false">-Y87</f>
        <v>-17.243</v>
      </c>
      <c r="Z149" s="65" t="n">
        <f aca="false">-Z87</f>
        <v>-19.74</v>
      </c>
      <c r="AA149" s="65" t="n">
        <f aca="false">-AA87</f>
        <v>-19.927</v>
      </c>
      <c r="AB149" s="65" t="n">
        <f aca="false">-AB87</f>
        <v>-19.33</v>
      </c>
      <c r="AC149" s="65" t="n">
        <f aca="false">-AC87</f>
        <v>-76.24</v>
      </c>
      <c r="AD149" s="65" t="n">
        <f aca="false">-AD87</f>
        <v>-20.087</v>
      </c>
      <c r="AE149" s="65" t="n">
        <f aca="false">-AE87</f>
        <v>-22.182</v>
      </c>
      <c r="AF149" s="65" t="n">
        <f aca="false">-AF87</f>
        <v>-22.338</v>
      </c>
      <c r="AG149" s="65" t="n">
        <f aca="false">-AG87</f>
        <v>-22.495</v>
      </c>
      <c r="AH149" s="65" t="n">
        <f aca="false">-AH87</f>
        <v>-87.102</v>
      </c>
      <c r="AI149" s="65" t="n">
        <f aca="false">-AI87</f>
        <v>-23.03</v>
      </c>
      <c r="AJ149" s="65" t="n">
        <f aca="false">-AJ87</f>
        <v>-25.241</v>
      </c>
      <c r="AK149" s="65" t="n">
        <f aca="false">-AK87</f>
        <v>-26.694</v>
      </c>
      <c r="AL149" s="65" t="n">
        <f aca="false">-AL87</f>
        <v>-27.188</v>
      </c>
      <c r="AM149" s="65" t="n">
        <f aca="false">-AM87</f>
        <v>-102.153</v>
      </c>
      <c r="AN149" s="65" t="n">
        <f aca="false">-AN87</f>
        <v>-26.782</v>
      </c>
      <c r="AO149" s="65" t="n">
        <f aca="false">-AO87</f>
        <v>-29.143</v>
      </c>
      <c r="AP149" s="65" t="n">
        <f aca="false">-AP87</f>
        <v>-31.333</v>
      </c>
      <c r="AQ149" s="65" t="n">
        <f aca="false">-AQ87</f>
        <v>-31.877</v>
      </c>
      <c r="AR149" s="65" t="n">
        <f aca="false">-AR87</f>
        <v>-119.135</v>
      </c>
      <c r="AS149" s="65" t="n">
        <f aca="false">-AS87</f>
        <v>-32.59</v>
      </c>
      <c r="AT149" s="65" t="n">
        <f aca="false">-AT87</f>
        <v>-33.664</v>
      </c>
      <c r="AU149" s="65" t="n">
        <f aca="false">-AU87</f>
        <v>-34.224</v>
      </c>
      <c r="AV149" s="65" t="n">
        <f aca="false">-AV87</f>
        <v>-34.177</v>
      </c>
      <c r="AW149" s="65" t="n">
        <f aca="false">-AW87</f>
        <v>-134.655</v>
      </c>
      <c r="AX149" s="65" t="n">
        <f aca="false">-AX87</f>
        <v>-35.372</v>
      </c>
      <c r="AY149" s="65" t="n">
        <f aca="false">-AY87</f>
        <v>-34.659</v>
      </c>
      <c r="AZ149" s="65" t="n">
        <f aca="false">-AZ87</f>
        <v>-35.742</v>
      </c>
      <c r="BA149" s="65" t="n">
        <f aca="false">-BA87</f>
        <v>-35.927</v>
      </c>
      <c r="BB149" s="65" t="n">
        <f aca="false">-BB87</f>
        <v>-141.7</v>
      </c>
      <c r="BC149" s="65" t="n">
        <f aca="false">-BC87</f>
        <v>-39.952</v>
      </c>
      <c r="BD149" s="65" t="n">
        <f aca="false">-BD87</f>
        <v>-36.944</v>
      </c>
      <c r="BE149" s="65" t="n">
        <f aca="false">-BE87</f>
        <v>-40.682</v>
      </c>
      <c r="BF149" s="65" t="n">
        <f aca="false">-BF87</f>
        <v>-39.625</v>
      </c>
      <c r="BG149" s="65" t="n">
        <f aca="false">-BG87</f>
        <v>-157.203</v>
      </c>
      <c r="BH149" s="65" t="n">
        <f aca="false">-BH87</f>
        <v>-42.88</v>
      </c>
      <c r="BI149" s="65" t="n">
        <f aca="false">-BI87</f>
        <v>-44.658</v>
      </c>
      <c r="BJ149" s="65" t="n">
        <f aca="false">-BJ87</f>
        <v>-45.618</v>
      </c>
      <c r="BK149" s="65" t="n">
        <f aca="false">-BK87</f>
        <v>-45.689</v>
      </c>
      <c r="BL149" s="65" t="n">
        <f aca="false">-BL87</f>
        <v>-178.845</v>
      </c>
      <c r="BM149" s="65" t="n">
        <f aca="false">-BM87</f>
        <v>-48.849</v>
      </c>
      <c r="BN149" s="65" t="n">
        <f aca="false">-BN87</f>
        <v>-52.536</v>
      </c>
      <c r="BO149" s="65" t="n">
        <f aca="false">-BO87</f>
        <v>-54.656</v>
      </c>
      <c r="BP149" s="65" t="n">
        <f aca="false">-BP87</f>
        <v>-54.064</v>
      </c>
      <c r="BQ149" s="65" t="n">
        <f aca="false">-BQ87</f>
        <v>-210.105</v>
      </c>
      <c r="BR149" s="65" t="n">
        <f aca="false">-BR87</f>
        <v>-59.043</v>
      </c>
      <c r="BS149" s="65" t="n">
        <f aca="false">-BS87</f>
        <v>-62.546</v>
      </c>
      <c r="BT149" s="65" t="n">
        <f aca="false">-BT87</f>
        <v>-64.037</v>
      </c>
      <c r="BU149" s="65" t="n">
        <f aca="false">-BU87</f>
        <v>-62.947</v>
      </c>
      <c r="BV149" s="65" t="n">
        <f aca="false">-BV87</f>
        <v>-248.573</v>
      </c>
      <c r="BW149" s="65" t="n">
        <f aca="false">-BW87</f>
        <v>-62.19</v>
      </c>
      <c r="BX149" s="65" t="n">
        <f aca="false">-BX87</f>
        <v>-64.181</v>
      </c>
      <c r="BY149" s="66" t="n">
        <f aca="false">-BY87</f>
        <v>-64.82281</v>
      </c>
      <c r="BZ149" s="66" t="n">
        <f aca="false">-BZ87</f>
        <v>-65.4710381</v>
      </c>
      <c r="CA149" s="67" t="n">
        <f aca="false">-CA87</f>
        <v>-256.6648481</v>
      </c>
      <c r="CB149" s="67" t="n">
        <f aca="false">-CB87</f>
        <v>-290.822263549225</v>
      </c>
      <c r="CC149" s="67" t="n">
        <f aca="false">-CC87</f>
        <v>-306.170984672113</v>
      </c>
      <c r="CD149" s="67" t="n">
        <f aca="false">-CD87</f>
        <v>-322.735305543709</v>
      </c>
      <c r="CE149" s="67" t="n">
        <f aca="false">-CE87</f>
        <v>-345.479676721097</v>
      </c>
      <c r="CF149" s="21"/>
    </row>
    <row r="150" customFormat="false" ht="15" hidden="false" customHeight="true" outlineLevel="0" collapsed="false">
      <c r="B150" s="17" t="s">
        <v>318</v>
      </c>
      <c r="C150" s="68" t="n">
        <f aca="false">C145+C149</f>
        <v>55.3380000000003</v>
      </c>
      <c r="D150" s="68" t="n">
        <f aca="false">D145+D149</f>
        <v>40.9529999999999</v>
      </c>
      <c r="E150" s="68" t="n">
        <f aca="false">E145+E149</f>
        <v>25.2410000000001</v>
      </c>
      <c r="F150" s="68" t="n">
        <f aca="false">F145+F149</f>
        <v>-15.785</v>
      </c>
      <c r="G150" s="68" t="n">
        <f aca="false">G145+G149</f>
        <v>12.535</v>
      </c>
      <c r="H150" s="68" t="n">
        <f aca="false">H145+H149</f>
        <v>28.198</v>
      </c>
      <c r="I150" s="68" t="n">
        <f aca="false">I145+I149</f>
        <v>58.9460000000002</v>
      </c>
      <c r="J150" s="68" t="n">
        <f aca="false">J145+J149</f>
        <v>14.598</v>
      </c>
      <c r="K150" s="68" t="n">
        <f aca="false">K145+K149</f>
        <v>23.288</v>
      </c>
      <c r="L150" s="68" t="n">
        <f aca="false">L145+L149</f>
        <v>22.0199999999999</v>
      </c>
      <c r="M150" s="68" t="n">
        <f aca="false">M145+M149</f>
        <v>14.729</v>
      </c>
      <c r="N150" s="68" t="n">
        <f aca="false">N145+N149</f>
        <v>74.6349999999999</v>
      </c>
      <c r="O150" s="68" t="n">
        <f aca="false">O145+O149</f>
        <v>15.2609999999999</v>
      </c>
      <c r="P150" s="68" t="n">
        <f aca="false">P145+P149</f>
        <v>22.776</v>
      </c>
      <c r="Q150" s="68" t="n">
        <f aca="false">Q145+Q149</f>
        <v>27.1329999999999</v>
      </c>
      <c r="R150" s="68" t="n">
        <f aca="false">R145+R149</f>
        <v>20.6220000000001</v>
      </c>
      <c r="S150" s="68" t="n">
        <f aca="false">S145+S149</f>
        <v>85.792</v>
      </c>
      <c r="T150" s="68" t="n">
        <f aca="false">T145+T149</f>
        <v>21.284</v>
      </c>
      <c r="U150" s="68" t="n">
        <f aca="false">U145+U149</f>
        <v>31.295</v>
      </c>
      <c r="V150" s="68" t="n">
        <f aca="false">V145+V149</f>
        <v>19.7990000000001</v>
      </c>
      <c r="W150" s="68" t="n">
        <f aca="false">W145+W149</f>
        <v>17.692</v>
      </c>
      <c r="X150" s="68" t="n">
        <f aca="false">X145+X149</f>
        <v>90.0699999999999</v>
      </c>
      <c r="Y150" s="68" t="n">
        <f aca="false">Y145+Y149</f>
        <v>17.591</v>
      </c>
      <c r="Z150" s="68" t="n">
        <f aca="false">Z145+Z149</f>
        <v>21.7569999999999</v>
      </c>
      <c r="AA150" s="68" t="n">
        <f aca="false">AA145+AA149</f>
        <v>22.748</v>
      </c>
      <c r="AB150" s="68" t="n">
        <f aca="false">AB145+AB149</f>
        <v>17.217</v>
      </c>
      <c r="AC150" s="68" t="n">
        <f aca="false">AC145+AC149</f>
        <v>79.313</v>
      </c>
      <c r="AD150" s="68" t="n">
        <f aca="false">AD145+AD149</f>
        <v>17.421</v>
      </c>
      <c r="AE150" s="68" t="n">
        <f aca="false">AE145+AE149</f>
        <v>29.628</v>
      </c>
      <c r="AF150" s="68" t="n">
        <f aca="false">AF145+AF149</f>
        <v>24.733</v>
      </c>
      <c r="AG150" s="68" t="n">
        <f aca="false">AG145+AG149</f>
        <v>23.047</v>
      </c>
      <c r="AH150" s="68" t="n">
        <f aca="false">AH145+AH149</f>
        <v>94.8290000000001</v>
      </c>
      <c r="AI150" s="68" t="n">
        <f aca="false">AI145+AI149</f>
        <v>27.6820000000001</v>
      </c>
      <c r="AJ150" s="68" t="n">
        <f aca="false">AJ145+AJ149</f>
        <v>41.707</v>
      </c>
      <c r="AK150" s="68" t="n">
        <f aca="false">AK145+AK149</f>
        <v>38.8359999999999</v>
      </c>
      <c r="AL150" s="68" t="n">
        <f aca="false">AL145+AL149</f>
        <v>33.026</v>
      </c>
      <c r="AM150" s="68" t="n">
        <f aca="false">AM145+AM149</f>
        <v>141.251</v>
      </c>
      <c r="AN150" s="68" t="n">
        <f aca="false">AN145+AN149</f>
        <v>28.9650000000001</v>
      </c>
      <c r="AO150" s="68" t="n">
        <f aca="false">AO145+AO149</f>
        <v>51.306</v>
      </c>
      <c r="AP150" s="68" t="n">
        <f aca="false">AP145+AP149</f>
        <v>45.379</v>
      </c>
      <c r="AQ150" s="68" t="n">
        <f aca="false">AQ145+AQ149</f>
        <v>27.69</v>
      </c>
      <c r="AR150" s="68" t="n">
        <f aca="false">AR145+AR149</f>
        <v>153.34</v>
      </c>
      <c r="AS150" s="68" t="n">
        <f aca="false">AS145+AS149</f>
        <v>38.229</v>
      </c>
      <c r="AT150" s="68" t="n">
        <f aca="false">AT145+AT149</f>
        <v>36.432</v>
      </c>
      <c r="AU150" s="68" t="n">
        <f aca="false">AU145+AU149</f>
        <v>55.6070000000001</v>
      </c>
      <c r="AV150" s="68" t="n">
        <f aca="false">AV145+AV149</f>
        <v>51.1870000000001</v>
      </c>
      <c r="AW150" s="68" t="n">
        <f aca="false">AW145+AW149</f>
        <v>181.455</v>
      </c>
      <c r="AX150" s="68" t="n">
        <f aca="false">AX145+AX149</f>
        <v>48.8449999999999</v>
      </c>
      <c r="AY150" s="68" t="n">
        <f aca="false">AY145+AY149</f>
        <v>83.355</v>
      </c>
      <c r="AZ150" s="68" t="n">
        <f aca="false">AZ145+AZ149</f>
        <v>101.836</v>
      </c>
      <c r="BA150" s="68" t="n">
        <f aca="false">BA145+BA149</f>
        <v>97.6820000000001</v>
      </c>
      <c r="BB150" s="68" t="n">
        <f aca="false">BB145+BB149</f>
        <v>331.718</v>
      </c>
      <c r="BC150" s="68" t="n">
        <f aca="false">BC145+BC149</f>
        <v>103.214</v>
      </c>
      <c r="BD150" s="68" t="n">
        <f aca="false">BD145+BD149</f>
        <v>145.224</v>
      </c>
      <c r="BE150" s="68" t="n">
        <f aca="false">BE145+BE149</f>
        <v>128.287</v>
      </c>
      <c r="BF150" s="68" t="n">
        <f aca="false">BF145+BF149</f>
        <v>93.934</v>
      </c>
      <c r="BG150" s="68" t="n">
        <f aca="false">BG145+BG149</f>
        <v>470.658999999999</v>
      </c>
      <c r="BH150" s="68" t="n">
        <f aca="false">BH145+BH149</f>
        <v>99.7859999999999</v>
      </c>
      <c r="BI150" s="68" t="n">
        <f aca="false">BI145+BI149</f>
        <v>121.245</v>
      </c>
      <c r="BJ150" s="68" t="n">
        <f aca="false">BJ145+BJ149</f>
        <v>128.278</v>
      </c>
      <c r="BK150" s="68" t="n">
        <f aca="false">BK145+BK149</f>
        <v>113.385</v>
      </c>
      <c r="BL150" s="68" t="n">
        <f aca="false">BL145+BL149</f>
        <v>462.554000000001</v>
      </c>
      <c r="BM150" s="68" t="n">
        <f aca="false">BM145+BM149</f>
        <v>118.7</v>
      </c>
      <c r="BN150" s="68" t="n">
        <f aca="false">BN145+BN149</f>
        <v>137.919</v>
      </c>
      <c r="BO150" s="68" t="n">
        <f aca="false">BO145+BO149</f>
        <v>125.631</v>
      </c>
      <c r="BP150" s="68" t="n">
        <f aca="false">BP145+BP149</f>
        <v>101.639</v>
      </c>
      <c r="BQ150" s="68" t="n">
        <f aca="false">BQ145+BQ149</f>
        <v>483.889</v>
      </c>
      <c r="BR150" s="68" t="n">
        <f aca="false">BR145+BR149</f>
        <v>69.8110000000001</v>
      </c>
      <c r="BS150" s="68" t="n">
        <f aca="false">BS145+BS149</f>
        <v>100.272</v>
      </c>
      <c r="BT150" s="68" t="n">
        <f aca="false">BT145+BT149</f>
        <v>104.761</v>
      </c>
      <c r="BU150" s="68" t="n">
        <f aca="false">BU145+BU149</f>
        <v>64.335</v>
      </c>
      <c r="BV150" s="68" t="n">
        <f aca="false">BV145+BV149</f>
        <v>339.179</v>
      </c>
      <c r="BW150" s="68" t="n">
        <f aca="false">BW145+BW149</f>
        <v>67.5459999999999</v>
      </c>
      <c r="BX150" s="68" t="n">
        <f aca="false">BX145+BX149</f>
        <v>127.206</v>
      </c>
      <c r="BY150" s="69" t="n">
        <f aca="false">BY145+BY149</f>
        <v>121.297429241276</v>
      </c>
      <c r="BZ150" s="69" t="n">
        <f aca="false">BZ145+BZ149</f>
        <v>115.280328207411</v>
      </c>
      <c r="CA150" s="69" t="n">
        <f aca="false">CA145+CA149</f>
        <v>431.329757448687</v>
      </c>
      <c r="CB150" s="69" t="n">
        <f aca="false">CB145+CB149</f>
        <v>531.608432699796</v>
      </c>
      <c r="CC150" s="69" t="n">
        <f aca="false">CC145+CC149</f>
        <v>569.780806104527</v>
      </c>
      <c r="CD150" s="69" t="n">
        <f aca="false">CD145+CD149</f>
        <v>619.71060109905</v>
      </c>
      <c r="CE150" s="69" t="n">
        <f aca="false">CE145+CE149</f>
        <v>706.750919083235</v>
      </c>
      <c r="CF150" s="21"/>
    </row>
    <row r="151" customFormat="false" ht="15" hidden="false" customHeight="true" outlineLevel="0" collapsed="false">
      <c r="B151" s="22" t="s">
        <v>319</v>
      </c>
      <c r="C151" s="59" t="n">
        <f aca="false">IF(AND(ISNUMBER(C150),ISNUMBER(C81)),IFERROR(C150/C81,""),"")</f>
        <v>0.0632623711328424</v>
      </c>
      <c r="D151" s="59" t="n">
        <f aca="false">IF(AND(ISNUMBER(D150),ISNUMBER(D81)),IFERROR(D150/D81,""),"")</f>
        <v>0.0419547536529719</v>
      </c>
      <c r="E151" s="59" t="n">
        <f aca="false">IF(AND(ISNUMBER(E150),ISNUMBER(E81)),IFERROR(E150/E81,""),"")</f>
        <v>0.0244958128764846</v>
      </c>
      <c r="F151" s="59" t="n">
        <f aca="false">IF(AND(ISNUMBER(F150),ISNUMBER(F81)),IFERROR(F150/F81,""),"")</f>
        <v>-0.018589374438403</v>
      </c>
      <c r="G151" s="59" t="n">
        <f aca="false">IF(AND(ISNUMBER(G150),ISNUMBER(G81)),IFERROR(G150/G81,""),"")</f>
        <v>0.0138867347617043</v>
      </c>
      <c r="H151" s="59" t="n">
        <f aca="false">IF(AND(ISNUMBER(H150),ISNUMBER(H81)),IFERROR(H150/H81,""),"")</f>
        <v>0.0273707465560887</v>
      </c>
      <c r="I151" s="59" t="n">
        <f aca="false">IF(AND(ISNUMBER(I150),ISNUMBER(I81)),IFERROR(I150/I81,""),"")</f>
        <v>0.0536517035458038</v>
      </c>
      <c r="J151" s="59" t="n">
        <f aca="false">IF(AND(ISNUMBER(J150),ISNUMBER(J81)),IFERROR(J150/J81,""),"")</f>
        <v>0.0533172629156852</v>
      </c>
      <c r="K151" s="59" t="n">
        <f aca="false">IF(AND(ISNUMBER(K150),ISNUMBER(K81)),IFERROR(K150/K81,""),"")</f>
        <v>0.0796015819139517</v>
      </c>
      <c r="L151" s="59" t="n">
        <f aca="false">IF(AND(ISNUMBER(L150),ISNUMBER(L81)),IFERROR(L150/L81,""),"")</f>
        <v>0.0751312750139035</v>
      </c>
      <c r="M151" s="59" t="n">
        <f aca="false">IF(AND(ISNUMBER(M150),ISNUMBER(M81)),IFERROR(M150/M81,""),"")</f>
        <v>0.0526684665033703</v>
      </c>
      <c r="N151" s="59" t="n">
        <f aca="false">IF(AND(ISNUMBER(N150),ISNUMBER(N81)),IFERROR(N150/N81,""),"")</f>
        <v>0.0655213704926897</v>
      </c>
      <c r="O151" s="59" t="n">
        <f aca="false">IF(AND(ISNUMBER(O150),ISNUMBER(O81)),IFERROR(O150/O81,""),"")</f>
        <v>0.0509158242418174</v>
      </c>
      <c r="P151" s="59" t="n">
        <f aca="false">IF(AND(ISNUMBER(P150),ISNUMBER(P81)),IFERROR(P150/P81,""),"")</f>
        <v>0.0689348333378733</v>
      </c>
      <c r="Q151" s="59" t="n">
        <f aca="false">IF(AND(ISNUMBER(Q150),ISNUMBER(Q81)),IFERROR(Q150/Q81,""),"")</f>
        <v>0.0815922103541184</v>
      </c>
      <c r="R151" s="59" t="n">
        <f aca="false">IF(AND(ISNUMBER(R150),ISNUMBER(R81)),IFERROR(R150/R81,""),"")</f>
        <v>0.066598201829174</v>
      </c>
      <c r="S151" s="59" t="n">
        <f aca="false">IF(AND(ISNUMBER(S150),ISNUMBER(S81)),IFERROR(S150/S81,""),"")</f>
        <v>0.067429524467489</v>
      </c>
      <c r="T151" s="59" t="n">
        <f aca="false">IF(AND(ISNUMBER(T150),ISNUMBER(T81)),IFERROR(T150/T81,""),"")</f>
        <v>0.0726361843138056</v>
      </c>
      <c r="U151" s="59" t="n">
        <f aca="false">IF(AND(ISNUMBER(U150),ISNUMBER(U81)),IFERROR(U150/U81,""),"")</f>
        <v>0.0967447755657228</v>
      </c>
      <c r="V151" s="59" t="n">
        <f aca="false">IF(AND(ISNUMBER(V150),ISNUMBER(V81)),IFERROR(V150/V81,""),"")</f>
        <v>0.0624182295656672</v>
      </c>
      <c r="W151" s="59" t="n">
        <f aca="false">IF(AND(ISNUMBER(W150),ISNUMBER(W81)),IFERROR(W150/W81,""),"")</f>
        <v>0.0615138555683044</v>
      </c>
      <c r="X151" s="59" t="n">
        <f aca="false">IF(AND(ISNUMBER(X150),ISNUMBER(X81)),IFERROR(X150/X81,""),"")</f>
        <v>0.073748619311543</v>
      </c>
      <c r="Y151" s="59" t="n">
        <f aca="false">IF(AND(ISNUMBER(Y150),ISNUMBER(Y81)),IFERROR(Y150/Y81,""),"")</f>
        <v>0.0606772423260932</v>
      </c>
      <c r="Z151" s="59" t="n">
        <f aca="false">IF(AND(ISNUMBER(Z150),ISNUMBER(Z81)),IFERROR(Z150/Z81,""),"")</f>
        <v>0.0697552139273174</v>
      </c>
      <c r="AA151" s="59" t="n">
        <f aca="false">IF(AND(ISNUMBER(AA150),ISNUMBER(AA81)),IFERROR(AA150/AA81,""),"")</f>
        <v>0.0718867912603258</v>
      </c>
      <c r="AB151" s="59" t="n">
        <f aca="false">IF(AND(ISNUMBER(AB150),ISNUMBER(AB81)),IFERROR(AB150/AB81,""),"")</f>
        <v>0.0573473717869715</v>
      </c>
      <c r="AC151" s="59" t="n">
        <f aca="false">IF(AND(ISNUMBER(AC150),ISNUMBER(AC81)),IFERROR(AC150/AC81,""),"")</f>
        <v>0.0650917002398888</v>
      </c>
      <c r="AD151" s="59" t="n">
        <f aca="false">IF(AND(ISNUMBER(AD150),ISNUMBER(AD81)),IFERROR(AD150/AD81,""),"")</f>
        <v>0.0549494223071755</v>
      </c>
      <c r="AE151" s="59" t="n">
        <f aca="false">IF(AND(ISNUMBER(AE150),ISNUMBER(AE81)),IFERROR(AE150/AE81,""),"")</f>
        <v>0.0827228054500782</v>
      </c>
      <c r="AF151" s="59" t="n">
        <f aca="false">IF(AND(ISNUMBER(AF150),ISNUMBER(AF81)),IFERROR(AF150/AF81,""),"")</f>
        <v>0.0706531985762521</v>
      </c>
      <c r="AG151" s="59" t="n">
        <f aca="false">IF(AND(ISNUMBER(AG150),ISNUMBER(AG81)),IFERROR(AG150/AG81,""),"")</f>
        <v>0.0652425612383262</v>
      </c>
      <c r="AH151" s="59" t="n">
        <f aca="false">IF(AND(ISNUMBER(AH150),ISNUMBER(AH81)),IFERROR(AH150/AH81,""),"")</f>
        <v>0.0687909409434825</v>
      </c>
      <c r="AI151" s="59" t="n">
        <f aca="false">IF(AND(ISNUMBER(AI150),ISNUMBER(AI81)),IFERROR(AI150/AI81,""),"")</f>
        <v>0.0704726263667725</v>
      </c>
      <c r="AJ151" s="59" t="n">
        <f aca="false">IF(AND(ISNUMBER(AJ150),ISNUMBER(AJ81)),IFERROR(AJ150/AJ81,""),"")</f>
        <v>0.0972798858027859</v>
      </c>
      <c r="AK151" s="59" t="n">
        <f aca="false">IF(AND(ISNUMBER(AK150),ISNUMBER(AK81)),IFERROR(AK150/AK81,""),"")</f>
        <v>0.0912581480489328</v>
      </c>
      <c r="AL151" s="59" t="n">
        <f aca="false">IF(AND(ISNUMBER(AL150),ISNUMBER(AL81)),IFERROR(AL150/AL81,""),"")</f>
        <v>0.0811948371235403</v>
      </c>
      <c r="AM151" s="59" t="n">
        <f aca="false">IF(AND(ISNUMBER(AM150),ISNUMBER(AM81)),IFERROR(AM150/AM81,""),"")</f>
        <v>0.085407434415113</v>
      </c>
      <c r="AN151" s="59" t="n">
        <f aca="false">IF(AND(ISNUMBER(AN150),ISNUMBER(AN81)),IFERROR(AN150/AN81,""),"")</f>
        <v>0.0705458566334784</v>
      </c>
      <c r="AO151" s="59" t="n">
        <f aca="false">IF(AND(ISNUMBER(AO150),ISNUMBER(AO81)),IFERROR(AO150/AO81,""),"")</f>
        <v>0.110526826010621</v>
      </c>
      <c r="AP151" s="59" t="n">
        <f aca="false">IF(AND(ISNUMBER(AP150),ISNUMBER(AP81)),IFERROR(AP150/AP81,""),"")</f>
        <v>0.0967794220831707</v>
      </c>
      <c r="AQ151" s="59" t="n">
        <f aca="false">IF(AND(ISNUMBER(AQ150),ISNUMBER(AQ81)),IFERROR(AQ150/AQ81,""),"")</f>
        <v>0.0624964734294065</v>
      </c>
      <c r="AR151" s="59" t="n">
        <f aca="false">IF(AND(ISNUMBER(AR150),ISNUMBER(AR81)),IFERROR(AR150/AR81,""),"")</f>
        <v>0.0858213445194727</v>
      </c>
      <c r="AS151" s="59" t="n">
        <f aca="false">IF(AND(ISNUMBER(AS150),ISNUMBER(AS81)),IFERROR(AS150/AS81,""),"")</f>
        <v>0.085639208236633</v>
      </c>
      <c r="AT151" s="59" t="n">
        <f aca="false">IF(AND(ISNUMBER(AT150),ISNUMBER(AT81)),IFERROR(AT150/AT81,""),"")</f>
        <v>0.0871341308829649</v>
      </c>
      <c r="AU151" s="59" t="n">
        <f aca="false">IF(AND(ISNUMBER(AU150),ISNUMBER(AU81)),IFERROR(AU150/AU81,""),"")</f>
        <v>0.115517248542713</v>
      </c>
      <c r="AV151" s="59" t="n">
        <f aca="false">IF(AND(ISNUMBER(AV150),ISNUMBER(AV81)),IFERROR(AV150/AV81,""),"")</f>
        <v>0.107426933231476</v>
      </c>
      <c r="AW151" s="59" t="n">
        <f aca="false">IF(AND(ISNUMBER(AW150),ISNUMBER(AW81)),IFERROR(AW150/AW81,""),"")</f>
        <v>0.0995711070114347</v>
      </c>
      <c r="AX151" s="59" t="n">
        <f aca="false">IF(AND(ISNUMBER(AX150),ISNUMBER(AX81)),IFERROR(AX150/AX81,""),"")</f>
        <v>0.100903994017443</v>
      </c>
      <c r="AY151" s="59" t="n">
        <f aca="false">IF(AND(ISNUMBER(AY150),ISNUMBER(AY81)),IFERROR(AY150/AY81,""),"")</f>
        <v>0.145895651047638</v>
      </c>
      <c r="AZ151" s="59" t="n">
        <f aca="false">IF(AND(ISNUMBER(AZ150),ISNUMBER(AZ81)),IFERROR(AZ150/AZ81,""),"")</f>
        <v>0.165260233424643</v>
      </c>
      <c r="BA151" s="59" t="n">
        <f aca="false">IF(AND(ISNUMBER(BA150),ISNUMBER(BA81)),IFERROR(BA150/BA81,""),"")</f>
        <v>0.158296884849801</v>
      </c>
      <c r="BB151" s="59" t="n">
        <f aca="false">IF(AND(ISNUMBER(BB150),ISNUMBER(BB81)),IFERROR(BB150/BB81,""),"")</f>
        <v>0.144937047342077</v>
      </c>
      <c r="BC151" s="59" t="n">
        <f aca="false">IF(AND(ISNUMBER(BC150),ISNUMBER(BC81)),IFERROR(BC150/BC81,""),"")</f>
        <v>0.1560972511252</v>
      </c>
      <c r="BD151" s="59" t="n">
        <f aca="false">IF(AND(ISNUMBER(BD150),ISNUMBER(BD81)),IFERROR(BD150/BD81,""),"")</f>
        <v>0.194786695531108</v>
      </c>
      <c r="BE151" s="59" t="n">
        <f aca="false">IF(AND(ISNUMBER(BE150),ISNUMBER(BE81)),IFERROR(BE150/BE81,""),"")</f>
        <v>0.175841362134215</v>
      </c>
      <c r="BF151" s="59" t="n">
        <f aca="false">IF(AND(ISNUMBER(BF150),ISNUMBER(BF81)),IFERROR(BF150/BF81,""),"")</f>
        <v>0.143251907046541</v>
      </c>
      <c r="BG151" s="59" t="n">
        <f aca="false">IF(AND(ISNUMBER(BG150),ISNUMBER(BG81)),IFERROR(BG150/BG81,""),"")</f>
        <v>0.16857069895063</v>
      </c>
      <c r="BH151" s="59" t="n">
        <f aca="false">IF(AND(ISNUMBER(BH150),ISNUMBER(BH81)),IFERROR(BH150/BH81,""),"")</f>
        <v>0.15106845208808</v>
      </c>
      <c r="BI151" s="59" t="n">
        <f aca="false">IF(AND(ISNUMBER(BI150),ISNUMBER(BI81)),IFERROR(BI150/BI81,""),"")</f>
        <v>0.174548171523505</v>
      </c>
      <c r="BJ151" s="59" t="n">
        <f aca="false">IF(AND(ISNUMBER(BJ150),ISNUMBER(BJ81)),IFERROR(BJ150/BJ81,""),"")</f>
        <v>0.165489251029486</v>
      </c>
      <c r="BK151" s="59" t="n">
        <f aca="false">IF(AND(ISNUMBER(BK150),ISNUMBER(BK81)),IFERROR(BK150/BK81,""),"")</f>
        <v>0.150952162868843</v>
      </c>
      <c r="BL151" s="59" t="n">
        <f aca="false">IF(AND(ISNUMBER(BL150),ISNUMBER(BL81)),IFERROR(BL150/BL81,""),"")</f>
        <v>0.160529153376115</v>
      </c>
      <c r="BM151" s="59" t="n">
        <f aca="false">IF(AND(ISNUMBER(BM150),ISNUMBER(BM81)),IFERROR(BM150/BM81,""),"")</f>
        <v>0.157265410221589</v>
      </c>
      <c r="BN151" s="59" t="n">
        <f aca="false">IF(AND(ISNUMBER(BN150),ISNUMBER(BN81)),IFERROR(BN150/BN81,""),"")</f>
        <v>0.167531132932642</v>
      </c>
      <c r="BO151" s="59" t="n">
        <f aca="false">IF(AND(ISNUMBER(BO150),ISNUMBER(BO81)),IFERROR(BO150/BO81,""),"")</f>
        <v>0.149187213440636</v>
      </c>
      <c r="BP151" s="59" t="n">
        <f aca="false">IF(AND(ISNUMBER(BP150),ISNUMBER(BP81)),IFERROR(BP150/BP81,""),"")</f>
        <v>0.128827862785062</v>
      </c>
      <c r="BQ151" s="59" t="n">
        <f aca="false">IF(AND(ISNUMBER(BQ150),ISNUMBER(BQ81)),IFERROR(BQ150/BQ81,""),"")</f>
        <v>0.150787735028859</v>
      </c>
      <c r="BR151" s="59" t="n">
        <f aca="false">IF(AND(ISNUMBER(BR150),ISNUMBER(BR81)),IFERROR(BR150/BR81,""),"")</f>
        <v>0.0886404469415613</v>
      </c>
      <c r="BS151" s="59" t="n">
        <f aca="false">IF(AND(ISNUMBER(BS150),ISNUMBER(BS81)),IFERROR(BS150/BS81,""),"")</f>
        <v>0.12271467296525</v>
      </c>
      <c r="BT151" s="59" t="n">
        <f aca="false">IF(AND(ISNUMBER(BT150),ISNUMBER(BT81)),IFERROR(BT150/BT81,""),"")</f>
        <v>0.124768354207259</v>
      </c>
      <c r="BU151" s="59" t="n">
        <f aca="false">IF(AND(ISNUMBER(BU150),ISNUMBER(BU81)),IFERROR(BU150/BU81,""),"")</f>
        <v>0.0814416572146156</v>
      </c>
      <c r="BV151" s="59" t="n">
        <f aca="false">IF(AND(ISNUMBER(BV150),ISNUMBER(BV81)),IFERROR(BV150/BV81,""),"")</f>
        <v>0.104869822891359</v>
      </c>
      <c r="BW151" s="59" t="n">
        <f aca="false">IF(AND(ISNUMBER(BW150),ISNUMBER(BW81)),IFERROR(BW150/BW81,""),"")</f>
        <v>0.0837804784266446</v>
      </c>
      <c r="BX151" s="59" t="n">
        <f aca="false">IF(AND(ISNUMBER(BX150),ISNUMBER(BX81)),IFERROR(BX150/BX81,""),"")</f>
        <v>0.132991947675574</v>
      </c>
      <c r="BY151" s="52" t="n">
        <f aca="false">IF(AND(ISNUMBER(BY150),ISNUMBER(BY81)),IFERROR(BY150/BY81,""),"")</f>
        <v>0.122285384937008</v>
      </c>
      <c r="BZ151" s="52" t="n">
        <f aca="false">IF(AND(ISNUMBER(BZ150),ISNUMBER(BZ81)),IFERROR(BZ150/BZ81,""),"")</f>
        <v>0.117514448263132</v>
      </c>
      <c r="CA151" s="30" t="n">
        <f aca="false">IF(AND(ISNUMBER(CA150),ISNUMBER(CA81)),IFERROR(CA150/CA81,""),"")</f>
        <v>0.115463742609185</v>
      </c>
      <c r="CB151" s="30" t="n">
        <f aca="false">IF(AND(ISNUMBER(CB150),ISNUMBER(CB81)),IFERROR(CB150/CB81,""),"")</f>
        <v>0.13032342405499</v>
      </c>
      <c r="CC151" s="30" t="n">
        <f aca="false">IF(AND(ISNUMBER(CC150),ISNUMBER(CC81)),IFERROR(CC150/CC81,""),"")</f>
        <v>0.131517549608393</v>
      </c>
      <c r="CD151" s="30" t="n">
        <f aca="false">IF(AND(ISNUMBER(CD150),ISNUMBER(CD81)),IFERROR(CD150/CD81,""),"")</f>
        <v>0.133583688080878</v>
      </c>
      <c r="CE151" s="30" t="n">
        <f aca="false">IF(AND(ISNUMBER(CE150),ISNUMBER(CE81)),IFERROR(CE150/CE81,""),"")</f>
        <v>0.140855641486716</v>
      </c>
      <c r="CF151" s="21"/>
      <c r="CH151" s="64" t="n">
        <f aca="false">IFERROR(AVERAGE(CA151,CB151,CC151,CD151,CE151),"n/m")</f>
        <v>0.130348809168032</v>
      </c>
      <c r="CI151" s="64" t="n">
        <f aca="false">IFERROR(AVERAGE(BB151,BG151,BL151,BQ151,BV151),"n/m")</f>
        <v>0.145938891517808</v>
      </c>
      <c r="CJ151" s="64" t="n">
        <f aca="false">IFERROR(AVERAGE(AC151,AH151,AM151,AR151,AW151,BB151,BG151,BL151,BQ151,BV151),"n/m")</f>
        <v>0.113437698471843</v>
      </c>
      <c r="CK151" s="64" t="n">
        <f aca="false">IFERROR(AVERAGE(C151,D151,E151,F151,G151,H151,I151,N151,S151,X151,AC151,AH151,AM151,AR151,AW151,BB151,BG151,BL151,BQ151,BV151),"n/m")</f>
        <v>0.0773554623538823</v>
      </c>
    </row>
    <row r="152" customFormat="false" ht="15" hidden="false" customHeight="true" outlineLevel="0" collapsed="false"/>
    <row r="153" customFormat="false" ht="15" hidden="false" customHeight="true" outlineLevel="0" collapsed="false">
      <c r="B153" s="11" t="s">
        <v>320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 t="s">
        <v>321</v>
      </c>
    </row>
    <row r="154" customFormat="false" ht="15" hidden="false" customHeight="true" outlineLevel="0" collapsed="false">
      <c r="B154" s="17" t="s">
        <v>260</v>
      </c>
      <c r="C154" s="68" t="n">
        <f aca="false">C104</f>
        <v>25.8730000000003</v>
      </c>
      <c r="D154" s="68" t="n">
        <f aca="false">D104</f>
        <v>17.0849999999999</v>
      </c>
      <c r="E154" s="68" t="n">
        <f aca="false">E104</f>
        <v>-19.6889999999999</v>
      </c>
      <c r="F154" s="68" t="n">
        <f aca="false">F104</f>
        <v>-9.03599999999998</v>
      </c>
      <c r="G154" s="68" t="n">
        <f aca="false">G104</f>
        <v>1.95700000000002</v>
      </c>
      <c r="H154" s="68" t="n">
        <f aca="false">H104</f>
        <v>11.373</v>
      </c>
      <c r="I154" s="68" t="n">
        <f aca="false">I104</f>
        <v>32.0480000000002</v>
      </c>
      <c r="J154" s="68" t="n">
        <f aca="false">J104</f>
        <v>9.15500000000004</v>
      </c>
      <c r="K154" s="68" t="n">
        <f aca="false">K104</f>
        <v>13.5</v>
      </c>
      <c r="L154" s="68" t="n">
        <f aca="false">L104</f>
        <v>12.9079999999999</v>
      </c>
      <c r="M154" s="68" t="n">
        <f aca="false">M104</f>
        <v>8.06400000000001</v>
      </c>
      <c r="N154" s="68" t="n">
        <f aca="false">N104</f>
        <v>43.6269999999999</v>
      </c>
      <c r="O154" s="68" t="n">
        <f aca="false">O104</f>
        <v>8.57599999999994</v>
      </c>
      <c r="P154" s="68" t="n">
        <f aca="false">P104</f>
        <v>13.568</v>
      </c>
      <c r="Q154" s="68" t="n">
        <f aca="false">Q104</f>
        <v>16.2779999999999</v>
      </c>
      <c r="R154" s="68" t="n">
        <f aca="false">R104</f>
        <v>13.5690000000001</v>
      </c>
      <c r="S154" s="68" t="n">
        <f aca="false">S104</f>
        <v>51.991</v>
      </c>
      <c r="T154" s="68" t="n">
        <f aca="false">T104</f>
        <v>12.6049999999999</v>
      </c>
      <c r="U154" s="68" t="n">
        <f aca="false">U104</f>
        <v>19.247</v>
      </c>
      <c r="V154" s="68" t="n">
        <f aca="false">V104</f>
        <v>11.7770000000001</v>
      </c>
      <c r="W154" s="68" t="n">
        <f aca="false">W104</f>
        <v>11.387</v>
      </c>
      <c r="X154" s="68" t="n">
        <f aca="false">X104</f>
        <v>55.0159999999999</v>
      </c>
      <c r="Y154" s="68" t="n">
        <f aca="false">Y104</f>
        <v>10.575</v>
      </c>
      <c r="Z154" s="68" t="n">
        <f aca="false">Z104</f>
        <v>13.2749999999999</v>
      </c>
      <c r="AA154" s="68" t="n">
        <f aca="false">AA104</f>
        <v>13.826</v>
      </c>
      <c r="AB154" s="68" t="n">
        <f aca="false">AB104</f>
        <v>10.348</v>
      </c>
      <c r="AC154" s="68" t="n">
        <f aca="false">AC104</f>
        <v>48.024</v>
      </c>
      <c r="AD154" s="68" t="n">
        <f aca="false">AD104</f>
        <v>11.387</v>
      </c>
      <c r="AE154" s="68" t="n">
        <f aca="false">AE104</f>
        <v>17.603</v>
      </c>
      <c r="AF154" s="68" t="n">
        <f aca="false">AF104</f>
        <v>14.407</v>
      </c>
      <c r="AG154" s="68" t="n">
        <f aca="false">AG104</f>
        <v>47.759</v>
      </c>
      <c r="AH154" s="68" t="n">
        <f aca="false">AH104</f>
        <v>91.1560000000001</v>
      </c>
      <c r="AI154" s="68" t="n">
        <f aca="false">AI104</f>
        <v>21.1250000000001</v>
      </c>
      <c r="AJ154" s="68" t="n">
        <f aca="false">AJ104</f>
        <v>30.281</v>
      </c>
      <c r="AK154" s="68" t="n">
        <f aca="false">AK104</f>
        <v>28.1949999999999</v>
      </c>
      <c r="AL154" s="68" t="n">
        <f aca="false">AL104</f>
        <v>25.38</v>
      </c>
      <c r="AM154" s="68" t="n">
        <f aca="false">AM104</f>
        <v>104.981</v>
      </c>
      <c r="AN154" s="68" t="n">
        <f aca="false">AN104</f>
        <v>22.2590000000001</v>
      </c>
      <c r="AO154" s="68" t="n">
        <f aca="false">AO104</f>
        <v>37.073</v>
      </c>
      <c r="AP154" s="68" t="n">
        <f aca="false">AP104</f>
        <v>32.968</v>
      </c>
      <c r="AQ154" s="68" t="n">
        <f aca="false">AQ104</f>
        <v>21.419</v>
      </c>
      <c r="AR154" s="68" t="n">
        <f aca="false">AR104</f>
        <v>113.719</v>
      </c>
      <c r="AS154" s="68" t="n">
        <f aca="false">AS104</f>
        <v>28.111</v>
      </c>
      <c r="AT154" s="68" t="n">
        <f aca="false">AT104</f>
        <v>28.454</v>
      </c>
      <c r="AU154" s="68" t="n">
        <f aca="false">AU104</f>
        <v>41.5390000000001</v>
      </c>
      <c r="AV154" s="68" t="n">
        <f aca="false">AV104</f>
        <v>40.2360000000001</v>
      </c>
      <c r="AW154" s="68" t="n">
        <f aca="false">AW104</f>
        <v>138.34</v>
      </c>
      <c r="AX154" s="68" t="n">
        <f aca="false">AX104</f>
        <v>37.291</v>
      </c>
      <c r="AY154" s="68" t="n">
        <f aca="false">AY104</f>
        <v>62.474</v>
      </c>
      <c r="AZ154" s="68" t="n">
        <f aca="false">AZ104</f>
        <v>79.7090000000001</v>
      </c>
      <c r="BA154" s="68" t="n">
        <f aca="false">BA104</f>
        <v>73.7610000000001</v>
      </c>
      <c r="BB154" s="68" t="n">
        <f aca="false">BB104</f>
        <v>253.235</v>
      </c>
      <c r="BC154" s="68" t="n">
        <f aca="false">BC104</f>
        <v>79.424</v>
      </c>
      <c r="BD154" s="68" t="n">
        <f aca="false">BD104</f>
        <v>109.245</v>
      </c>
      <c r="BE154" s="68" t="n">
        <f aca="false">BE104</f>
        <v>97.8909999999999</v>
      </c>
      <c r="BF154" s="68" t="n">
        <f aca="false">BF104</f>
        <v>70.862</v>
      </c>
      <c r="BG154" s="68" t="n">
        <f aca="false">BG104</f>
        <v>357.421999999999</v>
      </c>
      <c r="BH154" s="68" t="n">
        <f aca="false">BH104</f>
        <v>76.0969999999999</v>
      </c>
      <c r="BI154" s="68" t="n">
        <f aca="false">BI104</f>
        <v>91.3189999999999</v>
      </c>
      <c r="BJ154" s="68" t="n">
        <f aca="false">BJ104</f>
        <v>98.2129999999999</v>
      </c>
      <c r="BK154" s="68" t="n">
        <f aca="false">BK104</f>
        <v>89.2279999999999</v>
      </c>
      <c r="BL154" s="68" t="n">
        <f aca="false">BL104</f>
        <v>354.857000000001</v>
      </c>
      <c r="BM154" s="68" t="n">
        <f aca="false">BM104</f>
        <v>90.6949999999999</v>
      </c>
      <c r="BN154" s="68" t="n">
        <f aca="false">BN104</f>
        <v>102.519</v>
      </c>
      <c r="BO154" s="68" t="n">
        <f aca="false">BO104</f>
        <v>92.7479999999999</v>
      </c>
      <c r="BP154" s="68" t="n">
        <f aca="false">BP104</f>
        <v>76.1030000000002</v>
      </c>
      <c r="BQ154" s="68" t="n">
        <f aca="false">BQ104</f>
        <v>362.065</v>
      </c>
      <c r="BR154" s="68" t="n">
        <f aca="false">BR104</f>
        <v>49.8100000000001</v>
      </c>
      <c r="BS154" s="68" t="n">
        <f aca="false">BS104</f>
        <v>71.3909999999999</v>
      </c>
      <c r="BT154" s="68" t="n">
        <f aca="false">BT104</f>
        <v>86.3159999999999</v>
      </c>
      <c r="BU154" s="68" t="n">
        <f aca="false">BU104</f>
        <v>47.519</v>
      </c>
      <c r="BV154" s="68" t="n">
        <f aca="false">BV104</f>
        <v>255.036</v>
      </c>
      <c r="BW154" s="68" t="n">
        <f aca="false">BW104</f>
        <v>49.8689999999999</v>
      </c>
      <c r="BX154" s="68" t="n">
        <f aca="false">BX104</f>
        <v>94.2600000000001</v>
      </c>
      <c r="BY154" s="69" t="n">
        <f aca="false">BY104</f>
        <v>90.6793008521634</v>
      </c>
      <c r="BZ154" s="69" t="n">
        <f aca="false">BZ104</f>
        <v>86.1363895715952</v>
      </c>
      <c r="CA154" s="69" t="n">
        <f aca="false">CA104</f>
        <v>320.944690423759</v>
      </c>
      <c r="CB154" s="69" t="n">
        <f aca="false">CB104</f>
        <v>399.361620706074</v>
      </c>
      <c r="CC154" s="69" t="n">
        <f aca="false">CC104</f>
        <v>426.948367208918</v>
      </c>
      <c r="CD154" s="69" t="n">
        <f aca="false">CD104</f>
        <v>464.645362429783</v>
      </c>
      <c r="CE154" s="69" t="n">
        <f aca="false">CE104</f>
        <v>530.360802507843</v>
      </c>
      <c r="CF154" s="21"/>
    </row>
    <row r="155" customFormat="false" ht="15" hidden="false" customHeight="true" outlineLevel="0" collapsed="false">
      <c r="B155" s="22" t="s">
        <v>322</v>
      </c>
      <c r="C155" s="65" t="n">
        <f aca="false">C129</f>
        <v>4.077</v>
      </c>
      <c r="D155" s="65" t="n">
        <f aca="false">D129</f>
        <v>2.427</v>
      </c>
      <c r="E155" s="65" t="n">
        <f aca="false">E129</f>
        <v>35.511</v>
      </c>
      <c r="F155" s="65" t="n">
        <f aca="false">F129</f>
        <v>-12.3</v>
      </c>
      <c r="G155" s="65" t="n">
        <f aca="false">G129</f>
        <v>0</v>
      </c>
      <c r="H155" s="65" t="n">
        <f aca="false">H129</f>
        <v>0</v>
      </c>
      <c r="I155" s="65" t="n">
        <f aca="false">I129</f>
        <v>0</v>
      </c>
      <c r="J155" s="65" t="n">
        <f aca="false">J129</f>
        <v>0</v>
      </c>
      <c r="K155" s="65" t="n">
        <f aca="false">K129</f>
        <v>0</v>
      </c>
      <c r="L155" s="65" t="n">
        <f aca="false">L129</f>
        <v>0</v>
      </c>
      <c r="M155" s="65" t="n">
        <f aca="false">M129</f>
        <v>0</v>
      </c>
      <c r="N155" s="65" t="n">
        <f aca="false">N129</f>
        <v>0</v>
      </c>
      <c r="O155" s="65" t="n">
        <f aca="false">O129</f>
        <v>0</v>
      </c>
      <c r="P155" s="65" t="n">
        <f aca="false">P129</f>
        <v>0</v>
      </c>
      <c r="Q155" s="65" t="n">
        <f aca="false">Q129</f>
        <v>0</v>
      </c>
      <c r="R155" s="65" t="n">
        <f aca="false">R129</f>
        <v>0</v>
      </c>
      <c r="S155" s="65" t="n">
        <f aca="false">S129</f>
        <v>0</v>
      </c>
      <c r="T155" s="65" t="n">
        <f aca="false">T129</f>
        <v>0</v>
      </c>
      <c r="U155" s="65" t="n">
        <f aca="false">U129</f>
        <v>0</v>
      </c>
      <c r="V155" s="65" t="n">
        <f aca="false">V129</f>
        <v>0</v>
      </c>
      <c r="W155" s="65" t="n">
        <f aca="false">W129</f>
        <v>0</v>
      </c>
      <c r="X155" s="65" t="n">
        <f aca="false">X129</f>
        <v>0</v>
      </c>
      <c r="Y155" s="65" t="n">
        <f aca="false">Y129</f>
        <v>0</v>
      </c>
      <c r="Z155" s="65" t="n">
        <f aca="false">Z129</f>
        <v>0</v>
      </c>
      <c r="AA155" s="65" t="n">
        <f aca="false">AA129</f>
        <v>0</v>
      </c>
      <c r="AB155" s="65" t="n">
        <f aca="false">AB129</f>
        <v>0</v>
      </c>
      <c r="AC155" s="65" t="n">
        <f aca="false">AC129</f>
        <v>0</v>
      </c>
      <c r="AD155" s="65" t="n">
        <f aca="false">AD129</f>
        <v>0</v>
      </c>
      <c r="AE155" s="65" t="n">
        <f aca="false">AE129</f>
        <v>0</v>
      </c>
      <c r="AF155" s="65" t="n">
        <f aca="false">AF129</f>
        <v>0</v>
      </c>
      <c r="AG155" s="65" t="n">
        <f aca="false">AG129</f>
        <v>0</v>
      </c>
      <c r="AH155" s="65" t="n">
        <f aca="false">AH129</f>
        <v>0</v>
      </c>
      <c r="AI155" s="65" t="n">
        <f aca="false">AI129</f>
        <v>0</v>
      </c>
      <c r="AJ155" s="65" t="n">
        <f aca="false">AJ129</f>
        <v>0</v>
      </c>
      <c r="AK155" s="65" t="n">
        <f aca="false">AK129</f>
        <v>0</v>
      </c>
      <c r="AL155" s="65" t="n">
        <f aca="false">AL129</f>
        <v>0</v>
      </c>
      <c r="AM155" s="65" t="n">
        <f aca="false">AM129</f>
        <v>0</v>
      </c>
      <c r="AN155" s="65" t="n">
        <f aca="false">AN129</f>
        <v>0</v>
      </c>
      <c r="AO155" s="65" t="n">
        <f aca="false">AO129</f>
        <v>0</v>
      </c>
      <c r="AP155" s="65" t="n">
        <f aca="false">AP129</f>
        <v>0</v>
      </c>
      <c r="AQ155" s="65" t="n">
        <f aca="false">AQ129</f>
        <v>0</v>
      </c>
      <c r="AR155" s="65" t="n">
        <f aca="false">AR129</f>
        <v>0</v>
      </c>
      <c r="AS155" s="65" t="n">
        <f aca="false">AS129</f>
        <v>0</v>
      </c>
      <c r="AT155" s="65" t="n">
        <f aca="false">AT129</f>
        <v>0</v>
      </c>
      <c r="AU155" s="65" t="n">
        <f aca="false">AU129</f>
        <v>0</v>
      </c>
      <c r="AV155" s="65" t="n">
        <f aca="false">AV129</f>
        <v>0</v>
      </c>
      <c r="AW155" s="65" t="n">
        <f aca="false">AW129</f>
        <v>0</v>
      </c>
      <c r="AX155" s="65" t="n">
        <f aca="false">AX129</f>
        <v>0</v>
      </c>
      <c r="AY155" s="65" t="n">
        <f aca="false">AY129</f>
        <v>0</v>
      </c>
      <c r="AZ155" s="65" t="n">
        <f aca="false">AZ129</f>
        <v>-4.267</v>
      </c>
      <c r="BA155" s="65" t="n">
        <f aca="false">BA129</f>
        <v>0</v>
      </c>
      <c r="BB155" s="65" t="n">
        <f aca="false">BB129</f>
        <v>-4.267</v>
      </c>
      <c r="BC155" s="65" t="n">
        <f aca="false">BC129</f>
        <v>0</v>
      </c>
      <c r="BD155" s="65" t="n">
        <f aca="false">BD129</f>
        <v>0</v>
      </c>
      <c r="BE155" s="65" t="n">
        <f aca="false">BE129</f>
        <v>0</v>
      </c>
      <c r="BF155" s="65" t="n">
        <f aca="false">BF129</f>
        <v>0</v>
      </c>
      <c r="BG155" s="65" t="n">
        <f aca="false">BG129</f>
        <v>0</v>
      </c>
      <c r="BH155" s="65" t="n">
        <f aca="false">BH129</f>
        <v>0</v>
      </c>
      <c r="BI155" s="65" t="n">
        <f aca="false">BI129</f>
        <v>0</v>
      </c>
      <c r="BJ155" s="65" t="n">
        <f aca="false">BJ129</f>
        <v>0</v>
      </c>
      <c r="BK155" s="65" t="n">
        <f aca="false">BK129</f>
        <v>0</v>
      </c>
      <c r="BL155" s="65" t="n">
        <f aca="false">BL129</f>
        <v>0</v>
      </c>
      <c r="BM155" s="65" t="n">
        <f aca="false">BM129</f>
        <v>0</v>
      </c>
      <c r="BN155" s="65" t="n">
        <f aca="false">BN129</f>
        <v>0</v>
      </c>
      <c r="BO155" s="65" t="n">
        <f aca="false">BO129</f>
        <v>0</v>
      </c>
      <c r="BP155" s="65" t="n">
        <f aca="false">BP129</f>
        <v>0</v>
      </c>
      <c r="BQ155" s="65" t="n">
        <f aca="false">BQ129</f>
        <v>0</v>
      </c>
      <c r="BR155" s="65" t="n">
        <f aca="false">BR129</f>
        <v>0</v>
      </c>
      <c r="BS155" s="65" t="n">
        <f aca="false">BS129</f>
        <v>0</v>
      </c>
      <c r="BT155" s="65" t="n">
        <f aca="false">BT129</f>
        <v>-14.503</v>
      </c>
      <c r="BU155" s="65" t="n">
        <f aca="false">BU129</f>
        <v>0</v>
      </c>
      <c r="BV155" s="65" t="n">
        <f aca="false">BV129</f>
        <v>-14.503</v>
      </c>
      <c r="BW155" s="65" t="n">
        <f aca="false">BW129</f>
        <v>0</v>
      </c>
      <c r="BX155" s="65" t="n">
        <f aca="false">BX129</f>
        <v>0</v>
      </c>
      <c r="BY155" s="66" t="n">
        <f aca="false">BY129</f>
        <v>0</v>
      </c>
      <c r="BZ155" s="66" t="n">
        <f aca="false">BZ129</f>
        <v>0</v>
      </c>
      <c r="CA155" s="67" t="n">
        <f aca="false">CA129</f>
        <v>0</v>
      </c>
      <c r="CB155" s="67" t="n">
        <f aca="false">CB129</f>
        <v>0</v>
      </c>
      <c r="CC155" s="67" t="n">
        <f aca="false">CC129</f>
        <v>0</v>
      </c>
      <c r="CD155" s="67" t="n">
        <f aca="false">CD129</f>
        <v>0</v>
      </c>
      <c r="CE155" s="67" t="n">
        <f aca="false">CE129</f>
        <v>0</v>
      </c>
      <c r="CF155" s="21"/>
    </row>
    <row r="156" customFormat="false" ht="15" hidden="false" customHeight="true" outlineLevel="0" collapsed="false">
      <c r="B156" s="22" t="s">
        <v>323</v>
      </c>
      <c r="C156" s="59" t="n">
        <f aca="false">IF(ISNUMBER(C103),MIN(0.4,MAX(0.15,C103)),0.25)</f>
        <v>0.383579920425033</v>
      </c>
      <c r="D156" s="59" t="n">
        <f aca="false">IF(ISNUMBER(D103),MIN(0.4,MAX(0.15,D103)),0.25)</f>
        <v>0.398224789545984</v>
      </c>
      <c r="E156" s="59" t="n">
        <f aca="false">IF(ISNUMBER(E103),MIN(0.4,MAX(0.15,E103)),0.25)</f>
        <v>0.15</v>
      </c>
      <c r="F156" s="59" t="n">
        <f aca="false">IF(ISNUMBER(F103),MIN(0.4,MAX(0.15,F103)),0.25)</f>
        <v>0.4</v>
      </c>
      <c r="G156" s="59" t="n">
        <f aca="false">IF(ISNUMBER(G103),MIN(0.4,MAX(0.15,G103)),0.25)</f>
        <v>0.15</v>
      </c>
      <c r="H156" s="59" t="n">
        <f aca="false">IF(ISNUMBER(H103),MIN(0.4,MAX(0.15,H103)),0.25)</f>
        <v>0.3585448392555</v>
      </c>
      <c r="I156" s="59" t="n">
        <f aca="false">IF(ISNUMBER(I103),MIN(0.4,MAX(0.15,I103)),0.25)</f>
        <v>0.373315864604313</v>
      </c>
      <c r="J156" s="59" t="n">
        <f aca="false">IF(ISNUMBER(J103),MIN(0.4,MAX(0.15,J103)),0.25)</f>
        <v>0.299540933435347</v>
      </c>
      <c r="K156" s="59" t="n">
        <f aca="false">IF(ISNUMBER(K103),MIN(0.4,MAX(0.15,K103)),0.25)</f>
        <v>0.377018920166129</v>
      </c>
      <c r="L156" s="59" t="n">
        <f aca="false">IF(ISNUMBER(L103),MIN(0.4,MAX(0.15,L103)),0.25)</f>
        <v>0.362882527147089</v>
      </c>
      <c r="M156" s="59" t="n">
        <f aca="false">IF(ISNUMBER(M103),MIN(0.4,MAX(0.15,M103)),0.25)</f>
        <v>0.386534804108026</v>
      </c>
      <c r="N156" s="59" t="n">
        <f aca="false">IF(ISNUMBER(N103),MIN(0.4,MAX(0.15,N103)),0.25)</f>
        <v>0.359791620808571</v>
      </c>
      <c r="O156" s="59" t="n">
        <f aca="false">IF(ISNUMBER(O103),MIN(0.4,MAX(0.15,O103)),0.25)</f>
        <v>0.385012549300826</v>
      </c>
      <c r="P156" s="59" t="n">
        <f aca="false">IF(ISNUMBER(P103),MIN(0.4,MAX(0.15,P103)),0.25)</f>
        <v>0.371822769572666</v>
      </c>
      <c r="Q156" s="59" t="n">
        <f aca="false">IF(ISNUMBER(Q103),MIN(0.4,MAX(0.15,Q103)),0.25)</f>
        <v>0.375580191031494</v>
      </c>
      <c r="R156" s="59" t="n">
        <f aca="false">IF(ISNUMBER(R103),MIN(0.4,MAX(0.15,R103)),0.25)</f>
        <v>0.308233494774406</v>
      </c>
      <c r="S156" s="59" t="n">
        <f aca="false">IF(ISNUMBER(S103),MIN(0.4,MAX(0.15,S103)),0.25)</f>
        <v>0.359937459989166</v>
      </c>
      <c r="T156" s="59" t="n">
        <f aca="false">IF(ISNUMBER(T103),MIN(0.4,MAX(0.15,T103)),0.25)</f>
        <v>0.377991611152234</v>
      </c>
      <c r="U156" s="59" t="n">
        <f aca="false">IF(ISNUMBER(U103),MIN(0.4,MAX(0.15,U103)),0.25)</f>
        <v>0.363124979319017</v>
      </c>
      <c r="V156" s="59" t="n">
        <f aca="false">IF(ISNUMBER(V103),MIN(0.4,MAX(0.15,V103)),0.25)</f>
        <v>0.37242886070553</v>
      </c>
      <c r="W156" s="59" t="n">
        <f aca="false">IF(ISNUMBER(W103),MIN(0.4,MAX(0.15,W103)),0.25)</f>
        <v>0.318592543833402</v>
      </c>
      <c r="X156" s="59" t="n">
        <f aca="false">IF(ISNUMBER(X103),MIN(0.4,MAX(0.15,X103)),0.25)</f>
        <v>0.360003722531787</v>
      </c>
      <c r="Y156" s="59" t="n">
        <f aca="false">IF(ISNUMBER(Y103),MIN(0.4,MAX(0.15,Y103)),0.25)</f>
        <v>0.364024536925667</v>
      </c>
      <c r="Z156" s="59" t="n">
        <f aca="false">IF(ISNUMBER(Z103),MIN(0.4,MAX(0.15,Z103)),0.25)</f>
        <v>0.352217830478701</v>
      </c>
      <c r="AA156" s="59" t="n">
        <f aca="false">IF(ISNUMBER(AA103),MIN(0.4,MAX(0.15,AA103)),0.25)</f>
        <v>0.35886853698122</v>
      </c>
      <c r="AB156" s="59" t="n">
        <f aca="false">IF(ISNUMBER(AB103),MIN(0.4,MAX(0.15,AB103)),0.25)</f>
        <v>0.362533111562867</v>
      </c>
      <c r="AC156" s="59" t="n">
        <f aca="false">IF(ISNUMBER(AC103),MIN(0.4,MAX(0.15,AC103)),0.25)</f>
        <v>0.358987706723261</v>
      </c>
      <c r="AD156" s="59" t="n">
        <f aca="false">IF(ISNUMBER(AD103),MIN(0.4,MAX(0.15,AD103)),0.25)</f>
        <v>0.310296789824349</v>
      </c>
      <c r="AE156" s="59" t="n">
        <f aca="false">IF(ISNUMBER(AE103),MIN(0.4,MAX(0.15,AE103)),0.25)</f>
        <v>0.373335706657173</v>
      </c>
      <c r="AF156" s="59" t="n">
        <f aca="false">IF(ISNUMBER(AF103),MIN(0.4,MAX(0.15,AF103)),0.25)</f>
        <v>0.384842015371478</v>
      </c>
      <c r="AG156" s="59" t="n">
        <f aca="false">IF(ISNUMBER(AG103),MIN(0.4,MAX(0.15,AG103)),0.25)</f>
        <v>0.15</v>
      </c>
      <c r="AH156" s="59" t="n">
        <f aca="false">IF(ISNUMBER(AH103),MIN(0.4,MAX(0.15,AH103)),0.25)</f>
        <v>0.15</v>
      </c>
      <c r="AI156" s="59" t="n">
        <f aca="false">IF(ISNUMBER(AI103),MIN(0.4,MAX(0.15,AI103)),0.25)</f>
        <v>0.201504384638645</v>
      </c>
      <c r="AJ156" s="59" t="n">
        <f aca="false">IF(ISNUMBER(AJ103),MIN(0.4,MAX(0.15,AJ103)),0.25)</f>
        <v>0.247733088217027</v>
      </c>
      <c r="AK156" s="59" t="n">
        <f aca="false">IF(ISNUMBER(AK103),MIN(0.4,MAX(0.15,AK103)),0.25)</f>
        <v>0.246646716186609</v>
      </c>
      <c r="AL156" s="59" t="n">
        <f aca="false">IF(ISNUMBER(AL103),MIN(0.4,MAX(0.15,AL103)),0.25)</f>
        <v>0.199318568994889</v>
      </c>
      <c r="AM156" s="59" t="n">
        <f aca="false">IF(ISNUMBER(AM103),MIN(0.4,MAX(0.15,AM103)),0.25)</f>
        <v>0.227131845722321</v>
      </c>
      <c r="AN156" s="59" t="n">
        <f aca="false">IF(ISNUMBER(AN103),MIN(0.4,MAX(0.15,AN103)),0.25)</f>
        <v>0.192988180697556</v>
      </c>
      <c r="AO156" s="59" t="n">
        <f aca="false">IF(ISNUMBER(AO103),MIN(0.4,MAX(0.15,AO103)),0.25)</f>
        <v>0.249579985021153</v>
      </c>
      <c r="AP156" s="59" t="n">
        <f aca="false">IF(ISNUMBER(AP103),MIN(0.4,MAX(0.15,AP103)),0.25)</f>
        <v>0.242306543172991</v>
      </c>
      <c r="AQ156" s="59" t="n">
        <f aca="false">IF(ISNUMBER(AQ103),MIN(0.4,MAX(0.15,AQ103)),0.25)</f>
        <v>0.181105673650405</v>
      </c>
      <c r="AR156" s="59" t="n">
        <f aca="false">IF(ISNUMBER(AR103),MIN(0.4,MAX(0.15,AR103)),0.25)</f>
        <v>0.22456563838202</v>
      </c>
      <c r="AS156" s="59" t="n">
        <f aca="false">IF(ISNUMBER(AS103),MIN(0.4,MAX(0.15,AS103)),0.25)</f>
        <v>0.236674179270644</v>
      </c>
      <c r="AT156" s="59" t="n">
        <f aca="false">IF(ISNUMBER(AT103),MIN(0.4,MAX(0.15,AT103)),0.25)</f>
        <v>0.183248177277685</v>
      </c>
      <c r="AU156" s="59" t="n">
        <f aca="false">IF(ISNUMBER(AU103),MIN(0.4,MAX(0.15,AU103)),0.25)</f>
        <v>0.236878364227582</v>
      </c>
      <c r="AV156" s="59" t="n">
        <f aca="false">IF(ISNUMBER(AV103),MIN(0.4,MAX(0.15,AV103)),0.25)</f>
        <v>0.198166600239139</v>
      </c>
      <c r="AW156" s="59" t="n">
        <f aca="false">IF(ISNUMBER(AW103),MIN(0.4,MAX(0.15,AW103)),0.25)</f>
        <v>0.21521687334778</v>
      </c>
      <c r="AX156" s="59" t="n">
        <f aca="false">IF(ISNUMBER(AX103),MIN(0.4,MAX(0.15,AX103)),0.25)</f>
        <v>0.222990852832705</v>
      </c>
      <c r="AY156" s="59" t="n">
        <f aca="false">IF(ISNUMBER(AY103),MIN(0.4,MAX(0.15,AY103)),0.25)</f>
        <v>0.242932102131579</v>
      </c>
      <c r="AZ156" s="59" t="n">
        <f aca="false">IF(ISNUMBER(AZ103),MIN(0.4,MAX(0.15,AZ103)),0.25)</f>
        <v>0.243216299868978</v>
      </c>
      <c r="BA156" s="59" t="n">
        <f aca="false">IF(ISNUMBER(BA103),MIN(0.4,MAX(0.15,BA103)),0.25)</f>
        <v>0.239051716133824</v>
      </c>
      <c r="BB156" s="59" t="n">
        <f aca="false">IF(ISNUMBER(BB103),MIN(0.4,MAX(0.15,BB103)),0.25)</f>
        <v>0.239015785535485</v>
      </c>
      <c r="BC156" s="59" t="n">
        <f aca="false">IF(ISNUMBER(BC103),MIN(0.4,MAX(0.15,BC103)),0.25)</f>
        <v>0.22529798482277</v>
      </c>
      <c r="BD156" s="59" t="n">
        <f aca="false">IF(ISNUMBER(BD103),MIN(0.4,MAX(0.15,BD103)),0.25)</f>
        <v>0.244272115996569</v>
      </c>
      <c r="BE156" s="59" t="n">
        <f aca="false">IF(ISNUMBER(BE103),MIN(0.4,MAX(0.15,BE103)),0.25)</f>
        <v>0.233465929556951</v>
      </c>
      <c r="BF156" s="59" t="n">
        <f aca="false">IF(ISNUMBER(BF103),MIN(0.4,MAX(0.15,BF103)),0.25)</f>
        <v>0.24019986275519</v>
      </c>
      <c r="BG156" s="59" t="n">
        <f aca="false">IF(ISNUMBER(BG103),MIN(0.4,MAX(0.15,BG103)),0.25)</f>
        <v>0.236356100229037</v>
      </c>
      <c r="BH156" s="59" t="n">
        <f aca="false">IF(ISNUMBER(BH103),MIN(0.4,MAX(0.15,BH103)),0.25)</f>
        <v>0.232103574239642</v>
      </c>
      <c r="BI156" s="59" t="n">
        <f aca="false">IF(ISNUMBER(BI103),MIN(0.4,MAX(0.15,BI103)),0.25)</f>
        <v>0.247002655144549</v>
      </c>
      <c r="BJ156" s="59" t="n">
        <f aca="false">IF(ISNUMBER(BJ103),MIN(0.4,MAX(0.15,BJ103)),0.25)</f>
        <v>0.245948083257196</v>
      </c>
      <c r="BK156" s="59" t="n">
        <f aca="false">IF(ISNUMBER(BK103),MIN(0.4,MAX(0.15,BK103)),0.25)</f>
        <v>0.228184900698914</v>
      </c>
      <c r="BL156" s="59" t="n">
        <f aca="false">IF(ISNUMBER(BL103),MIN(0.4,MAX(0.15,BL103)),0.25)</f>
        <v>0.238875054426277</v>
      </c>
      <c r="BM156" s="59" t="n">
        <f aca="false">IF(ISNUMBER(BM103),MIN(0.4,MAX(0.15,BM103)),0.25)</f>
        <v>0.23729953831793</v>
      </c>
      <c r="BN156" s="59" t="n">
        <f aca="false">IF(ISNUMBER(BN103),MIN(0.4,MAX(0.15,BN103)),0.25)</f>
        <v>0.244054948863343</v>
      </c>
      <c r="BO156" s="59" t="n">
        <f aca="false">IF(ISNUMBER(BO103),MIN(0.4,MAX(0.15,BO103)),0.25)</f>
        <v>0.243978186975766</v>
      </c>
      <c r="BP156" s="59" t="n">
        <f aca="false">IF(ISNUMBER(BP103),MIN(0.4,MAX(0.15,BP103)),0.25)</f>
        <v>0.22971892428061</v>
      </c>
      <c r="BQ156" s="59" t="n">
        <f aca="false">IF(ISNUMBER(BQ103),MIN(0.4,MAX(0.15,BQ103)),0.25)</f>
        <v>0.239372027360885</v>
      </c>
      <c r="BR156" s="59" t="n">
        <f aca="false">IF(ISNUMBER(BR103),MIN(0.4,MAX(0.15,BR103)),0.25)</f>
        <v>0.24029588957523</v>
      </c>
      <c r="BS156" s="59" t="n">
        <f aca="false">IF(ISNUMBER(BS103),MIN(0.4,MAX(0.15,BS103)),0.25)</f>
        <v>0.252950902013311</v>
      </c>
      <c r="BT156" s="59" t="n">
        <f aca="false">IF(ISNUMBER(BT103),MIN(0.4,MAX(0.15,BT103)),0.25)</f>
        <v>0.248282168517309</v>
      </c>
      <c r="BU156" s="59" t="n">
        <f aca="false">IF(ISNUMBER(BU103),MIN(0.4,MAX(0.15,BU103)),0.25)</f>
        <v>0.226515829738748</v>
      </c>
      <c r="BV156" s="59" t="n">
        <f aca="false">IF(ISNUMBER(BV103),MIN(0.4,MAX(0.15,BV103)),0.25)</f>
        <v>0.244089167103847</v>
      </c>
      <c r="BW156" s="59" t="n">
        <f aca="false">IF(ISNUMBER(BW103),MIN(0.4,MAX(0.15,BW103)),0.25)</f>
        <v>0.233197509033598</v>
      </c>
      <c r="BX156" s="59" t="n">
        <f aca="false">IF(ISNUMBER(BX103),MIN(0.4,MAX(0.15,BX103)),0.25)</f>
        <v>0.248774656306037</v>
      </c>
      <c r="BY156" s="52" t="n">
        <f aca="false">BY103</f>
        <v>0.245</v>
      </c>
      <c r="BZ156" s="52" t="n">
        <f aca="false">BZ103</f>
        <v>0.245</v>
      </c>
      <c r="CA156" s="30" t="n">
        <f aca="false">CA103</f>
        <v>0.244307869210884</v>
      </c>
      <c r="CB156" s="30" t="n">
        <f aca="false">CB103</f>
        <v>0.245</v>
      </c>
      <c r="CC156" s="30" t="n">
        <f aca="false">CC103</f>
        <v>0.245</v>
      </c>
      <c r="CD156" s="30" t="n">
        <f aca="false">CD103</f>
        <v>0.245</v>
      </c>
      <c r="CE156" s="30" t="n">
        <f aca="false">CE103</f>
        <v>0.245</v>
      </c>
      <c r="CF156" s="21" t="s">
        <v>324</v>
      </c>
    </row>
    <row r="157" customFormat="false" ht="15" hidden="false" customHeight="true" outlineLevel="0" collapsed="false">
      <c r="B157" s="22" t="s">
        <v>325</v>
      </c>
      <c r="C157" s="65" t="n">
        <f aca="false">-C155*C156</f>
        <v>-1.56385533557286</v>
      </c>
      <c r="D157" s="65" t="n">
        <f aca="false">-D155*D156</f>
        <v>-0.966491564228104</v>
      </c>
      <c r="E157" s="65" t="n">
        <f aca="false">-E155*E156</f>
        <v>-5.32665</v>
      </c>
      <c r="F157" s="65" t="n">
        <f aca="false">-F155*F156</f>
        <v>4.92</v>
      </c>
      <c r="G157" s="65" t="n">
        <f aca="false">-G155*G156</f>
        <v>-0</v>
      </c>
      <c r="H157" s="65" t="n">
        <f aca="false">-H155*H156</f>
        <v>-0</v>
      </c>
      <c r="I157" s="65" t="n">
        <f aca="false">-I155*I156</f>
        <v>-0</v>
      </c>
      <c r="J157" s="65" t="n">
        <f aca="false">-J155*J156</f>
        <v>-0</v>
      </c>
      <c r="K157" s="65" t="n">
        <f aca="false">-K155*K156</f>
        <v>-0</v>
      </c>
      <c r="L157" s="65" t="n">
        <f aca="false">-L155*L156</f>
        <v>-0</v>
      </c>
      <c r="M157" s="65" t="n">
        <f aca="false">-M155*M156</f>
        <v>-0</v>
      </c>
      <c r="N157" s="65" t="n">
        <f aca="false">-N155*N156</f>
        <v>-0</v>
      </c>
      <c r="O157" s="65" t="n">
        <f aca="false">-O155*O156</f>
        <v>-0</v>
      </c>
      <c r="P157" s="65" t="n">
        <f aca="false">-P155*P156</f>
        <v>-0</v>
      </c>
      <c r="Q157" s="65" t="n">
        <f aca="false">-Q155*Q156</f>
        <v>-0</v>
      </c>
      <c r="R157" s="65" t="n">
        <f aca="false">-R155*R156</f>
        <v>-0</v>
      </c>
      <c r="S157" s="65" t="n">
        <f aca="false">-S155*S156</f>
        <v>-0</v>
      </c>
      <c r="T157" s="65" t="n">
        <f aca="false">-T155*T156</f>
        <v>-0</v>
      </c>
      <c r="U157" s="65" t="n">
        <f aca="false">-U155*U156</f>
        <v>-0</v>
      </c>
      <c r="V157" s="65" t="n">
        <f aca="false">-V155*V156</f>
        <v>-0</v>
      </c>
      <c r="W157" s="65" t="n">
        <f aca="false">-W155*W156</f>
        <v>-0</v>
      </c>
      <c r="X157" s="65" t="n">
        <f aca="false">-X155*X156</f>
        <v>-0</v>
      </c>
      <c r="Y157" s="65" t="n">
        <f aca="false">-Y155*Y156</f>
        <v>-0</v>
      </c>
      <c r="Z157" s="65" t="n">
        <f aca="false">-Z155*Z156</f>
        <v>-0</v>
      </c>
      <c r="AA157" s="65" t="n">
        <f aca="false">-AA155*AA156</f>
        <v>-0</v>
      </c>
      <c r="AB157" s="65" t="n">
        <f aca="false">-AB155*AB156</f>
        <v>-0</v>
      </c>
      <c r="AC157" s="65" t="n">
        <f aca="false">-AC155*AC156</f>
        <v>-0</v>
      </c>
      <c r="AD157" s="65" t="n">
        <f aca="false">-AD155*AD156</f>
        <v>-0</v>
      </c>
      <c r="AE157" s="65" t="n">
        <f aca="false">-AE155*AE156</f>
        <v>-0</v>
      </c>
      <c r="AF157" s="65" t="n">
        <f aca="false">-AF155*AF156</f>
        <v>-0</v>
      </c>
      <c r="AG157" s="65" t="n">
        <f aca="false">-AG155*AG156</f>
        <v>-0</v>
      </c>
      <c r="AH157" s="65" t="n">
        <f aca="false">-AH155*AH156</f>
        <v>-0</v>
      </c>
      <c r="AI157" s="65" t="n">
        <f aca="false">-AI155*AI156</f>
        <v>-0</v>
      </c>
      <c r="AJ157" s="65" t="n">
        <f aca="false">-AJ155*AJ156</f>
        <v>-0</v>
      </c>
      <c r="AK157" s="65" t="n">
        <f aca="false">-AK155*AK156</f>
        <v>-0</v>
      </c>
      <c r="AL157" s="65" t="n">
        <f aca="false">-AL155*AL156</f>
        <v>-0</v>
      </c>
      <c r="AM157" s="65" t="n">
        <f aca="false">-AM155*AM156</f>
        <v>-0</v>
      </c>
      <c r="AN157" s="65" t="n">
        <f aca="false">-AN155*AN156</f>
        <v>-0</v>
      </c>
      <c r="AO157" s="65" t="n">
        <f aca="false">-AO155*AO156</f>
        <v>-0</v>
      </c>
      <c r="AP157" s="65" t="n">
        <f aca="false">-AP155*AP156</f>
        <v>-0</v>
      </c>
      <c r="AQ157" s="65" t="n">
        <f aca="false">-AQ155*AQ156</f>
        <v>-0</v>
      </c>
      <c r="AR157" s="65" t="n">
        <f aca="false">-AR155*AR156</f>
        <v>-0</v>
      </c>
      <c r="AS157" s="65" t="n">
        <f aca="false">-AS155*AS156</f>
        <v>-0</v>
      </c>
      <c r="AT157" s="65" t="n">
        <f aca="false">-AT155*AT156</f>
        <v>-0</v>
      </c>
      <c r="AU157" s="65" t="n">
        <f aca="false">-AU155*AU156</f>
        <v>-0</v>
      </c>
      <c r="AV157" s="65" t="n">
        <f aca="false">-AV155*AV156</f>
        <v>-0</v>
      </c>
      <c r="AW157" s="65" t="n">
        <f aca="false">-AW155*AW156</f>
        <v>-0</v>
      </c>
      <c r="AX157" s="65" t="n">
        <f aca="false">-AX155*AX156</f>
        <v>-0</v>
      </c>
      <c r="AY157" s="65" t="n">
        <f aca="false">-AY155*AY156</f>
        <v>-0</v>
      </c>
      <c r="AZ157" s="65" t="n">
        <f aca="false">-AZ155*AZ156</f>
        <v>1.03780395154093</v>
      </c>
      <c r="BA157" s="65" t="n">
        <f aca="false">-BA155*BA156</f>
        <v>-0</v>
      </c>
      <c r="BB157" s="65" t="n">
        <f aca="false">-BB155*BB156</f>
        <v>1.01988035687991</v>
      </c>
      <c r="BC157" s="65" t="n">
        <f aca="false">-BC155*BC156</f>
        <v>-0</v>
      </c>
      <c r="BD157" s="65" t="n">
        <f aca="false">-BD155*BD156</f>
        <v>-0</v>
      </c>
      <c r="BE157" s="65" t="n">
        <f aca="false">-BE155*BE156</f>
        <v>-0</v>
      </c>
      <c r="BF157" s="65" t="n">
        <f aca="false">-BF155*BF156</f>
        <v>-0</v>
      </c>
      <c r="BG157" s="65" t="n">
        <f aca="false">-BG155*BG156</f>
        <v>-0</v>
      </c>
      <c r="BH157" s="65" t="n">
        <f aca="false">-BH155*BH156</f>
        <v>-0</v>
      </c>
      <c r="BI157" s="65" t="n">
        <f aca="false">-BI155*BI156</f>
        <v>-0</v>
      </c>
      <c r="BJ157" s="65" t="n">
        <f aca="false">-BJ155*BJ156</f>
        <v>-0</v>
      </c>
      <c r="BK157" s="65" t="n">
        <f aca="false">-BK155*BK156</f>
        <v>-0</v>
      </c>
      <c r="BL157" s="65" t="n">
        <f aca="false">-BL155*BL156</f>
        <v>-0</v>
      </c>
      <c r="BM157" s="65" t="n">
        <f aca="false">-BM155*BM156</f>
        <v>-0</v>
      </c>
      <c r="BN157" s="65" t="n">
        <f aca="false">-BN155*BN156</f>
        <v>-0</v>
      </c>
      <c r="BO157" s="65" t="n">
        <f aca="false">-BO155*BO156</f>
        <v>-0</v>
      </c>
      <c r="BP157" s="65" t="n">
        <f aca="false">-BP155*BP156</f>
        <v>-0</v>
      </c>
      <c r="BQ157" s="65" t="n">
        <f aca="false">-BQ155*BQ156</f>
        <v>-0</v>
      </c>
      <c r="BR157" s="65" t="n">
        <f aca="false">-BR155*BR156</f>
        <v>-0</v>
      </c>
      <c r="BS157" s="65" t="n">
        <f aca="false">-BS155*BS156</f>
        <v>-0</v>
      </c>
      <c r="BT157" s="65" t="n">
        <f aca="false">-BT155*BT156</f>
        <v>3.60083629000653</v>
      </c>
      <c r="BU157" s="65" t="n">
        <f aca="false">-BU155*BU156</f>
        <v>-0</v>
      </c>
      <c r="BV157" s="65" t="n">
        <f aca="false">-BV155*BV156</f>
        <v>3.5400251905071</v>
      </c>
      <c r="BW157" s="65" t="n">
        <f aca="false">-BW155*BW156</f>
        <v>-0</v>
      </c>
      <c r="BX157" s="65" t="n">
        <f aca="false">-BX155*BX156</f>
        <v>-0</v>
      </c>
      <c r="BY157" s="66" t="n">
        <f aca="false">-BY155*BY156</f>
        <v>-0</v>
      </c>
      <c r="BZ157" s="66" t="n">
        <f aca="false">-BZ155*BZ156</f>
        <v>-0</v>
      </c>
      <c r="CA157" s="67" t="n">
        <f aca="false">-CA155*CA156</f>
        <v>-0</v>
      </c>
      <c r="CB157" s="67" t="n">
        <f aca="false">-CB155*CB156</f>
        <v>-0</v>
      </c>
      <c r="CC157" s="67" t="n">
        <f aca="false">-CC155*CC156</f>
        <v>-0</v>
      </c>
      <c r="CD157" s="67" t="n">
        <f aca="false">-CD155*CD156</f>
        <v>-0</v>
      </c>
      <c r="CE157" s="67" t="n">
        <f aca="false">-CE155*CE156</f>
        <v>-0</v>
      </c>
      <c r="CF157" s="21"/>
    </row>
    <row r="158" customFormat="false" ht="15" hidden="false" customHeight="true" outlineLevel="0" collapsed="false">
      <c r="B158" s="22" t="s">
        <v>326</v>
      </c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3" t="n">
        <v>-34</v>
      </c>
      <c r="AH158" s="83" t="n">
        <v>-34</v>
      </c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7"/>
      <c r="BZ158" s="87"/>
      <c r="CA158" s="88"/>
      <c r="CB158" s="88"/>
      <c r="CC158" s="88"/>
      <c r="CD158" s="88"/>
      <c r="CE158" s="88"/>
      <c r="CF158" s="21" t="s">
        <v>327</v>
      </c>
    </row>
    <row r="159" customFormat="false" ht="15" hidden="false" customHeight="true" outlineLevel="0" collapsed="false">
      <c r="B159" s="22" t="s">
        <v>328</v>
      </c>
      <c r="C159" s="65" t="n">
        <f aca="false">IF(ISNUMBER(C163),ROUND(C163*C112-(C154+C155+C157+N(C158)),2),0)</f>
        <v>0</v>
      </c>
      <c r="D159" s="65" t="n">
        <f aca="false">IF(ISNUMBER(D163),ROUND(D163*D112-(D154+D155+D157+N(D158)),2),0)</f>
        <v>0</v>
      </c>
      <c r="E159" s="65" t="n">
        <f aca="false">IF(ISNUMBER(E163),ROUND(E163*E112-(E154+E155+E157+N(E158)),2),0)</f>
        <v>0</v>
      </c>
      <c r="F159" s="65" t="n">
        <f aca="false">IF(ISNUMBER(F163),ROUND(F163*F112-(F154+F155+F157+N(F158)),2),0)</f>
        <v>0</v>
      </c>
      <c r="G159" s="65" t="n">
        <f aca="false">IF(ISNUMBER(G163),ROUND(G163*G112-(G154+G155+G157+N(G158)),2),0)</f>
        <v>0</v>
      </c>
      <c r="H159" s="65" t="n">
        <f aca="false">IF(ISNUMBER(H163),ROUND(H163*H112-(H154+H155+H157+N(H158)),2),0)</f>
        <v>0</v>
      </c>
      <c r="I159" s="65" t="n">
        <f aca="false">IF(ISNUMBER(I163),ROUND(I163*I112-(I154+I155+I157+N(I158)),2),0)</f>
        <v>0</v>
      </c>
      <c r="J159" s="65" t="n">
        <f aca="false">IF(ISNUMBER(J163),ROUND(J163*J112-(J154+J155+J157+N(J158)),2),0)</f>
        <v>0</v>
      </c>
      <c r="K159" s="65" t="n">
        <f aca="false">IF(ISNUMBER(K163),ROUND(K163*K112-(K154+K155+K157+N(K158)),2),0)</f>
        <v>0</v>
      </c>
      <c r="L159" s="65" t="n">
        <f aca="false">IF(ISNUMBER(L163),ROUND(L163*L112-(L154+L155+L157+N(L158)),2),0)</f>
        <v>0</v>
      </c>
      <c r="M159" s="65" t="n">
        <f aca="false">IF(ISNUMBER(M163),ROUND(M163*M112-(M154+M155+M157+N(M158)),2),0)</f>
        <v>0</v>
      </c>
      <c r="N159" s="65" t="n">
        <f aca="false">IF(ISNUMBER(N163),ROUND(N163*N112-(N154+N155+N157+N(N158)),2),0)</f>
        <v>0</v>
      </c>
      <c r="O159" s="65" t="n">
        <f aca="false">IF(ISNUMBER(O163),ROUND(O163*O112-(O154+O155+O157+N(O158)),2),0)</f>
        <v>0</v>
      </c>
      <c r="P159" s="65" t="n">
        <f aca="false">IF(ISNUMBER(P163),ROUND(P163*P112-(P154+P155+P157+N(P158)),2),0)</f>
        <v>0</v>
      </c>
      <c r="Q159" s="65" t="n">
        <f aca="false">IF(ISNUMBER(Q163),ROUND(Q163*Q112-(Q154+Q155+Q157+N(Q158)),2),0)</f>
        <v>0</v>
      </c>
      <c r="R159" s="65" t="n">
        <f aca="false">IF(ISNUMBER(R163),ROUND(R163*R112-(R154+R155+R157+N(R158)),2),0)</f>
        <v>0</v>
      </c>
      <c r="S159" s="65" t="n">
        <f aca="false">IF(ISNUMBER(S163),ROUND(S163*S112-(S154+S155+S157+N(S158)),2),0)</f>
        <v>0</v>
      </c>
      <c r="T159" s="65" t="n">
        <f aca="false">IF(ISNUMBER(T163),ROUND(T163*T112-(T154+T155+T157+N(T158)),2),0)</f>
        <v>0</v>
      </c>
      <c r="U159" s="65" t="n">
        <f aca="false">IF(ISNUMBER(U163),ROUND(U163*U112-(U154+U155+U157+N(U158)),2),0)</f>
        <v>0</v>
      </c>
      <c r="V159" s="65" t="n">
        <f aca="false">IF(ISNUMBER(V163),ROUND(V163*V112-(V154+V155+V157+N(V158)),2),0)</f>
        <v>0</v>
      </c>
      <c r="W159" s="65" t="n">
        <f aca="false">IF(ISNUMBER(W163),ROUND(W163*W112-(W154+W155+W157+N(W158)),2),0)</f>
        <v>0</v>
      </c>
      <c r="X159" s="65" t="n">
        <f aca="false">IF(ISNUMBER(X163),ROUND(X163*X112-(X154+X155+X157+N(X158)),2),0)</f>
        <v>0</v>
      </c>
      <c r="Y159" s="65" t="n">
        <f aca="false">IF(ISNUMBER(Y163),ROUND(Y163*Y112-(Y154+Y155+Y157+N(Y158)),2),0)</f>
        <v>0</v>
      </c>
      <c r="Z159" s="65" t="n">
        <f aca="false">IF(ISNUMBER(Z163),ROUND(Z163*Z112-(Z154+Z155+Z157+N(Z158)),2),0)</f>
        <v>0</v>
      </c>
      <c r="AA159" s="65" t="n">
        <f aca="false">IF(ISNUMBER(AA163),ROUND(AA163*AA112-(AA154+AA155+AA157+N(AA158)),2),0)</f>
        <v>0</v>
      </c>
      <c r="AB159" s="65" t="n">
        <f aca="false">IF(ISNUMBER(AB163),ROUND(AB163*AB112-(AB154+AB155+AB157+N(AB158)),2),0)</f>
        <v>0</v>
      </c>
      <c r="AC159" s="65" t="n">
        <f aca="false">IF(ISNUMBER(AC163),ROUND(AC163*AC112-(AC154+AC155+AC157+N(AC158)),2),0)</f>
        <v>0</v>
      </c>
      <c r="AD159" s="65" t="n">
        <f aca="false">IF(ISNUMBER(AD163),ROUND(AD163*AD112-(AD154+AD155+AD157+N(AD158)),2),0)</f>
        <v>0</v>
      </c>
      <c r="AE159" s="65" t="n">
        <f aca="false">IF(ISNUMBER(AE163),ROUND(AE163*AE112-(AE154+AE155+AE157+N(AE158)),2),0)</f>
        <v>0</v>
      </c>
      <c r="AF159" s="65" t="n">
        <f aca="false">IF(ISNUMBER(AF163),ROUND(AF163*AF112-(AF154+AF155+AF157+N(AF158)),2),0)</f>
        <v>0</v>
      </c>
      <c r="AG159" s="65" t="n">
        <f aca="false">IF(ISNUMBER(AG163),ROUND(AG163*AG112-(AG154+AG155+AG157+N(AG158)),2),0)</f>
        <v>0.12</v>
      </c>
      <c r="AH159" s="65" t="n">
        <f aca="false">IF(ISNUMBER(AH163),ROUND(AH163*AH112-(AH154+AH155+AH157+N(AH158)),2),0)</f>
        <v>-0.03</v>
      </c>
      <c r="AI159" s="65" t="n">
        <f aca="false">IF(ISNUMBER(AI163),ROUND(AI163*AI112-(AI154+AI155+AI157+N(AI158)),2),0)</f>
        <v>0</v>
      </c>
      <c r="AJ159" s="65" t="n">
        <f aca="false">IF(ISNUMBER(AJ163),ROUND(AJ163*AJ112-(AJ154+AJ155+AJ157+N(AJ158)),2),0)</f>
        <v>0</v>
      </c>
      <c r="AK159" s="65" t="n">
        <f aca="false">IF(ISNUMBER(AK163),ROUND(AK163*AK112-(AK154+AK155+AK157+N(AK158)),2),0)</f>
        <v>0</v>
      </c>
      <c r="AL159" s="65" t="n">
        <f aca="false">IF(ISNUMBER(AL163),ROUND(AL163*AL112-(AL154+AL155+AL157+N(AL158)),2),0)</f>
        <v>0</v>
      </c>
      <c r="AM159" s="65" t="n">
        <f aca="false">IF(ISNUMBER(AM163),ROUND(AM163*AM112-(AM154+AM155+AM157+N(AM158)),2),0)</f>
        <v>0</v>
      </c>
      <c r="AN159" s="65" t="n">
        <f aca="false">IF(ISNUMBER(AN163),ROUND(AN163*AN112-(AN154+AN155+AN157+N(AN158)),2),0)</f>
        <v>0</v>
      </c>
      <c r="AO159" s="65" t="n">
        <f aca="false">IF(ISNUMBER(AO163),ROUND(AO163*AO112-(AO154+AO155+AO157+N(AO158)),2),0)</f>
        <v>0</v>
      </c>
      <c r="AP159" s="65" t="n">
        <f aca="false">IF(ISNUMBER(AP163),ROUND(AP163*AP112-(AP154+AP155+AP157+N(AP158)),2),0)</f>
        <v>0</v>
      </c>
      <c r="AQ159" s="65" t="n">
        <f aca="false">IF(ISNUMBER(AQ163),ROUND(AQ163*AQ112-(AQ154+AQ155+AQ157+N(AQ158)),2),0)</f>
        <v>0</v>
      </c>
      <c r="AR159" s="65" t="n">
        <f aca="false">IF(ISNUMBER(AR163),ROUND(AR163*AR112-(AR154+AR155+AR157+N(AR158)),2),0)</f>
        <v>0</v>
      </c>
      <c r="AS159" s="65" t="n">
        <f aca="false">IF(ISNUMBER(AS163),ROUND(AS163*AS112-(AS154+AS155+AS157+N(AS158)),2),0)</f>
        <v>0</v>
      </c>
      <c r="AT159" s="65" t="n">
        <f aca="false">IF(ISNUMBER(AT163),ROUND(AT163*AT112-(AT154+AT155+AT157+N(AT158)),2),0)</f>
        <v>0</v>
      </c>
      <c r="AU159" s="65" t="n">
        <f aca="false">IF(ISNUMBER(AU163),ROUND(AU163*AU112-(AU154+AU155+AU157+N(AU158)),2),0)</f>
        <v>0</v>
      </c>
      <c r="AV159" s="65" t="n">
        <f aca="false">IF(ISNUMBER(AV163),ROUND(AV163*AV112-(AV154+AV155+AV157+N(AV158)),2),0)</f>
        <v>0</v>
      </c>
      <c r="AW159" s="65" t="n">
        <f aca="false">IF(ISNUMBER(AW163),ROUND(AW163*AW112-(AW154+AW155+AW157+N(AW158)),2),0)</f>
        <v>0</v>
      </c>
      <c r="AX159" s="65" t="n">
        <f aca="false">IF(ISNUMBER(AX163),ROUND(AX163*AX112-(AX154+AX155+AX157+N(AX158)),2),0)</f>
        <v>0</v>
      </c>
      <c r="AY159" s="65" t="n">
        <f aca="false">IF(ISNUMBER(AY163),ROUND(AY163*AY112-(AY154+AY155+AY157+N(AY158)),2),0)</f>
        <v>0</v>
      </c>
      <c r="AZ159" s="65" t="n">
        <f aca="false">IF(ISNUMBER(AZ163),ROUND(AZ163*AZ112-(AZ154+AZ155+AZ157+N(AZ158)),2),0)</f>
        <v>-0.08</v>
      </c>
      <c r="BA159" s="65" t="n">
        <f aca="false">IF(ISNUMBER(BA163),ROUND(BA163*BA112-(BA154+BA155+BA157+N(BA158)),2),0)</f>
        <v>0</v>
      </c>
      <c r="BB159" s="65" t="n">
        <f aca="false">IF(ISNUMBER(BB163),ROUND(BB163*BB112-(BB154+BB155+BB157+N(BB158)),2),0)</f>
        <v>0</v>
      </c>
      <c r="BC159" s="65" t="n">
        <f aca="false">IF(ISNUMBER(BC163),ROUND(BC163*BC112-(BC154+BC155+BC157+N(BC158)),2),0)</f>
        <v>0</v>
      </c>
      <c r="BD159" s="65" t="n">
        <f aca="false">IF(ISNUMBER(BD163),ROUND(BD163*BD112-(BD154+BD155+BD157+N(BD158)),2),0)</f>
        <v>0</v>
      </c>
      <c r="BE159" s="65" t="n">
        <f aca="false">IF(ISNUMBER(BE163),ROUND(BE163*BE112-(BE154+BE155+BE157+N(BE158)),2),0)</f>
        <v>0</v>
      </c>
      <c r="BF159" s="65" t="n">
        <f aca="false">IF(ISNUMBER(BF163),ROUND(BF163*BF112-(BF154+BF155+BF157+N(BF158)),2),0)</f>
        <v>0</v>
      </c>
      <c r="BG159" s="65" t="n">
        <f aca="false">IF(ISNUMBER(BG163),ROUND(BG163*BG112-(BG154+BG155+BG157+N(BG158)),2),0)</f>
        <v>0</v>
      </c>
      <c r="BH159" s="65" t="n">
        <f aca="false">IF(ISNUMBER(BH163),ROUND(BH163*BH112-(BH154+BH155+BH157+N(BH158)),2),0)</f>
        <v>0</v>
      </c>
      <c r="BI159" s="65" t="n">
        <f aca="false">IF(ISNUMBER(BI163),ROUND(BI163*BI112-(BI154+BI155+BI157+N(BI158)),2),0)</f>
        <v>0</v>
      </c>
      <c r="BJ159" s="65" t="n">
        <f aca="false">IF(ISNUMBER(BJ163),ROUND(BJ163*BJ112-(BJ154+BJ155+BJ157+N(BJ158)),2),0)</f>
        <v>0</v>
      </c>
      <c r="BK159" s="65" t="n">
        <f aca="false">IF(ISNUMBER(BK163),ROUND(BK163*BK112-(BK154+BK155+BK157+N(BK158)),2),0)</f>
        <v>0</v>
      </c>
      <c r="BL159" s="65" t="n">
        <f aca="false">IF(ISNUMBER(BL163),ROUND(BL163*BL112-(BL154+BL155+BL157+N(BL158)),2),0)</f>
        <v>0</v>
      </c>
      <c r="BM159" s="65" t="n">
        <f aca="false">IF(ISNUMBER(BM163),ROUND(BM163*BM112-(BM154+BM155+BM157+N(BM158)),2),0)</f>
        <v>0</v>
      </c>
      <c r="BN159" s="65" t="n">
        <f aca="false">IF(ISNUMBER(BN163),ROUND(BN163*BN112-(BN154+BN155+BN157+N(BN158)),2),0)</f>
        <v>0</v>
      </c>
      <c r="BO159" s="65" t="n">
        <f aca="false">IF(ISNUMBER(BO163),ROUND(BO163*BO112-(BO154+BO155+BO157+N(BO158)),2),0)</f>
        <v>0</v>
      </c>
      <c r="BP159" s="65" t="n">
        <f aca="false">IF(ISNUMBER(BP163),ROUND(BP163*BP112-(BP154+BP155+BP157+N(BP158)),2),0)</f>
        <v>0</v>
      </c>
      <c r="BQ159" s="65" t="n">
        <f aca="false">IF(ISNUMBER(BQ163),ROUND(BQ163*BQ112-(BQ154+BQ155+BQ157+N(BQ158)),2),0)</f>
        <v>0</v>
      </c>
      <c r="BR159" s="65" t="n">
        <f aca="false">IF(ISNUMBER(BR163),ROUND(BR163*BR112-(BR154+BR155+BR157+N(BR158)),2),0)</f>
        <v>0</v>
      </c>
      <c r="BS159" s="65" t="n">
        <f aca="false">IF(ISNUMBER(BS163),ROUND(BS163*BS112-(BS154+BS155+BS157+N(BS158)),2),0)</f>
        <v>0</v>
      </c>
      <c r="BT159" s="65" t="n">
        <f aca="false">IF(ISNUMBER(BT163),ROUND(BT163*BT112-(BT154+BT155+BT157+N(BT158)),2),0)</f>
        <v>-0.13</v>
      </c>
      <c r="BU159" s="65" t="n">
        <f aca="false">IF(ISNUMBER(BU163),ROUND(BU163*BU112-(BU154+BU155+BU157+N(BU158)),2),0)</f>
        <v>0</v>
      </c>
      <c r="BV159" s="65" t="n">
        <f aca="false">IF(ISNUMBER(BV163),ROUND(BV163*BV112-(BV154+BV155+BV157+N(BV158)),2),0)</f>
        <v>-0.05</v>
      </c>
      <c r="BW159" s="65" t="n">
        <f aca="false">IF(ISNUMBER(BW163),ROUND(BW163*BW112-(BW154+BW155+BW157+N(BW158)),2),0)</f>
        <v>0</v>
      </c>
      <c r="BX159" s="65" t="n">
        <f aca="false">IF(ISNUMBER(BX163),ROUND(BX163*BX112-(BX154+BX155+BX157+N(BX158)),2),0)</f>
        <v>0</v>
      </c>
      <c r="BY159" s="84" t="n">
        <v>0</v>
      </c>
      <c r="BZ159" s="84" t="n">
        <v>0</v>
      </c>
      <c r="CA159" s="67" t="n">
        <f aca="false">SUM(BW159,BX159,BY159,BZ159)</f>
        <v>0</v>
      </c>
      <c r="CB159" s="85" t="n">
        <v>0</v>
      </c>
      <c r="CC159" s="85" t="n">
        <v>0</v>
      </c>
      <c r="CD159" s="85" t="n">
        <v>0</v>
      </c>
      <c r="CE159" s="85" t="n">
        <v>0</v>
      </c>
      <c r="CF159" s="21"/>
    </row>
    <row r="160" customFormat="false" ht="15" hidden="false" customHeight="true" outlineLevel="0" collapsed="false">
      <c r="B160" s="71" t="s">
        <v>329</v>
      </c>
      <c r="C160" s="72" t="n">
        <f aca="false">C154+C155+C157+N(C158)+N(C159)</f>
        <v>28.3861446644274</v>
      </c>
      <c r="D160" s="72" t="n">
        <f aca="false">D154+D155+D157+N(D158)+N(D159)</f>
        <v>18.5455084357718</v>
      </c>
      <c r="E160" s="72" t="n">
        <f aca="false">E154+E155+E157+N(E158)+N(E159)</f>
        <v>10.4953500000001</v>
      </c>
      <c r="F160" s="72" t="n">
        <f aca="false">F154+F155+F157+N(F158)+N(F159)</f>
        <v>-16.416</v>
      </c>
      <c r="G160" s="72" t="n">
        <f aca="false">G154+G155+G157+N(G158)+N(G159)</f>
        <v>1.95700000000002</v>
      </c>
      <c r="H160" s="72" t="n">
        <f aca="false">H154+H155+H157+N(H158)+N(H159)</f>
        <v>11.373</v>
      </c>
      <c r="I160" s="72" t="n">
        <f aca="false">I154+I155+I157+N(I158)+N(I159)</f>
        <v>32.0480000000002</v>
      </c>
      <c r="J160" s="72" t="n">
        <f aca="false">J154+J155+J157+N(J158)+N(J159)</f>
        <v>9.15500000000004</v>
      </c>
      <c r="K160" s="72" t="n">
        <f aca="false">K154+K155+K157+N(K158)+N(K159)</f>
        <v>13.5</v>
      </c>
      <c r="L160" s="72" t="n">
        <f aca="false">L154+L155+L157+N(L158)+N(L159)</f>
        <v>12.9079999999999</v>
      </c>
      <c r="M160" s="72" t="n">
        <f aca="false">M154+M155+M157+N(M158)+N(M159)</f>
        <v>8.06400000000001</v>
      </c>
      <c r="N160" s="72" t="n">
        <f aca="false">N154+N155+N157+N(N158)+N(N159)</f>
        <v>43.6269999999999</v>
      </c>
      <c r="O160" s="72" t="n">
        <f aca="false">O154+O155+O157+N(O158)+N(O159)</f>
        <v>8.57599999999994</v>
      </c>
      <c r="P160" s="72" t="n">
        <f aca="false">P154+P155+P157+N(P158)+N(P159)</f>
        <v>13.568</v>
      </c>
      <c r="Q160" s="72" t="n">
        <f aca="false">Q154+Q155+Q157+N(Q158)+N(Q159)</f>
        <v>16.2779999999999</v>
      </c>
      <c r="R160" s="72" t="n">
        <f aca="false">R154+R155+R157+N(R158)+N(R159)</f>
        <v>13.5690000000001</v>
      </c>
      <c r="S160" s="72" t="n">
        <f aca="false">S154+S155+S157+N(S158)+N(S159)</f>
        <v>51.991</v>
      </c>
      <c r="T160" s="72" t="n">
        <f aca="false">T154+T155+T157+N(T158)+N(T159)</f>
        <v>12.6049999999999</v>
      </c>
      <c r="U160" s="72" t="n">
        <f aca="false">U154+U155+U157+N(U158)+N(U159)</f>
        <v>19.247</v>
      </c>
      <c r="V160" s="72" t="n">
        <f aca="false">V154+V155+V157+N(V158)+N(V159)</f>
        <v>11.7770000000001</v>
      </c>
      <c r="W160" s="72" t="n">
        <f aca="false">W154+W155+W157+N(W158)+N(W159)</f>
        <v>11.387</v>
      </c>
      <c r="X160" s="72" t="n">
        <f aca="false">X154+X155+X157+N(X158)+N(X159)</f>
        <v>55.0159999999999</v>
      </c>
      <c r="Y160" s="72" t="n">
        <f aca="false">Y154+Y155+Y157+N(Y158)+N(Y159)</f>
        <v>10.575</v>
      </c>
      <c r="Z160" s="72" t="n">
        <f aca="false">Z154+Z155+Z157+N(Z158)+N(Z159)</f>
        <v>13.2749999999999</v>
      </c>
      <c r="AA160" s="72" t="n">
        <f aca="false">AA154+AA155+AA157+N(AA158)+N(AA159)</f>
        <v>13.826</v>
      </c>
      <c r="AB160" s="72" t="n">
        <f aca="false">AB154+AB155+AB157+N(AB158)+N(AB159)</f>
        <v>10.348</v>
      </c>
      <c r="AC160" s="72" t="n">
        <f aca="false">AC154+AC155+AC157+N(AC158)+N(AC159)</f>
        <v>48.024</v>
      </c>
      <c r="AD160" s="72" t="n">
        <f aca="false">AD154+AD155+AD157+N(AD158)+N(AD159)</f>
        <v>11.387</v>
      </c>
      <c r="AE160" s="72" t="n">
        <f aca="false">AE154+AE155+AE157+N(AE158)+N(AE159)</f>
        <v>17.603</v>
      </c>
      <c r="AF160" s="72" t="n">
        <f aca="false">AF154+AF155+AF157+N(AF158)+N(AF159)</f>
        <v>14.407</v>
      </c>
      <c r="AG160" s="72" t="n">
        <f aca="false">AG154+AG155+AG157+N(AG158)+N(AG159)</f>
        <v>13.879</v>
      </c>
      <c r="AH160" s="72" t="n">
        <f aca="false">AH154+AH155+AH157+N(AH158)+N(AH159)</f>
        <v>57.1260000000001</v>
      </c>
      <c r="AI160" s="72" t="n">
        <f aca="false">AI154+AI155+AI157+N(AI158)+N(AI159)</f>
        <v>21.1250000000001</v>
      </c>
      <c r="AJ160" s="72" t="n">
        <f aca="false">AJ154+AJ155+AJ157+N(AJ158)+N(AJ159)</f>
        <v>30.281</v>
      </c>
      <c r="AK160" s="72" t="n">
        <f aca="false">AK154+AK155+AK157+N(AK158)+N(AK159)</f>
        <v>28.1949999999999</v>
      </c>
      <c r="AL160" s="72" t="n">
        <f aca="false">AL154+AL155+AL157+N(AL158)+N(AL159)</f>
        <v>25.38</v>
      </c>
      <c r="AM160" s="72" t="n">
        <f aca="false">AM154+AM155+AM157+N(AM158)+N(AM159)</f>
        <v>104.981</v>
      </c>
      <c r="AN160" s="72" t="n">
        <f aca="false">AN154+AN155+AN157+N(AN158)+N(AN159)</f>
        <v>22.2590000000001</v>
      </c>
      <c r="AO160" s="72" t="n">
        <f aca="false">AO154+AO155+AO157+N(AO158)+N(AO159)</f>
        <v>37.073</v>
      </c>
      <c r="AP160" s="72" t="n">
        <f aca="false">AP154+AP155+AP157+N(AP158)+N(AP159)</f>
        <v>32.968</v>
      </c>
      <c r="AQ160" s="72" t="n">
        <f aca="false">AQ154+AQ155+AQ157+N(AQ158)+N(AQ159)</f>
        <v>21.419</v>
      </c>
      <c r="AR160" s="72" t="n">
        <f aca="false">AR154+AR155+AR157+N(AR158)+N(AR159)</f>
        <v>113.719</v>
      </c>
      <c r="AS160" s="72" t="n">
        <f aca="false">AS154+AS155+AS157+N(AS158)+N(AS159)</f>
        <v>28.111</v>
      </c>
      <c r="AT160" s="72" t="n">
        <f aca="false">AT154+AT155+AT157+N(AT158)+N(AT159)</f>
        <v>28.454</v>
      </c>
      <c r="AU160" s="72" t="n">
        <f aca="false">AU154+AU155+AU157+N(AU158)+N(AU159)</f>
        <v>41.5390000000001</v>
      </c>
      <c r="AV160" s="72" t="n">
        <f aca="false">AV154+AV155+AV157+N(AV158)+N(AV159)</f>
        <v>40.2360000000001</v>
      </c>
      <c r="AW160" s="72" t="n">
        <f aca="false">AW154+AW155+AW157+N(AW158)+N(AW159)</f>
        <v>138.34</v>
      </c>
      <c r="AX160" s="72" t="n">
        <f aca="false">AX154+AX155+AX157+N(AX158)+N(AX159)</f>
        <v>37.291</v>
      </c>
      <c r="AY160" s="72" t="n">
        <f aca="false">AY154+AY155+AY157+N(AY158)+N(AY159)</f>
        <v>62.474</v>
      </c>
      <c r="AZ160" s="72" t="n">
        <f aca="false">AZ154+AZ155+AZ157+N(AZ158)+N(AZ159)</f>
        <v>76.399803951541</v>
      </c>
      <c r="BA160" s="72" t="n">
        <f aca="false">BA154+BA155+BA157+N(BA158)+N(BA159)</f>
        <v>73.7610000000001</v>
      </c>
      <c r="BB160" s="72" t="n">
        <f aca="false">BB154+BB155+BB157+N(BB158)+N(BB159)</f>
        <v>249.98788035688</v>
      </c>
      <c r="BC160" s="72" t="n">
        <f aca="false">BC154+BC155+BC157+N(BC158)+N(BC159)</f>
        <v>79.424</v>
      </c>
      <c r="BD160" s="72" t="n">
        <f aca="false">BD154+BD155+BD157+N(BD158)+N(BD159)</f>
        <v>109.245</v>
      </c>
      <c r="BE160" s="72" t="n">
        <f aca="false">BE154+BE155+BE157+N(BE158)+N(BE159)</f>
        <v>97.8909999999999</v>
      </c>
      <c r="BF160" s="72" t="n">
        <f aca="false">BF154+BF155+BF157+N(BF158)+N(BF159)</f>
        <v>70.862</v>
      </c>
      <c r="BG160" s="72" t="n">
        <f aca="false">BG154+BG155+BG157+N(BG158)+N(BG159)</f>
        <v>357.421999999999</v>
      </c>
      <c r="BH160" s="72" t="n">
        <f aca="false">BH154+BH155+BH157+N(BH158)+N(BH159)</f>
        <v>76.0969999999999</v>
      </c>
      <c r="BI160" s="72" t="n">
        <f aca="false">BI154+BI155+BI157+N(BI158)+N(BI159)</f>
        <v>91.3189999999999</v>
      </c>
      <c r="BJ160" s="72" t="n">
        <f aca="false">BJ154+BJ155+BJ157+N(BJ158)+N(BJ159)</f>
        <v>98.2129999999999</v>
      </c>
      <c r="BK160" s="72" t="n">
        <f aca="false">BK154+BK155+BK157+N(BK158)+N(BK159)</f>
        <v>89.2279999999999</v>
      </c>
      <c r="BL160" s="72" t="n">
        <f aca="false">BL154+BL155+BL157+N(BL158)+N(BL159)</f>
        <v>354.857000000001</v>
      </c>
      <c r="BM160" s="72" t="n">
        <f aca="false">BM154+BM155+BM157+N(BM158)+N(BM159)</f>
        <v>90.6949999999999</v>
      </c>
      <c r="BN160" s="72" t="n">
        <f aca="false">BN154+BN155+BN157+N(BN158)+N(BN159)</f>
        <v>102.519</v>
      </c>
      <c r="BO160" s="72" t="n">
        <f aca="false">BO154+BO155+BO157+N(BO158)+N(BO159)</f>
        <v>92.7479999999999</v>
      </c>
      <c r="BP160" s="72" t="n">
        <f aca="false">BP154+BP155+BP157+N(BP158)+N(BP159)</f>
        <v>76.1030000000002</v>
      </c>
      <c r="BQ160" s="72" t="n">
        <f aca="false">BQ154+BQ155+BQ157+N(BQ158)+N(BQ159)</f>
        <v>362.065</v>
      </c>
      <c r="BR160" s="72" t="n">
        <f aca="false">BR154+BR155+BR157+N(BR158)+N(BR159)</f>
        <v>49.8100000000001</v>
      </c>
      <c r="BS160" s="72" t="n">
        <f aca="false">BS154+BS155+BS157+N(BS158)+N(BS159)</f>
        <v>71.3909999999999</v>
      </c>
      <c r="BT160" s="72" t="n">
        <f aca="false">BT154+BT155+BT157+N(BT158)+N(BT159)</f>
        <v>75.2838362900065</v>
      </c>
      <c r="BU160" s="72" t="n">
        <f aca="false">BU154+BU155+BU157+N(BU158)+N(BU159)</f>
        <v>47.519</v>
      </c>
      <c r="BV160" s="72" t="n">
        <f aca="false">BV154+BV155+BV157+N(BV158)+N(BV159)</f>
        <v>244.023025190507</v>
      </c>
      <c r="BW160" s="72" t="n">
        <f aca="false">BW154+BW155+BW157+N(BW158)+N(BW159)</f>
        <v>49.8689999999999</v>
      </c>
      <c r="BX160" s="72" t="n">
        <f aca="false">BX154+BX155+BX157+N(BX158)+N(BX159)</f>
        <v>94.2600000000001</v>
      </c>
      <c r="BY160" s="72" t="n">
        <f aca="false">BY154+BY155+BY157+N(BY159)</f>
        <v>90.6793008521634</v>
      </c>
      <c r="BZ160" s="72" t="n">
        <f aca="false">BZ154+BZ155+BZ157+N(BZ159)</f>
        <v>86.1363895715952</v>
      </c>
      <c r="CA160" s="72" t="n">
        <f aca="false">CA154+CA155+CA157+N(CA159)</f>
        <v>320.944690423759</v>
      </c>
      <c r="CB160" s="72" t="n">
        <f aca="false">CB154+CB155+CB157+N(CB159)</f>
        <v>399.361620706074</v>
      </c>
      <c r="CC160" s="72" t="n">
        <f aca="false">CC154+CC155+CC157+N(CC159)</f>
        <v>426.948367208918</v>
      </c>
      <c r="CD160" s="72" t="n">
        <f aca="false">CD154+CD155+CD157+N(CD159)</f>
        <v>464.645362429783</v>
      </c>
      <c r="CE160" s="72" t="n">
        <f aca="false">CE154+CE155+CE157+N(CE159)</f>
        <v>530.360802507843</v>
      </c>
      <c r="CF160" s="21"/>
      <c r="CH160" s="31" t="n">
        <f aca="false">IFERROR((CE160/BV160)^(1/5)-1,"n/m")</f>
        <v>0.167960411539205</v>
      </c>
      <c r="CI160" s="31" t="n">
        <f aca="false">IFERROR((BV160/AW160)^(1/5)-1,"n/m")</f>
        <v>0.120202679350327</v>
      </c>
      <c r="CJ160" s="31" t="n">
        <f aca="false">IFERROR((BV160/X160)^(1/10)-1,"n/m")</f>
        <v>0.160631035626654</v>
      </c>
      <c r="CK160" s="31" t="n">
        <f aca="false">IFERROR((BV160/C160)^(1/19)-1,"n/m")</f>
        <v>0.119888972437778</v>
      </c>
    </row>
    <row r="161" customFormat="false" ht="15" hidden="false" customHeight="true" outlineLevel="0" collapsed="false">
      <c r="B161" s="22" t="s">
        <v>269</v>
      </c>
      <c r="C161" s="23" t="n">
        <f aca="false">C112</f>
        <v>22.2615</v>
      </c>
      <c r="D161" s="23" t="n">
        <f aca="false">D112</f>
        <v>21.057</v>
      </c>
      <c r="E161" s="23" t="n">
        <f aca="false">E112</f>
        <v>19.974</v>
      </c>
      <c r="F161" s="23" t="n">
        <f aca="false">F112</f>
        <v>20.1345</v>
      </c>
      <c r="G161" s="23" t="n">
        <f aca="false">G112</f>
        <v>24.1725</v>
      </c>
      <c r="H161" s="23" t="n">
        <f aca="false">H112</f>
        <v>24.204</v>
      </c>
      <c r="I161" s="23" t="n">
        <f aca="false">I112</f>
        <v>24.8145</v>
      </c>
      <c r="J161" s="23" t="n">
        <f aca="false">J112</f>
        <v>24.948</v>
      </c>
      <c r="K161" s="23" t="n">
        <f aca="false">K112</f>
        <v>25.218</v>
      </c>
      <c r="L161" s="23" t="n">
        <f aca="false">L112</f>
        <v>25.269</v>
      </c>
      <c r="M161" s="23" t="n">
        <f aca="false">M112</f>
        <v>25.289</v>
      </c>
      <c r="N161" s="23" t="n">
        <f aca="false">N112</f>
        <v>25.205</v>
      </c>
      <c r="O161" s="23" t="n">
        <f aca="false">O112</f>
        <v>25.361</v>
      </c>
      <c r="P161" s="23" t="n">
        <f aca="false">P112</f>
        <v>25.447</v>
      </c>
      <c r="Q161" s="23" t="n">
        <f aca="false">Q112</f>
        <v>25.505</v>
      </c>
      <c r="R161" s="23" t="n">
        <f aca="false">R112</f>
        <v>25.565</v>
      </c>
      <c r="S161" s="23" t="n">
        <f aca="false">S112</f>
        <v>25.463</v>
      </c>
      <c r="T161" s="23" t="n">
        <f aca="false">T112</f>
        <v>25.513</v>
      </c>
      <c r="U161" s="23" t="n">
        <f aca="false">U112</f>
        <v>25.561</v>
      </c>
      <c r="V161" s="23" t="n">
        <f aca="false">V112</f>
        <v>25.555</v>
      </c>
      <c r="W161" s="23" t="n">
        <f aca="false">W112</f>
        <v>25.483</v>
      </c>
      <c r="X161" s="23" t="n">
        <f aca="false">X112</f>
        <v>25.471</v>
      </c>
      <c r="Y161" s="23" t="n">
        <f aca="false">Y112</f>
        <v>25.445</v>
      </c>
      <c r="Z161" s="23" t="n">
        <f aca="false">Z112</f>
        <v>25.583</v>
      </c>
      <c r="AA161" s="23" t="n">
        <f aca="false">AA112</f>
        <v>25.658</v>
      </c>
      <c r="AB161" s="23" t="n">
        <f aca="false">AB112</f>
        <v>25.782</v>
      </c>
      <c r="AC161" s="23" t="n">
        <f aca="false">AC112</f>
        <v>25.68</v>
      </c>
      <c r="AD161" s="23" t="n">
        <f aca="false">AD112</f>
        <v>25.971</v>
      </c>
      <c r="AE161" s="23" t="n">
        <f aca="false">AE112</f>
        <v>26</v>
      </c>
      <c r="AF161" s="23" t="n">
        <f aca="false">AF112</f>
        <v>26.113</v>
      </c>
      <c r="AG161" s="23" t="n">
        <f aca="false">AG112</f>
        <v>26.189</v>
      </c>
      <c r="AH161" s="23" t="n">
        <f aca="false">AH112</f>
        <v>26.086</v>
      </c>
      <c r="AI161" s="23" t="n">
        <f aca="false">AI112</f>
        <v>26.308</v>
      </c>
      <c r="AJ161" s="23" t="n">
        <f aca="false">AJ112</f>
        <v>26.354</v>
      </c>
      <c r="AK161" s="23" t="n">
        <f aca="false">AK112</f>
        <v>26.354</v>
      </c>
      <c r="AL161" s="23" t="n">
        <f aca="false">AL112</f>
        <v>26.289</v>
      </c>
      <c r="AM161" s="23" t="n">
        <f aca="false">AM112</f>
        <v>26.291</v>
      </c>
      <c r="AN161" s="23" t="n">
        <f aca="false">AN112</f>
        <v>26.322</v>
      </c>
      <c r="AO161" s="23" t="n">
        <f aca="false">AO112</f>
        <v>26.406</v>
      </c>
      <c r="AP161" s="23" t="n">
        <f aca="false">AP112</f>
        <v>26.46</v>
      </c>
      <c r="AQ161" s="23" t="n">
        <f aca="false">AQ112</f>
        <v>26.498</v>
      </c>
      <c r="AR161" s="23" t="n">
        <f aca="false">AR112</f>
        <v>26.435</v>
      </c>
      <c r="AS161" s="23" t="n">
        <f aca="false">AS112</f>
        <v>26.492</v>
      </c>
      <c r="AT161" s="23" t="n">
        <f aca="false">AT112</f>
        <v>26.569</v>
      </c>
      <c r="AU161" s="23" t="n">
        <f aca="false">AU112</f>
        <v>26.615</v>
      </c>
      <c r="AV161" s="23" t="n">
        <f aca="false">AV112</f>
        <v>26.653</v>
      </c>
      <c r="AW161" s="23" t="n">
        <f aca="false">AW112</f>
        <v>26.592</v>
      </c>
      <c r="AX161" s="23" t="n">
        <f aca="false">AX112</f>
        <v>26.671</v>
      </c>
      <c r="AY161" s="23" t="n">
        <f aca="false">AY112</f>
        <v>26.704</v>
      </c>
      <c r="AZ161" s="23" t="n">
        <f aca="false">AZ112</f>
        <v>26.713</v>
      </c>
      <c r="BA161" s="23" t="n">
        <f aca="false">BA112</f>
        <v>26.734</v>
      </c>
      <c r="BB161" s="23" t="n">
        <f aca="false">BB112</f>
        <v>26.707</v>
      </c>
      <c r="BC161" s="23" t="n">
        <f aca="false">BC112</f>
        <v>26.67</v>
      </c>
      <c r="BD161" s="23" t="n">
        <f aca="false">BD112</f>
        <v>26.665</v>
      </c>
      <c r="BE161" s="23" t="n">
        <f aca="false">BE112</f>
        <v>26.676</v>
      </c>
      <c r="BF161" s="23" t="n">
        <f aca="false">BF112</f>
        <v>26.691</v>
      </c>
      <c r="BG161" s="23" t="n">
        <f aca="false">BG112</f>
        <v>26.674</v>
      </c>
      <c r="BH161" s="23" t="n">
        <f aca="false">BH112</f>
        <v>26.702</v>
      </c>
      <c r="BI161" s="23" t="n">
        <f aca="false">BI112</f>
        <v>26.736</v>
      </c>
      <c r="BJ161" s="23" t="n">
        <f aca="false">BJ112</f>
        <v>26.779</v>
      </c>
      <c r="BK161" s="23" t="n">
        <f aca="false">BK112</f>
        <v>26.785</v>
      </c>
      <c r="BL161" s="23" t="n">
        <f aca="false">BL112</f>
        <v>26.763</v>
      </c>
      <c r="BM161" s="23" t="n">
        <f aca="false">BM112</f>
        <v>26.794</v>
      </c>
      <c r="BN161" s="23" t="n">
        <f aca="false">BN112</f>
        <v>26.802</v>
      </c>
      <c r="BO161" s="23" t="n">
        <f aca="false">BO112</f>
        <v>26.789</v>
      </c>
      <c r="BP161" s="23" t="n">
        <f aca="false">BP112</f>
        <v>26.811</v>
      </c>
      <c r="BQ161" s="23" t="n">
        <f aca="false">BQ112</f>
        <v>26.802</v>
      </c>
      <c r="BR161" s="23" t="n">
        <f aca="false">BR112</f>
        <v>26.788</v>
      </c>
      <c r="BS161" s="23" t="n">
        <f aca="false">BS112</f>
        <v>26.785</v>
      </c>
      <c r="BT161" s="23" t="n">
        <f aca="false">BT112</f>
        <v>26.79</v>
      </c>
      <c r="BU161" s="23" t="n">
        <f aca="false">BU112</f>
        <v>26.795</v>
      </c>
      <c r="BV161" s="23" t="n">
        <f aca="false">BV112</f>
        <v>26.786</v>
      </c>
      <c r="BW161" s="23" t="n">
        <f aca="false">BW112</f>
        <v>26.807</v>
      </c>
      <c r="BX161" s="23" t="n">
        <f aca="false">BX112</f>
        <v>26.833</v>
      </c>
      <c r="BY161" s="24" t="n">
        <f aca="false">BY112</f>
        <v>26.833</v>
      </c>
      <c r="BZ161" s="24" t="n">
        <f aca="false">BZ112</f>
        <v>26.833</v>
      </c>
      <c r="CA161" s="25" t="n">
        <f aca="false">CA112</f>
        <v>26.8265</v>
      </c>
      <c r="CB161" s="25" t="n">
        <f aca="false">CB112</f>
        <v>26.3567547653389</v>
      </c>
      <c r="CC161" s="25" t="n">
        <f aca="false">CC112</f>
        <v>25.5998936286344</v>
      </c>
      <c r="CD161" s="25" t="n">
        <f aca="false">CD112</f>
        <v>24.9622052877175</v>
      </c>
      <c r="CE161" s="25" t="n">
        <f aca="false">CE112</f>
        <v>24.3468591027701</v>
      </c>
      <c r="CF161" s="21"/>
    </row>
    <row r="162" customFormat="false" ht="15" hidden="false" customHeight="true" outlineLevel="0" collapsed="false">
      <c r="B162" s="71" t="s">
        <v>330</v>
      </c>
      <c r="C162" s="101" t="n">
        <f aca="false">IF(AND(ISNUMBER(C160),ISNUMBER(C161)),IFERROR(C160/C161,""),"")</f>
        <v>1.27512273047312</v>
      </c>
      <c r="D162" s="101" t="n">
        <f aca="false">IF(AND(ISNUMBER(D160),ISNUMBER(D161)),IFERROR(D160/D161,""),"")</f>
        <v>0.880728899452524</v>
      </c>
      <c r="E162" s="101" t="n">
        <f aca="false">IF(AND(ISNUMBER(E160),ISNUMBER(E161)),IFERROR(E160/E161,""),"")</f>
        <v>0.525450585761496</v>
      </c>
      <c r="F162" s="101" t="n">
        <f aca="false">IF(AND(ISNUMBER(F160),ISNUMBER(F161)),IFERROR(F160/F161,""),"")</f>
        <v>-0.815316993220591</v>
      </c>
      <c r="G162" s="101" t="n">
        <f aca="false">IF(AND(ISNUMBER(G160),ISNUMBER(G161)),IFERROR(G160/G161,""),"")</f>
        <v>0.0809597683317829</v>
      </c>
      <c r="H162" s="101" t="n">
        <f aca="false">IF(AND(ISNUMBER(H160),ISNUMBER(H161)),IFERROR(H160/H161,""),"")</f>
        <v>0.469881011403072</v>
      </c>
      <c r="I162" s="101" t="n">
        <f aca="false">IF(AND(ISNUMBER(I160),ISNUMBER(I161)),IFERROR(I160/I161,""),"")</f>
        <v>1.29150295190313</v>
      </c>
      <c r="J162" s="101" t="n">
        <f aca="false">IF(AND(ISNUMBER(J160),ISNUMBER(J161)),IFERROR(J160/J161,""),"")</f>
        <v>0.366963283629952</v>
      </c>
      <c r="K162" s="101" t="n">
        <f aca="false">IF(AND(ISNUMBER(K160),ISNUMBER(K161)),IFERROR(K160/K161,""),"")</f>
        <v>0.535331905781583</v>
      </c>
      <c r="L162" s="101" t="n">
        <f aca="false">IF(AND(ISNUMBER(L160),ISNUMBER(L161)),IFERROR(L160/L161,""),"")</f>
        <v>0.510823538723335</v>
      </c>
      <c r="M162" s="101" t="n">
        <f aca="false">IF(AND(ISNUMBER(M160),ISNUMBER(M161)),IFERROR(M160/M161,""),"")</f>
        <v>0.318873818656333</v>
      </c>
      <c r="N162" s="101" t="n">
        <f aca="false">IF(AND(ISNUMBER(N160),ISNUMBER(N161)),IFERROR(N160/N161,""),"")</f>
        <v>1.73088672882364</v>
      </c>
      <c r="O162" s="101" t="n">
        <f aca="false">IF(AND(ISNUMBER(O160),ISNUMBER(O161)),IFERROR(O160/O161,""),"")</f>
        <v>0.338157012736088</v>
      </c>
      <c r="P162" s="101" t="n">
        <f aca="false">IF(AND(ISNUMBER(P160),ISNUMBER(P161)),IFERROR(P160/P161,""),"")</f>
        <v>0.533186623177584</v>
      </c>
      <c r="Q162" s="101" t="n">
        <f aca="false">IF(AND(ISNUMBER(Q160),ISNUMBER(Q161)),IFERROR(Q160/Q161,""),"")</f>
        <v>0.638227798470886</v>
      </c>
      <c r="R162" s="101" t="n">
        <f aca="false">IF(AND(ISNUMBER(R160),ISNUMBER(R161)),IFERROR(R160/R161,""),"")</f>
        <v>0.530764717387055</v>
      </c>
      <c r="S162" s="101" t="n">
        <f aca="false">IF(AND(ISNUMBER(S160),ISNUMBER(S161)),IFERROR(S160/S161,""),"")</f>
        <v>2.04182539370852</v>
      </c>
      <c r="T162" s="101" t="n">
        <f aca="false">IF(AND(ISNUMBER(T160),ISNUMBER(T161)),IFERROR(T160/T161,""),"")</f>
        <v>0.494061850821148</v>
      </c>
      <c r="U162" s="101" t="n">
        <f aca="false">IF(AND(ISNUMBER(U160),ISNUMBER(U161)),IFERROR(U160/U161,""),"")</f>
        <v>0.752983060130668</v>
      </c>
      <c r="V162" s="101" t="n">
        <f aca="false">IF(AND(ISNUMBER(V160),ISNUMBER(V161)),IFERROR(V160/V161,""),"")</f>
        <v>0.460849148894544</v>
      </c>
      <c r="W162" s="101" t="n">
        <f aca="false">IF(AND(ISNUMBER(W160),ISNUMBER(W161)),IFERROR(W160/W161,""),"")</f>
        <v>0.44684691755288</v>
      </c>
      <c r="X162" s="101" t="n">
        <f aca="false">IF(AND(ISNUMBER(X160),ISNUMBER(X161)),IFERROR(X160/X161,""),"")</f>
        <v>2.15994660594401</v>
      </c>
      <c r="Y162" s="101" t="n">
        <f aca="false">IF(AND(ISNUMBER(Y160),ISNUMBER(Y161)),IFERROR(Y160/Y161,""),"")</f>
        <v>0.415602279426214</v>
      </c>
      <c r="Z162" s="101" t="n">
        <f aca="false">IF(AND(ISNUMBER(Z160),ISNUMBER(Z161)),IFERROR(Z160/Z161,""),"")</f>
        <v>0.518899269045849</v>
      </c>
      <c r="AA162" s="101" t="n">
        <f aca="false">IF(AND(ISNUMBER(AA160),ISNUMBER(AA161)),IFERROR(AA160/AA161,""),"")</f>
        <v>0.538857276482968</v>
      </c>
      <c r="AB162" s="101" t="n">
        <f aca="false">IF(AND(ISNUMBER(AB160),ISNUMBER(AB161)),IFERROR(AB160/AB161,""),"")</f>
        <v>0.401365293615699</v>
      </c>
      <c r="AC162" s="101" t="n">
        <f aca="false">IF(AND(ISNUMBER(AC160),ISNUMBER(AC161)),IFERROR(AC160/AC161,""),"")</f>
        <v>1.87009345794392</v>
      </c>
      <c r="AD162" s="101" t="n">
        <f aca="false">IF(AND(ISNUMBER(AD160),ISNUMBER(AD161)),IFERROR(AD160/AD161,""),"")</f>
        <v>0.438450579492511</v>
      </c>
      <c r="AE162" s="101" t="n">
        <f aca="false">IF(AND(ISNUMBER(AE160),ISNUMBER(AE161)),IFERROR(AE160/AE161,""),"")</f>
        <v>0.677038461538462</v>
      </c>
      <c r="AF162" s="101" t="n">
        <f aca="false">IF(AND(ISNUMBER(AF160),ISNUMBER(AF161)),IFERROR(AF160/AF161,""),"")</f>
        <v>0.551717535327231</v>
      </c>
      <c r="AG162" s="101" t="n">
        <f aca="false">IF(AND(ISNUMBER(AG160),ISNUMBER(AG161)),IFERROR(AG160/AG161,""),"")</f>
        <v>0.529955324754667</v>
      </c>
      <c r="AH162" s="101" t="n">
        <f aca="false">IF(AND(ISNUMBER(AH160),ISNUMBER(AH161)),IFERROR(AH160/AH161,""),"")</f>
        <v>2.18991029671088</v>
      </c>
      <c r="AI162" s="101" t="n">
        <f aca="false">IF(AND(ISNUMBER(AI160),ISNUMBER(AI161)),IFERROR(AI160/AI161,""),"")</f>
        <v>0.802987684354571</v>
      </c>
      <c r="AJ162" s="101" t="n">
        <f aca="false">IF(AND(ISNUMBER(AJ160),ISNUMBER(AJ161)),IFERROR(AJ160/AJ161,""),"")</f>
        <v>1.14900963800562</v>
      </c>
      <c r="AK162" s="101" t="n">
        <f aca="false">IF(AND(ISNUMBER(AK160),ISNUMBER(AK161)),IFERROR(AK160/AK161,""),"")</f>
        <v>1.06985656826288</v>
      </c>
      <c r="AL162" s="101" t="n">
        <f aca="false">IF(AND(ISNUMBER(AL160),ISNUMBER(AL161)),IFERROR(AL160/AL161,""),"")</f>
        <v>0.965422800410819</v>
      </c>
      <c r="AM162" s="101" t="n">
        <f aca="false">IF(AND(ISNUMBER(AM160),ISNUMBER(AM161)),IFERROR(AM160/AM161,""),"")</f>
        <v>3.99303944315546</v>
      </c>
      <c r="AN162" s="101" t="n">
        <f aca="false">IF(AND(ISNUMBER(AN160),ISNUMBER(AN161)),IFERROR(AN160/AN161,""),"")</f>
        <v>0.845642428386904</v>
      </c>
      <c r="AO162" s="101" t="n">
        <f aca="false">IF(AND(ISNUMBER(AO160),ISNUMBER(AO161)),IFERROR(AO160/AO161,""),"")</f>
        <v>1.40396122093464</v>
      </c>
      <c r="AP162" s="101" t="n">
        <f aca="false">IF(AND(ISNUMBER(AP160),ISNUMBER(AP161)),IFERROR(AP160/AP161,""),"")</f>
        <v>1.24595616024187</v>
      </c>
      <c r="AQ162" s="101" t="n">
        <f aca="false">IF(AND(ISNUMBER(AQ160),ISNUMBER(AQ161)),IFERROR(AQ160/AQ161,""),"")</f>
        <v>0.808325156615594</v>
      </c>
      <c r="AR162" s="101" t="n">
        <f aca="false">IF(AND(ISNUMBER(AR160),ISNUMBER(AR161)),IFERROR(AR160/AR161,""),"")</f>
        <v>4.30183468885947</v>
      </c>
      <c r="AS162" s="101" t="n">
        <f aca="false">IF(AND(ISNUMBER(AS160),ISNUMBER(AS161)),IFERROR(AS160/AS161,""),"")</f>
        <v>1.06111278876642</v>
      </c>
      <c r="AT162" s="101" t="n">
        <f aca="false">IF(AND(ISNUMBER(AT160),ISNUMBER(AT161)),IFERROR(AT160/AT161,""),"")</f>
        <v>1.07094734464978</v>
      </c>
      <c r="AU162" s="101" t="n">
        <f aca="false">IF(AND(ISNUMBER(AU160),ISNUMBER(AU161)),IFERROR(AU160/AU161,""),"")</f>
        <v>1.56073642682698</v>
      </c>
      <c r="AV162" s="101" t="n">
        <f aca="false">IF(AND(ISNUMBER(AV160),ISNUMBER(AV161)),IFERROR(AV160/AV161,""),"")</f>
        <v>1.5096236821371</v>
      </c>
      <c r="AW162" s="101" t="n">
        <f aca="false">IF(AND(ISNUMBER(AW160),ISNUMBER(AW161)),IFERROR(AW160/AW161,""),"")</f>
        <v>5.20231648616126</v>
      </c>
      <c r="AX162" s="101" t="n">
        <f aca="false">IF(AND(ISNUMBER(AX160),ISNUMBER(AX161)),IFERROR(AX160/AX161,""),"")</f>
        <v>1.39818529488958</v>
      </c>
      <c r="AY162" s="101" t="n">
        <f aca="false">IF(AND(ISNUMBER(AY160),ISNUMBER(AY161)),IFERROR(AY160/AY161,""),"")</f>
        <v>2.33949970041941</v>
      </c>
      <c r="AZ162" s="101" t="n">
        <f aca="false">IF(AND(ISNUMBER(AZ160),ISNUMBER(AZ161)),IFERROR(AZ160/AZ161,""),"")</f>
        <v>2.86002335759896</v>
      </c>
      <c r="BA162" s="101" t="n">
        <f aca="false">IF(AND(ISNUMBER(BA160),ISNUMBER(BA161)),IFERROR(BA160/BA161,""),"")</f>
        <v>2.75907084611357</v>
      </c>
      <c r="BB162" s="101" t="n">
        <f aca="false">IF(AND(ISNUMBER(BB160),ISNUMBER(BB161)),IFERROR(BB160/BB161,""),"")</f>
        <v>9.36038792664395</v>
      </c>
      <c r="BC162" s="101" t="n">
        <f aca="false">IF(AND(ISNUMBER(BC160),ISNUMBER(BC161)),IFERROR(BC160/BC161,""),"")</f>
        <v>2.97802774653168</v>
      </c>
      <c r="BD162" s="101" t="n">
        <f aca="false">IF(AND(ISNUMBER(BD160),ISNUMBER(BD161)),IFERROR(BD160/BD161,""),"")</f>
        <v>4.09694355897243</v>
      </c>
      <c r="BE162" s="101" t="n">
        <f aca="false">IF(AND(ISNUMBER(BE160),ISNUMBER(BE161)),IFERROR(BE160/BE161,""),"")</f>
        <v>3.66962813015444</v>
      </c>
      <c r="BF162" s="101" t="n">
        <f aca="false">IF(AND(ISNUMBER(BF160),ISNUMBER(BF161)),IFERROR(BF160/BF161,""),"")</f>
        <v>2.65490240155858</v>
      </c>
      <c r="BG162" s="101" t="n">
        <f aca="false">IF(AND(ISNUMBER(BG160),ISNUMBER(BG161)),IFERROR(BG160/BG161,""),"")</f>
        <v>13.3996400989728</v>
      </c>
      <c r="BH162" s="101" t="n">
        <f aca="false">IF(AND(ISNUMBER(BH160),ISNUMBER(BH161)),IFERROR(BH160/BH161,""),"")</f>
        <v>2.84986143360048</v>
      </c>
      <c r="BI162" s="101" t="n">
        <f aca="false">IF(AND(ISNUMBER(BI160),ISNUMBER(BI161)),IFERROR(BI160/BI161,""),"")</f>
        <v>3.41558198683423</v>
      </c>
      <c r="BJ162" s="101" t="n">
        <f aca="false">IF(AND(ISNUMBER(BJ160),ISNUMBER(BJ161)),IFERROR(BJ160/BJ161,""),"")</f>
        <v>3.66753799619104</v>
      </c>
      <c r="BK162" s="101" t="n">
        <f aca="false">IF(AND(ISNUMBER(BK160),ISNUMBER(BK161)),IFERROR(BK160/BK161,""),"")</f>
        <v>3.33126750046668</v>
      </c>
      <c r="BL162" s="101" t="n">
        <f aca="false">IF(AND(ISNUMBER(BL160),ISNUMBER(BL161)),IFERROR(BL160/BL161,""),"")</f>
        <v>13.2592385009155</v>
      </c>
      <c r="BM162" s="101" t="n">
        <f aca="false">IF(AND(ISNUMBER(BM160),ISNUMBER(BM161)),IFERROR(BM160/BM161,""),"")</f>
        <v>3.38489960438904</v>
      </c>
      <c r="BN162" s="101" t="n">
        <f aca="false">IF(AND(ISNUMBER(BN160),ISNUMBER(BN161)),IFERROR(BN160/BN161,""),"")</f>
        <v>3.82505036937542</v>
      </c>
      <c r="BO162" s="101" t="n">
        <f aca="false">IF(AND(ISNUMBER(BO160),ISNUMBER(BO161)),IFERROR(BO160/BO161,""),"")</f>
        <v>3.46216730747695</v>
      </c>
      <c r="BP162" s="101" t="n">
        <f aca="false">IF(AND(ISNUMBER(BP160),ISNUMBER(BP161)),IFERROR(BP160/BP161,""),"")</f>
        <v>2.83849912349409</v>
      </c>
      <c r="BQ162" s="101" t="n">
        <f aca="false">IF(AND(ISNUMBER(BQ160),ISNUMBER(BQ161)),IFERROR(BQ160/BQ161,""),"")</f>
        <v>13.5088799343333</v>
      </c>
      <c r="BR162" s="101" t="n">
        <f aca="false">IF(AND(ISNUMBER(BR160),ISNUMBER(BR161)),IFERROR(BR160/BR161,""),"")</f>
        <v>1.85941466328207</v>
      </c>
      <c r="BS162" s="101" t="n">
        <f aca="false">IF(AND(ISNUMBER(BS160),ISNUMBER(BS161)),IFERROR(BS160/BS161,""),"")</f>
        <v>2.66533507560201</v>
      </c>
      <c r="BT162" s="101" t="n">
        <f aca="false">IF(AND(ISNUMBER(BT160),ISNUMBER(BT161)),IFERROR(BT160/BT161,""),"")</f>
        <v>2.8101469313179</v>
      </c>
      <c r="BU162" s="101" t="n">
        <f aca="false">IF(AND(ISNUMBER(BU160),ISNUMBER(BU161)),IFERROR(BU160/BU161,""),"")</f>
        <v>1.77342787833551</v>
      </c>
      <c r="BV162" s="101" t="n">
        <f aca="false">IF(AND(ISNUMBER(BV160),ISNUMBER(BV161)),IFERROR(BV160/BV161,""),"")</f>
        <v>9.11009576609077</v>
      </c>
      <c r="BW162" s="101" t="n">
        <f aca="false">IF(AND(ISNUMBER(BW160),ISNUMBER(BW161)),IFERROR(BW160/BW161,""),"")</f>
        <v>1.86029768344089</v>
      </c>
      <c r="BX162" s="101" t="n">
        <f aca="false">IF(AND(ISNUMBER(BX160),ISNUMBER(BX161)),IFERROR(BX160/BX161,""),"")</f>
        <v>3.51283866880334</v>
      </c>
      <c r="BY162" s="101" t="n">
        <f aca="false">IF(AND(ISNUMBER(BY160),ISNUMBER(BY161)),IFERROR(BY160/BY161,""),"")</f>
        <v>3.37939480684841</v>
      </c>
      <c r="BZ162" s="101" t="n">
        <f aca="false">IF(AND(ISNUMBER(BZ160),ISNUMBER(BZ161)),IFERROR(BZ160/BZ161,""),"")</f>
        <v>3.2100916621919</v>
      </c>
      <c r="CA162" s="101" t="n">
        <f aca="false">IF(AND(ISNUMBER(CA160),ISNUMBER(CA161)),IFERROR(CA160/CA161,""),"")</f>
        <v>11.9637183540066</v>
      </c>
      <c r="CB162" s="101" t="n">
        <f aca="false">IF(AND(ISNUMBER(CB160),ISNUMBER(CB161)),IFERROR(CB160/CB161,""),"")</f>
        <v>15.1521545145332</v>
      </c>
      <c r="CC162" s="101" t="n">
        <f aca="false">IF(AND(ISNUMBER(CC160),ISNUMBER(CC161)),IFERROR(CC160/CC161,""),"")</f>
        <v>16.6777398923002</v>
      </c>
      <c r="CD162" s="101" t="n">
        <f aca="false">IF(AND(ISNUMBER(CD160),ISNUMBER(CD161)),IFERROR(CD160/CD161,""),"")</f>
        <v>18.6139548599262</v>
      </c>
      <c r="CE162" s="101" t="n">
        <f aca="false">IF(AND(ISNUMBER(CE160),ISNUMBER(CE161)),IFERROR(CE160/CE161,""),"")</f>
        <v>21.783540959807</v>
      </c>
      <c r="CF162" s="21"/>
      <c r="CH162" s="31" t="n">
        <f aca="false">IFERROR((CE162/BV162)^(1/5)-1,"n/m")</f>
        <v>0.190477267538349</v>
      </c>
      <c r="CI162" s="31" t="n">
        <f aca="false">IFERROR((BV162/AW162)^(1/5)-1,"n/m")</f>
        <v>0.118575324377844</v>
      </c>
      <c r="CJ162" s="31" t="n">
        <f aca="false">IFERROR((BV162/X162)^(1/10)-1,"n/m")</f>
        <v>0.154803237304386</v>
      </c>
      <c r="CK162" s="31" t="n">
        <f aca="false">IFERROR((BV162/C162)^(1/19)-1,"n/m")</f>
        <v>0.109036500197892</v>
      </c>
    </row>
    <row r="163" customFormat="false" ht="15" hidden="false" customHeight="true" outlineLevel="0" collapsed="false">
      <c r="B163" s="37" t="s">
        <v>331</v>
      </c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5" t="n">
        <v>0.53</v>
      </c>
      <c r="AH163" s="45" t="n">
        <v>2.19</v>
      </c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5" t="n">
        <v>2.86</v>
      </c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102"/>
      <c r="BM163" s="46"/>
      <c r="BN163" s="46"/>
      <c r="BO163" s="46"/>
      <c r="BP163" s="46"/>
      <c r="BQ163" s="46"/>
      <c r="BR163" s="102"/>
      <c r="BS163" s="102"/>
      <c r="BT163" s="45" t="n">
        <v>2.81</v>
      </c>
      <c r="BU163" s="46"/>
      <c r="BV163" s="45" t="n">
        <v>9.11</v>
      </c>
      <c r="BW163" s="46"/>
      <c r="BX163" s="46"/>
      <c r="BY163" s="47"/>
      <c r="BZ163" s="47"/>
      <c r="CA163" s="47"/>
      <c r="CB163" s="47"/>
      <c r="CC163" s="47"/>
      <c r="CD163" s="47"/>
      <c r="CE163" s="47"/>
      <c r="CF163" s="21"/>
    </row>
    <row r="164" customFormat="false" ht="15" hidden="false" customHeight="true" outlineLevel="0" collapsed="false">
      <c r="B164" s="74" t="s">
        <v>332</v>
      </c>
      <c r="C164" s="23" t="str">
        <f aca="false">IF(ISNUMBER(C163),ROUND(C162-C163,2),"")</f>
        <v/>
      </c>
      <c r="D164" s="23" t="str">
        <f aca="false">IF(ISNUMBER(D163),ROUND(D162-D163,2),"")</f>
        <v/>
      </c>
      <c r="E164" s="23" t="str">
        <f aca="false">IF(ISNUMBER(E163),ROUND(E162-E163,2),"")</f>
        <v/>
      </c>
      <c r="F164" s="23" t="str">
        <f aca="false">IF(ISNUMBER(F163),ROUND(F162-F163,2),"")</f>
        <v/>
      </c>
      <c r="G164" s="23" t="str">
        <f aca="false">IF(ISNUMBER(G163),ROUND(G162-G163,2),"")</f>
        <v/>
      </c>
      <c r="H164" s="23" t="str">
        <f aca="false">IF(ISNUMBER(H163),ROUND(H162-H163,2),"")</f>
        <v/>
      </c>
      <c r="I164" s="23" t="str">
        <f aca="false">IF(ISNUMBER(I163),ROUND(I162-I163,2),"")</f>
        <v/>
      </c>
      <c r="J164" s="23" t="str">
        <f aca="false">IF(ISNUMBER(J163),ROUND(J162-J163,2),"")</f>
        <v/>
      </c>
      <c r="K164" s="23" t="str">
        <f aca="false">IF(ISNUMBER(K163),ROUND(K162-K163,2),"")</f>
        <v/>
      </c>
      <c r="L164" s="23" t="str">
        <f aca="false">IF(ISNUMBER(L163),ROUND(L162-L163,2),"")</f>
        <v/>
      </c>
      <c r="M164" s="23" t="str">
        <f aca="false">IF(ISNUMBER(M163),ROUND(M162-M163,2),"")</f>
        <v/>
      </c>
      <c r="N164" s="23" t="str">
        <f aca="false">IF(ISNUMBER(N163),ROUND(N162-N163,2),"")</f>
        <v/>
      </c>
      <c r="O164" s="23" t="str">
        <f aca="false">IF(ISNUMBER(O163),ROUND(O162-O163,2),"")</f>
        <v/>
      </c>
      <c r="P164" s="23" t="str">
        <f aca="false">IF(ISNUMBER(P163),ROUND(P162-P163,2),"")</f>
        <v/>
      </c>
      <c r="Q164" s="23" t="str">
        <f aca="false">IF(ISNUMBER(Q163),ROUND(Q162-Q163,2),"")</f>
        <v/>
      </c>
      <c r="R164" s="23" t="str">
        <f aca="false">IF(ISNUMBER(R163),ROUND(R162-R163,2),"")</f>
        <v/>
      </c>
      <c r="S164" s="23" t="str">
        <f aca="false">IF(ISNUMBER(S163),ROUND(S162-S163,2),"")</f>
        <v/>
      </c>
      <c r="T164" s="23" t="str">
        <f aca="false">IF(ISNUMBER(T163),ROUND(T162-T163,2),"")</f>
        <v/>
      </c>
      <c r="U164" s="23" t="str">
        <f aca="false">IF(ISNUMBER(U163),ROUND(U162-U163,2),"")</f>
        <v/>
      </c>
      <c r="V164" s="23" t="str">
        <f aca="false">IF(ISNUMBER(V163),ROUND(V162-V163,2),"")</f>
        <v/>
      </c>
      <c r="W164" s="23" t="str">
        <f aca="false">IF(ISNUMBER(W163),ROUND(W162-W163,2),"")</f>
        <v/>
      </c>
      <c r="X164" s="23" t="str">
        <f aca="false">IF(ISNUMBER(X163),ROUND(X162-X163,2),"")</f>
        <v/>
      </c>
      <c r="Y164" s="23" t="str">
        <f aca="false">IF(ISNUMBER(Y163),ROUND(Y162-Y163,2),"")</f>
        <v/>
      </c>
      <c r="Z164" s="23" t="str">
        <f aca="false">IF(ISNUMBER(Z163),ROUND(Z162-Z163,2),"")</f>
        <v/>
      </c>
      <c r="AA164" s="23" t="str">
        <f aca="false">IF(ISNUMBER(AA163),ROUND(AA162-AA163,2),"")</f>
        <v/>
      </c>
      <c r="AB164" s="23" t="str">
        <f aca="false">IF(ISNUMBER(AB163),ROUND(AB162-AB163,2),"")</f>
        <v/>
      </c>
      <c r="AC164" s="23" t="str">
        <f aca="false">IF(ISNUMBER(AC163),ROUND(AC162-AC163,2),"")</f>
        <v/>
      </c>
      <c r="AD164" s="23" t="str">
        <f aca="false">IF(ISNUMBER(AD163),ROUND(AD162-AD163,2),"")</f>
        <v/>
      </c>
      <c r="AE164" s="23" t="str">
        <f aca="false">IF(ISNUMBER(AE163),ROUND(AE162-AE163,2),"")</f>
        <v/>
      </c>
      <c r="AF164" s="23" t="str">
        <f aca="false">IF(ISNUMBER(AF163),ROUND(AF162-AF163,2),"")</f>
        <v/>
      </c>
      <c r="AG164" s="23" t="n">
        <f aca="false">IF(ISNUMBER(AG163),ROUND(AG162-AG163,2),"")</f>
        <v>-0</v>
      </c>
      <c r="AH164" s="23" t="n">
        <f aca="false">IF(ISNUMBER(AH163),ROUND(AH162-AH163,2),"")</f>
        <v>-0</v>
      </c>
      <c r="AI164" s="23" t="str">
        <f aca="false">IF(ISNUMBER(AI163),ROUND(AI162-AI163,2),"")</f>
        <v/>
      </c>
      <c r="AJ164" s="23" t="str">
        <f aca="false">IF(ISNUMBER(AJ163),ROUND(AJ162-AJ163,2),"")</f>
        <v/>
      </c>
      <c r="AK164" s="23" t="str">
        <f aca="false">IF(ISNUMBER(AK163),ROUND(AK162-AK163,2),"")</f>
        <v/>
      </c>
      <c r="AL164" s="23" t="str">
        <f aca="false">IF(ISNUMBER(AL163),ROUND(AL162-AL163,2),"")</f>
        <v/>
      </c>
      <c r="AM164" s="23" t="str">
        <f aca="false">IF(ISNUMBER(AM163),ROUND(AM162-AM163,2),"")</f>
        <v/>
      </c>
      <c r="AN164" s="23" t="str">
        <f aca="false">IF(ISNUMBER(AN163),ROUND(AN162-AN163,2),"")</f>
        <v/>
      </c>
      <c r="AO164" s="23" t="str">
        <f aca="false">IF(ISNUMBER(AO163),ROUND(AO162-AO163,2),"")</f>
        <v/>
      </c>
      <c r="AP164" s="23" t="str">
        <f aca="false">IF(ISNUMBER(AP163),ROUND(AP162-AP163,2),"")</f>
        <v/>
      </c>
      <c r="AQ164" s="23" t="str">
        <f aca="false">IF(ISNUMBER(AQ163),ROUND(AQ162-AQ163,2),"")</f>
        <v/>
      </c>
      <c r="AR164" s="23" t="str">
        <f aca="false">IF(ISNUMBER(AR163),ROUND(AR162-AR163,2),"")</f>
        <v/>
      </c>
      <c r="AS164" s="23" t="str">
        <f aca="false">IF(ISNUMBER(AS163),ROUND(AS162-AS163,2),"")</f>
        <v/>
      </c>
      <c r="AT164" s="23" t="str">
        <f aca="false">IF(ISNUMBER(AT163),ROUND(AT162-AT163,2),"")</f>
        <v/>
      </c>
      <c r="AU164" s="23" t="str">
        <f aca="false">IF(ISNUMBER(AU163),ROUND(AU162-AU163,2),"")</f>
        <v/>
      </c>
      <c r="AV164" s="23" t="str">
        <f aca="false">IF(ISNUMBER(AV163),ROUND(AV162-AV163,2),"")</f>
        <v/>
      </c>
      <c r="AW164" s="23" t="str">
        <f aca="false">IF(ISNUMBER(AW163),ROUND(AW162-AW163,2),"")</f>
        <v/>
      </c>
      <c r="AX164" s="23" t="str">
        <f aca="false">IF(ISNUMBER(AX163),ROUND(AX162-AX163,2),"")</f>
        <v/>
      </c>
      <c r="AY164" s="23" t="str">
        <f aca="false">IF(ISNUMBER(AY163),ROUND(AY162-AY163,2),"")</f>
        <v/>
      </c>
      <c r="AZ164" s="23" t="n">
        <f aca="false">IF(ISNUMBER(AZ163),ROUND(AZ162-AZ163,2),"")</f>
        <v>0</v>
      </c>
      <c r="BA164" s="23" t="str">
        <f aca="false">IF(ISNUMBER(BA163),ROUND(BA162-BA163,2),"")</f>
        <v/>
      </c>
      <c r="BB164" s="23" t="str">
        <f aca="false">IF(ISNUMBER(BB163),ROUND(BB162-BB163,2),"")</f>
        <v/>
      </c>
      <c r="BC164" s="23" t="str">
        <f aca="false">IF(ISNUMBER(BC163),ROUND(BC162-BC163,2),"")</f>
        <v/>
      </c>
      <c r="BD164" s="23" t="str">
        <f aca="false">IF(ISNUMBER(BD163),ROUND(BD162-BD163,2),"")</f>
        <v/>
      </c>
      <c r="BE164" s="23" t="str">
        <f aca="false">IF(ISNUMBER(BE163),ROUND(BE162-BE163,2),"")</f>
        <v/>
      </c>
      <c r="BF164" s="23" t="str">
        <f aca="false">IF(ISNUMBER(BF163),ROUND(BF162-BF163,2),"")</f>
        <v/>
      </c>
      <c r="BG164" s="23" t="str">
        <f aca="false">IF(ISNUMBER(BG163),ROUND(BG162-BG163,2),"")</f>
        <v/>
      </c>
      <c r="BH164" s="23" t="str">
        <f aca="false">IF(ISNUMBER(BH163),ROUND(BH162-BH163,2),"")</f>
        <v/>
      </c>
      <c r="BI164" s="23" t="str">
        <f aca="false">IF(ISNUMBER(BI163),ROUND(BI162-BI163,2),"")</f>
        <v/>
      </c>
      <c r="BJ164" s="23" t="str">
        <f aca="false">IF(ISNUMBER(BJ163),ROUND(BJ162-BJ163,2),"")</f>
        <v/>
      </c>
      <c r="BK164" s="23" t="str">
        <f aca="false">IF(ISNUMBER(BK163),ROUND(BK162-BK163,2),"")</f>
        <v/>
      </c>
      <c r="BL164" s="23" t="str">
        <f aca="false">IF(ISNUMBER(BL163),ROUND(BL162-BL163,2),"")</f>
        <v/>
      </c>
      <c r="BM164" s="23" t="str">
        <f aca="false">IF(ISNUMBER(BM163),ROUND(BM162-BM163,2),"")</f>
        <v/>
      </c>
      <c r="BN164" s="23" t="str">
        <f aca="false">IF(ISNUMBER(BN163),ROUND(BN162-BN163,2),"")</f>
        <v/>
      </c>
      <c r="BO164" s="23" t="str">
        <f aca="false">IF(ISNUMBER(BO163),ROUND(BO162-BO163,2),"")</f>
        <v/>
      </c>
      <c r="BP164" s="23" t="str">
        <f aca="false">IF(ISNUMBER(BP163),ROUND(BP162-BP163,2),"")</f>
        <v/>
      </c>
      <c r="BQ164" s="23" t="str">
        <f aca="false">IF(ISNUMBER(BQ163),ROUND(BQ162-BQ163,2),"")</f>
        <v/>
      </c>
      <c r="BR164" s="23" t="str">
        <f aca="false">IF(ISNUMBER(BR163),ROUND(BR162-BR163,2),"")</f>
        <v/>
      </c>
      <c r="BS164" s="23" t="str">
        <f aca="false">IF(ISNUMBER(BS163),ROUND(BS162-BS163,2),"")</f>
        <v/>
      </c>
      <c r="BT164" s="23" t="n">
        <f aca="false">IF(ISNUMBER(BT163),ROUND(BT162-BT163,2),"")</f>
        <v>0</v>
      </c>
      <c r="BU164" s="23" t="str">
        <f aca="false">IF(ISNUMBER(BU163),ROUND(BU162-BU163,2),"")</f>
        <v/>
      </c>
      <c r="BV164" s="23" t="n">
        <f aca="false">IF(ISNUMBER(BV163),ROUND(BV162-BV163,2),"")</f>
        <v>0</v>
      </c>
      <c r="BW164" s="23" t="str">
        <f aca="false">IF(ISNUMBER(BW163),ROUND(BW162-BW163,2),"")</f>
        <v/>
      </c>
      <c r="BX164" s="23" t="str">
        <f aca="false">IF(ISNUMBER(BX163),ROUND(BX162-BX163,2),"")</f>
        <v/>
      </c>
      <c r="BY164" s="48"/>
      <c r="BZ164" s="48"/>
      <c r="CA164" s="48"/>
      <c r="CB164" s="48"/>
      <c r="CC164" s="48"/>
      <c r="CD164" s="48"/>
      <c r="CE164" s="48"/>
      <c r="CF164" s="21"/>
    </row>
    <row r="165" customFormat="false" ht="15" hidden="false" customHeight="true" outlineLevel="0" collapsed="false"/>
    <row r="166" customFormat="false" ht="15" hidden="false" customHeight="true" outlineLevel="0" collapsed="false">
      <c r="B166" s="11" t="s">
        <v>333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 t="s">
        <v>334</v>
      </c>
    </row>
    <row r="167" customFormat="false" ht="15" hidden="false" customHeight="true" outlineLevel="0" collapsed="false">
      <c r="B167" s="27" t="s">
        <v>194</v>
      </c>
      <c r="C167" s="28"/>
      <c r="D167" s="29" t="n">
        <f aca="false">IF(AND(ISNUMBER(D81),ISNUMBER(C81)),IFERROR(D81/C81-1,""),"")</f>
        <v>0.115903276180982</v>
      </c>
      <c r="E167" s="29" t="n">
        <f aca="false">IF(AND(ISNUMBER(E81),ISNUMBER(D81)),IFERROR(E81/D81-1,""),"")</f>
        <v>0.0556261864539613</v>
      </c>
      <c r="F167" s="29" t="n">
        <f aca="false">IF(AND(ISNUMBER(F81),ISNUMBER(E81)),IFERROR(F81/E81-1,""),"")</f>
        <v>-0.175928091527638</v>
      </c>
      <c r="G167" s="29" t="n">
        <f aca="false">IF(AND(ISNUMBER(G81),ISNUMBER(F81)),IFERROR(G81/F81-1,""),"")</f>
        <v>0.0630272239828249</v>
      </c>
      <c r="H167" s="29" t="n">
        <f aca="false">IF(AND(ISNUMBER(H81),ISNUMBER(G81)),IFERROR(H81/G81-1,""),"")</f>
        <v>0.141320098375911</v>
      </c>
      <c r="I167" s="29" t="n">
        <f aca="false">IF(AND(ISNUMBER(I81),ISNUMBER(H81)),IFERROR(I81/H81-1,""),"")</f>
        <v>0.0664467145009242</v>
      </c>
      <c r="J167" s="28"/>
      <c r="K167" s="28"/>
      <c r="L167" s="28"/>
      <c r="M167" s="28"/>
      <c r="N167" s="29" t="n">
        <f aca="false">IF(AND(ISNUMBER(N81),ISNUMBER(I81)),IFERROR(N81/I81-1,""),"")</f>
        <v>0.0367850846334552</v>
      </c>
      <c r="O167" s="29" t="n">
        <f aca="false">IF(AND(ISNUMBER(O81),ISNUMBER(J81)),IFERROR(O81/J81-1,""),"")</f>
        <v>0.0947241549334357</v>
      </c>
      <c r="P167" s="29" t="n">
        <f aca="false">IF(AND(ISNUMBER(P81),ISNUMBER(K81)),IFERROR(P81/K81-1,""),"")</f>
        <v>0.129349152472851</v>
      </c>
      <c r="Q167" s="29" t="n">
        <f aca="false">IF(AND(ISNUMBER(Q81),ISNUMBER(L81)),IFERROR(Q81/L81-1,""),"")</f>
        <v>0.134625554869373</v>
      </c>
      <c r="R167" s="29" t="n">
        <f aca="false">IF(AND(ISNUMBER(R81),ISNUMBER(M81)),IFERROR(R81/M81-1,""),"")</f>
        <v>0.107250004469793</v>
      </c>
      <c r="S167" s="29" t="n">
        <f aca="false">IF(AND(ISNUMBER(S81),ISNUMBER(N81)),IFERROR(S81/N81-1,""),"")</f>
        <v>0.116958740894079</v>
      </c>
      <c r="T167" s="29" t="n">
        <f aca="false">IF(AND(ISNUMBER(T81),ISNUMBER(O81)),IFERROR(T81/O81-1,""),"")</f>
        <v>-0.0223801421279152</v>
      </c>
      <c r="U167" s="29" t="n">
        <f aca="false">IF(AND(ISNUMBER(U81),ISNUMBER(P81)),IFERROR(U81/P81-1,""),"")</f>
        <v>-0.020941346674778</v>
      </c>
      <c r="V167" s="29" t="n">
        <f aca="false">IF(AND(ISNUMBER(V81),ISNUMBER(Q81)),IFERROR(V81/Q81-1,""),"")</f>
        <v>-0.0461442696304849</v>
      </c>
      <c r="W167" s="29" t="n">
        <f aca="false">IF(AND(ISNUMBER(W81),ISNUMBER(R81)),IFERROR(W81/R81-1,""),"")</f>
        <v>-0.0711711362579446</v>
      </c>
      <c r="X167" s="29" t="n">
        <f aca="false">IF(AND(ISNUMBER(X81),ISNUMBER(S81)),IFERROR(X81/S81-1,""),"")</f>
        <v>-0.0400920836801405</v>
      </c>
      <c r="Y167" s="29" t="n">
        <f aca="false">IF(AND(ISNUMBER(Y81),ISNUMBER(T81)),IFERROR(Y81/T81-1,""),"")</f>
        <v>-0.0106169502631202</v>
      </c>
      <c r="Z167" s="29" t="n">
        <f aca="false">IF(AND(ISNUMBER(Z81),ISNUMBER(U81)),IFERROR(Z81/U81-1,""),"")</f>
        <v>-0.0357827377272166</v>
      </c>
      <c r="AA167" s="29" t="n">
        <f aca="false">IF(AND(ISNUMBER(AA81),ISNUMBER(V81)),IFERROR(AA81/V81-1,""),"")</f>
        <v>-0.00238651445937721</v>
      </c>
      <c r="AB167" s="29" t="n">
        <f aca="false">IF(AND(ISNUMBER(AB81),ISNUMBER(W81)),IFERROR(AB81/W81-1,""),"")</f>
        <v>0.0438545252251312</v>
      </c>
      <c r="AC167" s="29" t="n">
        <f aca="false">IF(AND(ISNUMBER(AC81),ISNUMBER(X81)),IFERROR(AC81/X81-1,""),"")</f>
        <v>-0.00231718211004395</v>
      </c>
      <c r="AD167" s="29" t="n">
        <f aca="false">IF(AND(ISNUMBER(AD81),ISNUMBER(Y81)),IFERROR(AD81/Y81-1,""),"")</f>
        <v>0.0935666463155933</v>
      </c>
      <c r="AE167" s="29" t="n">
        <f aca="false">IF(AND(ISNUMBER(AE81),ISNUMBER(Z81)),IFERROR(AE81/Z81-1,""),"")</f>
        <v>0.148298360077588</v>
      </c>
      <c r="AF167" s="29" t="n">
        <f aca="false">IF(AND(ISNUMBER(AF81),ISNUMBER(AA81)),IFERROR(AF81/AA81-1,""),"")</f>
        <v>0.106243798231588</v>
      </c>
      <c r="AG167" s="29" t="n">
        <f aca="false">IF(AND(ISNUMBER(AG81),ISNUMBER(AB81)),IFERROR(AG81/AB81-1,""),"")</f>
        <v>0.17662870599521</v>
      </c>
      <c r="AH167" s="29" t="n">
        <f aca="false">IF(AND(ISNUMBER(AH81),ISNUMBER(AC81)),IFERROR(AH81/AC81-1,""),"")</f>
        <v>0.131334834109026</v>
      </c>
      <c r="AI167" s="29" t="n">
        <f aca="false">IF(AND(ISNUMBER(AI81),ISNUMBER(AD81)),IFERROR(AI81/AD81-1,""),"")</f>
        <v>0.238987878386435</v>
      </c>
      <c r="AJ167" s="29" t="n">
        <f aca="false">IF(AND(ISNUMBER(AJ81),ISNUMBER(AE81)),IFERROR(AJ81/AE81-1,""),"")</f>
        <v>0.197040428858611</v>
      </c>
      <c r="AK167" s="29" t="n">
        <f aca="false">IF(AND(ISNUMBER(AK81),ISNUMBER(AF81)),IFERROR(AK81/AF81-1,""),"")</f>
        <v>0.215676080237215</v>
      </c>
      <c r="AL167" s="29" t="n">
        <f aca="false">IF(AND(ISNUMBER(AL81),ISNUMBER(AG81)),IFERROR(AL81/AG81-1,""),"")</f>
        <v>0.151447554288594</v>
      </c>
      <c r="AM167" s="29" t="n">
        <f aca="false">IF(AND(ISNUMBER(AM81),ISNUMBER(AH81)),IFERROR(AM81/AH81-1,""),"")</f>
        <v>0.199736672204046</v>
      </c>
      <c r="AN167" s="29" t="n">
        <f aca="false">IF(AND(ISNUMBER(AN81),ISNUMBER(AI81)),IFERROR(AN81/AI81-1,""),"")</f>
        <v>0.0452616438181794</v>
      </c>
      <c r="AO167" s="29" t="n">
        <f aca="false">IF(AND(ISNUMBER(AO81),ISNUMBER(AJ81)),IFERROR(AO81/AJ81-1,""),"")</f>
        <v>0.0827160090686021</v>
      </c>
      <c r="AP167" s="29" t="n">
        <f aca="false">IF(AND(ISNUMBER(AP81),ISNUMBER(AK81)),IFERROR(AP81/AK81-1,""),"")</f>
        <v>0.101815951612221</v>
      </c>
      <c r="AQ167" s="29" t="n">
        <f aca="false">IF(AND(ISNUMBER(AQ81),ISNUMBER(AL81)),IFERROR(AQ81/AL81-1,""),"")</f>
        <v>0.0892808850645359</v>
      </c>
      <c r="AR167" s="29" t="n">
        <f aca="false">IF(AND(ISNUMBER(AR81),ISNUMBER(AM81)),IFERROR(AR81/AM81-1,""),"")</f>
        <v>0.0803495361426587</v>
      </c>
      <c r="AS167" s="29" t="n">
        <f aca="false">IF(AND(ISNUMBER(AS81),ISNUMBER(AN81)),IFERROR(AS81/AN81-1,""),"")</f>
        <v>0.0872221031506342</v>
      </c>
      <c r="AT167" s="29" t="n">
        <f aca="false">IF(AND(ISNUMBER(AT81),ISNUMBER(AO81)),IFERROR(AT81/AO81-1,""),"")</f>
        <v>-0.0992707805986709</v>
      </c>
      <c r="AU167" s="29" t="n">
        <f aca="false">IF(AND(ISNUMBER(AU81),ISNUMBER(AP81)),IFERROR(AU81/AP81-1,""),"")</f>
        <v>0.026622391984491</v>
      </c>
      <c r="AV167" s="29" t="n">
        <f aca="false">IF(AND(ISNUMBER(AV81),ISNUMBER(AQ81)),IFERROR(AV81/AQ81-1,""),"")</f>
        <v>0.0754223420942752</v>
      </c>
      <c r="AW167" s="29" t="n">
        <f aca="false">IF(AND(ISNUMBER(AW81),ISNUMBER(AR81)),IFERROR(AW81/AR81-1,""),"")</f>
        <v>0.0199419611749925</v>
      </c>
      <c r="AX167" s="29" t="n">
        <f aca="false">IF(AND(ISNUMBER(AX81),ISNUMBER(AS81)),IFERROR(AX81/AS81-1,""),"")</f>
        <v>0.0844048781799121</v>
      </c>
      <c r="AY167" s="29" t="n">
        <f aca="false">IF(AND(ISNUMBER(AY81),ISNUMBER(AT81)),IFERROR(AY81/AT81-1,""),"")</f>
        <v>0.366452689936238</v>
      </c>
      <c r="AZ167" s="29" t="n">
        <f aca="false">IF(AND(ISNUMBER(AZ81),ISNUMBER(AU81)),IFERROR(AZ81/AU81-1,""),"")</f>
        <v>0.280118992716682</v>
      </c>
      <c r="BA167" s="29" t="n">
        <f aca="false">IF(AND(ISNUMBER(BA81),ISNUMBER(AV81)),IFERROR(BA81/AV81-1,""),"")</f>
        <v>0.295077253705282</v>
      </c>
      <c r="BB167" s="29" t="n">
        <f aca="false">IF(AND(ISNUMBER(BB81),ISNUMBER(AW81)),IFERROR(BB81/AW81-1,""),"")</f>
        <v>0.255897004224179</v>
      </c>
      <c r="BC167" s="29" t="n">
        <f aca="false">IF(AND(ISNUMBER(BC81),ISNUMBER(AX81)),IFERROR(BC81/AX81-1,""),"")</f>
        <v>0.365939918276958</v>
      </c>
      <c r="BD167" s="29" t="n">
        <f aca="false">IF(AND(ISNUMBER(BD81),ISNUMBER(AY81)),IFERROR(BD81/AY81-1,""),"")</f>
        <v>0.304937750838828</v>
      </c>
      <c r="BE167" s="29" t="n">
        <f aca="false">IF(AND(ISNUMBER(BE81),ISNUMBER(AZ81)),IFERROR(BE81/AZ81-1,""),"")</f>
        <v>0.183937125942851</v>
      </c>
      <c r="BF167" s="29" t="n">
        <f aca="false">IF(AND(ISNUMBER(BF81),ISNUMBER(BA81)),IFERROR(BF81/BA81-1,""),"")</f>
        <v>0.062625490008605</v>
      </c>
      <c r="BG167" s="29" t="n">
        <f aca="false">IF(AND(ISNUMBER(BG81),ISNUMBER(BB81)),IFERROR(BG81/BB81-1,""),"")</f>
        <v>0.21992927001482</v>
      </c>
      <c r="BH167" s="29" t="n">
        <f aca="false">IF(AND(ISNUMBER(BH81),ISNUMBER(BC81)),IFERROR(BH81/BC81-1,""),"")</f>
        <v>-0.00102992063107976</v>
      </c>
      <c r="BI167" s="29" t="n">
        <f aca="false">IF(AND(ISNUMBER(BI81),ISNUMBER(BD81)),IFERROR(BI81/BD81-1,""),"")</f>
        <v>-0.0683143005067373</v>
      </c>
      <c r="BJ167" s="29" t="n">
        <f aca="false">IF(AND(ISNUMBER(BJ81),ISNUMBER(BE81)),IFERROR(BJ81/BE81-1,""),"")</f>
        <v>0.0624800393661393</v>
      </c>
      <c r="BK167" s="29" t="n">
        <f aca="false">IF(AND(ISNUMBER(BK81),ISNUMBER(BF81)),IFERROR(BK81/BF81-1,""),"")</f>
        <v>0.145496747116936</v>
      </c>
      <c r="BL167" s="29" t="n">
        <f aca="false">IF(AND(ISNUMBER(BL81),ISNUMBER(BG81)),IFERROR(BL81/BG81-1,""),"")</f>
        <v>0.0320108078022763</v>
      </c>
      <c r="BM167" s="29" t="n">
        <f aca="false">IF(AND(ISNUMBER(BM81),ISNUMBER(BH81)),IFERROR(BM81/BH81-1,""),"")</f>
        <v>0.142672227815332</v>
      </c>
      <c r="BN167" s="29" t="n">
        <f aca="false">IF(AND(ISNUMBER(BN81),ISNUMBER(BI81)),IFERROR(BN81/BI81-1,""),"")</f>
        <v>0.185168336159811</v>
      </c>
      <c r="BO167" s="29" t="n">
        <f aca="false">IF(AND(ISNUMBER(BO81),ISNUMBER(BJ81)),IFERROR(BO81/BJ81-1,""),"")</f>
        <v>0.0863826592220283</v>
      </c>
      <c r="BP167" s="29" t="n">
        <f aca="false">IF(AND(ISNUMBER(BP81),ISNUMBER(BK81)),IFERROR(BP81/BK81-1,""),"")</f>
        <v>0.0503506707209918</v>
      </c>
      <c r="BQ167" s="29" t="n">
        <f aca="false">IF(AND(ISNUMBER(BQ81),ISNUMBER(BL81)),IFERROR(BQ81/BL81-1,""),"")</f>
        <v>0.113707658654565</v>
      </c>
      <c r="BR167" s="29" t="n">
        <f aca="false">IF(AND(ISNUMBER(BR81),ISNUMBER(BM81)),IFERROR(BR81/BM81-1,""),"")</f>
        <v>0.0434566592693189</v>
      </c>
      <c r="BS167" s="29" t="n">
        <f aca="false">IF(AND(ISNUMBER(BS81),ISNUMBER(BN81)),IFERROR(BS81/BN81-1,""),"")</f>
        <v>-0.00744493734542862</v>
      </c>
      <c r="BT167" s="29" t="n">
        <f aca="false">IF(AND(ISNUMBER(BT81),ISNUMBER(BO81)),IFERROR(BT81/BO81-1,""),"")</f>
        <v>-0.00292007034768904</v>
      </c>
      <c r="BU167" s="29" t="n">
        <f aca="false">IF(AND(ISNUMBER(BU81),ISNUMBER(BP81)),IFERROR(BU81/BP81-1,""),"")</f>
        <v>0.00126750423346422</v>
      </c>
      <c r="BV167" s="29" t="n">
        <f aca="false">IF(AND(ISNUMBER(BV81),ISNUMBER(BQ81)),IFERROR(BV81/BQ81-1,""),"")</f>
        <v>0.00785647199160877</v>
      </c>
      <c r="BW167" s="29" t="n">
        <f aca="false">IF(AND(ISNUMBER(BW81),ISNUMBER(BR81)),IFERROR(BW81/BR81-1,""),"")</f>
        <v>0.0236815541377011</v>
      </c>
      <c r="BX167" s="29" t="n">
        <f aca="false">IF(AND(ISNUMBER(BX81),ISNUMBER(BS81)),IFERROR(BX81/BS81-1,""),"")</f>
        <v>0.170574521334206</v>
      </c>
      <c r="BY167" s="30" t="n">
        <f aca="false">IF(AND(ISNUMBER(BY81),ISNUMBER(BT81)),IFERROR(BY81/BT81-1,""),"")</f>
        <v>0.181358886968415</v>
      </c>
      <c r="BZ167" s="30" t="n">
        <f aca="false">IF(AND(ISNUMBER(BZ81),ISNUMBER(BU81)),IFERROR(BZ81/BU81-1,""),"")</f>
        <v>0.241833111397351</v>
      </c>
      <c r="CA167" s="30" t="n">
        <f aca="false">IF(AND(ISNUMBER(CA81),ISNUMBER(BV81)),IFERROR(CA81/BV81-1,""),"")</f>
        <v>0.155009003936036</v>
      </c>
      <c r="CB167" s="30" t="n">
        <f aca="false">IF(AND(ISNUMBER(CB81),ISNUMBER(CA81)),IFERROR(CB81/CA81-1,""),"")</f>
        <v>0.0919571310191409</v>
      </c>
      <c r="CC167" s="30" t="n">
        <f aca="false">IF(AND(ISNUMBER(CC81),ISNUMBER(CB81)),IFERROR(CC81/CB81-1,""),"")</f>
        <v>0.0620738775448595</v>
      </c>
      <c r="CD167" s="30" t="n">
        <f aca="false">IF(AND(ISNUMBER(CD81),ISNUMBER(CC81)),IFERROR(CD81/CC81-1,""),"")</f>
        <v>0.0708074626151363</v>
      </c>
      <c r="CE167" s="30" t="n">
        <f aca="false">IF(AND(ISNUMBER(CE81),ISNUMBER(CD81)),IFERROR(CE81/CD81-1,""),"")</f>
        <v>0.081575</v>
      </c>
      <c r="CF167" s="21"/>
    </row>
    <row r="168" customFormat="false" ht="15" hidden="false" customHeight="true" outlineLevel="0" collapsed="false">
      <c r="B168" s="27" t="s">
        <v>335</v>
      </c>
      <c r="C168" s="103" t="n">
        <f aca="false">C13</f>
        <v>0</v>
      </c>
      <c r="D168" s="29" t="n">
        <f aca="false">D13</f>
        <v>0.0921976741529393</v>
      </c>
      <c r="E168" s="29" t="n">
        <f aca="false">E13</f>
        <v>-0.0296655722462735</v>
      </c>
      <c r="F168" s="29" t="n">
        <f aca="false">F13</f>
        <v>-0.0558065123282515</v>
      </c>
      <c r="G168" s="29" t="n">
        <f aca="false">G13</f>
        <v>0.0290963431786218</v>
      </c>
      <c r="H168" s="29" t="n">
        <f aca="false">H13</f>
        <v>0.0312711120774671</v>
      </c>
      <c r="I168" s="29" t="n">
        <f aca="false">I13</f>
        <v>-0.00243968555163998</v>
      </c>
      <c r="J168" s="103" t="n">
        <f aca="false">J13</f>
        <v>0</v>
      </c>
      <c r="K168" s="103" t="n">
        <f aca="false">K13</f>
        <v>0</v>
      </c>
      <c r="L168" s="103" t="n">
        <f aca="false">L13</f>
        <v>0</v>
      </c>
      <c r="M168" s="103" t="n">
        <f aca="false">M13</f>
        <v>0</v>
      </c>
      <c r="N168" s="29" t="n">
        <f aca="false">N13</f>
        <v>-0.00244565217391302</v>
      </c>
      <c r="O168" s="29" t="n">
        <f aca="false">O13</f>
        <v>0.056919642857143</v>
      </c>
      <c r="P168" s="29" t="n">
        <f aca="false">P13</f>
        <v>0.0691099476439792</v>
      </c>
      <c r="Q168" s="29" t="n">
        <f aca="false">Q13</f>
        <v>0.0815450643776825</v>
      </c>
      <c r="R168" s="29" t="n">
        <f aca="false">R13</f>
        <v>0.0427927927927929</v>
      </c>
      <c r="S168" s="29" t="n">
        <f aca="false">S13</f>
        <v>0.0629256333424135</v>
      </c>
      <c r="T168" s="29" t="n">
        <f aca="false">T13</f>
        <v>-0.0665258711721225</v>
      </c>
      <c r="U168" s="29" t="n">
        <f aca="false">U13</f>
        <v>-0.059745347698335</v>
      </c>
      <c r="V168" s="29" t="n">
        <f aca="false">V13</f>
        <v>-0.0674603174603174</v>
      </c>
      <c r="W168" s="29" t="n">
        <f aca="false">W13</f>
        <v>-0.0885529157667386</v>
      </c>
      <c r="X168" s="29" t="n">
        <f aca="false">X13</f>
        <v>-0.070220399794977</v>
      </c>
      <c r="Y168" s="29" t="n">
        <f aca="false">Y13</f>
        <v>-0.033441742081448</v>
      </c>
      <c r="Z168" s="29" t="n">
        <f aca="false">Z13</f>
        <v>-0.0427083333333334</v>
      </c>
      <c r="AA168" s="29" t="n">
        <f aca="false">AA13</f>
        <v>-0.0287234042553192</v>
      </c>
      <c r="AB168" s="29" t="n">
        <f aca="false">AB13</f>
        <v>0.0139849273560717</v>
      </c>
      <c r="AC168" s="29" t="n">
        <f aca="false">AC13</f>
        <v>-0.0239801543550167</v>
      </c>
      <c r="AD168" s="29" t="n">
        <f aca="false">AD13</f>
        <v>0.0195852534562213</v>
      </c>
      <c r="AE168" s="29" t="n">
        <f aca="false">AE13</f>
        <v>0.0707290533188247</v>
      </c>
      <c r="AF168" s="29" t="n">
        <f aca="false">AF13</f>
        <v>0.0359011804794938</v>
      </c>
      <c r="AG168" s="29" t="n">
        <f aca="false">AG13</f>
        <v>0.0831353919239906</v>
      </c>
      <c r="AH168" s="29" t="n">
        <f aca="false">AH13</f>
        <v>0.0521678030150214</v>
      </c>
      <c r="AI168" s="29" t="n">
        <f aca="false">AI13</f>
        <v>0.354802259887006</v>
      </c>
      <c r="AJ168" s="29" t="n">
        <f aca="false">AJ13</f>
        <v>0.298780487804878</v>
      </c>
      <c r="AK168" s="29" t="n">
        <f aca="false">AK13</f>
        <v>0.297529538131042</v>
      </c>
      <c r="AL168" s="29" t="n">
        <f aca="false">AL13</f>
        <v>0.202868562535371</v>
      </c>
      <c r="AM168" s="29" t="n">
        <f aca="false">AM13</f>
        <v>0.288607845706015</v>
      </c>
      <c r="AN168" s="29" t="n">
        <f aca="false">AN13</f>
        <v>-0.0349629982657506</v>
      </c>
      <c r="AO168" s="29" t="n">
        <f aca="false">AO13</f>
        <v>-0.0187793427230047</v>
      </c>
      <c r="AP168" s="29" t="n">
        <f aca="false">AP13</f>
        <v>0.029193398178808</v>
      </c>
      <c r="AQ168" s="29" t="n">
        <f aca="false">AQ13</f>
        <v>0.0439461883408072</v>
      </c>
      <c r="AR168" s="29" t="n">
        <f aca="false">AR13</f>
        <v>0.00395750885232227</v>
      </c>
      <c r="AS168" s="29" t="n">
        <f aca="false">AS13</f>
        <v>0.0396866769095698</v>
      </c>
      <c r="AT168" s="29" t="n">
        <f aca="false">AT13</f>
        <v>-0.0893141945773525</v>
      </c>
      <c r="AU168" s="29" t="n">
        <f aca="false">AU13</f>
        <v>0</v>
      </c>
      <c r="AV168" s="29" t="n">
        <f aca="false">AV13</f>
        <v>0.0592783505154639</v>
      </c>
      <c r="AW168" s="29" t="n">
        <f aca="false">AW13</f>
        <v>0.000609337733198379</v>
      </c>
      <c r="AX168" s="29" t="n">
        <f aca="false">AX13</f>
        <v>0.0530288036522451</v>
      </c>
      <c r="AY168" s="29" t="n">
        <f aca="false">AY13</f>
        <v>0.231173380035026</v>
      </c>
      <c r="AZ168" s="29" t="n">
        <f aca="false">AZ13</f>
        <v>0.110055423594616</v>
      </c>
      <c r="BA168" s="29" t="n">
        <f aca="false">BA13</f>
        <v>0.109542233390504</v>
      </c>
      <c r="BB168" s="29" t="n">
        <f aca="false">BB13</f>
        <v>0.124300925106377</v>
      </c>
      <c r="BC168" s="29" t="n">
        <f aca="false">BC13</f>
        <v>0.0948902365677626</v>
      </c>
      <c r="BD168" s="29" t="n">
        <f aca="false">BD13</f>
        <v>0.0284495021337126</v>
      </c>
      <c r="BE168" s="29" t="n">
        <f aca="false">BE13</f>
        <v>-0.00356633380884452</v>
      </c>
      <c r="BF168" s="29" t="n">
        <f aca="false">BF13</f>
        <v>-0.0765230312035661</v>
      </c>
      <c r="BG168" s="29" t="n">
        <f aca="false">BG13</f>
        <v>0.00932560432009</v>
      </c>
      <c r="BH168" s="29" t="n">
        <f aca="false">BH13</f>
        <v>-0.0547945205479452</v>
      </c>
      <c r="BI168" s="29" t="n">
        <f aca="false">BI13</f>
        <v>-0.0172890733056709</v>
      </c>
      <c r="BJ168" s="29" t="n">
        <f aca="false">BJ13</f>
        <v>0.0667757439410983</v>
      </c>
      <c r="BK168" s="29" t="n">
        <f aca="false">BK13</f>
        <v>0.0820595333869671</v>
      </c>
      <c r="BL168" s="29" t="n">
        <f aca="false">BL13</f>
        <v>0.0168090684717763</v>
      </c>
      <c r="BM168" s="29" t="n">
        <f aca="false">BM13</f>
        <v>0.0617848970251715</v>
      </c>
      <c r="BN168" s="29" t="n">
        <f aca="false">BN13</f>
        <v>0.0971147079521464</v>
      </c>
      <c r="BO168" s="29" t="n">
        <f aca="false">BO13</f>
        <v>0.0769746932515338</v>
      </c>
      <c r="BP168" s="29" t="n">
        <f aca="false">BP13</f>
        <v>0.0833553183834992</v>
      </c>
      <c r="BQ168" s="29" t="n">
        <f aca="false">BQ13</f>
        <v>0.0805456552280595</v>
      </c>
      <c r="BR168" s="29" t="n">
        <f aca="false">BR13</f>
        <v>0.127531472359059</v>
      </c>
      <c r="BS168" s="29" t="n">
        <f aca="false">BS13</f>
        <v>0.0109044259140474</v>
      </c>
      <c r="BT168" s="29" t="n">
        <f aca="false">BT13</f>
        <v>-0.0149532710280373</v>
      </c>
      <c r="BU168" s="29" t="n">
        <f aca="false">BU13</f>
        <v>-0.0148548278190412</v>
      </c>
      <c r="BV168" s="29" t="n">
        <f aca="false">BV13</f>
        <v>0.0245737582667096</v>
      </c>
      <c r="BW168" s="29" t="n">
        <f aca="false">BW13</f>
        <v>-0.0207119741100325</v>
      </c>
      <c r="BX168" s="29" t="n">
        <f aca="false">BX13</f>
        <v>0.0843908629441625</v>
      </c>
      <c r="BY168" s="30" t="n">
        <f aca="false">BY13</f>
        <v>0.083</v>
      </c>
      <c r="BZ168" s="30" t="n">
        <f aca="false">BZ13</f>
        <v>0.07</v>
      </c>
      <c r="CA168" s="30" t="n">
        <f aca="false">CA13</f>
        <v>0.0542692744684306</v>
      </c>
      <c r="CB168" s="30" t="n">
        <f aca="false">CB13</f>
        <v>0.05</v>
      </c>
      <c r="CC168" s="30" t="n">
        <f aca="false">CC13</f>
        <v>0.045</v>
      </c>
      <c r="CD168" s="30" t="n">
        <f aca="false">CD13</f>
        <v>0.04</v>
      </c>
      <c r="CE168" s="30" t="n">
        <f aca="false">CE13</f>
        <v>0.035</v>
      </c>
      <c r="CF168" s="21"/>
    </row>
    <row r="169" customFormat="false" ht="15" hidden="false" customHeight="true" outlineLevel="0" collapsed="false">
      <c r="B169" s="27" t="s">
        <v>336</v>
      </c>
      <c r="C169" s="103" t="n">
        <f aca="false">C27</f>
        <v>0</v>
      </c>
      <c r="D169" s="29" t="str">
        <f aca="false">D27</f>
        <v/>
      </c>
      <c r="E169" s="29" t="str">
        <f aca="false">E27</f>
        <v/>
      </c>
      <c r="F169" s="29" t="str">
        <f aca="false">F27</f>
        <v/>
      </c>
      <c r="G169" s="29" t="str">
        <f aca="false">G27</f>
        <v/>
      </c>
      <c r="H169" s="29" t="n">
        <f aca="false">H27</f>
        <v>0.0470586694804873</v>
      </c>
      <c r="I169" s="29" t="n">
        <f aca="false">I27</f>
        <v>0.0605818134672584</v>
      </c>
      <c r="J169" s="103" t="n">
        <f aca="false">J27</f>
        <v>0</v>
      </c>
      <c r="K169" s="103" t="n">
        <f aca="false">K27</f>
        <v>0</v>
      </c>
      <c r="L169" s="103" t="n">
        <f aca="false">L27</f>
        <v>0</v>
      </c>
      <c r="M169" s="103" t="n">
        <f aca="false">M27</f>
        <v>0</v>
      </c>
      <c r="N169" s="29" t="n">
        <f aca="false">N27</f>
        <v>0.0438203146620855</v>
      </c>
      <c r="O169" s="29" t="n">
        <f aca="false">O27</f>
        <v>0.0269886994266042</v>
      </c>
      <c r="P169" s="29" t="n">
        <f aca="false">P27</f>
        <v>0.0449518790567074</v>
      </c>
      <c r="Q169" s="29" t="n">
        <f aca="false">Q27</f>
        <v>0.0433287482806053</v>
      </c>
      <c r="R169" s="29" t="n">
        <f aca="false">R27</f>
        <v>0.070823375367723</v>
      </c>
      <c r="S169" s="29" t="n">
        <f aca="false">S27</f>
        <v>0.0461866628194296</v>
      </c>
      <c r="T169" s="29" t="n">
        <f aca="false">T27</f>
        <v>0.100976074900302</v>
      </c>
      <c r="U169" s="29" t="n">
        <f aca="false">U27</f>
        <v>0.0971838870634052</v>
      </c>
      <c r="V169" s="29" t="n">
        <f aca="false">V27</f>
        <v>0.0874641221023675</v>
      </c>
      <c r="W169" s="29" t="n">
        <f aca="false">W27</f>
        <v>0.0849901882714006</v>
      </c>
      <c r="X169" s="29" t="n">
        <f aca="false">X27</f>
        <v>0.0927236820169533</v>
      </c>
      <c r="Y169" s="29" t="n">
        <f aca="false">Y27</f>
        <v>0.0678797983298864</v>
      </c>
      <c r="Z169" s="29" t="n">
        <f aca="false">Z27</f>
        <v>0.0503462901916243</v>
      </c>
      <c r="AA169" s="29" t="n">
        <f aca="false">AA27</f>
        <v>0.0507922508306735</v>
      </c>
      <c r="AB169" s="29" t="n">
        <f aca="false">AB27</f>
        <v>0.0527734148285999</v>
      </c>
      <c r="AC169" s="29" t="n">
        <f aca="false">AC27</f>
        <v>0.0551046244843592</v>
      </c>
      <c r="AD169" s="29" t="n">
        <f aca="false">AD27</f>
        <v>0.0508761968467801</v>
      </c>
      <c r="AE169" s="29" t="n">
        <f aca="false">AE27</f>
        <v>0.0570972368012537</v>
      </c>
      <c r="AF169" s="29" t="n">
        <f aca="false">AF27</f>
        <v>0.0663774667863357</v>
      </c>
      <c r="AG169" s="29" t="n">
        <f aca="false">AG27</f>
        <v>0.0572383957168616</v>
      </c>
      <c r="AH169" s="29" t="n">
        <f aca="false">AH27</f>
        <v>0.0582010582010581</v>
      </c>
      <c r="AI169" s="29" t="n">
        <f aca="false">AI27</f>
        <v>-0.0680586843656388</v>
      </c>
      <c r="AJ169" s="29" t="n">
        <f aca="false">AJ27</f>
        <v>-0.0562050081217645</v>
      </c>
      <c r="AK169" s="29" t="n">
        <f aca="false">AK27</f>
        <v>-0.0371417141610254</v>
      </c>
      <c r="AL169" s="29" t="n">
        <f aca="false">AL27</f>
        <v>-0.0221689607654755</v>
      </c>
      <c r="AM169" s="29" t="n">
        <f aca="false">AM27</f>
        <v>-0.0464327946393378</v>
      </c>
      <c r="AN169" s="29" t="n">
        <f aca="false">AN27</f>
        <v>0.107427222318489</v>
      </c>
      <c r="AO169" s="29" t="n">
        <f aca="false">AO27</f>
        <v>0.105574090696112</v>
      </c>
      <c r="AP169" s="29" t="n">
        <f aca="false">AP27</f>
        <v>0.0657098149247291</v>
      </c>
      <c r="AQ169" s="29" t="n">
        <f aca="false">AQ27</f>
        <v>0.0452392123553167</v>
      </c>
      <c r="AR169" s="29" t="n">
        <f aca="false">AR27</f>
        <v>0.0818659060846561</v>
      </c>
      <c r="AS169" s="29" t="n">
        <f aca="false">AS27</f>
        <v>0.0287965232153999</v>
      </c>
      <c r="AT169" s="29" t="n">
        <f aca="false">AT27</f>
        <v>0.0218670615418002</v>
      </c>
      <c r="AU169" s="29" t="n">
        <f aca="false">AU27</f>
        <v>0.0512232415902139</v>
      </c>
      <c r="AV169" s="29" t="n">
        <f aca="false">AV27</f>
        <v>0.0373640228863961</v>
      </c>
      <c r="AW169" s="29" t="n">
        <f aca="false">AW27</f>
        <v>0.0360747604037317</v>
      </c>
      <c r="AX169" s="29" t="n">
        <f aca="false">AX27</f>
        <v>0.0570342205323193</v>
      </c>
      <c r="AY169" s="29" t="n">
        <f aca="false">AY27</f>
        <v>0.05683947532792</v>
      </c>
      <c r="AZ169" s="29" t="n">
        <f aca="false">AZ27</f>
        <v>0.102347983142685</v>
      </c>
      <c r="BA169" s="29" t="n">
        <f aca="false">BA27</f>
        <v>0.140012070006035</v>
      </c>
      <c r="BB169" s="29" t="n">
        <f aca="false">BB27</f>
        <v>0.0891210817455439</v>
      </c>
      <c r="BC169" s="29" t="n">
        <f aca="false">BC27</f>
        <v>0.155875299760192</v>
      </c>
      <c r="BD169" s="29" t="n">
        <f aca="false">BD27</f>
        <v>0.148936170212766</v>
      </c>
      <c r="BE169" s="29" t="n">
        <f aca="false">BE27</f>
        <v>0.0780993992353904</v>
      </c>
      <c r="BF169" s="29" t="n">
        <f aca="false">BF27</f>
        <v>0.0645844362096346</v>
      </c>
      <c r="BG169" s="29" t="n">
        <f aca="false">BG27</f>
        <v>0.107787810383747</v>
      </c>
      <c r="BH169" s="29" t="n">
        <f aca="false">BH27</f>
        <v>0.0451244813278007</v>
      </c>
      <c r="BI169" s="29" t="n">
        <f aca="false">BI27</f>
        <v>0.0267489711934157</v>
      </c>
      <c r="BJ169" s="29" t="n">
        <f aca="false">BJ27</f>
        <v>0.0835866261398177</v>
      </c>
      <c r="BK169" s="29" t="n">
        <f aca="false">BK27</f>
        <v>0.117354549975137</v>
      </c>
      <c r="BL169" s="29" t="n">
        <f aca="false">BL27</f>
        <v>0.0692817116658175</v>
      </c>
      <c r="BM169" s="29" t="n">
        <f aca="false">BM27</f>
        <v>0.104714640198511</v>
      </c>
      <c r="BN169" s="29" t="n">
        <f aca="false">BN27</f>
        <v>0.0866733466933869</v>
      </c>
      <c r="BO169" s="29" t="n">
        <f aca="false">BO27</f>
        <v>0.0168302945301542</v>
      </c>
      <c r="BP169" s="29" t="n">
        <f aca="false">BP27</f>
        <v>-0.0226969292389853</v>
      </c>
      <c r="BQ169" s="29" t="n">
        <f aca="false">BQ27</f>
        <v>0.0433539780848022</v>
      </c>
      <c r="BR169" s="29" t="n">
        <f aca="false">BR27</f>
        <v>-0.0512129380053908</v>
      </c>
      <c r="BS169" s="29" t="n">
        <f aca="false">BS27</f>
        <v>-0.0124481327800829</v>
      </c>
      <c r="BT169" s="29" t="n">
        <f aca="false">BT27</f>
        <v>-0.00137931034482763</v>
      </c>
      <c r="BU169" s="29" t="n">
        <f aca="false">BU27</f>
        <v>0.00500910746812378</v>
      </c>
      <c r="BV169" s="29" t="n">
        <f aca="false">BV27</f>
        <v>-0.0146118721461187</v>
      </c>
      <c r="BW169" s="29" t="n">
        <f aca="false">BW27</f>
        <v>0.0189393939393938</v>
      </c>
      <c r="BX169" s="29" t="n">
        <f aca="false">BX27</f>
        <v>-0.0224089635854342</v>
      </c>
      <c r="BY169" s="30" t="n">
        <f aca="false">BY27</f>
        <v>-0.019</v>
      </c>
      <c r="BZ169" s="30" t="n">
        <f aca="false">BZ27</f>
        <v>0.0025</v>
      </c>
      <c r="CA169" s="30" t="n">
        <f aca="false">CA27</f>
        <v>-0.00570979190651244</v>
      </c>
      <c r="CB169" s="30" t="n">
        <f aca="false">CB27</f>
        <v>0.0425</v>
      </c>
      <c r="CC169" s="30" t="n">
        <f aca="false">CC27</f>
        <v>0.04625</v>
      </c>
      <c r="CD169" s="30" t="n">
        <f aca="false">CD27</f>
        <v>0.045</v>
      </c>
      <c r="CE169" s="30" t="n">
        <f aca="false">CE27</f>
        <v>0.045</v>
      </c>
      <c r="CF169" s="21"/>
    </row>
    <row r="170" customFormat="false" ht="15" hidden="false" customHeight="true" outlineLevel="0" collapsed="false">
      <c r="B170" s="27" t="s">
        <v>337</v>
      </c>
      <c r="C170" s="28"/>
      <c r="D170" s="29" t="n">
        <f aca="false">IF(AND(ISNUMBER(D130),ISNUMBER(C130)),IFERROR(D130/C130-1,""),"")</f>
        <v>-0.249227867063681</v>
      </c>
      <c r="E170" s="29" t="n">
        <f aca="false">IF(AND(ISNUMBER(E130),ISNUMBER(D130)),IFERROR(E130/D130-1,""),"")</f>
        <v>-0.367902451040764</v>
      </c>
      <c r="F170" s="29" t="n">
        <f aca="false">IF(AND(ISNUMBER(F130),ISNUMBER(E130)),IFERROR(F130/E130-1,""),"")</f>
        <v>-1.62326578332034</v>
      </c>
      <c r="G170" s="29" t="n">
        <f aca="false">IF(AND(ISNUMBER(G130),ISNUMBER(F130)),IFERROR(G130/F130-1,""),"")</f>
        <v>-1.75658100418934</v>
      </c>
      <c r="H170" s="29" t="n">
        <f aca="false">IF(AND(ISNUMBER(H130),ISNUMBER(G130)),IFERROR(H130/G130-1,""),"")</f>
        <v>1.32611570247933</v>
      </c>
      <c r="I170" s="29" t="n">
        <f aca="false">IF(AND(ISNUMBER(I130),ISNUMBER(H130)),IFERROR(I130/H130-1,""),"")</f>
        <v>1.08676188445961</v>
      </c>
      <c r="J170" s="28"/>
      <c r="K170" s="28"/>
      <c r="L170" s="28"/>
      <c r="M170" s="28"/>
      <c r="N170" s="29" t="n">
        <f aca="false">IF(AND(ISNUMBER(N130),ISNUMBER(I130)),IFERROR(N130/I130-1,""),"")</f>
        <v>0.267034426396971</v>
      </c>
      <c r="O170" s="29" t="n">
        <f aca="false">IF(AND(ISNUMBER(O130),ISNUMBER(J130)),IFERROR(O130/J130-1,""),"")</f>
        <v>0.0481007431874412</v>
      </c>
      <c r="P170" s="29" t="n">
        <f aca="false">IF(AND(ISNUMBER(P130),ISNUMBER(K130)),IFERROR(P130/K130-1,""),"")</f>
        <v>-0.0222709488800023</v>
      </c>
      <c r="Q170" s="29" t="n">
        <f aca="false">IF(AND(ISNUMBER(Q130),ISNUMBER(L130)),IFERROR(Q130/L130-1,""),"")</f>
        <v>0.237702302256668</v>
      </c>
      <c r="R170" s="29" t="n">
        <f aca="false">IF(AND(ISNUMBER(R130),ISNUMBER(M130)),IFERROR(R130/M130-1,""),"")</f>
        <v>0.400217805608498</v>
      </c>
      <c r="S170" s="29" t="n">
        <f aca="false">IF(AND(ISNUMBER(S130),ISNUMBER(N130)),IFERROR(S130/N130-1,""),"")</f>
        <v>0.15150904351098</v>
      </c>
      <c r="T170" s="29" t="n">
        <f aca="false">IF(AND(ISNUMBER(T130),ISNUMBER(O130)),IFERROR(T130/O130-1,""),"")</f>
        <v>0.394064736392885</v>
      </c>
      <c r="U170" s="29" t="n">
        <f aca="false">IF(AND(ISNUMBER(U130),ISNUMBER(P130)),IFERROR(U130/P130-1,""),"")</f>
        <v>0.375533177960513</v>
      </c>
      <c r="V170" s="29" t="n">
        <f aca="false">IF(AND(ISNUMBER(V130),ISNUMBER(Q130)),IFERROR(V130/Q130-1,""),"")</f>
        <v>-0.26903385023389</v>
      </c>
      <c r="W170" s="29" t="n">
        <f aca="false">IF(AND(ISNUMBER(W130),ISNUMBER(R130)),IFERROR(W130/R130-1,""),"")</f>
        <v>-0.143690453042971</v>
      </c>
      <c r="X170" s="29" t="n">
        <f aca="false">IF(AND(ISNUMBER(X130),ISNUMBER(S130)),IFERROR(X130/S130-1,""),"")</f>
        <v>0.0499690756537865</v>
      </c>
      <c r="Y170" s="29" t="n">
        <f aca="false">IF(AND(ISNUMBER(Y130),ISNUMBER(T130)),IFERROR(Y130/T130-1,""),"")</f>
        <v>-0.171855131163752</v>
      </c>
      <c r="Z170" s="29" t="n">
        <f aca="false">IF(AND(ISNUMBER(Z130),ISNUMBER(U130)),IFERROR(Z130/U130-1,""),"")</f>
        <v>-0.30561682810652</v>
      </c>
      <c r="AA170" s="29" t="n">
        <f aca="false">IF(AND(ISNUMBER(AA130),ISNUMBER(V130)),IFERROR(AA130/V130-1,""),"")</f>
        <v>0.141043083900222</v>
      </c>
      <c r="AB170" s="29" t="n">
        <f aca="false">IF(AND(ISNUMBER(AB130),ISNUMBER(W130)),IFERROR(AB130/W130-1,""),"")</f>
        <v>-0.0243528610354272</v>
      </c>
      <c r="AC170" s="29" t="n">
        <f aca="false">IF(AND(ISNUMBER(AC130),ISNUMBER(X130)),IFERROR(AC130/X130-1,""),"")</f>
        <v>-0.120466796332314</v>
      </c>
      <c r="AD170" s="29" t="n">
        <f aca="false">IF(AND(ISNUMBER(AD130),ISNUMBER(Y130)),IFERROR(AD130/Y130-1,""),"")</f>
        <v>-0.00369654231119188</v>
      </c>
      <c r="AE170" s="29" t="n">
        <f aca="false">IF(AND(ISNUMBER(AE130),ISNUMBER(Z130)),IFERROR(AE130/Z130-1,""),"")</f>
        <v>0.368169052990198</v>
      </c>
      <c r="AF170" s="29" t="n">
        <f aca="false">IF(AND(ISNUMBER(AF130),ISNUMBER(AA130)),IFERROR(AF130/AA130-1,""),"")</f>
        <v>0.0864688217629381</v>
      </c>
      <c r="AG170" s="29" t="n">
        <f aca="false">IF(AND(ISNUMBER(AG130),ISNUMBER(AB130)),IFERROR(AG130/AB130-1,""),"")</f>
        <v>0.33228603013906</v>
      </c>
      <c r="AH170" s="29" t="n">
        <f aca="false">IF(AND(ISNUMBER(AH130),ISNUMBER(AC130)),IFERROR(AH130/AC130-1,""),"")</f>
        <v>0.197141629599678</v>
      </c>
      <c r="AI170" s="29" t="n">
        <f aca="false">IF(AND(ISNUMBER(AI130),ISNUMBER(AD130)),IFERROR(AI130/AD130-1,""),"")</f>
        <v>0.574233689137511</v>
      </c>
      <c r="AJ170" s="29" t="n">
        <f aca="false">IF(AND(ISNUMBER(AJ130),ISNUMBER(AE130)),IFERROR(AJ130/AE130-1,""),"")</f>
        <v>0.398647284474055</v>
      </c>
      <c r="AK170" s="29" t="n">
        <f aca="false">IF(AND(ISNUMBER(AK130),ISNUMBER(AF130)),IFERROR(AK130/AF130-1,""),"")</f>
        <v>0.572920900739777</v>
      </c>
      <c r="AL170" s="29" t="n">
        <f aca="false">IF(AND(ISNUMBER(AL130),ISNUMBER(AG130)),IFERROR(AL130/AG130-1,""),"")</f>
        <v>0.455847672285792</v>
      </c>
      <c r="AM170" s="29" t="n">
        <f aca="false">IF(AND(ISNUMBER(AM130),ISNUMBER(AH130)),IFERROR(AM130/AH130-1,""),"")</f>
        <v>0.490199183001362</v>
      </c>
      <c r="AN170" s="29" t="n">
        <f aca="false">IF(AND(ISNUMBER(AN130),ISNUMBER(AI130)),IFERROR(AN130/AI130-1,""),"")</f>
        <v>0.0381449653722041</v>
      </c>
      <c r="AO170" s="29" t="n">
        <f aca="false">IF(AND(ISNUMBER(AO130),ISNUMBER(AJ130)),IFERROR(AO130/AJ130-1,""),"")</f>
        <v>0.230987609767834</v>
      </c>
      <c r="AP170" s="29" t="n">
        <f aca="false">IF(AND(ISNUMBER(AP130),ISNUMBER(AK130)),IFERROR(AP130/AK130-1,""),"")</f>
        <v>0.172158048427528</v>
      </c>
      <c r="AQ170" s="29" t="n">
        <f aca="false">IF(AND(ISNUMBER(AQ130),ISNUMBER(AL130)),IFERROR(AQ130/AL130-1,""),"")</f>
        <v>-0.177165826733861</v>
      </c>
      <c r="AR170" s="29" t="n">
        <f aca="false">IF(AND(ISNUMBER(AR130),ISNUMBER(AM130)),IFERROR(AR130/AM130-1,""),"")</f>
        <v>0.0808134469495729</v>
      </c>
      <c r="AS170" s="29" t="n">
        <f aca="false">IF(AND(ISNUMBER(AS130),ISNUMBER(AN130)),IFERROR(AS130/AN130-1,""),"")</f>
        <v>0.354336209004223</v>
      </c>
      <c r="AT170" s="29" t="n">
        <f aca="false">IF(AND(ISNUMBER(AT130),ISNUMBER(AO130)),IFERROR(AT130/AO130-1,""),"")</f>
        <v>-0.302642379705273</v>
      </c>
      <c r="AU170" s="29" t="n">
        <f aca="false">IF(AND(ISNUMBER(AU130),ISNUMBER(AP130)),IFERROR(AU130/AP130-1,""),"")</f>
        <v>0.217310787274854</v>
      </c>
      <c r="AV170" s="29" t="n">
        <f aca="false">IF(AND(ISNUMBER(AV130),ISNUMBER(AQ130)),IFERROR(AV130/AQ130-1,""),"")</f>
        <v>0.846445497630334</v>
      </c>
      <c r="AW170" s="29" t="n">
        <f aca="false">IF(AND(ISNUMBER(AW130),ISNUMBER(AR130)),IFERROR(AW130/AR130-1,""),"")</f>
        <v>0.181766348157761</v>
      </c>
      <c r="AX170" s="29" t="n">
        <f aca="false">IF(AND(ISNUMBER(AX130),ISNUMBER(AS130)),IFERROR(AX130/AS130-1,""),"")</f>
        <v>0.256292552094077</v>
      </c>
      <c r="AY170" s="29" t="n">
        <f aca="false">IF(AND(ISNUMBER(AY130),ISNUMBER(AT130)),IFERROR(AY130/AT130-1,""),"")</f>
        <v>1.32406602953953</v>
      </c>
      <c r="AZ170" s="29" t="n">
        <f aca="false">IF(AND(ISNUMBER(AZ130),ISNUMBER(AU130)),IFERROR(AZ130/AU130-1,""),"")</f>
        <v>0.844574036511155</v>
      </c>
      <c r="BA170" s="29" t="n">
        <f aca="false">IF(AND(ISNUMBER(BA130),ISNUMBER(AV130)),IFERROR(BA130/AV130-1,""),"")</f>
        <v>0.922780761333122</v>
      </c>
      <c r="BB170" s="29" t="n">
        <f aca="false">IF(AND(ISNUMBER(BB130),ISNUMBER(AW130)),IFERROR(BB130/AW130-1,""),"")</f>
        <v>0.834916620914923</v>
      </c>
      <c r="BC170" s="29" t="n">
        <f aca="false">IF(AND(ISNUMBER(BC130),ISNUMBER(AX130)),IFERROR(BC130/AX130-1,""),"")</f>
        <v>1.12359896538983</v>
      </c>
      <c r="BD170" s="29" t="n">
        <f aca="false">IF(AND(ISNUMBER(BD130),ISNUMBER(AY130)),IFERROR(BD130/AY130-1,""),"")</f>
        <v>0.760542659029242</v>
      </c>
      <c r="BE170" s="29" t="n">
        <f aca="false">IF(AND(ISNUMBER(BE130),ISNUMBER(AZ130)),IFERROR(BE130/AZ130-1,""),"")</f>
        <v>0.26023564064801</v>
      </c>
      <c r="BF170" s="29" t="n">
        <f aca="false">IF(AND(ISNUMBER(BF130),ISNUMBER(BA130)),IFERROR(BF130/BA130-1,""),"")</f>
        <v>-0.0482004415464401</v>
      </c>
      <c r="BG170" s="29" t="n">
        <f aca="false">IF(AND(ISNUMBER(BG130),ISNUMBER(BB130)),IFERROR(BG130/BB130-1,""),"")</f>
        <v>0.421955185357566</v>
      </c>
      <c r="BH170" s="29" t="n">
        <f aca="false">IF(AND(ISNUMBER(BH130),ISNUMBER(BC130)),IFERROR(BH130/BC130-1,""),"")</f>
        <v>-0.04162437529604</v>
      </c>
      <c r="BI170" s="29" t="n">
        <f aca="false">IF(AND(ISNUMBER(BI130),ISNUMBER(BD130)),IFERROR(BI130/BD130-1,""),"")</f>
        <v>-0.176296123786757</v>
      </c>
      <c r="BJ170" s="29" t="n">
        <f aca="false">IF(AND(ISNUMBER(BJ130),ISNUMBER(BE130)),IFERROR(BJ130/BE130-1,""),"")</f>
        <v>0.000623271395737923</v>
      </c>
      <c r="BK170" s="29" t="n">
        <f aca="false">IF(AND(ISNUMBER(BK130),ISNUMBER(BF130)),IFERROR(BK130/BF130-1,""),"")</f>
        <v>0.215468599971948</v>
      </c>
      <c r="BL170" s="29" t="n">
        <f aca="false">IF(AND(ISNUMBER(BL130),ISNUMBER(BG130)),IFERROR(BL130/BG130-1,""),"")</f>
        <v>-0.0212375235925227</v>
      </c>
      <c r="BM170" s="29" t="n">
        <f aca="false">IF(AND(ISNUMBER(BM130),ISNUMBER(BH130)),IFERROR(BM130/BH130-1,""),"")</f>
        <v>0.189312407330825</v>
      </c>
      <c r="BN170" s="29" t="n">
        <f aca="false">IF(AND(ISNUMBER(BN130),ISNUMBER(BI130)),IFERROR(BN130/BI130-1,""),"")</f>
        <v>0.144176957299075</v>
      </c>
      <c r="BO170" s="29" t="n">
        <f aca="false">IF(AND(ISNUMBER(BO130),ISNUMBER(BJ130)),IFERROR(BO130/BJ130-1,""),"")</f>
        <v>-0.025413633355393</v>
      </c>
      <c r="BP170" s="29" t="n">
        <f aca="false">IF(AND(ISNUMBER(BP130),ISNUMBER(BK130)),IFERROR(BP130/BK130-1,""),"")</f>
        <v>-0.099225122711092</v>
      </c>
      <c r="BQ170" s="29" t="n">
        <f aca="false">IF(AND(ISNUMBER(BQ130),ISNUMBER(BL130)),IFERROR(BQ130/BL130-1,""),"")</f>
        <v>0.0470449254716638</v>
      </c>
      <c r="BR170" s="29" t="n">
        <f aca="false">IF(AND(ISNUMBER(BR130),ISNUMBER(BM130)),IFERROR(BR130/BM130-1,""),"")</f>
        <v>-0.404912137865525</v>
      </c>
      <c r="BS170" s="29" t="n">
        <f aca="false">IF(AND(ISNUMBER(BS130),ISNUMBER(BN130)),IFERROR(BS130/BN130-1,""),"")</f>
        <v>-0.277586795839906</v>
      </c>
      <c r="BT170" s="29" t="n">
        <f aca="false">IF(AND(ISNUMBER(BT130),ISNUMBER(BO130)),IFERROR(BT130/BO130-1,""),"")</f>
        <v>-0.168281790510582</v>
      </c>
      <c r="BU170" s="29" t="n">
        <f aca="false">IF(AND(ISNUMBER(BU130),ISNUMBER(BP130)),IFERROR(BU130/BP130-1,""),"")</f>
        <v>-0.369132079933783</v>
      </c>
      <c r="BV170" s="29" t="n">
        <f aca="false">IF(AND(ISNUMBER(BV130),ISNUMBER(BQ130)),IFERROR(BV130/BQ130-1,""),"")</f>
        <v>-0.299616309938609</v>
      </c>
      <c r="BW170" s="29" t="n">
        <f aca="false">IF(AND(ISNUMBER(BW130),ISNUMBER(BR130)),IFERROR(BW130/BR130-1,""),"")</f>
        <v>-0.0479135788393597</v>
      </c>
      <c r="BX170" s="29" t="n">
        <f aca="false">IF(AND(ISNUMBER(BX130),ISNUMBER(BS130)),IFERROR(BX130/BS130-1,""),"")</f>
        <v>0.259690741355549</v>
      </c>
      <c r="BY170" s="30" t="n">
        <f aca="false">IF(AND(ISNUMBER(BY130),ISNUMBER(BT130)),IFERROR(BY130/BT130-1,""),"")</f>
        <v>0.151991981723382</v>
      </c>
      <c r="BZ170" s="30" t="n">
        <f aca="false">IF(AND(ISNUMBER(BZ130),ISNUMBER(BU130)),IFERROR(BZ130/BU130-1,""),"")</f>
        <v>0.779256332996123</v>
      </c>
      <c r="CA170" s="30" t="n">
        <f aca="false">IF(AND(ISNUMBER(CA130),ISNUMBER(BV130)),IFERROR(CA130/BV130-1,""),"")</f>
        <v>0.261076519627615</v>
      </c>
      <c r="CB170" s="30" t="n">
        <f aca="false">IF(AND(ISNUMBER(CB130),ISNUMBER(CA130)),IFERROR(CB130/CA130-1,""),"")</f>
        <v>0.248312212593661</v>
      </c>
      <c r="CC170" s="30" t="n">
        <f aca="false">IF(AND(ISNUMBER(CC130),ISNUMBER(CB130)),IFERROR(CC130/CB130-1,""),"")</f>
        <v>0.0718054324512336</v>
      </c>
      <c r="CD170" s="30" t="n">
        <f aca="false">IF(AND(ISNUMBER(CD130),ISNUMBER(CC130)),IFERROR(CD130/CC130-1,""),"")</f>
        <v>0.0876298296811411</v>
      </c>
      <c r="CE170" s="30" t="n">
        <f aca="false">IF(AND(ISNUMBER(CE130),ISNUMBER(CD130)),IFERROR(CE130/CD130-1,""),"")</f>
        <v>0.140453169317775</v>
      </c>
      <c r="CF170" s="21"/>
    </row>
    <row r="171" customFormat="false" ht="15" hidden="false" customHeight="true" outlineLevel="0" collapsed="false">
      <c r="B171" s="27" t="s">
        <v>338</v>
      </c>
      <c r="C171" s="28"/>
      <c r="D171" s="29" t="n">
        <f aca="false">IF(AND(ISNUMBER(D145),ISNUMBER(C145)),IFERROR(D145/C145-1,""),"")</f>
        <v>-0.0938694702348482</v>
      </c>
      <c r="E171" s="29" t="n">
        <f aca="false">IF(AND(ISNUMBER(E145),ISNUMBER(D145)),IFERROR(E145/D145-1,""),"")</f>
        <v>-0.169504507898237</v>
      </c>
      <c r="F171" s="29" t="n">
        <f aca="false">IF(AND(ISNUMBER(F145),ISNUMBER(E145)),IFERROR(F145/E145-1,""),"")</f>
        <v>-0.643825881854882</v>
      </c>
      <c r="G171" s="29" t="n">
        <f aca="false">IF(AND(ISNUMBER(G145),ISNUMBER(F145)),IFERROR(G145/F145-1,""),"")</f>
        <v>1.06707135883177</v>
      </c>
      <c r="H171" s="29" t="n">
        <f aca="false">IF(AND(ISNUMBER(H145),ISNUMBER(G145)),IFERROR(H145/G145-1,""),"")</f>
        <v>0.344642050355278</v>
      </c>
      <c r="I171" s="29" t="n">
        <f aca="false">IF(AND(ISNUMBER(I145),ISNUMBER(H145)),IFERROR(I145/H145-1,""),"")</f>
        <v>0.633132750931643</v>
      </c>
      <c r="J171" s="28"/>
      <c r="K171" s="28"/>
      <c r="L171" s="28"/>
      <c r="M171" s="28"/>
      <c r="N171" s="29" t="n">
        <f aca="false">IF(AND(ISNUMBER(N145),ISNUMBER(I145)),IFERROR(N145/I145-1,""),"")</f>
        <v>0.180190964266674</v>
      </c>
      <c r="O171" s="29" t="n">
        <f aca="false">IF(AND(ISNUMBER(O145),ISNUMBER(J145)),IFERROR(O145/J145-1,""),"")</f>
        <v>0.109408356206156</v>
      </c>
      <c r="P171" s="29" t="n">
        <f aca="false">IF(AND(ISNUMBER(P145),ISNUMBER(K145)),IFERROR(P145/K145-1,""),"")</f>
        <v>0.0613612154510295</v>
      </c>
      <c r="Q171" s="29" t="n">
        <f aca="false">IF(AND(ISNUMBER(Q145),ISNUMBER(L145)),IFERROR(Q145/L145-1,""),"")</f>
        <v>0.187445826925766</v>
      </c>
      <c r="R171" s="29" t="n">
        <f aca="false">IF(AND(ISNUMBER(R145),ISNUMBER(M145)),IFERROR(R145/M145-1,""),"")</f>
        <v>0.240185081323614</v>
      </c>
      <c r="S171" s="29" t="n">
        <f aca="false">IF(AND(ISNUMBER(S145),ISNUMBER(N145)),IFERROR(S145/N145-1,""),"")</f>
        <v>0.147505130785506</v>
      </c>
      <c r="T171" s="29" t="n">
        <f aca="false">IF(AND(ISNUMBER(T145),ISNUMBER(O145)),IFERROR(T145/O145-1,""),"")</f>
        <v>0.253625180399973</v>
      </c>
      <c r="U171" s="29" t="n">
        <f aca="false">IF(AND(ISNUMBER(U145),ISNUMBER(P145)),IFERROR(U145/P145-1,""),"")</f>
        <v>0.263925204025038</v>
      </c>
      <c r="V171" s="29" t="n">
        <f aca="false">IF(AND(ISNUMBER(V145),ISNUMBER(Q145)),IFERROR(V145/Q145-1,""),"")</f>
        <v>-0.139042595775739</v>
      </c>
      <c r="W171" s="29" t="n">
        <f aca="false">IF(AND(ISNUMBER(W145),ISNUMBER(R145)),IFERROR(W145/R145-1,""),"")</f>
        <v>-0.0337196156020355</v>
      </c>
      <c r="X171" s="29" t="n">
        <f aca="false">IF(AND(ISNUMBER(X145),ISNUMBER(S145)),IFERROR(X145/S145-1,""),"")</f>
        <v>0.0709599900562095</v>
      </c>
      <c r="Y171" s="29" t="n">
        <f aca="false">IF(AND(ISNUMBER(Y145),ISNUMBER(T145)),IFERROR(Y145/T145-1,""),"")</f>
        <v>-0.0451991338431583</v>
      </c>
      <c r="Z171" s="29" t="n">
        <f aca="false">IF(AND(ISNUMBER(Z145),ISNUMBER(U145)),IFERROR(Z145/U145-1,""),"")</f>
        <v>-0.132877800066869</v>
      </c>
      <c r="AA171" s="29" t="n">
        <f aca="false">IF(AND(ISNUMBER(AA145),ISNUMBER(V145)),IFERROR(AA145/V145-1,""),"")</f>
        <v>0.167131604857234</v>
      </c>
      <c r="AB171" s="29" t="n">
        <f aca="false">IF(AND(ISNUMBER(AB145),ISNUMBER(W145)),IFERROR(AB145/W145-1,""),"")</f>
        <v>0.0690320882206661</v>
      </c>
      <c r="AC171" s="29" t="n">
        <f aca="false">IF(AND(ISNUMBER(AC145),ISNUMBER(X145)),IFERROR(AC145/X145-1,""),"")</f>
        <v>0.00298536333741728</v>
      </c>
      <c r="AD171" s="29" t="n">
        <f aca="false">IF(AND(ISNUMBER(AD145),ISNUMBER(Y145)),IFERROR(AD145/Y145-1,""),"")</f>
        <v>0.0767640810702188</v>
      </c>
      <c r="AE171" s="29" t="n">
        <f aca="false">IF(AND(ISNUMBER(AE145),ISNUMBER(Z145)),IFERROR(AE145/Z145-1,""),"")</f>
        <v>0.248523989686003</v>
      </c>
      <c r="AF171" s="29" t="n">
        <f aca="false">IF(AND(ISNUMBER(AF145),ISNUMBER(AA145)),IFERROR(AF145/AA145-1,""),"")</f>
        <v>0.103011130638547</v>
      </c>
      <c r="AG171" s="29" t="n">
        <f aca="false">IF(AND(ISNUMBER(AG145),ISNUMBER(AB145)),IFERROR(AG145/AB145-1,""),"")</f>
        <v>0.246121432675734</v>
      </c>
      <c r="AH171" s="29" t="n">
        <f aca="false">IF(AND(ISNUMBER(AH145),ISNUMBER(AC145)),IFERROR(AH145/AC145-1,""),"")</f>
        <v>0.169575643028422</v>
      </c>
      <c r="AI171" s="29" t="n">
        <f aca="false">IF(AND(ISNUMBER(AI145),ISNUMBER(AD145)),IFERROR(AI145/AD145-1,""),"")</f>
        <v>0.352031566599127</v>
      </c>
      <c r="AJ171" s="29" t="n">
        <f aca="false">IF(AND(ISNUMBER(AJ145),ISNUMBER(AE145)),IFERROR(AJ145/AE145-1,""),"")</f>
        <v>0.292182976259409</v>
      </c>
      <c r="AK171" s="29" t="n">
        <f aca="false">IF(AND(ISNUMBER(AK145),ISNUMBER(AF145)),IFERROR(AK145/AF145-1,""),"")</f>
        <v>0.392152280597395</v>
      </c>
      <c r="AL171" s="29" t="n">
        <f aca="false">IF(AND(ISNUMBER(AL145),ISNUMBER(AG145)),IFERROR(AL145/AG145-1,""),"")</f>
        <v>0.322164156163542</v>
      </c>
      <c r="AM171" s="29" t="n">
        <f aca="false">IF(AND(ISNUMBER(AM145),ISNUMBER(AH145)),IFERROR(AM145/AH145-1,""),"")</f>
        <v>0.33789183811445</v>
      </c>
      <c r="AN171" s="29" t="n">
        <f aca="false">IF(AND(ISNUMBER(AN145),ISNUMBER(AI145)),IFERROR(AN145/AI145-1,""),"")</f>
        <v>0.0992861650102543</v>
      </c>
      <c r="AO171" s="29" t="n">
        <f aca="false">IF(AND(ISNUMBER(AO145),ISNUMBER(AJ145)),IFERROR(AO145/AJ145-1,""),"")</f>
        <v>0.201663978012786</v>
      </c>
      <c r="AP171" s="29" t="n">
        <f aca="false">IF(AND(ISNUMBER(AP145),ISNUMBER(AK145)),IFERROR(AP145/AK145-1,""),"")</f>
        <v>0.170639401800703</v>
      </c>
      <c r="AQ171" s="29" t="n">
        <f aca="false">IF(AND(ISNUMBER(AQ145),ISNUMBER(AL145)),IFERROR(AQ145/AL145-1,""),"")</f>
        <v>-0.0107450094662371</v>
      </c>
      <c r="AR171" s="29" t="n">
        <f aca="false">IF(AND(ISNUMBER(AR145),ISNUMBER(AM145)),IFERROR(AR145/AM145-1,""),"")</f>
        <v>0.119435177729207</v>
      </c>
      <c r="AS171" s="29" t="n">
        <f aca="false">IF(AND(ISNUMBER(AS145),ISNUMBER(AN145)),IFERROR(AS145/AN145-1,""),"")</f>
        <v>0.270364324537642</v>
      </c>
      <c r="AT171" s="29" t="n">
        <f aca="false">IF(AND(ISNUMBER(AT145),ISNUMBER(AO145)),IFERROR(AT145/AO145-1,""),"")</f>
        <v>-0.12869022610598</v>
      </c>
      <c r="AU171" s="29" t="n">
        <f aca="false">IF(AND(ISNUMBER(AU145),ISNUMBER(AP145)),IFERROR(AU145/AP145-1,""),"")</f>
        <v>0.171016268641152</v>
      </c>
      <c r="AV171" s="29" t="n">
        <f aca="false">IF(AND(ISNUMBER(AV145),ISNUMBER(AQ145)),IFERROR(AV145/AQ145-1,""),"")</f>
        <v>0.433075360518409</v>
      </c>
      <c r="AW171" s="29" t="n">
        <f aca="false">IF(AND(ISNUMBER(AW145),ISNUMBER(AR145)),IFERROR(AW145/AR145-1,""),"")</f>
        <v>0.160143132397468</v>
      </c>
      <c r="AX171" s="29" t="n">
        <f aca="false">IF(AND(ISNUMBER(AX145),ISNUMBER(AS145)),IFERROR(AX145/AS145-1,""),"")</f>
        <v>0.189186517742413</v>
      </c>
      <c r="AY171" s="29" t="n">
        <f aca="false">IF(AND(ISNUMBER(AY145),ISNUMBER(AT145)),IFERROR(AY145/AT145-1,""),"")</f>
        <v>0.683605341246292</v>
      </c>
      <c r="AZ171" s="29" t="n">
        <f aca="false">IF(AND(ISNUMBER(AZ145),ISNUMBER(AU145)),IFERROR(AZ145/AU145-1,""),"")</f>
        <v>0.531520299228551</v>
      </c>
      <c r="BA171" s="29" t="n">
        <f aca="false">IF(AND(ISNUMBER(BA145),ISNUMBER(AV145)),IFERROR(BA145/AV145-1,""),"")</f>
        <v>0.565167986504849</v>
      </c>
      <c r="BB171" s="29" t="n">
        <f aca="false">IF(AND(ISNUMBER(BB145),ISNUMBER(AW145)),IFERROR(BB145/AW145-1,""),"")</f>
        <v>0.497636898547973</v>
      </c>
      <c r="BC171" s="29" t="n">
        <f aca="false">IF(AND(ISNUMBER(BC145),ISNUMBER(AX145)),IFERROR(BC145/AX145-1,""),"")</f>
        <v>0.69996556514718</v>
      </c>
      <c r="BD171" s="29" t="n">
        <f aca="false">IF(AND(ISNUMBER(BD145),ISNUMBER(AY145)),IFERROR(BD145/AY145-1,""),"")</f>
        <v>0.543613469588353</v>
      </c>
      <c r="BE171" s="29" t="n">
        <f aca="false">IF(AND(ISNUMBER(BE145),ISNUMBER(AZ145)),IFERROR(BE145/AZ145-1,""),"")</f>
        <v>0.228168747910275</v>
      </c>
      <c r="BF171" s="29" t="n">
        <f aca="false">IF(AND(ISNUMBER(BF145),ISNUMBER(BA145)),IFERROR(BF145/BA145-1,""),"")</f>
        <v>-0.00037422628715178</v>
      </c>
      <c r="BG171" s="29" t="n">
        <f aca="false">IF(AND(ISNUMBER(BG145),ISNUMBER(BB145)),IFERROR(BG145/BB145-1,""),"")</f>
        <v>0.326231786708573</v>
      </c>
      <c r="BH171" s="29" t="n">
        <f aca="false">IF(AND(ISNUMBER(BH145),ISNUMBER(BC145)),IFERROR(BH145/BC145-1,""),"")</f>
        <v>-0.0034924493245605</v>
      </c>
      <c r="BI171" s="29" t="n">
        <f aca="false">IF(AND(ISNUMBER(BI145),ISNUMBER(BD145)),IFERROR(BI145/BD145-1,""),"")</f>
        <v>-0.0892857142857145</v>
      </c>
      <c r="BJ171" s="29" t="n">
        <f aca="false">IF(AND(ISNUMBER(BJ145),ISNUMBER(BE145)),IFERROR(BJ145/BE145-1,""),"")</f>
        <v>0.0291591948819008</v>
      </c>
      <c r="BK171" s="29" t="n">
        <f aca="false">IF(AND(ISNUMBER(BK145),ISNUMBER(BF145)),IFERROR(BK145/BF145-1,""),"")</f>
        <v>0.191039166211187</v>
      </c>
      <c r="BL171" s="29" t="n">
        <f aca="false">IF(AND(ISNUMBER(BL145),ISNUMBER(BG145)),IFERROR(BL145/BG145-1,""),"")</f>
        <v>0.0215604702944299</v>
      </c>
      <c r="BM171" s="29" t="n">
        <f aca="false">IF(AND(ISNUMBER(BM145),ISNUMBER(BH145)),IFERROR(BM145/BH145-1,""),"")</f>
        <v>0.174414366422273</v>
      </c>
      <c r="BN171" s="29" t="n">
        <f aca="false">IF(AND(ISNUMBER(BN145),ISNUMBER(BI145)),IFERROR(BN145/BI145-1,""),"")</f>
        <v>0.147990090595108</v>
      </c>
      <c r="BO171" s="29" t="n">
        <f aca="false">IF(AND(ISNUMBER(BO145),ISNUMBER(BJ145)),IFERROR(BO145/BJ145-1,""),"")</f>
        <v>0.0367518516814653</v>
      </c>
      <c r="BP171" s="29" t="n">
        <f aca="false">IF(AND(ISNUMBER(BP145),ISNUMBER(BK145)),IFERROR(BP145/BK145-1,""),"")</f>
        <v>-0.0211913951997168</v>
      </c>
      <c r="BQ171" s="29" t="n">
        <f aca="false">IF(AND(ISNUMBER(BQ145),ISNUMBER(BL145)),IFERROR(BQ145/BL145-1,""),"")</f>
        <v>0.0820004396639211</v>
      </c>
      <c r="BR171" s="29" t="n">
        <f aca="false">IF(AND(ISNUMBER(BR145),ISNUMBER(BM145)),IFERROR(BR145/BM145-1,""),"")</f>
        <v>-0.230947364651534</v>
      </c>
      <c r="BS171" s="29" t="n">
        <f aca="false">IF(AND(ISNUMBER(BS145),ISNUMBER(BN145)),IFERROR(BS145/BN145-1,""),"")</f>
        <v>-0.145110393531281</v>
      </c>
      <c r="BT171" s="29" t="n">
        <f aca="false">IF(AND(ISNUMBER(BT145),ISNUMBER(BO145)),IFERROR(BT145/BO145-1,""),"")</f>
        <v>-0.0637261699401509</v>
      </c>
      <c r="BU171" s="29" t="n">
        <f aca="false">IF(AND(ISNUMBER(BU145),ISNUMBER(BP145)),IFERROR(BU145/BP145-1,""),"")</f>
        <v>-0.182533412972133</v>
      </c>
      <c r="BV171" s="29" t="n">
        <f aca="false">IF(AND(ISNUMBER(BV145),ISNUMBER(BQ145)),IFERROR(BV145/BQ145-1,""),"")</f>
        <v>-0.153087778856877</v>
      </c>
      <c r="BW171" s="29" t="n">
        <f aca="false">IF(AND(ISNUMBER(BW145),ISNUMBER(BR145)),IFERROR(BW145/BR145-1,""),"")</f>
        <v>0.00684495630713689</v>
      </c>
      <c r="BX171" s="29" t="n">
        <f aca="false">IF(AND(ISNUMBER(BX145),ISNUMBER(BS145)),IFERROR(BX145/BS145-1,""),"")</f>
        <v>0.175465857583315</v>
      </c>
      <c r="BY171" s="30" t="n">
        <f aca="false">IF(AND(ISNUMBER(BY145),ISNUMBER(BT145)),IFERROR(BY145/BT145-1,""),"")</f>
        <v>0.102621116608467</v>
      </c>
      <c r="BZ171" s="30" t="n">
        <f aca="false">IF(AND(ISNUMBER(BZ145),ISNUMBER(BU145)),IFERROR(BZ145/BU145-1,""),"")</f>
        <v>0.42008584330393</v>
      </c>
      <c r="CA171" s="30" t="n">
        <f aca="false">IF(AND(ISNUMBER(CA145),ISNUMBER(BV145)),IFERROR(CA145/BV145-1,""),"")</f>
        <v>0.170552555412294</v>
      </c>
      <c r="CB171" s="30" t="n">
        <f aca="false">IF(AND(ISNUMBER(CB145),ISNUMBER(CA145)),IFERROR(CB145/CA145-1,""),"")</f>
        <v>0.195402826731642</v>
      </c>
      <c r="CC171" s="30" t="n">
        <f aca="false">IF(AND(ISNUMBER(CC145),ISNUMBER(CB145)),IFERROR(CC145/CB145-1,""),"")</f>
        <v>0.0650767229040943</v>
      </c>
      <c r="CD171" s="30" t="n">
        <f aca="false">IF(AND(ISNUMBER(CD145),ISNUMBER(CC145)),IFERROR(CD145/CC145-1,""),"")</f>
        <v>0.0759107025823462</v>
      </c>
      <c r="CE171" s="30" t="n">
        <f aca="false">IF(AND(ISNUMBER(CE145),ISNUMBER(CD145)),IFERROR(CE145/CD145-1,""),"")</f>
        <v>0.1164891145346</v>
      </c>
      <c r="CF171" s="21"/>
    </row>
    <row r="172" customFormat="false" ht="15" hidden="false" customHeight="true" outlineLevel="0" collapsed="false">
      <c r="B172" s="27" t="s">
        <v>339</v>
      </c>
      <c r="C172" s="28"/>
      <c r="D172" s="29" t="n">
        <f aca="false">IF(AND(ISNUMBER(D93),ISNUMBER(C93)),IFERROR(D93/C93-1,""),"")</f>
        <v>-0.236548385806303</v>
      </c>
      <c r="E172" s="29" t="n">
        <f aca="false">IF(AND(ISNUMBER(E93),ISNUMBER(D93)),IFERROR(E93/D93-1,""),"")</f>
        <v>-1.25809578704674</v>
      </c>
      <c r="F172" s="29" t="n">
        <f aca="false">IF(AND(ISNUMBER(F93),ISNUMBER(E93)),IFERROR(F93/E93-1,""),"")</f>
        <v>-0.625114201603895</v>
      </c>
      <c r="G172" s="29" t="n">
        <f aca="false">IF(AND(ISNUMBER(G93),ISNUMBER(F93)),IFERROR(G93/F93-1,""),"")</f>
        <v>-4.27646899539672</v>
      </c>
      <c r="H172" s="29" t="n">
        <f aca="false">IF(AND(ISNUMBER(H93),ISNUMBER(G93)),IFERROR(H93/G93-1,""),"")</f>
        <v>1.32611570247933</v>
      </c>
      <c r="I172" s="29" t="n">
        <f aca="false">IF(AND(ISNUMBER(I93),ISNUMBER(H93)),IFERROR(I93/H93-1,""),"")</f>
        <v>1.08676188445961</v>
      </c>
      <c r="J172" s="28"/>
      <c r="K172" s="28"/>
      <c r="L172" s="28"/>
      <c r="M172" s="28"/>
      <c r="N172" s="29" t="n">
        <f aca="false">IF(AND(ISNUMBER(N93),ISNUMBER(I93)),IFERROR(N93/I93-1,""),"")</f>
        <v>0.267034426396971</v>
      </c>
      <c r="O172" s="29" t="n">
        <f aca="false">IF(AND(ISNUMBER(O93),ISNUMBER(J93)),IFERROR(O93/J93-1,""),"")</f>
        <v>0.0481007431874412</v>
      </c>
      <c r="P172" s="29" t="n">
        <f aca="false">IF(AND(ISNUMBER(P93),ISNUMBER(K93)),IFERROR(P93/K93-1,""),"")</f>
        <v>-0.0222709488800023</v>
      </c>
      <c r="Q172" s="29" t="n">
        <f aca="false">IF(AND(ISNUMBER(Q93),ISNUMBER(L93)),IFERROR(Q93/L93-1,""),"")</f>
        <v>0.237702302256668</v>
      </c>
      <c r="R172" s="29" t="n">
        <f aca="false">IF(AND(ISNUMBER(R93),ISNUMBER(M93)),IFERROR(R93/M93-1,""),"")</f>
        <v>0.400217805608498</v>
      </c>
      <c r="S172" s="29" t="n">
        <f aca="false">IF(AND(ISNUMBER(S93),ISNUMBER(N93)),IFERROR(S93/N93-1,""),"")</f>
        <v>0.15150904351098</v>
      </c>
      <c r="T172" s="29" t="n">
        <f aca="false">IF(AND(ISNUMBER(T93),ISNUMBER(O93)),IFERROR(T93/O93-1,""),"")</f>
        <v>0.394064736392885</v>
      </c>
      <c r="U172" s="29" t="n">
        <f aca="false">IF(AND(ISNUMBER(U93),ISNUMBER(P93)),IFERROR(U93/P93-1,""),"")</f>
        <v>0.375533177960513</v>
      </c>
      <c r="V172" s="29" t="n">
        <f aca="false">IF(AND(ISNUMBER(V93),ISNUMBER(Q93)),IFERROR(V93/Q93-1,""),"")</f>
        <v>-0.26903385023389</v>
      </c>
      <c r="W172" s="29" t="n">
        <f aca="false">IF(AND(ISNUMBER(W93),ISNUMBER(R93)),IFERROR(W93/R93-1,""),"")</f>
        <v>-0.143690453042971</v>
      </c>
      <c r="X172" s="29" t="n">
        <f aca="false">IF(AND(ISNUMBER(X93),ISNUMBER(S93)),IFERROR(X93/S93-1,""),"")</f>
        <v>0.0499690756537865</v>
      </c>
      <c r="Y172" s="29" t="n">
        <f aca="false">IF(AND(ISNUMBER(Y93),ISNUMBER(T93)),IFERROR(Y93/T93-1,""),"")</f>
        <v>-0.171855131163752</v>
      </c>
      <c r="Z172" s="29" t="n">
        <f aca="false">IF(AND(ISNUMBER(Z93),ISNUMBER(U93)),IFERROR(Z93/U93-1,""),"")</f>
        <v>-0.30561682810652</v>
      </c>
      <c r="AA172" s="29" t="n">
        <f aca="false">IF(AND(ISNUMBER(AA93),ISNUMBER(V93)),IFERROR(AA93/V93-1,""),"")</f>
        <v>0.141043083900222</v>
      </c>
      <c r="AB172" s="29" t="n">
        <f aca="false">IF(AND(ISNUMBER(AB93),ISNUMBER(W93)),IFERROR(AB93/W93-1,""),"")</f>
        <v>-0.0243528610354272</v>
      </c>
      <c r="AC172" s="29" t="n">
        <f aca="false">IF(AND(ISNUMBER(AC93),ISNUMBER(X93)),IFERROR(AC93/X93-1,""),"")</f>
        <v>-0.120466796332314</v>
      </c>
      <c r="AD172" s="29" t="n">
        <f aca="false">IF(AND(ISNUMBER(AD93),ISNUMBER(Y93)),IFERROR(AD93/Y93-1,""),"")</f>
        <v>-0.00369654231119188</v>
      </c>
      <c r="AE172" s="29" t="n">
        <f aca="false">IF(AND(ISNUMBER(AE93),ISNUMBER(Z93)),IFERROR(AE93/Z93-1,""),"")</f>
        <v>0.368169052990198</v>
      </c>
      <c r="AF172" s="29" t="n">
        <f aca="false">IF(AND(ISNUMBER(AF93),ISNUMBER(AA93)),IFERROR(AF93/AA93-1,""),"")</f>
        <v>0.0864688217629381</v>
      </c>
      <c r="AG172" s="29" t="n">
        <f aca="false">IF(AND(ISNUMBER(AG93),ISNUMBER(AB93)),IFERROR(AG93/AB93-1,""),"")</f>
        <v>0.33228603013906</v>
      </c>
      <c r="AH172" s="29" t="n">
        <f aca="false">IF(AND(ISNUMBER(AH93),ISNUMBER(AC93)),IFERROR(AH93/AC93-1,""),"")</f>
        <v>0.197141629599678</v>
      </c>
      <c r="AI172" s="29" t="n">
        <f aca="false">IF(AND(ISNUMBER(AI93),ISNUMBER(AD93)),IFERROR(AI93/AD93-1,""),"")</f>
        <v>0.574233689137511</v>
      </c>
      <c r="AJ172" s="29" t="n">
        <f aca="false">IF(AND(ISNUMBER(AJ93),ISNUMBER(AE93)),IFERROR(AJ93/AE93-1,""),"")</f>
        <v>0.398647284474055</v>
      </c>
      <c r="AK172" s="29" t="n">
        <f aca="false">IF(AND(ISNUMBER(AK93),ISNUMBER(AF93)),IFERROR(AK93/AF93-1,""),"")</f>
        <v>0.572920900739777</v>
      </c>
      <c r="AL172" s="29" t="n">
        <f aca="false">IF(AND(ISNUMBER(AL93),ISNUMBER(AG93)),IFERROR(AL93/AG93-1,""),"")</f>
        <v>0.455847672285792</v>
      </c>
      <c r="AM172" s="29" t="n">
        <f aca="false">IF(AND(ISNUMBER(AM93),ISNUMBER(AH93)),IFERROR(AM93/AH93-1,""),"")</f>
        <v>0.490199183001362</v>
      </c>
      <c r="AN172" s="29" t="n">
        <f aca="false">IF(AND(ISNUMBER(AN93),ISNUMBER(AI93)),IFERROR(AN93/AI93-1,""),"")</f>
        <v>0.0381449653722041</v>
      </c>
      <c r="AO172" s="29" t="n">
        <f aca="false">IF(AND(ISNUMBER(AO93),ISNUMBER(AJ93)),IFERROR(AO93/AJ93-1,""),"")</f>
        <v>0.230987609767834</v>
      </c>
      <c r="AP172" s="29" t="n">
        <f aca="false">IF(AND(ISNUMBER(AP93),ISNUMBER(AK93)),IFERROR(AP93/AK93-1,""),"")</f>
        <v>0.172158048427528</v>
      </c>
      <c r="AQ172" s="29" t="n">
        <f aca="false">IF(AND(ISNUMBER(AQ93),ISNUMBER(AL93)),IFERROR(AQ93/AL93-1,""),"")</f>
        <v>-0.177165826733861</v>
      </c>
      <c r="AR172" s="29" t="n">
        <f aca="false">IF(AND(ISNUMBER(AR93),ISNUMBER(AM93)),IFERROR(AR93/AM93-1,""),"")</f>
        <v>0.0808134469495729</v>
      </c>
      <c r="AS172" s="29" t="n">
        <f aca="false">IF(AND(ISNUMBER(AS93),ISNUMBER(AN93)),IFERROR(AS93/AN93-1,""),"")</f>
        <v>0.354336209004223</v>
      </c>
      <c r="AT172" s="29" t="n">
        <f aca="false">IF(AND(ISNUMBER(AT93),ISNUMBER(AO93)),IFERROR(AT93/AO93-1,""),"")</f>
        <v>-0.302642379705273</v>
      </c>
      <c r="AU172" s="29" t="n">
        <f aca="false">IF(AND(ISNUMBER(AU93),ISNUMBER(AP93)),IFERROR(AU93/AP93-1,""),"")</f>
        <v>0.217310787274854</v>
      </c>
      <c r="AV172" s="29" t="n">
        <f aca="false">IF(AND(ISNUMBER(AV93),ISNUMBER(AQ93)),IFERROR(AV93/AQ93-1,""),"")</f>
        <v>0.846445497630334</v>
      </c>
      <c r="AW172" s="29" t="n">
        <f aca="false">IF(AND(ISNUMBER(AW93),ISNUMBER(AR93)),IFERROR(AW93/AR93-1,""),"")</f>
        <v>0.181766348157761</v>
      </c>
      <c r="AX172" s="29" t="n">
        <f aca="false">IF(AND(ISNUMBER(AX93),ISNUMBER(AS93)),IFERROR(AX93/AS93-1,""),"")</f>
        <v>0.256292552094077</v>
      </c>
      <c r="AY172" s="29" t="n">
        <f aca="false">IF(AND(ISNUMBER(AY93),ISNUMBER(AT93)),IFERROR(AY93/AT93-1,""),"")</f>
        <v>1.32406602953953</v>
      </c>
      <c r="AZ172" s="29" t="n">
        <f aca="false">IF(AND(ISNUMBER(AZ93),ISNUMBER(AU93)),IFERROR(AZ93/AU93-1,""),"")</f>
        <v>0.921852361634308</v>
      </c>
      <c r="BA172" s="29" t="n">
        <f aca="false">IF(AND(ISNUMBER(BA93),ISNUMBER(AV93)),IFERROR(BA93/AV93-1,""),"")</f>
        <v>0.922780761333122</v>
      </c>
      <c r="BB172" s="29" t="n">
        <f aca="false">IF(AND(ISNUMBER(BB93),ISNUMBER(AW93)),IFERROR(BB93/AW93-1,""),"")</f>
        <v>0.858579976819116</v>
      </c>
      <c r="BC172" s="29" t="n">
        <f aca="false">IF(AND(ISNUMBER(BC93),ISNUMBER(AX93)),IFERROR(BC93/AX93-1,""),"")</f>
        <v>1.12359896538983</v>
      </c>
      <c r="BD172" s="29" t="n">
        <f aca="false">IF(AND(ISNUMBER(BD93),ISNUMBER(AY93)),IFERROR(BD93/AY93-1,""),"")</f>
        <v>0.760542659029242</v>
      </c>
      <c r="BE172" s="29" t="n">
        <f aca="false">IF(AND(ISNUMBER(BE93),ISNUMBER(AZ93)),IFERROR(BE93/AZ93-1,""),"")</f>
        <v>0.209561144774163</v>
      </c>
      <c r="BF172" s="29" t="n">
        <f aca="false">IF(AND(ISNUMBER(BF93),ISNUMBER(BA93)),IFERROR(BF93/BA93-1,""),"")</f>
        <v>-0.0482004415464401</v>
      </c>
      <c r="BG172" s="29" t="n">
        <f aca="false">IF(AND(ISNUMBER(BG93),ISNUMBER(BB93)),IFERROR(BG93/BB93-1,""),"")</f>
        <v>0.403850916479927</v>
      </c>
      <c r="BH172" s="29" t="n">
        <f aca="false">IF(AND(ISNUMBER(BH93),ISNUMBER(BC93)),IFERROR(BH93/BC93-1,""),"")</f>
        <v>-0.04162437529604</v>
      </c>
      <c r="BI172" s="29" t="n">
        <f aca="false">IF(AND(ISNUMBER(BI93),ISNUMBER(BD93)),IFERROR(BI93/BD93-1,""),"")</f>
        <v>-0.176296123786757</v>
      </c>
      <c r="BJ172" s="29" t="n">
        <f aca="false">IF(AND(ISNUMBER(BJ93),ISNUMBER(BE93)),IFERROR(BJ93/BE93-1,""),"")</f>
        <v>0.000623271395737923</v>
      </c>
      <c r="BK172" s="29" t="n">
        <f aca="false">IF(AND(ISNUMBER(BK93),ISNUMBER(BF93)),IFERROR(BK93/BF93-1,""),"")</f>
        <v>0.215468599971948</v>
      </c>
      <c r="BL172" s="29" t="n">
        <f aca="false">IF(AND(ISNUMBER(BL93),ISNUMBER(BG93)),IFERROR(BL93/BG93-1,""),"")</f>
        <v>-0.0212375235925227</v>
      </c>
      <c r="BM172" s="29" t="n">
        <f aca="false">IF(AND(ISNUMBER(BM93),ISNUMBER(BH93)),IFERROR(BM93/BH93-1,""),"")</f>
        <v>0.189312407330825</v>
      </c>
      <c r="BN172" s="29" t="n">
        <f aca="false">IF(AND(ISNUMBER(BN93),ISNUMBER(BI93)),IFERROR(BN93/BI93-1,""),"")</f>
        <v>0.144176957299075</v>
      </c>
      <c r="BO172" s="29" t="n">
        <f aca="false">IF(AND(ISNUMBER(BO93),ISNUMBER(BJ93)),IFERROR(BO93/BJ93-1,""),"")</f>
        <v>-0.025413633355393</v>
      </c>
      <c r="BP172" s="29" t="n">
        <f aca="false">IF(AND(ISNUMBER(BP93),ISNUMBER(BK93)),IFERROR(BP93/BK93-1,""),"")</f>
        <v>-0.099225122711092</v>
      </c>
      <c r="BQ172" s="29" t="n">
        <f aca="false">IF(AND(ISNUMBER(BQ93),ISNUMBER(BL93)),IFERROR(BQ93/BL93-1,""),"")</f>
        <v>0.0470449254716638</v>
      </c>
      <c r="BR172" s="29" t="n">
        <f aca="false">IF(AND(ISNUMBER(BR93),ISNUMBER(BM93)),IFERROR(BR93/BM93-1,""),"")</f>
        <v>-0.404912137865525</v>
      </c>
      <c r="BS172" s="29" t="n">
        <f aca="false">IF(AND(ISNUMBER(BS93),ISNUMBER(BN93)),IFERROR(BS93/BN93-1,""),"")</f>
        <v>-0.277586795839906</v>
      </c>
      <c r="BT172" s="29" t="n">
        <f aca="false">IF(AND(ISNUMBER(BT93),ISNUMBER(BO93)),IFERROR(BT93/BO93-1,""),"")</f>
        <v>-0.0524162945091119</v>
      </c>
      <c r="BU172" s="29" t="n">
        <f aca="false">IF(AND(ISNUMBER(BU93),ISNUMBER(BP93)),IFERROR(BU93/BP93-1,""),"")</f>
        <v>-0.369132079933783</v>
      </c>
      <c r="BV172" s="29" t="n">
        <f aca="false">IF(AND(ISNUMBER(BV93),ISNUMBER(BQ93)),IFERROR(BV93/BQ93-1,""),"")</f>
        <v>-0.269537083125933</v>
      </c>
      <c r="BW172" s="29" t="n">
        <f aca="false">IF(AND(ISNUMBER(BW93),ISNUMBER(BR93)),IFERROR(BW93/BR93-1,""),"")</f>
        <v>-0.0479135788393597</v>
      </c>
      <c r="BX172" s="29" t="n">
        <f aca="false">IF(AND(ISNUMBER(BX93),ISNUMBER(BS93)),IFERROR(BX93/BS93-1,""),"")</f>
        <v>0.259690741355549</v>
      </c>
      <c r="BY172" s="30" t="n">
        <f aca="false">IF(AND(ISNUMBER(BY93),ISNUMBER(BT93)),IFERROR(BY93/BT93-1,""),"")</f>
        <v>0.0111325288025974</v>
      </c>
      <c r="BZ172" s="30" t="n">
        <f aca="false">IF(AND(ISNUMBER(BZ93),ISNUMBER(BU93)),IFERROR(BZ93/BU93-1,""),"")</f>
        <v>0.779256332996123</v>
      </c>
      <c r="CA172" s="30" t="n">
        <f aca="false">IF(AND(ISNUMBER(CA93),ISNUMBER(BV93)),IFERROR(CA93/BV93-1,""),"")</f>
        <v>0.209147522568673</v>
      </c>
      <c r="CB172" s="30" t="n">
        <f aca="false">IF(AND(ISNUMBER(CB93),ISNUMBER(CA93)),IFERROR(CB93/CA93-1,""),"")</f>
        <v>0.248312212593661</v>
      </c>
      <c r="CC172" s="30" t="n">
        <f aca="false">IF(AND(ISNUMBER(CC93),ISNUMBER(CB93)),IFERROR(CC93/CB93-1,""),"")</f>
        <v>0.0718054324512336</v>
      </c>
      <c r="CD172" s="30" t="n">
        <f aca="false">IF(AND(ISNUMBER(CD93),ISNUMBER(CC93)),IFERROR(CD93/CC93-1,""),"")</f>
        <v>0.0876298296811411</v>
      </c>
      <c r="CE172" s="30" t="n">
        <f aca="false">IF(AND(ISNUMBER(CE93),ISNUMBER(CD93)),IFERROR(CE93/CD93-1,""),"")</f>
        <v>0.140453169317775</v>
      </c>
      <c r="CF172" s="21"/>
    </row>
    <row r="173" customFormat="false" ht="15" hidden="false" customHeight="true" outlineLevel="0" collapsed="false">
      <c r="B173" s="27" t="s">
        <v>340</v>
      </c>
      <c r="C173" s="28"/>
      <c r="D173" s="29" t="n">
        <f aca="false">IF(AND(ISNUMBER(D106),ISNUMBER(C106)),IFERROR(D106/C106-1,""),"")</f>
        <v>-1.88690102026015</v>
      </c>
      <c r="E173" s="29" t="n">
        <f aca="false">IF(AND(ISNUMBER(E106),ISNUMBER(D106)),IFERROR(E106/D106-1,""),"")</f>
        <v>-2.13002944062807</v>
      </c>
      <c r="F173" s="29" t="n">
        <f aca="false">IF(AND(ISNUMBER(F106),ISNUMBER(E106)),IFERROR(F106/E106-1,""),"")</f>
        <v>-0.620060790273555</v>
      </c>
      <c r="G173" s="29" t="n">
        <f aca="false">IF(AND(ISNUMBER(G106),ISNUMBER(F106)),IFERROR(G106/F106-1,""),"")</f>
        <v>-1.24850793650794</v>
      </c>
      <c r="H173" s="29" t="n">
        <f aca="false">IF(AND(ISNUMBER(H106),ISNUMBER(G106)),IFERROR(H106/G106-1,""),"")</f>
        <v>4.81144609095546</v>
      </c>
      <c r="I173" s="29" t="n">
        <f aca="false">IF(AND(ISNUMBER(I106),ISNUMBER(H106)),IFERROR(I106/H106-1,""),"")</f>
        <v>1.81790204871188</v>
      </c>
      <c r="J173" s="28"/>
      <c r="K173" s="28"/>
      <c r="L173" s="28"/>
      <c r="M173" s="28"/>
      <c r="N173" s="29" t="n">
        <f aca="false">IF(AND(ISNUMBER(N106),ISNUMBER(I106)),IFERROR(N106/I106-1,""),"")</f>
        <v>0.361301797304034</v>
      </c>
      <c r="O173" s="29" t="n">
        <f aca="false">IF(AND(ISNUMBER(O106),ISNUMBER(J106)),IFERROR(O106/J106-1,""),"")</f>
        <v>-0.063244128891327</v>
      </c>
      <c r="P173" s="29" t="n">
        <f aca="false">IF(AND(ISNUMBER(P106),ISNUMBER(K106)),IFERROR(P106/K106-1,""),"")</f>
        <v>0.00503703703703895</v>
      </c>
      <c r="Q173" s="29" t="n">
        <f aca="false">IF(AND(ISNUMBER(Q106),ISNUMBER(L106)),IFERROR(Q106/L106-1,""),"")</f>
        <v>0.261078400991634</v>
      </c>
      <c r="R173" s="29" t="n">
        <f aca="false">IF(AND(ISNUMBER(R106),ISNUMBER(M106)),IFERROR(R106/M106-1,""),"")</f>
        <v>0.682663690476197</v>
      </c>
      <c r="S173" s="29" t="n">
        <f aca="false">IF(AND(ISNUMBER(S106),ISNUMBER(N106)),IFERROR(S106/N106-1,""),"")</f>
        <v>0.191716139088182</v>
      </c>
      <c r="T173" s="29" t="n">
        <f aca="false">IF(AND(ISNUMBER(T106),ISNUMBER(O106)),IFERROR(T106/O106-1,""),"")</f>
        <v>0.469799440298512</v>
      </c>
      <c r="U173" s="29" t="n">
        <f aca="false">IF(AND(ISNUMBER(U106),ISNUMBER(P106)),IFERROR(U106/P106-1,""),"")</f>
        <v>0.418558372641511</v>
      </c>
      <c r="V173" s="29" t="n">
        <f aca="false">IF(AND(ISNUMBER(V106),ISNUMBER(Q106)),IFERROR(V106/Q106-1,""),"")</f>
        <v>-0.276508170536913</v>
      </c>
      <c r="W173" s="29" t="n">
        <f aca="false">IF(AND(ISNUMBER(W106),ISNUMBER(R106)),IFERROR(W106/R106-1,""),"")</f>
        <v>-0.160807723487362</v>
      </c>
      <c r="X173" s="29" t="n">
        <f aca="false">IF(AND(ISNUMBER(X106),ISNUMBER(S106)),IFERROR(X106/S106-1,""),"")</f>
        <v>0.0581831470831475</v>
      </c>
      <c r="Y173" s="29" t="n">
        <f aca="false">IF(AND(ISNUMBER(Y106),ISNUMBER(T106)),IFERROR(Y106/T106-1,""),"")</f>
        <v>-0.161047203490675</v>
      </c>
      <c r="Z173" s="29" t="n">
        <f aca="false">IF(AND(ISNUMBER(Z106),ISNUMBER(U106)),IFERROR(Z106/U106-1,""),"")</f>
        <v>-0.310282121889129</v>
      </c>
      <c r="AA173" s="29" t="n">
        <f aca="false">IF(AND(ISNUMBER(AA106),ISNUMBER(V106)),IFERROR(AA106/V106-1,""),"")</f>
        <v>0.173983187568983</v>
      </c>
      <c r="AB173" s="29" t="n">
        <f aca="false">IF(AND(ISNUMBER(AB106),ISNUMBER(W106)),IFERROR(AB106/W106-1,""),"")</f>
        <v>-0.0912444015105017</v>
      </c>
      <c r="AC173" s="29" t="n">
        <f aca="false">IF(AND(ISNUMBER(AC106),ISNUMBER(X106)),IFERROR(AC106/X106-1,""),"")</f>
        <v>-0.127090301003344</v>
      </c>
      <c r="AD173" s="29" t="n">
        <f aca="false">IF(AND(ISNUMBER(AD106),ISNUMBER(Y106)),IFERROR(AD106/Y106-1,""),"")</f>
        <v>0.0767848699763594</v>
      </c>
      <c r="AE173" s="29" t="n">
        <f aca="false">IF(AND(ISNUMBER(AE106),ISNUMBER(Z106)),IFERROR(AE106/Z106-1,""),"")</f>
        <v>0.326026365348406</v>
      </c>
      <c r="AF173" s="29" t="n">
        <f aca="false">IF(AND(ISNUMBER(AF106),ISNUMBER(AA106)),IFERROR(AF106/AA106-1,""),"")</f>
        <v>0.0420222768696639</v>
      </c>
      <c r="AG173" s="29" t="n">
        <f aca="false">IF(AND(ISNUMBER(AG106),ISNUMBER(AB106)),IFERROR(AG106/AB106-1,""),"")</f>
        <v>3.61528797835332</v>
      </c>
      <c r="AH173" s="29" t="n">
        <f aca="false">IF(AND(ISNUMBER(AH106),ISNUMBER(AC106)),IFERROR(AH106/AC106-1,""),"")</f>
        <v>0.898134266200236</v>
      </c>
      <c r="AI173" s="29" t="n">
        <f aca="false">IF(AND(ISNUMBER(AI106),ISNUMBER(AD106)),IFERROR(AI106/AD106-1,""),"")</f>
        <v>0.855185738122425</v>
      </c>
      <c r="AJ173" s="29" t="n">
        <f aca="false">IF(AND(ISNUMBER(AJ106),ISNUMBER(AE106)),IFERROR(AJ106/AE106-1,""),"")</f>
        <v>0.720218144634436</v>
      </c>
      <c r="AK173" s="29" t="n">
        <f aca="false">IF(AND(ISNUMBER(AK106),ISNUMBER(AF106)),IFERROR(AK106/AF106-1,""),"")</f>
        <v>0.957034774762268</v>
      </c>
      <c r="AL173" s="29" t="n">
        <f aca="false">IF(AND(ISNUMBER(AL106),ISNUMBER(AG106)),IFERROR(AL106/AG106-1,""),"")</f>
        <v>-0.468581837978182</v>
      </c>
      <c r="AM173" s="29" t="n">
        <f aca="false">IF(AND(ISNUMBER(AM106),ISNUMBER(AH106)),IFERROR(AM106/AH106-1,""),"")</f>
        <v>0.151663083066392</v>
      </c>
      <c r="AN173" s="29" t="n">
        <f aca="false">IF(AND(ISNUMBER(AN106),ISNUMBER(AI106)),IFERROR(AN106/AI106-1,""),"")</f>
        <v>0.053680473372782</v>
      </c>
      <c r="AO173" s="29" t="n">
        <f aca="false">IF(AND(ISNUMBER(AO106),ISNUMBER(AJ106)),IFERROR(AO106/AJ106-1,""),"")</f>
        <v>0.224299065420561</v>
      </c>
      <c r="AP173" s="29" t="n">
        <f aca="false">IF(AND(ISNUMBER(AP106),ISNUMBER(AK106)),IFERROR(AP106/AK106-1,""),"")</f>
        <v>0.169285334279129</v>
      </c>
      <c r="AQ173" s="29" t="n">
        <f aca="false">IF(AND(ISNUMBER(AQ106),ISNUMBER(AL106)),IFERROR(AQ106/AL106-1,""),"")</f>
        <v>-0.156067769897557</v>
      </c>
      <c r="AR173" s="29" t="n">
        <f aca="false">IF(AND(ISNUMBER(AR106),ISNUMBER(AM106)),IFERROR(AR106/AM106-1,""),"")</f>
        <v>0.0832341090292517</v>
      </c>
      <c r="AS173" s="29" t="n">
        <f aca="false">IF(AND(ISNUMBER(AS106),ISNUMBER(AN106)),IFERROR(AS106/AN106-1,""),"")</f>
        <v>0.262904892403069</v>
      </c>
      <c r="AT173" s="29" t="n">
        <f aca="false">IF(AND(ISNUMBER(AT106),ISNUMBER(AO106)),IFERROR(AT106/AO106-1,""),"")</f>
        <v>-0.232487254875516</v>
      </c>
      <c r="AU173" s="29" t="n">
        <f aca="false">IF(AND(ISNUMBER(AU106),ISNUMBER(AP106)),IFERROR(AU106/AP106-1,""),"")</f>
        <v>0.259979373938367</v>
      </c>
      <c r="AV173" s="29" t="n">
        <f aca="false">IF(AND(ISNUMBER(AV106),ISNUMBER(AQ106)),IFERROR(AV106/AQ106-1,""),"")</f>
        <v>0.878519071852097</v>
      </c>
      <c r="AW173" s="29" t="n">
        <f aca="false">IF(AND(ISNUMBER(AW106),ISNUMBER(AR106)),IFERROR(AW106/AR106-1,""),"")</f>
        <v>0.216507355850826</v>
      </c>
      <c r="AX173" s="29" t="n">
        <f aca="false">IF(AND(ISNUMBER(AX106),ISNUMBER(AS106)),IFERROR(AX106/AS106-1,""),"")</f>
        <v>0.326562555583221</v>
      </c>
      <c r="AY173" s="29" t="n">
        <f aca="false">IF(AND(ISNUMBER(AY106),ISNUMBER(AT106)),IFERROR(AY106/AT106-1,""),"")</f>
        <v>1.1956139734308</v>
      </c>
      <c r="AZ173" s="29" t="n">
        <f aca="false">IF(AND(ISNUMBER(AZ106),ISNUMBER(AU106)),IFERROR(AZ106/AU106-1,""),"")</f>
        <v>0.918895495799127</v>
      </c>
      <c r="BA173" s="29" t="n">
        <f aca="false">IF(AND(ISNUMBER(BA106),ISNUMBER(AV106)),IFERROR(BA106/AV106-1,""),"")</f>
        <v>0.833209066507604</v>
      </c>
      <c r="BB173" s="29" t="n">
        <f aca="false">IF(AND(ISNUMBER(BB106),ISNUMBER(AW106)),IFERROR(BB106/AW106-1,""),"")</f>
        <v>0.83052623969929</v>
      </c>
      <c r="BC173" s="29" t="n">
        <f aca="false">IF(AND(ISNUMBER(BC106),ISNUMBER(AX106)),IFERROR(BC106/AX106-1,""),"")</f>
        <v>1.1298436620096</v>
      </c>
      <c r="BD173" s="29" t="n">
        <f aca="false">IF(AND(ISNUMBER(BD106),ISNUMBER(AY106)),IFERROR(BD106/AY106-1,""),"")</f>
        <v>0.748647437333929</v>
      </c>
      <c r="BE173" s="29" t="n">
        <f aca="false">IF(AND(ISNUMBER(BE106),ISNUMBER(AZ106)),IFERROR(BE106/AZ106-1,""),"")</f>
        <v>0.228104730958861</v>
      </c>
      <c r="BF173" s="29" t="n">
        <f aca="false">IF(AND(ISNUMBER(BF106),ISNUMBER(BA106)),IFERROR(BF106/BA106-1,""),"")</f>
        <v>-0.0393026124916973</v>
      </c>
      <c r="BG173" s="29" t="n">
        <f aca="false">IF(AND(ISNUMBER(BG106),ISNUMBER(BB106)),IFERROR(BG106/BB106-1,""),"")</f>
        <v>0.411424171224354</v>
      </c>
      <c r="BH173" s="29" t="n">
        <f aca="false">IF(AND(ISNUMBER(BH106),ISNUMBER(BC106)),IFERROR(BH106/BC106-1,""),"")</f>
        <v>-0.0418891015310239</v>
      </c>
      <c r="BI173" s="29" t="n">
        <f aca="false">IF(AND(ISNUMBER(BI106),ISNUMBER(BD106)),IFERROR(BI106/BD106-1,""),"")</f>
        <v>-0.164089889697469</v>
      </c>
      <c r="BJ173" s="29" t="n">
        <f aca="false">IF(AND(ISNUMBER(BJ106),ISNUMBER(BE106)),IFERROR(BJ106/BE106-1,""),"")</f>
        <v>0.00328937287391029</v>
      </c>
      <c r="BK173" s="29" t="n">
        <f aca="false">IF(AND(ISNUMBER(BK106),ISNUMBER(BF106)),IFERROR(BK106/BF106-1,""),"")</f>
        <v>0.259179814286922</v>
      </c>
      <c r="BL173" s="29" t="n">
        <f aca="false">IF(AND(ISNUMBER(BL106),ISNUMBER(BG106)),IFERROR(BL106/BG106-1,""),"")</f>
        <v>-0.0071763909328435</v>
      </c>
      <c r="BM173" s="29" t="n">
        <f aca="false">IF(AND(ISNUMBER(BM106),ISNUMBER(BH106)),IFERROR(BM106/BH106-1,""),"")</f>
        <v>0.191834106469375</v>
      </c>
      <c r="BN173" s="29" t="n">
        <f aca="false">IF(AND(ISNUMBER(BN106),ISNUMBER(BI106)),IFERROR(BN106/BI106-1,""),"")</f>
        <v>0.122646984745783</v>
      </c>
      <c r="BO173" s="29" t="n">
        <f aca="false">IF(AND(ISNUMBER(BO106),ISNUMBER(BJ106)),IFERROR(BO106/BJ106-1,""),"")</f>
        <v>-0.0556443647989566</v>
      </c>
      <c r="BP173" s="29" t="n">
        <f aca="false">IF(AND(ISNUMBER(BP106),ISNUMBER(BK106)),IFERROR(BP106/BK106-1,""),"")</f>
        <v>-0.147095082261171</v>
      </c>
      <c r="BQ173" s="29" t="n">
        <f aca="false">IF(AND(ISNUMBER(BQ106),ISNUMBER(BL106)),IFERROR(BQ106/BL106-1,""),"")</f>
        <v>0.0203124075331735</v>
      </c>
      <c r="BR173" s="29" t="n">
        <f aca="false">IF(AND(ISNUMBER(BR106),ISNUMBER(BM106)),IFERROR(BR106/BM106-1,""),"")</f>
        <v>-0.450796626054356</v>
      </c>
      <c r="BS173" s="29" t="n">
        <f aca="false">IF(AND(ISNUMBER(BS106),ISNUMBER(BN106)),IFERROR(BS106/BN106-1,""),"")</f>
        <v>-0.303631521961784</v>
      </c>
      <c r="BT173" s="29" t="n">
        <f aca="false">IF(AND(ISNUMBER(BT106),ISNUMBER(BO106)),IFERROR(BT106/BO106-1,""),"")</f>
        <v>-0.0693492042955108</v>
      </c>
      <c r="BU173" s="29" t="n">
        <f aca="false">IF(AND(ISNUMBER(BU106),ISNUMBER(BP106)),IFERROR(BU106/BP106-1,""),"")</f>
        <v>-0.375596231423204</v>
      </c>
      <c r="BV173" s="29" t="n">
        <f aca="false">IF(AND(ISNUMBER(BV106),ISNUMBER(BQ106)),IFERROR(BV106/BQ106-1,""),"")</f>
        <v>-0.295607142363939</v>
      </c>
      <c r="BW173" s="29" t="n">
        <f aca="false">IF(AND(ISNUMBER(BW106),ISNUMBER(BR106)),IFERROR(BW106/BR106-1,""),"")</f>
        <v>0.00118450110419199</v>
      </c>
      <c r="BX173" s="29" t="n">
        <f aca="false">IF(AND(ISNUMBER(BX106),ISNUMBER(BS106)),IFERROR(BX106/BS106-1,""),"")</f>
        <v>0.32033449594487</v>
      </c>
      <c r="BY173" s="30" t="n">
        <f aca="false">IF(AND(ISNUMBER(BY106),ISNUMBER(BT106)),IFERROR(BY106/BT106-1,""),"")</f>
        <v>0.0505503134084466</v>
      </c>
      <c r="BZ173" s="30" t="n">
        <f aca="false">IF(AND(ISNUMBER(BZ106),ISNUMBER(BU106)),IFERROR(BZ106/BU106-1,""),"")</f>
        <v>0.812672606149017</v>
      </c>
      <c r="CA173" s="30" t="n">
        <f aca="false">IF(AND(ISNUMBER(CA106),ISNUMBER(BV106)),IFERROR(CA106/BV106-1,""),"")</f>
        <v>0.258428968552512</v>
      </c>
      <c r="CB173" s="30" t="n">
        <f aca="false">IF(AND(ISNUMBER(CB106),ISNUMBER(CA106)),IFERROR(CB106/CA106-1,""),"")</f>
        <v>0.244331601743519</v>
      </c>
      <c r="CC173" s="30" t="n">
        <f aca="false">IF(AND(ISNUMBER(CC106),ISNUMBER(CB106)),IFERROR(CC106/CB106-1,""),"")</f>
        <v>0.0690771097484804</v>
      </c>
      <c r="CD173" s="30" t="n">
        <f aca="false">IF(AND(ISNUMBER(CD106),ISNUMBER(CC106)),IFERROR(CD106/CC106-1,""),"")</f>
        <v>0.0882940376779067</v>
      </c>
      <c r="CE173" s="30" t="n">
        <f aca="false">IF(AND(ISNUMBER(CE106),ISNUMBER(CD106)),IFERROR(CE106/CD106-1,""),"")</f>
        <v>0.141431391318342</v>
      </c>
      <c r="CF173" s="21"/>
    </row>
    <row r="174" customFormat="false" ht="15" hidden="false" customHeight="true" outlineLevel="0" collapsed="false">
      <c r="B174" s="27" t="s">
        <v>341</v>
      </c>
      <c r="C174" s="28"/>
      <c r="D174" s="29" t="n">
        <f aca="false">IF(AND(ISNUMBER(D162),ISNUMBER(C162)),IFERROR(D162/C162-1,""),"")</f>
        <v>-0.309298722072237</v>
      </c>
      <c r="E174" s="29" t="n">
        <f aca="false">IF(AND(ISNUMBER(E162),ISNUMBER(D162)),IFERROR(E162/D162-1,""),"")</f>
        <v>-0.403391229596162</v>
      </c>
      <c r="F174" s="29" t="n">
        <f aca="false">IF(AND(ISNUMBER(F162),ISNUMBER(E162)),IFERROR(F162/E162-1,""),"")</f>
        <v>-2.55165302944522</v>
      </c>
      <c r="G174" s="29" t="n">
        <f aca="false">IF(AND(ISNUMBER(G162),ISNUMBER(F162)),IFERROR(G162/F162-1,""),"")</f>
        <v>-1.09929851702463</v>
      </c>
      <c r="H174" s="29" t="n">
        <f aca="false">IF(AND(ISNUMBER(H162),ISNUMBER(G162)),IFERROR(H162/G162-1,""),"")</f>
        <v>4.80388285546276</v>
      </c>
      <c r="I174" s="29" t="n">
        <f aca="false">IF(AND(ISNUMBER(I162),ISNUMBER(H162)),IFERROR(I162/H162-1,""),"")</f>
        <v>1.74857447004866</v>
      </c>
      <c r="J174" s="28"/>
      <c r="K174" s="28"/>
      <c r="L174" s="28"/>
      <c r="M174" s="28"/>
      <c r="N174" s="29" t="n">
        <f aca="false">IF(AND(ISNUMBER(N162),ISNUMBER(I162)),IFERROR(N162/I162-1,""),"")</f>
        <v>0.340211206078197</v>
      </c>
      <c r="O174" s="29" t="n">
        <f aca="false">IF(AND(ISNUMBER(O162),ISNUMBER(J162)),IFERROR(O162/J162-1,""),"")</f>
        <v>-0.0784990547526056</v>
      </c>
      <c r="P174" s="29" t="n">
        <f aca="false">IF(AND(ISNUMBER(P162),ISNUMBER(K162)),IFERROR(P162/K162-1,""),"")</f>
        <v>-0.00400738790426958</v>
      </c>
      <c r="Q174" s="29" t="n">
        <f aca="false">IF(AND(ISNUMBER(Q162),ISNUMBER(L162)),IFERROR(Q162/L162-1,""),"")</f>
        <v>0.249409532039114</v>
      </c>
      <c r="R174" s="29" t="n">
        <f aca="false">IF(AND(ISNUMBER(R162),ISNUMBER(M162)),IFERROR(R162/M162-1,""),"")</f>
        <v>0.664497636160865</v>
      </c>
      <c r="S174" s="29" t="n">
        <f aca="false">IF(AND(ISNUMBER(S162),ISNUMBER(N162)),IFERROR(S162/N162-1,""),"")</f>
        <v>0.179641255379084</v>
      </c>
      <c r="T174" s="29" t="n">
        <f aca="false">IF(AND(ISNUMBER(T162),ISNUMBER(O162)),IFERROR(T162/O162-1,""),"")</f>
        <v>0.461042747047018</v>
      </c>
      <c r="U174" s="29" t="n">
        <f aca="false">IF(AND(ISNUMBER(U162),ISNUMBER(P162)),IFERROR(U162/P162-1,""),"")</f>
        <v>0.412231716623315</v>
      </c>
      <c r="V174" s="29" t="n">
        <f aca="false">IF(AND(ISNUMBER(V162),ISNUMBER(Q162)),IFERROR(V162/Q162-1,""),"")</f>
        <v>-0.277923728802347</v>
      </c>
      <c r="W174" s="29" t="n">
        <f aca="false">IF(AND(ISNUMBER(W162),ISNUMBER(R162)),IFERROR(W162/R162-1,""),"")</f>
        <v>-0.158107344149213</v>
      </c>
      <c r="X174" s="29" t="n">
        <f aca="false">IF(AND(ISNUMBER(X162),ISNUMBER(S162)),IFERROR(X162/S162-1,""),"")</f>
        <v>0.0578507900819829</v>
      </c>
      <c r="Y174" s="29" t="n">
        <f aca="false">IF(AND(ISNUMBER(Y162),ISNUMBER(T162)),IFERROR(Y162/T162-1,""),"")</f>
        <v>-0.158805160253786</v>
      </c>
      <c r="Z174" s="29" t="n">
        <f aca="false">IF(AND(ISNUMBER(Z162),ISNUMBER(U162)),IFERROR(Z162/U162-1,""),"")</f>
        <v>-0.310875242059493</v>
      </c>
      <c r="AA174" s="29" t="n">
        <f aca="false">IF(AND(ISNUMBER(AA162),ISNUMBER(V162)),IFERROR(AA162/V162-1,""),"")</f>
        <v>0.169270416958662</v>
      </c>
      <c r="AB174" s="29" t="n">
        <f aca="false">IF(AND(ISNUMBER(AB162),ISNUMBER(W162)),IFERROR(AB162/W162-1,""),"")</f>
        <v>-0.101783456818405</v>
      </c>
      <c r="AC174" s="29" t="n">
        <f aca="false">IF(AND(ISNUMBER(AC162),ISNUMBER(X162)),IFERROR(AC162/X162-1,""),"")</f>
        <v>-0.134194589441439</v>
      </c>
      <c r="AD174" s="29" t="n">
        <f aca="false">IF(AND(ISNUMBER(AD162),ISNUMBER(Y162)),IFERROR(AD162/Y162-1,""),"")</f>
        <v>0.0549763588829257</v>
      </c>
      <c r="AE174" s="29" t="n">
        <f aca="false">IF(AND(ISNUMBER(AE162),ISNUMBER(Z162)),IFERROR(AE162/Z162-1,""),"")</f>
        <v>0.30475894248878</v>
      </c>
      <c r="AF174" s="29" t="n">
        <f aca="false">IF(AND(ISNUMBER(AF162),ISNUMBER(AA162)),IFERROR(AF162/AA162-1,""),"")</f>
        <v>0.023865797875458</v>
      </c>
      <c r="AG174" s="29" t="n">
        <f aca="false">IF(AND(ISNUMBER(AG162),ISNUMBER(AB162)),IFERROR(AG162/AB162-1,""),"")</f>
        <v>0.320381540667267</v>
      </c>
      <c r="AH174" s="29" t="n">
        <f aca="false">IF(AND(ISNUMBER(AH162),ISNUMBER(AC162)),IFERROR(AH162/AC162-1,""),"")</f>
        <v>0.171016500490078</v>
      </c>
      <c r="AI174" s="29" t="n">
        <f aca="false">IF(AND(ISNUMBER(AI162),ISNUMBER(AD162)),IFERROR(AI162/AD162-1,""),"")</f>
        <v>0.831421195255341</v>
      </c>
      <c r="AJ174" s="29" t="n">
        <f aca="false">IF(AND(ISNUMBER(AJ162),ISNUMBER(AE162)),IFERROR(AJ162/AE162-1,""),"")</f>
        <v>0.697111321260353</v>
      </c>
      <c r="AK174" s="29" t="n">
        <f aca="false">IF(AND(ISNUMBER(AK162),ISNUMBER(AF162)),IFERROR(AK162/AF162-1,""),"")</f>
        <v>0.939138236069177</v>
      </c>
      <c r="AL174" s="29" t="n">
        <f aca="false">IF(AND(ISNUMBER(AL162),ISNUMBER(AG162)),IFERROR(AL162/AG162-1,""),"")</f>
        <v>0.821706010516534</v>
      </c>
      <c r="AM174" s="29" t="n">
        <f aca="false">IF(AND(ISNUMBER(AM162),ISNUMBER(AH162)),IFERROR(AM162/AH162-1,""),"")</f>
        <v>0.823380368206301</v>
      </c>
      <c r="AN174" s="29" t="n">
        <f aca="false">IF(AND(ISNUMBER(AN162),ISNUMBER(AI162)),IFERROR(AN162/AI162-1,""),"")</f>
        <v>0.0531200476214251</v>
      </c>
      <c r="AO174" s="29" t="n">
        <f aca="false">IF(AND(ISNUMBER(AO162),ISNUMBER(AJ162)),IFERROR(AO162/AJ162-1,""),"")</f>
        <v>0.22188811520463</v>
      </c>
      <c r="AP174" s="29" t="n">
        <f aca="false">IF(AND(ISNUMBER(AP162),ISNUMBER(AK162)),IFERROR(AP162/AK162-1,""),"")</f>
        <v>0.164601122433566</v>
      </c>
      <c r="AQ174" s="29" t="n">
        <f aca="false">IF(AND(ISNUMBER(AQ162),ISNUMBER(AL162)),IFERROR(AQ162/AL162-1,""),"")</f>
        <v>-0.162724190612004</v>
      </c>
      <c r="AR174" s="29" t="n">
        <f aca="false">IF(AND(ISNUMBER(AR162),ISNUMBER(AM162)),IFERROR(AR162/AM162-1,""),"")</f>
        <v>0.0773333822768321</v>
      </c>
      <c r="AS174" s="29" t="n">
        <f aca="false">IF(AND(ISNUMBER(AS162),ISNUMBER(AN162)),IFERROR(AS162/AN162-1,""),"")</f>
        <v>0.254800791855412</v>
      </c>
      <c r="AT174" s="29" t="n">
        <f aca="false">IF(AND(ISNUMBER(AT162),ISNUMBER(AO162)),IFERROR(AT162/AO162-1,""),"")</f>
        <v>-0.237195922023519</v>
      </c>
      <c r="AU174" s="29" t="n">
        <f aca="false">IF(AND(ISNUMBER(AU162),ISNUMBER(AP162)),IFERROR(AU162/AP162-1,""),"")</f>
        <v>0.25264152674842</v>
      </c>
      <c r="AV174" s="29" t="n">
        <f aca="false">IF(AND(ISNUMBER(AV162),ISNUMBER(AQ162)),IFERROR(AV162/AQ162-1,""),"")</f>
        <v>0.867594580945368</v>
      </c>
      <c r="AW174" s="29" t="n">
        <f aca="false">IF(AND(ISNUMBER(AW162),ISNUMBER(AR162)),IFERROR(AW162/AR162-1,""),"")</f>
        <v>0.209325058360281</v>
      </c>
      <c r="AX174" s="29" t="n">
        <f aca="false">IF(AND(ISNUMBER(AX162),ISNUMBER(AS162)),IFERROR(AX162/AS162-1,""),"")</f>
        <v>0.317659451183334</v>
      </c>
      <c r="AY174" s="29" t="n">
        <f aca="false">IF(AND(ISNUMBER(AY162),ISNUMBER(AT162)),IFERROR(AY162/AT162-1,""),"")</f>
        <v>1.18451421734882</v>
      </c>
      <c r="AZ174" s="29" t="n">
        <f aca="false">IF(AND(ISNUMBER(AZ162),ISNUMBER(AU162)),IFERROR(AZ162/AU162-1,""),"")</f>
        <v>0.832483248573538</v>
      </c>
      <c r="BA174" s="29" t="n">
        <f aca="false">IF(AND(ISNUMBER(BA162),ISNUMBER(AV162)),IFERROR(BA162/AV162-1,""),"")</f>
        <v>0.82765471869631</v>
      </c>
      <c r="BB174" s="29" t="n">
        <f aca="false">IF(AND(ISNUMBER(BB162),ISNUMBER(AW162)),IFERROR(BB162/AW162-1,""),"")</f>
        <v>0.799273064517245</v>
      </c>
      <c r="BC174" s="29" t="n">
        <f aca="false">IF(AND(ISNUMBER(BC162),ISNUMBER(AX162)),IFERROR(BC162/AX162-1,""),"")</f>
        <v>1.12992352116453</v>
      </c>
      <c r="BD174" s="29" t="n">
        <f aca="false">IF(AND(ISNUMBER(BD162),ISNUMBER(AY162)),IFERROR(BD162/AY162-1,""),"")</f>
        <v>0.751204994058325</v>
      </c>
      <c r="BE174" s="29" t="n">
        <f aca="false">IF(AND(ISNUMBER(BE162),ISNUMBER(AZ162)),IFERROR(BE162/AZ162-1,""),"")</f>
        <v>0.283076279920721</v>
      </c>
      <c r="BF174" s="29" t="n">
        <f aca="false">IF(AND(ISNUMBER(BF162),ISNUMBER(BA162)),IFERROR(BF162/BA162-1,""),"")</f>
        <v>-0.0377549002417681</v>
      </c>
      <c r="BG174" s="29" t="n">
        <f aca="false">IF(AND(ISNUMBER(BG162),ISNUMBER(BB162)),IFERROR(BG162/BB162-1,""),"")</f>
        <v>0.431526150837322</v>
      </c>
      <c r="BH174" s="29" t="n">
        <f aca="false">IF(AND(ISNUMBER(BH162),ISNUMBER(BC162)),IFERROR(BH162/BC162-1,""),"")</f>
        <v>-0.0430373132286872</v>
      </c>
      <c r="BI174" s="29" t="n">
        <f aca="false">IF(AND(ISNUMBER(BI162),ISNUMBER(BD162)),IFERROR(BI162/BD162-1,""),"")</f>
        <v>-0.166309728784524</v>
      </c>
      <c r="BJ174" s="29" t="n">
        <f aca="false">IF(AND(ISNUMBER(BJ162),ISNUMBER(BE162)),IFERROR(BJ162/BE162-1,""),"")</f>
        <v>-0.000569576504558467</v>
      </c>
      <c r="BK174" s="29" t="n">
        <f aca="false">IF(AND(ISNUMBER(BK162),ISNUMBER(BF162)),IFERROR(BK162/BF162-1,""),"")</f>
        <v>0.254760814751997</v>
      </c>
      <c r="BL174" s="29" t="n">
        <f aca="false">IF(AND(ISNUMBER(BL162),ISNUMBER(BG162)),IFERROR(BL162/BG162-1,""),"")</f>
        <v>-0.0104780126197613</v>
      </c>
      <c r="BM174" s="29" t="n">
        <f aca="false">IF(AND(ISNUMBER(BM162),ISNUMBER(BH162)),IFERROR(BM162/BH162-1,""),"")</f>
        <v>0.187741819472466</v>
      </c>
      <c r="BN174" s="29" t="n">
        <f aca="false">IF(AND(ISNUMBER(BN162),ISNUMBER(BI162)),IFERROR(BN162/BI162-1,""),"")</f>
        <v>0.119882463404346</v>
      </c>
      <c r="BO174" s="29" t="n">
        <f aca="false">IF(AND(ISNUMBER(BO162),ISNUMBER(BJ162)),IFERROR(BO162/BJ162-1,""),"")</f>
        <v>-0.0559968809941117</v>
      </c>
      <c r="BP174" s="29" t="n">
        <f aca="false">IF(AND(ISNUMBER(BP162),ISNUMBER(BK162)),IFERROR(BP162/BK162-1,""),"")</f>
        <v>-0.147922187846983</v>
      </c>
      <c r="BQ174" s="29" t="n">
        <f aca="false">IF(AND(ISNUMBER(BQ162),ISNUMBER(BL162)),IFERROR(BQ162/BL162-1,""),"")</f>
        <v>0.0188277353484936</v>
      </c>
      <c r="BR174" s="29" t="n">
        <f aca="false">IF(AND(ISNUMBER(BR162),ISNUMBER(BM162)),IFERROR(BR162/BM162-1,""),"")</f>
        <v>-0.450673614995536</v>
      </c>
      <c r="BS174" s="29" t="n">
        <f aca="false">IF(AND(ISNUMBER(BS162),ISNUMBER(BN162)),IFERROR(BS162/BN162-1,""),"")</f>
        <v>-0.303189548315092</v>
      </c>
      <c r="BT174" s="29" t="n">
        <f aca="false">IF(AND(ISNUMBER(BT162),ISNUMBER(BO162)),IFERROR(BT162/BO162-1,""),"")</f>
        <v>-0.188327229233243</v>
      </c>
      <c r="BU174" s="29" t="n">
        <f aca="false">IF(AND(ISNUMBER(BU162),ISNUMBER(BP162)),IFERROR(BU162/BP162-1,""),"")</f>
        <v>-0.375223383492723</v>
      </c>
      <c r="BV174" s="29" t="n">
        <f aca="false">IF(AND(ISNUMBER(BV162),ISNUMBER(BQ162)),IFERROR(BV162/BQ162-1,""),"")</f>
        <v>-0.325621679193612</v>
      </c>
      <c r="BW174" s="29" t="n">
        <f aca="false">IF(AND(ISNUMBER(BW162),ISNUMBER(BR162)),IFERROR(BW162/BR162-1,""),"")</f>
        <v>0.000474891467866501</v>
      </c>
      <c r="BX174" s="29" t="n">
        <f aca="false">IF(AND(ISNUMBER(BX162),ISNUMBER(BS162)),IFERROR(BX162/BS162-1,""),"")</f>
        <v>0.317972626015852</v>
      </c>
      <c r="BY174" s="30" t="n">
        <f aca="false">IF(AND(ISNUMBER(BY162),ISNUMBER(BT162)),IFERROR(BY162/BT162-1,""),"")</f>
        <v>0.202568723075113</v>
      </c>
      <c r="BZ174" s="30" t="n">
        <f aca="false">IF(AND(ISNUMBER(BZ162),ISNUMBER(BU162)),IFERROR(BZ162/BU162-1,""),"")</f>
        <v>0.810105559637868</v>
      </c>
      <c r="CA174" s="30" t="n">
        <f aca="false">IF(AND(ISNUMBER(CA162),ISNUMBER(BV162)),IFERROR(CA162/BV162-1,""),"")</f>
        <v>0.313237386432039</v>
      </c>
      <c r="CB174" s="30" t="n">
        <f aca="false">IF(AND(ISNUMBER(CB162),ISNUMBER(CA162)),IFERROR(CB162/CA162-1,""),"")</f>
        <v>0.266508794856303</v>
      </c>
      <c r="CC174" s="30" t="n">
        <f aca="false">IF(AND(ISNUMBER(CC162),ISNUMBER(CB162)),IFERROR(CC162/CB162-1,""),"")</f>
        <v>0.100684386257001</v>
      </c>
      <c r="CD174" s="30" t="n">
        <f aca="false">IF(AND(ISNUMBER(CD162),ISNUMBER(CC162)),IFERROR(CD162/CC162-1,""),"")</f>
        <v>0.116095764781646</v>
      </c>
      <c r="CE174" s="30" t="n">
        <f aca="false">IF(AND(ISNUMBER(CE162),ISNUMBER(CD162)),IFERROR(CE162/CD162-1,""),"")</f>
        <v>0.17028010026524</v>
      </c>
      <c r="CF174" s="21"/>
    </row>
    <row r="175" customFormat="false" ht="15" hidden="false" customHeight="true" outlineLevel="0" collapsed="false">
      <c r="B175" s="22" t="s">
        <v>248</v>
      </c>
      <c r="C175" s="59" t="n">
        <f aca="false">C94</f>
        <v>0.942846886724939</v>
      </c>
      <c r="D175" s="59" t="n">
        <f aca="false">D94</f>
        <v>0.960898370389797</v>
      </c>
      <c r="E175" s="59" t="n">
        <f aca="false">E94</f>
        <v>1.00956017006641</v>
      </c>
      <c r="F175" s="59" t="n">
        <f aca="false">F94</f>
        <v>1.00434910103269</v>
      </c>
      <c r="G175" s="59" t="n">
        <f aca="false">G94</f>
        <v>0.986595174262735</v>
      </c>
      <c r="H175" s="59" t="n">
        <f aca="false">H94</f>
        <v>0.972679727903835</v>
      </c>
      <c r="I175" s="59" t="n">
        <f aca="false">I94</f>
        <v>0.94654125545314</v>
      </c>
      <c r="J175" s="59" t="n">
        <f aca="false">J94</f>
        <v>0.946923793349038</v>
      </c>
      <c r="K175" s="59" t="n">
        <f aca="false">K94</f>
        <v>0.920497544068336</v>
      </c>
      <c r="L175" s="59" t="n">
        <f aca="false">L94</f>
        <v>0.925158741261127</v>
      </c>
      <c r="M175" s="59" t="n">
        <f aca="false">M94</f>
        <v>0.947463839373514</v>
      </c>
      <c r="N175" s="59" t="n">
        <f aca="false">N94</f>
        <v>0.934669131783681</v>
      </c>
      <c r="O175" s="59" t="n">
        <f aca="false">O94</f>
        <v>0.949184265839256</v>
      </c>
      <c r="P175" s="59" t="n">
        <f aca="false">P94</f>
        <v>0.931171099186136</v>
      </c>
      <c r="Q175" s="59" t="n">
        <f aca="false">Q94</f>
        <v>0.918359675712086</v>
      </c>
      <c r="R175" s="59" t="n">
        <f aca="false">R94</f>
        <v>0.933563271844158</v>
      </c>
      <c r="S175" s="59" t="n">
        <f aca="false">S94</f>
        <v>0.932648286085037</v>
      </c>
      <c r="T175" s="59" t="n">
        <f aca="false">T94</f>
        <v>0.927537864051164</v>
      </c>
      <c r="U175" s="59" t="n">
        <f aca="false">U94</f>
        <v>0.903298503771485</v>
      </c>
      <c r="V175" s="59" t="n">
        <f aca="false">V94</f>
        <v>0.937436751061636</v>
      </c>
      <c r="W175" s="59" t="n">
        <f aca="false">W94</f>
        <v>0.938750391154689</v>
      </c>
      <c r="X175" s="59" t="n">
        <f aca="false">X94</f>
        <v>0.926329165953635</v>
      </c>
      <c r="Y175" s="59" t="n">
        <f aca="false">Y94</f>
        <v>0.939346903015063</v>
      </c>
      <c r="Z175" s="59" t="n">
        <f aca="false">Z94</f>
        <v>0.930360205831904</v>
      </c>
      <c r="AA175" s="59" t="n">
        <f aca="false">AA94</f>
        <v>0.928441862963829</v>
      </c>
      <c r="AB175" s="59" t="n">
        <f aca="false">AB94</f>
        <v>0.942752553934909</v>
      </c>
      <c r="AC175" s="59" t="n">
        <f aca="false">AC94</f>
        <v>0.935053562591456</v>
      </c>
      <c r="AD175" s="59" t="n">
        <f aca="false">AD94</f>
        <v>0.944741465507181</v>
      </c>
      <c r="AE175" s="59" t="n">
        <f aca="false">AE94</f>
        <v>0.917025910207728</v>
      </c>
      <c r="AF175" s="59" t="n">
        <f aca="false">AF94</f>
        <v>0.929721020847736</v>
      </c>
      <c r="AG175" s="59" t="n">
        <f aca="false">AG94</f>
        <v>0.935179235161401</v>
      </c>
      <c r="AH175" s="59" t="n">
        <f aca="false">AH94</f>
        <v>0.931275797781663</v>
      </c>
      <c r="AI175" s="59" t="n">
        <f aca="false">AI94</f>
        <v>0.929789590254706</v>
      </c>
      <c r="AJ175" s="59" t="n">
        <f aca="false">AJ94</f>
        <v>0.903051323437485</v>
      </c>
      <c r="AK175" s="59" t="n">
        <f aca="false">AK94</f>
        <v>0.909068478858545</v>
      </c>
      <c r="AL175" s="59" t="n">
        <f aca="false">AL94</f>
        <v>0.918043023970498</v>
      </c>
      <c r="AM175" s="59" t="n">
        <f aca="false">AM94</f>
        <v>0.914637309693932</v>
      </c>
      <c r="AN175" s="59" t="n">
        <f aca="false">AN94</f>
        <v>0.930267618806383</v>
      </c>
      <c r="AO175" s="59" t="n">
        <f aca="false">AO94</f>
        <v>0.889774771378408</v>
      </c>
      <c r="AP175" s="59" t="n">
        <f aca="false">AP94</f>
        <v>0.903263231753222</v>
      </c>
      <c r="AQ175" s="59" t="n">
        <f aca="false">AQ94</f>
        <v>0.938090347917349</v>
      </c>
      <c r="AR175" s="59" t="n">
        <f aca="false">AR94</f>
        <v>0.914600654266022</v>
      </c>
      <c r="AS175" s="59" t="n">
        <f aca="false">AS94</f>
        <v>0.913135422360415</v>
      </c>
      <c r="AT175" s="59" t="n">
        <f aca="false">AT94</f>
        <v>0.914662029972687</v>
      </c>
      <c r="AU175" s="59" t="n">
        <f aca="false">AU94</f>
        <v>0.885295009701396</v>
      </c>
      <c r="AV175" s="59" t="n">
        <f aca="false">AV94</f>
        <v>0.893704274243308</v>
      </c>
      <c r="AW175" s="59" t="n">
        <f aca="false">AW94</f>
        <v>0.901051160963275</v>
      </c>
      <c r="AX175" s="59" t="n">
        <f aca="false">AX94</f>
        <v>0.89936662576383</v>
      </c>
      <c r="AY175" s="59" t="n">
        <f aca="false">AY94</f>
        <v>0.85485697482904</v>
      </c>
      <c r="AZ175" s="59" t="n">
        <f aca="false">AZ94</f>
        <v>0.827792527295624</v>
      </c>
      <c r="BA175" s="59" t="n">
        <f aca="false">BA94</f>
        <v>0.842184413391435</v>
      </c>
      <c r="BB175" s="59" t="n">
        <f aca="false">BB94</f>
        <v>0.853567346410895</v>
      </c>
      <c r="BC175" s="59" t="n">
        <f aca="false">BC94</f>
        <v>0.843547343076998</v>
      </c>
      <c r="BD175" s="59" t="n">
        <f aca="false">BD94</f>
        <v>0.804181856713263</v>
      </c>
      <c r="BE175" s="59" t="n">
        <f aca="false">BE94</f>
        <v>0.824065431129131</v>
      </c>
      <c r="BF175" s="59" t="n">
        <f aca="false">BF94</f>
        <v>0.858643701790077</v>
      </c>
      <c r="BG175" s="59" t="n">
        <f aca="false">BG94</f>
        <v>0.831490546217359</v>
      </c>
      <c r="BH175" s="59" t="n">
        <f aca="false">BH94</f>
        <v>0.849905001248988</v>
      </c>
      <c r="BI175" s="59" t="n">
        <f aca="false">BI94</f>
        <v>0.826877064072258</v>
      </c>
      <c r="BJ175" s="59" t="n">
        <f aca="false">BJ94</f>
        <v>0.834308205959151</v>
      </c>
      <c r="BK175" s="59" t="n">
        <f aca="false">BK94</f>
        <v>0.850009053002668</v>
      </c>
      <c r="BL175" s="59" t="n">
        <f aca="false">BL94</f>
        <v>0.840185074579211</v>
      </c>
      <c r="BM175" s="59" t="n">
        <f aca="false">BM94</f>
        <v>0.843778609519393</v>
      </c>
      <c r="BN175" s="59" t="n">
        <f aca="false">BN94</f>
        <v>0.832864861450554</v>
      </c>
      <c r="BO175" s="59" t="n">
        <f aca="false">BO94</f>
        <v>0.851359038027415</v>
      </c>
      <c r="BP175" s="59" t="n">
        <f aca="false">BP94</f>
        <v>0.871368600371125</v>
      </c>
      <c r="BQ175" s="59" t="n">
        <f aca="false">BQ94</f>
        <v>0.849751049679752</v>
      </c>
      <c r="BR175" s="59" t="n">
        <f aca="false">BR94</f>
        <v>0.910906262895597</v>
      </c>
      <c r="BS175" s="59" t="n">
        <f aca="false">BS94</f>
        <v>0.878353720100598</v>
      </c>
      <c r="BT175" s="59" t="n">
        <f aca="false">BT94</f>
        <v>0.858737750761037</v>
      </c>
      <c r="BU175" s="59" t="n">
        <f aca="false">BU94</f>
        <v>0.918953303491858</v>
      </c>
      <c r="BV175" s="59" t="n">
        <f aca="false">BV94</f>
        <v>0.891104249902451</v>
      </c>
      <c r="BW175" s="59" t="n">
        <f aca="false">BW94</f>
        <v>0.917137378352968</v>
      </c>
      <c r="BX175" s="59" t="n">
        <f aca="false">BX94</f>
        <v>0.869092749144271</v>
      </c>
      <c r="BY175" s="52" t="n">
        <f aca="false">BY94</f>
        <v>0.879092749144271</v>
      </c>
      <c r="BZ175" s="52" t="n">
        <f aca="false">BZ94</f>
        <v>0.883879044046212</v>
      </c>
      <c r="CA175" s="30" t="n">
        <f aca="false">CA94</f>
        <v>0.886</v>
      </c>
      <c r="CB175" s="30" t="n">
        <f aca="false">CB94</f>
        <v>0.86967657594501</v>
      </c>
      <c r="CC175" s="30" t="n">
        <f aca="false">CC94</f>
        <v>0.868482450391607</v>
      </c>
      <c r="CD175" s="30" t="n">
        <f aca="false">CD94</f>
        <v>0.866416311919122</v>
      </c>
      <c r="CE175" s="30" t="n">
        <f aca="false">CE94</f>
        <v>0.859144358513284</v>
      </c>
      <c r="CF175" s="21"/>
    </row>
    <row r="176" customFormat="false" ht="15" hidden="false" customHeight="true" outlineLevel="0" collapsed="false">
      <c r="B176" s="22" t="s">
        <v>291</v>
      </c>
      <c r="C176" s="59" t="n">
        <f aca="false">C131</f>
        <v>0.938186062569592</v>
      </c>
      <c r="D176" s="59" t="n">
        <f aca="false">D131</f>
        <v>0.958412003405309</v>
      </c>
      <c r="E176" s="59" t="n">
        <f aca="false">E131</f>
        <v>0.975097557212052</v>
      </c>
      <c r="F176" s="59" t="n">
        <f aca="false">F131</f>
        <v>1.01883432786781</v>
      </c>
      <c r="G176" s="59" t="n">
        <f aca="false">G131</f>
        <v>0.986595174262735</v>
      </c>
      <c r="H176" s="59" t="n">
        <f aca="false">H131</f>
        <v>0.972679727903835</v>
      </c>
      <c r="I176" s="59" t="n">
        <f aca="false">I131</f>
        <v>0.94654125545314</v>
      </c>
      <c r="J176" s="59" t="n">
        <f aca="false">J131</f>
        <v>0.946923793349038</v>
      </c>
      <c r="K176" s="59" t="n">
        <f aca="false">K131</f>
        <v>0.920497544068336</v>
      </c>
      <c r="L176" s="59" t="n">
        <f aca="false">L131</f>
        <v>0.925158741261127</v>
      </c>
      <c r="M176" s="59" t="n">
        <f aca="false">M131</f>
        <v>0.947463839373514</v>
      </c>
      <c r="N176" s="59" t="n">
        <f aca="false">N131</f>
        <v>0.934669131783681</v>
      </c>
      <c r="O176" s="59" t="n">
        <f aca="false">O131</f>
        <v>0.949184265839256</v>
      </c>
      <c r="P176" s="59" t="n">
        <f aca="false">P131</f>
        <v>0.931171099186136</v>
      </c>
      <c r="Q176" s="59" t="n">
        <f aca="false">Q131</f>
        <v>0.918359675712086</v>
      </c>
      <c r="R176" s="59" t="n">
        <f aca="false">R131</f>
        <v>0.933563271844158</v>
      </c>
      <c r="S176" s="59" t="n">
        <f aca="false">S131</f>
        <v>0.932648286085037</v>
      </c>
      <c r="T176" s="59" t="n">
        <f aca="false">T131</f>
        <v>0.927537864051164</v>
      </c>
      <c r="U176" s="59" t="n">
        <f aca="false">U131</f>
        <v>0.903298503771485</v>
      </c>
      <c r="V176" s="59" t="n">
        <f aca="false">V131</f>
        <v>0.937436751061636</v>
      </c>
      <c r="W176" s="59" t="n">
        <f aca="false">W131</f>
        <v>0.938750391154689</v>
      </c>
      <c r="X176" s="59" t="n">
        <f aca="false">X131</f>
        <v>0.926329165953635</v>
      </c>
      <c r="Y176" s="59" t="n">
        <f aca="false">Y131</f>
        <v>0.939346903015063</v>
      </c>
      <c r="Z176" s="59" t="n">
        <f aca="false">Z131</f>
        <v>0.930360205831904</v>
      </c>
      <c r="AA176" s="59" t="n">
        <f aca="false">AA131</f>
        <v>0.928441862963829</v>
      </c>
      <c r="AB176" s="59" t="n">
        <f aca="false">AB131</f>
        <v>0.942752553934909</v>
      </c>
      <c r="AC176" s="59" t="n">
        <f aca="false">AC131</f>
        <v>0.935053562591456</v>
      </c>
      <c r="AD176" s="59" t="n">
        <f aca="false">AD131</f>
        <v>0.944741465507181</v>
      </c>
      <c r="AE176" s="59" t="n">
        <f aca="false">AE131</f>
        <v>0.917025910207728</v>
      </c>
      <c r="AF176" s="59" t="n">
        <f aca="false">AF131</f>
        <v>0.929721020847736</v>
      </c>
      <c r="AG176" s="59" t="n">
        <f aca="false">AG131</f>
        <v>0.935179235161401</v>
      </c>
      <c r="AH176" s="59" t="n">
        <f aca="false">AH131</f>
        <v>0.931275797781663</v>
      </c>
      <c r="AI176" s="59" t="n">
        <f aca="false">AI131</f>
        <v>0.929789590254706</v>
      </c>
      <c r="AJ176" s="59" t="n">
        <f aca="false">AJ131</f>
        <v>0.903051323437485</v>
      </c>
      <c r="AK176" s="59" t="n">
        <f aca="false">AK131</f>
        <v>0.909068478858545</v>
      </c>
      <c r="AL176" s="59" t="n">
        <f aca="false">AL131</f>
        <v>0.918043023970498</v>
      </c>
      <c r="AM176" s="59" t="n">
        <f aca="false">AM131</f>
        <v>0.914637309693932</v>
      </c>
      <c r="AN176" s="59" t="n">
        <f aca="false">AN131</f>
        <v>0.930267618806383</v>
      </c>
      <c r="AO176" s="59" t="n">
        <f aca="false">AO131</f>
        <v>0.889774771378408</v>
      </c>
      <c r="AP176" s="59" t="n">
        <f aca="false">AP131</f>
        <v>0.903263231753222</v>
      </c>
      <c r="AQ176" s="59" t="n">
        <f aca="false">AQ131</f>
        <v>0.938090347917349</v>
      </c>
      <c r="AR176" s="59" t="n">
        <f aca="false">AR131</f>
        <v>0.914600654266022</v>
      </c>
      <c r="AS176" s="59" t="n">
        <f aca="false">AS131</f>
        <v>0.913135422360415</v>
      </c>
      <c r="AT176" s="59" t="n">
        <f aca="false">AT131</f>
        <v>0.914662029972687</v>
      </c>
      <c r="AU176" s="59" t="n">
        <f aca="false">AU131</f>
        <v>0.885295009701396</v>
      </c>
      <c r="AV176" s="59" t="n">
        <f aca="false">AV131</f>
        <v>0.893704274243308</v>
      </c>
      <c r="AW176" s="59" t="n">
        <f aca="false">AW131</f>
        <v>0.901051160963275</v>
      </c>
      <c r="AX176" s="59" t="n">
        <f aca="false">AX131</f>
        <v>0.89936662576383</v>
      </c>
      <c r="AY176" s="59" t="n">
        <f aca="false">AY131</f>
        <v>0.85485697482904</v>
      </c>
      <c r="AZ176" s="59" t="n">
        <f aca="false">AZ131</f>
        <v>0.834717047269139</v>
      </c>
      <c r="BA176" s="59" t="n">
        <f aca="false">BA131</f>
        <v>0.842184413391435</v>
      </c>
      <c r="BB176" s="59" t="n">
        <f aca="false">BB131</f>
        <v>0.855431720309835</v>
      </c>
      <c r="BC176" s="59" t="n">
        <f aca="false">BC131</f>
        <v>0.843547343076998</v>
      </c>
      <c r="BD176" s="59" t="n">
        <f aca="false">BD131</f>
        <v>0.804181856713263</v>
      </c>
      <c r="BE176" s="59" t="n">
        <f aca="false">BE131</f>
        <v>0.824065431129131</v>
      </c>
      <c r="BF176" s="59" t="n">
        <f aca="false">BF131</f>
        <v>0.858643701790077</v>
      </c>
      <c r="BG176" s="59" t="n">
        <f aca="false">BG131</f>
        <v>0.831490546217359</v>
      </c>
      <c r="BH176" s="59" t="n">
        <f aca="false">BH131</f>
        <v>0.849905001248988</v>
      </c>
      <c r="BI176" s="59" t="n">
        <f aca="false">BI131</f>
        <v>0.826877064072258</v>
      </c>
      <c r="BJ176" s="59" t="n">
        <f aca="false">BJ131</f>
        <v>0.834308205959151</v>
      </c>
      <c r="BK176" s="59" t="n">
        <f aca="false">BK131</f>
        <v>0.850009053002668</v>
      </c>
      <c r="BL176" s="59" t="n">
        <f aca="false">BL131</f>
        <v>0.840185074579211</v>
      </c>
      <c r="BM176" s="59" t="n">
        <f aca="false">BM131</f>
        <v>0.843778609519393</v>
      </c>
      <c r="BN176" s="59" t="n">
        <f aca="false">BN131</f>
        <v>0.832864861450554</v>
      </c>
      <c r="BO176" s="59" t="n">
        <f aca="false">BO131</f>
        <v>0.851359038027415</v>
      </c>
      <c r="BP176" s="59" t="n">
        <f aca="false">BP131</f>
        <v>0.871368600371125</v>
      </c>
      <c r="BQ176" s="59" t="n">
        <f aca="false">BQ131</f>
        <v>0.849751049679752</v>
      </c>
      <c r="BR176" s="59" t="n">
        <f aca="false">BR131</f>
        <v>0.910906262895597</v>
      </c>
      <c r="BS176" s="59" t="n">
        <f aca="false">BS131</f>
        <v>0.878353720100598</v>
      </c>
      <c r="BT176" s="59" t="n">
        <f aca="false">BT131</f>
        <v>0.876010547327201</v>
      </c>
      <c r="BU176" s="59" t="n">
        <f aca="false">BU131</f>
        <v>0.918953303491858</v>
      </c>
      <c r="BV176" s="59" t="n">
        <f aca="false">BV131</f>
        <v>0.895588392615866</v>
      </c>
      <c r="BW176" s="59" t="n">
        <f aca="false">BW131</f>
        <v>0.917137378352968</v>
      </c>
      <c r="BX176" s="59" t="n">
        <f aca="false">BX131</f>
        <v>0.869092749144271</v>
      </c>
      <c r="BY176" s="52" t="n">
        <f aca="false">BY131</f>
        <v>0.879092749144271</v>
      </c>
      <c r="BZ176" s="52" t="n">
        <f aca="false">BZ131</f>
        <v>0.883879044046212</v>
      </c>
      <c r="CA176" s="30" t="n">
        <f aca="false">CA131</f>
        <v>0.886</v>
      </c>
      <c r="CB176" s="30" t="n">
        <f aca="false">CB131</f>
        <v>0.86967657594501</v>
      </c>
      <c r="CC176" s="30" t="n">
        <f aca="false">CC131</f>
        <v>0.868482450391608</v>
      </c>
      <c r="CD176" s="30" t="n">
        <f aca="false">CD131</f>
        <v>0.866416311919122</v>
      </c>
      <c r="CE176" s="30" t="n">
        <f aca="false">CE131</f>
        <v>0.859144358513284</v>
      </c>
      <c r="CF176" s="21"/>
    </row>
    <row r="177" customFormat="false" ht="15" hidden="false" customHeight="true" outlineLevel="0" collapsed="false">
      <c r="B177" s="22" t="s">
        <v>314</v>
      </c>
      <c r="C177" s="59" t="n">
        <f aca="false">C146</f>
        <v>0.100473513211956</v>
      </c>
      <c r="D177" s="59" t="n">
        <f aca="false">D146</f>
        <v>0.0815860296294626</v>
      </c>
      <c r="E177" s="59" t="n">
        <f aca="false">E146</f>
        <v>0.0641863859529262</v>
      </c>
      <c r="F177" s="59" t="n">
        <f aca="false">F146</f>
        <v>0.0277421535410492</v>
      </c>
      <c r="G177" s="59" t="n">
        <f aca="false">G146</f>
        <v>0.0539450069793721</v>
      </c>
      <c r="H177" s="59" t="n">
        <f aca="false">H146</f>
        <v>0.0635551103449347</v>
      </c>
      <c r="I177" s="59" t="n">
        <f aca="false">I146</f>
        <v>0.0973268807358657</v>
      </c>
      <c r="J177" s="59" t="n">
        <f aca="false">J146</f>
        <v>0.095808908124692</v>
      </c>
      <c r="K177" s="59" t="n">
        <f aca="false">K146</f>
        <v>0.121938630762552</v>
      </c>
      <c r="L177" s="59" t="n">
        <f aca="false">L146</f>
        <v>0.122028612664499</v>
      </c>
      <c r="M177" s="59" t="n">
        <f aca="false">M146</f>
        <v>0.102011406912088</v>
      </c>
      <c r="N177" s="59" t="n">
        <f aca="false">N146</f>
        <v>0.110788925233563</v>
      </c>
      <c r="O177" s="59" t="n">
        <f aca="false">O146</f>
        <v>0.097094051312848</v>
      </c>
      <c r="P177" s="59" t="n">
        <f aca="false">P146</f>
        <v>0.114597804472774</v>
      </c>
      <c r="Q177" s="59" t="n">
        <f aca="false">Q146</f>
        <v>0.127709415896844</v>
      </c>
      <c r="R177" s="59" t="n">
        <f aca="false">R146</f>
        <v>0.114258771249936</v>
      </c>
      <c r="S177" s="59" t="n">
        <f aca="false">S146</f>
        <v>0.113818761145969</v>
      </c>
      <c r="T177" s="59" t="n">
        <f aca="false">T146</f>
        <v>0.124506009787661</v>
      </c>
      <c r="U177" s="59" t="n">
        <f aca="false">U146</f>
        <v>0.147941140101397</v>
      </c>
      <c r="V177" s="59" t="n">
        <f aca="false">V146</f>
        <v>0.115271485723474</v>
      </c>
      <c r="W177" s="59" t="n">
        <f aca="false">W146</f>
        <v>0.11886582524947</v>
      </c>
      <c r="X177" s="59" t="n">
        <f aca="false">X146</f>
        <v>0.126986492384004</v>
      </c>
      <c r="Y177" s="59" t="n">
        <f aca="false">Y146</f>
        <v>0.120154116263267</v>
      </c>
      <c r="Z177" s="59" t="n">
        <f aca="false">Z146</f>
        <v>0.133043715233805</v>
      </c>
      <c r="AA177" s="59" t="n">
        <f aca="false">AA146</f>
        <v>0.134858836690452</v>
      </c>
      <c r="AB177" s="59" t="n">
        <f aca="false">AB146</f>
        <v>0.121732845251696</v>
      </c>
      <c r="AC177" s="59" t="n">
        <f aca="false">AC146</f>
        <v>0.12766140793332</v>
      </c>
      <c r="AD177" s="59" t="n">
        <f aca="false">AD146</f>
        <v>0.118307957746257</v>
      </c>
      <c r="AE177" s="59" t="n">
        <f aca="false">AE146</f>
        <v>0.14465601965602</v>
      </c>
      <c r="AF177" s="59" t="n">
        <f aca="false">AF146</f>
        <v>0.134464751958224</v>
      </c>
      <c r="AG177" s="59" t="n">
        <f aca="false">AG146</f>
        <v>0.128922494203838</v>
      </c>
      <c r="AH177" s="59" t="n">
        <f aca="false">AH146</f>
        <v>0.131976554395688</v>
      </c>
      <c r="AI177" s="59" t="n">
        <f aca="false">AI146</f>
        <v>0.12910222629549</v>
      </c>
      <c r="AJ177" s="59" t="n">
        <f aca="false">AJ146</f>
        <v>0.156153494490731</v>
      </c>
      <c r="AK177" s="59" t="n">
        <f aca="false">AK146</f>
        <v>0.15398461328784</v>
      </c>
      <c r="AL177" s="59" t="n">
        <f aca="false">AL146</f>
        <v>0.148036877688998</v>
      </c>
      <c r="AM177" s="59" t="n">
        <f aca="false">AM146</f>
        <v>0.147174258351276</v>
      </c>
      <c r="AN177" s="59" t="n">
        <f aca="false">AN146</f>
        <v>0.135774896245348</v>
      </c>
      <c r="AO177" s="59" t="n">
        <f aca="false">AO146</f>
        <v>0.173308631070994</v>
      </c>
      <c r="AP177" s="59" t="n">
        <f aca="false">AP146</f>
        <v>0.163603054867762</v>
      </c>
      <c r="AQ177" s="59" t="n">
        <f aca="false">AQ146</f>
        <v>0.134443027546748</v>
      </c>
      <c r="AR177" s="59" t="n">
        <f aca="false">AR146</f>
        <v>0.152498831667819</v>
      </c>
      <c r="AS177" s="59" t="n">
        <f aca="false">AS146</f>
        <v>0.158646134821997</v>
      </c>
      <c r="AT177" s="59" t="n">
        <f aca="false">AT146</f>
        <v>0.16764805770675</v>
      </c>
      <c r="AU177" s="59" t="n">
        <f aca="false">AU146</f>
        <v>0.186613734850657</v>
      </c>
      <c r="AV177" s="59" t="n">
        <f aca="false">AV146</f>
        <v>0.17915472147951</v>
      </c>
      <c r="AW177" s="59" t="n">
        <f aca="false">AW146</f>
        <v>0.17346131347929</v>
      </c>
      <c r="AX177" s="59" t="n">
        <f aca="false">AX146</f>
        <v>0.173975466560898</v>
      </c>
      <c r="AY177" s="59" t="n">
        <f aca="false">AY146</f>
        <v>0.206559047000611</v>
      </c>
      <c r="AZ177" s="59" t="n">
        <f aca="false">AZ146</f>
        <v>0.223262622197411</v>
      </c>
      <c r="BA177" s="59" t="n">
        <f aca="false">BA146</f>
        <v>0.21651776671134</v>
      </c>
      <c r="BB177" s="59" t="n">
        <f aca="false">BB146</f>
        <v>0.206849815441403</v>
      </c>
      <c r="BC177" s="59" t="n">
        <f aca="false">BC146</f>
        <v>0.216519261481876</v>
      </c>
      <c r="BD177" s="59" t="n">
        <f aca="false">BD146</f>
        <v>0.244339108904251</v>
      </c>
      <c r="BE177" s="59" t="n">
        <f aca="false">BE146</f>
        <v>0.23160366302475</v>
      </c>
      <c r="BF177" s="59" t="n">
        <f aca="false">BF146</f>
        <v>0.203681110707826</v>
      </c>
      <c r="BG177" s="59" t="n">
        <f aca="false">BG146</f>
        <v>0.224874348911931</v>
      </c>
      <c r="BH177" s="59" t="n">
        <f aca="false">BH146</f>
        <v>0.215985526883511</v>
      </c>
      <c r="BI177" s="59" t="n">
        <f aca="false">BI146</f>
        <v>0.238839253579645</v>
      </c>
      <c r="BJ177" s="59" t="n">
        <f aca="false">BJ146</f>
        <v>0.224340251617764</v>
      </c>
      <c r="BK177" s="59" t="n">
        <f aca="false">BK146</f>
        <v>0.21177902153017</v>
      </c>
      <c r="BL177" s="59" t="n">
        <f aca="false">BL146</f>
        <v>0.222597228531776</v>
      </c>
      <c r="BM177" s="59" t="n">
        <f aca="false">BM146</f>
        <v>0.221985359875459</v>
      </c>
      <c r="BN177" s="59" t="n">
        <f aca="false">BN146</f>
        <v>0.231346963962082</v>
      </c>
      <c r="BO177" s="59" t="n">
        <f aca="false">BO146</f>
        <v>0.214091387870605</v>
      </c>
      <c r="BP177" s="59" t="n">
        <f aca="false">BP146</f>
        <v>0.197354211663067</v>
      </c>
      <c r="BQ177" s="59" t="n">
        <f aca="false">BQ146</f>
        <v>0.216259893040796</v>
      </c>
      <c r="BR177" s="59" t="n">
        <f aca="false">BR146</f>
        <v>0.163608545217916</v>
      </c>
      <c r="BS177" s="59" t="n">
        <f aca="false">BS146</f>
        <v>0.19925959014337</v>
      </c>
      <c r="BT177" s="59" t="n">
        <f aca="false">BT146</f>
        <v>0.201035200632649</v>
      </c>
      <c r="BU177" s="59" t="n">
        <f aca="false">BU146</f>
        <v>0.161126245645305</v>
      </c>
      <c r="BV177" s="59" t="n">
        <f aca="false">BV146</f>
        <v>0.18172542564263</v>
      </c>
      <c r="BW177" s="59" t="n">
        <f aca="false">BW146</f>
        <v>0.160917658324093</v>
      </c>
      <c r="BX177" s="59" t="n">
        <f aca="false">BX146</f>
        <v>0.20009221176505</v>
      </c>
      <c r="BY177" s="52" t="n">
        <f aca="false">BY146</f>
        <v>0.187636170383425</v>
      </c>
      <c r="BZ177" s="52" t="n">
        <f aca="false">BZ146</f>
        <v>0.184254307866007</v>
      </c>
      <c r="CA177" s="30" t="n">
        <f aca="false">CA146</f>
        <v>0.184170998359722</v>
      </c>
      <c r="CB177" s="30" t="n">
        <f aca="false">CB146</f>
        <v>0.201618292318603</v>
      </c>
      <c r="CC177" s="30" t="n">
        <f aca="false">CC146</f>
        <v>0.202188336047411</v>
      </c>
      <c r="CD177" s="30" t="n">
        <f aca="false">CD146</f>
        <v>0.203151922530924</v>
      </c>
      <c r="CE177" s="30" t="n">
        <f aca="false">CE146</f>
        <v>0.209709830665976</v>
      </c>
      <c r="CF177" s="21"/>
    </row>
    <row r="178" customFormat="false" ht="15" hidden="false" customHeight="true" outlineLevel="0" collapsed="false">
      <c r="B178" s="22" t="s">
        <v>342</v>
      </c>
      <c r="C178" s="38"/>
      <c r="D178" s="59" t="n">
        <f aca="false">IF(AND(ISNUMBER(C130),ISNUMBER(C81)),IFERROR((D130-C130)/(D81-C81),""),"")</f>
        <v>-0.132919070868475</v>
      </c>
      <c r="E178" s="59" t="n">
        <f aca="false">IF(AND(ISNUMBER(D130),ISNUMBER(D81)),IFERROR((E130-D130)/(E81-D81),""),"")</f>
        <v>-0.275056171498025</v>
      </c>
      <c r="F178" s="59" t="n">
        <f aca="false">IF(AND(ISNUMBER(E130),ISNUMBER(E81)),IFERROR((F130-E130)/(F81-E81),""),"")</f>
        <v>0.229771624007061</v>
      </c>
      <c r="G178" s="59" t="n">
        <f aca="false">IF(AND(ISNUMBER(F130),ISNUMBER(F81)),IFERROR((G130-F130)/(G81-F81),""),"")</f>
        <v>0.524916384835292</v>
      </c>
      <c r="H178" s="59" t="n">
        <f aca="false">IF(AND(ISNUMBER(G130),ISNUMBER(G81)),IFERROR((H130-G130)/(H81-G81),""),"")</f>
        <v>0.125787839829419</v>
      </c>
      <c r="I178" s="59" t="n">
        <f aca="false">IF(AND(ISNUMBER(H130),ISNUMBER(H81)),IFERROR((I130-H130)/(I81-H81),""),"")</f>
        <v>0.446833686363306</v>
      </c>
      <c r="J178" s="38"/>
      <c r="K178" s="38"/>
      <c r="L178" s="38"/>
      <c r="M178" s="38"/>
      <c r="N178" s="59" t="n">
        <f aca="false">IF(AND(ISNUMBER(I130),ISNUMBER(I81)),IFERROR((N130-I130)/(N81-I81),""),"")</f>
        <v>0.388073734999375</v>
      </c>
      <c r="O178" s="59" t="n">
        <f aca="false">IF(AND(ISNUMBER(J130),ISNUMBER(J81)),IFERROR((O130-J130)/(O81-J81),""),"")</f>
        <v>0.0269519953730441</v>
      </c>
      <c r="P178" s="59" t="n">
        <f aca="false">IF(AND(ISNUMBER(K130),ISNUMBER(K81)),IFERROR((P130-K130)/(P81-K81),""),"")</f>
        <v>-0.0136884942656301</v>
      </c>
      <c r="Q178" s="59" t="n">
        <f aca="false">IF(AND(ISNUMBER(L130),ISNUMBER(L81)),IFERROR((Q130-L130)/(Q81-L81),""),"")</f>
        <v>0.132143852801784</v>
      </c>
      <c r="R178" s="59" t="n">
        <f aca="false">IF(AND(ISNUMBER(M130),ISNUMBER(M81)),IFERROR((R130-M130)/(R81-M81),""),"")</f>
        <v>0.196045744006936</v>
      </c>
      <c r="S178" s="59" t="n">
        <f aca="false">IF(AND(ISNUMBER(N130),ISNUMBER(N81)),IFERROR((S130-N130)/(S81-N81),""),"")</f>
        <v>0.0846299924189549</v>
      </c>
      <c r="T178" s="59" t="n">
        <f aca="false">IF(AND(ISNUMBER(O130),ISNUMBER(O81)),IFERROR((T130-O130)/(T81-O81),""),"")</f>
        <v>-0.894752534287416</v>
      </c>
      <c r="U178" s="59" t="n">
        <f aca="false">IF(AND(ISNUMBER(P130),ISNUMBER(P81)),IFERROR((U130-P130)/(U81-P81),""),"")</f>
        <v>-1.23428241075301</v>
      </c>
      <c r="V178" s="59" t="n">
        <f aca="false">IF(AND(ISNUMBER(Q130),ISNUMBER(Q81)),IFERROR((V130-Q130)/(V81-Q81),""),"")</f>
        <v>0.475985663082429</v>
      </c>
      <c r="W178" s="59" t="n">
        <f aca="false">IF(AND(ISNUMBER(R130),ISNUMBER(R81)),IFERROR((W130-R130)/(W81-R81),""),"")</f>
        <v>0.134131953897814</v>
      </c>
      <c r="X178" s="59" t="n">
        <f aca="false">IF(AND(ISNUMBER(S130),ISNUMBER(S81)),IFERROR((X130-S130)/(X81-S81),""),"")</f>
        <v>-0.0839443246422256</v>
      </c>
      <c r="Y178" s="59" t="n">
        <f aca="false">IF(AND(ISNUMBER(T130),ISNUMBER(T81)),IFERROR((Y130-T130)/(Y81-T81),""),"")</f>
        <v>1.17293474766955</v>
      </c>
      <c r="Z178" s="59" t="n">
        <f aca="false">IF(AND(ISNUMBER(U130),ISNUMBER(U81)),IFERROR((Z130-U130)/(Z81-U81),""),"")</f>
        <v>0.825917926565877</v>
      </c>
      <c r="AA178" s="59" t="n">
        <f aca="false">IF(AND(ISNUMBER(V130),ISNUMBER(V81)),IFERROR((AA130-V130)/(AA81-V81),""),"")</f>
        <v>-3.69749009247015</v>
      </c>
      <c r="AB178" s="59" t="n">
        <f aca="false">IF(AND(ISNUMBER(W130),ISNUMBER(W81)),IFERROR((AB130-W130)/(AB81-W81),""),"")</f>
        <v>-0.0340125267581136</v>
      </c>
      <c r="AC178" s="59" t="n">
        <f aca="false">IF(AND(ISNUMBER(X130),ISNUMBER(X81)),IFERROR((AC130-X130)/(AC81-X81),""),"")</f>
        <v>3.83003533568912</v>
      </c>
      <c r="AD178" s="59" t="n">
        <f aca="false">IF(AND(ISNUMBER(Y130),ISNUMBER(Y81)),IFERROR((AD130-Y130)/(AD81-Y81),""),"")</f>
        <v>-0.00239622502396217</v>
      </c>
      <c r="AE178" s="59" t="n">
        <f aca="false">IF(AND(ISNUMBER(Z130),ISNUMBER(Z81)),IFERROR((AE130-Z130)/(AE81-Z81),""),"")</f>
        <v>0.172889417360287</v>
      </c>
      <c r="AF178" s="59" t="n">
        <f aca="false">IF(AND(ISNUMBER(AA130),ISNUMBER(AA81)),IFERROR((AF130-AA130)/(AF81-AA81),""),"")</f>
        <v>0.0582391433670425</v>
      </c>
      <c r="AG178" s="59" t="n">
        <f aca="false">IF(AND(ISNUMBER(AB130),ISNUMBER(AB81)),IFERROR((AG130-AB130)/(AG81-AB81),""),"")</f>
        <v>0.107697820019613</v>
      </c>
      <c r="AH178" s="59" t="n">
        <f aca="false">IF(AND(ISNUMBER(AC130),ISNUMBER(AC81)),IFERROR((AH130-AC130)/(AH81-AC81),""),"")</f>
        <v>0.0974885801948404</v>
      </c>
      <c r="AI178" s="59" t="n">
        <f aca="false">IF(AND(ISNUMBER(AD130),ISNUMBER(AD81)),IFERROR((AI130-AD130)/(AI81-AD81),""),"")</f>
        <v>0.132773730334707</v>
      </c>
      <c r="AJ178" s="59" t="n">
        <f aca="false">IF(AND(ISNUMBER(AE130),ISNUMBER(AE81)),IFERROR((AJ130-AE130)/(AJ81-AE81),""),"")</f>
        <v>0.167871110355381</v>
      </c>
      <c r="AK178" s="59" t="n">
        <f aca="false">IF(AND(ISNUMBER(AF130),ISNUMBER(AF81)),IFERROR((AK130-AF130)/(AK81-AF81),""),"")</f>
        <v>0.186688741721854</v>
      </c>
      <c r="AL178" s="59" t="n">
        <f aca="false">IF(AND(ISNUMBER(AG130),ISNUMBER(AG81)),IFERROR((AL130-AG130)/(AL81-AG81),""),"")</f>
        <v>0.195106450587862</v>
      </c>
      <c r="AM178" s="59" t="n">
        <f aca="false">IF(AND(ISNUMBER(AH130),ISNUMBER(AH81)),IFERROR((AM130-AH130)/(AM81-AH81),""),"")</f>
        <v>0.168664809562031</v>
      </c>
      <c r="AN178" s="59" t="n">
        <f aca="false">IF(AND(ISNUMBER(AI130),ISNUMBER(AI81)),IFERROR((AN130-AI130)/(AN81-AI81),""),"")</f>
        <v>0.0591709319984263</v>
      </c>
      <c r="AO178" s="59" t="n">
        <f aca="false">IF(AND(ISNUMBER(AJ130),ISNUMBER(AJ81)),IFERROR((AO130-AJ130)/(AO81-AJ81),""),"")</f>
        <v>0.270732876519189</v>
      </c>
      <c r="AP178" s="59" t="n">
        <f aca="false">IF(AND(ISNUMBER(AK130),ISNUMBER(AK81)),IFERROR((AP130-AK130)/(AP81-AK81),""),"")</f>
        <v>0.153753836922155</v>
      </c>
      <c r="AQ178" s="59" t="n">
        <f aca="false">IF(AND(ISNUMBER(AL130),ISNUMBER(AL81)),IFERROR((AQ130-AL130)/(AQ81-AL81),""),"")</f>
        <v>-0.162632520996833</v>
      </c>
      <c r="AR178" s="59" t="n">
        <f aca="false">IF(AND(ISNUMBER(AM130),ISNUMBER(AM81)),IFERROR((AR130-AM130)/(AR81-AM81),""),"")</f>
        <v>0.085855545354664</v>
      </c>
      <c r="AS178" s="59" t="n">
        <f aca="false">IF(AND(ISNUMBER(AN130),ISNUMBER(AN81)),IFERROR((AS130-AN130)/(AS81-AN81),""),"")</f>
        <v>0.283284932424883</v>
      </c>
      <c r="AT178" s="59" t="n">
        <f aca="false">IF(AND(ISNUMBER(AO130),ISNUMBER(AO81)),IFERROR((AT130-AO130)/(AT81-AO81),""),"")</f>
        <v>0.336038714437621</v>
      </c>
      <c r="AU178" s="59" t="n">
        <f aca="false">IF(AND(ISNUMBER(AP130),ISNUMBER(AP81)),IFERROR((AU130-AP130)/(AU81-AP81),""),"")</f>
        <v>0.789633902106872</v>
      </c>
      <c r="AV178" s="59" t="n">
        <f aca="false">IF(AND(ISNUMBER(AQ130),ISNUMBER(AQ81)),IFERROR((AV130-AQ130)/(AV81-AQ81),""),"")</f>
        <v>0.694796061884671</v>
      </c>
      <c r="AW178" s="59" t="n">
        <f aca="false">IF(AND(ISNUMBER(AR130),ISNUMBER(AR81)),IFERROR((AW130-AR130)/(AW81-AR81),""),"")</f>
        <v>0.778395217647556</v>
      </c>
      <c r="AX178" s="59" t="n">
        <f aca="false">IF(AND(ISNUMBER(AS130),ISNUMBER(AS81)),IFERROR((AX130-AS130)/(AX81-AS81),""),"")</f>
        <v>0.263761346143636</v>
      </c>
      <c r="AY178" s="59" t="n">
        <f aca="false">IF(AND(ISNUMBER(AT130),ISNUMBER(AT81)),IFERROR((AY130-AT130)/(AY81-AT81),""),"")</f>
        <v>0.308342960076753</v>
      </c>
      <c r="AZ178" s="59" t="n">
        <f aca="false">IF(AND(ISNUMBER(AU130),ISNUMBER(AU81)),IFERROR((AZ130-AU130)/(AZ81-AU81),""),"")</f>
        <v>0.345841800032631</v>
      </c>
      <c r="BA178" s="59" t="n">
        <f aca="false">IF(AND(ISNUMBER(AV130),ISNUMBER(AV81)),IFERROR((BA130-AV130)/(BA81-AV81),""),"")</f>
        <v>0.332413459555189</v>
      </c>
      <c r="BB178" s="59" t="n">
        <f aca="false">IF(AND(ISNUMBER(AW130),ISNUMBER(AW81)),IFERROR((BB130-AW130)/(BB81-AW81),""),"")</f>
        <v>0.322840943693201</v>
      </c>
      <c r="BC178" s="59" t="n">
        <f aca="false">IF(AND(ISNUMBER(AX130),ISNUMBER(AX81)),IFERROR((BC130-AX130)/(BC81-AX81),""),"")</f>
        <v>0.308989398335798</v>
      </c>
      <c r="BD178" s="59" t="n">
        <f aca="false">IF(AND(ISNUMBER(AY130),ISNUMBER(AY81)),IFERROR((BD130-AY130)/(BD81-AY81),""),"")</f>
        <v>0.361999988520327</v>
      </c>
      <c r="BE178" s="59" t="n">
        <f aca="false">IF(AND(ISNUMBER(AZ130),ISNUMBER(AZ81)),IFERROR((BE130-AZ130)/(BE81-AZ81),""),"")</f>
        <v>0.233843574926109</v>
      </c>
      <c r="BF178" s="59" t="n">
        <f aca="false">IF(AND(ISNUMBER(BA130),ISNUMBER(BA81)),IFERROR((BF130-BA130)/(BF81-BA81),""),"")</f>
        <v>-0.121464613792213</v>
      </c>
      <c r="BG178" s="59" t="n">
        <f aca="false">IF(AND(ISNUMBER(BB130),ISNUMBER(BB81)),IFERROR((BG130-BB130)/(BG81-BB81),""),"")</f>
        <v>0.27736797039056</v>
      </c>
      <c r="BH178" s="59" t="n">
        <f aca="false">IF(AND(ISNUMBER(BC130),ISNUMBER(BC81)),IFERROR((BH130-BC130)/(BH81-BC81),""),"")</f>
        <v>6.32305433186459</v>
      </c>
      <c r="BI178" s="59" t="n">
        <f aca="false">IF(AND(ISNUMBER(BD130),ISNUMBER(BD81)),IFERROR((BI130-BD130)/(BI81-BD81),""),"")</f>
        <v>0.505340453938586</v>
      </c>
      <c r="BJ178" s="59" t="n">
        <f aca="false">IF(AND(ISNUMBER(BE130),ISNUMBER(BE81)),IFERROR((BJ130-BE130)/(BJ81-BE81),""),"")</f>
        <v>0.00175504025623428</v>
      </c>
      <c r="BK178" s="59" t="n">
        <f aca="false">IF(AND(ISNUMBER(BF130),ISNUMBER(BF81)),IFERROR((BK130-BF130)/(BK81-BF81),""),"")</f>
        <v>0.209336938976583</v>
      </c>
      <c r="BL178" s="59" t="n">
        <f aca="false">IF(AND(ISNUMBER(BG130),ISNUMBER(BG81)),IFERROR((BL130-BG130)/(BL81-BG81),""),"")</f>
        <v>-0.111797350519142</v>
      </c>
      <c r="BM178" s="59" t="n">
        <f aca="false">IF(AND(ISNUMBER(BH130),ISNUMBER(BH81)),IFERROR((BM130-BH130)/(BM81-BH81),""),"")</f>
        <v>0.199161714770798</v>
      </c>
      <c r="BN178" s="59" t="n">
        <f aca="false">IF(AND(ISNUMBER(BI130),ISNUMBER(BI81)),IFERROR((BN130-BI130)/(BN81-BI81),""),"")</f>
        <v>0.134798090528838</v>
      </c>
      <c r="BO178" s="59" t="n">
        <f aca="false">IF(AND(ISNUMBER(BJ130),ISNUMBER(BJ81)),IFERROR((BO130-BJ130)/(BO81-BJ81),""),"")</f>
        <v>-0.0487462477038173</v>
      </c>
      <c r="BP178" s="59" t="n">
        <f aca="false">IF(AND(ISNUMBER(BK130),ISNUMBER(BK81)),IFERROR((BP130-BK130)/(BP81-BK81),""),"")</f>
        <v>-0.295584346906392</v>
      </c>
      <c r="BQ178" s="59" t="n">
        <f aca="false">IF(AND(ISNUMBER(BL130),ISNUMBER(BL81)),IFERROR((BQ130-BL130)/(BQ81-BL81),""),"")</f>
        <v>0.0661211508938115</v>
      </c>
      <c r="BR178" s="59" t="n">
        <f aca="false">IF(AND(ISNUMBER(BM130),ISNUMBER(BM81)),IFERROR((BR130-BM130)/(BR81-BM81),""),"")</f>
        <v>-1.45560975609755</v>
      </c>
      <c r="BS178" s="59" t="n">
        <f aca="false">IF(AND(ISNUMBER(BN130),ISNUMBER(BN81)),IFERROR((BS130-BN130)/(BS81-BN81),""),"")</f>
        <v>6.23168542992333</v>
      </c>
      <c r="BT178" s="59" t="n">
        <f aca="false">IF(AND(ISNUMBER(BO130),ISNUMBER(BO81)),IFERROR((BT130-BO130)/(BT81-BO81),""),"")</f>
        <v>8.56608377389203</v>
      </c>
      <c r="BU178" s="59" t="n">
        <f aca="false">IF(AND(ISNUMBER(BP130),ISNUMBER(BP81)),IFERROR((BU130-BP130)/(BU81-BP81),""),"")</f>
        <v>-37.4610000000001</v>
      </c>
      <c r="BV178" s="59" t="n">
        <f aca="false">IF(AND(ISNUMBER(BQ130),ISNUMBER(BQ81)),IFERROR((BV130-BQ130)/(BV81-BQ81),""),"")</f>
        <v>-5.72993019197206</v>
      </c>
      <c r="BW178" s="59" t="n">
        <f aca="false">IF(AND(ISNUMBER(BR130),ISNUMBER(BR81)),IFERROR((BW130-BR130)/(BW81-BR81),""),"")</f>
        <v>-0.180258431183325</v>
      </c>
      <c r="BX178" s="59" t="n">
        <f aca="false">IF(AND(ISNUMBER(BS130),ISNUMBER(BS81)),IFERROR((BX130-BS130)/(BX81-BS81),""),"")</f>
        <v>0.185200066007076</v>
      </c>
      <c r="BY178" s="52" t="n">
        <f aca="false">IFERROR((BY130-BT130)/(BY81-BT81),"")</f>
        <v>0.103912209319074</v>
      </c>
      <c r="BZ178" s="52" t="n">
        <f aca="false">IFERROR((BZ130-BU130)/(BZ81-BU81),"")</f>
        <v>0.26115593169793</v>
      </c>
      <c r="CA178" s="30" t="n">
        <f aca="false">IFERROR((CA130-BV130)/(CA81-BV81),"")</f>
        <v>0.175857004253915</v>
      </c>
      <c r="CB178" s="30" t="n">
        <f aca="false">IFERROR((CB130-CA130)/(CB81-CA81),"")</f>
        <v>0.307834660802816</v>
      </c>
      <c r="CC178" s="30" t="n">
        <f aca="false">IFERROR((CC130-CB130)/(CC81-CB81),"")</f>
        <v>0.150754716684668</v>
      </c>
      <c r="CD178" s="30" t="n">
        <f aca="false">IFERROR((CD130-CC130)/(CD81-CC81),"")</f>
        <v>0.162763359208424</v>
      </c>
      <c r="CE178" s="30" t="n">
        <f aca="false">IFERROR((CE130-CD130)/(CE81-CD81),"")</f>
        <v>0.23000002893186</v>
      </c>
      <c r="CF178" s="21"/>
    </row>
    <row r="179" customFormat="false" ht="15" hidden="false" customHeight="true" outlineLevel="0" collapsed="false">
      <c r="B179" s="22" t="s">
        <v>343</v>
      </c>
      <c r="C179" s="59" t="n">
        <f aca="false">IF(AND(ISNUMBER(C93),ISNUMBER(C81)),IFERROR(C93/C81,""),"")</f>
        <v>0.0571531132750609</v>
      </c>
      <c r="D179" s="59" t="n">
        <f aca="false">IF(AND(ISNUMBER(D93),ISNUMBER(D81)),IFERROR(D93/D81,""),"")</f>
        <v>0.0391016296102027</v>
      </c>
      <c r="E179" s="59" t="n">
        <f aca="false">IF(AND(ISNUMBER(E93),ISNUMBER(E81)),IFERROR(E93/E81,""),"")</f>
        <v>-0.00956017006640964</v>
      </c>
      <c r="F179" s="59" t="n">
        <f aca="false">IF(AND(ISNUMBER(F93),ISNUMBER(F81)),IFERROR(F93/F81,""),"")</f>
        <v>-0.00434910103269067</v>
      </c>
      <c r="G179" s="59" t="n">
        <f aca="false">IF(AND(ISNUMBER(G93),ISNUMBER(G81)),IFERROR(G93/G81,""),"")</f>
        <v>0.0134048257372654</v>
      </c>
      <c r="H179" s="59" t="n">
        <f aca="false">IF(AND(ISNUMBER(H93),ISNUMBER(H81)),IFERROR(H93/H81,""),"")</f>
        <v>0.0273202720961655</v>
      </c>
      <c r="I179" s="59" t="n">
        <f aca="false">IF(AND(ISNUMBER(I93),ISNUMBER(I81)),IFERROR(I93/I81,""),"")</f>
        <v>0.0534587445468605</v>
      </c>
      <c r="J179" s="59" t="n">
        <f aca="false">IF(AND(ISNUMBER(J93),ISNUMBER(J81)),IFERROR(J93/J81,""),"")</f>
        <v>0.0530762066509616</v>
      </c>
      <c r="K179" s="59" t="n">
        <f aca="false">IF(AND(ISNUMBER(K93),ISNUMBER(K81)),IFERROR(K93/K81,""),"")</f>
        <v>0.0795024559316645</v>
      </c>
      <c r="L179" s="59" t="n">
        <f aca="false">IF(AND(ISNUMBER(L93),ISNUMBER(L81)),IFERROR(L93/L81,""),"")</f>
        <v>0.0748412587388726</v>
      </c>
      <c r="M179" s="59" t="n">
        <f aca="false">IF(AND(ISNUMBER(M93),ISNUMBER(M81)),IFERROR(M93/M81,""),"")</f>
        <v>0.0525361606264862</v>
      </c>
      <c r="N179" s="59" t="n">
        <f aca="false">IF(AND(ISNUMBER(N93),ISNUMBER(N81)),IFERROR(N93/N81,""),"")</f>
        <v>0.0653308682163192</v>
      </c>
      <c r="O179" s="59" t="n">
        <f aca="false">IF(AND(ISNUMBER(O93),ISNUMBER(O81)),IFERROR(O93/O81,""),"")</f>
        <v>0.0508157341607445</v>
      </c>
      <c r="P179" s="59" t="n">
        <f aca="false">IF(AND(ISNUMBER(P93),ISNUMBER(P81)),IFERROR(P93/P81,""),"")</f>
        <v>0.0688289008138644</v>
      </c>
      <c r="Q179" s="59" t="n">
        <f aca="false">IF(AND(ISNUMBER(Q93),ISNUMBER(Q81)),IFERROR(Q93/Q81,""),"")</f>
        <v>0.0816403242879136</v>
      </c>
      <c r="R179" s="59" t="n">
        <f aca="false">IF(AND(ISNUMBER(R93),ISNUMBER(R81)),IFERROR(R93/R81,""),"")</f>
        <v>0.0664367281558417</v>
      </c>
      <c r="S179" s="59" t="n">
        <f aca="false">IF(AND(ISNUMBER(S93),ISNUMBER(S81)),IFERROR(S93/S81,""),"")</f>
        <v>0.0673517139149633</v>
      </c>
      <c r="T179" s="59" t="n">
        <f aca="false">IF(AND(ISNUMBER(T93),ISNUMBER(T81)),IFERROR(T93/T81,""),"")</f>
        <v>0.0724621359488364</v>
      </c>
      <c r="U179" s="59" t="n">
        <f aca="false">IF(AND(ISNUMBER(U93),ISNUMBER(U81)),IFERROR(U93/U81,""),"")</f>
        <v>0.0967014962285149</v>
      </c>
      <c r="V179" s="59" t="n">
        <f aca="false">IF(AND(ISNUMBER(V93),ISNUMBER(V81)),IFERROR(V93/V81,""),"")</f>
        <v>0.0625632489383639</v>
      </c>
      <c r="W179" s="59" t="n">
        <f aca="false">IF(AND(ISNUMBER(W93),ISNUMBER(W81)),IFERROR(W93/W81,""),"")</f>
        <v>0.0612496088453115</v>
      </c>
      <c r="X179" s="59" t="n">
        <f aca="false">IF(AND(ISNUMBER(X93),ISNUMBER(X81)),IFERROR(X93/X81,""),"")</f>
        <v>0.0736708340463649</v>
      </c>
      <c r="Y179" s="59" t="n">
        <f aca="false">IF(AND(ISNUMBER(Y93),ISNUMBER(Y81)),IFERROR(Y93/Y81,""),"")</f>
        <v>0.0606530969849368</v>
      </c>
      <c r="Z179" s="59" t="n">
        <f aca="false">IF(AND(ISNUMBER(Z93),ISNUMBER(Z81)),IFERROR(Z93/Z81,""),"")</f>
        <v>0.0696397941680959</v>
      </c>
      <c r="AA179" s="59" t="n">
        <f aca="false">IF(AND(ISNUMBER(AA93),ISNUMBER(AA81)),IFERROR(AA93/AA81,""),"")</f>
        <v>0.0715581370361709</v>
      </c>
      <c r="AB179" s="59" t="n">
        <f aca="false">IF(AND(ISNUMBER(AB93),ISNUMBER(AB81)),IFERROR(AB93/AB81,""),"")</f>
        <v>0.0572474460650915</v>
      </c>
      <c r="AC179" s="59" t="n">
        <f aca="false">IF(AND(ISNUMBER(AC93),ISNUMBER(AC81)),IFERROR(AC93/AC81,""),"")</f>
        <v>0.0649464374085439</v>
      </c>
      <c r="AD179" s="59" t="n">
        <f aca="false">IF(AND(ISNUMBER(AD93),ISNUMBER(AD81)),IFERROR(AD93/AD81,""),"")</f>
        <v>0.0552585344928195</v>
      </c>
      <c r="AE179" s="59" t="n">
        <f aca="false">IF(AND(ISNUMBER(AE93),ISNUMBER(AE81)),IFERROR(AE93/AE81,""),"")</f>
        <v>0.0829740897922717</v>
      </c>
      <c r="AF179" s="59" t="n">
        <f aca="false">IF(AND(ISNUMBER(AF93),ISNUMBER(AF81)),IFERROR(AF93/AF81,""),"")</f>
        <v>0.0702789791522644</v>
      </c>
      <c r="AG179" s="59" t="n">
        <f aca="false">IF(AND(ISNUMBER(AG93),ISNUMBER(AG81)),IFERROR(AG93/AG81,""),"")</f>
        <v>0.0648207648385991</v>
      </c>
      <c r="AH179" s="59" t="n">
        <f aca="false">IF(AND(ISNUMBER(AH93),ISNUMBER(AH81)),IFERROR(AH93/AH81,""),"")</f>
        <v>0.0687242022183373</v>
      </c>
      <c r="AI179" s="59" t="n">
        <f aca="false">IF(AND(ISNUMBER(AI93),ISNUMBER(AI81)),IFERROR(AI93/AI81,""),"")</f>
        <v>0.0702104097452936</v>
      </c>
      <c r="AJ179" s="59" t="n">
        <f aca="false">IF(AND(ISNUMBER(AJ93),ISNUMBER(AJ81)),IFERROR(AJ93/AJ81,""),"")</f>
        <v>0.0969486765625146</v>
      </c>
      <c r="AK179" s="59" t="n">
        <f aca="false">IF(AND(ISNUMBER(AK93),ISNUMBER(AK81)),IFERROR(AK93/AK81,""),"")</f>
        <v>0.0909315211414552</v>
      </c>
      <c r="AL179" s="59" t="n">
        <f aca="false">IF(AND(ISNUMBER(AL93),ISNUMBER(AL81)),IFERROR(AL93/AL81,""),"")</f>
        <v>0.0819569760295022</v>
      </c>
      <c r="AM179" s="59" t="n">
        <f aca="false">IF(AND(ISNUMBER(AM93),ISNUMBER(AM81)),IFERROR(AM93/AM81,""),"")</f>
        <v>0.0853626903060679</v>
      </c>
      <c r="AN179" s="59" t="n">
        <f aca="false">IF(AND(ISNUMBER(AN93),ISNUMBER(AN81)),IFERROR(AN93/AN81,""),"")</f>
        <v>0.0697323811936171</v>
      </c>
      <c r="AO179" s="59" t="n">
        <f aca="false">IF(AND(ISNUMBER(AO93),ISNUMBER(AO81)),IFERROR(AO93/AO81,""),"")</f>
        <v>0.110225228621592</v>
      </c>
      <c r="AP179" s="59" t="n">
        <f aca="false">IF(AND(ISNUMBER(AP93),ISNUMBER(AP81)),IFERROR(AP93/AP81,""),"")</f>
        <v>0.096736768246778</v>
      </c>
      <c r="AQ179" s="59" t="n">
        <f aca="false">IF(AND(ISNUMBER(AQ93),ISNUMBER(AQ81)),IFERROR(AQ93/AQ81,""),"")</f>
        <v>0.0619096520826516</v>
      </c>
      <c r="AR179" s="59" t="n">
        <f aca="false">IF(AND(ISNUMBER(AR93),ISNUMBER(AR81)),IFERROR(AR93/AR81,""),"")</f>
        <v>0.0853993457339785</v>
      </c>
      <c r="AS179" s="59" t="n">
        <f aca="false">IF(AND(ISNUMBER(AS93),ISNUMBER(AS81)),IFERROR(AS93/AS81,""),"")</f>
        <v>0.0868645776395846</v>
      </c>
      <c r="AT179" s="59" t="n">
        <f aca="false">IF(AND(ISNUMBER(AT93),ISNUMBER(AT81)),IFERROR(AT93/AT81,""),"")</f>
        <v>0.0853379700273131</v>
      </c>
      <c r="AU179" s="59" t="n">
        <f aca="false">IF(AND(ISNUMBER(AU93),ISNUMBER(AU81)),IFERROR(AU93/AU81,""),"")</f>
        <v>0.114704990298604</v>
      </c>
      <c r="AV179" s="59" t="n">
        <f aca="false">IF(AND(ISNUMBER(AV93),ISNUMBER(AV81)),IFERROR(AV93/AV81,""),"")</f>
        <v>0.106295725756692</v>
      </c>
      <c r="AW179" s="59" t="n">
        <f aca="false">IF(AND(ISNUMBER(AW93),ISNUMBER(AW81)),IFERROR(AW93/AW81,""),"")</f>
        <v>0.0989488390367249</v>
      </c>
      <c r="AX179" s="59" t="n">
        <f aca="false">IF(AND(ISNUMBER(AX93),ISNUMBER(AX81)),IFERROR(AX93/AX81,""),"")</f>
        <v>0.10063337423617</v>
      </c>
      <c r="AY179" s="59" t="n">
        <f aca="false">IF(AND(ISNUMBER(AY93),ISNUMBER(AY81)),IFERROR(AY93/AY81,""),"")</f>
        <v>0.14514302517096</v>
      </c>
      <c r="AZ179" s="59" t="n">
        <f aca="false">IF(AND(ISNUMBER(AZ93),ISNUMBER(AZ81)),IFERROR(AZ93/AZ81,""),"")</f>
        <v>0.172207472704377</v>
      </c>
      <c r="BA179" s="59" t="n">
        <f aca="false">IF(AND(ISNUMBER(BA93),ISNUMBER(BA81)),IFERROR(BA93/BA81,""),"")</f>
        <v>0.157815586608565</v>
      </c>
      <c r="BB179" s="59" t="n">
        <f aca="false">IF(AND(ISNUMBER(BB93),ISNUMBER(BB81)),IFERROR(BB93/BB81,""),"")</f>
        <v>0.146432653589105</v>
      </c>
      <c r="BC179" s="59" t="n">
        <f aca="false">IF(AND(ISNUMBER(BC93),ISNUMBER(BC81)),IFERROR(BC93/BC81,""),"")</f>
        <v>0.156452656923002</v>
      </c>
      <c r="BD179" s="59" t="n">
        <f aca="false">IF(AND(ISNUMBER(BD93),ISNUMBER(BD81)),IFERROR(BD93/BD81,""),"")</f>
        <v>0.195818143286737</v>
      </c>
      <c r="BE179" s="59" t="n">
        <f aca="false">IF(AND(ISNUMBER(BE93),ISNUMBER(BE81)),IFERROR(BE93/BE81,""),"")</f>
        <v>0.175934568870869</v>
      </c>
      <c r="BF179" s="59" t="n">
        <f aca="false">IF(AND(ISNUMBER(BF93),ISNUMBER(BF81)),IFERROR(BF93/BF81,""),"")</f>
        <v>0.141356298209923</v>
      </c>
      <c r="BG179" s="59" t="n">
        <f aca="false">IF(AND(ISNUMBER(BG93),ISNUMBER(BG81)),IFERROR(BG93/BG81,""),"")</f>
        <v>0.168509453782641</v>
      </c>
      <c r="BH179" s="59" t="n">
        <f aca="false">IF(AND(ISNUMBER(BH93),ISNUMBER(BH81)),IFERROR(BH93/BH81,""),"")</f>
        <v>0.150094998751012</v>
      </c>
      <c r="BI179" s="59" t="n">
        <f aca="false">IF(AND(ISNUMBER(BI93),ISNUMBER(BI81)),IFERROR(BI93/BI81,""),"")</f>
        <v>0.173122935927742</v>
      </c>
      <c r="BJ179" s="59" t="n">
        <f aca="false">IF(AND(ISNUMBER(BJ93),ISNUMBER(BJ81)),IFERROR(BJ93/BJ81,""),"")</f>
        <v>0.165691794040849</v>
      </c>
      <c r="BK179" s="59" t="n">
        <f aca="false">IF(AND(ISNUMBER(BK93),ISNUMBER(BK81)),IFERROR(BK93/BK81,""),"")</f>
        <v>0.149990946997332</v>
      </c>
      <c r="BL179" s="59" t="n">
        <f aca="false">IF(AND(ISNUMBER(BL93),ISNUMBER(BL81)),IFERROR(BL93/BL81,""),"")</f>
        <v>0.159814925420789</v>
      </c>
      <c r="BM179" s="59" t="n">
        <f aca="false">IF(AND(ISNUMBER(BM93),ISNUMBER(BM81)),IFERROR(BM93/BM81,""),"")</f>
        <v>0.156221390480607</v>
      </c>
      <c r="BN179" s="59" t="n">
        <f aca="false">IF(AND(ISNUMBER(BN93),ISNUMBER(BN81)),IFERROR(BN93/BN81,""),"")</f>
        <v>0.167135138549446</v>
      </c>
      <c r="BO179" s="59" t="n">
        <f aca="false">IF(AND(ISNUMBER(BO93),ISNUMBER(BO81)),IFERROR(BO93/BO81,""),"")</f>
        <v>0.148640961972585</v>
      </c>
      <c r="BP179" s="59" t="n">
        <f aca="false">IF(AND(ISNUMBER(BP93),ISNUMBER(BP81)),IFERROR(BP93/BP81,""),"")</f>
        <v>0.128631399628875</v>
      </c>
      <c r="BQ179" s="59" t="n">
        <f aca="false">IF(AND(ISNUMBER(BQ93),ISNUMBER(BQ81)),IFERROR(BQ93/BQ81,""),"")</f>
        <v>0.150248950320248</v>
      </c>
      <c r="BR179" s="59" t="n">
        <f aca="false">IF(AND(ISNUMBER(BR93),ISNUMBER(BR81)),IFERROR(BR93/BR81,""),"")</f>
        <v>0.0890937371044029</v>
      </c>
      <c r="BS179" s="59" t="n">
        <f aca="false">IF(AND(ISNUMBER(BS93),ISNUMBER(BS81)),IFERROR(BS93/BS81,""),"")</f>
        <v>0.121646279899402</v>
      </c>
      <c r="BT179" s="59" t="n">
        <f aca="false">IF(AND(ISNUMBER(BT93),ISNUMBER(BT81)),IFERROR(BT93/BT81,""),"")</f>
        <v>0.141262249238963</v>
      </c>
      <c r="BU179" s="59" t="n">
        <f aca="false">IF(AND(ISNUMBER(BU93),ISNUMBER(BU81)),IFERROR(BU93/BU81,""),"")</f>
        <v>0.0810466965081423</v>
      </c>
      <c r="BV179" s="59" t="n">
        <f aca="false">IF(AND(ISNUMBER(BV93),ISNUMBER(BV81)),IFERROR(BV93/BV81,""),"")</f>
        <v>0.108895750097549</v>
      </c>
      <c r="BW179" s="59" t="n">
        <f aca="false">IF(AND(ISNUMBER(BW93),ISNUMBER(BW81)),IFERROR(BW93/BW81,""),"")</f>
        <v>0.0828626216470319</v>
      </c>
      <c r="BX179" s="59" t="n">
        <f aca="false">IF(AND(ISNUMBER(BX93),ISNUMBER(BX81)),IFERROR(BX93/BX81,""),"")</f>
        <v>0.130907250855729</v>
      </c>
      <c r="BY179" s="52" t="n">
        <f aca="false">IF(AND(ISNUMBER(BY93),ISNUMBER(BY81)),IFERROR(BY93/BY81,""),"")</f>
        <v>0.12090725085573</v>
      </c>
      <c r="BZ179" s="52" t="n">
        <f aca="false">IF(AND(ISNUMBER(BZ93),ISNUMBER(BZ81)),IFERROR(BZ93/BZ81,""),"")</f>
        <v>0.116120955953788</v>
      </c>
      <c r="CA179" s="30" t="n">
        <f aca="false">IF(AND(ISNUMBER(CA93),ISNUMBER(CA81)),IFERROR(CA93/CA81,""),"")</f>
        <v>0.114</v>
      </c>
      <c r="CB179" s="30" t="n">
        <f aca="false">IF(AND(ISNUMBER(CB93),ISNUMBER(CB81)),IFERROR(CB93/CB81,""),"")</f>
        <v>0.13032342405499</v>
      </c>
      <c r="CC179" s="30" t="n">
        <f aca="false">IF(AND(ISNUMBER(CC93),ISNUMBER(CC81)),IFERROR(CC93/CC81,""),"")</f>
        <v>0.131517549608393</v>
      </c>
      <c r="CD179" s="30" t="n">
        <f aca="false">IF(AND(ISNUMBER(CD93),ISNUMBER(CD81)),IFERROR(CD93/CD81,""),"")</f>
        <v>0.133583688080878</v>
      </c>
      <c r="CE179" s="30" t="n">
        <f aca="false">IF(AND(ISNUMBER(CE93),ISNUMBER(CE81)),IFERROR(CE93/CE81,""),"")</f>
        <v>0.140855641486716</v>
      </c>
      <c r="CF179" s="21"/>
      <c r="CH179" s="64" t="n">
        <f aca="false">IFERROR(AVERAGE(CA179,CB179,CC179,CD179,CE179),"n/m")</f>
        <v>0.130056060646195</v>
      </c>
      <c r="CI179" s="64" t="n">
        <f aca="false">IFERROR(AVERAGE(BB179,BG179,BL179,BQ179,BV179),"n/m")</f>
        <v>0.146780346642066</v>
      </c>
      <c r="CJ179" s="64" t="n">
        <f aca="false">IFERROR(AVERAGE(AC179,AH179,AM179,AR179,AW179,BB179,BG179,BL179,BQ179,BV179),"n/m")</f>
        <v>0.113728324791398</v>
      </c>
      <c r="CK179" s="64" t="n">
        <f aca="false">IFERROR(AVERAGE(C179,D179,E179,F179,G179,H179,I179,N179,S179,X179,AC179,AH179,AM179,AR179,AW179,BB179,BG179,BL179,BQ179,BV179),"n/m")</f>
        <v>0.0760082989129043</v>
      </c>
    </row>
    <row r="180" customFormat="false" ht="15" hidden="false" customHeight="true" outlineLevel="0" collapsed="false">
      <c r="B180" s="22" t="s">
        <v>344</v>
      </c>
      <c r="C180" s="59" t="n">
        <f aca="false">IF(AND(ISNUMBER(C106),ISNUMBER(C81)),IFERROR(C106/C81,""),"")</f>
        <v>-0.023642507813768</v>
      </c>
      <c r="D180" s="59" t="n">
        <f aca="false">IF(AND(ISNUMBER(D106),ISNUMBER(D81)),IFERROR(D106/D81,""),"")</f>
        <v>0.0187906647010673</v>
      </c>
      <c r="E180" s="59" t="n">
        <f aca="false">IF(AND(ISNUMBER(E106),ISNUMBER(E81)),IFERROR(E106/E81,""),"")</f>
        <v>-0.0201150791763754</v>
      </c>
      <c r="F180" s="59" t="n">
        <f aca="false">IF(AND(ISNUMBER(F106),ISNUMBER(F81)),IFERROR(F106/F81,""),"")</f>
        <v>-0.00927407815663121</v>
      </c>
      <c r="G180" s="59" t="n">
        <f aca="false">IF(AND(ISNUMBER(G106),ISNUMBER(G81)),IFERROR(G106/G81,""),"")</f>
        <v>0.00216803669155609</v>
      </c>
      <c r="H180" s="59" t="n">
        <f aca="false">IF(AND(ISNUMBER(H106),ISNUMBER(H81)),IFERROR(H106/H81,""),"")</f>
        <v>0.0110393467828355</v>
      </c>
      <c r="I180" s="59" t="n">
        <f aca="false">IF(AND(ISNUMBER(I106),ISNUMBER(I81)),IFERROR(I106/I81,""),"")</f>
        <v>0.0291695754628969</v>
      </c>
      <c r="J180" s="59" t="n">
        <f aca="false">IF(AND(ISNUMBER(J106),ISNUMBER(J81)),IFERROR(J106/J81,""),"")</f>
        <v>0.0334374258112823</v>
      </c>
      <c r="K180" s="59" t="n">
        <f aca="false">IF(AND(ISNUMBER(K106),ISNUMBER(K81)),IFERROR(K106/K81,""),"")</f>
        <v>0.0461448538233574</v>
      </c>
      <c r="L180" s="59" t="n">
        <f aca="false">IF(AND(ISNUMBER(L106),ISNUMBER(L81)),IFERROR(L106/L81,""),"")</f>
        <v>0.0440415303305842</v>
      </c>
      <c r="M180" s="59" t="n">
        <f aca="false">IF(AND(ISNUMBER(M106),ISNUMBER(M81)),IFERROR(M106/M81,""),"")</f>
        <v>0.0288355294916952</v>
      </c>
      <c r="N180" s="59" t="n">
        <f aca="false">IF(AND(ISNUMBER(N106),ISNUMBER(N81)),IFERROR(N106/N81,""),"")</f>
        <v>0.0382997364572194</v>
      </c>
      <c r="O180" s="59" t="n">
        <f aca="false">IF(AND(ISNUMBER(O106),ISNUMBER(O81)),IFERROR(O106/O81,""),"")</f>
        <v>0.0286124178427249</v>
      </c>
      <c r="P180" s="59" t="n">
        <f aca="false">IF(AND(ISNUMBER(P106),ISNUMBER(P81)),IFERROR(P106/P81,""),"")</f>
        <v>0.0410654995929164</v>
      </c>
      <c r="Q180" s="59" t="n">
        <f aca="false">IF(AND(ISNUMBER(Q106),ISNUMBER(Q81)),IFERROR(Q106/Q81,""),"")</f>
        <v>0.048949913394919</v>
      </c>
      <c r="R180" s="59" t="n">
        <f aca="false">IF(AND(ISNUMBER(R106),ISNUMBER(R81)),IFERROR(R106/R81,""),"")</f>
        <v>0.0438207254689197</v>
      </c>
      <c r="S180" s="59" t="n">
        <f aca="false">IF(AND(ISNUMBER(S106),ISNUMBER(S81)),IFERROR(S106/S81,""),"")</f>
        <v>0.0408631155188038</v>
      </c>
      <c r="T180" s="59" t="n">
        <f aca="false">IF(AND(ISNUMBER(T106),ISNUMBER(T81)),IFERROR(T106/T81,""),"")</f>
        <v>0.043017247851697</v>
      </c>
      <c r="U180" s="59" t="n">
        <f aca="false">IF(AND(ISNUMBER(U106),ISNUMBER(U81)),IFERROR(U106/U81,""),"")</f>
        <v>0.0594998145171263</v>
      </c>
      <c r="V180" s="59" t="n">
        <f aca="false">IF(AND(ISNUMBER(V106),ISNUMBER(V81)),IFERROR(V106/V81,""),"")</f>
        <v>0.0371281120053975</v>
      </c>
      <c r="W180" s="59" t="n">
        <f aca="false">IF(AND(ISNUMBER(W106),ISNUMBER(W81)),IFERROR(W106/W81,""),"")</f>
        <v>0.0395918083515874</v>
      </c>
      <c r="X180" s="59" t="n">
        <f aca="false">IF(AND(ISNUMBER(X106),ISNUMBER(X81)),IFERROR(X106/X81,""),"")</f>
        <v>0.0450466752530681</v>
      </c>
      <c r="Y180" s="59" t="n">
        <f aca="false">IF(AND(ISNUMBER(Y106),ISNUMBER(Y81)),IFERROR(Y106/Y81,""),"")</f>
        <v>0.0364767118184546</v>
      </c>
      <c r="Z180" s="59" t="n">
        <f aca="false">IF(AND(ISNUMBER(Z106),ISNUMBER(Z81)),IFERROR(Z106/Z81,""),"")</f>
        <v>0.0425610362129493</v>
      </c>
      <c r="AA180" s="59" t="n">
        <f aca="false">IF(AND(ISNUMBER(AA106),ISNUMBER(AA81)),IFERROR(AA106/AA81,""),"")</f>
        <v>0.0436920509919669</v>
      </c>
      <c r="AB180" s="59" t="n">
        <f aca="false">IF(AND(ISNUMBER(AB106),ISNUMBER(AB81)),IFERROR(AB106/AB81,""),"")</f>
        <v>0.0344677123338317</v>
      </c>
      <c r="AC180" s="59" t="n">
        <f aca="false">IF(AND(ISNUMBER(AC106),ISNUMBER(AC81)),IFERROR(AC106/AC81,""),"")</f>
        <v>0.0394130068503325</v>
      </c>
      <c r="AD180" s="59" t="n">
        <f aca="false">IF(AND(ISNUMBER(AD106),ISNUMBER(AD81)),IFERROR(AD106/AD81,""),"")</f>
        <v>0.0359169434482411</v>
      </c>
      <c r="AE180" s="59" t="n">
        <f aca="false">IF(AND(ISNUMBER(AE106),ISNUMBER(AE81)),IFERROR(AE106/AE81,""),"")</f>
        <v>0.049148425284789</v>
      </c>
      <c r="AF180" s="59" t="n">
        <f aca="false">IF(AND(ISNUMBER(AF106),ISNUMBER(AF81)),IFERROR(AF106/AF81,""),"")</f>
        <v>0.0411555667281795</v>
      </c>
      <c r="AG180" s="59" t="n">
        <f aca="false">IF(AND(ISNUMBER(AG106),ISNUMBER(AG81)),IFERROR(AG106/AG81,""),"")</f>
        <v>0.135198484929979</v>
      </c>
      <c r="AH180" s="59" t="n">
        <f aca="false">IF(AND(ISNUMBER(AH106),ISNUMBER(AH81)),IFERROR(AH106/AH81,""),"")</f>
        <v>0.0661264698841503</v>
      </c>
      <c r="AI180" s="59" t="n">
        <f aca="false">IF(AND(ISNUMBER(AI106),ISNUMBER(AI81)),IFERROR(AI106/AI81,""),"")</f>
        <v>0.05377986532758</v>
      </c>
      <c r="AJ180" s="59" t="n">
        <f aca="false">IF(AND(ISNUMBER(AJ106),ISNUMBER(AJ81)),IFERROR(AJ106/AJ81,""),"")</f>
        <v>0.0706292042581379</v>
      </c>
      <c r="AK180" s="59" t="n">
        <f aca="false">IF(AND(ISNUMBER(AK106),ISNUMBER(AK81)),IFERROR(AK106/AK81,""),"")</f>
        <v>0.0662535658728927</v>
      </c>
      <c r="AL180" s="59" t="n">
        <f aca="false">IF(AND(ISNUMBER(AL106),ISNUMBER(AL81)),IFERROR(AL106/AL81,""),"")</f>
        <v>0.0623970497848802</v>
      </c>
      <c r="AM180" s="59" t="n">
        <f aca="false">IF(AND(ISNUMBER(AM106),ISNUMBER(AM81)),IFERROR(AM106/AM81,""),"")</f>
        <v>0.0634767744818301</v>
      </c>
      <c r="AN180" s="59" t="n">
        <f aca="false">IF(AND(ISNUMBER(AN106),ISNUMBER(AN81)),IFERROR(AN106/AN81,""),"")</f>
        <v>0.0542130234008147</v>
      </c>
      <c r="AO180" s="59" t="n">
        <f aca="false">IF(AND(ISNUMBER(AO106),ISNUMBER(AO81)),IFERROR(AO106/AO81,""),"")</f>
        <v>0.0798651428817631</v>
      </c>
      <c r="AP180" s="59" t="n">
        <f aca="false">IF(AND(ISNUMBER(AP106),ISNUMBER(AP81)),IFERROR(AP106/AP81,""),"")</f>
        <v>0.0703105839096933</v>
      </c>
      <c r="AQ180" s="59" t="n">
        <f aca="false">IF(AND(ISNUMBER(AQ106),ISNUMBER(AQ81)),IFERROR(AQ106/AQ81,""),"")</f>
        <v>0.0483427939467121</v>
      </c>
      <c r="AR180" s="59" t="n">
        <f aca="false">IF(AND(ISNUMBER(AR106),ISNUMBER(AR81)),IFERROR(AR106/AR81,""),"")</f>
        <v>0.0636462597978995</v>
      </c>
      <c r="AS180" s="59" t="n">
        <f aca="false">IF(AND(ISNUMBER(AS106),ISNUMBER(AS81)),IFERROR(AS106/AS81,""),"")</f>
        <v>0.0629732345271911</v>
      </c>
      <c r="AT180" s="59" t="n">
        <f aca="false">IF(AND(ISNUMBER(AT106),ISNUMBER(AT81)),IFERROR(AT106/AT81,""),"")</f>
        <v>0.0680532103684641</v>
      </c>
      <c r="AU180" s="59" t="n">
        <f aca="false">IF(AND(ISNUMBER(AU106),ISNUMBER(AU81)),IFERROR(AU106/AU81,""),"")</f>
        <v>0.0862925708492774</v>
      </c>
      <c r="AV180" s="59" t="n">
        <f aca="false">IF(AND(ISNUMBER(AV106),ISNUMBER(AV81)),IFERROR(AV106/AV81,""),"")</f>
        <v>0.0844439034423128</v>
      </c>
      <c r="AW180" s="59" t="n">
        <f aca="false">IF(AND(ISNUMBER(AW106),ISNUMBER(AW81)),IFERROR(AW106/AW81,""),"")</f>
        <v>0.0759123030170669</v>
      </c>
      <c r="AX180" s="59" t="n">
        <f aca="false">IF(AND(ISNUMBER(AX106),ISNUMBER(AX81)),IFERROR(AX106/AX81,""),"")</f>
        <v>0.0770357424691265</v>
      </c>
      <c r="AY180" s="59" t="n">
        <f aca="false">IF(AND(ISNUMBER(AY106),ISNUMBER(AY81)),IFERROR(AY106/AY81,""),"")</f>
        <v>0.109347788417613</v>
      </c>
      <c r="AZ180" s="59" t="n">
        <f aca="false">IF(AND(ISNUMBER(AZ106),ISNUMBER(AZ81)),IFERROR(AZ106/AZ81,""),"")</f>
        <v>0.1293523699482</v>
      </c>
      <c r="BA180" s="59" t="n">
        <f aca="false">IF(AND(ISNUMBER(BA106),ISNUMBER(BA81)),IFERROR(BA106/BA81,""),"")</f>
        <v>0.119532119770338</v>
      </c>
      <c r="BB180" s="59" t="n">
        <f aca="false">IF(AND(ISNUMBER(BB106),ISNUMBER(BB81)),IFERROR(BB106/BB81,""),"")</f>
        <v>0.110645588070803</v>
      </c>
      <c r="BC180" s="59" t="n">
        <f aca="false">IF(AND(ISNUMBER(BC106),ISNUMBER(BC81)),IFERROR(BC106/BC81,""),"")</f>
        <v>0.120118085466776</v>
      </c>
      <c r="BD180" s="59" t="n">
        <f aca="false">IF(AND(ISNUMBER(BD106),ISNUMBER(BD81)),IFERROR(BD106/BD81,""),"")</f>
        <v>0.146528621669255</v>
      </c>
      <c r="BE180" s="59" t="n">
        <f aca="false">IF(AND(ISNUMBER(BE106),ISNUMBER(BE81)),IFERROR(BE106/BE81,""),"")</f>
        <v>0.134177950849895</v>
      </c>
      <c r="BF180" s="59" t="n">
        <f aca="false">IF(AND(ISNUMBER(BF106),ISNUMBER(BF81)),IFERROR(BF106/BF81,""),"")</f>
        <v>0.10806647898665</v>
      </c>
      <c r="BG180" s="59" t="n">
        <f aca="false">IF(AND(ISNUMBER(BG106),ISNUMBER(BG81)),IFERROR(BG106/BG81,""),"")</f>
        <v>0.12801386218118</v>
      </c>
      <c r="BH180" s="59" t="n">
        <f aca="false">IF(AND(ISNUMBER(BH106),ISNUMBER(BH81)),IFERROR(BH106/BH81,""),"")</f>
        <v>0.115205098897106</v>
      </c>
      <c r="BI180" s="59" t="n">
        <f aca="false">IF(AND(ISNUMBER(BI106),ISNUMBER(BI81)),IFERROR(BI106/BI81,""),"")</f>
        <v>0.131465746837848</v>
      </c>
      <c r="BJ180" s="59" t="n">
        <f aca="false">IF(AND(ISNUMBER(BJ106),ISNUMBER(BJ81)),IFERROR(BJ106/BJ81,""),"")</f>
        <v>0.126702909394899</v>
      </c>
      <c r="BK180" s="59" t="n">
        <f aca="false">IF(AND(ISNUMBER(BK106),ISNUMBER(BK81)),IFERROR(BK106/BK81,""),"")</f>
        <v>0.118791370890869</v>
      </c>
      <c r="BL180" s="59" t="n">
        <f aca="false">IF(AND(ISNUMBER(BL106),ISNUMBER(BL81)),IFERROR(BL106/BL81,""),"")</f>
        <v>0.123152958961739</v>
      </c>
      <c r="BM180" s="59" t="n">
        <f aca="false">IF(AND(ISNUMBER(BM106),ISNUMBER(BM81)),IFERROR(BM106/BM81,""),"")</f>
        <v>0.120161637574111</v>
      </c>
      <c r="BN180" s="59" t="n">
        <f aca="false">IF(AND(ISNUMBER(BN106),ISNUMBER(BN81)),IFERROR(BN106/BN81,""),"")</f>
        <v>0.12453051586164</v>
      </c>
      <c r="BO180" s="59" t="n">
        <f aca="false">IF(AND(ISNUMBER(BO106),ISNUMBER(BO81)),IFERROR(BO106/BO81,""),"")</f>
        <v>0.110138545997342</v>
      </c>
      <c r="BP180" s="59" t="n">
        <f aca="false">IF(AND(ISNUMBER(BP106),ISNUMBER(BP81)),IFERROR(BP106/BP81,""),"")</f>
        <v>0.0964608746793216</v>
      </c>
      <c r="BQ180" s="59" t="n">
        <f aca="false">IF(AND(ISNUMBER(BQ106),ISNUMBER(BQ81)),IFERROR(BQ106/BQ81,""),"")</f>
        <v>0.112825382026092</v>
      </c>
      <c r="BR180" s="59" t="n">
        <f aca="false">IF(AND(ISNUMBER(BR106),ISNUMBER(BR81)),IFERROR(BR106/BR81,""),"")</f>
        <v>0.0632447703393329</v>
      </c>
      <c r="BS180" s="59" t="n">
        <f aca="false">IF(AND(ISNUMBER(BS106),ISNUMBER(BS81)),IFERROR(BS106/BS81,""),"")</f>
        <v>0.0873695869002526</v>
      </c>
      <c r="BT180" s="59" t="n">
        <f aca="false">IF(AND(ISNUMBER(BT106),ISNUMBER(BT81)),IFERROR(BT106/BT81,""),"")</f>
        <v>0.102800710777425</v>
      </c>
      <c r="BU180" s="59" t="n">
        <f aca="false">IF(AND(ISNUMBER(BU106),ISNUMBER(BU81)),IFERROR(BU106/BU81,""),"")</f>
        <v>0.0601542878554647</v>
      </c>
      <c r="BV180" s="59" t="n">
        <f aca="false">IF(AND(ISNUMBER(BV106),ISNUMBER(BV81)),IFERROR(BV106/BV81,""),"")</f>
        <v>0.0788538799599047</v>
      </c>
      <c r="BW180" s="59" t="n">
        <f aca="false">IF(AND(ISNUMBER(BW106),ISNUMBER(BW81)),IFERROR(BW106/BW81,""),"")</f>
        <v>0.0618548645168972</v>
      </c>
      <c r="BX180" s="59" t="n">
        <f aca="false">IF(AND(ISNUMBER(BX106),ISNUMBER(BX81)),IFERROR(BX106/BX81,""),"")</f>
        <v>0.0985474033292421</v>
      </c>
      <c r="BY180" s="52" t="n">
        <f aca="false">IF(AND(ISNUMBER(BY106),ISNUMBER(BY81)),IFERROR(BY106/BY81,""),"")</f>
        <v>0.0914178748872628</v>
      </c>
      <c r="BZ180" s="52" t="n">
        <f aca="false">IF(AND(ISNUMBER(BZ106),ISNUMBER(BZ81)),IFERROR(BZ106/BZ81,""),"")</f>
        <v>0.0878057033084807</v>
      </c>
      <c r="CA180" s="30" t="n">
        <f aca="false">IF(AND(ISNUMBER(CA106),ISNUMBER(CA81)),IFERROR(CA106/CA81,""),"")</f>
        <v>0.0859144876673203</v>
      </c>
      <c r="CB180" s="30" t="n">
        <f aca="false">IF(AND(ISNUMBER(CB106),ISNUMBER(CB81)),IFERROR(CB106/CB81,""),"")</f>
        <v>0.0979032134276858</v>
      </c>
      <c r="CC180" s="30" t="n">
        <f aca="false">IF(AND(ISNUMBER(CC106),ISNUMBER(CC81)),IFERROR(CC106/CC81,""),"")</f>
        <v>0.098548779571069</v>
      </c>
      <c r="CD180" s="30" t="n">
        <f aca="false">IF(AND(ISNUMBER(CD106),ISNUMBER(CD81)),IFERROR(CD106/CD81,""),"")</f>
        <v>0.100158107757021</v>
      </c>
      <c r="CE180" s="30" t="n">
        <f aca="false">IF(AND(ISNUMBER(CE106),ISNUMBER(CE81)),IFERROR(CE106/CE81,""),"")</f>
        <v>0.105701045502077</v>
      </c>
      <c r="CF180" s="21"/>
      <c r="CH180" s="64" t="n">
        <f aca="false">IFERROR(AVERAGE(CA180,CB180,CC180,CD180,CE180),"n/m")</f>
        <v>0.0976451267850345</v>
      </c>
      <c r="CI180" s="64" t="n">
        <f aca="false">IFERROR(AVERAGE(BB180,BG180,BL180,BQ180,BV180),"n/m")</f>
        <v>0.110698334239944</v>
      </c>
      <c r="CJ180" s="64" t="n">
        <f aca="false">IFERROR(AVERAGE(AC180,AH180,AM180,AR180,AW180,BB180,BG180,BL180,BQ180,BV180),"n/m")</f>
        <v>0.0862066485230999</v>
      </c>
      <c r="CK180" s="64" t="n">
        <f aca="false">IFERROR(AVERAGE(C180,D180,E180,F180,G180,H180,I180,N180,S180,X180,AC180,AH180,AM180,AR180,AW180,BB180,BG180,BL180,BQ180,BV180),"n/m")</f>
        <v>0.0497205985475836</v>
      </c>
    </row>
    <row r="181" customFormat="false" ht="15" hidden="false" customHeight="true" outlineLevel="0" collapsed="false">
      <c r="B181" s="22" t="s">
        <v>345</v>
      </c>
      <c r="C181" s="59" t="n">
        <f aca="false">IF(AND(ISNUMBER(C82),ISNUMBER(C81)),IFERROR(C82/C81,""),"")</f>
        <v>0.541826238256484</v>
      </c>
      <c r="D181" s="59" t="n">
        <f aca="false">IF(AND(ISNUMBER(D82),ISNUMBER(D81)),IFERROR(D82/D81,""),"")</f>
        <v>0.537431245857336</v>
      </c>
      <c r="E181" s="59" t="n">
        <f aca="false">IF(AND(ISNUMBER(E82),ISNUMBER(E81)),IFERROR(E82/E81,""),"")</f>
        <v>0.521977909999893</v>
      </c>
      <c r="F181" s="59" t="n">
        <f aca="false">IF(AND(ISNUMBER(F82),ISNUMBER(F81)),IFERROR(F82/F81,""),"")</f>
        <v>0.572900142614713</v>
      </c>
      <c r="G181" s="59" t="n">
        <f aca="false">IF(AND(ISNUMBER(G82),ISNUMBER(G81)),IFERROR(G82/G81,""),"")</f>
        <v>0.53308776283429</v>
      </c>
      <c r="H181" s="59" t="n">
        <f aca="false">IF(AND(ISNUMBER(H82),ISNUMBER(H81)),IFERROR(H82/H81,""),"")</f>
        <v>0.498898297845905</v>
      </c>
      <c r="I181" s="59" t="n">
        <f aca="false">IF(AND(ISNUMBER(I82),ISNUMBER(I81)),IFERROR(I82/I81,""),"")</f>
        <v>0.497647629562411</v>
      </c>
      <c r="J181" s="59" t="n">
        <f aca="false">IF(AND(ISNUMBER(J82),ISNUMBER(J81)),IFERROR(J82/J81,""),"")</f>
        <v>0.499841122007341</v>
      </c>
      <c r="K181" s="59" t="n">
        <f aca="false">IF(AND(ISNUMBER(K82),ISNUMBER(K81)),IFERROR(K82/K81,""),"")</f>
        <v>0.49326797854777</v>
      </c>
      <c r="L181" s="59" t="n">
        <f aca="false">IF(AND(ISNUMBER(L82),ISNUMBER(L81)),IFERROR(L82/L81,""),"")</f>
        <v>0.50259820462866</v>
      </c>
      <c r="M181" s="59" t="n">
        <f aca="false">IF(AND(ISNUMBER(M82),ISNUMBER(M81)),IFERROR(M82/M81,""),"")</f>
        <v>0.514988110350253</v>
      </c>
      <c r="N181" s="59" t="n">
        <f aca="false">IF(AND(ISNUMBER(N82),ISNUMBER(N81)),IFERROR(N82/N81,""),"")</f>
        <v>0.502580998583084</v>
      </c>
      <c r="O181" s="59" t="n">
        <f aca="false">IF(AND(ISNUMBER(O82),ISNUMBER(O81)),IFERROR(O82/O81,""),"")</f>
        <v>0.501191071964768</v>
      </c>
      <c r="P181" s="59" t="n">
        <f aca="false">IF(AND(ISNUMBER(P82),ISNUMBER(P81)),IFERROR(P82/P81,""),"")</f>
        <v>0.484880402180394</v>
      </c>
      <c r="Q181" s="59" t="n">
        <f aca="false">IF(AND(ISNUMBER(Q82),ISNUMBER(Q81)),IFERROR(Q82/Q81,""),"")</f>
        <v>0.500243576789838</v>
      </c>
      <c r="R181" s="59" t="n">
        <f aca="false">IF(AND(ISNUMBER(R82),ISNUMBER(R81)),IFERROR(R82/R81,""),"")</f>
        <v>0.525932671937167</v>
      </c>
      <c r="S181" s="59" t="n">
        <f aca="false">IF(AND(ISNUMBER(S82),ISNUMBER(S81)),IFERROR(S82/S81,""),"")</f>
        <v>0.502729264077226</v>
      </c>
      <c r="T181" s="59" t="n">
        <f aca="false">IF(AND(ISNUMBER(T82),ISNUMBER(T81)),IFERROR(T82/T81,""),"")</f>
        <v>0.538283814867143</v>
      </c>
      <c r="U181" s="59" t="n">
        <f aca="false">IF(AND(ISNUMBER(U82),ISNUMBER(U81)),IFERROR(U82/U81,""),"")</f>
        <v>0.526972301224187</v>
      </c>
      <c r="V181" s="59" t="n">
        <f aca="false">IF(AND(ISNUMBER(V82),ISNUMBER(V81)),IFERROR(V82/V81,""),"")</f>
        <v>0.559973392097705</v>
      </c>
      <c r="W181" s="59" t="n">
        <f aca="false">IF(AND(ISNUMBER(W82),ISNUMBER(W81)),IFERROR(W82/W81,""),"")</f>
        <v>0.571454400055631</v>
      </c>
      <c r="X181" s="59" t="n">
        <f aca="false">IF(AND(ISNUMBER(X82),ISNUMBER(X81)),IFERROR(X82/X81,""),"")</f>
        <v>0.548732468634115</v>
      </c>
      <c r="Y181" s="59" t="n">
        <f aca="false">IF(AND(ISNUMBER(Y82),ISNUMBER(Y81)),IFERROR(Y82/Y81,""),"")</f>
        <v>0.587304379619952</v>
      </c>
      <c r="Z181" s="59" t="n">
        <f aca="false">IF(AND(ISNUMBER(Z82),ISNUMBER(Z81)),IFERROR(Z82/Z81,""),"")</f>
        <v>0.564030714480371</v>
      </c>
      <c r="AA181" s="59" t="n">
        <f aca="false">IF(AND(ISNUMBER(AA82),ISNUMBER(AA81)),IFERROR(AA82/AA81,""),"")</f>
        <v>0.564675359149544</v>
      </c>
      <c r="AB181" s="59" t="n">
        <f aca="false">IF(AND(ISNUMBER(AB82),ISNUMBER(AB81)),IFERROR(AB82/AB81,""),"")</f>
        <v>0.570139529616319</v>
      </c>
      <c r="AC181" s="59" t="n">
        <f aca="false">IF(AND(ISNUMBER(AC82),ISNUMBER(AC81)),IFERROR(AC82/AC81,""),"")</f>
        <v>0.571240749753176</v>
      </c>
      <c r="AD181" s="59" t="n">
        <f aca="false">IF(AND(ISNUMBER(AD82),ISNUMBER(AD81)),IFERROR(AD82/AD81,""),"")</f>
        <v>0.570605323668846</v>
      </c>
      <c r="AE181" s="59" t="n">
        <f aca="false">IF(AND(ISNUMBER(AE82),ISNUMBER(AE81)),IFERROR(AE82/AE81,""),"")</f>
        <v>0.548324771052044</v>
      </c>
      <c r="AF181" s="59" t="n">
        <f aca="false">IF(AND(ISNUMBER(AF82),ISNUMBER(AF81)),IFERROR(AF82/AF81,""),"")</f>
        <v>0.556815649799178</v>
      </c>
      <c r="AG181" s="59" t="n">
        <f aca="false">IF(AND(ISNUMBER(AG82),ISNUMBER(AG81)),IFERROR(AG82/AG81,""),"")</f>
        <v>0.550823635318796</v>
      </c>
      <c r="AH181" s="59" t="n">
        <f aca="false">IF(AND(ISNUMBER(AH82),ISNUMBER(AH81)),IFERROR(AH82/AH81,""),"")</f>
        <v>0.556245511458024</v>
      </c>
      <c r="AI181" s="59" t="n">
        <f aca="false">IF(AND(ISNUMBER(AI82),ISNUMBER(AI81)),IFERROR(AI82/AI81,""),"")</f>
        <v>0.537477883428164</v>
      </c>
      <c r="AJ181" s="59" t="n">
        <f aca="false">IF(AND(ISNUMBER(AJ82),ISNUMBER(AJ81)),IFERROR(AJ82/AJ81,""),"")</f>
        <v>0.514088055008723</v>
      </c>
      <c r="AK181" s="59" t="n">
        <f aca="false">IF(AND(ISNUMBER(AK82),ISNUMBER(AK81)),IFERROR(AK82/AK81,""),"")</f>
        <v>0.527854930656403</v>
      </c>
      <c r="AL181" s="59" t="n">
        <f aca="false">IF(AND(ISNUMBER(AL82),ISNUMBER(AL81)),IFERROR(AL82/AL81,""),"")</f>
        <v>0.53240811309158</v>
      </c>
      <c r="AM181" s="59" t="n">
        <f aca="false">IF(AND(ISNUMBER(AM82),ISNUMBER(AM81)),IFERROR(AM82/AM81,""),"")</f>
        <v>0.527691463972829</v>
      </c>
      <c r="AN181" s="59" t="n">
        <f aca="false">IF(AND(ISNUMBER(AN82),ISNUMBER(AN81)),IFERROR(AN82/AN81,""),"")</f>
        <v>0.536679461450032</v>
      </c>
      <c r="AO181" s="59" t="n">
        <f aca="false">IF(AND(ISNUMBER(AO82),ISNUMBER(AO81)),IFERROR(AO82/AO81,""),"")</f>
        <v>0.512045584291085</v>
      </c>
      <c r="AP181" s="59" t="n">
        <f aca="false">IF(AND(ISNUMBER(AP82),ISNUMBER(AP81)),IFERROR(AP82/AP81,""),"")</f>
        <v>0.533518450983278</v>
      </c>
      <c r="AQ181" s="59" t="n">
        <f aca="false">IF(AND(ISNUMBER(AQ82),ISNUMBER(AQ81)),IFERROR(AQ82/AQ81,""),"")</f>
        <v>0.541022197645944</v>
      </c>
      <c r="AR181" s="59" t="n">
        <f aca="false">IF(AND(ISNUMBER(AR82),ISNUMBER(AR81)),IFERROR(AR82/AR81,""),"")</f>
        <v>0.530526910817777</v>
      </c>
      <c r="AS181" s="59" t="n">
        <f aca="false">IF(AND(ISNUMBER(AS82),ISNUMBER(AS81)),IFERROR(AS82/AS81,""),"")</f>
        <v>0.534603804693591</v>
      </c>
      <c r="AT181" s="59" t="n">
        <f aca="false">IF(AND(ISNUMBER(AT82),ISNUMBER(AT81)),IFERROR(AT82/AT81,""),"")</f>
        <v>0.536401555556619</v>
      </c>
      <c r="AU181" s="59" t="n">
        <f aca="false">IF(AND(ISNUMBER(AU82),ISNUMBER(AU81)),IFERROR(AU82/AU81,""),"")</f>
        <v>0.523692596608874</v>
      </c>
      <c r="AV181" s="59" t="n">
        <f aca="false">IF(AND(ISNUMBER(AV82),ISNUMBER(AV81)),IFERROR(AV82/AV81,""),"")</f>
        <v>0.520997645241583</v>
      </c>
      <c r="AW181" s="59" t="n">
        <f aca="false">IF(AND(ISNUMBER(AW82),ISNUMBER(AW81)),IFERROR(AW82/AW81,""),"")</f>
        <v>0.528576586701025</v>
      </c>
      <c r="AX181" s="59" t="n">
        <f aca="false">IF(AND(ISNUMBER(AX82),ISNUMBER(AX81)),IFERROR(AX82/AX81,""),"")</f>
        <v>0.504957919656912</v>
      </c>
      <c r="AY181" s="59" t="n">
        <f aca="false">IF(AND(ISNUMBER(AY82),ISNUMBER(AY81)),IFERROR(AY82/AY81,""),"")</f>
        <v>0.470454183462184</v>
      </c>
      <c r="AZ181" s="59" t="n">
        <f aca="false">IF(AND(ISNUMBER(AZ82),ISNUMBER(AZ81)),IFERROR(AZ82/AZ81,""),"")</f>
        <v>0.449658885845223</v>
      </c>
      <c r="BA181" s="59" t="n">
        <f aca="false">IF(AND(ISNUMBER(BA82),ISNUMBER(BA81)),IFERROR(BA82/BA81,""),"")</f>
        <v>0.443042323455106</v>
      </c>
      <c r="BB181" s="59" t="n">
        <f aca="false">IF(AND(ISNUMBER(BB82),ISNUMBER(BB81)),IFERROR(BB82/BB81,""),"")</f>
        <v>0.464762153603087</v>
      </c>
      <c r="BC181" s="59" t="n">
        <f aca="false">IF(AND(ISNUMBER(BC82),ISNUMBER(BC81)),IFERROR(BC82/BC81,""),"")</f>
        <v>0.437773738082563</v>
      </c>
      <c r="BD181" s="59" t="n">
        <f aca="false">IF(AND(ISNUMBER(BD82),ISNUMBER(BD81)),IFERROR(BD82/BD81,""),"")</f>
        <v>0.395748664751313</v>
      </c>
      <c r="BE181" s="59" t="n">
        <f aca="false">IF(AND(ISNUMBER(BE82),ISNUMBER(BE81)),IFERROR(BE82/BE81,""),"")</f>
        <v>0.407432688973232</v>
      </c>
      <c r="BF181" s="59" t="n">
        <f aca="false">IF(AND(ISNUMBER(BF82),ISNUMBER(BF81)),IFERROR(BF82/BF81,""),"")</f>
        <v>0.438867758789494</v>
      </c>
      <c r="BG181" s="59" t="n">
        <f aca="false">IF(AND(ISNUMBER(BG82),ISNUMBER(BG81)),IFERROR(BG82/BG81,""),"")</f>
        <v>0.418880774998505</v>
      </c>
      <c r="BH181" s="59" t="n">
        <f aca="false">IF(AND(ISNUMBER(BH82),ISNUMBER(BH81)),IFERROR(BH82/BH81,""),"")</f>
        <v>0.452596758688033</v>
      </c>
      <c r="BI181" s="59" t="n">
        <f aca="false">IF(AND(ISNUMBER(BI82),ISNUMBER(BI81)),IFERROR(BI82/BI81,""),"")</f>
        <v>0.449003918678072</v>
      </c>
      <c r="BJ181" s="59" t="n">
        <f aca="false">IF(AND(ISNUMBER(BJ82),ISNUMBER(BJ81)),IFERROR(BJ82/BJ81,""),"")</f>
        <v>0.444569009113145</v>
      </c>
      <c r="BK181" s="59" t="n">
        <f aca="false">IF(AND(ISNUMBER(BK82),ISNUMBER(BK81)),IFERROR(BK82/BK81,""),"")</f>
        <v>0.460413083186444</v>
      </c>
      <c r="BL181" s="59" t="n">
        <f aca="false">IF(AND(ISNUMBER(BL82),ISNUMBER(BL81)),IFERROR(BL82/BL81,""),"")</f>
        <v>0.45160862667985</v>
      </c>
      <c r="BM181" s="59" t="n">
        <f aca="false">IF(AND(ISNUMBER(BM82),ISNUMBER(BM81)),IFERROR(BM82/BM81,""),"")</f>
        <v>0.452734921002948</v>
      </c>
      <c r="BN181" s="59" t="n">
        <f aca="false">IF(AND(ISNUMBER(BN82),ISNUMBER(BN81)),IFERROR(BN82/BN81,""),"")</f>
        <v>0.452162420861859</v>
      </c>
      <c r="BO181" s="59" t="n">
        <f aca="false">IF(AND(ISNUMBER(BO82),ISNUMBER(BO81)),IFERROR(BO82/BO81,""),"")</f>
        <v>0.472785395610751</v>
      </c>
      <c r="BP181" s="59" t="n">
        <f aca="false">IF(AND(ISNUMBER(BP82),ISNUMBER(BP81)),IFERROR(BP82/BP81,""),"")</f>
        <v>0.476277390766485</v>
      </c>
      <c r="BQ181" s="59" t="n">
        <f aca="false">IF(AND(ISNUMBER(BQ82),ISNUMBER(BQ81)),IFERROR(BQ82/BQ81,""),"")</f>
        <v>0.463637485455306</v>
      </c>
      <c r="BR181" s="59" t="n">
        <f aca="false">IF(AND(ISNUMBER(BR82),ISNUMBER(BR81)),IFERROR(BR82/BR81,""),"")</f>
        <v>0.494246262260737</v>
      </c>
      <c r="BS181" s="59" t="n">
        <f aca="false">IF(AND(ISNUMBER(BS82),ISNUMBER(BS81)),IFERROR(BS82/BS81,""),"")</f>
        <v>0.478482220984806</v>
      </c>
      <c r="BT181" s="59" t="n">
        <f aca="false">IF(AND(ISNUMBER(BT82),ISNUMBER(BT81)),IFERROR(BT82/BT81,""),"")</f>
        <v>0.477652433650452</v>
      </c>
      <c r="BU181" s="59" t="n">
        <f aca="false">IF(AND(ISNUMBER(BU82),ISNUMBER(BU81)),IFERROR(BU82/BU81,""),"")</f>
        <v>0.504466094142429</v>
      </c>
      <c r="BV181" s="59" t="n">
        <f aca="false">IF(AND(ISNUMBER(BV82),ISNUMBER(BV81)),IFERROR(BV82/BV81,""),"")</f>
        <v>0.488451856143829</v>
      </c>
      <c r="BW181" s="59" t="n">
        <f aca="false">IF(AND(ISNUMBER(BW82),ISNUMBER(BW81)),IFERROR(BW82/BW81,""),"")</f>
        <v>0.487823513506138</v>
      </c>
      <c r="BX181" s="59" t="n">
        <f aca="false">IF(AND(ISNUMBER(BX82),ISNUMBER(BX81)),IFERROR(BX82/BX81,""),"")</f>
        <v>0.454142942872616</v>
      </c>
      <c r="BY181" s="52" t="n">
        <f aca="false">IF(AND(ISNUMBER(BY82),ISNUMBER(BY81)),IFERROR(BY82/BY81,""),"")</f>
        <v>0.46654074463091</v>
      </c>
      <c r="BZ181" s="52" t="n">
        <f aca="false">IF(AND(ISNUMBER(BZ82),ISNUMBER(BZ81)),IFERROR(BZ82/BZ81,""),"")</f>
        <v>0.460467123617575</v>
      </c>
      <c r="CA181" s="30" t="n">
        <f aca="false">IF(AND(ISNUMBER(CA82),ISNUMBER(CA81)),IFERROR(CA82/CA81,""),"")</f>
        <v>0.466364642034123</v>
      </c>
      <c r="CB181" s="30" t="n">
        <f aca="false">IF(AND(ISNUMBER(CB82),ISNUMBER(CB81)),IFERROR(CB82/CB81,""),"")</f>
        <v>0.455105221580195</v>
      </c>
      <c r="CC181" s="30" t="n">
        <f aca="false">IF(AND(ISNUMBER(CC82),ISNUMBER(CC81)),IFERROR(CC82/CC81,""),"")</f>
        <v>0.456700182587457</v>
      </c>
      <c r="CD181" s="30" t="n">
        <f aca="false">IF(AND(ISNUMBER(CD82),ISNUMBER(CD81)),IFERROR(CD82/CD81,""),"")</f>
        <v>0.456867600075286</v>
      </c>
      <c r="CE181" s="30" t="n">
        <f aca="false">IF(AND(ISNUMBER(CE82),ISNUMBER(CE81)),IFERROR(CE82/CE81,""),"")</f>
        <v>0.450309691940234</v>
      </c>
      <c r="CF181" s="21"/>
      <c r="CH181" s="64" t="n">
        <f aca="false">IFERROR(AVERAGE(CA181,CB181,CC181,CD181,CE181),"n/m")</f>
        <v>0.457069467643459</v>
      </c>
      <c r="CI181" s="64" t="n">
        <f aca="false">IFERROR(AVERAGE(BB181,BG181,BL181,BQ181,BV181),"n/m")</f>
        <v>0.457468179376115</v>
      </c>
      <c r="CJ181" s="64" t="n">
        <f aca="false">IFERROR(AVERAGE(AC181,AH181,AM181,AR181,AW181,BB181,BG181,BL181,BQ181,BV181),"n/m")</f>
        <v>0.500162211958341</v>
      </c>
      <c r="CK181" s="64" t="n">
        <f aca="false">IFERROR(AVERAGE(C181,D181,E181,F181,G181,H181,I181,N181,S181,X181,AC181,AH181,AM181,AR181,AW181,BB181,BG181,BL181,BQ181,BV181),"n/m")</f>
        <v>0.512971703892443</v>
      </c>
    </row>
    <row r="182" customFormat="false" ht="15" hidden="false" customHeight="true" outlineLevel="0" collapsed="false"/>
    <row r="183" customFormat="false" ht="15" hidden="false" customHeight="true" outlineLevel="0" collapsed="false">
      <c r="B183" s="11" t="s">
        <v>346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 t="s">
        <v>347</v>
      </c>
    </row>
    <row r="184" customFormat="false" ht="15" hidden="false" customHeight="true" outlineLevel="0" collapsed="false">
      <c r="B184" s="17" t="s">
        <v>262</v>
      </c>
      <c r="C184" s="104" t="n">
        <v>-20.681</v>
      </c>
      <c r="D184" s="104" t="n">
        <v>18.342</v>
      </c>
      <c r="E184" s="104" t="n">
        <v>-20.727</v>
      </c>
      <c r="F184" s="104" t="n">
        <v>-7.875</v>
      </c>
      <c r="G184" s="104" t="n">
        <v>1.957</v>
      </c>
      <c r="H184" s="104" t="n">
        <v>11.373</v>
      </c>
      <c r="I184" s="104" t="n">
        <v>32.048</v>
      </c>
      <c r="J184" s="104" t="n">
        <v>9.155</v>
      </c>
      <c r="K184" s="104" t="n">
        <v>13.5</v>
      </c>
      <c r="L184" s="104" t="n">
        <v>12.908</v>
      </c>
      <c r="M184" s="104" t="n">
        <v>8.064</v>
      </c>
      <c r="N184" s="104" t="n">
        <v>43.627</v>
      </c>
      <c r="O184" s="104" t="n">
        <v>8.576</v>
      </c>
      <c r="P184" s="104" t="n">
        <v>13.568</v>
      </c>
      <c r="Q184" s="104" t="n">
        <v>16.278</v>
      </c>
      <c r="R184" s="104" t="n">
        <v>13.569</v>
      </c>
      <c r="S184" s="104" t="n">
        <v>51.991</v>
      </c>
      <c r="T184" s="104" t="n">
        <v>12.605</v>
      </c>
      <c r="U184" s="104" t="n">
        <v>19.247</v>
      </c>
      <c r="V184" s="104" t="n">
        <v>11.777</v>
      </c>
      <c r="W184" s="104" t="n">
        <v>11.387</v>
      </c>
      <c r="X184" s="104" t="n">
        <v>55.016</v>
      </c>
      <c r="Y184" s="104" t="n">
        <v>10.575</v>
      </c>
      <c r="Z184" s="104" t="n">
        <v>13.275</v>
      </c>
      <c r="AA184" s="104" t="n">
        <v>13.826</v>
      </c>
      <c r="AB184" s="104" t="n">
        <v>10.348</v>
      </c>
      <c r="AC184" s="104" t="n">
        <v>48.024</v>
      </c>
      <c r="AD184" s="104" t="n">
        <v>11.387</v>
      </c>
      <c r="AE184" s="104" t="n">
        <v>17.603</v>
      </c>
      <c r="AF184" s="104" t="n">
        <v>14.407</v>
      </c>
      <c r="AG184" s="104" t="n">
        <v>47.759</v>
      </c>
      <c r="AH184" s="104" t="n">
        <v>91.156</v>
      </c>
      <c r="AI184" s="104" t="n">
        <v>21.125</v>
      </c>
      <c r="AJ184" s="104" t="n">
        <v>30.281</v>
      </c>
      <c r="AK184" s="104" t="n">
        <v>28.195</v>
      </c>
      <c r="AL184" s="104" t="n">
        <v>25.38</v>
      </c>
      <c r="AM184" s="104" t="n">
        <v>104.981</v>
      </c>
      <c r="AN184" s="104" t="n">
        <v>22.259</v>
      </c>
      <c r="AO184" s="104" t="n">
        <v>37.073</v>
      </c>
      <c r="AP184" s="104" t="n">
        <v>32.968</v>
      </c>
      <c r="AQ184" s="104" t="n">
        <v>21.419</v>
      </c>
      <c r="AR184" s="104" t="n">
        <v>113.719</v>
      </c>
      <c r="AS184" s="104" t="n">
        <v>28.111</v>
      </c>
      <c r="AT184" s="104" t="n">
        <v>28.454</v>
      </c>
      <c r="AU184" s="104" t="n">
        <v>41.539</v>
      </c>
      <c r="AV184" s="104" t="n">
        <v>40.236</v>
      </c>
      <c r="AW184" s="104" t="n">
        <v>138.34</v>
      </c>
      <c r="AX184" s="104" t="n">
        <v>37.291</v>
      </c>
      <c r="AY184" s="104" t="n">
        <v>62.474</v>
      </c>
      <c r="AZ184" s="104" t="n">
        <v>79.709</v>
      </c>
      <c r="BA184" s="104" t="n">
        <v>73.761</v>
      </c>
      <c r="BB184" s="104" t="n">
        <v>253.235</v>
      </c>
      <c r="BC184" s="104" t="n">
        <v>79.424</v>
      </c>
      <c r="BD184" s="104" t="n">
        <v>109.245</v>
      </c>
      <c r="BE184" s="104" t="n">
        <v>97.891</v>
      </c>
      <c r="BF184" s="104" t="n">
        <v>70.862</v>
      </c>
      <c r="BG184" s="104" t="n">
        <v>357.422</v>
      </c>
      <c r="BH184" s="104" t="n">
        <v>76.097</v>
      </c>
      <c r="BI184" s="104" t="n">
        <v>91.319</v>
      </c>
      <c r="BJ184" s="104" t="n">
        <v>98.213</v>
      </c>
      <c r="BK184" s="104" t="n">
        <v>89.228</v>
      </c>
      <c r="BL184" s="104" t="n">
        <v>354.857</v>
      </c>
      <c r="BM184" s="104" t="n">
        <v>90.695</v>
      </c>
      <c r="BN184" s="104" t="n">
        <v>102.519</v>
      </c>
      <c r="BO184" s="104" t="n">
        <v>92.748</v>
      </c>
      <c r="BP184" s="104" t="n">
        <v>76.103</v>
      </c>
      <c r="BQ184" s="104" t="n">
        <v>362.065</v>
      </c>
      <c r="BR184" s="104" t="n">
        <v>49.81</v>
      </c>
      <c r="BS184" s="104" t="n">
        <v>71.391</v>
      </c>
      <c r="BT184" s="104" t="n">
        <v>86.316</v>
      </c>
      <c r="BU184" s="104" t="n">
        <v>47.519</v>
      </c>
      <c r="BV184" s="104" t="n">
        <v>255.036</v>
      </c>
      <c r="BW184" s="104" t="n">
        <v>49.869</v>
      </c>
      <c r="BX184" s="104" t="n">
        <v>94.26</v>
      </c>
      <c r="BY184" s="105"/>
      <c r="BZ184" s="105"/>
      <c r="CA184" s="69" t="n">
        <f aca="false">CA106</f>
        <v>320.944690423759</v>
      </c>
      <c r="CB184" s="69" t="n">
        <f aca="false">CB106</f>
        <v>399.361620706074</v>
      </c>
      <c r="CC184" s="69" t="n">
        <f aca="false">CC106</f>
        <v>426.948367208918</v>
      </c>
      <c r="CD184" s="69" t="n">
        <f aca="false">CD106</f>
        <v>464.645362429783</v>
      </c>
      <c r="CE184" s="69" t="n">
        <f aca="false">CE106</f>
        <v>530.360802507843</v>
      </c>
      <c r="CF184" s="21"/>
    </row>
    <row r="185" customFormat="false" ht="15" hidden="false" customHeight="true" outlineLevel="0" collapsed="false">
      <c r="B185" s="37" t="s">
        <v>348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90"/>
      <c r="BM185" s="42"/>
      <c r="BN185" s="42"/>
      <c r="BO185" s="42"/>
      <c r="BP185" s="42"/>
      <c r="BQ185" s="42"/>
      <c r="BR185" s="90"/>
      <c r="BS185" s="90"/>
      <c r="BT185" s="42"/>
      <c r="BU185" s="42"/>
      <c r="BV185" s="42"/>
      <c r="BW185" s="42"/>
      <c r="BX185" s="42"/>
      <c r="BY185" s="43"/>
      <c r="BZ185" s="43"/>
      <c r="CA185" s="43"/>
      <c r="CB185" s="43"/>
      <c r="CC185" s="43"/>
      <c r="CD185" s="43"/>
      <c r="CE185" s="43"/>
      <c r="CF185" s="21"/>
    </row>
    <row r="186" customFormat="false" ht="15" hidden="false" customHeight="true" outlineLevel="0" collapsed="false">
      <c r="B186" s="22" t="s">
        <v>241</v>
      </c>
      <c r="C186" s="83" t="n">
        <v>32.55</v>
      </c>
      <c r="D186" s="83" t="n">
        <v>38.685</v>
      </c>
      <c r="E186" s="83" t="n">
        <v>40.898</v>
      </c>
      <c r="F186" s="83" t="n">
        <v>39.342</v>
      </c>
      <c r="G186" s="83" t="n">
        <v>36.159</v>
      </c>
      <c r="H186" s="83" t="n">
        <v>37.278</v>
      </c>
      <c r="I186" s="83" t="n">
        <v>47.985</v>
      </c>
      <c r="J186" s="83" t="n">
        <v>11.634</v>
      </c>
      <c r="K186" s="83" t="n">
        <v>12.386</v>
      </c>
      <c r="L186" s="83" t="n">
        <v>13.745</v>
      </c>
      <c r="M186" s="83" t="n">
        <v>13.799</v>
      </c>
      <c r="N186" s="83" t="n">
        <v>51.564</v>
      </c>
      <c r="O186" s="83" t="n">
        <v>13.841</v>
      </c>
      <c r="P186" s="83" t="n">
        <v>15.087</v>
      </c>
      <c r="Q186" s="83" t="n">
        <v>15.336</v>
      </c>
      <c r="R186" s="83" t="n">
        <v>14.758</v>
      </c>
      <c r="S186" s="83" t="n">
        <v>59.022</v>
      </c>
      <c r="T186" s="83" t="n">
        <v>15.199</v>
      </c>
      <c r="U186" s="83" t="n">
        <v>16.561</v>
      </c>
      <c r="V186" s="83" t="n">
        <v>16.765</v>
      </c>
      <c r="W186" s="83" t="n">
        <v>16.495</v>
      </c>
      <c r="X186" s="83" t="n">
        <v>65.02</v>
      </c>
      <c r="Y186" s="83" t="n">
        <v>17.243</v>
      </c>
      <c r="Z186" s="83" t="n">
        <v>19.74</v>
      </c>
      <c r="AA186" s="83" t="n">
        <v>19.927</v>
      </c>
      <c r="AB186" s="83" t="n">
        <v>19.33</v>
      </c>
      <c r="AC186" s="83" t="n">
        <v>76.24</v>
      </c>
      <c r="AD186" s="83" t="n">
        <v>20.087</v>
      </c>
      <c r="AE186" s="83" t="n">
        <v>22.182</v>
      </c>
      <c r="AF186" s="83" t="n">
        <v>22.338</v>
      </c>
      <c r="AG186" s="83" t="n">
        <v>22.495</v>
      </c>
      <c r="AH186" s="83" t="n">
        <v>87.102</v>
      </c>
      <c r="AI186" s="83" t="n">
        <v>23.03</v>
      </c>
      <c r="AJ186" s="83" t="n">
        <v>25.241</v>
      </c>
      <c r="AK186" s="83" t="n">
        <v>26.694</v>
      </c>
      <c r="AL186" s="83" t="n">
        <v>27.188</v>
      </c>
      <c r="AM186" s="83" t="n">
        <v>102.153</v>
      </c>
      <c r="AN186" s="83" t="n">
        <v>26.782</v>
      </c>
      <c r="AO186" s="83" t="n">
        <v>29.143</v>
      </c>
      <c r="AP186" s="83" t="n">
        <v>31.333</v>
      </c>
      <c r="AQ186" s="83" t="n">
        <v>31.877</v>
      </c>
      <c r="AR186" s="83" t="n">
        <v>119.135</v>
      </c>
      <c r="AS186" s="83" t="n">
        <v>32.59</v>
      </c>
      <c r="AT186" s="83" t="n">
        <v>33.664</v>
      </c>
      <c r="AU186" s="83" t="n">
        <v>34.224</v>
      </c>
      <c r="AV186" s="83" t="n">
        <v>34.177</v>
      </c>
      <c r="AW186" s="83" t="n">
        <v>134.655</v>
      </c>
      <c r="AX186" s="83" t="n">
        <v>35.372</v>
      </c>
      <c r="AY186" s="83" t="n">
        <v>34.659</v>
      </c>
      <c r="AZ186" s="83" t="n">
        <v>35.742</v>
      </c>
      <c r="BA186" s="83" t="n">
        <v>35.927</v>
      </c>
      <c r="BB186" s="83" t="n">
        <v>141.7</v>
      </c>
      <c r="BC186" s="83" t="n">
        <v>39.952</v>
      </c>
      <c r="BD186" s="83" t="n">
        <v>36.944</v>
      </c>
      <c r="BE186" s="83" t="n">
        <v>40.682</v>
      </c>
      <c r="BF186" s="83" t="n">
        <v>39.625</v>
      </c>
      <c r="BG186" s="83" t="n">
        <v>157.203</v>
      </c>
      <c r="BH186" s="83" t="n">
        <v>42.88</v>
      </c>
      <c r="BI186" s="83" t="n">
        <v>44.658</v>
      </c>
      <c r="BJ186" s="83" t="n">
        <v>45.618</v>
      </c>
      <c r="BK186" s="83" t="n">
        <v>45.689</v>
      </c>
      <c r="BL186" s="83" t="n">
        <v>178.845</v>
      </c>
      <c r="BM186" s="83" t="n">
        <v>48.849</v>
      </c>
      <c r="BN186" s="83" t="n">
        <v>52.536</v>
      </c>
      <c r="BO186" s="83" t="n">
        <v>54.656</v>
      </c>
      <c r="BP186" s="83" t="n">
        <v>54.064</v>
      </c>
      <c r="BQ186" s="83" t="n">
        <v>210.105</v>
      </c>
      <c r="BR186" s="83" t="n">
        <v>59.043</v>
      </c>
      <c r="BS186" s="83" t="n">
        <v>62.546</v>
      </c>
      <c r="BT186" s="83" t="n">
        <v>64.037</v>
      </c>
      <c r="BU186" s="83" t="n">
        <v>62.947</v>
      </c>
      <c r="BV186" s="83" t="n">
        <v>248.573</v>
      </c>
      <c r="BW186" s="83" t="n">
        <v>62.19</v>
      </c>
      <c r="BX186" s="83" t="n">
        <v>64.181</v>
      </c>
      <c r="BY186" s="87"/>
      <c r="BZ186" s="87"/>
      <c r="CA186" s="67" t="n">
        <f aca="false">CA87</f>
        <v>256.6648481</v>
      </c>
      <c r="CB186" s="67" t="n">
        <f aca="false">CB87</f>
        <v>290.822263549225</v>
      </c>
      <c r="CC186" s="67" t="n">
        <f aca="false">CC87</f>
        <v>306.170984672113</v>
      </c>
      <c r="CD186" s="67" t="n">
        <f aca="false">CD87</f>
        <v>322.735305543709</v>
      </c>
      <c r="CE186" s="67" t="n">
        <f aca="false">CE87</f>
        <v>345.479676721097</v>
      </c>
      <c r="CF186" s="21"/>
    </row>
    <row r="187" customFormat="false" ht="15" hidden="false" customHeight="true" outlineLevel="0" collapsed="false">
      <c r="B187" s="22" t="s">
        <v>349</v>
      </c>
      <c r="C187" s="83" t="n">
        <v>0.641</v>
      </c>
      <c r="D187" s="83" t="n">
        <v>1.027</v>
      </c>
      <c r="E187" s="83" t="n">
        <v>1.764</v>
      </c>
      <c r="F187" s="83" t="n">
        <v>1.836</v>
      </c>
      <c r="G187" s="83" t="n">
        <v>1.892</v>
      </c>
      <c r="H187" s="83" t="n">
        <v>1.795</v>
      </c>
      <c r="I187" s="83" t="n">
        <v>2.687</v>
      </c>
      <c r="J187" s="83" t="n">
        <v>0.7255</v>
      </c>
      <c r="K187" s="83" t="n">
        <v>0.7255</v>
      </c>
      <c r="L187" s="83" t="n">
        <v>0.7255</v>
      </c>
      <c r="M187" s="83" t="n">
        <v>0.7255</v>
      </c>
      <c r="N187" s="83" t="n">
        <v>2.902</v>
      </c>
      <c r="O187" s="83" t="n">
        <v>1.0415</v>
      </c>
      <c r="P187" s="83" t="n">
        <v>1.0415</v>
      </c>
      <c r="Q187" s="83" t="n">
        <v>1.0415</v>
      </c>
      <c r="R187" s="83" t="n">
        <v>1.0415</v>
      </c>
      <c r="S187" s="83" t="n">
        <v>4.166</v>
      </c>
      <c r="T187" s="83" t="n">
        <v>0.9695</v>
      </c>
      <c r="U187" s="83" t="n">
        <v>0.9695</v>
      </c>
      <c r="V187" s="83" t="n">
        <v>0.9695</v>
      </c>
      <c r="W187" s="83" t="n">
        <v>0.9695</v>
      </c>
      <c r="X187" s="83" t="n">
        <v>3.878</v>
      </c>
      <c r="Y187" s="83" t="n">
        <v>1.14975</v>
      </c>
      <c r="Z187" s="83" t="n">
        <v>1.14975</v>
      </c>
      <c r="AA187" s="83" t="n">
        <v>1.14975</v>
      </c>
      <c r="AB187" s="83" t="n">
        <v>1.14975</v>
      </c>
      <c r="AC187" s="83" t="n">
        <v>4.599</v>
      </c>
      <c r="AD187" s="83" t="n">
        <v>1.27075</v>
      </c>
      <c r="AE187" s="83" t="n">
        <v>1.27075</v>
      </c>
      <c r="AF187" s="83" t="n">
        <v>1.27075</v>
      </c>
      <c r="AG187" s="83" t="n">
        <v>1.27075</v>
      </c>
      <c r="AH187" s="83" t="n">
        <v>5.083</v>
      </c>
      <c r="AI187" s="83" t="n">
        <v>1.058</v>
      </c>
      <c r="AJ187" s="83" t="n">
        <v>1.061</v>
      </c>
      <c r="AK187" s="83" t="n">
        <v>1.197</v>
      </c>
      <c r="AL187" s="83" t="n">
        <v>1.193</v>
      </c>
      <c r="AM187" s="83" t="n">
        <v>5.619</v>
      </c>
      <c r="AN187" s="83" t="n">
        <v>0.998</v>
      </c>
      <c r="AO187" s="83" t="n">
        <v>1.342</v>
      </c>
      <c r="AP187" s="83" t="n">
        <v>1.295</v>
      </c>
      <c r="AQ187" s="83" t="n">
        <v>1.342</v>
      </c>
      <c r="AR187" s="83" t="n">
        <v>6.187</v>
      </c>
      <c r="AS187" s="83" t="n">
        <v>1.317</v>
      </c>
      <c r="AT187" s="83" t="n">
        <v>1.64</v>
      </c>
      <c r="AU187" s="83" t="n">
        <v>1.67</v>
      </c>
      <c r="AV187" s="83" t="n">
        <v>1.679</v>
      </c>
      <c r="AW187" s="83" t="n">
        <v>7.536</v>
      </c>
      <c r="AX187" s="83" t="n">
        <v>1.711</v>
      </c>
      <c r="AY187" s="83" t="n">
        <v>1.81</v>
      </c>
      <c r="AZ187" s="83" t="n">
        <v>1.878</v>
      </c>
      <c r="BA187" s="83" t="n">
        <v>1.846</v>
      </c>
      <c r="BB187" s="83" t="n">
        <v>8.703</v>
      </c>
      <c r="BC187" s="83" t="n">
        <v>2.056</v>
      </c>
      <c r="BD187" s="83" t="n">
        <v>1.756</v>
      </c>
      <c r="BE187" s="83" t="n">
        <v>1.894</v>
      </c>
      <c r="BF187" s="83" t="n">
        <v>1.951</v>
      </c>
      <c r="BG187" s="83" t="n">
        <v>8.827</v>
      </c>
      <c r="BH187" s="83" t="n">
        <v>2.225</v>
      </c>
      <c r="BI187" s="83" t="n">
        <v>2.5</v>
      </c>
      <c r="BJ187" s="83" t="n">
        <v>2.686</v>
      </c>
      <c r="BK187" s="83" t="n">
        <v>2.808</v>
      </c>
      <c r="BL187" s="83" t="n">
        <v>11.636</v>
      </c>
      <c r="BM187" s="83" t="n">
        <v>2.724</v>
      </c>
      <c r="BN187" s="83" t="n">
        <v>3.207</v>
      </c>
      <c r="BO187" s="83" t="n">
        <v>3.463</v>
      </c>
      <c r="BP187" s="83" t="n">
        <v>3.428</v>
      </c>
      <c r="BQ187" s="83" t="n">
        <v>14.243</v>
      </c>
      <c r="BR187" s="83" t="n">
        <v>4.527</v>
      </c>
      <c r="BS187" s="83" t="n">
        <v>3.727</v>
      </c>
      <c r="BT187" s="83" t="n">
        <v>3.978</v>
      </c>
      <c r="BU187" s="83" t="n">
        <v>3.972</v>
      </c>
      <c r="BV187" s="83" t="n">
        <v>17.397</v>
      </c>
      <c r="BW187" s="83" t="n">
        <v>3.901</v>
      </c>
      <c r="BX187" s="83" t="n">
        <v>4.318</v>
      </c>
      <c r="BY187" s="87"/>
      <c r="BZ187" s="87"/>
      <c r="CA187" s="67" t="n">
        <f aca="false">CA109</f>
        <v>17.4180462355166</v>
      </c>
      <c r="CB187" s="67" t="n">
        <f aca="false">CB109</f>
        <v>19.0197597952934</v>
      </c>
      <c r="CC187" s="67" t="n">
        <f aca="false">CC109</f>
        <v>20.2003900357591</v>
      </c>
      <c r="CD187" s="67" t="n">
        <f aca="false">CD109</f>
        <v>21.6307283980273</v>
      </c>
      <c r="CE187" s="67" t="n">
        <f aca="false">CE109</f>
        <v>23.3952550670964</v>
      </c>
      <c r="CF187" s="21"/>
    </row>
    <row r="188" customFormat="false" ht="15" hidden="false" customHeight="true" outlineLevel="0" collapsed="false">
      <c r="B188" s="22" t="s">
        <v>350</v>
      </c>
      <c r="C188" s="83" t="n">
        <v>-1.416</v>
      </c>
      <c r="D188" s="83" t="n">
        <v>-2.305</v>
      </c>
      <c r="E188" s="83" t="n">
        <v>-0.435</v>
      </c>
      <c r="F188" s="83" t="n">
        <v>-0.094</v>
      </c>
      <c r="G188" s="83" t="n">
        <v>-0.277</v>
      </c>
      <c r="H188" s="83" t="n">
        <v>-0.165</v>
      </c>
      <c r="I188" s="83" t="n">
        <v>-0.487</v>
      </c>
      <c r="J188" s="83" t="n">
        <v>-0.172</v>
      </c>
      <c r="K188" s="83" t="n">
        <v>-0.102</v>
      </c>
      <c r="L188" s="83" t="n">
        <v>-0.296</v>
      </c>
      <c r="M188" s="83" t="n">
        <v>-0.151</v>
      </c>
      <c r="N188" s="83" t="n">
        <v>-0.721</v>
      </c>
      <c r="O188" s="83" t="n">
        <v>-0.007</v>
      </c>
      <c r="P188" s="83" t="n">
        <v>-0.005</v>
      </c>
      <c r="Q188" s="83" t="n">
        <v>0.032</v>
      </c>
      <c r="R188" s="83" t="n">
        <v>-0.037</v>
      </c>
      <c r="S188" s="83" t="n">
        <v>-0.017</v>
      </c>
      <c r="T188" s="83" t="n">
        <v>0.069</v>
      </c>
      <c r="U188" s="83" t="n">
        <v>0.052</v>
      </c>
      <c r="V188" s="83" t="n">
        <v>0.126</v>
      </c>
      <c r="W188" s="83" t="n">
        <v>0.063</v>
      </c>
      <c r="X188" s="83" t="n">
        <v>0.31</v>
      </c>
      <c r="Y188" s="83" t="n">
        <v>0.19</v>
      </c>
      <c r="Z188" s="83" t="n">
        <v>0.173</v>
      </c>
      <c r="AA188" s="83" t="n">
        <v>0.133</v>
      </c>
      <c r="AB188" s="83" t="n">
        <v>0.22</v>
      </c>
      <c r="AC188" s="83" t="n">
        <v>0.716</v>
      </c>
      <c r="AD188" s="83" t="n">
        <v>0.132</v>
      </c>
      <c r="AE188" s="83" t="n">
        <v>0.116</v>
      </c>
      <c r="AF188" s="83" t="n">
        <v>-0.717</v>
      </c>
      <c r="AG188" s="83" t="n">
        <v>0.286</v>
      </c>
      <c r="AH188" s="83" t="n">
        <v>-0.183</v>
      </c>
      <c r="AI188" s="83" t="n">
        <v>0.021</v>
      </c>
      <c r="AJ188" s="83" t="n">
        <v>-0.042</v>
      </c>
      <c r="AK188" s="83" t="n">
        <v>0.326</v>
      </c>
      <c r="AL188" s="83" t="n">
        <v>0.074</v>
      </c>
      <c r="AM188" s="83" t="n">
        <v>0.379</v>
      </c>
      <c r="AN188" s="83" t="n">
        <v>0.126</v>
      </c>
      <c r="AO188" s="83" t="n">
        <v>0.03</v>
      </c>
      <c r="AP188" s="83" t="n">
        <v>0.451</v>
      </c>
      <c r="AQ188" s="83" t="n">
        <v>-1.01</v>
      </c>
      <c r="AR188" s="83" t="n">
        <v>-0.403</v>
      </c>
      <c r="AS188" s="83" t="n">
        <v>-1.39</v>
      </c>
      <c r="AT188" s="83" t="n">
        <v>0.148</v>
      </c>
      <c r="AU188" s="83" t="n">
        <v>-0.316</v>
      </c>
      <c r="AV188" s="83" t="n">
        <v>-0.97</v>
      </c>
      <c r="AW188" s="83" t="n">
        <v>-2.528</v>
      </c>
      <c r="AX188" s="83" t="n">
        <v>-0.199</v>
      </c>
      <c r="AY188" s="83" t="n">
        <v>-0.069</v>
      </c>
      <c r="AZ188" s="83" t="n">
        <v>-3.847</v>
      </c>
      <c r="BA188" s="83" t="n">
        <v>0.221</v>
      </c>
      <c r="BB188" s="83" t="n">
        <v>-3.894</v>
      </c>
      <c r="BC188" s="83" t="n">
        <v>0.024</v>
      </c>
      <c r="BD188" s="83" t="n">
        <v>0.021</v>
      </c>
      <c r="BE188" s="83" t="n">
        <v>0.115</v>
      </c>
      <c r="BF188" s="83" t="n">
        <v>-0.11</v>
      </c>
      <c r="BG188" s="83" t="n">
        <v>0.05</v>
      </c>
      <c r="BH188" s="83" t="n">
        <v>0.08</v>
      </c>
      <c r="BI188" s="83" t="n">
        <v>0.147</v>
      </c>
      <c r="BJ188" s="83" t="n">
        <v>0.416</v>
      </c>
      <c r="BK188" s="83" t="n">
        <v>0.267</v>
      </c>
      <c r="BL188" s="83" t="n">
        <v>0.91</v>
      </c>
      <c r="BM188" s="83" t="n">
        <v>0.24</v>
      </c>
      <c r="BN188" s="83" t="n">
        <v>0.43</v>
      </c>
      <c r="BO188" s="83" t="n">
        <v>0.609</v>
      </c>
      <c r="BP188" s="83" t="n">
        <v>3.198</v>
      </c>
      <c r="BQ188" s="83" t="n">
        <v>4.477</v>
      </c>
      <c r="BR188" s="83" t="n">
        <v>0.606</v>
      </c>
      <c r="BS188" s="83" t="n">
        <v>0.022</v>
      </c>
      <c r="BT188" s="83" t="n">
        <v>-13.598</v>
      </c>
      <c r="BU188" s="83" t="n">
        <v>0.512000000000001</v>
      </c>
      <c r="BV188" s="83" t="n">
        <v>-12.458</v>
      </c>
      <c r="BW188" s="83" t="n">
        <v>0.983</v>
      </c>
      <c r="BX188" s="83" t="n">
        <v>2.146</v>
      </c>
      <c r="BY188" s="87"/>
      <c r="BZ188" s="87"/>
      <c r="CA188" s="67" t="n">
        <f aca="false">($BW$188+$BX$188)+$BY$88+$BZ$88</f>
        <v>3.129</v>
      </c>
      <c r="CB188" s="67" t="n">
        <f aca="false">CB88</f>
        <v>0</v>
      </c>
      <c r="CC188" s="67" t="n">
        <f aca="false">CC88</f>
        <v>0</v>
      </c>
      <c r="CD188" s="67" t="n">
        <f aca="false">CD88</f>
        <v>0</v>
      </c>
      <c r="CE188" s="67" t="n">
        <f aca="false">CE88</f>
        <v>0</v>
      </c>
      <c r="CF188" s="21"/>
    </row>
    <row r="189" customFormat="false" ht="15" hidden="false" customHeight="true" outlineLevel="0" collapsed="false">
      <c r="B189" s="22" t="s">
        <v>351</v>
      </c>
      <c r="C189" s="83" t="n">
        <v>1.56</v>
      </c>
      <c r="D189" s="83" t="n">
        <v>-4.424</v>
      </c>
      <c r="E189" s="83" t="n">
        <v>-5.191</v>
      </c>
      <c r="F189" s="83" t="n">
        <v>-1.945</v>
      </c>
      <c r="G189" s="83" t="n">
        <v>-1.194</v>
      </c>
      <c r="H189" s="83" t="n">
        <v>8.331</v>
      </c>
      <c r="I189" s="83" t="n">
        <v>-0.705</v>
      </c>
      <c r="J189" s="83" t="n">
        <v>0</v>
      </c>
      <c r="K189" s="83" t="n">
        <v>0</v>
      </c>
      <c r="L189" s="83" t="n">
        <v>0</v>
      </c>
      <c r="M189" s="83" t="n">
        <v>12.098</v>
      </c>
      <c r="N189" s="83" t="n">
        <v>12.098</v>
      </c>
      <c r="O189" s="83" t="n">
        <v>0</v>
      </c>
      <c r="P189" s="83" t="n">
        <v>0</v>
      </c>
      <c r="Q189" s="83" t="n">
        <v>0</v>
      </c>
      <c r="R189" s="83" t="n">
        <v>9.462</v>
      </c>
      <c r="S189" s="83" t="n">
        <v>9.462</v>
      </c>
      <c r="T189" s="83" t="n">
        <v>0</v>
      </c>
      <c r="U189" s="83" t="n">
        <v>0</v>
      </c>
      <c r="V189" s="83" t="n">
        <v>0</v>
      </c>
      <c r="W189" s="83" t="n">
        <v>8.42</v>
      </c>
      <c r="X189" s="83" t="n">
        <v>8.42</v>
      </c>
      <c r="Y189" s="83" t="n">
        <v>0</v>
      </c>
      <c r="Z189" s="83" t="n">
        <v>0</v>
      </c>
      <c r="AA189" s="83" t="n">
        <v>0</v>
      </c>
      <c r="AB189" s="83" t="n">
        <v>12.78</v>
      </c>
      <c r="AC189" s="83" t="n">
        <v>12.78</v>
      </c>
      <c r="AD189" s="83" t="n">
        <v>0</v>
      </c>
      <c r="AE189" s="83" t="n">
        <v>0</v>
      </c>
      <c r="AF189" s="83" t="n">
        <v>0</v>
      </c>
      <c r="AG189" s="83" t="n">
        <v>-20.776</v>
      </c>
      <c r="AH189" s="83" t="n">
        <v>-20.776</v>
      </c>
      <c r="AI189" s="83" t="n">
        <v>0</v>
      </c>
      <c r="AJ189" s="83" t="n">
        <v>0</v>
      </c>
      <c r="AK189" s="83" t="n">
        <v>0</v>
      </c>
      <c r="AL189" s="83" t="n">
        <v>27.47</v>
      </c>
      <c r="AM189" s="83" t="n">
        <v>27.47</v>
      </c>
      <c r="AN189" s="83" t="n">
        <v>0</v>
      </c>
      <c r="AO189" s="83" t="n">
        <v>0</v>
      </c>
      <c r="AP189" s="83" t="n">
        <v>0</v>
      </c>
      <c r="AQ189" s="83" t="n">
        <v>24.662</v>
      </c>
      <c r="AR189" s="83" t="n">
        <v>24.662</v>
      </c>
      <c r="AS189" s="83" t="n">
        <v>7.069</v>
      </c>
      <c r="AT189" s="83" t="n">
        <v>0.501</v>
      </c>
      <c r="AU189" s="83" t="n">
        <v>3.037</v>
      </c>
      <c r="AV189" s="83" t="n">
        <v>-2.344</v>
      </c>
      <c r="AW189" s="83" t="n">
        <v>8.263</v>
      </c>
      <c r="AX189" s="83" t="n">
        <v>1.327</v>
      </c>
      <c r="AY189" s="83" t="n">
        <v>1.856</v>
      </c>
      <c r="AZ189" s="83" t="n">
        <v>1.903</v>
      </c>
      <c r="BA189" s="83" t="n">
        <v>-0.767</v>
      </c>
      <c r="BB189" s="83" t="n">
        <v>4.319</v>
      </c>
      <c r="BC189" s="83" t="n">
        <v>-2.03</v>
      </c>
      <c r="BD189" s="83" t="n">
        <v>1.123</v>
      </c>
      <c r="BE189" s="83" t="n">
        <v>1.731</v>
      </c>
      <c r="BF189" s="83" t="n">
        <v>20.81</v>
      </c>
      <c r="BG189" s="83" t="n">
        <v>21.634</v>
      </c>
      <c r="BH189" s="83" t="n">
        <v>5.738</v>
      </c>
      <c r="BI189" s="83" t="n">
        <v>7.034</v>
      </c>
      <c r="BJ189" s="83" t="n">
        <v>4.724</v>
      </c>
      <c r="BK189" s="83" t="n">
        <v>-7.426</v>
      </c>
      <c r="BL189" s="83" t="n">
        <v>10.07</v>
      </c>
      <c r="BM189" s="83" t="n">
        <v>1.785</v>
      </c>
      <c r="BN189" s="83" t="n">
        <v>2.299</v>
      </c>
      <c r="BO189" s="83" t="n">
        <v>1.942</v>
      </c>
      <c r="BP189" s="83" t="n">
        <v>57.195</v>
      </c>
      <c r="BQ189" s="83" t="n">
        <v>63.221</v>
      </c>
      <c r="BR189" s="83" t="n">
        <v>5.245</v>
      </c>
      <c r="BS189" s="83" t="n">
        <v>12.229</v>
      </c>
      <c r="BT189" s="83" t="n">
        <v>50.587</v>
      </c>
      <c r="BU189" s="83" t="n">
        <v>-2.753</v>
      </c>
      <c r="BV189" s="83" t="n">
        <v>65.308</v>
      </c>
      <c r="BW189" s="83" t="n">
        <v>9.331</v>
      </c>
      <c r="BX189" s="83" t="n">
        <v>5.83</v>
      </c>
      <c r="BY189" s="87"/>
      <c r="BZ189" s="87"/>
      <c r="CA189" s="67" t="n">
        <f aca="false">($BW$189+$BX$189)+($BY$102+$BZ$102)*CA274</f>
        <v>33.9164579887225</v>
      </c>
      <c r="CB189" s="67" t="n">
        <f aca="false">CB102*CB274</f>
        <v>32.3985420771483</v>
      </c>
      <c r="CC189" s="67" t="n">
        <f aca="false">CC102*CC274</f>
        <v>34.6365397239023</v>
      </c>
      <c r="CD189" s="67" t="n">
        <f aca="false">CD102*CD274</f>
        <v>37.6947396673168</v>
      </c>
      <c r="CE189" s="67" t="n">
        <f aca="false">CE102*CE274</f>
        <v>43.0259591438482</v>
      </c>
      <c r="CF189" s="21" t="s">
        <v>352</v>
      </c>
    </row>
    <row r="190" customFormat="false" ht="15" hidden="false" customHeight="true" outlineLevel="0" collapsed="false">
      <c r="B190" s="22" t="s">
        <v>353</v>
      </c>
      <c r="C190" s="83" t="n">
        <v>67.358</v>
      </c>
      <c r="D190" s="83" t="n">
        <v>1.892</v>
      </c>
      <c r="E190" s="83" t="n">
        <v>53.623</v>
      </c>
      <c r="F190" s="83" t="n">
        <v>-2.006</v>
      </c>
      <c r="G190" s="83" t="n">
        <v>1.431</v>
      </c>
      <c r="H190" s="83" t="n">
        <v>-0.563999999999993</v>
      </c>
      <c r="I190" s="83" t="n">
        <v>0.812999999999988</v>
      </c>
      <c r="J190" s="83" t="n">
        <v>0.877499999999999</v>
      </c>
      <c r="K190" s="83" t="n">
        <v>0.476499999999994</v>
      </c>
      <c r="L190" s="83" t="n">
        <v>-0.0515000000000043</v>
      </c>
      <c r="M190" s="83" t="n">
        <v>3.2315</v>
      </c>
      <c r="N190" s="83" t="n">
        <v>4.53400000000001</v>
      </c>
      <c r="O190" s="83" t="n">
        <v>1.0135</v>
      </c>
      <c r="P190" s="83" t="n">
        <v>1.2335</v>
      </c>
      <c r="Q190" s="83" t="n">
        <v>0.705499999999994</v>
      </c>
      <c r="R190" s="83" t="n">
        <v>1.51050000000002</v>
      </c>
      <c r="S190" s="83" t="n">
        <v>4.46299999999999</v>
      </c>
      <c r="T190" s="83" t="n">
        <v>1.0215</v>
      </c>
      <c r="U190" s="83" t="n">
        <v>-3.1085</v>
      </c>
      <c r="V190" s="83" t="n">
        <v>4.4695</v>
      </c>
      <c r="W190" s="83" t="n">
        <v>2.07850000000001</v>
      </c>
      <c r="X190" s="83" t="n">
        <v>4.46099999999998</v>
      </c>
      <c r="Y190" s="83" t="n">
        <v>0.36125</v>
      </c>
      <c r="Z190" s="83" t="n">
        <v>3.32724999999999</v>
      </c>
      <c r="AA190" s="83" t="n">
        <v>1.27425000000001</v>
      </c>
      <c r="AB190" s="83" t="n">
        <v>1.66525000000001</v>
      </c>
      <c r="AC190" s="83" t="n">
        <v>6.62800000000001</v>
      </c>
      <c r="AD190" s="83" t="n">
        <v>4.00825</v>
      </c>
      <c r="AE190" s="83" t="n">
        <v>7.58225</v>
      </c>
      <c r="AF190" s="83" t="n">
        <v>3.87824999999999</v>
      </c>
      <c r="AG190" s="83" t="n">
        <v>-7.48675000000002</v>
      </c>
      <c r="AH190" s="83" t="n">
        <v>7.982</v>
      </c>
      <c r="AI190" s="83" t="n">
        <v>2.529</v>
      </c>
      <c r="AJ190" s="83" t="n">
        <v>4.76799999999999</v>
      </c>
      <c r="AK190" s="83" t="n">
        <v>3.90800000000002</v>
      </c>
      <c r="AL190" s="83" t="n">
        <v>-4.68500000000003</v>
      </c>
      <c r="AM190" s="83" t="n">
        <v>5.40999999999997</v>
      </c>
      <c r="AN190" s="83" t="n">
        <v>6.95200000000001</v>
      </c>
      <c r="AO190" s="83" t="n">
        <v>7.95500000000001</v>
      </c>
      <c r="AP190" s="83" t="n">
        <v>10.288</v>
      </c>
      <c r="AQ190" s="83" t="n">
        <v>-19.457</v>
      </c>
      <c r="AR190" s="83" t="n">
        <v>4.52799999999996</v>
      </c>
      <c r="AS190" s="83" t="n">
        <v>2.20200000000001</v>
      </c>
      <c r="AT190" s="83" t="n">
        <v>3.322</v>
      </c>
      <c r="AU190" s="83" t="n">
        <v>2.31400000000002</v>
      </c>
      <c r="AV190" s="83" t="n">
        <v>0.401999999999944</v>
      </c>
      <c r="AW190" s="83" t="n">
        <v>7.00999999999999</v>
      </c>
      <c r="AX190" s="83" t="n">
        <v>0.853000000000002</v>
      </c>
      <c r="AY190" s="83" t="n">
        <v>1.53399999999998</v>
      </c>
      <c r="AZ190" s="83" t="n">
        <v>0.619</v>
      </c>
      <c r="BA190" s="83" t="n">
        <v>-7.89900000000003</v>
      </c>
      <c r="BB190" s="83" t="n">
        <v>-6.351</v>
      </c>
      <c r="BC190" s="83" t="n">
        <v>-1.899</v>
      </c>
      <c r="BD190" s="83" t="n">
        <v>1.90400000000001</v>
      </c>
      <c r="BE190" s="83" t="n">
        <v>-5.60299999999998</v>
      </c>
      <c r="BF190" s="83" t="n">
        <v>-39.195</v>
      </c>
      <c r="BG190" s="83" t="n">
        <v>-45.9629999999999</v>
      </c>
      <c r="BH190" s="83" t="n">
        <v>0.662999999999997</v>
      </c>
      <c r="BI190" s="83" t="n">
        <v>2.279</v>
      </c>
      <c r="BJ190" s="83" t="n">
        <v>1.16199999999999</v>
      </c>
      <c r="BK190" s="83" t="n">
        <v>-0.731999999999914</v>
      </c>
      <c r="BL190" s="83" t="n">
        <v>1.95500000000004</v>
      </c>
      <c r="BM190" s="83" t="n">
        <v>0.660000000000025</v>
      </c>
      <c r="BN190" s="83" t="n">
        <v>3.40799999999999</v>
      </c>
      <c r="BO190" s="83" t="n">
        <v>1.53500000000003</v>
      </c>
      <c r="BP190" s="83" t="n">
        <v>-0.770000000000039</v>
      </c>
      <c r="BQ190" s="83" t="n">
        <v>3.41200000000004</v>
      </c>
      <c r="BR190" s="83" t="n">
        <v>1.36599999999999</v>
      </c>
      <c r="BS190" s="83" t="n">
        <v>2.96800000000005</v>
      </c>
      <c r="BT190" s="83" t="n">
        <v>2.50500000000002</v>
      </c>
      <c r="BU190" s="83" t="n">
        <v>2.12999999999991</v>
      </c>
      <c r="BV190" s="83" t="n">
        <v>7.77599999999984</v>
      </c>
      <c r="BW190" s="83" t="n">
        <v>2.45899999999998</v>
      </c>
      <c r="BX190" s="83" t="n">
        <v>2.68300000000002</v>
      </c>
      <c r="BY190" s="87"/>
      <c r="BZ190" s="87"/>
      <c r="CA190" s="67" t="n">
        <f aca="false">($BW$190+$BX$190)</f>
        <v>5.142</v>
      </c>
      <c r="CB190" s="85" t="n">
        <v>0</v>
      </c>
      <c r="CC190" s="85" t="n">
        <v>0</v>
      </c>
      <c r="CD190" s="85" t="n">
        <v>0</v>
      </c>
      <c r="CE190" s="85" t="n">
        <v>0</v>
      </c>
      <c r="CF190" s="21"/>
    </row>
    <row r="191" customFormat="false" ht="15" hidden="false" customHeight="true" outlineLevel="0" collapsed="false">
      <c r="B191" s="22" t="s">
        <v>354</v>
      </c>
      <c r="C191" s="83" t="n">
        <v>-3.875</v>
      </c>
      <c r="D191" s="83" t="n">
        <v>-6.946</v>
      </c>
      <c r="E191" s="83" t="n">
        <v>12.407</v>
      </c>
      <c r="F191" s="83" t="n">
        <v>-15.169</v>
      </c>
      <c r="G191" s="83" t="n">
        <v>-16.582</v>
      </c>
      <c r="H191" s="83" t="n">
        <v>0.163</v>
      </c>
      <c r="I191" s="83" t="n">
        <v>18.334</v>
      </c>
      <c r="J191" s="83" t="n">
        <v>-15.202</v>
      </c>
      <c r="K191" s="83" t="n">
        <v>-2.022</v>
      </c>
      <c r="L191" s="83" t="n">
        <v>8.544</v>
      </c>
      <c r="M191" s="83" t="n">
        <v>-4.012</v>
      </c>
      <c r="N191" s="83" t="n">
        <v>-12.692</v>
      </c>
      <c r="O191" s="83" t="n">
        <v>-20.346</v>
      </c>
      <c r="P191" s="83" t="n">
        <v>11.831</v>
      </c>
      <c r="Q191" s="83" t="n">
        <v>11.749</v>
      </c>
      <c r="R191" s="83" t="n">
        <v>-30.151</v>
      </c>
      <c r="S191" s="83" t="n">
        <v>-26.917</v>
      </c>
      <c r="T191" s="83" t="n">
        <v>-3.704</v>
      </c>
      <c r="U191" s="83" t="n">
        <v>7.164</v>
      </c>
      <c r="V191" s="83" t="n">
        <v>12.886</v>
      </c>
      <c r="W191" s="83" t="n">
        <v>-10.737</v>
      </c>
      <c r="X191" s="83" t="n">
        <v>5.609</v>
      </c>
      <c r="Y191" s="83" t="n">
        <v>-13.213</v>
      </c>
      <c r="Z191" s="83" t="n">
        <v>11.843</v>
      </c>
      <c r="AA191" s="83" t="n">
        <v>15.535</v>
      </c>
      <c r="AB191" s="83" t="n">
        <v>-17.376</v>
      </c>
      <c r="AC191" s="83" t="n">
        <v>-3.211</v>
      </c>
      <c r="AD191" s="83" t="n">
        <v>-12.757</v>
      </c>
      <c r="AE191" s="83" t="n">
        <v>6.435</v>
      </c>
      <c r="AF191" s="83" t="n">
        <v>7.243</v>
      </c>
      <c r="AG191" s="83" t="n">
        <v>-13.439</v>
      </c>
      <c r="AH191" s="83" t="n">
        <v>-12.518</v>
      </c>
      <c r="AI191" s="83" t="n">
        <v>-12.261</v>
      </c>
      <c r="AJ191" s="83" t="n">
        <v>15.307</v>
      </c>
      <c r="AK191" s="83" t="n">
        <v>14.672</v>
      </c>
      <c r="AL191" s="83" t="n">
        <v>-7.294</v>
      </c>
      <c r="AM191" s="83" t="n">
        <v>10.424</v>
      </c>
      <c r="AN191" s="83" t="n">
        <v>-26.717</v>
      </c>
      <c r="AO191" s="83" t="n">
        <v>7.631</v>
      </c>
      <c r="AP191" s="83" t="n">
        <v>17.389</v>
      </c>
      <c r="AQ191" s="83" t="n">
        <v>6.745</v>
      </c>
      <c r="AR191" s="83" t="n">
        <v>5.048</v>
      </c>
      <c r="AS191" s="83" t="n">
        <v>-18.632</v>
      </c>
      <c r="AT191" s="83" t="n">
        <v>29.237</v>
      </c>
      <c r="AU191" s="83" t="n">
        <v>8.26</v>
      </c>
      <c r="AV191" s="83" t="n">
        <v>-2.996</v>
      </c>
      <c r="AW191" s="83" t="n">
        <v>15.869</v>
      </c>
      <c r="AX191" s="83" t="n">
        <v>-15.384</v>
      </c>
      <c r="AY191" s="83" t="n">
        <v>-23.095</v>
      </c>
      <c r="AZ191" s="83" t="n">
        <v>11.542</v>
      </c>
      <c r="BA191" s="83" t="n">
        <v>11.817</v>
      </c>
      <c r="BB191" s="83" t="n">
        <v>-15.12</v>
      </c>
      <c r="BC191" s="83" t="n">
        <v>-21.566</v>
      </c>
      <c r="BD191" s="83" t="n">
        <v>-39.049</v>
      </c>
      <c r="BE191" s="83" t="n">
        <v>-0.540999999999997</v>
      </c>
      <c r="BF191" s="83" t="n">
        <v>35.009</v>
      </c>
      <c r="BG191" s="83" t="n">
        <v>-26.147</v>
      </c>
      <c r="BH191" s="83" t="n">
        <v>-8.413</v>
      </c>
      <c r="BI191" s="83" t="n">
        <v>24.198</v>
      </c>
      <c r="BJ191" s="83" t="n">
        <v>-27.956</v>
      </c>
      <c r="BK191" s="83" t="n">
        <v>31.843</v>
      </c>
      <c r="BL191" s="83" t="n">
        <v>19.672</v>
      </c>
      <c r="BM191" s="83" t="n">
        <v>-38.485</v>
      </c>
      <c r="BN191" s="83" t="n">
        <v>-33.625</v>
      </c>
      <c r="BO191" s="83" t="n">
        <v>26.768</v>
      </c>
      <c r="BP191" s="83" t="n">
        <v>-28.479</v>
      </c>
      <c r="BQ191" s="83" t="n">
        <v>-73.821</v>
      </c>
      <c r="BR191" s="83" t="n">
        <v>-11.524</v>
      </c>
      <c r="BS191" s="83" t="n">
        <v>17.859</v>
      </c>
      <c r="BT191" s="83" t="n">
        <v>-15.975</v>
      </c>
      <c r="BU191" s="83" t="n">
        <v>22.981</v>
      </c>
      <c r="BV191" s="83" t="n">
        <v>13.341</v>
      </c>
      <c r="BW191" s="83" t="n">
        <v>10.901</v>
      </c>
      <c r="BX191" s="83" t="n">
        <v>-21.821</v>
      </c>
      <c r="BY191" s="87"/>
      <c r="BZ191" s="87"/>
      <c r="CA191" s="67" t="n">
        <f aca="false">($BW$191+$BX$191)+-(CA232-BX232)-(CA233-BX233)+(CA242-BX242)+(CA243-BX243)+(CA244-BX244)+(CA251-BX251)</f>
        <v>-58.4414989189614</v>
      </c>
      <c r="CB191" s="67" t="n">
        <f aca="false">-(CB232-CA232)-(CB233-CA233)+(CB242-CA242)+(CB243-CA243)+(CB244-CA244)+(CB251-CA251)</f>
        <v>-18.8610051939682</v>
      </c>
      <c r="CC191" s="67" t="n">
        <f aca="false">-(CC232-CB232)-(CC233-CB233)+(CC242-CB242)+(CC243-CB243)+(CC244-CB244)+(CC251-CB251)</f>
        <v>-13.9025314243338</v>
      </c>
      <c r="CD191" s="67" t="n">
        <f aca="false">-(CD232-CC232)-(CD233-CC233)+(CD242-CC242)+(CD243-CC243)+(CD244-CC244)+(CD251-CC251)</f>
        <v>-16.8429736485659</v>
      </c>
      <c r="CE191" s="67" t="n">
        <f aca="false">-(CE232-CD232)-(CE233-CD233)+(CE242-CD242)+(CE243-CD243)+(CE244-CD244)+(CE251-CD251)</f>
        <v>-20.778213724334</v>
      </c>
      <c r="CF191" s="21" t="s">
        <v>355</v>
      </c>
    </row>
    <row r="192" customFormat="false" ht="15" hidden="false" customHeight="true" outlineLevel="0" collapsed="false">
      <c r="B192" s="71" t="s">
        <v>356</v>
      </c>
      <c r="C192" s="82" t="n">
        <v>76.137</v>
      </c>
      <c r="D192" s="82" t="n">
        <v>46.271</v>
      </c>
      <c r="E192" s="82" t="n">
        <v>82.339</v>
      </c>
      <c r="F192" s="82" t="n">
        <v>14.089</v>
      </c>
      <c r="G192" s="82" t="n">
        <v>23.386</v>
      </c>
      <c r="H192" s="82" t="n">
        <v>58.211</v>
      </c>
      <c r="I192" s="82" t="n">
        <v>100.675</v>
      </c>
      <c r="J192" s="82" t="n">
        <v>7.018</v>
      </c>
      <c r="K192" s="82" t="n">
        <v>24.964</v>
      </c>
      <c r="L192" s="82" t="n">
        <v>35.575</v>
      </c>
      <c r="M192" s="82" t="n">
        <v>33.755</v>
      </c>
      <c r="N192" s="82" t="n">
        <v>101.312</v>
      </c>
      <c r="O192" s="82" t="n">
        <v>4.119</v>
      </c>
      <c r="P192" s="82" t="n">
        <v>42.756</v>
      </c>
      <c r="Q192" s="82" t="n">
        <v>45.142</v>
      </c>
      <c r="R192" s="82" t="n">
        <v>10.153</v>
      </c>
      <c r="S192" s="82" t="n">
        <v>102.17</v>
      </c>
      <c r="T192" s="82" t="n">
        <v>26.16</v>
      </c>
      <c r="U192" s="82" t="n">
        <v>40.885</v>
      </c>
      <c r="V192" s="82" t="n">
        <v>46.993</v>
      </c>
      <c r="W192" s="82" t="n">
        <v>28.676</v>
      </c>
      <c r="X192" s="82" t="n">
        <v>142.714</v>
      </c>
      <c r="Y192" s="82" t="n">
        <v>16.306</v>
      </c>
      <c r="Z192" s="82" t="n">
        <v>49.508</v>
      </c>
      <c r="AA192" s="82" t="n">
        <v>51.845</v>
      </c>
      <c r="AB192" s="82" t="n">
        <v>28.117</v>
      </c>
      <c r="AC192" s="82" t="n">
        <v>145.776</v>
      </c>
      <c r="AD192" s="82" t="n">
        <v>24.128</v>
      </c>
      <c r="AE192" s="82" t="n">
        <v>55.189</v>
      </c>
      <c r="AF192" s="82" t="n">
        <v>48.42</v>
      </c>
      <c r="AG192" s="82" t="n">
        <v>30.109</v>
      </c>
      <c r="AH192" s="82" t="n">
        <v>157.846</v>
      </c>
      <c r="AI192" s="82" t="n">
        <v>35.502</v>
      </c>
      <c r="AJ192" s="82" t="n">
        <v>76.616</v>
      </c>
      <c r="AK192" s="82" t="n">
        <v>74.992</v>
      </c>
      <c r="AL192" s="82" t="n">
        <v>69.326</v>
      </c>
      <c r="AM192" s="82" t="n">
        <v>256.436</v>
      </c>
      <c r="AN192" s="82" t="n">
        <v>30.4</v>
      </c>
      <c r="AO192" s="82" t="n">
        <v>83.174</v>
      </c>
      <c r="AP192" s="82" t="n">
        <v>93.724</v>
      </c>
      <c r="AQ192" s="82" t="n">
        <v>65.578</v>
      </c>
      <c r="AR192" s="82" t="n">
        <v>272.876</v>
      </c>
      <c r="AS192" s="82" t="n">
        <v>51.267</v>
      </c>
      <c r="AT192" s="82" t="n">
        <v>96.966</v>
      </c>
      <c r="AU192" s="82" t="n">
        <v>90.728</v>
      </c>
      <c r="AV192" s="82" t="n">
        <v>70.184</v>
      </c>
      <c r="AW192" s="82" t="n">
        <v>309.145</v>
      </c>
      <c r="AX192" s="82" t="n">
        <v>60.971</v>
      </c>
      <c r="AY192" s="82" t="n">
        <v>79.169</v>
      </c>
      <c r="AZ192" s="82" t="n">
        <v>127.546</v>
      </c>
      <c r="BA192" s="82" t="n">
        <v>114.906</v>
      </c>
      <c r="BB192" s="82" t="n">
        <v>382.592</v>
      </c>
      <c r="BC192" s="82" t="n">
        <v>95.961</v>
      </c>
      <c r="BD192" s="82" t="n">
        <v>111.944</v>
      </c>
      <c r="BE192" s="82" t="n">
        <v>136.169</v>
      </c>
      <c r="BF192" s="82" t="n">
        <v>128.952</v>
      </c>
      <c r="BG192" s="82" t="n">
        <v>473.026</v>
      </c>
      <c r="BH192" s="82" t="n">
        <v>119.27</v>
      </c>
      <c r="BI192" s="82" t="n">
        <v>172.135</v>
      </c>
      <c r="BJ192" s="82" t="n">
        <v>124.863</v>
      </c>
      <c r="BK192" s="82" t="n">
        <v>161.677</v>
      </c>
      <c r="BL192" s="82" t="n">
        <v>577.945</v>
      </c>
      <c r="BM192" s="82" t="n">
        <v>106.468</v>
      </c>
      <c r="BN192" s="82" t="n">
        <v>130.774</v>
      </c>
      <c r="BO192" s="82" t="n">
        <v>181.721</v>
      </c>
      <c r="BP192" s="82" t="n">
        <v>164.739</v>
      </c>
      <c r="BQ192" s="82" t="n">
        <v>583.702</v>
      </c>
      <c r="BR192" s="82" t="n">
        <v>109.073</v>
      </c>
      <c r="BS192" s="82" t="n">
        <v>170.742</v>
      </c>
      <c r="BT192" s="82" t="n">
        <v>177.85</v>
      </c>
      <c r="BU192" s="82" t="n">
        <v>137.308</v>
      </c>
      <c r="BV192" s="82" t="n">
        <v>594.973</v>
      </c>
      <c r="BW192" s="82" t="n">
        <v>139.634</v>
      </c>
      <c r="BX192" s="82" t="n">
        <v>151.597</v>
      </c>
      <c r="BY192" s="106"/>
      <c r="BZ192" s="106"/>
      <c r="CA192" s="72" t="n">
        <f aca="false">SUM(CA184:CA191)</f>
        <v>578.773543829036</v>
      </c>
      <c r="CB192" s="72" t="n">
        <f aca="false">SUM(CB184:CB191)</f>
        <v>722.741180933773</v>
      </c>
      <c r="CC192" s="72" t="n">
        <f aca="false">SUM(CC184:CC191)</f>
        <v>774.053750216359</v>
      </c>
      <c r="CD192" s="72" t="n">
        <f aca="false">SUM(CD184:CD191)</f>
        <v>829.86316239027</v>
      </c>
      <c r="CE192" s="72" t="n">
        <f aca="false">SUM(CE184:CE191)</f>
        <v>921.48347971555</v>
      </c>
      <c r="CF192" s="21"/>
      <c r="CH192" s="31" t="n">
        <f aca="false">IFERROR((CE192/BV192)^(1/5)-1,"n/m")</f>
        <v>0.0914354588814257</v>
      </c>
      <c r="CI192" s="31" t="n">
        <f aca="false">IFERROR((BV192/AW192)^(1/5)-1,"n/m")</f>
        <v>0.139900662867227</v>
      </c>
      <c r="CJ192" s="31" t="n">
        <f aca="false">IFERROR((BV192/X192)^(1/10)-1,"n/m")</f>
        <v>0.153461405972781</v>
      </c>
      <c r="CK192" s="31" t="n">
        <f aca="false">IFERROR((BV192/C192)^(1/19)-1,"n/m")</f>
        <v>0.114281231882538</v>
      </c>
    </row>
    <row r="193" customFormat="false" ht="15" hidden="false" customHeight="true" outlineLevel="0" collapsed="false">
      <c r="B193" s="22" t="s">
        <v>357</v>
      </c>
      <c r="C193" s="83" t="n">
        <v>-93.235</v>
      </c>
      <c r="D193" s="83" t="n">
        <v>-95.486</v>
      </c>
      <c r="E193" s="83" t="n">
        <v>-27.808</v>
      </c>
      <c r="F193" s="83" t="n">
        <v>-8.362</v>
      </c>
      <c r="G193" s="83" t="n">
        <v>-3.815</v>
      </c>
      <c r="H193" s="83" t="n">
        <v>-70.862</v>
      </c>
      <c r="I193" s="83" t="n">
        <v>-86.12</v>
      </c>
      <c r="J193" s="83" t="n">
        <v>-6.725</v>
      </c>
      <c r="K193" s="83" t="n">
        <v>-65.367</v>
      </c>
      <c r="L193" s="83" t="n">
        <v>-28.707</v>
      </c>
      <c r="M193" s="83" t="n">
        <v>-25.559</v>
      </c>
      <c r="N193" s="83" t="n">
        <v>-126.358</v>
      </c>
      <c r="O193" s="83" t="n">
        <v>-8.379</v>
      </c>
      <c r="P193" s="83" t="n">
        <v>-58.698</v>
      </c>
      <c r="Q193" s="83" t="n">
        <v>-12.696</v>
      </c>
      <c r="R193" s="83" t="n">
        <v>-17.977</v>
      </c>
      <c r="S193" s="83" t="n">
        <v>-97.75</v>
      </c>
      <c r="T193" s="83" t="n">
        <v>-30.064</v>
      </c>
      <c r="U193" s="83" t="n">
        <v>-26.402</v>
      </c>
      <c r="V193" s="83" t="n">
        <v>-12.369</v>
      </c>
      <c r="W193" s="83" t="n">
        <v>-17.664</v>
      </c>
      <c r="X193" s="83" t="n">
        <v>-86.499</v>
      </c>
      <c r="Y193" s="83" t="n">
        <v>-53.995</v>
      </c>
      <c r="Z193" s="83" t="n">
        <v>-48.145</v>
      </c>
      <c r="AA193" s="83" t="n">
        <v>-6.731</v>
      </c>
      <c r="AB193" s="83" t="n">
        <v>-10.494</v>
      </c>
      <c r="AC193" s="83" t="n">
        <v>-119.365</v>
      </c>
      <c r="AD193" s="83" t="n">
        <v>-88.388</v>
      </c>
      <c r="AE193" s="83" t="n">
        <v>-38.942</v>
      </c>
      <c r="AF193" s="83" t="n">
        <v>-28.346</v>
      </c>
      <c r="AG193" s="83" t="n">
        <v>-31.02</v>
      </c>
      <c r="AH193" s="83" t="n">
        <v>-186.696</v>
      </c>
      <c r="AI193" s="83" t="n">
        <v>-46.881</v>
      </c>
      <c r="AJ193" s="83" t="n">
        <v>-71.692</v>
      </c>
      <c r="AK193" s="83" t="n">
        <v>-36.644</v>
      </c>
      <c r="AL193" s="83" t="n">
        <v>-68.455</v>
      </c>
      <c r="AM193" s="83" t="n">
        <v>-223.672</v>
      </c>
      <c r="AN193" s="83" t="n">
        <v>-56.741</v>
      </c>
      <c r="AO193" s="83" t="n">
        <v>-109.693</v>
      </c>
      <c r="AP193" s="83" t="n">
        <v>-78.769</v>
      </c>
      <c r="AQ193" s="83" t="n">
        <v>-42.452</v>
      </c>
      <c r="AR193" s="83" t="n">
        <v>-287.655</v>
      </c>
      <c r="AS193" s="83" t="n">
        <v>-107.591</v>
      </c>
      <c r="AT193" s="83" t="n">
        <v>-41.274</v>
      </c>
      <c r="AU193" s="83" t="n">
        <v>-56.442</v>
      </c>
      <c r="AV193" s="83" t="n">
        <v>-25.835</v>
      </c>
      <c r="AW193" s="83" t="n">
        <v>-231.142</v>
      </c>
      <c r="AX193" s="83" t="n">
        <v>-25.568</v>
      </c>
      <c r="AY193" s="83" t="n">
        <v>-74.634</v>
      </c>
      <c r="AZ193" s="83" t="n">
        <v>-54.682</v>
      </c>
      <c r="BA193" s="83" t="n">
        <v>-130.862</v>
      </c>
      <c r="BB193" s="83" t="n">
        <v>-285.746</v>
      </c>
      <c r="BC193" s="83" t="n">
        <v>-46.259</v>
      </c>
      <c r="BD193" s="83" t="n">
        <v>-110.092</v>
      </c>
      <c r="BE193" s="83" t="n">
        <v>-122.706</v>
      </c>
      <c r="BF193" s="83" t="n">
        <v>-88.372</v>
      </c>
      <c r="BG193" s="83" t="n">
        <v>-367.429</v>
      </c>
      <c r="BH193" s="83" t="n">
        <v>-128.415</v>
      </c>
      <c r="BI193" s="83" t="n">
        <v>-98.607</v>
      </c>
      <c r="BJ193" s="83" t="n">
        <v>-113.506</v>
      </c>
      <c r="BK193" s="83" t="n">
        <v>-99.351</v>
      </c>
      <c r="BL193" s="83" t="n">
        <v>-439.879</v>
      </c>
      <c r="BM193" s="83" t="n">
        <v>-457.164</v>
      </c>
      <c r="BN193" s="83" t="n">
        <v>-224.755</v>
      </c>
      <c r="BO193" s="83" t="n">
        <v>-193.383</v>
      </c>
      <c r="BP193" s="83" t="n">
        <v>-168.255</v>
      </c>
      <c r="BQ193" s="83" t="n">
        <v>-1043.557</v>
      </c>
      <c r="BR193" s="83" t="n">
        <v>-202.889</v>
      </c>
      <c r="BS193" s="83" t="n">
        <v>-174.651</v>
      </c>
      <c r="BT193" s="83" t="n">
        <v>-90.274</v>
      </c>
      <c r="BU193" s="83" t="n">
        <v>-99.825</v>
      </c>
      <c r="BV193" s="83" t="n">
        <v>-567.639</v>
      </c>
      <c r="BW193" s="83" t="n">
        <v>-66.116</v>
      </c>
      <c r="BX193" s="83" t="n">
        <v>-94.947</v>
      </c>
      <c r="BY193" s="87"/>
      <c r="BZ193" s="87"/>
      <c r="CA193" s="67" t="n">
        <f aca="false">-CHOOSE(MATCH($CF$2,{"Bull","Base","Bear"},0),$CO$14,$CP$14,$CQ$14)-CA195</f>
        <v>-378.041</v>
      </c>
      <c r="CB193" s="67" t="n">
        <f aca="false">-CB81*CB217</f>
        <v>-448.70619400165</v>
      </c>
      <c r="CC193" s="67" t="n">
        <f aca="false">-CC81*CC217</f>
        <v>-476.559127341728</v>
      </c>
      <c r="CD193" s="67" t="n">
        <f aca="false">-CD81*CD217</f>
        <v>-556.694258110778</v>
      </c>
      <c r="CE193" s="67" t="n">
        <f aca="false">-CE81*CE217</f>
        <v>-602.106592216164</v>
      </c>
      <c r="CF193" s="21" t="s">
        <v>358</v>
      </c>
    </row>
    <row r="194" customFormat="false" ht="15" hidden="false" customHeight="true" outlineLevel="0" collapsed="false">
      <c r="B194" s="22" t="s">
        <v>359</v>
      </c>
      <c r="C194" s="83" t="n">
        <v>-17.496</v>
      </c>
      <c r="D194" s="83" t="n">
        <v>0</v>
      </c>
      <c r="E194" s="83" t="n">
        <v>0</v>
      </c>
      <c r="F194" s="83" t="n">
        <v>0</v>
      </c>
      <c r="G194" s="83" t="n">
        <v>0</v>
      </c>
      <c r="H194" s="83" t="n">
        <v>0</v>
      </c>
      <c r="I194" s="83" t="n">
        <v>-7.616</v>
      </c>
      <c r="J194" s="83" t="n">
        <v>0</v>
      </c>
      <c r="K194" s="83" t="n">
        <v>0</v>
      </c>
      <c r="L194" s="83" t="n">
        <v>0</v>
      </c>
      <c r="M194" s="83" t="n">
        <v>0</v>
      </c>
      <c r="N194" s="83" t="n">
        <v>0</v>
      </c>
      <c r="O194" s="83" t="n">
        <v>0</v>
      </c>
      <c r="P194" s="83" t="n">
        <v>0</v>
      </c>
      <c r="Q194" s="83" t="n">
        <v>0</v>
      </c>
      <c r="R194" s="83" t="n">
        <v>0</v>
      </c>
      <c r="S194" s="83" t="n">
        <v>0</v>
      </c>
      <c r="T194" s="83" t="n">
        <v>-23.08</v>
      </c>
      <c r="U194" s="83" t="n">
        <v>0.841999999999999</v>
      </c>
      <c r="V194" s="83" t="n">
        <v>0</v>
      </c>
      <c r="W194" s="83" t="n">
        <v>0</v>
      </c>
      <c r="X194" s="83" t="n">
        <v>-22.238</v>
      </c>
      <c r="Y194" s="83" t="n">
        <v>0</v>
      </c>
      <c r="Z194" s="83" t="n">
        <v>0</v>
      </c>
      <c r="AA194" s="83" t="n">
        <v>0</v>
      </c>
      <c r="AB194" s="83" t="n">
        <v>0</v>
      </c>
      <c r="AC194" s="83" t="n">
        <v>0</v>
      </c>
      <c r="AD194" s="83" t="n">
        <v>0</v>
      </c>
      <c r="AE194" s="83" t="n">
        <v>0</v>
      </c>
      <c r="AF194" s="83" t="n">
        <v>0</v>
      </c>
      <c r="AG194" s="83" t="n">
        <v>0</v>
      </c>
      <c r="AH194" s="83" t="n">
        <v>0</v>
      </c>
      <c r="AI194" s="83" t="n">
        <v>0</v>
      </c>
      <c r="AJ194" s="83" t="n">
        <v>0</v>
      </c>
      <c r="AK194" s="83" t="n">
        <v>0</v>
      </c>
      <c r="AL194" s="83" t="n">
        <v>0</v>
      </c>
      <c r="AM194" s="83" t="n">
        <v>0</v>
      </c>
      <c r="AN194" s="83" t="n">
        <v>0</v>
      </c>
      <c r="AO194" s="83" t="n">
        <v>0</v>
      </c>
      <c r="AP194" s="83" t="n">
        <v>0</v>
      </c>
      <c r="AQ194" s="83" t="n">
        <v>0</v>
      </c>
      <c r="AR194" s="83" t="n">
        <v>0</v>
      </c>
      <c r="AS194" s="83" t="n">
        <v>0</v>
      </c>
      <c r="AT194" s="83" t="n">
        <v>0</v>
      </c>
      <c r="AU194" s="83" t="n">
        <v>0</v>
      </c>
      <c r="AV194" s="83" t="n">
        <v>0</v>
      </c>
      <c r="AW194" s="83" t="n">
        <v>0</v>
      </c>
      <c r="AX194" s="83" t="n">
        <v>0</v>
      </c>
      <c r="AY194" s="83" t="n">
        <v>0</v>
      </c>
      <c r="AZ194" s="83" t="n">
        <v>0</v>
      </c>
      <c r="BA194" s="83" t="n">
        <v>0</v>
      </c>
      <c r="BB194" s="83" t="n">
        <v>0</v>
      </c>
      <c r="BC194" s="83" t="n">
        <v>0</v>
      </c>
      <c r="BD194" s="83" t="n">
        <v>0</v>
      </c>
      <c r="BE194" s="83" t="n">
        <v>0</v>
      </c>
      <c r="BF194" s="83" t="n">
        <v>0</v>
      </c>
      <c r="BG194" s="83" t="n">
        <v>0</v>
      </c>
      <c r="BH194" s="83" t="n">
        <v>0</v>
      </c>
      <c r="BI194" s="83" t="n">
        <v>0</v>
      </c>
      <c r="BJ194" s="83" t="n">
        <v>0</v>
      </c>
      <c r="BK194" s="83" t="n">
        <v>0</v>
      </c>
      <c r="BL194" s="83" t="n">
        <v>0</v>
      </c>
      <c r="BM194" s="83" t="n">
        <v>0</v>
      </c>
      <c r="BN194" s="83" t="n">
        <v>0</v>
      </c>
      <c r="BO194" s="83" t="n">
        <v>0</v>
      </c>
      <c r="BP194" s="83" t="n">
        <v>0</v>
      </c>
      <c r="BQ194" s="83" t="n">
        <v>0</v>
      </c>
      <c r="BR194" s="83" t="n">
        <v>0</v>
      </c>
      <c r="BS194" s="83" t="n">
        <v>0</v>
      </c>
      <c r="BT194" s="83" t="n">
        <v>0</v>
      </c>
      <c r="BU194" s="83" t="n">
        <v>0</v>
      </c>
      <c r="BV194" s="83" t="n">
        <v>0</v>
      </c>
      <c r="BW194" s="83" t="n">
        <v>0</v>
      </c>
      <c r="BX194" s="83" t="n">
        <v>0</v>
      </c>
      <c r="BY194" s="87"/>
      <c r="BZ194" s="87"/>
      <c r="CA194" s="67" t="n">
        <f aca="false">($BW$194+$BX$194)</f>
        <v>0</v>
      </c>
      <c r="CB194" s="85" t="n">
        <v>0</v>
      </c>
      <c r="CC194" s="85" t="n">
        <v>0</v>
      </c>
      <c r="CD194" s="85" t="n">
        <v>0</v>
      </c>
      <c r="CE194" s="85" t="n">
        <v>0</v>
      </c>
      <c r="CF194" s="21"/>
    </row>
    <row r="195" customFormat="false" ht="15" hidden="false" customHeight="true" outlineLevel="0" collapsed="false">
      <c r="B195" s="22" t="s">
        <v>360</v>
      </c>
      <c r="C195" s="83" t="n">
        <v>2.487</v>
      </c>
      <c r="D195" s="83" t="n">
        <v>6.401</v>
      </c>
      <c r="E195" s="83" t="n">
        <v>1.803</v>
      </c>
      <c r="F195" s="83" t="n">
        <v>0.788</v>
      </c>
      <c r="G195" s="83" t="n">
        <v>0.56</v>
      </c>
      <c r="H195" s="83" t="n">
        <v>2.963</v>
      </c>
      <c r="I195" s="83" t="n">
        <v>3.305</v>
      </c>
      <c r="J195" s="83" t="n">
        <v>0.71</v>
      </c>
      <c r="K195" s="83" t="n">
        <v>0.563</v>
      </c>
      <c r="L195" s="83" t="n">
        <v>1.785</v>
      </c>
      <c r="M195" s="83" t="n">
        <v>1.28</v>
      </c>
      <c r="N195" s="83" t="n">
        <v>4.338</v>
      </c>
      <c r="O195" s="83" t="n">
        <v>0.156</v>
      </c>
      <c r="P195" s="83" t="n">
        <v>0.265</v>
      </c>
      <c r="Q195" s="83" t="n">
        <v>2.169</v>
      </c>
      <c r="R195" s="83" t="n">
        <v>0.315</v>
      </c>
      <c r="S195" s="83" t="n">
        <v>2.905</v>
      </c>
      <c r="T195" s="83" t="n">
        <v>0.294</v>
      </c>
      <c r="U195" s="83" t="n">
        <v>0.223</v>
      </c>
      <c r="V195" s="83" t="n">
        <v>0.148</v>
      </c>
      <c r="W195" s="83" t="n">
        <v>0.153</v>
      </c>
      <c r="X195" s="83" t="n">
        <v>0.818</v>
      </c>
      <c r="Y195" s="83" t="n">
        <v>0.367</v>
      </c>
      <c r="Z195" s="83" t="n">
        <v>0.228</v>
      </c>
      <c r="AA195" s="83" t="n">
        <v>0.451</v>
      </c>
      <c r="AB195" s="83" t="n">
        <v>0.636</v>
      </c>
      <c r="AC195" s="83" t="n">
        <v>1.682</v>
      </c>
      <c r="AD195" s="83" t="n">
        <v>0.607</v>
      </c>
      <c r="AE195" s="83" t="n">
        <v>0.316</v>
      </c>
      <c r="AF195" s="83" t="n">
        <v>2.167</v>
      </c>
      <c r="AG195" s="83" t="n">
        <v>2.082</v>
      </c>
      <c r="AH195" s="83" t="n">
        <v>5.172</v>
      </c>
      <c r="AI195" s="83" t="n">
        <v>0.1</v>
      </c>
      <c r="AJ195" s="83" t="n">
        <v>0.318</v>
      </c>
      <c r="AK195" s="83" t="n">
        <v>0.36</v>
      </c>
      <c r="AL195" s="83" t="n">
        <v>0.31</v>
      </c>
      <c r="AM195" s="83" t="n">
        <v>1.088</v>
      </c>
      <c r="AN195" s="83" t="n">
        <v>0.275</v>
      </c>
      <c r="AO195" s="83" t="n">
        <v>0.105</v>
      </c>
      <c r="AP195" s="83" t="n">
        <v>0.298</v>
      </c>
      <c r="AQ195" s="83" t="n">
        <v>5.946</v>
      </c>
      <c r="AR195" s="83" t="n">
        <v>6.624</v>
      </c>
      <c r="AS195" s="83" t="n">
        <v>4.915</v>
      </c>
      <c r="AT195" s="83" t="n">
        <v>1.228</v>
      </c>
      <c r="AU195" s="83" t="n">
        <v>1.654</v>
      </c>
      <c r="AV195" s="83" t="n">
        <v>4.528</v>
      </c>
      <c r="AW195" s="83" t="n">
        <v>12.325</v>
      </c>
      <c r="AX195" s="83" t="n">
        <v>0.18</v>
      </c>
      <c r="AY195" s="83" t="n">
        <v>0.056</v>
      </c>
      <c r="AZ195" s="83" t="n">
        <v>6.224</v>
      </c>
      <c r="BA195" s="83" t="n">
        <v>1.938</v>
      </c>
      <c r="BB195" s="83" t="n">
        <v>8.398</v>
      </c>
      <c r="BC195" s="83" t="n">
        <v>0.883</v>
      </c>
      <c r="BD195" s="83" t="n">
        <v>0.177</v>
      </c>
      <c r="BE195" s="83" t="n">
        <v>0.00099999999999989</v>
      </c>
      <c r="BF195" s="83" t="n">
        <v>0.856</v>
      </c>
      <c r="BG195" s="83" t="n">
        <v>1.917</v>
      </c>
      <c r="BH195" s="83" t="n">
        <v>0.36</v>
      </c>
      <c r="BI195" s="83" t="n">
        <v>0.169</v>
      </c>
      <c r="BJ195" s="83" t="n">
        <v>1.612</v>
      </c>
      <c r="BK195" s="83" t="n">
        <v>0.586</v>
      </c>
      <c r="BL195" s="83" t="n">
        <v>2.727</v>
      </c>
      <c r="BM195" s="83" t="n">
        <v>0.343</v>
      </c>
      <c r="BN195" s="83" t="n">
        <v>0.3</v>
      </c>
      <c r="BO195" s="83" t="n">
        <v>1.436</v>
      </c>
      <c r="BP195" s="83" t="n">
        <v>0.615</v>
      </c>
      <c r="BQ195" s="83" t="n">
        <v>2.694</v>
      </c>
      <c r="BR195" s="83" t="n">
        <v>0.826</v>
      </c>
      <c r="BS195" s="83" t="n">
        <v>1.141</v>
      </c>
      <c r="BT195" s="83" t="n">
        <v>19.769</v>
      </c>
      <c r="BU195" s="83" t="n">
        <v>1.775</v>
      </c>
      <c r="BV195" s="83" t="n">
        <v>23.511</v>
      </c>
      <c r="BW195" s="83" t="n">
        <v>2.392</v>
      </c>
      <c r="BX195" s="83" t="n">
        <v>0.649</v>
      </c>
      <c r="BY195" s="87"/>
      <c r="BZ195" s="87"/>
      <c r="CA195" s="67" t="n">
        <f aca="false">($BW$195+$BX$195)</f>
        <v>3.041</v>
      </c>
      <c r="CB195" s="85" t="n">
        <v>0</v>
      </c>
      <c r="CC195" s="85" t="n">
        <v>0</v>
      </c>
      <c r="CD195" s="85" t="n">
        <v>0</v>
      </c>
      <c r="CE195" s="85" t="n">
        <v>0</v>
      </c>
      <c r="CF195" s="21"/>
    </row>
    <row r="196" customFormat="false" ht="15" hidden="false" customHeight="true" outlineLevel="0" collapsed="false">
      <c r="B196" s="22" t="s">
        <v>361</v>
      </c>
      <c r="C196" s="83" t="n">
        <v>35.946</v>
      </c>
      <c r="D196" s="83" t="n">
        <v>-2.344</v>
      </c>
      <c r="E196" s="83" t="n">
        <v>8.88178419700125E-016</v>
      </c>
      <c r="F196" s="83" t="n">
        <v>2.22044604925031E-016</v>
      </c>
      <c r="G196" s="83" t="n">
        <v>0</v>
      </c>
      <c r="H196" s="83" t="n">
        <v>-6.21724893790088E-015</v>
      </c>
      <c r="I196" s="83" t="n">
        <v>7.105427357601E-015</v>
      </c>
      <c r="J196" s="83" t="n">
        <v>0</v>
      </c>
      <c r="K196" s="83" t="n">
        <v>2.44249065417534E-015</v>
      </c>
      <c r="L196" s="83" t="n">
        <v>1.08801856413265E-014</v>
      </c>
      <c r="M196" s="83" t="n">
        <v>8.88178419700125E-016</v>
      </c>
      <c r="N196" s="83" t="n">
        <v>7.99360577730113E-015</v>
      </c>
      <c r="O196" s="83" t="n">
        <v>-1.19348975147204E-015</v>
      </c>
      <c r="P196" s="83" t="n">
        <v>-6.55031584528842E-015</v>
      </c>
      <c r="Q196" s="83" t="n">
        <v>-3.10862446895044E-015</v>
      </c>
      <c r="R196" s="83" t="n">
        <v>1.19904086659517E-014</v>
      </c>
      <c r="S196" s="83" t="n">
        <v>1.33226762955019E-015</v>
      </c>
      <c r="T196" s="83" t="n">
        <v>-3.5527136788005E-015</v>
      </c>
      <c r="U196" s="83" t="n">
        <v>5.99520433297585E-015</v>
      </c>
      <c r="V196" s="83" t="n">
        <v>-1.09912079437891E-014</v>
      </c>
      <c r="W196" s="83" t="n">
        <v>5.88418203051333E-015</v>
      </c>
      <c r="X196" s="83" t="n">
        <v>-3.5527136788005E-015</v>
      </c>
      <c r="Y196" s="83" t="n">
        <v>-2.66453525910038E-015</v>
      </c>
      <c r="Z196" s="83" t="n">
        <v>1.55431223447522E-015</v>
      </c>
      <c r="AA196" s="83" t="n">
        <v>-6.66133814775094E-015</v>
      </c>
      <c r="AB196" s="83" t="n">
        <v>-4.2188474935756E-015</v>
      </c>
      <c r="AC196" s="83" t="n">
        <v>-1.19904086659517E-014</v>
      </c>
      <c r="AD196" s="83" t="n">
        <v>-6.66133814775094E-016</v>
      </c>
      <c r="AE196" s="83" t="n">
        <v>2.44249065417534E-015</v>
      </c>
      <c r="AF196" s="83" t="n">
        <v>-2.66453525910038E-014</v>
      </c>
      <c r="AG196" s="83" t="n">
        <v>2.22044604925031E-014</v>
      </c>
      <c r="AH196" s="83" t="n">
        <v>-2.66453525910038E-015</v>
      </c>
      <c r="AI196" s="83" t="n">
        <v>1.41553435639708E-015</v>
      </c>
      <c r="AJ196" s="83" t="n">
        <v>-2.1094237467878E-015</v>
      </c>
      <c r="AK196" s="83" t="n">
        <v>2.78110867668602E-014</v>
      </c>
      <c r="AL196" s="83" t="n">
        <v>-2.62012633811537E-014</v>
      </c>
      <c r="AM196" s="83" t="n">
        <v>-6.21724893790088E-015</v>
      </c>
      <c r="AN196" s="83" t="n">
        <v>-1.4432899320127E-015</v>
      </c>
      <c r="AO196" s="83" t="n">
        <v>3.99680288865056E-015</v>
      </c>
      <c r="AP196" s="83" t="n">
        <v>1.77635683940025E-015</v>
      </c>
      <c r="AQ196" s="83" t="n">
        <v>-3.01980662698043E-014</v>
      </c>
      <c r="AR196" s="83" t="n">
        <v>-3.28626015289046E-014</v>
      </c>
      <c r="AS196" s="83" t="n">
        <v>-7.99360577730113E-015</v>
      </c>
      <c r="AT196" s="83" t="n">
        <v>8.88178419700125E-015</v>
      </c>
      <c r="AU196" s="83" t="n">
        <v>-3.5527136788005E-015</v>
      </c>
      <c r="AV196" s="83" t="n">
        <v>-7.99360577730113E-015</v>
      </c>
      <c r="AW196" s="83" t="n">
        <v>-1.06581410364015E-014</v>
      </c>
      <c r="AX196" s="83" t="n">
        <v>-2.77555756156289E-016</v>
      </c>
      <c r="AY196" s="83" t="n">
        <v>1.16018306073329E-014</v>
      </c>
      <c r="AZ196" s="83" t="n">
        <v>-0.500000000000025</v>
      </c>
      <c r="BA196" s="83" t="n">
        <v>-1.15463194561016E-014</v>
      </c>
      <c r="BB196" s="83" t="n">
        <v>-0.500000000000032</v>
      </c>
      <c r="BC196" s="83" t="n">
        <v>2.66453525910038E-015</v>
      </c>
      <c r="BD196" s="83" t="n">
        <v>6.66133814775094E-015</v>
      </c>
      <c r="BE196" s="83" t="n">
        <v>3.33066907387547E-014</v>
      </c>
      <c r="BF196" s="83" t="n">
        <v>-6.23945339839338E-014</v>
      </c>
      <c r="BG196" s="83" t="n">
        <v>-2.68673971959288E-014</v>
      </c>
      <c r="BH196" s="83" t="n">
        <v>-1.47659662275146E-014</v>
      </c>
      <c r="BI196" s="83" t="n">
        <v>1.11022302462516E-014</v>
      </c>
      <c r="BJ196" s="83" t="n">
        <v>1.37900000000004</v>
      </c>
      <c r="BK196" s="83" t="n">
        <v>-12.9230000000001</v>
      </c>
      <c r="BL196" s="83" t="n">
        <v>-11.544</v>
      </c>
      <c r="BM196" s="83" t="n">
        <v>4.99899999999999</v>
      </c>
      <c r="BN196" s="83" t="n">
        <v>-4.54636328584002E-014</v>
      </c>
      <c r="BO196" s="83" t="n">
        <v>3.530509218308E-014</v>
      </c>
      <c r="BP196" s="83" t="n">
        <v>9.32587340685132E-015</v>
      </c>
      <c r="BQ196" s="83" t="n">
        <v>4.99899999999998</v>
      </c>
      <c r="BR196" s="83" t="n">
        <v>2.18713935851156E-014</v>
      </c>
      <c r="BS196" s="83" t="n">
        <v>-8.39399999999999</v>
      </c>
      <c r="BT196" s="83" t="n">
        <v>3.5527136788005E-015</v>
      </c>
      <c r="BU196" s="83" t="n">
        <v>-7.8159700933611E-014</v>
      </c>
      <c r="BV196" s="83" t="n">
        <v>-8.39400000000004</v>
      </c>
      <c r="BW196" s="83" t="n">
        <v>3.10862446895044E-015</v>
      </c>
      <c r="BX196" s="83" t="n">
        <v>-1.33226762955019E-014</v>
      </c>
      <c r="BY196" s="87"/>
      <c r="BZ196" s="87"/>
      <c r="CA196" s="67" t="n">
        <f aca="false">($BW$196+$BX$196)</f>
        <v>-1.02140518265514E-014</v>
      </c>
      <c r="CB196" s="85" t="n">
        <v>0</v>
      </c>
      <c r="CC196" s="85" t="n">
        <v>0</v>
      </c>
      <c r="CD196" s="85" t="n">
        <v>0</v>
      </c>
      <c r="CE196" s="85" t="n">
        <v>0</v>
      </c>
      <c r="CF196" s="21"/>
    </row>
    <row r="197" customFormat="false" ht="15" hidden="false" customHeight="true" outlineLevel="0" collapsed="false">
      <c r="B197" s="71" t="s">
        <v>362</v>
      </c>
      <c r="C197" s="82" t="n">
        <v>-72.298</v>
      </c>
      <c r="D197" s="82" t="n">
        <v>-91.429</v>
      </c>
      <c r="E197" s="82" t="n">
        <v>-26.005</v>
      </c>
      <c r="F197" s="82" t="n">
        <v>-7.574</v>
      </c>
      <c r="G197" s="82" t="n">
        <v>-3.255</v>
      </c>
      <c r="H197" s="82" t="n">
        <v>-67.899</v>
      </c>
      <c r="I197" s="82" t="n">
        <v>-90.431</v>
      </c>
      <c r="J197" s="82" t="n">
        <v>-6.015</v>
      </c>
      <c r="K197" s="82" t="n">
        <v>-64.804</v>
      </c>
      <c r="L197" s="82" t="n">
        <v>-26.922</v>
      </c>
      <c r="M197" s="82" t="n">
        <v>-24.279</v>
      </c>
      <c r="N197" s="82" t="n">
        <v>-122.02</v>
      </c>
      <c r="O197" s="82" t="n">
        <v>-8.223</v>
      </c>
      <c r="P197" s="82" t="n">
        <v>-58.433</v>
      </c>
      <c r="Q197" s="82" t="n">
        <v>-10.527</v>
      </c>
      <c r="R197" s="82" t="n">
        <v>-17.662</v>
      </c>
      <c r="S197" s="82" t="n">
        <v>-94.845</v>
      </c>
      <c r="T197" s="82" t="n">
        <v>-52.85</v>
      </c>
      <c r="U197" s="82" t="n">
        <v>-25.337</v>
      </c>
      <c r="V197" s="82" t="n">
        <v>-12.221</v>
      </c>
      <c r="W197" s="82" t="n">
        <v>-17.511</v>
      </c>
      <c r="X197" s="82" t="n">
        <v>-107.919</v>
      </c>
      <c r="Y197" s="82" t="n">
        <v>-53.628</v>
      </c>
      <c r="Z197" s="82" t="n">
        <v>-47.917</v>
      </c>
      <c r="AA197" s="82" t="n">
        <v>-6.28</v>
      </c>
      <c r="AB197" s="82" t="n">
        <v>-9.858</v>
      </c>
      <c r="AC197" s="82" t="n">
        <v>-117.683</v>
      </c>
      <c r="AD197" s="82" t="n">
        <v>-87.781</v>
      </c>
      <c r="AE197" s="82" t="n">
        <v>-38.626</v>
      </c>
      <c r="AF197" s="82" t="n">
        <v>-26.179</v>
      </c>
      <c r="AG197" s="82" t="n">
        <v>-28.938</v>
      </c>
      <c r="AH197" s="82" t="n">
        <v>-181.524</v>
      </c>
      <c r="AI197" s="82" t="n">
        <v>-46.781</v>
      </c>
      <c r="AJ197" s="82" t="n">
        <v>-71.374</v>
      </c>
      <c r="AK197" s="82" t="n">
        <v>-36.284</v>
      </c>
      <c r="AL197" s="82" t="n">
        <v>-68.145</v>
      </c>
      <c r="AM197" s="82" t="n">
        <v>-222.584</v>
      </c>
      <c r="AN197" s="82" t="n">
        <v>-56.466</v>
      </c>
      <c r="AO197" s="82" t="n">
        <v>-109.588</v>
      </c>
      <c r="AP197" s="82" t="n">
        <v>-78.471</v>
      </c>
      <c r="AQ197" s="82" t="n">
        <v>-36.506</v>
      </c>
      <c r="AR197" s="82" t="n">
        <v>-281.031</v>
      </c>
      <c r="AS197" s="82" t="n">
        <v>-102.676</v>
      </c>
      <c r="AT197" s="82" t="n">
        <v>-40.046</v>
      </c>
      <c r="AU197" s="82" t="n">
        <v>-54.788</v>
      </c>
      <c r="AV197" s="82" t="n">
        <v>-21.307</v>
      </c>
      <c r="AW197" s="82" t="n">
        <v>-218.817</v>
      </c>
      <c r="AX197" s="82" t="n">
        <v>-25.388</v>
      </c>
      <c r="AY197" s="82" t="n">
        <v>-74.578</v>
      </c>
      <c r="AZ197" s="82" t="n">
        <v>-48.958</v>
      </c>
      <c r="BA197" s="82" t="n">
        <v>-128.924</v>
      </c>
      <c r="BB197" s="82" t="n">
        <v>-277.848</v>
      </c>
      <c r="BC197" s="82" t="n">
        <v>-45.376</v>
      </c>
      <c r="BD197" s="82" t="n">
        <v>-109.915</v>
      </c>
      <c r="BE197" s="82" t="n">
        <v>-122.705</v>
      </c>
      <c r="BF197" s="82" t="n">
        <v>-87.516</v>
      </c>
      <c r="BG197" s="82" t="n">
        <v>-365.512</v>
      </c>
      <c r="BH197" s="82" t="n">
        <v>-128.055</v>
      </c>
      <c r="BI197" s="82" t="n">
        <v>-98.438</v>
      </c>
      <c r="BJ197" s="82" t="n">
        <v>-110.515</v>
      </c>
      <c r="BK197" s="82" t="n">
        <v>-111.688</v>
      </c>
      <c r="BL197" s="82" t="n">
        <v>-448.696</v>
      </c>
      <c r="BM197" s="82" t="n">
        <v>-451.822</v>
      </c>
      <c r="BN197" s="82" t="n">
        <v>-224.455</v>
      </c>
      <c r="BO197" s="82" t="n">
        <v>-191.947</v>
      </c>
      <c r="BP197" s="82" t="n">
        <v>-167.64</v>
      </c>
      <c r="BQ197" s="82" t="n">
        <v>-1035.864</v>
      </c>
      <c r="BR197" s="82" t="n">
        <v>-202.063</v>
      </c>
      <c r="BS197" s="82" t="n">
        <v>-181.904</v>
      </c>
      <c r="BT197" s="82" t="n">
        <v>-70.505</v>
      </c>
      <c r="BU197" s="82" t="n">
        <v>-98.0500000000001</v>
      </c>
      <c r="BV197" s="82" t="n">
        <v>-552.522</v>
      </c>
      <c r="BW197" s="82" t="n">
        <v>-63.724</v>
      </c>
      <c r="BX197" s="82" t="n">
        <v>-94.298</v>
      </c>
      <c r="BY197" s="106"/>
      <c r="BZ197" s="106"/>
      <c r="CA197" s="72" t="n">
        <f aca="false">SUM(CA193:CA196)</f>
        <v>-375</v>
      </c>
      <c r="CB197" s="72" t="n">
        <f aca="false">SUM(CB193:CB196)</f>
        <v>-448.70619400165</v>
      </c>
      <c r="CC197" s="72" t="n">
        <f aca="false">SUM(CC193:CC196)</f>
        <v>-476.559127341728</v>
      </c>
      <c r="CD197" s="72" t="n">
        <f aca="false">SUM(CD193:CD196)</f>
        <v>-556.694258110778</v>
      </c>
      <c r="CE197" s="72" t="n">
        <f aca="false">SUM(CE193:CE196)</f>
        <v>-602.106592216164</v>
      </c>
      <c r="CF197" s="21"/>
    </row>
    <row r="198" customFormat="false" ht="15" hidden="false" customHeight="true" outlineLevel="0" collapsed="false">
      <c r="B198" s="22" t="s">
        <v>363</v>
      </c>
      <c r="C198" s="83" t="n">
        <v>0</v>
      </c>
      <c r="D198" s="83" t="n">
        <v>73.724</v>
      </c>
      <c r="E198" s="83" t="n">
        <v>25</v>
      </c>
      <c r="F198" s="83" t="n">
        <v>0</v>
      </c>
      <c r="G198" s="83" t="n">
        <v>0</v>
      </c>
      <c r="H198" s="83" t="n">
        <v>0</v>
      </c>
      <c r="I198" s="83" t="n">
        <v>354.857</v>
      </c>
      <c r="J198" s="83" t="n">
        <v>56.551</v>
      </c>
      <c r="K198" s="83" t="n">
        <v>96.611</v>
      </c>
      <c r="L198" s="83" t="n">
        <v>55.649</v>
      </c>
      <c r="M198" s="83" t="n">
        <v>53.314</v>
      </c>
      <c r="N198" s="83" t="n">
        <v>262.125</v>
      </c>
      <c r="O198" s="83" t="n">
        <v>119.128</v>
      </c>
      <c r="P198" s="83" t="n">
        <v>94.724</v>
      </c>
      <c r="Q198" s="83" t="n">
        <v>56.724</v>
      </c>
      <c r="R198" s="83" t="n">
        <v>66.647</v>
      </c>
      <c r="S198" s="83" t="n">
        <v>337.223</v>
      </c>
      <c r="T198" s="83" t="n">
        <v>93.854</v>
      </c>
      <c r="U198" s="83" t="n">
        <v>50.65</v>
      </c>
      <c r="V198" s="83" t="n">
        <v>53.402</v>
      </c>
      <c r="W198" s="83" t="n">
        <v>52.088</v>
      </c>
      <c r="X198" s="83" t="n">
        <v>249.994</v>
      </c>
      <c r="Y198" s="83" t="n">
        <v>65.564</v>
      </c>
      <c r="Z198" s="83" t="n">
        <v>50.564</v>
      </c>
      <c r="AA198" s="83" t="n">
        <v>27.135</v>
      </c>
      <c r="AB198" s="83" t="n">
        <v>42.023</v>
      </c>
      <c r="AC198" s="83" t="n">
        <v>185.286</v>
      </c>
      <c r="AD198" s="83" t="n">
        <v>80.624</v>
      </c>
      <c r="AE198" s="83" t="n">
        <v>44.776</v>
      </c>
      <c r="AF198" s="83" t="n">
        <v>68.201</v>
      </c>
      <c r="AG198" s="83" t="n">
        <v>67.313</v>
      </c>
      <c r="AH198" s="83" t="n">
        <v>260.914</v>
      </c>
      <c r="AI198" s="83" t="n">
        <v>50.55</v>
      </c>
      <c r="AJ198" s="83" t="n">
        <v>48.925</v>
      </c>
      <c r="AK198" s="83" t="n">
        <v>43.258</v>
      </c>
      <c r="AL198" s="83" t="n">
        <v>68.155</v>
      </c>
      <c r="AM198" s="83" t="n">
        <v>210.888</v>
      </c>
      <c r="AN198" s="83" t="n">
        <v>86.388</v>
      </c>
      <c r="AO198" s="83" t="n">
        <v>75.127</v>
      </c>
      <c r="AP198" s="83" t="n">
        <v>109.475</v>
      </c>
      <c r="AQ198" s="83" t="n">
        <v>86.127</v>
      </c>
      <c r="AR198" s="83" t="n">
        <v>357.117</v>
      </c>
      <c r="AS198" s="83" t="n">
        <v>190.874</v>
      </c>
      <c r="AT198" s="83" t="n">
        <v>64.223</v>
      </c>
      <c r="AU198" s="83" t="n">
        <v>47.082</v>
      </c>
      <c r="AV198" s="83" t="n">
        <v>20.893</v>
      </c>
      <c r="AW198" s="83" t="n">
        <v>323.072</v>
      </c>
      <c r="AX198" s="83" t="n">
        <v>7.713</v>
      </c>
      <c r="AY198" s="83" t="n">
        <v>19.901</v>
      </c>
      <c r="AZ198" s="83" t="n">
        <v>8.796</v>
      </c>
      <c r="BA198" s="83" t="n">
        <v>6.765</v>
      </c>
      <c r="BB198" s="83" t="n">
        <v>43.175</v>
      </c>
      <c r="BC198" s="83" t="n">
        <v>0</v>
      </c>
      <c r="BD198" s="83" t="n">
        <v>1</v>
      </c>
      <c r="BE198" s="83" t="n">
        <v>0</v>
      </c>
      <c r="BF198" s="83" t="n">
        <v>0</v>
      </c>
      <c r="BG198" s="83" t="n">
        <v>1</v>
      </c>
      <c r="BH198" s="83" t="n">
        <v>0</v>
      </c>
      <c r="BI198" s="83" t="n">
        <v>0</v>
      </c>
      <c r="BJ198" s="83" t="n">
        <v>0</v>
      </c>
      <c r="BK198" s="83" t="n">
        <v>0</v>
      </c>
      <c r="BL198" s="83" t="n">
        <v>0</v>
      </c>
      <c r="BM198" s="83" t="n">
        <v>120.1</v>
      </c>
      <c r="BN198" s="83" t="n">
        <v>536</v>
      </c>
      <c r="BO198" s="83" t="n">
        <v>397</v>
      </c>
      <c r="BP198" s="83" t="n">
        <v>201</v>
      </c>
      <c r="BQ198" s="83" t="n">
        <v>1254.1</v>
      </c>
      <c r="BR198" s="83" t="n">
        <v>444</v>
      </c>
      <c r="BS198" s="83" t="n">
        <v>302</v>
      </c>
      <c r="BT198" s="83" t="n">
        <v>111</v>
      </c>
      <c r="BU198" s="83" t="n">
        <v>135</v>
      </c>
      <c r="BV198" s="83" t="n">
        <v>992</v>
      </c>
      <c r="BW198" s="83" t="n">
        <v>214</v>
      </c>
      <c r="BX198" s="83" t="n">
        <v>35</v>
      </c>
      <c r="BY198" s="87"/>
      <c r="BZ198" s="87"/>
      <c r="CA198" s="67" t="n">
        <f aca="false">($BW$198+$BX$198)+CA280+MAX(0,CA281-BX281)</f>
        <v>249</v>
      </c>
      <c r="CB198" s="67" t="n">
        <f aca="false">CB280+MAX(0,CB281-CA281)</f>
        <v>0</v>
      </c>
      <c r="CC198" s="67" t="n">
        <f aca="false">CC280+MAX(0,CC281-CB281)</f>
        <v>0</v>
      </c>
      <c r="CD198" s="67" t="n">
        <f aca="false">CD280+MAX(0,CD281-CC281)</f>
        <v>100</v>
      </c>
      <c r="CE198" s="67" t="n">
        <f aca="false">CE280+MAX(0,CE281-CD281)</f>
        <v>0</v>
      </c>
      <c r="CF198" s="21"/>
    </row>
    <row r="199" customFormat="false" ht="15" hidden="false" customHeight="true" outlineLevel="0" collapsed="false">
      <c r="B199" s="22" t="s">
        <v>364</v>
      </c>
      <c r="C199" s="83" t="n">
        <v>-5</v>
      </c>
      <c r="D199" s="83" t="n">
        <v>-11.402</v>
      </c>
      <c r="E199" s="83" t="n">
        <v>-61.517</v>
      </c>
      <c r="F199" s="83" t="n">
        <v>-49.993</v>
      </c>
      <c r="G199" s="83" t="n">
        <v>0</v>
      </c>
      <c r="H199" s="83" t="n">
        <v>-18.189</v>
      </c>
      <c r="I199" s="83" t="n">
        <v>-367.01</v>
      </c>
      <c r="J199" s="83" t="n">
        <v>-58.496</v>
      </c>
      <c r="K199" s="83" t="n">
        <v>-56.895</v>
      </c>
      <c r="L199" s="83" t="n">
        <v>-62.619</v>
      </c>
      <c r="M199" s="83" t="n">
        <v>-67.931</v>
      </c>
      <c r="N199" s="83" t="n">
        <v>-245.941</v>
      </c>
      <c r="O199" s="83" t="n">
        <v>-116.297</v>
      </c>
      <c r="P199" s="83" t="n">
        <v>-78.704</v>
      </c>
      <c r="Q199" s="83" t="n">
        <v>-87.463</v>
      </c>
      <c r="R199" s="83" t="n">
        <v>-65.219</v>
      </c>
      <c r="S199" s="83" t="n">
        <v>-347.683</v>
      </c>
      <c r="T199" s="83" t="n">
        <v>-72.277</v>
      </c>
      <c r="U199" s="83" t="n">
        <v>-64.418</v>
      </c>
      <c r="V199" s="83" t="n">
        <v>-87.484</v>
      </c>
      <c r="W199" s="83" t="n">
        <v>-66.932</v>
      </c>
      <c r="X199" s="83" t="n">
        <v>-291.111</v>
      </c>
      <c r="Y199" s="83" t="n">
        <v>-28.128</v>
      </c>
      <c r="Z199" s="83" t="n">
        <v>-52.281</v>
      </c>
      <c r="AA199" s="83" t="n">
        <v>-72.271</v>
      </c>
      <c r="AB199" s="83" t="n">
        <v>-62.457</v>
      </c>
      <c r="AC199" s="83" t="n">
        <v>-215.137</v>
      </c>
      <c r="AD199" s="83" t="n">
        <v>-17.876</v>
      </c>
      <c r="AE199" s="83" t="n">
        <v>-61.651</v>
      </c>
      <c r="AF199" s="83" t="n">
        <v>-91.965</v>
      </c>
      <c r="AG199" s="83" t="n">
        <v>-65.793</v>
      </c>
      <c r="AH199" s="83" t="n">
        <v>-237.285</v>
      </c>
      <c r="AI199" s="83" t="n">
        <v>-46.211</v>
      </c>
      <c r="AJ199" s="83" t="n">
        <v>-53.602</v>
      </c>
      <c r="AK199" s="83" t="n">
        <v>-82.551</v>
      </c>
      <c r="AL199" s="83" t="n">
        <v>-74.814</v>
      </c>
      <c r="AM199" s="83" t="n">
        <v>-257.178</v>
      </c>
      <c r="AN199" s="83" t="n">
        <v>-60.369</v>
      </c>
      <c r="AO199" s="83" t="n">
        <v>-49.184</v>
      </c>
      <c r="AP199" s="83" t="n">
        <v>-125.196</v>
      </c>
      <c r="AQ199" s="83" t="n">
        <v>-114.966</v>
      </c>
      <c r="AR199" s="83" t="n">
        <v>-349.715</v>
      </c>
      <c r="AS199" s="83" t="n">
        <v>-91.537</v>
      </c>
      <c r="AT199" s="83" t="n">
        <v>-139.151</v>
      </c>
      <c r="AU199" s="83" t="n">
        <v>-87</v>
      </c>
      <c r="AV199" s="83" t="n">
        <v>-70.838</v>
      </c>
      <c r="AW199" s="83" t="n">
        <v>-388.526</v>
      </c>
      <c r="AX199" s="83" t="n">
        <v>-12.672</v>
      </c>
      <c r="AY199" s="83" t="n">
        <v>-24.892</v>
      </c>
      <c r="AZ199" s="83" t="n">
        <v>-14.651</v>
      </c>
      <c r="BA199" s="83" t="n">
        <v>-11.531</v>
      </c>
      <c r="BB199" s="83" t="n">
        <v>-63.746</v>
      </c>
      <c r="BC199" s="83" t="n">
        <v>-5.525</v>
      </c>
      <c r="BD199" s="83" t="n">
        <v>-6.584</v>
      </c>
      <c r="BE199" s="83" t="n">
        <v>-4.445</v>
      </c>
      <c r="BF199" s="83" t="n">
        <v>-3.917</v>
      </c>
      <c r="BG199" s="83" t="n">
        <v>-20.471</v>
      </c>
      <c r="BH199" s="83" t="n">
        <v>-4.504</v>
      </c>
      <c r="BI199" s="83" t="n">
        <v>-5.146</v>
      </c>
      <c r="BJ199" s="83" t="n">
        <v>-2.424</v>
      </c>
      <c r="BK199" s="83" t="n">
        <v>-2.446</v>
      </c>
      <c r="BL199" s="83" t="n">
        <v>-14.52</v>
      </c>
      <c r="BM199" s="83" t="n">
        <v>-52.537</v>
      </c>
      <c r="BN199" s="83" t="n">
        <v>-443.376</v>
      </c>
      <c r="BO199" s="83" t="n">
        <v>-382.712</v>
      </c>
      <c r="BP199" s="83" t="n">
        <v>-191.668</v>
      </c>
      <c r="BQ199" s="83" t="n">
        <v>-1070.293</v>
      </c>
      <c r="BR199" s="83" t="n">
        <v>-348.767</v>
      </c>
      <c r="BS199" s="83" t="n">
        <v>-288.436</v>
      </c>
      <c r="BT199" s="83" t="n">
        <v>-200.892</v>
      </c>
      <c r="BU199" s="83" t="n">
        <v>-190.219</v>
      </c>
      <c r="BV199" s="83" t="n">
        <v>-1028.314</v>
      </c>
      <c r="BW199" s="83" t="n">
        <v>-265.221</v>
      </c>
      <c r="BX199" s="83" t="n">
        <v>-47.635</v>
      </c>
      <c r="BY199" s="87"/>
      <c r="BZ199" s="87"/>
      <c r="CA199" s="67" t="n">
        <f aca="false">($BW$199+$BX$199)+CA279+MIN(0,CA281-BX281)</f>
        <v>-312.856</v>
      </c>
      <c r="CB199" s="67" t="n">
        <f aca="false">CB279+MIN(0,CB281-CA281)</f>
        <v>0</v>
      </c>
      <c r="CC199" s="67" t="n">
        <f aca="false">CC279+MIN(0,CC281-CB281)</f>
        <v>0</v>
      </c>
      <c r="CD199" s="67" t="n">
        <f aca="false">CD279+MIN(0,CD281-CC281)</f>
        <v>-100</v>
      </c>
      <c r="CE199" s="67" t="n">
        <f aca="false">CE279+MIN(0,CE281-CD281)</f>
        <v>0</v>
      </c>
      <c r="CF199" s="21"/>
    </row>
    <row r="200" customFormat="false" ht="15" hidden="false" customHeight="true" outlineLevel="0" collapsed="false">
      <c r="B200" s="22" t="s">
        <v>365</v>
      </c>
      <c r="C200" s="83" t="n">
        <v>0</v>
      </c>
      <c r="D200" s="83" t="n">
        <v>0</v>
      </c>
      <c r="E200" s="83" t="n">
        <v>0</v>
      </c>
      <c r="F200" s="83" t="n">
        <v>0</v>
      </c>
      <c r="G200" s="83" t="n">
        <v>0</v>
      </c>
      <c r="H200" s="83" t="n">
        <v>0</v>
      </c>
      <c r="I200" s="83" t="n">
        <v>0</v>
      </c>
      <c r="J200" s="83" t="n">
        <v>0</v>
      </c>
      <c r="K200" s="83" t="n">
        <v>0</v>
      </c>
      <c r="L200" s="83" t="n">
        <v>0</v>
      </c>
      <c r="M200" s="83" t="n">
        <v>0</v>
      </c>
      <c r="N200" s="83" t="n">
        <v>0</v>
      </c>
      <c r="O200" s="83" t="n">
        <v>0</v>
      </c>
      <c r="P200" s="83" t="n">
        <v>0</v>
      </c>
      <c r="Q200" s="83" t="n">
        <v>0</v>
      </c>
      <c r="R200" s="83" t="n">
        <v>0</v>
      </c>
      <c r="S200" s="83" t="n">
        <v>0</v>
      </c>
      <c r="T200" s="83" t="n">
        <v>0</v>
      </c>
      <c r="U200" s="83" t="n">
        <v>0</v>
      </c>
      <c r="V200" s="83" t="n">
        <v>0</v>
      </c>
      <c r="W200" s="83" t="n">
        <v>0</v>
      </c>
      <c r="X200" s="83" t="n">
        <v>0</v>
      </c>
      <c r="Y200" s="83" t="n">
        <v>0</v>
      </c>
      <c r="Z200" s="83" t="n">
        <v>0</v>
      </c>
      <c r="AA200" s="83" t="n">
        <v>0</v>
      </c>
      <c r="AB200" s="83" t="n">
        <v>0</v>
      </c>
      <c r="AC200" s="83" t="n">
        <v>0</v>
      </c>
      <c r="AD200" s="83" t="n">
        <v>0</v>
      </c>
      <c r="AE200" s="83" t="n">
        <v>0</v>
      </c>
      <c r="AF200" s="83" t="n">
        <v>0</v>
      </c>
      <c r="AG200" s="83" t="n">
        <v>0</v>
      </c>
      <c r="AH200" s="83" t="n">
        <v>0</v>
      </c>
      <c r="AI200" s="83" t="n">
        <v>0</v>
      </c>
      <c r="AJ200" s="83" t="n">
        <v>0</v>
      </c>
      <c r="AK200" s="83" t="n">
        <v>0</v>
      </c>
      <c r="AL200" s="83" t="n">
        <v>0</v>
      </c>
      <c r="AM200" s="83" t="n">
        <v>0</v>
      </c>
      <c r="AN200" s="83" t="n">
        <v>0</v>
      </c>
      <c r="AO200" s="83" t="n">
        <v>0</v>
      </c>
      <c r="AP200" s="83" t="n">
        <v>0</v>
      </c>
      <c r="AQ200" s="83" t="n">
        <v>0</v>
      </c>
      <c r="AR200" s="83" t="n">
        <v>0</v>
      </c>
      <c r="AS200" s="83" t="n">
        <v>0</v>
      </c>
      <c r="AT200" s="83" t="n">
        <v>0</v>
      </c>
      <c r="AU200" s="83" t="n">
        <v>0</v>
      </c>
      <c r="AV200" s="83" t="n">
        <v>0</v>
      </c>
      <c r="AW200" s="83" t="n">
        <v>0</v>
      </c>
      <c r="AX200" s="83" t="n">
        <v>0</v>
      </c>
      <c r="AY200" s="83" t="n">
        <v>0</v>
      </c>
      <c r="AZ200" s="83" t="n">
        <v>0</v>
      </c>
      <c r="BA200" s="83" t="n">
        <v>0</v>
      </c>
      <c r="BB200" s="83" t="n">
        <v>0</v>
      </c>
      <c r="BC200" s="83" t="n">
        <v>0</v>
      </c>
      <c r="BD200" s="83" t="n">
        <v>0</v>
      </c>
      <c r="BE200" s="83" t="n">
        <v>0</v>
      </c>
      <c r="BF200" s="83" t="n">
        <v>0</v>
      </c>
      <c r="BG200" s="83" t="n">
        <v>0</v>
      </c>
      <c r="BH200" s="83" t="n">
        <v>0</v>
      </c>
      <c r="BI200" s="83" t="n">
        <v>0</v>
      </c>
      <c r="BJ200" s="83" t="n">
        <v>0</v>
      </c>
      <c r="BK200" s="83" t="n">
        <v>0</v>
      </c>
      <c r="BL200" s="83" t="n">
        <v>0</v>
      </c>
      <c r="BM200" s="83" t="n">
        <v>0</v>
      </c>
      <c r="BN200" s="83" t="n">
        <v>0</v>
      </c>
      <c r="BO200" s="83" t="n">
        <v>0</v>
      </c>
      <c r="BP200" s="83" t="n">
        <v>0</v>
      </c>
      <c r="BQ200" s="83" t="n">
        <v>0</v>
      </c>
      <c r="BR200" s="83" t="n">
        <v>0</v>
      </c>
      <c r="BS200" s="83" t="n">
        <v>0</v>
      </c>
      <c r="BT200" s="83" t="n">
        <v>0</v>
      </c>
      <c r="BU200" s="83" t="n">
        <v>0</v>
      </c>
      <c r="BV200" s="83" t="n">
        <v>0</v>
      </c>
      <c r="BW200" s="83" t="n">
        <v>0</v>
      </c>
      <c r="BX200" s="83" t="n">
        <v>0</v>
      </c>
      <c r="BY200" s="87"/>
      <c r="BZ200" s="87"/>
      <c r="CA200" s="85" t="n">
        <v>0</v>
      </c>
      <c r="CB200" s="85" t="n">
        <v>0</v>
      </c>
      <c r="CC200" s="85" t="n">
        <v>0</v>
      </c>
      <c r="CD200" s="85" t="n">
        <v>0</v>
      </c>
      <c r="CE200" s="85" t="n">
        <v>0</v>
      </c>
      <c r="CF200" s="21"/>
    </row>
    <row r="201" customFormat="false" ht="15" hidden="false" customHeight="true" outlineLevel="0" collapsed="false">
      <c r="B201" s="22" t="s">
        <v>366</v>
      </c>
      <c r="C201" s="83" t="n">
        <v>-8.861</v>
      </c>
      <c r="D201" s="83" t="n">
        <v>-23.226</v>
      </c>
      <c r="E201" s="83" t="n">
        <v>0</v>
      </c>
      <c r="F201" s="83" t="n">
        <v>0</v>
      </c>
      <c r="G201" s="83" t="n">
        <v>0</v>
      </c>
      <c r="H201" s="83" t="n">
        <v>0</v>
      </c>
      <c r="I201" s="83" t="n">
        <v>0</v>
      </c>
      <c r="J201" s="83" t="n">
        <v>0</v>
      </c>
      <c r="K201" s="83" t="n">
        <v>0</v>
      </c>
      <c r="L201" s="83" t="n">
        <v>0</v>
      </c>
      <c r="M201" s="83" t="n">
        <v>0</v>
      </c>
      <c r="N201" s="83" t="n">
        <v>0</v>
      </c>
      <c r="O201" s="83" t="n">
        <v>0</v>
      </c>
      <c r="P201" s="83" t="n">
        <v>0</v>
      </c>
      <c r="Q201" s="83" t="n">
        <v>0</v>
      </c>
      <c r="R201" s="83" t="n">
        <v>0</v>
      </c>
      <c r="S201" s="83" t="n">
        <v>0</v>
      </c>
      <c r="T201" s="83" t="n">
        <v>0</v>
      </c>
      <c r="U201" s="83" t="n">
        <v>0</v>
      </c>
      <c r="V201" s="83" t="n">
        <v>0</v>
      </c>
      <c r="W201" s="83" t="n">
        <v>0</v>
      </c>
      <c r="X201" s="83" t="n">
        <v>0</v>
      </c>
      <c r="Y201" s="83" t="n">
        <v>0</v>
      </c>
      <c r="Z201" s="83" t="n">
        <v>0</v>
      </c>
      <c r="AA201" s="83" t="n">
        <v>0</v>
      </c>
      <c r="AB201" s="83" t="n">
        <v>0</v>
      </c>
      <c r="AC201" s="83" t="n">
        <v>0</v>
      </c>
      <c r="AD201" s="83" t="n">
        <v>0</v>
      </c>
      <c r="AE201" s="83" t="n">
        <v>0</v>
      </c>
      <c r="AF201" s="83" t="n">
        <v>0</v>
      </c>
      <c r="AG201" s="83" t="n">
        <v>0</v>
      </c>
      <c r="AH201" s="83" t="n">
        <v>0</v>
      </c>
      <c r="AI201" s="83" t="n">
        <v>0</v>
      </c>
      <c r="AJ201" s="83" t="n">
        <v>0</v>
      </c>
      <c r="AK201" s="83" t="n">
        <v>0</v>
      </c>
      <c r="AL201" s="83" t="n">
        <v>0</v>
      </c>
      <c r="AM201" s="83" t="n">
        <v>0</v>
      </c>
      <c r="AN201" s="83" t="n">
        <v>0</v>
      </c>
      <c r="AO201" s="83" t="n">
        <v>0</v>
      </c>
      <c r="AP201" s="83" t="n">
        <v>0</v>
      </c>
      <c r="AQ201" s="83" t="n">
        <v>0</v>
      </c>
      <c r="AR201" s="83" t="n">
        <v>0</v>
      </c>
      <c r="AS201" s="83" t="n">
        <v>0</v>
      </c>
      <c r="AT201" s="83" t="n">
        <v>0</v>
      </c>
      <c r="AU201" s="83" t="n">
        <v>0</v>
      </c>
      <c r="AV201" s="83" t="n">
        <v>0</v>
      </c>
      <c r="AW201" s="83" t="n">
        <v>0</v>
      </c>
      <c r="AX201" s="83" t="n">
        <v>0</v>
      </c>
      <c r="AY201" s="83" t="n">
        <v>0</v>
      </c>
      <c r="AZ201" s="83" t="n">
        <v>0</v>
      </c>
      <c r="BA201" s="83" t="n">
        <v>0</v>
      </c>
      <c r="BB201" s="83" t="n">
        <v>0</v>
      </c>
      <c r="BC201" s="83" t="n">
        <v>0</v>
      </c>
      <c r="BD201" s="83" t="n">
        <v>0</v>
      </c>
      <c r="BE201" s="83" t="n">
        <v>0</v>
      </c>
      <c r="BF201" s="83" t="n">
        <v>0</v>
      </c>
      <c r="BG201" s="83" t="n">
        <v>0</v>
      </c>
      <c r="BH201" s="83" t="n">
        <v>0</v>
      </c>
      <c r="BI201" s="83" t="n">
        <v>0</v>
      </c>
      <c r="BJ201" s="83" t="n">
        <v>0</v>
      </c>
      <c r="BK201" s="83" t="n">
        <v>0</v>
      </c>
      <c r="BL201" s="83" t="n">
        <v>0</v>
      </c>
      <c r="BM201" s="83" t="n">
        <v>0</v>
      </c>
      <c r="BN201" s="83" t="n">
        <v>0</v>
      </c>
      <c r="BO201" s="83" t="n">
        <v>0</v>
      </c>
      <c r="BP201" s="83" t="n">
        <v>0</v>
      </c>
      <c r="BQ201" s="83" t="n">
        <v>0</v>
      </c>
      <c r="BR201" s="83" t="n">
        <v>0</v>
      </c>
      <c r="BS201" s="83" t="n">
        <v>0</v>
      </c>
      <c r="BT201" s="83" t="n">
        <v>0</v>
      </c>
      <c r="BU201" s="83" t="n">
        <v>0</v>
      </c>
      <c r="BV201" s="83" t="n">
        <v>0</v>
      </c>
      <c r="BW201" s="83" t="n">
        <v>0</v>
      </c>
      <c r="BX201" s="83" t="n">
        <v>0</v>
      </c>
      <c r="BY201" s="87"/>
      <c r="BZ201" s="87"/>
      <c r="CA201" s="67" t="n">
        <f aca="false">($BW$201+$BX$201)-CA293</f>
        <v>0</v>
      </c>
      <c r="CB201" s="67" t="n">
        <f aca="false">-CB293</f>
        <v>-323.489530761159</v>
      </c>
      <c r="CC201" s="67" t="n">
        <f aca="false">-CC293</f>
        <v>-292.49462287463</v>
      </c>
      <c r="CD201" s="67" t="n">
        <f aca="false">-CD293</f>
        <v>-268.168904279493</v>
      </c>
      <c r="CE201" s="67" t="n">
        <f aca="false">-CE293</f>
        <v>-314.376887499386</v>
      </c>
      <c r="CF201" s="21"/>
    </row>
    <row r="202" customFormat="false" ht="15" hidden="false" customHeight="true" outlineLevel="0" collapsed="false">
      <c r="B202" s="22" t="s">
        <v>367</v>
      </c>
      <c r="C202" s="83" t="n">
        <v>3.826</v>
      </c>
      <c r="D202" s="83" t="n">
        <v>2.049</v>
      </c>
      <c r="E202" s="83" t="n">
        <v>0</v>
      </c>
      <c r="F202" s="83" t="n">
        <v>0</v>
      </c>
      <c r="G202" s="83" t="n">
        <v>0</v>
      </c>
      <c r="H202" s="83" t="n">
        <v>0.149</v>
      </c>
      <c r="I202" s="83" t="n">
        <v>0.913</v>
      </c>
      <c r="J202" s="83" t="n">
        <v>1.058</v>
      </c>
      <c r="K202" s="83" t="n">
        <v>2.6</v>
      </c>
      <c r="L202" s="83" t="n">
        <v>0.0500000000000003</v>
      </c>
      <c r="M202" s="83" t="n">
        <v>1.24</v>
      </c>
      <c r="N202" s="83" t="n">
        <v>4.948</v>
      </c>
      <c r="O202" s="83" t="n">
        <v>1.956</v>
      </c>
      <c r="P202" s="83" t="n">
        <v>0.603</v>
      </c>
      <c r="Q202" s="83" t="n">
        <v>1.6</v>
      </c>
      <c r="R202" s="83" t="n">
        <v>3.464</v>
      </c>
      <c r="S202" s="83" t="n">
        <v>7.623</v>
      </c>
      <c r="T202" s="83" t="n">
        <v>1.842</v>
      </c>
      <c r="U202" s="83" t="n">
        <v>0.787</v>
      </c>
      <c r="V202" s="83" t="n">
        <v>0.187</v>
      </c>
      <c r="W202" s="83" t="n">
        <v>-0.283</v>
      </c>
      <c r="X202" s="83" t="n">
        <v>2.533</v>
      </c>
      <c r="Y202" s="83" t="n">
        <v>0</v>
      </c>
      <c r="Z202" s="83" t="n">
        <v>0.248</v>
      </c>
      <c r="AA202" s="83" t="n">
        <v>0</v>
      </c>
      <c r="AB202" s="83" t="n">
        <v>2.925</v>
      </c>
      <c r="AC202" s="83" t="n">
        <v>3.173</v>
      </c>
      <c r="AD202" s="83" t="n">
        <v>0.077</v>
      </c>
      <c r="AE202" s="83" t="n">
        <v>0</v>
      </c>
      <c r="AF202" s="83" t="n">
        <v>1.205</v>
      </c>
      <c r="AG202" s="83" t="n">
        <v>1.948</v>
      </c>
      <c r="AH202" s="83" t="n">
        <v>3.23</v>
      </c>
      <c r="AI202" s="83" t="n">
        <v>2.716</v>
      </c>
      <c r="AJ202" s="83" t="n">
        <v>0.128</v>
      </c>
      <c r="AK202" s="83" t="n">
        <v>-0.0749999999999997</v>
      </c>
      <c r="AL202" s="83" t="n">
        <v>0</v>
      </c>
      <c r="AM202" s="83" t="n">
        <v>2.769</v>
      </c>
      <c r="AN202" s="83" t="n">
        <v>-1.47</v>
      </c>
      <c r="AO202" s="83" t="n">
        <v>0.32</v>
      </c>
      <c r="AP202" s="83" t="n">
        <v>0.606</v>
      </c>
      <c r="AQ202" s="83" t="n">
        <v>0</v>
      </c>
      <c r="AR202" s="83" t="n">
        <v>-0.544</v>
      </c>
      <c r="AS202" s="83" t="n">
        <v>-1.267</v>
      </c>
      <c r="AT202" s="83" t="n">
        <v>0.379</v>
      </c>
      <c r="AU202" s="83" t="n">
        <v>0.167</v>
      </c>
      <c r="AV202" s="83" t="n">
        <v>0.907</v>
      </c>
      <c r="AW202" s="83" t="n">
        <v>0.186</v>
      </c>
      <c r="AX202" s="83" t="n">
        <v>-2.672</v>
      </c>
      <c r="AY202" s="83" t="n">
        <v>0</v>
      </c>
      <c r="AZ202" s="83" t="n">
        <v>-0.221</v>
      </c>
      <c r="BA202" s="83" t="n">
        <v>0</v>
      </c>
      <c r="BB202" s="83" t="n">
        <v>-2.893</v>
      </c>
      <c r="BC202" s="83" t="n">
        <v>-10.323</v>
      </c>
      <c r="BD202" s="83" t="n">
        <v>0.101000000000001</v>
      </c>
      <c r="BE202" s="83" t="n">
        <v>2.935</v>
      </c>
      <c r="BF202" s="83" t="n">
        <v>0.0460000000000003</v>
      </c>
      <c r="BG202" s="83" t="n">
        <v>-7.241</v>
      </c>
      <c r="BH202" s="83" t="n">
        <v>-6.723</v>
      </c>
      <c r="BI202" s="83" t="n">
        <v>0.0449999999999999</v>
      </c>
      <c r="BJ202" s="83" t="n">
        <v>2.343</v>
      </c>
      <c r="BK202" s="83" t="n">
        <v>-0.00600000000000023</v>
      </c>
      <c r="BL202" s="83" t="n">
        <v>-4.341</v>
      </c>
      <c r="BM202" s="83" t="n">
        <v>-5.975</v>
      </c>
      <c r="BN202" s="83" t="n">
        <v>0</v>
      </c>
      <c r="BO202" s="83" t="n">
        <v>-0.812</v>
      </c>
      <c r="BP202" s="83" t="n">
        <v>0.254</v>
      </c>
      <c r="BQ202" s="83" t="n">
        <v>-6.533</v>
      </c>
      <c r="BR202" s="83" t="n">
        <v>-5.181</v>
      </c>
      <c r="BS202" s="83" t="n">
        <v>-0.0999999999999996</v>
      </c>
      <c r="BT202" s="83" t="n">
        <v>-0.79</v>
      </c>
      <c r="BU202" s="83" t="n">
        <v>0.181</v>
      </c>
      <c r="BV202" s="83" t="n">
        <v>-5.89</v>
      </c>
      <c r="BW202" s="83" t="n">
        <v>-5.232</v>
      </c>
      <c r="BX202" s="83" t="n">
        <v>0.173</v>
      </c>
      <c r="BY202" s="87"/>
      <c r="BZ202" s="87"/>
      <c r="CA202" s="67" t="n">
        <f aca="false">($BW$202+$BX$202)</f>
        <v>-5.059</v>
      </c>
      <c r="CB202" s="85" t="n">
        <v>-5</v>
      </c>
      <c r="CC202" s="85" t="n">
        <v>-5</v>
      </c>
      <c r="CD202" s="85" t="n">
        <v>-5</v>
      </c>
      <c r="CE202" s="85" t="n">
        <v>-5</v>
      </c>
      <c r="CF202" s="21"/>
    </row>
    <row r="203" customFormat="false" ht="15" hidden="false" customHeight="true" outlineLevel="0" collapsed="false">
      <c r="B203" s="22" t="s">
        <v>368</v>
      </c>
      <c r="C203" s="83" t="n">
        <v>4.44089209850063E-016</v>
      </c>
      <c r="D203" s="83" t="n">
        <v>-4.44089209850063E-016</v>
      </c>
      <c r="E203" s="83" t="n">
        <v>0.588000000000001</v>
      </c>
      <c r="F203" s="83" t="n">
        <v>25.163</v>
      </c>
      <c r="G203" s="83" t="n">
        <v>0.168</v>
      </c>
      <c r="H203" s="83" t="n">
        <v>9.15933995315754E-016</v>
      </c>
      <c r="I203" s="83" t="n">
        <v>-4.59632332194815E-014</v>
      </c>
      <c r="J203" s="83" t="n">
        <v>-2.22044604925031E-016</v>
      </c>
      <c r="K203" s="83" t="n">
        <v>-0.0410000000000022</v>
      </c>
      <c r="L203" s="83" t="n">
        <v>-0.545000000000012</v>
      </c>
      <c r="M203" s="83" t="n">
        <v>8.88178419700125E-015</v>
      </c>
      <c r="N203" s="83" t="n">
        <v>-0.586000000000006</v>
      </c>
      <c r="O203" s="83" t="n">
        <v>3.10862446895044E-015</v>
      </c>
      <c r="P203" s="83" t="n">
        <v>8.43769498715119E-015</v>
      </c>
      <c r="Q203" s="83" t="n">
        <v>-0.0200000000000156</v>
      </c>
      <c r="R203" s="83" t="n">
        <v>-0.26</v>
      </c>
      <c r="S203" s="83" t="n">
        <v>-0.280000000000039</v>
      </c>
      <c r="T203" s="83" t="n">
        <v>-0.900000000000007</v>
      </c>
      <c r="U203" s="83" t="n">
        <v>0.900000000000005</v>
      </c>
      <c r="V203" s="83" t="n">
        <v>-1.64313007644523E-014</v>
      </c>
      <c r="W203" s="83" t="n">
        <v>-0.453999999999995</v>
      </c>
      <c r="X203" s="83" t="n">
        <v>-0.453999999999992</v>
      </c>
      <c r="Y203" s="83" t="n">
        <v>7.105427357601E-015</v>
      </c>
      <c r="Z203" s="83" t="n">
        <v>-2.44249065417534E-015</v>
      </c>
      <c r="AA203" s="83" t="n">
        <v>0</v>
      </c>
      <c r="AB203" s="83" t="n">
        <v>-2.66453525910038E-015</v>
      </c>
      <c r="AC203" s="83" t="n">
        <v>1.77635683940025E-015</v>
      </c>
      <c r="AD203" s="83" t="n">
        <v>8.84015083357781E-015</v>
      </c>
      <c r="AE203" s="83" t="n">
        <v>-1.4210854715202E-014</v>
      </c>
      <c r="AF203" s="83" t="n">
        <v>-1.77635683940025E-015</v>
      </c>
      <c r="AG203" s="83" t="n">
        <v>2.17603712826531E-014</v>
      </c>
      <c r="AH203" s="83" t="n">
        <v>1.82076576038526E-014</v>
      </c>
      <c r="AI203" s="83" t="n">
        <v>8.88178419700125E-016</v>
      </c>
      <c r="AJ203" s="83" t="n">
        <v>7.54951656745106E-015</v>
      </c>
      <c r="AK203" s="83" t="n">
        <v>-3.10862446895044E-015</v>
      </c>
      <c r="AL203" s="83" t="n">
        <v>7.143</v>
      </c>
      <c r="AM203" s="83" t="n">
        <v>7.14299999999998</v>
      </c>
      <c r="AN203" s="83" t="n">
        <v>-0.646000000000007</v>
      </c>
      <c r="AO203" s="83" t="n">
        <v>0.623000000000019</v>
      </c>
      <c r="AP203" s="83" t="n">
        <v>-0.626000000000024</v>
      </c>
      <c r="AQ203" s="83" t="n">
        <v>-2.8421709430404E-014</v>
      </c>
      <c r="AR203" s="83" t="n">
        <v>-0.64900000000004</v>
      </c>
      <c r="AS203" s="83" t="n">
        <v>3.99680288865056E-015</v>
      </c>
      <c r="AT203" s="83" t="n">
        <v>-9.2148511043888E-015</v>
      </c>
      <c r="AU203" s="83" t="n">
        <v>2.99760216648792E-014</v>
      </c>
      <c r="AV203" s="83" t="n">
        <v>-3.5527136788005E-015</v>
      </c>
      <c r="AW203" s="83" t="n">
        <v>-2.13717932240343E-014</v>
      </c>
      <c r="AX203" s="83" t="n">
        <v>-4.44089209850063E-016</v>
      </c>
      <c r="AY203" s="83" t="n">
        <v>0</v>
      </c>
      <c r="AZ203" s="83" t="n">
        <v>6.66133814775094E-015</v>
      </c>
      <c r="BA203" s="83" t="n">
        <v>0</v>
      </c>
      <c r="BB203" s="83" t="n">
        <v>6.21724893790088E-015</v>
      </c>
      <c r="BC203" s="83" t="n">
        <v>0</v>
      </c>
      <c r="BD203" s="83" t="n">
        <v>0</v>
      </c>
      <c r="BE203" s="83" t="n">
        <v>-2.66453525910038E-015</v>
      </c>
      <c r="BF203" s="83" t="n">
        <v>2.66453525910038E-015</v>
      </c>
      <c r="BG203" s="83" t="n">
        <v>0</v>
      </c>
      <c r="BH203" s="83" t="n">
        <v>-0.953</v>
      </c>
      <c r="BI203" s="83" t="n">
        <v>-0.0239999999999991</v>
      </c>
      <c r="BJ203" s="83" t="n">
        <v>-0.00200000000000244</v>
      </c>
      <c r="BK203" s="83" t="n">
        <v>-0.583999999999998</v>
      </c>
      <c r="BL203" s="83" t="n">
        <v>-1.563</v>
      </c>
      <c r="BM203" s="83" t="n">
        <v>-0.140999999999993</v>
      </c>
      <c r="BN203" s="83" t="n">
        <v>-0.0819999999999368</v>
      </c>
      <c r="BO203" s="83" t="n">
        <v>-0.0139999999999079</v>
      </c>
      <c r="BP203" s="83" t="n">
        <v>-1.61700000000011</v>
      </c>
      <c r="BQ203" s="83" t="n">
        <v>-1.85399999999994</v>
      </c>
      <c r="BR203" s="83" t="n">
        <v>1.68753899743024E-014</v>
      </c>
      <c r="BS203" s="83" t="n">
        <v>-2.30926389122033E-014</v>
      </c>
      <c r="BT203" s="83" t="n">
        <v>3.64153152077051E-014</v>
      </c>
      <c r="BU203" s="83" t="n">
        <v>3.99680288865056E-014</v>
      </c>
      <c r="BV203" s="83" t="n">
        <v>1.27009514017118E-013</v>
      </c>
      <c r="BW203" s="83" t="n">
        <v>2.93098878501041E-014</v>
      </c>
      <c r="BX203" s="83" t="n">
        <v>-1.24344978758018E-014</v>
      </c>
      <c r="BY203" s="87"/>
      <c r="BZ203" s="87"/>
      <c r="CA203" s="67" t="n">
        <f aca="false">($BW$203+$BX$203)</f>
        <v>1.68753899743024E-014</v>
      </c>
      <c r="CB203" s="85" t="n">
        <v>0</v>
      </c>
      <c r="CC203" s="85" t="n">
        <v>0</v>
      </c>
      <c r="CD203" s="85" t="n">
        <v>0</v>
      </c>
      <c r="CE203" s="85" t="n">
        <v>0</v>
      </c>
      <c r="CF203" s="21"/>
    </row>
    <row r="204" customFormat="false" ht="15" hidden="false" customHeight="true" outlineLevel="0" collapsed="false">
      <c r="B204" s="71" t="s">
        <v>369</v>
      </c>
      <c r="C204" s="82" t="n">
        <v>-10.035</v>
      </c>
      <c r="D204" s="82" t="n">
        <v>41.145</v>
      </c>
      <c r="E204" s="82" t="n">
        <v>-35.929</v>
      </c>
      <c r="F204" s="82" t="n">
        <v>-24.83</v>
      </c>
      <c r="G204" s="82" t="n">
        <v>0.168</v>
      </c>
      <c r="H204" s="82" t="n">
        <v>-18.04</v>
      </c>
      <c r="I204" s="82" t="n">
        <v>-11.24</v>
      </c>
      <c r="J204" s="82" t="n">
        <v>-0.887</v>
      </c>
      <c r="K204" s="82" t="n">
        <v>42.275</v>
      </c>
      <c r="L204" s="82" t="n">
        <v>-7.465</v>
      </c>
      <c r="M204" s="82" t="n">
        <v>-13.377</v>
      </c>
      <c r="N204" s="82" t="n">
        <v>20.546</v>
      </c>
      <c r="O204" s="82" t="n">
        <v>4.787</v>
      </c>
      <c r="P204" s="82" t="n">
        <v>16.623</v>
      </c>
      <c r="Q204" s="82" t="n">
        <v>-29.159</v>
      </c>
      <c r="R204" s="82" t="n">
        <v>4.632</v>
      </c>
      <c r="S204" s="82" t="n">
        <v>-3.117</v>
      </c>
      <c r="T204" s="82" t="n">
        <v>22.519</v>
      </c>
      <c r="U204" s="82" t="n">
        <v>-12.081</v>
      </c>
      <c r="V204" s="82" t="n">
        <v>-33.895</v>
      </c>
      <c r="W204" s="82" t="n">
        <v>-15.581</v>
      </c>
      <c r="X204" s="82" t="n">
        <v>-39.038</v>
      </c>
      <c r="Y204" s="82" t="n">
        <v>37.436</v>
      </c>
      <c r="Z204" s="82" t="n">
        <v>-1.469</v>
      </c>
      <c r="AA204" s="82" t="n">
        <v>-45.136</v>
      </c>
      <c r="AB204" s="82" t="n">
        <v>-17.509</v>
      </c>
      <c r="AC204" s="82" t="n">
        <v>-26.678</v>
      </c>
      <c r="AD204" s="82" t="n">
        <v>62.825</v>
      </c>
      <c r="AE204" s="82" t="n">
        <v>-16.875</v>
      </c>
      <c r="AF204" s="82" t="n">
        <v>-22.559</v>
      </c>
      <c r="AG204" s="82" t="n">
        <v>3.468</v>
      </c>
      <c r="AH204" s="82" t="n">
        <v>26.859</v>
      </c>
      <c r="AI204" s="82" t="n">
        <v>7.055</v>
      </c>
      <c r="AJ204" s="82" t="n">
        <v>-4.549</v>
      </c>
      <c r="AK204" s="82" t="n">
        <v>-39.368</v>
      </c>
      <c r="AL204" s="82" t="n">
        <v>0.484000000000002</v>
      </c>
      <c r="AM204" s="82" t="n">
        <v>-36.378</v>
      </c>
      <c r="AN204" s="82" t="n">
        <v>23.903</v>
      </c>
      <c r="AO204" s="82" t="n">
        <v>26.886</v>
      </c>
      <c r="AP204" s="82" t="n">
        <v>-15.741</v>
      </c>
      <c r="AQ204" s="82" t="n">
        <v>-28.839</v>
      </c>
      <c r="AR204" s="82" t="n">
        <v>6.209</v>
      </c>
      <c r="AS204" s="82" t="n">
        <v>98.07</v>
      </c>
      <c r="AT204" s="82" t="n">
        <v>-74.549</v>
      </c>
      <c r="AU204" s="82" t="n">
        <v>-39.751</v>
      </c>
      <c r="AV204" s="82" t="n">
        <v>-49.038</v>
      </c>
      <c r="AW204" s="82" t="n">
        <v>-65.268</v>
      </c>
      <c r="AX204" s="82" t="n">
        <v>-7.631</v>
      </c>
      <c r="AY204" s="82" t="n">
        <v>-4.991</v>
      </c>
      <c r="AZ204" s="82" t="n">
        <v>-6.076</v>
      </c>
      <c r="BA204" s="82" t="n">
        <v>-4.766</v>
      </c>
      <c r="BB204" s="82" t="n">
        <v>-23.464</v>
      </c>
      <c r="BC204" s="82" t="n">
        <v>-15.848</v>
      </c>
      <c r="BD204" s="82" t="n">
        <v>-5.483</v>
      </c>
      <c r="BE204" s="82" t="n">
        <v>-1.51</v>
      </c>
      <c r="BF204" s="82" t="n">
        <v>-3.871</v>
      </c>
      <c r="BG204" s="82" t="n">
        <v>-26.712</v>
      </c>
      <c r="BH204" s="82" t="n">
        <v>-12.18</v>
      </c>
      <c r="BI204" s="82" t="n">
        <v>-5.125</v>
      </c>
      <c r="BJ204" s="82" t="n">
        <v>-0.083000000000002</v>
      </c>
      <c r="BK204" s="82" t="n">
        <v>-3.036</v>
      </c>
      <c r="BL204" s="82" t="n">
        <v>-20.424</v>
      </c>
      <c r="BM204" s="82" t="n">
        <v>61.447</v>
      </c>
      <c r="BN204" s="82" t="n">
        <v>92.542</v>
      </c>
      <c r="BO204" s="82" t="n">
        <v>13.462</v>
      </c>
      <c r="BP204" s="82" t="n">
        <v>7.96899999999999</v>
      </c>
      <c r="BQ204" s="82" t="n">
        <v>175.42</v>
      </c>
      <c r="BR204" s="82" t="n">
        <v>90.052</v>
      </c>
      <c r="BS204" s="82" t="n">
        <v>13.464</v>
      </c>
      <c r="BT204" s="82" t="n">
        <v>-90.682</v>
      </c>
      <c r="BU204" s="82" t="n">
        <v>-55.038</v>
      </c>
      <c r="BV204" s="82" t="n">
        <v>-42.204</v>
      </c>
      <c r="BW204" s="82" t="n">
        <v>-56.453</v>
      </c>
      <c r="BX204" s="82" t="n">
        <v>-12.462</v>
      </c>
      <c r="BY204" s="106"/>
      <c r="BZ204" s="106"/>
      <c r="CA204" s="72" t="n">
        <f aca="false">SUM(CA198:CA203)</f>
        <v>-68.915</v>
      </c>
      <c r="CB204" s="72" t="n">
        <f aca="false">SUM(CB198:CB203)</f>
        <v>-328.489530761159</v>
      </c>
      <c r="CC204" s="72" t="n">
        <f aca="false">SUM(CC198:CC203)</f>
        <v>-297.49462287463</v>
      </c>
      <c r="CD204" s="72" t="n">
        <f aca="false">SUM(CD198:CD203)</f>
        <v>-273.168904279493</v>
      </c>
      <c r="CE204" s="72" t="n">
        <f aca="false">SUM(CE198:CE203)</f>
        <v>-319.376887499386</v>
      </c>
      <c r="CF204" s="21"/>
    </row>
    <row r="205" customFormat="false" ht="15" hidden="false" customHeight="true" outlineLevel="0" collapsed="false">
      <c r="B205" s="17" t="s">
        <v>370</v>
      </c>
      <c r="C205" s="104" t="n">
        <v>-6.196</v>
      </c>
      <c r="D205" s="104" t="n">
        <v>-4.013</v>
      </c>
      <c r="E205" s="104" t="n">
        <v>20.405</v>
      </c>
      <c r="F205" s="104" t="n">
        <v>-18.315</v>
      </c>
      <c r="G205" s="104" t="n">
        <v>20.299</v>
      </c>
      <c r="H205" s="104" t="n">
        <v>-27.728</v>
      </c>
      <c r="I205" s="104" t="n">
        <v>-0.996</v>
      </c>
      <c r="J205" s="104" t="n">
        <v>0.116</v>
      </c>
      <c r="K205" s="104" t="n">
        <v>2.435</v>
      </c>
      <c r="L205" s="104" t="n">
        <v>1.188</v>
      </c>
      <c r="M205" s="104" t="n">
        <v>-3.901</v>
      </c>
      <c r="N205" s="104" t="n">
        <v>-0.162</v>
      </c>
      <c r="O205" s="104" t="n">
        <v>0.683</v>
      </c>
      <c r="P205" s="104" t="n">
        <v>0.946</v>
      </c>
      <c r="Q205" s="104" t="n">
        <v>5.456</v>
      </c>
      <c r="R205" s="104" t="n">
        <v>-2.877</v>
      </c>
      <c r="S205" s="104" t="n">
        <v>4.208</v>
      </c>
      <c r="T205" s="104" t="n">
        <v>-4.171</v>
      </c>
      <c r="U205" s="104" t="n">
        <v>3.467</v>
      </c>
      <c r="V205" s="104" t="n">
        <v>0.877</v>
      </c>
      <c r="W205" s="104" t="n">
        <v>-4.416</v>
      </c>
      <c r="X205" s="104" t="n">
        <v>-4.243</v>
      </c>
      <c r="Y205" s="104" t="n">
        <v>0.114</v>
      </c>
      <c r="Z205" s="104" t="n">
        <v>0.122</v>
      </c>
      <c r="AA205" s="104" t="n">
        <v>0.429</v>
      </c>
      <c r="AB205" s="104" t="n">
        <v>0.75</v>
      </c>
      <c r="AC205" s="104" t="n">
        <v>1.415</v>
      </c>
      <c r="AD205" s="104" t="n">
        <v>-0.828</v>
      </c>
      <c r="AE205" s="104" t="n">
        <v>-0.312</v>
      </c>
      <c r="AF205" s="104" t="n">
        <v>-0.318</v>
      </c>
      <c r="AG205" s="104" t="n">
        <v>4.639</v>
      </c>
      <c r="AH205" s="104" t="n">
        <v>3.181</v>
      </c>
      <c r="AI205" s="104" t="n">
        <v>-4.224</v>
      </c>
      <c r="AJ205" s="104" t="n">
        <v>0.693</v>
      </c>
      <c r="AK205" s="104" t="n">
        <v>-0.66</v>
      </c>
      <c r="AL205" s="104" t="n">
        <v>1.665</v>
      </c>
      <c r="AM205" s="104" t="n">
        <v>-2.526</v>
      </c>
      <c r="AN205" s="104" t="n">
        <v>-2.163</v>
      </c>
      <c r="AO205" s="104" t="n">
        <v>0.472</v>
      </c>
      <c r="AP205" s="104" t="n">
        <v>-0.488</v>
      </c>
      <c r="AQ205" s="104" t="n">
        <v>0.233</v>
      </c>
      <c r="AR205" s="104" t="n">
        <v>-1.946</v>
      </c>
      <c r="AS205" s="104" t="n">
        <v>46.661</v>
      </c>
      <c r="AT205" s="104" t="n">
        <v>-17.629</v>
      </c>
      <c r="AU205" s="104" t="n">
        <v>-3.811</v>
      </c>
      <c r="AV205" s="104" t="n">
        <v>-0.161000000000001</v>
      </c>
      <c r="AW205" s="104" t="n">
        <v>25.06</v>
      </c>
      <c r="AX205" s="104" t="n">
        <v>27.952</v>
      </c>
      <c r="AY205" s="104" t="n">
        <v>-0.400000000000002</v>
      </c>
      <c r="AZ205" s="104" t="n">
        <v>72.512</v>
      </c>
      <c r="BA205" s="104" t="n">
        <v>-18.784</v>
      </c>
      <c r="BB205" s="104" t="n">
        <v>81.28</v>
      </c>
      <c r="BC205" s="104" t="n">
        <v>34.737</v>
      </c>
      <c r="BD205" s="104" t="n">
        <v>-3.454</v>
      </c>
      <c r="BE205" s="104" t="n">
        <v>11.954</v>
      </c>
      <c r="BF205" s="104" t="n">
        <v>37.565</v>
      </c>
      <c r="BG205" s="104" t="n">
        <v>80.802</v>
      </c>
      <c r="BH205" s="104" t="n">
        <v>-20.965</v>
      </c>
      <c r="BI205" s="104" t="n">
        <v>68.572</v>
      </c>
      <c r="BJ205" s="104" t="n">
        <v>14.265</v>
      </c>
      <c r="BK205" s="104" t="n">
        <v>46.953</v>
      </c>
      <c r="BL205" s="104" t="n">
        <v>108.825</v>
      </c>
      <c r="BM205" s="104" t="n">
        <v>-283.907</v>
      </c>
      <c r="BN205" s="104" t="n">
        <v>-1.13900000000001</v>
      </c>
      <c r="BO205" s="104" t="n">
        <v>3.23599999999999</v>
      </c>
      <c r="BP205" s="104" t="n">
        <v>5.06799999999998</v>
      </c>
      <c r="BQ205" s="104" t="n">
        <v>-276.742</v>
      </c>
      <c r="BR205" s="104" t="n">
        <v>-2.938</v>
      </c>
      <c r="BS205" s="104" t="n">
        <v>2.302</v>
      </c>
      <c r="BT205" s="104" t="n">
        <v>16.663</v>
      </c>
      <c r="BU205" s="104" t="n">
        <v>-15.78</v>
      </c>
      <c r="BV205" s="104" t="n">
        <v>0.247</v>
      </c>
      <c r="BW205" s="104" t="n">
        <v>19.457</v>
      </c>
      <c r="BX205" s="104" t="n">
        <v>44.837</v>
      </c>
      <c r="BY205" s="105"/>
      <c r="BZ205" s="105"/>
      <c r="CA205" s="69" t="n">
        <f aca="false">CA192+CA197+CA204</f>
        <v>134.858543829036</v>
      </c>
      <c r="CB205" s="69" t="n">
        <f aca="false">CB192+CB197+CB204</f>
        <v>-54.4545438290364</v>
      </c>
      <c r="CC205" s="69" t="n">
        <f aca="false">CC192+CC197+CC204</f>
        <v>0</v>
      </c>
      <c r="CD205" s="69" t="n">
        <f aca="false">CD192+CD197+CD204</f>
        <v>0</v>
      </c>
      <c r="CE205" s="69" t="n">
        <f aca="false">CE192+CE197+CE204</f>
        <v>0</v>
      </c>
      <c r="CF205" s="21"/>
    </row>
    <row r="206" customFormat="false" ht="15" hidden="false" customHeight="true" outlineLevel="0" collapsed="false">
      <c r="B206" s="22" t="s">
        <v>371</v>
      </c>
      <c r="C206" s="83" t="n">
        <v>16.865</v>
      </c>
      <c r="D206" s="65" t="n">
        <f aca="false">C207</f>
        <v>10.669</v>
      </c>
      <c r="E206" s="65" t="n">
        <f aca="false">D207</f>
        <v>6.656</v>
      </c>
      <c r="F206" s="65" t="n">
        <f aca="false">E207</f>
        <v>27.061</v>
      </c>
      <c r="G206" s="65" t="n">
        <f aca="false">F207</f>
        <v>8.746</v>
      </c>
      <c r="H206" s="65" t="n">
        <f aca="false">G207</f>
        <v>29.045</v>
      </c>
      <c r="I206" s="65" t="n">
        <f aca="false">H207</f>
        <v>1.317</v>
      </c>
      <c r="J206" s="65" t="n">
        <f aca="false">$I$207</f>
        <v>0.321</v>
      </c>
      <c r="K206" s="65" t="n">
        <f aca="false">J207</f>
        <v>0.437</v>
      </c>
      <c r="L206" s="65" t="n">
        <f aca="false">K207</f>
        <v>2.872</v>
      </c>
      <c r="M206" s="65" t="n">
        <f aca="false">L207</f>
        <v>4.06</v>
      </c>
      <c r="N206" s="65" t="n">
        <f aca="false">I207</f>
        <v>0.321</v>
      </c>
      <c r="O206" s="65" t="n">
        <f aca="false">M207</f>
        <v>0.159</v>
      </c>
      <c r="P206" s="65" t="n">
        <f aca="false">O207</f>
        <v>0.842</v>
      </c>
      <c r="Q206" s="65" t="n">
        <f aca="false">P207</f>
        <v>1.788</v>
      </c>
      <c r="R206" s="65" t="n">
        <f aca="false">Q207</f>
        <v>7.244</v>
      </c>
      <c r="S206" s="65" t="n">
        <f aca="false">N207</f>
        <v>0.159</v>
      </c>
      <c r="T206" s="65" t="n">
        <f aca="false">R207</f>
        <v>4.367</v>
      </c>
      <c r="U206" s="65" t="n">
        <f aca="false">T207</f>
        <v>0.196</v>
      </c>
      <c r="V206" s="65" t="n">
        <f aca="false">U207</f>
        <v>3.663</v>
      </c>
      <c r="W206" s="65" t="n">
        <f aca="false">V207</f>
        <v>4.54</v>
      </c>
      <c r="X206" s="65" t="n">
        <f aca="false">S207</f>
        <v>4.367</v>
      </c>
      <c r="Y206" s="65" t="n">
        <f aca="false">W207</f>
        <v>0.124</v>
      </c>
      <c r="Z206" s="65" t="n">
        <f aca="false">Y207</f>
        <v>0.238</v>
      </c>
      <c r="AA206" s="65" t="n">
        <f aca="false">Z207</f>
        <v>0.36</v>
      </c>
      <c r="AB206" s="65" t="n">
        <f aca="false">AA207</f>
        <v>0.789</v>
      </c>
      <c r="AC206" s="65" t="n">
        <f aca="false">X207</f>
        <v>0.124</v>
      </c>
      <c r="AD206" s="65" t="n">
        <f aca="false">AB207</f>
        <v>1.539</v>
      </c>
      <c r="AE206" s="65" t="n">
        <f aca="false">AD207</f>
        <v>0.711</v>
      </c>
      <c r="AF206" s="65" t="n">
        <f aca="false">AE207</f>
        <v>0.399</v>
      </c>
      <c r="AG206" s="65" t="n">
        <f aca="false">AF207</f>
        <v>0.081</v>
      </c>
      <c r="AH206" s="65" t="n">
        <f aca="false">AC207</f>
        <v>1.539</v>
      </c>
      <c r="AI206" s="65" t="n">
        <f aca="false">AG207</f>
        <v>4.72</v>
      </c>
      <c r="AJ206" s="65" t="n">
        <f aca="false">AI207</f>
        <v>0.496</v>
      </c>
      <c r="AK206" s="65" t="n">
        <f aca="false">AJ207</f>
        <v>1.189</v>
      </c>
      <c r="AL206" s="65" t="n">
        <f aca="false">AK207</f>
        <v>0.529</v>
      </c>
      <c r="AM206" s="65" t="n">
        <f aca="false">AH207</f>
        <v>4.72</v>
      </c>
      <c r="AN206" s="65" t="n">
        <f aca="false">AL207</f>
        <v>2.194</v>
      </c>
      <c r="AO206" s="65" t="n">
        <f aca="false">AN207</f>
        <v>0.031</v>
      </c>
      <c r="AP206" s="65" t="n">
        <f aca="false">AO207</f>
        <v>0.503</v>
      </c>
      <c r="AQ206" s="65" t="n">
        <f aca="false">AP207</f>
        <v>0.015</v>
      </c>
      <c r="AR206" s="65" t="n">
        <f aca="false">AM207</f>
        <v>2.194</v>
      </c>
      <c r="AS206" s="65" t="n">
        <f aca="false">AQ207</f>
        <v>0.248</v>
      </c>
      <c r="AT206" s="65" t="n">
        <f aca="false">AS207</f>
        <v>46.909</v>
      </c>
      <c r="AU206" s="65" t="n">
        <f aca="false">AT207</f>
        <v>29.28</v>
      </c>
      <c r="AV206" s="65" t="n">
        <f aca="false">AU207</f>
        <v>25.469</v>
      </c>
      <c r="AW206" s="65" t="n">
        <f aca="false">AR207</f>
        <v>0.248</v>
      </c>
      <c r="AX206" s="65" t="n">
        <f aca="false">AV207</f>
        <v>25.308</v>
      </c>
      <c r="AY206" s="65" t="n">
        <f aca="false">AX207</f>
        <v>53.26</v>
      </c>
      <c r="AZ206" s="65" t="n">
        <f aca="false">AY207</f>
        <v>52.86</v>
      </c>
      <c r="BA206" s="65" t="n">
        <f aca="false">AZ207</f>
        <v>125.372</v>
      </c>
      <c r="BB206" s="65" t="n">
        <f aca="false">AW207</f>
        <v>25.308</v>
      </c>
      <c r="BC206" s="65" t="n">
        <f aca="false">BA207</f>
        <v>106.588</v>
      </c>
      <c r="BD206" s="65" t="n">
        <f aca="false">BC207</f>
        <v>141.325</v>
      </c>
      <c r="BE206" s="65" t="n">
        <f aca="false">BD207</f>
        <v>137.871</v>
      </c>
      <c r="BF206" s="65" t="n">
        <f aca="false">BE207</f>
        <v>149.825</v>
      </c>
      <c r="BG206" s="65" t="n">
        <f aca="false">BB207</f>
        <v>106.588</v>
      </c>
      <c r="BH206" s="65" t="n">
        <f aca="false">BF207</f>
        <v>187.39</v>
      </c>
      <c r="BI206" s="65" t="n">
        <f aca="false">BH207</f>
        <v>166.425</v>
      </c>
      <c r="BJ206" s="65" t="n">
        <f aca="false">BI207</f>
        <v>234.997</v>
      </c>
      <c r="BK206" s="65" t="n">
        <f aca="false">BJ207</f>
        <v>249.262</v>
      </c>
      <c r="BL206" s="65" t="n">
        <f aca="false">BG207</f>
        <v>187.39</v>
      </c>
      <c r="BM206" s="65" t="n">
        <f aca="false">BK207</f>
        <v>296.215</v>
      </c>
      <c r="BN206" s="65" t="n">
        <f aca="false">BM207</f>
        <v>12.308</v>
      </c>
      <c r="BO206" s="65" t="n">
        <f aca="false">BN207</f>
        <v>11.169</v>
      </c>
      <c r="BP206" s="65" t="n">
        <f aca="false">BO207</f>
        <v>14.405</v>
      </c>
      <c r="BQ206" s="65" t="n">
        <f aca="false">BL207</f>
        <v>296.215</v>
      </c>
      <c r="BR206" s="65" t="n">
        <f aca="false">BP207</f>
        <v>19.473</v>
      </c>
      <c r="BS206" s="65" t="n">
        <f aca="false">BR207</f>
        <v>16.535</v>
      </c>
      <c r="BT206" s="65" t="n">
        <f aca="false">BS207</f>
        <v>18.837</v>
      </c>
      <c r="BU206" s="65" t="n">
        <f aca="false">BT207</f>
        <v>35.5</v>
      </c>
      <c r="BV206" s="65" t="n">
        <f aca="false">BQ207</f>
        <v>19.473</v>
      </c>
      <c r="BW206" s="65" t="n">
        <f aca="false">BU207</f>
        <v>19.72</v>
      </c>
      <c r="BX206" s="65" t="n">
        <f aca="false">BW207</f>
        <v>39.177</v>
      </c>
      <c r="BY206" s="87"/>
      <c r="BZ206" s="87"/>
      <c r="CA206" s="67" t="n">
        <f aca="false">BV207</f>
        <v>19.72</v>
      </c>
      <c r="CB206" s="67" t="n">
        <f aca="false">CA207</f>
        <v>154.578543829036</v>
      </c>
      <c r="CC206" s="67" t="n">
        <f aca="false">CB207</f>
        <v>100.124</v>
      </c>
      <c r="CD206" s="67" t="n">
        <f aca="false">CC207</f>
        <v>100.124</v>
      </c>
      <c r="CE206" s="67" t="n">
        <f aca="false">CD207</f>
        <v>100.124</v>
      </c>
      <c r="CF206" s="21"/>
    </row>
    <row r="207" customFormat="false" ht="15" hidden="false" customHeight="true" outlineLevel="0" collapsed="false">
      <c r="B207" s="17" t="s">
        <v>372</v>
      </c>
      <c r="C207" s="104" t="n">
        <v>10.669</v>
      </c>
      <c r="D207" s="104" t="n">
        <v>6.656</v>
      </c>
      <c r="E207" s="104" t="n">
        <v>27.061</v>
      </c>
      <c r="F207" s="104" t="n">
        <v>8.746</v>
      </c>
      <c r="G207" s="104" t="n">
        <v>29.045</v>
      </c>
      <c r="H207" s="104" t="n">
        <v>1.317</v>
      </c>
      <c r="I207" s="104" t="n">
        <v>0.321</v>
      </c>
      <c r="J207" s="104" t="n">
        <v>0.437</v>
      </c>
      <c r="K207" s="104" t="n">
        <v>2.872</v>
      </c>
      <c r="L207" s="104" t="n">
        <v>4.06</v>
      </c>
      <c r="M207" s="104" t="n">
        <v>0.159</v>
      </c>
      <c r="N207" s="104" t="n">
        <v>0.159</v>
      </c>
      <c r="O207" s="104" t="n">
        <v>0.842</v>
      </c>
      <c r="P207" s="104" t="n">
        <v>1.788</v>
      </c>
      <c r="Q207" s="104" t="n">
        <v>7.244</v>
      </c>
      <c r="R207" s="104" t="n">
        <v>4.367</v>
      </c>
      <c r="S207" s="104" t="n">
        <v>4.367</v>
      </c>
      <c r="T207" s="104" t="n">
        <v>0.196</v>
      </c>
      <c r="U207" s="104" t="n">
        <v>3.663</v>
      </c>
      <c r="V207" s="104" t="n">
        <v>4.54</v>
      </c>
      <c r="W207" s="104" t="n">
        <v>0.124</v>
      </c>
      <c r="X207" s="104" t="n">
        <v>0.124</v>
      </c>
      <c r="Y207" s="104" t="n">
        <v>0.238</v>
      </c>
      <c r="Z207" s="104" t="n">
        <v>0.36</v>
      </c>
      <c r="AA207" s="104" t="n">
        <v>0.789</v>
      </c>
      <c r="AB207" s="104" t="n">
        <v>1.539</v>
      </c>
      <c r="AC207" s="104" t="n">
        <v>1.539</v>
      </c>
      <c r="AD207" s="104" t="n">
        <v>0.711</v>
      </c>
      <c r="AE207" s="104" t="n">
        <v>0.399</v>
      </c>
      <c r="AF207" s="104" t="n">
        <v>0.081</v>
      </c>
      <c r="AG207" s="104" t="n">
        <v>4.72</v>
      </c>
      <c r="AH207" s="104" t="n">
        <v>4.72</v>
      </c>
      <c r="AI207" s="104" t="n">
        <v>0.496</v>
      </c>
      <c r="AJ207" s="104" t="n">
        <v>1.189</v>
      </c>
      <c r="AK207" s="104" t="n">
        <v>0.529</v>
      </c>
      <c r="AL207" s="104" t="n">
        <v>2.194</v>
      </c>
      <c r="AM207" s="104" t="n">
        <v>2.194</v>
      </c>
      <c r="AN207" s="104" t="n">
        <v>0.031</v>
      </c>
      <c r="AO207" s="104" t="n">
        <v>0.503</v>
      </c>
      <c r="AP207" s="104" t="n">
        <v>0.015</v>
      </c>
      <c r="AQ207" s="104" t="n">
        <v>0.248</v>
      </c>
      <c r="AR207" s="104" t="n">
        <v>0.248</v>
      </c>
      <c r="AS207" s="104" t="n">
        <v>46.909</v>
      </c>
      <c r="AT207" s="104" t="n">
        <v>29.28</v>
      </c>
      <c r="AU207" s="104" t="n">
        <v>25.469</v>
      </c>
      <c r="AV207" s="104" t="n">
        <v>25.308</v>
      </c>
      <c r="AW207" s="104" t="n">
        <v>25.308</v>
      </c>
      <c r="AX207" s="104" t="n">
        <v>53.26</v>
      </c>
      <c r="AY207" s="104" t="n">
        <v>52.86</v>
      </c>
      <c r="AZ207" s="104" t="n">
        <v>125.372</v>
      </c>
      <c r="BA207" s="104" t="n">
        <v>106.588</v>
      </c>
      <c r="BB207" s="104" t="n">
        <v>106.588</v>
      </c>
      <c r="BC207" s="104" t="n">
        <v>141.325</v>
      </c>
      <c r="BD207" s="104" t="n">
        <v>137.871</v>
      </c>
      <c r="BE207" s="104" t="n">
        <v>149.825</v>
      </c>
      <c r="BF207" s="104" t="n">
        <v>187.39</v>
      </c>
      <c r="BG207" s="104" t="n">
        <v>187.39</v>
      </c>
      <c r="BH207" s="104" t="n">
        <v>166.425</v>
      </c>
      <c r="BI207" s="104" t="n">
        <v>234.997</v>
      </c>
      <c r="BJ207" s="104" t="n">
        <v>249.262</v>
      </c>
      <c r="BK207" s="104" t="n">
        <v>296.215</v>
      </c>
      <c r="BL207" s="104" t="n">
        <v>296.215</v>
      </c>
      <c r="BM207" s="104" t="n">
        <v>12.308</v>
      </c>
      <c r="BN207" s="104" t="n">
        <v>11.169</v>
      </c>
      <c r="BO207" s="104" t="n">
        <v>14.405</v>
      </c>
      <c r="BP207" s="104" t="n">
        <v>19.473</v>
      </c>
      <c r="BQ207" s="104" t="n">
        <v>19.473</v>
      </c>
      <c r="BR207" s="104" t="n">
        <v>16.535</v>
      </c>
      <c r="BS207" s="104" t="n">
        <v>18.837</v>
      </c>
      <c r="BT207" s="104" t="n">
        <v>35.5</v>
      </c>
      <c r="BU207" s="104" t="n">
        <v>19.72</v>
      </c>
      <c r="BV207" s="104" t="n">
        <v>19.72</v>
      </c>
      <c r="BW207" s="104" t="n">
        <v>39.177</v>
      </c>
      <c r="BX207" s="104" t="n">
        <v>84.014</v>
      </c>
      <c r="BY207" s="105"/>
      <c r="BZ207" s="105"/>
      <c r="CA207" s="69" t="n">
        <f aca="false">CA206+CA205</f>
        <v>154.578543829036</v>
      </c>
      <c r="CB207" s="69" t="n">
        <f aca="false">CB206+CB205</f>
        <v>100.124</v>
      </c>
      <c r="CC207" s="69" t="n">
        <f aca="false">CC206+CC205</f>
        <v>100.124</v>
      </c>
      <c r="CD207" s="69" t="n">
        <f aca="false">CD206+CD205</f>
        <v>100.124</v>
      </c>
      <c r="CE207" s="69" t="n">
        <f aca="false">CE206+CE205</f>
        <v>100.124</v>
      </c>
      <c r="CF207" s="21"/>
    </row>
    <row r="208" customFormat="false" ht="15" hidden="false" customHeight="true" outlineLevel="0" collapsed="false">
      <c r="B208" s="74" t="s">
        <v>373</v>
      </c>
      <c r="C208" s="65" t="n">
        <f aca="false">IF(ISNUMBER(C192),ROUND(C192+C197+C204-C205,1),"")</f>
        <v>0</v>
      </c>
      <c r="D208" s="65" t="n">
        <f aca="false">IF(ISNUMBER(D192),ROUND(D192+D197+D204-D205,1),"")</f>
        <v>0</v>
      </c>
      <c r="E208" s="65" t="n">
        <f aca="false">IF(ISNUMBER(E192),ROUND(E192+E197+E204-E205,1),"")</f>
        <v>0</v>
      </c>
      <c r="F208" s="65" t="n">
        <f aca="false">IF(ISNUMBER(F192),ROUND(F192+F197+F204-F205,1),"")</f>
        <v>0</v>
      </c>
      <c r="G208" s="65" t="n">
        <f aca="false">IF(ISNUMBER(G192),ROUND(G192+G197+G204-G205,1),"")</f>
        <v>0</v>
      </c>
      <c r="H208" s="65" t="n">
        <f aca="false">IF(ISNUMBER(H192),ROUND(H192+H197+H204-H205,1),"")</f>
        <v>0</v>
      </c>
      <c r="I208" s="65" t="n">
        <f aca="false">IF(ISNUMBER(I192),ROUND(I192+I197+I204-I205,1),"")</f>
        <v>0</v>
      </c>
      <c r="J208" s="65" t="n">
        <f aca="false">IF(ISNUMBER(J192),ROUND(J192+J197+J204-J205,1),"")</f>
        <v>0</v>
      </c>
      <c r="K208" s="65" t="n">
        <f aca="false">IF(ISNUMBER(K192),ROUND(K192+K197+K204-K205,1),"")</f>
        <v>0</v>
      </c>
      <c r="L208" s="65" t="n">
        <f aca="false">IF(ISNUMBER(L192),ROUND(L192+L197+L204-L205,1),"")</f>
        <v>0</v>
      </c>
      <c r="M208" s="65" t="n">
        <f aca="false">IF(ISNUMBER(M192),ROUND(M192+M197+M204-M205,1),"")</f>
        <v>0</v>
      </c>
      <c r="N208" s="65" t="n">
        <f aca="false">IF(ISNUMBER(N192),ROUND(N192+N197+N204-N205,1),"")</f>
        <v>0</v>
      </c>
      <c r="O208" s="65" t="n">
        <f aca="false">IF(ISNUMBER(O192),ROUND(O192+O197+O204-O205,1),"")</f>
        <v>0</v>
      </c>
      <c r="P208" s="65" t="n">
        <f aca="false">IF(ISNUMBER(P192),ROUND(P192+P197+P204-P205,1),"")</f>
        <v>-0</v>
      </c>
      <c r="Q208" s="65" t="n">
        <f aca="false">IF(ISNUMBER(Q192),ROUND(Q192+Q197+Q204-Q205,1),"")</f>
        <v>0</v>
      </c>
      <c r="R208" s="65" t="n">
        <f aca="false">IF(ISNUMBER(R192),ROUND(R192+R197+R204-R205,1),"")</f>
        <v>0</v>
      </c>
      <c r="S208" s="65" t="n">
        <f aca="false">IF(ISNUMBER(S192),ROUND(S192+S197+S204-S205,1),"")</f>
        <v>0</v>
      </c>
      <c r="T208" s="65" t="n">
        <f aca="false">IF(ISNUMBER(T192),ROUND(T192+T197+T204-T205,1),"")</f>
        <v>0</v>
      </c>
      <c r="U208" s="65" t="n">
        <f aca="false">IF(ISNUMBER(U192),ROUND(U192+U197+U204-U205,1),"")</f>
        <v>0</v>
      </c>
      <c r="V208" s="65" t="n">
        <f aca="false">IF(ISNUMBER(V192),ROUND(V192+V197+V204-V205,1),"")</f>
        <v>-0</v>
      </c>
      <c r="W208" s="65" t="n">
        <f aca="false">IF(ISNUMBER(W192),ROUND(W192+W197+W204-W205,1),"")</f>
        <v>0</v>
      </c>
      <c r="X208" s="65" t="n">
        <f aca="false">IF(ISNUMBER(X192),ROUND(X192+X197+X204-X205,1),"")</f>
        <v>0</v>
      </c>
      <c r="Y208" s="65" t="n">
        <f aca="false">IF(ISNUMBER(Y192),ROUND(Y192+Y197+Y204-Y205,1),"")</f>
        <v>-0</v>
      </c>
      <c r="Z208" s="65" t="n">
        <f aca="false">IF(ISNUMBER(Z192),ROUND(Z192+Z197+Z204-Z205,1),"")</f>
        <v>0</v>
      </c>
      <c r="AA208" s="65" t="n">
        <f aca="false">IF(ISNUMBER(AA192),ROUND(AA192+AA197+AA204-AA205,1),"")</f>
        <v>0</v>
      </c>
      <c r="AB208" s="65" t="n">
        <f aca="false">IF(ISNUMBER(AB192),ROUND(AB192+AB197+AB204-AB205,1),"")</f>
        <v>-0</v>
      </c>
      <c r="AC208" s="65" t="n">
        <f aca="false">IF(ISNUMBER(AC192),ROUND(AC192+AC197+AC204-AC205,1),"")</f>
        <v>0</v>
      </c>
      <c r="AD208" s="65" t="n">
        <f aca="false">IF(ISNUMBER(AD192),ROUND(AD192+AD197+AD204-AD205,1),"")</f>
        <v>-0</v>
      </c>
      <c r="AE208" s="65" t="n">
        <f aca="false">IF(ISNUMBER(AE192),ROUND(AE192+AE197+AE204-AE205,1),"")</f>
        <v>0</v>
      </c>
      <c r="AF208" s="65" t="n">
        <f aca="false">IF(ISNUMBER(AF192),ROUND(AF192+AF197+AF204-AF205,1),"")</f>
        <v>-0</v>
      </c>
      <c r="AG208" s="65" t="n">
        <f aca="false">IF(ISNUMBER(AG192),ROUND(AG192+AG197+AG204-AG205,1),"")</f>
        <v>0</v>
      </c>
      <c r="AH208" s="65" t="n">
        <f aca="false">IF(ISNUMBER(AH192),ROUND(AH192+AH197+AH204-AH205,1),"")</f>
        <v>0</v>
      </c>
      <c r="AI208" s="65" t="n">
        <f aca="false">IF(ISNUMBER(AI192),ROUND(AI192+AI197+AI204-AI205,1),"")</f>
        <v>0</v>
      </c>
      <c r="AJ208" s="65" t="n">
        <f aca="false">IF(ISNUMBER(AJ192),ROUND(AJ192+AJ197+AJ204-AJ205,1),"")</f>
        <v>-0</v>
      </c>
      <c r="AK208" s="65" t="n">
        <f aca="false">IF(ISNUMBER(AK192),ROUND(AK192+AK197+AK204-AK205,1),"")</f>
        <v>0</v>
      </c>
      <c r="AL208" s="65" t="n">
        <f aca="false">IF(ISNUMBER(AL192),ROUND(AL192+AL197+AL204-AL205,1),"")</f>
        <v>-0</v>
      </c>
      <c r="AM208" s="65" t="n">
        <f aca="false">IF(ISNUMBER(AM192),ROUND(AM192+AM197+AM204-AM205,1),"")</f>
        <v>-0</v>
      </c>
      <c r="AN208" s="65" t="n">
        <f aca="false">IF(ISNUMBER(AN192),ROUND(AN192+AN197+AN204-AN205,1),"")</f>
        <v>0</v>
      </c>
      <c r="AO208" s="65" t="n">
        <f aca="false">IF(ISNUMBER(AO192),ROUND(AO192+AO197+AO204-AO205,1),"")</f>
        <v>0</v>
      </c>
      <c r="AP208" s="65" t="n">
        <f aca="false">IF(ISNUMBER(AP192),ROUND(AP192+AP197+AP204-AP205,1),"")</f>
        <v>0</v>
      </c>
      <c r="AQ208" s="65" t="n">
        <f aca="false">IF(ISNUMBER(AQ192),ROUND(AQ192+AQ197+AQ204-AQ205,1),"")</f>
        <v>-0</v>
      </c>
      <c r="AR208" s="65" t="n">
        <f aca="false">IF(ISNUMBER(AR192),ROUND(AR192+AR197+AR204-AR205,1),"")</f>
        <v>-0</v>
      </c>
      <c r="AS208" s="65" t="n">
        <f aca="false">IF(ISNUMBER(AS192),ROUND(AS192+AS197+AS204-AS205,1),"")</f>
        <v>0</v>
      </c>
      <c r="AT208" s="65" t="n">
        <f aca="false">IF(ISNUMBER(AT192),ROUND(AT192+AT197+AT204-AT205,1),"")</f>
        <v>0</v>
      </c>
      <c r="AU208" s="65" t="n">
        <f aca="false">IF(ISNUMBER(AU192),ROUND(AU192+AU197+AU204-AU205,1),"")</f>
        <v>0</v>
      </c>
      <c r="AV208" s="65" t="n">
        <f aca="false">IF(ISNUMBER(AV192),ROUND(AV192+AV197+AV204-AV205,1),"")</f>
        <v>-0</v>
      </c>
      <c r="AW208" s="65" t="n">
        <f aca="false">IF(ISNUMBER(AW192),ROUND(AW192+AW197+AW204-AW205,1),"")</f>
        <v>0</v>
      </c>
      <c r="AX208" s="65" t="n">
        <f aca="false">IF(ISNUMBER(AX192),ROUND(AX192+AX197+AX204-AX205,1),"")</f>
        <v>0</v>
      </c>
      <c r="AY208" s="65" t="n">
        <f aca="false">IF(ISNUMBER(AY192),ROUND(AY192+AY197+AY204-AY205,1),"")</f>
        <v>-0</v>
      </c>
      <c r="AZ208" s="65" t="n">
        <f aca="false">IF(ISNUMBER(AZ192),ROUND(AZ192+AZ197+AZ204-AZ205,1),"")</f>
        <v>0</v>
      </c>
      <c r="BA208" s="65" t="n">
        <f aca="false">IF(ISNUMBER(BA192),ROUND(BA192+BA197+BA204-BA205,1),"")</f>
        <v>0</v>
      </c>
      <c r="BB208" s="65" t="n">
        <f aca="false">IF(ISNUMBER(BB192),ROUND(BB192+BB197+BB204-BB205,1),"")</f>
        <v>0</v>
      </c>
      <c r="BC208" s="65" t="n">
        <f aca="false">IF(ISNUMBER(BC192),ROUND(BC192+BC197+BC204-BC205,1),"")</f>
        <v>0</v>
      </c>
      <c r="BD208" s="65" t="n">
        <f aca="false">IF(ISNUMBER(BD192),ROUND(BD192+BD197+BD204-BD205,1),"")</f>
        <v>0</v>
      </c>
      <c r="BE208" s="65" t="n">
        <f aca="false">IF(ISNUMBER(BE192),ROUND(BE192+BE197+BE204-BE205,1),"")</f>
        <v>0</v>
      </c>
      <c r="BF208" s="65" t="n">
        <f aca="false">IF(ISNUMBER(BF192),ROUND(BF192+BF197+BF204-BF205,1),"")</f>
        <v>0</v>
      </c>
      <c r="BG208" s="65" t="n">
        <f aca="false">IF(ISNUMBER(BG192),ROUND(BG192+BG197+BG204-BG205,1),"")</f>
        <v>0</v>
      </c>
      <c r="BH208" s="65" t="n">
        <f aca="false">IF(ISNUMBER(BH192),ROUND(BH192+BH197+BH204-BH205,1),"")</f>
        <v>0</v>
      </c>
      <c r="BI208" s="65" t="n">
        <f aca="false">IF(ISNUMBER(BI192),ROUND(BI192+BI197+BI204-BI205,1),"")</f>
        <v>0</v>
      </c>
      <c r="BJ208" s="65" t="n">
        <f aca="false">IF(ISNUMBER(BJ192),ROUND(BJ192+BJ197+BJ204-BJ205,1),"")</f>
        <v>0</v>
      </c>
      <c r="BK208" s="65" t="n">
        <f aca="false">IF(ISNUMBER(BK192),ROUND(BK192+BK197+BK204-BK205,1),"")</f>
        <v>0</v>
      </c>
      <c r="BL208" s="65" t="n">
        <f aca="false">IF(ISNUMBER(BL192),ROUND(BL192+BL197+BL204-BL205,1),"")</f>
        <v>0</v>
      </c>
      <c r="BM208" s="65" t="n">
        <f aca="false">IF(ISNUMBER(BM192),ROUND(BM192+BM197+BM204-BM205,1),"")</f>
        <v>0</v>
      </c>
      <c r="BN208" s="65" t="n">
        <f aca="false">IF(ISNUMBER(BN192),ROUND(BN192+BN197+BN204-BN205,1),"")</f>
        <v>0</v>
      </c>
      <c r="BO208" s="65" t="n">
        <f aca="false">IF(ISNUMBER(BO192),ROUND(BO192+BO197+BO204-BO205,1),"")</f>
        <v>0</v>
      </c>
      <c r="BP208" s="65" t="n">
        <f aca="false">IF(ISNUMBER(BP192),ROUND(BP192+BP197+BP204-BP205,1),"")</f>
        <v>0</v>
      </c>
      <c r="BQ208" s="65" t="n">
        <f aca="false">IF(ISNUMBER(BQ192),ROUND(BQ192+BQ197+BQ204-BQ205,1),"")</f>
        <v>0</v>
      </c>
      <c r="BR208" s="65" t="n">
        <f aca="false">IF(ISNUMBER(BR192),ROUND(BR192+BR197+BR204-BR205,1),"")</f>
        <v>0</v>
      </c>
      <c r="BS208" s="65" t="n">
        <f aca="false">IF(ISNUMBER(BS192),ROUND(BS192+BS197+BS204-BS205,1),"")</f>
        <v>0</v>
      </c>
      <c r="BT208" s="65" t="n">
        <f aca="false">IF(ISNUMBER(BT192),ROUND(BT192+BT197+BT204-BT205,1),"")</f>
        <v>0</v>
      </c>
      <c r="BU208" s="65" t="n">
        <f aca="false">IF(ISNUMBER(BU192),ROUND(BU192+BU197+BU204-BU205,1),"")</f>
        <v>-0</v>
      </c>
      <c r="BV208" s="65" t="n">
        <f aca="false">IF(ISNUMBER(BV192),ROUND(BV192+BV197+BV204-BV205,1),"")</f>
        <v>-0</v>
      </c>
      <c r="BW208" s="65" t="n">
        <f aca="false">IF(ISNUMBER(BW192),ROUND(BW192+BW197+BW204-BW205,1),"")</f>
        <v>0</v>
      </c>
      <c r="BX208" s="65" t="n">
        <f aca="false">IF(ISNUMBER(BX192),ROUND(BX192+BX197+BX204-BX205,1),"")</f>
        <v>0</v>
      </c>
      <c r="BY208" s="88"/>
      <c r="BZ208" s="88"/>
      <c r="CA208" s="67" t="n">
        <f aca="false">ROUND(CA192+CA197+CA204-CA205,1)</f>
        <v>0</v>
      </c>
      <c r="CB208" s="67" t="n">
        <f aca="false">ROUND(CB192+CB197+CB204-CB205,1)</f>
        <v>0</v>
      </c>
      <c r="CC208" s="67" t="n">
        <f aca="false">ROUND(CC192+CC197+CC204-CC205,1)</f>
        <v>0</v>
      </c>
      <c r="CD208" s="67" t="n">
        <f aca="false">ROUND(CD192+CD197+CD204-CD205,1)</f>
        <v>0</v>
      </c>
      <c r="CE208" s="67" t="n">
        <f aca="false">ROUND(CE192+CE197+CE204-CE205,1)</f>
        <v>0</v>
      </c>
      <c r="CF208" s="21"/>
    </row>
    <row r="209" customFormat="false" ht="15" hidden="false" customHeight="true" outlineLevel="0" collapsed="false">
      <c r="B209" s="74" t="s">
        <v>374</v>
      </c>
      <c r="C209" s="65" t="n">
        <f aca="false">IF(AND(ISNUMBER(C206),ISNUMBER(C207)),ROUND(C206+C205-C207,1),"")</f>
        <v>0</v>
      </c>
      <c r="D209" s="65" t="n">
        <f aca="false">IF(AND(ISNUMBER(D206),ISNUMBER(D207)),ROUND(D206+D205-D207,1),"")</f>
        <v>0</v>
      </c>
      <c r="E209" s="65" t="n">
        <f aca="false">IF(AND(ISNUMBER(E206),ISNUMBER(E207)),ROUND(E206+E205-E207,1),"")</f>
        <v>0</v>
      </c>
      <c r="F209" s="65" t="n">
        <f aca="false">IF(AND(ISNUMBER(F206),ISNUMBER(F207)),ROUND(F206+F205-F207,1),"")</f>
        <v>0</v>
      </c>
      <c r="G209" s="65" t="n">
        <f aca="false">IF(AND(ISNUMBER(G206),ISNUMBER(G207)),ROUND(G206+G205-G207,1),"")</f>
        <v>0</v>
      </c>
      <c r="H209" s="65" t="n">
        <f aca="false">IF(AND(ISNUMBER(H206),ISNUMBER(H207)),ROUND(H206+H205-H207,1),"")</f>
        <v>0</v>
      </c>
      <c r="I209" s="65" t="n">
        <f aca="false">IF(AND(ISNUMBER(I206),ISNUMBER(I207)),ROUND(I206+I205-I207,1),"")</f>
        <v>0</v>
      </c>
      <c r="J209" s="65" t="n">
        <f aca="false">IF(AND(ISNUMBER(J206),ISNUMBER(J207)),ROUND(J206+J205-J207,1),"")</f>
        <v>0</v>
      </c>
      <c r="K209" s="65" t="n">
        <f aca="false">IF(AND(ISNUMBER(K206),ISNUMBER(K207)),ROUND(K206+K205-K207,1),"")</f>
        <v>0</v>
      </c>
      <c r="L209" s="65" t="n">
        <f aca="false">IF(AND(ISNUMBER(L206),ISNUMBER(L207)),ROUND(L206+L205-L207,1),"")</f>
        <v>0</v>
      </c>
      <c r="M209" s="65" t="n">
        <f aca="false">IF(AND(ISNUMBER(M206),ISNUMBER(M207)),ROUND(M206+M205-M207,1),"")</f>
        <v>0</v>
      </c>
      <c r="N209" s="65" t="n">
        <f aca="false">IF(AND(ISNUMBER(N206),ISNUMBER(N207)),ROUND(N206+N205-N207,1),"")</f>
        <v>0</v>
      </c>
      <c r="O209" s="65" t="n">
        <f aca="false">IF(AND(ISNUMBER(O206),ISNUMBER(O207)),ROUND(O206+O205-O207,1),"")</f>
        <v>0</v>
      </c>
      <c r="P209" s="65" t="n">
        <f aca="false">IF(AND(ISNUMBER(P206),ISNUMBER(P207)),ROUND(P206+P205-P207,1),"")</f>
        <v>0</v>
      </c>
      <c r="Q209" s="65" t="n">
        <f aca="false">IF(AND(ISNUMBER(Q206),ISNUMBER(Q207)),ROUND(Q206+Q205-Q207,1),"")</f>
        <v>0</v>
      </c>
      <c r="R209" s="65" t="n">
        <f aca="false">IF(AND(ISNUMBER(R206),ISNUMBER(R207)),ROUND(R206+R205-R207,1),"")</f>
        <v>0</v>
      </c>
      <c r="S209" s="65" t="n">
        <f aca="false">IF(AND(ISNUMBER(S206),ISNUMBER(S207)),ROUND(S206+S205-S207,1),"")</f>
        <v>0</v>
      </c>
      <c r="T209" s="65" t="n">
        <f aca="false">IF(AND(ISNUMBER(T206),ISNUMBER(T207)),ROUND(T206+T205-T207,1),"")</f>
        <v>0</v>
      </c>
      <c r="U209" s="65" t="n">
        <f aca="false">IF(AND(ISNUMBER(U206),ISNUMBER(U207)),ROUND(U206+U205-U207,1),"")</f>
        <v>0</v>
      </c>
      <c r="V209" s="65" t="n">
        <f aca="false">IF(AND(ISNUMBER(V206),ISNUMBER(V207)),ROUND(V206+V205-V207,1),"")</f>
        <v>0</v>
      </c>
      <c r="W209" s="65" t="n">
        <f aca="false">IF(AND(ISNUMBER(W206),ISNUMBER(W207)),ROUND(W206+W205-W207,1),"")</f>
        <v>0</v>
      </c>
      <c r="X209" s="65" t="n">
        <f aca="false">IF(AND(ISNUMBER(X206),ISNUMBER(X207)),ROUND(X206+X205-X207,1),"")</f>
        <v>0</v>
      </c>
      <c r="Y209" s="65" t="n">
        <f aca="false">IF(AND(ISNUMBER(Y206),ISNUMBER(Y207)),ROUND(Y206+Y205-Y207,1),"")</f>
        <v>0</v>
      </c>
      <c r="Z209" s="65" t="n">
        <f aca="false">IF(AND(ISNUMBER(Z206),ISNUMBER(Z207)),ROUND(Z206+Z205-Z207,1),"")</f>
        <v>0</v>
      </c>
      <c r="AA209" s="65" t="n">
        <f aca="false">IF(AND(ISNUMBER(AA206),ISNUMBER(AA207)),ROUND(AA206+AA205-AA207,1),"")</f>
        <v>0</v>
      </c>
      <c r="AB209" s="65" t="n">
        <f aca="false">IF(AND(ISNUMBER(AB206),ISNUMBER(AB207)),ROUND(AB206+AB205-AB207,1),"")</f>
        <v>0</v>
      </c>
      <c r="AC209" s="65" t="n">
        <f aca="false">IF(AND(ISNUMBER(AC206),ISNUMBER(AC207)),ROUND(AC206+AC205-AC207,1),"")</f>
        <v>0</v>
      </c>
      <c r="AD209" s="65" t="n">
        <f aca="false">IF(AND(ISNUMBER(AD206),ISNUMBER(AD207)),ROUND(AD206+AD205-AD207,1),"")</f>
        <v>0</v>
      </c>
      <c r="AE209" s="65" t="n">
        <f aca="false">IF(AND(ISNUMBER(AE206),ISNUMBER(AE207)),ROUND(AE206+AE205-AE207,1),"")</f>
        <v>0</v>
      </c>
      <c r="AF209" s="65" t="n">
        <f aca="false">IF(AND(ISNUMBER(AF206),ISNUMBER(AF207)),ROUND(AF206+AF205-AF207,1),"")</f>
        <v>0</v>
      </c>
      <c r="AG209" s="65" t="n">
        <f aca="false">IF(AND(ISNUMBER(AG206),ISNUMBER(AG207)),ROUND(AG206+AG205-AG207,1),"")</f>
        <v>0</v>
      </c>
      <c r="AH209" s="65" t="n">
        <f aca="false">IF(AND(ISNUMBER(AH206),ISNUMBER(AH207)),ROUND(AH206+AH205-AH207,1),"")</f>
        <v>0</v>
      </c>
      <c r="AI209" s="65" t="n">
        <f aca="false">IF(AND(ISNUMBER(AI206),ISNUMBER(AI207)),ROUND(AI206+AI205-AI207,1),"")</f>
        <v>0</v>
      </c>
      <c r="AJ209" s="65" t="n">
        <f aca="false">IF(AND(ISNUMBER(AJ206),ISNUMBER(AJ207)),ROUND(AJ206+AJ205-AJ207,1),"")</f>
        <v>0</v>
      </c>
      <c r="AK209" s="65" t="n">
        <f aca="false">IF(AND(ISNUMBER(AK206),ISNUMBER(AK207)),ROUND(AK206+AK205-AK207,1),"")</f>
        <v>0</v>
      </c>
      <c r="AL209" s="65" t="n">
        <f aca="false">IF(AND(ISNUMBER(AL206),ISNUMBER(AL207)),ROUND(AL206+AL205-AL207,1),"")</f>
        <v>0</v>
      </c>
      <c r="AM209" s="65" t="n">
        <f aca="false">IF(AND(ISNUMBER(AM206),ISNUMBER(AM207)),ROUND(AM206+AM205-AM207,1),"")</f>
        <v>0</v>
      </c>
      <c r="AN209" s="65" t="n">
        <f aca="false">IF(AND(ISNUMBER(AN206),ISNUMBER(AN207)),ROUND(AN206+AN205-AN207,1),"")</f>
        <v>0</v>
      </c>
      <c r="AO209" s="65" t="n">
        <f aca="false">IF(AND(ISNUMBER(AO206),ISNUMBER(AO207)),ROUND(AO206+AO205-AO207,1),"")</f>
        <v>0</v>
      </c>
      <c r="AP209" s="65" t="n">
        <f aca="false">IF(AND(ISNUMBER(AP206),ISNUMBER(AP207)),ROUND(AP206+AP205-AP207,1),"")</f>
        <v>0</v>
      </c>
      <c r="AQ209" s="65" t="n">
        <f aca="false">IF(AND(ISNUMBER(AQ206),ISNUMBER(AQ207)),ROUND(AQ206+AQ205-AQ207,1),"")</f>
        <v>0</v>
      </c>
      <c r="AR209" s="65" t="n">
        <f aca="false">IF(AND(ISNUMBER(AR206),ISNUMBER(AR207)),ROUND(AR206+AR205-AR207,1),"")</f>
        <v>0</v>
      </c>
      <c r="AS209" s="65" t="n">
        <f aca="false">IF(AND(ISNUMBER(AS206),ISNUMBER(AS207)),ROUND(AS206+AS205-AS207,1),"")</f>
        <v>0</v>
      </c>
      <c r="AT209" s="65" t="n">
        <f aca="false">IF(AND(ISNUMBER(AT206),ISNUMBER(AT207)),ROUND(AT206+AT205-AT207,1),"")</f>
        <v>0</v>
      </c>
      <c r="AU209" s="65" t="n">
        <f aca="false">IF(AND(ISNUMBER(AU206),ISNUMBER(AU207)),ROUND(AU206+AU205-AU207,1),"")</f>
        <v>0</v>
      </c>
      <c r="AV209" s="65" t="n">
        <f aca="false">IF(AND(ISNUMBER(AV206),ISNUMBER(AV207)),ROUND(AV206+AV205-AV207,1),"")</f>
        <v>0</v>
      </c>
      <c r="AW209" s="65" t="n">
        <f aca="false">IF(AND(ISNUMBER(AW206),ISNUMBER(AW207)),ROUND(AW206+AW205-AW207,1),"")</f>
        <v>0</v>
      </c>
      <c r="AX209" s="65" t="n">
        <f aca="false">IF(AND(ISNUMBER(AX206),ISNUMBER(AX207)),ROUND(AX206+AX205-AX207,1),"")</f>
        <v>0</v>
      </c>
      <c r="AY209" s="65" t="n">
        <f aca="false">IF(AND(ISNUMBER(AY206),ISNUMBER(AY207)),ROUND(AY206+AY205-AY207,1),"")</f>
        <v>0</v>
      </c>
      <c r="AZ209" s="65" t="n">
        <f aca="false">IF(AND(ISNUMBER(AZ206),ISNUMBER(AZ207)),ROUND(AZ206+AZ205-AZ207,1),"")</f>
        <v>0</v>
      </c>
      <c r="BA209" s="65" t="n">
        <f aca="false">IF(AND(ISNUMBER(BA206),ISNUMBER(BA207)),ROUND(BA206+BA205-BA207,1),"")</f>
        <v>0</v>
      </c>
      <c r="BB209" s="65" t="n">
        <f aca="false">IF(AND(ISNUMBER(BB206),ISNUMBER(BB207)),ROUND(BB206+BB205-BB207,1),"")</f>
        <v>0</v>
      </c>
      <c r="BC209" s="65" t="n">
        <f aca="false">IF(AND(ISNUMBER(BC206),ISNUMBER(BC207)),ROUND(BC206+BC205-BC207,1),"")</f>
        <v>0</v>
      </c>
      <c r="BD209" s="65" t="n">
        <f aca="false">IF(AND(ISNUMBER(BD206),ISNUMBER(BD207)),ROUND(BD206+BD205-BD207,1),"")</f>
        <v>0</v>
      </c>
      <c r="BE209" s="65" t="n">
        <f aca="false">IF(AND(ISNUMBER(BE206),ISNUMBER(BE207)),ROUND(BE206+BE205-BE207,1),"")</f>
        <v>0</v>
      </c>
      <c r="BF209" s="65" t="n">
        <f aca="false">IF(AND(ISNUMBER(BF206),ISNUMBER(BF207)),ROUND(BF206+BF205-BF207,1),"")</f>
        <v>0</v>
      </c>
      <c r="BG209" s="65" t="n">
        <f aca="false">IF(AND(ISNUMBER(BG206),ISNUMBER(BG207)),ROUND(BG206+BG205-BG207,1),"")</f>
        <v>0</v>
      </c>
      <c r="BH209" s="65" t="n">
        <f aca="false">IF(AND(ISNUMBER(BH206),ISNUMBER(BH207)),ROUND(BH206+BH205-BH207,1),"")</f>
        <v>0</v>
      </c>
      <c r="BI209" s="65" t="n">
        <f aca="false">IF(AND(ISNUMBER(BI206),ISNUMBER(BI207)),ROUND(BI206+BI205-BI207,1),"")</f>
        <v>0</v>
      </c>
      <c r="BJ209" s="65" t="n">
        <f aca="false">IF(AND(ISNUMBER(BJ206),ISNUMBER(BJ207)),ROUND(BJ206+BJ205-BJ207,1),"")</f>
        <v>0</v>
      </c>
      <c r="BK209" s="65" t="n">
        <f aca="false">IF(AND(ISNUMBER(BK206),ISNUMBER(BK207)),ROUND(BK206+BK205-BK207,1),"")</f>
        <v>0</v>
      </c>
      <c r="BL209" s="65" t="n">
        <f aca="false">IF(AND(ISNUMBER(BL206),ISNUMBER(BL207)),ROUND(BL206+BL205-BL207,1),"")</f>
        <v>0</v>
      </c>
      <c r="BM209" s="65" t="n">
        <f aca="false">IF(AND(ISNUMBER(BM206),ISNUMBER(BM207)),ROUND(BM206+BM205-BM207,1),"")</f>
        <v>0</v>
      </c>
      <c r="BN209" s="65" t="n">
        <f aca="false">IF(AND(ISNUMBER(BN206),ISNUMBER(BN207)),ROUND(BN206+BN205-BN207,1),"")</f>
        <v>0</v>
      </c>
      <c r="BO209" s="65" t="n">
        <f aca="false">IF(AND(ISNUMBER(BO206),ISNUMBER(BO207)),ROUND(BO206+BO205-BO207,1),"")</f>
        <v>0</v>
      </c>
      <c r="BP209" s="65" t="n">
        <f aca="false">IF(AND(ISNUMBER(BP206),ISNUMBER(BP207)),ROUND(BP206+BP205-BP207,1),"")</f>
        <v>0</v>
      </c>
      <c r="BQ209" s="65" t="n">
        <f aca="false">IF(AND(ISNUMBER(BQ206),ISNUMBER(BQ207)),ROUND(BQ206+BQ205-BQ207,1),"")</f>
        <v>0</v>
      </c>
      <c r="BR209" s="65" t="n">
        <f aca="false">IF(AND(ISNUMBER(BR206),ISNUMBER(BR207)),ROUND(BR206+BR205-BR207,1),"")</f>
        <v>0</v>
      </c>
      <c r="BS209" s="65" t="n">
        <f aca="false">IF(AND(ISNUMBER(BS206),ISNUMBER(BS207)),ROUND(BS206+BS205-BS207,1),"")</f>
        <v>0</v>
      </c>
      <c r="BT209" s="65" t="n">
        <f aca="false">IF(AND(ISNUMBER(BT206),ISNUMBER(BT207)),ROUND(BT206+BT205-BT207,1),"")</f>
        <v>0</v>
      </c>
      <c r="BU209" s="65" t="n">
        <f aca="false">IF(AND(ISNUMBER(BU206),ISNUMBER(BU207)),ROUND(BU206+BU205-BU207,1),"")</f>
        <v>0</v>
      </c>
      <c r="BV209" s="65" t="n">
        <f aca="false">IF(AND(ISNUMBER(BV206),ISNUMBER(BV207)),ROUND(BV206+BV205-BV207,1),"")</f>
        <v>0</v>
      </c>
      <c r="BW209" s="65" t="n">
        <f aca="false">IF(AND(ISNUMBER(BW206),ISNUMBER(BW207)),ROUND(BW206+BW205-BW207,1),"")</f>
        <v>0</v>
      </c>
      <c r="BX209" s="65" t="n">
        <f aca="false">IF(AND(ISNUMBER(BX206),ISNUMBER(BX207)),ROUND(BX206+BX205-BX207,1),"")</f>
        <v>0</v>
      </c>
      <c r="BY209" s="88"/>
      <c r="BZ209" s="88"/>
      <c r="CA209" s="67" t="n">
        <f aca="false">ROUND(CA206+CA205-CA207,1)</f>
        <v>0</v>
      </c>
      <c r="CB209" s="67" t="n">
        <f aca="false">ROUND(CB206+CB205-CB207,1)</f>
        <v>0</v>
      </c>
      <c r="CC209" s="67" t="n">
        <f aca="false">ROUND(CC206+CC205-CC207,1)</f>
        <v>0</v>
      </c>
      <c r="CD209" s="67" t="n">
        <f aca="false">ROUND(CD206+CD205-CD207,1)</f>
        <v>0</v>
      </c>
      <c r="CE209" s="67" t="n">
        <f aca="false">ROUND(CE206+CE205-CE207,1)</f>
        <v>0</v>
      </c>
      <c r="CF209" s="21"/>
    </row>
    <row r="210" customFormat="false" ht="15" hidden="false" customHeight="true" outlineLevel="0" collapsed="false">
      <c r="B210" s="37" t="s">
        <v>375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90"/>
      <c r="BM210" s="42"/>
      <c r="BN210" s="42"/>
      <c r="BO210" s="42"/>
      <c r="BP210" s="42"/>
      <c r="BQ210" s="42"/>
      <c r="BR210" s="90"/>
      <c r="BS210" s="90"/>
      <c r="BT210" s="42"/>
      <c r="BU210" s="42"/>
      <c r="BV210" s="42"/>
      <c r="BW210" s="42"/>
      <c r="BX210" s="42"/>
      <c r="BY210" s="43"/>
      <c r="BZ210" s="43"/>
      <c r="CA210" s="43"/>
      <c r="CB210" s="43"/>
      <c r="CC210" s="43"/>
      <c r="CD210" s="43"/>
      <c r="CE210" s="43"/>
      <c r="CF210" s="21"/>
    </row>
    <row r="211" customFormat="false" ht="15" hidden="false" customHeight="true" outlineLevel="0" collapsed="false">
      <c r="B211" s="71" t="s">
        <v>376</v>
      </c>
      <c r="C211" s="72" t="n">
        <f aca="false">IF(ISNUMBER(C192),C192+C193,"")</f>
        <v>-17.098</v>
      </c>
      <c r="D211" s="72" t="n">
        <f aca="false">IF(ISNUMBER(D192),D192+D193,"")</f>
        <v>-49.215</v>
      </c>
      <c r="E211" s="72" t="n">
        <f aca="false">IF(ISNUMBER(E192),E192+E193,"")</f>
        <v>54.531</v>
      </c>
      <c r="F211" s="72" t="n">
        <f aca="false">IF(ISNUMBER(F192),F192+F193,"")</f>
        <v>5.727</v>
      </c>
      <c r="G211" s="72" t="n">
        <f aca="false">IF(ISNUMBER(G192),G192+G193,"")</f>
        <v>19.571</v>
      </c>
      <c r="H211" s="72" t="n">
        <f aca="false">IF(ISNUMBER(H192),H192+H193,"")</f>
        <v>-12.651</v>
      </c>
      <c r="I211" s="72" t="n">
        <f aca="false">IF(ISNUMBER(I192),I192+I193,"")</f>
        <v>14.555</v>
      </c>
      <c r="J211" s="72" t="n">
        <f aca="false">IF(ISNUMBER(J192),J192+J193,"")</f>
        <v>0.293</v>
      </c>
      <c r="K211" s="72" t="n">
        <f aca="false">IF(ISNUMBER(K192),K192+K193,"")</f>
        <v>-40.403</v>
      </c>
      <c r="L211" s="72" t="n">
        <f aca="false">IF(ISNUMBER(L192),L192+L193,"")</f>
        <v>6.86799999999999</v>
      </c>
      <c r="M211" s="72" t="n">
        <f aca="false">IF(ISNUMBER(M192),M192+M193,"")</f>
        <v>8.196</v>
      </c>
      <c r="N211" s="72" t="n">
        <f aca="false">IF(ISNUMBER(N192),N192+N193,"")</f>
        <v>-25.046</v>
      </c>
      <c r="O211" s="72" t="n">
        <f aca="false">IF(ISNUMBER(O192),O192+O193,"")</f>
        <v>-4.26</v>
      </c>
      <c r="P211" s="72" t="n">
        <f aca="false">IF(ISNUMBER(P192),P192+P193,"")</f>
        <v>-15.942</v>
      </c>
      <c r="Q211" s="72" t="n">
        <f aca="false">IF(ISNUMBER(Q192),Q192+Q193,"")</f>
        <v>32.446</v>
      </c>
      <c r="R211" s="72" t="n">
        <f aca="false">IF(ISNUMBER(R192),R192+R193,"")</f>
        <v>-7.82399999999999</v>
      </c>
      <c r="S211" s="72" t="n">
        <f aca="false">IF(ISNUMBER(S192),S192+S193,"")</f>
        <v>4.42</v>
      </c>
      <c r="T211" s="72" t="n">
        <f aca="false">IF(ISNUMBER(T192),T192+T193,"")</f>
        <v>-3.904</v>
      </c>
      <c r="U211" s="72" t="n">
        <f aca="false">IF(ISNUMBER(U192),U192+U193,"")</f>
        <v>14.483</v>
      </c>
      <c r="V211" s="72" t="n">
        <f aca="false">IF(ISNUMBER(V192),V192+V193,"")</f>
        <v>34.624</v>
      </c>
      <c r="W211" s="72" t="n">
        <f aca="false">IF(ISNUMBER(W192),W192+W193,"")</f>
        <v>11.012</v>
      </c>
      <c r="X211" s="72" t="n">
        <f aca="false">IF(ISNUMBER(X192),X192+X193,"")</f>
        <v>56.215</v>
      </c>
      <c r="Y211" s="72" t="n">
        <f aca="false">IF(ISNUMBER(Y192),Y192+Y193,"")</f>
        <v>-37.689</v>
      </c>
      <c r="Z211" s="72" t="n">
        <f aca="false">IF(ISNUMBER(Z192),Z192+Z193,"")</f>
        <v>1.363</v>
      </c>
      <c r="AA211" s="72" t="n">
        <f aca="false">IF(ISNUMBER(AA192),AA192+AA193,"")</f>
        <v>45.114</v>
      </c>
      <c r="AB211" s="72" t="n">
        <f aca="false">IF(ISNUMBER(AB192),AB192+AB193,"")</f>
        <v>17.623</v>
      </c>
      <c r="AC211" s="72" t="n">
        <f aca="false">IF(ISNUMBER(AC192),AC192+AC193,"")</f>
        <v>26.411</v>
      </c>
      <c r="AD211" s="72" t="n">
        <f aca="false">IF(ISNUMBER(AD192),AD192+AD193,"")</f>
        <v>-64.26</v>
      </c>
      <c r="AE211" s="72" t="n">
        <f aca="false">IF(ISNUMBER(AE192),AE192+AE193,"")</f>
        <v>16.247</v>
      </c>
      <c r="AF211" s="72" t="n">
        <f aca="false">IF(ISNUMBER(AF192),AF192+AF193,"")</f>
        <v>20.074</v>
      </c>
      <c r="AG211" s="72" t="n">
        <f aca="false">IF(ISNUMBER(AG192),AG192+AG193,"")</f>
        <v>-0.911000000000001</v>
      </c>
      <c r="AH211" s="72" t="n">
        <f aca="false">IF(ISNUMBER(AH192),AH192+AH193,"")</f>
        <v>-28.85</v>
      </c>
      <c r="AI211" s="72" t="n">
        <f aca="false">IF(ISNUMBER(AI192),AI192+AI193,"")</f>
        <v>-11.379</v>
      </c>
      <c r="AJ211" s="72" t="n">
        <f aca="false">IF(ISNUMBER(AJ192),AJ192+AJ193,"")</f>
        <v>4.92399999999999</v>
      </c>
      <c r="AK211" s="72" t="n">
        <f aca="false">IF(ISNUMBER(AK192),AK192+AK193,"")</f>
        <v>38.348</v>
      </c>
      <c r="AL211" s="72" t="n">
        <f aca="false">IF(ISNUMBER(AL192),AL192+AL193,"")</f>
        <v>0.870999999999981</v>
      </c>
      <c r="AM211" s="72" t="n">
        <f aca="false">IF(ISNUMBER(AM192),AM192+AM193,"")</f>
        <v>32.764</v>
      </c>
      <c r="AN211" s="72" t="n">
        <f aca="false">IF(ISNUMBER(AN192),AN192+AN193,"")</f>
        <v>-26.341</v>
      </c>
      <c r="AO211" s="72" t="n">
        <f aca="false">IF(ISNUMBER(AO192),AO192+AO193,"")</f>
        <v>-26.519</v>
      </c>
      <c r="AP211" s="72" t="n">
        <f aca="false">IF(ISNUMBER(AP192),AP192+AP193,"")</f>
        <v>14.955</v>
      </c>
      <c r="AQ211" s="72" t="n">
        <f aca="false">IF(ISNUMBER(AQ192),AQ192+AQ193,"")</f>
        <v>23.126</v>
      </c>
      <c r="AR211" s="72" t="n">
        <f aca="false">IF(ISNUMBER(AR192),AR192+AR193,"")</f>
        <v>-14.779</v>
      </c>
      <c r="AS211" s="72" t="n">
        <f aca="false">IF(ISNUMBER(AS192),AS192+AS193,"")</f>
        <v>-56.324</v>
      </c>
      <c r="AT211" s="72" t="n">
        <f aca="false">IF(ISNUMBER(AT192),AT192+AT193,"")</f>
        <v>55.692</v>
      </c>
      <c r="AU211" s="72" t="n">
        <f aca="false">IF(ISNUMBER(AU192),AU192+AU193,"")</f>
        <v>34.286</v>
      </c>
      <c r="AV211" s="72" t="n">
        <f aca="false">IF(ISNUMBER(AV192),AV192+AV193,"")</f>
        <v>44.349</v>
      </c>
      <c r="AW211" s="72" t="n">
        <f aca="false">IF(ISNUMBER(AW192),AW192+AW193,"")</f>
        <v>78.003</v>
      </c>
      <c r="AX211" s="72" t="n">
        <f aca="false">IF(ISNUMBER(AX192),AX192+AX193,"")</f>
        <v>35.403</v>
      </c>
      <c r="AY211" s="72" t="n">
        <f aca="false">IF(ISNUMBER(AY192),AY192+AY193,"")</f>
        <v>4.53499999999998</v>
      </c>
      <c r="AZ211" s="72" t="n">
        <f aca="false">IF(ISNUMBER(AZ192),AZ192+AZ193,"")</f>
        <v>72.864</v>
      </c>
      <c r="BA211" s="72" t="n">
        <f aca="false">IF(ISNUMBER(BA192),BA192+BA193,"")</f>
        <v>-15.956</v>
      </c>
      <c r="BB211" s="72" t="n">
        <f aca="false">IF(ISNUMBER(BB192),BB192+BB193,"")</f>
        <v>96.846</v>
      </c>
      <c r="BC211" s="72" t="n">
        <f aca="false">IF(ISNUMBER(BC192),BC192+BC193,"")</f>
        <v>49.702</v>
      </c>
      <c r="BD211" s="72" t="n">
        <f aca="false">IF(ISNUMBER(BD192),BD192+BD193,"")</f>
        <v>1.852</v>
      </c>
      <c r="BE211" s="72" t="n">
        <f aca="false">IF(ISNUMBER(BE192),BE192+BE193,"")</f>
        <v>13.463</v>
      </c>
      <c r="BF211" s="72" t="n">
        <f aca="false">IF(ISNUMBER(BF192),BF192+BF193,"")</f>
        <v>40.58</v>
      </c>
      <c r="BG211" s="72" t="n">
        <f aca="false">IF(ISNUMBER(BG192),BG192+BG193,"")</f>
        <v>105.597</v>
      </c>
      <c r="BH211" s="72" t="n">
        <f aca="false">IF(ISNUMBER(BH192),BH192+BH193,"")</f>
        <v>-9.145</v>
      </c>
      <c r="BI211" s="72" t="n">
        <f aca="false">IF(ISNUMBER(BI192),BI192+BI193,"")</f>
        <v>73.528</v>
      </c>
      <c r="BJ211" s="72" t="n">
        <f aca="false">IF(ISNUMBER(BJ192),BJ192+BJ193,"")</f>
        <v>11.357</v>
      </c>
      <c r="BK211" s="72" t="n">
        <f aca="false">IF(ISNUMBER(BK192),BK192+BK193,"")</f>
        <v>62.3260000000001</v>
      </c>
      <c r="BL211" s="72" t="n">
        <f aca="false">IF(ISNUMBER(BL192),BL192+BL193,"")</f>
        <v>138.066</v>
      </c>
      <c r="BM211" s="72" t="n">
        <f aca="false">IF(ISNUMBER(BM192),BM192+BM193,"")</f>
        <v>-350.696</v>
      </c>
      <c r="BN211" s="72" t="n">
        <f aca="false">IF(ISNUMBER(BN192),BN192+BN193,"")</f>
        <v>-93.981</v>
      </c>
      <c r="BO211" s="72" t="n">
        <f aca="false">IF(ISNUMBER(BO192),BO192+BO193,"")</f>
        <v>-11.662</v>
      </c>
      <c r="BP211" s="72" t="n">
        <f aca="false">IF(ISNUMBER(BP192),BP192+BP193,"")</f>
        <v>-3.51599999999999</v>
      </c>
      <c r="BQ211" s="72" t="n">
        <f aca="false">IF(ISNUMBER(BQ192),BQ192+BQ193,"")</f>
        <v>-459.855</v>
      </c>
      <c r="BR211" s="72" t="n">
        <f aca="false">IF(ISNUMBER(BR192),BR192+BR193,"")</f>
        <v>-93.816</v>
      </c>
      <c r="BS211" s="72" t="n">
        <f aca="false">IF(ISNUMBER(BS192),BS192+BS193,"")</f>
        <v>-3.90900000000002</v>
      </c>
      <c r="BT211" s="72" t="n">
        <f aca="false">IF(ISNUMBER(BT192),BT192+BT193,"")</f>
        <v>87.576</v>
      </c>
      <c r="BU211" s="72" t="n">
        <f aca="false">IF(ISNUMBER(BU192),BU192+BU193,"")</f>
        <v>37.4829999999999</v>
      </c>
      <c r="BV211" s="72" t="n">
        <f aca="false">IF(ISNUMBER(BV192),BV192+BV193,"")</f>
        <v>27.3339999999999</v>
      </c>
      <c r="BW211" s="72" t="n">
        <f aca="false">IF(ISNUMBER(BW192),BW192+BW193,"")</f>
        <v>73.518</v>
      </c>
      <c r="BX211" s="72" t="n">
        <f aca="false">IF(ISNUMBER(BX192),BX192+BX193,"")</f>
        <v>56.65</v>
      </c>
      <c r="BY211" s="106"/>
      <c r="BZ211" s="106"/>
      <c r="CA211" s="72" t="n">
        <f aca="false">CA192+CA193</f>
        <v>200.732543829036</v>
      </c>
      <c r="CB211" s="72" t="n">
        <f aca="false">CB192+CB193</f>
        <v>274.034986932123</v>
      </c>
      <c r="CC211" s="72" t="n">
        <f aca="false">CC192+CC193</f>
        <v>297.49462287463</v>
      </c>
      <c r="CD211" s="72" t="n">
        <f aca="false">CD192+CD193</f>
        <v>273.168904279493</v>
      </c>
      <c r="CE211" s="72" t="n">
        <f aca="false">CE192+CE193</f>
        <v>319.376887499386</v>
      </c>
      <c r="CF211" s="21" t="s">
        <v>377</v>
      </c>
      <c r="CH211" s="31" t="n">
        <f aca="false">IFERROR((CE211/BV211)^(1/5)-1,"n/m")</f>
        <v>0.63500866572908</v>
      </c>
      <c r="CI211" s="31" t="n">
        <f aca="false">IFERROR((BV211/AW211)^(1/5)-1,"n/m")</f>
        <v>-0.189191343354242</v>
      </c>
      <c r="CJ211" s="31" t="n">
        <f aca="false">IFERROR((BV211/X211)^(1/10)-1,"n/m")</f>
        <v>-0.0695670166313799</v>
      </c>
      <c r="CK211" s="31" t="n">
        <f aca="false">IFERROR((BV211/C211)^(1/19)-1,"n/m")</f>
        <v>-2.02500055089565</v>
      </c>
    </row>
    <row r="212" customFormat="false" ht="15" hidden="false" customHeight="true" outlineLevel="0" collapsed="false">
      <c r="B212" s="27" t="s">
        <v>378</v>
      </c>
      <c r="C212" s="28"/>
      <c r="D212" s="29" t="n">
        <f aca="false">IF(AND(ISNUMBER(D211),ISNUMBER(C211)),IFERROR(D211/C211-1,""),"")</f>
        <v>1.87840683120833</v>
      </c>
      <c r="E212" s="29" t="n">
        <f aca="false">IF(AND(ISNUMBER(E211),ISNUMBER(D211)),IFERROR(E211/D211-1,""),"")</f>
        <v>-2.10801584882658</v>
      </c>
      <c r="F212" s="29" t="n">
        <f aca="false">IF(AND(ISNUMBER(F211),ISNUMBER(E211)),IFERROR(F211/E211-1,""),"")</f>
        <v>-0.894977168949772</v>
      </c>
      <c r="G212" s="29" t="n">
        <f aca="false">IF(AND(ISNUMBER(G211),ISNUMBER(F211)),IFERROR(G211/F211-1,""),"")</f>
        <v>2.41732145975205</v>
      </c>
      <c r="H212" s="29" t="n">
        <f aca="false">IF(AND(ISNUMBER(H211),ISNUMBER(G211)),IFERROR(H211/G211-1,""),"")</f>
        <v>-1.64641561494047</v>
      </c>
      <c r="I212" s="29" t="n">
        <f aca="false">IF(AND(ISNUMBER(I211),ISNUMBER(H211)),IFERROR(I211/H211-1,""),"")</f>
        <v>-2.1505019366058</v>
      </c>
      <c r="J212" s="28"/>
      <c r="K212" s="28"/>
      <c r="L212" s="28"/>
      <c r="M212" s="28"/>
      <c r="N212" s="29" t="n">
        <f aca="false">IF(AND(ISNUMBER(N211),ISNUMBER(I211)),IFERROR(N211/I211-1,""),"")</f>
        <v>-2.72078323600138</v>
      </c>
      <c r="O212" s="29" t="n">
        <f aca="false">IF(AND(ISNUMBER(O211),ISNUMBER(J211)),IFERROR(O211/J211-1,""),"")</f>
        <v>-15.5392491467577</v>
      </c>
      <c r="P212" s="29" t="n">
        <f aca="false">IF(AND(ISNUMBER(P211),ISNUMBER(K211)),IFERROR(P211/K211-1,""),"")</f>
        <v>-0.605425339702497</v>
      </c>
      <c r="Q212" s="29" t="n">
        <f aca="false">IF(AND(ISNUMBER(Q211),ISNUMBER(L211)),IFERROR(Q211/L211-1,""),"")</f>
        <v>3.72422830518347</v>
      </c>
      <c r="R212" s="29" t="n">
        <f aca="false">IF(AND(ISNUMBER(R211),ISNUMBER(M211)),IFERROR(R211/M211-1,""),"")</f>
        <v>-1.95461200585651</v>
      </c>
      <c r="S212" s="29" t="n">
        <f aca="false">IF(AND(ISNUMBER(S211),ISNUMBER(N211)),IFERROR(S211/N211-1,""),"")</f>
        <v>-1.17647528547473</v>
      </c>
      <c r="T212" s="29" t="n">
        <f aca="false">IF(AND(ISNUMBER(T211),ISNUMBER(O211)),IFERROR(T211/O211-1,""),"")</f>
        <v>-0.0835680751173709</v>
      </c>
      <c r="U212" s="29" t="n">
        <f aca="false">IF(AND(ISNUMBER(U211),ISNUMBER(P211)),IFERROR(U211/P211-1,""),"")</f>
        <v>-1.90848074269226</v>
      </c>
      <c r="V212" s="29" t="n">
        <f aca="false">IF(AND(ISNUMBER(V211),ISNUMBER(Q211)),IFERROR(V211/Q211-1,""),"")</f>
        <v>0.0671269185723968</v>
      </c>
      <c r="W212" s="29" t="n">
        <f aca="false">IF(AND(ISNUMBER(W211),ISNUMBER(R211)),IFERROR(W211/R211-1,""),"")</f>
        <v>-2.40746421267894</v>
      </c>
      <c r="X212" s="29" t="n">
        <f aca="false">IF(AND(ISNUMBER(X211),ISNUMBER(S211)),IFERROR(X211/S211-1,""),"")</f>
        <v>11.7183257918552</v>
      </c>
      <c r="Y212" s="29" t="n">
        <f aca="false">IF(AND(ISNUMBER(Y211),ISNUMBER(T211)),IFERROR(Y211/T211-1,""),"")</f>
        <v>8.65394467213115</v>
      </c>
      <c r="Z212" s="29" t="n">
        <f aca="false">IF(AND(ISNUMBER(Z211),ISNUMBER(U211)),IFERROR(Z211/U211-1,""),"")</f>
        <v>-0.9058896637437</v>
      </c>
      <c r="AA212" s="29" t="n">
        <f aca="false">IF(AND(ISNUMBER(AA211),ISNUMBER(V211)),IFERROR(AA211/V211-1,""),"")</f>
        <v>0.302969038817006</v>
      </c>
      <c r="AB212" s="29" t="n">
        <f aca="false">IF(AND(ISNUMBER(AB211),ISNUMBER(W211)),IFERROR(AB211/W211-1,""),"")</f>
        <v>0.600345078096622</v>
      </c>
      <c r="AC212" s="29" t="n">
        <f aca="false">IF(AND(ISNUMBER(AC211),ISNUMBER(X211)),IFERROR(AC211/X211-1,""),"")</f>
        <v>-0.530178777906253</v>
      </c>
      <c r="AD212" s="29" t="n">
        <f aca="false">IF(AND(ISNUMBER(AD211),ISNUMBER(Y211)),IFERROR(AD211/Y211-1,""),"")</f>
        <v>0.705006765899865</v>
      </c>
      <c r="AE212" s="29" t="n">
        <f aca="false">IF(AND(ISNUMBER(AE211),ISNUMBER(Z211)),IFERROR(AE211/Z211-1,""),"")</f>
        <v>10.9200293470286</v>
      </c>
      <c r="AF212" s="29" t="n">
        <f aca="false">IF(AND(ISNUMBER(AF211),ISNUMBER(AA211)),IFERROR(AF211/AA211-1,""),"")</f>
        <v>-0.555038347297956</v>
      </c>
      <c r="AG212" s="29" t="n">
        <f aca="false">IF(AND(ISNUMBER(AG211),ISNUMBER(AB211)),IFERROR(AG211/AB211-1,""),"")</f>
        <v>-1.05169380922658</v>
      </c>
      <c r="AH212" s="29" t="n">
        <f aca="false">IF(AND(ISNUMBER(AH211),ISNUMBER(AC211)),IFERROR(AH211/AC211-1,""),"")</f>
        <v>-2.0923478853508</v>
      </c>
      <c r="AI212" s="29" t="n">
        <f aca="false">IF(AND(ISNUMBER(AI211),ISNUMBER(AD211)),IFERROR(AI211/AD211-1,""),"")</f>
        <v>-0.822922502334267</v>
      </c>
      <c r="AJ212" s="29" t="n">
        <f aca="false">IF(AND(ISNUMBER(AJ211),ISNUMBER(AE211)),IFERROR(AJ211/AE211-1,""),"")</f>
        <v>-0.696928663753309</v>
      </c>
      <c r="AK212" s="29" t="n">
        <f aca="false">IF(AND(ISNUMBER(AK211),ISNUMBER(AF211)),IFERROR(AK211/AF211-1,""),"")</f>
        <v>0.910331772441964</v>
      </c>
      <c r="AL212" s="29" t="n">
        <f aca="false">IF(AND(ISNUMBER(AL211),ISNUMBER(AG211)),IFERROR(AL211/AG211-1,""),"")</f>
        <v>-1.95609220636661</v>
      </c>
      <c r="AM212" s="29" t="n">
        <f aca="false">IF(AND(ISNUMBER(AM211),ISNUMBER(AH211)),IFERROR(AM211/AH211-1,""),"")</f>
        <v>-2.13566724436742</v>
      </c>
      <c r="AN212" s="29" t="n">
        <f aca="false">IF(AND(ISNUMBER(AN211),ISNUMBER(AI211)),IFERROR(AN211/AI211-1,""),"")</f>
        <v>1.31487828455928</v>
      </c>
      <c r="AO212" s="29" t="n">
        <f aca="false">IF(AND(ISNUMBER(AO211),ISNUMBER(AJ211)),IFERROR(AO211/AJ211-1,""),"")</f>
        <v>-6.38566206336313</v>
      </c>
      <c r="AP212" s="29" t="n">
        <f aca="false">IF(AND(ISNUMBER(AP211),ISNUMBER(AK211)),IFERROR(AP211/AK211-1,""),"")</f>
        <v>-0.610018775425055</v>
      </c>
      <c r="AQ212" s="29" t="n">
        <f aca="false">IF(AND(ISNUMBER(AQ211),ISNUMBER(AL211)),IFERROR(AQ211/AL211-1,""),"")</f>
        <v>25.551090700345</v>
      </c>
      <c r="AR212" s="29" t="n">
        <f aca="false">IF(AND(ISNUMBER(AR211),ISNUMBER(AM211)),IFERROR(AR211/AM211-1,""),"")</f>
        <v>-1.45107434989623</v>
      </c>
      <c r="AS212" s="29" t="n">
        <f aca="false">IF(AND(ISNUMBER(AS211),ISNUMBER(AN211)),IFERROR(AS211/AN211-1,""),"")</f>
        <v>1.1382635435253</v>
      </c>
      <c r="AT212" s="29" t="n">
        <f aca="false">IF(AND(ISNUMBER(AT211),ISNUMBER(AO211)),IFERROR(AT211/AO211-1,""),"")</f>
        <v>-3.10007918850635</v>
      </c>
      <c r="AU212" s="29" t="n">
        <f aca="false">IF(AND(ISNUMBER(AU211),ISNUMBER(AP211)),IFERROR(AU211/AP211-1,""),"")</f>
        <v>1.29261116683384</v>
      </c>
      <c r="AV212" s="29" t="n">
        <f aca="false">IF(AND(ISNUMBER(AV211),ISNUMBER(AQ211)),IFERROR(AV211/AQ211-1,""),"")</f>
        <v>0.917711666522527</v>
      </c>
      <c r="AW212" s="29" t="n">
        <f aca="false">IF(AND(ISNUMBER(AW211),ISNUMBER(AR211)),IFERROR(AW211/AR211-1,""),"")</f>
        <v>-6.2779619730699</v>
      </c>
      <c r="AX212" s="29" t="n">
        <f aca="false">IF(AND(ISNUMBER(AX211),ISNUMBER(AS211)),IFERROR(AX211/AS211-1,""),"")</f>
        <v>-1.62855976138058</v>
      </c>
      <c r="AY212" s="29" t="n">
        <f aca="false">IF(AND(ISNUMBER(AY211),ISNUMBER(AT211)),IFERROR(AY211/AT211-1,""),"")</f>
        <v>-0.918569992099404</v>
      </c>
      <c r="AZ212" s="29" t="n">
        <f aca="false">IF(AND(ISNUMBER(AZ211),ISNUMBER(AU211)),IFERROR(AZ211/AU211-1,""),"")</f>
        <v>1.12518229014758</v>
      </c>
      <c r="BA212" s="29" t="n">
        <f aca="false">IF(AND(ISNUMBER(BA211),ISNUMBER(AV211)),IFERROR(BA211/AV211-1,""),"")</f>
        <v>-1.35978263320481</v>
      </c>
      <c r="BB212" s="29" t="n">
        <f aca="false">IF(AND(ISNUMBER(BB211),ISNUMBER(AW211)),IFERROR(BB211/AW211-1,""),"")</f>
        <v>0.241567632014154</v>
      </c>
      <c r="BC212" s="29" t="n">
        <f aca="false">IF(AND(ISNUMBER(BC211),ISNUMBER(AX211)),IFERROR(BC211/AX211-1,""),"")</f>
        <v>0.403892325509138</v>
      </c>
      <c r="BD212" s="29" t="n">
        <f aca="false">IF(AND(ISNUMBER(BD211),ISNUMBER(AY211)),IFERROR(BD211/AY211-1,""),"")</f>
        <v>-0.591620727673647</v>
      </c>
      <c r="BE212" s="29" t="n">
        <f aca="false">IF(AND(ISNUMBER(BE211),ISNUMBER(AZ211)),IFERROR(BE211/AZ211-1,""),"")</f>
        <v>-0.815231115502855</v>
      </c>
      <c r="BF212" s="29" t="n">
        <f aca="false">IF(AND(ISNUMBER(BF211),ISNUMBER(BA211)),IFERROR(BF211/BA211-1,""),"")</f>
        <v>-3.54324392078216</v>
      </c>
      <c r="BG212" s="29" t="n">
        <f aca="false">IF(AND(ISNUMBER(BG211),ISNUMBER(BB211)),IFERROR(BG211/BB211-1,""),"")</f>
        <v>0.0903599529149375</v>
      </c>
      <c r="BH212" s="29" t="n">
        <f aca="false">IF(AND(ISNUMBER(BH211),ISNUMBER(BC211)),IFERROR(BH211/BC211-1,""),"")</f>
        <v>-1.18399661985433</v>
      </c>
      <c r="BI212" s="29" t="n">
        <f aca="false">IF(AND(ISNUMBER(BI211),ISNUMBER(BD211)),IFERROR(BI211/BD211-1,""),"")</f>
        <v>38.7019438444924</v>
      </c>
      <c r="BJ212" s="29" t="n">
        <f aca="false">IF(AND(ISNUMBER(BJ211),ISNUMBER(BE211)),IFERROR(BJ211/BE211-1,""),"")</f>
        <v>-0.156428730594965</v>
      </c>
      <c r="BK212" s="29" t="n">
        <f aca="false">IF(AND(ISNUMBER(BK211),ISNUMBER(BF211)),IFERROR(BK211/BF211-1,""),"")</f>
        <v>0.535879743716117</v>
      </c>
      <c r="BL212" s="29" t="n">
        <f aca="false">IF(AND(ISNUMBER(BL211),ISNUMBER(BG211)),IFERROR(BL211/BG211-1,""),"")</f>
        <v>0.307480326145629</v>
      </c>
      <c r="BM212" s="29" t="n">
        <f aca="false">IF(AND(ISNUMBER(BM211),ISNUMBER(BH211)),IFERROR(BM211/BH211-1,""),"")</f>
        <v>37.3483870967742</v>
      </c>
      <c r="BN212" s="29" t="n">
        <f aca="false">IF(AND(ISNUMBER(BN211),ISNUMBER(BI211)),IFERROR(BN211/BI211-1,""),"")</f>
        <v>-2.2781661407899</v>
      </c>
      <c r="BO212" s="29" t="n">
        <f aca="false">IF(AND(ISNUMBER(BO211),ISNUMBER(BJ211)),IFERROR(BO211/BJ211-1,""),"")</f>
        <v>-2.02685568371929</v>
      </c>
      <c r="BP212" s="29" t="n">
        <f aca="false">IF(AND(ISNUMBER(BP211),ISNUMBER(BK211)),IFERROR(BP211/BK211-1,""),"")</f>
        <v>-1.05641305394217</v>
      </c>
      <c r="BQ212" s="29" t="n">
        <f aca="false">IF(AND(ISNUMBER(BQ211),ISNUMBER(BL211)),IFERROR(BQ211/BL211-1,""),"")</f>
        <v>-4.33068967015775</v>
      </c>
      <c r="BR212" s="29" t="n">
        <f aca="false">IF(AND(ISNUMBER(BR211),ISNUMBER(BM211)),IFERROR(BR211/BM211-1,""),"")</f>
        <v>-0.732486255902548</v>
      </c>
      <c r="BS212" s="29" t="n">
        <f aca="false">IF(AND(ISNUMBER(BS211),ISNUMBER(BN211)),IFERROR(BS211/BN211-1,""),"")</f>
        <v>-0.958406486417467</v>
      </c>
      <c r="BT212" s="29" t="n">
        <f aca="false">IF(AND(ISNUMBER(BT211),ISNUMBER(BO211)),IFERROR(BT211/BO211-1,""),"")</f>
        <v>-8.50951809295146</v>
      </c>
      <c r="BU212" s="29" t="n">
        <f aca="false">IF(AND(ISNUMBER(BU211),ISNUMBER(BP211)),IFERROR(BU211/BP211-1,""),"")</f>
        <v>-11.6606939704209</v>
      </c>
      <c r="BV212" s="29" t="n">
        <f aca="false">IF(AND(ISNUMBER(BV211),ISNUMBER(BQ211)),IFERROR(BV211/BQ211-1,""),"")</f>
        <v>-1.05944047580216</v>
      </c>
      <c r="BW212" s="29" t="n">
        <f aca="false">IF(AND(ISNUMBER(BW211),ISNUMBER(BR211)),IFERROR(BW211/BR211-1,""),"")</f>
        <v>-1.78364031721668</v>
      </c>
      <c r="BX212" s="29" t="n">
        <f aca="false">IF(AND(ISNUMBER(BX211),ISNUMBER(BS211)),IFERROR(BX211/BS211-1,""),"")</f>
        <v>-15.4921974929649</v>
      </c>
      <c r="BY212" s="53"/>
      <c r="BZ212" s="53"/>
      <c r="CA212" s="30" t="n">
        <f aca="false">IF(AND(ISNUMBER(CA211),ISNUMBER(BV211)),IFERROR(CA211/BV211-1,""),"")</f>
        <v>6.34369444022232</v>
      </c>
      <c r="CB212" s="30" t="n">
        <f aca="false">IF(AND(ISNUMBER(CB211),ISNUMBER(CA211)),IFERROR(CB211/CA211-1,""),"")</f>
        <v>0.365174683211896</v>
      </c>
      <c r="CC212" s="30" t="n">
        <f aca="false">IF(AND(ISNUMBER(CC211),ISNUMBER(CB211)),IFERROR(CC211/CB211-1,""),"")</f>
        <v>0.0856081780109288</v>
      </c>
      <c r="CD212" s="30" t="n">
        <f aca="false">IF(AND(ISNUMBER(CD211),ISNUMBER(CC211)),IFERROR(CD211/CC211-1,""),"")</f>
        <v>-0.0817685992441926</v>
      </c>
      <c r="CE212" s="30" t="n">
        <f aca="false">IF(AND(ISNUMBER(CE211),ISNUMBER(CD211)),IFERROR(CE211/CD211-1,""),"")</f>
        <v>0.169155355884195</v>
      </c>
      <c r="CF212" s="21"/>
    </row>
    <row r="213" customFormat="false" ht="15" hidden="false" customHeight="true" outlineLevel="0" collapsed="false">
      <c r="B213" s="22" t="s">
        <v>379</v>
      </c>
      <c r="C213" s="59" t="n">
        <f aca="false">IF(ISNUMBER(C211),IFERROR(C211/C81,""),"")</f>
        <v>-0.0195464241864421</v>
      </c>
      <c r="D213" s="59" t="n">
        <f aca="false">IF(ISNUMBER(D211),IFERROR(D211/D81,""),"")</f>
        <v>-0.0504188509030112</v>
      </c>
      <c r="E213" s="59" t="n">
        <f aca="false">IF(ISNUMBER(E211),IFERROR(E211/E81,""),"")</f>
        <v>0.052921087594294</v>
      </c>
      <c r="F213" s="59" t="n">
        <f aca="false">IF(ISNUMBER(F211),IFERROR(F211/F81,""),"")</f>
        <v>0.00674446293371772</v>
      </c>
      <c r="G213" s="59" t="n">
        <f aca="false">IF(ISNUMBER(G211),IFERROR(G211/G81,""),"")</f>
        <v>0.0216814747523985</v>
      </c>
      <c r="H213" s="59" t="n">
        <f aca="false">IF(ISNUMBER(H211),IFERROR(H211/H81,""),"")</f>
        <v>-0.0122798537017192</v>
      </c>
      <c r="I213" s="59" t="n">
        <f aca="false">IF(ISNUMBER(I211),IFERROR(I211/I81,""),"")</f>
        <v>0.0132477274982047</v>
      </c>
      <c r="J213" s="59" t="n">
        <f aca="false">IF(ISNUMBER(J211),IFERROR(J211/J81,""),"")</f>
        <v>0.00107014372066692</v>
      </c>
      <c r="K213" s="59" t="n">
        <f aca="false">IF(ISNUMBER(K211),IFERROR(K211/K81,""),"")</f>
        <v>-0.138103002150008</v>
      </c>
      <c r="L213" s="59" t="n">
        <f aca="false">IF(ISNUMBER(L211),IFERROR(L211/L81,""),"")</f>
        <v>0.0234333150225018</v>
      </c>
      <c r="M213" s="59" t="n">
        <f aca="false">IF(ISNUMBER(M211),IFERROR(M211/M81,""),"")</f>
        <v>0.0293075396470651</v>
      </c>
      <c r="N213" s="59" t="n">
        <f aca="false">IF(ISNUMBER(N211),IFERROR(N211/N81,""),"")</f>
        <v>-0.0219876498339909</v>
      </c>
      <c r="O213" s="59" t="n">
        <f aca="false">IF(ISNUMBER(O211),IFERROR(O211/O81,""),"")</f>
        <v>-0.0142127915123611</v>
      </c>
      <c r="P213" s="59" t="n">
        <f aca="false">IF(ISNUMBER(P211),IFERROR(P211/P81,""),"")</f>
        <v>-0.0482507513642596</v>
      </c>
      <c r="Q213" s="59" t="n">
        <f aca="false">IF(ISNUMBER(Q211),IFERROR(Q211/Q81,""),"")</f>
        <v>0.0975690434949962</v>
      </c>
      <c r="R213" s="59" t="n">
        <f aca="false">IF(ISNUMBER(R211),IFERROR(R211/R81,""),"")</f>
        <v>-0.0252674004030383</v>
      </c>
      <c r="S213" s="59" t="n">
        <f aca="false">IF(ISNUMBER(S211),IFERROR(S211/S81,""),"")</f>
        <v>0.00347396608245875</v>
      </c>
      <c r="T213" s="59" t="n">
        <f aca="false">IF(ISNUMBER(T211),IFERROR(T211/T81,""),"")</f>
        <v>-0.013323231702739</v>
      </c>
      <c r="U213" s="59" t="n">
        <f aca="false">IF(ISNUMBER(U211),IFERROR(U211/U81,""),"")</f>
        <v>0.0447724743415358</v>
      </c>
      <c r="V213" s="59" t="n">
        <f aca="false">IF(ISNUMBER(V211),IFERROR(V211/V81,""),"")</f>
        <v>0.109155451309746</v>
      </c>
      <c r="W213" s="59" t="n">
        <f aca="false">IF(ISNUMBER(W211),IFERROR(W211/W81,""),"")</f>
        <v>0.038287959389451</v>
      </c>
      <c r="X213" s="59" t="n">
        <f aca="false">IF(ISNUMBER(X211),IFERROR(X211/X81,""),"")</f>
        <v>0.0460284071788431</v>
      </c>
      <c r="Y213" s="59" t="n">
        <f aca="false">IF(ISNUMBER(Y211),IFERROR(Y211/Y81,""),"")</f>
        <v>-0.130001966120637</v>
      </c>
      <c r="Z213" s="59" t="n">
        <f aca="false">IF(ISNUMBER(Z211),IFERROR(Z211/Z81,""),"")</f>
        <v>0.00436992032830509</v>
      </c>
      <c r="AA213" s="59" t="n">
        <f aca="false">IF(ISNUMBER(AA211),IFERROR(AA211/AA81,""),"")</f>
        <v>0.142566410274237</v>
      </c>
      <c r="AB213" s="59" t="n">
        <f aca="false">IF(ISNUMBER(AB211),IFERROR(AB211/AB81,""),"")</f>
        <v>0.0586996998897486</v>
      </c>
      <c r="AC213" s="59" t="n">
        <f aca="false">IF(ISNUMBER(AC211),IFERROR(AC211/AC81,""),"")</f>
        <v>0.0216753482409656</v>
      </c>
      <c r="AD213" s="59" t="n">
        <f aca="false">IF(ISNUMBER(AD211),IFERROR(AD211/AD81,""),"")</f>
        <v>-0.202689276015102</v>
      </c>
      <c r="AE213" s="59" t="n">
        <f aca="false">IF(ISNUMBER(AE211),IFERROR(AE211/AE81,""),"")</f>
        <v>0.0453624078624079</v>
      </c>
      <c r="AF213" s="59" t="n">
        <f aca="false">IF(ISNUMBER(AF211),IFERROR(AF211/AF81,""),"")</f>
        <v>0.0573441276116803</v>
      </c>
      <c r="AG213" s="59" t="n">
        <f aca="false">IF(ISNUMBER(AG211),IFERROR(AG211/AG81,""),"")</f>
        <v>-0.00257890281980802</v>
      </c>
      <c r="AH213" s="59" t="n">
        <f aca="false">IF(ISNUMBER(AH211),IFERROR(AH211/AH81,""),"")</f>
        <v>-0.0209283937004447</v>
      </c>
      <c r="AI213" s="59" t="n">
        <f aca="false">IF(ISNUMBER(AI211),IFERROR(AI211/AI81,""),"")</f>
        <v>-0.0289685721923092</v>
      </c>
      <c r="AJ213" s="59" t="n">
        <f aca="false">IF(ISNUMBER(AJ211),IFERROR(AJ211/AJ81,""),"")</f>
        <v>0.0114850302753235</v>
      </c>
      <c r="AK213" s="59" t="n">
        <f aca="false">IF(ISNUMBER(AK211),IFERROR(AK211/AK81,""),"")</f>
        <v>0.0901114291219611</v>
      </c>
      <c r="AL213" s="59" t="n">
        <f aca="false">IF(ISNUMBER(AL211),IFERROR(AL211/AL81,""),"")</f>
        <v>0.00214136447449289</v>
      </c>
      <c r="AM213" s="59" t="n">
        <f aca="false">IF(ISNUMBER(AM211),IFERROR(AM211/AM81,""),"")</f>
        <v>0.0198107566047444</v>
      </c>
      <c r="AN213" s="59" t="n">
        <f aca="false">IF(ISNUMBER(AN211),IFERROR(AN211/AN81,""),"")</f>
        <v>-0.0641549597646279</v>
      </c>
      <c r="AO213" s="59" t="n">
        <f aca="false">IF(ISNUMBER(AO211),IFERROR(AO211/AO81,""),"")</f>
        <v>-0.0571290082831569</v>
      </c>
      <c r="AP213" s="59" t="n">
        <f aca="false">IF(ISNUMBER(AP211),IFERROR(AP211/AP81,""),"")</f>
        <v>0.0318944061626263</v>
      </c>
      <c r="AQ213" s="59" t="n">
        <f aca="false">IF(ISNUMBER(AQ211),IFERROR(AQ211/AQ81,""),"")</f>
        <v>0.0521955017886766</v>
      </c>
      <c r="AR213" s="59" t="n">
        <f aca="false">IF(ISNUMBER(AR211),IFERROR(AR211/AR81,""),"")</f>
        <v>-0.00827151200373866</v>
      </c>
      <c r="AS213" s="59" t="n">
        <f aca="false">IF(ISNUMBER(AS211),IFERROR(AS211/AS81,""),"")</f>
        <v>-0.126174965725499</v>
      </c>
      <c r="AT213" s="59" t="n">
        <f aca="false">IF(ISNUMBER(AT211),IFERROR(AT211/AT81,""),"")</f>
        <v>0.133198122999947</v>
      </c>
      <c r="AU213" s="59" t="n">
        <f aca="false">IF(ISNUMBER(AU211),IFERROR(AU211/AU81,""),"")</f>
        <v>0.0712252842903855</v>
      </c>
      <c r="AV213" s="59" t="n">
        <f aca="false">IF(ISNUMBER(AV211),IFERROR(AV211/AV81,""),"")</f>
        <v>0.0930759189224356</v>
      </c>
      <c r="AW213" s="59" t="n">
        <f aca="false">IF(ISNUMBER(AW211),IFERROR(AW211/AW81,""),"")</f>
        <v>0.0428031471175384</v>
      </c>
      <c r="AX213" s="59" t="n">
        <f aca="false">IF(ISNUMBER(AX211),IFERROR(AX211/AX81,""),"")</f>
        <v>0.0731355123390225</v>
      </c>
      <c r="AY213" s="59" t="n">
        <f aca="false">IF(ISNUMBER(AY211),IFERROR(AY211/AY81,""),"")</f>
        <v>0.00793757755984685</v>
      </c>
      <c r="AZ213" s="59" t="n">
        <f aca="false">IF(ISNUMBER(AZ211),IFERROR(AZ211/AZ81,""),"")</f>
        <v>0.118244252015527</v>
      </c>
      <c r="BA213" s="59" t="n">
        <f aca="false">IF(ISNUMBER(BA211),IFERROR(BA211/BA81,""),"")</f>
        <v>-0.0258572213372312</v>
      </c>
      <c r="BB213" s="59" t="n">
        <f aca="false">IF(ISNUMBER(BB211),IFERROR(BB211/BB81,""),"")</f>
        <v>0.0423147772713291</v>
      </c>
      <c r="BC213" s="59" t="n">
        <f aca="false">IF(ISNUMBER(BC211),IFERROR(BC211/BC81,""),"")</f>
        <v>0.0751675700527513</v>
      </c>
      <c r="BD213" s="59" t="n">
        <f aca="false">IF(ISNUMBER(BD211),IFERROR(BD211/BD81,""),"")</f>
        <v>0.00248405883410189</v>
      </c>
      <c r="BE213" s="59" t="n">
        <f aca="false">IF(ISNUMBER(BE211),IFERROR(BE211/BE81,""),"")</f>
        <v>0.0184535631701804</v>
      </c>
      <c r="BF213" s="59" t="n">
        <f aca="false">IF(ISNUMBER(BF211),IFERROR(BF211/BF81,""),"")</f>
        <v>0.0618856046580432</v>
      </c>
      <c r="BG213" s="59" t="n">
        <f aca="false">IF(ISNUMBER(BG211),IFERROR(BG211/BG81,""),"")</f>
        <v>0.0378205029481848</v>
      </c>
      <c r="BH213" s="59" t="n">
        <f aca="false">IF(ISNUMBER(BH211),IFERROR(BH211/BH81,""),"")</f>
        <v>-0.0138448378965535</v>
      </c>
      <c r="BI213" s="59" t="n">
        <f aca="false">IF(ISNUMBER(BI211),IFERROR(BI211/BI81,""),"")</f>
        <v>0.105853255439649</v>
      </c>
      <c r="BJ213" s="59" t="n">
        <f aca="false">IF(ISNUMBER(BJ211),IFERROR(BJ211/BJ81,""),"")</f>
        <v>0.0146514712105106</v>
      </c>
      <c r="BK213" s="59" t="n">
        <f aca="false">IF(ISNUMBER(BK211),IFERROR(BK211/BK81,""),"")</f>
        <v>0.082976094747661</v>
      </c>
      <c r="BL213" s="59" t="n">
        <f aca="false">IF(ISNUMBER(BL211),IFERROR(BL211/BL81,""),"")</f>
        <v>0.047915741924244</v>
      </c>
      <c r="BM213" s="59" t="n">
        <f aca="false">IF(ISNUMBER(BM211),IFERROR(BM211/BM81,""),"")</f>
        <v>-0.464636481070518</v>
      </c>
      <c r="BN213" s="59" t="n">
        <f aca="false">IF(ISNUMBER(BN211),IFERROR(BN211/BN81,""),"")</f>
        <v>-0.114159350083329</v>
      </c>
      <c r="BO213" s="59" t="n">
        <f aca="false">IF(ISNUMBER(BO211),IFERROR(BO211/BO81,""),"")</f>
        <v>-0.0138486622182797</v>
      </c>
      <c r="BP213" s="59" t="n">
        <f aca="false">IF(ISNUMBER(BP211),IFERROR(BP211/BP81,""),"")</f>
        <v>-0.0044565448848599</v>
      </c>
      <c r="BQ213" s="59" t="n">
        <f aca="false">IF(ISNUMBER(BQ211),IFERROR(BQ211/BQ81,""),"")</f>
        <v>-0.143298347124435</v>
      </c>
      <c r="BR213" s="59" t="n">
        <f aca="false">IF(ISNUMBER(BR211),IFERROR(BR211/BR81,""),"")</f>
        <v>-0.119120083801543</v>
      </c>
      <c r="BS213" s="59" t="n">
        <f aca="false">IF(ISNUMBER(BS211),IFERROR(BS211/BS81,""),"")</f>
        <v>-0.00478390434638946</v>
      </c>
      <c r="BT213" s="59" t="n">
        <f aca="false">IF(ISNUMBER(BT211),IFERROR(BT211/BT81,""),"")</f>
        <v>0.104301346761246</v>
      </c>
      <c r="BU213" s="59" t="n">
        <f aca="false">IF(ISNUMBER(BU211),IFERROR(BU211/BU81,""),"")</f>
        <v>0.0474497184639066</v>
      </c>
      <c r="BV213" s="59" t="n">
        <f aca="false">IF(ISNUMBER(BV211),IFERROR(BV211/BV81,""),"")</f>
        <v>0.00845132434175578</v>
      </c>
      <c r="BW213" s="59" t="n">
        <f aca="false">IF(ISNUMBER(BW211),IFERROR(BW211/BW81,""),"")</f>
        <v>0.0911878307075187</v>
      </c>
      <c r="BX213" s="59" t="n">
        <f aca="false">IF(ISNUMBER(BX211),IFERROR(BX211/BX81,""),"")</f>
        <v>0.0592267175748097</v>
      </c>
      <c r="BY213" s="41"/>
      <c r="BZ213" s="41"/>
      <c r="CA213" s="30" t="n">
        <f aca="false">IF(AND(ISNUMBER(CA211),ISNUMBER(CA81)),IFERROR(CA211/CA81,""),"")</f>
        <v>0.0537345971932393</v>
      </c>
      <c r="CB213" s="30" t="n">
        <f aca="false">IF(AND(ISNUMBER(CB211),ISNUMBER(CB81)),IFERROR(CB211/CB81,""),"")</f>
        <v>0.0671794795023995</v>
      </c>
      <c r="CC213" s="30" t="n">
        <f aca="false">IF(AND(ISNUMBER(CC211),ISNUMBER(CC81)),IFERROR(CC211/CC81,""),"")</f>
        <v>0.0686680972804945</v>
      </c>
      <c r="CD213" s="30" t="n">
        <f aca="false">IF(AND(ISNUMBER(CD211),ISNUMBER(CD81)),IFERROR(CD211/CD81,""),"")</f>
        <v>0.0588837913018605</v>
      </c>
      <c r="CE213" s="30" t="n">
        <f aca="false">IF(AND(ISNUMBER(CE211),ISNUMBER(CE81)),IFERROR(CE211/CE81,""),"")</f>
        <v>0.0636518965169659</v>
      </c>
      <c r="CF213" s="21"/>
      <c r="CH213" s="64" t="n">
        <f aca="false">IFERROR(AVERAGE(CA213,CB213,CC213,CD213,CE213),"n/m")</f>
        <v>0.062423572358992</v>
      </c>
      <c r="CI213" s="64" t="n">
        <f aca="false">IFERROR(AVERAGE(BB213,BG213,BL213,BQ213,BV213),"n/m")</f>
        <v>-0.00135920012778433</v>
      </c>
      <c r="CJ213" s="64" t="n">
        <f aca="false">IFERROR(AVERAGE(AC213,AH213,AM213,AR213,AW213,BB213,BG213,BL213,BQ213,BV213),"n/m")</f>
        <v>0.00482933456201435</v>
      </c>
      <c r="CK213" s="64" t="n">
        <f aca="false">IFERROR(AVERAGE(C213,D213,E213,F213,G213,H213,I213,N213,S213,X213,AC213,AH213,AM213,AR213,AW213,BB213,BG213,BL213,BQ213,BV213),"n/m")</f>
        <v>0.00440788465174483</v>
      </c>
    </row>
    <row r="214" customFormat="false" ht="15" hidden="false" customHeight="true" outlineLevel="0" collapsed="false">
      <c r="B214" s="22" t="s">
        <v>380</v>
      </c>
      <c r="C214" s="59" t="n">
        <f aca="false">IF(ISNUMBER(C211),IFERROR(C211/C160,""),"")</f>
        <v>-0.602336111582869</v>
      </c>
      <c r="D214" s="59" t="n">
        <f aca="false">IF(ISNUMBER(D211),IFERROR(D211/D160,""),"")</f>
        <v>-2.6537422886218</v>
      </c>
      <c r="E214" s="59" t="n">
        <f aca="false">IF(ISNUMBER(E211),IFERROR(E211/E160,""),"")</f>
        <v>5.19572953736649</v>
      </c>
      <c r="F214" s="59" t="n">
        <f aca="false">IF(ISNUMBER(F211),IFERROR(F211/F160,""),"")</f>
        <v>-0.348866959064328</v>
      </c>
      <c r="G214" s="59" t="n">
        <f aca="false">IF(ISNUMBER(G211),IFERROR(G211/G160,""),"")</f>
        <v>10.0005109862033</v>
      </c>
      <c r="H214" s="59" t="n">
        <f aca="false">IF(ISNUMBER(H211),IFERROR(H211/H160,""),"")</f>
        <v>-1.11237140596149</v>
      </c>
      <c r="I214" s="59" t="n">
        <f aca="false">IF(ISNUMBER(I211),IFERROR(I211/I160,""),"")</f>
        <v>0.454162506240637</v>
      </c>
      <c r="J214" s="59" t="n">
        <f aca="false">IF(ISNUMBER(J211),IFERROR(J211/J160,""),"")</f>
        <v>0.0320043691971599</v>
      </c>
      <c r="K214" s="59" t="n">
        <f aca="false">IF(ISNUMBER(K211),IFERROR(K211/K160,""),"")</f>
        <v>-2.99281481481482</v>
      </c>
      <c r="L214" s="59" t="n">
        <f aca="false">IF(ISNUMBER(L211),IFERROR(L211/L160,""),"")</f>
        <v>0.532073132940814</v>
      </c>
      <c r="M214" s="59" t="n">
        <f aca="false">IF(ISNUMBER(M211),IFERROR(M211/M160,""),"")</f>
        <v>1.01636904761905</v>
      </c>
      <c r="N214" s="59" t="n">
        <f aca="false">IF(ISNUMBER(N211),IFERROR(N211/N160,""),"")</f>
        <v>-0.574094024342725</v>
      </c>
      <c r="O214" s="59" t="n">
        <f aca="false">IF(ISNUMBER(O211),IFERROR(O211/O160,""),"")</f>
        <v>-0.496735074626869</v>
      </c>
      <c r="P214" s="59" t="n">
        <f aca="false">IF(ISNUMBER(P211),IFERROR(P211/P160,""),"")</f>
        <v>-1.17497051886793</v>
      </c>
      <c r="Q214" s="59" t="n">
        <f aca="false">IF(ISNUMBER(Q211),IFERROR(Q211/Q160,""),"")</f>
        <v>1.99324241307287</v>
      </c>
      <c r="R214" s="59" t="n">
        <f aca="false">IF(ISNUMBER(R211),IFERROR(R211/R160,""),"")</f>
        <v>-0.576608445721863</v>
      </c>
      <c r="S214" s="59" t="n">
        <f aca="false">IF(ISNUMBER(S211),IFERROR(S211/S160,""),"")</f>
        <v>0.0850147140851302</v>
      </c>
      <c r="T214" s="59" t="n">
        <f aca="false">IF(ISNUMBER(T211),IFERROR(T211/T160,""),"")</f>
        <v>-0.309718365727887</v>
      </c>
      <c r="U214" s="59" t="n">
        <f aca="false">IF(ISNUMBER(U211),IFERROR(U211/U160,""),"")</f>
        <v>0.752480906115239</v>
      </c>
      <c r="V214" s="59" t="n">
        <f aca="false">IF(ISNUMBER(V211),IFERROR(V211/V160,""),"")</f>
        <v>2.93996773371824</v>
      </c>
      <c r="W214" s="59" t="n">
        <f aca="false">IF(ISNUMBER(W211),IFERROR(W211/W160,""),"")</f>
        <v>0.967067708790723</v>
      </c>
      <c r="X214" s="59" t="n">
        <f aca="false">IF(ISNUMBER(X211),IFERROR(X211/X160,""),"")</f>
        <v>1.02179366002618</v>
      </c>
      <c r="Y214" s="59" t="n">
        <f aca="false">IF(ISNUMBER(Y211),IFERROR(Y211/Y160,""),"")</f>
        <v>-3.56397163120567</v>
      </c>
      <c r="Z214" s="59" t="n">
        <f aca="false">IF(ISNUMBER(Z211),IFERROR(Z211/Z160,""),"")</f>
        <v>0.102674199623353</v>
      </c>
      <c r="AA214" s="59" t="n">
        <f aca="false">IF(ISNUMBER(AA211),IFERROR(AA211/AA160,""),"")</f>
        <v>3.26298278605526</v>
      </c>
      <c r="AB214" s="59" t="n">
        <f aca="false">IF(ISNUMBER(AB211),IFERROR(AB211/AB160,""),"")</f>
        <v>1.70303440278315</v>
      </c>
      <c r="AC214" s="59" t="n">
        <f aca="false">IF(ISNUMBER(AC211),IFERROR(AC211/AC160,""),"")</f>
        <v>0.549954189571881</v>
      </c>
      <c r="AD214" s="59" t="n">
        <f aca="false">IF(ISNUMBER(AD211),IFERROR(AD211/AD160,""),"")</f>
        <v>-5.64327742162115</v>
      </c>
      <c r="AE214" s="59" t="n">
        <f aca="false">IF(ISNUMBER(AE211),IFERROR(AE211/AE160,""),"")</f>
        <v>0.922967675964323</v>
      </c>
      <c r="AF214" s="59" t="n">
        <f aca="false">IF(ISNUMBER(AF211),IFERROR(AF211/AF160,""),"")</f>
        <v>1.39335045464011</v>
      </c>
      <c r="AG214" s="59" t="n">
        <f aca="false">IF(ISNUMBER(AG211),IFERROR(AG211/AG160,""),"")</f>
        <v>-0.065638734779163</v>
      </c>
      <c r="AH214" s="59" t="n">
        <f aca="false">IF(ISNUMBER(AH211),IFERROR(AH211/AH160,""),"")</f>
        <v>-0.505023982074711</v>
      </c>
      <c r="AI214" s="59" t="n">
        <f aca="false">IF(ISNUMBER(AI211),IFERROR(AI211/AI160,""),"")</f>
        <v>-0.538650887573963</v>
      </c>
      <c r="AJ214" s="59" t="n">
        <f aca="false">IF(ISNUMBER(AJ211),IFERROR(AJ211/AJ160,""),"")</f>
        <v>0.162610217628215</v>
      </c>
      <c r="AK214" s="59" t="n">
        <f aca="false">IF(ISNUMBER(AK211),IFERROR(AK211/AK160,""),"")</f>
        <v>1.36009930838801</v>
      </c>
      <c r="AL214" s="59" t="n">
        <f aca="false">IF(ISNUMBER(AL211),IFERROR(AL211/AL160,""),"")</f>
        <v>0.0343183609141048</v>
      </c>
      <c r="AM214" s="59" t="n">
        <f aca="false">IF(ISNUMBER(AM211),IFERROR(AM211/AM160,""),"")</f>
        <v>0.312094569493527</v>
      </c>
      <c r="AN214" s="59" t="n">
        <f aca="false">IF(ISNUMBER(AN211),IFERROR(AN211/AN160,""),"")</f>
        <v>-1.18338649535019</v>
      </c>
      <c r="AO214" s="59" t="n">
        <f aca="false">IF(ISNUMBER(AO211),IFERROR(AO211/AO160,""),"")</f>
        <v>-0.71531842580854</v>
      </c>
      <c r="AP214" s="59" t="n">
        <f aca="false">IF(ISNUMBER(AP211),IFERROR(AP211/AP160,""),"")</f>
        <v>0.45362169376365</v>
      </c>
      <c r="AQ214" s="59" t="n">
        <f aca="false">IF(ISNUMBER(AQ211),IFERROR(AQ211/AQ160,""),"")</f>
        <v>1.07969559736682</v>
      </c>
      <c r="AR214" s="59" t="n">
        <f aca="false">IF(ISNUMBER(AR211),IFERROR(AR211/AR160,""),"")</f>
        <v>-0.129960692584353</v>
      </c>
      <c r="AS214" s="59" t="n">
        <f aca="false">IF(ISNUMBER(AS211),IFERROR(AS211/AS160,""),"")</f>
        <v>-2.00362847283981</v>
      </c>
      <c r="AT214" s="59" t="n">
        <f aca="false">IF(ISNUMBER(AT211),IFERROR(AT211/AT160,""),"")</f>
        <v>1.95726435650524</v>
      </c>
      <c r="AU214" s="59" t="n">
        <f aca="false">IF(ISNUMBER(AU211),IFERROR(AU211/AU160,""),"")</f>
        <v>0.82539300416476</v>
      </c>
      <c r="AV214" s="59" t="n">
        <f aca="false">IF(ISNUMBER(AV211),IFERROR(AV211/AV160,""),"")</f>
        <v>1.10222189084402</v>
      </c>
      <c r="AW214" s="59" t="n">
        <f aca="false">IF(ISNUMBER(AW211),IFERROR(AW211/AW160,""),"")</f>
        <v>0.563849934942894</v>
      </c>
      <c r="AX214" s="59" t="n">
        <f aca="false">IF(ISNUMBER(AX211),IFERROR(AX211/AX160,""),"")</f>
        <v>0.949371161942561</v>
      </c>
      <c r="AY214" s="59" t="n">
        <f aca="false">IF(ISNUMBER(AY211),IFERROR(AY211/AY160,""),"")</f>
        <v>0.0725901975221689</v>
      </c>
      <c r="AZ214" s="59" t="n">
        <f aca="false">IF(ISNUMBER(AZ211),IFERROR(AZ211/AZ160,""),"")</f>
        <v>0.953719724807361</v>
      </c>
      <c r="BA214" s="59" t="n">
        <f aca="false">IF(ISNUMBER(BA211),IFERROR(BA211/BA160,""),"")</f>
        <v>-0.216320277653502</v>
      </c>
      <c r="BB214" s="59" t="n">
        <f aca="false">IF(ISNUMBER(BB211),IFERROR(BB211/BB160,""),"")</f>
        <v>0.387402780733785</v>
      </c>
      <c r="BC214" s="59" t="n">
        <f aca="false">IF(ISNUMBER(BC211),IFERROR(BC211/BC160,""),"")</f>
        <v>0.625780620467365</v>
      </c>
      <c r="BD214" s="59" t="n">
        <f aca="false">IF(ISNUMBER(BD211),IFERROR(BD211/BD160,""),"")</f>
        <v>0.0169527209483272</v>
      </c>
      <c r="BE214" s="59" t="n">
        <f aca="false">IF(ISNUMBER(BE211),IFERROR(BE211/BE160,""),"")</f>
        <v>0.137530518638077</v>
      </c>
      <c r="BF214" s="59" t="n">
        <f aca="false">IF(ISNUMBER(BF211),IFERROR(BF211/BF160,""),"")</f>
        <v>0.572662357822246</v>
      </c>
      <c r="BG214" s="59" t="n">
        <f aca="false">IF(ISNUMBER(BG211),IFERROR(BG211/BG160,""),"")</f>
        <v>0.295440683561729</v>
      </c>
      <c r="BH214" s="59" t="n">
        <f aca="false">IF(ISNUMBER(BH211),IFERROR(BH211/BH160,""),"")</f>
        <v>-0.120175565396796</v>
      </c>
      <c r="BI214" s="59" t="n">
        <f aca="false">IF(ISNUMBER(BI211),IFERROR(BI211/BI160,""),"")</f>
        <v>0.805177454856055</v>
      </c>
      <c r="BJ214" s="59" t="n">
        <f aca="false">IF(ISNUMBER(BJ211),IFERROR(BJ211/BJ160,""),"")</f>
        <v>0.115636422876809</v>
      </c>
      <c r="BK214" s="59" t="n">
        <f aca="false">IF(ISNUMBER(BK211),IFERROR(BK211/BK160,""),"")</f>
        <v>0.698502712153138</v>
      </c>
      <c r="BL214" s="59" t="n">
        <f aca="false">IF(ISNUMBER(BL211),IFERROR(BL211/BL160,""),"")</f>
        <v>0.389075035859515</v>
      </c>
      <c r="BM214" s="59" t="n">
        <f aca="false">IF(ISNUMBER(BM211),IFERROR(BM211/BM160,""),"")</f>
        <v>-3.86676222503997</v>
      </c>
      <c r="BN214" s="59" t="n">
        <f aca="false">IF(ISNUMBER(BN211),IFERROR(BN211/BN160,""),"")</f>
        <v>-0.916717876686272</v>
      </c>
      <c r="BO214" s="59" t="n">
        <f aca="false">IF(ISNUMBER(BO211),IFERROR(BO211/BO160,""),"")</f>
        <v>-0.125738560400224</v>
      </c>
      <c r="BP214" s="59" t="n">
        <f aca="false">IF(ISNUMBER(BP211),IFERROR(BP211/BP160,""),"")</f>
        <v>-0.0462005439995793</v>
      </c>
      <c r="BQ214" s="59" t="n">
        <f aca="false">IF(ISNUMBER(BQ211),IFERROR(BQ211/BQ160,""),"")</f>
        <v>-1.27008962479113</v>
      </c>
      <c r="BR214" s="59" t="n">
        <f aca="false">IF(ISNUMBER(BR211),IFERROR(BR211/BR160,""),"")</f>
        <v>-1.88347721341096</v>
      </c>
      <c r="BS214" s="59" t="n">
        <f aca="false">IF(ISNUMBER(BS211),IFERROR(BS211/BS160,""),"")</f>
        <v>-0.0547548010253397</v>
      </c>
      <c r="BT214" s="59" t="n">
        <f aca="false">IF(ISNUMBER(BT211),IFERROR(BT211/BT160,""),"")</f>
        <v>1.16327759471026</v>
      </c>
      <c r="BU214" s="59" t="n">
        <f aca="false">IF(ISNUMBER(BU211),IFERROR(BU211/BU160,""),"")</f>
        <v>0.788800269365936</v>
      </c>
      <c r="BV214" s="59" t="n">
        <f aca="false">IF(ISNUMBER(BV211),IFERROR(BV211/BV160,""),"")</f>
        <v>0.112014019901034</v>
      </c>
      <c r="BW214" s="59" t="n">
        <f aca="false">IF(ISNUMBER(BW211),IFERROR(BW211/BW160,""),"")</f>
        <v>1.47422246285268</v>
      </c>
      <c r="BX214" s="59" t="n">
        <f aca="false">IF(ISNUMBER(BX211),IFERROR(BX211/BX160,""),"")</f>
        <v>0.600997241671971</v>
      </c>
      <c r="BY214" s="41"/>
      <c r="BZ214" s="41"/>
      <c r="CA214" s="30" t="n">
        <f aca="false">IF(AND(ISNUMBER(CA211),ISNUMBER(CA160)),IFERROR(CA211/CA160,""),"")</f>
        <v>0.625442793784809</v>
      </c>
      <c r="CB214" s="30" t="n">
        <f aca="false">IF(AND(ISNUMBER(CB211),ISNUMBER(CB160)),IFERROR(CB211/CB160,""),"")</f>
        <v>0.686182579206353</v>
      </c>
      <c r="CC214" s="30" t="n">
        <f aca="false">IF(AND(ISNUMBER(CC211),ISNUMBER(CC160)),IFERROR(CC211/CC160,""),"")</f>
        <v>0.696792974802637</v>
      </c>
      <c r="CD214" s="30" t="n">
        <f aca="false">IF(AND(ISNUMBER(CD211),ISNUMBER(CD160)),IFERROR(CD211/CD160,""),"")</f>
        <v>0.587908384258917</v>
      </c>
      <c r="CE214" s="30" t="n">
        <f aca="false">IF(AND(ISNUMBER(CE211),ISNUMBER(CE160)),IFERROR(CE211/CE160,""),"")</f>
        <v>0.602187955801396</v>
      </c>
      <c r="CF214" s="21"/>
    </row>
    <row r="215" customFormat="false" ht="15" hidden="false" customHeight="true" outlineLevel="0" collapsed="false">
      <c r="B215" s="22" t="s">
        <v>381</v>
      </c>
      <c r="C215" s="23" t="n">
        <f aca="false">IF(ISNUMBER(C211),IFERROR(C211/C112,""),"")</f>
        <v>-0.768052467264111</v>
      </c>
      <c r="D215" s="23" t="n">
        <f aca="false">IF(ISNUMBER(D211),IFERROR(D211/D112,""),"")</f>
        <v>-2.3372275252885</v>
      </c>
      <c r="E215" s="23" t="n">
        <f aca="false">IF(ISNUMBER(E211),IFERROR(E211/E112,""),"")</f>
        <v>2.73009912886753</v>
      </c>
      <c r="F215" s="23" t="n">
        <f aca="false">IF(ISNUMBER(F211),IFERROR(F211/F112,""),"")</f>
        <v>0.284437160098339</v>
      </c>
      <c r="G215" s="23" t="n">
        <f aca="false">IF(ISNUMBER(G211),IFERROR(G211/G112,""),"")</f>
        <v>0.809639052642466</v>
      </c>
      <c r="H215" s="23" t="n">
        <f aca="false">IF(ISNUMBER(H211),IFERROR(H211/H112,""),"")</f>
        <v>-0.522682201289043</v>
      </c>
      <c r="I215" s="23" t="n">
        <f aca="false">IF(ISNUMBER(I211),IFERROR(I211/I112,""),"")</f>
        <v>0.586552217453505</v>
      </c>
      <c r="J215" s="23" t="n">
        <f aca="false">IF(ISNUMBER(J211),IFERROR(J211/J112,""),"")</f>
        <v>0.0117444284110951</v>
      </c>
      <c r="K215" s="23" t="n">
        <f aca="false">IF(ISNUMBER(K211),IFERROR(K211/K112,""),"")</f>
        <v>-1.60214925846618</v>
      </c>
      <c r="L215" s="23" t="n">
        <f aca="false">IF(ISNUMBER(L211),IFERROR(L211/L112,""),"")</f>
        <v>0.271795480628438</v>
      </c>
      <c r="M215" s="23" t="n">
        <f aca="false">IF(ISNUMBER(M211),IFERROR(M211/M112,""),"")</f>
        <v>0.324093479378386</v>
      </c>
      <c r="N215" s="23" t="n">
        <f aca="false">IF(ISNUMBER(N211),IFERROR(N211/N112,""),"")</f>
        <v>-0.99369172783178</v>
      </c>
      <c r="O215" s="23" t="n">
        <f aca="false">IF(ISNUMBER(O211),IFERROR(O211/O112,""),"")</f>
        <v>-0.16797444895706</v>
      </c>
      <c r="P215" s="23" t="n">
        <f aca="false">IF(ISNUMBER(P211),IFERROR(P211/P112,""),"")</f>
        <v>-0.626478563288403</v>
      </c>
      <c r="Q215" s="23" t="n">
        <f aca="false">IF(ISNUMBER(Q211),IFERROR(Q211/Q112,""),"")</f>
        <v>1.27214271711429</v>
      </c>
      <c r="R215" s="23" t="n">
        <f aca="false">IF(ISNUMBER(R211),IFERROR(R211/R112,""),"")</f>
        <v>-0.306043418736554</v>
      </c>
      <c r="S215" s="23" t="n">
        <f aca="false">IF(ISNUMBER(S211),IFERROR(S211/S112,""),"")</f>
        <v>0.173585202057888</v>
      </c>
      <c r="T215" s="23" t="n">
        <f aca="false">IF(ISNUMBER(T211),IFERROR(T211/T112,""),"")</f>
        <v>-0.153020029004821</v>
      </c>
      <c r="U215" s="23" t="n">
        <f aca="false">IF(ISNUMBER(U211),IFERROR(U211/U112,""),"")</f>
        <v>0.566605375376551</v>
      </c>
      <c r="V215" s="23" t="n">
        <f aca="false">IF(ISNUMBER(V211),IFERROR(V211/V112,""),"")</f>
        <v>1.35488162786148</v>
      </c>
      <c r="W215" s="23" t="n">
        <f aca="false">IF(ISNUMBER(W211),IFERROR(W211/W112,""),"")</f>
        <v>0.432131224738061</v>
      </c>
      <c r="X215" s="23" t="n">
        <f aca="false">IF(ISNUMBER(X211),IFERROR(X211/X112,""),"")</f>
        <v>2.20701974794865</v>
      </c>
      <c r="Y215" s="23" t="n">
        <f aca="false">IF(ISNUMBER(Y211),IFERROR(Y211/Y112,""),"")</f>
        <v>-1.48119473373944</v>
      </c>
      <c r="Z215" s="23" t="n">
        <f aca="false">IF(ISNUMBER(Z211),IFERROR(Z211/Z112,""),"")</f>
        <v>0.0532775671344252</v>
      </c>
      <c r="AA215" s="23" t="n">
        <f aca="false">IF(ISNUMBER(AA211),IFERROR(AA211/AA112,""),"")</f>
        <v>1.75828201730455</v>
      </c>
      <c r="AB215" s="23" t="n">
        <f aca="false">IF(ISNUMBER(AB211),IFERROR(AB211/AB112,""),"")</f>
        <v>0.683538903110697</v>
      </c>
      <c r="AC215" s="23" t="n">
        <f aca="false">IF(ISNUMBER(AC211),IFERROR(AC211/AC112,""),"")</f>
        <v>1.02846573208723</v>
      </c>
      <c r="AD215" s="23" t="n">
        <f aca="false">IF(ISNUMBER(AD211),IFERROR(AD211/AD112,""),"")</f>
        <v>-2.47429825574679</v>
      </c>
      <c r="AE215" s="23" t="n">
        <f aca="false">IF(ISNUMBER(AE211),IFERROR(AE211/AE112,""),"")</f>
        <v>0.624884615384615</v>
      </c>
      <c r="AF215" s="23" t="n">
        <f aca="false">IF(ISNUMBER(AF211),IFERROR(AF211/AF112,""),"")</f>
        <v>0.768735878681117</v>
      </c>
      <c r="AG215" s="23" t="n">
        <f aca="false">IF(ISNUMBER(AG211),IFERROR(AG211/AG112,""),"")</f>
        <v>-0.0347855970063768</v>
      </c>
      <c r="AH215" s="23" t="n">
        <f aca="false">IF(ISNUMBER(AH211),IFERROR(AH211/AH112,""),"")</f>
        <v>-1.10595721843134</v>
      </c>
      <c r="AI215" s="23" t="n">
        <f aca="false">IF(ISNUMBER(AI211),IFERROR(AI211/AI112,""),"")</f>
        <v>-0.432530028888551</v>
      </c>
      <c r="AJ215" s="23" t="n">
        <f aca="false">IF(ISNUMBER(AJ211),IFERROR(AJ211/AJ112,""),"")</f>
        <v>0.18684070729301</v>
      </c>
      <c r="AK215" s="23" t="n">
        <f aca="false">IF(ISNUMBER(AK211),IFERROR(AK211/AK112,""),"")</f>
        <v>1.45511117856872</v>
      </c>
      <c r="AL215" s="23" t="n">
        <f aca="false">IF(ISNUMBER(AL211),IFERROR(AL211/AL112,""),"")</f>
        <v>0.0331317280992043</v>
      </c>
      <c r="AM215" s="23" t="n">
        <f aca="false">IF(ISNUMBER(AM211),IFERROR(AM211/AM112,""),"")</f>
        <v>1.24620592598227</v>
      </c>
      <c r="AN215" s="23" t="n">
        <f aca="false">IF(ISNUMBER(AN211),IFERROR(AN211/AN112,""),"")</f>
        <v>-1.0007218296482</v>
      </c>
      <c r="AO215" s="23" t="n">
        <f aca="false">IF(ISNUMBER(AO211),IFERROR(AO211/AO112,""),"")</f>
        <v>-1.0042793304552</v>
      </c>
      <c r="AP215" s="23" t="n">
        <f aca="false">IF(ISNUMBER(AP211),IFERROR(AP211/AP112,""),"")</f>
        <v>0.565192743764172</v>
      </c>
      <c r="AQ215" s="23" t="n">
        <f aca="false">IF(ISNUMBER(AQ211),IFERROR(AQ211/AQ112,""),"")</f>
        <v>0.872745112838705</v>
      </c>
      <c r="AR215" s="23" t="n">
        <f aca="false">IF(ISNUMBER(AR211),IFERROR(AR211/AR112,""),"")</f>
        <v>-0.559069415547569</v>
      </c>
      <c r="AS215" s="23" t="n">
        <f aca="false">IF(ISNUMBER(AS211),IFERROR(AS211/AS112,""),"")</f>
        <v>-2.12607579646686</v>
      </c>
      <c r="AT215" s="23" t="n">
        <f aca="false">IF(ISNUMBER(AT211),IFERROR(AT211/AT112,""),"")</f>
        <v>2.09612706537694</v>
      </c>
      <c r="AU215" s="23" t="n">
        <f aca="false">IF(ISNUMBER(AU211),IFERROR(AU211/AU112,""),"")</f>
        <v>1.28822092804809</v>
      </c>
      <c r="AV215" s="23" t="n">
        <f aca="false">IF(ISNUMBER(AV211),IFERROR(AV211/AV112,""),"")</f>
        <v>1.66394026938806</v>
      </c>
      <c r="AW215" s="23" t="n">
        <f aca="false">IF(ISNUMBER(AW211),IFERROR(AW211/AW112,""),"")</f>
        <v>2.93332581227437</v>
      </c>
      <c r="AX215" s="23" t="n">
        <f aca="false">IF(ISNUMBER(AX211),IFERROR(AX211/AX112,""),"")</f>
        <v>1.32739679802032</v>
      </c>
      <c r="AY215" s="23" t="n">
        <f aca="false">IF(ISNUMBER(AY211),IFERROR(AY211/AY112,""),"")</f>
        <v>0.1698247453565</v>
      </c>
      <c r="AZ215" s="23" t="n">
        <f aca="false">IF(ISNUMBER(AZ211),IFERROR(AZ211/AZ112,""),"")</f>
        <v>2.7276606895519</v>
      </c>
      <c r="BA215" s="23" t="n">
        <f aca="false">IF(ISNUMBER(BA211),IFERROR(BA211/BA112,""),"")</f>
        <v>-0.59684297149697</v>
      </c>
      <c r="BB215" s="23" t="n">
        <f aca="false">IF(ISNUMBER(BB211),IFERROR(BB211/BB112,""),"")</f>
        <v>3.62624031152881</v>
      </c>
      <c r="BC215" s="23" t="n">
        <f aca="false">IF(ISNUMBER(BC211),IFERROR(BC211/BC112,""),"")</f>
        <v>1.86359205099363</v>
      </c>
      <c r="BD215" s="23" t="n">
        <f aca="false">IF(ISNUMBER(BD211),IFERROR(BD211/BD112,""),"")</f>
        <v>0.0694543408963062</v>
      </c>
      <c r="BE215" s="23" t="n">
        <f aca="false">IF(ISNUMBER(BE211),IFERROR(BE211/BE112,""),"")</f>
        <v>0.504685859949018</v>
      </c>
      <c r="BF215" s="23" t="n">
        <f aca="false">IF(ISNUMBER(BF211),IFERROR(BF211/BF112,""),"")</f>
        <v>1.52036266906448</v>
      </c>
      <c r="BG215" s="23" t="n">
        <f aca="false">IF(ISNUMBER(BG211),IFERROR(BG211/BG112,""),"")</f>
        <v>3.95879883032166</v>
      </c>
      <c r="BH215" s="23" t="n">
        <f aca="false">IF(ISNUMBER(BH211),IFERROR(BH211/BH112,""),"")</f>
        <v>-0.342483709085462</v>
      </c>
      <c r="BI215" s="23" t="n">
        <f aca="false">IF(ISNUMBER(BI211),IFERROR(BI211/BI112,""),"")</f>
        <v>2.75014961101137</v>
      </c>
      <c r="BJ215" s="23" t="n">
        <f aca="false">IF(ISNUMBER(BJ211),IFERROR(BJ211/BJ112,""),"")</f>
        <v>0.424100974644311</v>
      </c>
      <c r="BK215" s="23" t="n">
        <f aca="false">IF(ISNUMBER(BK211),IFERROR(BK211/BK112,""),"")</f>
        <v>2.32689938398358</v>
      </c>
      <c r="BL215" s="23" t="n">
        <f aca="false">IF(ISNUMBER(BL211),IFERROR(BL211/BL112,""),"")</f>
        <v>5.15883869521354</v>
      </c>
      <c r="BM215" s="23" t="n">
        <f aca="false">IF(ISNUMBER(BM211),IFERROR(BM211/BM112,""),"")</f>
        <v>-13.0886019258043</v>
      </c>
      <c r="BN215" s="23" t="n">
        <f aca="false">IF(ISNUMBER(BN211),IFERROR(BN211/BN112,""),"")</f>
        <v>-3.50649205283188</v>
      </c>
      <c r="BO215" s="23" t="n">
        <f aca="false">IF(ISNUMBER(BO211),IFERROR(BO211/BO112,""),"")</f>
        <v>-0.435327933106872</v>
      </c>
      <c r="BP215" s="23" t="n">
        <f aca="false">IF(ISNUMBER(BP211),IFERROR(BP211/BP112,""),"")</f>
        <v>-0.131140203647756</v>
      </c>
      <c r="BQ215" s="23" t="n">
        <f aca="false">IF(ISNUMBER(BQ211),IFERROR(BQ211/BQ112,""),"")</f>
        <v>-17.1574882471457</v>
      </c>
      <c r="BR215" s="23" t="n">
        <f aca="false">IF(ISNUMBER(BR211),IFERROR(BR211/BR112,""),"")</f>
        <v>-3.50216514857399</v>
      </c>
      <c r="BS215" s="23" t="n">
        <f aca="false">IF(ISNUMBER(BS211),IFERROR(BS211/BS112,""),"")</f>
        <v>-0.145939891730447</v>
      </c>
      <c r="BT215" s="23" t="n">
        <f aca="false">IF(ISNUMBER(BT211),IFERROR(BT211/BT112,""),"")</f>
        <v>3.26898096304591</v>
      </c>
      <c r="BU215" s="23" t="n">
        <f aca="false">IF(ISNUMBER(BU211),IFERROR(BU211/BU112,""),"")</f>
        <v>1.39888038813211</v>
      </c>
      <c r="BV215" s="23" t="n">
        <f aca="false">IF(ISNUMBER(BV211),IFERROR(BV211/BV112,""),"")</f>
        <v>1.02045844844321</v>
      </c>
      <c r="BW215" s="23" t="n">
        <f aca="false">IF(ISNUMBER(BW211),IFERROR(BW211/BW112,""),"")</f>
        <v>2.74249263252136</v>
      </c>
      <c r="BX215" s="23" t="n">
        <f aca="false">IF(ISNUMBER(BX211),IFERROR(BX211/BX112,""),"")</f>
        <v>2.11120635038945</v>
      </c>
      <c r="BY215" s="47"/>
      <c r="BZ215" s="47"/>
      <c r="CA215" s="25" t="n">
        <f aca="false">IF(AND(ISNUMBER(CA211),ISNUMBER(CA112)),IFERROR(CA211/CA112,""),"")</f>
        <v>7.4826214313845</v>
      </c>
      <c r="CB215" s="25" t="n">
        <f aca="false">IF(AND(ISNUMBER(CB211),ISNUMBER(CB112)),IFERROR(CB211/CB112,""),"")</f>
        <v>10.3971444653156</v>
      </c>
      <c r="CC215" s="25" t="n">
        <f aca="false">IF(AND(ISNUMBER(CC211),ISNUMBER(CC112)),IFERROR(CC211/CC112,""),"")</f>
        <v>11.6209319925405</v>
      </c>
      <c r="CD215" s="25" t="n">
        <f aca="false">IF(AND(ISNUMBER(CD211),ISNUMBER(CD112)),IFERROR(CD211/CD112,""),"")</f>
        <v>10.9433001263676</v>
      </c>
      <c r="CE215" s="25" t="n">
        <f aca="false">IF(AND(ISNUMBER(CE211),ISNUMBER(CE112)),IFERROR(CE211/CE112,""),"")</f>
        <v>13.1177860007022</v>
      </c>
      <c r="CF215" s="21"/>
    </row>
    <row r="216" customFormat="false" ht="15" hidden="false" customHeight="true" outlineLevel="0" collapsed="false">
      <c r="B216" s="22" t="s">
        <v>382</v>
      </c>
      <c r="C216" s="65" t="n">
        <f aca="false">IF(ISNUMBER(C193),-C193-C195,"")</f>
        <v>90.748</v>
      </c>
      <c r="D216" s="65" t="n">
        <f aca="false">IF(ISNUMBER(D193),-D193-D195,"")</f>
        <v>89.085</v>
      </c>
      <c r="E216" s="65" t="n">
        <f aca="false">IF(ISNUMBER(E193),-E193-E195,"")</f>
        <v>26.005</v>
      </c>
      <c r="F216" s="65" t="n">
        <f aca="false">IF(ISNUMBER(F193),-F193-F195,"")</f>
        <v>7.574</v>
      </c>
      <c r="G216" s="65" t="n">
        <f aca="false">IF(ISNUMBER(G193),-G193-G195,"")</f>
        <v>3.255</v>
      </c>
      <c r="H216" s="65" t="n">
        <f aca="false">IF(ISNUMBER(H193),-H193-H195,"")</f>
        <v>67.899</v>
      </c>
      <c r="I216" s="65" t="n">
        <f aca="false">IF(ISNUMBER(I193),-I193-I195,"")</f>
        <v>82.815</v>
      </c>
      <c r="J216" s="65" t="n">
        <f aca="false">IF(ISNUMBER(J193),-J193-J195,"")</f>
        <v>6.015</v>
      </c>
      <c r="K216" s="65" t="n">
        <f aca="false">IF(ISNUMBER(K193),-K193-K195,"")</f>
        <v>64.804</v>
      </c>
      <c r="L216" s="65" t="n">
        <f aca="false">IF(ISNUMBER(L193),-L193-L195,"")</f>
        <v>26.922</v>
      </c>
      <c r="M216" s="65" t="n">
        <f aca="false">IF(ISNUMBER(M193),-M193-M195,"")</f>
        <v>24.279</v>
      </c>
      <c r="N216" s="65" t="n">
        <f aca="false">IF(ISNUMBER(N193),-N193-N195,"")</f>
        <v>122.02</v>
      </c>
      <c r="O216" s="65" t="n">
        <f aca="false">IF(ISNUMBER(O193),-O193-O195,"")</f>
        <v>8.223</v>
      </c>
      <c r="P216" s="65" t="n">
        <f aca="false">IF(ISNUMBER(P193),-P193-P195,"")</f>
        <v>58.433</v>
      </c>
      <c r="Q216" s="65" t="n">
        <f aca="false">IF(ISNUMBER(Q193),-Q193-Q195,"")</f>
        <v>10.527</v>
      </c>
      <c r="R216" s="65" t="n">
        <f aca="false">IF(ISNUMBER(R193),-R193-R195,"")</f>
        <v>17.662</v>
      </c>
      <c r="S216" s="65" t="n">
        <f aca="false">IF(ISNUMBER(S193),-S193-S195,"")</f>
        <v>94.845</v>
      </c>
      <c r="T216" s="65" t="n">
        <f aca="false">IF(ISNUMBER(T193),-T193-T195,"")</f>
        <v>29.77</v>
      </c>
      <c r="U216" s="65" t="n">
        <f aca="false">IF(ISNUMBER(U193),-U193-U195,"")</f>
        <v>26.179</v>
      </c>
      <c r="V216" s="65" t="n">
        <f aca="false">IF(ISNUMBER(V193),-V193-V195,"")</f>
        <v>12.221</v>
      </c>
      <c r="W216" s="65" t="n">
        <f aca="false">IF(ISNUMBER(W193),-W193-W195,"")</f>
        <v>17.511</v>
      </c>
      <c r="X216" s="65" t="n">
        <f aca="false">IF(ISNUMBER(X193),-X193-X195,"")</f>
        <v>85.681</v>
      </c>
      <c r="Y216" s="65" t="n">
        <f aca="false">IF(ISNUMBER(Y193),-Y193-Y195,"")</f>
        <v>53.628</v>
      </c>
      <c r="Z216" s="65" t="n">
        <f aca="false">IF(ISNUMBER(Z193),-Z193-Z195,"")</f>
        <v>47.917</v>
      </c>
      <c r="AA216" s="65" t="n">
        <f aca="false">IF(ISNUMBER(AA193),-AA193-AA195,"")</f>
        <v>6.28</v>
      </c>
      <c r="AB216" s="65" t="n">
        <f aca="false">IF(ISNUMBER(AB193),-AB193-AB195,"")</f>
        <v>9.858</v>
      </c>
      <c r="AC216" s="65" t="n">
        <f aca="false">IF(ISNUMBER(AC193),-AC193-AC195,"")</f>
        <v>117.683</v>
      </c>
      <c r="AD216" s="65" t="n">
        <f aca="false">IF(ISNUMBER(AD193),-AD193-AD195,"")</f>
        <v>87.781</v>
      </c>
      <c r="AE216" s="65" t="n">
        <f aca="false">IF(ISNUMBER(AE193),-AE193-AE195,"")</f>
        <v>38.626</v>
      </c>
      <c r="AF216" s="65" t="n">
        <f aca="false">IF(ISNUMBER(AF193),-AF193-AF195,"")</f>
        <v>26.179</v>
      </c>
      <c r="AG216" s="65" t="n">
        <f aca="false">IF(ISNUMBER(AG193),-AG193-AG195,"")</f>
        <v>28.938</v>
      </c>
      <c r="AH216" s="65" t="n">
        <f aca="false">IF(ISNUMBER(AH193),-AH193-AH195,"")</f>
        <v>181.524</v>
      </c>
      <c r="AI216" s="65" t="n">
        <f aca="false">IF(ISNUMBER(AI193),-AI193-AI195,"")</f>
        <v>46.781</v>
      </c>
      <c r="AJ216" s="65" t="n">
        <f aca="false">IF(ISNUMBER(AJ193),-AJ193-AJ195,"")</f>
        <v>71.374</v>
      </c>
      <c r="AK216" s="65" t="n">
        <f aca="false">IF(ISNUMBER(AK193),-AK193-AK195,"")</f>
        <v>36.284</v>
      </c>
      <c r="AL216" s="65" t="n">
        <f aca="false">IF(ISNUMBER(AL193),-AL193-AL195,"")</f>
        <v>68.145</v>
      </c>
      <c r="AM216" s="65" t="n">
        <f aca="false">IF(ISNUMBER(AM193),-AM193-AM195,"")</f>
        <v>222.584</v>
      </c>
      <c r="AN216" s="65" t="n">
        <f aca="false">IF(ISNUMBER(AN193),-AN193-AN195,"")</f>
        <v>56.466</v>
      </c>
      <c r="AO216" s="65" t="n">
        <f aca="false">IF(ISNUMBER(AO193),-AO193-AO195,"")</f>
        <v>109.588</v>
      </c>
      <c r="AP216" s="65" t="n">
        <f aca="false">IF(ISNUMBER(AP193),-AP193-AP195,"")</f>
        <v>78.471</v>
      </c>
      <c r="AQ216" s="65" t="n">
        <f aca="false">IF(ISNUMBER(AQ193),-AQ193-AQ195,"")</f>
        <v>36.506</v>
      </c>
      <c r="AR216" s="65" t="n">
        <f aca="false">IF(ISNUMBER(AR193),-AR193-AR195,"")</f>
        <v>281.031</v>
      </c>
      <c r="AS216" s="65" t="n">
        <f aca="false">IF(ISNUMBER(AS193),-AS193-AS195,"")</f>
        <v>102.676</v>
      </c>
      <c r="AT216" s="65" t="n">
        <f aca="false">IF(ISNUMBER(AT193),-AT193-AT195,"")</f>
        <v>40.046</v>
      </c>
      <c r="AU216" s="65" t="n">
        <f aca="false">IF(ISNUMBER(AU193),-AU193-AU195,"")</f>
        <v>54.788</v>
      </c>
      <c r="AV216" s="65" t="n">
        <f aca="false">IF(ISNUMBER(AV193),-AV193-AV195,"")</f>
        <v>21.307</v>
      </c>
      <c r="AW216" s="65" t="n">
        <f aca="false">IF(ISNUMBER(AW193),-AW193-AW195,"")</f>
        <v>218.817</v>
      </c>
      <c r="AX216" s="65" t="n">
        <f aca="false">IF(ISNUMBER(AX193),-AX193-AX195,"")</f>
        <v>25.388</v>
      </c>
      <c r="AY216" s="65" t="n">
        <f aca="false">IF(ISNUMBER(AY193),-AY193-AY195,"")</f>
        <v>74.578</v>
      </c>
      <c r="AZ216" s="65" t="n">
        <f aca="false">IF(ISNUMBER(AZ193),-AZ193-AZ195,"")</f>
        <v>48.458</v>
      </c>
      <c r="BA216" s="65" t="n">
        <f aca="false">IF(ISNUMBER(BA193),-BA193-BA195,"")</f>
        <v>128.924</v>
      </c>
      <c r="BB216" s="65" t="n">
        <f aca="false">IF(ISNUMBER(BB193),-BB193-BB195,"")</f>
        <v>277.348</v>
      </c>
      <c r="BC216" s="65" t="n">
        <f aca="false">IF(ISNUMBER(BC193),-BC193-BC195,"")</f>
        <v>45.376</v>
      </c>
      <c r="BD216" s="65" t="n">
        <f aca="false">IF(ISNUMBER(BD193),-BD193-BD195,"")</f>
        <v>109.915</v>
      </c>
      <c r="BE216" s="65" t="n">
        <f aca="false">IF(ISNUMBER(BE193),-BE193-BE195,"")</f>
        <v>122.705</v>
      </c>
      <c r="BF216" s="65" t="n">
        <f aca="false">IF(ISNUMBER(BF193),-BF193-BF195,"")</f>
        <v>87.516</v>
      </c>
      <c r="BG216" s="65" t="n">
        <f aca="false">IF(ISNUMBER(BG193),-BG193-BG195,"")</f>
        <v>365.512</v>
      </c>
      <c r="BH216" s="65" t="n">
        <f aca="false">IF(ISNUMBER(BH193),-BH193-BH195,"")</f>
        <v>128.055</v>
      </c>
      <c r="BI216" s="65" t="n">
        <f aca="false">IF(ISNUMBER(BI193),-BI193-BI195,"")</f>
        <v>98.438</v>
      </c>
      <c r="BJ216" s="65" t="n">
        <f aca="false">IF(ISNUMBER(BJ193),-BJ193-BJ195,"")</f>
        <v>111.894</v>
      </c>
      <c r="BK216" s="65" t="n">
        <f aca="false">IF(ISNUMBER(BK193),-BK193-BK195,"")</f>
        <v>98.765</v>
      </c>
      <c r="BL216" s="65" t="n">
        <f aca="false">IF(ISNUMBER(BL193),-BL193-BL195,"")</f>
        <v>437.152</v>
      </c>
      <c r="BM216" s="65" t="n">
        <f aca="false">IF(ISNUMBER(BM193),-BM193-BM195,"")</f>
        <v>456.821</v>
      </c>
      <c r="BN216" s="65" t="n">
        <f aca="false">IF(ISNUMBER(BN193),-BN193-BN195,"")</f>
        <v>224.455</v>
      </c>
      <c r="BO216" s="65" t="n">
        <f aca="false">IF(ISNUMBER(BO193),-BO193-BO195,"")</f>
        <v>191.947</v>
      </c>
      <c r="BP216" s="65" t="n">
        <f aca="false">IF(ISNUMBER(BP193),-BP193-BP195,"")</f>
        <v>167.64</v>
      </c>
      <c r="BQ216" s="65" t="n">
        <f aca="false">IF(ISNUMBER(BQ193),-BQ193-BQ195,"")</f>
        <v>1040.863</v>
      </c>
      <c r="BR216" s="65" t="n">
        <f aca="false">IF(ISNUMBER(BR193),-BR193-BR195,"")</f>
        <v>202.063</v>
      </c>
      <c r="BS216" s="65" t="n">
        <f aca="false">IF(ISNUMBER(BS193),-BS193-BS195,"")</f>
        <v>173.51</v>
      </c>
      <c r="BT216" s="65" t="n">
        <f aca="false">IF(ISNUMBER(BT193),-BT193-BT195,"")</f>
        <v>70.505</v>
      </c>
      <c r="BU216" s="65" t="n">
        <f aca="false">IF(ISNUMBER(BU193),-BU193-BU195,"")</f>
        <v>98.05</v>
      </c>
      <c r="BV216" s="65" t="n">
        <f aca="false">IF(ISNUMBER(BV193),-BV193-BV195,"")</f>
        <v>544.128</v>
      </c>
      <c r="BW216" s="65" t="n">
        <f aca="false">IF(ISNUMBER(BW193),-BW193-BW195,"")</f>
        <v>63.724</v>
      </c>
      <c r="BX216" s="65" t="n">
        <f aca="false">IF(ISNUMBER(BX193),-BX193-BX195,"")</f>
        <v>94.298</v>
      </c>
      <c r="BY216" s="87"/>
      <c r="BZ216" s="87"/>
      <c r="CA216" s="67" t="n">
        <f aca="false">-CA193-CA195</f>
        <v>375</v>
      </c>
      <c r="CB216" s="67" t="n">
        <f aca="false">-CB193-CB195</f>
        <v>448.70619400165</v>
      </c>
      <c r="CC216" s="67" t="n">
        <f aca="false">-CC193-CC195</f>
        <v>476.559127341728</v>
      </c>
      <c r="CD216" s="67" t="n">
        <f aca="false">-CD193-CD195</f>
        <v>556.694258110778</v>
      </c>
      <c r="CE216" s="67" t="n">
        <f aca="false">-CE193-CE195</f>
        <v>602.106592216164</v>
      </c>
      <c r="CF216" s="21"/>
    </row>
    <row r="217" customFormat="false" ht="15" hidden="false" customHeight="true" outlineLevel="0" collapsed="false">
      <c r="B217" s="22" t="s">
        <v>383</v>
      </c>
      <c r="C217" s="59" t="n">
        <f aca="false">IF(ISNUMBER(C193),IFERROR(-C193/C81,""),"")</f>
        <v>0.106586200668086</v>
      </c>
      <c r="D217" s="59" t="n">
        <f aca="false">IF(ISNUMBER(D193),IFERROR(-D193/D81,""),"")</f>
        <v>0.0978216884552459</v>
      </c>
      <c r="E217" s="59" t="n">
        <f aca="false">IF(ISNUMBER(E193),IFERROR(-E193/E81,""),"")</f>
        <v>0.0269870276323949</v>
      </c>
      <c r="F217" s="59" t="n">
        <f aca="false">IF(ISNUMBER(F193),IFERROR(-F193/F81,""),"")</f>
        <v>0.00984759892644449</v>
      </c>
      <c r="G217" s="59" t="n">
        <f aca="false">IF(ISNUMBER(G193),IFERROR(-G193/G81,""),"")</f>
        <v>0.00422639753617087</v>
      </c>
      <c r="H217" s="59" t="n">
        <f aca="false">IF(ISNUMBER(H193),IFERROR(-H193/H81,""),"")</f>
        <v>0.0687830995977574</v>
      </c>
      <c r="I217" s="59" t="n">
        <f aca="false">IF(ISNUMBER(I193),IFERROR(-I193/I81,""),"")</f>
        <v>0.0783850424009197</v>
      </c>
      <c r="J217" s="59" t="n">
        <f aca="false">IF(ISNUMBER(J193),IFERROR(-J193/J81,""),"")</f>
        <v>0.0245621724282766</v>
      </c>
      <c r="K217" s="59" t="n">
        <f aca="false">IF(ISNUMBER(K193),IFERROR(-K193/K81,""),"")</f>
        <v>0.223433382212697</v>
      </c>
      <c r="L217" s="59" t="n">
        <f aca="false">IF(ISNUMBER(L193),IFERROR(-L193/L81,""),"")</f>
        <v>0.0979470259683985</v>
      </c>
      <c r="M217" s="59" t="n">
        <f aca="false">IF(ISNUMBER(M193),IFERROR(-M193/M81,""),"")</f>
        <v>0.0913947542507733</v>
      </c>
      <c r="N217" s="59" t="n">
        <f aca="false">IF(ISNUMBER(N193),IFERROR(-N193/N81,""),"")</f>
        <v>0.110928509850811</v>
      </c>
      <c r="O217" s="59" t="n">
        <f aca="false">IF(ISNUMBER(O193),IFERROR(-O193/O81,""),"")</f>
        <v>0.0279551596436793</v>
      </c>
      <c r="P217" s="59" t="n">
        <f aca="false">IF(ISNUMBER(P193),IFERROR(-P193/P81,""),"")</f>
        <v>0.177657922693471</v>
      </c>
      <c r="Q217" s="59" t="n">
        <f aca="false">IF(ISNUMBER(Q193),IFERROR(-Q193/Q81,""),"")</f>
        <v>0.0381784064665127</v>
      </c>
      <c r="R217" s="59" t="n">
        <f aca="false">IF(ISNUMBER(R193),IFERROR(-R193/R81,""),"")</f>
        <v>0.0580562445098951</v>
      </c>
      <c r="S217" s="59" t="n">
        <f aca="false">IF(ISNUMBER(S193),IFERROR(-S193/S81,""),"")</f>
        <v>0.0768280960543762</v>
      </c>
      <c r="T217" s="59" t="n">
        <f aca="false">IF(ISNUMBER(T193),IFERROR(-T193/T81,""),"")</f>
        <v>0.102599804792814</v>
      </c>
      <c r="U217" s="59" t="n">
        <f aca="false">IF(ISNUMBER(U193),IFERROR(-U193/U81,""),"")</f>
        <v>0.0816186472115741</v>
      </c>
      <c r="V217" s="59" t="n">
        <f aca="false">IF(ISNUMBER(V193),IFERROR(-V193/V81,""),"")</f>
        <v>0.0389944482801017</v>
      </c>
      <c r="W217" s="59" t="n">
        <f aca="false">IF(ISNUMBER(W193),IFERROR(-W193/W81,""),"")</f>
        <v>0.0614165015124648</v>
      </c>
      <c r="X217" s="59" t="n">
        <f aca="false">IF(ISNUMBER(X193),IFERROR(-X193/X81,""),"")</f>
        <v>0.0708247121331094</v>
      </c>
      <c r="Y217" s="59" t="n">
        <f aca="false">IF(ISNUMBER(Y193),IFERROR(-Y193/Y81,""),"")</f>
        <v>0.186246813677301</v>
      </c>
      <c r="Z217" s="59" t="n">
        <f aca="false">IF(ISNUMBER(Z193),IFERROR(-Z193/Z81,""),"")</f>
        <v>0.15435789743672</v>
      </c>
      <c r="AA217" s="59" t="n">
        <f aca="false">IF(ISNUMBER(AA193),IFERROR(-AA193/AA81,""),"")</f>
        <v>0.0212708806037125</v>
      </c>
      <c r="AB217" s="59" t="n">
        <f aca="false">IF(ISNUMBER(AB193),IFERROR(-AB193/AB81,""),"")</f>
        <v>0.0349540175136482</v>
      </c>
      <c r="AC217" s="59" t="n">
        <f aca="false">IF(ISNUMBER(AC193),IFERROR(-AC193/AC81,""),"")</f>
        <v>0.0979621348219628</v>
      </c>
      <c r="AD217" s="59" t="n">
        <f aca="false">IF(ISNUMBER(AD193),IFERROR(-AD193/AD81,""),"")</f>
        <v>0.278793957803033</v>
      </c>
      <c r="AE217" s="59" t="n">
        <f aca="false">IF(ISNUMBER(AE193),IFERROR(-AE193/AE81,""),"")</f>
        <v>0.108727942818852</v>
      </c>
      <c r="AF217" s="59" t="n">
        <f aca="false">IF(ISNUMBER(AF193),IFERROR(-AF193/AF81,""),"")</f>
        <v>0.0809742274225708</v>
      </c>
      <c r="AG217" s="59" t="n">
        <f aca="false">IF(ISNUMBER(AG193),IFERROR(-AG193/AG81,""),"")</f>
        <v>0.087812914896207</v>
      </c>
      <c r="AH217" s="59" t="n">
        <f aca="false">IF(ISNUMBER(AH193),IFERROR(-AH193/AH81,""),"")</f>
        <v>0.135433185105658</v>
      </c>
      <c r="AI217" s="59" t="n">
        <f aca="false">IF(ISNUMBER(AI193),IFERROR(-AI193/AI81,""),"")</f>
        <v>0.119349295451942</v>
      </c>
      <c r="AJ217" s="59" t="n">
        <f aca="false">IF(ISNUMBER(AJ193),IFERROR(-AJ193/AJ81,""),"")</f>
        <v>0.167218682067119</v>
      </c>
      <c r="AK217" s="59" t="n">
        <f aca="false">IF(ISNUMBER(AK193),IFERROR(-AK193/AK81,""),"")</f>
        <v>0.0861073122130266</v>
      </c>
      <c r="AL217" s="59" t="n">
        <f aca="false">IF(ISNUMBER(AL193),IFERROR(-AL193/AL81,""),"")</f>
        <v>0.168297480024585</v>
      </c>
      <c r="AM217" s="59" t="n">
        <f aca="false">IF(ISNUMBER(AM193),IFERROR(-AM193/AM81,""),"")</f>
        <v>0.135243302139434</v>
      </c>
      <c r="AN217" s="59" t="n">
        <f aca="false">IF(ISNUMBER(AN193),IFERROR(-AN193/AN81,""),"")</f>
        <v>0.138195838123259</v>
      </c>
      <c r="AO217" s="59" t="n">
        <f aca="false">IF(ISNUMBER(AO193),IFERROR(-AO193/AO81,""),"")</f>
        <v>0.236308017104881</v>
      </c>
      <c r="AP217" s="59" t="n">
        <f aca="false">IF(ISNUMBER(AP193),IFERROR(-AP193/AP81,""),"")</f>
        <v>0.16799000194075</v>
      </c>
      <c r="AQ217" s="59" t="n">
        <f aca="false">IF(ISNUMBER(AQ193),IFERROR(-AQ193/AQ81,""),"")</f>
        <v>0.095814383894011</v>
      </c>
      <c r="AR217" s="59" t="n">
        <f aca="false">IF(ISNUMBER(AR193),IFERROR(-AR193/AR81,""),"")</f>
        <v>0.160994775386389</v>
      </c>
      <c r="AS217" s="59" t="n">
        <f aca="false">IF(ISNUMBER(AS193),IFERROR(-AS193/AS81,""),"")</f>
        <v>0.241021424923162</v>
      </c>
      <c r="AT217" s="59" t="n">
        <f aca="false">IF(ISNUMBER(AT193),IFERROR(-AT193/AT81,""),"")</f>
        <v>0.0987147046020942</v>
      </c>
      <c r="AU217" s="59" t="n">
        <f aca="false">IF(ISNUMBER(AU193),IFERROR(-AU193/AU81,""),"")</f>
        <v>0.117251866532052</v>
      </c>
      <c r="AV217" s="59" t="n">
        <f aca="false">IF(ISNUMBER(AV193),IFERROR(-AV193/AV81,""),"")</f>
        <v>0.0542203063284657</v>
      </c>
      <c r="AW217" s="59" t="n">
        <f aca="false">IF(ISNUMBER(AW193),IFERROR(-AW193/AW81,""),"")</f>
        <v>0.126836211825725</v>
      </c>
      <c r="AX217" s="59" t="n">
        <f aca="false">IF(ISNUMBER(AX193),IFERROR(-AX193/AX81,""),"")</f>
        <v>0.0528183707449687</v>
      </c>
      <c r="AY217" s="59" t="n">
        <f aca="false">IF(ISNUMBER(AY193),IFERROR(-AY193/AY81,""),"")</f>
        <v>0.130631348092969</v>
      </c>
      <c r="AZ217" s="59" t="n">
        <f aca="false">IF(ISNUMBER(AZ193),IFERROR(-AZ193/AZ81,""),"")</f>
        <v>0.0887383644696016</v>
      </c>
      <c r="BA217" s="59" t="n">
        <f aca="false">IF(ISNUMBER(BA193),IFERROR(-BA193/BA81,""),"")</f>
        <v>0.212066163113108</v>
      </c>
      <c r="BB217" s="59" t="n">
        <f aca="false">IF(ISNUMBER(BB193),IFERROR(-BB193/BB81,""),"")</f>
        <v>0.124850570453846</v>
      </c>
      <c r="BC217" s="59" t="n">
        <f aca="false">IF(ISNUMBER(BC193),IFERROR(-BC193/BC81,""),"")</f>
        <v>0.0699604970236655</v>
      </c>
      <c r="BD217" s="59" t="n">
        <f aca="false">IF(ISNUMBER(BD193),IFERROR(-BD193/BD81,""),"")</f>
        <v>0.147664689613361</v>
      </c>
      <c r="BE217" s="59" t="n">
        <f aca="false">IF(ISNUMBER(BE193),IFERROR(-BE193/BE81,""),"")</f>
        <v>0.168191556292072</v>
      </c>
      <c r="BF217" s="59" t="n">
        <f aca="false">IF(ISNUMBER(BF193),IFERROR(-BF193/BF81,""),"")</f>
        <v>0.134769705639246</v>
      </c>
      <c r="BG217" s="59" t="n">
        <f aca="false">IF(ISNUMBER(BG193),IFERROR(-BG193/BG81,""),"")</f>
        <v>0.13159795806461</v>
      </c>
      <c r="BH217" s="59" t="n">
        <f aca="false">IF(ISNUMBER(BH193),IFERROR(-BH193/BH81,""),"")</f>
        <v>0.194410591414535</v>
      </c>
      <c r="BI217" s="59" t="n">
        <f aca="false">IF(ISNUMBER(BI193),IFERROR(-BI193/BI81,""),"")</f>
        <v>0.141957784233727</v>
      </c>
      <c r="BJ217" s="59" t="n">
        <f aca="false">IF(ISNUMBER(BJ193),IFERROR(-BJ193/BJ81,""),"")</f>
        <v>0.146432146801111</v>
      </c>
      <c r="BK217" s="59" t="n">
        <f aca="false">IF(ISNUMBER(BK193),IFERROR(-BK193/BK81,""),"")</f>
        <v>0.132268362950853</v>
      </c>
      <c r="BL217" s="59" t="n">
        <f aca="false">IF(ISNUMBER(BL193),IFERROR(-BL193/BL81,""),"")</f>
        <v>0.152659805034509</v>
      </c>
      <c r="BM217" s="59" t="n">
        <f aca="false">IF(ISNUMBER(BM193),IFERROR(-BM193/BM81,""),"")</f>
        <v>0.605695737140207</v>
      </c>
      <c r="BN217" s="59" t="n">
        <f aca="false">IF(ISNUMBER(BN193),IFERROR(-BN193/BN81,""),"")</f>
        <v>0.273011403666471</v>
      </c>
      <c r="BO217" s="59" t="n">
        <f aca="false">IF(ISNUMBER(BO193),IFERROR(-BO193/BO81,""),"")</f>
        <v>0.229642929665374</v>
      </c>
      <c r="BP217" s="59" t="n">
        <f aca="false">IF(ISNUMBER(BP193),IFERROR(-BP193/BP81,""),"")</f>
        <v>0.213263924801509</v>
      </c>
      <c r="BQ217" s="59" t="n">
        <f aca="false">IF(ISNUMBER(BQ193),IFERROR(-BQ193/BQ81,""),"")</f>
        <v>0.325189447173858</v>
      </c>
      <c r="BR217" s="59" t="n">
        <f aca="false">IF(ISNUMBER(BR193),IFERROR(-BR193/BR81,""),"")</f>
        <v>0.257612290892931</v>
      </c>
      <c r="BS217" s="59" t="n">
        <f aca="false">IF(ISNUMBER(BS193),IFERROR(-BS193/BS81,""),"")</f>
        <v>0.213741027884692</v>
      </c>
      <c r="BT217" s="59" t="n">
        <f aca="false">IF(ISNUMBER(BT193),IFERROR(-BT193/BT81,""),"")</f>
        <v>0.107514613336128</v>
      </c>
      <c r="BU217" s="59" t="n">
        <f aca="false">IF(ISNUMBER(BU193),IFERROR(-BU193/BU81,""),"")</f>
        <v>0.126368437575954</v>
      </c>
      <c r="BV217" s="59" t="n">
        <f aca="false">IF(ISNUMBER(BV193),IFERROR(-BV193/BV81,""),"")</f>
        <v>0.175506742446401</v>
      </c>
      <c r="BW217" s="59" t="n">
        <f aca="false">IF(ISNUMBER(BW193),IFERROR(-BW193/BW81,""),"")</f>
        <v>0.0820067822173931</v>
      </c>
      <c r="BX217" s="59" t="n">
        <f aca="false">IF(ISNUMBER(BX193),IFERROR(-BX193/BX81,""),"")</f>
        <v>0.0992656514311642</v>
      </c>
      <c r="BY217" s="41"/>
      <c r="BZ217" s="41"/>
      <c r="CA217" s="30" t="n">
        <f aca="false">IFERROR(-CA193/CA81,"")</f>
        <v>0.101198741718885</v>
      </c>
      <c r="CB217" s="30" t="n">
        <f aca="false">CHOOSE(MATCH($CF$2,{"Bull","Base","Bear"},0),$CO$61,$CP$61,$CQ$61)</f>
        <v>0.11</v>
      </c>
      <c r="CC217" s="30" t="n">
        <f aca="false">CHOOSE(MATCH($CF$2,{"Bull","Base","Bear"},0),$CO$62,$CP$62,$CQ$62)</f>
        <v>0.11</v>
      </c>
      <c r="CD217" s="30" t="n">
        <f aca="false">CHOOSE(MATCH($CF$2,{"Bull","Base","Bear"},0),$CO$63,$CP$63,$CQ$63)</f>
        <v>0.12</v>
      </c>
      <c r="CE217" s="30" t="n">
        <f aca="false">CHOOSE(MATCH($CF$2,{"Bull","Base","Bear"},0),$CO$64,$CP$64,$CQ$64)</f>
        <v>0.12</v>
      </c>
      <c r="CF217" s="21"/>
      <c r="CH217" s="64" t="n">
        <f aca="false">IFERROR(AVERAGE(CA217,CB217,CC217,CD217,CE217),"n/m")</f>
        <v>0.112239748343777</v>
      </c>
      <c r="CI217" s="64" t="n">
        <f aca="false">IFERROR(AVERAGE(BB217,BG217,BL217,BQ217,BV217),"n/m")</f>
        <v>0.181960904634645</v>
      </c>
      <c r="CJ217" s="64" t="n">
        <f aca="false">IFERROR(AVERAGE(AC217,AH217,AM217,AR217,AW217,BB217,BG217,BL217,BQ217,BV217),"n/m")</f>
        <v>0.156627413245239</v>
      </c>
      <c r="CK217" s="64" t="n">
        <f aca="false">IFERROR(AVERAGE(C217,D217,E217,F217,G217,H217,I217,N217,S217,X217,AC217,AH217,AM217,AR217,AW217,BB217,BG217,BL217,BQ217,BV217),"n/m")</f>
        <v>0.110874625285385</v>
      </c>
    </row>
    <row r="218" customFormat="false" ht="15" hidden="false" customHeight="true" outlineLevel="0" collapsed="false">
      <c r="B218" s="22" t="s">
        <v>384</v>
      </c>
      <c r="C218" s="107" t="n">
        <f aca="false">IF(ISNUMBER(C193),IFERROR(-C193/C87,""),"")</f>
        <v>2.86436251920123</v>
      </c>
      <c r="D218" s="107" t="n">
        <f aca="false">IF(ISNUMBER(D193),IFERROR(-D193/D87,""),"")</f>
        <v>2.46829520485976</v>
      </c>
      <c r="E218" s="107" t="n">
        <f aca="false">IF(ISNUMBER(E193),IFERROR(-E193/E87,""),"")</f>
        <v>0.679935449166218</v>
      </c>
      <c r="F218" s="107" t="n">
        <f aca="false">IF(ISNUMBER(F193),IFERROR(-F193/F87,""),"")</f>
        <v>0.212546388083982</v>
      </c>
      <c r="G218" s="107" t="n">
        <f aca="false">IF(ISNUMBER(G193),IFERROR(-G193/G87,""),"")</f>
        <v>0.105506236345032</v>
      </c>
      <c r="H218" s="107" t="n">
        <f aca="false">IF(ISNUMBER(H193),IFERROR(-H193/H87,""),"")</f>
        <v>1.90090670100327</v>
      </c>
      <c r="I218" s="107" t="n">
        <f aca="false">IF(ISNUMBER(I193),IFERROR(-I193/I87,""),"")</f>
        <v>1.79472751901636</v>
      </c>
      <c r="J218" s="107" t="n">
        <f aca="false">IF(ISNUMBER(J193),IFERROR(-J193/J87,""),"")</f>
        <v>0.578047103317861</v>
      </c>
      <c r="K218" s="107" t="n">
        <f aca="false">IF(ISNUMBER(K193),IFERROR(-K193/K87,""),"")</f>
        <v>5.27749071532375</v>
      </c>
      <c r="L218" s="107" t="n">
        <f aca="false">IF(ISNUMBER(L193),IFERROR(-L193/L87,""),"")</f>
        <v>2.088541287741</v>
      </c>
      <c r="M218" s="107" t="n">
        <f aca="false">IF(ISNUMBER(M193),IFERROR(-M193/M87,""),"")</f>
        <v>1.8522356692514</v>
      </c>
      <c r="N218" s="107" t="n">
        <f aca="false">IF(ISNUMBER(N193),IFERROR(-N193/N87,""),"")</f>
        <v>2.45050810643084</v>
      </c>
      <c r="O218" s="107" t="n">
        <f aca="false">IF(ISNUMBER(O193),IFERROR(-O193/O87,""),"")</f>
        <v>0.605375334152157</v>
      </c>
      <c r="P218" s="107" t="n">
        <f aca="false">IF(ISNUMBER(P193),IFERROR(-P193/P87,""),"")</f>
        <v>3.89063432093856</v>
      </c>
      <c r="Q218" s="107" t="n">
        <f aca="false">IF(ISNUMBER(Q193),IFERROR(-Q193/Q87,""),"")</f>
        <v>0.827856025039124</v>
      </c>
      <c r="R218" s="107" t="n">
        <f aca="false">IF(ISNUMBER(R193),IFERROR(-R193/R87,""),"")</f>
        <v>1.21811898631251</v>
      </c>
      <c r="S218" s="107" t="n">
        <f aca="false">IF(ISNUMBER(S193),IFERROR(-S193/S87,""),"")</f>
        <v>1.65616210904409</v>
      </c>
      <c r="T218" s="107" t="n">
        <f aca="false">IF(ISNUMBER(T193),IFERROR(-T193/T87,""),"")</f>
        <v>1.97802487005724</v>
      </c>
      <c r="U218" s="107" t="n">
        <f aca="false">IF(ISNUMBER(U193),IFERROR(-U193/U87,""),"")</f>
        <v>1.59422740172695</v>
      </c>
      <c r="V218" s="107" t="n">
        <f aca="false">IF(ISNUMBER(V193),IFERROR(-V193/V87,""),"")</f>
        <v>0.737787056367432</v>
      </c>
      <c r="W218" s="107" t="n">
        <f aca="false">IF(ISNUMBER(W193),IFERROR(-W193/W87,""),"")</f>
        <v>1.07086996059412</v>
      </c>
      <c r="X218" s="107" t="n">
        <f aca="false">IF(ISNUMBER(X193),IFERROR(-X193/X87,""),"")</f>
        <v>1.33034450938173</v>
      </c>
      <c r="Y218" s="107" t="n">
        <f aca="false">IF(ISNUMBER(Y193),IFERROR(-Y193/Y87,""),"")</f>
        <v>3.13141564692919</v>
      </c>
      <c r="Z218" s="107" t="n">
        <f aca="false">IF(ISNUMBER(Z193),IFERROR(-Z193/Z87,""),"")</f>
        <v>2.43895643363729</v>
      </c>
      <c r="AA218" s="107" t="n">
        <f aca="false">IF(ISNUMBER(AA193),IFERROR(-AA193/AA87,""),"")</f>
        <v>0.337782907612786</v>
      </c>
      <c r="AB218" s="107" t="n">
        <f aca="false">IF(ISNUMBER(AB193),IFERROR(-AB193/AB87,""),"")</f>
        <v>0.542886704604242</v>
      </c>
      <c r="AC218" s="107" t="n">
        <f aca="false">IF(ISNUMBER(AC193),IFERROR(-AC193/AC87,""),"")</f>
        <v>1.56564795383001</v>
      </c>
      <c r="AD218" s="107" t="n">
        <f aca="false">IF(ISNUMBER(AD193),IFERROR(-AD193/AD87,""),"")</f>
        <v>4.40025887389854</v>
      </c>
      <c r="AE218" s="107" t="n">
        <f aca="false">IF(ISNUMBER(AE193),IFERROR(-AE193/AE87,""),"")</f>
        <v>1.75556757731494</v>
      </c>
      <c r="AF218" s="107" t="n">
        <f aca="false">IF(ISNUMBER(AF193),IFERROR(-AF193/AF87,""),"")</f>
        <v>1.26895872504253</v>
      </c>
      <c r="AG218" s="107" t="n">
        <f aca="false">IF(ISNUMBER(AG193),IFERROR(-AG193/AG87,""),"")</f>
        <v>1.37897310513447</v>
      </c>
      <c r="AH218" s="107" t="n">
        <f aca="false">IF(ISNUMBER(AH193),IFERROR(-AH193/AH87,""),"")</f>
        <v>2.14341806158297</v>
      </c>
      <c r="AI218" s="107" t="n">
        <f aca="false">IF(ISNUMBER(AI193),IFERROR(-AI193/AI87,""),"")</f>
        <v>2.03564915327833</v>
      </c>
      <c r="AJ218" s="107" t="n">
        <f aca="false">IF(ISNUMBER(AJ193),IFERROR(-AJ193/AJ87,""),"")</f>
        <v>2.8402995126976</v>
      </c>
      <c r="AK218" s="107" t="n">
        <f aca="false">IF(ISNUMBER(AK193),IFERROR(-AK193/AK87,""),"")</f>
        <v>1.37274293848805</v>
      </c>
      <c r="AL218" s="107" t="n">
        <f aca="false">IF(ISNUMBER(AL193),IFERROR(-AL193/AL87,""),"")</f>
        <v>2.51783875239076</v>
      </c>
      <c r="AM218" s="107" t="n">
        <f aca="false">IF(ISNUMBER(AM193),IFERROR(-AM193/AM87,""),"")</f>
        <v>2.18957837753174</v>
      </c>
      <c r="AN218" s="107" t="n">
        <f aca="false">IF(ISNUMBER(AN193),IFERROR(-AN193/AN87,""),"")</f>
        <v>2.11862444925696</v>
      </c>
      <c r="AO218" s="107" t="n">
        <f aca="false">IF(ISNUMBER(AO193),IFERROR(-AO193/AO87,""),"")</f>
        <v>3.76395703942628</v>
      </c>
      <c r="AP218" s="107" t="n">
        <f aca="false">IF(ISNUMBER(AP193),IFERROR(-AP193/AP87,""),"")</f>
        <v>2.51393099926595</v>
      </c>
      <c r="AQ218" s="107" t="n">
        <f aca="false">IF(ISNUMBER(AQ193),IFERROR(-AQ193/AQ87,""),"")</f>
        <v>1.33174389057941</v>
      </c>
      <c r="AR218" s="107" t="n">
        <f aca="false">IF(ISNUMBER(AR193),IFERROR(-AR193/AR87,""),"")</f>
        <v>2.41452973517438</v>
      </c>
      <c r="AS218" s="107" t="n">
        <f aca="false">IF(ISNUMBER(AS193),IFERROR(-AS193/AS87,""),"")</f>
        <v>3.30135010739491</v>
      </c>
      <c r="AT218" s="107" t="n">
        <f aca="false">IF(ISNUMBER(AT193),IFERROR(-AT193/AT87,""),"")</f>
        <v>1.2260575095057</v>
      </c>
      <c r="AU218" s="107" t="n">
        <f aca="false">IF(ISNUMBER(AU193),IFERROR(-AU193/AU87,""),"")</f>
        <v>1.6491935483871</v>
      </c>
      <c r="AV218" s="107" t="n">
        <f aca="false">IF(ISNUMBER(AV193),IFERROR(-AV193/AV87,""),"")</f>
        <v>0.755917722444919</v>
      </c>
      <c r="AW218" s="107" t="n">
        <f aca="false">IF(ISNUMBER(AW193),IFERROR(-AW193/AW87,""),"")</f>
        <v>1.71654970108797</v>
      </c>
      <c r="AX218" s="107" t="n">
        <f aca="false">IF(ISNUMBER(AX193),IFERROR(-AX193/AX87,""),"")</f>
        <v>0.722831618229108</v>
      </c>
      <c r="AY218" s="107" t="n">
        <f aca="false">IF(ISNUMBER(AY193),IFERROR(-AY193/AY87,""),"")</f>
        <v>2.15338007443954</v>
      </c>
      <c r="AZ218" s="107" t="n">
        <f aca="false">IF(ISNUMBER(AZ193),IFERROR(-AZ193/AZ87,""),"")</f>
        <v>1.52990879077836</v>
      </c>
      <c r="BA218" s="107" t="n">
        <f aca="false">IF(ISNUMBER(BA193),IFERROR(-BA193/BA87,""),"")</f>
        <v>3.64244161772483</v>
      </c>
      <c r="BB218" s="107" t="n">
        <f aca="false">IF(ISNUMBER(BB193),IFERROR(-BB193/BB87,""),"")</f>
        <v>2.01655610444601</v>
      </c>
      <c r="BC218" s="107" t="n">
        <f aca="false">IF(ISNUMBER(BC193),IFERROR(-BC193/BC87,""),"")</f>
        <v>1.15786443732479</v>
      </c>
      <c r="BD218" s="107" t="n">
        <f aca="false">IF(ISNUMBER(BD193),IFERROR(-BD193/BD87,""),"")</f>
        <v>2.97996968384582</v>
      </c>
      <c r="BE218" s="107" t="n">
        <f aca="false">IF(ISNUMBER(BE193),IFERROR(-BE193/BE87,""),"")</f>
        <v>3.01622339118037</v>
      </c>
      <c r="BF218" s="107" t="n">
        <f aca="false">IF(ISNUMBER(BF193),IFERROR(-BF193/BF87,""),"")</f>
        <v>2.23020820189274</v>
      </c>
      <c r="BG218" s="107" t="n">
        <f aca="false">IF(ISNUMBER(BG193),IFERROR(-BG193/BG87,""),"")</f>
        <v>2.33729000082696</v>
      </c>
      <c r="BH218" s="107" t="n">
        <f aca="false">IF(ISNUMBER(BH193),IFERROR(-BH193/BH87,""),"")</f>
        <v>2.99475279850746</v>
      </c>
      <c r="BI218" s="107" t="n">
        <f aca="false">IF(ISNUMBER(BI193),IFERROR(-BI193/BI87,""),"")</f>
        <v>2.208047830176</v>
      </c>
      <c r="BJ218" s="107" t="n">
        <f aca="false">IF(ISNUMBER(BJ193),IFERROR(-BJ193/BJ87,""),"")</f>
        <v>2.48818448857907</v>
      </c>
      <c r="BK218" s="107" t="n">
        <f aca="false">IF(ISNUMBER(BK193),IFERROR(-BK193/BK87,""),"")</f>
        <v>2.17450589857515</v>
      </c>
      <c r="BL218" s="107" t="n">
        <f aca="false">IF(ISNUMBER(BL193),IFERROR(-BL193/BL87,""),"")</f>
        <v>2.45955436271632</v>
      </c>
      <c r="BM218" s="107" t="n">
        <f aca="false">IF(ISNUMBER(BM193),IFERROR(-BM193/BM87,""),"")</f>
        <v>9.35871768101701</v>
      </c>
      <c r="BN218" s="107" t="n">
        <f aca="false">IF(ISNUMBER(BN193),IFERROR(-BN193/BN87,""),"")</f>
        <v>4.27811405512411</v>
      </c>
      <c r="BO218" s="107" t="n">
        <f aca="false">IF(ISNUMBER(BO193),IFERROR(-BO193/BO87,""),"")</f>
        <v>3.53818427985949</v>
      </c>
      <c r="BP218" s="107" t="n">
        <f aca="false">IF(ISNUMBER(BP193),IFERROR(-BP193/BP87,""),"")</f>
        <v>3.11214486534478</v>
      </c>
      <c r="BQ218" s="107" t="n">
        <f aca="false">IF(ISNUMBER(BQ193),IFERROR(-BQ193/BQ87,""),"")</f>
        <v>4.96683562980415</v>
      </c>
      <c r="BR218" s="107" t="n">
        <f aca="false">IF(ISNUMBER(BR193),IFERROR(-BR193/BR87,""),"")</f>
        <v>3.43629219382484</v>
      </c>
      <c r="BS218" s="107" t="n">
        <f aca="false">IF(ISNUMBER(BS193),IFERROR(-BS193/BS87,""),"")</f>
        <v>2.79236082243469</v>
      </c>
      <c r="BT218" s="107" t="n">
        <f aca="false">IF(ISNUMBER(BT193),IFERROR(-BT193/BT87,""),"")</f>
        <v>1.40971625778847</v>
      </c>
      <c r="BU218" s="107" t="n">
        <f aca="false">IF(ISNUMBER(BU193),IFERROR(-BU193/BU87,""),"")</f>
        <v>1.58585794398462</v>
      </c>
      <c r="BV218" s="107" t="n">
        <f aca="false">IF(ISNUMBER(BV193),IFERROR(-BV193/BV87,""),"")</f>
        <v>2.28359073592064</v>
      </c>
      <c r="BW218" s="107" t="n">
        <f aca="false">IF(ISNUMBER(BW193),IFERROR(-BW193/BW87,""),"")</f>
        <v>1.06312912043737</v>
      </c>
      <c r="BX218" s="107" t="n">
        <f aca="false">IF(ISNUMBER(BX193),IFERROR(-BX193/BX87,""),"")</f>
        <v>1.47936305137034</v>
      </c>
      <c r="BY218" s="108"/>
      <c r="BZ218" s="108"/>
      <c r="CA218" s="109" t="n">
        <f aca="false">IFERROR(-CA193/CA87,"")</f>
        <v>1.47289744894365</v>
      </c>
      <c r="CB218" s="109" t="n">
        <f aca="false">IFERROR(-CB193/CB87,"")</f>
        <v>1.54288804620937</v>
      </c>
      <c r="CC218" s="109" t="n">
        <f aca="false">IFERROR(-CC193/CC87,"")</f>
        <v>1.55651303095259</v>
      </c>
      <c r="CD218" s="109" t="n">
        <f aca="false">IFERROR(-CD193/CD87,"")</f>
        <v>1.72492518961605</v>
      </c>
      <c r="CE218" s="109" t="n">
        <f aca="false">IFERROR(-CE193/CE87,"")</f>
        <v>1.74281334847445</v>
      </c>
      <c r="CF218" s="21"/>
    </row>
    <row r="219" customFormat="false" ht="15" hidden="false" customHeight="true" outlineLevel="0" collapsed="false"/>
    <row r="220" customFormat="false" ht="15" hidden="false" customHeight="true" outlineLevel="0" collapsed="false">
      <c r="B220" s="11" t="s">
        <v>385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 t="s">
        <v>386</v>
      </c>
    </row>
    <row r="221" customFormat="false" ht="15" hidden="false" customHeight="true" outlineLevel="0" collapsed="false">
      <c r="B221" s="22" t="s">
        <v>387</v>
      </c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7"/>
      <c r="BZ221" s="47"/>
      <c r="CA221" s="25" t="n">
        <f aca="false">CA322</f>
        <v>350</v>
      </c>
      <c r="CB221" s="25" t="n">
        <f aca="false">CA221*(1+$CP$31)</f>
        <v>374.5</v>
      </c>
      <c r="CC221" s="25" t="n">
        <f aca="false">CB221*(1+$CP$31)</f>
        <v>400.715</v>
      </c>
      <c r="CD221" s="25" t="n">
        <f aca="false">CC221*(1+$CP$31)</f>
        <v>428.76505</v>
      </c>
      <c r="CE221" s="25" t="n">
        <f aca="false">CD221*(1+$CP$31)</f>
        <v>458.7786035</v>
      </c>
      <c r="CF221" s="21"/>
    </row>
    <row r="222" customFormat="false" ht="15" hidden="false" customHeight="true" outlineLevel="0" collapsed="false">
      <c r="B222" s="22" t="s">
        <v>388</v>
      </c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/>
      <c r="BK222" s="86"/>
      <c r="BL222" s="86"/>
      <c r="BM222" s="86"/>
      <c r="BN222" s="86"/>
      <c r="BO222" s="86"/>
      <c r="BP222" s="86"/>
      <c r="BQ222" s="86"/>
      <c r="BR222" s="86"/>
      <c r="BS222" s="86"/>
      <c r="BT222" s="86"/>
      <c r="BU222" s="86"/>
      <c r="BV222" s="86"/>
      <c r="BW222" s="86"/>
      <c r="BX222" s="86"/>
      <c r="BY222" s="87"/>
      <c r="BZ222" s="87"/>
      <c r="CA222" s="67" t="n">
        <f aca="false">CA293</f>
        <v>0</v>
      </c>
      <c r="CB222" s="67" t="n">
        <f aca="false">CB293</f>
        <v>323.489530761159</v>
      </c>
      <c r="CC222" s="67" t="n">
        <f aca="false">CC293</f>
        <v>292.49462287463</v>
      </c>
      <c r="CD222" s="67" t="n">
        <f aca="false">CD293</f>
        <v>268.168904279493</v>
      </c>
      <c r="CE222" s="67" t="n">
        <f aca="false">CE293</f>
        <v>314.376887499386</v>
      </c>
      <c r="CF222" s="21"/>
    </row>
    <row r="223" customFormat="false" ht="15" hidden="false" customHeight="true" outlineLevel="0" collapsed="false">
      <c r="B223" s="22" t="s">
        <v>389</v>
      </c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  <c r="BY223" s="111"/>
      <c r="BZ223" s="111"/>
      <c r="CA223" s="63" t="n">
        <f aca="false">IFERROR(CA222/CA221,0)</f>
        <v>0</v>
      </c>
      <c r="CB223" s="63" t="n">
        <f aca="false">IFERROR(CB222/CB221,0)</f>
        <v>0.863790469322187</v>
      </c>
      <c r="CC223" s="63" t="n">
        <f aca="false">IFERROR(CC222/CC221,0)</f>
        <v>0.729931804086771</v>
      </c>
      <c r="CD223" s="63" t="n">
        <f aca="false">IFERROR(CD222/CD221,0)</f>
        <v>0.625444877747131</v>
      </c>
      <c r="CE223" s="63" t="n">
        <f aca="false">IFERROR(CE222/CE221,0)</f>
        <v>0.685247492147671</v>
      </c>
      <c r="CF223" s="21"/>
    </row>
    <row r="224" customFormat="false" ht="15" hidden="false" customHeight="true" outlineLevel="0" collapsed="false">
      <c r="B224" s="22" t="s">
        <v>390</v>
      </c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  <c r="BY224" s="111"/>
      <c r="BZ224" s="111"/>
      <c r="CA224" s="112" t="n">
        <v>0.04</v>
      </c>
      <c r="CB224" s="112" t="n">
        <v>0.04</v>
      </c>
      <c r="CC224" s="112" t="n">
        <v>0.04</v>
      </c>
      <c r="CD224" s="112" t="n">
        <v>0.04</v>
      </c>
      <c r="CE224" s="112" t="n">
        <v>0.04</v>
      </c>
      <c r="CF224" s="21"/>
    </row>
    <row r="225" customFormat="false" ht="15" hidden="false" customHeight="true" outlineLevel="0" collapsed="false">
      <c r="B225" s="22" t="s">
        <v>391</v>
      </c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  <c r="BY225" s="111"/>
      <c r="BZ225" s="111"/>
      <c r="CA225" s="63" t="n">
        <f aca="false">$BX$263</f>
        <v>26.67465</v>
      </c>
      <c r="CB225" s="63" t="n">
        <f aca="false">CA226</f>
        <v>26.71465</v>
      </c>
      <c r="CC225" s="63" t="n">
        <f aca="false">CB226</f>
        <v>25.8908595306778</v>
      </c>
      <c r="CD225" s="63" t="n">
        <f aca="false">CC226</f>
        <v>25.200927726591</v>
      </c>
      <c r="CE225" s="63" t="n">
        <f aca="false">CD226</f>
        <v>24.6154828488439</v>
      </c>
      <c r="CF225" s="21" t="s">
        <v>392</v>
      </c>
    </row>
    <row r="226" customFormat="false" ht="15" hidden="false" customHeight="true" outlineLevel="0" collapsed="false">
      <c r="B226" s="22" t="s">
        <v>393</v>
      </c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  <c r="BY226" s="111"/>
      <c r="BZ226" s="111"/>
      <c r="CA226" s="63" t="n">
        <f aca="false">CA225-CA223+CA224</f>
        <v>26.71465</v>
      </c>
      <c r="CB226" s="63" t="n">
        <f aca="false">CB225-CB223+CB224</f>
        <v>25.8908595306778</v>
      </c>
      <c r="CC226" s="63" t="n">
        <f aca="false">CC225-CC223+CC224</f>
        <v>25.200927726591</v>
      </c>
      <c r="CD226" s="63" t="n">
        <f aca="false">CD225-CD223+CD224</f>
        <v>24.6154828488439</v>
      </c>
      <c r="CE226" s="63" t="n">
        <f aca="false">CE225-CE223+CE224</f>
        <v>23.9702353566962</v>
      </c>
      <c r="CF226" s="21"/>
    </row>
    <row r="227" customFormat="false" ht="15" hidden="false" customHeight="true" outlineLevel="0" collapsed="false">
      <c r="B227" s="22" t="s">
        <v>394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41"/>
      <c r="BZ227" s="41"/>
      <c r="CA227" s="30" t="n">
        <f aca="false">IFERROR(CA223/CA225,"")</f>
        <v>0</v>
      </c>
      <c r="CB227" s="30" t="n">
        <f aca="false">IFERROR(CB223/CB225,"")</f>
        <v>0.032333961677289</v>
      </c>
      <c r="CC227" s="30" t="n">
        <f aca="false">IFERROR(CC223/CC225,"")</f>
        <v>0.028192644713934</v>
      </c>
      <c r="CD227" s="30" t="n">
        <f aca="false">IFERROR(CD223/CD225,"")</f>
        <v>0.0248183275049508</v>
      </c>
      <c r="CE227" s="30" t="n">
        <f aca="false">IFERROR(CE223/CE225,"")</f>
        <v>0.0278380682741657</v>
      </c>
      <c r="CF227" s="21"/>
    </row>
    <row r="228" customFormat="false" ht="15" hidden="false" customHeight="true" outlineLevel="0" collapsed="false"/>
    <row r="229" customFormat="false" ht="15" hidden="false" customHeight="true" outlineLevel="0" collapsed="false">
      <c r="B229" s="11" t="s">
        <v>395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 t="s">
        <v>396</v>
      </c>
    </row>
    <row r="230" customFormat="false" ht="15" hidden="false" customHeight="true" outlineLevel="0" collapsed="false">
      <c r="B230" s="37" t="s">
        <v>397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90"/>
      <c r="BM230" s="42"/>
      <c r="BN230" s="42"/>
      <c r="BO230" s="42"/>
      <c r="BP230" s="42"/>
      <c r="BQ230" s="42"/>
      <c r="BR230" s="90"/>
      <c r="BS230" s="90"/>
      <c r="BT230" s="42"/>
      <c r="BU230" s="42"/>
      <c r="BV230" s="42"/>
      <c r="BW230" s="42"/>
      <c r="BX230" s="42"/>
      <c r="BY230" s="43"/>
      <c r="BZ230" s="43"/>
      <c r="CA230" s="43"/>
      <c r="CB230" s="43"/>
      <c r="CC230" s="43"/>
      <c r="CD230" s="43"/>
      <c r="CE230" s="43"/>
      <c r="CF230" s="21"/>
    </row>
    <row r="231" customFormat="false" ht="15" hidden="false" customHeight="true" outlineLevel="0" collapsed="false">
      <c r="B231" s="22" t="s">
        <v>398</v>
      </c>
      <c r="C231" s="83" t="n">
        <v>10.669</v>
      </c>
      <c r="D231" s="83" t="n">
        <v>6.656</v>
      </c>
      <c r="E231" s="83" t="n">
        <v>27.061</v>
      </c>
      <c r="F231" s="83" t="n">
        <v>8.746</v>
      </c>
      <c r="G231" s="83" t="n">
        <v>29.045</v>
      </c>
      <c r="H231" s="83" t="n">
        <v>1.317</v>
      </c>
      <c r="I231" s="83" t="n">
        <v>0.321</v>
      </c>
      <c r="J231" s="83" t="n">
        <v>0.437</v>
      </c>
      <c r="K231" s="83" t="n">
        <v>2.872</v>
      </c>
      <c r="L231" s="83" t="n">
        <v>4.06</v>
      </c>
      <c r="M231" s="83" t="n">
        <v>0.159</v>
      </c>
      <c r="N231" s="83" t="n">
        <v>0.159</v>
      </c>
      <c r="O231" s="83" t="n">
        <v>0.842</v>
      </c>
      <c r="P231" s="83" t="n">
        <v>1.788</v>
      </c>
      <c r="Q231" s="83" t="n">
        <v>7.244</v>
      </c>
      <c r="R231" s="83" t="n">
        <v>4.367</v>
      </c>
      <c r="S231" s="83" t="n">
        <v>4.367</v>
      </c>
      <c r="T231" s="83" t="n">
        <v>0.196</v>
      </c>
      <c r="U231" s="83" t="n">
        <v>3.663</v>
      </c>
      <c r="V231" s="83" t="n">
        <v>4.54</v>
      </c>
      <c r="W231" s="83" t="n">
        <v>0.124</v>
      </c>
      <c r="X231" s="83" t="n">
        <v>0.124</v>
      </c>
      <c r="Y231" s="83" t="n">
        <v>0.238</v>
      </c>
      <c r="Z231" s="83" t="n">
        <v>0.36</v>
      </c>
      <c r="AA231" s="83" t="n">
        <v>0.789</v>
      </c>
      <c r="AB231" s="83" t="n">
        <v>1.539</v>
      </c>
      <c r="AC231" s="83" t="n">
        <v>1.539</v>
      </c>
      <c r="AD231" s="83" t="n">
        <v>0.711</v>
      </c>
      <c r="AE231" s="83" t="n">
        <v>0.399</v>
      </c>
      <c r="AF231" s="83" t="n">
        <v>0.081</v>
      </c>
      <c r="AG231" s="83" t="n">
        <v>4.72</v>
      </c>
      <c r="AH231" s="83" t="n">
        <v>4.72</v>
      </c>
      <c r="AI231" s="83" t="n">
        <v>0.496</v>
      </c>
      <c r="AJ231" s="83" t="n">
        <v>1.189</v>
      </c>
      <c r="AK231" s="83" t="n">
        <v>0.529</v>
      </c>
      <c r="AL231" s="83" t="n">
        <v>2.194</v>
      </c>
      <c r="AM231" s="83" t="n">
        <v>2.194</v>
      </c>
      <c r="AN231" s="83" t="n">
        <v>0.031</v>
      </c>
      <c r="AO231" s="83" t="n">
        <v>0.503</v>
      </c>
      <c r="AP231" s="83" t="n">
        <v>0.015</v>
      </c>
      <c r="AQ231" s="83" t="n">
        <v>0.248</v>
      </c>
      <c r="AR231" s="83" t="n">
        <v>0.248</v>
      </c>
      <c r="AS231" s="83" t="n">
        <v>46.909</v>
      </c>
      <c r="AT231" s="83" t="n">
        <v>29.28</v>
      </c>
      <c r="AU231" s="83" t="n">
        <v>25.469</v>
      </c>
      <c r="AV231" s="83" t="n">
        <v>25.308</v>
      </c>
      <c r="AW231" s="83" t="n">
        <v>25.308</v>
      </c>
      <c r="AX231" s="83" t="n">
        <v>53.26</v>
      </c>
      <c r="AY231" s="83" t="n">
        <v>52.86</v>
      </c>
      <c r="AZ231" s="83" t="n">
        <v>121.702</v>
      </c>
      <c r="BA231" s="83" t="n">
        <v>106.588</v>
      </c>
      <c r="BB231" s="83" t="n">
        <v>106.588</v>
      </c>
      <c r="BC231" s="83" t="n">
        <v>141.325</v>
      </c>
      <c r="BD231" s="83" t="n">
        <v>137.871</v>
      </c>
      <c r="BE231" s="83" t="n">
        <v>149.825</v>
      </c>
      <c r="BF231" s="83" t="n">
        <v>187.39</v>
      </c>
      <c r="BG231" s="83" t="n">
        <v>187.39</v>
      </c>
      <c r="BH231" s="83" t="n">
        <v>166.425</v>
      </c>
      <c r="BI231" s="83" t="n">
        <v>234.997</v>
      </c>
      <c r="BJ231" s="83" t="n">
        <v>249.262</v>
      </c>
      <c r="BK231" s="83" t="n">
        <v>296.215</v>
      </c>
      <c r="BL231" s="83" t="n">
        <v>296.215</v>
      </c>
      <c r="BM231" s="83" t="n">
        <v>12.308</v>
      </c>
      <c r="BN231" s="83" t="n">
        <v>11.169</v>
      </c>
      <c r="BO231" s="83" t="n">
        <v>14.405</v>
      </c>
      <c r="BP231" s="83" t="n">
        <v>19.473</v>
      </c>
      <c r="BQ231" s="83" t="n">
        <v>19.473</v>
      </c>
      <c r="BR231" s="83" t="n">
        <v>16.535</v>
      </c>
      <c r="BS231" s="83" t="n">
        <v>18.837</v>
      </c>
      <c r="BT231" s="83" t="n">
        <v>35.5</v>
      </c>
      <c r="BU231" s="83" t="n">
        <v>19.72</v>
      </c>
      <c r="BV231" s="83" t="n">
        <v>19.72</v>
      </c>
      <c r="BW231" s="83" t="n">
        <v>39.177</v>
      </c>
      <c r="BX231" s="83" t="n">
        <v>84.014</v>
      </c>
      <c r="BY231" s="87"/>
      <c r="BZ231" s="87"/>
      <c r="CA231" s="67" t="n">
        <f aca="false">CA207</f>
        <v>154.578543829036</v>
      </c>
      <c r="CB231" s="67" t="n">
        <f aca="false">CB207</f>
        <v>100.124</v>
      </c>
      <c r="CC231" s="67" t="n">
        <f aca="false">CC207</f>
        <v>100.124</v>
      </c>
      <c r="CD231" s="67" t="n">
        <f aca="false">CD207</f>
        <v>100.124</v>
      </c>
      <c r="CE231" s="67" t="n">
        <f aca="false">CE207</f>
        <v>100.124</v>
      </c>
      <c r="CF231" s="21"/>
    </row>
    <row r="232" customFormat="false" ht="15" hidden="false" customHeight="true" outlineLevel="0" collapsed="false">
      <c r="B232" s="22" t="s">
        <v>399</v>
      </c>
      <c r="C232" s="83" t="n">
        <v>95.779</v>
      </c>
      <c r="D232" s="83" t="n">
        <v>107.116</v>
      </c>
      <c r="E232" s="83" t="n">
        <v>93.691</v>
      </c>
      <c r="F232" s="83" t="n">
        <v>87.507</v>
      </c>
      <c r="G232" s="83" t="n">
        <v>94.569</v>
      </c>
      <c r="H232" s="83" t="n">
        <v>107.436</v>
      </c>
      <c r="I232" s="83" t="n">
        <v>106.814</v>
      </c>
      <c r="J232" s="83" t="n">
        <v>126.597</v>
      </c>
      <c r="K232" s="83" t="n">
        <v>130.929</v>
      </c>
      <c r="L232" s="83" t="n">
        <v>127.542</v>
      </c>
      <c r="M232" s="83" t="n">
        <v>117.937</v>
      </c>
      <c r="N232" s="83" t="n">
        <v>117.937</v>
      </c>
      <c r="O232" s="83" t="n">
        <v>141.917</v>
      </c>
      <c r="P232" s="83" t="n">
        <v>148.85</v>
      </c>
      <c r="Q232" s="83" t="n">
        <v>146.597</v>
      </c>
      <c r="R232" s="83" t="n">
        <v>128.367</v>
      </c>
      <c r="S232" s="83" t="n">
        <v>128.367</v>
      </c>
      <c r="T232" s="83" t="n">
        <v>140.33</v>
      </c>
      <c r="U232" s="83" t="n">
        <v>146.202</v>
      </c>
      <c r="V232" s="83" t="n">
        <v>139.041</v>
      </c>
      <c r="W232" s="83" t="n">
        <v>124.222</v>
      </c>
      <c r="X232" s="83" t="n">
        <v>124.222</v>
      </c>
      <c r="Y232" s="83" t="n">
        <v>137.607</v>
      </c>
      <c r="Z232" s="83" t="n">
        <v>142.331</v>
      </c>
      <c r="AA232" s="83" t="n">
        <v>143.461</v>
      </c>
      <c r="AB232" s="83" t="n">
        <v>135.083</v>
      </c>
      <c r="AC232" s="83" t="n">
        <v>135.083</v>
      </c>
      <c r="AD232" s="83" t="n">
        <v>148.968</v>
      </c>
      <c r="AE232" s="83" t="n">
        <v>167.012</v>
      </c>
      <c r="AF232" s="83" t="n">
        <v>172.119</v>
      </c>
      <c r="AG232" s="83" t="n">
        <v>170.61</v>
      </c>
      <c r="AH232" s="83" t="n">
        <v>170.61</v>
      </c>
      <c r="AI232" s="83" t="n">
        <v>191.437</v>
      </c>
      <c r="AJ232" s="83" t="n">
        <v>200.644</v>
      </c>
      <c r="AK232" s="83" t="n">
        <v>197.973</v>
      </c>
      <c r="AL232" s="83" t="n">
        <v>181.612</v>
      </c>
      <c r="AM232" s="83" t="n">
        <v>181.612</v>
      </c>
      <c r="AN232" s="83" t="n">
        <v>202.133</v>
      </c>
      <c r="AO232" s="83" t="n">
        <v>227.046</v>
      </c>
      <c r="AP232" s="83" t="n">
        <v>218</v>
      </c>
      <c r="AQ232" s="83" t="n">
        <v>196.119</v>
      </c>
      <c r="AR232" s="83" t="n">
        <v>196.119</v>
      </c>
      <c r="AS232" s="83" t="n">
        <v>210.894</v>
      </c>
      <c r="AT232" s="83" t="n">
        <v>205.131</v>
      </c>
      <c r="AU232" s="83" t="n">
        <v>226.677</v>
      </c>
      <c r="AV232" s="83" t="n">
        <v>216.899</v>
      </c>
      <c r="AW232" s="83" t="n">
        <v>216.899</v>
      </c>
      <c r="AX232" s="83" t="n">
        <v>242.895</v>
      </c>
      <c r="AY232" s="83" t="n">
        <v>261.113</v>
      </c>
      <c r="AZ232" s="83" t="n">
        <v>295.862</v>
      </c>
      <c r="BA232" s="83" t="n">
        <v>276.755</v>
      </c>
      <c r="BB232" s="83" t="n">
        <v>276.755</v>
      </c>
      <c r="BC232" s="83" t="n">
        <v>322.343</v>
      </c>
      <c r="BD232" s="83" t="n">
        <v>357.052</v>
      </c>
      <c r="BE232" s="83" t="n">
        <v>335.595</v>
      </c>
      <c r="BF232" s="83" t="n">
        <v>290.306</v>
      </c>
      <c r="BG232" s="83" t="n">
        <v>290.306</v>
      </c>
      <c r="BH232" s="83" t="n">
        <v>294.917</v>
      </c>
      <c r="BI232" s="83" t="n">
        <v>299.551</v>
      </c>
      <c r="BJ232" s="83" t="n">
        <v>345.94</v>
      </c>
      <c r="BK232" s="83" t="n">
        <v>311.742</v>
      </c>
      <c r="BL232" s="83" t="n">
        <v>311.742</v>
      </c>
      <c r="BM232" s="83" t="n">
        <v>345.808</v>
      </c>
      <c r="BN232" s="83" t="n">
        <v>375.868</v>
      </c>
      <c r="BO232" s="83" t="n">
        <v>372.396</v>
      </c>
      <c r="BP232" s="83" t="n">
        <v>322.991</v>
      </c>
      <c r="BQ232" s="83" t="n">
        <v>322.991</v>
      </c>
      <c r="BR232" s="83" t="n">
        <v>351.106</v>
      </c>
      <c r="BS232" s="83" t="n">
        <v>347.196</v>
      </c>
      <c r="BT232" s="83" t="n">
        <v>365.343</v>
      </c>
      <c r="BU232" s="83" t="n">
        <v>332.206</v>
      </c>
      <c r="BV232" s="83" t="n">
        <v>332.206</v>
      </c>
      <c r="BW232" s="83" t="n">
        <v>376.967</v>
      </c>
      <c r="BX232" s="83" t="n">
        <v>423.841</v>
      </c>
      <c r="BY232" s="87"/>
      <c r="BZ232" s="87"/>
      <c r="CA232" s="67" t="n">
        <f aca="false">CA81*CA267/365</f>
        <v>383.700921161575</v>
      </c>
      <c r="CB232" s="67" t="n">
        <f aca="false">CB81*CB267/365</f>
        <v>418.984957040995</v>
      </c>
      <c r="CC232" s="67" t="n">
        <f aca="false">CC81*CC267/365</f>
        <v>444.992977957496</v>
      </c>
      <c r="CD232" s="67" t="n">
        <f aca="false">CD81*CD267/365</f>
        <v>476.501801608219</v>
      </c>
      <c r="CE232" s="67" t="n">
        <f aca="false">CE81*CE267/365</f>
        <v>515.37243607441</v>
      </c>
      <c r="CF232" s="21"/>
    </row>
    <row r="233" customFormat="false" ht="15" hidden="false" customHeight="true" outlineLevel="0" collapsed="false">
      <c r="B233" s="22" t="s">
        <v>400</v>
      </c>
      <c r="C233" s="83" t="n">
        <v>27.236</v>
      </c>
      <c r="D233" s="83" t="n">
        <v>37.837</v>
      </c>
      <c r="E233" s="83" t="n">
        <v>34.156</v>
      </c>
      <c r="F233" s="83" t="n">
        <v>38.3</v>
      </c>
      <c r="G233" s="83" t="n">
        <v>29.882</v>
      </c>
      <c r="H233" s="83" t="n">
        <v>34.063</v>
      </c>
      <c r="I233" s="83" t="n">
        <v>37.028</v>
      </c>
      <c r="J233" s="83" t="n">
        <v>32.585</v>
      </c>
      <c r="K233" s="83" t="n">
        <v>33.601</v>
      </c>
      <c r="L233" s="83" t="n">
        <v>37.551</v>
      </c>
      <c r="M233" s="83" t="n">
        <v>52.157</v>
      </c>
      <c r="N233" s="83" t="n">
        <v>52.157</v>
      </c>
      <c r="O233" s="83" t="n">
        <v>43.609</v>
      </c>
      <c r="P233" s="83" t="n">
        <v>43.877</v>
      </c>
      <c r="Q233" s="83" t="n">
        <v>39.619</v>
      </c>
      <c r="R233" s="83" t="n">
        <v>56.902</v>
      </c>
      <c r="S233" s="83" t="n">
        <v>56.902</v>
      </c>
      <c r="T233" s="83" t="n">
        <v>55.492</v>
      </c>
      <c r="U233" s="83" t="n">
        <v>44.132</v>
      </c>
      <c r="V233" s="83" t="n">
        <v>42.156</v>
      </c>
      <c r="W233" s="83" t="n">
        <v>34.642</v>
      </c>
      <c r="X233" s="83" t="n">
        <v>34.642</v>
      </c>
      <c r="Y233" s="83" t="n">
        <v>37.59</v>
      </c>
      <c r="Z233" s="83" t="n">
        <v>29.45</v>
      </c>
      <c r="AA233" s="83" t="n">
        <v>22.152</v>
      </c>
      <c r="AB233" s="83" t="n">
        <v>29.857</v>
      </c>
      <c r="AC233" s="83" t="n">
        <v>29.857</v>
      </c>
      <c r="AD233" s="83" t="n">
        <v>34.969</v>
      </c>
      <c r="AE233" s="83" t="n">
        <v>30.219</v>
      </c>
      <c r="AF233" s="83" t="n">
        <v>28.399</v>
      </c>
      <c r="AG233" s="83" t="n">
        <v>28.251</v>
      </c>
      <c r="AH233" s="83" t="n">
        <v>28.251</v>
      </c>
      <c r="AI233" s="83" t="n">
        <v>34.066</v>
      </c>
      <c r="AJ233" s="83" t="n">
        <v>30.854</v>
      </c>
      <c r="AK233" s="83" t="n">
        <v>26.155</v>
      </c>
      <c r="AL233" s="83" t="n">
        <v>29.567</v>
      </c>
      <c r="AM233" s="83" t="n">
        <v>29.567</v>
      </c>
      <c r="AN233" s="83" t="n">
        <v>38.923</v>
      </c>
      <c r="AO233" s="83" t="n">
        <v>33.84</v>
      </c>
      <c r="AP233" s="83" t="n">
        <v>31.694</v>
      </c>
      <c r="AQ233" s="83" t="n">
        <v>36.012</v>
      </c>
      <c r="AR233" s="83" t="n">
        <v>36.012</v>
      </c>
      <c r="AS233" s="83" t="n">
        <v>48.105</v>
      </c>
      <c r="AT233" s="83" t="n">
        <v>35.232</v>
      </c>
      <c r="AU233" s="83" t="n">
        <v>27.971</v>
      </c>
      <c r="AV233" s="83" t="n">
        <v>29.489</v>
      </c>
      <c r="AW233" s="83" t="n">
        <v>29.489</v>
      </c>
      <c r="AX233" s="83" t="n">
        <v>52.16</v>
      </c>
      <c r="AY233" s="83" t="n">
        <v>39.908</v>
      </c>
      <c r="AZ233" s="83" t="n">
        <v>33.045</v>
      </c>
      <c r="BA233" s="83" t="n">
        <v>32.912</v>
      </c>
      <c r="BB233" s="83" t="n">
        <v>32.912</v>
      </c>
      <c r="BC233" s="83" t="n">
        <v>46.998</v>
      </c>
      <c r="BD233" s="83" t="n">
        <v>41.453</v>
      </c>
      <c r="BE233" s="83" t="n">
        <v>65.982</v>
      </c>
      <c r="BF233" s="83" t="n">
        <v>53.19</v>
      </c>
      <c r="BG233" s="83" t="n">
        <v>53.19</v>
      </c>
      <c r="BH233" s="83" t="n">
        <v>52.172</v>
      </c>
      <c r="BI233" s="83" t="n">
        <v>44.321</v>
      </c>
      <c r="BJ233" s="83" t="n">
        <v>50.391</v>
      </c>
      <c r="BK233" s="83" t="n">
        <v>40.737</v>
      </c>
      <c r="BL233" s="83" t="n">
        <v>40.737</v>
      </c>
      <c r="BM233" s="83" t="n">
        <v>58.144</v>
      </c>
      <c r="BN233" s="83" t="n">
        <v>59.024</v>
      </c>
      <c r="BO233" s="83" t="n">
        <v>50.546</v>
      </c>
      <c r="BP233" s="83" t="n">
        <v>93.305</v>
      </c>
      <c r="BQ233" s="83" t="n">
        <v>93.305</v>
      </c>
      <c r="BR233" s="83" t="n">
        <v>101.963</v>
      </c>
      <c r="BS233" s="83" t="n">
        <v>85.117</v>
      </c>
      <c r="BT233" s="83" t="n">
        <v>96.151</v>
      </c>
      <c r="BU233" s="83" t="n">
        <v>82.63</v>
      </c>
      <c r="BV233" s="83" t="n">
        <v>82.63</v>
      </c>
      <c r="BW233" s="83" t="n">
        <v>83.248</v>
      </c>
      <c r="BX233" s="83" t="n">
        <v>79.791</v>
      </c>
      <c r="BY233" s="87"/>
      <c r="BZ233" s="87"/>
      <c r="CA233" s="67" t="n">
        <f aca="false">CA81*CA268</f>
        <v>95.4383939952347</v>
      </c>
      <c r="CB233" s="67" t="n">
        <f aca="false">CB81*CB268</f>
        <v>104.214634896111</v>
      </c>
      <c r="CC233" s="67" t="n">
        <f aca="false">CC81*CC268</f>
        <v>110.683641381034</v>
      </c>
      <c r="CD233" s="67" t="n">
        <f aca="false">CD81*CD268</f>
        <v>118.520869180229</v>
      </c>
      <c r="CE233" s="67" t="n">
        <f aca="false">CE81*CE268</f>
        <v>128.189209083606</v>
      </c>
      <c r="CF233" s="21"/>
    </row>
    <row r="234" customFormat="false" ht="15" hidden="false" customHeight="true" outlineLevel="0" collapsed="false">
      <c r="B234" s="17" t="s">
        <v>401</v>
      </c>
      <c r="C234" s="68" t="n">
        <f aca="false">IF(ISNUMBER(C231),SUM(C231:C233),"")</f>
        <v>133.684</v>
      </c>
      <c r="D234" s="68" t="n">
        <f aca="false">IF(ISNUMBER(D231),SUM(D231:D233),"")</f>
        <v>151.609</v>
      </c>
      <c r="E234" s="68" t="n">
        <f aca="false">IF(ISNUMBER(E231),SUM(E231:E233),"")</f>
        <v>154.908</v>
      </c>
      <c r="F234" s="68" t="n">
        <f aca="false">IF(ISNUMBER(F231),SUM(F231:F233),"")</f>
        <v>134.553</v>
      </c>
      <c r="G234" s="68" t="n">
        <f aca="false">IF(ISNUMBER(G231),SUM(G231:G233),"")</f>
        <v>153.496</v>
      </c>
      <c r="H234" s="68" t="n">
        <f aca="false">IF(ISNUMBER(H231),SUM(H231:H233),"")</f>
        <v>142.816</v>
      </c>
      <c r="I234" s="68" t="n">
        <f aca="false">IF(ISNUMBER(I231),SUM(I231:I233),"")</f>
        <v>144.163</v>
      </c>
      <c r="J234" s="68" t="n">
        <f aca="false">IF(ISNUMBER(J231),SUM(J231:J233),"")</f>
        <v>159.619</v>
      </c>
      <c r="K234" s="68" t="n">
        <f aca="false">IF(ISNUMBER(K231),SUM(K231:K233),"")</f>
        <v>167.402</v>
      </c>
      <c r="L234" s="68" t="n">
        <f aca="false">IF(ISNUMBER(L231),SUM(L231:L233),"")</f>
        <v>169.153</v>
      </c>
      <c r="M234" s="68" t="n">
        <f aca="false">IF(ISNUMBER(M231),SUM(M231:M233),"")</f>
        <v>170.253</v>
      </c>
      <c r="N234" s="68" t="n">
        <f aca="false">IF(ISNUMBER(N231),SUM(N231:N233),"")</f>
        <v>170.253</v>
      </c>
      <c r="O234" s="68" t="n">
        <f aca="false">IF(ISNUMBER(O231),SUM(O231:O233),"")</f>
        <v>186.368</v>
      </c>
      <c r="P234" s="68" t="n">
        <f aca="false">IF(ISNUMBER(P231),SUM(P231:P233),"")</f>
        <v>194.515</v>
      </c>
      <c r="Q234" s="68" t="n">
        <f aca="false">IF(ISNUMBER(Q231),SUM(Q231:Q233),"")</f>
        <v>193.46</v>
      </c>
      <c r="R234" s="68" t="n">
        <f aca="false">IF(ISNUMBER(R231),SUM(R231:R233),"")</f>
        <v>189.636</v>
      </c>
      <c r="S234" s="68" t="n">
        <f aca="false">IF(ISNUMBER(S231),SUM(S231:S233),"")</f>
        <v>189.636</v>
      </c>
      <c r="T234" s="68" t="n">
        <f aca="false">IF(ISNUMBER(T231),SUM(T231:T233),"")</f>
        <v>196.018</v>
      </c>
      <c r="U234" s="68" t="n">
        <f aca="false">IF(ISNUMBER(U231),SUM(U231:U233),"")</f>
        <v>193.997</v>
      </c>
      <c r="V234" s="68" t="n">
        <f aca="false">IF(ISNUMBER(V231),SUM(V231:V233),"")</f>
        <v>185.737</v>
      </c>
      <c r="W234" s="68" t="n">
        <f aca="false">IF(ISNUMBER(W231),SUM(W231:W233),"")</f>
        <v>158.988</v>
      </c>
      <c r="X234" s="68" t="n">
        <f aca="false">IF(ISNUMBER(X231),SUM(X231:X233),"")</f>
        <v>158.988</v>
      </c>
      <c r="Y234" s="68" t="n">
        <f aca="false">IF(ISNUMBER(Y231),SUM(Y231:Y233),"")</f>
        <v>175.435</v>
      </c>
      <c r="Z234" s="68" t="n">
        <f aca="false">IF(ISNUMBER(Z231),SUM(Z231:Z233),"")</f>
        <v>172.141</v>
      </c>
      <c r="AA234" s="68" t="n">
        <f aca="false">IF(ISNUMBER(AA231),SUM(AA231:AA233),"")</f>
        <v>166.402</v>
      </c>
      <c r="AB234" s="68" t="n">
        <f aca="false">IF(ISNUMBER(AB231),SUM(AB231:AB233),"")</f>
        <v>166.479</v>
      </c>
      <c r="AC234" s="68" t="n">
        <f aca="false">IF(ISNUMBER(AC231),SUM(AC231:AC233),"")</f>
        <v>166.479</v>
      </c>
      <c r="AD234" s="68" t="n">
        <f aca="false">IF(ISNUMBER(AD231),SUM(AD231:AD233),"")</f>
        <v>184.648</v>
      </c>
      <c r="AE234" s="68" t="n">
        <f aca="false">IF(ISNUMBER(AE231),SUM(AE231:AE233),"")</f>
        <v>197.63</v>
      </c>
      <c r="AF234" s="68" t="n">
        <f aca="false">IF(ISNUMBER(AF231),SUM(AF231:AF233),"")</f>
        <v>200.599</v>
      </c>
      <c r="AG234" s="68" t="n">
        <f aca="false">IF(ISNUMBER(AG231),SUM(AG231:AG233),"")</f>
        <v>203.581</v>
      </c>
      <c r="AH234" s="68" t="n">
        <f aca="false">IF(ISNUMBER(AH231),SUM(AH231:AH233),"")</f>
        <v>203.581</v>
      </c>
      <c r="AI234" s="68" t="n">
        <f aca="false">IF(ISNUMBER(AI231),SUM(AI231:AI233),"")</f>
        <v>225.999</v>
      </c>
      <c r="AJ234" s="68" t="n">
        <f aca="false">IF(ISNUMBER(AJ231),SUM(AJ231:AJ233),"")</f>
        <v>232.687</v>
      </c>
      <c r="AK234" s="68" t="n">
        <f aca="false">IF(ISNUMBER(AK231),SUM(AK231:AK233),"")</f>
        <v>224.657</v>
      </c>
      <c r="AL234" s="68" t="n">
        <f aca="false">IF(ISNUMBER(AL231),SUM(AL231:AL233),"")</f>
        <v>213.373</v>
      </c>
      <c r="AM234" s="68" t="n">
        <f aca="false">IF(ISNUMBER(AM231),SUM(AM231:AM233),"")</f>
        <v>213.373</v>
      </c>
      <c r="AN234" s="68" t="n">
        <f aca="false">IF(ISNUMBER(AN231),SUM(AN231:AN233),"")</f>
        <v>241.087</v>
      </c>
      <c r="AO234" s="68" t="n">
        <f aca="false">IF(ISNUMBER(AO231),SUM(AO231:AO233),"")</f>
        <v>261.389</v>
      </c>
      <c r="AP234" s="68" t="n">
        <f aca="false">IF(ISNUMBER(AP231),SUM(AP231:AP233),"")</f>
        <v>249.709</v>
      </c>
      <c r="AQ234" s="68" t="n">
        <f aca="false">IF(ISNUMBER(AQ231),SUM(AQ231:AQ233),"")</f>
        <v>232.379</v>
      </c>
      <c r="AR234" s="68" t="n">
        <f aca="false">IF(ISNUMBER(AR231),SUM(AR231:AR233),"")</f>
        <v>232.379</v>
      </c>
      <c r="AS234" s="68" t="n">
        <f aca="false">IF(ISNUMBER(AS231),SUM(AS231:AS233),"")</f>
        <v>305.908</v>
      </c>
      <c r="AT234" s="68" t="n">
        <f aca="false">IF(ISNUMBER(AT231),SUM(AT231:AT233),"")</f>
        <v>269.643</v>
      </c>
      <c r="AU234" s="68" t="n">
        <f aca="false">IF(ISNUMBER(AU231),SUM(AU231:AU233),"")</f>
        <v>280.117</v>
      </c>
      <c r="AV234" s="68" t="n">
        <f aca="false">IF(ISNUMBER(AV231),SUM(AV231:AV233),"")</f>
        <v>271.696</v>
      </c>
      <c r="AW234" s="68" t="n">
        <f aca="false">IF(ISNUMBER(AW231),SUM(AW231:AW233),"")</f>
        <v>271.696</v>
      </c>
      <c r="AX234" s="68" t="n">
        <f aca="false">IF(ISNUMBER(AX231),SUM(AX231:AX233),"")</f>
        <v>348.315</v>
      </c>
      <c r="AY234" s="68" t="n">
        <f aca="false">IF(ISNUMBER(AY231),SUM(AY231:AY233),"")</f>
        <v>353.881</v>
      </c>
      <c r="AZ234" s="68" t="n">
        <f aca="false">IF(ISNUMBER(AZ231),SUM(AZ231:AZ233),"")</f>
        <v>450.609</v>
      </c>
      <c r="BA234" s="68" t="n">
        <f aca="false">IF(ISNUMBER(BA231),SUM(BA231:BA233),"")</f>
        <v>416.255</v>
      </c>
      <c r="BB234" s="68" t="n">
        <f aca="false">IF(ISNUMBER(BB231),SUM(BB231:BB233),"")</f>
        <v>416.255</v>
      </c>
      <c r="BC234" s="68" t="n">
        <f aca="false">IF(ISNUMBER(BC231),SUM(BC231:BC233),"")</f>
        <v>510.666</v>
      </c>
      <c r="BD234" s="68" t="n">
        <f aca="false">IF(ISNUMBER(BD231),SUM(BD231:BD233),"")</f>
        <v>536.376</v>
      </c>
      <c r="BE234" s="68" t="n">
        <f aca="false">IF(ISNUMBER(BE231),SUM(BE231:BE233),"")</f>
        <v>551.402</v>
      </c>
      <c r="BF234" s="68" t="n">
        <f aca="false">IF(ISNUMBER(BF231),SUM(BF231:BF233),"")</f>
        <v>530.886</v>
      </c>
      <c r="BG234" s="68" t="n">
        <f aca="false">IF(ISNUMBER(BG231),SUM(BG231:BG233),"")</f>
        <v>530.886</v>
      </c>
      <c r="BH234" s="68" t="n">
        <f aca="false">IF(ISNUMBER(BH231),SUM(BH231:BH233),"")</f>
        <v>513.514</v>
      </c>
      <c r="BI234" s="68" t="n">
        <f aca="false">IF(ISNUMBER(BI231),SUM(BI231:BI233),"")</f>
        <v>578.869</v>
      </c>
      <c r="BJ234" s="68" t="n">
        <f aca="false">IF(ISNUMBER(BJ231),SUM(BJ231:BJ233),"")</f>
        <v>645.593</v>
      </c>
      <c r="BK234" s="68" t="n">
        <f aca="false">IF(ISNUMBER(BK231),SUM(BK231:BK233),"")</f>
        <v>648.694</v>
      </c>
      <c r="BL234" s="68" t="n">
        <f aca="false">IF(ISNUMBER(BL231),SUM(BL231:BL233),"")</f>
        <v>648.694</v>
      </c>
      <c r="BM234" s="68" t="n">
        <f aca="false">IF(ISNUMBER(BM231),SUM(BM231:BM233),"")</f>
        <v>416.26</v>
      </c>
      <c r="BN234" s="68" t="n">
        <f aca="false">IF(ISNUMBER(BN231),SUM(BN231:BN233),"")</f>
        <v>446.061</v>
      </c>
      <c r="BO234" s="68" t="n">
        <f aca="false">IF(ISNUMBER(BO231),SUM(BO231:BO233),"")</f>
        <v>437.347</v>
      </c>
      <c r="BP234" s="68" t="n">
        <f aca="false">IF(ISNUMBER(BP231),SUM(BP231:BP233),"")</f>
        <v>435.769</v>
      </c>
      <c r="BQ234" s="68" t="n">
        <f aca="false">IF(ISNUMBER(BQ231),SUM(BQ231:BQ233),"")</f>
        <v>435.769</v>
      </c>
      <c r="BR234" s="68" t="n">
        <f aca="false">IF(ISNUMBER(BR231),SUM(BR231:BR233),"")</f>
        <v>469.604</v>
      </c>
      <c r="BS234" s="68" t="n">
        <f aca="false">IF(ISNUMBER(BS231),SUM(BS231:BS233),"")</f>
        <v>451.15</v>
      </c>
      <c r="BT234" s="68" t="n">
        <f aca="false">IF(ISNUMBER(BT231),SUM(BT231:BT233),"")</f>
        <v>496.994</v>
      </c>
      <c r="BU234" s="68" t="n">
        <f aca="false">IF(ISNUMBER(BU231),SUM(BU231:BU233),"")</f>
        <v>434.556</v>
      </c>
      <c r="BV234" s="68" t="n">
        <f aca="false">IF(ISNUMBER(BV231),SUM(BV231:BV233),"")</f>
        <v>434.556</v>
      </c>
      <c r="BW234" s="68" t="n">
        <f aca="false">IF(ISNUMBER(BW231),SUM(BW231:BW233),"")</f>
        <v>499.392</v>
      </c>
      <c r="BX234" s="68" t="n">
        <f aca="false">IF(ISNUMBER(BX231),SUM(BX231:BX233),"")</f>
        <v>587.646</v>
      </c>
      <c r="BY234" s="105"/>
      <c r="BZ234" s="105"/>
      <c r="CA234" s="69" t="n">
        <f aca="false">SUM(CA231:CA233)</f>
        <v>633.717858985846</v>
      </c>
      <c r="CB234" s="69" t="n">
        <f aca="false">SUM(CB231:CB233)</f>
        <v>623.323591937106</v>
      </c>
      <c r="CC234" s="69" t="n">
        <f aca="false">SUM(CC231:CC233)</f>
        <v>655.80061933853</v>
      </c>
      <c r="CD234" s="69" t="n">
        <f aca="false">SUM(CD231:CD233)</f>
        <v>695.146670788448</v>
      </c>
      <c r="CE234" s="69" t="n">
        <f aca="false">SUM(CE231:CE233)</f>
        <v>743.685645158016</v>
      </c>
      <c r="CF234" s="21"/>
    </row>
    <row r="235" customFormat="false" ht="15" hidden="false" customHeight="true" outlineLevel="0" collapsed="false">
      <c r="B235" s="22" t="s">
        <v>402</v>
      </c>
      <c r="C235" s="83" t="n">
        <v>518.052</v>
      </c>
      <c r="D235" s="83" t="n">
        <v>596.357</v>
      </c>
      <c r="E235" s="83" t="n">
        <v>615.212</v>
      </c>
      <c r="F235" s="83" t="n">
        <v>615.803</v>
      </c>
      <c r="G235" s="83" t="n">
        <v>610.572</v>
      </c>
      <c r="H235" s="83" t="n">
        <v>669.345</v>
      </c>
      <c r="I235" s="83" t="n">
        <v>718.527</v>
      </c>
      <c r="J235" s="83" t="n">
        <v>722.265</v>
      </c>
      <c r="K235" s="83" t="n">
        <v>787.616</v>
      </c>
      <c r="L235" s="83" t="n">
        <v>787.677</v>
      </c>
      <c r="M235" s="83" t="n">
        <v>797.527</v>
      </c>
      <c r="N235" s="83" t="n">
        <v>797.527</v>
      </c>
      <c r="O235" s="83" t="n">
        <v>820.386</v>
      </c>
      <c r="P235" s="83" t="n">
        <v>863.193</v>
      </c>
      <c r="Q235" s="83" t="n">
        <v>869.573</v>
      </c>
      <c r="R235" s="83" t="n">
        <v>891.145</v>
      </c>
      <c r="S235" s="83" t="n">
        <v>891.145</v>
      </c>
      <c r="T235" s="83" t="n">
        <v>924.466</v>
      </c>
      <c r="U235" s="83" t="n">
        <v>957.345</v>
      </c>
      <c r="V235" s="83" t="n">
        <v>975.874</v>
      </c>
      <c r="W235" s="83" t="n">
        <v>995.514</v>
      </c>
      <c r="X235" s="83" t="n">
        <v>995.514</v>
      </c>
      <c r="Y235" s="83" t="n">
        <v>1056.435</v>
      </c>
      <c r="Z235" s="83" t="n">
        <v>1107.001</v>
      </c>
      <c r="AA235" s="83" t="n">
        <v>1104.495</v>
      </c>
      <c r="AB235" s="83" t="n">
        <v>1101.946</v>
      </c>
      <c r="AC235" s="83" t="n">
        <v>1101.946</v>
      </c>
      <c r="AD235" s="83" t="n">
        <v>1216.711</v>
      </c>
      <c r="AE235" s="83" t="n">
        <v>1233.906</v>
      </c>
      <c r="AF235" s="83" t="n">
        <v>1260.856</v>
      </c>
      <c r="AG235" s="83" t="n">
        <v>1289.994</v>
      </c>
      <c r="AH235" s="83" t="n">
        <v>1289.994</v>
      </c>
      <c r="AI235" s="83" t="n">
        <v>1334.557</v>
      </c>
      <c r="AJ235" s="83" t="n">
        <v>1419.359</v>
      </c>
      <c r="AK235" s="83" t="n">
        <v>1445.049</v>
      </c>
      <c r="AL235" s="83" t="n">
        <v>1521.341</v>
      </c>
      <c r="AM235" s="83" t="n">
        <v>1521.341</v>
      </c>
      <c r="AN235" s="83" t="n">
        <v>1553.938</v>
      </c>
      <c r="AO235" s="83" t="n">
        <v>1665.557</v>
      </c>
      <c r="AP235" s="83" t="n">
        <v>1735.019</v>
      </c>
      <c r="AQ235" s="83" t="n">
        <v>1739.222</v>
      </c>
      <c r="AR235" s="83" t="n">
        <v>1739.222</v>
      </c>
      <c r="AS235" s="83" t="n">
        <v>1834.768</v>
      </c>
      <c r="AT235" s="83" t="n">
        <v>1862.048</v>
      </c>
      <c r="AU235" s="83" t="n">
        <v>1903.383</v>
      </c>
      <c r="AV235" s="83" t="n">
        <v>1901.244</v>
      </c>
      <c r="AW235" s="83" t="n">
        <v>1901.244</v>
      </c>
      <c r="AX235" s="83" t="n">
        <v>1918.279</v>
      </c>
      <c r="AY235" s="83" t="n">
        <v>1983.923</v>
      </c>
      <c r="AZ235" s="83" t="n">
        <v>2048.419</v>
      </c>
      <c r="BA235" s="83" t="n">
        <v>2144.528</v>
      </c>
      <c r="BB235" s="83" t="n">
        <v>2144.528</v>
      </c>
      <c r="BC235" s="83" t="n">
        <v>2162.492</v>
      </c>
      <c r="BD235" s="83" t="n">
        <v>2277.527</v>
      </c>
      <c r="BE235" s="83" t="n">
        <v>2403.702</v>
      </c>
      <c r="BF235" s="83" t="n">
        <v>2478.824</v>
      </c>
      <c r="BG235" s="83" t="n">
        <v>2478.824</v>
      </c>
      <c r="BH235" s="83" t="n">
        <v>2602.963</v>
      </c>
      <c r="BI235" s="83" t="n">
        <v>2683.192</v>
      </c>
      <c r="BJ235" s="83" t="n">
        <v>2789.357</v>
      </c>
      <c r="BK235" s="83" t="n">
        <v>2881.8</v>
      </c>
      <c r="BL235" s="83" t="n">
        <v>2881.8</v>
      </c>
      <c r="BM235" s="83" t="n">
        <v>3336.493</v>
      </c>
      <c r="BN235" s="83" t="n">
        <v>3535.457</v>
      </c>
      <c r="BO235" s="83" t="n">
        <v>3704.281</v>
      </c>
      <c r="BP235" s="83" t="n">
        <v>3790.069</v>
      </c>
      <c r="BQ235" s="83" t="n">
        <v>3790.069</v>
      </c>
      <c r="BR235" s="83" t="n">
        <v>3995.502</v>
      </c>
      <c r="BS235" s="83" t="n">
        <v>4133.481</v>
      </c>
      <c r="BT235" s="83" t="n">
        <v>4181.93</v>
      </c>
      <c r="BU235" s="83" t="n">
        <v>4259.438</v>
      </c>
      <c r="BV235" s="83" t="n">
        <v>4259.438</v>
      </c>
      <c r="BW235" s="83" t="n">
        <v>4303.82</v>
      </c>
      <c r="BX235" s="83" t="n">
        <v>4385.988</v>
      </c>
      <c r="BY235" s="87"/>
      <c r="BZ235" s="87"/>
      <c r="CA235" s="67" t="n">
        <f aca="false">BX235-(CA193-$BW$193-$BX$193)-((CA195-$BW$195-$BX$195)+(CA188-$BW$188-$BX$188))</f>
        <v>4602.966</v>
      </c>
      <c r="CB235" s="67" t="n">
        <f aca="false">CA235-CB193-(CB195+CB188)</f>
        <v>5051.67219400165</v>
      </c>
      <c r="CC235" s="67" t="n">
        <f aca="false">CB235-CC193-(CC195+CC188)</f>
        <v>5528.23132134338</v>
      </c>
      <c r="CD235" s="67" t="n">
        <f aca="false">CC235-CD193-(CD195+CD188)</f>
        <v>6084.92557945416</v>
      </c>
      <c r="CE235" s="67" t="n">
        <f aca="false">CD235-CE193-(CE195+CE188)</f>
        <v>6687.03217167032</v>
      </c>
      <c r="CF235" s="21" t="s">
        <v>403</v>
      </c>
    </row>
    <row r="236" customFormat="false" ht="15" hidden="false" customHeight="true" outlineLevel="0" collapsed="false">
      <c r="B236" s="22" t="s">
        <v>404</v>
      </c>
      <c r="C236" s="83" t="n">
        <v>203.22</v>
      </c>
      <c r="D236" s="83" t="n">
        <v>227.585</v>
      </c>
      <c r="E236" s="83" t="n">
        <v>259.41</v>
      </c>
      <c r="F236" s="83" t="n">
        <v>292.443</v>
      </c>
      <c r="G236" s="83" t="n">
        <v>319.634</v>
      </c>
      <c r="H236" s="83" t="n">
        <v>344.89</v>
      </c>
      <c r="I236" s="83" t="n">
        <v>356.823</v>
      </c>
      <c r="J236" s="83" t="n">
        <v>361.364</v>
      </c>
      <c r="K236" s="83" t="n">
        <v>369.346</v>
      </c>
      <c r="L236" s="83" t="n">
        <v>365.798</v>
      </c>
      <c r="M236" s="83" t="n">
        <v>365.301</v>
      </c>
      <c r="N236" s="83" t="n">
        <v>365.301</v>
      </c>
      <c r="O236" s="83" t="n">
        <v>377.108</v>
      </c>
      <c r="P236" s="83" t="n">
        <v>389.041</v>
      </c>
      <c r="Q236" s="83" t="n">
        <v>397.458</v>
      </c>
      <c r="R236" s="83" t="n">
        <v>407.505</v>
      </c>
      <c r="S236" s="83" t="n">
        <v>407.505</v>
      </c>
      <c r="T236" s="83" t="n">
        <v>417.271</v>
      </c>
      <c r="U236" s="83" t="n">
        <v>429.698</v>
      </c>
      <c r="V236" s="83" t="n">
        <v>443.33</v>
      </c>
      <c r="W236" s="83" t="n">
        <v>456.335</v>
      </c>
      <c r="X236" s="83" t="n">
        <v>456.335</v>
      </c>
      <c r="Y236" s="83" t="n">
        <v>467.212</v>
      </c>
      <c r="Z236" s="83" t="n">
        <v>481.088</v>
      </c>
      <c r="AA236" s="83" t="n">
        <v>492.577</v>
      </c>
      <c r="AB236" s="83" t="n">
        <v>497.827</v>
      </c>
      <c r="AC236" s="83" t="n">
        <v>497.827</v>
      </c>
      <c r="AD236" s="83" t="n">
        <v>504.324</v>
      </c>
      <c r="AE236" s="83" t="n">
        <v>520.682</v>
      </c>
      <c r="AF236" s="83" t="n">
        <v>538.065</v>
      </c>
      <c r="AG236" s="83" t="n">
        <v>554.214</v>
      </c>
      <c r="AH236" s="83" t="n">
        <v>554.214</v>
      </c>
      <c r="AI236" s="83" t="n">
        <v>573.699</v>
      </c>
      <c r="AJ236" s="83" t="n">
        <v>594.678</v>
      </c>
      <c r="AK236" s="83" t="n">
        <v>609.324</v>
      </c>
      <c r="AL236" s="83" t="n">
        <v>628.283</v>
      </c>
      <c r="AM236" s="83" t="n">
        <v>628.283</v>
      </c>
      <c r="AN236" s="83" t="n">
        <v>648.408</v>
      </c>
      <c r="AO236" s="83" t="n">
        <v>674.22</v>
      </c>
      <c r="AP236" s="83" t="n">
        <v>693.895</v>
      </c>
      <c r="AQ236" s="83" t="n">
        <v>686.623</v>
      </c>
      <c r="AR236" s="83" t="n">
        <v>686.623</v>
      </c>
      <c r="AS236" s="83" t="n">
        <v>712.882</v>
      </c>
      <c r="AT236" s="83" t="n">
        <v>743.345</v>
      </c>
      <c r="AU236" s="83" t="n">
        <v>762.264</v>
      </c>
      <c r="AV236" s="83" t="n">
        <v>765.217</v>
      </c>
      <c r="AW236" s="83" t="n">
        <v>765.217</v>
      </c>
      <c r="AX236" s="83" t="n">
        <v>796.511</v>
      </c>
      <c r="AY236" s="83" t="n">
        <v>826.983</v>
      </c>
      <c r="AZ236" s="83" t="n">
        <v>846.195</v>
      </c>
      <c r="BA236" s="83" t="n">
        <v>864.074</v>
      </c>
      <c r="BB236" s="83" t="n">
        <v>864.074</v>
      </c>
      <c r="BC236" s="83" t="n">
        <v>890.927</v>
      </c>
      <c r="BD236" s="83" t="n">
        <v>924.628</v>
      </c>
      <c r="BE236" s="83" t="n">
        <v>964.533</v>
      </c>
      <c r="BF236" s="83" t="n">
        <v>996.204</v>
      </c>
      <c r="BG236" s="83" t="n">
        <v>996.204</v>
      </c>
      <c r="BH236" s="83" t="n">
        <v>1034.649</v>
      </c>
      <c r="BI236" s="83" t="n">
        <v>1075.639</v>
      </c>
      <c r="BJ236" s="83" t="n">
        <v>1115.858</v>
      </c>
      <c r="BK236" s="83" t="n">
        <v>1118.492</v>
      </c>
      <c r="BL236" s="83" t="n">
        <v>1118.492</v>
      </c>
      <c r="BM236" s="83" t="n">
        <v>1159.629</v>
      </c>
      <c r="BN236" s="83" t="n">
        <v>1194.231</v>
      </c>
      <c r="BO236" s="83" t="n">
        <v>1222.373</v>
      </c>
      <c r="BP236" s="83" t="n">
        <v>1233.134</v>
      </c>
      <c r="BQ236" s="83" t="n">
        <v>1233.134</v>
      </c>
      <c r="BR236" s="83" t="n">
        <v>1273.382</v>
      </c>
      <c r="BS236" s="83" t="n">
        <v>1321.88</v>
      </c>
      <c r="BT236" s="83" t="n">
        <v>1368.123</v>
      </c>
      <c r="BU236" s="83" t="n">
        <v>1415.087</v>
      </c>
      <c r="BV236" s="83" t="n">
        <v>1415.087</v>
      </c>
      <c r="BW236" s="83" t="n">
        <v>1450.959</v>
      </c>
      <c r="BX236" s="83" t="n">
        <v>1481.142</v>
      </c>
      <c r="BY236" s="87"/>
      <c r="BZ236" s="87"/>
      <c r="CA236" s="67" t="n">
        <f aca="false">BX236+($BY$87+$BZ$87)</f>
        <v>1611.4358481</v>
      </c>
      <c r="CB236" s="67" t="n">
        <f aca="false">CA236+CB87</f>
        <v>1902.25811164923</v>
      </c>
      <c r="CC236" s="67" t="n">
        <f aca="false">CB236+CC87</f>
        <v>2208.42909632134</v>
      </c>
      <c r="CD236" s="67" t="n">
        <f aca="false">CC236+CD87</f>
        <v>2531.16440186505</v>
      </c>
      <c r="CE236" s="67" t="n">
        <f aca="false">CD236+CE87</f>
        <v>2876.64407858614</v>
      </c>
      <c r="CF236" s="21"/>
    </row>
    <row r="237" customFormat="false" ht="15" hidden="false" customHeight="true" outlineLevel="0" collapsed="false">
      <c r="B237" s="17" t="s">
        <v>405</v>
      </c>
      <c r="C237" s="68" t="n">
        <f aca="false">IF(ISNUMBER(C235),C235-C236,"")</f>
        <v>314.832</v>
      </c>
      <c r="D237" s="68" t="n">
        <f aca="false">IF(ISNUMBER(D235),D235-D236,"")</f>
        <v>368.772</v>
      </c>
      <c r="E237" s="68" t="n">
        <f aca="false">IF(ISNUMBER(E235),E235-E236,"")</f>
        <v>355.802</v>
      </c>
      <c r="F237" s="68" t="n">
        <f aca="false">IF(ISNUMBER(F235),F235-F236,"")</f>
        <v>323.36</v>
      </c>
      <c r="G237" s="68" t="n">
        <f aca="false">IF(ISNUMBER(G235),G235-G236,"")</f>
        <v>290.938</v>
      </c>
      <c r="H237" s="68" t="n">
        <f aca="false">IF(ISNUMBER(H235),H235-H236,"")</f>
        <v>324.455</v>
      </c>
      <c r="I237" s="68" t="n">
        <f aca="false">IF(ISNUMBER(I235),I235-I236,"")</f>
        <v>361.704</v>
      </c>
      <c r="J237" s="68" t="n">
        <f aca="false">IF(ISNUMBER(J235),J235-J236,"")</f>
        <v>360.901</v>
      </c>
      <c r="K237" s="68" t="n">
        <f aca="false">IF(ISNUMBER(K235),K235-K236,"")</f>
        <v>418.27</v>
      </c>
      <c r="L237" s="68" t="n">
        <f aca="false">IF(ISNUMBER(L235),L235-L236,"")</f>
        <v>421.879</v>
      </c>
      <c r="M237" s="68" t="n">
        <f aca="false">IF(ISNUMBER(M235),M235-M236,"")</f>
        <v>432.226</v>
      </c>
      <c r="N237" s="68" t="n">
        <f aca="false">IF(ISNUMBER(N235),N235-N236,"")</f>
        <v>432.226</v>
      </c>
      <c r="O237" s="68" t="n">
        <f aca="false">IF(ISNUMBER(O235),O235-O236,"")</f>
        <v>443.278</v>
      </c>
      <c r="P237" s="68" t="n">
        <f aca="false">IF(ISNUMBER(P235),P235-P236,"")</f>
        <v>474.152</v>
      </c>
      <c r="Q237" s="68" t="n">
        <f aca="false">IF(ISNUMBER(Q235),Q235-Q236,"")</f>
        <v>472.115</v>
      </c>
      <c r="R237" s="68" t="n">
        <f aca="false">IF(ISNUMBER(R235),R235-R236,"")</f>
        <v>483.64</v>
      </c>
      <c r="S237" s="68" t="n">
        <f aca="false">IF(ISNUMBER(S235),S235-S236,"")</f>
        <v>483.64</v>
      </c>
      <c r="T237" s="68" t="n">
        <f aca="false">IF(ISNUMBER(T235),T235-T236,"")</f>
        <v>507.195</v>
      </c>
      <c r="U237" s="68" t="n">
        <f aca="false">IF(ISNUMBER(U235),U235-U236,"")</f>
        <v>527.647</v>
      </c>
      <c r="V237" s="68" t="n">
        <f aca="false">IF(ISNUMBER(V235),V235-V236,"")</f>
        <v>532.544</v>
      </c>
      <c r="W237" s="68" t="n">
        <f aca="false">IF(ISNUMBER(W235),W235-W236,"")</f>
        <v>539.179</v>
      </c>
      <c r="X237" s="68" t="n">
        <f aca="false">IF(ISNUMBER(X235),X235-X236,"")</f>
        <v>539.179</v>
      </c>
      <c r="Y237" s="68" t="n">
        <f aca="false">IF(ISNUMBER(Y235),Y235-Y236,"")</f>
        <v>589.223</v>
      </c>
      <c r="Z237" s="68" t="n">
        <f aca="false">IF(ISNUMBER(Z235),Z235-Z236,"")</f>
        <v>625.913</v>
      </c>
      <c r="AA237" s="68" t="n">
        <f aca="false">IF(ISNUMBER(AA235),AA235-AA236,"")</f>
        <v>611.918</v>
      </c>
      <c r="AB237" s="68" t="n">
        <f aca="false">IF(ISNUMBER(AB235),AB235-AB236,"")</f>
        <v>604.119</v>
      </c>
      <c r="AC237" s="68" t="n">
        <f aca="false">IF(ISNUMBER(AC235),AC235-AC236,"")</f>
        <v>604.119</v>
      </c>
      <c r="AD237" s="68" t="n">
        <f aca="false">IF(ISNUMBER(AD235),AD235-AD236,"")</f>
        <v>712.387</v>
      </c>
      <c r="AE237" s="68" t="n">
        <f aca="false">IF(ISNUMBER(AE235),AE235-AE236,"")</f>
        <v>713.224</v>
      </c>
      <c r="AF237" s="68" t="n">
        <f aca="false">IF(ISNUMBER(AF235),AF235-AF236,"")</f>
        <v>722.791</v>
      </c>
      <c r="AG237" s="68" t="n">
        <f aca="false">IF(ISNUMBER(AG235),AG235-AG236,"")</f>
        <v>735.78</v>
      </c>
      <c r="AH237" s="68" t="n">
        <f aca="false">IF(ISNUMBER(AH235),AH235-AH236,"")</f>
        <v>735.78</v>
      </c>
      <c r="AI237" s="68" t="n">
        <f aca="false">IF(ISNUMBER(AI235),AI235-AI236,"")</f>
        <v>760.858</v>
      </c>
      <c r="AJ237" s="68" t="n">
        <f aca="false">IF(ISNUMBER(AJ235),AJ235-AJ236,"")</f>
        <v>824.681</v>
      </c>
      <c r="AK237" s="68" t="n">
        <f aca="false">IF(ISNUMBER(AK235),AK235-AK236,"")</f>
        <v>835.725</v>
      </c>
      <c r="AL237" s="68" t="n">
        <f aca="false">IF(ISNUMBER(AL235),AL235-AL236,"")</f>
        <v>893.058</v>
      </c>
      <c r="AM237" s="68" t="n">
        <f aca="false">IF(ISNUMBER(AM235),AM235-AM236,"")</f>
        <v>893.058</v>
      </c>
      <c r="AN237" s="68" t="n">
        <f aca="false">IF(ISNUMBER(AN235),AN235-AN236,"")</f>
        <v>905.53</v>
      </c>
      <c r="AO237" s="68" t="n">
        <f aca="false">IF(ISNUMBER(AO235),AO235-AO236,"")</f>
        <v>991.337</v>
      </c>
      <c r="AP237" s="68" t="n">
        <f aca="false">IF(ISNUMBER(AP235),AP235-AP236,"")</f>
        <v>1041.124</v>
      </c>
      <c r="AQ237" s="68" t="n">
        <f aca="false">IF(ISNUMBER(AQ235),AQ235-AQ236,"")</f>
        <v>1052.599</v>
      </c>
      <c r="AR237" s="68" t="n">
        <f aca="false">IF(ISNUMBER(AR235),AR235-AR236,"")</f>
        <v>1052.599</v>
      </c>
      <c r="AS237" s="68" t="n">
        <f aca="false">IF(ISNUMBER(AS235),AS235-AS236,"")</f>
        <v>1121.886</v>
      </c>
      <c r="AT237" s="68" t="n">
        <f aca="false">IF(ISNUMBER(AT235),AT235-AT236,"")</f>
        <v>1118.703</v>
      </c>
      <c r="AU237" s="68" t="n">
        <f aca="false">IF(ISNUMBER(AU235),AU235-AU236,"")</f>
        <v>1141.119</v>
      </c>
      <c r="AV237" s="68" t="n">
        <f aca="false">IF(ISNUMBER(AV235),AV235-AV236,"")</f>
        <v>1136.027</v>
      </c>
      <c r="AW237" s="68" t="n">
        <f aca="false">IF(ISNUMBER(AW235),AW235-AW236,"")</f>
        <v>1136.027</v>
      </c>
      <c r="AX237" s="68" t="n">
        <f aca="false">IF(ISNUMBER(AX235),AX235-AX236,"")</f>
        <v>1121.768</v>
      </c>
      <c r="AY237" s="68" t="n">
        <f aca="false">IF(ISNUMBER(AY235),AY235-AY236,"")</f>
        <v>1156.94</v>
      </c>
      <c r="AZ237" s="68" t="n">
        <f aca="false">IF(ISNUMBER(AZ235),AZ235-AZ236,"")</f>
        <v>1202.224</v>
      </c>
      <c r="BA237" s="68" t="n">
        <f aca="false">IF(ISNUMBER(BA235),BA235-BA236,"")</f>
        <v>1280.454</v>
      </c>
      <c r="BB237" s="68" t="n">
        <f aca="false">IF(ISNUMBER(BB235),BB235-BB236,"")</f>
        <v>1280.454</v>
      </c>
      <c r="BC237" s="68" t="n">
        <f aca="false">IF(ISNUMBER(BC235),BC235-BC236,"")</f>
        <v>1271.565</v>
      </c>
      <c r="BD237" s="68" t="n">
        <f aca="false">IF(ISNUMBER(BD235),BD235-BD236,"")</f>
        <v>1352.899</v>
      </c>
      <c r="BE237" s="68" t="n">
        <f aca="false">IF(ISNUMBER(BE235),BE235-BE236,"")</f>
        <v>1439.169</v>
      </c>
      <c r="BF237" s="68" t="n">
        <f aca="false">IF(ISNUMBER(BF235),BF235-BF236,"")</f>
        <v>1482.62</v>
      </c>
      <c r="BG237" s="68" t="n">
        <f aca="false">IF(ISNUMBER(BG235),BG235-BG236,"")</f>
        <v>1482.62</v>
      </c>
      <c r="BH237" s="68" t="n">
        <f aca="false">IF(ISNUMBER(BH235),BH235-BH236,"")</f>
        <v>1568.314</v>
      </c>
      <c r="BI237" s="68" t="n">
        <f aca="false">IF(ISNUMBER(BI235),BI235-BI236,"")</f>
        <v>1607.553</v>
      </c>
      <c r="BJ237" s="68" t="n">
        <f aca="false">IF(ISNUMBER(BJ235),BJ235-BJ236,"")</f>
        <v>1673.499</v>
      </c>
      <c r="BK237" s="68" t="n">
        <f aca="false">IF(ISNUMBER(BK235),BK235-BK236,"")</f>
        <v>1763.308</v>
      </c>
      <c r="BL237" s="68" t="n">
        <f aca="false">IF(ISNUMBER(BL235),BL235-BL236,"")</f>
        <v>1763.308</v>
      </c>
      <c r="BM237" s="68" t="n">
        <f aca="false">IF(ISNUMBER(BM235),BM235-BM236,"")</f>
        <v>2176.864</v>
      </c>
      <c r="BN237" s="68" t="n">
        <f aca="false">IF(ISNUMBER(BN235),BN235-BN236,"")</f>
        <v>2341.226</v>
      </c>
      <c r="BO237" s="68" t="n">
        <f aca="false">IF(ISNUMBER(BO235),BO235-BO236,"")</f>
        <v>2481.908</v>
      </c>
      <c r="BP237" s="68" t="n">
        <f aca="false">IF(ISNUMBER(BP235),BP235-BP236,"")</f>
        <v>2556.935</v>
      </c>
      <c r="BQ237" s="68" t="n">
        <f aca="false">IF(ISNUMBER(BQ235),BQ235-BQ236,"")</f>
        <v>2556.935</v>
      </c>
      <c r="BR237" s="68" t="n">
        <f aca="false">IF(ISNUMBER(BR235),BR235-BR236,"")</f>
        <v>2722.12</v>
      </c>
      <c r="BS237" s="68" t="n">
        <f aca="false">IF(ISNUMBER(BS235),BS235-BS236,"")</f>
        <v>2811.601</v>
      </c>
      <c r="BT237" s="68" t="n">
        <f aca="false">IF(ISNUMBER(BT235),BT235-BT236,"")</f>
        <v>2813.807</v>
      </c>
      <c r="BU237" s="68" t="n">
        <f aca="false">IF(ISNUMBER(BU235),BU235-BU236,"")</f>
        <v>2844.351</v>
      </c>
      <c r="BV237" s="68" t="n">
        <f aca="false">IF(ISNUMBER(BV235),BV235-BV236,"")</f>
        <v>2844.351</v>
      </c>
      <c r="BW237" s="68" t="n">
        <f aca="false">IF(ISNUMBER(BW235),BW235-BW236,"")</f>
        <v>2852.861</v>
      </c>
      <c r="BX237" s="68" t="n">
        <f aca="false">IF(ISNUMBER(BX235),BX235-BX236,"")</f>
        <v>2904.846</v>
      </c>
      <c r="BY237" s="105"/>
      <c r="BZ237" s="105"/>
      <c r="CA237" s="69" t="n">
        <f aca="false">CA235-CA236</f>
        <v>2991.5301519</v>
      </c>
      <c r="CB237" s="69" t="n">
        <f aca="false">CB235-CB236</f>
        <v>3149.41408235243</v>
      </c>
      <c r="CC237" s="69" t="n">
        <f aca="false">CC235-CC236</f>
        <v>3319.80222502204</v>
      </c>
      <c r="CD237" s="69" t="n">
        <f aca="false">CD235-CD236</f>
        <v>3553.76117758911</v>
      </c>
      <c r="CE237" s="69" t="n">
        <f aca="false">CE235-CE236</f>
        <v>3810.38809308418</v>
      </c>
      <c r="CF237" s="21"/>
    </row>
    <row r="238" customFormat="false" ht="15" hidden="false" customHeight="true" outlineLevel="0" collapsed="false">
      <c r="B238" s="22" t="s">
        <v>406</v>
      </c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3" t="n">
        <v>72.46</v>
      </c>
      <c r="AO238" s="83" t="n">
        <v>71.765</v>
      </c>
      <c r="AP238" s="83" t="n">
        <v>103.65</v>
      </c>
      <c r="AQ238" s="83" t="n">
        <v>101.666</v>
      </c>
      <c r="AR238" s="83" t="n">
        <v>101.666</v>
      </c>
      <c r="AS238" s="83" t="n">
        <v>122.652</v>
      </c>
      <c r="AT238" s="83" t="n">
        <v>122.401</v>
      </c>
      <c r="AU238" s="83" t="n">
        <v>117.487</v>
      </c>
      <c r="AV238" s="83" t="n">
        <v>113.715</v>
      </c>
      <c r="AW238" s="83" t="n">
        <v>113.715</v>
      </c>
      <c r="AX238" s="83" t="n">
        <v>111.737</v>
      </c>
      <c r="AY238" s="83" t="n">
        <v>105.965</v>
      </c>
      <c r="AZ238" s="83" t="n">
        <v>104.989</v>
      </c>
      <c r="BA238" s="83" t="n">
        <v>107.781</v>
      </c>
      <c r="BB238" s="83" t="n">
        <v>107.781</v>
      </c>
      <c r="BC238" s="83" t="n">
        <v>103.892</v>
      </c>
      <c r="BD238" s="83" t="n">
        <v>105.376</v>
      </c>
      <c r="BE238" s="83" t="n">
        <v>107.456</v>
      </c>
      <c r="BF238" s="83" t="n">
        <v>120.455</v>
      </c>
      <c r="BG238" s="83" t="n">
        <v>120.455</v>
      </c>
      <c r="BH238" s="83" t="n">
        <v>115.484</v>
      </c>
      <c r="BI238" s="83" t="n">
        <v>110.428</v>
      </c>
      <c r="BJ238" s="83" t="n">
        <v>126.122</v>
      </c>
      <c r="BK238" s="83" t="n">
        <v>118.734</v>
      </c>
      <c r="BL238" s="83" t="n">
        <v>118.734</v>
      </c>
      <c r="BM238" s="83" t="n">
        <v>129.52</v>
      </c>
      <c r="BN238" s="83" t="n">
        <v>127.441</v>
      </c>
      <c r="BO238" s="83" t="n">
        <v>121.336</v>
      </c>
      <c r="BP238" s="83" t="n">
        <v>126.828</v>
      </c>
      <c r="BQ238" s="83" t="n">
        <v>126.828</v>
      </c>
      <c r="BR238" s="83" t="n">
        <v>124.5</v>
      </c>
      <c r="BS238" s="83" t="n">
        <v>145.336</v>
      </c>
      <c r="BT238" s="83" t="n">
        <v>138.845</v>
      </c>
      <c r="BU238" s="83" t="n">
        <v>150.301</v>
      </c>
      <c r="BV238" s="83" t="n">
        <v>150.301</v>
      </c>
      <c r="BW238" s="83" t="n">
        <v>157.924</v>
      </c>
      <c r="BX238" s="83" t="n">
        <v>177.513</v>
      </c>
      <c r="BY238" s="87"/>
      <c r="BZ238" s="87"/>
      <c r="CA238" s="67" t="n">
        <f aca="false">BX238</f>
        <v>177.513</v>
      </c>
      <c r="CB238" s="67" t="n">
        <f aca="false">CA238</f>
        <v>177.513</v>
      </c>
      <c r="CC238" s="67" t="n">
        <f aca="false">CB238</f>
        <v>177.513</v>
      </c>
      <c r="CD238" s="67" t="n">
        <f aca="false">CC238</f>
        <v>177.513</v>
      </c>
      <c r="CE238" s="67" t="n">
        <f aca="false">CD238</f>
        <v>177.513</v>
      </c>
      <c r="CF238" s="21"/>
    </row>
    <row r="239" customFormat="false" ht="15" hidden="false" customHeight="true" outlineLevel="0" collapsed="false">
      <c r="B239" s="22" t="s">
        <v>407</v>
      </c>
      <c r="C239" s="83" t="n">
        <v>38.884</v>
      </c>
      <c r="D239" s="83" t="n">
        <v>40.202</v>
      </c>
      <c r="E239" s="83" t="n">
        <v>5.042</v>
      </c>
      <c r="F239" s="83" t="n">
        <v>8.513</v>
      </c>
      <c r="G239" s="83" t="n">
        <v>7.723</v>
      </c>
      <c r="H239" s="83" t="n">
        <v>7.615</v>
      </c>
      <c r="I239" s="83" t="n">
        <v>13.821</v>
      </c>
      <c r="J239" s="83" t="n">
        <v>14.534</v>
      </c>
      <c r="K239" s="83" t="n">
        <v>14.845</v>
      </c>
      <c r="L239" s="83" t="n">
        <v>14.643</v>
      </c>
      <c r="M239" s="83" t="n">
        <v>14.322</v>
      </c>
      <c r="N239" s="83" t="n">
        <v>14.322</v>
      </c>
      <c r="O239" s="83" t="n">
        <v>14.199</v>
      </c>
      <c r="P239" s="83" t="n">
        <v>14.024</v>
      </c>
      <c r="Q239" s="83" t="n">
        <v>13.919</v>
      </c>
      <c r="R239" s="83" t="n">
        <v>13.169</v>
      </c>
      <c r="S239" s="83" t="n">
        <v>13.169</v>
      </c>
      <c r="T239" s="83" t="n">
        <v>36.31</v>
      </c>
      <c r="U239" s="83" t="n">
        <v>34.695</v>
      </c>
      <c r="V239" s="83" t="n">
        <v>32.706</v>
      </c>
      <c r="W239" s="83" t="n">
        <v>31.026</v>
      </c>
      <c r="X239" s="83" t="n">
        <v>31.026</v>
      </c>
      <c r="Y239" s="83" t="n">
        <v>31.047</v>
      </c>
      <c r="Z239" s="83" t="n">
        <v>30.853</v>
      </c>
      <c r="AA239" s="83" t="n">
        <v>30.292</v>
      </c>
      <c r="AB239" s="83" t="n">
        <v>29.772</v>
      </c>
      <c r="AC239" s="83" t="n">
        <v>29.772</v>
      </c>
      <c r="AD239" s="83" t="n">
        <v>30.161</v>
      </c>
      <c r="AE239" s="83" t="n">
        <v>29.476</v>
      </c>
      <c r="AF239" s="83" t="n">
        <v>29.329</v>
      </c>
      <c r="AG239" s="83" t="n">
        <v>28.286</v>
      </c>
      <c r="AH239" s="83" t="n">
        <v>28.286</v>
      </c>
      <c r="AI239" s="83" t="n">
        <v>28.69</v>
      </c>
      <c r="AJ239" s="83" t="n">
        <v>28.59</v>
      </c>
      <c r="AK239" s="83" t="n">
        <v>27.71</v>
      </c>
      <c r="AL239" s="83" t="n">
        <v>27.312</v>
      </c>
      <c r="AM239" s="83" t="n">
        <v>27.312</v>
      </c>
      <c r="AN239" s="83" t="n">
        <v>27.78</v>
      </c>
      <c r="AO239" s="83" t="n">
        <v>27.629</v>
      </c>
      <c r="AP239" s="83" t="n">
        <v>27.789</v>
      </c>
      <c r="AQ239" s="83" t="n">
        <v>29.049</v>
      </c>
      <c r="AR239" s="83" t="n">
        <v>29.049</v>
      </c>
      <c r="AS239" s="83" t="n">
        <v>26.813</v>
      </c>
      <c r="AT239" s="83" t="n">
        <v>27.453</v>
      </c>
      <c r="AU239" s="83" t="n">
        <v>26.957</v>
      </c>
      <c r="AV239" s="83" t="n">
        <v>27.336</v>
      </c>
      <c r="AW239" s="83" t="n">
        <v>27.336</v>
      </c>
      <c r="AX239" s="83" t="n">
        <v>28.765</v>
      </c>
      <c r="AY239" s="83" t="n">
        <v>30.609</v>
      </c>
      <c r="AZ239" s="83" t="n">
        <v>31.437</v>
      </c>
      <c r="BA239" s="83" t="n">
        <v>40.76</v>
      </c>
      <c r="BB239" s="83" t="n">
        <v>40.76</v>
      </c>
      <c r="BC239" s="83" t="n">
        <v>46.226</v>
      </c>
      <c r="BD239" s="83" t="n">
        <v>53.204</v>
      </c>
      <c r="BE239" s="83" t="n">
        <v>42.297</v>
      </c>
      <c r="BF239" s="83" t="n">
        <v>40.749</v>
      </c>
      <c r="BG239" s="83" t="n">
        <v>40.749</v>
      </c>
      <c r="BH239" s="83" t="n">
        <v>45.487</v>
      </c>
      <c r="BI239" s="83" t="n">
        <v>40.261</v>
      </c>
      <c r="BJ239" s="83" t="n">
        <v>40.105</v>
      </c>
      <c r="BK239" s="83" t="n">
        <v>52.829</v>
      </c>
      <c r="BL239" s="83" t="n">
        <v>52.829</v>
      </c>
      <c r="BM239" s="83" t="n">
        <v>43.07</v>
      </c>
      <c r="BN239" s="83" t="n">
        <v>42.394</v>
      </c>
      <c r="BO239" s="83" t="n">
        <v>41.533</v>
      </c>
      <c r="BP239" s="83" t="n">
        <v>47.325</v>
      </c>
      <c r="BQ239" s="83" t="n">
        <v>47.325</v>
      </c>
      <c r="BR239" s="83" t="n">
        <v>48.997</v>
      </c>
      <c r="BS239" s="83" t="n">
        <v>49.639</v>
      </c>
      <c r="BT239" s="83" t="n">
        <v>51.314</v>
      </c>
      <c r="BU239" s="83" t="n">
        <v>53.473</v>
      </c>
      <c r="BV239" s="83" t="n">
        <v>53.473</v>
      </c>
      <c r="BW239" s="83" t="n">
        <v>53.46</v>
      </c>
      <c r="BX239" s="83" t="n">
        <v>54.955</v>
      </c>
      <c r="BY239" s="87"/>
      <c r="BZ239" s="87"/>
      <c r="CA239" s="67" t="n">
        <f aca="false">BX239</f>
        <v>54.955</v>
      </c>
      <c r="CB239" s="67" t="n">
        <f aca="false">CA239</f>
        <v>54.955</v>
      </c>
      <c r="CC239" s="67" t="n">
        <f aca="false">CB239</f>
        <v>54.955</v>
      </c>
      <c r="CD239" s="67" t="n">
        <f aca="false">CC239</f>
        <v>54.955</v>
      </c>
      <c r="CE239" s="67" t="n">
        <f aca="false">CD239</f>
        <v>54.955</v>
      </c>
      <c r="CF239" s="21"/>
    </row>
    <row r="240" customFormat="false" ht="15" hidden="false" customHeight="true" outlineLevel="0" collapsed="false">
      <c r="B240" s="71" t="s">
        <v>408</v>
      </c>
      <c r="C240" s="72" t="n">
        <f aca="false">IF(ISNUMBER(C231),C234+C237+N(C238)+C239,"")</f>
        <v>487.4</v>
      </c>
      <c r="D240" s="72" t="n">
        <f aca="false">IF(ISNUMBER(D231),D234+D237+N(D238)+D239,"")</f>
        <v>560.583</v>
      </c>
      <c r="E240" s="72" t="n">
        <f aca="false">IF(ISNUMBER(E231),E234+E237+N(E238)+E239,"")</f>
        <v>515.752</v>
      </c>
      <c r="F240" s="72" t="n">
        <f aca="false">IF(ISNUMBER(F231),F234+F237+N(F238)+F239,"")</f>
        <v>466.426</v>
      </c>
      <c r="G240" s="72" t="n">
        <f aca="false">IF(ISNUMBER(G231),G234+G237+N(G238)+G239,"")</f>
        <v>452.157</v>
      </c>
      <c r="H240" s="72" t="n">
        <f aca="false">IF(ISNUMBER(H231),H234+H237+N(H238)+H239,"")</f>
        <v>474.886</v>
      </c>
      <c r="I240" s="72" t="n">
        <f aca="false">IF(ISNUMBER(I231),I234+I237+N(I238)+I239,"")</f>
        <v>519.688</v>
      </c>
      <c r="J240" s="72" t="n">
        <f aca="false">IF(ISNUMBER(J231),J234+J237+N(J238)+J239,"")</f>
        <v>535.054</v>
      </c>
      <c r="K240" s="72" t="n">
        <f aca="false">IF(ISNUMBER(K231),K234+K237+N(K238)+K239,"")</f>
        <v>600.517</v>
      </c>
      <c r="L240" s="72" t="n">
        <f aca="false">IF(ISNUMBER(L231),L234+L237+N(L238)+L239,"")</f>
        <v>605.675</v>
      </c>
      <c r="M240" s="72" t="n">
        <f aca="false">IF(ISNUMBER(M231),M234+M237+N(M238)+M239,"")</f>
        <v>616.801</v>
      </c>
      <c r="N240" s="72" t="n">
        <f aca="false">IF(ISNUMBER(N231),N234+N237+N(N238)+N239,"")</f>
        <v>616.801</v>
      </c>
      <c r="O240" s="72" t="n">
        <f aca="false">IF(ISNUMBER(O231),O234+O237+N(O238)+O239,"")</f>
        <v>643.845</v>
      </c>
      <c r="P240" s="72" t="n">
        <f aca="false">IF(ISNUMBER(P231),P234+P237+N(P238)+P239,"")</f>
        <v>682.691</v>
      </c>
      <c r="Q240" s="72" t="n">
        <f aca="false">IF(ISNUMBER(Q231),Q234+Q237+N(Q238)+Q239,"")</f>
        <v>679.494</v>
      </c>
      <c r="R240" s="72" t="n">
        <f aca="false">IF(ISNUMBER(R231),R234+R237+N(R238)+R239,"")</f>
        <v>686.445</v>
      </c>
      <c r="S240" s="72" t="n">
        <f aca="false">IF(ISNUMBER(S231),S234+S237+N(S238)+S239,"")</f>
        <v>686.445</v>
      </c>
      <c r="T240" s="72" t="n">
        <f aca="false">IF(ISNUMBER(T231),T234+T237+N(T238)+T239,"")</f>
        <v>739.523</v>
      </c>
      <c r="U240" s="72" t="n">
        <f aca="false">IF(ISNUMBER(U231),U234+U237+N(U238)+U239,"")</f>
        <v>756.339</v>
      </c>
      <c r="V240" s="72" t="n">
        <f aca="false">IF(ISNUMBER(V231),V234+V237+N(V238)+V239,"")</f>
        <v>750.987</v>
      </c>
      <c r="W240" s="72" t="n">
        <f aca="false">IF(ISNUMBER(W231),W234+W237+N(W238)+W239,"")</f>
        <v>729.193</v>
      </c>
      <c r="X240" s="72" t="n">
        <f aca="false">IF(ISNUMBER(X231),X234+X237+N(X238)+X239,"")</f>
        <v>729.193</v>
      </c>
      <c r="Y240" s="72" t="n">
        <f aca="false">IF(ISNUMBER(Y231),Y234+Y237+N(Y238)+Y239,"")</f>
        <v>795.705</v>
      </c>
      <c r="Z240" s="72" t="n">
        <f aca="false">IF(ISNUMBER(Z231),Z234+Z237+N(Z238)+Z239,"")</f>
        <v>828.907</v>
      </c>
      <c r="AA240" s="72" t="n">
        <f aca="false">IF(ISNUMBER(AA231),AA234+AA237+N(AA238)+AA239,"")</f>
        <v>808.612</v>
      </c>
      <c r="AB240" s="72" t="n">
        <f aca="false">IF(ISNUMBER(AB231),AB234+AB237+N(AB238)+AB239,"")</f>
        <v>800.37</v>
      </c>
      <c r="AC240" s="72" t="n">
        <f aca="false">IF(ISNUMBER(AC231),AC234+AC237+N(AC238)+AC239,"")</f>
        <v>800.37</v>
      </c>
      <c r="AD240" s="72" t="n">
        <f aca="false">IF(ISNUMBER(AD231),AD234+AD237+N(AD238)+AD239,"")</f>
        <v>927.196</v>
      </c>
      <c r="AE240" s="72" t="n">
        <f aca="false">IF(ISNUMBER(AE231),AE234+AE237+N(AE238)+AE239,"")</f>
        <v>940.33</v>
      </c>
      <c r="AF240" s="72" t="n">
        <f aca="false">IF(ISNUMBER(AF231),AF234+AF237+N(AF238)+AF239,"")</f>
        <v>952.719</v>
      </c>
      <c r="AG240" s="72" t="n">
        <f aca="false">IF(ISNUMBER(AG231),AG234+AG237+N(AG238)+AG239,"")</f>
        <v>967.647</v>
      </c>
      <c r="AH240" s="72" t="n">
        <f aca="false">IF(ISNUMBER(AH231),AH234+AH237+N(AH238)+AH239,"")</f>
        <v>967.647</v>
      </c>
      <c r="AI240" s="72" t="n">
        <f aca="false">IF(ISNUMBER(AI231),AI234+AI237+N(AI238)+AI239,"")</f>
        <v>1015.547</v>
      </c>
      <c r="AJ240" s="72" t="n">
        <f aca="false">IF(ISNUMBER(AJ231),AJ234+AJ237+N(AJ238)+AJ239,"")</f>
        <v>1085.958</v>
      </c>
      <c r="AK240" s="72" t="n">
        <f aca="false">IF(ISNUMBER(AK231),AK234+AK237+N(AK238)+AK239,"")</f>
        <v>1088.092</v>
      </c>
      <c r="AL240" s="72" t="n">
        <f aca="false">IF(ISNUMBER(AL231),AL234+AL237+N(AL238)+AL239,"")</f>
        <v>1133.743</v>
      </c>
      <c r="AM240" s="72" t="n">
        <f aca="false">IF(ISNUMBER(AM231),AM234+AM237+N(AM238)+AM239,"")</f>
        <v>1133.743</v>
      </c>
      <c r="AN240" s="72" t="n">
        <f aca="false">IF(ISNUMBER(AN231),AN234+AN237+N(AN238)+AN239,"")</f>
        <v>1246.857</v>
      </c>
      <c r="AO240" s="72" t="n">
        <f aca="false">IF(ISNUMBER(AO231),AO234+AO237+N(AO238)+AO239,"")</f>
        <v>1352.12</v>
      </c>
      <c r="AP240" s="72" t="n">
        <f aca="false">IF(ISNUMBER(AP231),AP234+AP237+N(AP238)+AP239,"")</f>
        <v>1422.272</v>
      </c>
      <c r="AQ240" s="72" t="n">
        <f aca="false">IF(ISNUMBER(AQ231),AQ234+AQ237+N(AQ238)+AQ239,"")</f>
        <v>1415.693</v>
      </c>
      <c r="AR240" s="72" t="n">
        <f aca="false">IF(ISNUMBER(AR231),AR234+AR237+N(AR238)+AR239,"")</f>
        <v>1415.693</v>
      </c>
      <c r="AS240" s="72" t="n">
        <f aca="false">IF(ISNUMBER(AS231),AS234+AS237+N(AS238)+AS239,"")</f>
        <v>1577.259</v>
      </c>
      <c r="AT240" s="72" t="n">
        <f aca="false">IF(ISNUMBER(AT231),AT234+AT237+N(AT238)+AT239,"")</f>
        <v>1538.2</v>
      </c>
      <c r="AU240" s="72" t="n">
        <f aca="false">IF(ISNUMBER(AU231),AU234+AU237+N(AU238)+AU239,"")</f>
        <v>1565.68</v>
      </c>
      <c r="AV240" s="72" t="n">
        <f aca="false">IF(ISNUMBER(AV231),AV234+AV237+N(AV238)+AV239,"")</f>
        <v>1548.774</v>
      </c>
      <c r="AW240" s="72" t="n">
        <f aca="false">IF(ISNUMBER(AW231),AW234+AW237+N(AW238)+AW239,"")</f>
        <v>1548.774</v>
      </c>
      <c r="AX240" s="72" t="n">
        <f aca="false">IF(ISNUMBER(AX231),AX234+AX237+N(AX238)+AX239,"")</f>
        <v>1610.585</v>
      </c>
      <c r="AY240" s="72" t="n">
        <f aca="false">IF(ISNUMBER(AY231),AY234+AY237+N(AY238)+AY239,"")</f>
        <v>1647.395</v>
      </c>
      <c r="AZ240" s="72" t="n">
        <f aca="false">IF(ISNUMBER(AZ231),AZ234+AZ237+N(AZ238)+AZ239,"")</f>
        <v>1789.259</v>
      </c>
      <c r="BA240" s="72" t="n">
        <f aca="false">IF(ISNUMBER(BA231),BA234+BA237+N(BA238)+BA239,"")</f>
        <v>1845.25</v>
      </c>
      <c r="BB240" s="72" t="n">
        <f aca="false">IF(ISNUMBER(BB231),BB234+BB237+N(BB238)+BB239,"")</f>
        <v>1845.25</v>
      </c>
      <c r="BC240" s="72" t="n">
        <f aca="false">IF(ISNUMBER(BC231),BC234+BC237+N(BC238)+BC239,"")</f>
        <v>1932.349</v>
      </c>
      <c r="BD240" s="72" t="n">
        <f aca="false">IF(ISNUMBER(BD231),BD234+BD237+N(BD238)+BD239,"")</f>
        <v>2047.855</v>
      </c>
      <c r="BE240" s="72" t="n">
        <f aca="false">IF(ISNUMBER(BE231),BE234+BE237+N(BE238)+BE239,"")</f>
        <v>2140.324</v>
      </c>
      <c r="BF240" s="72" t="n">
        <f aca="false">IF(ISNUMBER(BF231),BF234+BF237+N(BF238)+BF239,"")</f>
        <v>2174.71</v>
      </c>
      <c r="BG240" s="72" t="n">
        <f aca="false">IF(ISNUMBER(BG231),BG234+BG237+N(BG238)+BG239,"")</f>
        <v>2174.71</v>
      </c>
      <c r="BH240" s="72" t="n">
        <f aca="false">IF(ISNUMBER(BH231),BH234+BH237+N(BH238)+BH239,"")</f>
        <v>2242.799</v>
      </c>
      <c r="BI240" s="72" t="n">
        <f aca="false">IF(ISNUMBER(BI231),BI234+BI237+N(BI238)+BI239,"")</f>
        <v>2337.111</v>
      </c>
      <c r="BJ240" s="72" t="n">
        <f aca="false">IF(ISNUMBER(BJ231),BJ234+BJ237+N(BJ238)+BJ239,"")</f>
        <v>2485.319</v>
      </c>
      <c r="BK240" s="72" t="n">
        <f aca="false">IF(ISNUMBER(BK231),BK234+BK237+N(BK238)+BK239,"")</f>
        <v>2583.565</v>
      </c>
      <c r="BL240" s="72" t="n">
        <f aca="false">IF(ISNUMBER(BL231),BL234+BL237+N(BL238)+BL239,"")</f>
        <v>2583.565</v>
      </c>
      <c r="BM240" s="72" t="n">
        <f aca="false">IF(ISNUMBER(BM231),BM234+BM237+N(BM238)+BM239,"")</f>
        <v>2765.714</v>
      </c>
      <c r="BN240" s="72" t="n">
        <f aca="false">IF(ISNUMBER(BN231),BN234+BN237+N(BN238)+BN239,"")</f>
        <v>2957.122</v>
      </c>
      <c r="BO240" s="72" t="n">
        <f aca="false">IF(ISNUMBER(BO231),BO234+BO237+N(BO238)+BO239,"")</f>
        <v>3082.124</v>
      </c>
      <c r="BP240" s="72" t="n">
        <f aca="false">IF(ISNUMBER(BP231),BP234+BP237+N(BP238)+BP239,"")</f>
        <v>3166.857</v>
      </c>
      <c r="BQ240" s="72" t="n">
        <f aca="false">IF(ISNUMBER(BQ231),BQ234+BQ237+N(BQ238)+BQ239,"")</f>
        <v>3166.857</v>
      </c>
      <c r="BR240" s="72" t="n">
        <f aca="false">IF(ISNUMBER(BR231),BR234+BR237+N(BR238)+BR239,"")</f>
        <v>3365.221</v>
      </c>
      <c r="BS240" s="72" t="n">
        <f aca="false">IF(ISNUMBER(BS231),BS234+BS237+N(BS238)+BS239,"")</f>
        <v>3457.726</v>
      </c>
      <c r="BT240" s="72" t="n">
        <f aca="false">IF(ISNUMBER(BT231),BT234+BT237+N(BT238)+BT239,"")</f>
        <v>3500.96</v>
      </c>
      <c r="BU240" s="72" t="n">
        <f aca="false">IF(ISNUMBER(BU231),BU234+BU237+N(BU238)+BU239,"")</f>
        <v>3482.681</v>
      </c>
      <c r="BV240" s="72" t="n">
        <f aca="false">IF(ISNUMBER(BV231),BV234+BV237+N(BV238)+BV239,"")</f>
        <v>3482.681</v>
      </c>
      <c r="BW240" s="72" t="n">
        <f aca="false">IF(ISNUMBER(BW231),BW234+BW237+N(BW238)+BW239,"")</f>
        <v>3563.637</v>
      </c>
      <c r="BX240" s="72" t="n">
        <f aca="false">IF(ISNUMBER(BX231),BX234+BX237+N(BX238)+BX239,"")</f>
        <v>3724.96</v>
      </c>
      <c r="BY240" s="106"/>
      <c r="BZ240" s="106"/>
      <c r="CA240" s="72" t="n">
        <f aca="false">CA234+CA237+N(CA238)+CA239</f>
        <v>3857.71601088585</v>
      </c>
      <c r="CB240" s="72" t="n">
        <f aca="false">CB234+CB237+N(CB238)+CB239</f>
        <v>4005.20567428953</v>
      </c>
      <c r="CC240" s="72" t="n">
        <f aca="false">CC234+CC237+N(CC238)+CC239</f>
        <v>4208.07084436057</v>
      </c>
      <c r="CD240" s="72" t="n">
        <f aca="false">CD234+CD237+N(CD238)+CD239</f>
        <v>4481.37584837756</v>
      </c>
      <c r="CE240" s="72" t="n">
        <f aca="false">CE234+CE237+N(CE238)+CE239</f>
        <v>4786.54173824219</v>
      </c>
      <c r="CF240" s="21"/>
    </row>
    <row r="241" customFormat="false" ht="15" hidden="false" customHeight="true" outlineLevel="0" collapsed="false">
      <c r="B241" s="37" t="s">
        <v>409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90"/>
      <c r="BM241" s="42"/>
      <c r="BN241" s="42"/>
      <c r="BO241" s="42"/>
      <c r="BP241" s="42"/>
      <c r="BQ241" s="42"/>
      <c r="BR241" s="90"/>
      <c r="BS241" s="90"/>
      <c r="BT241" s="42"/>
      <c r="BU241" s="42"/>
      <c r="BV241" s="42"/>
      <c r="BW241" s="42"/>
      <c r="BX241" s="42"/>
      <c r="BY241" s="43"/>
      <c r="BZ241" s="43"/>
      <c r="CA241" s="43"/>
      <c r="CB241" s="43"/>
      <c r="CC241" s="43"/>
      <c r="CD241" s="43"/>
      <c r="CE241" s="43"/>
      <c r="CF241" s="21"/>
    </row>
    <row r="242" customFormat="false" ht="15" hidden="false" customHeight="true" outlineLevel="0" collapsed="false">
      <c r="B242" s="22" t="s">
        <v>410</v>
      </c>
      <c r="C242" s="83" t="n">
        <v>39.389</v>
      </c>
      <c r="D242" s="83" t="n">
        <v>42.732</v>
      </c>
      <c r="E242" s="83" t="n">
        <v>46.572</v>
      </c>
      <c r="F242" s="83" t="n">
        <v>46.997</v>
      </c>
      <c r="G242" s="83" t="n">
        <v>37.745</v>
      </c>
      <c r="H242" s="83" t="n">
        <v>39.783</v>
      </c>
      <c r="I242" s="83" t="n">
        <v>43.706</v>
      </c>
      <c r="J242" s="83" t="n">
        <v>53.476</v>
      </c>
      <c r="K242" s="83" t="n">
        <v>59.597</v>
      </c>
      <c r="L242" s="83" t="n">
        <v>48.974</v>
      </c>
      <c r="M242" s="83" t="n">
        <v>50.799</v>
      </c>
      <c r="N242" s="83" t="n">
        <v>50.799</v>
      </c>
      <c r="O242" s="83" t="n">
        <v>66.098</v>
      </c>
      <c r="P242" s="83" t="n">
        <v>62.885</v>
      </c>
      <c r="Q242" s="83" t="n">
        <v>57.46</v>
      </c>
      <c r="R242" s="83" t="n">
        <v>42.388</v>
      </c>
      <c r="S242" s="83" t="n">
        <v>42.388</v>
      </c>
      <c r="T242" s="83" t="n">
        <v>57.346</v>
      </c>
      <c r="U242" s="83" t="n">
        <v>49.939</v>
      </c>
      <c r="V242" s="83" t="n">
        <v>59.504</v>
      </c>
      <c r="W242" s="83" t="n">
        <v>54.754</v>
      </c>
      <c r="X242" s="83" t="n">
        <v>54.754</v>
      </c>
      <c r="Y242" s="83" t="n">
        <v>59.723</v>
      </c>
      <c r="Z242" s="83" t="n">
        <v>49.679</v>
      </c>
      <c r="AA242" s="83" t="n">
        <v>48.129</v>
      </c>
      <c r="AB242" s="83" t="n">
        <v>45.149</v>
      </c>
      <c r="AC242" s="83" t="n">
        <v>45.149</v>
      </c>
      <c r="AD242" s="83" t="n">
        <v>70.971</v>
      </c>
      <c r="AE242" s="83" t="n">
        <v>55.746</v>
      </c>
      <c r="AF242" s="83" t="n">
        <v>63.742</v>
      </c>
      <c r="AG242" s="83" t="n">
        <v>57.717</v>
      </c>
      <c r="AH242" s="83" t="n">
        <v>57.717</v>
      </c>
      <c r="AI242" s="83" t="n">
        <v>65.866</v>
      </c>
      <c r="AJ242" s="83" t="n">
        <v>71.045</v>
      </c>
      <c r="AK242" s="83" t="n">
        <v>62.025</v>
      </c>
      <c r="AL242" s="83" t="n">
        <v>78.994</v>
      </c>
      <c r="AM242" s="83" t="n">
        <v>78.994</v>
      </c>
      <c r="AN242" s="83" t="n">
        <v>71.983</v>
      </c>
      <c r="AO242" s="83" t="n">
        <v>77.521</v>
      </c>
      <c r="AP242" s="83" t="n">
        <v>84.857</v>
      </c>
      <c r="AQ242" s="83" t="n">
        <v>83.621</v>
      </c>
      <c r="AR242" s="83" t="n">
        <v>83.621</v>
      </c>
      <c r="AS242" s="83" t="n">
        <v>91.395</v>
      </c>
      <c r="AT242" s="83" t="n">
        <v>81.516</v>
      </c>
      <c r="AU242" s="83" t="n">
        <v>97.06</v>
      </c>
      <c r="AV242" s="83" t="n">
        <v>89.381</v>
      </c>
      <c r="AW242" s="83" t="n">
        <v>89.381</v>
      </c>
      <c r="AX242" s="83" t="n">
        <v>121.613</v>
      </c>
      <c r="AY242" s="83" t="n">
        <v>100.499</v>
      </c>
      <c r="AZ242" s="83" t="n">
        <v>140.774</v>
      </c>
      <c r="BA242" s="83" t="n">
        <v>114.01</v>
      </c>
      <c r="BB242" s="83" t="n">
        <v>114.01</v>
      </c>
      <c r="BC242" s="83" t="n">
        <v>130.163</v>
      </c>
      <c r="BD242" s="83" t="n">
        <v>145.298</v>
      </c>
      <c r="BE242" s="83" t="n">
        <v>114.697</v>
      </c>
      <c r="BF242" s="83" t="n">
        <v>99.792</v>
      </c>
      <c r="BG242" s="83" t="n">
        <v>99.792</v>
      </c>
      <c r="BH242" s="83" t="n">
        <v>108.362</v>
      </c>
      <c r="BI242" s="83" t="n">
        <v>98.249</v>
      </c>
      <c r="BJ242" s="83" t="n">
        <v>112.594</v>
      </c>
      <c r="BK242" s="83" t="n">
        <v>141.877</v>
      </c>
      <c r="BL242" s="83" t="n">
        <v>141.877</v>
      </c>
      <c r="BM242" s="83" t="n">
        <v>153.487</v>
      </c>
      <c r="BN242" s="83" t="n">
        <v>155.59</v>
      </c>
      <c r="BO242" s="83" t="n">
        <v>161.241</v>
      </c>
      <c r="BP242" s="83" t="n">
        <v>114.56</v>
      </c>
      <c r="BQ242" s="83" t="n">
        <v>114.56</v>
      </c>
      <c r="BR242" s="83" t="n">
        <v>154.995</v>
      </c>
      <c r="BS242" s="83" t="n">
        <v>128.993</v>
      </c>
      <c r="BT242" s="83" t="n">
        <v>112.534</v>
      </c>
      <c r="BU242" s="83" t="n">
        <v>107.424</v>
      </c>
      <c r="BV242" s="83" t="n">
        <v>107.424</v>
      </c>
      <c r="BW242" s="83" t="n">
        <v>147.132</v>
      </c>
      <c r="BX242" s="83" t="n">
        <v>164.842</v>
      </c>
      <c r="BY242" s="87"/>
      <c r="BZ242" s="87"/>
      <c r="CA242" s="67" t="n">
        <f aca="false">CA81*CA269</f>
        <v>124.075687238825</v>
      </c>
      <c r="CB242" s="67" t="n">
        <f aca="false">CB81*CB269</f>
        <v>135.485331466535</v>
      </c>
      <c r="CC242" s="67" t="n">
        <f aca="false">CC81*CC269</f>
        <v>143.895431341114</v>
      </c>
      <c r="CD242" s="67" t="n">
        <f aca="false">CD81*CD269</f>
        <v>154.084301716289</v>
      </c>
      <c r="CE242" s="67" t="n">
        <f aca="false">CE81*CE269</f>
        <v>166.653728628795</v>
      </c>
      <c r="CF242" s="21"/>
    </row>
    <row r="243" customFormat="false" ht="15" hidden="false" customHeight="true" outlineLevel="0" collapsed="false">
      <c r="B243" s="22" t="s">
        <v>411</v>
      </c>
      <c r="C243" s="83" t="n">
        <v>45.752</v>
      </c>
      <c r="D243" s="83" t="n">
        <v>32.863</v>
      </c>
      <c r="E243" s="83" t="n">
        <v>28.148</v>
      </c>
      <c r="F243" s="83" t="n">
        <v>18.793</v>
      </c>
      <c r="G243" s="83" t="n">
        <v>19.101</v>
      </c>
      <c r="H243" s="83" t="n">
        <v>21.185</v>
      </c>
      <c r="I243" s="83" t="n">
        <v>30.842</v>
      </c>
      <c r="J243" s="83" t="n">
        <v>26.848</v>
      </c>
      <c r="K243" s="83" t="n">
        <v>31.925</v>
      </c>
      <c r="L243" s="83" t="n">
        <v>35.338</v>
      </c>
      <c r="M243" s="83" t="n">
        <v>35.248</v>
      </c>
      <c r="N243" s="83" t="n">
        <v>35.248</v>
      </c>
      <c r="O243" s="83" t="n">
        <v>29.816</v>
      </c>
      <c r="P243" s="83" t="n">
        <v>34.502</v>
      </c>
      <c r="Q243" s="83" t="n">
        <v>39.764</v>
      </c>
      <c r="R243" s="83" t="n">
        <v>28.777</v>
      </c>
      <c r="S243" s="83" t="n">
        <v>28.777</v>
      </c>
      <c r="T243" s="83" t="n">
        <v>33.187</v>
      </c>
      <c r="U243" s="83" t="n">
        <v>38.844</v>
      </c>
      <c r="V243" s="83" t="n">
        <v>32.463</v>
      </c>
      <c r="W243" s="83" t="n">
        <v>27.834</v>
      </c>
      <c r="X243" s="83" t="n">
        <v>27.834</v>
      </c>
      <c r="Y243" s="83" t="n">
        <v>30.423</v>
      </c>
      <c r="Z243" s="83" t="n">
        <v>33.619</v>
      </c>
      <c r="AA243" s="83" t="n">
        <v>38.277</v>
      </c>
      <c r="AB243" s="83" t="n">
        <v>31.7</v>
      </c>
      <c r="AC243" s="83" t="n">
        <v>31.7</v>
      </c>
      <c r="AD243" s="83" t="n">
        <v>33.098</v>
      </c>
      <c r="AE243" s="83" t="n">
        <v>40.872</v>
      </c>
      <c r="AF243" s="83" t="n">
        <v>44.14</v>
      </c>
      <c r="AG243" s="83" t="n">
        <v>39.748</v>
      </c>
      <c r="AH243" s="83" t="n">
        <v>39.748</v>
      </c>
      <c r="AI243" s="83" t="n">
        <v>38.939</v>
      </c>
      <c r="AJ243" s="83" t="n">
        <v>46.739</v>
      </c>
      <c r="AK243" s="83" t="n">
        <v>53.175</v>
      </c>
      <c r="AL243" s="83" t="n">
        <v>48.116</v>
      </c>
      <c r="AM243" s="83" t="n">
        <v>48.116</v>
      </c>
      <c r="AN243" s="83" t="n">
        <v>38.834</v>
      </c>
      <c r="AO243" s="83" t="n">
        <v>47.095</v>
      </c>
      <c r="AP243" s="83" t="n">
        <v>53.068</v>
      </c>
      <c r="AQ243" s="83" t="n">
        <v>49.668</v>
      </c>
      <c r="AR243" s="83" t="n">
        <v>49.668</v>
      </c>
      <c r="AS243" s="83" t="n">
        <v>46.678</v>
      </c>
      <c r="AT243" s="83" t="n">
        <v>55.355</v>
      </c>
      <c r="AU243" s="83" t="n">
        <v>54.947</v>
      </c>
      <c r="AV243" s="83" t="n">
        <v>55.392</v>
      </c>
      <c r="AW243" s="83" t="n">
        <v>55.392</v>
      </c>
      <c r="AX243" s="83" t="n">
        <v>49.007</v>
      </c>
      <c r="AY243" s="83" t="n">
        <v>65.187</v>
      </c>
      <c r="AZ243" s="83" t="n">
        <v>77.538</v>
      </c>
      <c r="BA243" s="83" t="n">
        <v>73.109</v>
      </c>
      <c r="BB243" s="83" t="n">
        <v>73.109</v>
      </c>
      <c r="BC243" s="83" t="n">
        <v>62.125</v>
      </c>
      <c r="BD243" s="83" t="n">
        <v>78.945</v>
      </c>
      <c r="BE243" s="83" t="n">
        <v>79.193</v>
      </c>
      <c r="BF243" s="83" t="n">
        <v>66.684</v>
      </c>
      <c r="BG243" s="83" t="n">
        <v>66.684</v>
      </c>
      <c r="BH243" s="83" t="n">
        <v>54.706</v>
      </c>
      <c r="BI243" s="83" t="n">
        <v>63.153</v>
      </c>
      <c r="BJ243" s="83" t="n">
        <v>77.721</v>
      </c>
      <c r="BK243" s="83" t="n">
        <v>75.514</v>
      </c>
      <c r="BL243" s="83" t="n">
        <v>75.514</v>
      </c>
      <c r="BM243" s="83" t="n">
        <v>55.318</v>
      </c>
      <c r="BN243" s="83" t="n">
        <v>62.614</v>
      </c>
      <c r="BO243" s="83" t="n">
        <v>70.613</v>
      </c>
      <c r="BP243" s="83" t="n">
        <v>49.953</v>
      </c>
      <c r="BQ243" s="83" t="n">
        <v>49.953</v>
      </c>
      <c r="BR243" s="83" t="n">
        <v>57.602</v>
      </c>
      <c r="BS243" s="83" t="n">
        <v>61.909</v>
      </c>
      <c r="BT243" s="83" t="n">
        <v>72.318</v>
      </c>
      <c r="BU243" s="83" t="n">
        <v>50.723</v>
      </c>
      <c r="BV243" s="83" t="n">
        <v>50.723</v>
      </c>
      <c r="BW243" s="83" t="n">
        <v>70.402</v>
      </c>
      <c r="BX243" s="83" t="n">
        <v>92.162</v>
      </c>
      <c r="BY243" s="87"/>
      <c r="BZ243" s="87"/>
      <c r="CA243" s="67" t="n">
        <f aca="false">CA81*CA270</f>
        <v>58.5855217066476</v>
      </c>
      <c r="CB243" s="67" t="n">
        <f aca="false">CB81*CB270</f>
        <v>63.9728782020505</v>
      </c>
      <c r="CC243" s="67" t="n">
        <f aca="false">CC81*CC270</f>
        <v>67.9439228097568</v>
      </c>
      <c r="CD243" s="67" t="n">
        <f aca="false">CD81*CD270</f>
        <v>72.7548595840344</v>
      </c>
      <c r="CE243" s="67" t="n">
        <f aca="false">CE81*CE270</f>
        <v>78.6898372546019</v>
      </c>
      <c r="CF243" s="21"/>
    </row>
    <row r="244" customFormat="false" ht="15" hidden="false" customHeight="true" outlineLevel="0" collapsed="false">
      <c r="B244" s="22" t="s">
        <v>412</v>
      </c>
      <c r="C244" s="83" t="n">
        <v>30.144</v>
      </c>
      <c r="D244" s="83" t="n">
        <v>38.138</v>
      </c>
      <c r="E244" s="83" t="n">
        <v>43.262</v>
      </c>
      <c r="F244" s="83" t="n">
        <v>36.981</v>
      </c>
      <c r="G244" s="83" t="n">
        <v>31.777</v>
      </c>
      <c r="H244" s="83" t="n">
        <v>41.237</v>
      </c>
      <c r="I244" s="83" t="n">
        <v>44.609</v>
      </c>
      <c r="J244" s="83" t="n">
        <v>44.721</v>
      </c>
      <c r="K244" s="83" t="n">
        <v>41.48</v>
      </c>
      <c r="L244" s="83" t="n">
        <v>44.286</v>
      </c>
      <c r="M244" s="83" t="n">
        <v>47.667</v>
      </c>
      <c r="N244" s="83" t="n">
        <v>47.667</v>
      </c>
      <c r="O244" s="83" t="n">
        <v>52.812</v>
      </c>
      <c r="P244" s="83" t="n">
        <v>48.922</v>
      </c>
      <c r="Q244" s="83" t="n">
        <v>47.937</v>
      </c>
      <c r="R244" s="83" t="n">
        <v>50.176</v>
      </c>
      <c r="S244" s="83" t="n">
        <v>50.176</v>
      </c>
      <c r="T244" s="83" t="n">
        <v>46.948</v>
      </c>
      <c r="U244" s="83" t="n">
        <v>49.017</v>
      </c>
      <c r="V244" s="83" t="n">
        <v>50.495</v>
      </c>
      <c r="W244" s="83" t="n">
        <v>46.36</v>
      </c>
      <c r="X244" s="83" t="n">
        <v>46.36</v>
      </c>
      <c r="Y244" s="83" t="n">
        <v>46.7</v>
      </c>
      <c r="Z244" s="83" t="n">
        <v>45.014</v>
      </c>
      <c r="AA244" s="83" t="n">
        <v>50.3</v>
      </c>
      <c r="AB244" s="83" t="n">
        <v>51.333</v>
      </c>
      <c r="AC244" s="83" t="n">
        <v>51.333</v>
      </c>
      <c r="AD244" s="83" t="n">
        <v>51.103</v>
      </c>
      <c r="AE244" s="83" t="n">
        <v>54.414</v>
      </c>
      <c r="AF244" s="83" t="n">
        <v>58.545</v>
      </c>
      <c r="AG244" s="83" t="n">
        <v>55.657</v>
      </c>
      <c r="AH244" s="83" t="n">
        <v>55.657</v>
      </c>
      <c r="AI244" s="83" t="n">
        <v>59.082</v>
      </c>
      <c r="AJ244" s="83" t="n">
        <v>70.954</v>
      </c>
      <c r="AK244" s="83" t="n">
        <v>76.929</v>
      </c>
      <c r="AL244" s="83" t="n">
        <v>64.118</v>
      </c>
      <c r="AM244" s="83" t="n">
        <v>64.118</v>
      </c>
      <c r="AN244" s="83" t="n">
        <v>65.345</v>
      </c>
      <c r="AO244" s="83" t="n">
        <v>76.694</v>
      </c>
      <c r="AP244" s="83" t="n">
        <v>68.607</v>
      </c>
      <c r="AQ244" s="83" t="n">
        <v>69.532</v>
      </c>
      <c r="AR244" s="83" t="n">
        <v>69.532</v>
      </c>
      <c r="AS244" s="83" t="n">
        <v>72.72</v>
      </c>
      <c r="AT244" s="83" t="n">
        <v>72.58</v>
      </c>
      <c r="AU244" s="83" t="n">
        <v>83.248</v>
      </c>
      <c r="AV244" s="83" t="n">
        <v>90.184</v>
      </c>
      <c r="AW244" s="83" t="n">
        <v>90.184</v>
      </c>
      <c r="AX244" s="83" t="n">
        <v>95.247</v>
      </c>
      <c r="AY244" s="83" t="n">
        <v>77.797</v>
      </c>
      <c r="AZ244" s="83" t="n">
        <v>79.967</v>
      </c>
      <c r="BA244" s="83" t="n">
        <v>93.268</v>
      </c>
      <c r="BB244" s="83" t="n">
        <v>93.268</v>
      </c>
      <c r="BC244" s="83" t="n">
        <v>106.471</v>
      </c>
      <c r="BD244" s="83" t="n">
        <v>74.816</v>
      </c>
      <c r="BE244" s="83" t="n">
        <v>105.915</v>
      </c>
      <c r="BF244" s="83" t="n">
        <v>68.165</v>
      </c>
      <c r="BG244" s="83" t="n">
        <v>68.165</v>
      </c>
      <c r="BH244" s="83" t="n">
        <v>67.755</v>
      </c>
      <c r="BI244" s="83" t="n">
        <v>68.818</v>
      </c>
      <c r="BJ244" s="83" t="n">
        <v>71.137</v>
      </c>
      <c r="BK244" s="83" t="n">
        <v>68.735</v>
      </c>
      <c r="BL244" s="83" t="n">
        <v>68.735</v>
      </c>
      <c r="BM244" s="83" t="n">
        <v>94.943</v>
      </c>
      <c r="BN244" s="83" t="n">
        <v>75.985</v>
      </c>
      <c r="BO244" s="83" t="n">
        <v>82.379</v>
      </c>
      <c r="BP244" s="83" t="n">
        <v>81.162</v>
      </c>
      <c r="BQ244" s="83" t="n">
        <v>81.162</v>
      </c>
      <c r="BR244" s="83" t="n">
        <v>83.407</v>
      </c>
      <c r="BS244" s="83" t="n">
        <v>80.97</v>
      </c>
      <c r="BT244" s="83" t="n">
        <v>82.852</v>
      </c>
      <c r="BU244" s="83" t="n">
        <v>78.362</v>
      </c>
      <c r="BV244" s="83" t="n">
        <v>78.362</v>
      </c>
      <c r="BW244" s="83" t="n">
        <v>80.949</v>
      </c>
      <c r="BX244" s="83" t="n">
        <v>83.463</v>
      </c>
      <c r="BY244" s="87"/>
      <c r="BZ244" s="87"/>
      <c r="CA244" s="67" t="n">
        <f aca="false">BX244</f>
        <v>83.463</v>
      </c>
      <c r="CB244" s="67" t="n">
        <f aca="false">CA244</f>
        <v>83.463</v>
      </c>
      <c r="CC244" s="67" t="n">
        <f aca="false">CB244</f>
        <v>83.463</v>
      </c>
      <c r="CD244" s="67" t="n">
        <f aca="false">CC244</f>
        <v>83.463</v>
      </c>
      <c r="CE244" s="67" t="n">
        <f aca="false">CD244</f>
        <v>83.463</v>
      </c>
      <c r="CF244" s="21"/>
    </row>
    <row r="245" customFormat="false" ht="15" hidden="false" customHeight="true" outlineLevel="0" collapsed="false">
      <c r="B245" s="22" t="s">
        <v>413</v>
      </c>
      <c r="C245" s="83" t="n">
        <v>11.356</v>
      </c>
      <c r="D245" s="83" t="n">
        <v>12.793</v>
      </c>
      <c r="E245" s="83" t="n">
        <v>28.899</v>
      </c>
      <c r="F245" s="83" t="n">
        <v>0</v>
      </c>
      <c r="G245" s="83" t="n">
        <v>17.143</v>
      </c>
      <c r="H245" s="83" t="n">
        <v>22.143</v>
      </c>
      <c r="I245" s="83" t="n">
        <v>22.143</v>
      </c>
      <c r="J245" s="83" t="n">
        <v>22.143</v>
      </c>
      <c r="K245" s="83" t="n">
        <v>14.643</v>
      </c>
      <c r="L245" s="83" t="n">
        <v>14.643</v>
      </c>
      <c r="M245" s="83" t="n">
        <v>7.143</v>
      </c>
      <c r="N245" s="83" t="n">
        <v>7.143</v>
      </c>
      <c r="O245" s="83" t="n">
        <v>7.143</v>
      </c>
      <c r="P245" s="83" t="n">
        <v>7.143</v>
      </c>
      <c r="Q245" s="83" t="n">
        <v>8.12</v>
      </c>
      <c r="R245" s="83" t="n">
        <v>9.138</v>
      </c>
      <c r="S245" s="83" t="n">
        <v>9.138</v>
      </c>
      <c r="T245" s="83" t="n">
        <v>9.56</v>
      </c>
      <c r="U245" s="83" t="n">
        <v>11.215</v>
      </c>
      <c r="V245" s="83" t="n">
        <v>12.031</v>
      </c>
      <c r="W245" s="83" t="n">
        <v>12.432</v>
      </c>
      <c r="X245" s="83" t="n">
        <v>12.432</v>
      </c>
      <c r="Y245" s="83" t="n">
        <v>13.659</v>
      </c>
      <c r="Z245" s="83" t="n">
        <v>16.627</v>
      </c>
      <c r="AA245" s="83" t="n">
        <v>16.695</v>
      </c>
      <c r="AB245" s="83" t="n">
        <v>16.762</v>
      </c>
      <c r="AC245" s="83" t="n">
        <v>16.762</v>
      </c>
      <c r="AD245" s="83" t="n">
        <v>19.183</v>
      </c>
      <c r="AE245" s="83" t="n">
        <v>16.669</v>
      </c>
      <c r="AF245" s="83" t="n">
        <v>17.072</v>
      </c>
      <c r="AG245" s="83" t="n">
        <v>14.083</v>
      </c>
      <c r="AH245" s="83" t="n">
        <v>14.083</v>
      </c>
      <c r="AI245" s="83" t="n">
        <v>14.791</v>
      </c>
      <c r="AJ245" s="83" t="n">
        <v>16.839</v>
      </c>
      <c r="AK245" s="83" t="n">
        <v>17.622</v>
      </c>
      <c r="AL245" s="83" t="n">
        <v>18.082</v>
      </c>
      <c r="AM245" s="83" t="n">
        <v>18.082</v>
      </c>
      <c r="AN245" s="83" t="n">
        <v>17.914</v>
      </c>
      <c r="AO245" s="83" t="n">
        <v>18.959</v>
      </c>
      <c r="AP245" s="83" t="n">
        <v>19.245</v>
      </c>
      <c r="AQ245" s="83" t="n">
        <v>19.405</v>
      </c>
      <c r="AR245" s="83" t="n">
        <v>19.405</v>
      </c>
      <c r="AS245" s="83" t="n">
        <v>19.565</v>
      </c>
      <c r="AT245" s="83" t="n">
        <v>19.727</v>
      </c>
      <c r="AU245" s="83" t="n">
        <v>20.735</v>
      </c>
      <c r="AV245" s="83" t="n">
        <v>20.588</v>
      </c>
      <c r="AW245" s="83" t="n">
        <v>20.588</v>
      </c>
      <c r="AX245" s="83" t="n">
        <v>21.055</v>
      </c>
      <c r="AY245" s="83" t="n">
        <v>21.648</v>
      </c>
      <c r="AZ245" s="83" t="n">
        <v>20.245</v>
      </c>
      <c r="BA245" s="83" t="n">
        <v>19.396</v>
      </c>
      <c r="BB245" s="83" t="n">
        <v>19.396</v>
      </c>
      <c r="BC245" s="83" t="n">
        <v>18.373</v>
      </c>
      <c r="BD245" s="83" t="n">
        <v>17.935</v>
      </c>
      <c r="BE245" s="83" t="n">
        <v>15.914</v>
      </c>
      <c r="BF245" s="83" t="n">
        <v>14.519</v>
      </c>
      <c r="BG245" s="83" t="n">
        <v>14.519</v>
      </c>
      <c r="BH245" s="83" t="n">
        <v>14.452</v>
      </c>
      <c r="BI245" s="83" t="n">
        <v>11.681</v>
      </c>
      <c r="BJ245" s="83" t="n">
        <v>10.971</v>
      </c>
      <c r="BK245" s="83" t="n">
        <v>10.173</v>
      </c>
      <c r="BL245" s="83" t="n">
        <v>10.173</v>
      </c>
      <c r="BM245" s="83" t="n">
        <v>7.498</v>
      </c>
      <c r="BN245" s="83" t="n">
        <v>7.577</v>
      </c>
      <c r="BO245" s="83" t="n">
        <v>6.761</v>
      </c>
      <c r="BP245" s="83" t="n">
        <v>5.313</v>
      </c>
      <c r="BQ245" s="83" t="n">
        <v>5.313</v>
      </c>
      <c r="BR245" s="83" t="n">
        <v>3.769</v>
      </c>
      <c r="BS245" s="83" t="n">
        <v>1.967</v>
      </c>
      <c r="BT245" s="83" t="n">
        <v>1.199</v>
      </c>
      <c r="BU245" s="83" t="n">
        <v>0.98</v>
      </c>
      <c r="BV245" s="83" t="n">
        <v>0.98</v>
      </c>
      <c r="BW245" s="83" t="n">
        <v>0.759</v>
      </c>
      <c r="BX245" s="83" t="n">
        <v>0.124</v>
      </c>
      <c r="BY245" s="87"/>
      <c r="BZ245" s="87"/>
      <c r="CA245" s="67" t="n">
        <f aca="false">CA282</f>
        <v>0.124</v>
      </c>
      <c r="CB245" s="67" t="n">
        <f aca="false">CB282</f>
        <v>0.124</v>
      </c>
      <c r="CC245" s="67" t="n">
        <f aca="false">CC282</f>
        <v>0.124</v>
      </c>
      <c r="CD245" s="67" t="n">
        <f aca="false">CD282</f>
        <v>0.124</v>
      </c>
      <c r="CE245" s="67" t="n">
        <f aca="false">CE282</f>
        <v>0.124</v>
      </c>
      <c r="CF245" s="21"/>
    </row>
    <row r="246" customFormat="false" ht="15" hidden="false" customHeight="true" outlineLevel="0" collapsed="false">
      <c r="B246" s="22" t="s">
        <v>414</v>
      </c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3" t="n">
        <v>17.39</v>
      </c>
      <c r="AO246" s="83" t="n">
        <v>16.921</v>
      </c>
      <c r="AP246" s="83" t="n">
        <v>18.304</v>
      </c>
      <c r="AQ246" s="83" t="n">
        <v>19.02</v>
      </c>
      <c r="AR246" s="83" t="n">
        <v>19.02</v>
      </c>
      <c r="AS246" s="83" t="n">
        <v>18.689</v>
      </c>
      <c r="AT246" s="83" t="n">
        <v>18.916</v>
      </c>
      <c r="AU246" s="83" t="n">
        <v>19.701</v>
      </c>
      <c r="AV246" s="83" t="n">
        <v>20.209</v>
      </c>
      <c r="AW246" s="83" t="n">
        <v>20.209</v>
      </c>
      <c r="AX246" s="83" t="n">
        <v>20.336</v>
      </c>
      <c r="AY246" s="83" t="n">
        <v>19.764</v>
      </c>
      <c r="AZ246" s="83" t="n">
        <v>20.097</v>
      </c>
      <c r="BA246" s="83" t="n">
        <v>21.565</v>
      </c>
      <c r="BB246" s="83" t="n">
        <v>21.565</v>
      </c>
      <c r="BC246" s="83" t="n">
        <v>21.989</v>
      </c>
      <c r="BD246" s="83" t="n">
        <v>22.155</v>
      </c>
      <c r="BE246" s="83" t="n">
        <v>22.75</v>
      </c>
      <c r="BF246" s="83" t="n">
        <v>24.925</v>
      </c>
      <c r="BG246" s="83" t="n">
        <v>24.925</v>
      </c>
      <c r="BH246" s="83" t="n">
        <v>25.256</v>
      </c>
      <c r="BI246" s="83" t="n">
        <v>25.393</v>
      </c>
      <c r="BJ246" s="83" t="n">
        <v>26.805</v>
      </c>
      <c r="BK246" s="83" t="n">
        <v>25.757</v>
      </c>
      <c r="BL246" s="83" t="n">
        <v>25.757</v>
      </c>
      <c r="BM246" s="83" t="n">
        <v>26.526</v>
      </c>
      <c r="BN246" s="83" t="n">
        <v>26.062</v>
      </c>
      <c r="BO246" s="83" t="n">
        <v>25.679</v>
      </c>
      <c r="BP246" s="83" t="n">
        <v>27.372</v>
      </c>
      <c r="BQ246" s="83" t="n">
        <v>27.372</v>
      </c>
      <c r="BR246" s="83" t="n">
        <v>27.925</v>
      </c>
      <c r="BS246" s="83" t="n">
        <v>28.97</v>
      </c>
      <c r="BT246" s="83" t="n">
        <v>27.001</v>
      </c>
      <c r="BU246" s="83" t="n">
        <v>27.895</v>
      </c>
      <c r="BV246" s="83" t="n">
        <v>27.895</v>
      </c>
      <c r="BW246" s="83" t="n">
        <v>29.253</v>
      </c>
      <c r="BX246" s="83" t="n">
        <v>30.312</v>
      </c>
      <c r="BY246" s="87"/>
      <c r="BZ246" s="87"/>
      <c r="CA246" s="67" t="n">
        <f aca="false">BX246</f>
        <v>30.312</v>
      </c>
      <c r="CB246" s="67" t="n">
        <f aca="false">CA246</f>
        <v>30.312</v>
      </c>
      <c r="CC246" s="67" t="n">
        <f aca="false">CB246</f>
        <v>30.312</v>
      </c>
      <c r="CD246" s="67" t="n">
        <f aca="false">CC246</f>
        <v>30.312</v>
      </c>
      <c r="CE246" s="67" t="n">
        <f aca="false">CD246</f>
        <v>30.312</v>
      </c>
      <c r="CF246" s="21"/>
    </row>
    <row r="247" customFormat="false" ht="15" hidden="false" customHeight="true" outlineLevel="0" collapsed="false">
      <c r="B247" s="17" t="s">
        <v>415</v>
      </c>
      <c r="C247" s="68" t="n">
        <f aca="false">IF(ISNUMBER(C242),SUM(C242:C246),"")</f>
        <v>126.641</v>
      </c>
      <c r="D247" s="68" t="n">
        <f aca="false">IF(ISNUMBER(D242),SUM(D242:D246),"")</f>
        <v>126.526</v>
      </c>
      <c r="E247" s="68" t="n">
        <f aca="false">IF(ISNUMBER(E242),SUM(E242:E246),"")</f>
        <v>146.881</v>
      </c>
      <c r="F247" s="68" t="n">
        <f aca="false">IF(ISNUMBER(F242),SUM(F242:F246),"")</f>
        <v>102.771</v>
      </c>
      <c r="G247" s="68" t="n">
        <f aca="false">IF(ISNUMBER(G242),SUM(G242:G246),"")</f>
        <v>105.766</v>
      </c>
      <c r="H247" s="68" t="n">
        <f aca="false">IF(ISNUMBER(H242),SUM(H242:H246),"")</f>
        <v>124.348</v>
      </c>
      <c r="I247" s="68" t="n">
        <f aca="false">IF(ISNUMBER(I242),SUM(I242:I246),"")</f>
        <v>141.3</v>
      </c>
      <c r="J247" s="68" t="n">
        <f aca="false">IF(ISNUMBER(J242),SUM(J242:J246),"")</f>
        <v>147.188</v>
      </c>
      <c r="K247" s="68" t="n">
        <f aca="false">IF(ISNUMBER(K242),SUM(K242:K246),"")</f>
        <v>147.645</v>
      </c>
      <c r="L247" s="68" t="n">
        <f aca="false">IF(ISNUMBER(L242),SUM(L242:L246),"")</f>
        <v>143.241</v>
      </c>
      <c r="M247" s="68" t="n">
        <f aca="false">IF(ISNUMBER(M242),SUM(M242:M246),"")</f>
        <v>140.857</v>
      </c>
      <c r="N247" s="68" t="n">
        <f aca="false">IF(ISNUMBER(N242),SUM(N242:N246),"")</f>
        <v>140.857</v>
      </c>
      <c r="O247" s="68" t="n">
        <f aca="false">IF(ISNUMBER(O242),SUM(O242:O246),"")</f>
        <v>155.869</v>
      </c>
      <c r="P247" s="68" t="n">
        <f aca="false">IF(ISNUMBER(P242),SUM(P242:P246),"")</f>
        <v>153.452</v>
      </c>
      <c r="Q247" s="68" t="n">
        <f aca="false">IF(ISNUMBER(Q242),SUM(Q242:Q246),"")</f>
        <v>153.281</v>
      </c>
      <c r="R247" s="68" t="n">
        <f aca="false">IF(ISNUMBER(R242),SUM(R242:R246),"")</f>
        <v>130.479</v>
      </c>
      <c r="S247" s="68" t="n">
        <f aca="false">IF(ISNUMBER(S242),SUM(S242:S246),"")</f>
        <v>130.479</v>
      </c>
      <c r="T247" s="68" t="n">
        <f aca="false">IF(ISNUMBER(T242),SUM(T242:T246),"")</f>
        <v>147.041</v>
      </c>
      <c r="U247" s="68" t="n">
        <f aca="false">IF(ISNUMBER(U242),SUM(U242:U246),"")</f>
        <v>149.015</v>
      </c>
      <c r="V247" s="68" t="n">
        <f aca="false">IF(ISNUMBER(V242),SUM(V242:V246),"")</f>
        <v>154.493</v>
      </c>
      <c r="W247" s="68" t="n">
        <f aca="false">IF(ISNUMBER(W242),SUM(W242:W246),"")</f>
        <v>141.38</v>
      </c>
      <c r="X247" s="68" t="n">
        <f aca="false">IF(ISNUMBER(X242),SUM(X242:X246),"")</f>
        <v>141.38</v>
      </c>
      <c r="Y247" s="68" t="n">
        <f aca="false">IF(ISNUMBER(Y242),SUM(Y242:Y246),"")</f>
        <v>150.505</v>
      </c>
      <c r="Z247" s="68" t="n">
        <f aca="false">IF(ISNUMBER(Z242),SUM(Z242:Z246),"")</f>
        <v>144.939</v>
      </c>
      <c r="AA247" s="68" t="n">
        <f aca="false">IF(ISNUMBER(AA242),SUM(AA242:AA246),"")</f>
        <v>153.401</v>
      </c>
      <c r="AB247" s="68" t="n">
        <f aca="false">IF(ISNUMBER(AB242),SUM(AB242:AB246),"")</f>
        <v>144.944</v>
      </c>
      <c r="AC247" s="68" t="n">
        <f aca="false">IF(ISNUMBER(AC242),SUM(AC242:AC246),"")</f>
        <v>144.944</v>
      </c>
      <c r="AD247" s="68" t="n">
        <f aca="false">IF(ISNUMBER(AD242),SUM(AD242:AD246),"")</f>
        <v>174.355</v>
      </c>
      <c r="AE247" s="68" t="n">
        <f aca="false">IF(ISNUMBER(AE242),SUM(AE242:AE246),"")</f>
        <v>167.701</v>
      </c>
      <c r="AF247" s="68" t="n">
        <f aca="false">IF(ISNUMBER(AF242),SUM(AF242:AF246),"")</f>
        <v>183.499</v>
      </c>
      <c r="AG247" s="68" t="n">
        <f aca="false">IF(ISNUMBER(AG242),SUM(AG242:AG246),"")</f>
        <v>167.205</v>
      </c>
      <c r="AH247" s="68" t="n">
        <f aca="false">IF(ISNUMBER(AH242),SUM(AH242:AH246),"")</f>
        <v>167.205</v>
      </c>
      <c r="AI247" s="68" t="n">
        <f aca="false">IF(ISNUMBER(AI242),SUM(AI242:AI246),"")</f>
        <v>178.678</v>
      </c>
      <c r="AJ247" s="68" t="n">
        <f aca="false">IF(ISNUMBER(AJ242),SUM(AJ242:AJ246),"")</f>
        <v>205.577</v>
      </c>
      <c r="AK247" s="68" t="n">
        <f aca="false">IF(ISNUMBER(AK242),SUM(AK242:AK246),"")</f>
        <v>209.751</v>
      </c>
      <c r="AL247" s="68" t="n">
        <f aca="false">IF(ISNUMBER(AL242),SUM(AL242:AL246),"")</f>
        <v>209.31</v>
      </c>
      <c r="AM247" s="68" t="n">
        <f aca="false">IF(ISNUMBER(AM242),SUM(AM242:AM246),"")</f>
        <v>209.31</v>
      </c>
      <c r="AN247" s="68" t="n">
        <f aca="false">IF(ISNUMBER(AN242),SUM(AN242:AN246),"")</f>
        <v>211.466</v>
      </c>
      <c r="AO247" s="68" t="n">
        <f aca="false">IF(ISNUMBER(AO242),SUM(AO242:AO246),"")</f>
        <v>237.19</v>
      </c>
      <c r="AP247" s="68" t="n">
        <f aca="false">IF(ISNUMBER(AP242),SUM(AP242:AP246),"")</f>
        <v>244.081</v>
      </c>
      <c r="AQ247" s="68" t="n">
        <f aca="false">IF(ISNUMBER(AQ242),SUM(AQ242:AQ246),"")</f>
        <v>241.246</v>
      </c>
      <c r="AR247" s="68" t="n">
        <f aca="false">IF(ISNUMBER(AR242),SUM(AR242:AR246),"")</f>
        <v>241.246</v>
      </c>
      <c r="AS247" s="68" t="n">
        <f aca="false">IF(ISNUMBER(AS242),SUM(AS242:AS246),"")</f>
        <v>249.047</v>
      </c>
      <c r="AT247" s="68" t="n">
        <f aca="false">IF(ISNUMBER(AT242),SUM(AT242:AT246),"")</f>
        <v>248.094</v>
      </c>
      <c r="AU247" s="68" t="n">
        <f aca="false">IF(ISNUMBER(AU242),SUM(AU242:AU246),"")</f>
        <v>275.691</v>
      </c>
      <c r="AV247" s="68" t="n">
        <f aca="false">IF(ISNUMBER(AV242),SUM(AV242:AV246),"")</f>
        <v>275.754</v>
      </c>
      <c r="AW247" s="68" t="n">
        <f aca="false">IF(ISNUMBER(AW242),SUM(AW242:AW246),"")</f>
        <v>275.754</v>
      </c>
      <c r="AX247" s="68" t="n">
        <f aca="false">IF(ISNUMBER(AX242),SUM(AX242:AX246),"")</f>
        <v>307.258</v>
      </c>
      <c r="AY247" s="68" t="n">
        <f aca="false">IF(ISNUMBER(AY242),SUM(AY242:AY246),"")</f>
        <v>284.895</v>
      </c>
      <c r="AZ247" s="68" t="n">
        <f aca="false">IF(ISNUMBER(AZ242),SUM(AZ242:AZ246),"")</f>
        <v>338.621</v>
      </c>
      <c r="BA247" s="68" t="n">
        <f aca="false">IF(ISNUMBER(BA242),SUM(BA242:BA246),"")</f>
        <v>321.348</v>
      </c>
      <c r="BB247" s="68" t="n">
        <f aca="false">IF(ISNUMBER(BB242),SUM(BB242:BB246),"")</f>
        <v>321.348</v>
      </c>
      <c r="BC247" s="68" t="n">
        <f aca="false">IF(ISNUMBER(BC242),SUM(BC242:BC246),"")</f>
        <v>339.121</v>
      </c>
      <c r="BD247" s="68" t="n">
        <f aca="false">IF(ISNUMBER(BD242),SUM(BD242:BD246),"")</f>
        <v>339.149</v>
      </c>
      <c r="BE247" s="68" t="n">
        <f aca="false">IF(ISNUMBER(BE242),SUM(BE242:BE246),"")</f>
        <v>338.469</v>
      </c>
      <c r="BF247" s="68" t="n">
        <f aca="false">IF(ISNUMBER(BF242),SUM(BF242:BF246),"")</f>
        <v>274.085</v>
      </c>
      <c r="BG247" s="68" t="n">
        <f aca="false">IF(ISNUMBER(BG242),SUM(BG242:BG246),"")</f>
        <v>274.085</v>
      </c>
      <c r="BH247" s="68" t="n">
        <f aca="false">IF(ISNUMBER(BH242),SUM(BH242:BH246),"")</f>
        <v>270.531</v>
      </c>
      <c r="BI247" s="68" t="n">
        <f aca="false">IF(ISNUMBER(BI242),SUM(BI242:BI246),"")</f>
        <v>267.294</v>
      </c>
      <c r="BJ247" s="68" t="n">
        <f aca="false">IF(ISNUMBER(BJ242),SUM(BJ242:BJ246),"")</f>
        <v>299.228</v>
      </c>
      <c r="BK247" s="68" t="n">
        <f aca="false">IF(ISNUMBER(BK242),SUM(BK242:BK246),"")</f>
        <v>322.056</v>
      </c>
      <c r="BL247" s="68" t="n">
        <f aca="false">IF(ISNUMBER(BL242),SUM(BL242:BL246),"")</f>
        <v>322.056</v>
      </c>
      <c r="BM247" s="68" t="n">
        <f aca="false">IF(ISNUMBER(BM242),SUM(BM242:BM246),"")</f>
        <v>337.772</v>
      </c>
      <c r="BN247" s="68" t="n">
        <f aca="false">IF(ISNUMBER(BN242),SUM(BN242:BN246),"")</f>
        <v>327.828</v>
      </c>
      <c r="BO247" s="68" t="n">
        <f aca="false">IF(ISNUMBER(BO242),SUM(BO242:BO246),"")</f>
        <v>346.673</v>
      </c>
      <c r="BP247" s="68" t="n">
        <f aca="false">IF(ISNUMBER(BP242),SUM(BP242:BP246),"")</f>
        <v>278.36</v>
      </c>
      <c r="BQ247" s="68" t="n">
        <f aca="false">IF(ISNUMBER(BQ242),SUM(BQ242:BQ246),"")</f>
        <v>278.36</v>
      </c>
      <c r="BR247" s="68" t="n">
        <f aca="false">IF(ISNUMBER(BR242),SUM(BR242:BR246),"")</f>
        <v>327.698</v>
      </c>
      <c r="BS247" s="68" t="n">
        <f aca="false">IF(ISNUMBER(BS242),SUM(BS242:BS246),"")</f>
        <v>302.809</v>
      </c>
      <c r="BT247" s="68" t="n">
        <f aca="false">IF(ISNUMBER(BT242),SUM(BT242:BT246),"")</f>
        <v>295.904</v>
      </c>
      <c r="BU247" s="68" t="n">
        <f aca="false">IF(ISNUMBER(BU242),SUM(BU242:BU246),"")</f>
        <v>265.384</v>
      </c>
      <c r="BV247" s="68" t="n">
        <f aca="false">IF(ISNUMBER(BV242),SUM(BV242:BV246),"")</f>
        <v>265.384</v>
      </c>
      <c r="BW247" s="68" t="n">
        <f aca="false">IF(ISNUMBER(BW242),SUM(BW242:BW246),"")</f>
        <v>328.495</v>
      </c>
      <c r="BX247" s="68" t="n">
        <f aca="false">IF(ISNUMBER(BX242),SUM(BX242:BX246),"")</f>
        <v>370.903</v>
      </c>
      <c r="BY247" s="105"/>
      <c r="BZ247" s="105"/>
      <c r="CA247" s="69" t="n">
        <f aca="false">SUM(CA242:CA246)</f>
        <v>296.560208945472</v>
      </c>
      <c r="CB247" s="69" t="n">
        <f aca="false">SUM(CB242:CB246)</f>
        <v>313.357209668586</v>
      </c>
      <c r="CC247" s="69" t="n">
        <f aca="false">SUM(CC242:CC246)</f>
        <v>325.738354150871</v>
      </c>
      <c r="CD247" s="69" t="n">
        <f aca="false">SUM(CD242:CD246)</f>
        <v>340.738161300323</v>
      </c>
      <c r="CE247" s="69" t="n">
        <f aca="false">SUM(CE242:CE246)</f>
        <v>359.242565883397</v>
      </c>
      <c r="CF247" s="21"/>
    </row>
    <row r="248" customFormat="false" ht="15" hidden="false" customHeight="true" outlineLevel="0" collapsed="false">
      <c r="B248" s="22" t="s">
        <v>416</v>
      </c>
      <c r="C248" s="83" t="n">
        <v>98.628</v>
      </c>
      <c r="D248" s="83" t="n">
        <v>160.052</v>
      </c>
      <c r="E248" s="83" t="n">
        <v>107.5</v>
      </c>
      <c r="F248" s="83" t="n">
        <v>90</v>
      </c>
      <c r="G248" s="83" t="n">
        <v>72.857</v>
      </c>
      <c r="H248" s="83" t="n">
        <v>50.714</v>
      </c>
      <c r="I248" s="83" t="n">
        <v>38.562</v>
      </c>
      <c r="J248" s="83" t="n">
        <v>36.613</v>
      </c>
      <c r="K248" s="83" t="n">
        <v>84.378</v>
      </c>
      <c r="L248" s="83" t="n">
        <v>76.863</v>
      </c>
      <c r="M248" s="83" t="n">
        <v>69.74</v>
      </c>
      <c r="N248" s="83" t="n">
        <v>69.74</v>
      </c>
      <c r="O248" s="83" t="n">
        <v>72.576</v>
      </c>
      <c r="P248" s="83" t="n">
        <v>88.597</v>
      </c>
      <c r="Q248" s="83" t="n">
        <v>65.188</v>
      </c>
      <c r="R248" s="83" t="n">
        <v>73.897</v>
      </c>
      <c r="S248" s="83" t="n">
        <v>73.897</v>
      </c>
      <c r="T248" s="83" t="n">
        <v>98.076</v>
      </c>
      <c r="U248" s="83" t="n">
        <v>97.419</v>
      </c>
      <c r="V248" s="83" t="n">
        <v>69.163</v>
      </c>
      <c r="W248" s="83" t="n">
        <v>56.54</v>
      </c>
      <c r="X248" s="83" t="n">
        <v>56.54</v>
      </c>
      <c r="Y248" s="83" t="n">
        <v>102.78</v>
      </c>
      <c r="Z248" s="83" t="n">
        <v>122.747</v>
      </c>
      <c r="AA248" s="83" t="n">
        <v>77.543</v>
      </c>
      <c r="AB248" s="83" t="n">
        <v>57.041</v>
      </c>
      <c r="AC248" s="83" t="n">
        <v>57.041</v>
      </c>
      <c r="AD248" s="83" t="n">
        <v>137.738</v>
      </c>
      <c r="AE248" s="83" t="n">
        <v>131.699</v>
      </c>
      <c r="AF248" s="83" t="n">
        <v>110.161</v>
      </c>
      <c r="AG248" s="83" t="n">
        <v>118.833</v>
      </c>
      <c r="AH248" s="83" t="n">
        <v>118.833</v>
      </c>
      <c r="AI248" s="83" t="n">
        <v>127.781</v>
      </c>
      <c r="AJ248" s="83" t="n">
        <v>138.161</v>
      </c>
      <c r="AK248" s="83" t="n">
        <v>103.715</v>
      </c>
      <c r="AL248" s="83" t="n">
        <v>104.777</v>
      </c>
      <c r="AM248" s="83" t="n">
        <v>104.777</v>
      </c>
      <c r="AN248" s="83" t="n">
        <v>130.964</v>
      </c>
      <c r="AO248" s="83" t="n">
        <v>160.92</v>
      </c>
      <c r="AP248" s="83" t="n">
        <v>146.02</v>
      </c>
      <c r="AQ248" s="83" t="n">
        <v>117.025</v>
      </c>
      <c r="AR248" s="83" t="n">
        <v>117.025</v>
      </c>
      <c r="AS248" s="83" t="n">
        <v>216.202</v>
      </c>
      <c r="AT248" s="83" t="n">
        <v>141.112</v>
      </c>
      <c r="AU248" s="83" t="n">
        <v>100.186</v>
      </c>
      <c r="AV248" s="83" t="n">
        <v>50.388</v>
      </c>
      <c r="AW248" s="83" t="n">
        <v>50.388</v>
      </c>
      <c r="AX248" s="83" t="n">
        <v>44.962</v>
      </c>
      <c r="AY248" s="83" t="n">
        <v>39.378</v>
      </c>
      <c r="AZ248" s="83" t="n">
        <v>34.926</v>
      </c>
      <c r="BA248" s="83" t="n">
        <v>31.008</v>
      </c>
      <c r="BB248" s="83" t="n">
        <v>31.008</v>
      </c>
      <c r="BC248" s="83" t="n">
        <v>26.506</v>
      </c>
      <c r="BD248" s="83" t="n">
        <v>21.36</v>
      </c>
      <c r="BE248" s="83" t="n">
        <v>18.936</v>
      </c>
      <c r="BF248" s="83" t="n">
        <v>16.489</v>
      </c>
      <c r="BG248" s="83" t="n">
        <v>16.489</v>
      </c>
      <c r="BH248" s="83" t="n">
        <v>12.052</v>
      </c>
      <c r="BI248" s="83" t="n">
        <v>9.677</v>
      </c>
      <c r="BJ248" s="83" t="n">
        <v>7.963</v>
      </c>
      <c r="BK248" s="83" t="n">
        <v>6.315</v>
      </c>
      <c r="BL248" s="83" t="n">
        <v>6.315</v>
      </c>
      <c r="BM248" s="83" t="n">
        <v>76.553</v>
      </c>
      <c r="BN248" s="83" t="n">
        <v>169.098</v>
      </c>
      <c r="BO248" s="83" t="n">
        <v>184.202</v>
      </c>
      <c r="BP248" s="83" t="n">
        <v>194.981</v>
      </c>
      <c r="BQ248" s="83" t="n">
        <v>194.981</v>
      </c>
      <c r="BR248" s="83" t="n">
        <v>291.758</v>
      </c>
      <c r="BS248" s="83" t="n">
        <v>307.124</v>
      </c>
      <c r="BT248" s="83" t="n">
        <v>218</v>
      </c>
      <c r="BU248" s="83" t="n">
        <v>163</v>
      </c>
      <c r="BV248" s="83" t="n">
        <v>163</v>
      </c>
      <c r="BW248" s="83" t="n">
        <v>112</v>
      </c>
      <c r="BX248" s="83" t="n">
        <v>100</v>
      </c>
      <c r="BY248" s="87"/>
      <c r="BZ248" s="87"/>
      <c r="CA248" s="67" t="n">
        <f aca="false">CA278+CA281</f>
        <v>100</v>
      </c>
      <c r="CB248" s="67" t="n">
        <f aca="false">CB278+CB281</f>
        <v>100</v>
      </c>
      <c r="CC248" s="67" t="n">
        <f aca="false">CC278+CC281</f>
        <v>100</v>
      </c>
      <c r="CD248" s="67" t="n">
        <f aca="false">CD278+CD281</f>
        <v>100</v>
      </c>
      <c r="CE248" s="67" t="n">
        <f aca="false">CE278+CE281</f>
        <v>100</v>
      </c>
      <c r="CF248" s="21"/>
    </row>
    <row r="249" customFormat="false" ht="15" hidden="false" customHeight="true" outlineLevel="0" collapsed="false">
      <c r="B249" s="22" t="s">
        <v>417</v>
      </c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3" t="n">
        <v>58.035</v>
      </c>
      <c r="AO249" s="83" t="n">
        <v>55.96</v>
      </c>
      <c r="AP249" s="83" t="n">
        <v>86.552</v>
      </c>
      <c r="AQ249" s="83" t="n">
        <v>86.239</v>
      </c>
      <c r="AR249" s="83" t="n">
        <v>86.239</v>
      </c>
      <c r="AS249" s="83" t="n">
        <v>105.282</v>
      </c>
      <c r="AT249" s="83" t="n">
        <v>104.958</v>
      </c>
      <c r="AU249" s="83" t="n">
        <v>99.474</v>
      </c>
      <c r="AV249" s="83" t="n">
        <v>95.321</v>
      </c>
      <c r="AW249" s="83" t="n">
        <v>95.321</v>
      </c>
      <c r="AX249" s="83" t="n">
        <v>93.366</v>
      </c>
      <c r="AY249" s="83" t="n">
        <v>88.208</v>
      </c>
      <c r="AZ249" s="83" t="n">
        <v>86.979</v>
      </c>
      <c r="BA249" s="83" t="n">
        <v>88.409</v>
      </c>
      <c r="BB249" s="83" t="n">
        <v>88.409</v>
      </c>
      <c r="BC249" s="83" t="n">
        <v>84.062</v>
      </c>
      <c r="BD249" s="83" t="n">
        <v>85.522</v>
      </c>
      <c r="BE249" s="83" t="n">
        <v>87.388</v>
      </c>
      <c r="BF249" s="83" t="n">
        <v>98.581</v>
      </c>
      <c r="BG249" s="83" t="n">
        <v>98.581</v>
      </c>
      <c r="BH249" s="83" t="n">
        <v>93.649</v>
      </c>
      <c r="BI249" s="83" t="n">
        <v>88.506</v>
      </c>
      <c r="BJ249" s="83" t="n">
        <v>102.848</v>
      </c>
      <c r="BK249" s="83" t="n">
        <v>96.462</v>
      </c>
      <c r="BL249" s="83" t="n">
        <v>96.462</v>
      </c>
      <c r="BM249" s="83" t="n">
        <v>98.19</v>
      </c>
      <c r="BN249" s="83" t="n">
        <v>97.48</v>
      </c>
      <c r="BO249" s="83" t="n">
        <v>92.325</v>
      </c>
      <c r="BP249" s="83" t="n">
        <v>96.798</v>
      </c>
      <c r="BQ249" s="83" t="n">
        <v>96.798</v>
      </c>
      <c r="BR249" s="83" t="n">
        <v>94.532</v>
      </c>
      <c r="BS249" s="83" t="n">
        <v>106.282</v>
      </c>
      <c r="BT249" s="83" t="n">
        <v>102.175</v>
      </c>
      <c r="BU249" s="83" t="n">
        <v>113.119</v>
      </c>
      <c r="BV249" s="83" t="n">
        <v>113.119</v>
      </c>
      <c r="BW249" s="83" t="n">
        <v>119.847</v>
      </c>
      <c r="BX249" s="83" t="n">
        <v>138.755</v>
      </c>
      <c r="BY249" s="87"/>
      <c r="BZ249" s="87"/>
      <c r="CA249" s="67" t="n">
        <f aca="false">BX249</f>
        <v>138.755</v>
      </c>
      <c r="CB249" s="67" t="n">
        <f aca="false">CA249</f>
        <v>138.755</v>
      </c>
      <c r="CC249" s="67" t="n">
        <f aca="false">CB249</f>
        <v>138.755</v>
      </c>
      <c r="CD249" s="67" t="n">
        <f aca="false">CC249</f>
        <v>138.755</v>
      </c>
      <c r="CE249" s="67" t="n">
        <f aca="false">CD249</f>
        <v>138.755</v>
      </c>
      <c r="CF249" s="21"/>
    </row>
    <row r="250" customFormat="false" ht="15" hidden="false" customHeight="true" outlineLevel="0" collapsed="false">
      <c r="B250" s="22" t="s">
        <v>351</v>
      </c>
      <c r="C250" s="83" t="n">
        <v>45.259</v>
      </c>
      <c r="D250" s="83" t="n">
        <v>55.961</v>
      </c>
      <c r="E250" s="83" t="n">
        <v>50.584</v>
      </c>
      <c r="F250" s="83" t="n">
        <v>45.05</v>
      </c>
      <c r="G250" s="83" t="n">
        <v>39.077</v>
      </c>
      <c r="H250" s="83" t="n">
        <v>51.289</v>
      </c>
      <c r="I250" s="83" t="n">
        <v>55.611</v>
      </c>
      <c r="J250" s="83" t="n">
        <v>55.611</v>
      </c>
      <c r="K250" s="83" t="n">
        <v>55.733</v>
      </c>
      <c r="L250" s="83" t="n">
        <v>59.514</v>
      </c>
      <c r="M250" s="83" t="n">
        <v>69.916</v>
      </c>
      <c r="N250" s="83" t="n">
        <v>69.916</v>
      </c>
      <c r="O250" s="83" t="n">
        <v>68.612</v>
      </c>
      <c r="P250" s="83" t="n">
        <v>68.472</v>
      </c>
      <c r="Q250" s="83" t="n">
        <v>69.422</v>
      </c>
      <c r="R250" s="83" t="n">
        <v>78.406</v>
      </c>
      <c r="S250" s="83" t="n">
        <v>78.406</v>
      </c>
      <c r="T250" s="83" t="n">
        <v>76.853</v>
      </c>
      <c r="U250" s="83" t="n">
        <v>74.224</v>
      </c>
      <c r="V250" s="83" t="n">
        <v>77.775</v>
      </c>
      <c r="W250" s="83" t="n">
        <v>67.417</v>
      </c>
      <c r="X250" s="83" t="n">
        <v>67.417</v>
      </c>
      <c r="Y250" s="83" t="n">
        <v>69.078</v>
      </c>
      <c r="Z250" s="83" t="n">
        <v>71.673</v>
      </c>
      <c r="AA250" s="83" t="n">
        <v>74.091</v>
      </c>
      <c r="AB250" s="83" t="n">
        <v>80.199</v>
      </c>
      <c r="AC250" s="83" t="n">
        <v>80.199</v>
      </c>
      <c r="AD250" s="83" t="n">
        <v>82.738</v>
      </c>
      <c r="AE250" s="83" t="n">
        <v>87.075</v>
      </c>
      <c r="AF250" s="83" t="n">
        <v>90.064</v>
      </c>
      <c r="AG250" s="83" t="n">
        <v>59.423</v>
      </c>
      <c r="AH250" s="83" t="n">
        <v>59.423</v>
      </c>
      <c r="AI250" s="83" t="n">
        <v>61.031</v>
      </c>
      <c r="AJ250" s="83" t="n">
        <v>63.419</v>
      </c>
      <c r="AK250" s="83" t="n">
        <v>65.895</v>
      </c>
      <c r="AL250" s="83" t="n">
        <v>86.893</v>
      </c>
      <c r="AM250" s="83" t="n">
        <v>86.893</v>
      </c>
      <c r="AN250" s="83" t="n">
        <v>92.208</v>
      </c>
      <c r="AO250" s="83" t="n">
        <v>100.244</v>
      </c>
      <c r="AP250" s="83" t="n">
        <v>108.711</v>
      </c>
      <c r="AQ250" s="83" t="n">
        <v>111.555</v>
      </c>
      <c r="AR250" s="83" t="n">
        <v>111.555</v>
      </c>
      <c r="AS250" s="83" t="n">
        <v>118.624</v>
      </c>
      <c r="AT250" s="83" t="n">
        <v>119.125</v>
      </c>
      <c r="AU250" s="83" t="n">
        <v>122.162</v>
      </c>
      <c r="AV250" s="83" t="n">
        <v>119.818</v>
      </c>
      <c r="AW250" s="83" t="n">
        <v>119.818</v>
      </c>
      <c r="AX250" s="83" t="n">
        <v>121.144</v>
      </c>
      <c r="AY250" s="83" t="n">
        <v>123</v>
      </c>
      <c r="AZ250" s="83" t="n">
        <v>124.903</v>
      </c>
      <c r="BA250" s="83" t="n">
        <v>124.137</v>
      </c>
      <c r="BB250" s="83" t="n">
        <v>124.137</v>
      </c>
      <c r="BC250" s="83" t="n">
        <v>122.106</v>
      </c>
      <c r="BD250" s="83" t="n">
        <v>123.229</v>
      </c>
      <c r="BE250" s="83" t="n">
        <v>124.96</v>
      </c>
      <c r="BF250" s="83" t="n">
        <v>145.771</v>
      </c>
      <c r="BG250" s="83" t="n">
        <v>145.771</v>
      </c>
      <c r="BH250" s="83" t="n">
        <v>151.509</v>
      </c>
      <c r="BI250" s="83" t="n">
        <v>158.543</v>
      </c>
      <c r="BJ250" s="83" t="n">
        <v>163.267</v>
      </c>
      <c r="BK250" s="83" t="n">
        <v>155.841</v>
      </c>
      <c r="BL250" s="83" t="n">
        <v>155.841</v>
      </c>
      <c r="BM250" s="83" t="n">
        <v>157.626</v>
      </c>
      <c r="BN250" s="83" t="n">
        <v>159.925</v>
      </c>
      <c r="BO250" s="83" t="n">
        <v>161.867</v>
      </c>
      <c r="BP250" s="83" t="n">
        <v>219.062</v>
      </c>
      <c r="BQ250" s="83" t="n">
        <v>219.062</v>
      </c>
      <c r="BR250" s="83" t="n">
        <v>224.307</v>
      </c>
      <c r="BS250" s="83" t="n">
        <v>236.536</v>
      </c>
      <c r="BT250" s="83" t="n">
        <v>287.123</v>
      </c>
      <c r="BU250" s="83" t="n">
        <v>284.37</v>
      </c>
      <c r="BV250" s="83" t="n">
        <v>284.37</v>
      </c>
      <c r="BW250" s="83" t="n">
        <v>293.701</v>
      </c>
      <c r="BX250" s="83" t="n">
        <v>299.531</v>
      </c>
      <c r="BY250" s="87"/>
      <c r="BZ250" s="87"/>
      <c r="CA250" s="67" t="n">
        <f aca="false">BX250+(CA189-$BW$189-$BX$189)</f>
        <v>318.286457988723</v>
      </c>
      <c r="CB250" s="67" t="n">
        <f aca="false">CA250+CB189</f>
        <v>350.685000065871</v>
      </c>
      <c r="CC250" s="67" t="n">
        <f aca="false">CB250+CC189</f>
        <v>385.321539789773</v>
      </c>
      <c r="CD250" s="67" t="n">
        <f aca="false">CC250+CD189</f>
        <v>423.01627945709</v>
      </c>
      <c r="CE250" s="67" t="n">
        <f aca="false">CD250+CE189</f>
        <v>466.042238600938</v>
      </c>
      <c r="CF250" s="21"/>
    </row>
    <row r="251" customFormat="false" ht="15" hidden="false" customHeight="true" outlineLevel="0" collapsed="false">
      <c r="B251" s="22" t="s">
        <v>418</v>
      </c>
      <c r="C251" s="83" t="n">
        <v>13.717</v>
      </c>
      <c r="D251" s="83" t="n">
        <v>17.392</v>
      </c>
      <c r="E251" s="83" t="n">
        <v>27.215</v>
      </c>
      <c r="F251" s="83" t="n">
        <v>25.924</v>
      </c>
      <c r="G251" s="83" t="n">
        <v>28.099</v>
      </c>
      <c r="H251" s="83" t="n">
        <v>29.234</v>
      </c>
      <c r="I251" s="83" t="n">
        <v>29.696</v>
      </c>
      <c r="J251" s="83" t="n">
        <v>31.639</v>
      </c>
      <c r="K251" s="83" t="n">
        <v>31.515</v>
      </c>
      <c r="L251" s="83" t="n">
        <v>31.215</v>
      </c>
      <c r="M251" s="83" t="n">
        <v>31.496</v>
      </c>
      <c r="N251" s="83" t="n">
        <v>31.496</v>
      </c>
      <c r="O251" s="83" t="n">
        <v>32.054</v>
      </c>
      <c r="P251" s="83" t="n">
        <v>41.932</v>
      </c>
      <c r="Q251" s="83" t="n">
        <v>42.5</v>
      </c>
      <c r="R251" s="83" t="n">
        <v>36.757</v>
      </c>
      <c r="S251" s="83" t="n">
        <v>36.757</v>
      </c>
      <c r="T251" s="83" t="n">
        <v>38.3</v>
      </c>
      <c r="U251" s="83" t="n">
        <v>34.689</v>
      </c>
      <c r="V251" s="83" t="n">
        <v>35.728</v>
      </c>
      <c r="W251" s="83" t="n">
        <v>35.967</v>
      </c>
      <c r="X251" s="83" t="n">
        <v>35.967</v>
      </c>
      <c r="Y251" s="83" t="n">
        <v>34.574</v>
      </c>
      <c r="Z251" s="83" t="n">
        <v>35.352</v>
      </c>
      <c r="AA251" s="83" t="n">
        <v>34.687</v>
      </c>
      <c r="AB251" s="83" t="n">
        <v>35.108</v>
      </c>
      <c r="AC251" s="83" t="n">
        <v>35.108</v>
      </c>
      <c r="AD251" s="83" t="n">
        <v>36.898</v>
      </c>
      <c r="AE251" s="83" t="n">
        <v>38.855</v>
      </c>
      <c r="AF251" s="83" t="n">
        <v>37.242</v>
      </c>
      <c r="AG251" s="83" t="n">
        <v>39.639</v>
      </c>
      <c r="AH251" s="83" t="n">
        <v>39.639</v>
      </c>
      <c r="AI251" s="83" t="n">
        <v>40.663</v>
      </c>
      <c r="AJ251" s="83" t="n">
        <v>38.827</v>
      </c>
      <c r="AK251" s="83" t="n">
        <v>39.44</v>
      </c>
      <c r="AL251" s="83" t="n">
        <v>36.899</v>
      </c>
      <c r="AM251" s="83" t="n">
        <v>36.899</v>
      </c>
      <c r="AN251" s="83" t="n">
        <v>36.534</v>
      </c>
      <c r="AO251" s="83" t="n">
        <v>40.304</v>
      </c>
      <c r="AP251" s="83" t="n">
        <v>44.537</v>
      </c>
      <c r="AQ251" s="83" t="n">
        <v>44.402</v>
      </c>
      <c r="AR251" s="83" t="n">
        <v>44.402</v>
      </c>
      <c r="AS251" s="83" t="n">
        <v>44.717</v>
      </c>
      <c r="AT251" s="83" t="n">
        <v>49.821</v>
      </c>
      <c r="AU251" s="83" t="n">
        <v>49.701</v>
      </c>
      <c r="AV251" s="83" t="n">
        <v>46.205</v>
      </c>
      <c r="AW251" s="83" t="n">
        <v>46.205</v>
      </c>
      <c r="AX251" s="83" t="n">
        <v>46.237</v>
      </c>
      <c r="AY251" s="83" t="n">
        <v>48.756</v>
      </c>
      <c r="AZ251" s="83" t="n">
        <v>59.104</v>
      </c>
      <c r="BA251" s="83" t="n">
        <v>60.015</v>
      </c>
      <c r="BB251" s="83" t="n">
        <v>60.015</v>
      </c>
      <c r="BC251" s="83" t="n">
        <v>69.064</v>
      </c>
      <c r="BD251" s="83" t="n">
        <v>74.833</v>
      </c>
      <c r="BE251" s="83" t="n">
        <v>64.089</v>
      </c>
      <c r="BF251" s="83" t="n">
        <v>60.443</v>
      </c>
      <c r="BG251" s="83" t="n">
        <v>60.443</v>
      </c>
      <c r="BH251" s="83" t="n">
        <v>64.118</v>
      </c>
      <c r="BI251" s="83" t="n">
        <v>66.869</v>
      </c>
      <c r="BJ251" s="83" t="n">
        <v>62.55</v>
      </c>
      <c r="BK251" s="83" t="n">
        <v>61.397</v>
      </c>
      <c r="BL251" s="83" t="n">
        <v>61.397</v>
      </c>
      <c r="BM251" s="83" t="n">
        <v>66.635</v>
      </c>
      <c r="BN251" s="83" t="n">
        <v>66.705</v>
      </c>
      <c r="BO251" s="83" t="n">
        <v>65.572</v>
      </c>
      <c r="BP251" s="83" t="n">
        <v>66.385</v>
      </c>
      <c r="BQ251" s="83" t="n">
        <v>66.385</v>
      </c>
      <c r="BR251" s="83" t="n">
        <v>66.499</v>
      </c>
      <c r="BS251" s="83" t="n">
        <v>68.453</v>
      </c>
      <c r="BT251" s="83" t="n">
        <v>71.731</v>
      </c>
      <c r="BU251" s="83" t="n">
        <v>79.109</v>
      </c>
      <c r="BV251" s="83" t="n">
        <v>79.109</v>
      </c>
      <c r="BW251" s="83" t="n">
        <v>83.357</v>
      </c>
      <c r="BX251" s="83" t="n">
        <v>89.043</v>
      </c>
      <c r="BY251" s="87"/>
      <c r="BZ251" s="87"/>
      <c r="CA251" s="67" t="n">
        <f aca="false">CA81*CA271</f>
        <v>91.3716072923759</v>
      </c>
      <c r="CB251" s="67" t="n">
        <f aca="false">CB81*CB271</f>
        <v>99.7738781555904</v>
      </c>
      <c r="CC251" s="67" t="n">
        <f aca="false">CC81*CC271</f>
        <v>105.967229650396</v>
      </c>
      <c r="CD251" s="67" t="n">
        <f aca="false">CD81*CD271</f>
        <v>113.470500302296</v>
      </c>
      <c r="CE251" s="67" t="n">
        <f aca="false">CE81*CE271</f>
        <v>122.726856364456</v>
      </c>
      <c r="CF251" s="21"/>
    </row>
    <row r="252" customFormat="false" ht="15" hidden="false" customHeight="true" outlineLevel="0" collapsed="false">
      <c r="B252" s="17" t="s">
        <v>419</v>
      </c>
      <c r="C252" s="68" t="n">
        <f aca="false">IF(ISNUMBER(C242),C247+SUM(C248:C251),"")</f>
        <v>284.245</v>
      </c>
      <c r="D252" s="68" t="n">
        <f aca="false">IF(ISNUMBER(D242),D247+SUM(D248:D251),"")</f>
        <v>359.931</v>
      </c>
      <c r="E252" s="68" t="n">
        <f aca="false">IF(ISNUMBER(E242),E247+SUM(E248:E251),"")</f>
        <v>332.18</v>
      </c>
      <c r="F252" s="68" t="n">
        <f aca="false">IF(ISNUMBER(F242),F247+SUM(F248:F251),"")</f>
        <v>263.745</v>
      </c>
      <c r="G252" s="68" t="n">
        <f aca="false">IF(ISNUMBER(G242),G247+SUM(G248:G251),"")</f>
        <v>245.799</v>
      </c>
      <c r="H252" s="68" t="n">
        <f aca="false">IF(ISNUMBER(H242),H247+SUM(H248:H251),"")</f>
        <v>255.585</v>
      </c>
      <c r="I252" s="68" t="n">
        <f aca="false">IF(ISNUMBER(I242),I247+SUM(I248:I251),"")</f>
        <v>265.169</v>
      </c>
      <c r="J252" s="68" t="n">
        <f aca="false">IF(ISNUMBER(J242),J247+SUM(J248:J251),"")</f>
        <v>271.051</v>
      </c>
      <c r="K252" s="68" t="n">
        <f aca="false">IF(ISNUMBER(K242),K247+SUM(K248:K251),"")</f>
        <v>319.271</v>
      </c>
      <c r="L252" s="68" t="n">
        <f aca="false">IF(ISNUMBER(L242),L247+SUM(L248:L251),"")</f>
        <v>310.833</v>
      </c>
      <c r="M252" s="68" t="n">
        <f aca="false">IF(ISNUMBER(M242),M247+SUM(M248:M251),"")</f>
        <v>312.009</v>
      </c>
      <c r="N252" s="68" t="n">
        <f aca="false">IF(ISNUMBER(N242),N247+SUM(N248:N251),"")</f>
        <v>312.009</v>
      </c>
      <c r="O252" s="68" t="n">
        <f aca="false">IF(ISNUMBER(O242),O247+SUM(O248:O251),"")</f>
        <v>329.111</v>
      </c>
      <c r="P252" s="68" t="n">
        <f aca="false">IF(ISNUMBER(P242),P247+SUM(P248:P251),"")</f>
        <v>352.453</v>
      </c>
      <c r="Q252" s="68" t="n">
        <f aca="false">IF(ISNUMBER(Q242),Q247+SUM(Q248:Q251),"")</f>
        <v>330.391</v>
      </c>
      <c r="R252" s="68" t="n">
        <f aca="false">IF(ISNUMBER(R242),R247+SUM(R248:R251),"")</f>
        <v>319.539</v>
      </c>
      <c r="S252" s="68" t="n">
        <f aca="false">IF(ISNUMBER(S242),S247+SUM(S248:S251),"")</f>
        <v>319.539</v>
      </c>
      <c r="T252" s="68" t="n">
        <f aca="false">IF(ISNUMBER(T242),T247+SUM(T248:T251),"")</f>
        <v>360.27</v>
      </c>
      <c r="U252" s="68" t="n">
        <f aca="false">IF(ISNUMBER(U242),U247+SUM(U248:U251),"")</f>
        <v>355.347</v>
      </c>
      <c r="V252" s="68" t="n">
        <f aca="false">IF(ISNUMBER(V242),V247+SUM(V248:V251),"")</f>
        <v>337.159</v>
      </c>
      <c r="W252" s="68" t="n">
        <f aca="false">IF(ISNUMBER(W242),W247+SUM(W248:W251),"")</f>
        <v>301.304</v>
      </c>
      <c r="X252" s="68" t="n">
        <f aca="false">IF(ISNUMBER(X242),X247+SUM(X248:X251),"")</f>
        <v>301.304</v>
      </c>
      <c r="Y252" s="68" t="n">
        <f aca="false">IF(ISNUMBER(Y242),Y247+SUM(Y248:Y251),"")</f>
        <v>356.937</v>
      </c>
      <c r="Z252" s="68" t="n">
        <f aca="false">IF(ISNUMBER(Z242),Z247+SUM(Z248:Z251),"")</f>
        <v>374.711</v>
      </c>
      <c r="AA252" s="68" t="n">
        <f aca="false">IF(ISNUMBER(AA242),AA247+SUM(AA248:AA251),"")</f>
        <v>339.722</v>
      </c>
      <c r="AB252" s="68" t="n">
        <f aca="false">IF(ISNUMBER(AB242),AB247+SUM(AB248:AB251),"")</f>
        <v>317.292</v>
      </c>
      <c r="AC252" s="68" t="n">
        <f aca="false">IF(ISNUMBER(AC242),AC247+SUM(AC248:AC251),"")</f>
        <v>317.292</v>
      </c>
      <c r="AD252" s="68" t="n">
        <f aca="false">IF(ISNUMBER(AD242),AD247+SUM(AD248:AD251),"")</f>
        <v>431.729</v>
      </c>
      <c r="AE252" s="68" t="n">
        <f aca="false">IF(ISNUMBER(AE242),AE247+SUM(AE248:AE251),"")</f>
        <v>425.33</v>
      </c>
      <c r="AF252" s="68" t="n">
        <f aca="false">IF(ISNUMBER(AF242),AF247+SUM(AF248:AF251),"")</f>
        <v>420.966</v>
      </c>
      <c r="AG252" s="68" t="n">
        <f aca="false">IF(ISNUMBER(AG242),AG247+SUM(AG248:AG251),"")</f>
        <v>385.1</v>
      </c>
      <c r="AH252" s="68" t="n">
        <f aca="false">IF(ISNUMBER(AH242),AH247+SUM(AH248:AH251),"")</f>
        <v>385.1</v>
      </c>
      <c r="AI252" s="68" t="n">
        <f aca="false">IF(ISNUMBER(AI242),AI247+SUM(AI248:AI251),"")</f>
        <v>408.153</v>
      </c>
      <c r="AJ252" s="68" t="n">
        <f aca="false">IF(ISNUMBER(AJ242),AJ247+SUM(AJ248:AJ251),"")</f>
        <v>445.984</v>
      </c>
      <c r="AK252" s="68" t="n">
        <f aca="false">IF(ISNUMBER(AK242),AK247+SUM(AK248:AK251),"")</f>
        <v>418.801</v>
      </c>
      <c r="AL252" s="68" t="n">
        <f aca="false">IF(ISNUMBER(AL242),AL247+SUM(AL248:AL251),"")</f>
        <v>437.879</v>
      </c>
      <c r="AM252" s="68" t="n">
        <f aca="false">IF(ISNUMBER(AM242),AM247+SUM(AM248:AM251),"")</f>
        <v>437.879</v>
      </c>
      <c r="AN252" s="68" t="n">
        <f aca="false">IF(ISNUMBER(AN242),AN247+SUM(AN248:AN251),"")</f>
        <v>529.207</v>
      </c>
      <c r="AO252" s="68" t="n">
        <f aca="false">IF(ISNUMBER(AO242),AO247+SUM(AO248:AO251),"")</f>
        <v>594.618</v>
      </c>
      <c r="AP252" s="68" t="n">
        <f aca="false">IF(ISNUMBER(AP242),AP247+SUM(AP248:AP251),"")</f>
        <v>629.901</v>
      </c>
      <c r="AQ252" s="68" t="n">
        <f aca="false">IF(ISNUMBER(AQ242),AQ247+SUM(AQ248:AQ251),"")</f>
        <v>600.467</v>
      </c>
      <c r="AR252" s="68" t="n">
        <f aca="false">IF(ISNUMBER(AR242),AR247+SUM(AR248:AR251),"")</f>
        <v>600.467</v>
      </c>
      <c r="AS252" s="68" t="n">
        <f aca="false">IF(ISNUMBER(AS242),AS247+SUM(AS248:AS251),"")</f>
        <v>733.872</v>
      </c>
      <c r="AT252" s="68" t="n">
        <f aca="false">IF(ISNUMBER(AT242),AT247+SUM(AT248:AT251),"")</f>
        <v>663.11</v>
      </c>
      <c r="AU252" s="68" t="n">
        <f aca="false">IF(ISNUMBER(AU242),AU247+SUM(AU248:AU251),"")</f>
        <v>647.214</v>
      </c>
      <c r="AV252" s="68" t="n">
        <f aca="false">IF(ISNUMBER(AV242),AV247+SUM(AV248:AV251),"")</f>
        <v>587.486</v>
      </c>
      <c r="AW252" s="68" t="n">
        <f aca="false">IF(ISNUMBER(AW242),AW247+SUM(AW248:AW251),"")</f>
        <v>587.486</v>
      </c>
      <c r="AX252" s="68" t="n">
        <f aca="false">IF(ISNUMBER(AX242),AX247+SUM(AX248:AX251),"")</f>
        <v>612.967</v>
      </c>
      <c r="AY252" s="68" t="n">
        <f aca="false">IF(ISNUMBER(AY242),AY247+SUM(AY248:AY251),"")</f>
        <v>584.237</v>
      </c>
      <c r="AZ252" s="68" t="n">
        <f aca="false">IF(ISNUMBER(AZ242),AZ247+SUM(AZ248:AZ251),"")</f>
        <v>644.533</v>
      </c>
      <c r="BA252" s="68" t="n">
        <f aca="false">IF(ISNUMBER(BA242),BA247+SUM(BA248:BA251),"")</f>
        <v>624.917</v>
      </c>
      <c r="BB252" s="68" t="n">
        <f aca="false">IF(ISNUMBER(BB242),BB247+SUM(BB248:BB251),"")</f>
        <v>624.917</v>
      </c>
      <c r="BC252" s="68" t="n">
        <f aca="false">IF(ISNUMBER(BC242),BC247+SUM(BC248:BC251),"")</f>
        <v>640.859</v>
      </c>
      <c r="BD252" s="68" t="n">
        <f aca="false">IF(ISNUMBER(BD242),BD247+SUM(BD248:BD251),"")</f>
        <v>644.093</v>
      </c>
      <c r="BE252" s="68" t="n">
        <f aca="false">IF(ISNUMBER(BE242),BE247+SUM(BE248:BE251),"")</f>
        <v>633.842</v>
      </c>
      <c r="BF252" s="68" t="n">
        <f aca="false">IF(ISNUMBER(BF242),BF247+SUM(BF248:BF251),"")</f>
        <v>595.369</v>
      </c>
      <c r="BG252" s="68" t="n">
        <f aca="false">IF(ISNUMBER(BG242),BG247+SUM(BG248:BG251),"")</f>
        <v>595.369</v>
      </c>
      <c r="BH252" s="68" t="n">
        <f aca="false">IF(ISNUMBER(BH242),BH247+SUM(BH248:BH251),"")</f>
        <v>591.859</v>
      </c>
      <c r="BI252" s="68" t="n">
        <f aca="false">IF(ISNUMBER(BI242),BI247+SUM(BI248:BI251),"")</f>
        <v>590.889</v>
      </c>
      <c r="BJ252" s="68" t="n">
        <f aca="false">IF(ISNUMBER(BJ242),BJ247+SUM(BJ248:BJ251),"")</f>
        <v>635.856</v>
      </c>
      <c r="BK252" s="68" t="n">
        <f aca="false">IF(ISNUMBER(BK242),BK247+SUM(BK248:BK251),"")</f>
        <v>642.071</v>
      </c>
      <c r="BL252" s="68" t="n">
        <f aca="false">IF(ISNUMBER(BL242),BL247+SUM(BL248:BL251),"")</f>
        <v>642.071</v>
      </c>
      <c r="BM252" s="68" t="n">
        <f aca="false">IF(ISNUMBER(BM242),BM247+SUM(BM248:BM251),"")</f>
        <v>736.776</v>
      </c>
      <c r="BN252" s="68" t="n">
        <f aca="false">IF(ISNUMBER(BN242),BN247+SUM(BN248:BN251),"")</f>
        <v>821.036</v>
      </c>
      <c r="BO252" s="68" t="n">
        <f aca="false">IF(ISNUMBER(BO242),BO247+SUM(BO248:BO251),"")</f>
        <v>850.639</v>
      </c>
      <c r="BP252" s="68" t="n">
        <f aca="false">IF(ISNUMBER(BP242),BP247+SUM(BP248:BP251),"")</f>
        <v>855.586</v>
      </c>
      <c r="BQ252" s="68" t="n">
        <f aca="false">IF(ISNUMBER(BQ242),BQ247+SUM(BQ248:BQ251),"")</f>
        <v>855.586</v>
      </c>
      <c r="BR252" s="68" t="n">
        <f aca="false">IF(ISNUMBER(BR242),BR247+SUM(BR248:BR251),"")</f>
        <v>1004.794</v>
      </c>
      <c r="BS252" s="68" t="n">
        <f aca="false">IF(ISNUMBER(BS242),BS247+SUM(BS248:BS251),"")</f>
        <v>1021.204</v>
      </c>
      <c r="BT252" s="68" t="n">
        <f aca="false">IF(ISNUMBER(BT242),BT247+SUM(BT248:BT251),"")</f>
        <v>974.933</v>
      </c>
      <c r="BU252" s="68" t="n">
        <f aca="false">IF(ISNUMBER(BU242),BU247+SUM(BU248:BU251),"")</f>
        <v>904.982</v>
      </c>
      <c r="BV252" s="68" t="n">
        <f aca="false">IF(ISNUMBER(BV242),BV247+SUM(BV248:BV251),"")</f>
        <v>904.982</v>
      </c>
      <c r="BW252" s="68" t="n">
        <f aca="false">IF(ISNUMBER(BW242),BW247+SUM(BW248:BW251),"")</f>
        <v>937.4</v>
      </c>
      <c r="BX252" s="68" t="n">
        <f aca="false">IF(ISNUMBER(BX242),BX247+SUM(BX248:BX251),"")</f>
        <v>998.232</v>
      </c>
      <c r="BY252" s="105"/>
      <c r="BZ252" s="105"/>
      <c r="CA252" s="69" t="n">
        <f aca="false">CA247+SUM(CA248:CA251)</f>
        <v>944.973274226571</v>
      </c>
      <c r="CB252" s="69" t="n">
        <f aca="false">CB247+SUM(CB248:CB251)</f>
        <v>1002.57108789005</v>
      </c>
      <c r="CC252" s="69" t="n">
        <f aca="false">CC247+SUM(CC248:CC251)</f>
        <v>1055.78212359104</v>
      </c>
      <c r="CD252" s="69" t="n">
        <f aca="false">CD247+SUM(CD248:CD251)</f>
        <v>1115.97994105971</v>
      </c>
      <c r="CE252" s="69" t="n">
        <f aca="false">CE247+SUM(CE248:CE251)</f>
        <v>1186.76666084879</v>
      </c>
      <c r="CF252" s="21"/>
    </row>
    <row r="253" customFormat="false" ht="15" hidden="false" customHeight="true" outlineLevel="0" collapsed="false">
      <c r="B253" s="37" t="s">
        <v>420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90"/>
      <c r="BM253" s="42"/>
      <c r="BN253" s="42"/>
      <c r="BO253" s="42"/>
      <c r="BP253" s="42"/>
      <c r="BQ253" s="42"/>
      <c r="BR253" s="90"/>
      <c r="BS253" s="90"/>
      <c r="BT253" s="42"/>
      <c r="BU253" s="42"/>
      <c r="BV253" s="42"/>
      <c r="BW253" s="42"/>
      <c r="BX253" s="42"/>
      <c r="BY253" s="43"/>
      <c r="BZ253" s="43"/>
      <c r="CA253" s="43"/>
      <c r="CB253" s="43"/>
      <c r="CC253" s="43"/>
      <c r="CD253" s="43"/>
      <c r="CE253" s="43"/>
      <c r="CF253" s="21"/>
    </row>
    <row r="254" customFormat="false" ht="15" hidden="false" customHeight="true" outlineLevel="0" collapsed="false">
      <c r="B254" s="22" t="s">
        <v>421</v>
      </c>
      <c r="C254" s="83" t="n">
        <v>199.272</v>
      </c>
      <c r="D254" s="83" t="n">
        <v>170.273</v>
      </c>
      <c r="E254" s="83" t="n">
        <v>174.093</v>
      </c>
      <c r="F254" s="83" t="n">
        <v>201.057</v>
      </c>
      <c r="G254" s="83" t="n">
        <v>202.767</v>
      </c>
      <c r="H254" s="83" t="n">
        <v>203.809</v>
      </c>
      <c r="I254" s="83" t="n">
        <v>206.993</v>
      </c>
      <c r="J254" s="83" t="n">
        <v>207.274</v>
      </c>
      <c r="K254" s="83" t="n">
        <v>211.078</v>
      </c>
      <c r="L254" s="83" t="n">
        <v>211.786</v>
      </c>
      <c r="M254" s="83" t="n">
        <v>213.672</v>
      </c>
      <c r="N254" s="83" t="n">
        <v>213.672</v>
      </c>
      <c r="O254" s="83" t="n">
        <v>215.027</v>
      </c>
      <c r="P254" s="83" t="n">
        <v>216.951</v>
      </c>
      <c r="Q254" s="83" t="n">
        <v>219.537</v>
      </c>
      <c r="R254" s="83" t="n">
        <v>223.738</v>
      </c>
      <c r="S254" s="83" t="n">
        <v>223.738</v>
      </c>
      <c r="T254" s="83" t="n">
        <v>223.871</v>
      </c>
      <c r="U254" s="83" t="n">
        <v>226.916</v>
      </c>
      <c r="V254" s="83" t="n">
        <v>228.04</v>
      </c>
      <c r="W254" s="83" t="n">
        <v>230.618</v>
      </c>
      <c r="X254" s="83" t="n">
        <v>230.618</v>
      </c>
      <c r="Y254" s="83" t="n">
        <v>231.139</v>
      </c>
      <c r="Z254" s="83" t="n">
        <v>233.225</v>
      </c>
      <c r="AA254" s="83" t="n">
        <v>234.07</v>
      </c>
      <c r="AB254" s="83" t="n">
        <v>237.871</v>
      </c>
      <c r="AC254" s="83" t="n">
        <v>237.871</v>
      </c>
      <c r="AD254" s="83" t="n">
        <v>239.02</v>
      </c>
      <c r="AE254" s="83" t="n">
        <v>241.082</v>
      </c>
      <c r="AF254" s="83" t="n">
        <v>243.407</v>
      </c>
      <c r="AG254" s="83" t="n">
        <v>246.48</v>
      </c>
      <c r="AH254" s="83" t="n">
        <v>246.48</v>
      </c>
      <c r="AI254" s="83" t="n">
        <v>250.259</v>
      </c>
      <c r="AJ254" s="83" t="n">
        <v>252.562</v>
      </c>
      <c r="AK254" s="83" t="n">
        <v>253.392</v>
      </c>
      <c r="AL254" s="83" t="n">
        <v>254.764</v>
      </c>
      <c r="AM254" s="83" t="n">
        <v>254.764</v>
      </c>
      <c r="AN254" s="83" t="n">
        <v>254.601</v>
      </c>
      <c r="AO254" s="83" t="n">
        <v>257.609</v>
      </c>
      <c r="AP254" s="83" t="n">
        <v>259.414</v>
      </c>
      <c r="AQ254" s="83" t="n">
        <v>260.897</v>
      </c>
      <c r="AR254" s="83" t="n">
        <v>260.897</v>
      </c>
      <c r="AS254" s="83" t="n">
        <v>262.034</v>
      </c>
      <c r="AT254" s="83" t="n">
        <v>265.29</v>
      </c>
      <c r="AU254" s="83" t="n">
        <v>267.101</v>
      </c>
      <c r="AV254" s="83" t="n">
        <v>267.692</v>
      </c>
      <c r="AW254" s="83" t="n">
        <v>267.692</v>
      </c>
      <c r="AX254" s="83" t="n">
        <v>267.456</v>
      </c>
      <c r="AY254" s="83" t="n">
        <v>270.634</v>
      </c>
      <c r="AZ254" s="83" t="n">
        <v>272.571</v>
      </c>
      <c r="BA254" s="83" t="n">
        <v>274.659</v>
      </c>
      <c r="BB254" s="83" t="n">
        <v>274.659</v>
      </c>
      <c r="BC254" s="83" t="n">
        <v>267.771</v>
      </c>
      <c r="BD254" s="83" t="n">
        <v>271.421</v>
      </c>
      <c r="BE254" s="83" t="n">
        <v>275.384</v>
      </c>
      <c r="BF254" s="83" t="n">
        <v>277.392</v>
      </c>
      <c r="BG254" s="83" t="n">
        <v>277.392</v>
      </c>
      <c r="BH254" s="83" t="n">
        <v>273.301</v>
      </c>
      <c r="BI254" s="83" t="n">
        <v>277.235</v>
      </c>
      <c r="BJ254" s="83" t="n">
        <v>282.202</v>
      </c>
      <c r="BK254" s="83" t="n">
        <v>285.119</v>
      </c>
      <c r="BL254" s="83" t="n">
        <v>285.119</v>
      </c>
      <c r="BM254" s="83" t="n">
        <v>282.117</v>
      </c>
      <c r="BN254" s="83" t="n">
        <v>287.638</v>
      </c>
      <c r="BO254" s="83" t="n">
        <v>291.346</v>
      </c>
      <c r="BP254" s="83" t="n">
        <v>295.133</v>
      </c>
      <c r="BQ254" s="83" t="n">
        <v>295.133</v>
      </c>
      <c r="BR254" s="83" t="n">
        <v>295.486</v>
      </c>
      <c r="BS254" s="83" t="n">
        <v>300.62</v>
      </c>
      <c r="BT254" s="83" t="n">
        <v>303.295</v>
      </c>
      <c r="BU254" s="83" t="n">
        <v>307.632</v>
      </c>
      <c r="BV254" s="83" t="n">
        <v>307.632</v>
      </c>
      <c r="BW254" s="83" t="n">
        <v>306.314</v>
      </c>
      <c r="BX254" s="83" t="n">
        <v>313.272</v>
      </c>
      <c r="BY254" s="87"/>
      <c r="BZ254" s="87"/>
      <c r="CA254" s="67" t="n">
        <f aca="false">BX254+(CA187-$BW$187-$BX$187)+(CA202-$BW$202-$BX$202)</f>
        <v>322.471046235517</v>
      </c>
      <c r="CB254" s="67" t="n">
        <f aca="false">CA254+CB187+CB202</f>
        <v>336.49080603081</v>
      </c>
      <c r="CC254" s="67" t="n">
        <f aca="false">CB254+CC187+CC202</f>
        <v>351.691196066569</v>
      </c>
      <c r="CD254" s="67" t="n">
        <f aca="false">CC254+CD187+CD202</f>
        <v>368.321924464596</v>
      </c>
      <c r="CE254" s="67" t="n">
        <f aca="false">CD254+CE187+CE202</f>
        <v>386.717179531693</v>
      </c>
      <c r="CF254" s="21"/>
    </row>
    <row r="255" customFormat="false" ht="15" hidden="false" customHeight="true" outlineLevel="0" collapsed="false">
      <c r="B255" s="22" t="s">
        <v>422</v>
      </c>
      <c r="C255" s="83" t="n">
        <v>-10.738</v>
      </c>
      <c r="D255" s="83" t="n">
        <v>-2.584</v>
      </c>
      <c r="E255" s="83" t="n">
        <v>-2.757</v>
      </c>
      <c r="F255" s="83" t="n">
        <v>-2.737</v>
      </c>
      <c r="G255" s="83" t="n">
        <v>-2.727</v>
      </c>
      <c r="H255" s="83" t="n">
        <v>-2.199</v>
      </c>
      <c r="I255" s="83" t="n">
        <v>-2.213</v>
      </c>
      <c r="J255" s="83" t="n">
        <v>-2.165</v>
      </c>
      <c r="K255" s="83" t="n">
        <v>-2.226</v>
      </c>
      <c r="L255" s="83" t="n">
        <v>-2.246</v>
      </c>
      <c r="M255" s="83" t="n">
        <v>-2.246</v>
      </c>
      <c r="N255" s="83" t="n">
        <v>-2.246</v>
      </c>
      <c r="O255" s="83" t="n">
        <v>-2.235</v>
      </c>
      <c r="P255" s="83" t="n">
        <v>-2.223</v>
      </c>
      <c r="Q255" s="83" t="n">
        <v>-2.222</v>
      </c>
      <c r="R255" s="83" t="n">
        <v>-2.189</v>
      </c>
      <c r="S255" s="83" t="n">
        <v>-2.189</v>
      </c>
      <c r="T255" s="83" t="n">
        <v>-2.58</v>
      </c>
      <c r="U255" s="83" t="n">
        <v>-3.133</v>
      </c>
      <c r="V255" s="83" t="n">
        <v>-3.198</v>
      </c>
      <c r="W255" s="83" t="n">
        <v>-3.102</v>
      </c>
      <c r="X255" s="83" t="n">
        <v>-3.102</v>
      </c>
      <c r="Y255" s="83" t="n">
        <v>-3.319</v>
      </c>
      <c r="Z255" s="83" t="n">
        <v>-3.252</v>
      </c>
      <c r="AA255" s="83" t="n">
        <v>-3.229</v>
      </c>
      <c r="AB255" s="83" t="n">
        <v>-3.19</v>
      </c>
      <c r="AC255" s="83" t="n">
        <v>-3.19</v>
      </c>
      <c r="AD255" s="83" t="n">
        <v>-3.337</v>
      </c>
      <c r="AE255" s="83" t="n">
        <v>-3.469</v>
      </c>
      <c r="AF255" s="83" t="n">
        <v>-3.448</v>
      </c>
      <c r="AG255" s="83" t="n">
        <v>-3.486</v>
      </c>
      <c r="AH255" s="83" t="n">
        <v>-3.486</v>
      </c>
      <c r="AI255" s="83" t="n">
        <v>-3.49</v>
      </c>
      <c r="AJ255" s="83" t="n">
        <v>-3.494</v>
      </c>
      <c r="AK255" s="83" t="n">
        <v>-3.202</v>
      </c>
      <c r="AL255" s="83" t="n">
        <v>-3.381</v>
      </c>
      <c r="AM255" s="83" t="n">
        <v>-3.381</v>
      </c>
      <c r="AN255" s="83" t="n">
        <v>-3.691</v>
      </c>
      <c r="AO255" s="83" t="n">
        <v>-3.92</v>
      </c>
      <c r="AP255" s="83" t="n">
        <v>-3.824</v>
      </c>
      <c r="AQ255" s="83" t="n">
        <v>-3.871</v>
      </c>
      <c r="AR255" s="83" t="n">
        <v>-3.871</v>
      </c>
      <c r="AS255" s="83" t="n">
        <v>-4.958</v>
      </c>
      <c r="AT255" s="83" t="n">
        <v>-4.965</v>
      </c>
      <c r="AU255" s="83" t="n">
        <v>-4.939</v>
      </c>
      <c r="AV255" s="83" t="n">
        <v>-2.944</v>
      </c>
      <c r="AW255" s="83" t="n">
        <v>-2.944</v>
      </c>
      <c r="AX255" s="83" t="n">
        <v>-3.669</v>
      </c>
      <c r="AY255" s="83" t="n">
        <v>-3.781</v>
      </c>
      <c r="AZ255" s="83" t="n">
        <v>-3.859</v>
      </c>
      <c r="BA255" s="83" t="n">
        <v>-4.101</v>
      </c>
      <c r="BB255" s="83" t="n">
        <v>-4.101</v>
      </c>
      <c r="BC255" s="83" t="n">
        <v>-5.48</v>
      </c>
      <c r="BD255" s="83" t="n">
        <v>-6.103</v>
      </c>
      <c r="BE255" s="83" t="n">
        <v>-5.237</v>
      </c>
      <c r="BF255" s="83" t="n">
        <v>-5.248</v>
      </c>
      <c r="BG255" s="83" t="n">
        <v>-5.248</v>
      </c>
      <c r="BH255" s="83" t="n">
        <v>-5.655</v>
      </c>
      <c r="BI255" s="83" t="n">
        <v>-5.626</v>
      </c>
      <c r="BJ255" s="83" t="n">
        <v>-5.565</v>
      </c>
      <c r="BK255" s="83" t="n">
        <v>-5.679</v>
      </c>
      <c r="BL255" s="83" t="n">
        <v>-5.679</v>
      </c>
      <c r="BM255" s="83" t="n">
        <v>-5.928</v>
      </c>
      <c r="BN255" s="83" t="n">
        <v>-6.82</v>
      </c>
      <c r="BO255" s="83" t="n">
        <v>-7.877</v>
      </c>
      <c r="BP255" s="83" t="n">
        <v>-7.981</v>
      </c>
      <c r="BQ255" s="83" t="n">
        <v>-7.981</v>
      </c>
      <c r="BR255" s="83" t="n">
        <v>-8.988</v>
      </c>
      <c r="BS255" s="83" t="n">
        <v>-9.418</v>
      </c>
      <c r="BT255" s="83" t="n">
        <v>-8.904</v>
      </c>
      <c r="BU255" s="83" t="n">
        <v>-9.088</v>
      </c>
      <c r="BV255" s="83" t="n">
        <v>-9.088</v>
      </c>
      <c r="BW255" s="83" t="n">
        <v>-9.101</v>
      </c>
      <c r="BX255" s="83" t="n">
        <v>-9.828</v>
      </c>
      <c r="BY255" s="87"/>
      <c r="BZ255" s="87"/>
      <c r="CA255" s="67" t="n">
        <f aca="false">BX255</f>
        <v>-9.828</v>
      </c>
      <c r="CB255" s="67" t="n">
        <f aca="false">CA255</f>
        <v>-9.828</v>
      </c>
      <c r="CC255" s="67" t="n">
        <f aca="false">CB255</f>
        <v>-9.828</v>
      </c>
      <c r="CD255" s="67" t="n">
        <f aca="false">CC255</f>
        <v>-9.828</v>
      </c>
      <c r="CE255" s="67" t="n">
        <f aca="false">CD255</f>
        <v>-9.828</v>
      </c>
      <c r="CF255" s="21"/>
    </row>
    <row r="256" customFormat="false" ht="15" hidden="false" customHeight="true" outlineLevel="0" collapsed="false">
      <c r="B256" s="22" t="s">
        <v>423</v>
      </c>
      <c r="C256" s="83" t="n">
        <v>14.621</v>
      </c>
      <c r="D256" s="83" t="n">
        <v>32.963</v>
      </c>
      <c r="E256" s="83" t="n">
        <v>12.236</v>
      </c>
      <c r="F256" s="83" t="n">
        <v>4.361</v>
      </c>
      <c r="G256" s="83" t="n">
        <v>6.318</v>
      </c>
      <c r="H256" s="83" t="n">
        <v>17.691</v>
      </c>
      <c r="I256" s="83" t="n">
        <v>49.739</v>
      </c>
      <c r="J256" s="83" t="n">
        <v>58.894</v>
      </c>
      <c r="K256" s="83" t="n">
        <v>72.394</v>
      </c>
      <c r="L256" s="83" t="n">
        <v>85.302</v>
      </c>
      <c r="M256" s="83" t="n">
        <v>93.366</v>
      </c>
      <c r="N256" s="83" t="n">
        <v>93.366</v>
      </c>
      <c r="O256" s="83" t="n">
        <v>101.942</v>
      </c>
      <c r="P256" s="83" t="n">
        <v>115.51</v>
      </c>
      <c r="Q256" s="83" t="n">
        <v>131.788</v>
      </c>
      <c r="R256" s="83" t="n">
        <v>145.357</v>
      </c>
      <c r="S256" s="83" t="n">
        <v>145.357</v>
      </c>
      <c r="T256" s="83" t="n">
        <v>157.962</v>
      </c>
      <c r="U256" s="83" t="n">
        <v>177.209</v>
      </c>
      <c r="V256" s="83" t="n">
        <v>188.986</v>
      </c>
      <c r="W256" s="83" t="n">
        <v>200.373</v>
      </c>
      <c r="X256" s="83" t="n">
        <v>200.373</v>
      </c>
      <c r="Y256" s="83" t="n">
        <v>210.948</v>
      </c>
      <c r="Z256" s="83" t="n">
        <v>224.223</v>
      </c>
      <c r="AA256" s="83" t="n">
        <v>238.049</v>
      </c>
      <c r="AB256" s="83" t="n">
        <v>248.397</v>
      </c>
      <c r="AC256" s="83" t="n">
        <v>248.397</v>
      </c>
      <c r="AD256" s="83" t="n">
        <v>259.784</v>
      </c>
      <c r="AE256" s="83" t="n">
        <v>277.387</v>
      </c>
      <c r="AF256" s="83" t="n">
        <v>291.794</v>
      </c>
      <c r="AG256" s="83" t="n">
        <v>339.553</v>
      </c>
      <c r="AH256" s="83" t="n">
        <v>339.553</v>
      </c>
      <c r="AI256" s="83" t="n">
        <v>360.625</v>
      </c>
      <c r="AJ256" s="83" t="n">
        <v>390.906</v>
      </c>
      <c r="AK256" s="83" t="n">
        <v>419.101</v>
      </c>
      <c r="AL256" s="83" t="n">
        <v>444.481</v>
      </c>
      <c r="AM256" s="83" t="n">
        <v>444.481</v>
      </c>
      <c r="AN256" s="83" t="n">
        <v>466.74</v>
      </c>
      <c r="AO256" s="83" t="n">
        <v>503.813</v>
      </c>
      <c r="AP256" s="83" t="n">
        <v>536.781</v>
      </c>
      <c r="AQ256" s="83" t="n">
        <v>558.2</v>
      </c>
      <c r="AR256" s="83" t="n">
        <v>558.2</v>
      </c>
      <c r="AS256" s="83" t="n">
        <v>586.311</v>
      </c>
      <c r="AT256" s="83" t="n">
        <v>614.765</v>
      </c>
      <c r="AU256" s="83" t="n">
        <v>656.304</v>
      </c>
      <c r="AV256" s="83" t="n">
        <v>696.54</v>
      </c>
      <c r="AW256" s="83" t="n">
        <v>696.54</v>
      </c>
      <c r="AX256" s="83" t="n">
        <v>733.831</v>
      </c>
      <c r="AY256" s="83" t="n">
        <v>796.305</v>
      </c>
      <c r="AZ256" s="83" t="n">
        <v>876.014</v>
      </c>
      <c r="BA256" s="83" t="n">
        <v>949.775</v>
      </c>
      <c r="BB256" s="83" t="n">
        <v>949.775</v>
      </c>
      <c r="BC256" s="83" t="n">
        <v>1029.199</v>
      </c>
      <c r="BD256" s="83" t="n">
        <v>1138.444</v>
      </c>
      <c r="BE256" s="83" t="n">
        <v>1236.335</v>
      </c>
      <c r="BF256" s="83" t="n">
        <v>1307.197</v>
      </c>
      <c r="BG256" s="83" t="n">
        <v>1307.197</v>
      </c>
      <c r="BH256" s="83" t="n">
        <v>1383.294</v>
      </c>
      <c r="BI256" s="83" t="n">
        <v>1474.613</v>
      </c>
      <c r="BJ256" s="83" t="n">
        <v>1572.826</v>
      </c>
      <c r="BK256" s="83" t="n">
        <v>1662.054</v>
      </c>
      <c r="BL256" s="83" t="n">
        <v>1662.054</v>
      </c>
      <c r="BM256" s="83" t="n">
        <v>1752.749</v>
      </c>
      <c r="BN256" s="83" t="n">
        <v>1855.268</v>
      </c>
      <c r="BO256" s="83" t="n">
        <v>1948.016</v>
      </c>
      <c r="BP256" s="83" t="n">
        <v>2024.119</v>
      </c>
      <c r="BQ256" s="83" t="n">
        <v>2024.119</v>
      </c>
      <c r="BR256" s="83" t="n">
        <v>2073.929</v>
      </c>
      <c r="BS256" s="83" t="n">
        <v>2145.32</v>
      </c>
      <c r="BT256" s="83" t="n">
        <v>2231.636</v>
      </c>
      <c r="BU256" s="83" t="n">
        <v>2279.155</v>
      </c>
      <c r="BV256" s="83" t="n">
        <v>2279.155</v>
      </c>
      <c r="BW256" s="83" t="n">
        <v>2329.024</v>
      </c>
      <c r="BX256" s="83" t="n">
        <v>2423.284</v>
      </c>
      <c r="BY256" s="87"/>
      <c r="BZ256" s="87"/>
      <c r="CA256" s="67" t="n">
        <f aca="false">BX256+$BY$106+$BZ$106+(CA201-$BW$201-$BX$201)</f>
        <v>2600.09969042376</v>
      </c>
      <c r="CB256" s="67" t="n">
        <f aca="false">CA256+CB106+CB201+CB200</f>
        <v>2675.97178036867</v>
      </c>
      <c r="CC256" s="67" t="n">
        <f aca="false">CB256+CC106+CC201+CC200</f>
        <v>2810.42552470296</v>
      </c>
      <c r="CD256" s="67" t="n">
        <f aca="false">CC256+CD106+CD201+CD200</f>
        <v>3006.90198285325</v>
      </c>
      <c r="CE256" s="67" t="n">
        <f aca="false">CD256+CE106+CE201+CE200</f>
        <v>3222.88589786171</v>
      </c>
      <c r="CF256" s="21" t="s">
        <v>424</v>
      </c>
    </row>
    <row r="257" customFormat="false" ht="15" hidden="false" customHeight="true" outlineLevel="0" collapsed="false">
      <c r="B257" s="17" t="s">
        <v>425</v>
      </c>
      <c r="C257" s="68" t="n">
        <f aca="false">IF(ISNUMBER(C254),SUM(C254:C256),"")</f>
        <v>203.155</v>
      </c>
      <c r="D257" s="68" t="n">
        <f aca="false">IF(ISNUMBER(D254),SUM(D254:D256),"")</f>
        <v>200.652</v>
      </c>
      <c r="E257" s="68" t="n">
        <f aca="false">IF(ISNUMBER(E254),SUM(E254:E256),"")</f>
        <v>183.572</v>
      </c>
      <c r="F257" s="68" t="n">
        <f aca="false">IF(ISNUMBER(F254),SUM(F254:F256),"")</f>
        <v>202.681</v>
      </c>
      <c r="G257" s="68" t="n">
        <f aca="false">IF(ISNUMBER(G254),SUM(G254:G256),"")</f>
        <v>206.358</v>
      </c>
      <c r="H257" s="68" t="n">
        <f aca="false">IF(ISNUMBER(H254),SUM(H254:H256),"")</f>
        <v>219.301</v>
      </c>
      <c r="I257" s="68" t="n">
        <f aca="false">IF(ISNUMBER(I254),SUM(I254:I256),"")</f>
        <v>254.519</v>
      </c>
      <c r="J257" s="68" t="n">
        <f aca="false">IF(ISNUMBER(J254),SUM(J254:J256),"")</f>
        <v>264.003</v>
      </c>
      <c r="K257" s="68" t="n">
        <f aca="false">IF(ISNUMBER(K254),SUM(K254:K256),"")</f>
        <v>281.246</v>
      </c>
      <c r="L257" s="68" t="n">
        <f aca="false">IF(ISNUMBER(L254),SUM(L254:L256),"")</f>
        <v>294.842</v>
      </c>
      <c r="M257" s="68" t="n">
        <f aca="false">IF(ISNUMBER(M254),SUM(M254:M256),"")</f>
        <v>304.792</v>
      </c>
      <c r="N257" s="68" t="n">
        <f aca="false">IF(ISNUMBER(N254),SUM(N254:N256),"")</f>
        <v>304.792</v>
      </c>
      <c r="O257" s="68" t="n">
        <f aca="false">IF(ISNUMBER(O254),SUM(O254:O256),"")</f>
        <v>314.734</v>
      </c>
      <c r="P257" s="68" t="n">
        <f aca="false">IF(ISNUMBER(P254),SUM(P254:P256),"")</f>
        <v>330.238</v>
      </c>
      <c r="Q257" s="68" t="n">
        <f aca="false">IF(ISNUMBER(Q254),SUM(Q254:Q256),"")</f>
        <v>349.103</v>
      </c>
      <c r="R257" s="68" t="n">
        <f aca="false">IF(ISNUMBER(R254),SUM(R254:R256),"")</f>
        <v>366.906</v>
      </c>
      <c r="S257" s="68" t="n">
        <f aca="false">IF(ISNUMBER(S254),SUM(S254:S256),"")</f>
        <v>366.906</v>
      </c>
      <c r="T257" s="68" t="n">
        <f aca="false">IF(ISNUMBER(T254),SUM(T254:T256),"")</f>
        <v>379.253</v>
      </c>
      <c r="U257" s="68" t="n">
        <f aca="false">IF(ISNUMBER(U254),SUM(U254:U256),"")</f>
        <v>400.992</v>
      </c>
      <c r="V257" s="68" t="n">
        <f aca="false">IF(ISNUMBER(V254),SUM(V254:V256),"")</f>
        <v>413.828</v>
      </c>
      <c r="W257" s="68" t="n">
        <f aca="false">IF(ISNUMBER(W254),SUM(W254:W256),"")</f>
        <v>427.889</v>
      </c>
      <c r="X257" s="68" t="n">
        <f aca="false">IF(ISNUMBER(X254),SUM(X254:X256),"")</f>
        <v>427.889</v>
      </c>
      <c r="Y257" s="68" t="n">
        <f aca="false">IF(ISNUMBER(Y254),SUM(Y254:Y256),"")</f>
        <v>438.768</v>
      </c>
      <c r="Z257" s="68" t="n">
        <f aca="false">IF(ISNUMBER(Z254),SUM(Z254:Z256),"")</f>
        <v>454.196</v>
      </c>
      <c r="AA257" s="68" t="n">
        <f aca="false">IF(ISNUMBER(AA254),SUM(AA254:AA256),"")</f>
        <v>468.89</v>
      </c>
      <c r="AB257" s="68" t="n">
        <f aca="false">IF(ISNUMBER(AB254),SUM(AB254:AB256),"")</f>
        <v>483.078</v>
      </c>
      <c r="AC257" s="68" t="n">
        <f aca="false">IF(ISNUMBER(AC254),SUM(AC254:AC256),"")</f>
        <v>483.078</v>
      </c>
      <c r="AD257" s="68" t="n">
        <f aca="false">IF(ISNUMBER(AD254),SUM(AD254:AD256),"")</f>
        <v>495.467</v>
      </c>
      <c r="AE257" s="68" t="n">
        <f aca="false">IF(ISNUMBER(AE254),SUM(AE254:AE256),"")</f>
        <v>515</v>
      </c>
      <c r="AF257" s="68" t="n">
        <f aca="false">IF(ISNUMBER(AF254),SUM(AF254:AF256),"")</f>
        <v>531.753</v>
      </c>
      <c r="AG257" s="68" t="n">
        <f aca="false">IF(ISNUMBER(AG254),SUM(AG254:AG256),"")</f>
        <v>582.547</v>
      </c>
      <c r="AH257" s="68" t="n">
        <f aca="false">IF(ISNUMBER(AH254),SUM(AH254:AH256),"")</f>
        <v>582.547</v>
      </c>
      <c r="AI257" s="68" t="n">
        <f aca="false">IF(ISNUMBER(AI254),SUM(AI254:AI256),"")</f>
        <v>607.394</v>
      </c>
      <c r="AJ257" s="68" t="n">
        <f aca="false">IF(ISNUMBER(AJ254),SUM(AJ254:AJ256),"")</f>
        <v>639.974</v>
      </c>
      <c r="AK257" s="68" t="n">
        <f aca="false">IF(ISNUMBER(AK254),SUM(AK254:AK256),"")</f>
        <v>669.291</v>
      </c>
      <c r="AL257" s="68" t="n">
        <f aca="false">IF(ISNUMBER(AL254),SUM(AL254:AL256),"")</f>
        <v>695.864</v>
      </c>
      <c r="AM257" s="68" t="n">
        <f aca="false">IF(ISNUMBER(AM254),SUM(AM254:AM256),"")</f>
        <v>695.864</v>
      </c>
      <c r="AN257" s="68" t="n">
        <f aca="false">IF(ISNUMBER(AN254),SUM(AN254:AN256),"")</f>
        <v>717.65</v>
      </c>
      <c r="AO257" s="68" t="n">
        <f aca="false">IF(ISNUMBER(AO254),SUM(AO254:AO256),"")</f>
        <v>757.502</v>
      </c>
      <c r="AP257" s="68" t="n">
        <f aca="false">IF(ISNUMBER(AP254),SUM(AP254:AP256),"")</f>
        <v>792.371</v>
      </c>
      <c r="AQ257" s="68" t="n">
        <f aca="false">IF(ISNUMBER(AQ254),SUM(AQ254:AQ256),"")</f>
        <v>815.226</v>
      </c>
      <c r="AR257" s="68" t="n">
        <f aca="false">IF(ISNUMBER(AR254),SUM(AR254:AR256),"")</f>
        <v>815.226</v>
      </c>
      <c r="AS257" s="68" t="n">
        <f aca="false">IF(ISNUMBER(AS254),SUM(AS254:AS256),"")</f>
        <v>843.387</v>
      </c>
      <c r="AT257" s="68" t="n">
        <f aca="false">IF(ISNUMBER(AT254),SUM(AT254:AT256),"")</f>
        <v>875.09</v>
      </c>
      <c r="AU257" s="68" t="n">
        <f aca="false">IF(ISNUMBER(AU254),SUM(AU254:AU256),"")</f>
        <v>918.466</v>
      </c>
      <c r="AV257" s="68" t="n">
        <f aca="false">IF(ISNUMBER(AV254),SUM(AV254:AV256),"")</f>
        <v>961.288</v>
      </c>
      <c r="AW257" s="68" t="n">
        <f aca="false">IF(ISNUMBER(AW254),SUM(AW254:AW256),"")</f>
        <v>961.288</v>
      </c>
      <c r="AX257" s="68" t="n">
        <f aca="false">IF(ISNUMBER(AX254),SUM(AX254:AX256),"")</f>
        <v>997.618</v>
      </c>
      <c r="AY257" s="68" t="n">
        <f aca="false">IF(ISNUMBER(AY254),SUM(AY254:AY256),"")</f>
        <v>1063.158</v>
      </c>
      <c r="AZ257" s="68" t="n">
        <f aca="false">IF(ISNUMBER(AZ254),SUM(AZ254:AZ256),"")</f>
        <v>1144.726</v>
      </c>
      <c r="BA257" s="68" t="n">
        <f aca="false">IF(ISNUMBER(BA254),SUM(BA254:BA256),"")</f>
        <v>1220.333</v>
      </c>
      <c r="BB257" s="68" t="n">
        <f aca="false">IF(ISNUMBER(BB254),SUM(BB254:BB256),"")</f>
        <v>1220.333</v>
      </c>
      <c r="BC257" s="68" t="n">
        <f aca="false">IF(ISNUMBER(BC254),SUM(BC254:BC256),"")</f>
        <v>1291.49</v>
      </c>
      <c r="BD257" s="68" t="n">
        <f aca="false">IF(ISNUMBER(BD254),SUM(BD254:BD256),"")</f>
        <v>1403.762</v>
      </c>
      <c r="BE257" s="68" t="n">
        <f aca="false">IF(ISNUMBER(BE254),SUM(BE254:BE256),"")</f>
        <v>1506.482</v>
      </c>
      <c r="BF257" s="68" t="n">
        <f aca="false">IF(ISNUMBER(BF254),SUM(BF254:BF256),"")</f>
        <v>1579.341</v>
      </c>
      <c r="BG257" s="68" t="n">
        <f aca="false">IF(ISNUMBER(BG254),SUM(BG254:BG256),"")</f>
        <v>1579.341</v>
      </c>
      <c r="BH257" s="68" t="n">
        <f aca="false">IF(ISNUMBER(BH254),SUM(BH254:BH256),"")</f>
        <v>1650.94</v>
      </c>
      <c r="BI257" s="68" t="n">
        <f aca="false">IF(ISNUMBER(BI254),SUM(BI254:BI256),"")</f>
        <v>1746.222</v>
      </c>
      <c r="BJ257" s="68" t="n">
        <f aca="false">IF(ISNUMBER(BJ254),SUM(BJ254:BJ256),"")</f>
        <v>1849.463</v>
      </c>
      <c r="BK257" s="68" t="n">
        <f aca="false">IF(ISNUMBER(BK254),SUM(BK254:BK256),"")</f>
        <v>1941.494</v>
      </c>
      <c r="BL257" s="68" t="n">
        <f aca="false">IF(ISNUMBER(BL254),SUM(BL254:BL256),"")</f>
        <v>1941.494</v>
      </c>
      <c r="BM257" s="68" t="n">
        <f aca="false">IF(ISNUMBER(BM254),SUM(BM254:BM256),"")</f>
        <v>2028.938</v>
      </c>
      <c r="BN257" s="68" t="n">
        <f aca="false">IF(ISNUMBER(BN254),SUM(BN254:BN256),"")</f>
        <v>2136.086</v>
      </c>
      <c r="BO257" s="68" t="n">
        <f aca="false">IF(ISNUMBER(BO254),SUM(BO254:BO256),"")</f>
        <v>2231.485</v>
      </c>
      <c r="BP257" s="68" t="n">
        <f aca="false">IF(ISNUMBER(BP254),SUM(BP254:BP256),"")</f>
        <v>2311.271</v>
      </c>
      <c r="BQ257" s="68" t="n">
        <f aca="false">IF(ISNUMBER(BQ254),SUM(BQ254:BQ256),"")</f>
        <v>2311.271</v>
      </c>
      <c r="BR257" s="68" t="n">
        <f aca="false">IF(ISNUMBER(BR254),SUM(BR254:BR256),"")</f>
        <v>2360.427</v>
      </c>
      <c r="BS257" s="68" t="n">
        <f aca="false">IF(ISNUMBER(BS254),SUM(BS254:BS256),"")</f>
        <v>2436.522</v>
      </c>
      <c r="BT257" s="68" t="n">
        <f aca="false">IF(ISNUMBER(BT254),SUM(BT254:BT256),"")</f>
        <v>2526.027</v>
      </c>
      <c r="BU257" s="68" t="n">
        <f aca="false">IF(ISNUMBER(BU254),SUM(BU254:BU256),"")</f>
        <v>2577.699</v>
      </c>
      <c r="BV257" s="68" t="n">
        <f aca="false">IF(ISNUMBER(BV254),SUM(BV254:BV256),"")</f>
        <v>2577.699</v>
      </c>
      <c r="BW257" s="68" t="n">
        <f aca="false">IF(ISNUMBER(BW254),SUM(BW254:BW256),"")</f>
        <v>2626.237</v>
      </c>
      <c r="BX257" s="68" t="n">
        <f aca="false">IF(ISNUMBER(BX254),SUM(BX254:BX256),"")</f>
        <v>2726.728</v>
      </c>
      <c r="BY257" s="105"/>
      <c r="BZ257" s="105"/>
      <c r="CA257" s="69" t="n">
        <f aca="false">SUM(CA254:CA256)</f>
        <v>2912.74273665928</v>
      </c>
      <c r="CB257" s="69" t="n">
        <f aca="false">SUM(CB254:CB256)</f>
        <v>3002.63458639948</v>
      </c>
      <c r="CC257" s="69" t="n">
        <f aca="false">SUM(CC254:CC256)</f>
        <v>3152.28872076953</v>
      </c>
      <c r="CD257" s="69" t="n">
        <f aca="false">SUM(CD254:CD256)</f>
        <v>3365.39590731785</v>
      </c>
      <c r="CE257" s="69" t="n">
        <f aca="false">SUM(CE254:CE256)</f>
        <v>3599.7750773934</v>
      </c>
      <c r="CF257" s="21"/>
    </row>
    <row r="258" customFormat="false" ht="15" hidden="false" customHeight="true" outlineLevel="0" collapsed="false">
      <c r="B258" s="71" t="s">
        <v>426</v>
      </c>
      <c r="C258" s="72" t="n">
        <f aca="false">IF(ISNUMBER(C252),C252+C257,"")</f>
        <v>487.4</v>
      </c>
      <c r="D258" s="72" t="n">
        <f aca="false">IF(ISNUMBER(D252),D252+D257,"")</f>
        <v>560.583</v>
      </c>
      <c r="E258" s="72" t="n">
        <f aca="false">IF(ISNUMBER(E252),E252+E257,"")</f>
        <v>515.752</v>
      </c>
      <c r="F258" s="72" t="n">
        <f aca="false">IF(ISNUMBER(F252),F252+F257,"")</f>
        <v>466.426</v>
      </c>
      <c r="G258" s="72" t="n">
        <f aca="false">IF(ISNUMBER(G252),G252+G257,"")</f>
        <v>452.157</v>
      </c>
      <c r="H258" s="72" t="n">
        <f aca="false">IF(ISNUMBER(H252),H252+H257,"")</f>
        <v>474.886</v>
      </c>
      <c r="I258" s="72" t="n">
        <f aca="false">IF(ISNUMBER(I252),I252+I257,"")</f>
        <v>519.688</v>
      </c>
      <c r="J258" s="72" t="n">
        <f aca="false">IF(ISNUMBER(J252),J252+J257,"")</f>
        <v>535.054</v>
      </c>
      <c r="K258" s="72" t="n">
        <f aca="false">IF(ISNUMBER(K252),K252+K257,"")</f>
        <v>600.517</v>
      </c>
      <c r="L258" s="72" t="n">
        <f aca="false">IF(ISNUMBER(L252),L252+L257,"")</f>
        <v>605.675</v>
      </c>
      <c r="M258" s="72" t="n">
        <f aca="false">IF(ISNUMBER(M252),M252+M257,"")</f>
        <v>616.801</v>
      </c>
      <c r="N258" s="72" t="n">
        <f aca="false">IF(ISNUMBER(N252),N252+N257,"")</f>
        <v>616.801</v>
      </c>
      <c r="O258" s="72" t="n">
        <f aca="false">IF(ISNUMBER(O252),O252+O257,"")</f>
        <v>643.845</v>
      </c>
      <c r="P258" s="72" t="n">
        <f aca="false">IF(ISNUMBER(P252),P252+P257,"")</f>
        <v>682.691</v>
      </c>
      <c r="Q258" s="72" t="n">
        <f aca="false">IF(ISNUMBER(Q252),Q252+Q257,"")</f>
        <v>679.494</v>
      </c>
      <c r="R258" s="72" t="n">
        <f aca="false">IF(ISNUMBER(R252),R252+R257,"")</f>
        <v>686.445</v>
      </c>
      <c r="S258" s="72" t="n">
        <f aca="false">IF(ISNUMBER(S252),S252+S257,"")</f>
        <v>686.445</v>
      </c>
      <c r="T258" s="72" t="n">
        <f aca="false">IF(ISNUMBER(T252),T252+T257,"")</f>
        <v>739.523</v>
      </c>
      <c r="U258" s="72" t="n">
        <f aca="false">IF(ISNUMBER(U252),U252+U257,"")</f>
        <v>756.339</v>
      </c>
      <c r="V258" s="72" t="n">
        <f aca="false">IF(ISNUMBER(V252),V252+V257,"")</f>
        <v>750.987</v>
      </c>
      <c r="W258" s="72" t="n">
        <f aca="false">IF(ISNUMBER(W252),W252+W257,"")</f>
        <v>729.193</v>
      </c>
      <c r="X258" s="72" t="n">
        <f aca="false">IF(ISNUMBER(X252),X252+X257,"")</f>
        <v>729.193</v>
      </c>
      <c r="Y258" s="72" t="n">
        <f aca="false">IF(ISNUMBER(Y252),Y252+Y257,"")</f>
        <v>795.705</v>
      </c>
      <c r="Z258" s="72" t="n">
        <f aca="false">IF(ISNUMBER(Z252),Z252+Z257,"")</f>
        <v>828.907</v>
      </c>
      <c r="AA258" s="72" t="n">
        <f aca="false">IF(ISNUMBER(AA252),AA252+AA257,"")</f>
        <v>808.612</v>
      </c>
      <c r="AB258" s="72" t="n">
        <f aca="false">IF(ISNUMBER(AB252),AB252+AB257,"")</f>
        <v>800.37</v>
      </c>
      <c r="AC258" s="72" t="n">
        <f aca="false">IF(ISNUMBER(AC252),AC252+AC257,"")</f>
        <v>800.37</v>
      </c>
      <c r="AD258" s="72" t="n">
        <f aca="false">IF(ISNUMBER(AD252),AD252+AD257,"")</f>
        <v>927.196</v>
      </c>
      <c r="AE258" s="72" t="n">
        <f aca="false">IF(ISNUMBER(AE252),AE252+AE257,"")</f>
        <v>940.33</v>
      </c>
      <c r="AF258" s="72" t="n">
        <f aca="false">IF(ISNUMBER(AF252),AF252+AF257,"")</f>
        <v>952.719</v>
      </c>
      <c r="AG258" s="72" t="n">
        <f aca="false">IF(ISNUMBER(AG252),AG252+AG257,"")</f>
        <v>967.647</v>
      </c>
      <c r="AH258" s="72" t="n">
        <f aca="false">IF(ISNUMBER(AH252),AH252+AH257,"")</f>
        <v>967.647</v>
      </c>
      <c r="AI258" s="72" t="n">
        <f aca="false">IF(ISNUMBER(AI252),AI252+AI257,"")</f>
        <v>1015.547</v>
      </c>
      <c r="AJ258" s="72" t="n">
        <f aca="false">IF(ISNUMBER(AJ252),AJ252+AJ257,"")</f>
        <v>1085.958</v>
      </c>
      <c r="AK258" s="72" t="n">
        <f aca="false">IF(ISNUMBER(AK252),AK252+AK257,"")</f>
        <v>1088.092</v>
      </c>
      <c r="AL258" s="72" t="n">
        <f aca="false">IF(ISNUMBER(AL252),AL252+AL257,"")</f>
        <v>1133.743</v>
      </c>
      <c r="AM258" s="72" t="n">
        <f aca="false">IF(ISNUMBER(AM252),AM252+AM257,"")</f>
        <v>1133.743</v>
      </c>
      <c r="AN258" s="72" t="n">
        <f aca="false">IF(ISNUMBER(AN252),AN252+AN257,"")</f>
        <v>1246.857</v>
      </c>
      <c r="AO258" s="72" t="n">
        <f aca="false">IF(ISNUMBER(AO252),AO252+AO257,"")</f>
        <v>1352.12</v>
      </c>
      <c r="AP258" s="72" t="n">
        <f aca="false">IF(ISNUMBER(AP252),AP252+AP257,"")</f>
        <v>1422.272</v>
      </c>
      <c r="AQ258" s="72" t="n">
        <f aca="false">IF(ISNUMBER(AQ252),AQ252+AQ257,"")</f>
        <v>1415.693</v>
      </c>
      <c r="AR258" s="72" t="n">
        <f aca="false">IF(ISNUMBER(AR252),AR252+AR257,"")</f>
        <v>1415.693</v>
      </c>
      <c r="AS258" s="72" t="n">
        <f aca="false">IF(ISNUMBER(AS252),AS252+AS257,"")</f>
        <v>1577.259</v>
      </c>
      <c r="AT258" s="72" t="n">
        <f aca="false">IF(ISNUMBER(AT252),AT252+AT257,"")</f>
        <v>1538.2</v>
      </c>
      <c r="AU258" s="72" t="n">
        <f aca="false">IF(ISNUMBER(AU252),AU252+AU257,"")</f>
        <v>1565.68</v>
      </c>
      <c r="AV258" s="72" t="n">
        <f aca="false">IF(ISNUMBER(AV252),AV252+AV257,"")</f>
        <v>1548.774</v>
      </c>
      <c r="AW258" s="72" t="n">
        <f aca="false">IF(ISNUMBER(AW252),AW252+AW257,"")</f>
        <v>1548.774</v>
      </c>
      <c r="AX258" s="72" t="n">
        <f aca="false">IF(ISNUMBER(AX252),AX252+AX257,"")</f>
        <v>1610.585</v>
      </c>
      <c r="AY258" s="72" t="n">
        <f aca="false">IF(ISNUMBER(AY252),AY252+AY257,"")</f>
        <v>1647.395</v>
      </c>
      <c r="AZ258" s="72" t="n">
        <f aca="false">IF(ISNUMBER(AZ252),AZ252+AZ257,"")</f>
        <v>1789.259</v>
      </c>
      <c r="BA258" s="72" t="n">
        <f aca="false">IF(ISNUMBER(BA252),BA252+BA257,"")</f>
        <v>1845.25</v>
      </c>
      <c r="BB258" s="72" t="n">
        <f aca="false">IF(ISNUMBER(BB252),BB252+BB257,"")</f>
        <v>1845.25</v>
      </c>
      <c r="BC258" s="72" t="n">
        <f aca="false">IF(ISNUMBER(BC252),BC252+BC257,"")</f>
        <v>1932.349</v>
      </c>
      <c r="BD258" s="72" t="n">
        <f aca="false">IF(ISNUMBER(BD252),BD252+BD257,"")</f>
        <v>2047.855</v>
      </c>
      <c r="BE258" s="72" t="n">
        <f aca="false">IF(ISNUMBER(BE252),BE252+BE257,"")</f>
        <v>2140.324</v>
      </c>
      <c r="BF258" s="72" t="n">
        <f aca="false">IF(ISNUMBER(BF252),BF252+BF257,"")</f>
        <v>2174.71</v>
      </c>
      <c r="BG258" s="72" t="n">
        <f aca="false">IF(ISNUMBER(BG252),BG252+BG257,"")</f>
        <v>2174.71</v>
      </c>
      <c r="BH258" s="72" t="n">
        <f aca="false">IF(ISNUMBER(BH252),BH252+BH257,"")</f>
        <v>2242.799</v>
      </c>
      <c r="BI258" s="72" t="n">
        <f aca="false">IF(ISNUMBER(BI252),BI252+BI257,"")</f>
        <v>2337.111</v>
      </c>
      <c r="BJ258" s="72" t="n">
        <f aca="false">IF(ISNUMBER(BJ252),BJ252+BJ257,"")</f>
        <v>2485.319</v>
      </c>
      <c r="BK258" s="72" t="n">
        <f aca="false">IF(ISNUMBER(BK252),BK252+BK257,"")</f>
        <v>2583.565</v>
      </c>
      <c r="BL258" s="72" t="n">
        <f aca="false">IF(ISNUMBER(BL252),BL252+BL257,"")</f>
        <v>2583.565</v>
      </c>
      <c r="BM258" s="72" t="n">
        <f aca="false">IF(ISNUMBER(BM252),BM252+BM257,"")</f>
        <v>2765.714</v>
      </c>
      <c r="BN258" s="72" t="n">
        <f aca="false">IF(ISNUMBER(BN252),BN252+BN257,"")</f>
        <v>2957.122</v>
      </c>
      <c r="BO258" s="72" t="n">
        <f aca="false">IF(ISNUMBER(BO252),BO252+BO257,"")</f>
        <v>3082.124</v>
      </c>
      <c r="BP258" s="72" t="n">
        <f aca="false">IF(ISNUMBER(BP252),BP252+BP257,"")</f>
        <v>3166.857</v>
      </c>
      <c r="BQ258" s="72" t="n">
        <f aca="false">IF(ISNUMBER(BQ252),BQ252+BQ257,"")</f>
        <v>3166.857</v>
      </c>
      <c r="BR258" s="72" t="n">
        <f aca="false">IF(ISNUMBER(BR252),BR252+BR257,"")</f>
        <v>3365.221</v>
      </c>
      <c r="BS258" s="72" t="n">
        <f aca="false">IF(ISNUMBER(BS252),BS252+BS257,"")</f>
        <v>3457.726</v>
      </c>
      <c r="BT258" s="72" t="n">
        <f aca="false">IF(ISNUMBER(BT252),BT252+BT257,"")</f>
        <v>3500.96</v>
      </c>
      <c r="BU258" s="72" t="n">
        <f aca="false">IF(ISNUMBER(BU252),BU252+BU257,"")</f>
        <v>3482.681</v>
      </c>
      <c r="BV258" s="72" t="n">
        <f aca="false">IF(ISNUMBER(BV252),BV252+BV257,"")</f>
        <v>3482.681</v>
      </c>
      <c r="BW258" s="72" t="n">
        <f aca="false">IF(ISNUMBER(BW252),BW252+BW257,"")</f>
        <v>3563.637</v>
      </c>
      <c r="BX258" s="72" t="n">
        <f aca="false">IF(ISNUMBER(BX252),BX252+BX257,"")</f>
        <v>3724.96</v>
      </c>
      <c r="BY258" s="106"/>
      <c r="BZ258" s="106"/>
      <c r="CA258" s="72" t="n">
        <f aca="false">CA252+CA257</f>
        <v>3857.71601088585</v>
      </c>
      <c r="CB258" s="72" t="n">
        <f aca="false">CB252+CB257</f>
        <v>4005.20567428953</v>
      </c>
      <c r="CC258" s="72" t="n">
        <f aca="false">CC252+CC257</f>
        <v>4208.07084436057</v>
      </c>
      <c r="CD258" s="72" t="n">
        <f aca="false">CD252+CD257</f>
        <v>4481.37584837756</v>
      </c>
      <c r="CE258" s="72" t="n">
        <f aca="false">CE252+CE257</f>
        <v>4786.54173824219</v>
      </c>
      <c r="CF258" s="21"/>
    </row>
    <row r="259" customFormat="false" ht="15" hidden="false" customHeight="true" outlineLevel="0" collapsed="false">
      <c r="B259" s="74" t="s">
        <v>427</v>
      </c>
      <c r="C259" s="65" t="n">
        <f aca="false">IF(ISNUMBER(C240),ROUND(C240-C258,1),"")</f>
        <v>0</v>
      </c>
      <c r="D259" s="65" t="n">
        <f aca="false">IF(ISNUMBER(D240),ROUND(D240-D258,1),"")</f>
        <v>0</v>
      </c>
      <c r="E259" s="65" t="n">
        <f aca="false">IF(ISNUMBER(E240),ROUND(E240-E258,1),"")</f>
        <v>0</v>
      </c>
      <c r="F259" s="65" t="n">
        <f aca="false">IF(ISNUMBER(F240),ROUND(F240-F258,1),"")</f>
        <v>0</v>
      </c>
      <c r="G259" s="65" t="n">
        <f aca="false">IF(ISNUMBER(G240),ROUND(G240-G258,1),"")</f>
        <v>0</v>
      </c>
      <c r="H259" s="65" t="n">
        <f aca="false">IF(ISNUMBER(H240),ROUND(H240-H258,1),"")</f>
        <v>0</v>
      </c>
      <c r="I259" s="65" t="n">
        <f aca="false">IF(ISNUMBER(I240),ROUND(I240-I258,1),"")</f>
        <v>0</v>
      </c>
      <c r="J259" s="65" t="n">
        <f aca="false">IF(ISNUMBER(J240),ROUND(J240-J258,1),"")</f>
        <v>0</v>
      </c>
      <c r="K259" s="65" t="n">
        <f aca="false">IF(ISNUMBER(K240),ROUND(K240-K258,1),"")</f>
        <v>0</v>
      </c>
      <c r="L259" s="65" t="n">
        <f aca="false">IF(ISNUMBER(L240),ROUND(L240-L258,1),"")</f>
        <v>0</v>
      </c>
      <c r="M259" s="65" t="n">
        <f aca="false">IF(ISNUMBER(M240),ROUND(M240-M258,1),"")</f>
        <v>0</v>
      </c>
      <c r="N259" s="65" t="n">
        <f aca="false">IF(ISNUMBER(N240),ROUND(N240-N258,1),"")</f>
        <v>0</v>
      </c>
      <c r="O259" s="65" t="n">
        <f aca="false">IF(ISNUMBER(O240),ROUND(O240-O258,1),"")</f>
        <v>0</v>
      </c>
      <c r="P259" s="65" t="n">
        <f aca="false">IF(ISNUMBER(P240),ROUND(P240-P258,1),"")</f>
        <v>0</v>
      </c>
      <c r="Q259" s="65" t="n">
        <f aca="false">IF(ISNUMBER(Q240),ROUND(Q240-Q258,1),"")</f>
        <v>0</v>
      </c>
      <c r="R259" s="65" t="n">
        <f aca="false">IF(ISNUMBER(R240),ROUND(R240-R258,1),"")</f>
        <v>0</v>
      </c>
      <c r="S259" s="65" t="n">
        <f aca="false">IF(ISNUMBER(S240),ROUND(S240-S258,1),"")</f>
        <v>0</v>
      </c>
      <c r="T259" s="65" t="n">
        <f aca="false">IF(ISNUMBER(T240),ROUND(T240-T258,1),"")</f>
        <v>0</v>
      </c>
      <c r="U259" s="65" t="n">
        <f aca="false">IF(ISNUMBER(U240),ROUND(U240-U258,1),"")</f>
        <v>0</v>
      </c>
      <c r="V259" s="65" t="n">
        <f aca="false">IF(ISNUMBER(V240),ROUND(V240-V258,1),"")</f>
        <v>0</v>
      </c>
      <c r="W259" s="65" t="n">
        <f aca="false">IF(ISNUMBER(W240),ROUND(W240-W258,1),"")</f>
        <v>0</v>
      </c>
      <c r="X259" s="65" t="n">
        <f aca="false">IF(ISNUMBER(X240),ROUND(X240-X258,1),"")</f>
        <v>0</v>
      </c>
      <c r="Y259" s="65" t="n">
        <f aca="false">IF(ISNUMBER(Y240),ROUND(Y240-Y258,1),"")</f>
        <v>0</v>
      </c>
      <c r="Z259" s="65" t="n">
        <f aca="false">IF(ISNUMBER(Z240),ROUND(Z240-Z258,1),"")</f>
        <v>0</v>
      </c>
      <c r="AA259" s="65" t="n">
        <f aca="false">IF(ISNUMBER(AA240),ROUND(AA240-AA258,1),"")</f>
        <v>0</v>
      </c>
      <c r="AB259" s="65" t="n">
        <f aca="false">IF(ISNUMBER(AB240),ROUND(AB240-AB258,1),"")</f>
        <v>0</v>
      </c>
      <c r="AC259" s="65" t="n">
        <f aca="false">IF(ISNUMBER(AC240),ROUND(AC240-AC258,1),"")</f>
        <v>0</v>
      </c>
      <c r="AD259" s="65" t="n">
        <f aca="false">IF(ISNUMBER(AD240),ROUND(AD240-AD258,1),"")</f>
        <v>0</v>
      </c>
      <c r="AE259" s="65" t="n">
        <f aca="false">IF(ISNUMBER(AE240),ROUND(AE240-AE258,1),"")</f>
        <v>0</v>
      </c>
      <c r="AF259" s="65" t="n">
        <f aca="false">IF(ISNUMBER(AF240),ROUND(AF240-AF258,1),"")</f>
        <v>0</v>
      </c>
      <c r="AG259" s="65" t="n">
        <f aca="false">IF(ISNUMBER(AG240),ROUND(AG240-AG258,1),"")</f>
        <v>0</v>
      </c>
      <c r="AH259" s="65" t="n">
        <f aca="false">IF(ISNUMBER(AH240),ROUND(AH240-AH258,1),"")</f>
        <v>0</v>
      </c>
      <c r="AI259" s="65" t="n">
        <f aca="false">IF(ISNUMBER(AI240),ROUND(AI240-AI258,1),"")</f>
        <v>0</v>
      </c>
      <c r="AJ259" s="65" t="n">
        <f aca="false">IF(ISNUMBER(AJ240),ROUND(AJ240-AJ258,1),"")</f>
        <v>0</v>
      </c>
      <c r="AK259" s="65" t="n">
        <f aca="false">IF(ISNUMBER(AK240),ROUND(AK240-AK258,1),"")</f>
        <v>0</v>
      </c>
      <c r="AL259" s="65" t="n">
        <f aca="false">IF(ISNUMBER(AL240),ROUND(AL240-AL258,1),"")</f>
        <v>0</v>
      </c>
      <c r="AM259" s="65" t="n">
        <f aca="false">IF(ISNUMBER(AM240),ROUND(AM240-AM258,1),"")</f>
        <v>0</v>
      </c>
      <c r="AN259" s="65" t="n">
        <f aca="false">IF(ISNUMBER(AN240),ROUND(AN240-AN258,1),"")</f>
        <v>0</v>
      </c>
      <c r="AO259" s="65" t="n">
        <f aca="false">IF(ISNUMBER(AO240),ROUND(AO240-AO258,1),"")</f>
        <v>0</v>
      </c>
      <c r="AP259" s="65" t="n">
        <f aca="false">IF(ISNUMBER(AP240),ROUND(AP240-AP258,1),"")</f>
        <v>0</v>
      </c>
      <c r="AQ259" s="65" t="n">
        <f aca="false">IF(ISNUMBER(AQ240),ROUND(AQ240-AQ258,1),"")</f>
        <v>0</v>
      </c>
      <c r="AR259" s="65" t="n">
        <f aca="false">IF(ISNUMBER(AR240),ROUND(AR240-AR258,1),"")</f>
        <v>0</v>
      </c>
      <c r="AS259" s="65" t="n">
        <f aca="false">IF(ISNUMBER(AS240),ROUND(AS240-AS258,1),"")</f>
        <v>0</v>
      </c>
      <c r="AT259" s="65" t="n">
        <f aca="false">IF(ISNUMBER(AT240),ROUND(AT240-AT258,1),"")</f>
        <v>0</v>
      </c>
      <c r="AU259" s="65" t="n">
        <f aca="false">IF(ISNUMBER(AU240),ROUND(AU240-AU258,1),"")</f>
        <v>0</v>
      </c>
      <c r="AV259" s="65" t="n">
        <f aca="false">IF(ISNUMBER(AV240),ROUND(AV240-AV258,1),"")</f>
        <v>0</v>
      </c>
      <c r="AW259" s="65" t="n">
        <f aca="false">IF(ISNUMBER(AW240),ROUND(AW240-AW258,1),"")</f>
        <v>0</v>
      </c>
      <c r="AX259" s="65" t="n">
        <f aca="false">IF(ISNUMBER(AX240),ROUND(AX240-AX258,1),"")</f>
        <v>0</v>
      </c>
      <c r="AY259" s="65" t="n">
        <f aca="false">IF(ISNUMBER(AY240),ROUND(AY240-AY258,1),"")</f>
        <v>0</v>
      </c>
      <c r="AZ259" s="65" t="n">
        <f aca="false">IF(ISNUMBER(AZ240),ROUND(AZ240-AZ258,1),"")</f>
        <v>0</v>
      </c>
      <c r="BA259" s="65" t="n">
        <f aca="false">IF(ISNUMBER(BA240),ROUND(BA240-BA258,1),"")</f>
        <v>0</v>
      </c>
      <c r="BB259" s="65" t="n">
        <f aca="false">IF(ISNUMBER(BB240),ROUND(BB240-BB258,1),"")</f>
        <v>0</v>
      </c>
      <c r="BC259" s="65" t="n">
        <f aca="false">IF(ISNUMBER(BC240),ROUND(BC240-BC258,1),"")</f>
        <v>0</v>
      </c>
      <c r="BD259" s="65" t="n">
        <f aca="false">IF(ISNUMBER(BD240),ROUND(BD240-BD258,1),"")</f>
        <v>0</v>
      </c>
      <c r="BE259" s="65" t="n">
        <f aca="false">IF(ISNUMBER(BE240),ROUND(BE240-BE258,1),"")</f>
        <v>0</v>
      </c>
      <c r="BF259" s="65" t="n">
        <f aca="false">IF(ISNUMBER(BF240),ROUND(BF240-BF258,1),"")</f>
        <v>0</v>
      </c>
      <c r="BG259" s="65" t="n">
        <f aca="false">IF(ISNUMBER(BG240),ROUND(BG240-BG258,1),"")</f>
        <v>0</v>
      </c>
      <c r="BH259" s="65" t="n">
        <f aca="false">IF(ISNUMBER(BH240),ROUND(BH240-BH258,1),"")</f>
        <v>0</v>
      </c>
      <c r="BI259" s="65" t="n">
        <f aca="false">IF(ISNUMBER(BI240),ROUND(BI240-BI258,1),"")</f>
        <v>0</v>
      </c>
      <c r="BJ259" s="65" t="n">
        <f aca="false">IF(ISNUMBER(BJ240),ROUND(BJ240-BJ258,1),"")</f>
        <v>0</v>
      </c>
      <c r="BK259" s="65" t="n">
        <f aca="false">IF(ISNUMBER(BK240),ROUND(BK240-BK258,1),"")</f>
        <v>0</v>
      </c>
      <c r="BL259" s="65" t="n">
        <f aca="false">IF(ISNUMBER(BL240),ROUND(BL240-BL258,1),"")</f>
        <v>0</v>
      </c>
      <c r="BM259" s="65" t="n">
        <f aca="false">IF(ISNUMBER(BM240),ROUND(BM240-BM258,1),"")</f>
        <v>0</v>
      </c>
      <c r="BN259" s="65" t="n">
        <f aca="false">IF(ISNUMBER(BN240),ROUND(BN240-BN258,1),"")</f>
        <v>0</v>
      </c>
      <c r="BO259" s="65" t="n">
        <f aca="false">IF(ISNUMBER(BO240),ROUND(BO240-BO258,1),"")</f>
        <v>0</v>
      </c>
      <c r="BP259" s="65" t="n">
        <f aca="false">IF(ISNUMBER(BP240),ROUND(BP240-BP258,1),"")</f>
        <v>0</v>
      </c>
      <c r="BQ259" s="65" t="n">
        <f aca="false">IF(ISNUMBER(BQ240),ROUND(BQ240-BQ258,1),"")</f>
        <v>0</v>
      </c>
      <c r="BR259" s="65" t="n">
        <f aca="false">IF(ISNUMBER(BR240),ROUND(BR240-BR258,1),"")</f>
        <v>0</v>
      </c>
      <c r="BS259" s="65" t="n">
        <f aca="false">IF(ISNUMBER(BS240),ROUND(BS240-BS258,1),"")</f>
        <v>0</v>
      </c>
      <c r="BT259" s="65" t="n">
        <f aca="false">IF(ISNUMBER(BT240),ROUND(BT240-BT258,1),"")</f>
        <v>0</v>
      </c>
      <c r="BU259" s="65" t="n">
        <f aca="false">IF(ISNUMBER(BU240),ROUND(BU240-BU258,1),"")</f>
        <v>0</v>
      </c>
      <c r="BV259" s="65" t="n">
        <f aca="false">IF(ISNUMBER(BV240),ROUND(BV240-BV258,1),"")</f>
        <v>0</v>
      </c>
      <c r="BW259" s="65" t="n">
        <f aca="false">IF(ISNUMBER(BW240),ROUND(BW240-BW258,1),"")</f>
        <v>0</v>
      </c>
      <c r="BX259" s="65" t="n">
        <f aca="false">IF(ISNUMBER(BX240),ROUND(BX240-BX258,1),"")</f>
        <v>0</v>
      </c>
      <c r="BY259" s="88"/>
      <c r="BZ259" s="88"/>
      <c r="CA259" s="67" t="n">
        <f aca="false">ROUND(CA240-CA258,1)</f>
        <v>0</v>
      </c>
      <c r="CB259" s="67" t="n">
        <f aca="false">ROUND(CB240-CB258,1)</f>
        <v>0</v>
      </c>
      <c r="CC259" s="67" t="n">
        <f aca="false">ROUND(CC240-CC258,1)</f>
        <v>0</v>
      </c>
      <c r="CD259" s="67" t="n">
        <f aca="false">ROUND(CD240-CD258,1)</f>
        <v>0</v>
      </c>
      <c r="CE259" s="67" t="n">
        <f aca="false">ROUND(CE240-CE258,1)</f>
        <v>0</v>
      </c>
      <c r="CF259" s="21"/>
    </row>
    <row r="260" customFormat="false" ht="15" hidden="false" customHeight="true" outlineLevel="0" collapsed="false">
      <c r="B260" s="37" t="s">
        <v>428</v>
      </c>
      <c r="C260" s="83" t="n">
        <v>487.4</v>
      </c>
      <c r="D260" s="83" t="n">
        <v>560.583</v>
      </c>
      <c r="E260" s="83" t="n">
        <v>515.752</v>
      </c>
      <c r="F260" s="83" t="n">
        <v>466.426</v>
      </c>
      <c r="G260" s="83" t="n">
        <v>452.157</v>
      </c>
      <c r="H260" s="83" t="n">
        <v>474.886</v>
      </c>
      <c r="I260" s="83" t="n">
        <v>519.688</v>
      </c>
      <c r="J260" s="83" t="n">
        <v>535.054</v>
      </c>
      <c r="K260" s="83" t="n">
        <v>600.517</v>
      </c>
      <c r="L260" s="83" t="n">
        <v>605.675</v>
      </c>
      <c r="M260" s="83" t="n">
        <v>616.801</v>
      </c>
      <c r="N260" s="83" t="n">
        <v>616.801</v>
      </c>
      <c r="O260" s="83" t="n">
        <v>643.845</v>
      </c>
      <c r="P260" s="83" t="n">
        <v>682.691</v>
      </c>
      <c r="Q260" s="83" t="n">
        <v>679.494</v>
      </c>
      <c r="R260" s="83" t="n">
        <v>686.445</v>
      </c>
      <c r="S260" s="83" t="n">
        <v>686.445</v>
      </c>
      <c r="T260" s="83" t="n">
        <v>739.523</v>
      </c>
      <c r="U260" s="83" t="n">
        <v>756.339</v>
      </c>
      <c r="V260" s="83" t="n">
        <v>750.987</v>
      </c>
      <c r="W260" s="83" t="n">
        <v>729.193</v>
      </c>
      <c r="X260" s="83" t="n">
        <v>729.193</v>
      </c>
      <c r="Y260" s="83" t="n">
        <v>795.705</v>
      </c>
      <c r="Z260" s="83" t="n">
        <v>828.907</v>
      </c>
      <c r="AA260" s="83" t="n">
        <v>808.612</v>
      </c>
      <c r="AB260" s="83" t="n">
        <v>800.37</v>
      </c>
      <c r="AC260" s="83" t="n">
        <v>800.37</v>
      </c>
      <c r="AD260" s="83" t="n">
        <v>927.196</v>
      </c>
      <c r="AE260" s="83" t="n">
        <v>940.33</v>
      </c>
      <c r="AF260" s="83" t="n">
        <v>952.719</v>
      </c>
      <c r="AG260" s="83" t="n">
        <v>967.647</v>
      </c>
      <c r="AH260" s="83" t="n">
        <v>967.647</v>
      </c>
      <c r="AI260" s="83" t="n">
        <v>1015.547</v>
      </c>
      <c r="AJ260" s="83" t="n">
        <v>1085.958</v>
      </c>
      <c r="AK260" s="83" t="n">
        <v>1088.092</v>
      </c>
      <c r="AL260" s="83" t="n">
        <v>1133.743</v>
      </c>
      <c r="AM260" s="83" t="n">
        <v>1133.743</v>
      </c>
      <c r="AN260" s="83" t="n">
        <v>1246.857</v>
      </c>
      <c r="AO260" s="83" t="n">
        <v>1352.12</v>
      </c>
      <c r="AP260" s="83" t="n">
        <v>1422.272</v>
      </c>
      <c r="AQ260" s="83" t="n">
        <v>1415.693</v>
      </c>
      <c r="AR260" s="83" t="n">
        <v>1415.693</v>
      </c>
      <c r="AS260" s="83" t="n">
        <v>1577.259</v>
      </c>
      <c r="AT260" s="83" t="n">
        <v>1538.2</v>
      </c>
      <c r="AU260" s="83" t="n">
        <v>1565.68</v>
      </c>
      <c r="AV260" s="83" t="n">
        <v>1548.774</v>
      </c>
      <c r="AW260" s="83" t="n">
        <v>1548.774</v>
      </c>
      <c r="AX260" s="83" t="n">
        <v>1610.585</v>
      </c>
      <c r="AY260" s="83" t="n">
        <v>1647.395</v>
      </c>
      <c r="AZ260" s="83" t="n">
        <v>1789.259</v>
      </c>
      <c r="BA260" s="83" t="n">
        <v>1845.25</v>
      </c>
      <c r="BB260" s="83" t="n">
        <v>1845.25</v>
      </c>
      <c r="BC260" s="83" t="n">
        <v>1932.349</v>
      </c>
      <c r="BD260" s="83" t="n">
        <v>2047.855</v>
      </c>
      <c r="BE260" s="83" t="n">
        <v>2140.324</v>
      </c>
      <c r="BF260" s="83" t="n">
        <v>2174.71</v>
      </c>
      <c r="BG260" s="83" t="n">
        <v>2174.71</v>
      </c>
      <c r="BH260" s="83" t="n">
        <v>2242.799</v>
      </c>
      <c r="BI260" s="83" t="n">
        <v>2337.111</v>
      </c>
      <c r="BJ260" s="83" t="n">
        <v>2485.319</v>
      </c>
      <c r="BK260" s="83" t="n">
        <v>2583.565</v>
      </c>
      <c r="BL260" s="89" t="n">
        <v>2583.565</v>
      </c>
      <c r="BM260" s="83" t="n">
        <v>2765.714</v>
      </c>
      <c r="BN260" s="83" t="n">
        <v>2957.122</v>
      </c>
      <c r="BO260" s="83" t="n">
        <v>3082.124</v>
      </c>
      <c r="BP260" s="83" t="n">
        <v>3166.857</v>
      </c>
      <c r="BQ260" s="83" t="n">
        <v>3166.857</v>
      </c>
      <c r="BR260" s="89" t="n">
        <v>3365.221</v>
      </c>
      <c r="BS260" s="89" t="n">
        <v>3457.726</v>
      </c>
      <c r="BT260" s="83" t="n">
        <v>3500.96</v>
      </c>
      <c r="BU260" s="83" t="n">
        <v>3482.681</v>
      </c>
      <c r="BV260" s="83" t="n">
        <v>3482.681</v>
      </c>
      <c r="BW260" s="83" t="n">
        <v>3563.637</v>
      </c>
      <c r="BX260" s="83" t="n">
        <v>3724.96</v>
      </c>
      <c r="BY260" s="87"/>
      <c r="BZ260" s="87"/>
      <c r="CA260" s="87"/>
      <c r="CB260" s="87"/>
      <c r="CC260" s="87"/>
      <c r="CD260" s="87"/>
      <c r="CE260" s="87"/>
      <c r="CF260" s="21"/>
    </row>
    <row r="261" customFormat="false" ht="15" hidden="false" customHeight="true" outlineLevel="0" collapsed="false">
      <c r="B261" s="74" t="s">
        <v>429</v>
      </c>
      <c r="C261" s="65" t="n">
        <f aca="false">IF(ISNUMBER(C260),ROUND(C240-C260,1),"")</f>
        <v>0</v>
      </c>
      <c r="D261" s="65" t="n">
        <f aca="false">IF(ISNUMBER(D260),ROUND(D240-D260,1),"")</f>
        <v>0</v>
      </c>
      <c r="E261" s="65" t="n">
        <f aca="false">IF(ISNUMBER(E260),ROUND(E240-E260,1),"")</f>
        <v>0</v>
      </c>
      <c r="F261" s="65" t="n">
        <f aca="false">IF(ISNUMBER(F260),ROUND(F240-F260,1),"")</f>
        <v>0</v>
      </c>
      <c r="G261" s="65" t="n">
        <f aca="false">IF(ISNUMBER(G260),ROUND(G240-G260,1),"")</f>
        <v>0</v>
      </c>
      <c r="H261" s="65" t="n">
        <f aca="false">IF(ISNUMBER(H260),ROUND(H240-H260,1),"")</f>
        <v>0</v>
      </c>
      <c r="I261" s="65" t="n">
        <f aca="false">IF(ISNUMBER(I260),ROUND(I240-I260,1),"")</f>
        <v>0</v>
      </c>
      <c r="J261" s="65" t="n">
        <f aca="false">IF(ISNUMBER(J260),ROUND(J240-J260,1),"")</f>
        <v>0</v>
      </c>
      <c r="K261" s="65" t="n">
        <f aca="false">IF(ISNUMBER(K260),ROUND(K240-K260,1),"")</f>
        <v>0</v>
      </c>
      <c r="L261" s="65" t="n">
        <f aca="false">IF(ISNUMBER(L260),ROUND(L240-L260,1),"")</f>
        <v>0</v>
      </c>
      <c r="M261" s="65" t="n">
        <f aca="false">IF(ISNUMBER(M260),ROUND(M240-M260,1),"")</f>
        <v>0</v>
      </c>
      <c r="N261" s="65" t="n">
        <f aca="false">IF(ISNUMBER(N260),ROUND(N240-N260,1),"")</f>
        <v>0</v>
      </c>
      <c r="O261" s="65" t="n">
        <f aca="false">IF(ISNUMBER(O260),ROUND(O240-O260,1),"")</f>
        <v>0</v>
      </c>
      <c r="P261" s="65" t="n">
        <f aca="false">IF(ISNUMBER(P260),ROUND(P240-P260,1),"")</f>
        <v>0</v>
      </c>
      <c r="Q261" s="65" t="n">
        <f aca="false">IF(ISNUMBER(Q260),ROUND(Q240-Q260,1),"")</f>
        <v>0</v>
      </c>
      <c r="R261" s="65" t="n">
        <f aca="false">IF(ISNUMBER(R260),ROUND(R240-R260,1),"")</f>
        <v>0</v>
      </c>
      <c r="S261" s="65" t="n">
        <f aca="false">IF(ISNUMBER(S260),ROUND(S240-S260,1),"")</f>
        <v>0</v>
      </c>
      <c r="T261" s="65" t="n">
        <f aca="false">IF(ISNUMBER(T260),ROUND(T240-T260,1),"")</f>
        <v>0</v>
      </c>
      <c r="U261" s="65" t="n">
        <f aca="false">IF(ISNUMBER(U260),ROUND(U240-U260,1),"")</f>
        <v>0</v>
      </c>
      <c r="V261" s="65" t="n">
        <f aca="false">IF(ISNUMBER(V260),ROUND(V240-V260,1),"")</f>
        <v>0</v>
      </c>
      <c r="W261" s="65" t="n">
        <f aca="false">IF(ISNUMBER(W260),ROUND(W240-W260,1),"")</f>
        <v>0</v>
      </c>
      <c r="X261" s="65" t="n">
        <f aca="false">IF(ISNUMBER(X260),ROUND(X240-X260,1),"")</f>
        <v>0</v>
      </c>
      <c r="Y261" s="65" t="n">
        <f aca="false">IF(ISNUMBER(Y260),ROUND(Y240-Y260,1),"")</f>
        <v>0</v>
      </c>
      <c r="Z261" s="65" t="n">
        <f aca="false">IF(ISNUMBER(Z260),ROUND(Z240-Z260,1),"")</f>
        <v>0</v>
      </c>
      <c r="AA261" s="65" t="n">
        <f aca="false">IF(ISNUMBER(AA260),ROUND(AA240-AA260,1),"")</f>
        <v>0</v>
      </c>
      <c r="AB261" s="65" t="n">
        <f aca="false">IF(ISNUMBER(AB260),ROUND(AB240-AB260,1),"")</f>
        <v>0</v>
      </c>
      <c r="AC261" s="65" t="n">
        <f aca="false">IF(ISNUMBER(AC260),ROUND(AC240-AC260,1),"")</f>
        <v>0</v>
      </c>
      <c r="AD261" s="65" t="n">
        <f aca="false">IF(ISNUMBER(AD260),ROUND(AD240-AD260,1),"")</f>
        <v>0</v>
      </c>
      <c r="AE261" s="65" t="n">
        <f aca="false">IF(ISNUMBER(AE260),ROUND(AE240-AE260,1),"")</f>
        <v>0</v>
      </c>
      <c r="AF261" s="65" t="n">
        <f aca="false">IF(ISNUMBER(AF260),ROUND(AF240-AF260,1),"")</f>
        <v>0</v>
      </c>
      <c r="AG261" s="65" t="n">
        <f aca="false">IF(ISNUMBER(AG260),ROUND(AG240-AG260,1),"")</f>
        <v>0</v>
      </c>
      <c r="AH261" s="65" t="n">
        <f aca="false">IF(ISNUMBER(AH260),ROUND(AH240-AH260,1),"")</f>
        <v>0</v>
      </c>
      <c r="AI261" s="65" t="n">
        <f aca="false">IF(ISNUMBER(AI260),ROUND(AI240-AI260,1),"")</f>
        <v>0</v>
      </c>
      <c r="AJ261" s="65" t="n">
        <f aca="false">IF(ISNUMBER(AJ260),ROUND(AJ240-AJ260,1),"")</f>
        <v>0</v>
      </c>
      <c r="AK261" s="65" t="n">
        <f aca="false">IF(ISNUMBER(AK260),ROUND(AK240-AK260,1),"")</f>
        <v>0</v>
      </c>
      <c r="AL261" s="65" t="n">
        <f aca="false">IF(ISNUMBER(AL260),ROUND(AL240-AL260,1),"")</f>
        <v>0</v>
      </c>
      <c r="AM261" s="65" t="n">
        <f aca="false">IF(ISNUMBER(AM260),ROUND(AM240-AM260,1),"")</f>
        <v>0</v>
      </c>
      <c r="AN261" s="65" t="n">
        <f aca="false">IF(ISNUMBER(AN260),ROUND(AN240-AN260,1),"")</f>
        <v>0</v>
      </c>
      <c r="AO261" s="65" t="n">
        <f aca="false">IF(ISNUMBER(AO260),ROUND(AO240-AO260,1),"")</f>
        <v>0</v>
      </c>
      <c r="AP261" s="65" t="n">
        <f aca="false">IF(ISNUMBER(AP260),ROUND(AP240-AP260,1),"")</f>
        <v>0</v>
      </c>
      <c r="AQ261" s="65" t="n">
        <f aca="false">IF(ISNUMBER(AQ260),ROUND(AQ240-AQ260,1),"")</f>
        <v>0</v>
      </c>
      <c r="AR261" s="65" t="n">
        <f aca="false">IF(ISNUMBER(AR260),ROUND(AR240-AR260,1),"")</f>
        <v>0</v>
      </c>
      <c r="AS261" s="65" t="n">
        <f aca="false">IF(ISNUMBER(AS260),ROUND(AS240-AS260,1),"")</f>
        <v>0</v>
      </c>
      <c r="AT261" s="65" t="n">
        <f aca="false">IF(ISNUMBER(AT260),ROUND(AT240-AT260,1),"")</f>
        <v>0</v>
      </c>
      <c r="AU261" s="65" t="n">
        <f aca="false">IF(ISNUMBER(AU260),ROUND(AU240-AU260,1),"")</f>
        <v>0</v>
      </c>
      <c r="AV261" s="65" t="n">
        <f aca="false">IF(ISNUMBER(AV260),ROUND(AV240-AV260,1),"")</f>
        <v>0</v>
      </c>
      <c r="AW261" s="65" t="n">
        <f aca="false">IF(ISNUMBER(AW260),ROUND(AW240-AW260,1),"")</f>
        <v>0</v>
      </c>
      <c r="AX261" s="65" t="n">
        <f aca="false">IF(ISNUMBER(AX260),ROUND(AX240-AX260,1),"")</f>
        <v>0</v>
      </c>
      <c r="AY261" s="65" t="n">
        <f aca="false">IF(ISNUMBER(AY260),ROUND(AY240-AY260,1),"")</f>
        <v>0</v>
      </c>
      <c r="AZ261" s="65" t="n">
        <f aca="false">IF(ISNUMBER(AZ260),ROUND(AZ240-AZ260,1),"")</f>
        <v>0</v>
      </c>
      <c r="BA261" s="65" t="n">
        <f aca="false">IF(ISNUMBER(BA260),ROUND(BA240-BA260,1),"")</f>
        <v>0</v>
      </c>
      <c r="BB261" s="65" t="n">
        <f aca="false">IF(ISNUMBER(BB260),ROUND(BB240-BB260,1),"")</f>
        <v>0</v>
      </c>
      <c r="BC261" s="65" t="n">
        <f aca="false">IF(ISNUMBER(BC260),ROUND(BC240-BC260,1),"")</f>
        <v>0</v>
      </c>
      <c r="BD261" s="65" t="n">
        <f aca="false">IF(ISNUMBER(BD260),ROUND(BD240-BD260,1),"")</f>
        <v>0</v>
      </c>
      <c r="BE261" s="65" t="n">
        <f aca="false">IF(ISNUMBER(BE260),ROUND(BE240-BE260,1),"")</f>
        <v>0</v>
      </c>
      <c r="BF261" s="65" t="n">
        <f aca="false">IF(ISNUMBER(BF260),ROUND(BF240-BF260,1),"")</f>
        <v>0</v>
      </c>
      <c r="BG261" s="65" t="n">
        <f aca="false">IF(ISNUMBER(BG260),ROUND(BG240-BG260,1),"")</f>
        <v>0</v>
      </c>
      <c r="BH261" s="65" t="n">
        <f aca="false">IF(ISNUMBER(BH260),ROUND(BH240-BH260,1),"")</f>
        <v>0</v>
      </c>
      <c r="BI261" s="65" t="n">
        <f aca="false">IF(ISNUMBER(BI260),ROUND(BI240-BI260,1),"")</f>
        <v>0</v>
      </c>
      <c r="BJ261" s="65" t="n">
        <f aca="false">IF(ISNUMBER(BJ260),ROUND(BJ240-BJ260,1),"")</f>
        <v>0</v>
      </c>
      <c r="BK261" s="65" t="n">
        <f aca="false">IF(ISNUMBER(BK260),ROUND(BK240-BK260,1),"")</f>
        <v>0</v>
      </c>
      <c r="BL261" s="65" t="n">
        <f aca="false">IF(ISNUMBER(BL260),ROUND(BL240-BL260,1),"")</f>
        <v>0</v>
      </c>
      <c r="BM261" s="65" t="n">
        <f aca="false">IF(ISNUMBER(BM260),ROUND(BM240-BM260,1),"")</f>
        <v>0</v>
      </c>
      <c r="BN261" s="65" t="n">
        <f aca="false">IF(ISNUMBER(BN260),ROUND(BN240-BN260,1),"")</f>
        <v>0</v>
      </c>
      <c r="BO261" s="65" t="n">
        <f aca="false">IF(ISNUMBER(BO260),ROUND(BO240-BO260,1),"")</f>
        <v>0</v>
      </c>
      <c r="BP261" s="65" t="n">
        <f aca="false">IF(ISNUMBER(BP260),ROUND(BP240-BP260,1),"")</f>
        <v>0</v>
      </c>
      <c r="BQ261" s="65" t="n">
        <f aca="false">IF(ISNUMBER(BQ260),ROUND(BQ240-BQ260,1),"")</f>
        <v>0</v>
      </c>
      <c r="BR261" s="65" t="n">
        <f aca="false">IF(ISNUMBER(BR260),ROUND(BR240-BR260,1),"")</f>
        <v>0</v>
      </c>
      <c r="BS261" s="65" t="n">
        <f aca="false">IF(ISNUMBER(BS260),ROUND(BS240-BS260,1),"")</f>
        <v>0</v>
      </c>
      <c r="BT261" s="65" t="n">
        <f aca="false">IF(ISNUMBER(BT260),ROUND(BT240-BT260,1),"")</f>
        <v>0</v>
      </c>
      <c r="BU261" s="65" t="n">
        <f aca="false">IF(ISNUMBER(BU260),ROUND(BU240-BU260,1),"")</f>
        <v>0</v>
      </c>
      <c r="BV261" s="65" t="n">
        <f aca="false">IF(ISNUMBER(BV260),ROUND(BV240-BV260,1),"")</f>
        <v>0</v>
      </c>
      <c r="BW261" s="65" t="n">
        <f aca="false">IF(ISNUMBER(BW260),ROUND(BW240-BW260,1),"")</f>
        <v>0</v>
      </c>
      <c r="BX261" s="65" t="n">
        <f aca="false">IF(ISNUMBER(BX260),ROUND(BX240-BX260,1),"")</f>
        <v>0</v>
      </c>
      <c r="BY261" s="88"/>
      <c r="BZ261" s="88"/>
      <c r="CA261" s="88"/>
      <c r="CB261" s="88"/>
      <c r="CC261" s="88"/>
      <c r="CD261" s="88"/>
      <c r="CE261" s="88"/>
      <c r="CF261" s="21"/>
    </row>
    <row r="262" customFormat="false" ht="15" hidden="false" customHeight="true" outlineLevel="0" collapsed="false">
      <c r="B262" s="74" t="s">
        <v>430</v>
      </c>
      <c r="C262" s="65" t="n">
        <f aca="false">IF(AND(ISNUMBER(C231),ISNUMBER(C207)),ROUND(C231-C207,1),"")</f>
        <v>0</v>
      </c>
      <c r="D262" s="65" t="n">
        <f aca="false">IF(AND(ISNUMBER(D231),ISNUMBER(D207)),ROUND(D231-D207,1),"")</f>
        <v>0</v>
      </c>
      <c r="E262" s="65" t="n">
        <f aca="false">IF(AND(ISNUMBER(E231),ISNUMBER(E207)),ROUND(E231-E207,1),"")</f>
        <v>0</v>
      </c>
      <c r="F262" s="65" t="n">
        <f aca="false">IF(AND(ISNUMBER(F231),ISNUMBER(F207)),ROUND(F231-F207,1),"")</f>
        <v>0</v>
      </c>
      <c r="G262" s="65" t="n">
        <f aca="false">IF(AND(ISNUMBER(G231),ISNUMBER(G207)),ROUND(G231-G207,1),"")</f>
        <v>0</v>
      </c>
      <c r="H262" s="65" t="n">
        <f aca="false">IF(AND(ISNUMBER(H231),ISNUMBER(H207)),ROUND(H231-H207,1),"")</f>
        <v>0</v>
      </c>
      <c r="I262" s="65" t="n">
        <f aca="false">IF(AND(ISNUMBER(I231),ISNUMBER(I207)),ROUND(I231-I207,1),"")</f>
        <v>0</v>
      </c>
      <c r="J262" s="65" t="n">
        <f aca="false">IF(AND(ISNUMBER(J231),ISNUMBER(J207)),ROUND(J231-J207,1),"")</f>
        <v>0</v>
      </c>
      <c r="K262" s="65" t="n">
        <f aca="false">IF(AND(ISNUMBER(K231),ISNUMBER(K207)),ROUND(K231-K207,1),"")</f>
        <v>0</v>
      </c>
      <c r="L262" s="65" t="n">
        <f aca="false">IF(AND(ISNUMBER(L231),ISNUMBER(L207)),ROUND(L231-L207,1),"")</f>
        <v>0</v>
      </c>
      <c r="M262" s="65" t="n">
        <f aca="false">IF(AND(ISNUMBER(M231),ISNUMBER(M207)),ROUND(M231-M207,1),"")</f>
        <v>0</v>
      </c>
      <c r="N262" s="65" t="n">
        <f aca="false">IF(AND(ISNUMBER(N231),ISNUMBER(N207)),ROUND(N231-N207,1),"")</f>
        <v>0</v>
      </c>
      <c r="O262" s="65" t="n">
        <f aca="false">IF(AND(ISNUMBER(O231),ISNUMBER(O207)),ROUND(O231-O207,1),"")</f>
        <v>0</v>
      </c>
      <c r="P262" s="65" t="n">
        <f aca="false">IF(AND(ISNUMBER(P231),ISNUMBER(P207)),ROUND(P231-P207,1),"")</f>
        <v>0</v>
      </c>
      <c r="Q262" s="65" t="n">
        <f aca="false">IF(AND(ISNUMBER(Q231),ISNUMBER(Q207)),ROUND(Q231-Q207,1),"")</f>
        <v>0</v>
      </c>
      <c r="R262" s="65" t="n">
        <f aca="false">IF(AND(ISNUMBER(R231),ISNUMBER(R207)),ROUND(R231-R207,1),"")</f>
        <v>0</v>
      </c>
      <c r="S262" s="65" t="n">
        <f aca="false">IF(AND(ISNUMBER(S231),ISNUMBER(S207)),ROUND(S231-S207,1),"")</f>
        <v>0</v>
      </c>
      <c r="T262" s="65" t="n">
        <f aca="false">IF(AND(ISNUMBER(T231),ISNUMBER(T207)),ROUND(T231-T207,1),"")</f>
        <v>0</v>
      </c>
      <c r="U262" s="65" t="n">
        <f aca="false">IF(AND(ISNUMBER(U231),ISNUMBER(U207)),ROUND(U231-U207,1),"")</f>
        <v>0</v>
      </c>
      <c r="V262" s="65" t="n">
        <f aca="false">IF(AND(ISNUMBER(V231),ISNUMBER(V207)),ROUND(V231-V207,1),"")</f>
        <v>0</v>
      </c>
      <c r="W262" s="65" t="n">
        <f aca="false">IF(AND(ISNUMBER(W231),ISNUMBER(W207)),ROUND(W231-W207,1),"")</f>
        <v>0</v>
      </c>
      <c r="X262" s="65" t="n">
        <f aca="false">IF(AND(ISNUMBER(X231),ISNUMBER(X207)),ROUND(X231-X207,1),"")</f>
        <v>0</v>
      </c>
      <c r="Y262" s="65" t="n">
        <f aca="false">IF(AND(ISNUMBER(Y231),ISNUMBER(Y207)),ROUND(Y231-Y207,1),"")</f>
        <v>0</v>
      </c>
      <c r="Z262" s="65" t="n">
        <f aca="false">IF(AND(ISNUMBER(Z231),ISNUMBER(Z207)),ROUND(Z231-Z207,1),"")</f>
        <v>0</v>
      </c>
      <c r="AA262" s="65" t="n">
        <f aca="false">IF(AND(ISNUMBER(AA231),ISNUMBER(AA207)),ROUND(AA231-AA207,1),"")</f>
        <v>0</v>
      </c>
      <c r="AB262" s="65" t="n">
        <f aca="false">IF(AND(ISNUMBER(AB231),ISNUMBER(AB207)),ROUND(AB231-AB207,1),"")</f>
        <v>0</v>
      </c>
      <c r="AC262" s="65" t="n">
        <f aca="false">IF(AND(ISNUMBER(AC231),ISNUMBER(AC207)),ROUND(AC231-AC207,1),"")</f>
        <v>0</v>
      </c>
      <c r="AD262" s="65" t="n">
        <f aca="false">IF(AND(ISNUMBER(AD231),ISNUMBER(AD207)),ROUND(AD231-AD207,1),"")</f>
        <v>0</v>
      </c>
      <c r="AE262" s="65" t="n">
        <f aca="false">IF(AND(ISNUMBER(AE231),ISNUMBER(AE207)),ROUND(AE231-AE207,1),"")</f>
        <v>0</v>
      </c>
      <c r="AF262" s="65" t="n">
        <f aca="false">IF(AND(ISNUMBER(AF231),ISNUMBER(AF207)),ROUND(AF231-AF207,1),"")</f>
        <v>0</v>
      </c>
      <c r="AG262" s="65" t="n">
        <f aca="false">IF(AND(ISNUMBER(AG231),ISNUMBER(AG207)),ROUND(AG231-AG207,1),"")</f>
        <v>0</v>
      </c>
      <c r="AH262" s="65" t="n">
        <f aca="false">IF(AND(ISNUMBER(AH231),ISNUMBER(AH207)),ROUND(AH231-AH207,1),"")</f>
        <v>0</v>
      </c>
      <c r="AI262" s="65" t="n">
        <f aca="false">IF(AND(ISNUMBER(AI231),ISNUMBER(AI207)),ROUND(AI231-AI207,1),"")</f>
        <v>0</v>
      </c>
      <c r="AJ262" s="65" t="n">
        <f aca="false">IF(AND(ISNUMBER(AJ231),ISNUMBER(AJ207)),ROUND(AJ231-AJ207,1),"")</f>
        <v>0</v>
      </c>
      <c r="AK262" s="65" t="n">
        <f aca="false">IF(AND(ISNUMBER(AK231),ISNUMBER(AK207)),ROUND(AK231-AK207,1),"")</f>
        <v>0</v>
      </c>
      <c r="AL262" s="65" t="n">
        <f aca="false">IF(AND(ISNUMBER(AL231),ISNUMBER(AL207)),ROUND(AL231-AL207,1),"")</f>
        <v>0</v>
      </c>
      <c r="AM262" s="65" t="n">
        <f aca="false">IF(AND(ISNUMBER(AM231),ISNUMBER(AM207)),ROUND(AM231-AM207,1),"")</f>
        <v>0</v>
      </c>
      <c r="AN262" s="65" t="n">
        <f aca="false">IF(AND(ISNUMBER(AN231),ISNUMBER(AN207)),ROUND(AN231-AN207,1),"")</f>
        <v>0</v>
      </c>
      <c r="AO262" s="65" t="n">
        <f aca="false">IF(AND(ISNUMBER(AO231),ISNUMBER(AO207)),ROUND(AO231-AO207,1),"")</f>
        <v>0</v>
      </c>
      <c r="AP262" s="65" t="n">
        <f aca="false">IF(AND(ISNUMBER(AP231),ISNUMBER(AP207)),ROUND(AP231-AP207,1),"")</f>
        <v>0</v>
      </c>
      <c r="AQ262" s="65" t="n">
        <f aca="false">IF(AND(ISNUMBER(AQ231),ISNUMBER(AQ207)),ROUND(AQ231-AQ207,1),"")</f>
        <v>0</v>
      </c>
      <c r="AR262" s="65" t="n">
        <f aca="false">IF(AND(ISNUMBER(AR231),ISNUMBER(AR207)),ROUND(AR231-AR207,1),"")</f>
        <v>0</v>
      </c>
      <c r="AS262" s="65" t="n">
        <f aca="false">IF(AND(ISNUMBER(AS231),ISNUMBER(AS207)),ROUND(AS231-AS207,1),"")</f>
        <v>0</v>
      </c>
      <c r="AT262" s="65" t="n">
        <f aca="false">IF(AND(ISNUMBER(AT231),ISNUMBER(AT207)),ROUND(AT231-AT207,1),"")</f>
        <v>0</v>
      </c>
      <c r="AU262" s="65" t="n">
        <f aca="false">IF(AND(ISNUMBER(AU231),ISNUMBER(AU207)),ROUND(AU231-AU207,1),"")</f>
        <v>0</v>
      </c>
      <c r="AV262" s="65" t="n">
        <f aca="false">IF(AND(ISNUMBER(AV231),ISNUMBER(AV207)),ROUND(AV231-AV207,1),"")</f>
        <v>0</v>
      </c>
      <c r="AW262" s="65" t="n">
        <f aca="false">IF(AND(ISNUMBER(AW231),ISNUMBER(AW207)),ROUND(AW231-AW207,1),"")</f>
        <v>0</v>
      </c>
      <c r="AX262" s="65" t="n">
        <f aca="false">IF(AND(ISNUMBER(AX231),ISNUMBER(AX207)),ROUND(AX231-AX207,1),"")</f>
        <v>0</v>
      </c>
      <c r="AY262" s="65" t="n">
        <f aca="false">IF(AND(ISNUMBER(AY231),ISNUMBER(AY207)),ROUND(AY231-AY207,1),"")</f>
        <v>0</v>
      </c>
      <c r="AZ262" s="65" t="n">
        <f aca="false">IF(AND(ISNUMBER(AZ231),ISNUMBER(AZ207)),ROUND(AZ231-AZ207,1),"")</f>
        <v>-3.7</v>
      </c>
      <c r="BA262" s="65" t="n">
        <f aca="false">IF(AND(ISNUMBER(BA231),ISNUMBER(BA207)),ROUND(BA231-BA207,1),"")</f>
        <v>0</v>
      </c>
      <c r="BB262" s="65" t="n">
        <f aca="false">IF(AND(ISNUMBER(BB231),ISNUMBER(BB207)),ROUND(BB231-BB207,1),"")</f>
        <v>0</v>
      </c>
      <c r="BC262" s="65" t="n">
        <f aca="false">IF(AND(ISNUMBER(BC231),ISNUMBER(BC207)),ROUND(BC231-BC207,1),"")</f>
        <v>0</v>
      </c>
      <c r="BD262" s="65" t="n">
        <f aca="false">IF(AND(ISNUMBER(BD231),ISNUMBER(BD207)),ROUND(BD231-BD207,1),"")</f>
        <v>0</v>
      </c>
      <c r="BE262" s="65" t="n">
        <f aca="false">IF(AND(ISNUMBER(BE231),ISNUMBER(BE207)),ROUND(BE231-BE207,1),"")</f>
        <v>0</v>
      </c>
      <c r="BF262" s="65" t="n">
        <f aca="false">IF(AND(ISNUMBER(BF231),ISNUMBER(BF207)),ROUND(BF231-BF207,1),"")</f>
        <v>0</v>
      </c>
      <c r="BG262" s="65" t="n">
        <f aca="false">IF(AND(ISNUMBER(BG231),ISNUMBER(BG207)),ROUND(BG231-BG207,1),"")</f>
        <v>0</v>
      </c>
      <c r="BH262" s="65" t="n">
        <f aca="false">IF(AND(ISNUMBER(BH231),ISNUMBER(BH207)),ROUND(BH231-BH207,1),"")</f>
        <v>0</v>
      </c>
      <c r="BI262" s="65" t="n">
        <f aca="false">IF(AND(ISNUMBER(BI231),ISNUMBER(BI207)),ROUND(BI231-BI207,1),"")</f>
        <v>0</v>
      </c>
      <c r="BJ262" s="65" t="n">
        <f aca="false">IF(AND(ISNUMBER(BJ231),ISNUMBER(BJ207)),ROUND(BJ231-BJ207,1),"")</f>
        <v>0</v>
      </c>
      <c r="BK262" s="65" t="n">
        <f aca="false">IF(AND(ISNUMBER(BK231),ISNUMBER(BK207)),ROUND(BK231-BK207,1),"")</f>
        <v>0</v>
      </c>
      <c r="BL262" s="65" t="n">
        <f aca="false">IF(AND(ISNUMBER(BL231),ISNUMBER(BL207)),ROUND(BL231-BL207,1),"")</f>
        <v>0</v>
      </c>
      <c r="BM262" s="65" t="n">
        <f aca="false">IF(AND(ISNUMBER(BM231),ISNUMBER(BM207)),ROUND(BM231-BM207,1),"")</f>
        <v>0</v>
      </c>
      <c r="BN262" s="65" t="n">
        <f aca="false">IF(AND(ISNUMBER(BN231),ISNUMBER(BN207)),ROUND(BN231-BN207,1),"")</f>
        <v>0</v>
      </c>
      <c r="BO262" s="65" t="n">
        <f aca="false">IF(AND(ISNUMBER(BO231),ISNUMBER(BO207)),ROUND(BO231-BO207,1),"")</f>
        <v>0</v>
      </c>
      <c r="BP262" s="65" t="n">
        <f aca="false">IF(AND(ISNUMBER(BP231),ISNUMBER(BP207)),ROUND(BP231-BP207,1),"")</f>
        <v>0</v>
      </c>
      <c r="BQ262" s="65" t="n">
        <f aca="false">IF(AND(ISNUMBER(BQ231),ISNUMBER(BQ207)),ROUND(BQ231-BQ207,1),"")</f>
        <v>0</v>
      </c>
      <c r="BR262" s="65" t="n">
        <f aca="false">IF(AND(ISNUMBER(BR231),ISNUMBER(BR207)),ROUND(BR231-BR207,1),"")</f>
        <v>0</v>
      </c>
      <c r="BS262" s="65" t="n">
        <f aca="false">IF(AND(ISNUMBER(BS231),ISNUMBER(BS207)),ROUND(BS231-BS207,1),"")</f>
        <v>0</v>
      </c>
      <c r="BT262" s="65" t="n">
        <f aca="false">IF(AND(ISNUMBER(BT231),ISNUMBER(BT207)),ROUND(BT231-BT207,1),"")</f>
        <v>0</v>
      </c>
      <c r="BU262" s="65" t="n">
        <f aca="false">IF(AND(ISNUMBER(BU231),ISNUMBER(BU207)),ROUND(BU231-BU207,1),"")</f>
        <v>0</v>
      </c>
      <c r="BV262" s="65" t="n">
        <f aca="false">IF(AND(ISNUMBER(BV231),ISNUMBER(BV207)),ROUND(BV231-BV207,1),"")</f>
        <v>0</v>
      </c>
      <c r="BW262" s="65" t="n">
        <f aca="false">IF(AND(ISNUMBER(BW231),ISNUMBER(BW207)),ROUND(BW231-BW207,1),"")</f>
        <v>0</v>
      </c>
      <c r="BX262" s="65" t="n">
        <f aca="false">IF(AND(ISNUMBER(BX231),ISNUMBER(BX207)),ROUND(BX231-BX207,1),"")</f>
        <v>0</v>
      </c>
      <c r="BY262" s="88"/>
      <c r="BZ262" s="88"/>
      <c r="CA262" s="67" t="n">
        <f aca="false">ROUND(CA231-CA207,1)</f>
        <v>0</v>
      </c>
      <c r="CB262" s="67" t="n">
        <f aca="false">ROUND(CB231-CB207,1)</f>
        <v>0</v>
      </c>
      <c r="CC262" s="67" t="n">
        <f aca="false">ROUND(CC231-CC207,1)</f>
        <v>0</v>
      </c>
      <c r="CD262" s="67" t="n">
        <f aca="false">ROUND(CD231-CD207,1)</f>
        <v>0</v>
      </c>
      <c r="CE262" s="67" t="n">
        <f aca="false">ROUND(CE231-CE207,1)</f>
        <v>0</v>
      </c>
      <c r="CF262" s="21"/>
    </row>
    <row r="263" customFormat="false" ht="15" hidden="false" customHeight="true" outlineLevel="0" collapsed="false">
      <c r="B263" s="37" t="s">
        <v>431</v>
      </c>
      <c r="C263" s="110"/>
      <c r="D263" s="110"/>
      <c r="E263" s="110"/>
      <c r="F263" s="110"/>
      <c r="G263" s="113" t="n">
        <v>15.900245</v>
      </c>
      <c r="H263" s="113" t="n">
        <v>15.937821</v>
      </c>
      <c r="I263" s="113" t="n">
        <v>24.088416</v>
      </c>
      <c r="J263" s="113" t="n">
        <v>16.186591</v>
      </c>
      <c r="K263" s="113" t="n">
        <v>24.420244</v>
      </c>
      <c r="L263" s="113" t="n">
        <v>24.424854</v>
      </c>
      <c r="M263" s="113" t="n">
        <v>24.478544</v>
      </c>
      <c r="N263" s="113" t="n">
        <v>24.478544</v>
      </c>
      <c r="O263" s="113" t="n">
        <v>24.662205</v>
      </c>
      <c r="P263" s="113" t="n">
        <v>24.69168</v>
      </c>
      <c r="Q263" s="113" t="n">
        <v>24.757065</v>
      </c>
      <c r="R263" s="113" t="n">
        <v>24.871806</v>
      </c>
      <c r="S263" s="113" t="n">
        <v>24.871806</v>
      </c>
      <c r="T263" s="113" t="n">
        <v>25.089833</v>
      </c>
      <c r="U263" s="113" t="n">
        <v>25.128631</v>
      </c>
      <c r="V263" s="113" t="n">
        <v>25.136476</v>
      </c>
      <c r="W263" s="113" t="n">
        <v>25.141799</v>
      </c>
      <c r="X263" s="113" t="n">
        <v>25.141799</v>
      </c>
      <c r="Y263" s="113" t="n">
        <v>25.186278</v>
      </c>
      <c r="Z263" s="113" t="n">
        <v>25.207381</v>
      </c>
      <c r="AA263" s="113" t="n">
        <v>25.207381</v>
      </c>
      <c r="AB263" s="113" t="n">
        <v>25.322701</v>
      </c>
      <c r="AC263" s="113" t="n">
        <v>25.322701</v>
      </c>
      <c r="AD263" s="113" t="n">
        <v>25.446515</v>
      </c>
      <c r="AE263" s="113" t="n">
        <v>25.450399</v>
      </c>
      <c r="AF263" s="113" t="n">
        <v>25.490381</v>
      </c>
      <c r="AG263" s="113" t="n">
        <v>25.551617</v>
      </c>
      <c r="AH263" s="113" t="n">
        <v>25.551617</v>
      </c>
      <c r="AI263" s="113" t="n">
        <v>25.680415</v>
      </c>
      <c r="AJ263" s="113" t="n">
        <v>25.692567</v>
      </c>
      <c r="AK263" s="113" t="n">
        <v>25.693651</v>
      </c>
      <c r="AL263" s="113" t="n">
        <v>25.693651</v>
      </c>
      <c r="AM263" s="113" t="n">
        <v>25.693651</v>
      </c>
      <c r="AN263" s="113" t="n">
        <v>25.890176</v>
      </c>
      <c r="AO263" s="113" t="n">
        <v>25.905664</v>
      </c>
      <c r="AP263" s="113" t="n">
        <v>25.936012</v>
      </c>
      <c r="AQ263" s="113" t="n">
        <v>25.936532</v>
      </c>
      <c r="AR263" s="113" t="n">
        <v>25.936532</v>
      </c>
      <c r="AS263" s="113" t="n">
        <v>26.063348</v>
      </c>
      <c r="AT263" s="113" t="n">
        <v>26.148831</v>
      </c>
      <c r="AU263" s="113" t="n">
        <v>26.15622</v>
      </c>
      <c r="AV263" s="113" t="n">
        <v>26.23657</v>
      </c>
      <c r="AW263" s="113" t="n">
        <v>26.23657</v>
      </c>
      <c r="AX263" s="113" t="n">
        <v>26.333692</v>
      </c>
      <c r="AY263" s="113" t="n">
        <v>26.335096</v>
      </c>
      <c r="AZ263" s="113" t="n">
        <v>26.336589</v>
      </c>
      <c r="BA263" s="113" t="n">
        <v>26.336589</v>
      </c>
      <c r="BB263" s="113" t="n">
        <v>26.336589</v>
      </c>
      <c r="BC263" s="113" t="n">
        <v>26.408402</v>
      </c>
      <c r="BD263" s="113" t="n">
        <v>26.411736</v>
      </c>
      <c r="BE263" s="113" t="n">
        <v>26.462463</v>
      </c>
      <c r="BF263" s="113" t="n">
        <v>26.464197</v>
      </c>
      <c r="BG263" s="113" t="n">
        <v>26.464197</v>
      </c>
      <c r="BH263" s="113" t="n">
        <v>26.532778</v>
      </c>
      <c r="BI263" s="113" t="n">
        <v>26.535382</v>
      </c>
      <c r="BJ263" s="113" t="n">
        <v>26.547937</v>
      </c>
      <c r="BK263" s="113" t="n">
        <v>26.549372</v>
      </c>
      <c r="BL263" s="114" t="n">
        <v>26.549372</v>
      </c>
      <c r="BM263" s="113" t="n">
        <v>26.588162</v>
      </c>
      <c r="BN263" s="113" t="n">
        <v>26.589913</v>
      </c>
      <c r="BO263" s="113" t="n">
        <v>26.595075</v>
      </c>
      <c r="BP263" s="113" t="n">
        <v>26.598512</v>
      </c>
      <c r="BQ263" s="113" t="n">
        <v>26.598512</v>
      </c>
      <c r="BR263" s="114" t="n">
        <v>26.634005</v>
      </c>
      <c r="BS263" s="114" t="n">
        <v>26.636046</v>
      </c>
      <c r="BT263" s="113" t="n">
        <v>26.642641</v>
      </c>
      <c r="BU263" s="113" t="n">
        <v>26.645402</v>
      </c>
      <c r="BV263" s="113" t="n">
        <v>26.645402</v>
      </c>
      <c r="BW263" s="113" t="n">
        <v>26.670034</v>
      </c>
      <c r="BX263" s="113" t="n">
        <v>26.67465</v>
      </c>
      <c r="BY263" s="111"/>
      <c r="BZ263" s="111"/>
      <c r="CA263" s="62" t="n">
        <f aca="false">CA226</f>
        <v>26.71465</v>
      </c>
      <c r="CB263" s="62" t="n">
        <f aca="false">CB226</f>
        <v>25.8908595306778</v>
      </c>
      <c r="CC263" s="62" t="n">
        <f aca="false">CC226</f>
        <v>25.200927726591</v>
      </c>
      <c r="CD263" s="62" t="n">
        <f aca="false">CD226</f>
        <v>24.6154828488439</v>
      </c>
      <c r="CE263" s="62" t="n">
        <f aca="false">CE226</f>
        <v>23.9702353566962</v>
      </c>
      <c r="CF263" s="21"/>
    </row>
    <row r="264" customFormat="false" ht="15" hidden="false" customHeight="true" outlineLevel="0" collapsed="false">
      <c r="B264" s="37" t="s">
        <v>432</v>
      </c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  <c r="BA264" s="86"/>
      <c r="BB264" s="86"/>
      <c r="BC264" s="86"/>
      <c r="BD264" s="86"/>
      <c r="BE264" s="86"/>
      <c r="BF264" s="86"/>
      <c r="BG264" s="86"/>
      <c r="BH264" s="86"/>
      <c r="BI264" s="86"/>
      <c r="BJ264" s="86"/>
      <c r="BK264" s="86"/>
      <c r="BL264" s="96"/>
      <c r="BM264" s="86"/>
      <c r="BN264" s="86"/>
      <c r="BO264" s="86"/>
      <c r="BP264" s="86"/>
      <c r="BQ264" s="83" t="n">
        <v>16.42</v>
      </c>
      <c r="BR264" s="96"/>
      <c r="BS264" s="96"/>
      <c r="BT264" s="86"/>
      <c r="BU264" s="86"/>
      <c r="BV264" s="83" t="n">
        <v>15.589</v>
      </c>
      <c r="BW264" s="86"/>
      <c r="BX264" s="83" t="n">
        <v>15.162</v>
      </c>
      <c r="BY264" s="87"/>
      <c r="BZ264" s="87"/>
      <c r="CA264" s="66" t="n">
        <f aca="false">$BX$264</f>
        <v>15.162</v>
      </c>
      <c r="CB264" s="66" t="n">
        <f aca="false">CA264</f>
        <v>15.162</v>
      </c>
      <c r="CC264" s="66" t="n">
        <f aca="false">CB264</f>
        <v>15.162</v>
      </c>
      <c r="CD264" s="66" t="n">
        <f aca="false">CC264</f>
        <v>15.162</v>
      </c>
      <c r="CE264" s="66" t="n">
        <f aca="false">CD264</f>
        <v>15.162</v>
      </c>
      <c r="CF264" s="21"/>
    </row>
    <row r="265" customFormat="false" ht="15" hidden="false" customHeight="true" outlineLevel="0" collapsed="false"/>
    <row r="266" customFormat="false" ht="15" hidden="false" customHeight="true" outlineLevel="0" collapsed="false">
      <c r="B266" s="11" t="s">
        <v>433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 t="s">
        <v>434</v>
      </c>
    </row>
    <row r="267" customFormat="false" ht="15" hidden="false" customHeight="true" outlineLevel="0" collapsed="false">
      <c r="B267" s="22" t="s">
        <v>435</v>
      </c>
      <c r="C267" s="65" t="n">
        <f aca="false">IF(ISNUMBER(C232),IFERROR(C232/C81*365,""),"")</f>
        <v>39.9654925246188</v>
      </c>
      <c r="D267" s="65" t="n">
        <f aca="false">IF(ISNUMBER(D232),IFERROR(D232/D81*365,""),"")</f>
        <v>40.0537022485896</v>
      </c>
      <c r="E267" s="65" t="n">
        <f aca="false">IF(ISNUMBER(E232),IFERROR(E232/E81*365,""),"")</f>
        <v>33.1876145769545</v>
      </c>
      <c r="F267" s="65" t="n">
        <f aca="false">IF(ISNUMBER(F232),IFERROR(F232/F81*365,""),"")</f>
        <v>37.6145481139175</v>
      </c>
      <c r="G267" s="65" t="n">
        <f aca="false">IF(ISNUMBER(G232),IFERROR(G232/G81*365,""),"")</f>
        <v>38.2399629982496</v>
      </c>
      <c r="H267" s="65" t="n">
        <f aca="false">IF(ISNUMBER(H232),IFERROR(H232/H81*365,""),"")</f>
        <v>38.0637026510739</v>
      </c>
      <c r="I267" s="65" t="n">
        <f aca="false">IF(ISNUMBER(I232),IFERROR(I232/I81*365,""),"")</f>
        <v>35.4854420626953</v>
      </c>
      <c r="J267" s="65" t="n">
        <f aca="false">IF(ISNUMBER(J232),IFERROR(J232/J81*91.25,""),"")</f>
        <v>42.1920643181943</v>
      </c>
      <c r="K267" s="65" t="n">
        <f aca="false">IF(ISNUMBER(K232),IFERROR(K232/K81*91.25,""),"")</f>
        <v>40.8374137347594</v>
      </c>
      <c r="L267" s="65" t="n">
        <f aca="false">IF(ISNUMBER(L232),IFERROR(L232/L81*91.25,""),"")</f>
        <v>39.7090539669109</v>
      </c>
      <c r="M267" s="65" t="n">
        <f aca="false">IF(ISNUMBER(M232),IFERROR(M232/M81*91.25,""),"")</f>
        <v>38.4822415118628</v>
      </c>
      <c r="N267" s="65" t="n">
        <f aca="false">IF(ISNUMBER(N232),IFERROR(N232/N81*365,""),"")</f>
        <v>37.7905642554521</v>
      </c>
      <c r="O267" s="65" t="n">
        <f aca="false">IF(ISNUMBER(O232),IFERROR(O232/O81*91.25,""),"")</f>
        <v>43.2053056083809</v>
      </c>
      <c r="P267" s="65" t="n">
        <f aca="false">IF(ISNUMBER(P232),IFERROR(P232/P81*91.25,""),"")</f>
        <v>41.109575089513</v>
      </c>
      <c r="Q267" s="65" t="n">
        <f aca="false">IF(ISNUMBER(Q232),IFERROR(Q232/Q81*91.25,""),"")</f>
        <v>40.2261843545516</v>
      </c>
      <c r="R267" s="65" t="n">
        <f aca="false">IF(ISNUMBER(R232),IFERROR(R232/R81*91.25,""),"")</f>
        <v>37.8284011199814</v>
      </c>
      <c r="S267" s="65" t="n">
        <f aca="false">IF(ISNUMBER(S232),IFERROR(S232/S81*365,""),"")</f>
        <v>36.8255770359839</v>
      </c>
      <c r="T267" s="65" t="n">
        <f aca="false">IF(ISNUMBER(T232),IFERROR(T232/T81*91.25,""),"")</f>
        <v>43.7001743896363</v>
      </c>
      <c r="U267" s="65" t="n">
        <f aca="false">IF(ISNUMBER(U232),IFERROR(U232/U81*91.25,""),"")</f>
        <v>41.2419083096327</v>
      </c>
      <c r="V267" s="65" t="n">
        <f aca="false">IF(ISNUMBER(V232),IFERROR(V232/V81*91.25,""),"")</f>
        <v>39.9985222210663</v>
      </c>
      <c r="W267" s="65" t="n">
        <f aca="false">IF(ISNUMBER(W232),IFERROR(W232/W81*91.25,""),"")</f>
        <v>39.4119032717917</v>
      </c>
      <c r="X267" s="65" t="n">
        <f aca="false">IF(ISNUMBER(X232),IFERROR(X232/X81*365,""),"")</f>
        <v>37.1248846526397</v>
      </c>
      <c r="Y267" s="65" t="n">
        <f aca="false">IF(ISNUMBER(Y232),IFERROR(Y232/Y81*91.25,""),"")</f>
        <v>43.3120466281031</v>
      </c>
      <c r="Z267" s="65" t="n">
        <f aca="false">IF(ISNUMBER(Z232),IFERROR(Z232/Z81*91.25,""),"")</f>
        <v>41.6399344351646</v>
      </c>
      <c r="AA267" s="65" t="n">
        <f aca="false">IF(ISNUMBER(AA232),IFERROR(AA232/AA81*91.25,""),"")</f>
        <v>41.3687697903565</v>
      </c>
      <c r="AB267" s="65" t="n">
        <f aca="false">IF(ISNUMBER(AB232),IFERROR(AB232/AB81*91.25,""),"")</f>
        <v>41.0572266282064</v>
      </c>
      <c r="AC267" s="65" t="n">
        <f aca="false">IF(ISNUMBER(AC232),IFERROR(AC232/AC81*365,""),"")</f>
        <v>40.4645579208867</v>
      </c>
      <c r="AD267" s="65" t="n">
        <f aca="false">IF(ISNUMBER(AD232),IFERROR(AD232/AD81*91.25,""),"")</f>
        <v>42.8761627191779</v>
      </c>
      <c r="AE267" s="65" t="n">
        <f aca="false">IF(ISNUMBER(AE232),IFERROR(AE232/AE81*91.25,""),"")</f>
        <v>42.5503825106098</v>
      </c>
      <c r="AF267" s="65" t="n">
        <f aca="false">IF(ISNUMBER(AF232),IFERROR(AF232/AF81*91.25,""),"")</f>
        <v>44.865934463038</v>
      </c>
      <c r="AG267" s="65" t="n">
        <f aca="false">IF(ISNUMBER(AG232),IFERROR(AG232/AG81*91.25,""),"")</f>
        <v>44.0711066635339</v>
      </c>
      <c r="AH267" s="65" t="n">
        <f aca="false">IF(ISNUMBER(AH232),IFERROR(AH232/AH81*365,""),"")</f>
        <v>45.1738833958404</v>
      </c>
      <c r="AI267" s="65" t="n">
        <f aca="false">IF(ISNUMBER(AI232),IFERROR(AI232/AI81*91.25,""),"")</f>
        <v>44.4714966713764</v>
      </c>
      <c r="AJ267" s="65" t="n">
        <f aca="false">IF(ISNUMBER(AJ232),IFERROR(AJ232/AJ81*91.25,""),"")</f>
        <v>42.7044517320844</v>
      </c>
      <c r="AK267" s="65" t="n">
        <f aca="false">IF(ISNUMBER(AK232),IFERROR(AK232/AK81*91.25,""),"")</f>
        <v>42.4498339842373</v>
      </c>
      <c r="AL267" s="65" t="n">
        <f aca="false">IF(ISNUMBER(AL232),IFERROR(AL232/AL81*91.25,""),"")</f>
        <v>40.7427043638599</v>
      </c>
      <c r="AM267" s="65" t="n">
        <f aca="false">IF(ISNUMBER(AM232),IFERROR(AM232/AM81*365,""),"")</f>
        <v>40.0812770694302</v>
      </c>
      <c r="AN267" s="65" t="n">
        <f aca="false">IF(ISNUMBER(AN232),IFERROR(AN232/AN81*91.25,""),"")</f>
        <v>44.92292989985</v>
      </c>
      <c r="AO267" s="65" t="n">
        <f aca="false">IF(ISNUMBER(AO232),IFERROR(AO232/AO81*91.25,""),"")</f>
        <v>44.6319919430412</v>
      </c>
      <c r="AP267" s="65" t="n">
        <f aca="false">IF(ISNUMBER(AP232),IFERROR(AP232/AP81*91.25,""),"")</f>
        <v>42.4245720220691</v>
      </c>
      <c r="AQ267" s="65" t="n">
        <f aca="false">IF(ISNUMBER(AQ232),IFERROR(AQ232/AQ81*91.25,""),"")</f>
        <v>40.3910458962003</v>
      </c>
      <c r="AR267" s="65" t="n">
        <f aca="false">IF(ISNUMBER(AR232),IFERROR(AR232/AR81*365,""),"")</f>
        <v>40.0638231187054</v>
      </c>
      <c r="AS267" s="65" t="n">
        <f aca="false">IF(ISNUMBER(AS232),IFERROR(AS232/AS81*91.25,""),"")</f>
        <v>43.1098788967643</v>
      </c>
      <c r="AT267" s="65" t="n">
        <f aca="false">IF(ISNUMBER(AT232),IFERROR(AT232/AT81*91.25,""),"")</f>
        <v>44.7681822421636</v>
      </c>
      <c r="AU267" s="65" t="n">
        <f aca="false">IF(ISNUMBER(AU232),IFERROR(AU232/AU81*91.25,""),"")</f>
        <v>42.9692427301848</v>
      </c>
      <c r="AV267" s="65" t="n">
        <f aca="false">IF(ISNUMBER(AV232),IFERROR(AV232/AV81*91.25,""),"")</f>
        <v>41.5378414084897</v>
      </c>
      <c r="AW267" s="65" t="n">
        <f aca="false">IF(ISNUMBER(AW232),IFERROR(AW232/AW81*365,""),"")</f>
        <v>43.4425000246932</v>
      </c>
      <c r="AX267" s="65" t="n">
        <f aca="false">IF(ISNUMBER(AX232),IFERROR(AX232/AX81*91.25,""),"")</f>
        <v>45.7867366353078</v>
      </c>
      <c r="AY267" s="65" t="n">
        <f aca="false">IF(ISNUMBER(AY232),IFERROR(AY232/AY81*91.25,""),"")</f>
        <v>41.7034570906984</v>
      </c>
      <c r="AZ267" s="65" t="n">
        <f aca="false">IF(ISNUMBER(AZ232),IFERROR(AZ232/AZ81*91.25,""),"")</f>
        <v>43.8115977189817</v>
      </c>
      <c r="BA267" s="65" t="n">
        <f aca="false">IF(ISNUMBER(BA232),IFERROR(BA232/BA81*91.25,""),"")</f>
        <v>40.9247631186181</v>
      </c>
      <c r="BB267" s="65" t="n">
        <f aca="false">IF(ISNUMBER(BB232),IFERROR(BB232/BB81*365,""),"")</f>
        <v>44.1365834113979</v>
      </c>
      <c r="BC267" s="65" t="n">
        <f aca="false">IF(ISNUMBER(BC232),IFERROR(BC232/BC81*91.25,""),"")</f>
        <v>44.484402600663</v>
      </c>
      <c r="BD267" s="65" t="n">
        <f aca="false">IF(ISNUMBER(BD232),IFERROR(BD232/BD81*91.25,""),"")</f>
        <v>43.7003825343302</v>
      </c>
      <c r="BE267" s="65" t="n">
        <f aca="false">IF(ISNUMBER(BE232),IFERROR(BE232/BE81*91.25,""),"")</f>
        <v>41.9746172698376</v>
      </c>
      <c r="BF267" s="65" t="n">
        <f aca="false">IF(ISNUMBER(BF232),IFERROR(BF232/BF81*91.25,""),"")</f>
        <v>40.3986154277854</v>
      </c>
      <c r="BG267" s="65" t="n">
        <f aca="false">IF(ISNUMBER(BG232),IFERROR(BG232/BG81*365,""),"")</f>
        <v>37.951119909085</v>
      </c>
      <c r="BH267" s="65" t="n">
        <f aca="false">IF(ISNUMBER(BH232),IFERROR(BH232/BH81*91.25,""),"")</f>
        <v>40.7414841757061</v>
      </c>
      <c r="BI267" s="65" t="n">
        <f aca="false">IF(ISNUMBER(BI232),IFERROR(BI232/BI81*91.25,""),"")</f>
        <v>39.350940151622</v>
      </c>
      <c r="BJ267" s="65" t="n">
        <f aca="false">IF(ISNUMBER(BJ232),IFERROR(BJ232/BJ81*91.25,""),"")</f>
        <v>40.7240783647942</v>
      </c>
      <c r="BK267" s="65" t="n">
        <f aca="false">IF(ISNUMBER(BK232),IFERROR(BK232/BK81*91.25,""),"")</f>
        <v>37.8714493591007</v>
      </c>
      <c r="BL267" s="65" t="n">
        <f aca="false">IF(ISNUMBER(BL232),IFERROR(BL232/BL81*365,""),"")</f>
        <v>39.4893200709508</v>
      </c>
      <c r="BM267" s="65" t="n">
        <f aca="false">IF(ISNUMBER(BM232),IFERROR(BM232/BM81*91.25,""),"")</f>
        <v>41.8071345765294</v>
      </c>
      <c r="BN267" s="65" t="n">
        <f aca="false">IF(ISNUMBER(BN232),IFERROR(BN232/BN81*91.25,""),"")</f>
        <v>41.6619556291938</v>
      </c>
      <c r="BO267" s="65" t="n">
        <f aca="false">IF(ISNUMBER(BO232),IFERROR(BO232/BO81*91.25,""),"")</f>
        <v>40.3527062603981</v>
      </c>
      <c r="BP267" s="65" t="n">
        <f aca="false">IF(ISNUMBER(BP232),IFERROR(BP232/BP81*91.25,""),"")</f>
        <v>37.357061963212</v>
      </c>
      <c r="BQ267" s="65" t="n">
        <f aca="false">IF(ISNUMBER(BQ232),IFERROR(BQ232/BQ81*365,""),"")</f>
        <v>36.736988614161</v>
      </c>
      <c r="BR267" s="65" t="n">
        <f aca="false">IF(ISNUMBER(BR232),IFERROR(BR232/BR81*91.25,""),"")</f>
        <v>40.6798368409358</v>
      </c>
      <c r="BS267" s="65" t="n">
        <f aca="false">IF(ISNUMBER(BS232),IFERROR(BS232/BS81*91.25,""),"")</f>
        <v>38.772553434951</v>
      </c>
      <c r="BT267" s="65" t="n">
        <f aca="false">IF(ISNUMBER(BT232),IFERROR(BT232/BT81*91.25,""),"")</f>
        <v>39.7043851322703</v>
      </c>
      <c r="BU267" s="65" t="n">
        <f aca="false">IF(ISNUMBER(BU232),IFERROR(BU232/BU81*91.25,""),"")</f>
        <v>38.374227168233</v>
      </c>
      <c r="BV267" s="65" t="n">
        <f aca="false">IF(ISNUMBER(BV232),IFERROR(BV232/BV81*365,""),"")</f>
        <v>37.4905589672651</v>
      </c>
      <c r="BW267" s="65" t="n">
        <f aca="false">IF(ISNUMBER(BW232),IFERROR(BW232/BW81*91.25,""),"")</f>
        <v>42.6657522208413</v>
      </c>
      <c r="BX267" s="65" t="n">
        <f aca="false">IF(ISNUMBER(BX232),IFERROR(BX232/BX81*91.25,""),"")</f>
        <v>40.4346407295812</v>
      </c>
      <c r="BY267" s="87"/>
      <c r="BZ267" s="87"/>
      <c r="CA267" s="67" t="n">
        <f aca="false">$BV$267</f>
        <v>37.4905589672651</v>
      </c>
      <c r="CB267" s="67" t="n">
        <f aca="false">$BV$267</f>
        <v>37.4905589672651</v>
      </c>
      <c r="CC267" s="67" t="n">
        <f aca="false">$BV$267</f>
        <v>37.4905589672651</v>
      </c>
      <c r="CD267" s="67" t="n">
        <f aca="false">$BV$267</f>
        <v>37.4905589672651</v>
      </c>
      <c r="CE267" s="67" t="n">
        <f aca="false">$BV$267</f>
        <v>37.4905589672651</v>
      </c>
      <c r="CF267" s="21"/>
    </row>
    <row r="268" customFormat="false" ht="15" hidden="false" customHeight="true" outlineLevel="0" collapsed="false">
      <c r="B268" s="22" t="s">
        <v>436</v>
      </c>
      <c r="C268" s="59" t="n">
        <f aca="false">IF(ISNUMBER(C233),IFERROR(C233/(C81*1),""),"")</f>
        <v>0.0311361802048156</v>
      </c>
      <c r="D268" s="59" t="n">
        <f aca="false">IF(ISNUMBER(D233),IFERROR(D233/(D81*1),""),"")</f>
        <v>0.0387625330004518</v>
      </c>
      <c r="E268" s="59" t="n">
        <f aca="false">IF(ISNUMBER(E233),IFERROR(E233/(E81*1),""),"")</f>
        <v>0.0331476163626324</v>
      </c>
      <c r="F268" s="59" t="n">
        <f aca="false">IF(ISNUMBER(F233),IFERROR(F233/(F81*1),""),"")</f>
        <v>0.0451044055109811</v>
      </c>
      <c r="G268" s="59" t="n">
        <f aca="false">IF(ISNUMBER(G233),IFERROR(G233/(G81*1),""),"")</f>
        <v>0.0331043803868566</v>
      </c>
      <c r="H268" s="59" t="n">
        <f aca="false">IF(ISNUMBER(H233),IFERROR(H233/(H81*1),""),"")</f>
        <v>0.0330636832378201</v>
      </c>
      <c r="I268" s="59" t="n">
        <f aca="false">IF(ISNUMBER(I233),IFERROR(I233/(I81*1),""),"")</f>
        <v>0.0337022915701492</v>
      </c>
      <c r="J268" s="59" t="n">
        <f aca="false">IF(ISNUMBER(J233),IFERROR(J233/(J81*4),""),"")</f>
        <v>0.0297530999470407</v>
      </c>
      <c r="K268" s="59" t="n">
        <f aca="false">IF(ISNUMBER(K233),IFERROR(K233/(K81*4),""),"")</f>
        <v>0.0287132080244192</v>
      </c>
      <c r="L268" s="59" t="n">
        <f aca="false">IF(ISNUMBER(L233),IFERROR(L233/(L81*4),""),"")</f>
        <v>0.0320305915990815</v>
      </c>
      <c r="M268" s="59" t="n">
        <f aca="false">IF(ISNUMBER(M233),IFERROR(M233/(M81*4),""),"")</f>
        <v>0.0466262001394576</v>
      </c>
      <c r="N268" s="59" t="n">
        <f aca="false">IF(ISNUMBER(N233),IFERROR(N233/(N81*1),""),"")</f>
        <v>0.0457881439108625</v>
      </c>
      <c r="O268" s="59" t="n">
        <f aca="false">IF(ISNUMBER(O233),IFERROR(O233/(O81*4),""),"")</f>
        <v>0.0363735695459247</v>
      </c>
      <c r="P268" s="59" t="n">
        <f aca="false">IF(ISNUMBER(P233),IFERROR(P233/(P81*4),""),"")</f>
        <v>0.0332000096852593</v>
      </c>
      <c r="Q268" s="59" t="n">
        <f aca="false">IF(ISNUMBER(Q233),IFERROR(Q233/(Q81*4),""),"")</f>
        <v>0.0297847803598922</v>
      </c>
      <c r="R268" s="59" t="n">
        <f aca="false">IF(ISNUMBER(R233),IFERROR(R233/(R81*4),""),"")</f>
        <v>0.0459408747997726</v>
      </c>
      <c r="S268" s="59" t="n">
        <f aca="false">IF(ISNUMBER(S233),IFERROR(S233/(S81*1),""),"")</f>
        <v>0.0447229905031828</v>
      </c>
      <c r="T268" s="59" t="n">
        <f aca="false">IF(ISNUMBER(T233),IFERROR(T233/(T81*4),""),"")</f>
        <v>0.0473445679846564</v>
      </c>
      <c r="U268" s="59" t="n">
        <f aca="false">IF(ISNUMBER(U233),IFERROR(U233/(U81*4),""),"")</f>
        <v>0.0341072091010263</v>
      </c>
      <c r="V268" s="59" t="n">
        <f aca="false">IF(ISNUMBER(V233),IFERROR(V233/(V81*4),""),"")</f>
        <v>0.0332251993228226</v>
      </c>
      <c r="W268" s="59" t="n">
        <f aca="false">IF(ISNUMBER(W233),IFERROR(W233/(W81*4),""),"")</f>
        <v>0.0301119571642154</v>
      </c>
      <c r="X268" s="59" t="n">
        <f aca="false">IF(ISNUMBER(X233),IFERROR(X233/(X81*1),""),"")</f>
        <v>0.0283646016452812</v>
      </c>
      <c r="Y268" s="59" t="n">
        <f aca="false">IF(ISNUMBER(Y233),IFERROR(Y233/(Y81*4),""),"")</f>
        <v>0.0324151205024991</v>
      </c>
      <c r="Z268" s="59" t="n">
        <f aca="false">IF(ISNUMBER(Z233),IFERROR(Z233/(Z81*4),""),"")</f>
        <v>0.02360494381302</v>
      </c>
      <c r="AA268" s="59" t="n">
        <f aca="false">IF(ISNUMBER(AA233),IFERROR(AA233/(AA81*4),""),"")</f>
        <v>0.0175008374362442</v>
      </c>
      <c r="AB268" s="59" t="n">
        <f aca="false">IF(ISNUMBER(AB233),IFERROR(AB233/(AB81*4),""),"")</f>
        <v>0.0248623523181102</v>
      </c>
      <c r="AC268" s="59" t="n">
        <f aca="false">IF(ISNUMBER(AC233),IFERROR(AC233/(AC81*1),""),"")</f>
        <v>0.0245034596353985</v>
      </c>
      <c r="AD268" s="59" t="n">
        <f aca="false">IF(ISNUMBER(AD233),IFERROR(AD233/(AD81*4),""),"")</f>
        <v>0.0275748571933244</v>
      </c>
      <c r="AE268" s="59" t="n">
        <f aca="false">IF(ISNUMBER(AE233),IFERROR(AE233/(AE81*4),""),"")</f>
        <v>0.0210932264909538</v>
      </c>
      <c r="AF268" s="59" t="n">
        <f aca="false">IF(ISNUMBER(AF233),IFERROR(AF233/(AF81*4),""),"")</f>
        <v>0.0202814072935651</v>
      </c>
      <c r="AG268" s="59" t="n">
        <f aca="false">IF(ISNUMBER(AG233),IFERROR(AG233/(AG81*4),""),"")</f>
        <v>0.0199935739743129</v>
      </c>
      <c r="AH268" s="59" t="n">
        <f aca="false">IF(ISNUMBER(AH233),IFERROR(AH233/(AH81*1),""),"")</f>
        <v>0.020493866566075</v>
      </c>
      <c r="AI268" s="59" t="n">
        <f aca="false">IF(ISNUMBER(AI233),IFERROR(AI233/(AI81*4),""),"")</f>
        <v>0.0216812413283945</v>
      </c>
      <c r="AJ268" s="59" t="n">
        <f aca="false">IF(ISNUMBER(AJ233),IFERROR(AJ233/(AJ81*4),""),"")</f>
        <v>0.017991425879104</v>
      </c>
      <c r="AK268" s="59" t="n">
        <f aca="false">IF(ISNUMBER(AK233),IFERROR(AK233/(AK81*4),""),"")</f>
        <v>0.0153649761961829</v>
      </c>
      <c r="AL268" s="59" t="n">
        <f aca="false">IF(ISNUMBER(AL233),IFERROR(AL233/(AL81*4),""),"")</f>
        <v>0.0181727105101414</v>
      </c>
      <c r="AM268" s="59" t="n">
        <f aca="false">IF(ISNUMBER(AM233),IFERROR(AM233/(AM81*1),""),"")</f>
        <v>0.0178776901639751</v>
      </c>
      <c r="AN268" s="59" t="n">
        <f aca="false">IF(ISNUMBER(AN233),IFERROR(AN233/(AN81*4),""),"")</f>
        <v>0.023699778851587</v>
      </c>
      <c r="AO268" s="59" t="n">
        <f aca="false">IF(ISNUMBER(AO233),IFERROR(AO233/(AO81*4),""),"")</f>
        <v>0.0182250993655684</v>
      </c>
      <c r="AP268" s="59" t="n">
        <f aca="false">IF(ISNUMBER(AP233),IFERROR(AP233/(AP81*4),""),"")</f>
        <v>0.0168983836328699</v>
      </c>
      <c r="AQ268" s="59" t="n">
        <f aca="false">IF(ISNUMBER(AQ233),IFERROR(AQ233/(AQ81*4),""),"")</f>
        <v>0.0203198176339815</v>
      </c>
      <c r="AR268" s="59" t="n">
        <f aca="false">IF(ISNUMBER(AR233),IFERROR(AR233/(AR81*1),""),"")</f>
        <v>0.0201551992880869</v>
      </c>
      <c r="AS268" s="59" t="n">
        <f aca="false">IF(ISNUMBER(AS233),IFERROR(AS233/(AS81*4),""),"")</f>
        <v>0.026940765598258</v>
      </c>
      <c r="AT268" s="59" t="n">
        <f aca="false">IF(ISNUMBER(AT233),IFERROR(AT233/(AT81*4),""),"")</f>
        <v>0.0210660250553677</v>
      </c>
      <c r="AU268" s="59" t="n">
        <f aca="false">IF(ISNUMBER(AU233),IFERROR(AU233/(AU81*4),""),"")</f>
        <v>0.0145266466406578</v>
      </c>
      <c r="AV268" s="59" t="n">
        <f aca="false">IF(ISNUMBER(AV233),IFERROR(AV233/(AV81*4),""),"")</f>
        <v>0.0154722528867827</v>
      </c>
      <c r="AW268" s="59" t="n">
        <f aca="false">IF(ISNUMBER(AW233),IFERROR(AW233/(AW81*1),""),"")</f>
        <v>0.0161817110284103</v>
      </c>
      <c r="AX268" s="59" t="n">
        <f aca="false">IF(ISNUMBER(AX233),IFERROR(AX233/(AX81*4),""),"")</f>
        <v>0.0269380301358883</v>
      </c>
      <c r="AY268" s="59" t="n">
        <f aca="false">IF(ISNUMBER(AY233),IFERROR(AY233/(AY81*4),""),"")</f>
        <v>0.0174626706316632</v>
      </c>
      <c r="AZ268" s="59" t="n">
        <f aca="false">IF(ISNUMBER(AZ233),IFERROR(AZ233/(AZ81*4),""),"")</f>
        <v>0.0134064191776909</v>
      </c>
      <c r="BA268" s="59" t="n">
        <f aca="false">IF(ISNUMBER(BA233),IFERROR(BA233/(BA81*4),""),"")</f>
        <v>0.013333743868309</v>
      </c>
      <c r="BB268" s="59" t="n">
        <f aca="false">IF(ISNUMBER(BB233),IFERROR(BB233/(BB81*1),""),"")</f>
        <v>0.0143801907105506</v>
      </c>
      <c r="BC268" s="59" t="n">
        <f aca="false">IF(ISNUMBER(BC233),IFERROR(BC233/(BC81*4),""),"")</f>
        <v>0.0177695337075933</v>
      </c>
      <c r="BD268" s="59" t="n">
        <f aca="false">IF(ISNUMBER(BD233),IFERROR(BD233/(BD81*4),""),"")</f>
        <v>0.0139000662594527</v>
      </c>
      <c r="BE268" s="59" t="n">
        <f aca="false">IF(ISNUMBER(BE233),IFERROR(BE233/(BE81*4),""),"")</f>
        <v>0.0226101724187559</v>
      </c>
      <c r="BF268" s="59" t="n">
        <f aca="false">IF(ISNUMBER(BF233),IFERROR(BF233/(BF81*4),""),"")</f>
        <v>0.0202790494810332</v>
      </c>
      <c r="BG268" s="59" t="n">
        <f aca="false">IF(ISNUMBER(BG233),IFERROR(BG233/(BG81*1),""),"")</f>
        <v>0.0190504706744884</v>
      </c>
      <c r="BH268" s="59" t="n">
        <f aca="false">IF(ISNUMBER(BH233),IFERROR(BH233/(BH81*4),""),"")</f>
        <v>0.0197461148917166</v>
      </c>
      <c r="BI268" s="59" t="n">
        <f aca="false">IF(ISNUMBER(BI233),IFERROR(BI233/(BI81*4),""),"")</f>
        <v>0.0159514815252036</v>
      </c>
      <c r="BJ268" s="59" t="n">
        <f aca="false">IF(ISNUMBER(BJ233),IFERROR(BJ233/(BJ81*4),""),"")</f>
        <v>0.0162521415375724</v>
      </c>
      <c r="BK268" s="59" t="n">
        <f aca="false">IF(ISNUMBER(BK233),IFERROR(BK233/(BK81*4),""),"")</f>
        <v>0.013558535650192</v>
      </c>
      <c r="BL268" s="59" t="n">
        <f aca="false">IF(ISNUMBER(BL233),IFERROR(BL233/(BL81*1),""),"")</f>
        <v>0.0141377571506955</v>
      </c>
      <c r="BM268" s="59" t="n">
        <f aca="false">IF(ISNUMBER(BM233),IFERROR(BM233/(BM81*4),""),"")</f>
        <v>0.0192587194859395</v>
      </c>
      <c r="BN268" s="59" t="n">
        <f aca="false">IF(ISNUMBER(BN233),IFERROR(BN233/(BN81*4),""),"")</f>
        <v>0.0179242120197657</v>
      </c>
      <c r="BO268" s="59" t="n">
        <f aca="false">IF(ISNUMBER(BO233),IFERROR(BO233/(BO81*4),""),"")</f>
        <v>0.0150058840783135</v>
      </c>
      <c r="BP268" s="59" t="n">
        <f aca="false">IF(ISNUMBER(BP233),IFERROR(BP233/(BP81*4),""),"")</f>
        <v>0.0295661206258429</v>
      </c>
      <c r="BQ268" s="59" t="n">
        <f aca="false">IF(ISNUMBER(BQ233),IFERROR(BQ233/(BQ81*1),""),"")</f>
        <v>0.0290753656662327</v>
      </c>
      <c r="BR268" s="59" t="n">
        <f aca="false">IF(ISNUMBER(BR233),IFERROR(BR233/(BR81*4),""),"")</f>
        <v>0.0323661238612196</v>
      </c>
      <c r="BS268" s="59" t="n">
        <f aca="false">IF(ISNUMBER(BS233),IFERROR(BS233/(BS81*4),""),"")</f>
        <v>0.0260419280027903</v>
      </c>
      <c r="BT268" s="59" t="n">
        <f aca="false">IF(ISNUMBER(BT233),IFERROR(BT233/(BT81*4),""),"")</f>
        <v>0.0286285020794527</v>
      </c>
      <c r="BU268" s="59" t="n">
        <f aca="false">IF(ISNUMBER(BU233),IFERROR(BU233/(BU81*4),""),"")</f>
        <v>0.0261503230576035</v>
      </c>
      <c r="BV268" s="59" t="n">
        <f aca="false">IF(ISNUMBER(BV233),IFERROR(BV233/(BV81*1),""),"")</f>
        <v>0.025548142619422</v>
      </c>
      <c r="BW268" s="59" t="n">
        <f aca="false">IF(ISNUMBER(BW233),IFERROR(BW233/(BW81*4),""),"")</f>
        <v>0.0258141017531065</v>
      </c>
      <c r="BX268" s="59" t="n">
        <f aca="false">IF(ISNUMBER(BX233),IFERROR(BX233/(BX81*4),""),"")</f>
        <v>0.0208550707061414</v>
      </c>
      <c r="BY268" s="41"/>
      <c r="BZ268" s="41"/>
      <c r="CA268" s="30" t="n">
        <f aca="false">$BV$268</f>
        <v>0.025548142619422</v>
      </c>
      <c r="CB268" s="30" t="n">
        <f aca="false">$BV$268</f>
        <v>0.025548142619422</v>
      </c>
      <c r="CC268" s="30" t="n">
        <f aca="false">$BV$268</f>
        <v>0.025548142619422</v>
      </c>
      <c r="CD268" s="30" t="n">
        <f aca="false">$BV$268</f>
        <v>0.025548142619422</v>
      </c>
      <c r="CE268" s="30" t="n">
        <f aca="false">$BV$268</f>
        <v>0.025548142619422</v>
      </c>
      <c r="CF268" s="21"/>
    </row>
    <row r="269" customFormat="false" ht="15" hidden="false" customHeight="true" outlineLevel="0" collapsed="false">
      <c r="B269" s="22" t="s">
        <v>437</v>
      </c>
      <c r="C269" s="59" t="n">
        <f aca="false">IF(ISNUMBER(C242),IFERROR(C242/(C81*1),""),"")</f>
        <v>0.0450294831138009</v>
      </c>
      <c r="D269" s="59" t="n">
        <f aca="false">IF(ISNUMBER(D242),IFERROR(D242/(D81*1),""),"")</f>
        <v>0.0437772698727517</v>
      </c>
      <c r="E269" s="59" t="n">
        <f aca="false">IF(ISNUMBER(E242),IFERROR(E242/(E81*1),""),"")</f>
        <v>0.0451970602307212</v>
      </c>
      <c r="F269" s="59" t="n">
        <f aca="false">IF(ISNUMBER(F242),IFERROR(F242/(F81*1),""),"")</f>
        <v>0.0553465207780569</v>
      </c>
      <c r="G269" s="59" t="n">
        <f aca="false">IF(ISNUMBER(G242),IFERROR(G242/(G81*1),""),"")</f>
        <v>0.0418153014424036</v>
      </c>
      <c r="H269" s="59" t="n">
        <f aca="false">IF(ISNUMBER(H242),IFERROR(H242/(H81*1),""),"")</f>
        <v>0.0386158738293808</v>
      </c>
      <c r="I269" s="59" t="n">
        <f aca="false">IF(ISNUMBER(I242),IFERROR(I242/(I81*1),""),"")</f>
        <v>0.0397805000368625</v>
      </c>
      <c r="J269" s="59" t="n">
        <f aca="false">IF(ISNUMBER(J242),IFERROR(J242/(J81*4),""),"")</f>
        <v>0.0488285030771197</v>
      </c>
      <c r="K269" s="59" t="n">
        <f aca="false">IF(ISNUMBER(K242),IFERROR(K242/(K81*4),""),"")</f>
        <v>0.0509276824687155</v>
      </c>
      <c r="L269" s="59" t="n">
        <f aca="false">IF(ISNUMBER(L242),IFERROR(L242/(L81*4),""),"")</f>
        <v>0.0417742854510777</v>
      </c>
      <c r="M269" s="59" t="n">
        <f aca="false">IF(ISNUMBER(M242),IFERROR(M242/(M81*4),""),"")</f>
        <v>0.0454122043231839</v>
      </c>
      <c r="N269" s="59" t="n">
        <f aca="false">IF(ISNUMBER(N242),IFERROR(N242/(N81*1),""),"")</f>
        <v>0.0445959683748663</v>
      </c>
      <c r="O269" s="59" t="n">
        <f aca="false">IF(ISNUMBER(O242),IFERROR(O242/(O81*4),""),"")</f>
        <v>0.0551312848230074</v>
      </c>
      <c r="P269" s="59" t="n">
        <f aca="false">IF(ISNUMBER(P242),IFERROR(P242/(P81*4),""),"")</f>
        <v>0.047582619802118</v>
      </c>
      <c r="Q269" s="59" t="n">
        <f aca="false">IF(ISNUMBER(Q242),IFERROR(Q242/(Q81*4),""),"")</f>
        <v>0.0431972911855273</v>
      </c>
      <c r="R269" s="59" t="n">
        <f aca="false">IF(ISNUMBER(R242),IFERROR(R242/(R81*4),""),"")</f>
        <v>0.0342227303260476</v>
      </c>
      <c r="S269" s="59" t="n">
        <f aca="false">IF(ISNUMBER(S242),IFERROR(S242/(S81*1),""),"")</f>
        <v>0.0333154919238148</v>
      </c>
      <c r="T269" s="59" t="n">
        <f aca="false">IF(ISNUMBER(T242),IFERROR(T242/(T81*4),""),"")</f>
        <v>0.0489263604780528</v>
      </c>
      <c r="U269" s="59" t="n">
        <f aca="false">IF(ISNUMBER(U242),IFERROR(U242/(U81*4),""),"")</f>
        <v>0.0385951218004204</v>
      </c>
      <c r="V269" s="59" t="n">
        <f aca="false">IF(ISNUMBER(V242),IFERROR(V242/(V81*4),""),"")</f>
        <v>0.0468980040920684</v>
      </c>
      <c r="W269" s="59" t="n">
        <f aca="false">IF(ISNUMBER(W242),IFERROR(W242/(W81*4),""),"")</f>
        <v>0.047593964048538</v>
      </c>
      <c r="X269" s="59" t="n">
        <f aca="false">IF(ISNUMBER(X242),IFERROR(X242/(X81*1),""),"")</f>
        <v>0.0448321516796295</v>
      </c>
      <c r="Y269" s="59" t="n">
        <f aca="false">IF(ISNUMBER(Y242),IFERROR(Y242/(Y81*4),""),"")</f>
        <v>0.0515011503530394</v>
      </c>
      <c r="Z269" s="59" t="n">
        <f aca="false">IF(ISNUMBER(Z242),IFERROR(Z242/(Z81*4),""),"")</f>
        <v>0.0398190154053318</v>
      </c>
      <c r="AA269" s="59" t="n">
        <f aca="false">IF(ISNUMBER(AA242),IFERROR(AA242/(AA81*4),""),"")</f>
        <v>0.0380235556594889</v>
      </c>
      <c r="AB269" s="59" t="n">
        <f aca="false">IF(ISNUMBER(AB242),IFERROR(AB242/(AB81*4),""),"")</f>
        <v>0.037596220143027</v>
      </c>
      <c r="AC269" s="59" t="n">
        <f aca="false">IF(ISNUMBER(AC242),IFERROR(AC242/(AC81*1),""),"")</f>
        <v>0.0370535117084304</v>
      </c>
      <c r="AD269" s="59" t="n">
        <f aca="false">IF(ISNUMBER(AD242),IFERROR(AD242/(AD81*4),""),"")</f>
        <v>0.0559642880799402</v>
      </c>
      <c r="AE269" s="59" t="n">
        <f aca="false">IF(ISNUMBER(AE242),IFERROR(AE242/(AE81*4),""),"")</f>
        <v>0.0389113803886531</v>
      </c>
      <c r="AF269" s="59" t="n">
        <f aca="false">IF(ISNUMBER(AF242),IFERROR(AF242/(AF81*4),""),"")</f>
        <v>0.0455219361141741</v>
      </c>
      <c r="AG269" s="59" t="n">
        <f aca="false">IF(ISNUMBER(AG242),IFERROR(AG242/(AG81*4),""),"")</f>
        <v>0.0408470181259218</v>
      </c>
      <c r="AH269" s="59" t="n">
        <f aca="false">IF(ISNUMBER(AH242),IFERROR(AH242/(AH81*1),""),"")</f>
        <v>0.0418691195566227</v>
      </c>
      <c r="AI269" s="59" t="n">
        <f aca="false">IF(ISNUMBER(AI242),IFERROR(AI242/(AI81*4),""),"")</f>
        <v>0.0419202912386553</v>
      </c>
      <c r="AJ269" s="59" t="n">
        <f aca="false">IF(ISNUMBER(AJ242),IFERROR(AJ242/(AJ81*4),""),"")</f>
        <v>0.0414273952025974</v>
      </c>
      <c r="AK269" s="59" t="n">
        <f aca="false">IF(ISNUMBER(AK242),IFERROR(AK242/(AK81*4),""),"")</f>
        <v>0.0364371113962243</v>
      </c>
      <c r="AL269" s="59" t="n">
        <f aca="false">IF(ISNUMBER(AL242),IFERROR(AL242/(AL81*4),""),"")</f>
        <v>0.0485519360786724</v>
      </c>
      <c r="AM269" s="59" t="n">
        <f aca="false">IF(ISNUMBER(AM242),IFERROR(AM242/(AM81*1),""),"")</f>
        <v>0.0477637317554384</v>
      </c>
      <c r="AN269" s="59" t="n">
        <f aca="false">IF(ISNUMBER(AN242),IFERROR(AN242/(AN81*4),""),"")</f>
        <v>0.0438296426553397</v>
      </c>
      <c r="AO269" s="59" t="n">
        <f aca="false">IF(ISNUMBER(AO242),IFERROR(AO242/(AO81*4),""),"")</f>
        <v>0.0417502342765433</v>
      </c>
      <c r="AP269" s="59" t="n">
        <f aca="false">IF(ISNUMBER(AP242),IFERROR(AP242/(AP81*4),""),"")</f>
        <v>0.0452434574346703</v>
      </c>
      <c r="AQ269" s="59" t="n">
        <f aca="false">IF(ISNUMBER(AQ242),IFERROR(AQ242/(AQ81*4),""),"")</f>
        <v>0.047183257535576</v>
      </c>
      <c r="AR269" s="59" t="n">
        <f aca="false">IF(ISNUMBER(AR242),IFERROR(AR242/(AR81*1),""),"")</f>
        <v>0.0468010085435165</v>
      </c>
      <c r="AS269" s="59" t="n">
        <f aca="false">IF(ISNUMBER(AS242),IFERROR(AS242/(AS81*4),""),"")</f>
        <v>0.0511849344528177</v>
      </c>
      <c r="AT269" s="59" t="n">
        <f aca="false">IF(ISNUMBER(AT242),IFERROR(AT242/(AT81*4),""),"")</f>
        <v>0.0487402957088258</v>
      </c>
      <c r="AU269" s="59" t="n">
        <f aca="false">IF(ISNUMBER(AU242),IFERROR(AU242/(AU81*4),""),"")</f>
        <v>0.0504077910315056</v>
      </c>
      <c r="AV269" s="59" t="n">
        <f aca="false">IF(ISNUMBER(AV242),IFERROR(AV242/(AV81*4),""),"")</f>
        <v>0.0468963150759105</v>
      </c>
      <c r="AW269" s="59" t="n">
        <f aca="false">IF(ISNUMBER(AW242),IFERROR(AW242/(AW81*1),""),"")</f>
        <v>0.0490466788778983</v>
      </c>
      <c r="AX269" s="59" t="n">
        <f aca="false">IF(ISNUMBER(AX242),IFERROR(AX242/(AX81*4),""),"")</f>
        <v>0.0628070295037536</v>
      </c>
      <c r="AY269" s="59" t="n">
        <f aca="false">IF(ISNUMBER(AY242),IFERROR(AY242/(AY81*4),""),"")</f>
        <v>0.0439756674303777</v>
      </c>
      <c r="AZ269" s="59" t="n">
        <f aca="false">IF(ISNUMBER(AZ242),IFERROR(AZ242/(AZ81*4),""),"")</f>
        <v>0.0571122788113259</v>
      </c>
      <c r="BA269" s="59" t="n">
        <f aca="false">IF(ISNUMBER(BA242),IFERROR(BA242/(BA81*4),""),"")</f>
        <v>0.046189236097044</v>
      </c>
      <c r="BB269" s="59" t="n">
        <f aca="false">IF(ISNUMBER(BB242),IFERROR(BB242/(BB81*1),""),"")</f>
        <v>0.0498142180028523</v>
      </c>
      <c r="BC269" s="59" t="n">
        <f aca="false">IF(ISNUMBER(BC242),IFERROR(BC242/(BC81*4),""),"")</f>
        <v>0.0492134945312878</v>
      </c>
      <c r="BD269" s="59" t="n">
        <f aca="false">IF(ISNUMBER(BD242),IFERROR(BD242/(BD81*4),""),"")</f>
        <v>0.0487214876454288</v>
      </c>
      <c r="BE269" s="59" t="n">
        <f aca="false">IF(ISNUMBER(BE242),IFERROR(BE242/(BE81*4),""),"")</f>
        <v>0.0393034304191151</v>
      </c>
      <c r="BF269" s="59" t="n">
        <f aca="false">IF(ISNUMBER(BF242),IFERROR(BF242/(BF81*4),""),"")</f>
        <v>0.0380463791278674</v>
      </c>
      <c r="BG269" s="59" t="n">
        <f aca="false">IF(ISNUMBER(BG242),IFERROR(BG242/(BG81*1),""),"")</f>
        <v>0.0357413906664513</v>
      </c>
      <c r="BH269" s="59" t="n">
        <f aca="false">IF(ISNUMBER(BH242),IFERROR(BH242/(BH81*4),""),"")</f>
        <v>0.0410129667617916</v>
      </c>
      <c r="BI269" s="59" t="n">
        <f aca="false">IF(ISNUMBER(BI242),IFERROR(BI242/(BI81*4),""),"")</f>
        <v>0.0353605990020472</v>
      </c>
      <c r="BJ269" s="59" t="n">
        <f aca="false">IF(ISNUMBER(BJ242),IFERROR(BJ242/(BJ81*4),""),"")</f>
        <v>0.036313897804795</v>
      </c>
      <c r="BK269" s="59" t="n">
        <f aca="false">IF(ISNUMBER(BK242),IFERROR(BK242/(BK81*4),""),"")</f>
        <v>0.0472210610119127</v>
      </c>
      <c r="BL269" s="59" t="n">
        <f aca="false">IF(ISNUMBER(BL242),IFERROR(BL242/(BL81*1),""),"")</f>
        <v>0.0492383477248994</v>
      </c>
      <c r="BM269" s="59" t="n">
        <f aca="false">IF(ISNUMBER(BM242),IFERROR(BM242/(BM81*4),""),"")</f>
        <v>0.0508386605279719</v>
      </c>
      <c r="BN269" s="59" t="n">
        <f aca="false">IF(ISNUMBER(BN242),IFERROR(BN242/(BN81*4),""),"")</f>
        <v>0.0472490537434831</v>
      </c>
      <c r="BO269" s="59" t="n">
        <f aca="false">IF(ISNUMBER(BO242),IFERROR(BO242/(BO81*4),""),"")</f>
        <v>0.0478685505217295</v>
      </c>
      <c r="BP269" s="59" t="n">
        <f aca="false">IF(ISNUMBER(BP242),IFERROR(BP242/(BP81*4),""),"")</f>
        <v>0.036301321246413</v>
      </c>
      <c r="BQ269" s="59" t="n">
        <f aca="false">IF(ISNUMBER(BQ242),IFERROR(BQ242/(BQ81*1),""),"")</f>
        <v>0.0356987716705816</v>
      </c>
      <c r="BR269" s="59" t="n">
        <f aca="false">IF(ISNUMBER(BR242),IFERROR(BR242/(BR81*4),""),"")</f>
        <v>0.0492000761832206</v>
      </c>
      <c r="BS269" s="59" t="n">
        <f aca="false">IF(ISNUMBER(BS242),IFERROR(BS242/(BS81*4),""),"")</f>
        <v>0.039465987039768</v>
      </c>
      <c r="BT269" s="59" t="n">
        <f aca="false">IF(ISNUMBER(BT242),IFERROR(BT242/(BT81*4),""),"")</f>
        <v>0.033506462262578</v>
      </c>
      <c r="BU269" s="59" t="n">
        <f aca="false">IF(ISNUMBER(BU242),IFERROR(BU242/(BU81*4),""),"")</f>
        <v>0.0339970023495098</v>
      </c>
      <c r="BV269" s="59" t="n">
        <f aca="false">IF(ISNUMBER(BV242),IFERROR(BV242/(BV81*1),""),"")</f>
        <v>0.0332141313415078</v>
      </c>
      <c r="BW269" s="59" t="n">
        <f aca="false">IF(ISNUMBER(BW242),IFERROR(BW242/(BW81*4),""),"")</f>
        <v>0.0456236836817468</v>
      </c>
      <c r="BX269" s="59" t="n">
        <f aca="false">IF(ISNUMBER(BX242),IFERROR(BX242/(BX81*4),""),"")</f>
        <v>0.0430849540091208</v>
      </c>
      <c r="BY269" s="41"/>
      <c r="BZ269" s="41"/>
      <c r="CA269" s="30" t="n">
        <f aca="false">$BV$269</f>
        <v>0.0332141313415078</v>
      </c>
      <c r="CB269" s="30" t="n">
        <f aca="false">$BV$269</f>
        <v>0.0332141313415078</v>
      </c>
      <c r="CC269" s="30" t="n">
        <f aca="false">$BV$269</f>
        <v>0.0332141313415078</v>
      </c>
      <c r="CD269" s="30" t="n">
        <f aca="false">$BV$269</f>
        <v>0.0332141313415078</v>
      </c>
      <c r="CE269" s="30" t="n">
        <f aca="false">$BV$269</f>
        <v>0.0332141313415078</v>
      </c>
      <c r="CF269" s="21"/>
    </row>
    <row r="270" customFormat="false" ht="15" hidden="false" customHeight="true" outlineLevel="0" collapsed="false">
      <c r="B270" s="22" t="s">
        <v>438</v>
      </c>
      <c r="C270" s="59" t="n">
        <f aca="false">IF(ISNUMBER(C243),IFERROR(C243/(C81*1),""),"")</f>
        <v>0.0523036612105568</v>
      </c>
      <c r="D270" s="59" t="n">
        <f aca="false">IF(ISNUMBER(D243),IFERROR(D243/(D81*1),""),"")</f>
        <v>0.0336668637046766</v>
      </c>
      <c r="E270" s="59" t="n">
        <f aca="false">IF(ISNUMBER(E243),IFERROR(E243/(E81*1),""),"")</f>
        <v>0.0273169898517208</v>
      </c>
      <c r="F270" s="59" t="n">
        <f aca="false">IF(ISNUMBER(F243),IFERROR(F243/(F81*1),""),"")</f>
        <v>0.0221317778790566</v>
      </c>
      <c r="G270" s="59" t="n">
        <f aca="false">IF(ISNUMBER(G243),IFERROR(G243/(G81*1),""),"")</f>
        <v>0.0211607914386369</v>
      </c>
      <c r="H270" s="59" t="n">
        <f aca="false">IF(ISNUMBER(H243),IFERROR(H243/(H81*1),""),"")</f>
        <v>0.020563489105282</v>
      </c>
      <c r="I270" s="59" t="n">
        <f aca="false">IF(ISNUMBER(I243),IFERROR(I243/(I81*1),""),"")</f>
        <v>0.0280718936104176</v>
      </c>
      <c r="J270" s="59" t="n">
        <f aca="false">IF(ISNUMBER(J243),IFERROR(J243/(J81*4),""),"")</f>
        <v>0.0245146916488614</v>
      </c>
      <c r="K270" s="59" t="n">
        <f aca="false">IF(ISNUMBER(K243),IFERROR(K243/(K81*4),""),"")</f>
        <v>0.027281008487235</v>
      </c>
      <c r="L270" s="59" t="n">
        <f aca="false">IF(ISNUMBER(L243),IFERROR(L243/(L81*4),""),"")</f>
        <v>0.0301429268442476</v>
      </c>
      <c r="M270" s="59" t="n">
        <f aca="false">IF(ISNUMBER(M243),IFERROR(M243/(M81*4),""),"")</f>
        <v>0.0315102537054585</v>
      </c>
      <c r="N270" s="59" t="n">
        <f aca="false">IF(ISNUMBER(N243),IFERROR(N243/(N81*1),""),"")</f>
        <v>0.0309438904954288</v>
      </c>
      <c r="O270" s="59" t="n">
        <f aca="false">IF(ISNUMBER(O243),IFERROR(O243/(O81*4),""),"")</f>
        <v>0.0248690488105962</v>
      </c>
      <c r="P270" s="59" t="n">
        <f aca="false">IF(ISNUMBER(P243),IFERROR(P243/(P81*4),""),"")</f>
        <v>0.0261063138810953</v>
      </c>
      <c r="Q270" s="59" t="n">
        <f aca="false">IF(ISNUMBER(Q243),IFERROR(Q243/(Q81*4),""),"")</f>
        <v>0.029893788491147</v>
      </c>
      <c r="R270" s="59" t="n">
        <f aca="false">IF(ISNUMBER(R243),IFERROR(R243/(R81*4),""),"")</f>
        <v>0.023233639487418</v>
      </c>
      <c r="S270" s="59" t="n">
        <f aca="false">IF(ISNUMBER(S243),IFERROR(S243/(S81*1),""),"")</f>
        <v>0.0226177198993021</v>
      </c>
      <c r="T270" s="59" t="n">
        <f aca="false">IF(ISNUMBER(T243),IFERROR(T243/(T81*4),""),"")</f>
        <v>0.0283144269030994</v>
      </c>
      <c r="U270" s="59" t="n">
        <f aca="false">IF(ISNUMBER(U243),IFERROR(U243/(U81*4),""),"")</f>
        <v>0.0300204031161123</v>
      </c>
      <c r="V270" s="59" t="n">
        <f aca="false">IF(ISNUMBER(V243),IFERROR(V243/(V81*4),""),"")</f>
        <v>0.0255856733470156</v>
      </c>
      <c r="W270" s="59" t="n">
        <f aca="false">IF(ISNUMBER(W243),IFERROR(W243/(W81*4),""),"")</f>
        <v>0.0241942213413998</v>
      </c>
      <c r="X270" s="59" t="n">
        <f aca="false">IF(ISNUMBER(X243),IFERROR(X243/(X81*1),""),"")</f>
        <v>0.0227902639049349</v>
      </c>
      <c r="Y270" s="59" t="n">
        <f aca="false">IF(ISNUMBER(Y243),IFERROR(Y243/(Y81*4),""),"")</f>
        <v>0.0262347755000673</v>
      </c>
      <c r="Z270" s="59" t="n">
        <f aca="false">IF(ISNUMBER(Z243),IFERROR(Z243/(Z81*4),""),"")</f>
        <v>0.0269465061477052</v>
      </c>
      <c r="AA270" s="59" t="n">
        <f aca="false">IF(ISNUMBER(AA243),IFERROR(AA243/(AA81*4),""),"")</f>
        <v>0.030240138793207</v>
      </c>
      <c r="AB270" s="59" t="n">
        <f aca="false">IF(ISNUMBER(AB243),IFERROR(AB243/(AB81*4),""),"")</f>
        <v>0.0263970448633183</v>
      </c>
      <c r="AC270" s="59" t="n">
        <f aca="false">IF(ISNUMBER(AC243),IFERROR(AC243/(AC81*1),""),"")</f>
        <v>0.026015998608103</v>
      </c>
      <c r="AD270" s="59" t="n">
        <f aca="false">IF(ISNUMBER(AD243),IFERROR(AD243/(AD81*4),""),"")</f>
        <v>0.0260994773480698</v>
      </c>
      <c r="AE270" s="59" t="n">
        <f aca="false">IF(ISNUMBER(AE243),IFERROR(AE243/(AE81*4),""),"")</f>
        <v>0.0285291489836944</v>
      </c>
      <c r="AF270" s="59" t="n">
        <f aca="false">IF(ISNUMBER(AF243),IFERROR(AF243/(AF81*4),""),"")</f>
        <v>0.0315229873565254</v>
      </c>
      <c r="AG270" s="59" t="n">
        <f aca="false">IF(ISNUMBER(AG243),IFERROR(AG243/(AG81*4),""),"")</f>
        <v>0.0281301397589816</v>
      </c>
      <c r="AH270" s="59" t="n">
        <f aca="false">IF(ISNUMBER(AH243),IFERROR(AH243/(AH81*1),""),"")</f>
        <v>0.0288340309464567</v>
      </c>
      <c r="AI270" s="59" t="n">
        <f aca="false">IF(ISNUMBER(AI243),IFERROR(AI243/(AI81*4),""),"")</f>
        <v>0.0247826529703033</v>
      </c>
      <c r="AJ270" s="59" t="n">
        <f aca="false">IF(ISNUMBER(AJ243),IFERROR(AJ243/(AJ81*4),""),"")</f>
        <v>0.0272542054243677</v>
      </c>
      <c r="AK270" s="59" t="n">
        <f aca="false">IF(ISNUMBER(AK243),IFERROR(AK243/(AK81*4),""),"")</f>
        <v>0.0312381039660496</v>
      </c>
      <c r="AL270" s="59" t="n">
        <f aca="false">IF(ISNUMBER(AL243),IFERROR(AL243/(AL81*4),""),"")</f>
        <v>0.0295734480639213</v>
      </c>
      <c r="AM270" s="59" t="n">
        <f aca="false">IF(ISNUMBER(AM243),IFERROR(AM243/(AM81*1),""),"")</f>
        <v>0.0290933452812198</v>
      </c>
      <c r="AN270" s="59" t="n">
        <f aca="false">IF(ISNUMBER(AN243),IFERROR(AN243/(AN81*4),""),"")</f>
        <v>0.0236455877481831</v>
      </c>
      <c r="AO270" s="59" t="n">
        <f aca="false">IF(ISNUMBER(AO243),IFERROR(AO243/(AO81*4),""),"")</f>
        <v>0.0253638018505154</v>
      </c>
      <c r="AP270" s="59" t="n">
        <f aca="false">IF(ISNUMBER(AP243),IFERROR(AP243/(AP81*4),""),"")</f>
        <v>0.0282944223710841</v>
      </c>
      <c r="AQ270" s="59" t="n">
        <f aca="false">IF(ISNUMBER(AQ243),IFERROR(AQ243/(AQ81*4),""),"")</f>
        <v>0.0280252333179105</v>
      </c>
      <c r="AR270" s="59" t="n">
        <f aca="false">IF(ISNUMBER(AR243),IFERROR(AR243/(AR81*1),""),"")</f>
        <v>0.0277981905542792</v>
      </c>
      <c r="AS270" s="59" t="n">
        <f aca="false">IF(ISNUMBER(AS243),IFERROR(AS243/(AS81*4),""),"")</f>
        <v>0.0261415872902087</v>
      </c>
      <c r="AT270" s="59" t="n">
        <f aca="false">IF(ISNUMBER(AT243),IFERROR(AT243/(AT81*4),""),"")</f>
        <v>0.0330980306806278</v>
      </c>
      <c r="AU270" s="59" t="n">
        <f aca="false">IF(ISNUMBER(AU243),IFERROR(AU243/(AU81*4),""),"")</f>
        <v>0.0285365433114377</v>
      </c>
      <c r="AV270" s="59" t="n">
        <f aca="false">IF(ISNUMBER(AV243),IFERROR(AV243/(AV81*4),""),"")</f>
        <v>0.0290630076267309</v>
      </c>
      <c r="AW270" s="59" t="n">
        <f aca="false">IF(ISNUMBER(AW243),IFERROR(AW243/(AW81*1),""),"")</f>
        <v>0.0303956504895285</v>
      </c>
      <c r="AX270" s="59" t="n">
        <f aca="false">IF(ISNUMBER(AX243),IFERROR(AX243/(AX81*4),""),"")</f>
        <v>0.0253096633985713</v>
      </c>
      <c r="AY270" s="59" t="n">
        <f aca="false">IF(ISNUMBER(AY243),IFERROR(AY243/(AY81*4),""),"")</f>
        <v>0.0285240831529073</v>
      </c>
      <c r="AZ270" s="59" t="n">
        <f aca="false">IF(ISNUMBER(AZ243),IFERROR(AZ243/(AZ81*4),""),"")</f>
        <v>0.0314573136692329</v>
      </c>
      <c r="BA270" s="59" t="n">
        <f aca="false">IF(ISNUMBER(BA243),IFERROR(BA243/(BA81*4),""),"")</f>
        <v>0.0296188830963844</v>
      </c>
      <c r="BB270" s="59" t="n">
        <f aca="false">IF(ISNUMBER(BB243),IFERROR(BB243/(BB81*1),""),"")</f>
        <v>0.0319434055255725</v>
      </c>
      <c r="BC270" s="59" t="n">
        <f aca="false">IF(ISNUMBER(BC243),IFERROR(BC243/(BC81*4),""),"")</f>
        <v>0.0234889204132991</v>
      </c>
      <c r="BD270" s="59" t="n">
        <f aca="false">IF(ISNUMBER(BD243),IFERROR(BD243/(BD81*4),""),"")</f>
        <v>0.0264719255748075</v>
      </c>
      <c r="BE270" s="59" t="n">
        <f aca="false">IF(ISNUMBER(BE243),IFERROR(BE243/(BE81*4),""),"")</f>
        <v>0.0271372099111658</v>
      </c>
      <c r="BF270" s="59" t="n">
        <f aca="false">IF(ISNUMBER(BF243),IFERROR(BF243/(BF81*4),""),"")</f>
        <v>0.0254237288135593</v>
      </c>
      <c r="BG270" s="59" t="n">
        <f aca="false">IF(ISNUMBER(BG243),IFERROR(BG243/(BG81*1),""),"")</f>
        <v>0.0238834665624663</v>
      </c>
      <c r="BH270" s="59" t="n">
        <f aca="false">IF(ISNUMBER(BH243),IFERROR(BH243/(BH81*4),""),"")</f>
        <v>0.0207051859477545</v>
      </c>
      <c r="BI270" s="59" t="n">
        <f aca="false">IF(ISNUMBER(BI243),IFERROR(BI243/(BI81*4),""),"")</f>
        <v>0.0227292685806093</v>
      </c>
      <c r="BJ270" s="59" t="n">
        <f aca="false">IF(ISNUMBER(BJ243),IFERROR(BJ243/(BJ81*4),""),"")</f>
        <v>0.0250666327804898</v>
      </c>
      <c r="BK270" s="59" t="n">
        <f aca="false">IF(ISNUMBER(BK243),IFERROR(BK243/(BK81*4),""),"")</f>
        <v>0.0251333986569604</v>
      </c>
      <c r="BL270" s="59" t="n">
        <f aca="false">IF(ISNUMBER(BL243),IFERROR(BL243/(BL81*1),""),"")</f>
        <v>0.0262070990371805</v>
      </c>
      <c r="BM270" s="59" t="n">
        <f aca="false">IF(ISNUMBER(BM243),IFERROR(BM243/(BM81*4),""),"")</f>
        <v>0.0183226789440562</v>
      </c>
      <c r="BN270" s="59" t="n">
        <f aca="false">IF(ISNUMBER(BN243),IFERROR(BN243/(BN81*4),""),"")</f>
        <v>0.0190144112802523</v>
      </c>
      <c r="BO270" s="59" t="n">
        <f aca="false">IF(ISNUMBER(BO243),IFERROR(BO243/(BO81*4),""),"")</f>
        <v>0.0209632907138438</v>
      </c>
      <c r="BP270" s="59" t="n">
        <f aca="false">IF(ISNUMBER(BP243),IFERROR(BP243/(BP81*4),""),"")</f>
        <v>0.0158289097435585</v>
      </c>
      <c r="BQ270" s="59" t="n">
        <f aca="false">IF(ISNUMBER(BQ243),IFERROR(BQ243/(BQ81*1),""),"")</f>
        <v>0.015566172671618</v>
      </c>
      <c r="BR270" s="59" t="n">
        <f aca="false">IF(ISNUMBER(BR243),IFERROR(BR243/(BR81*4),""),"")</f>
        <v>0.0182846078151287</v>
      </c>
      <c r="BS270" s="59" t="n">
        <f aca="false">IF(ISNUMBER(BS243),IFERROR(BS243/(BS81*4),""),"")</f>
        <v>0.018941336286814</v>
      </c>
      <c r="BT270" s="59" t="n">
        <f aca="false">IF(ISNUMBER(BT243),IFERROR(BT243/(BT81*4),""),"")</f>
        <v>0.0215323398964323</v>
      </c>
      <c r="BU270" s="59" t="n">
        <f aca="false">IF(ISNUMBER(BU243),IFERROR(BU243/(BU81*4),""),"")</f>
        <v>0.0160525576237544</v>
      </c>
      <c r="BV270" s="59" t="n">
        <f aca="false">IF(ISNUMBER(BV243),IFERROR(BV243/(BV81*1),""),"")</f>
        <v>0.0156829049750084</v>
      </c>
      <c r="BW270" s="59" t="n">
        <f aca="false">IF(ISNUMBER(BW243),IFERROR(BW243/(BW81*4),""),"")</f>
        <v>0.0218307273642874</v>
      </c>
      <c r="BX270" s="59" t="n">
        <f aca="false">IF(ISNUMBER(BX243),IFERROR(BX243/(BX81*4),""),"")</f>
        <v>0.0240884940208721</v>
      </c>
      <c r="BY270" s="41"/>
      <c r="BZ270" s="41"/>
      <c r="CA270" s="30" t="n">
        <f aca="false">$BV$270</f>
        <v>0.0156829049750084</v>
      </c>
      <c r="CB270" s="30" t="n">
        <f aca="false">$BV$270</f>
        <v>0.0156829049750084</v>
      </c>
      <c r="CC270" s="30" t="n">
        <f aca="false">$BV$270</f>
        <v>0.0156829049750084</v>
      </c>
      <c r="CD270" s="30" t="n">
        <f aca="false">$BV$270</f>
        <v>0.0156829049750084</v>
      </c>
      <c r="CE270" s="30" t="n">
        <f aca="false">$BV$270</f>
        <v>0.0156829049750084</v>
      </c>
      <c r="CF270" s="21"/>
    </row>
    <row r="271" customFormat="false" ht="15" hidden="false" customHeight="true" outlineLevel="0" collapsed="false">
      <c r="B271" s="22" t="s">
        <v>439</v>
      </c>
      <c r="C271" s="59" t="n">
        <f aca="false">IF(ISNUMBER(C251),IFERROR(C251/(C81*1),""),"")</f>
        <v>0.0156812668479019</v>
      </c>
      <c r="D271" s="59" t="n">
        <f aca="false">IF(ISNUMBER(D251),IFERROR(D251/(D81*1),""),"")</f>
        <v>0.0178174266972502</v>
      </c>
      <c r="E271" s="59" t="n">
        <f aca="false">IF(ISNUMBER(E251),IFERROR(E251/(E81*1),""),"")</f>
        <v>0.0264115347028059</v>
      </c>
      <c r="F271" s="59" t="n">
        <f aca="false">IF(ISNUMBER(F251),IFERROR(F251/(F81*1),""),"")</f>
        <v>0.0305296764612709</v>
      </c>
      <c r="G271" s="59" t="n">
        <f aca="false">IF(ISNUMBER(G251),IFERROR(G251/(G81*1),""),"")</f>
        <v>0.0311291073050761</v>
      </c>
      <c r="H271" s="59" t="n">
        <f aca="false">IF(ISNUMBER(H251),IFERROR(H251/(H81*1),""),"")</f>
        <v>0.028376353103791</v>
      </c>
      <c r="I271" s="59" t="n">
        <f aca="false">IF(ISNUMBER(I251),IFERROR(I251/(I81*1),""),"")</f>
        <v>0.0270288227953752</v>
      </c>
      <c r="J271" s="59" t="n">
        <f aca="false">IF(ISNUMBER(J251),IFERROR(J251/(J81*4),""),"")</f>
        <v>0.0288893149984477</v>
      </c>
      <c r="K271" s="59" t="n">
        <f aca="false">IF(ISNUMBER(K251),IFERROR(K251/(K81*4),""),"")</f>
        <v>0.0269306494119095</v>
      </c>
      <c r="L271" s="59" t="n">
        <f aca="false">IF(ISNUMBER(L251),IFERROR(L251/(L81*4),""),"")</f>
        <v>0.0266260530149751</v>
      </c>
      <c r="M271" s="59" t="n">
        <f aca="false">IF(ISNUMBER(M251),IFERROR(M251/(M81*4),""),"")</f>
        <v>0.0281561209347231</v>
      </c>
      <c r="N271" s="59" t="n">
        <f aca="false">IF(ISNUMBER(N251),IFERROR(N251/(N81*1),""),"")</f>
        <v>0.0276500446846353</v>
      </c>
      <c r="O271" s="59" t="n">
        <f aca="false">IF(ISNUMBER(O251),IFERROR(O251/(O81*4),""),"")</f>
        <v>0.026735728822607</v>
      </c>
      <c r="P271" s="59" t="n">
        <f aca="false">IF(ISNUMBER(P251),IFERROR(P251/(P81*4),""),"")</f>
        <v>0.0317283042624221</v>
      </c>
      <c r="Q271" s="59" t="n">
        <f aca="false">IF(ISNUMBER(Q251),IFERROR(Q251/(Q81*4),""),"")</f>
        <v>0.031950659160893</v>
      </c>
      <c r="R271" s="59" t="n">
        <f aca="false">IF(ISNUMBER(R251),IFERROR(R251/(R81*4),""),"")</f>
        <v>0.0296764390533767</v>
      </c>
      <c r="S271" s="59" t="n">
        <f aca="false">IF(ISNUMBER(S251),IFERROR(S251/(S81*1),""),"")</f>
        <v>0.0288897220119765</v>
      </c>
      <c r="T271" s="59" t="n">
        <f aca="false">IF(ISNUMBER(T251),IFERROR(T251/(T81*4),""),"")</f>
        <v>0.0326767273447045</v>
      </c>
      <c r="U271" s="59" t="n">
        <f aca="false">IF(ISNUMBER(U251),IFERROR(U251/(U81*4),""),"")</f>
        <v>0.0268092308643502</v>
      </c>
      <c r="V271" s="59" t="n">
        <f aca="false">IF(ISNUMBER(V251),IFERROR(V251/(V81*4),""),"")</f>
        <v>0.0281589790636162</v>
      </c>
      <c r="W271" s="59" t="n">
        <f aca="false">IF(ISNUMBER(W251),IFERROR(W251/(W81*4),""),"")</f>
        <v>0.0312636904141024</v>
      </c>
      <c r="X271" s="59" t="n">
        <f aca="false">IF(ISNUMBER(X251),IFERROR(X251/(X81*1),""),"")</f>
        <v>0.0294495013964502</v>
      </c>
      <c r="Y271" s="59" t="n">
        <f aca="false">IF(ISNUMBER(Y251),IFERROR(Y251/(Y81*4),""),"")</f>
        <v>0.0298143223265071</v>
      </c>
      <c r="Z271" s="59" t="n">
        <f aca="false">IF(ISNUMBER(Z251),IFERROR(Z251/(Z81*4),""),"")</f>
        <v>0.0283355508888925</v>
      </c>
      <c r="AA271" s="59" t="n">
        <f aca="false">IF(ISNUMBER(AA251),IFERROR(AA251/(AA81*4),""),"")</f>
        <v>0.0274039160414863</v>
      </c>
      <c r="AB271" s="59" t="n">
        <f aca="false">IF(ISNUMBER(AB251),IFERROR(AB251/(AB81*4),""),"")</f>
        <v>0.0292349353647122</v>
      </c>
      <c r="AC271" s="59" t="n">
        <f aca="false">IF(ISNUMBER(AC251),IFERROR(AC251/(AC81*1),""),"")</f>
        <v>0.0288129236319647</v>
      </c>
      <c r="AD271" s="59" t="n">
        <f aca="false">IF(ISNUMBER(AD251),IFERROR(AD251/(AD81*4),""),"")</f>
        <v>0.0290959730252305</v>
      </c>
      <c r="AE271" s="59" t="n">
        <f aca="false">IF(ISNUMBER(AE251),IFERROR(AE251/(AE81*4),""),"")</f>
        <v>0.0271212586553496</v>
      </c>
      <c r="AF271" s="59" t="n">
        <f aca="false">IF(ISNUMBER(AF251),IFERROR(AF251/(AF81*4),""),"")</f>
        <v>0.0265967171529615</v>
      </c>
      <c r="AG271" s="59" t="n">
        <f aca="false">IF(ISNUMBER(AG251),IFERROR(AG251/(AG81*4),""),"")</f>
        <v>0.028052999142253</v>
      </c>
      <c r="AH271" s="59" t="n">
        <f aca="false">IF(ISNUMBER(AH251),IFERROR(AH251/(AH81*1),""),"")</f>
        <v>0.0287549600655781</v>
      </c>
      <c r="AI271" s="59" t="n">
        <f aca="false">IF(ISNUMBER(AI251),IFERROR(AI251/(AI81*4),""),"")</f>
        <v>0.025879889512608</v>
      </c>
      <c r="AJ271" s="59" t="n">
        <f aca="false">IF(ISNUMBER(AJ251),IFERROR(AJ251/(AJ81*4),""),"")</f>
        <v>0.0226406006549546</v>
      </c>
      <c r="AK271" s="59" t="n">
        <f aca="false">IF(ISNUMBER(AK251),IFERROR(AK251/(AK81*4),""),"")</f>
        <v>0.0231693619261118</v>
      </c>
      <c r="AL271" s="59" t="n">
        <f aca="false">IF(ISNUMBER(AL251),IFERROR(AL251/(AL81*4),""),"")</f>
        <v>0.022679164105716</v>
      </c>
      <c r="AM271" s="59" t="n">
        <f aca="false">IF(ISNUMBER(AM251),IFERROR(AM251/(AM81*1),""),"")</f>
        <v>0.0223109848601656</v>
      </c>
      <c r="AN271" s="59" t="n">
        <f aca="false">IF(ISNUMBER(AN251),IFERROR(AN251/(AN81*4),""),"")</f>
        <v>0.0222451435029129</v>
      </c>
      <c r="AO271" s="59" t="n">
        <f aca="false">IF(ISNUMBER(AO251),IFERROR(AO251/(AO81*4),""),"")</f>
        <v>0.0217063949417809</v>
      </c>
      <c r="AP271" s="59" t="n">
        <f aca="false">IF(ISNUMBER(AP251),IFERROR(AP251/(AP81*4),""),"")</f>
        <v>0.0237459238927597</v>
      </c>
      <c r="AQ271" s="59" t="n">
        <f aca="false">IF(ISNUMBER(AQ251),IFERROR(AQ251/(AQ81*4),""),"")</f>
        <v>0.0250538859986684</v>
      </c>
      <c r="AR271" s="59" t="n">
        <f aca="false">IF(ISNUMBER(AR251),IFERROR(AR251/(AR81*1),""),"")</f>
        <v>0.024850915216862</v>
      </c>
      <c r="AS271" s="59" t="n">
        <f aca="false">IF(ISNUMBER(AS251),IFERROR(AS251/(AS81*4),""),"")</f>
        <v>0.025043347162609</v>
      </c>
      <c r="AT271" s="59" t="n">
        <f aca="false">IF(ISNUMBER(AT251),IFERROR(AT251/(AT81*4),""),"")</f>
        <v>0.0297891244971467</v>
      </c>
      <c r="AU271" s="59" t="n">
        <f aca="false">IF(ISNUMBER(AU251),IFERROR(AU251/(AU81*4),""),"")</f>
        <v>0.0258120505054282</v>
      </c>
      <c r="AV271" s="59" t="n">
        <f aca="false">IF(ISNUMBER(AV251),IFERROR(AV251/(AV81*4),""),"")</f>
        <v>0.0242427835678997</v>
      </c>
      <c r="AW271" s="59" t="n">
        <f aca="false">IF(ISNUMBER(AW251),IFERROR(AW251/(AW81*1),""),"")</f>
        <v>0.0253544019148733</v>
      </c>
      <c r="AX271" s="59" t="n">
        <f aca="false">IF(ISNUMBER(AX251),IFERROR(AX251/(AX81*4),""),"")</f>
        <v>0.0238790969975665</v>
      </c>
      <c r="AY271" s="59" t="n">
        <f aca="false">IF(ISNUMBER(AY251),IFERROR(AY251/(AY81*4),""),"")</f>
        <v>0.0213343181647131</v>
      </c>
      <c r="AZ271" s="59" t="n">
        <f aca="false">IF(ISNUMBER(AZ251),IFERROR(AZ251/(AZ81*4),""),"")</f>
        <v>0.0239786049047737</v>
      </c>
      <c r="BA271" s="59" t="n">
        <f aca="false">IF(ISNUMBER(BA251),IFERROR(BA251/(BA81*4),""),"")</f>
        <v>0.0243140689795991</v>
      </c>
      <c r="BB271" s="59" t="n">
        <f aca="false">IF(ISNUMBER(BB251),IFERROR(BB251/(BB81*1),""),"")</f>
        <v>0.0262222637789771</v>
      </c>
      <c r="BC271" s="59" t="n">
        <f aca="false">IF(ISNUMBER(BC251),IFERROR(BC251/(BC81*4),""),"")</f>
        <v>0.0261124957653777</v>
      </c>
      <c r="BD271" s="59" t="n">
        <f aca="false">IF(ISNUMBER(BD251),IFERROR(BD251/(BD81*4),""),"")</f>
        <v>0.0250930851420554</v>
      </c>
      <c r="BE271" s="59" t="n">
        <f aca="false">IF(ISNUMBER(BE251),IFERROR(BE251/(BE81*4),""),"")</f>
        <v>0.0219614946522635</v>
      </c>
      <c r="BF271" s="59" t="n">
        <f aca="false">IF(ISNUMBER(BF251),IFERROR(BF251/(BF81*4),""),"")</f>
        <v>0.0230443050908459</v>
      </c>
      <c r="BG271" s="59" t="n">
        <f aca="false">IF(ISNUMBER(BG251),IFERROR(BG251/(BG81*1),""),"")</f>
        <v>0.0216481970103046</v>
      </c>
      <c r="BH271" s="59" t="n">
        <f aca="false">IF(ISNUMBER(BH251),IFERROR(BH251/(BH81*4),""),"")</f>
        <v>0.024267449870181</v>
      </c>
      <c r="BI271" s="59" t="n">
        <f aca="false">IF(ISNUMBER(BI251),IFERROR(BI251/(BI81*4),""),"")</f>
        <v>0.0240666866295626</v>
      </c>
      <c r="BJ271" s="59" t="n">
        <f aca="false">IF(ISNUMBER(BJ251),IFERROR(BJ251/(BJ81*4),""),"")</f>
        <v>0.0201736709566223</v>
      </c>
      <c r="BK271" s="59" t="n">
        <f aca="false">IF(ISNUMBER(BK251),IFERROR(BK251/(BK81*4),""),"")</f>
        <v>0.0204348237060863</v>
      </c>
      <c r="BL271" s="59" t="n">
        <f aca="false">IF(ISNUMBER(BL251),IFERROR(BL251/(BL81*1),""),"")</f>
        <v>0.0213078006672374</v>
      </c>
      <c r="BM271" s="59" t="n">
        <f aca="false">IF(ISNUMBER(BM251),IFERROR(BM251/(BM81*4),""),"")</f>
        <v>0.022071147030572</v>
      </c>
      <c r="BN271" s="59" t="n">
        <f aca="false">IF(ISNUMBER(BN251),IFERROR(BN251/(BN81*4),""),"")</f>
        <v>0.0202567525545282</v>
      </c>
      <c r="BO271" s="59" t="n">
        <f aca="false">IF(ISNUMBER(BO251),IFERROR(BO251/(BO81*4),""),"")</f>
        <v>0.0194667398168633</v>
      </c>
      <c r="BP271" s="59" t="n">
        <f aca="false">IF(ISNUMBER(BP251),IFERROR(BP251/(BP81*4),""),"")</f>
        <v>0.0210358171346292</v>
      </c>
      <c r="BQ271" s="59" t="n">
        <f aca="false">IF(ISNUMBER(BQ251),IFERROR(BQ251/(BQ81*1),""),"")</f>
        <v>0.0206866529098425</v>
      </c>
      <c r="BR271" s="59" t="n">
        <f aca="false">IF(ISNUMBER(BR251),IFERROR(BR251/(BR81*4),""),"")</f>
        <v>0.0211087832904803</v>
      </c>
      <c r="BS271" s="59" t="n">
        <f aca="false">IF(ISNUMBER(BS251),IFERROR(BS251/(BS81*4),""),"")</f>
        <v>0.0209435024445763</v>
      </c>
      <c r="BT271" s="59" t="n">
        <f aca="false">IF(ISNUMBER(BT251),IFERROR(BT251/(BT81*4),""),"")</f>
        <v>0.0213575634435546</v>
      </c>
      <c r="BU271" s="59" t="n">
        <f aca="false">IF(ISNUMBER(BU251),IFERROR(BU251/(BU81*4),""),"")</f>
        <v>0.0250360148464717</v>
      </c>
      <c r="BV271" s="59" t="n">
        <f aca="false">IF(ISNUMBER(BV251),IFERROR(BV251/(BV81*1),""),"")</f>
        <v>0.0244594943056984</v>
      </c>
      <c r="BW271" s="59" t="n">
        <f aca="false">IF(ISNUMBER(BW251),IFERROR(BW251/(BW81*4),""),"")</f>
        <v>0.0258479012088422</v>
      </c>
      <c r="BX271" s="59" t="n">
        <f aca="false">IF(ISNUMBER(BX251),IFERROR(BX251/(BX81*4),""),"")</f>
        <v>0.023273277197766</v>
      </c>
      <c r="BY271" s="41"/>
      <c r="BZ271" s="41"/>
      <c r="CA271" s="30" t="n">
        <f aca="false">$BV$271</f>
        <v>0.0244594943056984</v>
      </c>
      <c r="CB271" s="30" t="n">
        <f aca="false">$BV$271</f>
        <v>0.0244594943056984</v>
      </c>
      <c r="CC271" s="30" t="n">
        <f aca="false">$BV$271</f>
        <v>0.0244594943056984</v>
      </c>
      <c r="CD271" s="30" t="n">
        <f aca="false">$BV$271</f>
        <v>0.0244594943056984</v>
      </c>
      <c r="CE271" s="30" t="n">
        <f aca="false">$BV$271</f>
        <v>0.0244594943056984</v>
      </c>
      <c r="CF271" s="21"/>
    </row>
    <row r="272" customFormat="false" ht="15" hidden="false" customHeight="true" outlineLevel="0" collapsed="false">
      <c r="B272" s="22" t="s">
        <v>440</v>
      </c>
      <c r="C272" s="65" t="n">
        <f aca="false">IF(ISNUMBER(C232),C232+C233-C242-C243-C244,"")</f>
        <v>7.73</v>
      </c>
      <c r="D272" s="65" t="n">
        <f aca="false">IF(ISNUMBER(D232),D232+D233-D242-D243-D244,"")</f>
        <v>31.22</v>
      </c>
      <c r="E272" s="65" t="n">
        <f aca="false">IF(ISNUMBER(E232),E232+E233-E242-E243-E244,"")</f>
        <v>9.86500000000001</v>
      </c>
      <c r="F272" s="65" t="n">
        <f aca="false">IF(ISNUMBER(F232),F232+F233-F242-F243-F244,"")</f>
        <v>23.036</v>
      </c>
      <c r="G272" s="65" t="n">
        <f aca="false">IF(ISNUMBER(G232),G232+G233-G242-G243-G244,"")</f>
        <v>35.828</v>
      </c>
      <c r="H272" s="65" t="n">
        <f aca="false">IF(ISNUMBER(H232),H232+H233-H242-H243-H244,"")</f>
        <v>39.294</v>
      </c>
      <c r="I272" s="65" t="n">
        <f aca="false">IF(ISNUMBER(I232),I232+I233-I242-I243-I244,"")</f>
        <v>24.685</v>
      </c>
      <c r="J272" s="65" t="n">
        <f aca="false">IF(ISNUMBER(J232),J232+J233-J242-J243-J244,"")</f>
        <v>34.137</v>
      </c>
      <c r="K272" s="65" t="n">
        <f aca="false">IF(ISNUMBER(K232),K232+K233-K242-K243-K244,"")</f>
        <v>31.528</v>
      </c>
      <c r="L272" s="65" t="n">
        <f aca="false">IF(ISNUMBER(L232),L232+L233-L242-L243-L244,"")</f>
        <v>36.495</v>
      </c>
      <c r="M272" s="65" t="n">
        <f aca="false">IF(ISNUMBER(M232),M232+M233-M242-M243-M244,"")</f>
        <v>36.38</v>
      </c>
      <c r="N272" s="65" t="n">
        <f aca="false">IF(ISNUMBER(N232),N232+N233-N242-N243-N244,"")</f>
        <v>36.38</v>
      </c>
      <c r="O272" s="65" t="n">
        <f aca="false">IF(ISNUMBER(O232),O232+O233-O242-O243-O244,"")</f>
        <v>36.8</v>
      </c>
      <c r="P272" s="65" t="n">
        <f aca="false">IF(ISNUMBER(P232),P232+P233-P242-P243-P244,"")</f>
        <v>46.418</v>
      </c>
      <c r="Q272" s="65" t="n">
        <f aca="false">IF(ISNUMBER(Q232),Q232+Q233-Q242-Q243-Q244,"")</f>
        <v>41.055</v>
      </c>
      <c r="R272" s="65" t="n">
        <f aca="false">IF(ISNUMBER(R232),R232+R233-R242-R243-R244,"")</f>
        <v>63.928</v>
      </c>
      <c r="S272" s="65" t="n">
        <f aca="false">IF(ISNUMBER(S232),S232+S233-S242-S243-S244,"")</f>
        <v>63.928</v>
      </c>
      <c r="T272" s="65" t="n">
        <f aca="false">IF(ISNUMBER(T232),T232+T233-T242-T243-T244,"")</f>
        <v>58.341</v>
      </c>
      <c r="U272" s="65" t="n">
        <f aca="false">IF(ISNUMBER(U232),U232+U233-U242-U243-U244,"")</f>
        <v>52.534</v>
      </c>
      <c r="V272" s="65" t="n">
        <f aca="false">IF(ISNUMBER(V232),V232+V233-V242-V243-V244,"")</f>
        <v>38.735</v>
      </c>
      <c r="W272" s="65" t="n">
        <f aca="false">IF(ISNUMBER(W232),W232+W233-W242-W243-W244,"")</f>
        <v>29.916</v>
      </c>
      <c r="X272" s="65" t="n">
        <f aca="false">IF(ISNUMBER(X232),X232+X233-X242-X243-X244,"")</f>
        <v>29.916</v>
      </c>
      <c r="Y272" s="65" t="n">
        <f aca="false">IF(ISNUMBER(Y232),Y232+Y233-Y242-Y243-Y244,"")</f>
        <v>38.351</v>
      </c>
      <c r="Z272" s="65" t="n">
        <f aca="false">IF(ISNUMBER(Z232),Z232+Z233-Z242-Z243-Z244,"")</f>
        <v>43.469</v>
      </c>
      <c r="AA272" s="65" t="n">
        <f aca="false">IF(ISNUMBER(AA232),AA232+AA233-AA242-AA243-AA244,"")</f>
        <v>28.907</v>
      </c>
      <c r="AB272" s="65" t="n">
        <f aca="false">IF(ISNUMBER(AB232),AB232+AB233-AB242-AB243-AB244,"")</f>
        <v>36.758</v>
      </c>
      <c r="AC272" s="65" t="n">
        <f aca="false">IF(ISNUMBER(AC232),AC232+AC233-AC242-AC243-AC244,"")</f>
        <v>36.758</v>
      </c>
      <c r="AD272" s="65" t="n">
        <f aca="false">IF(ISNUMBER(AD232),AD232+AD233-AD242-AD243-AD244,"")</f>
        <v>28.765</v>
      </c>
      <c r="AE272" s="65" t="n">
        <f aca="false">IF(ISNUMBER(AE232),AE232+AE233-AE242-AE243-AE244,"")</f>
        <v>46.199</v>
      </c>
      <c r="AF272" s="65" t="n">
        <f aca="false">IF(ISNUMBER(AF232),AF232+AF233-AF242-AF243-AF244,"")</f>
        <v>34.091</v>
      </c>
      <c r="AG272" s="65" t="n">
        <f aca="false">IF(ISNUMBER(AG232),AG232+AG233-AG242-AG243-AG244,"")</f>
        <v>45.739</v>
      </c>
      <c r="AH272" s="65" t="n">
        <f aca="false">IF(ISNUMBER(AH232),AH232+AH233-AH242-AH243-AH244,"")</f>
        <v>45.739</v>
      </c>
      <c r="AI272" s="65" t="n">
        <f aca="false">IF(ISNUMBER(AI232),AI232+AI233-AI242-AI243-AI244,"")</f>
        <v>61.616</v>
      </c>
      <c r="AJ272" s="65" t="n">
        <f aca="false">IF(ISNUMBER(AJ232),AJ232+AJ233-AJ242-AJ243-AJ244,"")</f>
        <v>42.76</v>
      </c>
      <c r="AK272" s="65" t="n">
        <f aca="false">IF(ISNUMBER(AK232),AK232+AK233-AK242-AK243-AK244,"")</f>
        <v>31.999</v>
      </c>
      <c r="AL272" s="65" t="n">
        <f aca="false">IF(ISNUMBER(AL232),AL232+AL233-AL242-AL243-AL244,"")</f>
        <v>19.951</v>
      </c>
      <c r="AM272" s="65" t="n">
        <f aca="false">IF(ISNUMBER(AM232),AM232+AM233-AM242-AM243-AM244,"")</f>
        <v>19.951</v>
      </c>
      <c r="AN272" s="65" t="n">
        <f aca="false">IF(ISNUMBER(AN232),AN232+AN233-AN242-AN243-AN244,"")</f>
        <v>64.894</v>
      </c>
      <c r="AO272" s="65" t="n">
        <f aca="false">IF(ISNUMBER(AO232),AO232+AO233-AO242-AO243-AO244,"")</f>
        <v>59.576</v>
      </c>
      <c r="AP272" s="65" t="n">
        <f aca="false">IF(ISNUMBER(AP232),AP232+AP233-AP242-AP243-AP244,"")</f>
        <v>43.162</v>
      </c>
      <c r="AQ272" s="65" t="n">
        <f aca="false">IF(ISNUMBER(AQ232),AQ232+AQ233-AQ242-AQ243-AQ244,"")</f>
        <v>29.31</v>
      </c>
      <c r="AR272" s="65" t="n">
        <f aca="false">IF(ISNUMBER(AR232),AR232+AR233-AR242-AR243-AR244,"")</f>
        <v>29.31</v>
      </c>
      <c r="AS272" s="65" t="n">
        <f aca="false">IF(ISNUMBER(AS232),AS232+AS233-AS242-AS243-AS244,"")</f>
        <v>48.206</v>
      </c>
      <c r="AT272" s="65" t="n">
        <f aca="false">IF(ISNUMBER(AT232),AT232+AT233-AT242-AT243-AT244,"")</f>
        <v>30.912</v>
      </c>
      <c r="AU272" s="65" t="n">
        <f aca="false">IF(ISNUMBER(AU232),AU232+AU233-AU242-AU243-AU244,"")</f>
        <v>19.393</v>
      </c>
      <c r="AV272" s="65" t="n">
        <f aca="false">IF(ISNUMBER(AV232),AV232+AV233-AV242-AV243-AV244,"")</f>
        <v>11.431</v>
      </c>
      <c r="AW272" s="65" t="n">
        <f aca="false">IF(ISNUMBER(AW232),AW232+AW233-AW242-AW243-AW244,"")</f>
        <v>11.431</v>
      </c>
      <c r="AX272" s="65" t="n">
        <f aca="false">IF(ISNUMBER(AX232),AX232+AX233-AX242-AX243-AX244,"")</f>
        <v>29.188</v>
      </c>
      <c r="AY272" s="65" t="n">
        <f aca="false">IF(ISNUMBER(AY232),AY232+AY233-AY242-AY243-AY244,"")</f>
        <v>57.538</v>
      </c>
      <c r="AZ272" s="65" t="n">
        <f aca="false">IF(ISNUMBER(AZ232),AZ232+AZ233-AZ242-AZ243-AZ244,"")</f>
        <v>30.628</v>
      </c>
      <c r="BA272" s="65" t="n">
        <f aca="false">IF(ISNUMBER(BA232),BA232+BA233-BA242-BA243-BA244,"")</f>
        <v>29.28</v>
      </c>
      <c r="BB272" s="65" t="n">
        <f aca="false">IF(ISNUMBER(BB232),BB232+BB233-BB242-BB243-BB244,"")</f>
        <v>29.28</v>
      </c>
      <c r="BC272" s="65" t="n">
        <f aca="false">IF(ISNUMBER(BC232),BC232+BC233-BC242-BC243-BC244,"")</f>
        <v>70.582</v>
      </c>
      <c r="BD272" s="65" t="n">
        <f aca="false">IF(ISNUMBER(BD232),BD232+BD233-BD242-BD243-BD244,"")</f>
        <v>99.446</v>
      </c>
      <c r="BE272" s="65" t="n">
        <f aca="false">IF(ISNUMBER(BE232),BE232+BE233-BE242-BE243-BE244,"")</f>
        <v>101.772</v>
      </c>
      <c r="BF272" s="65" t="n">
        <f aca="false">IF(ISNUMBER(BF232),BF232+BF233-BF242-BF243-BF244,"")</f>
        <v>108.855</v>
      </c>
      <c r="BG272" s="65" t="n">
        <f aca="false">IF(ISNUMBER(BG232),BG232+BG233-BG242-BG243-BG244,"")</f>
        <v>108.855</v>
      </c>
      <c r="BH272" s="65" t="n">
        <f aca="false">IF(ISNUMBER(BH232),BH232+BH233-BH242-BH243-BH244,"")</f>
        <v>116.266</v>
      </c>
      <c r="BI272" s="65" t="n">
        <f aca="false">IF(ISNUMBER(BI232),BI232+BI233-BI242-BI243-BI244,"")</f>
        <v>113.652</v>
      </c>
      <c r="BJ272" s="65" t="n">
        <f aca="false">IF(ISNUMBER(BJ232),BJ232+BJ233-BJ242-BJ243-BJ244,"")</f>
        <v>134.879</v>
      </c>
      <c r="BK272" s="65" t="n">
        <f aca="false">IF(ISNUMBER(BK232),BK232+BK233-BK242-BK243-BK244,"")</f>
        <v>66.353</v>
      </c>
      <c r="BL272" s="65" t="n">
        <f aca="false">IF(ISNUMBER(BL232),BL232+BL233-BL242-BL243-BL244,"")</f>
        <v>66.353</v>
      </c>
      <c r="BM272" s="65" t="n">
        <f aca="false">IF(ISNUMBER(BM232),BM232+BM233-BM242-BM243-BM244,"")</f>
        <v>100.204</v>
      </c>
      <c r="BN272" s="65" t="n">
        <f aca="false">IF(ISNUMBER(BN232),BN232+BN233-BN242-BN243-BN244,"")</f>
        <v>140.703</v>
      </c>
      <c r="BO272" s="65" t="n">
        <f aca="false">IF(ISNUMBER(BO232),BO232+BO233-BO242-BO243-BO244,"")</f>
        <v>108.709</v>
      </c>
      <c r="BP272" s="65" t="n">
        <f aca="false">IF(ISNUMBER(BP232),BP232+BP233-BP242-BP243-BP244,"")</f>
        <v>170.621</v>
      </c>
      <c r="BQ272" s="65" t="n">
        <f aca="false">IF(ISNUMBER(BQ232),BQ232+BQ233-BQ242-BQ243-BQ244,"")</f>
        <v>170.621</v>
      </c>
      <c r="BR272" s="65" t="n">
        <f aca="false">IF(ISNUMBER(BR232),BR232+BR233-BR242-BR243-BR244,"")</f>
        <v>157.065</v>
      </c>
      <c r="BS272" s="65" t="n">
        <f aca="false">IF(ISNUMBER(BS232),BS232+BS233-BS242-BS243-BS244,"")</f>
        <v>160.441</v>
      </c>
      <c r="BT272" s="65" t="n">
        <f aca="false">IF(ISNUMBER(BT232),BT232+BT233-BT242-BT243-BT244,"")</f>
        <v>193.79</v>
      </c>
      <c r="BU272" s="65" t="n">
        <f aca="false">IF(ISNUMBER(BU232),BU232+BU233-BU242-BU243-BU244,"")</f>
        <v>178.327</v>
      </c>
      <c r="BV272" s="65" t="n">
        <f aca="false">IF(ISNUMBER(BV232),BV232+BV233-BV242-BV243-BV244,"")</f>
        <v>178.327</v>
      </c>
      <c r="BW272" s="65" t="n">
        <f aca="false">IF(ISNUMBER(BW232),BW232+BW233-BW242-BW243-BW244,"")</f>
        <v>161.732</v>
      </c>
      <c r="BX272" s="65" t="n">
        <f aca="false">IF(ISNUMBER(BX232),BX232+BX233-BX242-BX243-BX244,"")</f>
        <v>163.165</v>
      </c>
      <c r="BY272" s="87"/>
      <c r="BZ272" s="87"/>
      <c r="CA272" s="67" t="n">
        <f aca="false">CA232+CA233-CA242-CA243-CA244</f>
        <v>213.015106211337</v>
      </c>
      <c r="CB272" s="67" t="n">
        <f aca="false">CB232+CB233-CB242-CB243-CB244</f>
        <v>240.27838226852</v>
      </c>
      <c r="CC272" s="67" t="n">
        <f aca="false">CC232+CC233-CC242-CC243-CC244</f>
        <v>260.37426518766</v>
      </c>
      <c r="CD272" s="67" t="n">
        <f aca="false">CD232+CD233-CD242-CD243-CD244</f>
        <v>284.720509488125</v>
      </c>
      <c r="CE272" s="67" t="n">
        <f aca="false">CE232+CE233-CE242-CE243-CE244</f>
        <v>314.755079274619</v>
      </c>
      <c r="CF272" s="21"/>
    </row>
    <row r="273" customFormat="false" ht="15" hidden="false" customHeight="true" outlineLevel="0" collapsed="false">
      <c r="B273" s="22" t="s">
        <v>441</v>
      </c>
      <c r="C273" s="59" t="n">
        <f aca="false">IF(ISNUMBER(C272),IFERROR(C272/(C81*1),""),"")</f>
        <v>0.00883693174413368</v>
      </c>
      <c r="D273" s="59" t="n">
        <f aca="false">IF(ISNUMBER(D272),IFERROR(D272/(D81*1),""),"")</f>
        <v>0.0319836741886012</v>
      </c>
      <c r="E273" s="59" t="n">
        <f aca="false">IF(ISNUMBER(E272),IFERROR(E272/(E81*1),""),"")</f>
        <v>0.00957375674602906</v>
      </c>
      <c r="F273" s="59" t="n">
        <f aca="false">IF(ISNUMBER(F272),IFERROR(F272/(F81*1),""),"")</f>
        <v>0.0271285923068136</v>
      </c>
      <c r="G273" s="59" t="n">
        <f aca="false">IF(ISNUMBER(G272),IFERROR(G272/(G81*1),""),"")</f>
        <v>0.0396915782243591</v>
      </c>
      <c r="H273" s="59" t="n">
        <f aca="false">IF(ISNUMBER(H272),IFERROR(H272/(H81*1),""),"")</f>
        <v>0.0381412197735638</v>
      </c>
      <c r="I273" s="59" t="n">
        <f aca="false">IF(ISNUMBER(I272),IFERROR(I272/(I81*1),""),"")</f>
        <v>0.0224678909854471</v>
      </c>
      <c r="J273" s="59" t="n">
        <f aca="false">IF(ISNUMBER(J272),IFERROR(J272/(J81*4),""),"")</f>
        <v>0.0311702185942037</v>
      </c>
      <c r="K273" s="59" t="n">
        <f aca="false">IF(ISNUMBER(K272),IFERROR(K272/(K81*4),""),"")</f>
        <v>0.0269417583582003</v>
      </c>
      <c r="L273" s="59" t="n">
        <f aca="false">IF(ISNUMBER(L272),IFERROR(L272/(L81*4),""),"")</f>
        <v>0.0311298351683971</v>
      </c>
      <c r="M273" s="59" t="n">
        <f aca="false">IF(ISNUMBER(M272),IFERROR(M272/(M81*4),""),"")</f>
        <v>0.0325222148718957</v>
      </c>
      <c r="N273" s="59" t="n">
        <f aca="false">IF(ISNUMBER(N272),IFERROR(N272/(N81*1),""),"")</f>
        <v>0.0319376627389838</v>
      </c>
      <c r="O273" s="59" t="n">
        <f aca="false">IF(ISNUMBER(O272),IFERROR(O272/(O81*4),""),"")</f>
        <v>0.0306942915290428</v>
      </c>
      <c r="P273" s="59" t="n">
        <f aca="false">IF(ISNUMBER(P272),IFERROR(P272/(P81*4),""),"")</f>
        <v>0.03512268499602</v>
      </c>
      <c r="Q273" s="59" t="n">
        <f aca="false">IF(ISNUMBER(Q272),IFERROR(Q272/(Q81*4),""),"")</f>
        <v>0.0308643367494226</v>
      </c>
      <c r="R273" s="59" t="n">
        <f aca="false">IF(ISNUMBER(R272),IFERROR(R272/(R81*4),""),"")</f>
        <v>0.0516134449439363</v>
      </c>
      <c r="S273" s="59" t="n">
        <f aca="false">IF(ISNUMBER(S272),IFERROR(S272/(S81*1),""),"")</f>
        <v>0.0502451818369735</v>
      </c>
      <c r="T273" s="59" t="n">
        <f aca="false">IF(ISNUMBER(T272),IFERROR(T272/(T81*4),""),"")</f>
        <v>0.0497752728464074</v>
      </c>
      <c r="U273" s="59" t="n">
        <f aca="false">IF(ISNUMBER(U272),IFERROR(U272/(U81*4),""),"")</f>
        <v>0.0406006553728206</v>
      </c>
      <c r="V273" s="59" t="n">
        <f aca="false">IF(ISNUMBER(V272),IFERROR(V272/(V81*4),""),"")</f>
        <v>0.0305289423989357</v>
      </c>
      <c r="W273" s="59" t="n">
        <f aca="false">IF(ISNUMBER(W272),IFERROR(W272/(W81*4),""),"")</f>
        <v>0.0260039637008449</v>
      </c>
      <c r="X273" s="59" t="n">
        <f aca="false">IF(ISNUMBER(X272),IFERROR(X272/(X81*1),""),"")</f>
        <v>0.0244949894007341</v>
      </c>
      <c r="Y273" s="59" t="n">
        <f aca="false">IF(ISNUMBER(Y272),IFERROR(Y272/(Y81*4),""),"")</f>
        <v>0.0330713563817861</v>
      </c>
      <c r="Z273" s="59" t="n">
        <f aca="false">IF(ISNUMBER(Z272),IFERROR(Z272/(Z81*4),""),"")</f>
        <v>0.0348415382889021</v>
      </c>
      <c r="AA273" s="59" t="n">
        <f aca="false">IF(ISNUMBER(AA272),IFERROR(AA272/(AA81*4),""),"")</f>
        <v>0.0228375184077967</v>
      </c>
      <c r="AB273" s="59" t="n">
        <f aca="false">IF(ISNUMBER(AB272),IFERROR(AB272/(AB81*4),""),"")</f>
        <v>0.0306089140405632</v>
      </c>
      <c r="AC273" s="59" t="n">
        <f aca="false">IF(ISNUMBER(AC272),IFERROR(AC272/(AC81*1),""),"")</f>
        <v>0.0301670686699259</v>
      </c>
      <c r="AD273" s="59" t="n">
        <f aca="false">IF(ISNUMBER(AD272),IFERROR(AD272/(AD81*4),""),"")</f>
        <v>0.0226826837246126</v>
      </c>
      <c r="AE273" s="59" t="n">
        <f aca="false">IF(ISNUMBER(AE272),IFERROR(AE272/(AE81*4),""),"")</f>
        <v>0.0322474592360956</v>
      </c>
      <c r="AF273" s="59" t="n">
        <f aca="false">IF(ISNUMBER(AF272),IFERROR(AF272/(AF81*4),""),"")</f>
        <v>0.0243464014945924</v>
      </c>
      <c r="AG273" s="59" t="n">
        <f aca="false">IF(ISNUMBER(AG272),IFERROR(AG272/(AG81*4),""),"")</f>
        <v>0.0323700428307351</v>
      </c>
      <c r="AH273" s="59" t="n">
        <f aca="false">IF(ISNUMBER(AH272),IFERROR(AH272/(AH81*1),""),"")</f>
        <v>0.0331800277110794</v>
      </c>
      <c r="AI273" s="59" t="n">
        <f aca="false">IF(ISNUMBER(AI272),IFERROR(AI272/(AI81*4),""),"")</f>
        <v>0.0392153867695167</v>
      </c>
      <c r="AJ273" s="59" t="n">
        <f aca="false">IF(ISNUMBER(AJ272),IFERROR(AJ272/(AJ81*4),""),"")</f>
        <v>0.0249339913978896</v>
      </c>
      <c r="AK273" s="59" t="n">
        <f aca="false">IF(ISNUMBER(AK272),IFERROR(AK272/(AK81*4),""),"")</f>
        <v>0.0187980834754983</v>
      </c>
      <c r="AL273" s="59" t="n">
        <f aca="false">IF(ISNUMBER(AL272),IFERROR(AL272/(AL81*4),""),"")</f>
        <v>0.0122624462200369</v>
      </c>
      <c r="AM273" s="59" t="n">
        <f aca="false">IF(ISNUMBER(AM272),IFERROR(AM272/(AM81*1),""),"")</f>
        <v>0.0120633745886112</v>
      </c>
      <c r="AN273" s="59" t="n">
        <f aca="false">IF(ISNUMBER(AN272),IFERROR(AN272/(AN81*4),""),"")</f>
        <v>0.0395132299358962</v>
      </c>
      <c r="AO273" s="59" t="n">
        <f aca="false">IF(ISNUMBER(AO272),IFERROR(AO272/(AO81*4),""),"")</f>
        <v>0.032085653658484</v>
      </c>
      <c r="AP273" s="59" t="n">
        <f aca="false">IF(ISNUMBER(AP272),IFERROR(AP272/(AP81*4),""),"")</f>
        <v>0.0230128110797605</v>
      </c>
      <c r="AQ273" s="59" t="n">
        <f aca="false">IF(ISNUMBER(AQ272),IFERROR(AQ272/(AQ81*4),""),"")</f>
        <v>0.0165382054551815</v>
      </c>
      <c r="AR273" s="59" t="n">
        <f aca="false">IF(ISNUMBER(AR272),IFERROR(AR272/(AR81*1),""),"")</f>
        <v>0.0164042233459355</v>
      </c>
      <c r="AS273" s="59" t="n">
        <f aca="false">IF(ISNUMBER(AS272),IFERROR(AS272/(AS81*4),""),"")</f>
        <v>0.0269973297251768</v>
      </c>
      <c r="AT273" s="59" t="n">
        <f aca="false">IF(ISNUMBER(AT272),IFERROR(AT272/(AT81*4),""),"")</f>
        <v>0.0184829974600229</v>
      </c>
      <c r="AU273" s="59" t="n">
        <f aca="false">IF(ISNUMBER(AU272),IFERROR(AU272/(AU81*4),""),"")</f>
        <v>0.0100716906189366</v>
      </c>
      <c r="AV273" s="59" t="n">
        <f aca="false">IF(ISNUMBER(AV272),IFERROR(AV272/(AV81*4),""),"")</f>
        <v>0.00599760326727978</v>
      </c>
      <c r="AW273" s="59" t="n">
        <f aca="false">IF(ISNUMBER(AW272),IFERROR(AW272/(AW81*1),""),"")</f>
        <v>0.0062726148314883</v>
      </c>
      <c r="AX273" s="59" t="n">
        <f aca="false">IF(ISNUMBER(AX272),IFERROR(AX272/(AX81*4),""),"")</f>
        <v>0.0150741415568694</v>
      </c>
      <c r="AY273" s="59" t="n">
        <f aca="false">IF(ISNUMBER(AY272),IFERROR(AY272/(AY81*4),""),"")</f>
        <v>0.0251770858676114</v>
      </c>
      <c r="AZ273" s="59" t="n">
        <f aca="false">IF(ISNUMBER(AZ272),IFERROR(AZ272/(AZ81*4),""),"")</f>
        <v>0.0124258376932764</v>
      </c>
      <c r="BA273" s="59" t="n">
        <f aca="false">IF(ISNUMBER(BA272),IFERROR(BA272/(BA81*4),""),"")</f>
        <v>0.0118623000870226</v>
      </c>
      <c r="BB273" s="59" t="n">
        <f aca="false">IF(ISNUMBER(BB272),IFERROR(BB272/(BB81*1),""),"")</f>
        <v>0.0127932664075389</v>
      </c>
      <c r="BC273" s="59" t="n">
        <f aca="false">IF(ISNUMBER(BC272),IFERROR(BC272/(BC81*4),""),"")</f>
        <v>0.0266864383197019</v>
      </c>
      <c r="BD273" s="59" t="n">
        <f aca="false">IF(ISNUMBER(BD272),IFERROR(BD272/(BD81*4),""),"")</f>
        <v>0.0333463437926696</v>
      </c>
      <c r="BE273" s="59" t="n">
        <f aca="false">IF(ISNUMBER(BE272),IFERROR(BE272/(BE81*4),""),"")</f>
        <v>0.0348743970689223</v>
      </c>
      <c r="BF273" s="59" t="n">
        <f aca="false">IF(ISNUMBER(BF272),IFERROR(BF272/(BF81*4),""),"")</f>
        <v>0.0415017095555156</v>
      </c>
      <c r="BG273" s="59" t="n">
        <f aca="false">IF(ISNUMBER(BG272),IFERROR(BG272/(BG81*1),""),"")</f>
        <v>0.0389873845698709</v>
      </c>
      <c r="BH273" s="59" t="n">
        <f aca="false">IF(ISNUMBER(BH272),IFERROR(BH272/(BH81*4),""),"")</f>
        <v>0.044004481215984</v>
      </c>
      <c r="BI273" s="59" t="n">
        <f aca="false">IF(ISNUMBER(BI272),IFERROR(BI272/(BI81*4),""),"")</f>
        <v>0.0409042615983945</v>
      </c>
      <c r="BJ273" s="59" t="n">
        <f aca="false">IF(ISNUMBER(BJ272),IFERROR(BJ272/(BJ81*4),""),"")</f>
        <v>0.0435012720217147</v>
      </c>
      <c r="BK273" s="59" t="n">
        <f aca="false">IF(ISNUMBER(BK272),IFERROR(BK272/(BK81*4),""),"")</f>
        <v>0.0220843340451479</v>
      </c>
      <c r="BL273" s="59" t="n">
        <f aca="false">IF(ISNUMBER(BL272),IFERROR(BL272/(BL81*1),""),"")</f>
        <v>0.0230277781923092</v>
      </c>
      <c r="BM273" s="59" t="n">
        <f aca="false">IF(ISNUMBER(BM272),IFERROR(BM272/(BM81*4),""),"")</f>
        <v>0.0331900235169421</v>
      </c>
      <c r="BN273" s="59" t="n">
        <f aca="false">IF(ISNUMBER(BN272),IFERROR(BN272/(BN81*4),""),"")</f>
        <v>0.0427282190942175</v>
      </c>
      <c r="BO273" s="59" t="n">
        <f aca="false">IF(ISNUMBER(BO272),IFERROR(BO272/(BO81*4),""),"")</f>
        <v>0.0322730711088786</v>
      </c>
      <c r="BP273" s="59" t="n">
        <f aca="false">IF(ISNUMBER(BP272),IFERROR(BP272/(BP81*4),""),"")</f>
        <v>0.0540657099544712</v>
      </c>
      <c r="BQ273" s="59" t="n">
        <f aca="false">IF(ISNUMBER(BQ272),IFERROR(BQ272/(BQ81*1),""),"")</f>
        <v>0.0531682971474014</v>
      </c>
      <c r="BR273" s="59" t="n">
        <f aca="false">IF(ISNUMBER(BR272),IFERROR(BR272/(BR81*4),""),"")</f>
        <v>0.0498571564612894</v>
      </c>
      <c r="BS273" s="59" t="n">
        <f aca="false">IF(ISNUMBER(BS272),IFERROR(BS272/(BS81*4),""),"")</f>
        <v>0.0490876437221199</v>
      </c>
      <c r="BT273" s="59" t="n">
        <f aca="false">IF(ISNUMBER(BT272),IFERROR(BT272/(BT81*4),""),"")</f>
        <v>0.0577000490684147</v>
      </c>
      <c r="BU273" s="59" t="n">
        <f aca="false">IF(ISNUMBER(BU272),IFERROR(BU272/(BU81*4),""),"")</f>
        <v>0.0564360239609495</v>
      </c>
      <c r="BV273" s="59" t="n">
        <f aca="false">IF(ISNUMBER(BV272),IFERROR(BV272/(BV81*1),""),"")</f>
        <v>0.0551364350586188</v>
      </c>
      <c r="BW273" s="59" t="n">
        <f aca="false">IF(ISNUMBER(BW272),IFERROR(BW272/(BW81*4),""),"")</f>
        <v>0.0501509502298363</v>
      </c>
      <c r="BX273" s="59" t="n">
        <f aca="false">IF(ISNUMBER(BX272),IFERROR(BX272/(BX81*4),""),"")</f>
        <v>0.0426466344796726</v>
      </c>
      <c r="BY273" s="41"/>
      <c r="BZ273" s="41"/>
      <c r="CA273" s="30" t="n">
        <f aca="false">IF(AND(ISNUMBER(CA272),ISNUMBER(CA81)),IFERROR(CA272/CA81,""),"")</f>
        <v>0.0570225470668577</v>
      </c>
      <c r="CB273" s="30" t="n">
        <f aca="false">IF(AND(ISNUMBER(CB272),ISNUMBER(CB81)),IFERROR(CB272/CB81,""),"")</f>
        <v>0.0589040722032913</v>
      </c>
      <c r="CC273" s="30" t="n">
        <f aca="false">IF(AND(ISNUMBER(CC272),ISNUMBER(CC81)),IFERROR(CC272/CC81,""),"")</f>
        <v>0.0600999278524042</v>
      </c>
      <c r="CD273" s="30" t="n">
        <f aca="false">IF(AND(ISNUMBER(CD272),ISNUMBER(CD81)),IFERROR(CD272/CD81,""),"")</f>
        <v>0.0613738342739943</v>
      </c>
      <c r="CE273" s="30" t="n">
        <f aca="false">IF(AND(ISNUMBER(CE272),ISNUMBER(CE81)),IFERROR(CE272/CE81,""),"")</f>
        <v>0.0627307689389891</v>
      </c>
      <c r="CF273" s="21"/>
    </row>
    <row r="274" customFormat="false" ht="15" hidden="false" customHeight="true" outlineLevel="0" collapsed="false">
      <c r="B274" s="22" t="s">
        <v>442</v>
      </c>
      <c r="C274" s="59" t="n">
        <f aca="false">IF(ISNUMBER(C189),IFERROR(C189/C102,""),"")</f>
        <v>0.0968944099378882</v>
      </c>
      <c r="D274" s="59" t="n">
        <f aca="false">IF(ISNUMBER(D189),IFERROR(D189/D102,""),"")</f>
        <v>-0.391296656642491</v>
      </c>
      <c r="E274" s="59" t="n">
        <f aca="false">IF(ISNUMBER(E189),IFERROR(E189/E102,""),"")</f>
        <v>1.71773659827929</v>
      </c>
      <c r="F274" s="59" t="n">
        <f aca="false">IF(ISNUMBER(F189),IFERROR(F189/F102,""),"")</f>
        <v>0.29447388342165</v>
      </c>
      <c r="G274" s="59" t="n">
        <f aca="false">IF(ISNUMBER(G189),IFERROR(G189/G102,""),"")</f>
        <v>49.75</v>
      </c>
      <c r="H274" s="59" t="n">
        <f aca="false">IF(ISNUMBER(H189),IFERROR(H189/H102,""),"")</f>
        <v>1.31052383199622</v>
      </c>
      <c r="I274" s="59" t="n">
        <f aca="false">IF(ISNUMBER(I189),IFERROR(I189/I102,""),"")</f>
        <v>-0.0369283955790687</v>
      </c>
      <c r="J274" s="59" t="n">
        <f aca="false">IF(ISNUMBER(J189),IFERROR(J189/J102,""),"")</f>
        <v>0</v>
      </c>
      <c r="K274" s="59" t="n">
        <f aca="false">IF(ISNUMBER(K189),IFERROR(K189/K102,""),"")</f>
        <v>0</v>
      </c>
      <c r="L274" s="59" t="n">
        <f aca="false">IF(ISNUMBER(L189),IFERROR(L189/L102,""),"")</f>
        <v>0</v>
      </c>
      <c r="M274" s="59" t="n">
        <f aca="false">IF(ISNUMBER(M189),IFERROR(M189/M102,""),"")</f>
        <v>2.38102735681952</v>
      </c>
      <c r="N274" s="59" t="n">
        <f aca="false">IF(ISNUMBER(N189),IFERROR(N189/N102,""),"")</f>
        <v>0.49343339587242</v>
      </c>
      <c r="O274" s="59" t="n">
        <f aca="false">IF(ISNUMBER(O189),IFERROR(O189/O102,""),"")</f>
        <v>0</v>
      </c>
      <c r="P274" s="59" t="n">
        <f aca="false">IF(ISNUMBER(P189),IFERROR(P189/P102,""),"")</f>
        <v>0</v>
      </c>
      <c r="Q274" s="59" t="n">
        <f aca="false">IF(ISNUMBER(Q189),IFERROR(Q189/Q102,""),"")</f>
        <v>0</v>
      </c>
      <c r="R274" s="59" t="n">
        <f aca="false">IF(ISNUMBER(R189),IFERROR(R189/R102,""),"")</f>
        <v>1.56500165398611</v>
      </c>
      <c r="S274" s="59" t="n">
        <f aca="false">IF(ISNUMBER(S189),IFERROR(S189/S102,""),"")</f>
        <v>0.323631015494066</v>
      </c>
      <c r="T274" s="59" t="n">
        <f aca="false">IF(ISNUMBER(T189),IFERROR(T189/T102,""),"")</f>
        <v>0</v>
      </c>
      <c r="U274" s="59" t="n">
        <f aca="false">IF(ISNUMBER(U189),IFERROR(U189/U102,""),"")</f>
        <v>0</v>
      </c>
      <c r="V274" s="59" t="n">
        <f aca="false">IF(ISNUMBER(V189),IFERROR(V189/V102,""),"")</f>
        <v>0</v>
      </c>
      <c r="W274" s="59" t="n">
        <f aca="false">IF(ISNUMBER(W189),IFERROR(W189/W102,""),"")</f>
        <v>1.58151765589782</v>
      </c>
      <c r="X274" s="59" t="n">
        <f aca="false">IF(ISNUMBER(X189),IFERROR(X189/X102,""),"")</f>
        <v>0.272078068956603</v>
      </c>
      <c r="Y274" s="59" t="n">
        <f aca="false">IF(ISNUMBER(Y189),IFERROR(Y189/Y102,""),"")</f>
        <v>0</v>
      </c>
      <c r="Z274" s="59" t="n">
        <f aca="false">IF(ISNUMBER(Z189),IFERROR(Z189/Z102,""),"")</f>
        <v>0</v>
      </c>
      <c r="AA274" s="59" t="n">
        <f aca="false">IF(ISNUMBER(AA189),IFERROR(AA189/AA102,""),"")</f>
        <v>0</v>
      </c>
      <c r="AB274" s="59" t="n">
        <f aca="false">IF(ISNUMBER(AB189),IFERROR(AB189/AB102,""),"")</f>
        <v>2.17162276975361</v>
      </c>
      <c r="AC274" s="59" t="n">
        <f aca="false">IF(ISNUMBER(AC189),IFERROR(AC189/AC102,""),"")</f>
        <v>0.475181260457334</v>
      </c>
      <c r="AD274" s="59" t="n">
        <f aca="false">IF(ISNUMBER(AD189),IFERROR(AD189/AD102,""),"")</f>
        <v>0</v>
      </c>
      <c r="AE274" s="59" t="n">
        <f aca="false">IF(ISNUMBER(AE189),IFERROR(AE189/AE102,""),"")</f>
        <v>0</v>
      </c>
      <c r="AF274" s="59" t="n">
        <f aca="false">IF(ISNUMBER(AF189),IFERROR(AF189/AF102,""),"")</f>
        <v>0</v>
      </c>
      <c r="AG274" s="59" t="n">
        <f aca="false">IF(ISNUMBER(AG189),IFERROR(AG189/AG102,""),"")</f>
        <v>0.799046190531133</v>
      </c>
      <c r="AH274" s="59" t="n">
        <f aca="false">IF(ISNUMBER(AH189),IFERROR(AH189/AH102,""),"")</f>
        <v>15.0769230769231</v>
      </c>
      <c r="AI274" s="59" t="n">
        <f aca="false">IF(ISNUMBER(AI189),IFERROR(AI189/AI102,""),"")</f>
        <v>0</v>
      </c>
      <c r="AJ274" s="59" t="n">
        <f aca="false">IF(ISNUMBER(AJ189),IFERROR(AJ189/AJ102,""),"")</f>
        <v>0</v>
      </c>
      <c r="AK274" s="59" t="n">
        <f aca="false">IF(ISNUMBER(AK189),IFERROR(AK189/AK102,""),"")</f>
        <v>0</v>
      </c>
      <c r="AL274" s="59" t="n">
        <f aca="false">IF(ISNUMBER(AL189),IFERROR(AL189/AL102,""),"")</f>
        <v>4.34789490345046</v>
      </c>
      <c r="AM274" s="59" t="n">
        <f aca="false">IF(ISNUMBER(AM189),IFERROR(AM189/AM102,""),"")</f>
        <v>0.890379878127836</v>
      </c>
      <c r="AN274" s="59" t="n">
        <f aca="false">IF(ISNUMBER(AN189),IFERROR(AN189/AN102,""),"")</f>
        <v>0</v>
      </c>
      <c r="AO274" s="59" t="n">
        <f aca="false">IF(ISNUMBER(AO189),IFERROR(AO189/AO102,""),"")</f>
        <v>0</v>
      </c>
      <c r="AP274" s="59" t="n">
        <f aca="false">IF(ISNUMBER(AP189),IFERROR(AP189/AP102,""),"")</f>
        <v>0</v>
      </c>
      <c r="AQ274" s="59" t="n">
        <f aca="false">IF(ISNUMBER(AQ189),IFERROR(AQ189/AQ102,""),"")</f>
        <v>5.20624868059954</v>
      </c>
      <c r="AR274" s="59" t="n">
        <f aca="false">IF(ISNUMBER(AR189),IFERROR(AR189/AR102,""),"")</f>
        <v>0.748853733337382</v>
      </c>
      <c r="AS274" s="59" t="n">
        <f aca="false">IF(ISNUMBER(AS189),IFERROR(AS189/AS102,""),"")</f>
        <v>0.811037173015145</v>
      </c>
      <c r="AT274" s="59" t="n">
        <f aca="false">IF(ISNUMBER(AT189),IFERROR(AT189/AT102,""),"")</f>
        <v>0.0784774436090226</v>
      </c>
      <c r="AU274" s="59" t="n">
        <f aca="false">IF(ISNUMBER(AU189),IFERROR(AU189/AU102,""),"")</f>
        <v>0.235535908174345</v>
      </c>
      <c r="AV274" s="59" t="n">
        <f aca="false">IF(ISNUMBER(AV189),IFERROR(AV189/AV102,""),"")</f>
        <v>-0.235720032180209</v>
      </c>
      <c r="AW274" s="59" t="n">
        <f aca="false">IF(ISNUMBER(AW189),IFERROR(AW189/AW102,""),"")</f>
        <v>0.217802730771258</v>
      </c>
      <c r="AX274" s="59" t="n">
        <f aca="false">IF(ISNUMBER(AX189),IFERROR(AX189/AX102,""),"")</f>
        <v>0.123995514857036</v>
      </c>
      <c r="AY274" s="59" t="n">
        <f aca="false">IF(ISNUMBER(AY189),IFERROR(AY189/AY102,""),"")</f>
        <v>0.0925824312864768</v>
      </c>
      <c r="AZ274" s="59" t="n">
        <f aca="false">IF(ISNUMBER(AZ189),IFERROR(AZ189/AZ102,""),"")</f>
        <v>0.0742866065503377</v>
      </c>
      <c r="BA274" s="59" t="n">
        <f aca="false">IF(ISNUMBER(BA189),IFERROR(BA189/BA102,""),"")</f>
        <v>-0.0331002934576213</v>
      </c>
      <c r="BB274" s="59" t="n">
        <f aca="false">IF(ISNUMBER(BB189),IFERROR(BB189/BB102,""),"")</f>
        <v>0.0543010887877493</v>
      </c>
      <c r="BC274" s="59" t="n">
        <f aca="false">IF(ISNUMBER(BC189),IFERROR(BC189/BC102,""),"")</f>
        <v>-0.0878863970906572</v>
      </c>
      <c r="BD274" s="59" t="n">
        <f aca="false">IF(ISNUMBER(BD189),IFERROR(BD189/BD102,""),"")</f>
        <v>0.0318031208405313</v>
      </c>
      <c r="BE274" s="59" t="n">
        <f aca="false">IF(ISNUMBER(BE189),IFERROR(BE189/BE102,""),"")</f>
        <v>0.05805802448432</v>
      </c>
      <c r="BF274" s="59" t="n">
        <f aca="false">IF(ISNUMBER(BF189),IFERROR(BF189/BF102,""),"")</f>
        <v>0.92893491652531</v>
      </c>
      <c r="BG274" s="59" t="n">
        <f aca="false">IF(ISNUMBER(BG189),IFERROR(BG189/BG102,""),"")</f>
        <v>0.195559814148573</v>
      </c>
      <c r="BH274" s="59" t="n">
        <f aca="false">IF(ISNUMBER(BH189),IFERROR(BH189/BH102,""),"")</f>
        <v>0.249467414460241</v>
      </c>
      <c r="BI274" s="59" t="n">
        <f aca="false">IF(ISNUMBER(BI189),IFERROR(BI189/BI102,""),"")</f>
        <v>0.23481889500918</v>
      </c>
      <c r="BJ274" s="59" t="n">
        <f aca="false">IF(ISNUMBER(BJ189),IFERROR(BJ189/BJ102,""),"")</f>
        <v>0.147468314915402</v>
      </c>
      <c r="BK274" s="59" t="n">
        <f aca="false">IF(ISNUMBER(BK189),IFERROR(BK189/BK102,""),"")</f>
        <v>-0.281501137225171</v>
      </c>
      <c r="BL274" s="59" t="n">
        <f aca="false">IF(ISNUMBER(BL189),IFERROR(BL189/BL102,""),"")</f>
        <v>0.0904193229774625</v>
      </c>
      <c r="BM274" s="59" t="n">
        <f aca="false">IF(ISNUMBER(BM189),IFERROR(BM189/BM102,""),"")</f>
        <v>0.0632574952158197</v>
      </c>
      <c r="BN274" s="59" t="n">
        <f aca="false">IF(ISNUMBER(BN189),IFERROR(BN189/BN102,""),"")</f>
        <v>0.0694603903559127</v>
      </c>
      <c r="BO274" s="59" t="n">
        <f aca="false">IF(ISNUMBER(BO189),IFERROR(BO189/BO102,""),"")</f>
        <v>0.0648825632287595</v>
      </c>
      <c r="BP274" s="59" t="n">
        <f aca="false">IF(ISNUMBER(BP189),IFERROR(BP189/BP102,""),"")</f>
        <v>2.52004758547762</v>
      </c>
      <c r="BQ274" s="59" t="n">
        <f aca="false">IF(ISNUMBER(BQ189),IFERROR(BQ189/BQ102,""),"")</f>
        <v>0.554847599238216</v>
      </c>
      <c r="BR274" s="59" t="n">
        <f aca="false">IF(ISNUMBER(BR189),IFERROR(BR189/BR102,""),"")</f>
        <v>0.332910187242145</v>
      </c>
      <c r="BS274" s="59" t="n">
        <f aca="false">IF(ISNUMBER(BS189),IFERROR(BS189/BS102,""),"")</f>
        <v>0.505895006825797</v>
      </c>
      <c r="BT274" s="59" t="n">
        <f aca="false">IF(ISNUMBER(BT189),IFERROR(BT189/BT102,""),"")</f>
        <v>1.77442211231541</v>
      </c>
      <c r="BU274" s="59" t="n">
        <f aca="false">IF(ISNUMBER(BU189),IFERROR(BU189/BU102,""),"")</f>
        <v>-0.197829836159816</v>
      </c>
      <c r="BV274" s="59" t="n">
        <f aca="false">IF(ISNUMBER(BV189),IFERROR(BV189/BV102,""),"")</f>
        <v>0.79302514783918</v>
      </c>
      <c r="BW274" s="59" t="n">
        <f aca="false">IF(ISNUMBER(BW189),IFERROR(BW189/BW102,""),"")</f>
        <v>0.615257813530265</v>
      </c>
      <c r="BX274" s="59" t="n">
        <f aca="false">IF(ISNUMBER(BX189),IFERROR(BX189/BX102,""),"")</f>
        <v>0.186769181483261</v>
      </c>
      <c r="BY274" s="41"/>
      <c r="BZ274" s="41"/>
      <c r="CA274" s="30" t="n">
        <f aca="false">($BW$189+$BX$189)/($BW$102+$BX$102)</f>
        <v>0.326879541191436</v>
      </c>
      <c r="CB274" s="77" t="n">
        <v>0.25</v>
      </c>
      <c r="CC274" s="77" t="n">
        <v>0.25</v>
      </c>
      <c r="CD274" s="77" t="n">
        <v>0.25</v>
      </c>
      <c r="CE274" s="77" t="n">
        <v>0.25</v>
      </c>
      <c r="CF274" s="21" t="s">
        <v>443</v>
      </c>
    </row>
    <row r="275" customFormat="false" ht="15" hidden="false" customHeight="true" outlineLevel="0" collapsed="false"/>
    <row r="276" customFormat="false" ht="15" hidden="false" customHeight="true" outlineLevel="0" collapsed="false">
      <c r="B276" s="11" t="s">
        <v>444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 t="s">
        <v>445</v>
      </c>
    </row>
    <row r="277" customFormat="false" ht="15" hidden="false" customHeight="true" outlineLevel="0" collapsed="false">
      <c r="B277" s="37" t="s">
        <v>446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90"/>
      <c r="BM277" s="42"/>
      <c r="BN277" s="42"/>
      <c r="BO277" s="42"/>
      <c r="BP277" s="42"/>
      <c r="BQ277" s="42"/>
      <c r="BR277" s="90"/>
      <c r="BS277" s="90"/>
      <c r="BT277" s="42"/>
      <c r="BU277" s="42"/>
      <c r="BV277" s="42"/>
      <c r="BW277" s="42"/>
      <c r="BX277" s="42"/>
      <c r="BY277" s="43"/>
      <c r="BZ277" s="43"/>
      <c r="CA277" s="43"/>
      <c r="CB277" s="43"/>
      <c r="CC277" s="43"/>
      <c r="CD277" s="43"/>
      <c r="CE277" s="43"/>
      <c r="CF277" s="21"/>
    </row>
    <row r="278" customFormat="false" ht="15" hidden="false" customHeight="true" outlineLevel="0" collapsed="false">
      <c r="B278" s="22" t="s">
        <v>447</v>
      </c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3" t="n">
        <v>100</v>
      </c>
      <c r="BR278" s="86"/>
      <c r="BS278" s="86"/>
      <c r="BT278" s="86"/>
      <c r="BU278" s="86"/>
      <c r="BV278" s="83" t="n">
        <v>100</v>
      </c>
      <c r="BW278" s="83" t="n">
        <v>100</v>
      </c>
      <c r="BX278" s="83" t="n">
        <v>100</v>
      </c>
      <c r="BY278" s="87"/>
      <c r="BZ278" s="87"/>
      <c r="CA278" s="67" t="n">
        <f aca="false">$BX$278+CA279+CA280</f>
        <v>100</v>
      </c>
      <c r="CB278" s="67" t="n">
        <f aca="false">CA278+CB279+CB280</f>
        <v>100</v>
      </c>
      <c r="CC278" s="67" t="n">
        <f aca="false">CB278+CC279+CC280</f>
        <v>100</v>
      </c>
      <c r="CD278" s="67" t="n">
        <f aca="false">CC278+CD279+CD280</f>
        <v>100</v>
      </c>
      <c r="CE278" s="67" t="n">
        <f aca="false">CD278+CE279+CE280</f>
        <v>100</v>
      </c>
      <c r="CF278" s="21" t="s">
        <v>448</v>
      </c>
    </row>
    <row r="279" customFormat="false" ht="15" hidden="false" customHeight="true" outlineLevel="0" collapsed="false">
      <c r="B279" s="22" t="s">
        <v>449</v>
      </c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  <c r="BA279" s="86"/>
      <c r="BB279" s="86"/>
      <c r="BC279" s="86"/>
      <c r="BD279" s="86"/>
      <c r="BE279" s="86"/>
      <c r="BF279" s="86"/>
      <c r="BG279" s="86"/>
      <c r="BH279" s="86"/>
      <c r="BI279" s="86"/>
      <c r="BJ279" s="86"/>
      <c r="BK279" s="86"/>
      <c r="BL279" s="86"/>
      <c r="BM279" s="86"/>
      <c r="BN279" s="86"/>
      <c r="BO279" s="86"/>
      <c r="BP279" s="86"/>
      <c r="BQ279" s="86"/>
      <c r="BR279" s="86"/>
      <c r="BS279" s="86"/>
      <c r="BT279" s="86"/>
      <c r="BU279" s="86"/>
      <c r="BV279" s="86"/>
      <c r="BW279" s="86"/>
      <c r="BX279" s="86"/>
      <c r="BY279" s="87"/>
      <c r="BZ279" s="87"/>
      <c r="CA279" s="85" t="n">
        <v>0</v>
      </c>
      <c r="CB279" s="85" t="n">
        <v>0</v>
      </c>
      <c r="CC279" s="85" t="n">
        <v>0</v>
      </c>
      <c r="CD279" s="85" t="n">
        <v>-100</v>
      </c>
      <c r="CE279" s="85" t="n">
        <v>0</v>
      </c>
      <c r="CF279" s="21"/>
    </row>
    <row r="280" customFormat="false" ht="15" hidden="false" customHeight="true" outlineLevel="0" collapsed="false">
      <c r="B280" s="22" t="s">
        <v>450</v>
      </c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  <c r="BA280" s="86"/>
      <c r="BB280" s="86"/>
      <c r="BC280" s="86"/>
      <c r="BD280" s="86"/>
      <c r="BE280" s="86"/>
      <c r="BF280" s="86"/>
      <c r="BG280" s="86"/>
      <c r="BH280" s="86"/>
      <c r="BI280" s="86"/>
      <c r="BJ280" s="86"/>
      <c r="BK280" s="86"/>
      <c r="BL280" s="86"/>
      <c r="BM280" s="86"/>
      <c r="BN280" s="86"/>
      <c r="BO280" s="86"/>
      <c r="BP280" s="86"/>
      <c r="BQ280" s="86"/>
      <c r="BR280" s="86"/>
      <c r="BS280" s="86"/>
      <c r="BT280" s="86"/>
      <c r="BU280" s="86"/>
      <c r="BV280" s="86"/>
      <c r="BW280" s="86"/>
      <c r="BX280" s="86"/>
      <c r="BY280" s="87"/>
      <c r="BZ280" s="87"/>
      <c r="CA280" s="67" t="n">
        <f aca="false">-CA279*1</f>
        <v>-0</v>
      </c>
      <c r="CB280" s="67" t="n">
        <f aca="false">-CB279*1</f>
        <v>-0</v>
      </c>
      <c r="CC280" s="67" t="n">
        <f aca="false">-CC279*1</f>
        <v>-0</v>
      </c>
      <c r="CD280" s="67" t="n">
        <f aca="false">-CD279*1</f>
        <v>100</v>
      </c>
      <c r="CE280" s="67" t="n">
        <f aca="false">-CE279*1</f>
        <v>-0</v>
      </c>
      <c r="CF280" s="21"/>
    </row>
    <row r="281" customFormat="false" ht="15" hidden="false" customHeight="true" outlineLevel="0" collapsed="false">
      <c r="B281" s="22" t="s">
        <v>451</v>
      </c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  <c r="BA281" s="86"/>
      <c r="BB281" s="86"/>
      <c r="BC281" s="86"/>
      <c r="BD281" s="86"/>
      <c r="BE281" s="86"/>
      <c r="BF281" s="86"/>
      <c r="BG281" s="86"/>
      <c r="BH281" s="86"/>
      <c r="BI281" s="86"/>
      <c r="BJ281" s="86"/>
      <c r="BK281" s="86"/>
      <c r="BL281" s="86"/>
      <c r="BM281" s="86"/>
      <c r="BN281" s="86"/>
      <c r="BO281" s="86"/>
      <c r="BP281" s="86"/>
      <c r="BQ281" s="86"/>
      <c r="BR281" s="86"/>
      <c r="BS281" s="86"/>
      <c r="BT281" s="86"/>
      <c r="BU281" s="86"/>
      <c r="BV281" s="83" t="n">
        <v>63</v>
      </c>
      <c r="BW281" s="83" t="n">
        <v>12</v>
      </c>
      <c r="BX281" s="83" t="n">
        <v>0</v>
      </c>
      <c r="BY281" s="87"/>
      <c r="BZ281" s="87"/>
      <c r="CA281" s="67" t="n">
        <f aca="false">MAX(0,BX281+$CP$30-CA284)</f>
        <v>0</v>
      </c>
      <c r="CB281" s="67" t="n">
        <f aca="false">MAX(0,CA281+$CP$30-CB284)</f>
        <v>0</v>
      </c>
      <c r="CC281" s="67" t="n">
        <f aca="false">MAX(0,CB281+$CP$30-CC284)</f>
        <v>0</v>
      </c>
      <c r="CD281" s="67" t="n">
        <f aca="false">MAX(0,CC281+$CP$30-CD284)</f>
        <v>0</v>
      </c>
      <c r="CE281" s="67" t="n">
        <f aca="false">MAX(0,CD281+$CP$30-CE284)</f>
        <v>0</v>
      </c>
      <c r="CF281" s="21" t="s">
        <v>452</v>
      </c>
    </row>
    <row r="282" customFormat="false" ht="15" hidden="false" customHeight="true" outlineLevel="0" collapsed="false">
      <c r="B282" s="22" t="s">
        <v>453</v>
      </c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  <c r="BA282" s="86"/>
      <c r="BB282" s="86"/>
      <c r="BC282" s="86"/>
      <c r="BD282" s="86"/>
      <c r="BE282" s="86"/>
      <c r="BF282" s="86"/>
      <c r="BG282" s="86"/>
      <c r="BH282" s="86"/>
      <c r="BI282" s="86"/>
      <c r="BJ282" s="86"/>
      <c r="BK282" s="86"/>
      <c r="BL282" s="86"/>
      <c r="BM282" s="86"/>
      <c r="BN282" s="86"/>
      <c r="BO282" s="86"/>
      <c r="BP282" s="86"/>
      <c r="BQ282" s="86"/>
      <c r="BR282" s="86"/>
      <c r="BS282" s="86"/>
      <c r="BT282" s="86"/>
      <c r="BU282" s="86"/>
      <c r="BV282" s="83" t="n">
        <v>0.98</v>
      </c>
      <c r="BW282" s="86"/>
      <c r="BX282" s="83" t="n">
        <v>0.124</v>
      </c>
      <c r="BY282" s="87"/>
      <c r="BZ282" s="87"/>
      <c r="CA282" s="67" t="n">
        <f aca="false">BX282</f>
        <v>0.124</v>
      </c>
      <c r="CB282" s="67" t="n">
        <f aca="false">CA282</f>
        <v>0.124</v>
      </c>
      <c r="CC282" s="67" t="n">
        <f aca="false">CB282</f>
        <v>0.124</v>
      </c>
      <c r="CD282" s="67" t="n">
        <f aca="false">CC282</f>
        <v>0.124</v>
      </c>
      <c r="CE282" s="67" t="n">
        <f aca="false">CD282</f>
        <v>0.124</v>
      </c>
      <c r="CF282" s="21"/>
    </row>
    <row r="283" customFormat="false" ht="15" hidden="false" customHeight="true" outlineLevel="0" collapsed="false">
      <c r="B283" s="17" t="s">
        <v>454</v>
      </c>
      <c r="C283" s="68" t="n">
        <f aca="false">IF(ISNUMBER(C248),C248+N(C245),"")</f>
        <v>109.984</v>
      </c>
      <c r="D283" s="68" t="n">
        <f aca="false">IF(ISNUMBER(D248),D248+N(D245),"")</f>
        <v>172.845</v>
      </c>
      <c r="E283" s="68" t="n">
        <f aca="false">IF(ISNUMBER(E248),E248+N(E245),"")</f>
        <v>136.399</v>
      </c>
      <c r="F283" s="68" t="n">
        <f aca="false">IF(ISNUMBER(F248),F248+N(F245),"")</f>
        <v>90</v>
      </c>
      <c r="G283" s="68" t="n">
        <f aca="false">IF(ISNUMBER(G248),G248+N(G245),"")</f>
        <v>90</v>
      </c>
      <c r="H283" s="68" t="n">
        <f aca="false">IF(ISNUMBER(H248),H248+N(H245),"")</f>
        <v>72.857</v>
      </c>
      <c r="I283" s="68" t="n">
        <f aca="false">IF(ISNUMBER(I248),I248+N(I245),"")</f>
        <v>60.705</v>
      </c>
      <c r="J283" s="68" t="n">
        <f aca="false">IF(ISNUMBER(J248),J248+N(J245),"")</f>
        <v>58.756</v>
      </c>
      <c r="K283" s="68" t="n">
        <f aca="false">IF(ISNUMBER(K248),K248+N(K245),"")</f>
        <v>99.021</v>
      </c>
      <c r="L283" s="68" t="n">
        <f aca="false">IF(ISNUMBER(L248),L248+N(L245),"")</f>
        <v>91.506</v>
      </c>
      <c r="M283" s="68" t="n">
        <f aca="false">IF(ISNUMBER(M248),M248+N(M245),"")</f>
        <v>76.883</v>
      </c>
      <c r="N283" s="68" t="n">
        <f aca="false">IF(ISNUMBER(N248),N248+N(N245),"")</f>
        <v>76.883</v>
      </c>
      <c r="O283" s="68" t="n">
        <f aca="false">IF(ISNUMBER(O248),O248+N(O245),"")</f>
        <v>79.719</v>
      </c>
      <c r="P283" s="68" t="n">
        <f aca="false">IF(ISNUMBER(P248),P248+N(P245),"")</f>
        <v>95.74</v>
      </c>
      <c r="Q283" s="68" t="n">
        <f aca="false">IF(ISNUMBER(Q248),Q248+N(Q245),"")</f>
        <v>73.308</v>
      </c>
      <c r="R283" s="68" t="n">
        <f aca="false">IF(ISNUMBER(R248),R248+N(R245),"")</f>
        <v>83.035</v>
      </c>
      <c r="S283" s="68" t="n">
        <f aca="false">IF(ISNUMBER(S248),S248+N(S245),"")</f>
        <v>83.035</v>
      </c>
      <c r="T283" s="68" t="n">
        <f aca="false">IF(ISNUMBER(T248),T248+N(T245),"")</f>
        <v>107.636</v>
      </c>
      <c r="U283" s="68" t="n">
        <f aca="false">IF(ISNUMBER(U248),U248+N(U245),"")</f>
        <v>108.634</v>
      </c>
      <c r="V283" s="68" t="n">
        <f aca="false">IF(ISNUMBER(V248),V248+N(V245),"")</f>
        <v>81.194</v>
      </c>
      <c r="W283" s="68" t="n">
        <f aca="false">IF(ISNUMBER(W248),W248+N(W245),"")</f>
        <v>68.972</v>
      </c>
      <c r="X283" s="68" t="n">
        <f aca="false">IF(ISNUMBER(X248),X248+N(X245),"")</f>
        <v>68.972</v>
      </c>
      <c r="Y283" s="68" t="n">
        <f aca="false">IF(ISNUMBER(Y248),Y248+N(Y245),"")</f>
        <v>116.439</v>
      </c>
      <c r="Z283" s="68" t="n">
        <f aca="false">IF(ISNUMBER(Z248),Z248+N(Z245),"")</f>
        <v>139.374</v>
      </c>
      <c r="AA283" s="68" t="n">
        <f aca="false">IF(ISNUMBER(AA248),AA248+N(AA245),"")</f>
        <v>94.238</v>
      </c>
      <c r="AB283" s="68" t="n">
        <f aca="false">IF(ISNUMBER(AB248),AB248+N(AB245),"")</f>
        <v>73.803</v>
      </c>
      <c r="AC283" s="68" t="n">
        <f aca="false">IF(ISNUMBER(AC248),AC248+N(AC245),"")</f>
        <v>73.803</v>
      </c>
      <c r="AD283" s="68" t="n">
        <f aca="false">IF(ISNUMBER(AD248),AD248+N(AD245),"")</f>
        <v>156.921</v>
      </c>
      <c r="AE283" s="68" t="n">
        <f aca="false">IF(ISNUMBER(AE248),AE248+N(AE245),"")</f>
        <v>148.368</v>
      </c>
      <c r="AF283" s="68" t="n">
        <f aca="false">IF(ISNUMBER(AF248),AF248+N(AF245),"")</f>
        <v>127.233</v>
      </c>
      <c r="AG283" s="68" t="n">
        <f aca="false">IF(ISNUMBER(AG248),AG248+N(AG245),"")</f>
        <v>132.916</v>
      </c>
      <c r="AH283" s="68" t="n">
        <f aca="false">IF(ISNUMBER(AH248),AH248+N(AH245),"")</f>
        <v>132.916</v>
      </c>
      <c r="AI283" s="68" t="n">
        <f aca="false">IF(ISNUMBER(AI248),AI248+N(AI245),"")</f>
        <v>142.572</v>
      </c>
      <c r="AJ283" s="68" t="n">
        <f aca="false">IF(ISNUMBER(AJ248),AJ248+N(AJ245),"")</f>
        <v>155</v>
      </c>
      <c r="AK283" s="68" t="n">
        <f aca="false">IF(ISNUMBER(AK248),AK248+N(AK245),"")</f>
        <v>121.337</v>
      </c>
      <c r="AL283" s="68" t="n">
        <f aca="false">IF(ISNUMBER(AL248),AL248+N(AL245),"")</f>
        <v>122.859</v>
      </c>
      <c r="AM283" s="68" t="n">
        <f aca="false">IF(ISNUMBER(AM248),AM248+N(AM245),"")</f>
        <v>122.859</v>
      </c>
      <c r="AN283" s="68" t="n">
        <f aca="false">IF(ISNUMBER(AN248),AN248+N(AN245),"")</f>
        <v>148.878</v>
      </c>
      <c r="AO283" s="68" t="n">
        <f aca="false">IF(ISNUMBER(AO248),AO248+N(AO245),"")</f>
        <v>179.879</v>
      </c>
      <c r="AP283" s="68" t="n">
        <f aca="false">IF(ISNUMBER(AP248),AP248+N(AP245),"")</f>
        <v>165.265</v>
      </c>
      <c r="AQ283" s="68" t="n">
        <f aca="false">IF(ISNUMBER(AQ248),AQ248+N(AQ245),"")</f>
        <v>136.43</v>
      </c>
      <c r="AR283" s="68" t="n">
        <f aca="false">IF(ISNUMBER(AR248),AR248+N(AR245),"")</f>
        <v>136.43</v>
      </c>
      <c r="AS283" s="68" t="n">
        <f aca="false">IF(ISNUMBER(AS248),AS248+N(AS245),"")</f>
        <v>235.767</v>
      </c>
      <c r="AT283" s="68" t="n">
        <f aca="false">IF(ISNUMBER(AT248),AT248+N(AT245),"")</f>
        <v>160.839</v>
      </c>
      <c r="AU283" s="68" t="n">
        <f aca="false">IF(ISNUMBER(AU248),AU248+N(AU245),"")</f>
        <v>120.921</v>
      </c>
      <c r="AV283" s="68" t="n">
        <f aca="false">IF(ISNUMBER(AV248),AV248+N(AV245),"")</f>
        <v>70.976</v>
      </c>
      <c r="AW283" s="68" t="n">
        <f aca="false">IF(ISNUMBER(AW248),AW248+N(AW245),"")</f>
        <v>70.976</v>
      </c>
      <c r="AX283" s="68" t="n">
        <f aca="false">IF(ISNUMBER(AX248),AX248+N(AX245),"")</f>
        <v>66.017</v>
      </c>
      <c r="AY283" s="68" t="n">
        <f aca="false">IF(ISNUMBER(AY248),AY248+N(AY245),"")</f>
        <v>61.026</v>
      </c>
      <c r="AZ283" s="68" t="n">
        <f aca="false">IF(ISNUMBER(AZ248),AZ248+N(AZ245),"")</f>
        <v>55.171</v>
      </c>
      <c r="BA283" s="68" t="n">
        <f aca="false">IF(ISNUMBER(BA248),BA248+N(BA245),"")</f>
        <v>50.404</v>
      </c>
      <c r="BB283" s="68" t="n">
        <f aca="false">IF(ISNUMBER(BB248),BB248+N(BB245),"")</f>
        <v>50.404</v>
      </c>
      <c r="BC283" s="68" t="n">
        <f aca="false">IF(ISNUMBER(BC248),BC248+N(BC245),"")</f>
        <v>44.879</v>
      </c>
      <c r="BD283" s="68" t="n">
        <f aca="false">IF(ISNUMBER(BD248),BD248+N(BD245),"")</f>
        <v>39.295</v>
      </c>
      <c r="BE283" s="68" t="n">
        <f aca="false">IF(ISNUMBER(BE248),BE248+N(BE245),"")</f>
        <v>34.85</v>
      </c>
      <c r="BF283" s="68" t="n">
        <f aca="false">IF(ISNUMBER(BF248),BF248+N(BF245),"")</f>
        <v>31.008</v>
      </c>
      <c r="BG283" s="68" t="n">
        <f aca="false">IF(ISNUMBER(BG248),BG248+N(BG245),"")</f>
        <v>31.008</v>
      </c>
      <c r="BH283" s="68" t="n">
        <f aca="false">IF(ISNUMBER(BH248),BH248+N(BH245),"")</f>
        <v>26.504</v>
      </c>
      <c r="BI283" s="68" t="n">
        <f aca="false">IF(ISNUMBER(BI248),BI248+N(BI245),"")</f>
        <v>21.358</v>
      </c>
      <c r="BJ283" s="68" t="n">
        <f aca="false">IF(ISNUMBER(BJ248),BJ248+N(BJ245),"")</f>
        <v>18.934</v>
      </c>
      <c r="BK283" s="68" t="n">
        <f aca="false">IF(ISNUMBER(BK248),BK248+N(BK245),"")</f>
        <v>16.488</v>
      </c>
      <c r="BL283" s="68" t="n">
        <f aca="false">IF(ISNUMBER(BL248),BL248+N(BL245),"")</f>
        <v>16.488</v>
      </c>
      <c r="BM283" s="68" t="n">
        <f aca="false">IF(ISNUMBER(BM248),BM248+N(BM245),"")</f>
        <v>84.051</v>
      </c>
      <c r="BN283" s="68" t="n">
        <f aca="false">IF(ISNUMBER(BN248),BN248+N(BN245),"")</f>
        <v>176.675</v>
      </c>
      <c r="BO283" s="68" t="n">
        <f aca="false">IF(ISNUMBER(BO248),BO248+N(BO245),"")</f>
        <v>190.963</v>
      </c>
      <c r="BP283" s="68" t="n">
        <f aca="false">IF(ISNUMBER(BP248),BP248+N(BP245),"")</f>
        <v>200.294</v>
      </c>
      <c r="BQ283" s="68" t="n">
        <f aca="false">IF(ISNUMBER(BQ248),BQ248+N(BQ245),"")</f>
        <v>200.294</v>
      </c>
      <c r="BR283" s="68" t="n">
        <f aca="false">IF(ISNUMBER(BR248),BR248+N(BR245),"")</f>
        <v>295.527</v>
      </c>
      <c r="BS283" s="68" t="n">
        <f aca="false">IF(ISNUMBER(BS248),BS248+N(BS245),"")</f>
        <v>309.091</v>
      </c>
      <c r="BT283" s="68" t="n">
        <f aca="false">IF(ISNUMBER(BT248),BT248+N(BT245),"")</f>
        <v>219.199</v>
      </c>
      <c r="BU283" s="68" t="n">
        <f aca="false">IF(ISNUMBER(BU248),BU248+N(BU245),"")</f>
        <v>163.98</v>
      </c>
      <c r="BV283" s="68" t="n">
        <f aca="false">IF(ISNUMBER(BV248),BV248+N(BV245),"")</f>
        <v>163.98</v>
      </c>
      <c r="BW283" s="68" t="n">
        <f aca="false">IF(ISNUMBER(BW248),BW248+N(BW245),"")</f>
        <v>112.759</v>
      </c>
      <c r="BX283" s="68" t="n">
        <f aca="false">IF(ISNUMBER(BX248),BX248+N(BX245),"")</f>
        <v>100.124</v>
      </c>
      <c r="BY283" s="105"/>
      <c r="BZ283" s="105"/>
      <c r="CA283" s="69" t="n">
        <f aca="false">CA278+CA281+CA282</f>
        <v>100.124</v>
      </c>
      <c r="CB283" s="69" t="n">
        <f aca="false">CB278+CB281+CB282</f>
        <v>100.124</v>
      </c>
      <c r="CC283" s="69" t="n">
        <f aca="false">CC278+CC281+CC282</f>
        <v>100.124</v>
      </c>
      <c r="CD283" s="69" t="n">
        <f aca="false">CD278+CD281+CD282</f>
        <v>100.124</v>
      </c>
      <c r="CE283" s="69" t="n">
        <f aca="false">CE278+CE281+CE282</f>
        <v>100.124</v>
      </c>
      <c r="CF283" s="21"/>
    </row>
    <row r="284" customFormat="false" ht="15" hidden="false" customHeight="true" outlineLevel="0" collapsed="false">
      <c r="B284" s="22" t="s">
        <v>455</v>
      </c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  <c r="BA284" s="86"/>
      <c r="BB284" s="86"/>
      <c r="BC284" s="86"/>
      <c r="BD284" s="86"/>
      <c r="BE284" s="86"/>
      <c r="BF284" s="86"/>
      <c r="BG284" s="86"/>
      <c r="BH284" s="86"/>
      <c r="BI284" s="86"/>
      <c r="BJ284" s="86"/>
      <c r="BK284" s="86"/>
      <c r="BL284" s="86"/>
      <c r="BM284" s="86"/>
      <c r="BN284" s="86"/>
      <c r="BO284" s="86"/>
      <c r="BP284" s="86"/>
      <c r="BQ284" s="86"/>
      <c r="BR284" s="86"/>
      <c r="BS284" s="86"/>
      <c r="BT284" s="86"/>
      <c r="BU284" s="86"/>
      <c r="BV284" s="86"/>
      <c r="BW284" s="86"/>
      <c r="BX284" s="86"/>
      <c r="BY284" s="87"/>
      <c r="BZ284" s="87"/>
      <c r="CA284" s="67" t="n">
        <f aca="false">$BX$231+(CA192-$BW$192-$BX$192)+(CA197-$BW$197-$BX$197)+CA279+CA280-CA293</f>
        <v>154.578543829036</v>
      </c>
      <c r="CB284" s="67" t="n">
        <f aca="false">CA231+CB192+CB197+CB200+CB202+CB203+CB279+CB280-CB293</f>
        <v>100.124</v>
      </c>
      <c r="CC284" s="67" t="n">
        <f aca="false">CB231+CC192+CC197+CC200+CC202+CC203+CC279+CC280-CC293</f>
        <v>100.124</v>
      </c>
      <c r="CD284" s="67" t="n">
        <f aca="false">CC231+CD192+CD197+CD200+CD202+CD203+CD279+CD280-CD293</f>
        <v>100.124</v>
      </c>
      <c r="CE284" s="67" t="n">
        <f aca="false">CD231+CE192+CE197+CE200+CE202+CE203+CE279+CE280-CE293</f>
        <v>100.124</v>
      </c>
      <c r="CF284" s="21"/>
    </row>
    <row r="285" customFormat="false" ht="15" hidden="false" customHeight="true" outlineLevel="0" collapsed="false">
      <c r="B285" s="22" t="s">
        <v>456</v>
      </c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115"/>
      <c r="AS285" s="115"/>
      <c r="AT285" s="115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115"/>
      <c r="BK285" s="115"/>
      <c r="BL285" s="115"/>
      <c r="BM285" s="115"/>
      <c r="BN285" s="115"/>
      <c r="BO285" s="115"/>
      <c r="BP285" s="115"/>
      <c r="BQ285" s="115"/>
      <c r="BR285" s="115"/>
      <c r="BS285" s="115"/>
      <c r="BT285" s="115"/>
      <c r="BU285" s="115"/>
      <c r="BV285" s="115"/>
      <c r="BW285" s="115"/>
      <c r="BX285" s="115"/>
      <c r="BY285" s="116"/>
      <c r="BZ285" s="116"/>
      <c r="CA285" s="117"/>
      <c r="CB285" s="118" t="n">
        <v>0.0609</v>
      </c>
      <c r="CC285" s="118" t="n">
        <v>0.0609</v>
      </c>
      <c r="CD285" s="118" t="n">
        <v>0.0609</v>
      </c>
      <c r="CE285" s="118" t="n">
        <v>0.0609</v>
      </c>
      <c r="CF285" s="21"/>
    </row>
    <row r="286" customFormat="false" ht="15" hidden="false" customHeight="true" outlineLevel="0" collapsed="false">
      <c r="B286" s="22" t="s">
        <v>457</v>
      </c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115"/>
      <c r="AS286" s="115"/>
      <c r="AT286" s="115"/>
      <c r="AU286" s="115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115"/>
      <c r="BK286" s="115"/>
      <c r="BL286" s="115"/>
      <c r="BM286" s="115"/>
      <c r="BN286" s="115"/>
      <c r="BO286" s="115"/>
      <c r="BP286" s="115"/>
      <c r="BQ286" s="115"/>
      <c r="BR286" s="115"/>
      <c r="BS286" s="115"/>
      <c r="BT286" s="115"/>
      <c r="BU286" s="115"/>
      <c r="BV286" s="115"/>
      <c r="BW286" s="115"/>
      <c r="BX286" s="115"/>
      <c r="BY286" s="116"/>
      <c r="BZ286" s="116"/>
      <c r="CA286" s="117"/>
      <c r="CB286" s="118" t="n">
        <v>0.055</v>
      </c>
      <c r="CC286" s="118" t="n">
        <v>0.055</v>
      </c>
      <c r="CD286" s="118" t="n">
        <v>0.055</v>
      </c>
      <c r="CE286" s="118" t="n">
        <v>0.055</v>
      </c>
      <c r="CF286" s="21"/>
    </row>
    <row r="287" customFormat="false" ht="15" hidden="false" customHeight="true" outlineLevel="0" collapsed="false">
      <c r="B287" s="22" t="s">
        <v>458</v>
      </c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  <c r="BA287" s="86"/>
      <c r="BB287" s="86"/>
      <c r="BC287" s="86"/>
      <c r="BD287" s="86"/>
      <c r="BE287" s="86"/>
      <c r="BF287" s="86"/>
      <c r="BG287" s="86"/>
      <c r="BH287" s="86"/>
      <c r="BI287" s="86"/>
      <c r="BJ287" s="86"/>
      <c r="BK287" s="86"/>
      <c r="BL287" s="86"/>
      <c r="BM287" s="86"/>
      <c r="BN287" s="86"/>
      <c r="BO287" s="86"/>
      <c r="BP287" s="86"/>
      <c r="BQ287" s="86"/>
      <c r="BR287" s="86"/>
      <c r="BS287" s="86"/>
      <c r="BT287" s="86"/>
      <c r="BU287" s="86"/>
      <c r="BV287" s="86"/>
      <c r="BW287" s="86"/>
      <c r="BX287" s="86"/>
      <c r="BY287" s="87"/>
      <c r="BZ287" s="87"/>
      <c r="CA287" s="88"/>
      <c r="CB287" s="85" t="n">
        <v>1.2</v>
      </c>
      <c r="CC287" s="85" t="n">
        <v>1.2</v>
      </c>
      <c r="CD287" s="85" t="n">
        <v>1.2</v>
      </c>
      <c r="CE287" s="85" t="n">
        <v>1.2</v>
      </c>
      <c r="CF287" s="21"/>
    </row>
    <row r="288" customFormat="false" ht="15" hidden="false" customHeight="true" outlineLevel="0" collapsed="false">
      <c r="B288" s="22" t="s">
        <v>459</v>
      </c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115"/>
      <c r="AS288" s="115"/>
      <c r="AT288" s="115"/>
      <c r="AU288" s="115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115"/>
      <c r="BK288" s="115"/>
      <c r="BL288" s="115"/>
      <c r="BM288" s="115"/>
      <c r="BN288" s="115"/>
      <c r="BO288" s="115"/>
      <c r="BP288" s="115"/>
      <c r="BQ288" s="115"/>
      <c r="BR288" s="115"/>
      <c r="BS288" s="115"/>
      <c r="BT288" s="115"/>
      <c r="BU288" s="115"/>
      <c r="BV288" s="115"/>
      <c r="BW288" s="115"/>
      <c r="BX288" s="115"/>
      <c r="BY288" s="116"/>
      <c r="BZ288" s="116"/>
      <c r="CA288" s="117"/>
      <c r="CB288" s="118" t="n">
        <v>0.03</v>
      </c>
      <c r="CC288" s="118" t="n">
        <v>0.03</v>
      </c>
      <c r="CD288" s="118" t="n">
        <v>0.03</v>
      </c>
      <c r="CE288" s="118" t="n">
        <v>0.03</v>
      </c>
      <c r="CF288" s="21"/>
    </row>
    <row r="289" customFormat="false" ht="15" hidden="false" customHeight="true" outlineLevel="0" collapsed="false">
      <c r="B289" s="37" t="s">
        <v>460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90"/>
      <c r="BM289" s="42"/>
      <c r="BN289" s="42"/>
      <c r="BO289" s="42"/>
      <c r="BP289" s="42"/>
      <c r="BQ289" s="42"/>
      <c r="BR289" s="90"/>
      <c r="BS289" s="90"/>
      <c r="BT289" s="42"/>
      <c r="BU289" s="42"/>
      <c r="BV289" s="42"/>
      <c r="BW289" s="42"/>
      <c r="BX289" s="42"/>
      <c r="BY289" s="43"/>
      <c r="BZ289" s="43"/>
      <c r="CA289" s="43"/>
      <c r="CB289" s="43"/>
      <c r="CC289" s="43"/>
      <c r="CD289" s="43"/>
      <c r="CE289" s="43"/>
      <c r="CF289" s="21"/>
    </row>
    <row r="290" customFormat="false" ht="15" hidden="false" customHeight="true" outlineLevel="0" collapsed="false">
      <c r="B290" s="22" t="s">
        <v>461</v>
      </c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  <c r="AP290" s="119"/>
      <c r="AQ290" s="119"/>
      <c r="AR290" s="119"/>
      <c r="AS290" s="119"/>
      <c r="AT290" s="119"/>
      <c r="AU290" s="119"/>
      <c r="AV290" s="119"/>
      <c r="AW290" s="119"/>
      <c r="AX290" s="119"/>
      <c r="AY290" s="119"/>
      <c r="AZ290" s="119"/>
      <c r="BA290" s="119"/>
      <c r="BB290" s="119"/>
      <c r="BC290" s="119"/>
      <c r="BD290" s="119"/>
      <c r="BE290" s="119"/>
      <c r="BF290" s="119"/>
      <c r="BG290" s="119"/>
      <c r="BH290" s="119"/>
      <c r="BI290" s="119"/>
      <c r="BJ290" s="119"/>
      <c r="BK290" s="119"/>
      <c r="BL290" s="119"/>
      <c r="BM290" s="119"/>
      <c r="BN290" s="119"/>
      <c r="BO290" s="119"/>
      <c r="BP290" s="119"/>
      <c r="BQ290" s="119"/>
      <c r="BR290" s="119"/>
      <c r="BS290" s="119"/>
      <c r="BT290" s="119"/>
      <c r="BU290" s="119"/>
      <c r="BV290" s="119"/>
      <c r="BW290" s="119"/>
      <c r="BX290" s="119"/>
      <c r="BY290" s="108"/>
      <c r="BZ290" s="108"/>
      <c r="CA290" s="109" t="n">
        <f aca="false">CHOOSE(MATCH($CF$2,{"Bull","Base","Bear"},0),$CO$33,$CP$33,$CQ$33)</f>
        <v>0</v>
      </c>
      <c r="CB290" s="109" t="n">
        <f aca="false">CHOOSE(MATCH($CF$2,{"Bull","Base","Bear"},0),$CO$33,$CP$33,$CQ$33)</f>
        <v>0</v>
      </c>
      <c r="CC290" s="109" t="n">
        <f aca="false">CHOOSE(MATCH($CF$2,{"Bull","Base","Bear"},0),$CO$33,$CP$33,$CQ$33)</f>
        <v>0</v>
      </c>
      <c r="CD290" s="109" t="n">
        <f aca="false">CHOOSE(MATCH($CF$2,{"Bull","Base","Bear"},0),$CO$33,$CP$33,$CQ$33)</f>
        <v>0</v>
      </c>
      <c r="CE290" s="109" t="n">
        <f aca="false">CHOOSE(MATCH($CF$2,{"Bull","Base","Bear"},0),$CO$33,$CP$33,$CQ$33)</f>
        <v>0</v>
      </c>
      <c r="CF290" s="21"/>
    </row>
    <row r="291" customFormat="false" ht="15" hidden="false" customHeight="true" outlineLevel="0" collapsed="false">
      <c r="B291" s="22" t="s">
        <v>462</v>
      </c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86"/>
      <c r="BX291" s="86"/>
      <c r="BY291" s="87"/>
      <c r="BZ291" s="87"/>
      <c r="CA291" s="67" t="n">
        <f aca="false">$BX$283-$BX$231-((CA192-$BW$192-$BX$192)+(CA197-$BW$197-$BX$197))</f>
        <v>-54.4545438290364</v>
      </c>
      <c r="CB291" s="67" t="n">
        <f aca="false">CA283-CA231-CB192-CB197-CB202-CB203-CB200</f>
        <v>-323.489530761159</v>
      </c>
      <c r="CC291" s="67" t="n">
        <f aca="false">CB283-CB231-CC192-CC197-CC202-CC203-CC200</f>
        <v>-292.49462287463</v>
      </c>
      <c r="CD291" s="67" t="n">
        <f aca="false">CC283-CC231-CD192-CD197-CD202-CD203-CD200</f>
        <v>-268.168904279493</v>
      </c>
      <c r="CE291" s="67" t="n">
        <f aca="false">CD283-CD231-CE192-CE197-CE202-CE203-CE200</f>
        <v>-314.376887499386</v>
      </c>
      <c r="CF291" s="21"/>
    </row>
    <row r="292" customFormat="false" ht="15" hidden="false" customHeight="true" outlineLevel="0" collapsed="false">
      <c r="B292" s="22" t="s">
        <v>463</v>
      </c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  <c r="BF292" s="86"/>
      <c r="BG292" s="86"/>
      <c r="BH292" s="86"/>
      <c r="BI292" s="86"/>
      <c r="BJ292" s="86"/>
      <c r="BK292" s="86"/>
      <c r="BL292" s="86"/>
      <c r="BM292" s="86"/>
      <c r="BN292" s="86"/>
      <c r="BO292" s="86"/>
      <c r="BP292" s="86"/>
      <c r="BQ292" s="86"/>
      <c r="BR292" s="86"/>
      <c r="BS292" s="86"/>
      <c r="BT292" s="86"/>
      <c r="BU292" s="86"/>
      <c r="BV292" s="86"/>
      <c r="BW292" s="86"/>
      <c r="BX292" s="86"/>
      <c r="BY292" s="87"/>
      <c r="BZ292" s="87"/>
      <c r="CA292" s="67" t="n">
        <f aca="false">CA290*CA145</f>
        <v>0</v>
      </c>
      <c r="CB292" s="67" t="n">
        <f aca="false">CB290*CB145</f>
        <v>0</v>
      </c>
      <c r="CC292" s="67" t="n">
        <f aca="false">CC290*CC145</f>
        <v>0</v>
      </c>
      <c r="CD292" s="67" t="n">
        <f aca="false">CD290*CD145</f>
        <v>0</v>
      </c>
      <c r="CE292" s="67" t="n">
        <f aca="false">CE290*CE145</f>
        <v>0</v>
      </c>
      <c r="CF292" s="21"/>
    </row>
    <row r="293" customFormat="false" ht="15" hidden="false" customHeight="true" outlineLevel="0" collapsed="false">
      <c r="B293" s="17" t="s">
        <v>464</v>
      </c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120"/>
      <c r="BV293" s="120"/>
      <c r="BW293" s="120"/>
      <c r="BX293" s="120"/>
      <c r="BY293" s="105"/>
      <c r="BZ293" s="105"/>
      <c r="CA293" s="69" t="n">
        <f aca="false">CHOOSE(MATCH($CF$2,{"Bull","Base","Bear"},0),$CO$20,$CP$20,$CQ$20)</f>
        <v>0</v>
      </c>
      <c r="CB293" s="69" t="n">
        <f aca="false">MAX(0,CB292-CB291)</f>
        <v>323.489530761159</v>
      </c>
      <c r="CC293" s="69" t="n">
        <f aca="false">MAX(0,CC292-CC291)</f>
        <v>292.49462287463</v>
      </c>
      <c r="CD293" s="69" t="n">
        <f aca="false">MAX(0,CD292-CD291)</f>
        <v>268.168904279493</v>
      </c>
      <c r="CE293" s="69" t="n">
        <f aca="false">MAX(0,CE292-CE291)</f>
        <v>314.376887499386</v>
      </c>
      <c r="CF293" s="21" t="s">
        <v>465</v>
      </c>
    </row>
    <row r="294" customFormat="false" ht="15" hidden="false" customHeight="true" outlineLevel="0" collapsed="false"/>
    <row r="295" customFormat="false" ht="15" hidden="false" customHeight="true" outlineLevel="0" collapsed="false">
      <c r="B295" s="11" t="s">
        <v>466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 t="s">
        <v>467</v>
      </c>
    </row>
    <row r="296" customFormat="false" ht="15" hidden="false" customHeight="true" outlineLevel="0" collapsed="false">
      <c r="B296" s="37" t="s">
        <v>468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90"/>
      <c r="BM296" s="42"/>
      <c r="BN296" s="42"/>
      <c r="BO296" s="42"/>
      <c r="BP296" s="42"/>
      <c r="BQ296" s="42"/>
      <c r="BR296" s="90"/>
      <c r="BS296" s="90"/>
      <c r="BT296" s="42"/>
      <c r="BU296" s="42"/>
      <c r="BV296" s="42"/>
      <c r="BW296" s="42"/>
      <c r="BX296" s="42"/>
      <c r="BY296" s="43"/>
      <c r="BZ296" s="43"/>
      <c r="CA296" s="43"/>
      <c r="CB296" s="43"/>
      <c r="CC296" s="43"/>
      <c r="CD296" s="43"/>
      <c r="CE296" s="43"/>
      <c r="CF296" s="21"/>
    </row>
    <row r="297" customFormat="false" ht="15" hidden="false" customHeight="true" outlineLevel="0" collapsed="false">
      <c r="B297" s="22" t="s">
        <v>469</v>
      </c>
      <c r="C297" s="65" t="n">
        <f aca="false">C150</f>
        <v>55.3380000000003</v>
      </c>
      <c r="D297" s="65" t="n">
        <f aca="false">D150</f>
        <v>40.9529999999999</v>
      </c>
      <c r="E297" s="65" t="n">
        <f aca="false">E150</f>
        <v>25.2410000000001</v>
      </c>
      <c r="F297" s="65" t="n">
        <f aca="false">F150</f>
        <v>-15.785</v>
      </c>
      <c r="G297" s="65" t="n">
        <f aca="false">G150</f>
        <v>12.535</v>
      </c>
      <c r="H297" s="65" t="n">
        <f aca="false">H150</f>
        <v>28.198</v>
      </c>
      <c r="I297" s="65" t="n">
        <f aca="false">I150</f>
        <v>58.9460000000002</v>
      </c>
      <c r="J297" s="86"/>
      <c r="K297" s="86"/>
      <c r="L297" s="86"/>
      <c r="M297" s="86"/>
      <c r="N297" s="65" t="n">
        <f aca="false">N150</f>
        <v>74.6349999999999</v>
      </c>
      <c r="O297" s="86"/>
      <c r="P297" s="86"/>
      <c r="Q297" s="86"/>
      <c r="R297" s="86"/>
      <c r="S297" s="65" t="n">
        <f aca="false">S150</f>
        <v>85.792</v>
      </c>
      <c r="T297" s="86"/>
      <c r="U297" s="86"/>
      <c r="V297" s="86"/>
      <c r="W297" s="86"/>
      <c r="X297" s="65" t="n">
        <f aca="false">X150</f>
        <v>90.0699999999999</v>
      </c>
      <c r="Y297" s="86"/>
      <c r="Z297" s="86"/>
      <c r="AA297" s="86"/>
      <c r="AB297" s="86"/>
      <c r="AC297" s="65" t="n">
        <f aca="false">AC150</f>
        <v>79.313</v>
      </c>
      <c r="AD297" s="86"/>
      <c r="AE297" s="86"/>
      <c r="AF297" s="86"/>
      <c r="AG297" s="86"/>
      <c r="AH297" s="65" t="n">
        <f aca="false">AH150</f>
        <v>94.8290000000001</v>
      </c>
      <c r="AI297" s="86"/>
      <c r="AJ297" s="86"/>
      <c r="AK297" s="86"/>
      <c r="AL297" s="86"/>
      <c r="AM297" s="65" t="n">
        <f aca="false">AM150</f>
        <v>141.251</v>
      </c>
      <c r="AN297" s="86"/>
      <c r="AO297" s="86"/>
      <c r="AP297" s="86"/>
      <c r="AQ297" s="86"/>
      <c r="AR297" s="65" t="n">
        <f aca="false">AR150</f>
        <v>153.34</v>
      </c>
      <c r="AS297" s="86"/>
      <c r="AT297" s="86"/>
      <c r="AU297" s="86"/>
      <c r="AV297" s="86"/>
      <c r="AW297" s="65" t="n">
        <f aca="false">AW150</f>
        <v>181.455</v>
      </c>
      <c r="AX297" s="86"/>
      <c r="AY297" s="86"/>
      <c r="AZ297" s="86"/>
      <c r="BA297" s="86"/>
      <c r="BB297" s="65" t="n">
        <f aca="false">BB150</f>
        <v>331.718</v>
      </c>
      <c r="BC297" s="86"/>
      <c r="BD297" s="86"/>
      <c r="BE297" s="86"/>
      <c r="BF297" s="86"/>
      <c r="BG297" s="65" t="n">
        <f aca="false">BG150</f>
        <v>470.658999999999</v>
      </c>
      <c r="BH297" s="86"/>
      <c r="BI297" s="86"/>
      <c r="BJ297" s="86"/>
      <c r="BK297" s="86"/>
      <c r="BL297" s="65" t="n">
        <f aca="false">BL150</f>
        <v>462.554000000001</v>
      </c>
      <c r="BM297" s="86"/>
      <c r="BN297" s="86"/>
      <c r="BO297" s="86"/>
      <c r="BP297" s="86"/>
      <c r="BQ297" s="65" t="n">
        <f aca="false">BQ150</f>
        <v>483.889</v>
      </c>
      <c r="BR297" s="86"/>
      <c r="BS297" s="86"/>
      <c r="BT297" s="86"/>
      <c r="BU297" s="86"/>
      <c r="BV297" s="65" t="n">
        <f aca="false">BV150</f>
        <v>339.179</v>
      </c>
      <c r="BW297" s="86"/>
      <c r="BX297" s="86"/>
      <c r="BY297" s="87"/>
      <c r="BZ297" s="87"/>
      <c r="CA297" s="67" t="n">
        <f aca="false">CA150</f>
        <v>431.329757448687</v>
      </c>
      <c r="CB297" s="67" t="n">
        <f aca="false">CB150</f>
        <v>531.608432699796</v>
      </c>
      <c r="CC297" s="67" t="n">
        <f aca="false">CC150</f>
        <v>569.780806104527</v>
      </c>
      <c r="CD297" s="67" t="n">
        <f aca="false">CD150</f>
        <v>619.71060109905</v>
      </c>
      <c r="CE297" s="67" t="n">
        <f aca="false">CE150</f>
        <v>706.750919083235</v>
      </c>
      <c r="CF297" s="21"/>
    </row>
    <row r="298" customFormat="false" ht="15" hidden="false" customHeight="true" outlineLevel="0" collapsed="false">
      <c r="B298" s="22" t="s">
        <v>470</v>
      </c>
      <c r="C298" s="59" t="n">
        <f aca="false">C156</f>
        <v>0.383579920425033</v>
      </c>
      <c r="D298" s="59" t="n">
        <f aca="false">D156</f>
        <v>0.398224789545984</v>
      </c>
      <c r="E298" s="59" t="n">
        <f aca="false">E156</f>
        <v>0.15</v>
      </c>
      <c r="F298" s="59" t="n">
        <f aca="false">F156</f>
        <v>0.4</v>
      </c>
      <c r="G298" s="59" t="n">
        <f aca="false">G156</f>
        <v>0.15</v>
      </c>
      <c r="H298" s="59" t="n">
        <f aca="false">H156</f>
        <v>0.3585448392555</v>
      </c>
      <c r="I298" s="59" t="n">
        <f aca="false">I156</f>
        <v>0.373315864604313</v>
      </c>
      <c r="J298" s="38"/>
      <c r="K298" s="38"/>
      <c r="L298" s="38"/>
      <c r="M298" s="38"/>
      <c r="N298" s="59" t="n">
        <f aca="false">N156</f>
        <v>0.359791620808571</v>
      </c>
      <c r="O298" s="38"/>
      <c r="P298" s="38"/>
      <c r="Q298" s="38"/>
      <c r="R298" s="38"/>
      <c r="S298" s="59" t="n">
        <f aca="false">S156</f>
        <v>0.359937459989166</v>
      </c>
      <c r="T298" s="38"/>
      <c r="U298" s="38"/>
      <c r="V298" s="38"/>
      <c r="W298" s="38"/>
      <c r="X298" s="59" t="n">
        <f aca="false">X156</f>
        <v>0.360003722531787</v>
      </c>
      <c r="Y298" s="38"/>
      <c r="Z298" s="38"/>
      <c r="AA298" s="38"/>
      <c r="AB298" s="38"/>
      <c r="AC298" s="59" t="n">
        <f aca="false">AC156</f>
        <v>0.358987706723261</v>
      </c>
      <c r="AD298" s="38"/>
      <c r="AE298" s="38"/>
      <c r="AF298" s="38"/>
      <c r="AG298" s="38"/>
      <c r="AH298" s="59" t="n">
        <f aca="false">AH156</f>
        <v>0.15</v>
      </c>
      <c r="AI298" s="38"/>
      <c r="AJ298" s="38"/>
      <c r="AK298" s="38"/>
      <c r="AL298" s="38"/>
      <c r="AM298" s="59" t="n">
        <f aca="false">AM156</f>
        <v>0.227131845722321</v>
      </c>
      <c r="AN298" s="38"/>
      <c r="AO298" s="38"/>
      <c r="AP298" s="38"/>
      <c r="AQ298" s="38"/>
      <c r="AR298" s="59" t="n">
        <f aca="false">AR156</f>
        <v>0.22456563838202</v>
      </c>
      <c r="AS298" s="38"/>
      <c r="AT298" s="38"/>
      <c r="AU298" s="38"/>
      <c r="AV298" s="38"/>
      <c r="AW298" s="59" t="n">
        <f aca="false">AW156</f>
        <v>0.21521687334778</v>
      </c>
      <c r="AX298" s="38"/>
      <c r="AY298" s="38"/>
      <c r="AZ298" s="38"/>
      <c r="BA298" s="38"/>
      <c r="BB298" s="59" t="n">
        <f aca="false">BB156</f>
        <v>0.239015785535485</v>
      </c>
      <c r="BC298" s="38"/>
      <c r="BD298" s="38"/>
      <c r="BE298" s="38"/>
      <c r="BF298" s="38"/>
      <c r="BG298" s="59" t="n">
        <f aca="false">BG156</f>
        <v>0.236356100229037</v>
      </c>
      <c r="BH298" s="38"/>
      <c r="BI298" s="38"/>
      <c r="BJ298" s="38"/>
      <c r="BK298" s="38"/>
      <c r="BL298" s="59" t="n">
        <f aca="false">BL156</f>
        <v>0.238875054426277</v>
      </c>
      <c r="BM298" s="38"/>
      <c r="BN298" s="38"/>
      <c r="BO298" s="38"/>
      <c r="BP298" s="38"/>
      <c r="BQ298" s="59" t="n">
        <f aca="false">BQ156</f>
        <v>0.239372027360885</v>
      </c>
      <c r="BR298" s="38"/>
      <c r="BS298" s="38"/>
      <c r="BT298" s="38"/>
      <c r="BU298" s="38"/>
      <c r="BV298" s="59" t="n">
        <f aca="false">BV156</f>
        <v>0.244089167103847</v>
      </c>
      <c r="BW298" s="38"/>
      <c r="BX298" s="38"/>
      <c r="BY298" s="41"/>
      <c r="BZ298" s="41"/>
      <c r="CA298" s="30" t="n">
        <f aca="false">CA103</f>
        <v>0.244307869210884</v>
      </c>
      <c r="CB298" s="30" t="n">
        <f aca="false">CB103</f>
        <v>0.245</v>
      </c>
      <c r="CC298" s="30" t="n">
        <f aca="false">CC103</f>
        <v>0.245</v>
      </c>
      <c r="CD298" s="30" t="n">
        <f aca="false">CD103</f>
        <v>0.245</v>
      </c>
      <c r="CE298" s="30" t="n">
        <f aca="false">CE103</f>
        <v>0.245</v>
      </c>
      <c r="CF298" s="21"/>
    </row>
    <row r="299" customFormat="false" ht="15" hidden="false" customHeight="true" outlineLevel="0" collapsed="false">
      <c r="B299" s="17" t="s">
        <v>471</v>
      </c>
      <c r="C299" s="68" t="n">
        <f aca="false">IFERROR(C297*(1-C298),"n/a")</f>
        <v>34.1114543635197</v>
      </c>
      <c r="D299" s="68" t="n">
        <f aca="false">IFERROR(D297*(1-D298),"n/a")</f>
        <v>24.6445001937232</v>
      </c>
      <c r="E299" s="68" t="n">
        <f aca="false">IFERROR(E297*(1-E298),"n/a")</f>
        <v>21.4548500000001</v>
      </c>
      <c r="F299" s="68" t="n">
        <f aca="false">IFERROR(F297*(1-F298),"n/a")</f>
        <v>-9.47099999999999</v>
      </c>
      <c r="G299" s="68" t="n">
        <f aca="false">IFERROR(G297*(1-G298),"n/a")</f>
        <v>10.65475</v>
      </c>
      <c r="H299" s="68" t="n">
        <f aca="false">IFERROR(H297*(1-H298),"n/a")</f>
        <v>18.0877526226734</v>
      </c>
      <c r="I299" s="68" t="n">
        <f aca="false">IFERROR(I297*(1-I298),"n/a")</f>
        <v>36.9405230450343</v>
      </c>
      <c r="J299" s="120"/>
      <c r="K299" s="120"/>
      <c r="L299" s="120"/>
      <c r="M299" s="120"/>
      <c r="N299" s="68" t="n">
        <f aca="false">IFERROR(N297*(1-N298),"n/a")</f>
        <v>47.7819523809523</v>
      </c>
      <c r="O299" s="120"/>
      <c r="P299" s="120"/>
      <c r="Q299" s="120"/>
      <c r="R299" s="120"/>
      <c r="S299" s="68" t="n">
        <f aca="false">IFERROR(S297*(1-S298),"n/a")</f>
        <v>54.9122454326094</v>
      </c>
      <c r="T299" s="120"/>
      <c r="U299" s="120"/>
      <c r="V299" s="120"/>
      <c r="W299" s="120"/>
      <c r="X299" s="68" t="n">
        <f aca="false">IFERROR(X297*(1-X298),"n/a")</f>
        <v>57.6444647115619</v>
      </c>
      <c r="Y299" s="120"/>
      <c r="Z299" s="120"/>
      <c r="AA299" s="120"/>
      <c r="AB299" s="120"/>
      <c r="AC299" s="68" t="n">
        <f aca="false">IFERROR(AC297*(1-AC298),"n/a")</f>
        <v>50.840608016658</v>
      </c>
      <c r="AD299" s="120"/>
      <c r="AE299" s="120"/>
      <c r="AF299" s="120"/>
      <c r="AG299" s="120"/>
      <c r="AH299" s="68" t="n">
        <f aca="false">IFERROR(AH297*(1-AH298),"n/a")</f>
        <v>80.6046500000001</v>
      </c>
      <c r="AI299" s="120"/>
      <c r="AJ299" s="120"/>
      <c r="AK299" s="120"/>
      <c r="AL299" s="120"/>
      <c r="AM299" s="68" t="n">
        <f aca="false">IFERROR(AM297*(1-AM298),"n/a")</f>
        <v>109.168399659877</v>
      </c>
      <c r="AN299" s="120"/>
      <c r="AO299" s="120"/>
      <c r="AP299" s="120"/>
      <c r="AQ299" s="120"/>
      <c r="AR299" s="68" t="n">
        <f aca="false">IFERROR(AR297*(1-AR298),"n/a")</f>
        <v>118.905105010501</v>
      </c>
      <c r="AS299" s="120"/>
      <c r="AT299" s="120"/>
      <c r="AU299" s="120"/>
      <c r="AV299" s="120"/>
      <c r="AW299" s="68" t="n">
        <f aca="false">IFERROR(AW297*(1-AW298),"n/a")</f>
        <v>142.402822246679</v>
      </c>
      <c r="AX299" s="120"/>
      <c r="AY299" s="120"/>
      <c r="AZ299" s="120"/>
      <c r="BA299" s="120"/>
      <c r="BB299" s="68" t="n">
        <f aca="false">IFERROR(BB297*(1-BB298),"n/a")</f>
        <v>252.43216165374</v>
      </c>
      <c r="BC299" s="120"/>
      <c r="BD299" s="120"/>
      <c r="BE299" s="120"/>
      <c r="BF299" s="120"/>
      <c r="BG299" s="68" t="n">
        <f aca="false">IFERROR(BG297*(1-BG298),"n/a")</f>
        <v>359.415874222301</v>
      </c>
      <c r="BH299" s="120"/>
      <c r="BI299" s="120"/>
      <c r="BJ299" s="120"/>
      <c r="BK299" s="120"/>
      <c r="BL299" s="68" t="n">
        <f aca="false">IFERROR(BL297*(1-BL298),"n/a")</f>
        <v>352.061388074908</v>
      </c>
      <c r="BM299" s="120"/>
      <c r="BN299" s="120"/>
      <c r="BO299" s="120"/>
      <c r="BP299" s="120"/>
      <c r="BQ299" s="68" t="n">
        <f aca="false">IFERROR(BQ297*(1-BQ298),"n/a")</f>
        <v>368.059509052369</v>
      </c>
      <c r="BR299" s="120"/>
      <c r="BS299" s="120"/>
      <c r="BT299" s="120"/>
      <c r="BU299" s="120"/>
      <c r="BV299" s="68" t="n">
        <f aca="false">IFERROR(BV297*(1-BV298),"n/a")</f>
        <v>256.389080390884</v>
      </c>
      <c r="BW299" s="120"/>
      <c r="BX299" s="120"/>
      <c r="BY299" s="105"/>
      <c r="BZ299" s="105"/>
      <c r="CA299" s="69" t="n">
        <f aca="false">IFERROR(CA297*(1-CA298),"n/a")</f>
        <v>325.952503479151</v>
      </c>
      <c r="CB299" s="69" t="n">
        <f aca="false">IFERROR(CB297*(1-CB298),"n/a")</f>
        <v>401.364366688346</v>
      </c>
      <c r="CC299" s="69" t="n">
        <f aca="false">IFERROR(CC297*(1-CC298),"n/a")</f>
        <v>430.184508608918</v>
      </c>
      <c r="CD299" s="69" t="n">
        <f aca="false">IFERROR(CD297*(1-CD298),"n/a")</f>
        <v>467.881503829783</v>
      </c>
      <c r="CE299" s="69" t="n">
        <f aca="false">IFERROR(CE297*(1-CE298),"n/a")</f>
        <v>533.596943907843</v>
      </c>
      <c r="CF299" s="21"/>
    </row>
    <row r="300" customFormat="false" ht="15" hidden="false" customHeight="true" outlineLevel="0" collapsed="false">
      <c r="B300" s="22" t="s">
        <v>472</v>
      </c>
      <c r="C300" s="65" t="n">
        <f aca="false">IFERROR(C257+C301,"n/a")</f>
        <v>302.47</v>
      </c>
      <c r="D300" s="65" t="n">
        <f aca="false">IFERROR(D257+D301,"n/a")</f>
        <v>366.841</v>
      </c>
      <c r="E300" s="65" t="n">
        <f aca="false">IFERROR(E257+E301,"n/a")</f>
        <v>292.91</v>
      </c>
      <c r="F300" s="65" t="n">
        <f aca="false">IFERROR(F257+F301,"n/a")</f>
        <v>283.935</v>
      </c>
      <c r="G300" s="65" t="n">
        <f aca="false">IFERROR(G257+G301,"n/a")</f>
        <v>267.313</v>
      </c>
      <c r="H300" s="65" t="n">
        <f aca="false">IFERROR(H257+H301,"n/a")</f>
        <v>290.841</v>
      </c>
      <c r="I300" s="65" t="n">
        <f aca="false">IFERROR(I257+I301,"n/a")</f>
        <v>314.903</v>
      </c>
      <c r="J300" s="86"/>
      <c r="K300" s="86"/>
      <c r="L300" s="86"/>
      <c r="M300" s="86"/>
      <c r="N300" s="65" t="n">
        <f aca="false">IFERROR(N257+N301,"n/a")</f>
        <v>381.516</v>
      </c>
      <c r="O300" s="86"/>
      <c r="P300" s="86"/>
      <c r="Q300" s="86"/>
      <c r="R300" s="86"/>
      <c r="S300" s="65" t="n">
        <f aca="false">IFERROR(S257+S301,"n/a")</f>
        <v>445.574</v>
      </c>
      <c r="T300" s="86"/>
      <c r="U300" s="86"/>
      <c r="V300" s="86"/>
      <c r="W300" s="86"/>
      <c r="X300" s="65" t="n">
        <f aca="false">IFERROR(X257+X301,"n/a")</f>
        <v>496.737</v>
      </c>
      <c r="Y300" s="86"/>
      <c r="Z300" s="86"/>
      <c r="AA300" s="86"/>
      <c r="AB300" s="86"/>
      <c r="AC300" s="65" t="n">
        <f aca="false">IFERROR(AC257+AC301,"n/a")</f>
        <v>555.342</v>
      </c>
      <c r="AD300" s="86"/>
      <c r="AE300" s="86"/>
      <c r="AF300" s="86"/>
      <c r="AG300" s="86"/>
      <c r="AH300" s="65" t="n">
        <f aca="false">IFERROR(AH257+AH301,"n/a")</f>
        <v>710.743</v>
      </c>
      <c r="AI300" s="86"/>
      <c r="AJ300" s="86"/>
      <c r="AK300" s="86"/>
      <c r="AL300" s="86"/>
      <c r="AM300" s="65" t="n">
        <f aca="false">IFERROR(AM257+AM301,"n/a")</f>
        <v>816.529</v>
      </c>
      <c r="AN300" s="86"/>
      <c r="AO300" s="86"/>
      <c r="AP300" s="86"/>
      <c r="AQ300" s="86"/>
      <c r="AR300" s="65" t="n">
        <f aca="false">IFERROR(AR257+AR301,"n/a")</f>
        <v>951.408</v>
      </c>
      <c r="AS300" s="86"/>
      <c r="AT300" s="86"/>
      <c r="AU300" s="86"/>
      <c r="AV300" s="86"/>
      <c r="AW300" s="65" t="n">
        <f aca="false">IFERROR(AW257+AW301,"n/a")</f>
        <v>1006.956</v>
      </c>
      <c r="AX300" s="86"/>
      <c r="AY300" s="86"/>
      <c r="AZ300" s="86"/>
      <c r="BA300" s="86"/>
      <c r="BB300" s="65" t="n">
        <f aca="false">IFERROR(BB257+BB301,"n/a")</f>
        <v>1164.149</v>
      </c>
      <c r="BC300" s="86"/>
      <c r="BD300" s="86"/>
      <c r="BE300" s="86"/>
      <c r="BF300" s="86"/>
      <c r="BG300" s="65" t="n">
        <f aca="false">IFERROR(BG257+BG301,"n/a")</f>
        <v>1422.959</v>
      </c>
      <c r="BH300" s="86"/>
      <c r="BI300" s="86"/>
      <c r="BJ300" s="86"/>
      <c r="BK300" s="86"/>
      <c r="BL300" s="65" t="n">
        <f aca="false">IFERROR(BL257+BL301,"n/a")</f>
        <v>1661.767</v>
      </c>
      <c r="BM300" s="86"/>
      <c r="BN300" s="86"/>
      <c r="BO300" s="86"/>
      <c r="BP300" s="86"/>
      <c r="BQ300" s="65" t="n">
        <f aca="false">IFERROR(BQ257+BQ301,"n/a")</f>
        <v>2492.092</v>
      </c>
      <c r="BR300" s="86"/>
      <c r="BS300" s="86"/>
      <c r="BT300" s="86"/>
      <c r="BU300" s="86"/>
      <c r="BV300" s="65" t="n">
        <f aca="false">IFERROR(BV257+BV301,"n/a")</f>
        <v>2721.959</v>
      </c>
      <c r="BW300" s="86"/>
      <c r="BX300" s="86"/>
      <c r="BY300" s="87"/>
      <c r="BZ300" s="87"/>
      <c r="CA300" s="67" t="n">
        <f aca="false">IFERROR(CA257+CA301,"n/a")</f>
        <v>2858.28819283024</v>
      </c>
      <c r="CB300" s="67" t="n">
        <f aca="false">IFERROR(CB257+CB301,"n/a")</f>
        <v>3002.63458639948</v>
      </c>
      <c r="CC300" s="67" t="n">
        <f aca="false">IFERROR(CC257+CC301,"n/a")</f>
        <v>3152.28872076953</v>
      </c>
      <c r="CD300" s="67" t="n">
        <f aca="false">IFERROR(CD257+CD301,"n/a")</f>
        <v>3365.39590731785</v>
      </c>
      <c r="CE300" s="67" t="n">
        <f aca="false">IFERROR(CE257+CE301,"n/a")</f>
        <v>3599.7750773934</v>
      </c>
      <c r="CF300" s="21"/>
    </row>
    <row r="301" customFormat="false" ht="15" hidden="false" customHeight="true" outlineLevel="0" collapsed="false">
      <c r="B301" s="22" t="s">
        <v>473</v>
      </c>
      <c r="C301" s="65" t="n">
        <f aca="false">IFERROR(C283-C231,"n/a")</f>
        <v>99.315</v>
      </c>
      <c r="D301" s="65" t="n">
        <f aca="false">IFERROR(D283-D231,"n/a")</f>
        <v>166.189</v>
      </c>
      <c r="E301" s="65" t="n">
        <f aca="false">IFERROR(E283-E231,"n/a")</f>
        <v>109.338</v>
      </c>
      <c r="F301" s="65" t="n">
        <f aca="false">IFERROR(F283-F231,"n/a")</f>
        <v>81.254</v>
      </c>
      <c r="G301" s="65" t="n">
        <f aca="false">IFERROR(G283-G231,"n/a")</f>
        <v>60.955</v>
      </c>
      <c r="H301" s="65" t="n">
        <f aca="false">IFERROR(H283-H231,"n/a")</f>
        <v>71.54</v>
      </c>
      <c r="I301" s="65" t="n">
        <f aca="false">IFERROR(I283-I231,"n/a")</f>
        <v>60.384</v>
      </c>
      <c r="J301" s="86"/>
      <c r="K301" s="86"/>
      <c r="L301" s="86"/>
      <c r="M301" s="86"/>
      <c r="N301" s="65" t="n">
        <f aca="false">IFERROR(N283-N231,"n/a")</f>
        <v>76.724</v>
      </c>
      <c r="O301" s="86"/>
      <c r="P301" s="86"/>
      <c r="Q301" s="86"/>
      <c r="R301" s="86"/>
      <c r="S301" s="65" t="n">
        <f aca="false">IFERROR(S283-S231,"n/a")</f>
        <v>78.668</v>
      </c>
      <c r="T301" s="86"/>
      <c r="U301" s="86"/>
      <c r="V301" s="86"/>
      <c r="W301" s="86"/>
      <c r="X301" s="65" t="n">
        <f aca="false">IFERROR(X283-X231,"n/a")</f>
        <v>68.848</v>
      </c>
      <c r="Y301" s="86"/>
      <c r="Z301" s="86"/>
      <c r="AA301" s="86"/>
      <c r="AB301" s="86"/>
      <c r="AC301" s="65" t="n">
        <f aca="false">IFERROR(AC283-AC231,"n/a")</f>
        <v>72.264</v>
      </c>
      <c r="AD301" s="86"/>
      <c r="AE301" s="86"/>
      <c r="AF301" s="86"/>
      <c r="AG301" s="86"/>
      <c r="AH301" s="65" t="n">
        <f aca="false">IFERROR(AH283-AH231,"n/a")</f>
        <v>128.196</v>
      </c>
      <c r="AI301" s="86"/>
      <c r="AJ301" s="86"/>
      <c r="AK301" s="86"/>
      <c r="AL301" s="86"/>
      <c r="AM301" s="65" t="n">
        <f aca="false">IFERROR(AM283-AM231,"n/a")</f>
        <v>120.665</v>
      </c>
      <c r="AN301" s="86"/>
      <c r="AO301" s="86"/>
      <c r="AP301" s="86"/>
      <c r="AQ301" s="86"/>
      <c r="AR301" s="65" t="n">
        <f aca="false">IFERROR(AR283-AR231,"n/a")</f>
        <v>136.182</v>
      </c>
      <c r="AS301" s="86"/>
      <c r="AT301" s="86"/>
      <c r="AU301" s="86"/>
      <c r="AV301" s="86"/>
      <c r="AW301" s="65" t="n">
        <f aca="false">IFERROR(AW283-AW231,"n/a")</f>
        <v>45.668</v>
      </c>
      <c r="AX301" s="86"/>
      <c r="AY301" s="86"/>
      <c r="AZ301" s="86"/>
      <c r="BA301" s="86"/>
      <c r="BB301" s="65" t="n">
        <f aca="false">IFERROR(BB283-BB231,"n/a")</f>
        <v>-56.184</v>
      </c>
      <c r="BC301" s="86"/>
      <c r="BD301" s="86"/>
      <c r="BE301" s="86"/>
      <c r="BF301" s="86"/>
      <c r="BG301" s="65" t="n">
        <f aca="false">IFERROR(BG283-BG231,"n/a")</f>
        <v>-156.382</v>
      </c>
      <c r="BH301" s="86"/>
      <c r="BI301" s="86"/>
      <c r="BJ301" s="86"/>
      <c r="BK301" s="86"/>
      <c r="BL301" s="65" t="n">
        <f aca="false">IFERROR(BL283-BL231,"n/a")</f>
        <v>-279.727</v>
      </c>
      <c r="BM301" s="86"/>
      <c r="BN301" s="86"/>
      <c r="BO301" s="86"/>
      <c r="BP301" s="86"/>
      <c r="BQ301" s="65" t="n">
        <f aca="false">IFERROR(BQ283-BQ231,"n/a")</f>
        <v>180.821</v>
      </c>
      <c r="BR301" s="86"/>
      <c r="BS301" s="86"/>
      <c r="BT301" s="86"/>
      <c r="BU301" s="86"/>
      <c r="BV301" s="65" t="n">
        <f aca="false">IFERROR(BV283-BV231,"n/a")</f>
        <v>144.26</v>
      </c>
      <c r="BW301" s="86"/>
      <c r="BX301" s="86"/>
      <c r="BY301" s="87"/>
      <c r="BZ301" s="87"/>
      <c r="CA301" s="67" t="n">
        <f aca="false">CA283-CA231</f>
        <v>-54.4545438290364</v>
      </c>
      <c r="CB301" s="67" t="n">
        <f aca="false">CB283-CB231</f>
        <v>0</v>
      </c>
      <c r="CC301" s="67" t="n">
        <f aca="false">CC283-CC231</f>
        <v>0</v>
      </c>
      <c r="CD301" s="67" t="n">
        <f aca="false">CD283-CD231</f>
        <v>0</v>
      </c>
      <c r="CE301" s="67" t="n">
        <f aca="false">CE283-CE231</f>
        <v>0</v>
      </c>
      <c r="CF301" s="21"/>
    </row>
    <row r="302" customFormat="false" ht="15" hidden="false" customHeight="true" outlineLevel="0" collapsed="false">
      <c r="B302" s="71" t="s">
        <v>474</v>
      </c>
      <c r="C302" s="121" t="n">
        <f aca="false">IFERROR(C299/C300,"n/a")</f>
        <v>0.11277632282051</v>
      </c>
      <c r="D302" s="121" t="n">
        <f aca="false">IFERROR(D299/D300,"n/a")</f>
        <v>0.0671803320613651</v>
      </c>
      <c r="E302" s="121" t="n">
        <f aca="false">IFERROR(E299/E300,"n/a")</f>
        <v>0.0732472431804995</v>
      </c>
      <c r="F302" s="121" t="n">
        <f aca="false">IFERROR(F299/F300,"n/a")</f>
        <v>-0.0333562258967721</v>
      </c>
      <c r="G302" s="121" t="n">
        <f aca="false">IFERROR(G299/G300,"n/a")</f>
        <v>0.039858704963844</v>
      </c>
      <c r="H302" s="121" t="n">
        <f aca="false">IFERROR(H299/H300,"n/a")</f>
        <v>0.0621912062696573</v>
      </c>
      <c r="I302" s="121" t="n">
        <f aca="false">IFERROR(I299/I300,"n/a")</f>
        <v>0.117307625030674</v>
      </c>
      <c r="J302" s="122"/>
      <c r="K302" s="122"/>
      <c r="L302" s="122"/>
      <c r="M302" s="122"/>
      <c r="N302" s="121" t="n">
        <f aca="false">IFERROR(N299/N300,"n/a")</f>
        <v>0.125242328974282</v>
      </c>
      <c r="O302" s="122"/>
      <c r="P302" s="122"/>
      <c r="Q302" s="122"/>
      <c r="R302" s="122"/>
      <c r="S302" s="121" t="n">
        <f aca="false">IFERROR(S299/S300,"n/a")</f>
        <v>0.123239339442179</v>
      </c>
      <c r="T302" s="122"/>
      <c r="U302" s="122"/>
      <c r="V302" s="122"/>
      <c r="W302" s="122"/>
      <c r="X302" s="121" t="n">
        <f aca="false">IFERROR(X299/X300,"n/a")</f>
        <v>0.116046247232563</v>
      </c>
      <c r="Y302" s="122"/>
      <c r="Z302" s="122"/>
      <c r="AA302" s="122"/>
      <c r="AB302" s="122"/>
      <c r="AC302" s="121" t="n">
        <f aca="false">IFERROR(AC299/AC300,"n/a")</f>
        <v>0.0915482855909655</v>
      </c>
      <c r="AD302" s="122"/>
      <c r="AE302" s="122"/>
      <c r="AF302" s="122"/>
      <c r="AG302" s="122"/>
      <c r="AH302" s="121" t="n">
        <f aca="false">IFERROR(AH299/AH300,"n/a")</f>
        <v>0.113408995938054</v>
      </c>
      <c r="AI302" s="122"/>
      <c r="AJ302" s="122"/>
      <c r="AK302" s="122"/>
      <c r="AL302" s="122"/>
      <c r="AM302" s="121" t="n">
        <f aca="false">IFERROR(AM299/AM300,"n/a")</f>
        <v>0.133698129104878</v>
      </c>
      <c r="AN302" s="122"/>
      <c r="AO302" s="122"/>
      <c r="AP302" s="122"/>
      <c r="AQ302" s="122"/>
      <c r="AR302" s="121" t="n">
        <f aca="false">IFERROR(AR299/AR300,"n/a")</f>
        <v>0.124978037824468</v>
      </c>
      <c r="AS302" s="122"/>
      <c r="AT302" s="122"/>
      <c r="AU302" s="122"/>
      <c r="AV302" s="122"/>
      <c r="AW302" s="121" t="n">
        <f aca="false">IFERROR(AW299/AW300,"n/a")</f>
        <v>0.141419110911181</v>
      </c>
      <c r="AX302" s="122"/>
      <c r="AY302" s="122"/>
      <c r="AZ302" s="122"/>
      <c r="BA302" s="122"/>
      <c r="BB302" s="121" t="n">
        <f aca="false">IFERROR(BB299/BB300,"n/a")</f>
        <v>0.216838361458662</v>
      </c>
      <c r="BC302" s="122"/>
      <c r="BD302" s="122"/>
      <c r="BE302" s="122"/>
      <c r="BF302" s="122"/>
      <c r="BG302" s="121" t="n">
        <f aca="false">IFERROR(BG299/BG300,"n/a")</f>
        <v>0.252583436502599</v>
      </c>
      <c r="BH302" s="122"/>
      <c r="BI302" s="122"/>
      <c r="BJ302" s="122"/>
      <c r="BK302" s="122"/>
      <c r="BL302" s="121" t="n">
        <f aca="false">IFERROR(BL299/BL300,"n/a")</f>
        <v>0.211859657867143</v>
      </c>
      <c r="BM302" s="122"/>
      <c r="BN302" s="122"/>
      <c r="BO302" s="122"/>
      <c r="BP302" s="122"/>
      <c r="BQ302" s="121" t="n">
        <f aca="false">IFERROR(BQ299/BQ300,"n/a")</f>
        <v>0.147690979728023</v>
      </c>
      <c r="BR302" s="122"/>
      <c r="BS302" s="122"/>
      <c r="BT302" s="122"/>
      <c r="BU302" s="122"/>
      <c r="BV302" s="121" t="n">
        <f aca="false">IFERROR(BV299/BV300,"n/a")</f>
        <v>0.094192851689127</v>
      </c>
      <c r="BW302" s="122"/>
      <c r="BX302" s="122"/>
      <c r="BY302" s="123"/>
      <c r="BZ302" s="123"/>
      <c r="CA302" s="121" t="n">
        <f aca="false">IFERROR(CA299/CA300,"n/a")</f>
        <v>0.114037662226214</v>
      </c>
      <c r="CB302" s="121" t="n">
        <f aca="false">IFERROR(CB299/CB300,"n/a")</f>
        <v>0.133670733197552</v>
      </c>
      <c r="CC302" s="121" t="n">
        <f aca="false">IFERROR(CC299/CC300,"n/a")</f>
        <v>0.136467356487544</v>
      </c>
      <c r="CD302" s="121" t="n">
        <f aca="false">IFERROR(CD299/CD300,"n/a")</f>
        <v>0.139027180371974</v>
      </c>
      <c r="CE302" s="121" t="n">
        <f aca="false">IFERROR(CE299/CE300,"n/a")</f>
        <v>0.148230634535706</v>
      </c>
      <c r="CF302" s="21"/>
      <c r="CH302" s="64" t="n">
        <f aca="false">IFERROR(AVERAGE(CA302,CB302,CC302,CD302,CE302),"n/m")</f>
        <v>0.134286713363798</v>
      </c>
      <c r="CI302" s="64" t="n">
        <f aca="false">IFERROR(AVERAGE(BB302,BG302,BL302,BQ302,BV302),"n/m")</f>
        <v>0.184633057449111</v>
      </c>
      <c r="CJ302" s="64" t="n">
        <f aca="false">IFERROR(AVERAGE(AC302,AH302,AM302,AR302,AW302,BB302,BG302,BL302,BQ302,BV302),"n/m")</f>
        <v>0.15282178466151</v>
      </c>
      <c r="CK302" s="64" t="n">
        <f aca="false">IFERROR(AVERAGE(C302,D302,E302,F302,G302,H302,I302,N302,S302,X302,AC302,AH302,AM302,AR302,AW302,BB302,BG302,BL302,BQ302,BV302),"n/m")</f>
        <v>0.116597548534695</v>
      </c>
    </row>
    <row r="303" customFormat="false" ht="15" hidden="false" customHeight="true" outlineLevel="0" collapsed="false">
      <c r="B303" s="22" t="s">
        <v>475</v>
      </c>
      <c r="C303" s="59" t="n">
        <f aca="false">IFERROR(C297/C81,"n/a")</f>
        <v>0.0632623711328424</v>
      </c>
      <c r="D303" s="59" t="n">
        <f aca="false">IFERROR(D297/D81,"n/a")</f>
        <v>0.0419547536529719</v>
      </c>
      <c r="E303" s="59" t="n">
        <f aca="false">IFERROR(E297/E81,"n/a")</f>
        <v>0.0244958128764846</v>
      </c>
      <c r="F303" s="59" t="n">
        <f aca="false">IFERROR(F297/F81,"n/a")</f>
        <v>-0.018589374438403</v>
      </c>
      <c r="G303" s="59" t="n">
        <f aca="false">IFERROR(G297/G81,"n/a")</f>
        <v>0.0138867347617043</v>
      </c>
      <c r="H303" s="59" t="n">
        <f aca="false">IFERROR(H297/H81,"n/a")</f>
        <v>0.0273707465560887</v>
      </c>
      <c r="I303" s="59" t="n">
        <f aca="false">IFERROR(I297/I81,"n/a")</f>
        <v>0.0536517035458038</v>
      </c>
      <c r="J303" s="38"/>
      <c r="K303" s="38"/>
      <c r="L303" s="38"/>
      <c r="M303" s="38"/>
      <c r="N303" s="59" t="n">
        <f aca="false">IFERROR(N297/N81,"n/a")</f>
        <v>0.0655213704926897</v>
      </c>
      <c r="O303" s="38"/>
      <c r="P303" s="38"/>
      <c r="Q303" s="38"/>
      <c r="R303" s="38"/>
      <c r="S303" s="59" t="n">
        <f aca="false">IFERROR(S297/S81,"n/a")</f>
        <v>0.067429524467489</v>
      </c>
      <c r="T303" s="38"/>
      <c r="U303" s="38"/>
      <c r="V303" s="38"/>
      <c r="W303" s="38"/>
      <c r="X303" s="59" t="n">
        <f aca="false">IFERROR(X297/X81,"n/a")</f>
        <v>0.073748619311543</v>
      </c>
      <c r="Y303" s="38"/>
      <c r="Z303" s="38"/>
      <c r="AA303" s="38"/>
      <c r="AB303" s="38"/>
      <c r="AC303" s="59" t="n">
        <f aca="false">IFERROR(AC297/AC81,"n/a")</f>
        <v>0.0650917002398888</v>
      </c>
      <c r="AD303" s="38"/>
      <c r="AE303" s="38"/>
      <c r="AF303" s="38"/>
      <c r="AG303" s="38"/>
      <c r="AH303" s="59" t="n">
        <f aca="false">IFERROR(AH297/AH81,"n/a")</f>
        <v>0.0687909409434825</v>
      </c>
      <c r="AI303" s="38"/>
      <c r="AJ303" s="38"/>
      <c r="AK303" s="38"/>
      <c r="AL303" s="38"/>
      <c r="AM303" s="59" t="n">
        <f aca="false">IFERROR(AM297/AM81,"n/a")</f>
        <v>0.085407434415113</v>
      </c>
      <c r="AN303" s="38"/>
      <c r="AO303" s="38"/>
      <c r="AP303" s="38"/>
      <c r="AQ303" s="38"/>
      <c r="AR303" s="59" t="n">
        <f aca="false">IFERROR(AR297/AR81,"n/a")</f>
        <v>0.0858213445194727</v>
      </c>
      <c r="AS303" s="38"/>
      <c r="AT303" s="38"/>
      <c r="AU303" s="38"/>
      <c r="AV303" s="38"/>
      <c r="AW303" s="59" t="n">
        <f aca="false">IFERROR(AW297/AW81,"n/a")</f>
        <v>0.0995711070114347</v>
      </c>
      <c r="AX303" s="38"/>
      <c r="AY303" s="38"/>
      <c r="AZ303" s="38"/>
      <c r="BA303" s="38"/>
      <c r="BB303" s="59" t="n">
        <f aca="false">IFERROR(BB297/BB81,"n/a")</f>
        <v>0.144937047342077</v>
      </c>
      <c r="BC303" s="38"/>
      <c r="BD303" s="38"/>
      <c r="BE303" s="38"/>
      <c r="BF303" s="38"/>
      <c r="BG303" s="59" t="n">
        <f aca="false">IFERROR(BG297/BG81,"n/a")</f>
        <v>0.16857069895063</v>
      </c>
      <c r="BH303" s="38"/>
      <c r="BI303" s="38"/>
      <c r="BJ303" s="38"/>
      <c r="BK303" s="38"/>
      <c r="BL303" s="59" t="n">
        <f aca="false">IFERROR(BL297/BL81,"n/a")</f>
        <v>0.160529153376115</v>
      </c>
      <c r="BM303" s="38"/>
      <c r="BN303" s="38"/>
      <c r="BO303" s="38"/>
      <c r="BP303" s="38"/>
      <c r="BQ303" s="59" t="n">
        <f aca="false">IFERROR(BQ297/BQ81,"n/a")</f>
        <v>0.150787735028859</v>
      </c>
      <c r="BR303" s="38"/>
      <c r="BS303" s="38"/>
      <c r="BT303" s="38"/>
      <c r="BU303" s="38"/>
      <c r="BV303" s="59" t="n">
        <f aca="false">IFERROR(BV297/BV81,"n/a")</f>
        <v>0.104869822891359</v>
      </c>
      <c r="BW303" s="38"/>
      <c r="BX303" s="38"/>
      <c r="BY303" s="41"/>
      <c r="BZ303" s="41"/>
      <c r="CA303" s="30" t="n">
        <f aca="false">IFERROR(CA297/CA81,"n/a")</f>
        <v>0.115463742609185</v>
      </c>
      <c r="CB303" s="30" t="n">
        <f aca="false">IFERROR(CB297/CB81,"n/a")</f>
        <v>0.13032342405499</v>
      </c>
      <c r="CC303" s="30" t="n">
        <f aca="false">IFERROR(CC297/CC81,"n/a")</f>
        <v>0.131517549608393</v>
      </c>
      <c r="CD303" s="30" t="n">
        <f aca="false">IFERROR(CD297/CD81,"n/a")</f>
        <v>0.133583688080878</v>
      </c>
      <c r="CE303" s="30" t="n">
        <f aca="false">IFERROR(CE297/CE81,"n/a")</f>
        <v>0.140855641486716</v>
      </c>
      <c r="CF303" s="21"/>
    </row>
    <row r="304" customFormat="false" ht="15" hidden="false" customHeight="true" outlineLevel="0" collapsed="false">
      <c r="B304" s="22" t="s">
        <v>476</v>
      </c>
      <c r="C304" s="107" t="n">
        <f aca="false">IFERROR(C81/C300,"n/a")</f>
        <v>2.89198267596786</v>
      </c>
      <c r="D304" s="107" t="n">
        <f aca="false">IFERROR(D81/D300,"n/a")</f>
        <v>2.66088850482907</v>
      </c>
      <c r="E304" s="107" t="n">
        <f aca="false">IFERROR(E81/E300,"n/a")</f>
        <v>3.5178757980267</v>
      </c>
      <c r="F304" s="107" t="n">
        <f aca="false">IFERROR(F81/F300,"n/a")</f>
        <v>2.99061757092292</v>
      </c>
      <c r="G304" s="107" t="n">
        <f aca="false">IFERROR(G81/G300,"n/a")</f>
        <v>3.37679050401589</v>
      </c>
      <c r="H304" s="107" t="n">
        <f aca="false">IFERROR(H81/H300,"n/a")</f>
        <v>3.54222410182883</v>
      </c>
      <c r="I304" s="107" t="n">
        <f aca="false">IFERROR(I81/I300,"n/a")</f>
        <v>3.48894421456766</v>
      </c>
      <c r="J304" s="119"/>
      <c r="K304" s="119"/>
      <c r="L304" s="119"/>
      <c r="M304" s="119"/>
      <c r="N304" s="107" t="n">
        <f aca="false">IFERROR(N81/N300,"n/a")</f>
        <v>2.9857044003397</v>
      </c>
      <c r="O304" s="119"/>
      <c r="P304" s="119"/>
      <c r="Q304" s="119"/>
      <c r="R304" s="119"/>
      <c r="S304" s="107" t="n">
        <f aca="false">IFERROR(S81/S300,"n/a")</f>
        <v>2.85546508548524</v>
      </c>
      <c r="T304" s="119"/>
      <c r="U304" s="119"/>
      <c r="V304" s="119"/>
      <c r="W304" s="119"/>
      <c r="X304" s="107" t="n">
        <f aca="false">IFERROR(X81/X300,"n/a")</f>
        <v>2.45866726255544</v>
      </c>
      <c r="Y304" s="119"/>
      <c r="Z304" s="119"/>
      <c r="AA304" s="119"/>
      <c r="AB304" s="119"/>
      <c r="AC304" s="107" t="n">
        <f aca="false">IFERROR(AC81/AC300,"n/a")</f>
        <v>2.19410921558247</v>
      </c>
      <c r="AD304" s="119"/>
      <c r="AE304" s="119"/>
      <c r="AF304" s="119"/>
      <c r="AG304" s="119"/>
      <c r="AH304" s="107" t="n">
        <f aca="false">IFERROR(AH81/AH300,"n/a")</f>
        <v>1.9395336992415</v>
      </c>
      <c r="AI304" s="119"/>
      <c r="AJ304" s="119"/>
      <c r="AK304" s="119"/>
      <c r="AL304" s="119"/>
      <c r="AM304" s="107" t="n">
        <f aca="false">IFERROR(AM81/AM300,"n/a")</f>
        <v>2.02546265962385</v>
      </c>
      <c r="AN304" s="119"/>
      <c r="AO304" s="119"/>
      <c r="AP304" s="119"/>
      <c r="AQ304" s="119"/>
      <c r="AR304" s="107" t="n">
        <f aca="false">IFERROR(AR81/AR300,"n/a")</f>
        <v>1.87799030489548</v>
      </c>
      <c r="AS304" s="119"/>
      <c r="AT304" s="119"/>
      <c r="AU304" s="119"/>
      <c r="AV304" s="119"/>
      <c r="AW304" s="107" t="n">
        <f aca="false">IFERROR(AW81/AW300,"n/a")</f>
        <v>1.80977718986728</v>
      </c>
      <c r="AX304" s="119"/>
      <c r="AY304" s="119"/>
      <c r="AZ304" s="119"/>
      <c r="BA304" s="119"/>
      <c r="BB304" s="107" t="n">
        <f aca="false">IFERROR(BB81/BB300,"n/a")</f>
        <v>1.96598888973834</v>
      </c>
      <c r="BC304" s="119"/>
      <c r="BD304" s="119"/>
      <c r="BE304" s="119"/>
      <c r="BF304" s="119"/>
      <c r="BG304" s="107" t="n">
        <f aca="false">IFERROR(BG81/BG300,"n/a")</f>
        <v>1.96214859317802</v>
      </c>
      <c r="BH304" s="119"/>
      <c r="BI304" s="119"/>
      <c r="BJ304" s="119"/>
      <c r="BK304" s="119"/>
      <c r="BL304" s="107" t="n">
        <f aca="false">IFERROR(BL81/BL300,"n/a")</f>
        <v>1.73395728763419</v>
      </c>
      <c r="BM304" s="119"/>
      <c r="BN304" s="119"/>
      <c r="BO304" s="119"/>
      <c r="BP304" s="119"/>
      <c r="BQ304" s="107" t="n">
        <f aca="false">IFERROR(BQ81/BQ300,"n/a")</f>
        <v>1.2877028616921</v>
      </c>
      <c r="BR304" s="119"/>
      <c r="BS304" s="119"/>
      <c r="BT304" s="119"/>
      <c r="BU304" s="119"/>
      <c r="BV304" s="107" t="n">
        <f aca="false">IFERROR(BV81/BV300,"n/a")</f>
        <v>1.1882199548193</v>
      </c>
      <c r="BW304" s="119"/>
      <c r="BX304" s="119"/>
      <c r="BY304" s="108"/>
      <c r="BZ304" s="108"/>
      <c r="CA304" s="109" t="n">
        <f aca="false">IFERROR(CA81/CA300,"n/a")</f>
        <v>1.30694639563455</v>
      </c>
      <c r="CB304" s="109" t="n">
        <f aca="false">IFERROR(CB81/CB300,"n/a")</f>
        <v>1.35852269093063</v>
      </c>
      <c r="CC304" s="109" t="n">
        <f aca="false">IFERROR(CC81/CC300,"n/a")</f>
        <v>1.37435244257988</v>
      </c>
      <c r="CD304" s="109" t="n">
        <f aca="false">IFERROR(CD81/CD300,"n/a")</f>
        <v>1.37847639485813</v>
      </c>
      <c r="CE304" s="109" t="n">
        <f aca="false">IFERROR(CE81/CE300,"n/a")</f>
        <v>1.39385234556597</v>
      </c>
      <c r="CF304" s="21"/>
    </row>
    <row r="305" customFormat="false" ht="15" hidden="false" customHeight="true" outlineLevel="0" collapsed="false">
      <c r="B305" s="22" t="s">
        <v>477</v>
      </c>
      <c r="C305" s="59" t="n">
        <f aca="false">IFERROR(1-C298,"n/a")</f>
        <v>0.616420079574967</v>
      </c>
      <c r="D305" s="59" t="n">
        <f aca="false">IFERROR(1-D298,"n/a")</f>
        <v>0.601775210454016</v>
      </c>
      <c r="E305" s="59" t="n">
        <f aca="false">IFERROR(1-E298,"n/a")</f>
        <v>0.85</v>
      </c>
      <c r="F305" s="59" t="n">
        <f aca="false">IFERROR(1-F298,"n/a")</f>
        <v>0.6</v>
      </c>
      <c r="G305" s="59" t="n">
        <f aca="false">IFERROR(1-G298,"n/a")</f>
        <v>0.85</v>
      </c>
      <c r="H305" s="59" t="n">
        <f aca="false">IFERROR(1-H298,"n/a")</f>
        <v>0.6414551607445</v>
      </c>
      <c r="I305" s="59" t="n">
        <f aca="false">IFERROR(1-I298,"n/a")</f>
        <v>0.626684135395687</v>
      </c>
      <c r="J305" s="38"/>
      <c r="K305" s="38"/>
      <c r="L305" s="38"/>
      <c r="M305" s="38"/>
      <c r="N305" s="59" t="n">
        <f aca="false">IFERROR(1-N298,"n/a")</f>
        <v>0.64020837919143</v>
      </c>
      <c r="O305" s="38"/>
      <c r="P305" s="38"/>
      <c r="Q305" s="38"/>
      <c r="R305" s="38"/>
      <c r="S305" s="59" t="n">
        <f aca="false">IFERROR(1-S298,"n/a")</f>
        <v>0.640062540010834</v>
      </c>
      <c r="T305" s="38"/>
      <c r="U305" s="38"/>
      <c r="V305" s="38"/>
      <c r="W305" s="38"/>
      <c r="X305" s="59" t="n">
        <f aca="false">IFERROR(1-X298,"n/a")</f>
        <v>0.639996277468213</v>
      </c>
      <c r="Y305" s="38"/>
      <c r="Z305" s="38"/>
      <c r="AA305" s="38"/>
      <c r="AB305" s="38"/>
      <c r="AC305" s="59" t="n">
        <f aca="false">IFERROR(1-AC298,"n/a")</f>
        <v>0.641012293276739</v>
      </c>
      <c r="AD305" s="38"/>
      <c r="AE305" s="38"/>
      <c r="AF305" s="38"/>
      <c r="AG305" s="38"/>
      <c r="AH305" s="59" t="n">
        <f aca="false">IFERROR(1-AH298,"n/a")</f>
        <v>0.85</v>
      </c>
      <c r="AI305" s="38"/>
      <c r="AJ305" s="38"/>
      <c r="AK305" s="38"/>
      <c r="AL305" s="38"/>
      <c r="AM305" s="59" t="n">
        <f aca="false">IFERROR(1-AM298,"n/a")</f>
        <v>0.772868154277679</v>
      </c>
      <c r="AN305" s="38"/>
      <c r="AO305" s="38"/>
      <c r="AP305" s="38"/>
      <c r="AQ305" s="38"/>
      <c r="AR305" s="59" t="n">
        <f aca="false">IFERROR(1-AR298,"n/a")</f>
        <v>0.77543436161798</v>
      </c>
      <c r="AS305" s="38"/>
      <c r="AT305" s="38"/>
      <c r="AU305" s="38"/>
      <c r="AV305" s="38"/>
      <c r="AW305" s="59" t="n">
        <f aca="false">IFERROR(1-AW298,"n/a")</f>
        <v>0.78478312665222</v>
      </c>
      <c r="AX305" s="38"/>
      <c r="AY305" s="38"/>
      <c r="AZ305" s="38"/>
      <c r="BA305" s="38"/>
      <c r="BB305" s="59" t="n">
        <f aca="false">IFERROR(1-BB298,"n/a")</f>
        <v>0.760984214464515</v>
      </c>
      <c r="BC305" s="38"/>
      <c r="BD305" s="38"/>
      <c r="BE305" s="38"/>
      <c r="BF305" s="38"/>
      <c r="BG305" s="59" t="n">
        <f aca="false">IFERROR(1-BG298,"n/a")</f>
        <v>0.763643899770963</v>
      </c>
      <c r="BH305" s="38"/>
      <c r="BI305" s="38"/>
      <c r="BJ305" s="38"/>
      <c r="BK305" s="38"/>
      <c r="BL305" s="59" t="n">
        <f aca="false">IFERROR(1-BL298,"n/a")</f>
        <v>0.761124945573723</v>
      </c>
      <c r="BM305" s="38"/>
      <c r="BN305" s="38"/>
      <c r="BO305" s="38"/>
      <c r="BP305" s="38"/>
      <c r="BQ305" s="59" t="n">
        <f aca="false">IFERROR(1-BQ298,"n/a")</f>
        <v>0.760627972639115</v>
      </c>
      <c r="BR305" s="38"/>
      <c r="BS305" s="38"/>
      <c r="BT305" s="38"/>
      <c r="BU305" s="38"/>
      <c r="BV305" s="59" t="n">
        <f aca="false">IFERROR(1-BV298,"n/a")</f>
        <v>0.755910832896153</v>
      </c>
      <c r="BW305" s="38"/>
      <c r="BX305" s="38"/>
      <c r="BY305" s="41"/>
      <c r="BZ305" s="41"/>
      <c r="CA305" s="30" t="n">
        <f aca="false">IFERROR(1-CA298,"n/a")</f>
        <v>0.755692130789116</v>
      </c>
      <c r="CB305" s="30" t="n">
        <f aca="false">IFERROR(1-CB298,"n/a")</f>
        <v>0.755</v>
      </c>
      <c r="CC305" s="30" t="n">
        <f aca="false">IFERROR(1-CC298,"n/a")</f>
        <v>0.755</v>
      </c>
      <c r="CD305" s="30" t="n">
        <f aca="false">IFERROR(1-CD298,"n/a")</f>
        <v>0.755</v>
      </c>
      <c r="CE305" s="30" t="n">
        <f aca="false">IFERROR(1-CE298,"n/a")</f>
        <v>0.755</v>
      </c>
      <c r="CF305" s="21"/>
    </row>
    <row r="306" customFormat="false" ht="15" hidden="false" customHeight="true" outlineLevel="0" collapsed="false">
      <c r="B306" s="74" t="s">
        <v>478</v>
      </c>
      <c r="C306" s="59" t="n">
        <f aca="false">IFERROR(C303*C304*C305,"n/a")</f>
        <v>0.11277632282051</v>
      </c>
      <c r="D306" s="59" t="n">
        <f aca="false">IFERROR(D303*D304*D305,"n/a")</f>
        <v>0.0671803320613651</v>
      </c>
      <c r="E306" s="59" t="n">
        <f aca="false">IFERROR(E303*E304*E305,"n/a")</f>
        <v>0.0732472431804995</v>
      </c>
      <c r="F306" s="59" t="n">
        <f aca="false">IFERROR(F303*F304*F305,"n/a")</f>
        <v>-0.0333562258967721</v>
      </c>
      <c r="G306" s="59" t="n">
        <f aca="false">IFERROR(G303*G304*G305,"n/a")</f>
        <v>0.039858704963844</v>
      </c>
      <c r="H306" s="59" t="n">
        <f aca="false">IFERROR(H303*H304*H305,"n/a")</f>
        <v>0.0621912062696573</v>
      </c>
      <c r="I306" s="59" t="n">
        <f aca="false">IFERROR(I303*I304*I305,"n/a")</f>
        <v>0.117307625030674</v>
      </c>
      <c r="J306" s="124"/>
      <c r="K306" s="124"/>
      <c r="L306" s="124"/>
      <c r="M306" s="124"/>
      <c r="N306" s="59" t="n">
        <f aca="false">IFERROR(N303*N304*N305,"n/a")</f>
        <v>0.125242328974282</v>
      </c>
      <c r="O306" s="124"/>
      <c r="P306" s="124"/>
      <c r="Q306" s="124"/>
      <c r="R306" s="124"/>
      <c r="S306" s="59" t="n">
        <f aca="false">IFERROR(S303*S304*S305,"n/a")</f>
        <v>0.123239339442179</v>
      </c>
      <c r="T306" s="124"/>
      <c r="U306" s="124"/>
      <c r="V306" s="124"/>
      <c r="W306" s="124"/>
      <c r="X306" s="59" t="n">
        <f aca="false">IFERROR(X303*X304*X305,"n/a")</f>
        <v>0.116046247232563</v>
      </c>
      <c r="Y306" s="124"/>
      <c r="Z306" s="124"/>
      <c r="AA306" s="124"/>
      <c r="AB306" s="124"/>
      <c r="AC306" s="59" t="n">
        <f aca="false">IFERROR(AC303*AC304*AC305,"n/a")</f>
        <v>0.0915482855909655</v>
      </c>
      <c r="AD306" s="124"/>
      <c r="AE306" s="124"/>
      <c r="AF306" s="124"/>
      <c r="AG306" s="124"/>
      <c r="AH306" s="59" t="n">
        <f aca="false">IFERROR(AH303*AH304*AH305,"n/a")</f>
        <v>0.113408995938054</v>
      </c>
      <c r="AI306" s="124"/>
      <c r="AJ306" s="124"/>
      <c r="AK306" s="124"/>
      <c r="AL306" s="124"/>
      <c r="AM306" s="59" t="n">
        <f aca="false">IFERROR(AM303*AM304*AM305,"n/a")</f>
        <v>0.133698129104878</v>
      </c>
      <c r="AN306" s="124"/>
      <c r="AO306" s="124"/>
      <c r="AP306" s="124"/>
      <c r="AQ306" s="124"/>
      <c r="AR306" s="59" t="n">
        <f aca="false">IFERROR(AR303*AR304*AR305,"n/a")</f>
        <v>0.124978037824468</v>
      </c>
      <c r="AS306" s="124"/>
      <c r="AT306" s="124"/>
      <c r="AU306" s="124"/>
      <c r="AV306" s="124"/>
      <c r="AW306" s="59" t="n">
        <f aca="false">IFERROR(AW303*AW304*AW305,"n/a")</f>
        <v>0.141419110911181</v>
      </c>
      <c r="AX306" s="124"/>
      <c r="AY306" s="124"/>
      <c r="AZ306" s="124"/>
      <c r="BA306" s="124"/>
      <c r="BB306" s="59" t="n">
        <f aca="false">IFERROR(BB303*BB304*BB305,"n/a")</f>
        <v>0.216838361458662</v>
      </c>
      <c r="BC306" s="124"/>
      <c r="BD306" s="124"/>
      <c r="BE306" s="124"/>
      <c r="BF306" s="124"/>
      <c r="BG306" s="59" t="n">
        <f aca="false">IFERROR(BG303*BG304*BG305,"n/a")</f>
        <v>0.252583436502599</v>
      </c>
      <c r="BH306" s="124"/>
      <c r="BI306" s="124"/>
      <c r="BJ306" s="124"/>
      <c r="BK306" s="124"/>
      <c r="BL306" s="59" t="n">
        <f aca="false">IFERROR(BL303*BL304*BL305,"n/a")</f>
        <v>0.211859657867143</v>
      </c>
      <c r="BM306" s="124"/>
      <c r="BN306" s="124"/>
      <c r="BO306" s="124"/>
      <c r="BP306" s="124"/>
      <c r="BQ306" s="59" t="n">
        <f aca="false">IFERROR(BQ303*BQ304*BQ305,"n/a")</f>
        <v>0.147690979728023</v>
      </c>
      <c r="BR306" s="124"/>
      <c r="BS306" s="124"/>
      <c r="BT306" s="124"/>
      <c r="BU306" s="124"/>
      <c r="BV306" s="59" t="n">
        <f aca="false">IFERROR(BV303*BV304*BV305,"n/a")</f>
        <v>0.094192851689127</v>
      </c>
      <c r="BW306" s="124"/>
      <c r="BX306" s="124"/>
      <c r="BY306" s="53"/>
      <c r="BZ306" s="53"/>
      <c r="CA306" s="30" t="n">
        <f aca="false">IFERROR(CA303*CA304*CA305,"n/a")</f>
        <v>0.114037662226214</v>
      </c>
      <c r="CB306" s="30" t="n">
        <f aca="false">IFERROR(CB303*CB304*CB305,"n/a")</f>
        <v>0.133670733197552</v>
      </c>
      <c r="CC306" s="30" t="n">
        <f aca="false">IFERROR(CC303*CC304*CC305,"n/a")</f>
        <v>0.136467356487544</v>
      </c>
      <c r="CD306" s="30" t="n">
        <f aca="false">IFERROR(CD303*CD304*CD305,"n/a")</f>
        <v>0.139027180371974</v>
      </c>
      <c r="CE306" s="30" t="n">
        <f aca="false">IFERROR(CE303*CE304*CE305,"n/a")</f>
        <v>0.148230634535706</v>
      </c>
      <c r="CF306" s="21"/>
    </row>
    <row r="307" customFormat="false" ht="15" hidden="false" customHeight="true" outlineLevel="0" collapsed="false">
      <c r="B307" s="37" t="s">
        <v>479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90"/>
      <c r="BM307" s="42"/>
      <c r="BN307" s="42"/>
      <c r="BO307" s="42"/>
      <c r="BP307" s="42"/>
      <c r="BQ307" s="42"/>
      <c r="BR307" s="90"/>
      <c r="BS307" s="90"/>
      <c r="BT307" s="42"/>
      <c r="BU307" s="42"/>
      <c r="BV307" s="42"/>
      <c r="BW307" s="42"/>
      <c r="BX307" s="42"/>
      <c r="BY307" s="43"/>
      <c r="BZ307" s="43"/>
      <c r="CA307" s="43"/>
      <c r="CB307" s="43"/>
      <c r="CC307" s="43"/>
      <c r="CD307" s="43"/>
      <c r="CE307" s="43"/>
      <c r="CF307" s="21"/>
    </row>
    <row r="308" customFormat="false" ht="15" hidden="false" customHeight="true" outlineLevel="0" collapsed="false">
      <c r="B308" s="22" t="s">
        <v>480</v>
      </c>
      <c r="C308" s="65" t="n">
        <f aca="false">C299</f>
        <v>34.1114543635197</v>
      </c>
      <c r="D308" s="65" t="n">
        <f aca="false">D299</f>
        <v>24.6445001937232</v>
      </c>
      <c r="E308" s="65" t="n">
        <f aca="false">E299</f>
        <v>21.4548500000001</v>
      </c>
      <c r="F308" s="65" t="n">
        <f aca="false">F299</f>
        <v>-9.47099999999999</v>
      </c>
      <c r="G308" s="65" t="n">
        <f aca="false">G299</f>
        <v>10.65475</v>
      </c>
      <c r="H308" s="65" t="n">
        <f aca="false">H299</f>
        <v>18.0877526226734</v>
      </c>
      <c r="I308" s="65" t="n">
        <f aca="false">I299</f>
        <v>36.9405230450343</v>
      </c>
      <c r="J308" s="86"/>
      <c r="K308" s="86"/>
      <c r="L308" s="86"/>
      <c r="M308" s="86"/>
      <c r="N308" s="65" t="n">
        <f aca="false">N299</f>
        <v>47.7819523809523</v>
      </c>
      <c r="O308" s="86"/>
      <c r="P308" s="86"/>
      <c r="Q308" s="86"/>
      <c r="R308" s="86"/>
      <c r="S308" s="65" t="n">
        <f aca="false">S299</f>
        <v>54.9122454326094</v>
      </c>
      <c r="T308" s="86"/>
      <c r="U308" s="86"/>
      <c r="V308" s="86"/>
      <c r="W308" s="86"/>
      <c r="X308" s="65" t="n">
        <f aca="false">X299</f>
        <v>57.6444647115619</v>
      </c>
      <c r="Y308" s="86"/>
      <c r="Z308" s="86"/>
      <c r="AA308" s="86"/>
      <c r="AB308" s="86"/>
      <c r="AC308" s="65" t="n">
        <f aca="false">AC299</f>
        <v>50.840608016658</v>
      </c>
      <c r="AD308" s="86"/>
      <c r="AE308" s="86"/>
      <c r="AF308" s="86"/>
      <c r="AG308" s="86"/>
      <c r="AH308" s="65" t="n">
        <f aca="false">AH299</f>
        <v>80.6046500000001</v>
      </c>
      <c r="AI308" s="86"/>
      <c r="AJ308" s="86"/>
      <c r="AK308" s="86"/>
      <c r="AL308" s="86"/>
      <c r="AM308" s="65" t="n">
        <f aca="false">AM299</f>
        <v>109.168399659877</v>
      </c>
      <c r="AN308" s="86"/>
      <c r="AO308" s="86"/>
      <c r="AP308" s="86"/>
      <c r="AQ308" s="86"/>
      <c r="AR308" s="65" t="n">
        <f aca="false">AR299</f>
        <v>118.905105010501</v>
      </c>
      <c r="AS308" s="86"/>
      <c r="AT308" s="86"/>
      <c r="AU308" s="86"/>
      <c r="AV308" s="86"/>
      <c r="AW308" s="65" t="n">
        <f aca="false">AW299</f>
        <v>142.402822246679</v>
      </c>
      <c r="AX308" s="86"/>
      <c r="AY308" s="86"/>
      <c r="AZ308" s="86"/>
      <c r="BA308" s="86"/>
      <c r="BB308" s="65" t="n">
        <f aca="false">BB299</f>
        <v>252.43216165374</v>
      </c>
      <c r="BC308" s="86"/>
      <c r="BD308" s="86"/>
      <c r="BE308" s="86"/>
      <c r="BF308" s="86"/>
      <c r="BG308" s="65" t="n">
        <f aca="false">BG299</f>
        <v>359.415874222301</v>
      </c>
      <c r="BH308" s="86"/>
      <c r="BI308" s="86"/>
      <c r="BJ308" s="86"/>
      <c r="BK308" s="86"/>
      <c r="BL308" s="65" t="n">
        <f aca="false">BL299</f>
        <v>352.061388074908</v>
      </c>
      <c r="BM308" s="86"/>
      <c r="BN308" s="86"/>
      <c r="BO308" s="86"/>
      <c r="BP308" s="86"/>
      <c r="BQ308" s="65" t="n">
        <f aca="false">BQ299</f>
        <v>368.059509052369</v>
      </c>
      <c r="BR308" s="86"/>
      <c r="BS308" s="86"/>
      <c r="BT308" s="86"/>
      <c r="BU308" s="86"/>
      <c r="BV308" s="65" t="n">
        <f aca="false">BV299</f>
        <v>256.389080390884</v>
      </c>
      <c r="BW308" s="86"/>
      <c r="BX308" s="86"/>
      <c r="BY308" s="87"/>
      <c r="BZ308" s="87"/>
      <c r="CA308" s="67" t="n">
        <f aca="false">CA299</f>
        <v>325.952503479151</v>
      </c>
      <c r="CB308" s="67" t="n">
        <f aca="false">CB299</f>
        <v>401.364366688346</v>
      </c>
      <c r="CC308" s="67" t="n">
        <f aca="false">CC299</f>
        <v>430.184508608918</v>
      </c>
      <c r="CD308" s="67" t="n">
        <f aca="false">CD299</f>
        <v>467.881503829783</v>
      </c>
      <c r="CE308" s="67" t="n">
        <f aca="false">CE299</f>
        <v>533.596943907843</v>
      </c>
      <c r="CF308" s="21"/>
    </row>
    <row r="309" customFormat="false" ht="15" hidden="false" customHeight="true" outlineLevel="0" collapsed="false">
      <c r="B309" s="22" t="s">
        <v>481</v>
      </c>
      <c r="C309" s="65" t="n">
        <f aca="false">C240</f>
        <v>487.4</v>
      </c>
      <c r="D309" s="65" t="n">
        <f aca="false">D240</f>
        <v>560.583</v>
      </c>
      <c r="E309" s="65" t="n">
        <f aca="false">E240</f>
        <v>515.752</v>
      </c>
      <c r="F309" s="65" t="n">
        <f aca="false">F240</f>
        <v>466.426</v>
      </c>
      <c r="G309" s="65" t="n">
        <f aca="false">G240</f>
        <v>452.157</v>
      </c>
      <c r="H309" s="65" t="n">
        <f aca="false">H240</f>
        <v>474.886</v>
      </c>
      <c r="I309" s="65" t="n">
        <f aca="false">I240</f>
        <v>519.688</v>
      </c>
      <c r="J309" s="86"/>
      <c r="K309" s="86"/>
      <c r="L309" s="86"/>
      <c r="M309" s="86"/>
      <c r="N309" s="65" t="n">
        <f aca="false">N240</f>
        <v>616.801</v>
      </c>
      <c r="O309" s="86"/>
      <c r="P309" s="86"/>
      <c r="Q309" s="86"/>
      <c r="R309" s="86"/>
      <c r="S309" s="65" t="n">
        <f aca="false">S240</f>
        <v>686.445</v>
      </c>
      <c r="T309" s="86"/>
      <c r="U309" s="86"/>
      <c r="V309" s="86"/>
      <c r="W309" s="86"/>
      <c r="X309" s="65" t="n">
        <f aca="false">X240</f>
        <v>729.193</v>
      </c>
      <c r="Y309" s="86"/>
      <c r="Z309" s="86"/>
      <c r="AA309" s="86"/>
      <c r="AB309" s="86"/>
      <c r="AC309" s="65" t="n">
        <f aca="false">AC240</f>
        <v>800.37</v>
      </c>
      <c r="AD309" s="86"/>
      <c r="AE309" s="86"/>
      <c r="AF309" s="86"/>
      <c r="AG309" s="86"/>
      <c r="AH309" s="65" t="n">
        <f aca="false">AH240</f>
        <v>967.647</v>
      </c>
      <c r="AI309" s="86"/>
      <c r="AJ309" s="86"/>
      <c r="AK309" s="86"/>
      <c r="AL309" s="86"/>
      <c r="AM309" s="65" t="n">
        <f aca="false">AM240</f>
        <v>1133.743</v>
      </c>
      <c r="AN309" s="86"/>
      <c r="AO309" s="86"/>
      <c r="AP309" s="86"/>
      <c r="AQ309" s="86"/>
      <c r="AR309" s="65" t="n">
        <f aca="false">AR240</f>
        <v>1415.693</v>
      </c>
      <c r="AS309" s="86"/>
      <c r="AT309" s="86"/>
      <c r="AU309" s="86"/>
      <c r="AV309" s="86"/>
      <c r="AW309" s="65" t="n">
        <f aca="false">AW240</f>
        <v>1548.774</v>
      </c>
      <c r="AX309" s="86"/>
      <c r="AY309" s="86"/>
      <c r="AZ309" s="86"/>
      <c r="BA309" s="86"/>
      <c r="BB309" s="65" t="n">
        <f aca="false">BB240</f>
        <v>1845.25</v>
      </c>
      <c r="BC309" s="86"/>
      <c r="BD309" s="86"/>
      <c r="BE309" s="86"/>
      <c r="BF309" s="86"/>
      <c r="BG309" s="65" t="n">
        <f aca="false">BG240</f>
        <v>2174.71</v>
      </c>
      <c r="BH309" s="86"/>
      <c r="BI309" s="86"/>
      <c r="BJ309" s="86"/>
      <c r="BK309" s="86"/>
      <c r="BL309" s="65" t="n">
        <f aca="false">BL240</f>
        <v>2583.565</v>
      </c>
      <c r="BM309" s="86"/>
      <c r="BN309" s="86"/>
      <c r="BO309" s="86"/>
      <c r="BP309" s="86"/>
      <c r="BQ309" s="65" t="n">
        <f aca="false">BQ240</f>
        <v>3166.857</v>
      </c>
      <c r="BR309" s="86"/>
      <c r="BS309" s="86"/>
      <c r="BT309" s="86"/>
      <c r="BU309" s="86"/>
      <c r="BV309" s="65" t="n">
        <f aca="false">BV240</f>
        <v>3482.681</v>
      </c>
      <c r="BW309" s="86"/>
      <c r="BX309" s="86"/>
      <c r="BY309" s="87"/>
      <c r="BZ309" s="87"/>
      <c r="CA309" s="67" t="n">
        <f aca="false">CA240</f>
        <v>3857.71601088585</v>
      </c>
      <c r="CB309" s="67" t="n">
        <f aca="false">CB240</f>
        <v>4005.20567428953</v>
      </c>
      <c r="CC309" s="67" t="n">
        <f aca="false">CC240</f>
        <v>4208.07084436057</v>
      </c>
      <c r="CD309" s="67" t="n">
        <f aca="false">CD240</f>
        <v>4481.37584837756</v>
      </c>
      <c r="CE309" s="67" t="n">
        <f aca="false">CE240</f>
        <v>4786.54173824219</v>
      </c>
      <c r="CF309" s="21"/>
    </row>
    <row r="310" customFormat="false" ht="15" hidden="false" customHeight="true" outlineLevel="0" collapsed="false">
      <c r="B310" s="22" t="s">
        <v>482</v>
      </c>
      <c r="C310" s="65" t="n">
        <f aca="false">-N(C264)</f>
        <v>-0</v>
      </c>
      <c r="D310" s="65" t="n">
        <f aca="false">-N(D264)</f>
        <v>-0</v>
      </c>
      <c r="E310" s="65" t="n">
        <f aca="false">-N(E264)</f>
        <v>-0</v>
      </c>
      <c r="F310" s="65" t="n">
        <f aca="false">-N(F264)</f>
        <v>-0</v>
      </c>
      <c r="G310" s="65" t="n">
        <f aca="false">-N(G264)</f>
        <v>-0</v>
      </c>
      <c r="H310" s="65" t="n">
        <f aca="false">-N(H264)</f>
        <v>-0</v>
      </c>
      <c r="I310" s="65" t="n">
        <f aca="false">-N(I264)</f>
        <v>-0</v>
      </c>
      <c r="J310" s="86"/>
      <c r="K310" s="86"/>
      <c r="L310" s="86"/>
      <c r="M310" s="86"/>
      <c r="N310" s="65" t="n">
        <f aca="false">-N(N264)</f>
        <v>-0</v>
      </c>
      <c r="O310" s="86"/>
      <c r="P310" s="86"/>
      <c r="Q310" s="86"/>
      <c r="R310" s="86"/>
      <c r="S310" s="65" t="n">
        <f aca="false">-N(S264)</f>
        <v>-0</v>
      </c>
      <c r="T310" s="86"/>
      <c r="U310" s="86"/>
      <c r="V310" s="86"/>
      <c r="W310" s="86"/>
      <c r="X310" s="65" t="n">
        <f aca="false">-N(X264)</f>
        <v>-0</v>
      </c>
      <c r="Y310" s="86"/>
      <c r="Z310" s="86"/>
      <c r="AA310" s="86"/>
      <c r="AB310" s="86"/>
      <c r="AC310" s="65" t="n">
        <f aca="false">-N(AC264)</f>
        <v>-0</v>
      </c>
      <c r="AD310" s="86"/>
      <c r="AE310" s="86"/>
      <c r="AF310" s="86"/>
      <c r="AG310" s="86"/>
      <c r="AH310" s="65" t="n">
        <f aca="false">-N(AH264)</f>
        <v>-0</v>
      </c>
      <c r="AI310" s="86"/>
      <c r="AJ310" s="86"/>
      <c r="AK310" s="86"/>
      <c r="AL310" s="86"/>
      <c r="AM310" s="65" t="n">
        <f aca="false">-N(AM264)</f>
        <v>-0</v>
      </c>
      <c r="AN310" s="86"/>
      <c r="AO310" s="86"/>
      <c r="AP310" s="86"/>
      <c r="AQ310" s="86"/>
      <c r="AR310" s="65" t="n">
        <f aca="false">-N(AR264)</f>
        <v>-0</v>
      </c>
      <c r="AS310" s="86"/>
      <c r="AT310" s="86"/>
      <c r="AU310" s="86"/>
      <c r="AV310" s="86"/>
      <c r="AW310" s="65" t="n">
        <f aca="false">-N(AW264)</f>
        <v>-0</v>
      </c>
      <c r="AX310" s="86"/>
      <c r="AY310" s="86"/>
      <c r="AZ310" s="86"/>
      <c r="BA310" s="86"/>
      <c r="BB310" s="65" t="n">
        <f aca="false">-N(BB264)</f>
        <v>-0</v>
      </c>
      <c r="BC310" s="86"/>
      <c r="BD310" s="86"/>
      <c r="BE310" s="86"/>
      <c r="BF310" s="86"/>
      <c r="BG310" s="65" t="n">
        <f aca="false">-N(BG264)</f>
        <v>-0</v>
      </c>
      <c r="BH310" s="86"/>
      <c r="BI310" s="86"/>
      <c r="BJ310" s="86"/>
      <c r="BK310" s="86"/>
      <c r="BL310" s="65" t="n">
        <f aca="false">-N(BL264)</f>
        <v>-0</v>
      </c>
      <c r="BM310" s="86"/>
      <c r="BN310" s="86"/>
      <c r="BO310" s="86"/>
      <c r="BP310" s="86"/>
      <c r="BQ310" s="65" t="n">
        <f aca="false">-N(BQ264)</f>
        <v>-16.42</v>
      </c>
      <c r="BR310" s="86"/>
      <c r="BS310" s="86"/>
      <c r="BT310" s="86"/>
      <c r="BU310" s="86"/>
      <c r="BV310" s="65" t="n">
        <f aca="false">-N(BV264)</f>
        <v>-15.589</v>
      </c>
      <c r="BW310" s="86"/>
      <c r="BX310" s="86"/>
      <c r="BY310" s="87"/>
      <c r="BZ310" s="87"/>
      <c r="CA310" s="67" t="n">
        <f aca="false">-N(CA264)</f>
        <v>-15.162</v>
      </c>
      <c r="CB310" s="67" t="n">
        <f aca="false">-N(CB264)</f>
        <v>-15.162</v>
      </c>
      <c r="CC310" s="67" t="n">
        <f aca="false">-N(CC264)</f>
        <v>-15.162</v>
      </c>
      <c r="CD310" s="67" t="n">
        <f aca="false">-N(CD264)</f>
        <v>-15.162</v>
      </c>
      <c r="CE310" s="67" t="n">
        <f aca="false">-N(CE264)</f>
        <v>-15.162</v>
      </c>
      <c r="CF310" s="21"/>
    </row>
    <row r="311" customFormat="false" ht="15" hidden="false" customHeight="true" outlineLevel="0" collapsed="false">
      <c r="B311" s="22" t="s">
        <v>483</v>
      </c>
      <c r="C311" s="65" t="n">
        <f aca="false">-(C247-N(C245))</f>
        <v>-115.285</v>
      </c>
      <c r="D311" s="65" t="n">
        <f aca="false">-(D247-N(D245))</f>
        <v>-113.733</v>
      </c>
      <c r="E311" s="65" t="n">
        <f aca="false">-(E247-N(E245))</f>
        <v>-117.982</v>
      </c>
      <c r="F311" s="65" t="n">
        <f aca="false">-(F247-N(F245))</f>
        <v>-102.771</v>
      </c>
      <c r="G311" s="65" t="n">
        <f aca="false">-(G247-N(G245))</f>
        <v>-88.623</v>
      </c>
      <c r="H311" s="65" t="n">
        <f aca="false">-(H247-N(H245))</f>
        <v>-102.205</v>
      </c>
      <c r="I311" s="65" t="n">
        <f aca="false">-(I247-N(I245))</f>
        <v>-119.157</v>
      </c>
      <c r="J311" s="86"/>
      <c r="K311" s="86"/>
      <c r="L311" s="86"/>
      <c r="M311" s="86"/>
      <c r="N311" s="65" t="n">
        <f aca="false">-(N247-N(N245))</f>
        <v>-133.714</v>
      </c>
      <c r="O311" s="86"/>
      <c r="P311" s="86"/>
      <c r="Q311" s="86"/>
      <c r="R311" s="86"/>
      <c r="S311" s="65" t="n">
        <f aca="false">-(S247-N(S245))</f>
        <v>-121.341</v>
      </c>
      <c r="T311" s="86"/>
      <c r="U311" s="86"/>
      <c r="V311" s="86"/>
      <c r="W311" s="86"/>
      <c r="X311" s="65" t="n">
        <f aca="false">-(X247-N(X245))</f>
        <v>-128.948</v>
      </c>
      <c r="Y311" s="86"/>
      <c r="Z311" s="86"/>
      <c r="AA311" s="86"/>
      <c r="AB311" s="86"/>
      <c r="AC311" s="65" t="n">
        <f aca="false">-(AC247-N(AC245))</f>
        <v>-128.182</v>
      </c>
      <c r="AD311" s="86"/>
      <c r="AE311" s="86"/>
      <c r="AF311" s="86"/>
      <c r="AG311" s="86"/>
      <c r="AH311" s="65" t="n">
        <f aca="false">-(AH247-N(AH245))</f>
        <v>-153.122</v>
      </c>
      <c r="AI311" s="86"/>
      <c r="AJ311" s="86"/>
      <c r="AK311" s="86"/>
      <c r="AL311" s="86"/>
      <c r="AM311" s="65" t="n">
        <f aca="false">-(AM247-N(AM245))</f>
        <v>-191.228</v>
      </c>
      <c r="AN311" s="86"/>
      <c r="AO311" s="86"/>
      <c r="AP311" s="86"/>
      <c r="AQ311" s="86"/>
      <c r="AR311" s="65" t="n">
        <f aca="false">-(AR247-N(AR245))</f>
        <v>-221.841</v>
      </c>
      <c r="AS311" s="86"/>
      <c r="AT311" s="86"/>
      <c r="AU311" s="86"/>
      <c r="AV311" s="86"/>
      <c r="AW311" s="65" t="n">
        <f aca="false">-(AW247-N(AW245))</f>
        <v>-255.166</v>
      </c>
      <c r="AX311" s="86"/>
      <c r="AY311" s="86"/>
      <c r="AZ311" s="86"/>
      <c r="BA311" s="86"/>
      <c r="BB311" s="65" t="n">
        <f aca="false">-(BB247-N(BB245))</f>
        <v>-301.952</v>
      </c>
      <c r="BC311" s="86"/>
      <c r="BD311" s="86"/>
      <c r="BE311" s="86"/>
      <c r="BF311" s="86"/>
      <c r="BG311" s="65" t="n">
        <f aca="false">-(BG247-N(BG245))</f>
        <v>-259.566</v>
      </c>
      <c r="BH311" s="86"/>
      <c r="BI311" s="86"/>
      <c r="BJ311" s="86"/>
      <c r="BK311" s="86"/>
      <c r="BL311" s="65" t="n">
        <f aca="false">-(BL247-N(BL245))</f>
        <v>-311.883</v>
      </c>
      <c r="BM311" s="86"/>
      <c r="BN311" s="86"/>
      <c r="BO311" s="86"/>
      <c r="BP311" s="86"/>
      <c r="BQ311" s="65" t="n">
        <f aca="false">-(BQ247-N(BQ245))</f>
        <v>-273.047</v>
      </c>
      <c r="BR311" s="86"/>
      <c r="BS311" s="86"/>
      <c r="BT311" s="86"/>
      <c r="BU311" s="86"/>
      <c r="BV311" s="65" t="n">
        <f aca="false">-(BV247-N(BV245))</f>
        <v>-264.404</v>
      </c>
      <c r="BW311" s="86"/>
      <c r="BX311" s="86"/>
      <c r="BY311" s="87"/>
      <c r="BZ311" s="87"/>
      <c r="CA311" s="67" t="n">
        <f aca="false">-(CA247-N(CA245))</f>
        <v>-296.436208945472</v>
      </c>
      <c r="CB311" s="67" t="n">
        <f aca="false">-(CB247-N(CB245))</f>
        <v>-313.233209668586</v>
      </c>
      <c r="CC311" s="67" t="n">
        <f aca="false">-(CC247-N(CC245))</f>
        <v>-325.614354150871</v>
      </c>
      <c r="CD311" s="67" t="n">
        <f aca="false">-(CD247-N(CD245))</f>
        <v>-340.614161300323</v>
      </c>
      <c r="CE311" s="67" t="n">
        <f aca="false">-(CE247-N(CE245))</f>
        <v>-359.118565883397</v>
      </c>
      <c r="CF311" s="21"/>
    </row>
    <row r="312" customFormat="false" ht="15" hidden="false" customHeight="true" outlineLevel="0" collapsed="false">
      <c r="B312" s="22" t="s">
        <v>484</v>
      </c>
      <c r="C312" s="65" t="n">
        <f aca="false">SUM(C309:C311)</f>
        <v>372.115</v>
      </c>
      <c r="D312" s="65" t="n">
        <f aca="false">SUM(D309:D311)</f>
        <v>446.85</v>
      </c>
      <c r="E312" s="65" t="n">
        <f aca="false">SUM(E309:E311)</f>
        <v>397.77</v>
      </c>
      <c r="F312" s="65" t="n">
        <f aca="false">SUM(F309:F311)</f>
        <v>363.655</v>
      </c>
      <c r="G312" s="65" t="n">
        <f aca="false">SUM(G309:G311)</f>
        <v>363.534</v>
      </c>
      <c r="H312" s="65" t="n">
        <f aca="false">SUM(H309:H311)</f>
        <v>372.681</v>
      </c>
      <c r="I312" s="65" t="n">
        <f aca="false">SUM(I309:I311)</f>
        <v>400.531</v>
      </c>
      <c r="J312" s="86"/>
      <c r="K312" s="86"/>
      <c r="L312" s="86"/>
      <c r="M312" s="86"/>
      <c r="N312" s="65" t="n">
        <f aca="false">SUM(N309:N311)</f>
        <v>483.087</v>
      </c>
      <c r="O312" s="86"/>
      <c r="P312" s="86"/>
      <c r="Q312" s="86"/>
      <c r="R312" s="86"/>
      <c r="S312" s="65" t="n">
        <f aca="false">SUM(S309:S311)</f>
        <v>565.104</v>
      </c>
      <c r="T312" s="86"/>
      <c r="U312" s="86"/>
      <c r="V312" s="86"/>
      <c r="W312" s="86"/>
      <c r="X312" s="65" t="n">
        <f aca="false">SUM(X309:X311)</f>
        <v>600.245</v>
      </c>
      <c r="Y312" s="86"/>
      <c r="Z312" s="86"/>
      <c r="AA312" s="86"/>
      <c r="AB312" s="86"/>
      <c r="AC312" s="65" t="n">
        <f aca="false">SUM(AC309:AC311)</f>
        <v>672.188</v>
      </c>
      <c r="AD312" s="86"/>
      <c r="AE312" s="86"/>
      <c r="AF312" s="86"/>
      <c r="AG312" s="86"/>
      <c r="AH312" s="65" t="n">
        <f aca="false">SUM(AH309:AH311)</f>
        <v>814.525</v>
      </c>
      <c r="AI312" s="86"/>
      <c r="AJ312" s="86"/>
      <c r="AK312" s="86"/>
      <c r="AL312" s="86"/>
      <c r="AM312" s="65" t="n">
        <f aca="false">SUM(AM309:AM311)</f>
        <v>942.515</v>
      </c>
      <c r="AN312" s="86"/>
      <c r="AO312" s="86"/>
      <c r="AP312" s="86"/>
      <c r="AQ312" s="86"/>
      <c r="AR312" s="65" t="n">
        <f aca="false">SUM(AR309:AR311)</f>
        <v>1193.852</v>
      </c>
      <c r="AS312" s="86"/>
      <c r="AT312" s="86"/>
      <c r="AU312" s="86"/>
      <c r="AV312" s="86"/>
      <c r="AW312" s="65" t="n">
        <f aca="false">SUM(AW309:AW311)</f>
        <v>1293.608</v>
      </c>
      <c r="AX312" s="86"/>
      <c r="AY312" s="86"/>
      <c r="AZ312" s="86"/>
      <c r="BA312" s="86"/>
      <c r="BB312" s="65" t="n">
        <f aca="false">SUM(BB309:BB311)</f>
        <v>1543.298</v>
      </c>
      <c r="BC312" s="86"/>
      <c r="BD312" s="86"/>
      <c r="BE312" s="86"/>
      <c r="BF312" s="86"/>
      <c r="BG312" s="65" t="n">
        <f aca="false">SUM(BG309:BG311)</f>
        <v>1915.144</v>
      </c>
      <c r="BH312" s="86"/>
      <c r="BI312" s="86"/>
      <c r="BJ312" s="86"/>
      <c r="BK312" s="86"/>
      <c r="BL312" s="65" t="n">
        <f aca="false">SUM(BL309:BL311)</f>
        <v>2271.682</v>
      </c>
      <c r="BM312" s="86"/>
      <c r="BN312" s="86"/>
      <c r="BO312" s="86"/>
      <c r="BP312" s="86"/>
      <c r="BQ312" s="65" t="n">
        <f aca="false">SUM(BQ309:BQ311)</f>
        <v>2877.39</v>
      </c>
      <c r="BR312" s="86"/>
      <c r="BS312" s="86"/>
      <c r="BT312" s="86"/>
      <c r="BU312" s="86"/>
      <c r="BV312" s="65" t="n">
        <f aca="false">SUM(BV309:BV311)</f>
        <v>3202.688</v>
      </c>
      <c r="BW312" s="86"/>
      <c r="BX312" s="86"/>
      <c r="BY312" s="87"/>
      <c r="BZ312" s="87"/>
      <c r="CA312" s="67" t="n">
        <f aca="false">SUM(CA309:CA311)</f>
        <v>3546.11780194037</v>
      </c>
      <c r="CB312" s="67" t="n">
        <f aca="false">SUM(CB309:CB311)</f>
        <v>3676.81046462095</v>
      </c>
      <c r="CC312" s="67" t="n">
        <f aca="false">SUM(CC309:CC311)</f>
        <v>3867.2944902097</v>
      </c>
      <c r="CD312" s="67" t="n">
        <f aca="false">SUM(CD309:CD311)</f>
        <v>4125.59968707723</v>
      </c>
      <c r="CE312" s="67" t="n">
        <f aca="false">SUM(CE309:CE311)</f>
        <v>4412.2611723588</v>
      </c>
      <c r="CF312" s="21"/>
    </row>
    <row r="313" customFormat="false" ht="15" hidden="false" customHeight="true" outlineLevel="0" collapsed="false">
      <c r="B313" s="71" t="s">
        <v>485</v>
      </c>
      <c r="C313" s="121" t="n">
        <f aca="false">IFERROR(C308/C312,"n/a")</f>
        <v>0.0916691193945949</v>
      </c>
      <c r="D313" s="121" t="n">
        <f aca="false">IFERROR(D308/D312,"n/a")</f>
        <v>0.0551516173072021</v>
      </c>
      <c r="E313" s="121" t="n">
        <f aca="false">IFERROR(E308/E312,"n/a")</f>
        <v>0.0539378283932929</v>
      </c>
      <c r="F313" s="121" t="n">
        <f aca="false">IFERROR(F308/F312,"n/a")</f>
        <v>-0.0260439152493435</v>
      </c>
      <c r="G313" s="121" t="n">
        <f aca="false">IFERROR(G308/G312,"n/a")</f>
        <v>0.0293088129308401</v>
      </c>
      <c r="H313" s="121" t="n">
        <f aca="false">IFERROR(H308/H312,"n/a")</f>
        <v>0.0485341421287197</v>
      </c>
      <c r="I313" s="121" t="n">
        <f aca="false">IFERROR(I308/I312,"n/a")</f>
        <v>0.0922288737826392</v>
      </c>
      <c r="J313" s="122"/>
      <c r="K313" s="122"/>
      <c r="L313" s="122"/>
      <c r="M313" s="122"/>
      <c r="N313" s="121" t="n">
        <f aca="false">IFERROR(N308/N312,"n/a")</f>
        <v>0.0989096216229215</v>
      </c>
      <c r="O313" s="122"/>
      <c r="P313" s="122"/>
      <c r="Q313" s="122"/>
      <c r="R313" s="122"/>
      <c r="S313" s="121" t="n">
        <f aca="false">IFERROR(S308/S312,"n/a")</f>
        <v>0.0971719284107163</v>
      </c>
      <c r="T313" s="122"/>
      <c r="U313" s="122"/>
      <c r="V313" s="122"/>
      <c r="W313" s="122"/>
      <c r="X313" s="121" t="n">
        <f aca="false">IFERROR(X308/X312,"n/a")</f>
        <v>0.0960348936043813</v>
      </c>
      <c r="Y313" s="122"/>
      <c r="Z313" s="122"/>
      <c r="AA313" s="122"/>
      <c r="AB313" s="122"/>
      <c r="AC313" s="121" t="n">
        <f aca="false">IFERROR(AC308/AC312,"n/a")</f>
        <v>0.0756345070377007</v>
      </c>
      <c r="AD313" s="122"/>
      <c r="AE313" s="122"/>
      <c r="AF313" s="122"/>
      <c r="AG313" s="122"/>
      <c r="AH313" s="121" t="n">
        <f aca="false">IFERROR(AH308/AH312,"n/a")</f>
        <v>0.0989590865842056</v>
      </c>
      <c r="AI313" s="122"/>
      <c r="AJ313" s="122"/>
      <c r="AK313" s="122"/>
      <c r="AL313" s="122"/>
      <c r="AM313" s="121" t="n">
        <f aca="false">IFERROR(AM308/AM312,"n/a")</f>
        <v>0.115826697357471</v>
      </c>
      <c r="AN313" s="122"/>
      <c r="AO313" s="122"/>
      <c r="AP313" s="122"/>
      <c r="AQ313" s="122"/>
      <c r="AR313" s="121" t="n">
        <f aca="false">IFERROR(AR308/AR312,"n/a")</f>
        <v>0.0995978605476232</v>
      </c>
      <c r="AS313" s="122"/>
      <c r="AT313" s="122"/>
      <c r="AU313" s="122"/>
      <c r="AV313" s="122"/>
      <c r="AW313" s="121" t="n">
        <f aca="false">IFERROR(AW308/AW312,"n/a")</f>
        <v>0.110081896715758</v>
      </c>
      <c r="AX313" s="122"/>
      <c r="AY313" s="122"/>
      <c r="AZ313" s="122"/>
      <c r="BA313" s="122"/>
      <c r="BB313" s="121" t="n">
        <f aca="false">IFERROR(BB308/BB312,"n/a")</f>
        <v>0.163566700438762</v>
      </c>
      <c r="BC313" s="122"/>
      <c r="BD313" s="122"/>
      <c r="BE313" s="122"/>
      <c r="BF313" s="122"/>
      <c r="BG313" s="121" t="n">
        <f aca="false">IFERROR(BG308/BG312,"n/a")</f>
        <v>0.1876704175886</v>
      </c>
      <c r="BH313" s="122"/>
      <c r="BI313" s="122"/>
      <c r="BJ313" s="122"/>
      <c r="BK313" s="122"/>
      <c r="BL313" s="121" t="n">
        <f aca="false">IFERROR(BL308/BL312,"n/a")</f>
        <v>0.154978288367345</v>
      </c>
      <c r="BM313" s="122"/>
      <c r="BN313" s="122"/>
      <c r="BO313" s="122"/>
      <c r="BP313" s="122"/>
      <c r="BQ313" s="121" t="n">
        <f aca="false">IFERROR(BQ308/BQ312,"n/a")</f>
        <v>0.127914363034684</v>
      </c>
      <c r="BR313" s="122"/>
      <c r="BS313" s="122"/>
      <c r="BT313" s="122"/>
      <c r="BU313" s="122"/>
      <c r="BV313" s="121" t="n">
        <f aca="false">IFERROR(BV308/BV312,"n/a")</f>
        <v>0.0800543419748925</v>
      </c>
      <c r="BW313" s="122"/>
      <c r="BX313" s="122"/>
      <c r="BY313" s="123"/>
      <c r="BZ313" s="123"/>
      <c r="CA313" s="121" t="n">
        <f aca="false">IFERROR(CA308/CA312,"n/a")</f>
        <v>0.091918126154973</v>
      </c>
      <c r="CB313" s="121" t="n">
        <f aca="false">IFERROR(CB308/CB312,"n/a")</f>
        <v>0.109161016198784</v>
      </c>
      <c r="CC313" s="121" t="n">
        <f aca="false">IFERROR(CC308/CC312,"n/a")</f>
        <v>0.111236553021229</v>
      </c>
      <c r="CD313" s="121" t="n">
        <f aca="false">IFERROR(CD308/CD312,"n/a")</f>
        <v>0.113409331810681</v>
      </c>
      <c r="CE313" s="121" t="n">
        <f aca="false">IFERROR(CE308/CE312,"n/a")</f>
        <v>0.120935031509611</v>
      </c>
      <c r="CF313" s="21"/>
      <c r="CH313" s="64" t="n">
        <f aca="false">IFERROR(AVERAGE(CA313,CB313,CC313,CD313,CE313),"n/m")</f>
        <v>0.109332011739055</v>
      </c>
      <c r="CI313" s="64" t="n">
        <f aca="false">IFERROR(AVERAGE(BB313,BG313,BL313,BQ313,BV313),"n/m")</f>
        <v>0.142836822280857</v>
      </c>
      <c r="CJ313" s="64" t="n">
        <f aca="false">IFERROR(AVERAGE(AC313,AH313,AM313,AR313,AW313,BB313,BG313,BL313,BQ313,BV313),"n/m")</f>
        <v>0.121428415964704</v>
      </c>
      <c r="CK313" s="64" t="n">
        <f aca="false">IFERROR(AVERAGE(C313,D313,E313,F313,G313,H313,I313,N313,S313,X313,AC313,AH313,AM313,AR313,AW313,BB313,BG313,BL313,BQ313,BV313),"n/m")</f>
        <v>0.0925593540986503</v>
      </c>
    </row>
    <row r="314" customFormat="false" ht="15" hidden="false" customHeight="true" outlineLevel="0" collapsed="false">
      <c r="B314" s="37" t="s">
        <v>486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90"/>
      <c r="BM314" s="42"/>
      <c r="BN314" s="42"/>
      <c r="BO314" s="42"/>
      <c r="BP314" s="42"/>
      <c r="BQ314" s="42"/>
      <c r="BR314" s="90"/>
      <c r="BS314" s="90"/>
      <c r="BT314" s="42"/>
      <c r="BU314" s="42"/>
      <c r="BV314" s="42"/>
      <c r="BW314" s="42"/>
      <c r="BX314" s="42"/>
      <c r="BY314" s="43"/>
      <c r="BZ314" s="43"/>
      <c r="CA314" s="43"/>
      <c r="CB314" s="43"/>
      <c r="CC314" s="43"/>
      <c r="CD314" s="43"/>
      <c r="CE314" s="43"/>
      <c r="CF314" s="21"/>
    </row>
    <row r="315" customFormat="false" ht="15" hidden="false" customHeight="true" outlineLevel="0" collapsed="false">
      <c r="B315" s="17" t="s">
        <v>487</v>
      </c>
      <c r="C315" s="94" t="n">
        <f aca="false">IFERROR(C106/C257,"n/a")</f>
        <v>-0.101799118899361</v>
      </c>
      <c r="D315" s="94" t="n">
        <f aca="false">IFERROR(D106/D257,"n/a")</f>
        <v>0.0914119968901376</v>
      </c>
      <c r="E315" s="94" t="n">
        <f aca="false">IFERROR(E106/E257,"n/a")</f>
        <v>-0.112909376157583</v>
      </c>
      <c r="F315" s="94" t="n">
        <f aca="false">IFERROR(F106/F257,"n/a")</f>
        <v>-0.0388541599853957</v>
      </c>
      <c r="G315" s="94" t="n">
        <f aca="false">IFERROR(G106/G257,"n/a")</f>
        <v>0.00948351893311635</v>
      </c>
      <c r="H315" s="94" t="n">
        <f aca="false">IFERROR(H106/H257,"n/a")</f>
        <v>0.0518602286355282</v>
      </c>
      <c r="I315" s="94" t="n">
        <f aca="false">IFERROR(I106/I257,"n/a")</f>
        <v>0.125915943406976</v>
      </c>
      <c r="J315" s="125"/>
      <c r="K315" s="125"/>
      <c r="L315" s="125"/>
      <c r="M315" s="125"/>
      <c r="N315" s="94" t="n">
        <f aca="false">IFERROR(N106/N257,"n/a")</f>
        <v>0.143136958975301</v>
      </c>
      <c r="O315" s="125"/>
      <c r="P315" s="125"/>
      <c r="Q315" s="125"/>
      <c r="R315" s="125"/>
      <c r="S315" s="94" t="n">
        <f aca="false">IFERROR(S106/S257,"n/a")</f>
        <v>0.141701144162265</v>
      </c>
      <c r="T315" s="125"/>
      <c r="U315" s="125"/>
      <c r="V315" s="125"/>
      <c r="W315" s="125"/>
      <c r="X315" s="94" t="n">
        <f aca="false">IFERROR(X106/X257,"n/a")</f>
        <v>0.128575401564424</v>
      </c>
      <c r="Y315" s="125"/>
      <c r="Z315" s="125"/>
      <c r="AA315" s="125"/>
      <c r="AB315" s="125"/>
      <c r="AC315" s="94" t="n">
        <f aca="false">IFERROR(AC106/AC257,"n/a")</f>
        <v>0.0994125172332418</v>
      </c>
      <c r="AD315" s="125"/>
      <c r="AE315" s="125"/>
      <c r="AF315" s="125"/>
      <c r="AG315" s="125"/>
      <c r="AH315" s="94" t="n">
        <f aca="false">IFERROR(AH106/AH257,"n/a")</f>
        <v>0.156478361402599</v>
      </c>
      <c r="AI315" s="125"/>
      <c r="AJ315" s="125"/>
      <c r="AK315" s="125"/>
      <c r="AL315" s="125"/>
      <c r="AM315" s="94" t="n">
        <f aca="false">IFERROR(AM106/AM257,"n/a")</f>
        <v>0.150864249336077</v>
      </c>
      <c r="AN315" s="125"/>
      <c r="AO315" s="125"/>
      <c r="AP315" s="125"/>
      <c r="AQ315" s="125"/>
      <c r="AR315" s="94" t="n">
        <f aca="false">IFERROR(AR106/AR257,"n/a")</f>
        <v>0.139493833611784</v>
      </c>
      <c r="AS315" s="125"/>
      <c r="AT315" s="125"/>
      <c r="AU315" s="125"/>
      <c r="AV315" s="125"/>
      <c r="AW315" s="94" t="n">
        <f aca="false">IFERROR(AW106/AW257,"n/a")</f>
        <v>0.143911085959671</v>
      </c>
      <c r="AX315" s="125"/>
      <c r="AY315" s="125"/>
      <c r="AZ315" s="125"/>
      <c r="BA315" s="125"/>
      <c r="BB315" s="94" t="n">
        <f aca="false">IFERROR(BB106/BB257,"n/a")</f>
        <v>0.207513031279167</v>
      </c>
      <c r="BC315" s="125"/>
      <c r="BD315" s="125"/>
      <c r="BE315" s="125"/>
      <c r="BF315" s="125"/>
      <c r="BG315" s="94" t="n">
        <f aca="false">IFERROR(BG106/BG257,"n/a")</f>
        <v>0.226310847372416</v>
      </c>
      <c r="BH315" s="125"/>
      <c r="BI315" s="125"/>
      <c r="BJ315" s="125"/>
      <c r="BK315" s="125"/>
      <c r="BL315" s="94" t="n">
        <f aca="false">IFERROR(BL106/BL257,"n/a")</f>
        <v>0.182775223616452</v>
      </c>
      <c r="BM315" s="125"/>
      <c r="BN315" s="125"/>
      <c r="BO315" s="125"/>
      <c r="BP315" s="125"/>
      <c r="BQ315" s="94" t="n">
        <f aca="false">IFERROR(BQ106/BQ257,"n/a")</f>
        <v>0.156651902784226</v>
      </c>
      <c r="BR315" s="125"/>
      <c r="BS315" s="125"/>
      <c r="BT315" s="125"/>
      <c r="BU315" s="125"/>
      <c r="BV315" s="94" t="n">
        <f aca="false">IFERROR(BV106/BV257,"n/a")</f>
        <v>0.0989394029326156</v>
      </c>
      <c r="BW315" s="125"/>
      <c r="BX315" s="125"/>
      <c r="BY315" s="126"/>
      <c r="BZ315" s="126"/>
      <c r="CA315" s="95" t="n">
        <f aca="false">IFERROR(CA106/CA257,"n/a")</f>
        <v>0.110186418589052</v>
      </c>
      <c r="CB315" s="95" t="n">
        <f aca="false">IFERROR(CB106/CB257,"n/a")</f>
        <v>0.133003736956536</v>
      </c>
      <c r="CC315" s="95" t="n">
        <f aca="false">IFERROR(CC106/CC257,"n/a")</f>
        <v>0.135440755916765</v>
      </c>
      <c r="CD315" s="95" t="n">
        <f aca="false">IFERROR(CD106/CD257,"n/a")</f>
        <v>0.13806558729671</v>
      </c>
      <c r="CE315" s="95" t="n">
        <f aca="false">IFERROR(CE106/CE257,"n/a")</f>
        <v>0.147331650201845</v>
      </c>
      <c r="CF315" s="21"/>
      <c r="CH315" s="64" t="n">
        <f aca="false">IFERROR(AVERAGE(CA315,CB315,CC315,CD315,CE315),"n/m")</f>
        <v>0.132805629792181</v>
      </c>
      <c r="CI315" s="64" t="n">
        <f aca="false">IFERROR(AVERAGE(BB315,BG315,BL315,BQ315,BV315),"n/m")</f>
        <v>0.174438081596975</v>
      </c>
      <c r="CJ315" s="64" t="n">
        <f aca="false">IFERROR(AVERAGE(AC315,AH315,AM315,AR315,AW315,BB315,BG315,BL315,BQ315,BV315),"n/m")</f>
        <v>0.156235045552825</v>
      </c>
      <c r="CK315" s="64" t="n">
        <f aca="false">IFERROR(AVERAGE(C315,D315,E315,F315,G315,H315,I315,N315,S315,X315,AC315,AH315,AM315,AR315,AW315,BB315,BG315,BL315,BQ315,BV315),"n/m")</f>
        <v>0.100043649652683</v>
      </c>
    </row>
    <row r="316" customFormat="false" ht="15" hidden="false" customHeight="true" outlineLevel="0" collapsed="false">
      <c r="B316" s="37" t="s">
        <v>488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90"/>
      <c r="BM316" s="42"/>
      <c r="BN316" s="42"/>
      <c r="BO316" s="42"/>
      <c r="BP316" s="42"/>
      <c r="BQ316" s="42"/>
      <c r="BR316" s="90"/>
      <c r="BS316" s="90"/>
      <c r="BT316" s="42"/>
      <c r="BU316" s="42"/>
      <c r="BV316" s="42"/>
      <c r="BW316" s="42"/>
      <c r="BX316" s="42"/>
      <c r="BY316" s="43"/>
      <c r="BZ316" s="43"/>
      <c r="CA316" s="43"/>
      <c r="CB316" s="43"/>
      <c r="CC316" s="43"/>
      <c r="CD316" s="43"/>
      <c r="CE316" s="43"/>
      <c r="CF316" s="21"/>
    </row>
    <row r="317" customFormat="false" ht="15" hidden="false" customHeight="true" outlineLevel="0" collapsed="false">
      <c r="B317" s="22" t="s">
        <v>489</v>
      </c>
      <c r="C317" s="65" t="n">
        <f aca="false">C301</f>
        <v>99.315</v>
      </c>
      <c r="D317" s="65" t="n">
        <f aca="false">D301</f>
        <v>166.189</v>
      </c>
      <c r="E317" s="65" t="n">
        <f aca="false">E301</f>
        <v>109.338</v>
      </c>
      <c r="F317" s="65" t="n">
        <f aca="false">F301</f>
        <v>81.254</v>
      </c>
      <c r="G317" s="65" t="n">
        <f aca="false">G301</f>
        <v>60.955</v>
      </c>
      <c r="H317" s="65" t="n">
        <f aca="false">H301</f>
        <v>71.54</v>
      </c>
      <c r="I317" s="65" t="n">
        <f aca="false">I301</f>
        <v>60.384</v>
      </c>
      <c r="J317" s="86"/>
      <c r="K317" s="86"/>
      <c r="L317" s="86"/>
      <c r="M317" s="86"/>
      <c r="N317" s="65" t="n">
        <f aca="false">N301</f>
        <v>76.724</v>
      </c>
      <c r="O317" s="86"/>
      <c r="P317" s="86"/>
      <c r="Q317" s="86"/>
      <c r="R317" s="86"/>
      <c r="S317" s="65" t="n">
        <f aca="false">S301</f>
        <v>78.668</v>
      </c>
      <c r="T317" s="86"/>
      <c r="U317" s="86"/>
      <c r="V317" s="86"/>
      <c r="W317" s="86"/>
      <c r="X317" s="65" t="n">
        <f aca="false">X301</f>
        <v>68.848</v>
      </c>
      <c r="Y317" s="86"/>
      <c r="Z317" s="86"/>
      <c r="AA317" s="86"/>
      <c r="AB317" s="86"/>
      <c r="AC317" s="65" t="n">
        <f aca="false">AC301</f>
        <v>72.264</v>
      </c>
      <c r="AD317" s="86"/>
      <c r="AE317" s="86"/>
      <c r="AF317" s="86"/>
      <c r="AG317" s="86"/>
      <c r="AH317" s="65" t="n">
        <f aca="false">AH301</f>
        <v>128.196</v>
      </c>
      <c r="AI317" s="86"/>
      <c r="AJ317" s="86"/>
      <c r="AK317" s="86"/>
      <c r="AL317" s="86"/>
      <c r="AM317" s="65" t="n">
        <f aca="false">AM301</f>
        <v>120.665</v>
      </c>
      <c r="AN317" s="86"/>
      <c r="AO317" s="86"/>
      <c r="AP317" s="86"/>
      <c r="AQ317" s="86"/>
      <c r="AR317" s="65" t="n">
        <f aca="false">AR301</f>
        <v>136.182</v>
      </c>
      <c r="AS317" s="86"/>
      <c r="AT317" s="86"/>
      <c r="AU317" s="86"/>
      <c r="AV317" s="86"/>
      <c r="AW317" s="65" t="n">
        <f aca="false">AW301</f>
        <v>45.668</v>
      </c>
      <c r="AX317" s="86"/>
      <c r="AY317" s="86"/>
      <c r="AZ317" s="86"/>
      <c r="BA317" s="86"/>
      <c r="BB317" s="65" t="n">
        <f aca="false">BB301</f>
        <v>-56.184</v>
      </c>
      <c r="BC317" s="86"/>
      <c r="BD317" s="86"/>
      <c r="BE317" s="86"/>
      <c r="BF317" s="86"/>
      <c r="BG317" s="65" t="n">
        <f aca="false">BG301</f>
        <v>-156.382</v>
      </c>
      <c r="BH317" s="86"/>
      <c r="BI317" s="86"/>
      <c r="BJ317" s="86"/>
      <c r="BK317" s="86"/>
      <c r="BL317" s="65" t="n">
        <f aca="false">BL301</f>
        <v>-279.727</v>
      </c>
      <c r="BM317" s="86"/>
      <c r="BN317" s="86"/>
      <c r="BO317" s="86"/>
      <c r="BP317" s="86"/>
      <c r="BQ317" s="65" t="n">
        <f aca="false">BQ301</f>
        <v>180.821</v>
      </c>
      <c r="BR317" s="86"/>
      <c r="BS317" s="86"/>
      <c r="BT317" s="86"/>
      <c r="BU317" s="86"/>
      <c r="BV317" s="65" t="n">
        <f aca="false">BV301</f>
        <v>144.26</v>
      </c>
      <c r="BW317" s="86"/>
      <c r="BX317" s="86"/>
      <c r="BY317" s="87"/>
      <c r="BZ317" s="87"/>
      <c r="CA317" s="67" t="n">
        <f aca="false">CA301</f>
        <v>-54.4545438290364</v>
      </c>
      <c r="CB317" s="67" t="n">
        <f aca="false">CB301</f>
        <v>0</v>
      </c>
      <c r="CC317" s="67" t="n">
        <f aca="false">CC301</f>
        <v>0</v>
      </c>
      <c r="CD317" s="67" t="n">
        <f aca="false">CD301</f>
        <v>0</v>
      </c>
      <c r="CE317" s="67" t="n">
        <f aca="false">CE301</f>
        <v>0</v>
      </c>
      <c r="CF317" s="21"/>
    </row>
    <row r="318" customFormat="false" ht="15" hidden="false" customHeight="true" outlineLevel="0" collapsed="false">
      <c r="B318" s="22" t="s">
        <v>490</v>
      </c>
      <c r="C318" s="65" t="n">
        <f aca="false">C145</f>
        <v>87.8880000000003</v>
      </c>
      <c r="D318" s="65" t="n">
        <f aca="false">D145</f>
        <v>79.6379999999999</v>
      </c>
      <c r="E318" s="65" t="n">
        <f aca="false">E145</f>
        <v>66.1390000000001</v>
      </c>
      <c r="F318" s="65" t="n">
        <f aca="false">F145</f>
        <v>23.557</v>
      </c>
      <c r="G318" s="65" t="n">
        <f aca="false">G145</f>
        <v>48.694</v>
      </c>
      <c r="H318" s="65" t="n">
        <f aca="false">H145</f>
        <v>65.476</v>
      </c>
      <c r="I318" s="65" t="n">
        <f aca="false">I145</f>
        <v>106.931</v>
      </c>
      <c r="J318" s="86"/>
      <c r="K318" s="86"/>
      <c r="L318" s="86"/>
      <c r="M318" s="86"/>
      <c r="N318" s="65" t="n">
        <f aca="false">N145</f>
        <v>126.199</v>
      </c>
      <c r="O318" s="86"/>
      <c r="P318" s="86"/>
      <c r="Q318" s="86"/>
      <c r="R318" s="86"/>
      <c r="S318" s="65" t="n">
        <f aca="false">S145</f>
        <v>144.814</v>
      </c>
      <c r="T318" s="86"/>
      <c r="U318" s="86"/>
      <c r="V318" s="86"/>
      <c r="W318" s="86"/>
      <c r="X318" s="65" t="n">
        <f aca="false">X145</f>
        <v>155.09</v>
      </c>
      <c r="Y318" s="86"/>
      <c r="Z318" s="86"/>
      <c r="AA318" s="86"/>
      <c r="AB318" s="86"/>
      <c r="AC318" s="65" t="n">
        <f aca="false">AC145</f>
        <v>155.553</v>
      </c>
      <c r="AD318" s="86"/>
      <c r="AE318" s="86"/>
      <c r="AF318" s="86"/>
      <c r="AG318" s="86"/>
      <c r="AH318" s="65" t="n">
        <f aca="false">AH145</f>
        <v>181.931</v>
      </c>
      <c r="AI318" s="86"/>
      <c r="AJ318" s="86"/>
      <c r="AK318" s="86"/>
      <c r="AL318" s="86"/>
      <c r="AM318" s="65" t="n">
        <f aca="false">AM145</f>
        <v>243.404</v>
      </c>
      <c r="AN318" s="86"/>
      <c r="AO318" s="86"/>
      <c r="AP318" s="86"/>
      <c r="AQ318" s="86"/>
      <c r="AR318" s="65" t="n">
        <f aca="false">AR145</f>
        <v>272.475</v>
      </c>
      <c r="AS318" s="86"/>
      <c r="AT318" s="86"/>
      <c r="AU318" s="86"/>
      <c r="AV318" s="86"/>
      <c r="AW318" s="65" t="n">
        <f aca="false">AW145</f>
        <v>316.11</v>
      </c>
      <c r="AX318" s="86"/>
      <c r="AY318" s="86"/>
      <c r="AZ318" s="86"/>
      <c r="BA318" s="86"/>
      <c r="BB318" s="65" t="n">
        <f aca="false">BB145</f>
        <v>473.418</v>
      </c>
      <c r="BC318" s="86"/>
      <c r="BD318" s="86"/>
      <c r="BE318" s="86"/>
      <c r="BF318" s="86"/>
      <c r="BG318" s="65" t="n">
        <f aca="false">BG145</f>
        <v>627.861999999999</v>
      </c>
      <c r="BH318" s="86"/>
      <c r="BI318" s="86"/>
      <c r="BJ318" s="86"/>
      <c r="BK318" s="86"/>
      <c r="BL318" s="65" t="n">
        <f aca="false">BL145</f>
        <v>641.399000000001</v>
      </c>
      <c r="BM318" s="86"/>
      <c r="BN318" s="86"/>
      <c r="BO318" s="86"/>
      <c r="BP318" s="86"/>
      <c r="BQ318" s="65" t="n">
        <f aca="false">BQ145</f>
        <v>693.994</v>
      </c>
      <c r="BR318" s="86"/>
      <c r="BS318" s="86"/>
      <c r="BT318" s="86"/>
      <c r="BU318" s="86"/>
      <c r="BV318" s="65" t="n">
        <f aca="false">BV145</f>
        <v>587.752</v>
      </c>
      <c r="BW318" s="86"/>
      <c r="BX318" s="86"/>
      <c r="BY318" s="87"/>
      <c r="BZ318" s="87"/>
      <c r="CA318" s="67" t="n">
        <f aca="false">CA145</f>
        <v>687.994605548687</v>
      </c>
      <c r="CB318" s="67" t="n">
        <f aca="false">CB145</f>
        <v>822.430696249021</v>
      </c>
      <c r="CC318" s="67" t="n">
        <f aca="false">CC145</f>
        <v>875.95179077664</v>
      </c>
      <c r="CD318" s="67" t="n">
        <f aca="false">CD145</f>
        <v>942.445906642759</v>
      </c>
      <c r="CE318" s="67" t="n">
        <f aca="false">CE145</f>
        <v>1052.23059580433</v>
      </c>
      <c r="CF318" s="21"/>
    </row>
    <row r="319" customFormat="false" ht="15" hidden="false" customHeight="true" outlineLevel="0" collapsed="false">
      <c r="B319" s="17" t="s">
        <v>491</v>
      </c>
      <c r="C319" s="127" t="n">
        <f aca="false">IFERROR(C317/C318,"n/a")</f>
        <v>1.13001774986346</v>
      </c>
      <c r="D319" s="127" t="n">
        <f aca="false">IFERROR(D317/D318,"n/a")</f>
        <v>2.08680529395515</v>
      </c>
      <c r="E319" s="127" t="n">
        <f aca="false">IFERROR(E317/E318,"n/a")</f>
        <v>1.65315471960568</v>
      </c>
      <c r="F319" s="127" t="n">
        <f aca="false">IFERROR(F317/F318,"n/a")</f>
        <v>3.44925075349153</v>
      </c>
      <c r="G319" s="127" t="n">
        <f aca="false">IFERROR(G317/G318,"n/a")</f>
        <v>1.25179693596747</v>
      </c>
      <c r="H319" s="127" t="n">
        <f aca="false">IFERROR(H317/H318,"n/a")</f>
        <v>1.09261408760462</v>
      </c>
      <c r="I319" s="127" t="n">
        <f aca="false">IFERROR(I317/I318,"n/a")</f>
        <v>0.564700601322347</v>
      </c>
      <c r="J319" s="128"/>
      <c r="K319" s="128"/>
      <c r="L319" s="128"/>
      <c r="M319" s="128"/>
      <c r="N319" s="127" t="n">
        <f aca="false">IFERROR(N317/N318,"n/a")</f>
        <v>0.607960443426652</v>
      </c>
      <c r="O319" s="128"/>
      <c r="P319" s="128"/>
      <c r="Q319" s="128"/>
      <c r="R319" s="128"/>
      <c r="S319" s="127" t="n">
        <f aca="false">IFERROR(S317/S318,"n/a")</f>
        <v>0.543234770118911</v>
      </c>
      <c r="T319" s="128"/>
      <c r="U319" s="128"/>
      <c r="V319" s="128"/>
      <c r="W319" s="128"/>
      <c r="X319" s="127" t="n">
        <f aca="false">IFERROR(X317/X318,"n/a")</f>
        <v>0.443922883487008</v>
      </c>
      <c r="Y319" s="128"/>
      <c r="Z319" s="128"/>
      <c r="AA319" s="128"/>
      <c r="AB319" s="128"/>
      <c r="AC319" s="127" t="n">
        <f aca="false">IFERROR(AC317/AC318,"n/a")</f>
        <v>0.464561917802935</v>
      </c>
      <c r="AD319" s="128"/>
      <c r="AE319" s="128"/>
      <c r="AF319" s="128"/>
      <c r="AG319" s="128"/>
      <c r="AH319" s="127" t="n">
        <f aca="false">IFERROR(AH317/AH318,"n/a")</f>
        <v>0.704640770401965</v>
      </c>
      <c r="AI319" s="128"/>
      <c r="AJ319" s="128"/>
      <c r="AK319" s="128"/>
      <c r="AL319" s="128"/>
      <c r="AM319" s="127" t="n">
        <f aca="false">IFERROR(AM317/AM318,"n/a")</f>
        <v>0.49573959343314</v>
      </c>
      <c r="AN319" s="128"/>
      <c r="AO319" s="128"/>
      <c r="AP319" s="128"/>
      <c r="AQ319" s="128"/>
      <c r="AR319" s="127" t="n">
        <f aca="false">IFERROR(AR317/AR318,"n/a")</f>
        <v>0.499796311588219</v>
      </c>
      <c r="AS319" s="128"/>
      <c r="AT319" s="128"/>
      <c r="AU319" s="128"/>
      <c r="AV319" s="128"/>
      <c r="AW319" s="127" t="n">
        <f aca="false">IFERROR(AW317/AW318,"n/a")</f>
        <v>0.144468697605264</v>
      </c>
      <c r="AX319" s="128"/>
      <c r="AY319" s="128"/>
      <c r="AZ319" s="128"/>
      <c r="BA319" s="128"/>
      <c r="BB319" s="127" t="n">
        <f aca="false">IFERROR(BB317/BB318,"n/a")</f>
        <v>-0.118677363344866</v>
      </c>
      <c r="BC319" s="128"/>
      <c r="BD319" s="128"/>
      <c r="BE319" s="128"/>
      <c r="BF319" s="128"/>
      <c r="BG319" s="127" t="n">
        <f aca="false">IFERROR(BG317/BG318,"n/a")</f>
        <v>-0.249070655653631</v>
      </c>
      <c r="BH319" s="128"/>
      <c r="BI319" s="128"/>
      <c r="BJ319" s="128"/>
      <c r="BK319" s="128"/>
      <c r="BL319" s="127" t="n">
        <f aca="false">IFERROR(BL317/BL318,"n/a")</f>
        <v>-0.436120106205341</v>
      </c>
      <c r="BM319" s="128"/>
      <c r="BN319" s="128"/>
      <c r="BO319" s="128"/>
      <c r="BP319" s="128"/>
      <c r="BQ319" s="127" t="n">
        <f aca="false">IFERROR(BQ317/BQ318,"n/a")</f>
        <v>0.260551243958881</v>
      </c>
      <c r="BR319" s="128"/>
      <c r="BS319" s="128"/>
      <c r="BT319" s="128"/>
      <c r="BU319" s="128"/>
      <c r="BV319" s="127" t="n">
        <f aca="false">IFERROR(BV317/BV318,"n/a")</f>
        <v>0.245443656508187</v>
      </c>
      <c r="BW319" s="128"/>
      <c r="BX319" s="128"/>
      <c r="BY319" s="129"/>
      <c r="BZ319" s="129"/>
      <c r="CA319" s="130" t="n">
        <f aca="false">IFERROR(CA317/CA318,"n/a")</f>
        <v>-0.0791496668576464</v>
      </c>
      <c r="CB319" s="130" t="n">
        <f aca="false">IFERROR(CB317/CB318,"n/a")</f>
        <v>0</v>
      </c>
      <c r="CC319" s="130" t="n">
        <f aca="false">IFERROR(CC317/CC318,"n/a")</f>
        <v>0</v>
      </c>
      <c r="CD319" s="130" t="n">
        <f aca="false">IFERROR(CD317/CD318,"n/a")</f>
        <v>0</v>
      </c>
      <c r="CE319" s="130" t="n">
        <f aca="false">IFERROR(CE317/CE318,"n/a")</f>
        <v>0</v>
      </c>
      <c r="CF319" s="21"/>
    </row>
    <row r="320" customFormat="false" ht="15" hidden="false" customHeight="true" outlineLevel="0" collapsed="false"/>
    <row r="321" customFormat="false" ht="15" hidden="false" customHeight="true" outlineLevel="0" collapsed="false">
      <c r="B321" s="11" t="s">
        <v>492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 t="s">
        <v>493</v>
      </c>
    </row>
    <row r="322" customFormat="false" ht="15" hidden="false" customHeight="true" outlineLevel="0" collapsed="false">
      <c r="B322" s="22" t="s">
        <v>494</v>
      </c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7"/>
      <c r="BZ322" s="47"/>
      <c r="CA322" s="93" t="n">
        <v>350</v>
      </c>
      <c r="CB322" s="25" t="n">
        <f aca="false">CA322</f>
        <v>350</v>
      </c>
      <c r="CC322" s="25" t="n">
        <f aca="false">CB322</f>
        <v>350</v>
      </c>
      <c r="CD322" s="25" t="n">
        <f aca="false">CC322</f>
        <v>350</v>
      </c>
      <c r="CE322" s="25" t="n">
        <f aca="false">CD322</f>
        <v>350</v>
      </c>
      <c r="CF322" s="21"/>
    </row>
    <row r="323" customFormat="false" ht="15" hidden="false" customHeight="true" outlineLevel="0" collapsed="false">
      <c r="B323" s="22" t="s">
        <v>495</v>
      </c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  <c r="BY323" s="111"/>
      <c r="BZ323" s="111"/>
      <c r="CA323" s="63" t="n">
        <f aca="false">CA226+($BX$112-$BX$111)</f>
        <v>26.76865</v>
      </c>
      <c r="CB323" s="63" t="n">
        <f aca="false">CB226+($BX$112-$BX$111)</f>
        <v>25.9448595306778</v>
      </c>
      <c r="CC323" s="63" t="n">
        <f aca="false">CC226+($BX$112-$BX$111)</f>
        <v>25.254927726591</v>
      </c>
      <c r="CD323" s="63" t="n">
        <f aca="false">CD226+($BX$112-$BX$111)</f>
        <v>24.6694828488439</v>
      </c>
      <c r="CE323" s="63" t="n">
        <f aca="false">CE226+($BX$112-$BX$111)</f>
        <v>24.0242353566962</v>
      </c>
      <c r="CF323" s="21"/>
    </row>
    <row r="324" customFormat="false" ht="15" hidden="false" customHeight="true" outlineLevel="0" collapsed="false">
      <c r="B324" s="22" t="s">
        <v>496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  <c r="BW324" s="42"/>
      <c r="BX324" s="42"/>
      <c r="BY324" s="43"/>
      <c r="BZ324" s="43"/>
      <c r="CA324" s="34" t="n">
        <f aca="false">IFERROR(CA322*CA323,"n/a")</f>
        <v>9369.0275</v>
      </c>
      <c r="CB324" s="34" t="n">
        <f aca="false">IFERROR(CB322*CB323,"n/a")</f>
        <v>9080.70083573723</v>
      </c>
      <c r="CC324" s="34" t="n">
        <f aca="false">IFERROR(CC322*CC323,"n/a")</f>
        <v>8839.22470430686</v>
      </c>
      <c r="CD324" s="34" t="n">
        <f aca="false">IFERROR(CD322*CD323,"n/a")</f>
        <v>8634.31899709537</v>
      </c>
      <c r="CE324" s="34" t="n">
        <f aca="false">IFERROR(CE322*CE323,"n/a")</f>
        <v>8408.48237484368</v>
      </c>
      <c r="CF324" s="21"/>
    </row>
    <row r="325" customFormat="false" ht="15" hidden="false" customHeight="true" outlineLevel="0" collapsed="false">
      <c r="B325" s="22" t="s">
        <v>497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  <c r="BW325" s="42"/>
      <c r="BX325" s="42"/>
      <c r="BY325" s="43"/>
      <c r="BZ325" s="43"/>
      <c r="CA325" s="34" t="n">
        <f aca="false">CA301</f>
        <v>-54.4545438290364</v>
      </c>
      <c r="CB325" s="34" t="n">
        <f aca="false">CB301</f>
        <v>0</v>
      </c>
      <c r="CC325" s="34" t="n">
        <f aca="false">CC301</f>
        <v>0</v>
      </c>
      <c r="CD325" s="34" t="n">
        <f aca="false">CD301</f>
        <v>0</v>
      </c>
      <c r="CE325" s="34" t="n">
        <f aca="false">CE301</f>
        <v>0</v>
      </c>
      <c r="CF325" s="21"/>
    </row>
    <row r="326" customFormat="false" ht="15" hidden="false" customHeight="true" outlineLevel="0" collapsed="false">
      <c r="B326" s="71" t="s">
        <v>498</v>
      </c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  <c r="BX326" s="131"/>
      <c r="BY326" s="132"/>
      <c r="BZ326" s="132"/>
      <c r="CA326" s="133" t="n">
        <f aca="false">IFERROR(CA324+CA325,"n/a")</f>
        <v>9314.57295617096</v>
      </c>
      <c r="CB326" s="133" t="n">
        <f aca="false">IFERROR(CB324+CB325,"n/a")</f>
        <v>9080.70083573723</v>
      </c>
      <c r="CC326" s="133" t="n">
        <f aca="false">IFERROR(CC324+CC325,"n/a")</f>
        <v>8839.22470430686</v>
      </c>
      <c r="CD326" s="133" t="n">
        <f aca="false">IFERROR(CD324+CD325,"n/a")</f>
        <v>8634.31899709537</v>
      </c>
      <c r="CE326" s="133" t="n">
        <f aca="false">IFERROR(CE324+CE325,"n/a")</f>
        <v>8408.48237484368</v>
      </c>
      <c r="CF326" s="21"/>
    </row>
    <row r="327" customFormat="false" ht="15" hidden="false" customHeight="true" outlineLevel="0" collapsed="false">
      <c r="B327" s="37" t="s">
        <v>499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90"/>
      <c r="BM327" s="42"/>
      <c r="BN327" s="42"/>
      <c r="BO327" s="42"/>
      <c r="BP327" s="42"/>
      <c r="BQ327" s="42"/>
      <c r="BR327" s="90"/>
      <c r="BS327" s="90"/>
      <c r="BT327" s="42"/>
      <c r="BU327" s="42"/>
      <c r="BV327" s="42"/>
      <c r="BW327" s="42"/>
      <c r="BX327" s="42"/>
      <c r="BY327" s="43"/>
      <c r="BZ327" s="43"/>
      <c r="CA327" s="43"/>
      <c r="CB327" s="43"/>
      <c r="CC327" s="43"/>
      <c r="CD327" s="43"/>
      <c r="CE327" s="43"/>
      <c r="CF327" s="21"/>
    </row>
    <row r="328" customFormat="false" ht="15" hidden="false" customHeight="true" outlineLevel="0" collapsed="false">
      <c r="B328" s="22" t="s">
        <v>500</v>
      </c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  <c r="AP328" s="119"/>
      <c r="AQ328" s="119"/>
      <c r="AR328" s="119"/>
      <c r="AS328" s="119"/>
      <c r="AT328" s="119"/>
      <c r="AU328" s="119"/>
      <c r="AV328" s="119"/>
      <c r="AW328" s="119"/>
      <c r="AX328" s="119"/>
      <c r="AY328" s="119"/>
      <c r="AZ328" s="119"/>
      <c r="BA328" s="119"/>
      <c r="BB328" s="119"/>
      <c r="BC328" s="119"/>
      <c r="BD328" s="119"/>
      <c r="BE328" s="119"/>
      <c r="BF328" s="119"/>
      <c r="BG328" s="119"/>
      <c r="BH328" s="119"/>
      <c r="BI328" s="119"/>
      <c r="BJ328" s="119"/>
      <c r="BK328" s="119"/>
      <c r="BL328" s="119"/>
      <c r="BM328" s="119"/>
      <c r="BN328" s="119"/>
      <c r="BO328" s="119"/>
      <c r="BP328" s="119"/>
      <c r="BQ328" s="119"/>
      <c r="BR328" s="119"/>
      <c r="BS328" s="119"/>
      <c r="BT328" s="119"/>
      <c r="BU328" s="119"/>
      <c r="BV328" s="119"/>
      <c r="BW328" s="119"/>
      <c r="BX328" s="119"/>
      <c r="BY328" s="108"/>
      <c r="BZ328" s="108"/>
      <c r="CA328" s="109" t="n">
        <f aca="false">IFERROR(CA326/CA81,"n/a")</f>
        <v>2.49344135375066</v>
      </c>
      <c r="CB328" s="109" t="n">
        <f aca="false">IFERROR(CB326/CB81,"n/a")</f>
        <v>2.22612726386261</v>
      </c>
      <c r="CC328" s="109" t="n">
        <f aca="false">IFERROR(CC326/CC81,"n/a")</f>
        <v>2.04028138732203</v>
      </c>
      <c r="CD328" s="109" t="n">
        <f aca="false">IFERROR(CD326/CD81,"n/a")</f>
        <v>1.86119807157283</v>
      </c>
      <c r="CE328" s="109" t="n">
        <f aca="false">IFERROR(CE326/CE81,"n/a")</f>
        <v>1.67581271825536</v>
      </c>
      <c r="CF328" s="21"/>
    </row>
    <row r="329" customFormat="false" ht="15" hidden="false" customHeight="true" outlineLevel="0" collapsed="false">
      <c r="B329" s="22" t="s">
        <v>501</v>
      </c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  <c r="AP329" s="119"/>
      <c r="AQ329" s="119"/>
      <c r="AR329" s="119"/>
      <c r="AS329" s="119"/>
      <c r="AT329" s="119"/>
      <c r="AU329" s="119"/>
      <c r="AV329" s="119"/>
      <c r="AW329" s="119"/>
      <c r="AX329" s="119"/>
      <c r="AY329" s="119"/>
      <c r="AZ329" s="119"/>
      <c r="BA329" s="119"/>
      <c r="BB329" s="119"/>
      <c r="BC329" s="119"/>
      <c r="BD329" s="119"/>
      <c r="BE329" s="119"/>
      <c r="BF329" s="119"/>
      <c r="BG329" s="119"/>
      <c r="BH329" s="119"/>
      <c r="BI329" s="119"/>
      <c r="BJ329" s="119"/>
      <c r="BK329" s="119"/>
      <c r="BL329" s="119"/>
      <c r="BM329" s="119"/>
      <c r="BN329" s="119"/>
      <c r="BO329" s="119"/>
      <c r="BP329" s="119"/>
      <c r="BQ329" s="119"/>
      <c r="BR329" s="119"/>
      <c r="BS329" s="119"/>
      <c r="BT329" s="119"/>
      <c r="BU329" s="119"/>
      <c r="BV329" s="119"/>
      <c r="BW329" s="119"/>
      <c r="BX329" s="119"/>
      <c r="BY329" s="108"/>
      <c r="BZ329" s="108"/>
      <c r="CA329" s="109" t="n">
        <f aca="false">IFERROR(CA326/CA145,"n/a")</f>
        <v>13.5387296369024</v>
      </c>
      <c r="CB329" s="109" t="n">
        <f aca="false">IFERROR(CB326/CB145,"n/a")</f>
        <v>11.041296096015</v>
      </c>
      <c r="CC329" s="109" t="n">
        <f aca="false">IFERROR(CC326/CC145,"n/a")</f>
        <v>10.0909945015008</v>
      </c>
      <c r="CD329" s="109" t="n">
        <f aca="false">IFERROR(CD326/CD145,"n/a")</f>
        <v>9.16160698055668</v>
      </c>
      <c r="CE329" s="109" t="n">
        <f aca="false">IFERROR(CE326/CE145,"n/a")</f>
        <v>7.99110233856694</v>
      </c>
      <c r="CF329" s="21"/>
    </row>
    <row r="330" customFormat="false" ht="15" hidden="false" customHeight="true" outlineLevel="0" collapsed="false">
      <c r="B330" s="22" t="s">
        <v>502</v>
      </c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  <c r="AP330" s="119"/>
      <c r="AQ330" s="119"/>
      <c r="AR330" s="119"/>
      <c r="AS330" s="119"/>
      <c r="AT330" s="119"/>
      <c r="AU330" s="119"/>
      <c r="AV330" s="119"/>
      <c r="AW330" s="119"/>
      <c r="AX330" s="119"/>
      <c r="AY330" s="119"/>
      <c r="AZ330" s="119"/>
      <c r="BA330" s="119"/>
      <c r="BB330" s="119"/>
      <c r="BC330" s="119"/>
      <c r="BD330" s="119"/>
      <c r="BE330" s="119"/>
      <c r="BF330" s="119"/>
      <c r="BG330" s="119"/>
      <c r="BH330" s="119"/>
      <c r="BI330" s="119"/>
      <c r="BJ330" s="119"/>
      <c r="BK330" s="119"/>
      <c r="BL330" s="119"/>
      <c r="BM330" s="119"/>
      <c r="BN330" s="119"/>
      <c r="BO330" s="119"/>
      <c r="BP330" s="119"/>
      <c r="BQ330" s="119"/>
      <c r="BR330" s="119"/>
      <c r="BS330" s="119"/>
      <c r="BT330" s="119"/>
      <c r="BU330" s="119"/>
      <c r="BV330" s="119"/>
      <c r="BW330" s="119"/>
      <c r="BX330" s="119"/>
      <c r="BY330" s="108"/>
      <c r="BZ330" s="108"/>
      <c r="CA330" s="109" t="n">
        <f aca="false">IFERROR(CA326/CA150,"n/a")</f>
        <v>21.5950158673647</v>
      </c>
      <c r="CB330" s="109" t="n">
        <f aca="false">IFERROR(CB326/CB150,"n/a")</f>
        <v>17.0815590520649</v>
      </c>
      <c r="CC330" s="109" t="n">
        <f aca="false">IFERROR(CC326/CC150,"n/a")</f>
        <v>15.5133774420006</v>
      </c>
      <c r="CD330" s="109" t="n">
        <f aca="false">IFERROR(CD326/CD150,"n/a")</f>
        <v>13.9328244212419</v>
      </c>
      <c r="CE330" s="109" t="n">
        <f aca="false">IFERROR(CE326/CE150,"n/a")</f>
        <v>11.8973773472425</v>
      </c>
      <c r="CF330" s="21"/>
    </row>
    <row r="331" customFormat="false" ht="15" hidden="false" customHeight="true" outlineLevel="0" collapsed="false">
      <c r="B331" s="22" t="s">
        <v>503</v>
      </c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  <c r="AP331" s="119"/>
      <c r="AQ331" s="119"/>
      <c r="AR331" s="119"/>
      <c r="AS331" s="119"/>
      <c r="AT331" s="119"/>
      <c r="AU331" s="119"/>
      <c r="AV331" s="119"/>
      <c r="AW331" s="119"/>
      <c r="AX331" s="119"/>
      <c r="AY331" s="119"/>
      <c r="AZ331" s="119"/>
      <c r="BA331" s="119"/>
      <c r="BB331" s="119"/>
      <c r="BC331" s="119"/>
      <c r="BD331" s="119"/>
      <c r="BE331" s="119"/>
      <c r="BF331" s="119"/>
      <c r="BG331" s="119"/>
      <c r="BH331" s="119"/>
      <c r="BI331" s="119"/>
      <c r="BJ331" s="119"/>
      <c r="BK331" s="119"/>
      <c r="BL331" s="119"/>
      <c r="BM331" s="119"/>
      <c r="BN331" s="119"/>
      <c r="BO331" s="119"/>
      <c r="BP331" s="119"/>
      <c r="BQ331" s="119"/>
      <c r="BR331" s="119"/>
      <c r="BS331" s="119"/>
      <c r="BT331" s="119"/>
      <c r="BU331" s="119"/>
      <c r="BV331" s="119"/>
      <c r="BW331" s="119"/>
      <c r="BX331" s="119"/>
      <c r="BY331" s="108"/>
      <c r="BZ331" s="108"/>
      <c r="CA331" s="109" t="n">
        <f aca="false">IFERROR(CA326/CA300,"n/a")</f>
        <v>3.25879419001056</v>
      </c>
      <c r="CB331" s="109" t="n">
        <f aca="false">IFERROR(CB326/CB300,"n/a")</f>
        <v>3.02424440085667</v>
      </c>
      <c r="CC331" s="109" t="n">
        <f aca="false">IFERROR(CC326/CC300,"n/a")</f>
        <v>2.8040657082163</v>
      </c>
      <c r="CD331" s="109" t="n">
        <f aca="false">IFERROR(CD326/CD300,"n/a")</f>
        <v>2.56561760781861</v>
      </c>
      <c r="CE331" s="109" t="n">
        <f aca="false">IFERROR(CE326/CE300,"n/a")</f>
        <v>2.33583548806951</v>
      </c>
      <c r="CF331" s="21"/>
    </row>
    <row r="332" customFormat="false" ht="15" hidden="false" customHeight="true" outlineLevel="0" collapsed="false">
      <c r="B332" s="22" t="s">
        <v>504</v>
      </c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  <c r="AP332" s="119"/>
      <c r="AQ332" s="119"/>
      <c r="AR332" s="119"/>
      <c r="AS332" s="119"/>
      <c r="AT332" s="119"/>
      <c r="AU332" s="119"/>
      <c r="AV332" s="119"/>
      <c r="AW332" s="119"/>
      <c r="AX332" s="119"/>
      <c r="AY332" s="119"/>
      <c r="AZ332" s="119"/>
      <c r="BA332" s="119"/>
      <c r="BB332" s="119"/>
      <c r="BC332" s="119"/>
      <c r="BD332" s="119"/>
      <c r="BE332" s="119"/>
      <c r="BF332" s="119"/>
      <c r="BG332" s="119"/>
      <c r="BH332" s="119"/>
      <c r="BI332" s="119"/>
      <c r="BJ332" s="119"/>
      <c r="BK332" s="119"/>
      <c r="BL332" s="119"/>
      <c r="BM332" s="119"/>
      <c r="BN332" s="119"/>
      <c r="BO332" s="119"/>
      <c r="BP332" s="119"/>
      <c r="BQ332" s="119"/>
      <c r="BR332" s="119"/>
      <c r="BS332" s="119"/>
      <c r="BT332" s="119"/>
      <c r="BU332" s="119"/>
      <c r="BV332" s="119"/>
      <c r="BW332" s="119"/>
      <c r="BX332" s="119"/>
      <c r="BY332" s="108"/>
      <c r="BZ332" s="108"/>
      <c r="CA332" s="109" t="n">
        <f aca="false">IFERROR(CA322/CA114,"n/a")</f>
        <v>29.2551186548775</v>
      </c>
      <c r="CB332" s="109" t="n">
        <f aca="false">IFERROR(CB322/CB114,"n/a")</f>
        <v>23.0990252682744</v>
      </c>
      <c r="CC332" s="109" t="n">
        <f aca="false">IFERROR(CC322/CC114,"n/a")</f>
        <v>20.9860569993413</v>
      </c>
      <c r="CD332" s="109" t="n">
        <f aca="false">IFERROR(CD322/CD114,"n/a")</f>
        <v>18.8030970652837</v>
      </c>
      <c r="CE332" s="109" t="n">
        <f aca="false">IFERROR(CE322/CE114,"n/a")</f>
        <v>16.0671766195307</v>
      </c>
      <c r="CF332" s="21"/>
    </row>
    <row r="333" customFormat="false" ht="15" hidden="false" customHeight="true" outlineLevel="0" collapsed="false">
      <c r="B333" s="22" t="s">
        <v>505</v>
      </c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  <c r="AP333" s="119"/>
      <c r="AQ333" s="119"/>
      <c r="AR333" s="119"/>
      <c r="AS333" s="119"/>
      <c r="AT333" s="119"/>
      <c r="AU333" s="119"/>
      <c r="AV333" s="119"/>
      <c r="AW333" s="119"/>
      <c r="AX333" s="119"/>
      <c r="AY333" s="119"/>
      <c r="AZ333" s="119"/>
      <c r="BA333" s="119"/>
      <c r="BB333" s="119"/>
      <c r="BC333" s="119"/>
      <c r="BD333" s="119"/>
      <c r="BE333" s="119"/>
      <c r="BF333" s="119"/>
      <c r="BG333" s="119"/>
      <c r="BH333" s="119"/>
      <c r="BI333" s="119"/>
      <c r="BJ333" s="119"/>
      <c r="BK333" s="119"/>
      <c r="BL333" s="119"/>
      <c r="BM333" s="119"/>
      <c r="BN333" s="119"/>
      <c r="BO333" s="119"/>
      <c r="BP333" s="119"/>
      <c r="BQ333" s="119"/>
      <c r="BR333" s="119"/>
      <c r="BS333" s="119"/>
      <c r="BT333" s="119"/>
      <c r="BU333" s="119"/>
      <c r="BV333" s="119"/>
      <c r="BW333" s="119"/>
      <c r="BX333" s="119"/>
      <c r="BY333" s="108"/>
      <c r="BZ333" s="108"/>
      <c r="CA333" s="109" t="n">
        <f aca="false">IFERROR(CA322/CA162,"n/a")</f>
        <v>29.2551186548775</v>
      </c>
      <c r="CB333" s="109" t="n">
        <f aca="false">IFERROR(CB322/CB162,"n/a")</f>
        <v>23.0990252682744</v>
      </c>
      <c r="CC333" s="109" t="n">
        <f aca="false">IFERROR(CC322/CC162,"n/a")</f>
        <v>20.9860569993413</v>
      </c>
      <c r="CD333" s="109" t="n">
        <f aca="false">IFERROR(CD322/CD162,"n/a")</f>
        <v>18.8030970652837</v>
      </c>
      <c r="CE333" s="109" t="n">
        <f aca="false">IFERROR(CE322/CE162,"n/a")</f>
        <v>16.0671766195307</v>
      </c>
      <c r="CF333" s="21"/>
    </row>
    <row r="334" customFormat="false" ht="15" hidden="false" customHeight="true" outlineLevel="0" collapsed="false">
      <c r="B334" s="22" t="s">
        <v>506</v>
      </c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41"/>
      <c r="BZ334" s="41"/>
      <c r="CA334" s="30" t="n">
        <f aca="false">IFERROR(CA211/CA324,"n/a")</f>
        <v>0.0214251205719096</v>
      </c>
      <c r="CB334" s="30" t="n">
        <f aca="false">IFERROR(CB211/CB324,"n/a")</f>
        <v>0.0301777353850987</v>
      </c>
      <c r="CC334" s="30" t="n">
        <f aca="false">IFERROR(CC211/CC324,"n/a")</f>
        <v>0.0336561896350115</v>
      </c>
      <c r="CD334" s="30" t="n">
        <f aca="false">IFERROR(CD211/CD324,"n/a")</f>
        <v>0.0316375737763903</v>
      </c>
      <c r="CE334" s="30" t="n">
        <f aca="false">IFERROR(CE211/CE324,"n/a")</f>
        <v>0.0379827028543094</v>
      </c>
      <c r="CF334" s="21"/>
    </row>
    <row r="335" customFormat="false" ht="15" hidden="false" customHeight="true" outlineLevel="0" collapsed="false">
      <c r="B335" s="22" t="s">
        <v>507</v>
      </c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41"/>
      <c r="BZ335" s="41"/>
      <c r="CA335" s="30" t="n">
        <f aca="false">IFERROR(CA118/CA322,"n/a")</f>
        <v>0</v>
      </c>
      <c r="CB335" s="30" t="n">
        <f aca="false">IFERROR(CB118/CB322,"n/a")</f>
        <v>0</v>
      </c>
      <c r="CC335" s="30" t="n">
        <f aca="false">IFERROR(CC118/CC322,"n/a")</f>
        <v>0</v>
      </c>
      <c r="CD335" s="30" t="n">
        <f aca="false">IFERROR(CD118/CD322,"n/a")</f>
        <v>0</v>
      </c>
      <c r="CE335" s="30" t="n">
        <f aca="false">IFERROR(CE118/CE322,"n/a")</f>
        <v>0</v>
      </c>
      <c r="CF335" s="21"/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6" activeCellId="0" sqref="H26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63.86"/>
    <col collapsed="false" customWidth="true" hidden="false" outlineLevel="0" max="8" min="3" style="0" width="11.86"/>
    <col collapsed="false" customWidth="true" hidden="false" outlineLevel="0" max="9" min="9" style="0" width="13.29"/>
    <col collapsed="false" customWidth="true" hidden="false" outlineLevel="0" max="12" min="10" style="0" width="12.57"/>
    <col collapsed="false" customWidth="true" hidden="false" outlineLevel="0" max="13" min="13" style="0" width="3.86"/>
    <col collapsed="false" customWidth="true" hidden="false" outlineLevel="0" max="14" min="14" style="0" width="63.86"/>
    <col collapsed="false" customWidth="true" hidden="false" outlineLevel="0" max="20" min="15" style="0" width="11.86"/>
    <col collapsed="false" customWidth="true" hidden="false" outlineLevel="0" max="21" min="21" style="0" width="13.29"/>
    <col collapsed="false" customWidth="true" hidden="false" outlineLevel="0" max="24" min="22" style="0" width="12.57"/>
    <col collapsed="false" customWidth="true" hidden="false" outlineLevel="0" max="25" min="25" style="0" width="3.86"/>
    <col collapsed="false" customWidth="true" hidden="false" outlineLevel="0" max="26" min="26" style="0" width="63.86"/>
    <col collapsed="false" customWidth="true" hidden="false" outlineLevel="0" max="32" min="27" style="0" width="11.86"/>
    <col collapsed="false" customWidth="true" hidden="false" outlineLevel="0" max="33" min="33" style="0" width="13.29"/>
    <col collapsed="false" customWidth="true" hidden="false" outlineLevel="0" max="36" min="34" style="0" width="12.57"/>
  </cols>
  <sheetData>
    <row r="2" customFormat="false" ht="19.5" hidden="false" customHeight="true" outlineLevel="0" collapsed="false">
      <c r="B2" s="134" t="s">
        <v>508</v>
      </c>
      <c r="J2" s="135" t="s">
        <v>509</v>
      </c>
      <c r="K2" s="136" t="n">
        <f aca="false">Model!$CA$322</f>
        <v>350</v>
      </c>
    </row>
    <row r="3" customFormat="false" ht="15" hidden="false" customHeight="true" outlineLevel="0" collapsed="false">
      <c r="B3" s="4" t="s">
        <v>510</v>
      </c>
      <c r="J3" s="135" t="s">
        <v>511</v>
      </c>
      <c r="K3" s="137" t="n">
        <f aca="true">TODAY()</f>
        <v>46300</v>
      </c>
    </row>
    <row r="5" customFormat="false" ht="15" hidden="false" customHeight="true" outlineLevel="0" collapsed="false">
      <c r="B5" s="11" t="s">
        <v>512</v>
      </c>
      <c r="C5" s="138" t="str">
        <f aca="false">Model!$CF$2</f>
        <v>Base</v>
      </c>
      <c r="N5" s="139" t="s">
        <v>512</v>
      </c>
      <c r="O5" s="140" t="s">
        <v>80</v>
      </c>
      <c r="P5" s="4" t="s">
        <v>513</v>
      </c>
      <c r="Z5" s="139" t="s">
        <v>512</v>
      </c>
      <c r="AA5" s="140" t="s">
        <v>81</v>
      </c>
      <c r="AB5" s="4" t="s">
        <v>514</v>
      </c>
    </row>
    <row r="7" customFormat="false" ht="31.5" hidden="false" customHeight="true" outlineLevel="0" collapsed="false">
      <c r="B7" s="141" t="s">
        <v>515</v>
      </c>
      <c r="C7" s="142" t="s">
        <v>516</v>
      </c>
      <c r="D7" s="142" t="s">
        <v>64</v>
      </c>
      <c r="E7" s="142" t="s">
        <v>65</v>
      </c>
      <c r="F7" s="142" t="s">
        <v>66</v>
      </c>
      <c r="G7" s="142" t="s">
        <v>67</v>
      </c>
      <c r="H7" s="142" t="s">
        <v>68</v>
      </c>
      <c r="I7" s="142" t="s">
        <v>517</v>
      </c>
      <c r="J7" s="143" t="s">
        <v>518</v>
      </c>
      <c r="K7" s="143" t="s">
        <v>519</v>
      </c>
      <c r="L7" s="143" t="s">
        <v>520</v>
      </c>
      <c r="N7" s="141" t="s">
        <v>515</v>
      </c>
      <c r="O7" s="142" t="s">
        <v>516</v>
      </c>
      <c r="P7" s="142" t="s">
        <v>64</v>
      </c>
      <c r="Q7" s="142" t="s">
        <v>65</v>
      </c>
      <c r="R7" s="142" t="s">
        <v>66</v>
      </c>
      <c r="S7" s="142" t="s">
        <v>67</v>
      </c>
      <c r="T7" s="142" t="s">
        <v>68</v>
      </c>
      <c r="U7" s="142" t="s">
        <v>517</v>
      </c>
      <c r="V7" s="143" t="s">
        <v>518</v>
      </c>
      <c r="W7" s="143" t="s">
        <v>519</v>
      </c>
      <c r="X7" s="143" t="s">
        <v>520</v>
      </c>
      <c r="Z7" s="141" t="s">
        <v>515</v>
      </c>
      <c r="AA7" s="142" t="s">
        <v>516</v>
      </c>
      <c r="AB7" s="142" t="s">
        <v>64</v>
      </c>
      <c r="AC7" s="142" t="s">
        <v>65</v>
      </c>
      <c r="AD7" s="142" t="s">
        <v>66</v>
      </c>
      <c r="AE7" s="142" t="s">
        <v>67</v>
      </c>
      <c r="AF7" s="142" t="s">
        <v>68</v>
      </c>
      <c r="AG7" s="142" t="s">
        <v>517</v>
      </c>
      <c r="AH7" s="143" t="s">
        <v>518</v>
      </c>
      <c r="AI7" s="143" t="s">
        <v>519</v>
      </c>
      <c r="AJ7" s="143" t="s">
        <v>520</v>
      </c>
    </row>
    <row r="9" customFormat="false" ht="15" hidden="false" customHeight="true" outlineLevel="0" collapsed="false">
      <c r="B9" s="144" t="s">
        <v>521</v>
      </c>
      <c r="C9" s="145" t="n">
        <f aca="false">Model!BV81</f>
        <v>3234.286</v>
      </c>
      <c r="D9" s="146" t="n">
        <f aca="false">Model!CA81</f>
        <v>3735.62945130427</v>
      </c>
      <c r="E9" s="146" t="n">
        <f aca="false">Model!CB81</f>
        <v>4079.14721819682</v>
      </c>
      <c r="F9" s="146" t="n">
        <f aca="false">Model!CC81</f>
        <v>4332.35570310662</v>
      </c>
      <c r="G9" s="146" t="n">
        <f aca="false">Model!CD81</f>
        <v>4639.11881758981</v>
      </c>
      <c r="H9" s="146" t="n">
        <f aca="false">Model!CE81</f>
        <v>5017.5549351347</v>
      </c>
      <c r="I9" s="147" t="n">
        <f aca="false">IFERROR((H9/C9)^(1/5)-1,"n/m")</f>
        <v>0.0917991278461392</v>
      </c>
      <c r="N9" s="144" t="s">
        <v>521</v>
      </c>
      <c r="O9" s="145" t="n">
        <v>3234.286</v>
      </c>
      <c r="P9" s="146" t="n">
        <v>3768.98967499844</v>
      </c>
      <c r="Q9" s="146" t="n">
        <v>4252.58293317803</v>
      </c>
      <c r="R9" s="146" t="n">
        <v>4668.99134291577</v>
      </c>
      <c r="S9" s="146" t="n">
        <v>5168.88129592161</v>
      </c>
      <c r="T9" s="146" t="n">
        <v>5780.35995322913</v>
      </c>
      <c r="U9" s="147" t="n">
        <v>0.123143615051089</v>
      </c>
      <c r="Z9" s="144" t="s">
        <v>521</v>
      </c>
      <c r="AA9" s="145" t="n">
        <v>3234.286</v>
      </c>
      <c r="AB9" s="146" t="n">
        <v>3702.63503777628</v>
      </c>
      <c r="AC9" s="146" t="n">
        <v>3910.63777330673</v>
      </c>
      <c r="AD9" s="146" t="n">
        <v>4015.48847307914</v>
      </c>
      <c r="AE9" s="146" t="n">
        <v>4156.59335957207</v>
      </c>
      <c r="AF9" s="146" t="n">
        <v>4345.51052776462</v>
      </c>
      <c r="AG9" s="147" t="n">
        <v>0.0608463271464694</v>
      </c>
    </row>
    <row r="10" customFormat="false" ht="15" hidden="false" customHeight="true" outlineLevel="0" collapsed="false">
      <c r="B10" s="148" t="s">
        <v>522</v>
      </c>
      <c r="C10" s="149"/>
      <c r="D10" s="150" t="n">
        <f aca="false">IFERROR(D9/C9-1,"")</f>
        <v>0.155009003936036</v>
      </c>
      <c r="E10" s="150" t="n">
        <f aca="false">IFERROR(E9/D9-1,"")</f>
        <v>0.0919571310191409</v>
      </c>
      <c r="F10" s="150" t="n">
        <f aca="false">IFERROR(F9/E9-1,"")</f>
        <v>0.0620738775448595</v>
      </c>
      <c r="G10" s="150" t="n">
        <f aca="false">IFERROR(G9/F9-1,"")</f>
        <v>0.0708074626151363</v>
      </c>
      <c r="H10" s="150" t="n">
        <f aca="false">IFERROR(H9/G9-1,"")</f>
        <v>0.081575</v>
      </c>
      <c r="N10" s="148" t="s">
        <v>522</v>
      </c>
      <c r="O10" s="149"/>
      <c r="P10" s="150" t="n">
        <v>0.165323559820757</v>
      </c>
      <c r="Q10" s="150" t="n">
        <v>0.128308459263634</v>
      </c>
      <c r="R10" s="150" t="n">
        <v>0.0979189392143263</v>
      </c>
      <c r="S10" s="150" t="n">
        <v>0.107065941290364</v>
      </c>
      <c r="T10" s="150" t="n">
        <v>0.1183</v>
      </c>
      <c r="Z10" s="148" t="s">
        <v>522</v>
      </c>
      <c r="AA10" s="149"/>
      <c r="AB10" s="150" t="n">
        <v>0.144807551891292</v>
      </c>
      <c r="AC10" s="150" t="n">
        <v>0.0561769478785501</v>
      </c>
      <c r="AD10" s="150" t="n">
        <v>0.0268116624066033</v>
      </c>
      <c r="AE10" s="150" t="n">
        <v>0.0351401547878749</v>
      </c>
      <c r="AF10" s="150" t="n">
        <v>0.0454499999999995</v>
      </c>
    </row>
    <row r="11" customFormat="false" ht="15" hidden="false" customHeight="true" outlineLevel="0" collapsed="false">
      <c r="B11" s="144" t="s">
        <v>523</v>
      </c>
      <c r="C11" s="151" t="n">
        <f aca="false">Model!BV168</f>
        <v>0.0245737582667096</v>
      </c>
      <c r="D11" s="152" t="n">
        <f aca="false">Model!CA168</f>
        <v>0.0542692744684306</v>
      </c>
      <c r="E11" s="152" t="n">
        <f aca="false">Model!CB168</f>
        <v>0.05</v>
      </c>
      <c r="F11" s="152" t="n">
        <f aca="false">Model!CC168</f>
        <v>0.045</v>
      </c>
      <c r="G11" s="152" t="n">
        <f aca="false">Model!CD168</f>
        <v>0.04</v>
      </c>
      <c r="H11" s="152" t="n">
        <f aca="false">Model!CE168</f>
        <v>0.035</v>
      </c>
      <c r="N11" s="144" t="s">
        <v>523</v>
      </c>
      <c r="O11" s="151" t="n">
        <v>0.0245737582667096</v>
      </c>
      <c r="P11" s="152" t="n">
        <v>0.0590055185846454</v>
      </c>
      <c r="Q11" s="152" t="n">
        <v>0.07</v>
      </c>
      <c r="R11" s="152" t="n">
        <v>0.065</v>
      </c>
      <c r="S11" s="152" t="n">
        <v>0.06</v>
      </c>
      <c r="T11" s="152" t="n">
        <v>0.055</v>
      </c>
      <c r="Z11" s="144" t="s">
        <v>523</v>
      </c>
      <c r="AA11" s="151" t="n">
        <v>0.0245737582667096</v>
      </c>
      <c r="AB11" s="152" t="n">
        <v>0.0495330303522157</v>
      </c>
      <c r="AC11" s="152" t="n">
        <v>0.03</v>
      </c>
      <c r="AD11" s="152" t="n">
        <v>0.025</v>
      </c>
      <c r="AE11" s="152" t="n">
        <v>0.02</v>
      </c>
      <c r="AF11" s="152" t="n">
        <v>0.015</v>
      </c>
    </row>
    <row r="12" customFormat="false" ht="15" hidden="false" customHeight="true" outlineLevel="0" collapsed="false">
      <c r="B12" s="144" t="s">
        <v>524</v>
      </c>
      <c r="C12" s="145" t="n">
        <f aca="false">Model!BV145</f>
        <v>587.752</v>
      </c>
      <c r="D12" s="146" t="n">
        <f aca="false">Model!CA145</f>
        <v>687.994605548687</v>
      </c>
      <c r="E12" s="146" t="n">
        <f aca="false">Model!CB145</f>
        <v>822.430696249021</v>
      </c>
      <c r="F12" s="146" t="n">
        <f aca="false">Model!CC145</f>
        <v>875.95179077664</v>
      </c>
      <c r="G12" s="146" t="n">
        <f aca="false">Model!CD145</f>
        <v>942.445906642759</v>
      </c>
      <c r="H12" s="146" t="n">
        <f aca="false">Model!CE145</f>
        <v>1052.23059580433</v>
      </c>
      <c r="I12" s="147" t="n">
        <f aca="false">IFERROR((H12/C12)^(1/5)-1,"n/m")</f>
        <v>0.123526607799777</v>
      </c>
      <c r="N12" s="144" t="s">
        <v>524</v>
      </c>
      <c r="O12" s="145" t="n">
        <v>587.752</v>
      </c>
      <c r="P12" s="146" t="n">
        <v>710.642619424814</v>
      </c>
      <c r="Q12" s="146" t="n">
        <v>920.667009778915</v>
      </c>
      <c r="R12" s="146" t="n">
        <v>1062.71602560332</v>
      </c>
      <c r="S12" s="146" t="n">
        <v>1234.42795488427</v>
      </c>
      <c r="T12" s="146" t="n">
        <v>1472.33676723098</v>
      </c>
      <c r="U12" s="147" t="n">
        <v>0.201607439092119</v>
      </c>
      <c r="Z12" s="144" t="s">
        <v>524</v>
      </c>
      <c r="AA12" s="145" t="n">
        <v>587.752</v>
      </c>
      <c r="AB12" s="146" t="n">
        <v>665.720067217614</v>
      </c>
      <c r="AC12" s="146" t="n">
        <v>728.288770890855</v>
      </c>
      <c r="AD12" s="146" t="n">
        <v>703.546214865881</v>
      </c>
      <c r="AE12" s="146" t="n">
        <v>683.133348070201</v>
      </c>
      <c r="AF12" s="146" t="n">
        <v>693.269900113439</v>
      </c>
      <c r="AG12" s="147" t="n">
        <v>0.0335741663524678</v>
      </c>
    </row>
    <row r="13" customFormat="false" ht="15" hidden="false" customHeight="true" outlineLevel="0" collapsed="false">
      <c r="B13" s="148" t="s">
        <v>525</v>
      </c>
      <c r="C13" s="153" t="n">
        <f aca="false">IFERROR(C12/C9,"")</f>
        <v>0.18172542564263</v>
      </c>
      <c r="D13" s="154" t="n">
        <f aca="false">IFERROR(D12/D9,"")</f>
        <v>0.184170998359722</v>
      </c>
      <c r="E13" s="154" t="n">
        <f aca="false">IFERROR(E12/E9,"")</f>
        <v>0.201618292318603</v>
      </c>
      <c r="F13" s="154" t="n">
        <f aca="false">IFERROR(F12/F9,"")</f>
        <v>0.202188336047411</v>
      </c>
      <c r="G13" s="154" t="n">
        <f aca="false">IFERROR(G12/G9,"")</f>
        <v>0.203151922530924</v>
      </c>
      <c r="H13" s="154" t="n">
        <f aca="false">IFERROR(H12/H9,"")</f>
        <v>0.209709830665976</v>
      </c>
      <c r="J13" s="155" t="n">
        <f aca="false">IFERROR(AVERAGE(Model!C146,Model!D146,Model!E146,Model!F146,Model!G146,Model!H146,Model!I146,Model!N146,Model!S146,Model!X146,Model!AC146,Model!AH146,Model!AM146,Model!AR146,Model!AW146,Model!BB146,Model!BG146,Model!BL146,Model!BQ146,Model!BV146),"n/m")</f>
        <v>0.131274416827752</v>
      </c>
      <c r="K13" s="155" t="n">
        <f aca="false">IFERROR(MIN(Model!C146,Model!D146,Model!E146,Model!F146,Model!G146,Model!H146,Model!I146,Model!N146,Model!S146,Model!X146,Model!AC146,Model!AH146,Model!AM146,Model!AR146,Model!AW146,Model!BB146,Model!BG146,Model!BL146,Model!BQ146,Model!BV146),"n/m")</f>
        <v>0.0277421535410492</v>
      </c>
      <c r="L13" s="155" t="n">
        <f aca="false">IFERROR(MAX(Model!C146,Model!D146,Model!E146,Model!F146,Model!G146,Model!H146,Model!I146,Model!N146,Model!S146,Model!X146,Model!AC146,Model!AH146,Model!AM146,Model!AR146,Model!AW146,Model!BB146,Model!BG146,Model!BL146,Model!BQ146,Model!BV146),"n/m")</f>
        <v>0.224874348911931</v>
      </c>
      <c r="N13" s="148" t="s">
        <v>525</v>
      </c>
      <c r="O13" s="153" t="n">
        <v>0.18172542564263</v>
      </c>
      <c r="P13" s="154" t="n">
        <v>0.188549898170021</v>
      </c>
      <c r="Q13" s="154" t="n">
        <v>0.216495956515276</v>
      </c>
      <c r="R13" s="154" t="n">
        <v>0.227611479129378</v>
      </c>
      <c r="S13" s="154" t="n">
        <v>0.238819172701504</v>
      </c>
      <c r="T13" s="154" t="n">
        <v>0.254713682044745</v>
      </c>
      <c r="V13" s="155" t="n">
        <v>0.131274416827752</v>
      </c>
      <c r="W13" s="155" t="n">
        <v>0.0277421535410492</v>
      </c>
      <c r="X13" s="155" t="n">
        <v>0.224874348911931</v>
      </c>
      <c r="Z13" s="148" t="s">
        <v>525</v>
      </c>
      <c r="AA13" s="153" t="n">
        <v>0.18172542564263</v>
      </c>
      <c r="AB13" s="154" t="n">
        <v>0.179796296536272</v>
      </c>
      <c r="AC13" s="154" t="n">
        <v>0.186232735709253</v>
      </c>
      <c r="AD13" s="154" t="n">
        <v>0.175208127126409</v>
      </c>
      <c r="AE13" s="154" t="n">
        <v>0.164349333450442</v>
      </c>
      <c r="AF13" s="154" t="n">
        <v>0.159537043043379</v>
      </c>
      <c r="AH13" s="155" t="n">
        <v>0.131274416827752</v>
      </c>
      <c r="AI13" s="155" t="n">
        <v>0.0277421535410492</v>
      </c>
      <c r="AJ13" s="155" t="n">
        <v>0.224874348911931</v>
      </c>
    </row>
    <row r="15" customFormat="false" ht="15" hidden="false" customHeight="true" outlineLevel="0" collapsed="false">
      <c r="B15" s="144" t="s">
        <v>526</v>
      </c>
      <c r="C15" s="145" t="n">
        <f aca="false">Model!BV93</f>
        <v>352.2</v>
      </c>
      <c r="D15" s="146" t="n">
        <f aca="false">Model!CA93</f>
        <v>425.861757448687</v>
      </c>
      <c r="E15" s="146" t="n">
        <f aca="false">Model!CB93</f>
        <v>531.608432699796</v>
      </c>
      <c r="F15" s="146" t="n">
        <f aca="false">Model!CC93</f>
        <v>569.780806104527</v>
      </c>
      <c r="G15" s="146" t="n">
        <f aca="false">Model!CD93</f>
        <v>619.71060109905</v>
      </c>
      <c r="H15" s="146" t="n">
        <f aca="false">Model!CE93</f>
        <v>706.750919083235</v>
      </c>
      <c r="I15" s="147" t="n">
        <f aca="false">IFERROR((H15/C15)^(1/5)-1,"n/m")</f>
        <v>0.149464084397129</v>
      </c>
      <c r="N15" s="144" t="s">
        <v>526</v>
      </c>
      <c r="O15" s="145" t="n">
        <v>352.2</v>
      </c>
      <c r="P15" s="146" t="n">
        <v>448.509771324814</v>
      </c>
      <c r="Q15" s="146" t="n">
        <v>627.414365715519</v>
      </c>
      <c r="R15" s="146" t="n">
        <v>752.496265353314</v>
      </c>
      <c r="S15" s="146" t="n">
        <v>904.437604496287</v>
      </c>
      <c r="T15" s="146" t="n">
        <v>1114.12722930888</v>
      </c>
      <c r="U15" s="147" t="n">
        <v>0.2590097326178</v>
      </c>
      <c r="Z15" s="144" t="s">
        <v>526</v>
      </c>
      <c r="AA15" s="145" t="n">
        <v>352.2</v>
      </c>
      <c r="AB15" s="146" t="n">
        <v>403.587219117615</v>
      </c>
      <c r="AC15" s="146" t="n">
        <v>439.896887855799</v>
      </c>
      <c r="AD15" s="146" t="n">
        <v>401.371325843976</v>
      </c>
      <c r="AE15" s="146" t="n">
        <v>367.394131798986</v>
      </c>
      <c r="AF15" s="146" t="n">
        <v>359.735244562741</v>
      </c>
      <c r="AG15" s="147" t="n">
        <v>0.00424280191710147</v>
      </c>
    </row>
    <row r="16" customFormat="false" ht="15" hidden="false" customHeight="true" outlineLevel="0" collapsed="false">
      <c r="B16" s="148" t="s">
        <v>527</v>
      </c>
      <c r="C16" s="149"/>
      <c r="D16" s="150" t="n">
        <f aca="false">IFERROR(D15/C15-1,"")</f>
        <v>0.209147522568673</v>
      </c>
      <c r="E16" s="150" t="n">
        <f aca="false">IFERROR(E15/D15-1,"")</f>
        <v>0.248312212593661</v>
      </c>
      <c r="F16" s="150" t="n">
        <f aca="false">IFERROR(F15/E15-1,"")</f>
        <v>0.0718054324512336</v>
      </c>
      <c r="G16" s="150" t="n">
        <f aca="false">IFERROR(G15/F15-1,"")</f>
        <v>0.0876298296811411</v>
      </c>
      <c r="H16" s="150" t="n">
        <f aca="false">IFERROR(H15/G15-1,"")</f>
        <v>0.140453169317775</v>
      </c>
      <c r="N16" s="148" t="s">
        <v>527</v>
      </c>
      <c r="O16" s="149"/>
      <c r="P16" s="150" t="n">
        <v>0.27345193448272</v>
      </c>
      <c r="Q16" s="150" t="n">
        <v>0.398886726285258</v>
      </c>
      <c r="R16" s="150" t="n">
        <v>0.199360911182116</v>
      </c>
      <c r="S16" s="150" t="n">
        <v>0.201916402962655</v>
      </c>
      <c r="T16" s="150" t="n">
        <v>0.231845318870149</v>
      </c>
      <c r="Z16" s="148" t="s">
        <v>527</v>
      </c>
      <c r="AA16" s="149"/>
      <c r="AB16" s="150" t="n">
        <v>0.145903518221505</v>
      </c>
      <c r="AC16" s="150" t="n">
        <v>0.0899673404365251</v>
      </c>
      <c r="AD16" s="150" t="n">
        <v>-0.0875786191614354</v>
      </c>
      <c r="AE16" s="150" t="n">
        <v>-0.0846527687884657</v>
      </c>
      <c r="AF16" s="150" t="n">
        <v>-0.0208465148823754</v>
      </c>
    </row>
    <row r="17" customFormat="false" ht="15" hidden="false" customHeight="true" outlineLevel="0" collapsed="false">
      <c r="B17" s="148" t="s">
        <v>528</v>
      </c>
      <c r="C17" s="153" t="n">
        <f aca="false">IFERROR(C15/C9,"")</f>
        <v>0.108895750097549</v>
      </c>
      <c r="D17" s="154" t="n">
        <f aca="false">IFERROR(D15/D9,"")</f>
        <v>0.114</v>
      </c>
      <c r="E17" s="154" t="n">
        <f aca="false">IFERROR(E15/E9,"")</f>
        <v>0.13032342405499</v>
      </c>
      <c r="F17" s="154" t="n">
        <f aca="false">IFERROR(F15/F9,"")</f>
        <v>0.131517549608393</v>
      </c>
      <c r="G17" s="154" t="n">
        <f aca="false">IFERROR(G15/G9,"")</f>
        <v>0.133583688080878</v>
      </c>
      <c r="H17" s="154" t="n">
        <f aca="false">IFERROR(H15/H9,"")</f>
        <v>0.140855641486716</v>
      </c>
      <c r="J17" s="155" t="n">
        <f aca="false">IFERROR(AVERAGE(Model!C179,Model!D179,Model!E179,Model!F179,Model!G179,Model!H179,Model!I179,Model!N179,Model!S179,Model!X179,Model!AC179,Model!AH179,Model!AM179,Model!AR179,Model!AW179,Model!BB179,Model!BG179,Model!BL179,Model!BQ179,Model!BV179),"n/m")</f>
        <v>0.0760082989129043</v>
      </c>
      <c r="K17" s="155" t="n">
        <f aca="false">IFERROR(MIN(Model!C179,Model!D179,Model!E179,Model!F179,Model!G179,Model!H179,Model!I179,Model!N179,Model!S179,Model!X179,Model!AC179,Model!AH179,Model!AM179,Model!AR179,Model!AW179,Model!BB179,Model!BG179,Model!BL179,Model!BQ179,Model!BV179),"n/m")</f>
        <v>-0.00956017006640964</v>
      </c>
      <c r="L17" s="155" t="n">
        <f aca="false">IFERROR(MAX(Model!C179,Model!D179,Model!E179,Model!F179,Model!G179,Model!H179,Model!I179,Model!N179,Model!S179,Model!X179,Model!AC179,Model!AH179,Model!AM179,Model!AR179,Model!AW179,Model!BB179,Model!BG179,Model!BL179,Model!BQ179,Model!BV179),"n/m")</f>
        <v>0.168509453782641</v>
      </c>
      <c r="N17" s="148" t="s">
        <v>528</v>
      </c>
      <c r="O17" s="153" t="n">
        <v>0.108895750097549</v>
      </c>
      <c r="P17" s="154" t="n">
        <v>0.119</v>
      </c>
      <c r="Q17" s="154" t="n">
        <v>0.147537243970135</v>
      </c>
      <c r="R17" s="154" t="n">
        <v>0.161168914244202</v>
      </c>
      <c r="S17" s="154" t="n">
        <v>0.174977437614966</v>
      </c>
      <c r="T17" s="154" t="n">
        <v>0.192743572774649</v>
      </c>
      <c r="V17" s="155" t="n">
        <v>0.0760082989129043</v>
      </c>
      <c r="W17" s="155" t="n">
        <v>-0.00956017006640964</v>
      </c>
      <c r="X17" s="155" t="n">
        <v>0.168509453782641</v>
      </c>
      <c r="Z17" s="148" t="s">
        <v>528</v>
      </c>
      <c r="AA17" s="153" t="n">
        <v>0.108895750097549</v>
      </c>
      <c r="AB17" s="154" t="n">
        <v>0.109</v>
      </c>
      <c r="AC17" s="154" t="n">
        <v>0.112487249741833</v>
      </c>
      <c r="AD17" s="154" t="n">
        <v>0.0999557908171998</v>
      </c>
      <c r="AE17" s="154" t="n">
        <v>0.0883882785774382</v>
      </c>
      <c r="AF17" s="154" t="n">
        <v>0.0827831948085954</v>
      </c>
      <c r="AH17" s="155" t="n">
        <v>0.0760082989129043</v>
      </c>
      <c r="AI17" s="155" t="n">
        <v>-0.00956017006640964</v>
      </c>
      <c r="AJ17" s="155" t="n">
        <v>0.168509453782641</v>
      </c>
    </row>
    <row r="19" customFormat="false" ht="15" hidden="false" customHeight="true" outlineLevel="0" collapsed="false">
      <c r="B19" s="144" t="s">
        <v>529</v>
      </c>
      <c r="C19" s="145" t="n">
        <f aca="false">Model!BV160</f>
        <v>244.023025190507</v>
      </c>
      <c r="D19" s="146" t="n">
        <f aca="false">Model!CA160</f>
        <v>320.944690423759</v>
      </c>
      <c r="E19" s="146" t="n">
        <f aca="false">Model!CB160</f>
        <v>399.361620706074</v>
      </c>
      <c r="F19" s="146" t="n">
        <f aca="false">Model!CC160</f>
        <v>426.948367208918</v>
      </c>
      <c r="G19" s="146" t="n">
        <f aca="false">Model!CD160</f>
        <v>464.645362429783</v>
      </c>
      <c r="H19" s="146" t="n">
        <f aca="false">Model!CE160</f>
        <v>530.360802507843</v>
      </c>
      <c r="I19" s="147" t="n">
        <f aca="false">IFERROR((H19/C19)^(1/5)-1,"n/m")</f>
        <v>0.167960411539205</v>
      </c>
      <c r="N19" s="144" t="s">
        <v>529</v>
      </c>
      <c r="O19" s="145" t="n">
        <v>244.023025190507</v>
      </c>
      <c r="P19" s="146" t="n">
        <v>338.043940900235</v>
      </c>
      <c r="Q19" s="146" t="n">
        <v>470.38676630159</v>
      </c>
      <c r="R19" s="146" t="n">
        <v>547.201155651218</v>
      </c>
      <c r="S19" s="146" t="n">
        <v>658.967574013108</v>
      </c>
      <c r="T19" s="146" t="n">
        <v>813.718071814922</v>
      </c>
      <c r="U19" s="147" t="n">
        <v>0.272355967081801</v>
      </c>
      <c r="Z19" s="144" t="s">
        <v>529</v>
      </c>
      <c r="AA19" s="145" t="n">
        <v>244.023025190507</v>
      </c>
      <c r="AB19" s="146" t="n">
        <v>304.127413983799</v>
      </c>
      <c r="AC19" s="146" t="n">
        <v>330.301886061295</v>
      </c>
      <c r="AD19" s="146" t="n">
        <v>299.799209612202</v>
      </c>
      <c r="AE19" s="146" t="n">
        <v>274.146428108234</v>
      </c>
      <c r="AF19" s="146" t="n">
        <v>268.363968244869</v>
      </c>
      <c r="AG19" s="147" t="n">
        <v>0.0191982743024797</v>
      </c>
    </row>
    <row r="21" customFormat="false" ht="15" hidden="false" customHeight="true" outlineLevel="0" collapsed="false">
      <c r="B21" s="144" t="s">
        <v>530</v>
      </c>
      <c r="C21" s="156" t="n">
        <f aca="false">Model!BV112</f>
        <v>26.786</v>
      </c>
      <c r="D21" s="157" t="n">
        <f aca="false">Model!CA112</f>
        <v>26.8265</v>
      </c>
      <c r="E21" s="157" t="n">
        <f aca="false">Model!CB112</f>
        <v>26.3567547653389</v>
      </c>
      <c r="F21" s="157" t="n">
        <f aca="false">Model!CC112</f>
        <v>25.5998936286344</v>
      </c>
      <c r="G21" s="157" t="n">
        <f aca="false">Model!CD112</f>
        <v>24.9622052877175</v>
      </c>
      <c r="H21" s="157" t="n">
        <f aca="false">Model!CE112</f>
        <v>24.3468591027701</v>
      </c>
      <c r="I21" s="147" t="n">
        <f aca="false">IFERROR((H21/C21)^(1/5)-1,"n/m")</f>
        <v>-0.0189141419270474</v>
      </c>
      <c r="N21" s="144" t="s">
        <v>530</v>
      </c>
      <c r="O21" s="156" t="n">
        <v>26.786</v>
      </c>
      <c r="P21" s="157" t="n">
        <v>26.8265</v>
      </c>
      <c r="Q21" s="157" t="n">
        <v>25.6053158369804</v>
      </c>
      <c r="R21" s="157" t="n">
        <v>24.0394052332168</v>
      </c>
      <c r="S21" s="157" t="n">
        <v>22.931296392979</v>
      </c>
      <c r="T21" s="157" t="n">
        <v>21.6784410893619</v>
      </c>
      <c r="U21" s="147" t="n">
        <v>-0.0414295499555062</v>
      </c>
      <c r="Z21" s="144" t="s">
        <v>530</v>
      </c>
      <c r="AA21" s="156" t="n">
        <v>26.786</v>
      </c>
      <c r="AB21" s="157" t="n">
        <v>26.8265</v>
      </c>
      <c r="AC21" s="157" t="n">
        <v>26.4152930904643</v>
      </c>
      <c r="AD21" s="157" t="n">
        <v>25.8416682999087</v>
      </c>
      <c r="AE21" s="157" t="n">
        <v>25.5015006846003</v>
      </c>
      <c r="AF21" s="157" t="n">
        <v>25.2848804350323</v>
      </c>
      <c r="AG21" s="147" t="n">
        <v>-0.011468283523744</v>
      </c>
    </row>
    <row r="23" customFormat="false" ht="15" hidden="false" customHeight="true" outlineLevel="0" collapsed="false">
      <c r="B23" s="144" t="s">
        <v>531</v>
      </c>
      <c r="C23" s="158" t="n">
        <f aca="false">Model!BV162</f>
        <v>9.11009576609077</v>
      </c>
      <c r="D23" s="159" t="n">
        <f aca="false">Model!CA162</f>
        <v>11.9637183540066</v>
      </c>
      <c r="E23" s="159" t="n">
        <f aca="false">Model!CB162</f>
        <v>15.1521545145332</v>
      </c>
      <c r="F23" s="159" t="n">
        <f aca="false">Model!CC162</f>
        <v>16.6777398923002</v>
      </c>
      <c r="G23" s="159" t="n">
        <f aca="false">Model!CD162</f>
        <v>18.6139548599262</v>
      </c>
      <c r="H23" s="159" t="n">
        <f aca="false">Model!CE162</f>
        <v>21.783540959807</v>
      </c>
      <c r="I23" s="147" t="n">
        <f aca="false">IFERROR((H23/C23)^(1/5)-1,"n/m")</f>
        <v>0.190477267538349</v>
      </c>
      <c r="N23" s="144" t="s">
        <v>531</v>
      </c>
      <c r="O23" s="158" t="n">
        <v>9.11009576609077</v>
      </c>
      <c r="P23" s="159" t="n">
        <v>12.6011198218267</v>
      </c>
      <c r="Q23" s="159" t="n">
        <v>18.3706683915313</v>
      </c>
      <c r="R23" s="159" t="n">
        <v>22.7626744648039</v>
      </c>
      <c r="S23" s="159" t="n">
        <v>28.7366035796767</v>
      </c>
      <c r="T23" s="159" t="n">
        <v>37.5358204245706</v>
      </c>
      <c r="U23" s="147" t="n">
        <v>0.32734737130979</v>
      </c>
      <c r="Z23" s="144" t="s">
        <v>531</v>
      </c>
      <c r="AA23" s="158" t="n">
        <v>9.11009576609077</v>
      </c>
      <c r="AB23" s="159" t="n">
        <v>11.3368279120943</v>
      </c>
      <c r="AC23" s="159" t="n">
        <v>12.5041916033304</v>
      </c>
      <c r="AD23" s="159" t="n">
        <v>11.6013875781101</v>
      </c>
      <c r="AE23" s="159" t="n">
        <v>10.7502076642017</v>
      </c>
      <c r="AF23" s="159" t="n">
        <v>10.6136142875744</v>
      </c>
      <c r="AG23" s="147" t="n">
        <v>0.0310223307103776</v>
      </c>
    </row>
    <row r="24" customFormat="false" ht="15" hidden="false" customHeight="true" outlineLevel="0" collapsed="false">
      <c r="B24" s="148" t="s">
        <v>532</v>
      </c>
      <c r="C24" s="149"/>
      <c r="D24" s="150" t="n">
        <f aca="false">IFERROR(D23/C23-1,"")</f>
        <v>0.313237386432039</v>
      </c>
      <c r="E24" s="150" t="n">
        <f aca="false">IFERROR(E23/D23-1,"")</f>
        <v>0.266508794856303</v>
      </c>
      <c r="F24" s="150" t="n">
        <f aca="false">IFERROR(F23/E23-1,"")</f>
        <v>0.100684386257001</v>
      </c>
      <c r="G24" s="150" t="n">
        <f aca="false">IFERROR(G23/F23-1,"")</f>
        <v>0.116095764781646</v>
      </c>
      <c r="H24" s="150" t="n">
        <f aca="false">IFERROR(H23/G23-1,"")</f>
        <v>0.17028010026524</v>
      </c>
      <c r="N24" s="148" t="s">
        <v>532</v>
      </c>
      <c r="O24" s="149"/>
      <c r="P24" s="150" t="n">
        <v>0.383203881207277</v>
      </c>
      <c r="Q24" s="150" t="n">
        <v>0.457859987944161</v>
      </c>
      <c r="R24" s="150" t="n">
        <v>0.239077097232748</v>
      </c>
      <c r="S24" s="150" t="n">
        <v>0.262444078094154</v>
      </c>
      <c r="T24" s="150" t="n">
        <v>0.306202395161164</v>
      </c>
      <c r="Z24" s="148" t="s">
        <v>532</v>
      </c>
      <c r="AA24" s="149"/>
      <c r="AB24" s="150" t="n">
        <v>0.244424669419154</v>
      </c>
      <c r="AC24" s="150" t="n">
        <v>0.10297092804864</v>
      </c>
      <c r="AD24" s="150" t="n">
        <v>-0.072200111279475</v>
      </c>
      <c r="AE24" s="150" t="n">
        <v>-0.0733688024969046</v>
      </c>
      <c r="AF24" s="150" t="n">
        <v>-0.0127061151648382</v>
      </c>
    </row>
    <row r="26" customFormat="false" ht="15" hidden="false" customHeight="true" outlineLevel="0" collapsed="false">
      <c r="B26" s="148" t="s">
        <v>533</v>
      </c>
      <c r="C26" s="160"/>
      <c r="D26" s="160"/>
      <c r="E26" s="160"/>
      <c r="F26" s="160"/>
      <c r="G26" s="160" t="n">
        <v>26</v>
      </c>
      <c r="H26" s="160" t="n">
        <v>26</v>
      </c>
      <c r="N26" s="148" t="s">
        <v>533</v>
      </c>
      <c r="O26" s="160"/>
      <c r="P26" s="160"/>
      <c r="Q26" s="160"/>
      <c r="R26" s="160"/>
      <c r="S26" s="160" t="n">
        <v>30</v>
      </c>
      <c r="T26" s="160" t="n">
        <v>30</v>
      </c>
      <c r="Z26" s="148" t="s">
        <v>533</v>
      </c>
      <c r="AA26" s="160"/>
      <c r="AB26" s="160"/>
      <c r="AC26" s="160"/>
      <c r="AD26" s="160" t="n">
        <v>20</v>
      </c>
      <c r="AE26" s="160" t="n">
        <v>20</v>
      </c>
      <c r="AF26" s="160" t="n">
        <v>20</v>
      </c>
    </row>
    <row r="27" customFormat="false" ht="15" hidden="false" customHeight="true" outlineLevel="0" collapsed="false">
      <c r="B27" s="11" t="s">
        <v>534</v>
      </c>
      <c r="C27" s="161"/>
      <c r="D27" s="161"/>
      <c r="E27" s="161"/>
      <c r="F27" s="161"/>
      <c r="G27" s="161" t="n">
        <f aca="false">G26*G23</f>
        <v>483.96282635808</v>
      </c>
      <c r="H27" s="161" t="n">
        <f aca="false">H26*H23</f>
        <v>566.372064954983</v>
      </c>
      <c r="N27" s="11" t="s">
        <v>534</v>
      </c>
      <c r="O27" s="161"/>
      <c r="P27" s="161"/>
      <c r="Q27" s="161"/>
      <c r="R27" s="161"/>
      <c r="S27" s="161" t="n">
        <f aca="false">S26*S23</f>
        <v>862.098107390301</v>
      </c>
      <c r="T27" s="161" t="n">
        <f aca="false">T26*T23</f>
        <v>1126.07461273712</v>
      </c>
      <c r="Z27" s="11" t="s">
        <v>534</v>
      </c>
      <c r="AA27" s="161"/>
      <c r="AB27" s="161"/>
      <c r="AC27" s="161"/>
      <c r="AD27" s="161" t="n">
        <f aca="false">AD26*AD23</f>
        <v>232.027751562202</v>
      </c>
      <c r="AE27" s="161" t="n">
        <f aca="false">AE26*AE23</f>
        <v>215.004153284034</v>
      </c>
      <c r="AF27" s="161" t="n">
        <f aca="false">AF26*AF23</f>
        <v>212.272285751488</v>
      </c>
    </row>
    <row r="28" customFormat="false" ht="15" hidden="false" customHeight="true" outlineLevel="0" collapsed="false">
      <c r="B28" s="0" t="s">
        <v>535</v>
      </c>
      <c r="E28" s="162"/>
      <c r="F28" s="162"/>
      <c r="G28" s="162" t="n">
        <f aca="false">IFERROR(G27/$K$2-1,"")</f>
        <v>0.382750932451657</v>
      </c>
      <c r="H28" s="162" t="n">
        <f aca="false">IFERROR(H27/$K$2-1,"")</f>
        <v>0.618205899871379</v>
      </c>
      <c r="N28" s="100" t="s">
        <v>535</v>
      </c>
      <c r="O28" s="162"/>
      <c r="P28" s="162"/>
      <c r="Q28" s="162"/>
      <c r="R28" s="162"/>
      <c r="S28" s="162" t="n">
        <f aca="false">IFERROR(S27/$K$2-1,"")</f>
        <v>1.46313744968657</v>
      </c>
      <c r="T28" s="162" t="n">
        <f aca="false">IFERROR(T27/$K$2-1,"")</f>
        <v>2.21735603639177</v>
      </c>
      <c r="Z28" s="100" t="s">
        <v>535</v>
      </c>
      <c r="AA28" s="162"/>
      <c r="AB28" s="162"/>
      <c r="AC28" s="162"/>
      <c r="AD28" s="162" t="n">
        <f aca="false">IFERROR(AD27/$K$2-1,"")</f>
        <v>-0.337063566965137</v>
      </c>
      <c r="AE28" s="162" t="n">
        <f aca="false">IFERROR(AE27/$K$2-1,"")</f>
        <v>-0.385702419188474</v>
      </c>
      <c r="AF28" s="162" t="n">
        <f aca="false">IFERROR(AF27/$K$2-1,"")</f>
        <v>-0.393507754995749</v>
      </c>
    </row>
    <row r="29" customFormat="false" ht="15" hidden="false" customHeight="true" outlineLevel="0" collapsed="false">
      <c r="B29" s="138" t="s">
        <v>536</v>
      </c>
      <c r="C29" s="163"/>
      <c r="D29" s="163"/>
      <c r="E29" s="163"/>
      <c r="F29" s="163"/>
      <c r="G29" s="163" t="n">
        <f aca="false">IFERROR((G27/$K$2)^(1/((DATE(2029-1,12,31)-$K$3)/365.25))-1,"")</f>
        <v>0.155698141564713</v>
      </c>
      <c r="H29" s="163" t="n">
        <f aca="false">IFERROR((H27/$K$2)^(1/((DATE(2030-1,12,31)-$K$3)/365.25))-1,"")</f>
        <v>0.160216289731113</v>
      </c>
      <c r="N29" s="138" t="s">
        <v>536</v>
      </c>
      <c r="O29" s="163"/>
      <c r="P29" s="163"/>
      <c r="Q29" s="163"/>
      <c r="R29" s="163"/>
      <c r="S29" s="163" t="n">
        <f aca="false">IFERROR((S27/$K$2)^(1/((DATE(2029-1,12,31)-$K$3)/365.25))-1,"")</f>
        <v>0.495567099656435</v>
      </c>
      <c r="T29" s="163" t="n">
        <f aca="false">IFERROR((T27/$K$2)^(1/((DATE(2030-1,12,31)-$K$3)/365.25))-1,"")</f>
        <v>0.434464543536745</v>
      </c>
      <c r="Z29" s="138" t="s">
        <v>536</v>
      </c>
      <c r="AA29" s="163"/>
      <c r="AB29" s="163"/>
      <c r="AC29" s="163"/>
      <c r="AD29" s="163" t="n">
        <f aca="false">IFERROR((AD27/$K$2)^(1/((DATE(2028-1,12,31)-$K$3)/365.25))-1,"")</f>
        <v>-0.282642148938005</v>
      </c>
      <c r="AE29" s="163" t="n">
        <f aca="false">IFERROR((AE27/$K$2)^(1/((DATE(2029-1,12,31)-$K$3)/365.25))-1,"")</f>
        <v>-0.195533852756399</v>
      </c>
      <c r="AF29" s="163" t="n">
        <f aca="false">IFERROR((AF27/$K$2)^(1/((DATE(2030-1,12,31)-$K$3)/365.25))-1,"")</f>
        <v>-0.143065700737708</v>
      </c>
    </row>
    <row r="31" customFormat="false" ht="15" hidden="false" customHeight="true" outlineLevel="0" collapsed="false">
      <c r="B31" s="144" t="s">
        <v>537</v>
      </c>
      <c r="C31" s="145" t="n">
        <f aca="false">Model!BV211</f>
        <v>27.3339999999999</v>
      </c>
      <c r="D31" s="146" t="n">
        <f aca="false">Model!CA211</f>
        <v>200.732543829036</v>
      </c>
      <c r="E31" s="146" t="n">
        <f aca="false">Model!CB211</f>
        <v>274.034986932123</v>
      </c>
      <c r="F31" s="146" t="n">
        <f aca="false">Model!CC211</f>
        <v>297.49462287463</v>
      </c>
      <c r="G31" s="146" t="n">
        <f aca="false">Model!CD211</f>
        <v>273.168904279493</v>
      </c>
      <c r="H31" s="146" t="n">
        <f aca="false">Model!CE211</f>
        <v>319.376887499386</v>
      </c>
      <c r="I31" s="147" t="n">
        <f aca="false">IFERROR((H31/C31)^(1/5)-1,"n/m")</f>
        <v>0.63500866572908</v>
      </c>
      <c r="N31" s="144" t="s">
        <v>537</v>
      </c>
      <c r="O31" s="145" t="n">
        <v>27.3339999999999</v>
      </c>
      <c r="P31" s="146" t="n">
        <v>192.969460767021</v>
      </c>
      <c r="Q31" s="146" t="n">
        <v>327.292322445218</v>
      </c>
      <c r="R31" s="146" t="n">
        <v>387.130928993238</v>
      </c>
      <c r="S31" s="146" t="n">
        <v>418.805606450699</v>
      </c>
      <c r="T31" s="146" t="n">
        <v>537.676414201097</v>
      </c>
      <c r="U31" s="147" t="n">
        <v>0.814527519540417</v>
      </c>
      <c r="Z31" s="144" t="s">
        <v>537</v>
      </c>
      <c r="AA31" s="145" t="n">
        <v>27.3339999999999</v>
      </c>
      <c r="AB31" s="146" t="n">
        <v>208.789131574688</v>
      </c>
      <c r="AC31" s="146" t="n">
        <v>222.133193667586</v>
      </c>
      <c r="AD31" s="146" t="n">
        <v>197.557887885733</v>
      </c>
      <c r="AE31" s="146" t="n">
        <v>124.968233134451</v>
      </c>
      <c r="AF31" s="146" t="n">
        <v>112.097749999375</v>
      </c>
      <c r="AG31" s="147" t="n">
        <v>0.326107530003489</v>
      </c>
    </row>
    <row r="32" customFormat="false" ht="15" hidden="false" customHeight="true" outlineLevel="0" collapsed="false">
      <c r="B32" s="148" t="s">
        <v>538</v>
      </c>
      <c r="C32" s="153" t="n">
        <f aca="false">IFERROR(C31/C9,"")</f>
        <v>0.00845132434175578</v>
      </c>
      <c r="D32" s="154" t="n">
        <f aca="false">IFERROR(D31/D9,"")</f>
        <v>0.0537345971932393</v>
      </c>
      <c r="E32" s="154" t="n">
        <f aca="false">IFERROR(E31/E9,"")</f>
        <v>0.0671794795023995</v>
      </c>
      <c r="F32" s="154" t="n">
        <f aca="false">IFERROR(F31/F9,"")</f>
        <v>0.0686680972804945</v>
      </c>
      <c r="G32" s="154" t="n">
        <f aca="false">IFERROR(G31/G9,"")</f>
        <v>0.0588837913018605</v>
      </c>
      <c r="H32" s="154" t="n">
        <f aca="false">IFERROR(H31/H9,"")</f>
        <v>0.0636518965169659</v>
      </c>
      <c r="J32" s="155" t="n">
        <f aca="false">IFERROR(AVERAGE(Model!C213,Model!D213,Model!E213,Model!F213,Model!G213,Model!H213,Model!I213,Model!N213,Model!S213,Model!X213,Model!AC213,Model!AH213,Model!AM213,Model!AR213,Model!AW213,Model!BB213,Model!BG213,Model!BL213,Model!BQ213,Model!BV213),"n/m")</f>
        <v>0.00440788465174483</v>
      </c>
      <c r="K32" s="155" t="n">
        <f aca="false">IFERROR(MIN(Model!C213,Model!D213,Model!E213,Model!F213,Model!G213,Model!H213,Model!I213,Model!N213,Model!S213,Model!X213,Model!AC213,Model!AH213,Model!AM213,Model!AR213,Model!AW213,Model!BB213,Model!BG213,Model!BL213,Model!BQ213,Model!BV213),"n/m")</f>
        <v>-0.143298347124435</v>
      </c>
      <c r="L32" s="155" t="n">
        <f aca="false">IFERROR(MAX(Model!C213,Model!D213,Model!E213,Model!F213,Model!G213,Model!H213,Model!I213,Model!N213,Model!S213,Model!X213,Model!AC213,Model!AH213,Model!AM213,Model!AR213,Model!AW213,Model!BB213,Model!BG213,Model!BL213,Model!BQ213,Model!BV213),"n/m")</f>
        <v>0.052921087594294</v>
      </c>
      <c r="N32" s="148" t="s">
        <v>538</v>
      </c>
      <c r="O32" s="153" t="n">
        <v>0.00845132434175578</v>
      </c>
      <c r="P32" s="154" t="n">
        <v>0.0511992542847974</v>
      </c>
      <c r="Q32" s="154" t="n">
        <v>0.07696318392564</v>
      </c>
      <c r="R32" s="154" t="n">
        <v>0.0829153237948554</v>
      </c>
      <c r="S32" s="154" t="n">
        <v>0.0810244194969517</v>
      </c>
      <c r="T32" s="154" t="n">
        <v>0.0930178083288274</v>
      </c>
      <c r="V32" s="155" t="n">
        <v>0.00440788465174483</v>
      </c>
      <c r="W32" s="155" t="n">
        <v>-0.143298347124435</v>
      </c>
      <c r="X32" s="155" t="n">
        <v>0.052921087594294</v>
      </c>
      <c r="Z32" s="148" t="s">
        <v>538</v>
      </c>
      <c r="AA32" s="153" t="n">
        <v>0.00845132434175578</v>
      </c>
      <c r="AB32" s="154" t="n">
        <v>0.056389336092947</v>
      </c>
      <c r="AC32" s="154" t="n">
        <v>0.0568022932688435</v>
      </c>
      <c r="AD32" s="154" t="n">
        <v>0.0491989677495557</v>
      </c>
      <c r="AE32" s="154" t="n">
        <v>0.0300650610545452</v>
      </c>
      <c r="AF32" s="154" t="n">
        <v>0.0257962210154947</v>
      </c>
      <c r="AH32" s="155" t="n">
        <v>0.00440788465174483</v>
      </c>
      <c r="AI32" s="155" t="n">
        <v>-0.143298347124435</v>
      </c>
      <c r="AJ32" s="155" t="n">
        <v>0.052921087594294</v>
      </c>
    </row>
    <row r="33" customFormat="false" ht="15" hidden="false" customHeight="true" outlineLevel="0" collapsed="false">
      <c r="B33" s="148" t="s">
        <v>539</v>
      </c>
      <c r="C33" s="164" t="n">
        <f aca="false">IFERROR(C31/C21,"")</f>
        <v>1.02045844844321</v>
      </c>
      <c r="D33" s="165" t="n">
        <f aca="false">IFERROR(D31/D21,"")</f>
        <v>7.4826214313845</v>
      </c>
      <c r="E33" s="165" t="n">
        <f aca="false">IFERROR(E31/E21,"")</f>
        <v>10.3971444653156</v>
      </c>
      <c r="F33" s="165" t="n">
        <f aca="false">IFERROR(F31/F21,"")</f>
        <v>11.6209319925405</v>
      </c>
      <c r="G33" s="165" t="n">
        <f aca="false">IFERROR(G31/G21,"")</f>
        <v>10.9433001263676</v>
      </c>
      <c r="H33" s="165" t="n">
        <f aca="false">IFERROR(H31/H21,"")</f>
        <v>13.1177860007022</v>
      </c>
      <c r="N33" s="148" t="s">
        <v>539</v>
      </c>
      <c r="O33" s="164" t="n">
        <v>1.02045844844321</v>
      </c>
      <c r="P33" s="165" t="n">
        <v>7.19324029474664</v>
      </c>
      <c r="Q33" s="165" t="n">
        <v>12.7822021227533</v>
      </c>
      <c r="R33" s="165" t="n">
        <v>16.1040144395217</v>
      </c>
      <c r="S33" s="165" t="n">
        <v>18.2634945392328</v>
      </c>
      <c r="T33" s="165" t="n">
        <v>24.802356035875</v>
      </c>
      <c r="Z33" s="148" t="s">
        <v>539</v>
      </c>
      <c r="AA33" s="164" t="n">
        <v>1.02045844844321</v>
      </c>
      <c r="AB33" s="165" t="n">
        <v>7.78294341694548</v>
      </c>
      <c r="AC33" s="165" t="n">
        <v>8.40926477351011</v>
      </c>
      <c r="AD33" s="165" t="n">
        <v>7.64493552014331</v>
      </c>
      <c r="AE33" s="165" t="n">
        <v>4.90042663292818</v>
      </c>
      <c r="AF33" s="165" t="n">
        <v>4.43339055082354</v>
      </c>
    </row>
    <row r="34" customFormat="false" ht="15" hidden="false" customHeight="true" outlineLevel="0" collapsed="false">
      <c r="B34" s="148" t="s">
        <v>540</v>
      </c>
      <c r="E34" s="166"/>
      <c r="F34" s="166" t="str">
        <f aca="false">IFERROR(F33/F$27,"")</f>
        <v/>
      </c>
      <c r="G34" s="166" t="n">
        <f aca="false">IFERROR(G33/G$27,"")</f>
        <v>0.0226118609330353</v>
      </c>
      <c r="H34" s="166" t="n">
        <f aca="false">IFERROR(H33/H$27,"")</f>
        <v>0.0231610752231306</v>
      </c>
      <c r="N34" s="148" t="s">
        <v>540</v>
      </c>
      <c r="Q34" s="166"/>
      <c r="R34" s="166" t="str">
        <f aca="false">IFERROR(R33/R$27,"")</f>
        <v/>
      </c>
      <c r="S34" s="166" t="n">
        <f aca="false">IFERROR(S33/S$27,"")</f>
        <v>0.0211849375177485</v>
      </c>
      <c r="T34" s="166" t="n">
        <f aca="false">IFERROR(T33/T$27,"")</f>
        <v>0.0220254996918798</v>
      </c>
      <c r="Z34" s="148" t="s">
        <v>540</v>
      </c>
      <c r="AC34" s="166"/>
      <c r="AD34" s="166" t="n">
        <f aca="false">IFERROR(AD33/AD$27,"")</f>
        <v>0.0329483670322679</v>
      </c>
      <c r="AE34" s="166" t="n">
        <f aca="false">IFERROR(AE33/AE$27,"")</f>
        <v>0.0227922417222071</v>
      </c>
      <c r="AF34" s="166" t="n">
        <f aca="false">IFERROR(AF33/AF$27,"")</f>
        <v>0.0208853950723167</v>
      </c>
    </row>
    <row r="35" customFormat="false" ht="15" hidden="false" customHeight="true" outlineLevel="0" collapsed="false">
      <c r="B35" s="144" t="s">
        <v>541</v>
      </c>
      <c r="C35" s="145" t="n">
        <f aca="false">Model!BV130</f>
        <v>337.697</v>
      </c>
      <c r="D35" s="146" t="n">
        <f aca="false">Model!CA130</f>
        <v>425.861757448687</v>
      </c>
      <c r="E35" s="146" t="n">
        <f aca="false">Model!CB130</f>
        <v>531.608432699796</v>
      </c>
      <c r="F35" s="146" t="n">
        <f aca="false">Model!CC130</f>
        <v>569.780806104527</v>
      </c>
      <c r="G35" s="146" t="n">
        <f aca="false">Model!CD130</f>
        <v>619.71060109905</v>
      </c>
      <c r="H35" s="146" t="n">
        <f aca="false">Model!CE130</f>
        <v>706.750919083235</v>
      </c>
      <c r="I35" s="147" t="n">
        <f aca="false">IFERROR((H35/C35)^(1/5)-1,"n/m")</f>
        <v>0.159171876563317</v>
      </c>
      <c r="N35" s="144" t="s">
        <v>541</v>
      </c>
      <c r="O35" s="145" t="n">
        <v>337.697</v>
      </c>
      <c r="P35" s="146" t="n">
        <v>448.509771324814</v>
      </c>
      <c r="Q35" s="146" t="n">
        <v>627.414365715519</v>
      </c>
      <c r="R35" s="146" t="n">
        <v>752.496265353314</v>
      </c>
      <c r="S35" s="146" t="n">
        <v>904.437604496287</v>
      </c>
      <c r="T35" s="146" t="n">
        <v>1114.12722930888</v>
      </c>
      <c r="U35" s="147" t="n">
        <v>0.269642691911933</v>
      </c>
      <c r="Z35" s="144" t="s">
        <v>541</v>
      </c>
      <c r="AA35" s="145" t="n">
        <v>337.697</v>
      </c>
      <c r="AB35" s="146" t="n">
        <v>403.587219117615</v>
      </c>
      <c r="AC35" s="146" t="n">
        <v>439.896887855799</v>
      </c>
      <c r="AD35" s="146" t="n">
        <v>401.371325843976</v>
      </c>
      <c r="AE35" s="146" t="n">
        <v>367.394131798986</v>
      </c>
      <c r="AF35" s="146" t="n">
        <v>359.735244562741</v>
      </c>
      <c r="AG35" s="147" t="n">
        <v>0.0127241285959729</v>
      </c>
    </row>
    <row r="36" customFormat="false" ht="15" hidden="false" customHeight="true" outlineLevel="0" collapsed="false">
      <c r="B36" s="148" t="s">
        <v>542</v>
      </c>
      <c r="C36" s="153" t="n">
        <f aca="false">IFERROR(1-C35/C9,"")</f>
        <v>0.895588392615866</v>
      </c>
      <c r="D36" s="154" t="n">
        <f aca="false">IFERROR(1-D35/D9,"")</f>
        <v>0.886</v>
      </c>
      <c r="E36" s="154" t="n">
        <f aca="false">IFERROR(1-E35/E9,"")</f>
        <v>0.86967657594501</v>
      </c>
      <c r="F36" s="154" t="n">
        <f aca="false">IFERROR(1-F35/F9,"")</f>
        <v>0.868482450391608</v>
      </c>
      <c r="G36" s="154" t="n">
        <f aca="false">IFERROR(1-G35/G9,"")</f>
        <v>0.866416311919122</v>
      </c>
      <c r="H36" s="154" t="n">
        <f aca="false">IFERROR(1-H35/H9,"")</f>
        <v>0.859144358513284</v>
      </c>
      <c r="J36" s="155" t="n">
        <f aca="false">IFERROR(AVERAGE(Model!C131,Model!D131,Model!E131,Model!F131,Model!G131,Model!H131,Model!I131,Model!N131,Model!S131,Model!X131,Model!AC131,Model!AH131,Model!AM131,Model!AR131,Model!AW131,Model!BB131,Model!BG131,Model!BL131,Model!BQ131,Model!BV131),"n/m")</f>
        <v>0.92295289805976</v>
      </c>
      <c r="K36" s="155" t="n">
        <f aca="false">IFERROR(MIN(Model!C131,Model!D131,Model!E131,Model!F131,Model!G131,Model!H131,Model!I131,Model!N131,Model!S131,Model!X131,Model!AC131,Model!AH131,Model!AM131,Model!AR131,Model!AW131,Model!BB131,Model!BG131,Model!BL131,Model!BQ131,Model!BV131),"n/m")</f>
        <v>0.831490546217359</v>
      </c>
      <c r="L36" s="155" t="n">
        <f aca="false">IFERROR(MAX(Model!C131,Model!D131,Model!E131,Model!F131,Model!G131,Model!H131,Model!I131,Model!N131,Model!S131,Model!X131,Model!AC131,Model!AH131,Model!AM131,Model!AR131,Model!AW131,Model!BB131,Model!BG131,Model!BL131,Model!BQ131,Model!BV131),"n/m")</f>
        <v>1.01883432786781</v>
      </c>
      <c r="N36" s="148" t="s">
        <v>542</v>
      </c>
      <c r="O36" s="153" t="n">
        <v>0.895588392615866</v>
      </c>
      <c r="P36" s="154" t="n">
        <v>0.881</v>
      </c>
      <c r="Q36" s="154" t="n">
        <v>0.852462756029865</v>
      </c>
      <c r="R36" s="154" t="n">
        <v>0.838831085755798</v>
      </c>
      <c r="S36" s="154" t="n">
        <v>0.825022562385034</v>
      </c>
      <c r="T36" s="154" t="n">
        <v>0.807256427225351</v>
      </c>
      <c r="V36" s="155" t="n">
        <v>0.92295289805976</v>
      </c>
      <c r="W36" s="155" t="n">
        <v>0.831490546217359</v>
      </c>
      <c r="X36" s="155" t="n">
        <v>1.01883432786781</v>
      </c>
      <c r="Z36" s="148" t="s">
        <v>542</v>
      </c>
      <c r="AA36" s="153" t="n">
        <v>0.895588392615866</v>
      </c>
      <c r="AB36" s="154" t="n">
        <v>0.891</v>
      </c>
      <c r="AC36" s="154" t="n">
        <v>0.887512750258167</v>
      </c>
      <c r="AD36" s="154" t="n">
        <v>0.9000442091828</v>
      </c>
      <c r="AE36" s="154" t="n">
        <v>0.911611721422562</v>
      </c>
      <c r="AF36" s="154" t="n">
        <v>0.917216805191405</v>
      </c>
      <c r="AH36" s="155" t="n">
        <v>0.92295289805976</v>
      </c>
      <c r="AI36" s="155" t="n">
        <v>0.831490546217359</v>
      </c>
      <c r="AJ36" s="155" t="n">
        <v>1.01883432786781</v>
      </c>
    </row>
    <row r="38" customFormat="false" ht="15" hidden="false" customHeight="true" outlineLevel="0" collapsed="false">
      <c r="B38" s="144" t="s">
        <v>543</v>
      </c>
      <c r="C38" s="145" t="n">
        <f aca="false">Model!BV301</f>
        <v>144.26</v>
      </c>
      <c r="D38" s="146" t="n">
        <f aca="false">Model!CA301</f>
        <v>-54.4545438290364</v>
      </c>
      <c r="E38" s="146" t="n">
        <f aca="false">Model!CB301</f>
        <v>0</v>
      </c>
      <c r="F38" s="146" t="n">
        <f aca="false">Model!CC301</f>
        <v>0</v>
      </c>
      <c r="G38" s="146" t="n">
        <f aca="false">Model!CD301</f>
        <v>0</v>
      </c>
      <c r="H38" s="146" t="n">
        <f aca="false">Model!CE301</f>
        <v>0</v>
      </c>
      <c r="N38" s="144" t="s">
        <v>543</v>
      </c>
      <c r="O38" s="145" t="n">
        <v>144.26</v>
      </c>
      <c r="P38" s="146" t="n">
        <v>3.30853923297936</v>
      </c>
      <c r="Q38" s="146" t="n">
        <v>460.333504889458</v>
      </c>
      <c r="R38" s="146" t="n">
        <v>531.358012801659</v>
      </c>
      <c r="S38" s="146" t="n">
        <v>617.213977442137</v>
      </c>
      <c r="T38" s="146" t="n">
        <v>736.168383615492</v>
      </c>
      <c r="Z38" s="144" t="s">
        <v>543</v>
      </c>
      <c r="AA38" s="145" t="n">
        <v>144.26</v>
      </c>
      <c r="AB38" s="146" t="n">
        <v>-62.511131574688</v>
      </c>
      <c r="AC38" s="146" t="n">
        <v>0</v>
      </c>
      <c r="AD38" s="146" t="n">
        <v>0</v>
      </c>
      <c r="AE38" s="146" t="n">
        <v>0</v>
      </c>
      <c r="AF38" s="146" t="n">
        <v>0</v>
      </c>
    </row>
    <row r="39" customFormat="false" ht="15" hidden="false" customHeight="true" outlineLevel="0" collapsed="false">
      <c r="B39" s="148" t="s">
        <v>544</v>
      </c>
      <c r="C39" s="167" t="n">
        <f aca="false">IFERROR(C38/C12,"")</f>
        <v>0.245443656508187</v>
      </c>
      <c r="D39" s="168" t="n">
        <f aca="false">IFERROR(D38/D12,"")</f>
        <v>-0.0791496668576464</v>
      </c>
      <c r="E39" s="168" t="n">
        <f aca="false">IFERROR(E38/E12,"")</f>
        <v>0</v>
      </c>
      <c r="F39" s="168" t="n">
        <f aca="false">IFERROR(F38/F12,"")</f>
        <v>0</v>
      </c>
      <c r="G39" s="168" t="n">
        <f aca="false">IFERROR(G38/G12,"")</f>
        <v>0</v>
      </c>
      <c r="H39" s="168" t="n">
        <f aca="false">IFERROR(H38/H12,"")</f>
        <v>0</v>
      </c>
      <c r="N39" s="148" t="s">
        <v>544</v>
      </c>
      <c r="O39" s="167" t="n">
        <v>0.245443656508187</v>
      </c>
      <c r="P39" s="168" t="n">
        <v>0.00465570054840962</v>
      </c>
      <c r="Q39" s="168" t="n">
        <v>0.5</v>
      </c>
      <c r="R39" s="168" t="n">
        <v>0.5</v>
      </c>
      <c r="S39" s="168" t="n">
        <v>0.5</v>
      </c>
      <c r="T39" s="168" t="n">
        <v>0.5</v>
      </c>
      <c r="Z39" s="148" t="s">
        <v>544</v>
      </c>
      <c r="AA39" s="167" t="n">
        <v>0.245443656508187</v>
      </c>
      <c r="AB39" s="168" t="n">
        <v>-0.0939000259312507</v>
      </c>
      <c r="AC39" s="168" t="n">
        <v>0</v>
      </c>
      <c r="AD39" s="168" t="n">
        <v>0</v>
      </c>
      <c r="AE39" s="168" t="n">
        <v>0</v>
      </c>
      <c r="AF39" s="168" t="n">
        <v>0</v>
      </c>
    </row>
    <row r="41" customFormat="false" ht="15" hidden="false" customHeight="true" outlineLevel="0" collapsed="false">
      <c r="B41" s="144" t="s">
        <v>545</v>
      </c>
      <c r="C41" s="151" t="n">
        <f aca="false">Model!BV302</f>
        <v>0.094192851689127</v>
      </c>
      <c r="D41" s="152" t="n">
        <f aca="false">Model!CA302</f>
        <v>0.114037662226214</v>
      </c>
      <c r="E41" s="152" t="n">
        <f aca="false">Model!CB302</f>
        <v>0.133670733197552</v>
      </c>
      <c r="F41" s="152" t="n">
        <f aca="false">Model!CC302</f>
        <v>0.136467356487544</v>
      </c>
      <c r="G41" s="152" t="n">
        <f aca="false">Model!CD302</f>
        <v>0.139027180371974</v>
      </c>
      <c r="H41" s="152" t="n">
        <f aca="false">Model!CE302</f>
        <v>0.148230634535706</v>
      </c>
      <c r="J41" s="155" t="n">
        <f aca="false">IFERROR(AVERAGE(Model!C302,Model!D302,Model!E302,Model!F302,Model!G302,Model!H302,Model!I302,Model!N302,Model!S302,Model!X302,Model!AC302,Model!AH302,Model!AM302,Model!AR302,Model!AW302,Model!BB302,Model!BG302,Model!BL302,Model!BQ302,Model!BV302),"n/m")</f>
        <v>0.116597548534695</v>
      </c>
      <c r="K41" s="155" t="n">
        <f aca="false">IFERROR(MIN(Model!C302,Model!D302,Model!E302,Model!F302,Model!G302,Model!H302,Model!I302,Model!N302,Model!S302,Model!X302,Model!AC302,Model!AH302,Model!AM302,Model!AR302,Model!AW302,Model!BB302,Model!BG302,Model!BL302,Model!BQ302,Model!BV302),"n/m")</f>
        <v>-0.0333562258967721</v>
      </c>
      <c r="L41" s="155" t="n">
        <f aca="false">IFERROR(MAX(Model!C302,Model!D302,Model!E302,Model!F302,Model!G302,Model!H302,Model!I302,Model!N302,Model!S302,Model!X302,Model!AC302,Model!AH302,Model!AM302,Model!AR302,Model!AW302,Model!BB302,Model!BG302,Model!BL302,Model!BQ302,Model!BV302),"n/m")</f>
        <v>0.252583436502599</v>
      </c>
      <c r="N41" s="144" t="s">
        <v>545</v>
      </c>
      <c r="O41" s="151" t="n">
        <v>0.094192851689127</v>
      </c>
      <c r="P41" s="152" t="n">
        <v>0.118978531204885</v>
      </c>
      <c r="Q41" s="152" t="n">
        <v>0.155503034526638</v>
      </c>
      <c r="R41" s="152" t="n">
        <v>0.175998296849489</v>
      </c>
      <c r="S41" s="152" t="n">
        <v>0.19552848660903</v>
      </c>
      <c r="T41" s="152" t="n">
        <v>0.221632117934204</v>
      </c>
      <c r="V41" s="155" t="n">
        <v>0.116597548534695</v>
      </c>
      <c r="W41" s="155" t="n">
        <v>-0.0333562258967721</v>
      </c>
      <c r="X41" s="155" t="n">
        <v>0.252583436502599</v>
      </c>
      <c r="Z41" s="144" t="s">
        <v>545</v>
      </c>
      <c r="AA41" s="151" t="n">
        <v>0.094192851689127</v>
      </c>
      <c r="AB41" s="152" t="n">
        <v>0.109109445605389</v>
      </c>
      <c r="AC41" s="152" t="n">
        <v>0.112216196308067</v>
      </c>
      <c r="AD41" s="152" t="n">
        <v>0.0983680602780399</v>
      </c>
      <c r="AE41" s="152" t="n">
        <v>0.0853698502043883</v>
      </c>
      <c r="AF41" s="152" t="n">
        <v>0.0792827626536642</v>
      </c>
      <c r="AH41" s="155" t="n">
        <v>0.116597548534695</v>
      </c>
      <c r="AI41" s="155" t="n">
        <v>-0.0333562258967721</v>
      </c>
      <c r="AJ41" s="155" t="n">
        <v>0.252583436502599</v>
      </c>
    </row>
    <row r="42" customFormat="false" ht="15" hidden="false" customHeight="true" outlineLevel="0" collapsed="false">
      <c r="B42" s="144" t="s">
        <v>546</v>
      </c>
      <c r="C42" s="151" t="n">
        <f aca="false">Model!BV313</f>
        <v>0.0800543419748925</v>
      </c>
      <c r="D42" s="152" t="n">
        <f aca="false">Model!CA313</f>
        <v>0.091918126154973</v>
      </c>
      <c r="E42" s="152" t="n">
        <f aca="false">Model!CB313</f>
        <v>0.109161016198784</v>
      </c>
      <c r="F42" s="152" t="n">
        <f aca="false">Model!CC313</f>
        <v>0.111236553021229</v>
      </c>
      <c r="G42" s="152" t="n">
        <f aca="false">Model!CD313</f>
        <v>0.113409331810681</v>
      </c>
      <c r="H42" s="152" t="n">
        <f aca="false">Model!CE313</f>
        <v>0.120935031509611</v>
      </c>
      <c r="J42" s="155" t="n">
        <f aca="false">IFERROR(AVERAGE(Model!C313,Model!D313,Model!E313,Model!F313,Model!G313,Model!H313,Model!I313,Model!N313,Model!S313,Model!X313,Model!AC313,Model!AH313,Model!AM313,Model!AR313,Model!AW313,Model!BB313,Model!BG313,Model!BL313,Model!BQ313,Model!BV313),"n/m")</f>
        <v>0.0925593540986503</v>
      </c>
      <c r="K42" s="155" t="n">
        <f aca="false">IFERROR(MIN(Model!C313,Model!D313,Model!E313,Model!F313,Model!G313,Model!H313,Model!I313,Model!N313,Model!S313,Model!X313,Model!AC313,Model!AH313,Model!AM313,Model!AR313,Model!AW313,Model!BB313,Model!BG313,Model!BL313,Model!BQ313,Model!BV313),"n/m")</f>
        <v>-0.0260439152493435</v>
      </c>
      <c r="L42" s="155" t="n">
        <f aca="false">IFERROR(MAX(Model!C313,Model!D313,Model!E313,Model!F313,Model!G313,Model!H313,Model!I313,Model!N313,Model!S313,Model!X313,Model!AC313,Model!AH313,Model!AM313,Model!AR313,Model!AW313,Model!BB313,Model!BG313,Model!BL313,Model!BQ313,Model!BV313),"n/m")</f>
        <v>0.1876704175886</v>
      </c>
      <c r="N42" s="144" t="s">
        <v>546</v>
      </c>
      <c r="O42" s="151" t="n">
        <v>0.0800543419748925</v>
      </c>
      <c r="P42" s="152" t="n">
        <v>0.0975686269274173</v>
      </c>
      <c r="Q42" s="152" t="n">
        <v>0.129528317600639</v>
      </c>
      <c r="R42" s="152" t="n">
        <v>0.145918147630108</v>
      </c>
      <c r="S42" s="152" t="n">
        <v>0.161680119161453</v>
      </c>
      <c r="T42" s="152" t="n">
        <v>0.182567338174451</v>
      </c>
      <c r="V42" s="155" t="n">
        <v>0.0925593540986503</v>
      </c>
      <c r="W42" s="155" t="n">
        <v>-0.0260439152493435</v>
      </c>
      <c r="X42" s="155" t="n">
        <v>0.1876704175886</v>
      </c>
      <c r="Z42" s="144" t="s">
        <v>546</v>
      </c>
      <c r="AA42" s="151" t="n">
        <v>0.0800543419748925</v>
      </c>
      <c r="AB42" s="152" t="n">
        <v>0.0876593195715954</v>
      </c>
      <c r="AC42" s="152" t="n">
        <v>0.0916874092546316</v>
      </c>
      <c r="AD42" s="152" t="n">
        <v>0.0803768627733185</v>
      </c>
      <c r="AE42" s="152" t="n">
        <v>0.0699677934335903</v>
      </c>
      <c r="AF42" s="152" t="n">
        <v>0.0651733041225406</v>
      </c>
      <c r="AH42" s="155" t="n">
        <v>0.0925593540986503</v>
      </c>
      <c r="AI42" s="155" t="n">
        <v>-0.0260439152493435</v>
      </c>
      <c r="AJ42" s="155" t="n">
        <v>0.1876704175886</v>
      </c>
    </row>
    <row r="44" customFormat="false" ht="15" hidden="false" customHeight="true" outlineLevel="0" collapsed="false">
      <c r="B44" s="148" t="s">
        <v>547</v>
      </c>
      <c r="E44" s="169"/>
      <c r="F44" s="169" t="n">
        <f aca="false">F27*F21</f>
        <v>0</v>
      </c>
      <c r="G44" s="169" t="n">
        <f aca="false">G27*G21</f>
        <v>12080.7794231744</v>
      </c>
      <c r="H44" s="169" t="n">
        <f aca="false">H27*H21</f>
        <v>13789.3808652039</v>
      </c>
      <c r="N44" s="148" t="s">
        <v>547</v>
      </c>
      <c r="Q44" s="169"/>
      <c r="R44" s="169" t="n">
        <f aca="false">R27*R21</f>
        <v>0</v>
      </c>
      <c r="S44" s="169" t="n">
        <f aca="false">S27*S21</f>
        <v>19769.0272203932</v>
      </c>
      <c r="T44" s="169" t="n">
        <f aca="false">T27*T21</f>
        <v>24411.5421544476</v>
      </c>
      <c r="Z44" s="148" t="s">
        <v>547</v>
      </c>
      <c r="AC44" s="169"/>
      <c r="AD44" s="169" t="n">
        <f aca="false">AD27*AD21</f>
        <v>5995.98419224405</v>
      </c>
      <c r="AE44" s="169" t="n">
        <f aca="false">AE27*AE21</f>
        <v>5482.9285621647</v>
      </c>
      <c r="AF44" s="169" t="n">
        <f aca="false">AF27*AF21</f>
        <v>5367.27936489739</v>
      </c>
    </row>
    <row r="45" customFormat="false" ht="15" hidden="false" customHeight="true" outlineLevel="0" collapsed="false">
      <c r="B45" s="148" t="s">
        <v>548</v>
      </c>
      <c r="E45" s="169"/>
      <c r="F45" s="169" t="n">
        <f aca="false">F38</f>
        <v>0</v>
      </c>
      <c r="G45" s="169" t="n">
        <f aca="false">G38</f>
        <v>0</v>
      </c>
      <c r="H45" s="169" t="n">
        <f aca="false">H38</f>
        <v>0</v>
      </c>
      <c r="N45" s="148" t="s">
        <v>548</v>
      </c>
      <c r="Q45" s="169"/>
      <c r="R45" s="169" t="n">
        <f aca="false">R38</f>
        <v>531.358012801659</v>
      </c>
      <c r="S45" s="169" t="n">
        <f aca="false">S38</f>
        <v>617.213977442137</v>
      </c>
      <c r="T45" s="169" t="n">
        <f aca="false">T38</f>
        <v>736.168383615492</v>
      </c>
      <c r="Z45" s="148" t="s">
        <v>548</v>
      </c>
      <c r="AC45" s="169"/>
      <c r="AD45" s="169" t="n">
        <f aca="false">AD38</f>
        <v>0</v>
      </c>
      <c r="AE45" s="169" t="n">
        <f aca="false">AE38</f>
        <v>0</v>
      </c>
      <c r="AF45" s="169" t="n">
        <f aca="false">AF38</f>
        <v>0</v>
      </c>
    </row>
    <row r="46" customFormat="false" ht="15" hidden="false" customHeight="true" outlineLevel="0" collapsed="false">
      <c r="B46" s="148" t="s">
        <v>549</v>
      </c>
      <c r="E46" s="169"/>
      <c r="F46" s="169" t="n">
        <f aca="false">F44+F45</f>
        <v>0</v>
      </c>
      <c r="G46" s="169" t="n">
        <f aca="false">G44+G45</f>
        <v>12080.7794231744</v>
      </c>
      <c r="H46" s="169" t="n">
        <f aca="false">H44+H45</f>
        <v>13789.3808652039</v>
      </c>
      <c r="N46" s="148" t="s">
        <v>549</v>
      </c>
      <c r="Q46" s="169"/>
      <c r="R46" s="169" t="n">
        <f aca="false">R44+R45</f>
        <v>531.358012801659</v>
      </c>
      <c r="S46" s="169" t="n">
        <f aca="false">S44+S45</f>
        <v>20386.2411978354</v>
      </c>
      <c r="T46" s="169" t="n">
        <f aca="false">T44+T45</f>
        <v>25147.7105380631</v>
      </c>
      <c r="Z46" s="148" t="s">
        <v>549</v>
      </c>
      <c r="AC46" s="169"/>
      <c r="AD46" s="169" t="n">
        <f aca="false">AD44+AD45</f>
        <v>5995.98419224405</v>
      </c>
      <c r="AE46" s="169" t="n">
        <f aca="false">AE44+AE45</f>
        <v>5482.9285621647</v>
      </c>
      <c r="AF46" s="169" t="n">
        <f aca="false">AF44+AF45</f>
        <v>5367.27936489739</v>
      </c>
    </row>
    <row r="47" customFormat="false" ht="15" hidden="false" customHeight="true" outlineLevel="0" collapsed="false">
      <c r="B47" s="148" t="s">
        <v>550</v>
      </c>
      <c r="E47" s="170"/>
      <c r="F47" s="170" t="n">
        <f aca="false">IFERROR(F46/F12,"")</f>
        <v>0</v>
      </c>
      <c r="G47" s="170" t="n">
        <f aca="false">IFERROR(G46/G12,"")</f>
        <v>12.8185388020935</v>
      </c>
      <c r="H47" s="170" t="n">
        <f aca="false">IFERROR(H46/H12,"")</f>
        <v>13.1049039252306</v>
      </c>
      <c r="N47" s="148" t="s">
        <v>550</v>
      </c>
      <c r="Q47" s="170"/>
      <c r="R47" s="170" t="n">
        <f aca="false">IFERROR(R46/R12,"")</f>
        <v>0.499999999999999</v>
      </c>
      <c r="S47" s="170" t="n">
        <f aca="false">IFERROR(S46/S12,"")</f>
        <v>16.5147274226681</v>
      </c>
      <c r="T47" s="170" t="n">
        <f aca="false">IFERROR(T46/T12,"")</f>
        <v>17.0801348562112</v>
      </c>
      <c r="Z47" s="148" t="s">
        <v>550</v>
      </c>
      <c r="AC47" s="170"/>
      <c r="AD47" s="170" t="n">
        <f aca="false">IFERROR(AD46/AD12,"")</f>
        <v>8.52251645385809</v>
      </c>
      <c r="AE47" s="170" t="n">
        <f aca="false">IFERROR(AE46/AE12,"")</f>
        <v>8.02614683890568</v>
      </c>
      <c r="AF47" s="170" t="n">
        <f aca="false">IFERROR(AF46/AF12,"")</f>
        <v>7.7419766299087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8"/>
  <sheetViews>
    <sheetView showFormulas="false" showGridLines="true" showRowColHeaders="true" showZeros="true" rightToLeft="false" tabSelected="false" showOutlineSymbols="true" defaultGridColor="true" view="normal" topLeftCell="A21" colorId="64" zoomScale="60" zoomScaleNormal="60" zoomScalePageLayoutView="100" workbookViewId="0">
      <selection pane="topLeft" activeCell="C59" activeCellId="0" sqref="C59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14" min="3" style="0" width="12.57"/>
    <col collapsed="false" customWidth="true" hidden="false" outlineLevel="0" max="17" min="16" style="0" width="13.29"/>
  </cols>
  <sheetData>
    <row r="2" customFormat="false" ht="17.25" hidden="false" customHeight="true" outlineLevel="0" collapsed="false">
      <c r="B2" s="171" t="s">
        <v>551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customFormat="false" ht="15" hidden="false" customHeight="false" outlineLevel="0" collapsed="false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customFormat="false" ht="15" hidden="false" customHeight="true" outlineLevel="0" collapsed="false">
      <c r="B4" s="15" t="s">
        <v>552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customFormat="false" ht="15" hidden="false" customHeight="true" outlineLevel="0" collapsed="false">
      <c r="B5" s="172" t="s">
        <v>553</v>
      </c>
      <c r="C5" s="173" t="n">
        <v>0.055</v>
      </c>
      <c r="D5" s="174" t="s">
        <v>554</v>
      </c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customFormat="false" ht="15" hidden="false" customHeight="true" outlineLevel="0" collapsed="false">
      <c r="B6" s="172" t="s">
        <v>555</v>
      </c>
      <c r="C6" s="173" t="n">
        <v>0.05</v>
      </c>
      <c r="D6" s="174" t="s">
        <v>556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customFormat="false" ht="15" hidden="false" customHeight="true" outlineLevel="0" collapsed="false">
      <c r="B7" s="172" t="s">
        <v>557</v>
      </c>
      <c r="C7" s="175" t="n">
        <v>1.3</v>
      </c>
      <c r="D7" s="174" t="s">
        <v>558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customFormat="false" ht="15" hidden="false" customHeight="true" outlineLevel="0" collapsed="false">
      <c r="B8" s="172" t="s">
        <v>559</v>
      </c>
      <c r="C8" s="176" t="n">
        <f aca="false">C5+C7*C6</f>
        <v>0.12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</row>
    <row r="9" customFormat="false" ht="15" hidden="false" customHeight="true" outlineLevel="0" collapsed="false">
      <c r="B9" s="172" t="s">
        <v>560</v>
      </c>
      <c r="C9" s="173" t="n">
        <v>0.0609</v>
      </c>
      <c r="D9" s="174" t="s">
        <v>561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customFormat="false" ht="15" hidden="false" customHeight="true" outlineLevel="0" collapsed="false">
      <c r="B10" s="172" t="s">
        <v>562</v>
      </c>
      <c r="C10" s="177" t="n">
        <f aca="false">Model!$CB$103</f>
        <v>0.245</v>
      </c>
      <c r="D10" s="174" t="s">
        <v>563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customFormat="false" ht="15" hidden="false" customHeight="true" outlineLevel="0" collapsed="false">
      <c r="B11" s="172" t="s">
        <v>564</v>
      </c>
      <c r="C11" s="176" t="n">
        <f aca="false">C9*(1-C10)</f>
        <v>0.0459795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2" customFormat="false" ht="15" hidden="false" customHeight="true" outlineLevel="0" collapsed="false">
      <c r="B12" s="172" t="s">
        <v>565</v>
      </c>
      <c r="C12" s="173" t="n">
        <v>0.05</v>
      </c>
      <c r="D12" s="174" t="s">
        <v>566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customFormat="false" ht="15" hidden="false" customHeight="true" outlineLevel="0" collapsed="false">
      <c r="B13" s="178" t="s">
        <v>567</v>
      </c>
      <c r="C13" s="179" t="n">
        <f aca="false">C8*(1-C12)+C11*C12</f>
        <v>0.116298975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4" customFormat="false" ht="15" hidden="false" customHeight="false" outlineLevel="0" collapsed="false"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</row>
    <row r="15" customFormat="false" ht="15" hidden="false" customHeight="true" outlineLevel="0" collapsed="false">
      <c r="B15" s="100" t="s">
        <v>568</v>
      </c>
      <c r="C15" s="137" t="n">
        <f aca="true">TODAY()</f>
        <v>46300</v>
      </c>
      <c r="D15" s="174" t="s">
        <v>569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</row>
    <row r="16" customFormat="false" ht="15" hidden="false" customHeight="true" outlineLevel="0" collapsed="false">
      <c r="B16" s="15" t="s">
        <v>570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</row>
    <row r="17" customFormat="false" ht="15" hidden="false" customHeight="true" outlineLevel="0" collapsed="false">
      <c r="B17" s="100"/>
      <c r="C17" s="100"/>
      <c r="D17" s="180" t="s">
        <v>64</v>
      </c>
      <c r="E17" s="180" t="s">
        <v>65</v>
      </c>
      <c r="F17" s="180" t="s">
        <v>66</v>
      </c>
      <c r="G17" s="180" t="s">
        <v>67</v>
      </c>
      <c r="H17" s="180" t="s">
        <v>68</v>
      </c>
      <c r="I17" s="180" t="s">
        <v>571</v>
      </c>
      <c r="J17" s="180" t="s">
        <v>572</v>
      </c>
      <c r="K17" s="180" t="s">
        <v>573</v>
      </c>
      <c r="L17" s="180" t="s">
        <v>574</v>
      </c>
      <c r="M17" s="180" t="s">
        <v>575</v>
      </c>
      <c r="N17" s="180" t="s">
        <v>576</v>
      </c>
      <c r="O17" s="100"/>
      <c r="P17" s="180" t="s">
        <v>577</v>
      </c>
      <c r="Q17" s="180" t="s">
        <v>578</v>
      </c>
    </row>
    <row r="18" customFormat="false" ht="15" hidden="false" customHeight="true" outlineLevel="0" collapsed="false">
      <c r="B18" s="100" t="s">
        <v>579</v>
      </c>
      <c r="C18" s="100"/>
      <c r="D18" s="181" t="n">
        <f aca="false">Model!CA150</f>
        <v>431.329757448687</v>
      </c>
      <c r="E18" s="181" t="n">
        <f aca="false">Model!CB150</f>
        <v>531.608432699796</v>
      </c>
      <c r="F18" s="181" t="n">
        <f aca="false">Model!CC150</f>
        <v>569.780806104527</v>
      </c>
      <c r="G18" s="181" t="n">
        <f aca="false">Model!CD150</f>
        <v>619.71060109905</v>
      </c>
      <c r="H18" s="181" t="n">
        <f aca="false">Model!CE150</f>
        <v>706.750919083235</v>
      </c>
      <c r="I18" s="90" t="n">
        <f aca="false">H18*(1+I$31)</f>
        <v>749.15597422823</v>
      </c>
      <c r="J18" s="90" t="n">
        <f aca="false">I18*(1+J$31)</f>
        <v>792.232442746353</v>
      </c>
      <c r="K18" s="90" t="n">
        <f aca="false">J18*(1+K$31)</f>
        <v>835.805227097402</v>
      </c>
      <c r="L18" s="90" t="n">
        <f aca="false">K18*(1+L$31)</f>
        <v>879.685001520016</v>
      </c>
      <c r="M18" s="90" t="n">
        <f aca="false">L18*(1+M$31)</f>
        <v>923.669251596017</v>
      </c>
      <c r="N18" s="100"/>
      <c r="O18" s="100"/>
      <c r="P18" s="182" t="n">
        <f aca="false">IFERROR(($H18/$D18)^(1/(VALUE(LEFT($H$17,4))-VALUE(LEFT($D$17,4))))-1,"n/m")</f>
        <v>0.131394961108441</v>
      </c>
      <c r="Q18" s="182" t="n">
        <f aca="false">IFERROR(($M18/$D18)^(1/(VALUE(LEFT($M$17,4))-VALUE(LEFT($D$17,4))))-1,"n/m")</f>
        <v>0.0882914807254491</v>
      </c>
    </row>
    <row r="19" customFormat="false" ht="15" hidden="false" customHeight="true" outlineLevel="0" collapsed="false">
      <c r="B19" s="183" t="s">
        <v>580</v>
      </c>
      <c r="C19" s="183"/>
      <c r="D19" s="184"/>
      <c r="E19" s="184" t="n">
        <f aca="false">IFERROR(E18/D18-1,"")</f>
        <v>0.23248726413929</v>
      </c>
      <c r="F19" s="184" t="n">
        <f aca="false">IFERROR(F18/E18-1,"")</f>
        <v>0.0718054324512334</v>
      </c>
      <c r="G19" s="184" t="n">
        <f aca="false">IFERROR(G18/F18-1,"")</f>
        <v>0.0876298296811411</v>
      </c>
      <c r="H19" s="184" t="n">
        <f aca="false">IFERROR(H18/G18-1,"")</f>
        <v>0.140453169317775</v>
      </c>
      <c r="I19" s="184" t="n">
        <f aca="false">IFERROR(I18/H18-1,"")</f>
        <v>0.0600000000000001</v>
      </c>
      <c r="J19" s="184" t="n">
        <f aca="false">IFERROR(J18/I18-1,"")</f>
        <v>0.0575000000000001</v>
      </c>
      <c r="K19" s="184" t="n">
        <f aca="false">IFERROR(K18/J18-1,"")</f>
        <v>0.0549999999999999</v>
      </c>
      <c r="L19" s="184" t="n">
        <f aca="false">IFERROR(L18/K18-1,"")</f>
        <v>0.0525</v>
      </c>
      <c r="M19" s="184" t="n">
        <f aca="false">IFERROR(M18/L18-1,"")</f>
        <v>0.05</v>
      </c>
      <c r="N19" s="184"/>
      <c r="O19" s="100"/>
      <c r="P19" s="100"/>
      <c r="Q19" s="100"/>
    </row>
    <row r="20" customFormat="false" ht="15" hidden="false" customHeight="true" outlineLevel="0" collapsed="false">
      <c r="B20" s="100" t="s">
        <v>581</v>
      </c>
      <c r="C20" s="100"/>
      <c r="D20" s="181" t="n">
        <f aca="false">-Model!CA129</f>
        <v>-0</v>
      </c>
      <c r="E20" s="181" t="n">
        <f aca="false">-Model!CB129</f>
        <v>-0</v>
      </c>
      <c r="F20" s="181" t="n">
        <f aca="false">-Model!CC129</f>
        <v>-0</v>
      </c>
      <c r="G20" s="181" t="n">
        <f aca="false">-Model!CD129</f>
        <v>-0</v>
      </c>
      <c r="H20" s="181" t="n">
        <f aca="false">-Model!CE129</f>
        <v>-0</v>
      </c>
      <c r="I20" s="90" t="n">
        <f aca="false">H20*(1+I$31)</f>
        <v>-0</v>
      </c>
      <c r="J20" s="90" t="n">
        <f aca="false">I20*(1+J$31)</f>
        <v>-0</v>
      </c>
      <c r="K20" s="90" t="n">
        <f aca="false">J20*(1+K$31)</f>
        <v>-0</v>
      </c>
      <c r="L20" s="90" t="n">
        <f aca="false">K20*(1+L$31)</f>
        <v>-0</v>
      </c>
      <c r="M20" s="90" t="n">
        <f aca="false">L20*(1+M$31)</f>
        <v>-0</v>
      </c>
      <c r="N20" s="100"/>
      <c r="O20" s="100"/>
      <c r="P20" s="100"/>
      <c r="Q20" s="100"/>
    </row>
    <row r="21" customFormat="false" ht="15" hidden="false" customHeight="true" outlineLevel="0" collapsed="false">
      <c r="B21" s="100" t="s">
        <v>582</v>
      </c>
      <c r="C21" s="100"/>
      <c r="D21" s="185" t="n">
        <f aca="false">1-$C$10</f>
        <v>0.755</v>
      </c>
      <c r="E21" s="185" t="n">
        <f aca="false">1-$C$10</f>
        <v>0.755</v>
      </c>
      <c r="F21" s="185" t="n">
        <f aca="false">1-$C$10</f>
        <v>0.755</v>
      </c>
      <c r="G21" s="185" t="n">
        <f aca="false">1-$C$10</f>
        <v>0.755</v>
      </c>
      <c r="H21" s="185" t="n">
        <f aca="false">1-$C$10</f>
        <v>0.755</v>
      </c>
      <c r="I21" s="185" t="n">
        <f aca="false">1-$C$10</f>
        <v>0.755</v>
      </c>
      <c r="J21" s="185" t="n">
        <f aca="false">1-$C$10</f>
        <v>0.755</v>
      </c>
      <c r="K21" s="185" t="n">
        <f aca="false">1-$C$10</f>
        <v>0.755</v>
      </c>
      <c r="L21" s="185" t="n">
        <f aca="false">1-$C$10</f>
        <v>0.755</v>
      </c>
      <c r="M21" s="185" t="n">
        <f aca="false">1-$C$10</f>
        <v>0.755</v>
      </c>
      <c r="N21" s="100"/>
      <c r="O21" s="100"/>
      <c r="P21" s="100"/>
      <c r="Q21" s="100"/>
    </row>
    <row r="22" customFormat="false" ht="15" hidden="false" customHeight="true" outlineLevel="0" collapsed="false">
      <c r="B22" s="100" t="s">
        <v>583</v>
      </c>
      <c r="C22" s="100"/>
      <c r="D22" s="90" t="n">
        <f aca="false">(D18+D20)*D21</f>
        <v>325.653966873759</v>
      </c>
      <c r="E22" s="90" t="n">
        <f aca="false">(E18+E20)*E21</f>
        <v>401.364366688346</v>
      </c>
      <c r="F22" s="90" t="n">
        <f aca="false">(F18+F20)*F21</f>
        <v>430.184508608918</v>
      </c>
      <c r="G22" s="90" t="n">
        <f aca="false">(G18+G20)*G21</f>
        <v>467.881503829783</v>
      </c>
      <c r="H22" s="90" t="n">
        <f aca="false">(H18+H20)*H21</f>
        <v>533.596943907843</v>
      </c>
      <c r="I22" s="90" t="n">
        <f aca="false">(I18+I20)*I21</f>
        <v>565.612760542313</v>
      </c>
      <c r="J22" s="90" t="n">
        <f aca="false">(J18+J20)*J21</f>
        <v>598.135494273496</v>
      </c>
      <c r="K22" s="90" t="n">
        <f aca="false">(K18+K20)*K21</f>
        <v>631.032946458539</v>
      </c>
      <c r="L22" s="90" t="n">
        <f aca="false">(L18+L20)*L21</f>
        <v>664.162176147612</v>
      </c>
      <c r="M22" s="90" t="n">
        <f aca="false">(M18+M20)*M21</f>
        <v>697.370284954993</v>
      </c>
      <c r="N22" s="100"/>
      <c r="O22" s="100"/>
      <c r="P22" s="100"/>
      <c r="Q22" s="100"/>
    </row>
    <row r="23" customFormat="false" ht="15" hidden="false" customHeight="true" outlineLevel="0" collapsed="false">
      <c r="B23" s="100" t="s">
        <v>584</v>
      </c>
      <c r="C23" s="100"/>
      <c r="D23" s="181" t="n">
        <f aca="false">Model!CA87</f>
        <v>256.6648481</v>
      </c>
      <c r="E23" s="181" t="n">
        <f aca="false">Model!CB87</f>
        <v>290.822263549225</v>
      </c>
      <c r="F23" s="181" t="n">
        <f aca="false">Model!CC87</f>
        <v>306.170984672113</v>
      </c>
      <c r="G23" s="181" t="n">
        <f aca="false">Model!CD87</f>
        <v>322.735305543709</v>
      </c>
      <c r="H23" s="181" t="n">
        <f aca="false">Model!CE87</f>
        <v>345.479676721097</v>
      </c>
      <c r="I23" s="90" t="n">
        <f aca="false">H23*(1+I$31)</f>
        <v>366.208457324363</v>
      </c>
      <c r="J23" s="90" t="n">
        <f aca="false">I23*(1+J$31)</f>
        <v>387.265443620514</v>
      </c>
      <c r="K23" s="90" t="n">
        <f aca="false">J23*(1+K$31)</f>
        <v>408.565043019642</v>
      </c>
      <c r="L23" s="90" t="n">
        <f aca="false">K23*(1+L$31)</f>
        <v>430.014707778173</v>
      </c>
      <c r="M23" s="90" t="n">
        <f aca="false">L23*(1+M$31)</f>
        <v>451.515443167082</v>
      </c>
      <c r="N23" s="100"/>
      <c r="O23" s="100"/>
      <c r="P23" s="100"/>
      <c r="Q23" s="100"/>
    </row>
    <row r="24" customFormat="false" ht="15" hidden="false" customHeight="true" outlineLevel="0" collapsed="false">
      <c r="B24" s="100" t="s">
        <v>585</v>
      </c>
      <c r="C24" s="100"/>
      <c r="D24" s="186" t="n">
        <f aca="false">D29</f>
        <v>-375</v>
      </c>
      <c r="E24" s="186" t="n">
        <f aca="false">E29+Model!CB194</f>
        <v>-448.70619400165</v>
      </c>
      <c r="F24" s="186" t="n">
        <f aca="false">F29+Model!CC194</f>
        <v>-476.559127341728</v>
      </c>
      <c r="G24" s="186" t="n">
        <f aca="false">G29+Model!CD194</f>
        <v>-556.694258110778</v>
      </c>
      <c r="H24" s="186" t="n">
        <f aca="false">H29+Model!CE194</f>
        <v>-602.106592216164</v>
      </c>
      <c r="I24" s="90" t="n">
        <f aca="false">I29</f>
        <v>-638.232987749134</v>
      </c>
      <c r="J24" s="90" t="n">
        <f aca="false">J29</f>
        <v>-674.931384544709</v>
      </c>
      <c r="K24" s="90" t="n">
        <f aca="false">K29</f>
        <v>-712.052610694668</v>
      </c>
      <c r="L24" s="90" t="n">
        <f aca="false">L29</f>
        <v>-749.435372756138</v>
      </c>
      <c r="M24" s="90" t="n">
        <f aca="false">M29</f>
        <v>-786.907141393945</v>
      </c>
      <c r="N24" s="100"/>
      <c r="O24" s="100"/>
      <c r="P24" s="100"/>
      <c r="Q24" s="100"/>
    </row>
    <row r="25" customFormat="false" ht="15" hidden="false" customHeight="true" outlineLevel="0" collapsed="false">
      <c r="B25" s="100" t="s">
        <v>586</v>
      </c>
      <c r="C25" s="100"/>
      <c r="D25" s="181" t="n">
        <f aca="false">Model!CA191</f>
        <v>-58.4414989189614</v>
      </c>
      <c r="E25" s="181" t="n">
        <f aca="false">Model!CB191</f>
        <v>-18.8610051939682</v>
      </c>
      <c r="F25" s="181" t="n">
        <f aca="false">Model!CC191</f>
        <v>-13.9025314243338</v>
      </c>
      <c r="G25" s="181" t="n">
        <f aca="false">Model!CD191</f>
        <v>-16.8429736485659</v>
      </c>
      <c r="H25" s="181" t="n">
        <f aca="false">Model!CE191</f>
        <v>-20.778213724334</v>
      </c>
      <c r="I25" s="90" t="n">
        <f aca="false">H25*(1+I$31)</f>
        <v>-22.024906547794</v>
      </c>
      <c r="J25" s="90" t="n">
        <f aca="false">I25*(1+J$31)</f>
        <v>-23.2913386742922</v>
      </c>
      <c r="K25" s="90" t="n">
        <f aca="false">J25*(1+K$31)</f>
        <v>-24.5723623013782</v>
      </c>
      <c r="L25" s="90" t="n">
        <f aca="false">K25*(1+L$31)</f>
        <v>-25.8624113222006</v>
      </c>
      <c r="M25" s="90" t="n">
        <f aca="false">L25*(1+M$31)</f>
        <v>-27.1555318883106</v>
      </c>
      <c r="N25" s="100"/>
      <c r="O25" s="100"/>
      <c r="P25" s="100"/>
      <c r="Q25" s="100"/>
    </row>
    <row r="26" customFormat="false" ht="15" hidden="false" customHeight="true" outlineLevel="0" collapsed="false">
      <c r="B26" s="187" t="s">
        <v>587</v>
      </c>
      <c r="C26" s="100"/>
      <c r="D26" s="188" t="n">
        <f aca="false">D22+D23+D24+D25</f>
        <v>148.877316054797</v>
      </c>
      <c r="E26" s="188" t="n">
        <f aca="false">E22+E23+E24+E25</f>
        <v>224.619431041953</v>
      </c>
      <c r="F26" s="188" t="n">
        <f aca="false">F22+F23+F24+F25</f>
        <v>245.893834514969</v>
      </c>
      <c r="G26" s="188" t="n">
        <f aca="false">G22+G23+G24+G25</f>
        <v>217.079577614148</v>
      </c>
      <c r="H26" s="188" t="n">
        <f aca="false">H22+H23+H24+H25</f>
        <v>256.191814688441</v>
      </c>
      <c r="I26" s="188" t="n">
        <f aca="false">I22+I23+I24+I25</f>
        <v>271.563323569748</v>
      </c>
      <c r="J26" s="188" t="n">
        <f aca="false">J22+J23+J24+J25</f>
        <v>287.178214675009</v>
      </c>
      <c r="K26" s="188" t="n">
        <f aca="false">K22+K23+K24+K25</f>
        <v>302.973016482134</v>
      </c>
      <c r="L26" s="188" t="n">
        <f aca="false">L22+L23+L24+L25</f>
        <v>318.879099847446</v>
      </c>
      <c r="M26" s="188" t="n">
        <f aca="false">M22+M23+M24+M25</f>
        <v>334.823054839818</v>
      </c>
      <c r="N26" s="188" t="n">
        <f aca="false">M26*(1+$C$32)</f>
        <v>348.215977033411</v>
      </c>
      <c r="O26" s="100"/>
      <c r="P26" s="182" t="n">
        <f aca="false">IFERROR(($H26/$D26)^(1/(VALUE(LEFT($H$17,4))-VALUE(LEFT($D$17,4))))-1,"n/m")</f>
        <v>0.145339344523984</v>
      </c>
      <c r="Q26" s="182" t="n">
        <f aca="false">IFERROR(($M26/$D26)^(1/(VALUE(LEFT($M$17,4))-VALUE(LEFT($D$17,4))))-1,"n/m")</f>
        <v>0.0942325941925428</v>
      </c>
    </row>
    <row r="27" customFormat="false" ht="15" hidden="false" customHeight="true" outlineLevel="0" collapsed="false">
      <c r="B27" s="183" t="s">
        <v>580</v>
      </c>
      <c r="C27" s="183"/>
      <c r="D27" s="184"/>
      <c r="E27" s="184" t="n">
        <f aca="false">IFERROR(E26/D26-1,"")</f>
        <v>0.508755242197392</v>
      </c>
      <c r="F27" s="184" t="n">
        <f aca="false">IFERROR(F26/E26-1,"")</f>
        <v>0.0947131037342985</v>
      </c>
      <c r="G27" s="184" t="n">
        <f aca="false">IFERROR(G26/F26-1,"")</f>
        <v>-0.117181697368124</v>
      </c>
      <c r="H27" s="184" t="n">
        <f aca="false">IFERROR(H26/G26-1,"")</f>
        <v>0.1801746507164</v>
      </c>
      <c r="I27" s="184" t="n">
        <f aca="false">IFERROR(I26/H26-1,"")</f>
        <v>0.0600000000000001</v>
      </c>
      <c r="J27" s="184" t="n">
        <f aca="false">IFERROR(J26/I26-1,"")</f>
        <v>0.0575000000000008</v>
      </c>
      <c r="K27" s="184" t="n">
        <f aca="false">IFERROR(K26/J26-1,"")</f>
        <v>0.0549999999999995</v>
      </c>
      <c r="L27" s="184" t="n">
        <f aca="false">IFERROR(L26/K26-1,"")</f>
        <v>0.0524999999999998</v>
      </c>
      <c r="M27" s="184" t="n">
        <f aca="false">IFERROR(M26/L26-1,"")</f>
        <v>0.0500000000000005</v>
      </c>
      <c r="N27" s="184"/>
      <c r="O27" s="100"/>
      <c r="P27" s="100"/>
      <c r="Q27" s="100"/>
    </row>
    <row r="28" customFormat="false" ht="15" hidden="false" customHeight="true" outlineLevel="0" collapsed="false">
      <c r="B28" s="100" t="s">
        <v>588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88" t="n">
        <f aca="false">N26/($C$13-$C$32)</f>
        <v>4563.83558276387</v>
      </c>
      <c r="O28" s="100"/>
      <c r="P28" s="100"/>
      <c r="Q28" s="100"/>
    </row>
    <row r="29" customFormat="false" ht="15" hidden="false" customHeight="true" outlineLevel="0" collapsed="false">
      <c r="B29" s="174" t="s">
        <v>589</v>
      </c>
      <c r="C29" s="100"/>
      <c r="D29" s="181" t="n">
        <f aca="false">Model!CA193+Model!CA195</f>
        <v>-375</v>
      </c>
      <c r="E29" s="181" t="n">
        <f aca="false">Model!CB193+Model!CB195</f>
        <v>-448.70619400165</v>
      </c>
      <c r="F29" s="181" t="n">
        <f aca="false">Model!CC193+Model!CC195</f>
        <v>-476.559127341728</v>
      </c>
      <c r="G29" s="181" t="n">
        <f aca="false">Model!CD193+Model!CD195</f>
        <v>-556.694258110778</v>
      </c>
      <c r="H29" s="181" t="n">
        <f aca="false">Model!CE193+Model!CE195</f>
        <v>-602.106592216164</v>
      </c>
      <c r="I29" s="90" t="n">
        <f aca="false">H29*(1+I$31)</f>
        <v>-638.232987749134</v>
      </c>
      <c r="J29" s="90" t="n">
        <f aca="false">I29*(1+J$31)</f>
        <v>-674.931384544709</v>
      </c>
      <c r="K29" s="90" t="n">
        <f aca="false">J29*(1+K$31)</f>
        <v>-712.052610694668</v>
      </c>
      <c r="L29" s="90" t="n">
        <f aca="false">K29*(1+L$31)</f>
        <v>-749.435372756138</v>
      </c>
      <c r="M29" s="90" t="n">
        <f aca="false">L29*(1+M$31)</f>
        <v>-786.907141393945</v>
      </c>
      <c r="N29" s="100"/>
      <c r="O29" s="100"/>
      <c r="P29" s="100"/>
      <c r="Q29" s="100"/>
    </row>
    <row r="30" customFormat="false" ht="15" hidden="false" customHeight="false" outlineLevel="0" collapsed="false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</row>
    <row r="31" customFormat="false" ht="15" hidden="false" customHeight="true" outlineLevel="0" collapsed="false">
      <c r="B31" s="100" t="s">
        <v>590</v>
      </c>
      <c r="C31" s="100"/>
      <c r="D31" s="100"/>
      <c r="E31" s="100"/>
      <c r="F31" s="100"/>
      <c r="G31" s="100"/>
      <c r="H31" s="100"/>
      <c r="I31" s="189" t="n">
        <v>0.06</v>
      </c>
      <c r="J31" s="190" t="n">
        <f aca="false">I31+($M$31-$I$31)/(COLUMNS($I$31:$M$31)-1)</f>
        <v>0.0575</v>
      </c>
      <c r="K31" s="190" t="n">
        <f aca="false">J31+($M$31-$I$31)/(COLUMNS($I$31:$M$31)-1)</f>
        <v>0.055</v>
      </c>
      <c r="L31" s="190" t="n">
        <f aca="false">K31+($M$31-$I$31)/(COLUMNS($I$31:$M$31)-1)</f>
        <v>0.0525</v>
      </c>
      <c r="M31" s="189" t="n">
        <v>0.05</v>
      </c>
      <c r="N31" s="100"/>
      <c r="O31" s="100"/>
      <c r="P31" s="100"/>
      <c r="Q31" s="100"/>
    </row>
    <row r="32" customFormat="false" ht="15" hidden="false" customHeight="true" outlineLevel="0" collapsed="false">
      <c r="B32" s="100" t="s">
        <v>591</v>
      </c>
      <c r="C32" s="191" t="n">
        <v>0.04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</row>
    <row r="33" customFormat="false" ht="15" hidden="false" customHeight="false" outlineLevel="0" collapsed="false"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customFormat="false" ht="15" hidden="false" customHeight="true" outlineLevel="0" collapsed="false">
      <c r="B34" s="100" t="s">
        <v>592</v>
      </c>
      <c r="C34" s="100"/>
      <c r="D34" s="192" t="n">
        <f aca="false">(DATE(2026,12,31)-$C$15)/365.25</f>
        <v>0.238193018480493</v>
      </c>
      <c r="E34" s="192" t="n">
        <f aca="false">(DATE(2027,12,31)-$C$15)/365.25</f>
        <v>1.23750855578371</v>
      </c>
      <c r="F34" s="192" t="n">
        <f aca="false">(DATE(2028,12,31)-$C$15)/365.25</f>
        <v>2.23956194387406</v>
      </c>
      <c r="G34" s="192" t="n">
        <f aca="false">(DATE(2029,12,31)-$C$15)/365.25</f>
        <v>3.23887748117728</v>
      </c>
      <c r="H34" s="192" t="n">
        <f aca="false">(DATE(2030,12,31)-$C$15)/365.25</f>
        <v>4.23819301848049</v>
      </c>
      <c r="I34" s="192" t="n">
        <f aca="false">(DATE(2031,12,31)-$C$15)/365.25</f>
        <v>5.23750855578371</v>
      </c>
      <c r="J34" s="192" t="n">
        <f aca="false">(DATE(2032,12,31)-$C$15)/365.25</f>
        <v>6.23956194387406</v>
      </c>
      <c r="K34" s="192" t="n">
        <f aca="false">(DATE(2033,12,31)-$C$15)/365.25</f>
        <v>7.23887748117728</v>
      </c>
      <c r="L34" s="192" t="n">
        <f aca="false">(DATE(2034,12,31)-$C$15)/365.25</f>
        <v>8.23819301848049</v>
      </c>
      <c r="M34" s="192" t="n">
        <f aca="false">(DATE(2035,12,31)-$C$15)/365.25</f>
        <v>9.23750855578371</v>
      </c>
      <c r="N34" s="192" t="n">
        <f aca="false">M34</f>
        <v>9.23750855578371</v>
      </c>
      <c r="O34" s="100"/>
      <c r="P34" s="100"/>
      <c r="Q34" s="100"/>
    </row>
    <row r="35" customFormat="false" ht="15" hidden="false" customHeight="true" outlineLevel="0" collapsed="false">
      <c r="B35" s="100" t="s">
        <v>593</v>
      </c>
      <c r="C35" s="100"/>
      <c r="D35" s="193" t="n">
        <f aca="false">1/(1+$C$13)^D34</f>
        <v>0.974134696669995</v>
      </c>
      <c r="E35" s="193" t="n">
        <f aca="false">1/(1+$C$13)^E34</f>
        <v>0.872712487613899</v>
      </c>
      <c r="F35" s="193" t="n">
        <f aca="false">1/(1+$C$13)^F34</f>
        <v>0.781614400753268</v>
      </c>
      <c r="G35" s="193" t="n">
        <f aca="false">1/(1+$C$13)^G34</f>
        <v>0.700236476914356</v>
      </c>
      <c r="H35" s="193" t="n">
        <f aca="false">1/(1+$C$13)^H34</f>
        <v>0.627331230244582</v>
      </c>
      <c r="I35" s="193" t="n">
        <f aca="false">1/(1+$C$13)^I34</f>
        <v>0.562016526437416</v>
      </c>
      <c r="J35" s="193" t="n">
        <f aca="false">1/(1+$C$13)^J34</f>
        <v>0.503350435291535</v>
      </c>
      <c r="K35" s="193" t="n">
        <f aca="false">1/(1+$C$13)^K34</f>
        <v>0.450944014237929</v>
      </c>
      <c r="L35" s="193" t="n">
        <f aca="false">1/(1+$C$13)^L34</f>
        <v>0.403993897132996</v>
      </c>
      <c r="M35" s="193" t="n">
        <f aca="false">1/(1+$C$13)^M34</f>
        <v>0.361931999910286</v>
      </c>
      <c r="N35" s="193" t="n">
        <f aca="false">1/(1+$C$13)^N34</f>
        <v>0.361931999910286</v>
      </c>
      <c r="O35" s="100"/>
      <c r="P35" s="100"/>
      <c r="Q35" s="100"/>
    </row>
    <row r="36" customFormat="false" ht="15" hidden="false" customHeight="true" outlineLevel="0" collapsed="false">
      <c r="B36" s="100" t="s">
        <v>594</v>
      </c>
      <c r="C36" s="100"/>
      <c r="D36" s="90" t="n">
        <f aca="false">D26*D35</f>
        <v>145.026559116083</v>
      </c>
      <c r="E36" s="90" t="n">
        <f aca="false">E26*E35</f>
        <v>196.028182431042</v>
      </c>
      <c r="F36" s="90" t="n">
        <f aca="false">F26*F35</f>
        <v>192.194162113341</v>
      </c>
      <c r="G36" s="90" t="n">
        <f aca="false">G26*G35</f>
        <v>152.007038638588</v>
      </c>
      <c r="H36" s="90" t="n">
        <f aca="false">H26*H35</f>
        <v>160.717126287092</v>
      </c>
      <c r="I36" s="90" t="n">
        <f aca="false">I26*I35</f>
        <v>152.62307582047</v>
      </c>
      <c r="J36" s="90" t="n">
        <f aca="false">J26*J35</f>
        <v>144.551279362911</v>
      </c>
      <c r="K36" s="90" t="n">
        <f aca="false">K26*K35</f>
        <v>136.623868258228</v>
      </c>
      <c r="L36" s="90" t="n">
        <f aca="false">L26*L35</f>
        <v>128.825210261632</v>
      </c>
      <c r="M36" s="90" t="n">
        <f aca="false">M26*M35</f>
        <v>121.183177854247</v>
      </c>
      <c r="N36" s="90" t="n">
        <f aca="false">N28*N35</f>
        <v>1651.79813973145</v>
      </c>
      <c r="O36" s="100"/>
      <c r="P36" s="100"/>
      <c r="Q36" s="100"/>
    </row>
    <row r="37" customFormat="false" ht="15" hidden="false" customHeight="true" outlineLevel="0" collapsed="false">
      <c r="B37" s="100"/>
      <c r="C37" s="100"/>
      <c r="D37" s="174" t="s">
        <v>595</v>
      </c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</row>
    <row r="38" customFormat="false" ht="15" hidden="false" customHeight="false" outlineLevel="0" collapsed="false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</row>
    <row r="39" customFormat="false" ht="15.75" hidden="false" customHeight="true" outlineLevel="0" collapsed="false">
      <c r="B39" s="100" t="s">
        <v>596</v>
      </c>
      <c r="C39" s="100"/>
      <c r="D39" s="194" t="str">
        <f aca="false">D17</f>
        <v>2026E</v>
      </c>
      <c r="E39" s="194" t="str">
        <f aca="false">E17</f>
        <v>2027E</v>
      </c>
      <c r="F39" s="194" t="str">
        <f aca="false">F17</f>
        <v>2028E</v>
      </c>
      <c r="G39" s="194" t="str">
        <f aca="false">G17</f>
        <v>2029E</v>
      </c>
      <c r="H39" s="194" t="str">
        <f aca="false">H17</f>
        <v>2030E</v>
      </c>
      <c r="I39" s="194" t="str">
        <f aca="false">I17</f>
        <v>2031E</v>
      </c>
      <c r="J39" s="194" t="str">
        <f aca="false">J17</f>
        <v>2032E</v>
      </c>
      <c r="K39" s="194" t="str">
        <f aca="false">K17</f>
        <v>2033E</v>
      </c>
      <c r="L39" s="194" t="str">
        <f aca="false">L17</f>
        <v>2034E</v>
      </c>
      <c r="M39" s="194" t="str">
        <f aca="false">M17</f>
        <v>2035E</v>
      </c>
      <c r="N39" s="194" t="s">
        <v>576</v>
      </c>
      <c r="O39" s="100"/>
      <c r="P39" s="100"/>
      <c r="Q39" s="100"/>
    </row>
    <row r="40" customFormat="false" ht="15.75" hidden="false" customHeight="true" outlineLevel="0" collapsed="false">
      <c r="B40" s="100" t="s">
        <v>597</v>
      </c>
      <c r="C40" s="100"/>
      <c r="D40" s="195" t="n">
        <f aca="false">D22</f>
        <v>325.653966873759</v>
      </c>
      <c r="E40" s="195" t="n">
        <f aca="false">E22</f>
        <v>401.364366688346</v>
      </c>
      <c r="F40" s="195" t="n">
        <f aca="false">F22</f>
        <v>430.184508608918</v>
      </c>
      <c r="G40" s="195" t="n">
        <f aca="false">G22</f>
        <v>467.881503829783</v>
      </c>
      <c r="H40" s="195" t="n">
        <f aca="false">H22</f>
        <v>533.596943907843</v>
      </c>
      <c r="I40" s="195" t="n">
        <f aca="false">I22</f>
        <v>565.612760542313</v>
      </c>
      <c r="J40" s="195" t="n">
        <f aca="false">J22</f>
        <v>598.135494273496</v>
      </c>
      <c r="K40" s="195" t="n">
        <f aca="false">K22</f>
        <v>631.032946458539</v>
      </c>
      <c r="L40" s="195" t="n">
        <f aca="false">L22</f>
        <v>664.162176147612</v>
      </c>
      <c r="M40" s="195" t="n">
        <f aca="false">M22</f>
        <v>697.370284954993</v>
      </c>
      <c r="N40" s="195" t="n">
        <f aca="false">M40*(1+$C$32)</f>
        <v>725.265096353192</v>
      </c>
      <c r="O40" s="100"/>
      <c r="P40" s="100"/>
      <c r="Q40" s="100"/>
    </row>
    <row r="41" customFormat="false" ht="15.75" hidden="false" customHeight="true" outlineLevel="0" collapsed="false">
      <c r="B41" s="100" t="s">
        <v>598</v>
      </c>
      <c r="C41" s="100"/>
      <c r="D41" s="195" t="n">
        <f aca="false">D40-D26</f>
        <v>176.776650818961</v>
      </c>
      <c r="E41" s="195" t="n">
        <f aca="false">E40-E26</f>
        <v>176.744935646393</v>
      </c>
      <c r="F41" s="195" t="n">
        <f aca="false">F40-F26</f>
        <v>184.290674093949</v>
      </c>
      <c r="G41" s="195" t="n">
        <f aca="false">G40-G26</f>
        <v>250.801926215634</v>
      </c>
      <c r="H41" s="195" t="n">
        <f aca="false">H40-H26</f>
        <v>277.405129219401</v>
      </c>
      <c r="I41" s="195" t="n">
        <f aca="false">I40-I26</f>
        <v>294.049436972565</v>
      </c>
      <c r="J41" s="195" t="n">
        <f aca="false">J40-J26</f>
        <v>310.957279598488</v>
      </c>
      <c r="K41" s="195" t="n">
        <f aca="false">K40-K26</f>
        <v>328.059929976405</v>
      </c>
      <c r="L41" s="195" t="n">
        <f aca="false">L40-L26</f>
        <v>345.283076300166</v>
      </c>
      <c r="M41" s="195" t="n">
        <f aca="false">M40-M26</f>
        <v>362.547230115174</v>
      </c>
      <c r="N41" s="195" t="n">
        <f aca="false">N40-N26</f>
        <v>377.049119319781</v>
      </c>
      <c r="O41" s="100"/>
      <c r="P41" s="100"/>
      <c r="Q41" s="100"/>
    </row>
    <row r="42" customFormat="false" ht="15.75" hidden="false" customHeight="true" outlineLevel="0" collapsed="false">
      <c r="B42" s="100" t="s">
        <v>599</v>
      </c>
      <c r="C42" s="100"/>
      <c r="D42" s="181" t="n">
        <f aca="false">Model!BV300</f>
        <v>2721.959</v>
      </c>
      <c r="E42" s="195" t="n">
        <f aca="false">D43</f>
        <v>2898.73565081896</v>
      </c>
      <c r="F42" s="195" t="n">
        <f aca="false">E43</f>
        <v>3075.48058646535</v>
      </c>
      <c r="G42" s="195" t="n">
        <f aca="false">F43</f>
        <v>3259.7712605593</v>
      </c>
      <c r="H42" s="195" t="n">
        <f aca="false">G43</f>
        <v>3510.57318677494</v>
      </c>
      <c r="I42" s="195" t="n">
        <f aca="false">H43</f>
        <v>3787.97831599434</v>
      </c>
      <c r="J42" s="195" t="n">
        <f aca="false">I43</f>
        <v>4082.0277529669</v>
      </c>
      <c r="K42" s="195" t="n">
        <f aca="false">J43</f>
        <v>4392.98503256539</v>
      </c>
      <c r="L42" s="195" t="n">
        <f aca="false">K43</f>
        <v>4721.0449625418</v>
      </c>
      <c r="M42" s="195" t="n">
        <f aca="false">L43</f>
        <v>5066.32803884196</v>
      </c>
      <c r="N42" s="195" t="n">
        <f aca="false">M43</f>
        <v>5428.87526895714</v>
      </c>
      <c r="O42" s="100"/>
      <c r="P42" s="100"/>
      <c r="Q42" s="100"/>
    </row>
    <row r="43" customFormat="false" ht="15.75" hidden="false" customHeight="true" outlineLevel="0" collapsed="false">
      <c r="B43" s="100" t="s">
        <v>600</v>
      </c>
      <c r="C43" s="100"/>
      <c r="D43" s="195" t="n">
        <f aca="false">D42+D41</f>
        <v>2898.73565081896</v>
      </c>
      <c r="E43" s="195" t="n">
        <f aca="false">E42+E41</f>
        <v>3075.48058646535</v>
      </c>
      <c r="F43" s="195" t="n">
        <f aca="false">F42+F41</f>
        <v>3259.7712605593</v>
      </c>
      <c r="G43" s="195" t="n">
        <f aca="false">G42+G41</f>
        <v>3510.57318677494</v>
      </c>
      <c r="H43" s="195" t="n">
        <f aca="false">H42+H41</f>
        <v>3787.97831599434</v>
      </c>
      <c r="I43" s="195" t="n">
        <f aca="false">I42+I41</f>
        <v>4082.0277529669</v>
      </c>
      <c r="J43" s="195" t="n">
        <f aca="false">J42+J41</f>
        <v>4392.98503256539</v>
      </c>
      <c r="K43" s="195" t="n">
        <f aca="false">K42+K41</f>
        <v>4721.0449625418</v>
      </c>
      <c r="L43" s="195" t="n">
        <f aca="false">L42+L41</f>
        <v>5066.32803884196</v>
      </c>
      <c r="M43" s="195" t="n">
        <f aca="false">M42+M41</f>
        <v>5428.87526895714</v>
      </c>
      <c r="N43" s="195"/>
      <c r="O43" s="100"/>
      <c r="P43" s="100"/>
      <c r="Q43" s="100"/>
    </row>
    <row r="44" customFormat="false" ht="15.75" hidden="false" customHeight="true" outlineLevel="0" collapsed="false">
      <c r="B44" s="196" t="s">
        <v>601</v>
      </c>
      <c r="C44" s="197"/>
      <c r="D44" s="198" t="n">
        <f aca="false">IFERROR(D40/D42,"")</f>
        <v>0.119639556243778</v>
      </c>
      <c r="E44" s="198" t="n">
        <f aca="false">IFERROR(E40/E42,"")</f>
        <v>0.138461872704726</v>
      </c>
      <c r="F44" s="198" t="n">
        <f aca="false">IFERROR(F40/F42,"")</f>
        <v>0.139875540265832</v>
      </c>
      <c r="G44" s="198" t="n">
        <f aca="false">IFERROR(G40/G42,"")</f>
        <v>0.14353200468106</v>
      </c>
      <c r="H44" s="198" t="n">
        <f aca="false">IFERROR(H40/H42,"")</f>
        <v>0.151997100051357</v>
      </c>
      <c r="I44" s="198" t="n">
        <f aca="false">IFERROR(I40/I42,"")</f>
        <v>0.149317845393695</v>
      </c>
      <c r="J44" s="198" t="n">
        <f aca="false">IFERROR(J40/J42,"")</f>
        <v>0.14652901216528</v>
      </c>
      <c r="K44" s="198" t="n">
        <f aca="false">IFERROR(K40/K42,"")</f>
        <v>0.14364559446041</v>
      </c>
      <c r="L44" s="198" t="n">
        <f aca="false">IFERROR(L40/L42,"")</f>
        <v>0.140681179996648</v>
      </c>
      <c r="M44" s="198" t="n">
        <f aca="false">IFERROR(M40/M42,"")</f>
        <v>0.137648071662252</v>
      </c>
      <c r="N44" s="198" t="n">
        <f aca="false">IFERROR(N40/N42,"")</f>
        <v>0.133593987782392</v>
      </c>
      <c r="O44" s="100"/>
      <c r="P44" s="100"/>
      <c r="Q44" s="100"/>
    </row>
    <row r="45" customFormat="false" ht="15.75" hidden="false" customHeight="true" outlineLevel="0" collapsed="false">
      <c r="B45" s="100" t="s">
        <v>602</v>
      </c>
      <c r="C45" s="28"/>
      <c r="D45" s="182" t="n">
        <f aca="false">IFERROR(D41/D40,"")</f>
        <v>0.542835858921042</v>
      </c>
      <c r="E45" s="182" t="n">
        <f aca="false">IFERROR(E41/E40,"")</f>
        <v>0.440360306782372</v>
      </c>
      <c r="F45" s="182" t="n">
        <f aca="false">IFERROR(F41/F40,"")</f>
        <v>0.428399141312381</v>
      </c>
      <c r="G45" s="182" t="n">
        <f aca="false">IFERROR(G41/G40,"")</f>
        <v>0.536037274743131</v>
      </c>
      <c r="H45" s="182" t="n">
        <f aca="false">IFERROR(H41/H40,"")</f>
        <v>0.519877657446464</v>
      </c>
      <c r="I45" s="182" t="n">
        <f aca="false">IFERROR(I41/I40,"")</f>
        <v>0.519877657446464</v>
      </c>
      <c r="J45" s="182" t="n">
        <f aca="false">IFERROR(J41/J40,"")</f>
        <v>0.519877657446464</v>
      </c>
      <c r="K45" s="182" t="n">
        <f aca="false">IFERROR(K41/K40,"")</f>
        <v>0.519877657446464</v>
      </c>
      <c r="L45" s="182" t="n">
        <f aca="false">IFERROR(L41/L40,"")</f>
        <v>0.519877657446464</v>
      </c>
      <c r="M45" s="182" t="n">
        <f aca="false">IFERROR(M41/M40,"")</f>
        <v>0.519877657446464</v>
      </c>
      <c r="N45" s="182" t="n">
        <f aca="false">IFERROR(N41/N40,"")</f>
        <v>0.519877657446464</v>
      </c>
      <c r="O45" s="100"/>
      <c r="P45" s="100"/>
      <c r="Q45" s="100"/>
    </row>
    <row r="46" customFormat="false" ht="15.75" hidden="false" customHeight="true" outlineLevel="0" collapsed="false">
      <c r="B46" s="196" t="s">
        <v>603</v>
      </c>
      <c r="C46" s="197"/>
      <c r="D46" s="198"/>
      <c r="E46" s="198" t="n">
        <f aca="false">IFERROR((E40-D40)/D41,"")</f>
        <v>0.428282804679465</v>
      </c>
      <c r="F46" s="198" t="n">
        <f aca="false">IFERROR((F40-E40)/E41,"")</f>
        <v>0.163060637721646</v>
      </c>
      <c r="G46" s="198" t="n">
        <f aca="false">IFERROR((G40-F40)/F41,"")</f>
        <v>0.204551833163557</v>
      </c>
      <c r="H46" s="198" t="n">
        <f aca="false">IFERROR((H40-G40)/G41,"")</f>
        <v>0.262021273399467</v>
      </c>
      <c r="I46" s="198" t="n">
        <f aca="false">IFERROR((I40-H40)/H41,"")</f>
        <v>0.115411768789427</v>
      </c>
      <c r="J46" s="198" t="n">
        <f aca="false">IFERROR((J40-I40)/I41,"")</f>
        <v>0.110602945089868</v>
      </c>
      <c r="K46" s="198" t="n">
        <f aca="false">IFERROR((K40-J40)/J41,"")</f>
        <v>0.105794121390307</v>
      </c>
      <c r="L46" s="198" t="n">
        <f aca="false">IFERROR((L40-K40)/K41,"")</f>
        <v>0.100985297690748</v>
      </c>
      <c r="M46" s="198" t="n">
        <f aca="false">IFERROR((M40-L40)/L41,"")</f>
        <v>0.096176473991189</v>
      </c>
      <c r="N46" s="198" t="n">
        <f aca="false">IFERROR($C$32/N45,"")</f>
        <v>0.0769411791929511</v>
      </c>
      <c r="O46" s="100"/>
      <c r="P46" s="100"/>
      <c r="Q46" s="100"/>
    </row>
    <row r="47" customFormat="false" ht="15.75" hidden="false" customHeight="true" outlineLevel="0" collapsed="false">
      <c r="B47" s="100" t="s">
        <v>604</v>
      </c>
      <c r="C47" s="182" t="n">
        <f aca="false">IFERROR((M40-D40)/SUM(D41:L41),"")</f>
        <v>0.158557083770757</v>
      </c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00"/>
      <c r="P47" s="100"/>
      <c r="Q47" s="100"/>
    </row>
    <row r="48" customFormat="false" ht="15" hidden="false" customHeight="false" outlineLevel="0" collapsed="false">
      <c r="B48" s="100"/>
      <c r="C48" s="100"/>
      <c r="D48" s="174" t="s">
        <v>605</v>
      </c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</row>
    <row r="49" customFormat="false" ht="15" hidden="false" customHeight="true" outlineLevel="0" collapsed="false">
      <c r="B49" s="15" t="s">
        <v>606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</row>
    <row r="50" customFormat="false" ht="15" hidden="false" customHeight="true" outlineLevel="0" collapsed="false">
      <c r="B50" s="172" t="s">
        <v>607</v>
      </c>
      <c r="C50" s="90" t="n">
        <f aca="false">SUM(D36:M36)</f>
        <v>1529.77968014363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</row>
    <row r="51" customFormat="false" ht="15" hidden="false" customHeight="true" outlineLevel="0" collapsed="false">
      <c r="B51" s="172" t="s">
        <v>608</v>
      </c>
      <c r="C51" s="90" t="n">
        <f aca="false">N36</f>
        <v>1651.79813973145</v>
      </c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</row>
    <row r="52" customFormat="false" ht="15" hidden="false" customHeight="true" outlineLevel="0" collapsed="false">
      <c r="B52" s="178" t="s">
        <v>609</v>
      </c>
      <c r="C52" s="188" t="n">
        <f aca="false">C50+C51</f>
        <v>3181.57781987509</v>
      </c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</row>
    <row r="53" customFormat="false" ht="15" hidden="false" customHeight="true" outlineLevel="0" collapsed="false">
      <c r="B53" s="172" t="s">
        <v>610</v>
      </c>
      <c r="C53" s="181" t="n">
        <f aca="false">Model!CA301</f>
        <v>-54.4545438290364</v>
      </c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</row>
    <row r="54" customFormat="false" ht="15" hidden="false" customHeight="true" outlineLevel="0" collapsed="false">
      <c r="B54" s="172" t="s">
        <v>611</v>
      </c>
      <c r="C54" s="90" t="n">
        <v>0</v>
      </c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</row>
    <row r="55" customFormat="false" ht="15" hidden="false" customHeight="true" outlineLevel="0" collapsed="false">
      <c r="B55" s="178" t="s">
        <v>612</v>
      </c>
      <c r="C55" s="188" t="n">
        <f aca="false">C52-C53-C54</f>
        <v>3236.03236370412</v>
      </c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</row>
    <row r="56" customFormat="false" ht="15" hidden="false" customHeight="true" outlineLevel="0" collapsed="false">
      <c r="B56" s="172" t="s">
        <v>613</v>
      </c>
      <c r="C56" s="199" t="n">
        <f aca="false">Model!CA323</f>
        <v>26.76865</v>
      </c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</row>
    <row r="57" customFormat="false" ht="15" hidden="false" customHeight="true" outlineLevel="0" collapsed="false">
      <c r="B57" s="178" t="s">
        <v>614</v>
      </c>
      <c r="C57" s="200" t="n">
        <f aca="false">C55/C56</f>
        <v>120.888889193296</v>
      </c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</row>
    <row r="58" customFormat="false" ht="15" hidden="false" customHeight="true" outlineLevel="0" collapsed="false">
      <c r="B58" s="172" t="s">
        <v>615</v>
      </c>
      <c r="C58" s="201" t="n">
        <f aca="false">Model!CA322</f>
        <v>350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</row>
    <row r="59" customFormat="false" ht="15" hidden="false" customHeight="true" outlineLevel="0" collapsed="false">
      <c r="B59" s="172" t="s">
        <v>616</v>
      </c>
      <c r="C59" s="28" t="n">
        <f aca="false">C57/C58-1</f>
        <v>-0.65460317373344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</row>
    <row r="60" customFormat="false" ht="15" hidden="false" customHeight="true" outlineLevel="0" collapsed="false">
      <c r="B60" s="100" t="s">
        <v>617</v>
      </c>
      <c r="C60" s="182" t="n">
        <f aca="false">1-((1+C13)/(1+F60))^F61</f>
        <v>0.085364493522464</v>
      </c>
      <c r="D60" s="100"/>
      <c r="E60" s="202" t="s">
        <v>618</v>
      </c>
      <c r="F60" s="189" t="n">
        <v>0.15</v>
      </c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</row>
    <row r="61" customFormat="false" ht="15" hidden="false" customHeight="true" outlineLevel="0" collapsed="false">
      <c r="B61" s="100" t="s">
        <v>619</v>
      </c>
      <c r="C61" s="203" t="n">
        <f aca="false">C57*(1-C60)</f>
        <v>110.569270394817</v>
      </c>
      <c r="D61" s="204" t="n">
        <f aca="false">C61/C58-1</f>
        <v>-0.684087798871952</v>
      </c>
      <c r="E61" s="202" t="s">
        <v>620</v>
      </c>
      <c r="F61" s="205" t="n">
        <v>3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</row>
    <row r="62" customFormat="false" ht="15" hidden="false" customHeight="false" outlineLevel="0" collapsed="false"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</row>
    <row r="63" customFormat="false" ht="15" hidden="false" customHeight="false" outlineLevel="0" collapsed="false"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</row>
    <row r="64" customFormat="false" ht="15" hidden="false" customHeight="true" outlineLevel="0" collapsed="false">
      <c r="B64" s="15" t="s">
        <v>621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</row>
    <row r="65" customFormat="false" ht="15" hidden="false" customHeight="false" outlineLevel="0" collapsed="false">
      <c r="B65" s="100" t="s">
        <v>622</v>
      </c>
      <c r="C65" s="206" t="n">
        <v>0.005</v>
      </c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</row>
    <row r="66" customFormat="false" ht="15" hidden="false" customHeight="true" outlineLevel="0" collapsed="false">
      <c r="B66" s="100" t="s">
        <v>623</v>
      </c>
      <c r="C66" s="206" t="n">
        <v>0.005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</row>
    <row r="67" customFormat="false" ht="15" hidden="false" customHeight="true" outlineLevel="0" collapsed="false">
      <c r="B67" s="100" t="s">
        <v>624</v>
      </c>
      <c r="C67" s="100"/>
      <c r="D67" s="207" t="n">
        <f aca="false">E67-$C$65</f>
        <v>0.106298975</v>
      </c>
      <c r="E67" s="207" t="n">
        <f aca="false">F67-$C$65</f>
        <v>0.111298975</v>
      </c>
      <c r="F67" s="207" t="n">
        <f aca="false">$C$13</f>
        <v>0.116298975</v>
      </c>
      <c r="G67" s="207" t="n">
        <f aca="false">F67+$C$65</f>
        <v>0.121298975</v>
      </c>
      <c r="H67" s="207" t="n">
        <f aca="false">G67+$C$65</f>
        <v>0.126298975</v>
      </c>
      <c r="I67" s="100"/>
      <c r="J67" s="100"/>
      <c r="K67" s="100"/>
      <c r="L67" s="100"/>
      <c r="M67" s="100"/>
      <c r="N67" s="100"/>
      <c r="O67" s="100"/>
      <c r="P67" s="100"/>
      <c r="Q67" s="100"/>
    </row>
    <row r="68" customFormat="false" ht="15" hidden="false" customHeight="true" outlineLevel="0" collapsed="false">
      <c r="B68" s="207" t="n">
        <f aca="false">B69-$C$66</f>
        <v>0.03</v>
      </c>
      <c r="C68" s="100"/>
      <c r="D68" s="208" t="n">
        <f aca="false">IFERROR((SUMPRODUCT($D$26:$M$26/(1+D$67)^$D$34:$M$34)+($M$26*(1+$B68)/(D$67-$B68))/(1+D$67)^$M$34-$C$53-$C$54)/$C$56,"")</f>
        <v>127.927015445757</v>
      </c>
      <c r="E68" s="208" t="n">
        <f aca="false">IFERROR((SUMPRODUCT($D$26:$M$26/(1+E$67)^$D$34:$M$34)+($M$26*(1+$B68)/(E$67-$B68))/(1+E$67)^$M$34-$C$53-$C$54)/$C$56,"")</f>
        <v>120.113670462882</v>
      </c>
      <c r="F68" s="208" t="n">
        <f aca="false">IFERROR((SUMPRODUCT($D$26:$M$26/(1+F$67)^$D$34:$M$34)+($M$26*(1+$B68)/(F$67-$B68))/(1+F$67)^$M$34-$C$53-$C$54)/$C$56,"")</f>
        <v>113.214001087523</v>
      </c>
      <c r="G68" s="208" t="n">
        <f aca="false">IFERROR((SUMPRODUCT($D$26:$M$26/(1+G$67)^$D$34:$M$34)+($M$26*(1+$B68)/(G$67-$B68))/(1+G$67)^$M$34-$C$53-$C$54)/$C$56,"")</f>
        <v>107.077609984902</v>
      </c>
      <c r="H68" s="208" t="n">
        <f aca="false">IFERROR((SUMPRODUCT($D$26:$M$26/(1+H$67)^$D$34:$M$34)+($M$26*(1+$B68)/(H$67-$B68))/(1+H$67)^$M$34-$C$53-$C$54)/$C$56,"")</f>
        <v>101.585346441416</v>
      </c>
      <c r="I68" s="100"/>
      <c r="J68" s="100"/>
      <c r="K68" s="100"/>
      <c r="L68" s="100"/>
      <c r="M68" s="100"/>
      <c r="N68" s="100"/>
      <c r="O68" s="100"/>
      <c r="P68" s="100"/>
      <c r="Q68" s="100"/>
    </row>
    <row r="69" customFormat="false" ht="15" hidden="false" customHeight="true" outlineLevel="0" collapsed="false">
      <c r="B69" s="207" t="n">
        <f aca="false">B70-$C$66</f>
        <v>0.035</v>
      </c>
      <c r="C69" s="100"/>
      <c r="D69" s="208" t="n">
        <f aca="false">IFERROR((SUMPRODUCT($D$26:$M$26/(1+D$67)^$D$34:$M$34)+($M$26*(1+$B69)/(D$67-$B69))/(1+D$67)^$M$34-$C$53-$C$54)/$C$56,"")</f>
        <v>132.929165583095</v>
      </c>
      <c r="E69" s="208" t="n">
        <f aca="false">IFERROR((SUMPRODUCT($D$26:$M$26/(1+E$67)^$D$34:$M$34)+($M$26*(1+$B69)/(E$67-$B69))/(1+E$67)^$M$34-$C$53-$C$54)/$C$56,"")</f>
        <v>124.340576281719</v>
      </c>
      <c r="F69" s="208" t="n">
        <f aca="false">IFERROR((SUMPRODUCT($D$26:$M$26/(1+F$67)^$D$34:$M$34)+($M$26*(1+$B69)/(F$67-$B69))/(1+F$67)^$M$34-$C$53-$C$54)/$C$56,"")</f>
        <v>116.815436995603</v>
      </c>
      <c r="G69" s="208" t="n">
        <f aca="false">IFERROR((SUMPRODUCT($D$26:$M$26/(1+G$67)^$D$34:$M$34)+($M$26*(1+$B69)/(G$67-$B69))/(1+G$67)^$M$34-$C$53-$C$54)/$C$56,"")</f>
        <v>110.168664646015</v>
      </c>
      <c r="H69" s="208" t="n">
        <f aca="false">IFERROR((SUMPRODUCT($D$26:$M$26/(1+H$67)^$D$34:$M$34)+($M$26*(1+$B69)/(H$67-$B69))/(1+H$67)^$M$34-$C$53-$C$54)/$C$56,"")</f>
        <v>104.255729837801</v>
      </c>
      <c r="I69" s="100"/>
      <c r="J69" s="100"/>
      <c r="K69" s="100"/>
      <c r="L69" s="100"/>
      <c r="M69" s="100"/>
      <c r="N69" s="100"/>
      <c r="O69" s="100"/>
      <c r="P69" s="100"/>
      <c r="Q69" s="100"/>
    </row>
    <row r="70" customFormat="false" ht="15" hidden="false" customHeight="true" outlineLevel="0" collapsed="false">
      <c r="B70" s="207" t="n">
        <f aca="false">$C$32</f>
        <v>0.04</v>
      </c>
      <c r="C70" s="100"/>
      <c r="D70" s="208" t="n">
        <f aca="false">IFERROR((SUMPRODUCT($D$26:$M$26/(1+D$67)^$D$34:$M$34)+($M$26*(1+$B70)/(D$67-$B70))/(1+D$67)^$M$34-$C$53-$C$54)/$C$56,"")</f>
        <v>138.68579950202</v>
      </c>
      <c r="E70" s="208" t="n">
        <f aca="false">IFERROR((SUMPRODUCT($D$26:$M$26/(1+E$67)^$D$34:$M$34)+($M$26*(1+$B70)/(E$67-$B70))/(1+E$67)^$M$34-$C$53-$C$54)/$C$56,"")</f>
        <v>129.160324538872</v>
      </c>
      <c r="F70" s="209" t="n">
        <f aca="false">IFERROR((SUMPRODUCT($D$26:$M$26/(1+F$67)^$D$34:$M$34)+($M$26*(1+$B70)/(F$67-$B70))/(1+F$67)^$M$34-$C$53-$C$54)/$C$56,"")</f>
        <v>120.888889193296</v>
      </c>
      <c r="G70" s="208" t="n">
        <f aca="false">IFERROR((SUMPRODUCT($D$26:$M$26/(1+G$67)^$D$34:$M$34)+($M$26*(1+$B70)/(G$67-$B70))/(1+G$67)^$M$34-$C$53-$C$54)/$C$56,"")</f>
        <v>113.639927626004</v>
      </c>
      <c r="H70" s="208" t="n">
        <f aca="false">IFERROR((SUMPRODUCT($D$26:$M$26/(1+H$67)^$D$34:$M$34)+($M$26*(1+$B70)/(H$67-$B70))/(1+H$67)^$M$34-$C$53-$C$54)/$C$56,"")</f>
        <v>107.235547198655</v>
      </c>
      <c r="I70" s="100"/>
      <c r="J70" s="100"/>
      <c r="K70" s="100"/>
      <c r="L70" s="100"/>
      <c r="M70" s="100"/>
      <c r="N70" s="100"/>
      <c r="O70" s="100"/>
      <c r="P70" s="100"/>
      <c r="Q70" s="100"/>
    </row>
    <row r="71" customFormat="false" ht="15" hidden="false" customHeight="true" outlineLevel="0" collapsed="false">
      <c r="B71" s="207" t="n">
        <f aca="false">B70+$C$66</f>
        <v>0.045</v>
      </c>
      <c r="C71" s="100"/>
      <c r="D71" s="208" t="n">
        <f aca="false">IFERROR((SUMPRODUCT($D$26:$M$26/(1+D$67)^$D$34:$M$34)+($M$26*(1+$B71)/(D$67-$B71))/(1+D$67)^$M$34-$C$53-$C$54)/$C$56,"")</f>
        <v>145.381541117106</v>
      </c>
      <c r="E71" s="208" t="n">
        <f aca="false">IFERROR((SUMPRODUCT($D$26:$M$26/(1+E$67)^$D$34:$M$34)+($M$26*(1+$B71)/(E$67-$B71))/(1+E$67)^$M$34-$C$53-$C$54)/$C$56,"")</f>
        <v>134.70704455647</v>
      </c>
      <c r="F71" s="208" t="n">
        <f aca="false">IFERROR((SUMPRODUCT($D$26:$M$26/(1+F$67)^$D$34:$M$34)+($M$26*(1+$B71)/(F$67-$B71))/(1+F$67)^$M$34-$C$53-$C$54)/$C$56,"")</f>
        <v>125.533661272894</v>
      </c>
      <c r="G71" s="208" t="n">
        <f aca="false">IFERROR((SUMPRODUCT($D$26:$M$26/(1+G$67)^$D$34:$M$34)+($M$26*(1+$B71)/(G$67-$B71))/(1+G$67)^$M$34-$C$53-$C$54)/$C$56,"")</f>
        <v>117.566145994318</v>
      </c>
      <c r="H71" s="208" t="n">
        <f aca="false">IFERROR((SUMPRODUCT($D$26:$M$26/(1+H$67)^$D$34:$M$34)+($M$26*(1+$B71)/(H$67-$B71))/(1+H$67)^$M$34-$C$53-$C$54)/$C$56,"")</f>
        <v>110.581890381127</v>
      </c>
      <c r="I71" s="100"/>
      <c r="J71" s="100"/>
      <c r="K71" s="100"/>
      <c r="L71" s="100"/>
      <c r="M71" s="100"/>
      <c r="N71" s="100"/>
      <c r="O71" s="100"/>
      <c r="P71" s="100"/>
      <c r="Q71" s="100"/>
    </row>
    <row r="72" customFormat="false" ht="15" hidden="false" customHeight="true" outlineLevel="0" collapsed="false">
      <c r="B72" s="207" t="n">
        <f aca="false">B71+$C$66</f>
        <v>0.05</v>
      </c>
      <c r="C72" s="100"/>
      <c r="D72" s="208" t="n">
        <f aca="false">IFERROR((SUMPRODUCT($D$26:$M$26/(1+D$67)^$D$34:$M$34)+($M$26*(1+$B72)/(D$67-$B72))/(1+D$67)^$M$34-$C$53-$C$54)/$C$56,"")</f>
        <v>153.266601297066</v>
      </c>
      <c r="E72" s="208" t="n">
        <f aca="false">IFERROR((SUMPRODUCT($D$26:$M$26/(1+E$67)^$D$34:$M$34)+($M$26*(1+$B72)/(E$67-$B72))/(1+E$67)^$M$34-$C$53-$C$54)/$C$56,"")</f>
        <v>141.158627994313</v>
      </c>
      <c r="F72" s="208" t="n">
        <f aca="false">IFERROR((SUMPRODUCT($D$26:$M$26/(1+F$67)^$D$34:$M$34)+($M$26*(1+$B72)/(F$67-$B72))/(1+F$67)^$M$34-$C$53-$C$54)/$C$56,"")</f>
        <v>130.879013124591</v>
      </c>
      <c r="G72" s="208" t="n">
        <f aca="false">IFERROR((SUMPRODUCT($D$26:$M$26/(1+G$67)^$D$34:$M$34)+($M$26*(1+$B72)/(G$67-$B72))/(1+G$67)^$M$34-$C$53-$C$54)/$C$56,"")</f>
        <v>122.043034041728</v>
      </c>
      <c r="H72" s="208" t="n">
        <f aca="false">IFERROR((SUMPRODUCT($D$26:$M$26/(1+H$67)^$D$34:$M$34)+($M$26*(1+$B72)/(H$67-$B72))/(1+H$67)^$M$34-$C$53-$C$54)/$C$56,"")</f>
        <v>114.366816543576</v>
      </c>
      <c r="I72" s="100"/>
      <c r="J72" s="100"/>
      <c r="K72" s="100"/>
      <c r="L72" s="100"/>
      <c r="M72" s="100"/>
      <c r="N72" s="100"/>
      <c r="O72" s="100"/>
      <c r="P72" s="100"/>
      <c r="Q72" s="100"/>
    </row>
    <row r="73" customFormat="false" ht="15" hidden="false" customHeight="false" outlineLevel="0" collapsed="false"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</row>
    <row r="74" customFormat="false" ht="15" hidden="false" customHeight="false" outlineLevel="0" collapsed="false"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</row>
    <row r="75" customFormat="false" ht="15" hidden="false" customHeight="true" outlineLevel="0" collapsed="false">
      <c r="B75" s="15" t="s">
        <v>625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</row>
    <row r="76" customFormat="false" ht="15" hidden="false" customHeight="true" outlineLevel="0" collapsed="false">
      <c r="B76" s="174" t="s">
        <v>626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</row>
    <row r="77" customFormat="false" ht="15" hidden="false" customHeight="false" outlineLevel="0" collapsed="false"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</row>
    <row r="78" customFormat="false" ht="15" hidden="false" customHeight="true" outlineLevel="0" collapsed="false">
      <c r="B78" s="15" t="s">
        <v>627</v>
      </c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</row>
    <row r="79" customFormat="false" ht="15" hidden="false" customHeight="true" outlineLevel="0" collapsed="false">
      <c r="B79" s="174" t="s">
        <v>628</v>
      </c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</row>
    <row r="80" customFormat="false" ht="15" hidden="false" customHeight="true" outlineLevel="0" collapsed="false">
      <c r="B80" s="174" t="s">
        <v>629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</row>
    <row r="81" customFormat="false" ht="15" hidden="false" customHeight="false" outlineLevel="0" collapsed="false"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</row>
    <row r="82" customFormat="false" ht="15" hidden="false" customHeight="true" outlineLevel="0" collapsed="false">
      <c r="B82" s="15" t="s">
        <v>630</v>
      </c>
      <c r="C82" s="15" t="s">
        <v>631</v>
      </c>
      <c r="D82" s="15" t="s">
        <v>632</v>
      </c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</row>
    <row r="83" customFormat="false" ht="15" hidden="false" customHeight="true" outlineLevel="0" collapsed="false">
      <c r="B83" s="100" t="s">
        <v>633</v>
      </c>
      <c r="C83" s="210" t="n">
        <f aca="false">$C$13</f>
        <v>0.116298975</v>
      </c>
      <c r="D83" s="174" t="s">
        <v>634</v>
      </c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</row>
    <row r="84" customFormat="false" ht="15" hidden="false" customHeight="true" outlineLevel="0" collapsed="false">
      <c r="B84" s="100" t="s">
        <v>635</v>
      </c>
      <c r="C84" s="173" t="n">
        <v>0.1</v>
      </c>
      <c r="D84" s="174" t="s">
        <v>636</v>
      </c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</row>
    <row r="85" customFormat="false" ht="15" hidden="false" customHeight="true" outlineLevel="0" collapsed="false">
      <c r="B85" s="100" t="s">
        <v>637</v>
      </c>
      <c r="C85" s="173" t="n">
        <v>0.16</v>
      </c>
      <c r="D85" s="174" t="s">
        <v>638</v>
      </c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</row>
    <row r="86" customFormat="false" ht="15" hidden="false" customHeight="true" outlineLevel="0" collapsed="false">
      <c r="B86" s="100" t="s">
        <v>639</v>
      </c>
      <c r="C86" s="205" t="n">
        <v>12</v>
      </c>
      <c r="D86" s="174" t="s">
        <v>640</v>
      </c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</row>
    <row r="87" customFormat="false" ht="15" hidden="false" customHeight="false" outlineLevel="0" collapsed="false"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</row>
    <row r="88" customFormat="false" ht="15" hidden="false" customHeight="true" outlineLevel="0" collapsed="false">
      <c r="B88" s="15" t="s">
        <v>641</v>
      </c>
      <c r="C88" s="15" t="s">
        <v>631</v>
      </c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</row>
    <row r="89" customFormat="false" ht="15" hidden="false" customHeight="true" outlineLevel="0" collapsed="false">
      <c r="B89" s="100" t="s">
        <v>642</v>
      </c>
      <c r="C89" s="192" t="n">
        <f aca="false">1/C83</f>
        <v>8.59852806097388</v>
      </c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</row>
    <row r="90" customFormat="false" ht="15" hidden="false" customHeight="true" outlineLevel="0" collapsed="false">
      <c r="B90" s="100" t="s">
        <v>643</v>
      </c>
      <c r="C90" s="192" t="n">
        <f aca="false">1-C83/C85</f>
        <v>0.27313140625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</row>
    <row r="91" customFormat="false" ht="15" hidden="false" customHeight="true" outlineLevel="0" collapsed="false">
      <c r="B91" s="100" t="s">
        <v>644</v>
      </c>
      <c r="C91" s="192" t="n">
        <f aca="false">C84*C90/(C83*(C83-C84))</f>
        <v>14.4090537041371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</row>
    <row r="92" customFormat="false" ht="15" hidden="false" customHeight="true" outlineLevel="0" collapsed="false">
      <c r="B92" s="100" t="s">
        <v>645</v>
      </c>
      <c r="C92" s="192" t="n">
        <f aca="false">1-((1+C84)/(1+C83))^C86</f>
        <v>0.161803370203534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</row>
    <row r="93" customFormat="false" ht="15" hidden="false" customHeight="true" outlineLevel="0" collapsed="false">
      <c r="B93" s="100" t="s">
        <v>646</v>
      </c>
      <c r="C93" s="192" t="n">
        <f aca="false">C91*C92</f>
        <v>2.3314334507731</v>
      </c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</row>
    <row r="94" customFormat="false" ht="15" hidden="false" customHeight="true" outlineLevel="0" collapsed="false">
      <c r="B94" s="180" t="s">
        <v>647</v>
      </c>
      <c r="C94" s="211" t="n">
        <f aca="false">C89+C93</f>
        <v>10.929961511747</v>
      </c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</row>
    <row r="95" customFormat="false" ht="15" hidden="false" customHeight="false" outlineLevel="0" collapsed="false"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</row>
    <row r="96" customFormat="false" ht="15" hidden="false" customHeight="true" outlineLevel="0" collapsed="false">
      <c r="B96" s="15" t="s">
        <v>648</v>
      </c>
      <c r="C96" s="15" t="s">
        <v>649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</row>
    <row r="97" customFormat="false" ht="15" hidden="false" customHeight="true" outlineLevel="0" collapsed="false">
      <c r="B97" s="100" t="s">
        <v>650</v>
      </c>
      <c r="C97" s="181" t="n">
        <f aca="false">Model!CC150</f>
        <v>569.780806104527</v>
      </c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customFormat="false" ht="15" hidden="false" customHeight="true" outlineLevel="0" collapsed="false">
      <c r="B98" s="100" t="s">
        <v>651</v>
      </c>
      <c r="C98" s="181" t="n">
        <f aca="false">-Model!CC129</f>
        <v>-0</v>
      </c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</row>
    <row r="99" customFormat="false" ht="15" hidden="false" customHeight="true" outlineLevel="0" collapsed="false">
      <c r="B99" s="100" t="s">
        <v>652</v>
      </c>
      <c r="C99" s="28" t="n">
        <f aca="false">$C$10</f>
        <v>0.245</v>
      </c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</row>
    <row r="100" customFormat="false" ht="15" hidden="false" customHeight="true" outlineLevel="0" collapsed="false">
      <c r="B100" s="100" t="s">
        <v>653</v>
      </c>
      <c r="C100" s="90" t="n">
        <f aca="false">(C97+C98)*(1-C99)</f>
        <v>430.184508608918</v>
      </c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</row>
    <row r="101" customFormat="false" ht="15" hidden="false" customHeight="true" outlineLevel="0" collapsed="false">
      <c r="B101" s="100" t="s">
        <v>654</v>
      </c>
      <c r="C101" s="212" t="n">
        <f aca="false">C94</f>
        <v>10.929961511747</v>
      </c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</row>
    <row r="102" customFormat="false" ht="15" hidden="false" customHeight="true" outlineLevel="0" collapsed="false">
      <c r="B102" s="100" t="s">
        <v>655</v>
      </c>
      <c r="C102" s="90" t="n">
        <f aca="false">C100*C101</f>
        <v>4701.90012204526</v>
      </c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</row>
    <row r="103" customFormat="false" ht="15" hidden="false" customHeight="true" outlineLevel="0" collapsed="false">
      <c r="B103" s="100" t="s">
        <v>656</v>
      </c>
      <c r="C103" s="181" t="n">
        <f aca="false">Model!CB301</f>
        <v>0</v>
      </c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</row>
    <row r="104" customFormat="false" ht="15" hidden="false" customHeight="true" outlineLevel="0" collapsed="false">
      <c r="B104" s="100" t="s">
        <v>657</v>
      </c>
      <c r="C104" s="90" t="n">
        <f aca="false">C102-C103</f>
        <v>4701.90012204526</v>
      </c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</row>
    <row r="105" customFormat="false" ht="15" hidden="false" customHeight="true" outlineLevel="0" collapsed="false">
      <c r="B105" s="100" t="s">
        <v>658</v>
      </c>
      <c r="C105" s="181" t="n">
        <f aca="false">Model!CC323</f>
        <v>25.254927726591</v>
      </c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</row>
    <row r="106" customFormat="false" ht="15" hidden="false" customHeight="true" outlineLevel="0" collapsed="false">
      <c r="B106" s="100" t="s">
        <v>659</v>
      </c>
      <c r="C106" s="213" t="n">
        <f aca="false">C104/C105</f>
        <v>186.177532279952</v>
      </c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</row>
    <row r="107" customFormat="false" ht="15" hidden="false" customHeight="false" outlineLevel="0" collapsed="false"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</row>
    <row r="108" customFormat="false" ht="15" hidden="false" customHeight="true" outlineLevel="0" collapsed="false">
      <c r="B108" s="100" t="s">
        <v>615</v>
      </c>
      <c r="C108" s="213" t="n">
        <f aca="false">C58</f>
        <v>350</v>
      </c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</row>
    <row r="109" customFormat="false" ht="15" hidden="false" customHeight="true" outlineLevel="0" collapsed="false">
      <c r="B109" s="100" t="s">
        <v>616</v>
      </c>
      <c r="C109" s="28" t="n">
        <f aca="false">C106/C108-1</f>
        <v>-0.468064193485851</v>
      </c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</row>
    <row r="110" customFormat="false" ht="15" hidden="false" customHeight="false" outlineLevel="0" collapsed="false"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</row>
    <row r="111" customFormat="false" ht="15" hidden="false" customHeight="true" outlineLevel="0" collapsed="false">
      <c r="B111" s="15" t="s">
        <v>660</v>
      </c>
      <c r="C111" s="15" t="s">
        <v>649</v>
      </c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</row>
    <row r="112" customFormat="false" ht="15" hidden="false" customHeight="true" outlineLevel="0" collapsed="false">
      <c r="B112" s="100" t="s">
        <v>661</v>
      </c>
      <c r="C112" s="90" t="n">
        <f aca="false">C58*C56</f>
        <v>9369.0275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</row>
    <row r="113" customFormat="false" ht="15" hidden="false" customHeight="true" outlineLevel="0" collapsed="false">
      <c r="B113" s="100" t="s">
        <v>662</v>
      </c>
      <c r="C113" s="90" t="n">
        <f aca="false">C53+C54</f>
        <v>-54.4545438290364</v>
      </c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</row>
    <row r="114" customFormat="false" ht="15" hidden="false" customHeight="true" outlineLevel="0" collapsed="false">
      <c r="B114" s="100" t="s">
        <v>663</v>
      </c>
      <c r="C114" s="90" t="n">
        <f aca="false">C112+C113</f>
        <v>9314.57295617096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</row>
    <row r="115" customFormat="false" ht="15" hidden="false" customHeight="true" outlineLevel="0" collapsed="false">
      <c r="B115" s="100" t="s">
        <v>664</v>
      </c>
      <c r="C115" s="212" t="n">
        <f aca="false">C114/C100</f>
        <v>21.6525067029758</v>
      </c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</row>
    <row r="116" customFormat="false" ht="15" hidden="false" customHeight="false" outlineLevel="0" collapsed="false"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</row>
    <row r="117" customFormat="false" ht="15" hidden="false" customHeight="true" outlineLevel="0" collapsed="false">
      <c r="B117" s="100" t="s">
        <v>665</v>
      </c>
      <c r="C117" s="212" t="n">
        <f aca="false">C94-C115</f>
        <v>-10.7225451912288</v>
      </c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</row>
    <row r="118" customFormat="false" ht="15" hidden="false" customHeight="true" outlineLevel="0" collapsed="false">
      <c r="B118" s="100" t="s">
        <v>666</v>
      </c>
      <c r="C118" s="28" t="n">
        <f aca="false">C94/C115-1</f>
        <v>-0.495210339307051</v>
      </c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25" hidden="false" customHeight="true" outlineLevel="0" collapsed="false">
      <c r="B2" s="214" t="s">
        <v>667</v>
      </c>
    </row>
    <row r="3" customFormat="false" ht="15" hidden="false" customHeight="true" outlineLevel="0" collapsed="false">
      <c r="B3" s="4" t="s">
        <v>668</v>
      </c>
    </row>
    <row r="7" customFormat="false" ht="15" hidden="false" customHeight="true" outlineLevel="0" collapsed="false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</row>
    <row r="8" customFormat="false" ht="15" hidden="false" customHeight="true" outlineLevel="0" collapsed="false">
      <c r="B8" s="0" t="s">
        <v>669</v>
      </c>
      <c r="C8" s="215" t="n">
        <f aca="false">IFERROR(Model!C20+0,IFERROR(Model!C13+0,0))</f>
        <v>0</v>
      </c>
      <c r="D8" s="215" t="n">
        <f aca="false">IFERROR(Model!D20+0,IFERROR(Model!D13+0,0))</f>
        <v>0</v>
      </c>
      <c r="E8" s="215" t="n">
        <f aca="false">IFERROR(Model!E20+0,IFERROR(Model!E13+0,0))</f>
        <v>0</v>
      </c>
      <c r="F8" s="215" t="n">
        <f aca="false">IFERROR(Model!F20+0,IFERROR(Model!F13+0,0))</f>
        <v>0</v>
      </c>
      <c r="G8" s="215" t="n">
        <f aca="false">IFERROR(Model!G20+0,IFERROR(Model!G13+0,0))</f>
        <v>0</v>
      </c>
      <c r="H8" s="215" t="n">
        <f aca="false">IFERROR(Model!H20+0,IFERROR(Model!H13+0,0))</f>
        <v>0</v>
      </c>
      <c r="I8" s="215" t="n">
        <f aca="false">IFERROR(Model!I20+0,IFERROR(Model!I13+0,0))</f>
        <v>0</v>
      </c>
      <c r="J8" s="215" t="n">
        <f aca="false">IFERROR(Model!N20+0,IFERROR(Model!N13+0,0))</f>
        <v>0</v>
      </c>
      <c r="K8" s="215" t="n">
        <f aca="false">IFERROR(Model!S20+0,IFERROR(Model!S13+0,0))</f>
        <v>0.0632152588555859</v>
      </c>
      <c r="L8" s="215" t="n">
        <f aca="false">IFERROR(Model!X20+0,IFERROR(Model!X13+0,0))</f>
        <v>-0.070220399794977</v>
      </c>
      <c r="M8" s="215" t="n">
        <f aca="false">IFERROR(Model!AC20+0,IFERROR(Model!AC13+0,0))</f>
        <v>-0.0239801543550167</v>
      </c>
      <c r="N8" s="215" t="n">
        <f aca="false">IFERROR(Model!AH20+0,IFERROR(Model!AH13+0,0))</f>
        <v>0.0521678030150214</v>
      </c>
      <c r="O8" s="215" t="n">
        <f aca="false">IFERROR(Model!AM20+0,IFERROR(Model!AM13+0,0))</f>
        <v>0.0662260235039063</v>
      </c>
      <c r="P8" s="215" t="n">
        <f aca="false">IFERROR(Model!AR20+0,IFERROR(Model!AR13+0,0))</f>
        <v>0.00395750885232227</v>
      </c>
      <c r="Q8" s="215" t="n">
        <f aca="false">IFERROR(Model!AW20+0,IFERROR(Model!AW13+0,0))</f>
        <v>0.000609337733198379</v>
      </c>
      <c r="R8" s="215" t="n">
        <f aca="false">IFERROR(Model!BB20+0,IFERROR(Model!BB13+0,0))</f>
        <v>0.124300925106377</v>
      </c>
      <c r="S8" s="215" t="n">
        <f aca="false">IFERROR(Model!BG20+0,IFERROR(Model!BG13+0,0))</f>
        <v>0.00932560432009</v>
      </c>
      <c r="T8" s="215" t="n">
        <f aca="false">IFERROR(Model!BL20+0,IFERROR(Model!BL13+0,0))</f>
        <v>0.0168090684717763</v>
      </c>
      <c r="U8" s="215" t="n">
        <f aca="false">IFERROR(Model!BQ20+0,IFERROR(Model!BQ13+0,0))</f>
        <v>0.0805456552280595</v>
      </c>
      <c r="V8" s="215" t="n">
        <f aca="false">IFERROR(Model!BV20+0,IFERROR(Model!BV13+0,0))</f>
        <v>0.0245737582667096</v>
      </c>
    </row>
    <row r="9" customFormat="false" ht="15" hidden="false" customHeight="true" outlineLevel="0" collapsed="false">
      <c r="B9" s="0" t="s">
        <v>670</v>
      </c>
      <c r="C9" s="215" t="n">
        <f aca="false">IFERROR(Model!C27+0,IFERROR(Model!C30+0,0))</f>
        <v>0</v>
      </c>
      <c r="D9" s="215" t="n">
        <f aca="false">IFERROR(Model!D27+0,IFERROR(Model!D30+0,0))</f>
        <v>0</v>
      </c>
      <c r="E9" s="215" t="n">
        <f aca="false">IFERROR(Model!E27+0,IFERROR(Model!E30+0,0))</f>
        <v>0</v>
      </c>
      <c r="F9" s="215" t="n">
        <f aca="false">IFERROR(Model!F27+0,IFERROR(Model!F30+0,0))</f>
        <v>0</v>
      </c>
      <c r="G9" s="215" t="n">
        <f aca="false">IFERROR(Model!G27+0,IFERROR(Model!G30+0,0))</f>
        <v>0</v>
      </c>
      <c r="H9" s="215" t="n">
        <f aca="false">IFERROR(Model!H27+0,IFERROR(Model!H30+0,0))</f>
        <v>0.0470586694804873</v>
      </c>
      <c r="I9" s="215" t="n">
        <f aca="false">IFERROR(Model!I27+0,IFERROR(Model!I30+0,0))</f>
        <v>0.0605818134672584</v>
      </c>
      <c r="J9" s="215" t="n">
        <f aca="false">IFERROR(Model!N27+0,IFERROR(Model!N30+0,0))</f>
        <v>0.0438203146620855</v>
      </c>
      <c r="K9" s="215" t="n">
        <f aca="false">IFERROR(Model!S27+0,IFERROR(Model!S30+0,0))</f>
        <v>0.0461866628194296</v>
      </c>
      <c r="L9" s="215" t="n">
        <f aca="false">IFERROR(Model!X27+0,IFERROR(Model!X30+0,0))</f>
        <v>0.0927236820169533</v>
      </c>
      <c r="M9" s="215" t="n">
        <f aca="false">IFERROR(Model!AC27+0,IFERROR(Model!AC30+0,0))</f>
        <v>0.0551046244843592</v>
      </c>
      <c r="N9" s="215" t="n">
        <f aca="false">IFERROR(Model!AH27+0,IFERROR(Model!AH30+0,0))</f>
        <v>0.0582010582010581</v>
      </c>
      <c r="O9" s="215" t="n">
        <f aca="false">IFERROR(Model!AM27+0,IFERROR(Model!AM30+0,0))</f>
        <v>-0.0464327946393378</v>
      </c>
      <c r="P9" s="215" t="n">
        <f aca="false">IFERROR(Model!AR27+0,IFERROR(Model!AR30+0,0))</f>
        <v>0.0818659060846561</v>
      </c>
      <c r="Q9" s="215" t="n">
        <f aca="false">IFERROR(Model!AW27+0,IFERROR(Model!AW30+0,0))</f>
        <v>0.0360747604037317</v>
      </c>
      <c r="R9" s="215" t="n">
        <f aca="false">IFERROR(Model!BB27+0,IFERROR(Model!BB30+0,0))</f>
        <v>0.0891210817455439</v>
      </c>
      <c r="S9" s="215" t="n">
        <f aca="false">IFERROR(Model!BG27+0,IFERROR(Model!BG30+0,0))</f>
        <v>0.107787810383747</v>
      </c>
      <c r="T9" s="215" t="n">
        <f aca="false">IFERROR(Model!BL27+0,IFERROR(Model!BL30+0,0))</f>
        <v>0.0692817116658175</v>
      </c>
      <c r="U9" s="215" t="n">
        <f aca="false">IFERROR(Model!BQ27+0,IFERROR(Model!BQ30+0,0))</f>
        <v>0.0433539780848022</v>
      </c>
      <c r="V9" s="215" t="n">
        <f aca="false">IFERROR(Model!BV27+0,IFERROR(Model!BV30+0,0))</f>
        <v>-0.0146118721461187</v>
      </c>
    </row>
    <row r="11" customFormat="false" ht="15" hidden="false" customHeight="true" outlineLevel="0" collapsed="false">
      <c r="C11" s="11" t="n">
        <f aca="false">C7</f>
        <v>2006</v>
      </c>
      <c r="D11" s="11" t="n">
        <f aca="false">D7</f>
        <v>2007</v>
      </c>
      <c r="E11" s="11" t="n">
        <f aca="false">E7</f>
        <v>2008</v>
      </c>
      <c r="F11" s="11" t="n">
        <f aca="false">F7</f>
        <v>2009</v>
      </c>
      <c r="G11" s="11" t="n">
        <f aca="false">G7</f>
        <v>2010</v>
      </c>
      <c r="H11" s="11" t="n">
        <f aca="false">H7</f>
        <v>2011</v>
      </c>
      <c r="I11" s="11" t="n">
        <f aca="false">I7</f>
        <v>2012</v>
      </c>
      <c r="J11" s="11" t="n">
        <f aca="false">J7</f>
        <v>2013</v>
      </c>
      <c r="K11" s="11" t="n">
        <f aca="false">K7</f>
        <v>2014</v>
      </c>
      <c r="L11" s="11" t="n">
        <f aca="false">L7</f>
        <v>2015</v>
      </c>
      <c r="M11" s="11" t="n">
        <f aca="false">M7</f>
        <v>2016</v>
      </c>
      <c r="N11" s="11" t="n">
        <f aca="false">N7</f>
        <v>2017</v>
      </c>
      <c r="O11" s="11" t="n">
        <f aca="false">O7</f>
        <v>2018</v>
      </c>
      <c r="P11" s="11" t="n">
        <f aca="false">P7</f>
        <v>2019</v>
      </c>
      <c r="Q11" s="11" t="n">
        <f aca="false">Q7</f>
        <v>2020</v>
      </c>
      <c r="R11" s="11" t="n">
        <f aca="false">R7</f>
        <v>2021</v>
      </c>
      <c r="S11" s="11" t="n">
        <f aca="false">S7</f>
        <v>2022</v>
      </c>
      <c r="T11" s="11" t="n">
        <f aca="false">T7</f>
        <v>2023</v>
      </c>
      <c r="U11" s="11" t="n">
        <f aca="false">U7</f>
        <v>2024</v>
      </c>
      <c r="V11" s="11" t="n">
        <f aca="false">V7</f>
        <v>2025</v>
      </c>
    </row>
    <row r="12" customFormat="false" ht="15" hidden="false" customHeight="true" outlineLevel="0" collapsed="false">
      <c r="B12" s="0" t="s">
        <v>490</v>
      </c>
      <c r="C12" s="216" t="n">
        <f aca="false">Model!C145</f>
        <v>87.8880000000003</v>
      </c>
      <c r="D12" s="216" t="n">
        <f aca="false">Model!D145</f>
        <v>79.6379999999999</v>
      </c>
      <c r="E12" s="216" t="n">
        <f aca="false">Model!E145</f>
        <v>66.1390000000001</v>
      </c>
      <c r="F12" s="216" t="n">
        <f aca="false">Model!F145</f>
        <v>23.557</v>
      </c>
      <c r="G12" s="216" t="n">
        <f aca="false">Model!G145</f>
        <v>48.694</v>
      </c>
      <c r="H12" s="216" t="n">
        <f aca="false">Model!H145</f>
        <v>65.476</v>
      </c>
      <c r="I12" s="216" t="n">
        <f aca="false">Model!I145</f>
        <v>106.931</v>
      </c>
      <c r="J12" s="216" t="n">
        <f aca="false">Model!N145</f>
        <v>126.199</v>
      </c>
      <c r="K12" s="216" t="n">
        <f aca="false">Model!S145</f>
        <v>144.814</v>
      </c>
      <c r="L12" s="216" t="n">
        <f aca="false">Model!X145</f>
        <v>155.09</v>
      </c>
      <c r="M12" s="216" t="n">
        <f aca="false">Model!AC145</f>
        <v>155.553</v>
      </c>
      <c r="N12" s="216" t="n">
        <f aca="false">Model!AH145</f>
        <v>181.931</v>
      </c>
      <c r="O12" s="216" t="n">
        <f aca="false">Model!AM145</f>
        <v>243.404</v>
      </c>
      <c r="P12" s="216" t="n">
        <f aca="false">Model!AR145</f>
        <v>272.475</v>
      </c>
      <c r="Q12" s="216" t="n">
        <f aca="false">Model!AW145</f>
        <v>316.11</v>
      </c>
      <c r="R12" s="216" t="n">
        <f aca="false">Model!BB145</f>
        <v>473.418</v>
      </c>
      <c r="S12" s="216" t="n">
        <f aca="false">Model!BG145</f>
        <v>627.861999999999</v>
      </c>
      <c r="T12" s="216" t="n">
        <f aca="false">Model!BL145</f>
        <v>641.399000000001</v>
      </c>
      <c r="U12" s="216" t="n">
        <f aca="false">Model!BQ145</f>
        <v>693.994</v>
      </c>
      <c r="V12" s="216" t="n">
        <f aca="false">Model!BV145</f>
        <v>587.752</v>
      </c>
    </row>
    <row r="13" customFormat="false" ht="15" hidden="false" customHeight="true" outlineLevel="0" collapsed="false">
      <c r="B13" s="0" t="s">
        <v>526</v>
      </c>
      <c r="C13" s="216" t="n">
        <f aca="false">Model!C93</f>
        <v>49.9940000000003</v>
      </c>
      <c r="D13" s="216" t="n">
        <f aca="false">Model!D93</f>
        <v>38.1679999999999</v>
      </c>
      <c r="E13" s="216" t="n">
        <f aca="false">Model!E93</f>
        <v>-9.85099999999989</v>
      </c>
      <c r="F13" s="216" t="n">
        <f aca="false">Model!F93</f>
        <v>-3.69299999999998</v>
      </c>
      <c r="G13" s="216" t="n">
        <f aca="false">Model!G93</f>
        <v>12.1</v>
      </c>
      <c r="H13" s="216" t="n">
        <f aca="false">Model!H93</f>
        <v>28.146</v>
      </c>
      <c r="I13" s="216" t="n">
        <f aca="false">Model!I93</f>
        <v>58.7340000000002</v>
      </c>
      <c r="J13" s="216" t="n">
        <f aca="false">Model!N93</f>
        <v>74.4179999999999</v>
      </c>
      <c r="K13" s="216" t="n">
        <f aca="false">Model!S93</f>
        <v>85.693</v>
      </c>
      <c r="L13" s="216" t="n">
        <f aca="false">Model!X93</f>
        <v>89.9749999999999</v>
      </c>
      <c r="M13" s="216" t="n">
        <f aca="false">Model!AC93</f>
        <v>79.136</v>
      </c>
      <c r="N13" s="216" t="n">
        <f aca="false">Model!AH93</f>
        <v>94.7370000000001</v>
      </c>
      <c r="O13" s="216" t="n">
        <f aca="false">Model!AM93</f>
        <v>141.177</v>
      </c>
      <c r="P13" s="216" t="n">
        <f aca="false">Model!AR93</f>
        <v>152.586</v>
      </c>
      <c r="Q13" s="216" t="n">
        <f aca="false">Model!AW93</f>
        <v>180.321</v>
      </c>
      <c r="R13" s="216" t="n">
        <f aca="false">Model!BB93</f>
        <v>335.141</v>
      </c>
      <c r="S13" s="216" t="n">
        <f aca="false">Model!BG93</f>
        <v>470.487999999999</v>
      </c>
      <c r="T13" s="216" t="n">
        <f aca="false">Model!BL93</f>
        <v>460.496000000001</v>
      </c>
      <c r="U13" s="216" t="n">
        <f aca="false">Model!BQ93</f>
        <v>482.16</v>
      </c>
      <c r="V13" s="216" t="n">
        <f aca="false">Model!BV93</f>
        <v>352.2</v>
      </c>
    </row>
    <row r="14" customFormat="false" ht="15" hidden="false" customHeight="true" outlineLevel="0" collapsed="false">
      <c r="B14" s="0" t="s">
        <v>671</v>
      </c>
      <c r="C14" s="215" t="n">
        <f aca="false">Model!C146</f>
        <v>0.100473513211956</v>
      </c>
      <c r="D14" s="215" t="n">
        <f aca="false">Model!D146</f>
        <v>0.0815860296294626</v>
      </c>
      <c r="E14" s="215" t="n">
        <f aca="false">Model!E146</f>
        <v>0.0641863859529262</v>
      </c>
      <c r="F14" s="215" t="n">
        <f aca="false">Model!F146</f>
        <v>0.0277421535410492</v>
      </c>
      <c r="G14" s="215" t="n">
        <f aca="false">Model!G146</f>
        <v>0.0539450069793721</v>
      </c>
      <c r="H14" s="215" t="n">
        <f aca="false">Model!H146</f>
        <v>0.0635551103449347</v>
      </c>
      <c r="I14" s="215" t="n">
        <f aca="false">Model!I146</f>
        <v>0.0973268807358657</v>
      </c>
      <c r="J14" s="215" t="n">
        <f aca="false">Model!N146</f>
        <v>0.110788925233563</v>
      </c>
      <c r="K14" s="215" t="n">
        <f aca="false">Model!S146</f>
        <v>0.113818761145969</v>
      </c>
      <c r="L14" s="215" t="n">
        <f aca="false">Model!X146</f>
        <v>0.126986492384004</v>
      </c>
      <c r="M14" s="215" t="n">
        <f aca="false">Model!AC146</f>
        <v>0.12766140793332</v>
      </c>
      <c r="N14" s="215" t="n">
        <f aca="false">Model!AH146</f>
        <v>0.131976554395688</v>
      </c>
      <c r="O14" s="215" t="n">
        <f aca="false">Model!AM146</f>
        <v>0.147174258351276</v>
      </c>
      <c r="P14" s="215" t="n">
        <f aca="false">Model!AR146</f>
        <v>0.152498831667819</v>
      </c>
      <c r="Q14" s="215" t="n">
        <f aca="false">Model!AW146</f>
        <v>0.17346131347929</v>
      </c>
      <c r="R14" s="215" t="n">
        <f aca="false">Model!BB146</f>
        <v>0.206849815441403</v>
      </c>
      <c r="S14" s="215" t="n">
        <f aca="false">Model!BG146</f>
        <v>0.224874348911931</v>
      </c>
      <c r="T14" s="215" t="n">
        <f aca="false">Model!BL146</f>
        <v>0.222597228531776</v>
      </c>
      <c r="U14" s="215" t="n">
        <f aca="false">Model!BQ146</f>
        <v>0.216259893040796</v>
      </c>
      <c r="V14" s="215" t="n">
        <f aca="false">Model!BV146</f>
        <v>0.18172542564263</v>
      </c>
    </row>
    <row r="15" customFormat="false" ht="15" hidden="false" customHeight="true" outlineLevel="0" collapsed="false">
      <c r="B15" s="0" t="s">
        <v>672</v>
      </c>
      <c r="C15" s="215" t="n">
        <f aca="false">Model!C179</f>
        <v>0.0571531132750609</v>
      </c>
      <c r="D15" s="215" t="n">
        <f aca="false">Model!D179</f>
        <v>0.0391016296102027</v>
      </c>
      <c r="E15" s="215" t="n">
        <f aca="false">Model!E179</f>
        <v>-0.00956017006640964</v>
      </c>
      <c r="F15" s="215" t="n">
        <f aca="false">Model!F179</f>
        <v>-0.00434910103269067</v>
      </c>
      <c r="G15" s="215" t="n">
        <f aca="false">Model!G179</f>
        <v>0.0134048257372654</v>
      </c>
      <c r="H15" s="215" t="n">
        <f aca="false">Model!H179</f>
        <v>0.0273202720961655</v>
      </c>
      <c r="I15" s="215" t="n">
        <f aca="false">Model!I179</f>
        <v>0.0534587445468605</v>
      </c>
      <c r="J15" s="215" t="n">
        <f aca="false">Model!N179</f>
        <v>0.0653308682163192</v>
      </c>
      <c r="K15" s="215" t="n">
        <f aca="false">Model!S179</f>
        <v>0.0673517139149633</v>
      </c>
      <c r="L15" s="215" t="n">
        <f aca="false">Model!X179</f>
        <v>0.0736708340463649</v>
      </c>
      <c r="M15" s="215" t="n">
        <f aca="false">Model!AC179</f>
        <v>0.0649464374085439</v>
      </c>
      <c r="N15" s="215" t="n">
        <f aca="false">Model!AH179</f>
        <v>0.0687242022183373</v>
      </c>
      <c r="O15" s="215" t="n">
        <f aca="false">Model!AM179</f>
        <v>0.0853626903060679</v>
      </c>
      <c r="P15" s="215" t="n">
        <f aca="false">Model!AR179</f>
        <v>0.0853993457339785</v>
      </c>
      <c r="Q15" s="215" t="n">
        <f aca="false">Model!AW179</f>
        <v>0.0989488390367249</v>
      </c>
      <c r="R15" s="215" t="n">
        <f aca="false">Model!BB179</f>
        <v>0.146432653589105</v>
      </c>
      <c r="S15" s="215" t="n">
        <f aca="false">Model!BG179</f>
        <v>0.168509453782641</v>
      </c>
      <c r="T15" s="215" t="n">
        <f aca="false">Model!BL179</f>
        <v>0.159814925420789</v>
      </c>
      <c r="U15" s="215" t="n">
        <f aca="false">Model!BQ179</f>
        <v>0.150248950320248</v>
      </c>
      <c r="V15" s="215" t="n">
        <f aca="false">Model!BV179</f>
        <v>0.108895750097549</v>
      </c>
    </row>
    <row r="17" customFormat="false" ht="15" hidden="false" customHeight="true" outlineLevel="0" collapsed="false">
      <c r="C17" s="11" t="n">
        <f aca="false">C7</f>
        <v>2006</v>
      </c>
      <c r="D17" s="11" t="n">
        <f aca="false">D7</f>
        <v>2007</v>
      </c>
      <c r="E17" s="11" t="n">
        <f aca="false">E7</f>
        <v>2008</v>
      </c>
      <c r="F17" s="11" t="n">
        <f aca="false">F7</f>
        <v>2009</v>
      </c>
      <c r="G17" s="11" t="n">
        <f aca="false">G7</f>
        <v>2010</v>
      </c>
      <c r="H17" s="11" t="n">
        <f aca="false">H7</f>
        <v>2011</v>
      </c>
      <c r="I17" s="11" t="n">
        <f aca="false">I7</f>
        <v>2012</v>
      </c>
      <c r="J17" s="11" t="n">
        <f aca="false">J7</f>
        <v>2013</v>
      </c>
      <c r="K17" s="11" t="n">
        <f aca="false">K7</f>
        <v>2014</v>
      </c>
      <c r="L17" s="11" t="n">
        <f aca="false">L7</f>
        <v>2015</v>
      </c>
      <c r="M17" s="11" t="n">
        <f aca="false">M7</f>
        <v>2016</v>
      </c>
      <c r="N17" s="11" t="n">
        <f aca="false">N7</f>
        <v>2017</v>
      </c>
      <c r="O17" s="11" t="n">
        <f aca="false">O7</f>
        <v>2018</v>
      </c>
      <c r="P17" s="11" t="n">
        <f aca="false">P7</f>
        <v>2019</v>
      </c>
      <c r="Q17" s="11" t="n">
        <f aca="false">Q7</f>
        <v>2020</v>
      </c>
      <c r="R17" s="11" t="n">
        <f aca="false">R7</f>
        <v>2021</v>
      </c>
      <c r="S17" s="11" t="n">
        <f aca="false">S7</f>
        <v>2022</v>
      </c>
      <c r="T17" s="11" t="n">
        <f aca="false">T7</f>
        <v>2023</v>
      </c>
      <c r="U17" s="11" t="n">
        <f aca="false">U7</f>
        <v>2024</v>
      </c>
      <c r="V17" s="11" t="n">
        <f aca="false">V7</f>
        <v>2025</v>
      </c>
    </row>
    <row r="18" customFormat="false" ht="15" hidden="false" customHeight="true" outlineLevel="0" collapsed="false">
      <c r="B18" s="0" t="s">
        <v>545</v>
      </c>
      <c r="C18" s="215" t="n">
        <f aca="false">IFERROR(Model!C302+0,NA())</f>
        <v>0.11277632282051</v>
      </c>
      <c r="D18" s="215" t="n">
        <f aca="false">IFERROR(Model!D302+0,NA())</f>
        <v>0.0671803320613651</v>
      </c>
      <c r="E18" s="215" t="n">
        <f aca="false">IFERROR(Model!E302+0,NA())</f>
        <v>0.0732472431804995</v>
      </c>
      <c r="F18" s="215" t="n">
        <f aca="false">IFERROR(Model!F302+0,NA())</f>
        <v>-0.0333562258967721</v>
      </c>
      <c r="G18" s="215" t="n">
        <f aca="false">IFERROR(Model!G302+0,NA())</f>
        <v>0.039858704963844</v>
      </c>
      <c r="H18" s="215" t="n">
        <f aca="false">IFERROR(Model!H302+0,NA())</f>
        <v>0.0621912062696573</v>
      </c>
      <c r="I18" s="215" t="n">
        <f aca="false">IFERROR(Model!I302+0,NA())</f>
        <v>0.117307625030674</v>
      </c>
      <c r="J18" s="215" t="n">
        <f aca="false">IFERROR(Model!N302+0,NA())</f>
        <v>0.125242328974282</v>
      </c>
      <c r="K18" s="215" t="n">
        <f aca="false">IFERROR(Model!S302+0,NA())</f>
        <v>0.123239339442179</v>
      </c>
      <c r="L18" s="215" t="n">
        <f aca="false">IFERROR(Model!X302+0,NA())</f>
        <v>0.116046247232563</v>
      </c>
      <c r="M18" s="215" t="n">
        <f aca="false">IFERROR(Model!AC302+0,NA())</f>
        <v>0.0915482855909655</v>
      </c>
      <c r="N18" s="215" t="n">
        <f aca="false">IFERROR(Model!AH302+0,NA())</f>
        <v>0.113408995938054</v>
      </c>
      <c r="O18" s="215" t="n">
        <f aca="false">IFERROR(Model!AM302+0,NA())</f>
        <v>0.133698129104878</v>
      </c>
      <c r="P18" s="215" t="n">
        <f aca="false">IFERROR(Model!AR302+0,NA())</f>
        <v>0.124978037824468</v>
      </c>
      <c r="Q18" s="215" t="n">
        <f aca="false">IFERROR(Model!AW302+0,NA())</f>
        <v>0.141419110911181</v>
      </c>
      <c r="R18" s="215" t="n">
        <f aca="false">IFERROR(Model!BB302+0,NA())</f>
        <v>0.216838361458662</v>
      </c>
      <c r="S18" s="215" t="n">
        <f aca="false">IFERROR(Model!BG302+0,NA())</f>
        <v>0.252583436502599</v>
      </c>
      <c r="T18" s="215" t="n">
        <f aca="false">IFERROR(Model!BL302+0,NA())</f>
        <v>0.211859657867143</v>
      </c>
      <c r="U18" s="215" t="n">
        <f aca="false">IFERROR(Model!BQ302+0,NA())</f>
        <v>0.147690979728023</v>
      </c>
      <c r="V18" s="215" t="n">
        <f aca="false">IFERROR(Model!BV302+0,NA())</f>
        <v>0.094192851689127</v>
      </c>
    </row>
    <row r="19" customFormat="false" ht="15" hidden="false" customHeight="true" outlineLevel="0" collapsed="false">
      <c r="B19" s="0" t="s">
        <v>546</v>
      </c>
      <c r="C19" s="215" t="n">
        <f aca="false">IFERROR(Model!C313+0,NA())</f>
        <v>0.0916691193945949</v>
      </c>
      <c r="D19" s="215" t="n">
        <f aca="false">IFERROR(Model!D313+0,NA())</f>
        <v>0.0551516173072021</v>
      </c>
      <c r="E19" s="215" t="n">
        <f aca="false">IFERROR(Model!E313+0,NA())</f>
        <v>0.0539378283932929</v>
      </c>
      <c r="F19" s="215" t="n">
        <f aca="false">IFERROR(Model!F313+0,NA())</f>
        <v>-0.0260439152493435</v>
      </c>
      <c r="G19" s="215" t="n">
        <f aca="false">IFERROR(Model!G313+0,NA())</f>
        <v>0.0293088129308401</v>
      </c>
      <c r="H19" s="215" t="n">
        <f aca="false">IFERROR(Model!H313+0,NA())</f>
        <v>0.0485341421287197</v>
      </c>
      <c r="I19" s="215" t="n">
        <f aca="false">IFERROR(Model!I313+0,NA())</f>
        <v>0.0922288737826392</v>
      </c>
      <c r="J19" s="215" t="n">
        <f aca="false">IFERROR(Model!N313+0,NA())</f>
        <v>0.0989096216229215</v>
      </c>
      <c r="K19" s="215" t="n">
        <f aca="false">IFERROR(Model!S313+0,NA())</f>
        <v>0.0971719284107163</v>
      </c>
      <c r="L19" s="215" t="n">
        <f aca="false">IFERROR(Model!X313+0,NA())</f>
        <v>0.0960348936043813</v>
      </c>
      <c r="M19" s="215" t="n">
        <f aca="false">IFERROR(Model!AC313+0,NA())</f>
        <v>0.0756345070377007</v>
      </c>
      <c r="N19" s="215" t="n">
        <f aca="false">IFERROR(Model!AH313+0,NA())</f>
        <v>0.0989590865842056</v>
      </c>
      <c r="O19" s="215" t="n">
        <f aca="false">IFERROR(Model!AM313+0,NA())</f>
        <v>0.115826697357471</v>
      </c>
      <c r="P19" s="215" t="n">
        <f aca="false">IFERROR(Model!AR313+0,NA())</f>
        <v>0.0995978605476232</v>
      </c>
      <c r="Q19" s="215" t="n">
        <f aca="false">IFERROR(Model!AW313+0,NA())</f>
        <v>0.110081896715758</v>
      </c>
      <c r="R19" s="215" t="n">
        <f aca="false">IFERROR(Model!BB313+0,NA())</f>
        <v>0.163566700438762</v>
      </c>
      <c r="S19" s="215" t="n">
        <f aca="false">IFERROR(Model!BG313+0,NA())</f>
        <v>0.1876704175886</v>
      </c>
      <c r="T19" s="215" t="n">
        <f aca="false">IFERROR(Model!BL313+0,NA())</f>
        <v>0.154978288367345</v>
      </c>
      <c r="U19" s="215" t="n">
        <f aca="false">IFERROR(Model!BQ313+0,NA())</f>
        <v>0.127914363034684</v>
      </c>
      <c r="V19" s="215" t="n">
        <f aca="false">IFERROR(Model!BV313+0,NA())</f>
        <v>0.0800543419748925</v>
      </c>
    </row>
    <row r="20" customFormat="false" ht="15" hidden="false" customHeight="true" outlineLevel="0" collapsed="false">
      <c r="B20" s="0" t="s">
        <v>673</v>
      </c>
      <c r="C20" s="215" t="n">
        <f aca="false">IFERROR(Model!C146+0,NA())</f>
        <v>0.100473513211956</v>
      </c>
      <c r="D20" s="215" t="n">
        <f aca="false">IFERROR(Model!D146+0,NA())</f>
        <v>0.0815860296294626</v>
      </c>
      <c r="E20" s="215" t="n">
        <f aca="false">IFERROR(Model!E146+0,NA())</f>
        <v>0.0641863859529262</v>
      </c>
      <c r="F20" s="215" t="n">
        <f aca="false">IFERROR(Model!F146+0,NA())</f>
        <v>0.0277421535410492</v>
      </c>
      <c r="G20" s="215" t="n">
        <f aca="false">IFERROR(Model!G146+0,NA())</f>
        <v>0.0539450069793721</v>
      </c>
      <c r="H20" s="215" t="n">
        <f aca="false">IFERROR(Model!H146+0,NA())</f>
        <v>0.0635551103449347</v>
      </c>
      <c r="I20" s="215" t="n">
        <f aca="false">IFERROR(Model!I146+0,NA())</f>
        <v>0.0973268807358657</v>
      </c>
      <c r="J20" s="215" t="n">
        <f aca="false">IFERROR(Model!N146+0,NA())</f>
        <v>0.110788925233563</v>
      </c>
      <c r="K20" s="215" t="n">
        <f aca="false">IFERROR(Model!S146+0,NA())</f>
        <v>0.113818761145969</v>
      </c>
      <c r="L20" s="215" t="n">
        <f aca="false">IFERROR(Model!X146+0,NA())</f>
        <v>0.126986492384004</v>
      </c>
      <c r="M20" s="215" t="n">
        <f aca="false">IFERROR(Model!AC146+0,NA())</f>
        <v>0.12766140793332</v>
      </c>
      <c r="N20" s="215" t="n">
        <f aca="false">IFERROR(Model!AH146+0,NA())</f>
        <v>0.131976554395688</v>
      </c>
      <c r="O20" s="215" t="n">
        <f aca="false">IFERROR(Model!AM146+0,NA())</f>
        <v>0.147174258351276</v>
      </c>
      <c r="P20" s="215" t="n">
        <f aca="false">IFERROR(Model!AR146+0,NA())</f>
        <v>0.152498831667819</v>
      </c>
      <c r="Q20" s="215" t="n">
        <f aca="false">IFERROR(Model!AW146+0,NA())</f>
        <v>0.17346131347929</v>
      </c>
      <c r="R20" s="215" t="n">
        <f aca="false">IFERROR(Model!BB146+0,NA())</f>
        <v>0.206849815441403</v>
      </c>
      <c r="S20" s="215" t="n">
        <f aca="false">IFERROR(Model!BG146+0,NA())</f>
        <v>0.224874348911931</v>
      </c>
      <c r="T20" s="215" t="n">
        <f aca="false">IFERROR(Model!BL146+0,NA())</f>
        <v>0.222597228531776</v>
      </c>
      <c r="U20" s="215" t="n">
        <f aca="false">IFERROR(Model!BQ146+0,NA())</f>
        <v>0.216259893040796</v>
      </c>
      <c r="V20" s="215" t="n">
        <f aca="false">IFERROR(Model!BV146+0,NA())</f>
        <v>0.18172542564263</v>
      </c>
    </row>
    <row r="21" customFormat="false" ht="15" hidden="false" customHeight="true" outlineLevel="0" collapsed="false">
      <c r="B21" s="0" t="s">
        <v>674</v>
      </c>
      <c r="C21" s="215" t="n">
        <f aca="false">IFERROR(Model!C213+0,NA())</f>
        <v>-0.0195464241864421</v>
      </c>
      <c r="D21" s="215" t="n">
        <f aca="false">IFERROR(Model!D213+0,NA())</f>
        <v>-0.0504188509030112</v>
      </c>
      <c r="E21" s="215" t="n">
        <f aca="false">IFERROR(Model!E213+0,NA())</f>
        <v>0.052921087594294</v>
      </c>
      <c r="F21" s="215" t="n">
        <f aca="false">IFERROR(Model!F213+0,NA())</f>
        <v>0.00674446293371772</v>
      </c>
      <c r="G21" s="215" t="n">
        <f aca="false">IFERROR(Model!G213+0,NA())</f>
        <v>0.0216814747523985</v>
      </c>
      <c r="H21" s="215" t="n">
        <f aca="false">IFERROR(Model!H213+0,NA())</f>
        <v>-0.0122798537017192</v>
      </c>
      <c r="I21" s="215" t="n">
        <f aca="false">IFERROR(Model!I213+0,NA())</f>
        <v>0.0132477274982047</v>
      </c>
      <c r="J21" s="215" t="n">
        <f aca="false">IFERROR(Model!N213+0,NA())</f>
        <v>-0.0219876498339909</v>
      </c>
      <c r="K21" s="215" t="n">
        <f aca="false">IFERROR(Model!S213+0,NA())</f>
        <v>0.00347396608245875</v>
      </c>
      <c r="L21" s="215" t="n">
        <f aca="false">IFERROR(Model!X213+0,NA())</f>
        <v>0.0460284071788431</v>
      </c>
      <c r="M21" s="215" t="n">
        <f aca="false">IFERROR(Model!AC213+0,NA())</f>
        <v>0.0216753482409656</v>
      </c>
      <c r="N21" s="215" t="n">
        <f aca="false">IFERROR(Model!AH213+0,NA())</f>
        <v>-0.0209283937004447</v>
      </c>
      <c r="O21" s="215" t="n">
        <f aca="false">IFERROR(Model!AM213+0,NA())</f>
        <v>0.0198107566047444</v>
      </c>
      <c r="P21" s="215" t="n">
        <f aca="false">IFERROR(Model!AR213+0,NA())</f>
        <v>-0.00827151200373866</v>
      </c>
      <c r="Q21" s="215" t="n">
        <f aca="false">IFERROR(Model!AW213+0,NA())</f>
        <v>0.0428031471175384</v>
      </c>
      <c r="R21" s="215" t="n">
        <f aca="false">IFERROR(Model!BB213+0,NA())</f>
        <v>0.0423147772713291</v>
      </c>
      <c r="S21" s="215" t="n">
        <f aca="false">IFERROR(Model!BG213+0,NA())</f>
        <v>0.0378205029481848</v>
      </c>
      <c r="T21" s="215" t="n">
        <f aca="false">IFERROR(Model!BL213+0,NA())</f>
        <v>0.047915741924244</v>
      </c>
      <c r="U21" s="215" t="n">
        <f aca="false">IFERROR(Model!BQ213+0,NA())</f>
        <v>-0.143298347124435</v>
      </c>
      <c r="V21" s="215" t="n">
        <f aca="false">IFERROR(Model!BV213+0,NA())</f>
        <v>0.00845132434175578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/>
  <dcterms:modified xsi:type="dcterms:W3CDTF">2026-10-05T20:05:03Z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