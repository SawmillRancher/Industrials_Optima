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Bull-Base-Bear" sheetId="2" state="visible" r:id="rId4"/>
    <sheet name="DCF" sheetId="3" state="visible" r:id="rId5"/>
    <sheet name="Charts" sheetId="4" state="visible" r:id="rId6"/>
    <sheet name="Sheet1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1" authorId="0">
      <text>
        <r>
          <rPr>
            <sz val="10"/>
            <rFont val="Arial"/>
            <family val="2"/>
          </rPr>
          <t xml:space="preserve">Source: earnings releases (Form 8-K Ex. 99.1) segment tables; 10-K segment note for FY. FY2008–09 as recast into the current four segments in the FY2010 10-K.</t>
        </r>
      </text>
    </comment>
    <comment ref="B40" authorId="0">
      <text>
        <r>
          <rPr>
            <sz val="10"/>
            <rFont val="Arial"/>
            <family val="2"/>
          </rPr>
          <t xml:space="preserve">Product-line sales as stated in the earnings release / 10-K MD&amp;A.</t>
        </r>
      </text>
    </comment>
    <comment ref="B60" authorId="0">
      <text>
        <r>
          <rPr>
            <sz val="10"/>
            <rFont val="Arial"/>
            <family val="2"/>
          </rPr>
          <t xml:space="preserve">Product-line sales as stated in the earnings release / 10-K MD&amp;A.</t>
        </r>
      </text>
    </comment>
    <comment ref="B79" authorId="0">
      <text>
        <r>
          <rPr>
            <sz val="10"/>
            <rFont val="Arial"/>
            <family val="2"/>
          </rPr>
          <t xml:space="preserve">Product-line sales as stated in the earnings release / 10-K MD&amp;A.</t>
        </r>
      </text>
    </comment>
    <comment ref="B101" authorId="0">
      <text>
        <r>
          <rPr>
            <sz val="10"/>
            <rFont val="Arial"/>
            <family val="2"/>
          </rPr>
          <t xml:space="preserve">Any line between total segment operating income and consolidated operating income other than corporate expense (e.g. unallocated pension in some years) — see data notes.</t>
        </r>
      </text>
    </comment>
    <comment ref="B125" authorId="0">
      <text>
        <r>
          <rPr>
            <sz val="10"/>
            <rFont val="Arial"/>
            <family val="2"/>
          </rPr>
          <t xml:space="preserve">Total amortization of acquired intangible assets (all acquisitions).</t>
        </r>
      </text>
    </comment>
    <comment ref="B145" authorId="0">
      <text>
        <r>
          <rPr>
            <sz val="10"/>
            <rFont val="Arial"/>
            <family val="2"/>
          </rPr>
          <t xml:space="preserve">Source: 10-K business section / segment note.</t>
        </r>
      </text>
    </comment>
    <comment ref="B152" authorId="0">
      <text>
        <r>
          <rPr>
            <sz val="10"/>
            <rFont val="Arial"/>
            <family val="2"/>
          </rPr>
          <t xml:space="preserve">Source: 10-K (annual) and earnings releases / 10-Q (quarters), latest filing presenting each period.</t>
        </r>
      </text>
    </comment>
    <comment ref="B158" authorId="0">
      <text>
        <r>
          <rPr>
            <sz val="10"/>
            <rFont val="Arial"/>
            <family val="2"/>
          </rPr>
          <t xml:space="preserve">From the Q2-21 release / FY2021 10-K Teledyne presents acquired-intangible amortization as a separate line (Q1/21 and FY2019–20 reclassified out of SG&amp;A in later filings); earlier periods include it in cost of sales and SG&amp;A (not re-presented). Q4/24: incl. in other operating items the $52.5m trademark impairment.</t>
        </r>
      </text>
    </comment>
    <comment ref="C197" authorId="0">
      <text>
        <r>
          <rPr>
            <sz val="10"/>
            <rFont val="Arial"/>
            <family val="2"/>
          </rPr>
          <t xml:space="preserve">Teledyne published no adjusted operating income before the Q4-2016 release (the 2006–07 'pro forma' measure was EPS only). Current-definition memo below applies today's definition using 10-K amortization.</t>
        </r>
      </text>
    </comment>
    <comment ref="C226" authorId="0">
      <text>
        <r>
          <rPr>
            <sz val="10"/>
            <rFont val="Arial"/>
            <family val="2"/>
          </rPr>
          <t xml:space="preserve">Company wording: Pension expense - SFAS No. 87 and No. 158: $0.27/sh × 35.5m diluted shares | Pension expense - CAS (recovered from government contracts): $-0.18/sh × 35.5m diluted shares</t>
        </r>
      </text>
    </comment>
    <comment ref="C227" authorId="0">
      <text>
        <r>
          <rPr>
            <sz val="10"/>
            <rFont val="Arial"/>
            <family val="2"/>
          </rPr>
          <t xml:space="preserve">Company wording: Stock option expense: $0.10/sh × 35.5m diluted shares</t>
        </r>
      </text>
    </comment>
    <comment ref="C229" authorId="0">
      <text>
        <r>
          <rPr>
            <sz val="10"/>
            <rFont val="Arial"/>
            <family val="2"/>
          </rPr>
          <t xml:space="preserve">Company wording: Per-share rounding residual -0.1</t>
        </r>
      </text>
    </comment>
    <comment ref="C231" authorId="0">
      <text>
        <r>
          <rPr>
            <sz val="10"/>
            <rFont val="Arial"/>
            <family val="2"/>
          </rPr>
          <t xml:space="preserve">Company wording: Income tax benefit (reversal of income tax contingency reserves): $-0.09/sh × 35.5m diluted shares</t>
        </r>
      </text>
    </comment>
    <comment ref="C233" authorId="0">
      <text>
        <r>
          <rPr>
            <sz val="10"/>
            <rFont val="Arial"/>
            <family val="2"/>
          </rPr>
          <t xml:space="preserve">Company wording: Published non-GAAP EPS $2.36 × 35.5m diluted shares (no $m figure published)</t>
        </r>
      </text>
    </comment>
    <comment ref="C240" authorId="0">
      <text>
        <r>
          <rPr>
            <sz val="10"/>
            <rFont val="Arial"/>
            <family val="2"/>
          </rPr>
          <t xml:space="preserve">Q4-2006 / Q4-2007 releases ('Earnings per share summary'): EPS excluding net pension expense (incl. CAS pension recovery), stock option expense and income tax benefits — 2006 $2.36, 2007 $2.72 (GAAP $2.26 / $2.72). Per-share reconciliation only: $m amounts here = per-share items × weighted diluted shares (flagged).</t>
        </r>
      </text>
    </comment>
    <comment ref="D226" authorId="0">
      <text>
        <r>
          <rPr>
            <sz val="10"/>
            <rFont val="Arial"/>
            <family val="2"/>
          </rPr>
          <t xml:space="preserve">Company wording: Pension expense - SFAS No. 87 and No. 158: $0.21/sh × 36.2m diluted shares | Pension expense - CAS (recovered from government contracts): $-0.18/sh × 36.2m diluted shares</t>
        </r>
      </text>
    </comment>
    <comment ref="D227" authorId="0">
      <text>
        <r>
          <rPr>
            <sz val="10"/>
            <rFont val="Arial"/>
            <family val="2"/>
          </rPr>
          <t xml:space="preserve">Company wording: Stock option expense: $0.12/sh × 36.2m diluted shares</t>
        </r>
      </text>
    </comment>
    <comment ref="D231" authorId="0">
      <text>
        <r>
          <rPr>
            <sz val="10"/>
            <rFont val="Arial"/>
            <family val="2"/>
          </rPr>
          <t xml:space="preserve">Company wording: Income tax benefit (R&amp;D tax credits $4.4m + reversal of tax contingency reserves $1.1m): $-0.15/sh × 36.2m diluted shares</t>
        </r>
      </text>
    </comment>
    <comment ref="D233" authorId="0">
      <text>
        <r>
          <rPr>
            <sz val="10"/>
            <rFont val="Arial"/>
            <family val="2"/>
          </rPr>
          <t xml:space="preserve">Company wording: Published non-GAAP EPS $2.72 × 36.2m diluted shares (no $m figure published)</t>
        </r>
      </text>
    </comment>
    <comment ref="E240" authorId="0">
      <text>
        <r>
          <rPr>
            <sz val="10"/>
            <rFont val="Arial"/>
            <family val="2"/>
          </rPr>
          <t xml:space="preserve">No adjusted EPS from 2008 to Q3-2016 (releases discussed discrete tax items and ex-discrete tax rates only).</t>
        </r>
      </text>
    </comment>
    <comment ref="AB229" authorId="0">
      <text>
        <r>
          <rPr>
            <sz val="10"/>
            <rFont val="Arial"/>
            <family val="2"/>
          </rPr>
          <t xml:space="preserve">Company wording: Per-share rounding residual 0.1</t>
        </r>
      </text>
    </comment>
    <comment ref="AB233" authorId="0">
      <text>
        <r>
          <rPr>
            <sz val="10"/>
            <rFont val="Arial"/>
            <family val="2"/>
          </rPr>
          <t xml:space="preserve">Company wording: Published non-GAAP EPS $1.11 × 35.2m diluted shares (no $m figure published)</t>
        </r>
      </text>
    </comment>
    <comment ref="AC233" authorId="0">
      <text>
        <r>
          <rPr>
            <sz val="10"/>
            <rFont val="Arial"/>
            <family val="2"/>
          </rPr>
          <t xml:space="preserve">Company wording: Published non-GAAP EPS $1.33 × 35.3m diluted shares (no $m figure published)</t>
        </r>
      </text>
    </comment>
    <comment ref="AE233" authorId="0">
      <text>
        <r>
          <rPr>
            <sz val="10"/>
            <rFont val="Arial"/>
            <family val="2"/>
          </rPr>
          <t xml:space="preserve">Company wording: Published non-GAAP EPS $1.46 × 35.6m diluted shares (no $m figure published)</t>
        </r>
      </text>
    </comment>
    <comment ref="AF188" authorId="0">
      <text>
        <r>
          <rPr>
            <sz val="10"/>
            <rFont val="Arial"/>
            <family val="2"/>
          </rPr>
          <t xml:space="preserve">Company wording: e2v transaction costs, including stamp duty, advisory, legal and other consulting fees and other costs: 1.9 | e2v transaction costs, including stamp duty, advisory, legal and other consulting fees and other costs: 1.9</t>
        </r>
      </text>
    </comment>
    <comment ref="AF197" authorId="0">
      <text>
        <r>
          <rPr>
            <sz val="10"/>
            <rFont val="Arial"/>
            <family val="2"/>
          </rPr>
          <t xml:space="preserve">Q4-2016 release (2-Feb-2017) introduced non-GAAP measures excluding e2v transaction costs, bridge-facility fees and the FX option contract; 2017 releases 'Adjusted operating income'. Published on the pre-ASU 2017-07 basis — the difference to the recast GAAP OI is shown as a separate basis line. Severance / facility costs were never excluded.</t>
        </r>
      </text>
    </comment>
    <comment ref="AF223" authorId="0">
      <text>
        <r>
          <rPr>
            <sz val="10"/>
            <rFont val="Arial"/>
            <family val="2"/>
          </rPr>
          <t xml:space="preserve">Company wording: e2v transaction costs, including stamp duty, advisory, legal and other consulting fees and other costs: 1.9 | Foreign currency option contract expense to hedge the e2v purchase price: 5.5 | e2v transaction costs, including stamp duty, advisory, legal and other consulting fees and other costs: 1.9 | Foreign currency option contract expense to hedge the e2v purchase price: 5.5</t>
        </r>
      </text>
    </comment>
    <comment ref="AF228" authorId="0">
      <text>
        <r>
          <rPr>
            <sz val="10"/>
            <rFont val="Arial"/>
            <family val="2"/>
          </rPr>
          <t xml:space="preserve">Company wording: e2v funds-certain bank bridge facility commitment expense: 0.5 | e2v funds-certain bank bridge facility commitment expense: 0.5</t>
        </r>
      </text>
    </comment>
    <comment ref="AF229" authorId="0">
      <text>
        <r>
          <rPr>
            <sz val="10"/>
            <rFont val="Arial"/>
            <family val="2"/>
          </rPr>
          <t xml:space="preserve">Company wording: Per-share rounding residual 2.3</t>
        </r>
      </text>
    </comment>
    <comment ref="AF230" authorId="0">
      <text>
        <r>
          <rPr>
            <sz val="10"/>
            <rFont val="Arial"/>
            <family val="2"/>
          </rPr>
          <t xml:space="preserve">Company wording: Income tax effect of the above (derived: 7.9 x 27.5%; published per-share items are already net of $0.06/share tax): -2.2 | Income tax effect (company: adjustments shown net of income taxes of $0.06 per diluted share, based on a 27.5% rate); memo only - per-share items above are already after tax: $-0.06/sh × 35.9m diluted shares</t>
        </r>
      </text>
    </comment>
    <comment ref="AF233" authorId="0">
      <text>
        <r>
          <rPr>
            <sz val="10"/>
            <rFont val="Arial"/>
            <family val="2"/>
          </rPr>
          <t xml:space="preserve">Company wording: Published non-GAAP EPS $1.64 × 35.9m diluted shares (no $m figure published) | Published non-GAAP EPS $1.64 × 35.9m diluted shares (no $m figure published)</t>
        </r>
      </text>
    </comment>
    <comment ref="AF240" authorId="0">
      <text>
        <r>
          <rPr>
            <sz val="10"/>
            <rFont val="Arial"/>
            <family val="2"/>
          </rPr>
          <t xml:space="preserve">Q4-2016 release introduced EPS excluding e2v transaction costs, bridge-facility fees and FX option contract; 2017 'adjusted fully diluted EPS'. Per-share after-tax items only — $m at weighted diluted shares. Q2–Q3/17 do not exclude discrete tax benefits.</t>
        </r>
      </text>
    </comment>
    <comment ref="AG188" authorId="0">
      <text>
        <r>
          <rPr>
            <sz val="10"/>
            <rFont val="Arial"/>
            <family val="2"/>
          </rPr>
          <t xml:space="preserve">Company wording: e2v transaction costs, including stamp duty, advisory, legal and other consulting fees and other costs: 1.9 | e2v transaction costs, including stamp duty, advisory, legal and other consulting fees and other costs: 1.9</t>
        </r>
      </text>
    </comment>
    <comment ref="AG197" authorId="0">
      <text>
        <r>
          <rPr>
            <sz val="10"/>
            <rFont val="Arial"/>
            <family val="2"/>
          </rPr>
          <t xml:space="preserve">FY2016 adjusted OI as re-presented in the Q4-2017 release (e2v transaction costs in Q4/16).</t>
        </r>
      </text>
    </comment>
    <comment ref="AG223" authorId="0">
      <text>
        <r>
          <rPr>
            <sz val="10"/>
            <rFont val="Arial"/>
            <family val="2"/>
          </rPr>
          <t xml:space="preserve">Company wording: e2v transaction costs, including stamp duty, advisory, legal and other consulting fees and other costs: 1.9 | Foreign currency option contract expense to hedge the e2v purchase price: 5.5 | e2v transaction costs, including stamp duty, advisory, legal and other consulting fees and other costs: 1.9 | Foreign currency option contract expense to hedge the e2v purchase price: 5.5</t>
        </r>
      </text>
    </comment>
    <comment ref="AG228" authorId="0">
      <text>
        <r>
          <rPr>
            <sz val="10"/>
            <rFont val="Arial"/>
            <family val="2"/>
          </rPr>
          <t xml:space="preserve">Company wording: e2v funds-certain bank bridge facility commitment expense: 0.5 | e2v funds-certain bank bridge facility commitment expense: 0.5</t>
        </r>
      </text>
    </comment>
    <comment ref="AG229" authorId="0">
      <text>
        <r>
          <rPr>
            <sz val="10"/>
            <rFont val="Arial"/>
            <family val="2"/>
          </rPr>
          <t xml:space="preserve">Company wording: Per-share rounding residual 1.8</t>
        </r>
      </text>
    </comment>
    <comment ref="AG230" authorId="0">
      <text>
        <r>
          <rPr>
            <sz val="10"/>
            <rFont val="Arial"/>
            <family val="2"/>
          </rPr>
          <t xml:space="preserve">Company wording: Income tax effect of the above (derived: 7.9 x 27.5%; published per-share items are already net of $0.06/share tax): -2.2 | Income tax effect (company: adjustments shown net of income taxes of $0.06 per diluted share, based on a 27.5% rate); memo only - per-share items above are already after tax: $-0.06/sh × 35.5m diluted shares</t>
        </r>
      </text>
    </comment>
    <comment ref="AG233" authorId="0">
      <text>
        <r>
          <rPr>
            <sz val="10"/>
            <rFont val="Arial"/>
            <family val="2"/>
          </rPr>
          <t xml:space="preserve">Company wording: Published non-GAAP EPS $5.53 × 35.5m diluted shares (no $m figure published) | Published non-GAAP EPS $5.53 × 35.5m diluted shares (no $m figure published)</t>
        </r>
      </text>
    </comment>
    <comment ref="AG240" authorId="0">
      <text>
        <r>
          <rPr>
            <sz val="10"/>
            <rFont val="Arial"/>
            <family val="2"/>
          </rPr>
          <t xml:space="preserve">FY2016 5.37 → 5.53 as re-presented in the Q4-2017 release.</t>
        </r>
      </text>
    </comment>
    <comment ref="AH188" authorId="0">
      <text>
        <r>
          <rPr>
            <sz val="10"/>
            <rFont val="Arial"/>
            <family val="2"/>
          </rPr>
          <t xml:space="preserve">Company wording: e2v transaction costs, including stamp duty, advisory, legal and other consulting fees and other costs: 11.5</t>
        </r>
      </text>
    </comment>
    <comment ref="AH189" authorId="0">
      <text>
        <r>
          <rPr>
            <sz val="10"/>
            <rFont val="Arial"/>
            <family val="2"/>
          </rPr>
          <t xml:space="preserve">Company wording: e2v inventory fair value step-up amortization expense: 1.4</t>
        </r>
      </text>
    </comment>
    <comment ref="AH191" authorId="0">
      <text>
        <r>
          <rPr>
            <sz val="10"/>
            <rFont val="Arial"/>
            <family val="2"/>
          </rPr>
          <t xml:space="preserve">Company wording: Company bridge starts from OI as originally reported 58.1 vs recast 54.8</t>
        </r>
      </text>
    </comment>
    <comment ref="AH223" authorId="0">
      <text>
        <r>
          <rPr>
            <sz val="10"/>
            <rFont val="Arial"/>
            <family val="2"/>
          </rPr>
          <t xml:space="preserve">Company wording: e2v transaction costs, including stamp duty, advisory, legal and other consulting fees and other costs: 11.5 | Foreign currency option contract expense to hedge the e2v purchase price: 6.0</t>
        </r>
      </text>
    </comment>
    <comment ref="AH224" authorId="0">
      <text>
        <r>
          <rPr>
            <sz val="10"/>
            <rFont val="Arial"/>
            <family val="2"/>
          </rPr>
          <t xml:space="preserve">Company wording: e2v inventory fair value step-up amortization expense: 1.4</t>
        </r>
      </text>
    </comment>
    <comment ref="AH228" authorId="0">
      <text>
        <r>
          <rPr>
            <sz val="10"/>
            <rFont val="Arial"/>
            <family val="2"/>
          </rPr>
          <t xml:space="preserve">Company wording: e2v funds-certain bank bridge facility commitment expense: 2.3</t>
        </r>
      </text>
    </comment>
    <comment ref="AH229" authorId="0">
      <text>
        <r>
          <rPr>
            <sz val="10"/>
            <rFont val="Arial"/>
            <family val="2"/>
          </rPr>
          <t xml:space="preserve">Company wording: Per-share rounding residual -0.1</t>
        </r>
      </text>
    </comment>
    <comment ref="AH230" authorId="0">
      <text>
        <r>
          <rPr>
            <sz val="10"/>
            <rFont val="Arial"/>
            <family val="2"/>
          </rPr>
          <t xml:space="preserve">Company wording: Income tax effect (company: adjustments shown net of income taxes of $0.17 per diluted share); memo only - per-share items above are already after tax: $-0.17/sh × 36.1m diluted shares</t>
        </r>
      </text>
    </comment>
    <comment ref="AH233" authorId="0">
      <text>
        <r>
          <rPr>
            <sz val="10"/>
            <rFont val="Arial"/>
            <family val="2"/>
          </rPr>
          <t xml:space="preserve">Company wording: Published non-GAAP EPS $1.26 × 36.1m diluted shares (no $m figure published)</t>
        </r>
      </text>
    </comment>
    <comment ref="AI188" authorId="0">
      <text>
        <r>
          <rPr>
            <sz val="10"/>
            <rFont val="Arial"/>
            <family val="2"/>
          </rPr>
          <t xml:space="preserve">Company wording: e2v transaction costs, including stamp duty, advisory, legal and other consulting fees and other costs: 1.3</t>
        </r>
      </text>
    </comment>
    <comment ref="AI189" authorId="0">
      <text>
        <r>
          <rPr>
            <sz val="10"/>
            <rFont val="Arial"/>
            <family val="2"/>
          </rPr>
          <t xml:space="preserve">Company wording: e2v inventory fair value step-up amortization expense: 2.7</t>
        </r>
      </text>
    </comment>
    <comment ref="AI191" authorId="0">
      <text>
        <r>
          <rPr>
            <sz val="10"/>
            <rFont val="Arial"/>
            <family val="2"/>
          </rPr>
          <t xml:space="preserve">Company wording: Company bridge starts from OI as originally reported 86.2 vs recast 82.8</t>
        </r>
      </text>
    </comment>
    <comment ref="AI223" authorId="0">
      <text>
        <r>
          <rPr>
            <sz val="10"/>
            <rFont val="Arial"/>
            <family val="2"/>
          </rPr>
          <t xml:space="preserve">Company wording: e2v transaction costs, including stamp duty, advisory, legal and other consulting fees and other costs: 1.3</t>
        </r>
      </text>
    </comment>
    <comment ref="AI224" authorId="0">
      <text>
        <r>
          <rPr>
            <sz val="10"/>
            <rFont val="Arial"/>
            <family val="2"/>
          </rPr>
          <t xml:space="preserve">Company wording: e2v inventory fair value step-up amortization expense: 2.7</t>
        </r>
      </text>
    </comment>
    <comment ref="AI230" authorId="0">
      <text>
        <r>
          <rPr>
            <sz val="10"/>
            <rFont val="Arial"/>
            <family val="2"/>
          </rPr>
          <t xml:space="preserve">Company wording: Income tax effect (company: adjustments shown net of income taxes of $0.03 per diluted share, based on a 27.4% rate); memo only - per-share items above are already after tax: $-0.03/sh × 36.2m diluted shares</t>
        </r>
      </text>
    </comment>
    <comment ref="AI233" authorId="0">
      <text>
        <r>
          <rPr>
            <sz val="10"/>
            <rFont val="Arial"/>
            <family val="2"/>
          </rPr>
          <t xml:space="preserve">Company wording: Published non-GAAP EPS $1.74 × 36.2m diluted shares (no $m figure published)</t>
        </r>
      </text>
    </comment>
    <comment ref="AK188" authorId="0">
      <text>
        <r>
          <rPr>
            <sz val="10"/>
            <rFont val="Arial"/>
            <family val="2"/>
          </rPr>
          <t xml:space="preserve">Company wording: e2v transaction costs, including stamp duty, advisory, legal and other consulting fees and other costs: 0.2</t>
        </r>
      </text>
    </comment>
    <comment ref="AK189" authorId="0">
      <text>
        <r>
          <rPr>
            <sz val="10"/>
            <rFont val="Arial"/>
            <family val="2"/>
          </rPr>
          <t xml:space="preserve">Company wording: e2v inventory fair value step-up amortization expense: 2.7</t>
        </r>
      </text>
    </comment>
    <comment ref="AK191" authorId="0">
      <text>
        <r>
          <rPr>
            <sz val="10"/>
            <rFont val="Arial"/>
            <family val="2"/>
          </rPr>
          <t xml:space="preserve">Company wording: Company bridge starts from OI as originally reported 92.9 vs recast 89.5</t>
        </r>
      </text>
    </comment>
    <comment ref="AK223" authorId="0">
      <text>
        <r>
          <rPr>
            <sz val="10"/>
            <rFont val="Arial"/>
            <family val="2"/>
          </rPr>
          <t xml:space="preserve">Company wording: e2v transaction costs, including stamp duty, advisory, legal and other consulting fees and other costs: 0.2</t>
        </r>
      </text>
    </comment>
    <comment ref="AK224" authorId="0">
      <text>
        <r>
          <rPr>
            <sz val="10"/>
            <rFont val="Arial"/>
            <family val="2"/>
          </rPr>
          <t xml:space="preserve">Company wording: e2v inventory fair value step-up amortization expense: 2.7</t>
        </r>
      </text>
    </comment>
    <comment ref="AK229" authorId="0">
      <text>
        <r>
          <rPr>
            <sz val="10"/>
            <rFont val="Arial"/>
            <family val="2"/>
          </rPr>
          <t xml:space="preserve">Company wording: Per-share rounding residual 0.2</t>
        </r>
      </text>
    </comment>
    <comment ref="AK230" authorId="0">
      <text>
        <r>
          <rPr>
            <sz val="10"/>
            <rFont val="Arial"/>
            <family val="2"/>
          </rPr>
          <t xml:space="preserve">Company wording: Income tax effect (company: adjustments shown net of income taxes of $0.02 per diluted share, based on a 27.7% rate); memo only - per-share items above are already after tax: $-0.02/sh × 36.4m diluted shares</t>
        </r>
      </text>
    </comment>
    <comment ref="AK233" authorId="0">
      <text>
        <r>
          <rPr>
            <sz val="10"/>
            <rFont val="Arial"/>
            <family val="2"/>
          </rPr>
          <t xml:space="preserve">Company wording: Published non-GAAP EPS $1.96 × 36.4m diluted shares (no $m figure published)</t>
        </r>
      </text>
    </comment>
    <comment ref="AL188" authorId="0">
      <text>
        <r>
          <rPr>
            <sz val="10"/>
            <rFont val="Arial"/>
            <family val="2"/>
          </rPr>
          <t xml:space="preserve">Company wording: e2v transaction costs, including stamp duty, advisory, legal and other consulting fees and other costs: 0.0</t>
        </r>
      </text>
    </comment>
    <comment ref="AL189" authorId="0">
      <text>
        <r>
          <rPr>
            <sz val="10"/>
            <rFont val="Arial"/>
            <family val="2"/>
          </rPr>
          <t xml:space="preserve">Company wording: e2v inventory fair value step-up amortization expense: -1.1</t>
        </r>
      </text>
    </comment>
    <comment ref="AL191" authorId="0">
      <text>
        <r>
          <rPr>
            <sz val="10"/>
            <rFont val="Arial"/>
            <family val="2"/>
          </rPr>
          <t xml:space="preserve">Company wording: Company bridge starts from OI as originally reported 98.4 vs recast 94.6</t>
        </r>
      </text>
    </comment>
    <comment ref="AL224" authorId="0">
      <text>
        <r>
          <rPr>
            <sz val="10"/>
            <rFont val="Arial"/>
            <family val="2"/>
          </rPr>
          <t xml:space="preserve">Company wording: e2v inventory fair value step-up amortization expense: -1.1</t>
        </r>
      </text>
    </comment>
    <comment ref="AL230" authorId="0">
      <text>
        <r>
          <rPr>
            <sz val="10"/>
            <rFont val="Arial"/>
            <family val="2"/>
          </rPr>
          <t xml:space="preserve">Company wording: Income tax effect (company: adjustments shown net of income taxes of $0.01 per diluted share, based on a 24.9% rate); memo only - per-share items above are already after tax: $0.01/sh × 36.7m diluted shares</t>
        </r>
      </text>
    </comment>
    <comment ref="AL231" authorId="0">
      <text>
        <r>
          <rPr>
            <sz val="10"/>
            <rFont val="Arial"/>
            <family val="2"/>
          </rPr>
          <t xml:space="preserve">Company wording: Tax Cuts and Jobs Act repatriation tax and other impacts: 4.7</t>
        </r>
      </text>
    </comment>
    <comment ref="AL233" authorId="0">
      <text>
        <r>
          <rPr>
            <sz val="10"/>
            <rFont val="Arial"/>
            <family val="2"/>
          </rPr>
          <t xml:space="preserve">Company wording: Published non-GAAP EPS $1.95 × 36.7m diluted shares (no $m figure published)</t>
        </r>
      </text>
    </comment>
    <comment ref="AL240" authorId="0">
      <text>
        <r>
          <rPr>
            <sz val="10"/>
            <rFont val="Arial"/>
            <family val="2"/>
          </rPr>
          <t xml:space="preserve">Q4/17 and FY2017 also exclude the $4.7m provisional US Tax Act charge.</t>
        </r>
      </text>
    </comment>
    <comment ref="AM188" authorId="0">
      <text>
        <r>
          <rPr>
            <sz val="10"/>
            <rFont val="Arial"/>
            <family val="2"/>
          </rPr>
          <t xml:space="preserve">Company wording: e2v transaction costs, including stamp duty, advisory, legal and other consulting fees and other costs: 13.0</t>
        </r>
      </text>
    </comment>
    <comment ref="AM189" authorId="0">
      <text>
        <r>
          <rPr>
            <sz val="10"/>
            <rFont val="Arial"/>
            <family val="2"/>
          </rPr>
          <t xml:space="preserve">Company wording: e2v inventory fair value step-up amortization expense: 5.7</t>
        </r>
      </text>
    </comment>
    <comment ref="AM191" authorId="0">
      <text>
        <r>
          <rPr>
            <sz val="10"/>
            <rFont val="Arial"/>
            <family val="2"/>
          </rPr>
          <t xml:space="preserve">Company wording: Company bridge starts from OI as originally reported 335.6 vs recast 321.7</t>
        </r>
      </text>
    </comment>
    <comment ref="AM223" authorId="0">
      <text>
        <r>
          <rPr>
            <sz val="10"/>
            <rFont val="Arial"/>
            <family val="2"/>
          </rPr>
          <t xml:space="preserve">Company wording: e2v transaction costs, including stamp duty, advisory, legal and other consulting fees and other costs: 13.0 | Foreign currency option contract expense to hedge the e2v purchase price: 6.0</t>
        </r>
      </text>
    </comment>
    <comment ref="AM224" authorId="0">
      <text>
        <r>
          <rPr>
            <sz val="10"/>
            <rFont val="Arial"/>
            <family val="2"/>
          </rPr>
          <t xml:space="preserve">Company wording: e2v inventory fair value step-up amortization expense: 5.7</t>
        </r>
      </text>
    </comment>
    <comment ref="AM228" authorId="0">
      <text>
        <r>
          <rPr>
            <sz val="10"/>
            <rFont val="Arial"/>
            <family val="2"/>
          </rPr>
          <t xml:space="preserve">Company wording: e2v funds-certain bank bridge facility commitment expense: 2.3</t>
        </r>
      </text>
    </comment>
    <comment ref="AM229" authorId="0">
      <text>
        <r>
          <rPr>
            <sz val="10"/>
            <rFont val="Arial"/>
            <family val="2"/>
          </rPr>
          <t xml:space="preserve">Company wording: Per-share rounding residual -0.1</t>
        </r>
      </text>
    </comment>
    <comment ref="AM230" authorId="0">
      <text>
        <r>
          <rPr>
            <sz val="10"/>
            <rFont val="Arial"/>
            <family val="2"/>
          </rPr>
          <t xml:space="preserve">Company wording: Income tax effect (company: adjustments shown net of income taxes of $0.20 per diluted share, based on a 26.8% rate); memo only - per-share items above are already after tax: $-0.20/sh × 36.3m diluted shares</t>
        </r>
      </text>
    </comment>
    <comment ref="AM231" authorId="0">
      <text>
        <r>
          <rPr>
            <sz val="10"/>
            <rFont val="Arial"/>
            <family val="2"/>
          </rPr>
          <t xml:space="preserve">Company wording: Tax Cuts and Jobs Act repatriation tax and other impacts: 4.7</t>
        </r>
      </text>
    </comment>
    <comment ref="AM233" authorId="0">
      <text>
        <r>
          <rPr>
            <sz val="10"/>
            <rFont val="Arial"/>
            <family val="2"/>
          </rPr>
          <t xml:space="preserve">Company wording: Published non-GAAP EPS $6.93 × 36.3m diluted shares (no $m figure published)</t>
        </r>
      </text>
    </comment>
    <comment ref="AS197" authorId="0">
      <text>
        <r>
          <rPr>
            <sz val="10"/>
            <rFont val="Arial"/>
            <family val="2"/>
          </rPr>
          <t xml:space="preserve">No adjusted measures in 2018–2019 releases (free cash flow only).</t>
        </r>
      </text>
    </comment>
    <comment ref="AS240" authorId="0">
      <text>
        <r>
          <rPr>
            <sz val="10"/>
            <rFont val="Arial"/>
            <family val="2"/>
          </rPr>
          <t xml:space="preserve">No adjusted EPS in 2018–2019 releases (Tax Act true-ups inside discrete tax items).</t>
        </r>
      </text>
    </comment>
    <comment ref="AZ187" authorId="0">
      <text>
        <r>
          <rPr>
            <sz val="10"/>
            <rFont val="Arial"/>
            <family val="2"/>
          </rPr>
          <t xml:space="preserve">Company wording: Acquired intangible asset amortization: 9.6</t>
        </r>
      </text>
    </comment>
    <comment ref="AZ197" authorId="0">
      <text>
        <r>
          <rPr>
            <sz val="10"/>
            <rFont val="Arial"/>
            <family val="2"/>
          </rPr>
          <t xml:space="preserve">2020 comparatives on the FLIR-era definition were first published in the Q2-21 (Q1–Q2/20), Q3-21 (Q3/20) and Q4-21 (Q4/20, FY2020) releases. Only item in 2020: amortization of all acquired intangibles (severance / facility costs not excluded). Q1-21 release had shown Q1/20 'adjusted' = GAAP.</t>
        </r>
      </text>
    </comment>
    <comment ref="AZ222" authorId="0">
      <text>
        <r>
          <rPr>
            <sz val="10"/>
            <rFont val="Arial"/>
            <family val="2"/>
          </rPr>
          <t xml:space="preserve">Company wording: Acquired intangible asset amortization: 9.6</t>
        </r>
      </text>
    </comment>
    <comment ref="AZ230" authorId="0">
      <text>
        <r>
          <rPr>
            <sz val="10"/>
            <rFont val="Arial"/>
            <family val="2"/>
          </rPr>
          <t xml:space="preserve">Company wording: Income tax effect of pre-tax adjustments (derived: 'Net income' column less 'Income before income taxes' column): -2.3</t>
        </r>
      </text>
    </comment>
    <comment ref="AZ240" authorId="0">
      <text>
        <r>
          <rPr>
            <sz val="10"/>
            <rFont val="Arial"/>
            <family val="2"/>
          </rPr>
          <t xml:space="preserve">2020 comparatives (FLIR-era definition) first published in the 2021 releases; amortization the only item (tax effect derived from the company's after-tax amounts).</t>
        </r>
      </text>
    </comment>
    <comment ref="BA187" authorId="0">
      <text>
        <r>
          <rPr>
            <sz val="10"/>
            <rFont val="Arial"/>
            <family val="2"/>
          </rPr>
          <t xml:space="preserve">Company wording: Acquired intangible asset amortization: 9.7</t>
        </r>
      </text>
    </comment>
    <comment ref="BA222" authorId="0">
      <text>
        <r>
          <rPr>
            <sz val="10"/>
            <rFont val="Arial"/>
            <family val="2"/>
          </rPr>
          <t xml:space="preserve">Company wording: Acquired intangible asset amortization: 9.7</t>
        </r>
      </text>
    </comment>
    <comment ref="BA230" authorId="0">
      <text>
        <r>
          <rPr>
            <sz val="10"/>
            <rFont val="Arial"/>
            <family val="2"/>
          </rPr>
          <t xml:space="preserve">Company wording: Income tax effect of pre-tax adjustments (derived: 'Net income' column less 'Income before income taxes' column): -2.3</t>
        </r>
      </text>
    </comment>
    <comment ref="BC187" authorId="0">
      <text>
        <r>
          <rPr>
            <sz val="10"/>
            <rFont val="Arial"/>
            <family val="2"/>
          </rPr>
          <t xml:space="preserve">Company wording: Acquired intangible asset amortization: 9.9</t>
        </r>
      </text>
    </comment>
    <comment ref="BC222" authorId="0">
      <text>
        <r>
          <rPr>
            <sz val="10"/>
            <rFont val="Arial"/>
            <family val="2"/>
          </rPr>
          <t xml:space="preserve">Company wording: Acquired intangible asset amortization: 9.9</t>
        </r>
      </text>
    </comment>
    <comment ref="BC230" authorId="0">
      <text>
        <r>
          <rPr>
            <sz val="10"/>
            <rFont val="Arial"/>
            <family val="2"/>
          </rPr>
          <t xml:space="preserve">Company wording: Income tax effect of pre-tax adjustments (derived: 'Net income' column less 'Income before income taxes' column): -2.3</t>
        </r>
      </text>
    </comment>
    <comment ref="BD187" authorId="0">
      <text>
        <r>
          <rPr>
            <sz val="10"/>
            <rFont val="Arial"/>
            <family val="2"/>
          </rPr>
          <t xml:space="preserve">Company wording: Acquired intangible asset amortization: 9.6</t>
        </r>
      </text>
    </comment>
    <comment ref="BD222" authorId="0">
      <text>
        <r>
          <rPr>
            <sz val="10"/>
            <rFont val="Arial"/>
            <family val="2"/>
          </rPr>
          <t xml:space="preserve">Company wording: Acquired intangible asset amortization: 9.6</t>
        </r>
      </text>
    </comment>
    <comment ref="BD230" authorId="0">
      <text>
        <r>
          <rPr>
            <sz val="10"/>
            <rFont val="Arial"/>
            <family val="2"/>
          </rPr>
          <t xml:space="preserve">Company wording: Income tax effect of pre-tax adjustments (derived: 'Net income' column less 'Income before income taxes' column): -2.2</t>
        </r>
      </text>
    </comment>
    <comment ref="BE187" authorId="0">
      <text>
        <r>
          <rPr>
            <sz val="10"/>
            <rFont val="Arial"/>
            <family val="2"/>
          </rPr>
          <t xml:space="preserve">Company wording: Acquired intangible asset amortization: 38.8</t>
        </r>
      </text>
    </comment>
    <comment ref="BE197" authorId="0">
      <text>
        <r>
          <rPr>
            <sz val="10"/>
            <rFont val="Arial"/>
            <family val="2"/>
          </rPr>
          <t xml:space="preserve">FY2020 non-GAAP OI 518.9 (16.8%) first published in the Q4-2021 release.</t>
        </r>
      </text>
    </comment>
    <comment ref="BE222" authorId="0">
      <text>
        <r>
          <rPr>
            <sz val="10"/>
            <rFont val="Arial"/>
            <family val="2"/>
          </rPr>
          <t xml:space="preserve">Company wording: Acquired intangible asset amortization: 38.8</t>
        </r>
      </text>
    </comment>
    <comment ref="BE230" authorId="0">
      <text>
        <r>
          <rPr>
            <sz val="10"/>
            <rFont val="Arial"/>
            <family val="2"/>
          </rPr>
          <t xml:space="preserve">Company wording: Income tax effect of pre-tax adjustments (derived: 'Net income' column less 'Income before income taxes' column): -9.1</t>
        </r>
      </text>
    </comment>
    <comment ref="BE240" authorId="0">
      <text>
        <r>
          <rPr>
            <sz val="10"/>
            <rFont val="Arial"/>
            <family val="2"/>
          </rPr>
          <t xml:space="preserve">FY2020 non-GAAP NI 431.6, EPS $11.41.</t>
        </r>
      </text>
    </comment>
    <comment ref="BF98" authorId="0">
      <text>
        <r>
          <rPr>
            <sz val="10"/>
            <rFont val="Arial"/>
            <family val="2"/>
          </rPr>
          <t xml:space="preserve">Company wording: Transaction and integration costs: 5.9</t>
        </r>
      </text>
    </comment>
    <comment ref="BF187" authorId="0">
      <text>
        <r>
          <rPr>
            <sz val="10"/>
            <rFont val="Arial"/>
            <family val="2"/>
          </rPr>
          <t xml:space="preserve">Company wording: Acquired intangible asset amortization: 9.8</t>
        </r>
      </text>
    </comment>
    <comment ref="BF188" authorId="0">
      <text>
        <r>
          <rPr>
            <sz val="10"/>
            <rFont val="Arial"/>
            <family val="2"/>
          </rPr>
          <t xml:space="preserve">Company wording: FLIR transaction and integration costs: 5.9</t>
        </r>
      </text>
    </comment>
    <comment ref="BF197" authorId="0">
      <text>
        <r>
          <rPr>
            <sz val="10"/>
            <rFont val="Arial"/>
            <family val="2"/>
          </rPr>
          <t xml:space="preserve">Q1-21 release (28-Apr-2021) originally called the measure 'adjusted' and excluded only FLIR transaction costs (OI 141.1, 17.5%). From the Q2-21 release (first after the 14-May-2021 FLIR close) all acquired-intangible amortization, FLIR inventory step-up and transaction / integration costs are excluded; Q1/21 recast to 150.9 (18.7%).</t>
        </r>
      </text>
    </comment>
    <comment ref="BF222" authorId="0">
      <text>
        <r>
          <rPr>
            <sz val="10"/>
            <rFont val="Arial"/>
            <family val="2"/>
          </rPr>
          <t xml:space="preserve">Company wording: Acquired intangible asset amortization: 9.8</t>
        </r>
      </text>
    </comment>
    <comment ref="BF223" authorId="0">
      <text>
        <r>
          <rPr>
            <sz val="10"/>
            <rFont val="Arial"/>
            <family val="2"/>
          </rPr>
          <t xml:space="preserve">Company wording: FLIR transaction and integration costs: 5.9</t>
        </r>
      </text>
    </comment>
    <comment ref="BF228" authorId="0">
      <text>
        <r>
          <rPr>
            <sz val="10"/>
            <rFont val="Arial"/>
            <family val="2"/>
          </rPr>
          <t xml:space="preserve">Company wording: Bridge loan and debt extinguishment fees: 30.6</t>
        </r>
      </text>
    </comment>
    <comment ref="BF230" authorId="0">
      <text>
        <r>
          <rPr>
            <sz val="10"/>
            <rFont val="Arial"/>
            <family val="2"/>
          </rPr>
          <t xml:space="preserve">Company wording: Income tax effect of pre-tax adjustments (derived: 'Net income' column less 'Income before income taxes' column, summed over pre-tax items): -9.7</t>
        </r>
      </text>
    </comment>
    <comment ref="BF240" authorId="0">
      <text>
        <r>
          <rPr>
            <sz val="10"/>
            <rFont val="Arial"/>
            <family val="2"/>
          </rPr>
          <t xml:space="preserve">Original Q1-21 'adjusted' EPS $3.02 excluded only FLIR transaction and debt costs; recast in the Q2-21 release to $3.19 incl. all acquired-intangible amortization. Bridge shows pre-tax items with the tax effect derived from the company's after-tax column.</t>
        </r>
      </text>
    </comment>
    <comment ref="BG15" authorId="0">
      <text>
        <r>
          <rPr>
            <sz val="10"/>
            <rFont val="Arial"/>
            <family val="2"/>
          </rPr>
          <t xml:space="preserve">Company wording: Inventory step-up expense: 23.4 | Transaction and integration costs: 24.0</t>
        </r>
      </text>
    </comment>
    <comment ref="BG98" authorId="0">
      <text>
        <r>
          <rPr>
            <sz val="10"/>
            <rFont val="Arial"/>
            <family val="2"/>
          </rPr>
          <t xml:space="preserve">Company wording: Transaction and integration costs: 70.5</t>
        </r>
      </text>
    </comment>
    <comment ref="BG187" authorId="0">
      <text>
        <r>
          <rPr>
            <sz val="10"/>
            <rFont val="Arial"/>
            <family val="2"/>
          </rPr>
          <t xml:space="preserve">Company wording: Acquired intangible asset amortization: 32.8</t>
        </r>
      </text>
    </comment>
    <comment ref="BG188" authorId="0">
      <text>
        <r>
          <rPr>
            <sz val="10"/>
            <rFont val="Arial"/>
            <family val="2"/>
          </rPr>
          <t xml:space="preserve">Company wording: FLIR transaction and integration costs: 94.5</t>
        </r>
      </text>
    </comment>
    <comment ref="BG189" authorId="0">
      <text>
        <r>
          <rPr>
            <sz val="10"/>
            <rFont val="Arial"/>
            <family val="2"/>
          </rPr>
          <t xml:space="preserve">Company wording: FLIR inventory step-up expense: 23.4</t>
        </r>
      </text>
    </comment>
    <comment ref="BG222" authorId="0">
      <text>
        <r>
          <rPr>
            <sz val="10"/>
            <rFont val="Arial"/>
            <family val="2"/>
          </rPr>
          <t xml:space="preserve">Company wording: Acquired intangible asset amortization: 32.8</t>
        </r>
      </text>
    </comment>
    <comment ref="BG223" authorId="0">
      <text>
        <r>
          <rPr>
            <sz val="10"/>
            <rFont val="Arial"/>
            <family val="2"/>
          </rPr>
          <t xml:space="preserve">Company wording: FLIR transaction and integration costs: 94.5</t>
        </r>
      </text>
    </comment>
    <comment ref="BG224" authorId="0">
      <text>
        <r>
          <rPr>
            <sz val="10"/>
            <rFont val="Arial"/>
            <family val="2"/>
          </rPr>
          <t xml:space="preserve">Company wording: FLIR inventory step-up expense: 23.4</t>
        </r>
      </text>
    </comment>
    <comment ref="BG230" authorId="0">
      <text>
        <r>
          <rPr>
            <sz val="10"/>
            <rFont val="Arial"/>
            <family val="2"/>
          </rPr>
          <t xml:space="preserve">Company wording: Income tax effect of pre-tax adjustments (derived: 'Net income' column less 'Income before income taxes' column, summed over pre-tax items): -26.8</t>
        </r>
      </text>
    </comment>
    <comment ref="BG231" authorId="0">
      <text>
        <r>
          <rPr>
            <sz val="10"/>
            <rFont val="Arial"/>
            <family val="2"/>
          </rPr>
          <t xml:space="preserve">Company wording: Acquisition-related tax matters: 12.4</t>
        </r>
      </text>
    </comment>
    <comment ref="BI15" authorId="0">
      <text>
        <r>
          <rPr>
            <sz val="10"/>
            <rFont val="Arial"/>
            <family val="2"/>
          </rPr>
          <t xml:space="preserve">Company wording: Inventory step-up expense: 35.2 | Transaction and integration costs: 1.5</t>
        </r>
      </text>
    </comment>
    <comment ref="BI98" authorId="0">
      <text>
        <r>
          <rPr>
            <sz val="10"/>
            <rFont val="Arial"/>
            <family val="2"/>
          </rPr>
          <t xml:space="preserve">Company wording: Transaction and integration costs: 0.3</t>
        </r>
      </text>
    </comment>
    <comment ref="BI187" authorId="0">
      <text>
        <r>
          <rPr>
            <sz val="10"/>
            <rFont val="Arial"/>
            <family val="2"/>
          </rPr>
          <t xml:space="preserve">Company wording: Acquired intangible asset amortization: 55.3</t>
        </r>
      </text>
    </comment>
    <comment ref="BI188" authorId="0">
      <text>
        <r>
          <rPr>
            <sz val="10"/>
            <rFont val="Arial"/>
            <family val="2"/>
          </rPr>
          <t xml:space="preserve">Company wording: FLIR transaction and integration costs: 1.8</t>
        </r>
      </text>
    </comment>
    <comment ref="BI189" authorId="0">
      <text>
        <r>
          <rPr>
            <sz val="10"/>
            <rFont val="Arial"/>
            <family val="2"/>
          </rPr>
          <t xml:space="preserve">Company wording: FLIR inventory step-up expense: 35.2</t>
        </r>
      </text>
    </comment>
    <comment ref="BI222" authorId="0">
      <text>
        <r>
          <rPr>
            <sz val="10"/>
            <rFont val="Arial"/>
            <family val="2"/>
          </rPr>
          <t xml:space="preserve">Company wording: Acquired intangible asset amortization: 55.3</t>
        </r>
      </text>
    </comment>
    <comment ref="BI223" authorId="0">
      <text>
        <r>
          <rPr>
            <sz val="10"/>
            <rFont val="Arial"/>
            <family val="2"/>
          </rPr>
          <t xml:space="preserve">Company wording: FLIR transaction and integration costs: 1.8</t>
        </r>
      </text>
    </comment>
    <comment ref="BI224" authorId="0">
      <text>
        <r>
          <rPr>
            <sz val="10"/>
            <rFont val="Arial"/>
            <family val="2"/>
          </rPr>
          <t xml:space="preserve">Company wording: FLIR inventory step-up expense: 35.2</t>
        </r>
      </text>
    </comment>
    <comment ref="BI230" authorId="0">
      <text>
        <r>
          <rPr>
            <sz val="10"/>
            <rFont val="Arial"/>
            <family val="2"/>
          </rPr>
          <t xml:space="preserve">Company wording: Income tax effect of pre-tax adjustments (derived: 'Net income' column less 'Income before income taxes' column, summed over pre-tax items): -20.9</t>
        </r>
      </text>
    </comment>
    <comment ref="BI231" authorId="0">
      <text>
        <r>
          <rPr>
            <sz val="10"/>
            <rFont val="Arial"/>
            <family val="2"/>
          </rPr>
          <t xml:space="preserve">Company wording: Acquisition-related tax matters: 1.7</t>
        </r>
      </text>
    </comment>
    <comment ref="BI240" authorId="0">
      <text>
        <r>
          <rPr>
            <sz val="10"/>
            <rFont val="Arial"/>
            <family val="2"/>
          </rPr>
          <t xml:space="preserve">Q3-21: interest on FLIR income-tax reserves and the UK deferred-tax remeasurement grouped as a tax item.</t>
        </r>
      </text>
    </comment>
    <comment ref="BJ15" authorId="0">
      <text>
        <r>
          <rPr>
            <sz val="10"/>
            <rFont val="Arial"/>
            <family val="2"/>
          </rPr>
          <t xml:space="preserve">Company wording: Inventory step-up expense: 47.8 | Transaction and integration costs: 0.4</t>
        </r>
      </text>
    </comment>
    <comment ref="BJ98" authorId="0">
      <text>
        <r>
          <rPr>
            <sz val="10"/>
            <rFont val="Arial"/>
            <family val="2"/>
          </rPr>
          <t xml:space="preserve">Company wording: Transaction and integration costs: 0.4</t>
        </r>
      </text>
    </comment>
    <comment ref="BJ187" authorId="0">
      <text>
        <r>
          <rPr>
            <sz val="10"/>
            <rFont val="Arial"/>
            <family val="2"/>
          </rPr>
          <t xml:space="preserve">Company wording: Acquired intangible asset amortization: 51.4</t>
        </r>
      </text>
    </comment>
    <comment ref="BJ188" authorId="0">
      <text>
        <r>
          <rPr>
            <sz val="10"/>
            <rFont val="Arial"/>
            <family val="2"/>
          </rPr>
          <t xml:space="preserve">Company wording: FLIR transaction and integration costs: 0.8</t>
        </r>
      </text>
    </comment>
    <comment ref="BJ189" authorId="0">
      <text>
        <r>
          <rPr>
            <sz val="10"/>
            <rFont val="Arial"/>
            <family val="2"/>
          </rPr>
          <t xml:space="preserve">Company wording: FLIR inventory step-up expense: 47.8</t>
        </r>
      </text>
    </comment>
    <comment ref="BJ222" authorId="0">
      <text>
        <r>
          <rPr>
            <sz val="10"/>
            <rFont val="Arial"/>
            <family val="2"/>
          </rPr>
          <t xml:space="preserve">Company wording: Acquired intangible asset amortization: 51.4</t>
        </r>
      </text>
    </comment>
    <comment ref="BJ223" authorId="0">
      <text>
        <r>
          <rPr>
            <sz val="10"/>
            <rFont val="Arial"/>
            <family val="2"/>
          </rPr>
          <t xml:space="preserve">Company wording: FLIR transaction and integration costs: 0.8</t>
        </r>
      </text>
    </comment>
    <comment ref="BJ224" authorId="0">
      <text>
        <r>
          <rPr>
            <sz val="10"/>
            <rFont val="Arial"/>
            <family val="2"/>
          </rPr>
          <t xml:space="preserve">Company wording: FLIR inventory step-up expense: 47.8</t>
        </r>
      </text>
    </comment>
    <comment ref="BJ230" authorId="0">
      <text>
        <r>
          <rPr>
            <sz val="10"/>
            <rFont val="Arial"/>
            <family val="2"/>
          </rPr>
          <t xml:space="preserve">Company wording: Income tax effect of pre-tax adjustments (derived: 'Net income' column less 'Income before income taxes' column, summed over pre-tax items): -23.0</t>
        </r>
      </text>
    </comment>
    <comment ref="BJ231" authorId="0">
      <text>
        <r>
          <rPr>
            <sz val="10"/>
            <rFont val="Arial"/>
            <family val="2"/>
          </rPr>
          <t xml:space="preserve">Company wording: Acquisition-related tax matters: -21.4</t>
        </r>
      </text>
    </comment>
    <comment ref="BJ240" authorId="0">
      <text>
        <r>
          <rPr>
            <sz val="10"/>
            <rFont val="Arial"/>
            <family val="2"/>
          </rPr>
          <t xml:space="preserve">Q4-21: tax benefits / costs from settlement or resolution of FLIR tax reserves added (Q4/21 −21.4).</t>
        </r>
      </text>
    </comment>
    <comment ref="BK15" authorId="0">
      <text>
        <r>
          <rPr>
            <sz val="10"/>
            <rFont val="Arial"/>
            <family val="2"/>
          </rPr>
          <t xml:space="preserve">Company wording: Inventory step-up expense: 106.4 | Transaction and integration costs: 25.9</t>
        </r>
      </text>
    </comment>
    <comment ref="BK98" authorId="0">
      <text>
        <r>
          <rPr>
            <sz val="10"/>
            <rFont val="Arial"/>
            <family val="2"/>
          </rPr>
          <t xml:space="preserve">Company wording: Transaction and integration costs: 77.1</t>
        </r>
      </text>
    </comment>
    <comment ref="BK187" authorId="0">
      <text>
        <r>
          <rPr>
            <sz val="10"/>
            <rFont val="Arial"/>
            <family val="2"/>
          </rPr>
          <t xml:space="preserve">Company wording: Acquired intangible asset amortization: 149.3</t>
        </r>
      </text>
    </comment>
    <comment ref="BK188" authorId="0">
      <text>
        <r>
          <rPr>
            <sz val="10"/>
            <rFont val="Arial"/>
            <family val="2"/>
          </rPr>
          <t xml:space="preserve">Company wording: FLIR transaction and integration costs: 103.0</t>
        </r>
      </text>
    </comment>
    <comment ref="BK189" authorId="0">
      <text>
        <r>
          <rPr>
            <sz val="10"/>
            <rFont val="Arial"/>
            <family val="2"/>
          </rPr>
          <t xml:space="preserve">Company wording: FLIR inventory step-up expense: 106.4</t>
        </r>
      </text>
    </comment>
    <comment ref="BK197" authorId="0">
      <text>
        <r>
          <rPr>
            <sz val="10"/>
            <rFont val="Arial"/>
            <family val="2"/>
          </rPr>
          <t xml:space="preserve">FY2021 per the Q4-2022 release.</t>
        </r>
      </text>
    </comment>
    <comment ref="BK222" authorId="0">
      <text>
        <r>
          <rPr>
            <sz val="10"/>
            <rFont val="Arial"/>
            <family val="2"/>
          </rPr>
          <t xml:space="preserve">Company wording: Acquired intangible asset amortization: 149.3</t>
        </r>
      </text>
    </comment>
    <comment ref="BK223" authorId="0">
      <text>
        <r>
          <rPr>
            <sz val="10"/>
            <rFont val="Arial"/>
            <family val="2"/>
          </rPr>
          <t xml:space="preserve">Company wording: FLIR transaction and integration costs: 103.0</t>
        </r>
      </text>
    </comment>
    <comment ref="BK224" authorId="0">
      <text>
        <r>
          <rPr>
            <sz val="10"/>
            <rFont val="Arial"/>
            <family val="2"/>
          </rPr>
          <t xml:space="preserve">Company wording: FLIR inventory step-up expense: 106.4</t>
        </r>
      </text>
    </comment>
    <comment ref="BK228" authorId="0">
      <text>
        <r>
          <rPr>
            <sz val="10"/>
            <rFont val="Arial"/>
            <family val="2"/>
          </rPr>
          <t xml:space="preserve">Company wording: Bridge loan and debt extinguishment fees: 30.6</t>
        </r>
      </text>
    </comment>
    <comment ref="BK230" authorId="0">
      <text>
        <r>
          <rPr>
            <sz val="10"/>
            <rFont val="Arial"/>
            <family val="2"/>
          </rPr>
          <t xml:space="preserve">Company wording: Income tax effect of pre-tax adjustments (derived: 'Net income' column less 'Income before income taxes' column, summed over pre-tax items): -80.4</t>
        </r>
      </text>
    </comment>
    <comment ref="BK231" authorId="0">
      <text>
        <r>
          <rPr>
            <sz val="10"/>
            <rFont val="Arial"/>
            <family val="2"/>
          </rPr>
          <t xml:space="preserve">Company wording: Acquisition-related tax matters: -7.3</t>
        </r>
      </text>
    </comment>
    <comment ref="BK240" authorId="0">
      <text>
        <r>
          <rPr>
            <sz val="10"/>
            <rFont val="Arial"/>
            <family val="2"/>
          </rPr>
          <t xml:space="preserve">FY2021 non-GAAP EPS $16.86.</t>
        </r>
      </text>
    </comment>
    <comment ref="BL187" authorId="0">
      <text>
        <r>
          <rPr>
            <sz val="10"/>
            <rFont val="Arial"/>
            <family val="2"/>
          </rPr>
          <t xml:space="preserve">Company wording: Acquired intangible asset amortization: 53.6</t>
        </r>
      </text>
    </comment>
    <comment ref="BL222" authorId="0">
      <text>
        <r>
          <rPr>
            <sz val="10"/>
            <rFont val="Arial"/>
            <family val="2"/>
          </rPr>
          <t xml:space="preserve">Company wording: Acquired intangible asset amortization: 53.6</t>
        </r>
      </text>
    </comment>
    <comment ref="BL230" authorId="0">
      <text>
        <r>
          <rPr>
            <sz val="10"/>
            <rFont val="Arial"/>
            <family val="2"/>
          </rPr>
          <t xml:space="preserve">Company wording: Income tax effect of pre-tax adjustments (derived: 'Net income' column less 'Income before income taxes' column, summed over pre-tax items): -12.3</t>
        </r>
      </text>
    </comment>
    <comment ref="BL231" authorId="0">
      <text>
        <r>
          <rPr>
            <sz val="10"/>
            <rFont val="Arial"/>
            <family val="2"/>
          </rPr>
          <t xml:space="preserve">Company wording: Acquisition-related tax matters: -50.0</t>
        </r>
      </text>
    </comment>
    <comment ref="BM187" authorId="0">
      <text>
        <r>
          <rPr>
            <sz val="10"/>
            <rFont val="Arial"/>
            <family val="2"/>
          </rPr>
          <t xml:space="preserve">Company wording: Acquired intangible asset amortization: 51.3</t>
        </r>
      </text>
    </comment>
    <comment ref="BM222" authorId="0">
      <text>
        <r>
          <rPr>
            <sz val="10"/>
            <rFont val="Arial"/>
            <family val="2"/>
          </rPr>
          <t xml:space="preserve">Company wording: Acquired intangible asset amortization: 51.3</t>
        </r>
      </text>
    </comment>
    <comment ref="BM230" authorId="0">
      <text>
        <r>
          <rPr>
            <sz val="10"/>
            <rFont val="Arial"/>
            <family val="2"/>
          </rPr>
          <t xml:space="preserve">Company wording: Income tax effect of pre-tax adjustments (derived: 'Net income' column less 'Income before income taxes' column, summed over pre-tax items): -11.9</t>
        </r>
      </text>
    </comment>
    <comment ref="BM231" authorId="0">
      <text>
        <r>
          <rPr>
            <sz val="10"/>
            <rFont val="Arial"/>
            <family val="2"/>
          </rPr>
          <t xml:space="preserve">Company wording: Acquisition-related tax matters: 0.6</t>
        </r>
      </text>
    </comment>
    <comment ref="BO187" authorId="0">
      <text>
        <r>
          <rPr>
            <sz val="10"/>
            <rFont val="Arial"/>
            <family val="2"/>
          </rPr>
          <t xml:space="preserve">Company wording: Acquired intangible asset amortization: 48.9</t>
        </r>
      </text>
    </comment>
    <comment ref="BO222" authorId="0">
      <text>
        <r>
          <rPr>
            <sz val="10"/>
            <rFont val="Arial"/>
            <family val="2"/>
          </rPr>
          <t xml:space="preserve">Company wording: Acquired intangible asset amortization: 48.9</t>
        </r>
      </text>
    </comment>
    <comment ref="BO230" authorId="0">
      <text>
        <r>
          <rPr>
            <sz val="10"/>
            <rFont val="Arial"/>
            <family val="2"/>
          </rPr>
          <t xml:space="preserve">Company wording: Income tax effect of pre-tax adjustments (derived: 'Net income' column less 'Income before income taxes' column, summed over pre-tax items): -11.5</t>
        </r>
      </text>
    </comment>
    <comment ref="BO231" authorId="0">
      <text>
        <r>
          <rPr>
            <sz val="10"/>
            <rFont val="Arial"/>
            <family val="2"/>
          </rPr>
          <t xml:space="preserve">Company wording: Acquisition-related tax matters: 0.8</t>
        </r>
      </text>
    </comment>
    <comment ref="BP15" authorId="0">
      <text>
        <r>
          <rPr>
            <sz val="10"/>
            <rFont val="Arial"/>
            <family val="2"/>
          </rPr>
          <t xml:space="preserve">Company wording: FLIR integration costs: -4.0</t>
        </r>
      </text>
    </comment>
    <comment ref="BP187" authorId="0">
      <text>
        <r>
          <rPr>
            <sz val="10"/>
            <rFont val="Arial"/>
            <family val="2"/>
          </rPr>
          <t xml:space="preserve">Company wording: Acquired intangible asset amortization: 47.9</t>
        </r>
      </text>
    </comment>
    <comment ref="BP188" authorId="0">
      <text>
        <r>
          <rPr>
            <sz val="10"/>
            <rFont val="Arial"/>
            <family val="2"/>
          </rPr>
          <t xml:space="preserve">Company wording: FLIR integration costs: -4.0</t>
        </r>
      </text>
    </comment>
    <comment ref="BP197" authorId="0">
      <text>
        <r>
          <rPr>
            <sz val="10"/>
            <rFont val="Arial"/>
            <family val="2"/>
          </rPr>
          <t xml:space="preserve">Q4/22: credit of $4.0m for FLIR integration costs.</t>
        </r>
      </text>
    </comment>
    <comment ref="BP222" authorId="0">
      <text>
        <r>
          <rPr>
            <sz val="10"/>
            <rFont val="Arial"/>
            <family val="2"/>
          </rPr>
          <t xml:space="preserve">Company wording: Acquired intangible asset amortization: 47.9</t>
        </r>
      </text>
    </comment>
    <comment ref="BP223" authorId="0">
      <text>
        <r>
          <rPr>
            <sz val="10"/>
            <rFont val="Arial"/>
            <family val="2"/>
          </rPr>
          <t xml:space="preserve">Company wording: FLIR integration costs: -4.0</t>
        </r>
      </text>
    </comment>
    <comment ref="BP230" authorId="0">
      <text>
        <r>
          <rPr>
            <sz val="10"/>
            <rFont val="Arial"/>
            <family val="2"/>
          </rPr>
          <t xml:space="preserve">Company wording: Income tax effect of pre-tax adjustments (derived: 'Net income' column less 'Income before income taxes' column, summed over pre-tax items): -10.1</t>
        </r>
      </text>
    </comment>
    <comment ref="BP231" authorId="0">
      <text>
        <r>
          <rPr>
            <sz val="10"/>
            <rFont val="Arial"/>
            <family val="2"/>
          </rPr>
          <t xml:space="preserve">Company wording: Acquisition-related tax matters: -24.1</t>
        </r>
      </text>
    </comment>
    <comment ref="BQ15" authorId="0">
      <text>
        <r>
          <rPr>
            <sz val="10"/>
            <rFont val="Arial"/>
            <family val="2"/>
          </rPr>
          <t xml:space="preserve">Company wording: FLIR integration costs: -4.0</t>
        </r>
      </text>
    </comment>
    <comment ref="BQ187" authorId="0">
      <text>
        <r>
          <rPr>
            <sz val="10"/>
            <rFont val="Arial"/>
            <family val="2"/>
          </rPr>
          <t xml:space="preserve">Company wording: Acquired intangible asset amortization: 201.7</t>
        </r>
      </text>
    </comment>
    <comment ref="BQ188" authorId="0">
      <text>
        <r>
          <rPr>
            <sz val="10"/>
            <rFont val="Arial"/>
            <family val="2"/>
          </rPr>
          <t xml:space="preserve">Company wording: FLIR integration costs: -4.0</t>
        </r>
      </text>
    </comment>
    <comment ref="BQ222" authorId="0">
      <text>
        <r>
          <rPr>
            <sz val="10"/>
            <rFont val="Arial"/>
            <family val="2"/>
          </rPr>
          <t xml:space="preserve">Company wording: Acquired intangible asset amortization: 201.7</t>
        </r>
      </text>
    </comment>
    <comment ref="BQ223" authorId="0">
      <text>
        <r>
          <rPr>
            <sz val="10"/>
            <rFont val="Arial"/>
            <family val="2"/>
          </rPr>
          <t xml:space="preserve">Company wording: FLIR integration costs: -4.0</t>
        </r>
      </text>
    </comment>
    <comment ref="BQ230" authorId="0">
      <text>
        <r>
          <rPr>
            <sz val="10"/>
            <rFont val="Arial"/>
            <family val="2"/>
          </rPr>
          <t xml:space="preserve">Company wording: Income tax effect of pre-tax adjustments (derived: 'Net income' column less 'Income before income taxes' column, summed over pre-tax items): -45.8</t>
        </r>
      </text>
    </comment>
    <comment ref="BQ231" authorId="0">
      <text>
        <r>
          <rPr>
            <sz val="10"/>
            <rFont val="Arial"/>
            <family val="2"/>
          </rPr>
          <t xml:space="preserve">Company wording: Acquisition-related tax matters: -72.7</t>
        </r>
      </text>
    </comment>
    <comment ref="BR187" authorId="0">
      <text>
        <r>
          <rPr>
            <sz val="10"/>
            <rFont val="Arial"/>
            <family val="2"/>
          </rPr>
          <t xml:space="preserve">Company wording: Acquired intangible asset amortization: 49.7</t>
        </r>
      </text>
    </comment>
    <comment ref="BR222" authorId="0">
      <text>
        <r>
          <rPr>
            <sz val="10"/>
            <rFont val="Arial"/>
            <family val="2"/>
          </rPr>
          <t xml:space="preserve">Company wording: Acquired intangible asset amortization: 49.7</t>
        </r>
      </text>
    </comment>
    <comment ref="BR230" authorId="0">
      <text>
        <r>
          <rPr>
            <sz val="10"/>
            <rFont val="Arial"/>
            <family val="2"/>
          </rPr>
          <t xml:space="preserve">Company wording: Income tax effect of pre-tax adjustments (derived: 'Net income' column less 'Income before income taxes' column, summed over pre-tax items): -11.5</t>
        </r>
      </text>
    </comment>
    <comment ref="BR231" authorId="0">
      <text>
        <r>
          <rPr>
            <sz val="10"/>
            <rFont val="Arial"/>
            <family val="2"/>
          </rPr>
          <t xml:space="preserve">Company wording: Acquisition-related tax matters: 0.3</t>
        </r>
      </text>
    </comment>
    <comment ref="BS187" authorId="0">
      <text>
        <r>
          <rPr>
            <sz val="10"/>
            <rFont val="Arial"/>
            <family val="2"/>
          </rPr>
          <t xml:space="preserve">Company wording: Acquired intangible asset amortization: 49.3</t>
        </r>
      </text>
    </comment>
    <comment ref="BS222" authorId="0">
      <text>
        <r>
          <rPr>
            <sz val="10"/>
            <rFont val="Arial"/>
            <family val="2"/>
          </rPr>
          <t xml:space="preserve">Company wording: Acquired intangible asset amortization: 49.3</t>
        </r>
      </text>
    </comment>
    <comment ref="BS230" authorId="0">
      <text>
        <r>
          <rPr>
            <sz val="10"/>
            <rFont val="Arial"/>
            <family val="2"/>
          </rPr>
          <t xml:space="preserve">Company wording: Income tax effect of pre-tax adjustments (derived: 'Net income' column less 'Income before income taxes' column, summed over pre-tax items): -11.3</t>
        </r>
      </text>
    </comment>
    <comment ref="BS231" authorId="0">
      <text>
        <r>
          <rPr>
            <sz val="10"/>
            <rFont val="Arial"/>
            <family val="2"/>
          </rPr>
          <t xml:space="preserve">Company wording: FLIR acquisition-related tax matters: 0.4</t>
        </r>
      </text>
    </comment>
    <comment ref="BU15" authorId="0">
      <text>
        <r>
          <rPr>
            <sz val="10"/>
            <rFont val="Arial"/>
            <family val="2"/>
          </rPr>
          <t xml:space="preserve">Company wording: FLIR integration costs: 5.8</t>
        </r>
      </text>
    </comment>
    <comment ref="BU187" authorId="0">
      <text>
        <r>
          <rPr>
            <sz val="10"/>
            <rFont val="Arial"/>
            <family val="2"/>
          </rPr>
          <t xml:space="preserve">Company wording: Acquired intangible asset amortization: 49.1</t>
        </r>
      </text>
    </comment>
    <comment ref="BU188" authorId="0">
      <text>
        <r>
          <rPr>
            <sz val="10"/>
            <rFont val="Arial"/>
            <family val="2"/>
          </rPr>
          <t xml:space="preserve">Company wording: FLIR integration costs: 5.8</t>
        </r>
      </text>
    </comment>
    <comment ref="BU197" authorId="0">
      <text>
        <r>
          <rPr>
            <sz val="10"/>
            <rFont val="Arial"/>
            <family val="2"/>
          </rPr>
          <t xml:space="preserve">Q3-23 release: new 'FLIR integration costs' item (5.8; Q4/23 3.0); 2024 Q1–Q3 'FLIR integration costs'.</t>
        </r>
      </text>
    </comment>
    <comment ref="BU222" authorId="0">
      <text>
        <r>
          <rPr>
            <sz val="10"/>
            <rFont val="Arial"/>
            <family val="2"/>
          </rPr>
          <t xml:space="preserve">Company wording: Acquired intangible asset amortization: 49.1</t>
        </r>
      </text>
    </comment>
    <comment ref="BU223" authorId="0">
      <text>
        <r>
          <rPr>
            <sz val="10"/>
            <rFont val="Arial"/>
            <family val="2"/>
          </rPr>
          <t xml:space="preserve">Company wording: FLIR integration costs: 5.8</t>
        </r>
      </text>
    </comment>
    <comment ref="BU230" authorId="0">
      <text>
        <r>
          <rPr>
            <sz val="10"/>
            <rFont val="Arial"/>
            <family val="2"/>
          </rPr>
          <t xml:space="preserve">Company wording: Income tax effect of pre-tax adjustments (derived: 'Net income' column less 'Income before income taxes' column, summed over pre-tax items): -12.6</t>
        </r>
      </text>
    </comment>
    <comment ref="BU231" authorId="0">
      <text>
        <r>
          <rPr>
            <sz val="10"/>
            <rFont val="Arial"/>
            <family val="2"/>
          </rPr>
          <t xml:space="preserve">Company wording: FLIR acquisition-related tax matters: 1.0</t>
        </r>
      </text>
    </comment>
    <comment ref="BU240" authorId="0">
      <text>
        <r>
          <rPr>
            <sz val="10"/>
            <rFont val="Arial"/>
            <family val="2"/>
          </rPr>
          <t xml:space="preserve">'FLIR integration costs' added</t>
        </r>
      </text>
    </comment>
    <comment ref="BV15" authorId="0">
      <text>
        <r>
          <rPr>
            <sz val="10"/>
            <rFont val="Arial"/>
            <family val="2"/>
          </rPr>
          <t xml:space="preserve">Company wording: Transaction and integration costs: 3.0</t>
        </r>
      </text>
    </comment>
    <comment ref="BV187" authorId="0">
      <text>
        <r>
          <rPr>
            <sz val="10"/>
            <rFont val="Arial"/>
            <family val="2"/>
          </rPr>
          <t xml:space="preserve">Company wording: Acquired intangible asset amortization: 48.6</t>
        </r>
      </text>
    </comment>
    <comment ref="BV188" authorId="0">
      <text>
        <r>
          <rPr>
            <sz val="10"/>
            <rFont val="Arial"/>
            <family val="2"/>
          </rPr>
          <t xml:space="preserve">Company wording: Transaction and integration costs: 3.0</t>
        </r>
      </text>
    </comment>
    <comment ref="BV222" authorId="0">
      <text>
        <r>
          <rPr>
            <sz val="10"/>
            <rFont val="Arial"/>
            <family val="2"/>
          </rPr>
          <t xml:space="preserve">Company wording: Acquired intangible asset amortization: 48.6</t>
        </r>
      </text>
    </comment>
    <comment ref="BV223" authorId="0">
      <text>
        <r>
          <rPr>
            <sz val="10"/>
            <rFont val="Arial"/>
            <family val="2"/>
          </rPr>
          <t xml:space="preserve">Company wording: Transaction and integration costs: 3.0</t>
        </r>
      </text>
    </comment>
    <comment ref="BV230" authorId="0">
      <text>
        <r>
          <rPr>
            <sz val="10"/>
            <rFont val="Arial"/>
            <family val="2"/>
          </rPr>
          <t xml:space="preserve">Company wording: Income tax effect of pre-tax adjustments (derived: 'Net income' column less 'Income before income taxes' column, summed over pre-tax items): -12.0</t>
        </r>
      </text>
    </comment>
    <comment ref="BV231" authorId="0">
      <text>
        <r>
          <rPr>
            <sz val="10"/>
            <rFont val="Arial"/>
            <family val="2"/>
          </rPr>
          <t xml:space="preserve">Company wording: FLIR acquisition-related tax matters: -102.2</t>
        </r>
      </text>
    </comment>
    <comment ref="BW15" authorId="0">
      <text>
        <r>
          <rPr>
            <sz val="10"/>
            <rFont val="Arial"/>
            <family val="2"/>
          </rPr>
          <t xml:space="preserve">Company wording: Transaction and integration costs: 8.8</t>
        </r>
      </text>
    </comment>
    <comment ref="BW187" authorId="0">
      <text>
        <r>
          <rPr>
            <sz val="10"/>
            <rFont val="Arial"/>
            <family val="2"/>
          </rPr>
          <t xml:space="preserve">Company wording: Acquired intangible asset amortization: 196.7</t>
        </r>
      </text>
    </comment>
    <comment ref="BW188" authorId="0">
      <text>
        <r>
          <rPr>
            <sz val="10"/>
            <rFont val="Arial"/>
            <family val="2"/>
          </rPr>
          <t xml:space="preserve">Company wording: Transaction and integration costs: 8.8</t>
        </r>
      </text>
    </comment>
    <comment ref="BW222" authorId="0">
      <text>
        <r>
          <rPr>
            <sz val="10"/>
            <rFont val="Arial"/>
            <family val="2"/>
          </rPr>
          <t xml:space="preserve">Company wording: Acquired intangible asset amortization: 196.7</t>
        </r>
      </text>
    </comment>
    <comment ref="BW223" authorId="0">
      <text>
        <r>
          <rPr>
            <sz val="10"/>
            <rFont val="Arial"/>
            <family val="2"/>
          </rPr>
          <t xml:space="preserve">Company wording: Transaction and integration costs: 8.8</t>
        </r>
      </text>
    </comment>
    <comment ref="BW230" authorId="0">
      <text>
        <r>
          <rPr>
            <sz val="10"/>
            <rFont val="Arial"/>
            <family val="2"/>
          </rPr>
          <t xml:space="preserve">Company wording: Income tax effect of pre-tax adjustments (derived: 'Net income' column less 'Income before income taxes' column, summed over pre-tax items): -47.4</t>
        </r>
      </text>
    </comment>
    <comment ref="BW231" authorId="0">
      <text>
        <r>
          <rPr>
            <sz val="10"/>
            <rFont val="Arial"/>
            <family val="2"/>
          </rPr>
          <t xml:space="preserve">Company wording: FLIR acquisition-related tax matters: -100.5</t>
        </r>
      </text>
    </comment>
    <comment ref="BX15" authorId="0">
      <text>
        <r>
          <rPr>
            <sz val="10"/>
            <rFont val="Arial"/>
            <family val="2"/>
          </rPr>
          <t xml:space="preserve">Company wording: Transaction and Integration Costs: 2.2</t>
        </r>
      </text>
    </comment>
    <comment ref="BX187" authorId="0">
      <text>
        <r>
          <rPr>
            <sz val="10"/>
            <rFont val="Arial"/>
            <family val="2"/>
          </rPr>
          <t xml:space="preserve">Company wording: Acquired intangible asset amortization: 49.4</t>
        </r>
      </text>
    </comment>
    <comment ref="BX188" authorId="0">
      <text>
        <r>
          <rPr>
            <sz val="10"/>
            <rFont val="Arial"/>
            <family val="2"/>
          </rPr>
          <t xml:space="preserve">Company wording: Transaction and integration costs: 2.2</t>
        </r>
      </text>
    </comment>
    <comment ref="BX189" authorId="0">
      <text>
        <r>
          <rPr>
            <sz val="10"/>
            <rFont val="Arial"/>
            <family val="2"/>
          </rPr>
          <t xml:space="preserve">Company wording: Inventory step-up expense: 0.0</t>
        </r>
      </text>
    </comment>
    <comment ref="BX222" authorId="0">
      <text>
        <r>
          <rPr>
            <sz val="10"/>
            <rFont val="Arial"/>
            <family val="2"/>
          </rPr>
          <t xml:space="preserve">Company wording: Acquired intangible asset amortization: 49.4</t>
        </r>
      </text>
    </comment>
    <comment ref="BX223" authorId="0">
      <text>
        <r>
          <rPr>
            <sz val="10"/>
            <rFont val="Arial"/>
            <family val="2"/>
          </rPr>
          <t xml:space="preserve">Company wording: Transaction and integration costs: 2.2</t>
        </r>
      </text>
    </comment>
    <comment ref="BX224" authorId="0">
      <text>
        <r>
          <rPr>
            <sz val="10"/>
            <rFont val="Arial"/>
            <family val="2"/>
          </rPr>
          <t xml:space="preserve">Company wording: Inventory step-up expense: 0.0</t>
        </r>
      </text>
    </comment>
    <comment ref="BX230" authorId="0">
      <text>
        <r>
          <rPr>
            <sz val="10"/>
            <rFont val="Arial"/>
            <family val="2"/>
          </rPr>
          <t xml:space="preserve">Company wording: Income tax effect of specified pre-tax items (derived: company after-tax amounts less pre-tax amounts): -12.1</t>
        </r>
      </text>
    </comment>
    <comment ref="BX231" authorId="0">
      <text>
        <r>
          <rPr>
            <sz val="10"/>
            <rFont val="Arial"/>
            <family val="2"/>
          </rPr>
          <t xml:space="preserve">Company wording: FLIR acquisition-related tax matters: 0.3</t>
        </r>
      </text>
    </comment>
    <comment ref="BY15" authorId="0">
      <text>
        <r>
          <rPr>
            <sz val="10"/>
            <rFont val="Arial"/>
            <family val="2"/>
          </rPr>
          <t xml:space="preserve">Company wording: Transaction and Integration Costs: 1.0</t>
        </r>
      </text>
    </comment>
    <comment ref="BY187" authorId="0">
      <text>
        <r>
          <rPr>
            <sz val="10"/>
            <rFont val="Arial"/>
            <family val="2"/>
          </rPr>
          <t xml:space="preserve">Company wording: Acquired intangible asset amortization: 49.1</t>
        </r>
      </text>
    </comment>
    <comment ref="BY188" authorId="0">
      <text>
        <r>
          <rPr>
            <sz val="10"/>
            <rFont val="Arial"/>
            <family val="2"/>
          </rPr>
          <t xml:space="preserve">Company wording: Transaction and integration costs: 1.0</t>
        </r>
      </text>
    </comment>
    <comment ref="BY189" authorId="0">
      <text>
        <r>
          <rPr>
            <sz val="10"/>
            <rFont val="Arial"/>
            <family val="2"/>
          </rPr>
          <t xml:space="preserve">Company wording: Inventory step-up expense: 0.0</t>
        </r>
      </text>
    </comment>
    <comment ref="BY222" authorId="0">
      <text>
        <r>
          <rPr>
            <sz val="10"/>
            <rFont val="Arial"/>
            <family val="2"/>
          </rPr>
          <t xml:space="preserve">Company wording: Acquired intangible asset amortization: 49.1</t>
        </r>
      </text>
    </comment>
    <comment ref="BY223" authorId="0">
      <text>
        <r>
          <rPr>
            <sz val="10"/>
            <rFont val="Arial"/>
            <family val="2"/>
          </rPr>
          <t xml:space="preserve">Company wording: Transaction and integration costs: 1.0</t>
        </r>
      </text>
    </comment>
    <comment ref="BY224" authorId="0">
      <text>
        <r>
          <rPr>
            <sz val="10"/>
            <rFont val="Arial"/>
            <family val="2"/>
          </rPr>
          <t xml:space="preserve">Company wording: Inventory step-up expense: 0.0</t>
        </r>
      </text>
    </comment>
    <comment ref="BY230" authorId="0">
      <text>
        <r>
          <rPr>
            <sz val="10"/>
            <rFont val="Arial"/>
            <family val="2"/>
          </rPr>
          <t xml:space="preserve">Company wording: Income tax effect of specified pre-tax items (derived: company after-tax amounts less pre-tax amounts): -11.8</t>
        </r>
      </text>
    </comment>
    <comment ref="BY231" authorId="0">
      <text>
        <r>
          <rPr>
            <sz val="10"/>
            <rFont val="Arial"/>
            <family val="2"/>
          </rPr>
          <t xml:space="preserve">Company wording: FLIR acquisition-related tax matters: 0.2</t>
        </r>
      </text>
    </comment>
    <comment ref="CA15" authorId="0">
      <text>
        <r>
          <rPr>
            <sz val="10"/>
            <rFont val="Arial"/>
            <family val="2"/>
          </rPr>
          <t xml:space="preserve">Company wording: Transaction and Integration Costs: 3.7</t>
        </r>
      </text>
    </comment>
    <comment ref="CA187" authorId="0">
      <text>
        <r>
          <rPr>
            <sz val="10"/>
            <rFont val="Arial"/>
            <family val="2"/>
          </rPr>
          <t xml:space="preserve">Company wording: Acquired intangible asset amortization: 49.8</t>
        </r>
      </text>
    </comment>
    <comment ref="CA188" authorId="0">
      <text>
        <r>
          <rPr>
            <sz val="10"/>
            <rFont val="Arial"/>
            <family val="2"/>
          </rPr>
          <t xml:space="preserve">Company wording: Transaction and integration costs: 3.7</t>
        </r>
      </text>
    </comment>
    <comment ref="CA189" authorId="0">
      <text>
        <r>
          <rPr>
            <sz val="10"/>
            <rFont val="Arial"/>
            <family val="2"/>
          </rPr>
          <t xml:space="preserve">Company wording: Inventory step-up expense: 0.0</t>
        </r>
      </text>
    </comment>
    <comment ref="CA222" authorId="0">
      <text>
        <r>
          <rPr>
            <sz val="10"/>
            <rFont val="Arial"/>
            <family val="2"/>
          </rPr>
          <t xml:space="preserve">Company wording: Acquired intangible asset amortization: 49.8</t>
        </r>
      </text>
    </comment>
    <comment ref="CA223" authorId="0">
      <text>
        <r>
          <rPr>
            <sz val="10"/>
            <rFont val="Arial"/>
            <family val="2"/>
          </rPr>
          <t xml:space="preserve">Company wording: Transaction and integration costs: 3.7</t>
        </r>
      </text>
    </comment>
    <comment ref="CA224" authorId="0">
      <text>
        <r>
          <rPr>
            <sz val="10"/>
            <rFont val="Arial"/>
            <family val="2"/>
          </rPr>
          <t xml:space="preserve">Company wording: Inventory step-up expense: 0.0</t>
        </r>
      </text>
    </comment>
    <comment ref="CA230" authorId="0">
      <text>
        <r>
          <rPr>
            <sz val="10"/>
            <rFont val="Arial"/>
            <family val="2"/>
          </rPr>
          <t xml:space="preserve">Company wording: Income tax effect of specified pre-tax items (derived: company after-tax amounts less pre-tax amounts): -12.5</t>
        </r>
      </text>
    </comment>
    <comment ref="CA231" authorId="0">
      <text>
        <r>
          <rPr>
            <sz val="10"/>
            <rFont val="Arial"/>
            <family val="2"/>
          </rPr>
          <t xml:space="preserve">Company wording: FLIR acquisition-related tax matters: -61.7</t>
        </r>
      </text>
    </comment>
    <comment ref="CB15" authorId="0">
      <text>
        <r>
          <rPr>
            <sz val="10"/>
            <rFont val="Arial"/>
            <family val="2"/>
          </rPr>
          <t xml:space="preserve">Company wording: Non-cash Trademark Impairments: 49.5 | Transaction and Integration Costs: 1.5</t>
        </r>
      </text>
    </comment>
    <comment ref="CB32" authorId="0">
      <text>
        <r>
          <rPr>
            <sz val="10"/>
            <rFont val="Arial"/>
            <family val="2"/>
          </rPr>
          <t xml:space="preserve">Company wording: Non-cash Trademark Impairments: 3.0</t>
        </r>
      </text>
    </comment>
    <comment ref="CB187" authorId="0">
      <text>
        <r>
          <rPr>
            <sz val="10"/>
            <rFont val="Arial"/>
            <family val="2"/>
          </rPr>
          <t xml:space="preserve">Company wording: Acquired intangible asset amortization: 49.7</t>
        </r>
      </text>
    </comment>
    <comment ref="CB188" authorId="0">
      <text>
        <r>
          <rPr>
            <sz val="10"/>
            <rFont val="Arial"/>
            <family val="2"/>
          </rPr>
          <t xml:space="preserve">Company wording: Transaction and integration costs: 1.5</t>
        </r>
      </text>
    </comment>
    <comment ref="CB189" authorId="0">
      <text>
        <r>
          <rPr>
            <sz val="10"/>
            <rFont val="Arial"/>
            <family val="2"/>
          </rPr>
          <t xml:space="preserve">Company wording: Inventory step-up expense: 0.0</t>
        </r>
      </text>
    </comment>
    <comment ref="CB190" authorId="0">
      <text>
        <r>
          <rPr>
            <sz val="10"/>
            <rFont val="Arial"/>
            <family val="2"/>
          </rPr>
          <t xml:space="preserve">Company wording: Non-cash trademark impairments: 52.5</t>
        </r>
      </text>
    </comment>
    <comment ref="CB197" authorId="0">
      <text>
        <r>
          <rPr>
            <sz val="10"/>
            <rFont val="Arial"/>
            <family val="2"/>
          </rPr>
          <t xml:space="preserve">Q4-24 release: non-cash impairment of indefinite-lived trademarks $52.5m (DI 49.5, Instrumentation 3.0) excluded — only use; integration item relabelled 'transaction and integration costs'.</t>
        </r>
      </text>
    </comment>
    <comment ref="CB222" authorId="0">
      <text>
        <r>
          <rPr>
            <sz val="10"/>
            <rFont val="Arial"/>
            <family val="2"/>
          </rPr>
          <t xml:space="preserve">Company wording: Acquired intangible asset amortization: 49.7</t>
        </r>
      </text>
    </comment>
    <comment ref="CB223" authorId="0">
      <text>
        <r>
          <rPr>
            <sz val="10"/>
            <rFont val="Arial"/>
            <family val="2"/>
          </rPr>
          <t xml:space="preserve">Company wording: Transaction and integration costs: 1.5</t>
        </r>
      </text>
    </comment>
    <comment ref="CB224" authorId="0">
      <text>
        <r>
          <rPr>
            <sz val="10"/>
            <rFont val="Arial"/>
            <family val="2"/>
          </rPr>
          <t xml:space="preserve">Company wording: Inventory step-up expense: 0.0</t>
        </r>
      </text>
    </comment>
    <comment ref="CB225" authorId="0">
      <text>
        <r>
          <rPr>
            <sz val="10"/>
            <rFont val="Arial"/>
            <family val="2"/>
          </rPr>
          <t xml:space="preserve">Company wording: Non-cash trademark impairments: 52.5</t>
        </r>
      </text>
    </comment>
    <comment ref="CB230" authorId="0">
      <text>
        <r>
          <rPr>
            <sz val="10"/>
            <rFont val="Arial"/>
            <family val="2"/>
          </rPr>
          <t xml:space="preserve">Company wording: Income tax effect of specified pre-tax items (derived: company after-tax amounts less pre-tax amounts): -24.7</t>
        </r>
      </text>
    </comment>
    <comment ref="CB231" authorId="0">
      <text>
        <r>
          <rPr>
            <sz val="10"/>
            <rFont val="Arial"/>
            <family val="2"/>
          </rPr>
          <t xml:space="preserve">Company wording: FLIR acquisition-related tax matters: -16.6</t>
        </r>
      </text>
    </comment>
    <comment ref="CB240" authorId="0">
      <text>
        <r>
          <rPr>
            <sz val="10"/>
            <rFont val="Arial"/>
            <family val="2"/>
          </rPr>
          <t xml:space="preserve">Q4-24 release: non-cash trademark impairment excluded; 'FLIR acquisition-related tax matters' label.</t>
        </r>
      </text>
    </comment>
    <comment ref="CC15" authorId="0">
      <text>
        <r>
          <rPr>
            <sz val="10"/>
            <rFont val="Arial"/>
            <family val="2"/>
          </rPr>
          <t xml:space="preserve">Company wording: Non-cash Trademark Impairments: 49.5 | Transaction and Integration Costs: 8.4</t>
        </r>
      </text>
    </comment>
    <comment ref="CC32" authorId="0">
      <text>
        <r>
          <rPr>
            <sz val="10"/>
            <rFont val="Arial"/>
            <family val="2"/>
          </rPr>
          <t xml:space="preserve">Company wording: Non-cash Trademark Impairments: 3.0</t>
        </r>
      </text>
    </comment>
    <comment ref="CC187" authorId="0">
      <text>
        <r>
          <rPr>
            <sz val="10"/>
            <rFont val="Arial"/>
            <family val="2"/>
          </rPr>
          <t xml:space="preserve">Company wording: Acquired intangible asset amortization: 198.0</t>
        </r>
      </text>
    </comment>
    <comment ref="CC188" authorId="0">
      <text>
        <r>
          <rPr>
            <sz val="10"/>
            <rFont val="Arial"/>
            <family val="2"/>
          </rPr>
          <t xml:space="preserve">Company wording: Transaction and integration costs: 8.4</t>
        </r>
      </text>
    </comment>
    <comment ref="CC189" authorId="0">
      <text>
        <r>
          <rPr>
            <sz val="10"/>
            <rFont val="Arial"/>
            <family val="2"/>
          </rPr>
          <t xml:space="preserve">Company wording: Inventory step-up expense: 0.0</t>
        </r>
      </text>
    </comment>
    <comment ref="CC190" authorId="0">
      <text>
        <r>
          <rPr>
            <sz val="10"/>
            <rFont val="Arial"/>
            <family val="2"/>
          </rPr>
          <t xml:space="preserve">Company wording: Non-cash trademark impairments: 52.5</t>
        </r>
      </text>
    </comment>
    <comment ref="CC222" authorId="0">
      <text>
        <r>
          <rPr>
            <sz val="10"/>
            <rFont val="Arial"/>
            <family val="2"/>
          </rPr>
          <t xml:space="preserve">Company wording: Acquired intangible asset amortization: 198.0</t>
        </r>
      </text>
    </comment>
    <comment ref="CC223" authorId="0">
      <text>
        <r>
          <rPr>
            <sz val="10"/>
            <rFont val="Arial"/>
            <family val="2"/>
          </rPr>
          <t xml:space="preserve">Company wording: Transaction and integration costs: 8.4</t>
        </r>
      </text>
    </comment>
    <comment ref="CC224" authorId="0">
      <text>
        <r>
          <rPr>
            <sz val="10"/>
            <rFont val="Arial"/>
            <family val="2"/>
          </rPr>
          <t xml:space="preserve">Company wording: Inventory step-up expense: 0.0</t>
        </r>
      </text>
    </comment>
    <comment ref="CC225" authorId="0">
      <text>
        <r>
          <rPr>
            <sz val="10"/>
            <rFont val="Arial"/>
            <family val="2"/>
          </rPr>
          <t xml:space="preserve">Company wording: Non-cash trademark impairments: 52.5</t>
        </r>
      </text>
    </comment>
    <comment ref="CC230" authorId="0">
      <text>
        <r>
          <rPr>
            <sz val="10"/>
            <rFont val="Arial"/>
            <family val="2"/>
          </rPr>
          <t xml:space="preserve">Company wording: Income tax effect of specified pre-tax items (derived: company after-tax amounts less pre-tax amounts): -61.1</t>
        </r>
      </text>
    </comment>
    <comment ref="CC231" authorId="0">
      <text>
        <r>
          <rPr>
            <sz val="10"/>
            <rFont val="Arial"/>
            <family val="2"/>
          </rPr>
          <t xml:space="preserve">Company wording: FLIR acquisition-related tax matters: -77.8</t>
        </r>
      </text>
    </comment>
    <comment ref="CD52" authorId="0">
      <text>
        <r>
          <rPr>
            <sz val="10"/>
            <rFont val="Arial"/>
            <family val="2"/>
          </rPr>
          <t xml:space="preserve">Company wording: Inventory Step-up Expense: 0.6 | Transaction and Integration Costs: 3.2</t>
        </r>
      </text>
    </comment>
    <comment ref="CD98" authorId="0">
      <text>
        <r>
          <rPr>
            <sz val="10"/>
            <rFont val="Arial"/>
            <family val="2"/>
          </rPr>
          <t xml:space="preserve">Company wording: Transaction and Integration Costs: 3.6</t>
        </r>
      </text>
    </comment>
    <comment ref="CD187" authorId="0">
      <text>
        <r>
          <rPr>
            <sz val="10"/>
            <rFont val="Arial"/>
            <family val="2"/>
          </rPr>
          <t xml:space="preserve">Company wording: Acquired intangible asset amortization: 52.0</t>
        </r>
      </text>
    </comment>
    <comment ref="CD188" authorId="0">
      <text>
        <r>
          <rPr>
            <sz val="10"/>
            <rFont val="Arial"/>
            <family val="2"/>
          </rPr>
          <t xml:space="preserve">Company wording: Transaction and integration costs: 6.8</t>
        </r>
      </text>
    </comment>
    <comment ref="CD189" authorId="0">
      <text>
        <r>
          <rPr>
            <sz val="10"/>
            <rFont val="Arial"/>
            <family val="2"/>
          </rPr>
          <t xml:space="preserve">Company wording: Inventory step-up expense: 0.6</t>
        </r>
      </text>
    </comment>
    <comment ref="CD197" authorId="0">
      <text>
        <r>
          <rPr>
            <sz val="10"/>
            <rFont val="Arial"/>
            <family val="2"/>
          </rPr>
          <t xml:space="preserve">Q1-25 release: inventory step-up expense (Micropac 30-Dec-2024; Excelitas A&amp;D / Qioptiq 3-Feb-2025) excluded.</t>
        </r>
      </text>
    </comment>
    <comment ref="CD222" authorId="0">
      <text>
        <r>
          <rPr>
            <sz val="10"/>
            <rFont val="Arial"/>
            <family val="2"/>
          </rPr>
          <t xml:space="preserve">Company wording: Acquired intangible asset amortization: 52.0</t>
        </r>
      </text>
    </comment>
    <comment ref="CD223" authorId="0">
      <text>
        <r>
          <rPr>
            <sz val="10"/>
            <rFont val="Arial"/>
            <family val="2"/>
          </rPr>
          <t xml:space="preserve">Company wording: Transaction and integration costs: 6.8</t>
        </r>
      </text>
    </comment>
    <comment ref="CD224" authorId="0">
      <text>
        <r>
          <rPr>
            <sz val="10"/>
            <rFont val="Arial"/>
            <family val="2"/>
          </rPr>
          <t xml:space="preserve">Company wording: Inventory step-up expense: 0.6</t>
        </r>
      </text>
    </comment>
    <comment ref="CD230" authorId="0">
      <text>
        <r>
          <rPr>
            <sz val="10"/>
            <rFont val="Arial"/>
            <family val="2"/>
          </rPr>
          <t xml:space="preserve">Company wording: Income tax effect of specified pre-tax items (derived: company after-tax amounts less pre-tax amounts): -14.0</t>
        </r>
      </text>
    </comment>
    <comment ref="CD231" authorId="0">
      <text>
        <r>
          <rPr>
            <sz val="10"/>
            <rFont val="Arial"/>
            <family val="2"/>
          </rPr>
          <t xml:space="preserve">Company wording: FLIR acquisition-related tax matters: 0.0</t>
        </r>
      </text>
    </comment>
    <comment ref="CD240" authorId="0">
      <text>
        <r>
          <rPr>
            <sz val="10"/>
            <rFont val="Arial"/>
            <family val="2"/>
          </rPr>
          <t xml:space="preserve">Inventory step-up excluded (Micropac / Excelitas A&amp;D)</t>
        </r>
      </text>
    </comment>
    <comment ref="CE52" authorId="0">
      <text>
        <r>
          <rPr>
            <sz val="10"/>
            <rFont val="Arial"/>
            <family val="2"/>
          </rPr>
          <t xml:space="preserve">Company wording: Inventory Step-up Expense: 1.2 | Transaction and Integration Costs: 0.6</t>
        </r>
      </text>
    </comment>
    <comment ref="CE98" authorId="0">
      <text>
        <r>
          <rPr>
            <sz val="10"/>
            <rFont val="Arial"/>
            <family val="2"/>
          </rPr>
          <t xml:space="preserve">Company wording: Transaction and Integration Costs: 1.3</t>
        </r>
      </text>
    </comment>
    <comment ref="CE187" authorId="0">
      <text>
        <r>
          <rPr>
            <sz val="10"/>
            <rFont val="Arial"/>
            <family val="2"/>
          </rPr>
          <t xml:space="preserve">Company wording: Acquired intangible asset amortization: 54.6</t>
        </r>
      </text>
    </comment>
    <comment ref="CE188" authorId="0">
      <text>
        <r>
          <rPr>
            <sz val="10"/>
            <rFont val="Arial"/>
            <family val="2"/>
          </rPr>
          <t xml:space="preserve">Company wording: Transaction and integration costs: 1.9</t>
        </r>
      </text>
    </comment>
    <comment ref="CE189" authorId="0">
      <text>
        <r>
          <rPr>
            <sz val="10"/>
            <rFont val="Arial"/>
            <family val="2"/>
          </rPr>
          <t xml:space="preserve">Company wording: Inventory step-up expense: 1.2</t>
        </r>
      </text>
    </comment>
    <comment ref="CE222" authorId="0">
      <text>
        <r>
          <rPr>
            <sz val="10"/>
            <rFont val="Arial"/>
            <family val="2"/>
          </rPr>
          <t xml:space="preserve">Company wording: Acquired intangible asset amortization: 54.6</t>
        </r>
      </text>
    </comment>
    <comment ref="CE223" authorId="0">
      <text>
        <r>
          <rPr>
            <sz val="10"/>
            <rFont val="Arial"/>
            <family val="2"/>
          </rPr>
          <t xml:space="preserve">Company wording: Transaction and integration costs: 1.9</t>
        </r>
      </text>
    </comment>
    <comment ref="CE224" authorId="0">
      <text>
        <r>
          <rPr>
            <sz val="10"/>
            <rFont val="Arial"/>
            <family val="2"/>
          </rPr>
          <t xml:space="preserve">Company wording: Inventory step-up expense: 1.2</t>
        </r>
      </text>
    </comment>
    <comment ref="CE230" authorId="0">
      <text>
        <r>
          <rPr>
            <sz val="10"/>
            <rFont val="Arial"/>
            <family val="2"/>
          </rPr>
          <t xml:space="preserve">Company wording: Income tax effect of specified pre-tax items (derived: company after-tax amounts less pre-tax amounts): -13.6</t>
        </r>
      </text>
    </comment>
    <comment ref="CE231" authorId="0">
      <text>
        <r>
          <rPr>
            <sz val="10"/>
            <rFont val="Arial"/>
            <family val="2"/>
          </rPr>
          <t xml:space="preserve">Company wording: FLIR acquisition-related tax matters: -7.7</t>
        </r>
      </text>
    </comment>
    <comment ref="CG52" authorId="0">
      <text>
        <r>
          <rPr>
            <sz val="10"/>
            <rFont val="Arial"/>
            <family val="2"/>
          </rPr>
          <t xml:space="preserve">Company wording: Inventory Step-up Expense: 1.4 | Transaction and Integration Costs: 0.5</t>
        </r>
      </text>
    </comment>
    <comment ref="CG98" authorId="0">
      <text>
        <r>
          <rPr>
            <sz val="10"/>
            <rFont val="Arial"/>
            <family val="2"/>
          </rPr>
          <t xml:space="preserve">Company wording: Transaction and Integration Costs: 0.2</t>
        </r>
      </text>
    </comment>
    <comment ref="CG187" authorId="0">
      <text>
        <r>
          <rPr>
            <sz val="10"/>
            <rFont val="Arial"/>
            <family val="2"/>
          </rPr>
          <t xml:space="preserve">Company wording: Acquired intangible asset amortization: 55.1</t>
        </r>
      </text>
    </comment>
    <comment ref="CG188" authorId="0">
      <text>
        <r>
          <rPr>
            <sz val="10"/>
            <rFont val="Arial"/>
            <family val="2"/>
          </rPr>
          <t xml:space="preserve">Company wording: Transaction and integration costs: 0.7</t>
        </r>
      </text>
    </comment>
    <comment ref="CG189" authorId="0">
      <text>
        <r>
          <rPr>
            <sz val="10"/>
            <rFont val="Arial"/>
            <family val="2"/>
          </rPr>
          <t xml:space="preserve">Company wording: Inventory step-up expense: 1.4</t>
        </r>
      </text>
    </comment>
    <comment ref="CG222" authorId="0">
      <text>
        <r>
          <rPr>
            <sz val="10"/>
            <rFont val="Arial"/>
            <family val="2"/>
          </rPr>
          <t xml:space="preserve">Company wording: Acquired intangible asset amortization: 55.1</t>
        </r>
      </text>
    </comment>
    <comment ref="CG223" authorId="0">
      <text>
        <r>
          <rPr>
            <sz val="10"/>
            <rFont val="Arial"/>
            <family val="2"/>
          </rPr>
          <t xml:space="preserve">Company wording: Transaction and integration costs: 0.7</t>
        </r>
      </text>
    </comment>
    <comment ref="CG224" authorId="0">
      <text>
        <r>
          <rPr>
            <sz val="10"/>
            <rFont val="Arial"/>
            <family val="2"/>
          </rPr>
          <t xml:space="preserve">Company wording: Inventory step-up expense: 1.4</t>
        </r>
      </text>
    </comment>
    <comment ref="CG230" authorId="0">
      <text>
        <r>
          <rPr>
            <sz val="10"/>
            <rFont val="Arial"/>
            <family val="2"/>
          </rPr>
          <t xml:space="preserve">Company wording: Income tax effect of specified pre-tax items (derived: company after-tax amounts less pre-tax amounts): -13.6</t>
        </r>
      </text>
    </comment>
    <comment ref="CG231" authorId="0">
      <text>
        <r>
          <rPr>
            <sz val="10"/>
            <rFont val="Arial"/>
            <family val="2"/>
          </rPr>
          <t xml:space="preserve">Company wording: FLIR acquisition-related tax matters: 0.2</t>
        </r>
      </text>
    </comment>
    <comment ref="CH52" authorId="0">
      <text>
        <r>
          <rPr>
            <sz val="10"/>
            <rFont val="Arial"/>
            <family val="2"/>
          </rPr>
          <t xml:space="preserve">Company wording: Inventory Step-up Expense: 0.2 | Transaction and Integration Costs: 0.5</t>
        </r>
      </text>
    </comment>
    <comment ref="CH98" authorId="0">
      <text>
        <r>
          <rPr>
            <sz val="10"/>
            <rFont val="Arial"/>
            <family val="2"/>
          </rPr>
          <t xml:space="preserve">Company wording: Transaction and Integration Costs: 0.3</t>
        </r>
      </text>
    </comment>
    <comment ref="CH187" authorId="0">
      <text>
        <r>
          <rPr>
            <sz val="10"/>
            <rFont val="Arial"/>
            <family val="2"/>
          </rPr>
          <t xml:space="preserve">Company wording: Acquired intangible asset amortization: 54.9</t>
        </r>
      </text>
    </comment>
    <comment ref="CH188" authorId="0">
      <text>
        <r>
          <rPr>
            <sz val="10"/>
            <rFont val="Arial"/>
            <family val="2"/>
          </rPr>
          <t xml:space="preserve">Company wording: Transaction and integration costs: 0.8</t>
        </r>
      </text>
    </comment>
    <comment ref="CH189" authorId="0">
      <text>
        <r>
          <rPr>
            <sz val="10"/>
            <rFont val="Arial"/>
            <family val="2"/>
          </rPr>
          <t xml:space="preserve">Company wording: Inventory step-up expense: 0.2</t>
        </r>
      </text>
    </comment>
    <comment ref="CH190" authorId="0">
      <text>
        <r>
          <rPr>
            <sz val="10"/>
            <rFont val="Arial"/>
            <family val="2"/>
          </rPr>
          <t xml:space="preserve">Company wording: Non-cash trademark impairments: 0.0</t>
        </r>
      </text>
    </comment>
    <comment ref="CH222" authorId="0">
      <text>
        <r>
          <rPr>
            <sz val="10"/>
            <rFont val="Arial"/>
            <family val="2"/>
          </rPr>
          <t xml:space="preserve">Company wording: Acquired intangible asset amortization: 54.9</t>
        </r>
      </text>
    </comment>
    <comment ref="CH223" authorId="0">
      <text>
        <r>
          <rPr>
            <sz val="10"/>
            <rFont val="Arial"/>
            <family val="2"/>
          </rPr>
          <t xml:space="preserve">Company wording: Transaction and integration costs: 0.8</t>
        </r>
      </text>
    </comment>
    <comment ref="CH224" authorId="0">
      <text>
        <r>
          <rPr>
            <sz val="10"/>
            <rFont val="Arial"/>
            <family val="2"/>
          </rPr>
          <t xml:space="preserve">Company wording: Inventory step-up expense: 0.2</t>
        </r>
      </text>
    </comment>
    <comment ref="CH225" authorId="0">
      <text>
        <r>
          <rPr>
            <sz val="10"/>
            <rFont val="Arial"/>
            <family val="2"/>
          </rPr>
          <t xml:space="preserve">Company wording: Non-cash trademark impairments: 0.0</t>
        </r>
      </text>
    </comment>
    <comment ref="CH230" authorId="0">
      <text>
        <r>
          <rPr>
            <sz val="10"/>
            <rFont val="Arial"/>
            <family val="2"/>
          </rPr>
          <t xml:space="preserve">Company wording: Income tax effect of specified pre-tax items (derived: company after-tax amounts less pre-tax amounts): -13.2</t>
        </r>
      </text>
    </comment>
    <comment ref="CH231" authorId="0">
      <text>
        <r>
          <rPr>
            <sz val="10"/>
            <rFont val="Arial"/>
            <family val="2"/>
          </rPr>
          <t xml:space="preserve">Company wording: FLIR acquisition-related tax matters: -20.8</t>
        </r>
      </text>
    </comment>
    <comment ref="CI52" authorId="0">
      <text>
        <r>
          <rPr>
            <sz val="10"/>
            <rFont val="Arial"/>
            <family val="2"/>
          </rPr>
          <t xml:space="preserve">Company wording: Inventory Step-up Expense: 3.4 | Transaction and Integration Costs: 4.8</t>
        </r>
      </text>
    </comment>
    <comment ref="CI98" authorId="0">
      <text>
        <r>
          <rPr>
            <sz val="10"/>
            <rFont val="Arial"/>
            <family val="2"/>
          </rPr>
          <t xml:space="preserve">Company wording: Transaction and Integration Costs: 5.4</t>
        </r>
      </text>
    </comment>
    <comment ref="CI187" authorId="0">
      <text>
        <r>
          <rPr>
            <sz val="10"/>
            <rFont val="Arial"/>
            <family val="2"/>
          </rPr>
          <t xml:space="preserve">Company wording: Acquired intangible asset amortization: 216.6</t>
        </r>
      </text>
    </comment>
    <comment ref="CI188" authorId="0">
      <text>
        <r>
          <rPr>
            <sz val="10"/>
            <rFont val="Arial"/>
            <family val="2"/>
          </rPr>
          <t xml:space="preserve">Company wording: Transaction and integration costs: 10.2</t>
        </r>
      </text>
    </comment>
    <comment ref="CI189" authorId="0">
      <text>
        <r>
          <rPr>
            <sz val="10"/>
            <rFont val="Arial"/>
            <family val="2"/>
          </rPr>
          <t xml:space="preserve">Company wording: Inventory step-up expense: 3.4</t>
        </r>
      </text>
    </comment>
    <comment ref="CI190" authorId="0">
      <text>
        <r>
          <rPr>
            <sz val="10"/>
            <rFont val="Arial"/>
            <family val="2"/>
          </rPr>
          <t xml:space="preserve">Company wording: Non-cash trademark impairments: 0.0</t>
        </r>
      </text>
    </comment>
    <comment ref="CI222" authorId="0">
      <text>
        <r>
          <rPr>
            <sz val="10"/>
            <rFont val="Arial"/>
            <family val="2"/>
          </rPr>
          <t xml:space="preserve">Company wording: Acquired intangible asset amortization: 216.6</t>
        </r>
      </text>
    </comment>
    <comment ref="CI223" authorId="0">
      <text>
        <r>
          <rPr>
            <sz val="10"/>
            <rFont val="Arial"/>
            <family val="2"/>
          </rPr>
          <t xml:space="preserve">Company wording: Transaction and integration costs: 10.2</t>
        </r>
      </text>
    </comment>
    <comment ref="CI224" authorId="0">
      <text>
        <r>
          <rPr>
            <sz val="10"/>
            <rFont val="Arial"/>
            <family val="2"/>
          </rPr>
          <t xml:space="preserve">Company wording: Inventory step-up expense: 3.4</t>
        </r>
      </text>
    </comment>
    <comment ref="CI225" authorId="0">
      <text>
        <r>
          <rPr>
            <sz val="10"/>
            <rFont val="Arial"/>
            <family val="2"/>
          </rPr>
          <t xml:space="preserve">Company wording: Non-cash trademark impairments: 0.0</t>
        </r>
      </text>
    </comment>
    <comment ref="CI230" authorId="0">
      <text>
        <r>
          <rPr>
            <sz val="10"/>
            <rFont val="Arial"/>
            <family val="2"/>
          </rPr>
          <t xml:space="preserve">Company wording: Income tax effect of specified pre-tax items (derived: company after-tax amounts less pre-tax amounts): -54.4</t>
        </r>
      </text>
    </comment>
    <comment ref="CI231" authorId="0">
      <text>
        <r>
          <rPr>
            <sz val="10"/>
            <rFont val="Arial"/>
            <family val="2"/>
          </rPr>
          <t xml:space="preserve">Company wording: FLIR acquisition-related tax matters: -28.3</t>
        </r>
      </text>
    </comment>
    <comment ref="CJ98" authorId="0">
      <text>
        <r>
          <rPr>
            <sz val="10"/>
            <rFont val="Arial"/>
            <family val="2"/>
          </rPr>
          <t xml:space="preserve">Company wording: Transaction and Integration Costs: 0.2</t>
        </r>
      </text>
    </comment>
    <comment ref="CJ187" authorId="0">
      <text>
        <r>
          <rPr>
            <sz val="10"/>
            <rFont val="Arial"/>
            <family val="2"/>
          </rPr>
          <t xml:space="preserve">Company wording: Acquired intangible asset amortization: 57.6</t>
        </r>
      </text>
    </comment>
    <comment ref="CJ188" authorId="0">
      <text>
        <r>
          <rPr>
            <sz val="10"/>
            <rFont val="Arial"/>
            <family val="2"/>
          </rPr>
          <t xml:space="preserve">Company wording: Transaction and integration costs: 0.2</t>
        </r>
      </text>
    </comment>
    <comment ref="CJ189" authorId="0">
      <text>
        <r>
          <rPr>
            <sz val="10"/>
            <rFont val="Arial"/>
            <family val="2"/>
          </rPr>
          <t xml:space="preserve">Company wording: Inventory step-up expense: 0.0</t>
        </r>
      </text>
    </comment>
    <comment ref="CJ222" authorId="0">
      <text>
        <r>
          <rPr>
            <sz val="10"/>
            <rFont val="Arial"/>
            <family val="2"/>
          </rPr>
          <t xml:space="preserve">Company wording: Acquired intangible asset amortization: 57.6</t>
        </r>
      </text>
    </comment>
    <comment ref="CJ223" authorId="0">
      <text>
        <r>
          <rPr>
            <sz val="10"/>
            <rFont val="Arial"/>
            <family val="2"/>
          </rPr>
          <t xml:space="preserve">Company wording: Transaction and integration costs: 0.2</t>
        </r>
      </text>
    </comment>
    <comment ref="CJ224" authorId="0">
      <text>
        <r>
          <rPr>
            <sz val="10"/>
            <rFont val="Arial"/>
            <family val="2"/>
          </rPr>
          <t xml:space="preserve">Company wording: Inventory step-up expense: 0.0</t>
        </r>
      </text>
    </comment>
    <comment ref="CJ230" authorId="0">
      <text>
        <r>
          <rPr>
            <sz val="10"/>
            <rFont val="Arial"/>
            <family val="2"/>
          </rPr>
          <t xml:space="preserve">Company wording: Income tax effect of specified pre-tax items (derived: company after-tax amounts less pre-tax amounts): -13.7</t>
        </r>
      </text>
    </comment>
    <comment ref="CJ231" authorId="0">
      <text>
        <r>
          <rPr>
            <sz val="10"/>
            <rFont val="Arial"/>
            <family val="2"/>
          </rPr>
          <t xml:space="preserve">Company wording: FLIR acquisition-related tax matters: 0.5</t>
        </r>
      </text>
    </comment>
    <comment ref="CK98" authorId="0">
      <text>
        <r>
          <rPr>
            <sz val="10"/>
            <rFont val="Arial"/>
            <family val="2"/>
          </rPr>
          <t xml:space="preserve">Company wording: Transaction and Integration Costs: 0.2</t>
        </r>
      </text>
    </comment>
    <comment ref="CK187" authorId="0">
      <text>
        <r>
          <rPr>
            <sz val="10"/>
            <rFont val="Arial"/>
            <family val="2"/>
          </rPr>
          <t xml:space="preserve">Company wording: Acquired intangible asset amortization: 56.0</t>
        </r>
      </text>
    </comment>
    <comment ref="CK188" authorId="0">
      <text>
        <r>
          <rPr>
            <sz val="10"/>
            <rFont val="Arial"/>
            <family val="2"/>
          </rPr>
          <t xml:space="preserve">Company wording: Transaction and integration costs: 0.2</t>
        </r>
      </text>
    </comment>
    <comment ref="CK189" authorId="0">
      <text>
        <r>
          <rPr>
            <sz val="10"/>
            <rFont val="Arial"/>
            <family val="2"/>
          </rPr>
          <t xml:space="preserve">Company wording: Inventory step-up expense: 0.0</t>
        </r>
      </text>
    </comment>
    <comment ref="CK222" authorId="0">
      <text>
        <r>
          <rPr>
            <sz val="10"/>
            <rFont val="Arial"/>
            <family val="2"/>
          </rPr>
          <t xml:space="preserve">Company wording: Acquired intangible asset amortization: 56.0</t>
        </r>
      </text>
    </comment>
    <comment ref="CK223" authorId="0">
      <text>
        <r>
          <rPr>
            <sz val="10"/>
            <rFont val="Arial"/>
            <family val="2"/>
          </rPr>
          <t xml:space="preserve">Company wording: Transaction and integration costs: 0.2</t>
        </r>
      </text>
    </comment>
    <comment ref="CK224" authorId="0">
      <text>
        <r>
          <rPr>
            <sz val="10"/>
            <rFont val="Arial"/>
            <family val="2"/>
          </rPr>
          <t xml:space="preserve">Company wording: Inventory step-up expense: 0.0</t>
        </r>
      </text>
    </comment>
    <comment ref="CK230" authorId="0">
      <text>
        <r>
          <rPr>
            <sz val="10"/>
            <rFont val="Arial"/>
            <family val="2"/>
          </rPr>
          <t xml:space="preserve">Company wording: Income tax effect of specified pre-tax items (derived: company after-tax amounts less pre-tax amounts): -13.1</t>
        </r>
      </text>
    </comment>
    <comment ref="CK231" authorId="0">
      <text>
        <r>
          <rPr>
            <sz val="10"/>
            <rFont val="Arial"/>
            <family val="2"/>
          </rPr>
          <t xml:space="preserve">Company wording: FLIR acquisition-related tax matters: -0.5</t>
        </r>
      </text>
    </comment>
    <comment ref="CL98" authorId="0">
      <text>
        <r>
          <rPr>
            <sz val="10"/>
            <rFont val="Arial"/>
            <family val="2"/>
          </rPr>
          <t xml:space="preserve">Company wording: Transaction and Integration Costs: 0.4</t>
        </r>
      </text>
    </comment>
    <comment ref="CL187" authorId="0">
      <text>
        <r>
          <rPr>
            <sz val="10"/>
            <rFont val="Arial"/>
            <family val="2"/>
          </rPr>
          <t xml:space="preserve">Company wording: Acquired intangible asset amortization: 113.6</t>
        </r>
      </text>
    </comment>
    <comment ref="CL188" authorId="0">
      <text>
        <r>
          <rPr>
            <sz val="10"/>
            <rFont val="Arial"/>
            <family val="2"/>
          </rPr>
          <t xml:space="preserve">Company wording: Transaction and integration costs: 0.4</t>
        </r>
      </text>
    </comment>
    <comment ref="CL189" authorId="0">
      <text>
        <r>
          <rPr>
            <sz val="10"/>
            <rFont val="Arial"/>
            <family val="2"/>
          </rPr>
          <t xml:space="preserve">Company wording: Inventory step-up expense: 0.0</t>
        </r>
      </text>
    </comment>
    <comment ref="CL222" authorId="0">
      <text>
        <r>
          <rPr>
            <sz val="10"/>
            <rFont val="Arial"/>
            <family val="2"/>
          </rPr>
          <t xml:space="preserve">Company wording: Acquired intangible asset amortization: 113.6</t>
        </r>
      </text>
    </comment>
    <comment ref="CL223" authorId="0">
      <text>
        <r>
          <rPr>
            <sz val="10"/>
            <rFont val="Arial"/>
            <family val="2"/>
          </rPr>
          <t xml:space="preserve">Company wording: Transaction and integration costs: 0.4</t>
        </r>
      </text>
    </comment>
    <comment ref="CL224" authorId="0">
      <text>
        <r>
          <rPr>
            <sz val="10"/>
            <rFont val="Arial"/>
            <family val="2"/>
          </rPr>
          <t xml:space="preserve">Company wording: Inventory step-up expense: 0.0</t>
        </r>
      </text>
    </comment>
    <comment ref="CL230" authorId="0">
      <text>
        <r>
          <rPr>
            <sz val="10"/>
            <rFont val="Arial"/>
            <family val="2"/>
          </rPr>
          <t xml:space="preserve">Company wording: Income tax effect of specified pre-tax items (derived: company after-tax amounts less pre-tax amounts): -26.8</t>
        </r>
      </text>
    </comment>
    <comment ref="CL231" authorId="0">
      <text>
        <r>
          <rPr>
            <sz val="10"/>
            <rFont val="Arial"/>
            <family val="2"/>
          </rPr>
          <t xml:space="preserve">Company wording: FLIR acquisition-related tax matters: 0.0</t>
        </r>
      </text>
    </comment>
    <comment ref="CT2" authorId="0">
      <text>
        <r>
          <rPr>
            <sz val="10"/>
            <rFont val="Arial"/>
            <family val="2"/>
          </rPr>
          <t xml:space="preserve">Scenario toggle. Choose Bull / Base / Bear. Drives: FY26 outlook end-points (FY and Q3 non-GAAP EPS), 2027E–30E segment organic growth and non-GAAP operating margins, acquisition spend (M&amp;A lever) and share repurchases (scenario input table to the right). Bull / Bear = Base + Δ.</t>
        </r>
      </text>
    </comment>
    <comment ref="DB11" authorId="0">
      <text>
        <r>
          <rPr>
            <sz val="10"/>
            <rFont val="Arial"/>
            <family val="2"/>
          </rPr>
          <t xml:space="preserve">FY26 outlook per Teledyne Q2-2026 earnings release (Form 8-K Ex. 99.1, 22-Jul-2026): GAAP diluted EPS $20.73–$20.99 and non-GAAP diluted EPS $24.45–$24.65 (raised from $20.08–$20.44 / $23.85–$24.15); Q3-26 GAAP EPS $5.10–$5.25, non-GAAP $6.05–$6.15. Bridge: acquired-intangible amortization $3.70/$3.65 and transaction &amp; integration costs $0.02/$0.01 per share. No sales, tax-rate, capex or FCF guidance.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26" authorId="0">
      <text>
        <r>
          <rPr>
            <sz val="10"/>
            <rFont val="Arial"/>
            <family val="2"/>
          </rPr>
          <t xml:space="preserve">Bull P/E on non-GAAP EPS (company definition). Teledyne traded ~20–30x NTM non-GAAP EPS 2022–26 (≈25x at $615 on the FY26 outlook mid-point).</t>
        </r>
      </text>
    </comment>
  </commentList>
</comments>
</file>

<file path=xl/sharedStrings.xml><?xml version="1.0" encoding="utf-8"?>
<sst xmlns="http://schemas.openxmlformats.org/spreadsheetml/2006/main" count="959" uniqueCount="728">
  <si>
    <t xml:space="preserve">SCENARIO SWITCH ▼ (Bull / Base / Bear) — drives all scenario-linked forecast drivers</t>
  </si>
  <si>
    <t xml:space="preserve">Teledyne Technologies Incorporated (NYSE: TDY) — 3-Statement Financial Model</t>
  </si>
  <si>
    <t xml:space="preserve">Base</t>
  </si>
  <si>
    <t xml:space="preserve">US GAAP as reported · USD millions (per-share data in USD) · Source: Teledyne Forms 10-K / 10-Q and Form 8-K earnings releases (Ex. 99.1), SEC EDGAR CIK 0001094285 (investor-relations releases are the same documents as filed on EDGAR)</t>
  </si>
  <si>
    <t xml:space="preserve">Basis notes: 52/53-week fiscal year (FY2009, FY2015, FY2020 = 53 weeks). FY2006–07 include Teledyne Continental Motors (piston engines, sold Apr-2011; discontinued from the FY2010 10-K). Segments on the current four-segment basis from FY2008 (FY2010 10-K recast); FY2006–07 legacy segments shown as memo. ASU 2017-07 (2018) recast 2017; ASC 606 from 2018 (2017 not restated). FLIR from 14-May-2021. Q3/26E–Q4/26E = FY26 non-GAAP EPS outlook less 1H/26 actuals.</t>
  </si>
  <si>
    <t xml:space="preserve">Forecast</t>
  </si>
  <si>
    <t xml:space="preserve">Historical</t>
  </si>
  <si>
    <t xml:space="preserve">(USDm)</t>
  </si>
  <si>
    <t xml:space="preserve">Q1/13</t>
  </si>
  <si>
    <t xml:space="preserve">Q2/13</t>
  </si>
  <si>
    <t xml:space="preserve">1H/13</t>
  </si>
  <si>
    <t xml:space="preserve">Q3/13</t>
  </si>
  <si>
    <t xml:space="preserve">Q4/13</t>
  </si>
  <si>
    <t xml:space="preserve">Q1/14</t>
  </si>
  <si>
    <t xml:space="preserve">Q2/14</t>
  </si>
  <si>
    <t xml:space="preserve">1H/14</t>
  </si>
  <si>
    <t xml:space="preserve">Q3/14</t>
  </si>
  <si>
    <t xml:space="preserve">Q4/14</t>
  </si>
  <si>
    <t xml:space="preserve">Q1/15</t>
  </si>
  <si>
    <t xml:space="preserve">Q2/15</t>
  </si>
  <si>
    <t xml:space="preserve">1H/15</t>
  </si>
  <si>
    <t xml:space="preserve">Q3/15</t>
  </si>
  <si>
    <t xml:space="preserve">Q4/15</t>
  </si>
  <si>
    <t xml:space="preserve">Q1/16</t>
  </si>
  <si>
    <t xml:space="preserve">Q2/16</t>
  </si>
  <si>
    <t xml:space="preserve">1H/16</t>
  </si>
  <si>
    <t xml:space="preserve">Q3/16</t>
  </si>
  <si>
    <t xml:space="preserve">Q4/16</t>
  </si>
  <si>
    <t xml:space="preserve">Q1/17</t>
  </si>
  <si>
    <t xml:space="preserve">Q2/17</t>
  </si>
  <si>
    <t xml:space="preserve">1H/17</t>
  </si>
  <si>
    <t xml:space="preserve">Q3/17</t>
  </si>
  <si>
    <t xml:space="preserve">Q4/17</t>
  </si>
  <si>
    <t xml:space="preserve">Q1/18</t>
  </si>
  <si>
    <t xml:space="preserve">Q2/18</t>
  </si>
  <si>
    <t xml:space="preserve">1H/18</t>
  </si>
  <si>
    <t xml:space="preserve">Q3/18</t>
  </si>
  <si>
    <t xml:space="preserve">Q4/18</t>
  </si>
  <si>
    <t xml:space="preserve">Q1/19</t>
  </si>
  <si>
    <t xml:space="preserve">Q2/19</t>
  </si>
  <si>
    <t xml:space="preserve">1H/19</t>
  </si>
  <si>
    <t xml:space="preserve">Q3/19</t>
  </si>
  <si>
    <t xml:space="preserve">Q4/19</t>
  </si>
  <si>
    <t xml:space="preserve">Q1/20</t>
  </si>
  <si>
    <t xml:space="preserve">Q2/20</t>
  </si>
  <si>
    <t xml:space="preserve">1H/20</t>
  </si>
  <si>
    <t xml:space="preserve">Q3/20</t>
  </si>
  <si>
    <t xml:space="preserve">Q4/20</t>
  </si>
  <si>
    <t xml:space="preserve">Q1/21</t>
  </si>
  <si>
    <t xml:space="preserve">Q2/21</t>
  </si>
  <si>
    <t xml:space="preserve">1H/21</t>
  </si>
  <si>
    <t xml:space="preserve">Q3/21</t>
  </si>
  <si>
    <t xml:space="preserve">Q4/21</t>
  </si>
  <si>
    <t xml:space="preserve">Q1/22</t>
  </si>
  <si>
    <t xml:space="preserve">Q2/22</t>
  </si>
  <si>
    <t xml:space="preserve">1H/22</t>
  </si>
  <si>
    <t xml:space="preserve">Q3/22</t>
  </si>
  <si>
    <t xml:space="preserve">Q4/22</t>
  </si>
  <si>
    <t xml:space="preserve">Q1/23</t>
  </si>
  <si>
    <t xml:space="preserve">Q2/23</t>
  </si>
  <si>
    <t xml:space="preserve">1H/23</t>
  </si>
  <si>
    <t xml:space="preserve">Q3/23</t>
  </si>
  <si>
    <t xml:space="preserve">Q4/23</t>
  </si>
  <si>
    <t xml:space="preserve">Q1/24</t>
  </si>
  <si>
    <t xml:space="preserve">Q2/24</t>
  </si>
  <si>
    <t xml:space="preserve">1H/24</t>
  </si>
  <si>
    <t xml:space="preserve">Q3/24</t>
  </si>
  <si>
    <t xml:space="preserve">Q4/24</t>
  </si>
  <si>
    <t xml:space="preserve">Q1/25</t>
  </si>
  <si>
    <t xml:space="preserve">Q2/25</t>
  </si>
  <si>
    <t xml:space="preserve">1H/25</t>
  </si>
  <si>
    <t xml:space="preserve">Q3/25</t>
  </si>
  <si>
    <t xml:space="preserve">Q4/25</t>
  </si>
  <si>
    <t xml:space="preserve">Q1/26</t>
  </si>
  <si>
    <t xml:space="preserve">Q2/26</t>
  </si>
  <si>
    <t xml:space="preserve">1H/26</t>
  </si>
  <si>
    <t xml:space="preserve">Q3/26E</t>
  </si>
  <si>
    <t xml:space="preserve">Q4/26E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</si>
  <si>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</si>
  <si>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</si>
  <si>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</si>
  <si>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</si>
  <si>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</si>
  <si>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Modelling Notes</t>
  </si>
  <si>
    <t xml:space="preserve">5Y CAGR</t>
  </si>
  <si>
    <t xml:space="preserve">10Y CAGR</t>
  </si>
  <si>
    <t xml:space="preserve">19Y CAGR</t>
  </si>
  <si>
    <t xml:space="preserve">25-'30</t>
  </si>
  <si>
    <t xml:space="preserve">20-'25</t>
  </si>
  <si>
    <t xml:space="preserve">15-'25</t>
  </si>
  <si>
    <t xml:space="preserve">06-'25</t>
  </si>
  <si>
    <t xml:space="preserve">SEGMENT P&amp;L — BY SEGMENT (four reportable segments; current basis from FY2008)</t>
  </si>
  <si>
    <t xml:space="preserve">SEGMENT BUILD — modelling logic (segment sales → GAAP OI → non-GAAP OI)</t>
  </si>
  <si>
    <t xml:space="preserve">SCENARIO INPUT TABLE — driver assumptions per Bull / Base / Bear</t>
  </si>
  <si>
    <t xml:space="preserve">Bull</t>
  </si>
  <si>
    <t xml:space="preserve">Bear</t>
  </si>
  <si>
    <t xml:space="preserve">Bull / Bear = Base + Δ (Δ inputs on each block header). Outlook block = high / mid / low end of FY26 ranges.</t>
  </si>
  <si>
    <t xml:space="preserve">Digital Imaging (infrared / visible / X-ray sensors, cameras &amp; systems; FLIR from 14-May-2021)</t>
  </si>
  <si>
    <t xml:space="preserve">DIGITAL IMAGING — modelling logic</t>
  </si>
  <si>
    <t xml:space="preserve">  Net sales</t>
  </si>
  <si>
    <t xml:space="preserve">Q3/26E–Q4/26E: prior-year quarter × Q2/26 y/y growth of the segment (after the Excelitas A&amp;D anniversary). 2027E+: prior year × (1 + scenario organic growth).</t>
  </si>
  <si>
    <t xml:space="preserve">FY26 outlook — Q2-26 release (22-Jul-26)</t>
  </si>
  <si>
    <t xml:space="preserve">High</t>
  </si>
  <si>
    <t xml:space="preserve">Mid</t>
  </si>
  <si>
    <t xml:space="preserve">Low</t>
  </si>
  <si>
    <t xml:space="preserve">  Net sales y/y %</t>
  </si>
  <si>
    <t xml:space="preserve">2027E–2030E: scenario lever (DI_organicGrowth, Bull/Base/Bear table →).</t>
  </si>
  <si>
    <t xml:space="preserve">  FY26 non-GAAP diluted EPS ($)</t>
  </si>
  <si>
    <t xml:space="preserve">  Segment operating income (GAAP)</t>
  </si>
  <si>
    <t xml:space="preserve">Forecast GAAP OI = non-GAAP OI − acquired-intangible amortization − other items.</t>
  </si>
  <si>
    <t xml:space="preserve">  Q3/26 non-GAAP diluted EPS ($)</t>
  </si>
  <si>
    <t xml:space="preserve">  (+) Acquired intangible asset amortization</t>
  </si>
  <si>
    <t xml:space="preserve">Disclosed by segment from Q1/21. Forecast = amortization of existing intangibles (10-K schedule) × 1H/26 segment share.</t>
  </si>
  <si>
    <t xml:space="preserve">  FY26 GAAP diluted EPS ($, memo)</t>
  </si>
  <si>
    <t xml:space="preserve">  (+) Other segment non-GAAP items (inventory step-up, transaction costs)</t>
  </si>
  <si>
    <t xml:space="preserve">FY26 point estimates (all cases)</t>
  </si>
  <si>
    <t xml:space="preserve">Not guided — analyst estimates: tax rate ≈ 1H/26 ETR before discrete items (Q2-26 21.7%); capex ≈ 2% of sales (FY25 $117m).</t>
  </si>
  <si>
    <t xml:space="preserve">  Non-GAAP segment operating income</t>
  </si>
  <si>
    <t xml:space="preserve">Company non-GAAP measure from Q1/21 (segment OI excluding acquired-intangible amortization and acquisition items). Forecast = net sales × non-GAAP margin.</t>
  </si>
  <si>
    <t xml:space="preserve">  Tax rate (GAAP &amp; non-GAAP)</t>
  </si>
  <si>
    <t xml:space="preserve">  Memo: non-GAAP segment operating income as published</t>
  </si>
  <si>
    <t xml:space="preserve">  Capital expenditures ($m)</t>
  </si>
  <si>
    <t xml:space="preserve">  Check: build vs published (should be 0)</t>
  </si>
  <si>
    <t xml:space="preserve">  Segment operating margin (GAAP) %</t>
  </si>
  <si>
    <t xml:space="preserve">  Non-GAAP segment operating margin %</t>
  </si>
  <si>
    <t xml:space="preserve">Q3/Q4-26E: prior-year quarter margin + 1H/26 vs 1H/25 change + outlook calibration Δ. 2027E+: scenario lever (DI_margin).</t>
  </si>
  <si>
    <t xml:space="preserve">DI_organicGrowth (Digital Imaging sales y/y)</t>
  </si>
  <si>
    <t xml:space="preserve">Δ →</t>
  </si>
  <si>
    <t xml:space="preserve">Digital Imaging: defense IR / unmanned systems, space sensors, industrial machine vision; commercial IR and semis capex cyclical.</t>
  </si>
  <si>
    <t xml:space="preserve">  Segment operating income (GAAP) y/y %</t>
  </si>
  <si>
    <t xml:space="preserve">  2027E</t>
  </si>
  <si>
    <t xml:space="preserve">  Incremental non-GAAP margin (ΔOI / ΔSales)</t>
  </si>
  <si>
    <t xml:space="preserve">  2028E</t>
  </si>
  <si>
    <t xml:space="preserve">  Segment D&amp;A (annual, 10-K segment note)</t>
  </si>
  <si>
    <t xml:space="preserve">  2029E</t>
  </si>
  <si>
    <t xml:space="preserve">  Segment capital expenditures (annual)</t>
  </si>
  <si>
    <t xml:space="preserve">  2030E</t>
  </si>
  <si>
    <t xml:space="preserve">  Segment capex % of sales</t>
  </si>
  <si>
    <t xml:space="preserve">INST_organicGrowth (Instrumentation sales y/y)</t>
  </si>
  <si>
    <t xml:space="preserve">Instrumentation: marine (offshore energy, defense subsea), environmental (regulation), ETM.</t>
  </si>
  <si>
    <t xml:space="preserve">Instrumentation (marine, environmental, electronic test &amp; measurement)</t>
  </si>
  <si>
    <t xml:space="preserve">INSTRUMENTATION — modelling logic</t>
  </si>
  <si>
    <t xml:space="preserve">2027E–2030E: scenario lever (INST_organicGrowth, Bull/Base/Bear table →).</t>
  </si>
  <si>
    <t xml:space="preserve">ADE_organicGrowth (Aerospace and Defense Electronics sales y/y)</t>
  </si>
  <si>
    <t xml:space="preserve">A&amp;DE: defense electronics (budget growth), commercial aerospace build rates.</t>
  </si>
  <si>
    <t xml:space="preserve">Q3/Q4-26E: prior-year quarter margin + 1H/26 vs 1H/25 change + outlook calibration Δ. 2027E+: scenario lever (INST_margin).</t>
  </si>
  <si>
    <t xml:space="preserve">ES_organicGrowth (Engineered Systems sales y/y)</t>
  </si>
  <si>
    <t xml:space="preserve">Engineered Systems: US Government programs (missile defense, space), energy systems.</t>
  </si>
  <si>
    <t xml:space="preserve">  Memo: Marine instrumentation sales</t>
  </si>
  <si>
    <t xml:space="preserve">  Memo: Environmental instrumentation sales</t>
  </si>
  <si>
    <t xml:space="preserve">  Memo: Electronic test &amp; measurement sales</t>
  </si>
  <si>
    <t xml:space="preserve">DI_margin (Digital Imaging non-GAAP OI margin)</t>
  </si>
  <si>
    <t xml:space="preserve">FY25 non-GAAP margin 22.6%; 1H/26 ~24% (mix, tariff refunds).</t>
  </si>
  <si>
    <t xml:space="preserve">Aerospace and Defense Electronics (aerospace &amp; defense electronics; Excelitas A&amp;D from Dec-2024)</t>
  </si>
  <si>
    <t xml:space="preserve">AEROSPACE AND DEFENSE ELECTRONICS — modelling logic</t>
  </si>
  <si>
    <t xml:space="preserve">2027E–2030E: scenario lever (ADE_organicGrowth, Bull/Base/Bear table →).</t>
  </si>
  <si>
    <t xml:space="preserve">INST_margin (Instrumentation non-GAAP OI margin)</t>
  </si>
  <si>
    <t xml:space="preserve">FY25 28.4%; 1H/26 26.3% (unfavourable mix) — recovery assumed gradual.</t>
  </si>
  <si>
    <t xml:space="preserve">ADE_margin (Aerospace and Defense Electronics non-GAAP OI margin)</t>
  </si>
  <si>
    <t xml:space="preserve">FY25 27.3% (incl. Excelitas A&amp;D).</t>
  </si>
  <si>
    <t xml:space="preserve">Q3/Q4-26E: prior-year quarter margin + 1H/26 vs 1H/25 change + outlook calibration Δ. 2027E+: scenario lever (ADE_margin).</t>
  </si>
  <si>
    <t xml:space="preserve">  Memo: Aerospace electronics sales</t>
  </si>
  <si>
    <t xml:space="preserve">  Memo: Defense electronics sales</t>
  </si>
  <si>
    <t xml:space="preserve">ES_margin (Engineered Systems non-GAAP OI margin)</t>
  </si>
  <si>
    <t xml:space="preserve">FY25 10.7%; program-mix driven.</t>
  </si>
  <si>
    <t xml:space="preserve">Engineered Systems (engineered products &amp; services, energy systems)</t>
  </si>
  <si>
    <t xml:space="preserve">ENGINEERED SYSTEMS — modelling logic</t>
  </si>
  <si>
    <t xml:space="preserve">2027E–2030E: scenario lever (ES_organicGrowth, Bull/Base/Bear table →).</t>
  </si>
  <si>
    <t xml:space="preserve">M&amp;A_spend (acquisition spend, $m)</t>
  </si>
  <si>
    <t xml:space="preserve">Acquisition spend ($m). Teledyne 2017–25 ex FLIR averaged ~$0.4bn p.a.; balance-sheet capacity (~1x leverage, ~$1.1bn FCF) supports $1bn+ p.a.</t>
  </si>
  <si>
    <t xml:space="preserve">Buybacks ($m)</t>
  </si>
  <si>
    <t xml:space="preserve">Repurchases are opportunistic (M&amp;A first).</t>
  </si>
  <si>
    <t xml:space="preserve">  2H/26E</t>
  </si>
  <si>
    <t xml:space="preserve">Q3/Q4-26E: prior-year quarter margin + 1H/26 vs 1H/25 change + outlook calibration Δ. 2027E+: scenario lever (ES_margin).</t>
  </si>
  <si>
    <t xml:space="preserve">  Memo: Engineered products &amp; services sales</t>
  </si>
  <si>
    <t xml:space="preserve">  Memo: Energy systems sales</t>
  </si>
  <si>
    <t xml:space="preserve">Legacy segments (as originally reported, FY2006–07; superseded by the FY2010 10-K recast)</t>
  </si>
  <si>
    <t xml:space="preserve">LEGACY SEGMENTS — memo only (not comparable with the current basis)</t>
  </si>
  <si>
    <t xml:space="preserve">  Electronics and Communications — net sales</t>
  </si>
  <si>
    <t xml:space="preserve">  Electronics and Communications — operating profit</t>
  </si>
  <si>
    <t xml:space="preserve">  Systems Engineering Solutions / Engineered Systems — net sales</t>
  </si>
  <si>
    <t xml:space="preserve">  Systems Engineering Solutions / Engineered Systems — operating profit</t>
  </si>
  <si>
    <t xml:space="preserve">  Aerospace Engines and Components (piston engines sold Apr-2011) — net sales</t>
  </si>
  <si>
    <t xml:space="preserve">  Aerospace Engines and Components (piston engines sold Apr-2011) — operating profit</t>
  </si>
  <si>
    <t xml:space="preserve">  Energy (and Power) Systems — net sales</t>
  </si>
  <si>
    <t xml:space="preserve">  Energy (and Power) Systems — operating profit</t>
  </si>
  <si>
    <t xml:space="preserve">  Corporate expense (legacy basis)</t>
  </si>
  <si>
    <t xml:space="preserve">Corporate &amp; reconciling items</t>
  </si>
  <si>
    <t xml:space="preserve">CORPORATE — modelling logic</t>
  </si>
  <si>
    <t xml:space="preserve">  Corporate expense (GAAP)</t>
  </si>
  <si>
    <t xml:space="preserve">Forecast = non-GAAP corporate expense + corporate adjusting items.</t>
  </si>
  <si>
    <t xml:space="preserve">  Corporate non-GAAP items (transaction &amp; integration costs)</t>
  </si>
  <si>
    <t xml:space="preserve">Acquisition transaction / integration costs recorded at corporate (input).</t>
  </si>
  <si>
    <t xml:space="preserve">  Non-GAAP corporate expense</t>
  </si>
  <si>
    <t xml:space="preserve">Q3/Q4-26E at the 1H/26 run-rate; 2027E+: % of sales input.</t>
  </si>
  <si>
    <t xml:space="preserve">  Non-GAAP corporate expense % of sales</t>
  </si>
  <si>
    <t xml:space="preserve">  Other reconciling items to operating income (signed)</t>
  </si>
  <si>
    <t xml:space="preserve">  Outlook calibration: Δ non-GAAP margin applied to all segments (Q3/Q4-26E)</t>
  </si>
  <si>
    <t xml:space="preserve">Solves the margin shift (vs prior-year quarter + 1H/26 drift) so that non-GAAP net income equals the FY26 / Q3 non-GAAP EPS outlook (scenario: high / mid / low) × diluted shares.</t>
  </si>
  <si>
    <t xml:space="preserve">  Memo: non-GAAP net income target (FY26 outlook × diluted shares)</t>
  </si>
  <si>
    <t xml:space="preserve">Q3/26E = Q3 non-GAAP EPS outlook × Q3 diluted shares; Q4/26E = FY26 outlook × FY diluted shares − 1H actual − Q3E.</t>
  </si>
  <si>
    <t xml:space="preserve">Future acquisitions (M&amp;A lever — unallocated; deals closed from 2027E)</t>
  </si>
  <si>
    <t xml:space="preserve">M&amp;A LEVER — acquired sales = spend ÷ EV/sales; mid-year convention</t>
  </si>
  <si>
    <t xml:space="preserve">  Acquisition spend (USDm, scenario)</t>
  </si>
  <si>
    <t xml:space="preserve">Scenario lever (M&amp;A_spend, Bull/Base/Bear table →). Teledyne deployed ~$0.3–1.0bn p.a. on bolt-on deals ex FLIR (2017 e2v $0.8bn; 2021 FLIR $8.2bn; 2024–25 Excelitas A&amp;D $0.7bn).</t>
  </si>
  <si>
    <t xml:space="preserve">  Purchase multiple — EV / sales (x)</t>
  </si>
  <si>
    <t xml:space="preserve">  Annualised sales acquired in the year</t>
  </si>
  <si>
    <t xml:space="preserve">  Growth of acquired businesses after acquisition %</t>
  </si>
  <si>
    <t xml:space="preserve">  Run-rate sales of businesses acquired (year end)</t>
  </si>
  <si>
    <t xml:space="preserve">  Net sales from future acquisitions</t>
  </si>
  <si>
    <t xml:space="preserve">Mid-year convention: deals close evenly through the year (half a year of sales in year 1).</t>
  </si>
  <si>
    <t xml:space="preserve">  Non-GAAP operating margin of acquired businesses %</t>
  </si>
  <si>
    <t xml:space="preserve">  Non-GAAP operating income from future acquisitions</t>
  </si>
  <si>
    <t xml:space="preserve">  Acquired intangibles % of spend</t>
  </si>
  <si>
    <t xml:space="preserve">  Amortization life (years)</t>
  </si>
  <si>
    <t xml:space="preserve">  Cumulative acquired intangibles (gross)</t>
  </si>
  <si>
    <t xml:space="preserve">  Amortization of future-acquisition intangibles</t>
  </si>
  <si>
    <t xml:space="preserve">  Operating income (GAAP) from future acquisitions</t>
  </si>
  <si>
    <t xml:space="preserve">  Incremental acquisition sales (first 12 months of ownership)</t>
  </si>
  <si>
    <t xml:space="preserve">Group Total — non-GAAP operating income (Teledyne's primary profit KPI)</t>
  </si>
  <si>
    <t xml:space="preserve">GROUP TOTAL (CONSOLIDATED) — modelling logic</t>
  </si>
  <si>
    <t xml:space="preserve">  Net sales (segment build)</t>
  </si>
  <si>
    <t xml:space="preserve">Σ segment net sales (+ future acquisitions from 2027E).</t>
  </si>
  <si>
    <t xml:space="preserve">  Non-GAAP operating income (Σ segments − non-GAAP corporate)</t>
  </si>
  <si>
    <t xml:space="preserve">  Non-GAAP operating margin %</t>
  </si>
  <si>
    <t xml:space="preserve">  Acquired intangible asset amortization (total)</t>
  </si>
  <si>
    <t xml:space="preserve">Historical: earnings releases (quarterly from 2021) / 10-K intangibles note (annual). Forecast = 10-K expected amortization of existing intangibles + future-M&amp;A amortization.</t>
  </si>
  <si>
    <t xml:space="preserve">  Operating income (GAAP; Σ segment OI − corporate)</t>
  </si>
  <si>
    <t xml:space="preserve">  Operating margin (GAAP) %</t>
  </si>
  <si>
    <t xml:space="preserve">  Non-GAAP operating income y/y %</t>
  </si>
  <si>
    <t xml:space="preserve">  Incremental sales from acquisitions (disclosed)</t>
  </si>
  <si>
    <t xml:space="preserve">Releases: 'net sales included $x million of incremental sales from recent acquisitions'. Q3/Q4-26E input; 2027E+ = future-M&amp;A contribution.</t>
  </si>
  <si>
    <t xml:space="preserve">  Funded backlog (period end, as disclosed)</t>
  </si>
  <si>
    <t xml:space="preserve">  Orders (as disclosed)</t>
  </si>
  <si>
    <t xml:space="preserve">  Check: segment build vs consolidated net sales (should be 0)</t>
  </si>
  <si>
    <t xml:space="preserve">  Check: segment build vs consolidated operating income (should be 0)</t>
  </si>
  <si>
    <t xml:space="preserve">  Check: segment build vs company non-GAAP operating income (should be 0)</t>
  </si>
  <si>
    <t xml:space="preserve">Cost drivers (% of sales)</t>
  </si>
  <si>
    <t xml:space="preserve">% OF SALES drivers — inputs that drive forecast cost lines</t>
  </si>
  <si>
    <t xml:space="preserve">  Cost of sales % of net sales</t>
  </si>
  <si>
    <t xml:space="preserve">Cost of sales incl. acquired-intangible amortization charged to cost of sales. SG&amp;A is the balancing line to the segment-build operating income.</t>
  </si>
  <si>
    <t xml:space="preserve">  Depreciation (D&amp;A ex acquired-intangible amortization) % of sales</t>
  </si>
  <si>
    <t xml:space="preserve">  Depreciation &amp; other amortization (total D&amp;A − acquired-intangible amortization)</t>
  </si>
  <si>
    <t xml:space="preserve">  Stock-based compensation % of sales</t>
  </si>
  <si>
    <t xml:space="preserve">  Company-funded R&amp;D % of sales (memo)</t>
  </si>
  <si>
    <t xml:space="preserve">Sales by customer &amp; geography (annual disclosure)</t>
  </si>
  <si>
    <t xml:space="preserve">CUSTOMER / GEOGRAPHY — historical disclosure only (not forecast)</t>
  </si>
  <si>
    <t xml:space="preserve">  Sales to the US Government</t>
  </si>
  <si>
    <t xml:space="preserve">  US Government % of sales</t>
  </si>
  <si>
    <t xml:space="preserve">  Sales — United States</t>
  </si>
  <si>
    <t xml:space="preserve">  Sales — outside the United States</t>
  </si>
  <si>
    <t xml:space="preserve">  International % of sales</t>
  </si>
  <si>
    <t xml:space="preserve">CONSOLIDATED INCOME STATEMENT (US GAAP)</t>
  </si>
  <si>
    <t xml:space="preserve">CONSOLIDATED IS — forecast logic</t>
  </si>
  <si>
    <t xml:space="preserve">Net sales</t>
  </si>
  <si>
    <t xml:space="preserve">Forecast linked to the segment build.</t>
  </si>
  <si>
    <t xml:space="preserve">  of which: product sales</t>
  </si>
  <si>
    <t xml:space="preserve">  of which: service sales</t>
  </si>
  <si>
    <t xml:space="preserve">Cost of sales</t>
  </si>
  <si>
    <t xml:space="preserve">Gross profit</t>
  </si>
  <si>
    <t xml:space="preserve">Selling, general and administrative expenses (incl. R&amp;D)</t>
  </si>
  <si>
    <t xml:space="preserve">Forecast SG&amp;A is the balancing line so that operating income equals the segment build.</t>
  </si>
  <si>
    <t xml:space="preserve">Acquired intangible asset amortization (separate IS line from 2021)</t>
  </si>
  <si>
    <t xml:space="preserve">Other operating items (gains, impairments; signed)</t>
  </si>
  <si>
    <t xml:space="preserve">Operating income</t>
  </si>
  <si>
    <t xml:space="preserve">Interest and debt expense, net</t>
  </si>
  <si>
    <t xml:space="preserve">Q3/Q4-26E at the Q2/26 run-rate (after the $450m April-2026 maturity). 2027E+ = rate × opening debt − yield × opening cash (no circularity).</t>
  </si>
  <si>
    <t xml:space="preserve">Non-service retirement benefit income (expense)</t>
  </si>
  <si>
    <t xml:space="preserve">ASU 2017-07 (2018; 2017 recast): non-service pension cost presented below operating income.</t>
  </si>
  <si>
    <t xml:space="preserve">Other income (expense), net (incl. gain / loss on debt extinguishment)</t>
  </si>
  <si>
    <t xml:space="preserve">Income before income taxes</t>
  </si>
  <si>
    <t xml:space="preserve">Provision for income taxes</t>
  </si>
  <si>
    <t xml:space="preserve">Q3/Q4-26E at the FY26 outlook tax rate; 2027E+ input ETR.</t>
  </si>
  <si>
    <t xml:space="preserve">  Effective tax rate</t>
  </si>
  <si>
    <t xml:space="preserve">Income from continuing operations</t>
  </si>
  <si>
    <t xml:space="preserve">Income (loss) from discontinued operations, net of tax</t>
  </si>
  <si>
    <t xml:space="preserve">Net income (incl. non-controlling interests)</t>
  </si>
  <si>
    <t xml:space="preserve">  Net income attributable to non-controlling interests</t>
  </si>
  <si>
    <t xml:space="preserve">Net income attributable to Teledyne</t>
  </si>
  <si>
    <t xml:space="preserve">  Check: net income attributable to Teledyne vs reported (should be 0)</t>
  </si>
  <si>
    <t xml:space="preserve">  Memo: net income attributable to Teledyne as reported</t>
  </si>
  <si>
    <t xml:space="preserve">  Memo: depreciation and amortization (total)</t>
  </si>
  <si>
    <t xml:space="preserve">  Memo: stock-based compensation</t>
  </si>
  <si>
    <t xml:space="preserve">  Memo: company-funded research and development</t>
  </si>
  <si>
    <t xml:space="preserve">(Earnings per share)</t>
  </si>
  <si>
    <t xml:space="preserve">  Weighted-average basic shares (m)</t>
  </si>
  <si>
    <t xml:space="preserve">Q3/Q4-26E: Q2/26 less the 2H/26 buyback phased in. 2027E+ = average of beginning and ending shares.</t>
  </si>
  <si>
    <t xml:space="preserve">  Weighted-average diluted shares (m)</t>
  </si>
  <si>
    <t xml:space="preserve">Diluted = basic + dilutive stock options / RSUs (schedule input).</t>
  </si>
  <si>
    <t xml:space="preserve">EPS – basic, attributable to Teledyne ($)</t>
  </si>
  <si>
    <t xml:space="preserve">EPS – diluted, attributable to Teledyne ($)</t>
  </si>
  <si>
    <t xml:space="preserve">EPS computed as NI attributable to Teledyne / weighted diluted shares (may differ by ±$0.01 vs reported).</t>
  </si>
  <si>
    <t xml:space="preserve">  Memo: EPS – diluted as reported ($)</t>
  </si>
  <si>
    <t xml:space="preserve">  Memo: FY26 GAAP diluted EPS outlook (scenario end-point, $)</t>
  </si>
  <si>
    <t xml:space="preserve">Compare with the model 2026E GAAP EPS above (the outlook embeds the company's own amortization / tax assumptions).</t>
  </si>
  <si>
    <t xml:space="preserve">RECONCILIATION: GAAP OPERATING INCOME → NON-GAAP OPERATING INCOME (company definition)</t>
  </si>
  <si>
    <t xml:space="preserve">NON-GAAP OPERATING INCOME — per Teledyne earnings-release reconciliation; company definition in force in each period</t>
  </si>
  <si>
    <t xml:space="preserve">Operating income (GAAP)</t>
  </si>
  <si>
    <t xml:space="preserve">  (+) Acquisition-related transaction and integration costs (FLIR, Excelitas A&amp;D, other)</t>
  </si>
  <si>
    <t xml:space="preserve">  (+) Inventory step-up / purchase-accounting adjustments</t>
  </si>
  <si>
    <t xml:space="preserve">  (+) Impairment / asset write-downs</t>
  </si>
  <si>
    <t xml:space="preserve">  (+) Basis difference: company bridge starts from OI as originally reported (pre-ASU 2017-07 recast)</t>
  </si>
  <si>
    <t xml:space="preserve">  Total adjusting items</t>
  </si>
  <si>
    <t xml:space="preserve">  = Non-GAAP operating income (model bridge)</t>
  </si>
  <si>
    <t xml:space="preserve">Historical shown only where Teledyne published a non-GAAP operating income (see the current-definition memo below for all periods).</t>
  </si>
  <si>
    <t xml:space="preserve">  Company-published non-GAAP operating income</t>
  </si>
  <si>
    <t xml:space="preserve">  Check: model bridge vs company-published (should be 0)</t>
  </si>
  <si>
    <t xml:space="preserve">  Definition basis (company non-GAAP operating income definition in force)</t>
  </si>
  <si>
    <t xml:space="preserve">Not published (2006–Q3/16): GAAP operating income only</t>
  </si>
  <si>
    <t xml:space="preserve">Adjusted OI ex e2v acquisition charges (Q4/16–Q4/17)</t>
  </si>
  <si>
    <t xml:space="preserve">FY2016: e2v charges excluded (Q4/16 only)</t>
  </si>
  <si>
    <t xml:space="preserve">Not published (2018–2019): GAAP only</t>
  </si>
  <si>
    <t xml:space="preserve">Recast in 2021 releases: ex acquired-intangible amortization</t>
  </si>
  <si>
    <t xml:space="preserve">FY2020 recast (Q4-21 release)</t>
  </si>
  <si>
    <t xml:space="preserve">Current definition (Q2-21 recast): ex amortization, FLIR transaction / integration, step-up</t>
  </si>
  <si>
    <t xml:space="preserve">FY2021: FLIR definition</t>
  </si>
  <si>
    <t xml:space="preserve">Integration-cost credit (Q4/22)</t>
  </si>
  <si>
    <t xml:space="preserve">'FLIR integration costs' added</t>
  </si>
  <si>
    <t xml:space="preserve">Trademark impairment excluded; 'transaction &amp; integration costs' label</t>
  </si>
  <si>
    <t xml:space="preserve">Inventory step-up excluded again (Micropac / Excelitas A&amp;D)</t>
  </si>
  <si>
    <t xml:space="preserve">Definition changes are flagged in the column where they take effect (cell comment gives the detail).</t>
  </si>
  <si>
    <t xml:space="preserve">Memo — current definition applied to all periods (model):</t>
  </si>
  <si>
    <t xml:space="preserve">  Non-amortization items (company-published: transaction, step-up, restructuring etc.)</t>
  </si>
  <si>
    <t xml:space="preserve">Company-published adjusting items other than amortization; pension and stock-option exclusions (2005–06 'pro forma' EPS) are not part of the current definition and are left out.</t>
  </si>
  <si>
    <t xml:space="preserve">  Non-GAAP operating income — current definition (GAAP OI + acquired-intangible amortization + items)</t>
  </si>
  <si>
    <t xml:space="preserve">Consistent series: Teledyne's current definition (from 2021) applied back to every period using total acquired-intangible amortization (releases quarterly from 2021; 10-K annually before).</t>
  </si>
  <si>
    <t xml:space="preserve">  Non-GAAP operating margin — current definition %</t>
  </si>
  <si>
    <t xml:space="preserve">RECONCILIATION: GAAP NET INCOME → EBITDA → ADJUSTED EBITDA → ADJUSTED EBIT (model)</t>
  </si>
  <si>
    <t xml:space="preserve">EBITDA BRIDGE — model measure (Teledyne does not publish EBITDA / adjusted EBITDA; it uses EBITDA only within its credit-agreement leverage ratio)</t>
  </si>
  <si>
    <t xml:space="preserve">Net income (GAAP, incl. NCI)</t>
  </si>
  <si>
    <t xml:space="preserve">  (−) Income from discontinued operations</t>
  </si>
  <si>
    <t xml:space="preserve">  (+) Provision for income taxes</t>
  </si>
  <si>
    <t xml:space="preserve">  (+) Interest and debt expense, net</t>
  </si>
  <si>
    <t xml:space="preserve">  (+) Depreciation and amortization</t>
  </si>
  <si>
    <t xml:space="preserve">  = EBITDA</t>
  </si>
  <si>
    <t xml:space="preserve">  (+) Non-amortization adjusting items (company-published, pre-tax)</t>
  </si>
  <si>
    <t xml:space="preserve">  = Adjusted EBITDA (model)</t>
  </si>
  <si>
    <t xml:space="preserve">  Adjusted EBITDA margin %</t>
  </si>
  <si>
    <t xml:space="preserve">To adjusted EBIT:</t>
  </si>
  <si>
    <t xml:space="preserve">  (−) Depreciation and amortization</t>
  </si>
  <si>
    <t xml:space="preserve">  = Adjusted EBIT (model; current-definition non-GAAP OI + non-operating income)</t>
  </si>
  <si>
    <t xml:space="preserve">  Adjusted EBIT margin %</t>
  </si>
  <si>
    <t xml:space="preserve">  Check: adj. EBIT − (current-def. non-GAAP OI + pension + other income) (should be 0)</t>
  </si>
  <si>
    <t xml:space="preserve">RECONCILIATION: GAAP NET INCOME ATTRIBUTABLE TO TELEDYNE → NON-GAAP NET INCOME / NON-GAAP EPS</t>
  </si>
  <si>
    <t xml:space="preserve">NON-GAAP NET INCOME &amp; EPS — company definition in force in each period (definition changes flagged in the definition row and cell comments)</t>
  </si>
  <si>
    <t xml:space="preserve">Net income attributable to Teledyne (GAAP)</t>
  </si>
  <si>
    <t xml:space="preserve">  (+) Pension expense (excluded in 2005–06 'pro forma' EPS)</t>
  </si>
  <si>
    <t xml:space="preserve">  (+) Stock option expense (excluded in 2005–06 'pro forma' EPS)</t>
  </si>
  <si>
    <t xml:space="preserve">  (+) Debt extinguishment / acquisition financing costs</t>
  </si>
  <si>
    <t xml:space="preserve">  (+) Per-share rounding (company reconciled in per-share amounts only; $m = EPS × diluted shares)</t>
  </si>
  <si>
    <t xml:space="preserve">  (−) Income tax effect of the above</t>
  </si>
  <si>
    <t xml:space="preserve">  (+/−) Discrete tax items (FLIR acquisition-related tax matters, tax-law changes)</t>
  </si>
  <si>
    <t xml:space="preserve">  (−) Portion attributable to non-controlling interests</t>
  </si>
  <si>
    <t xml:space="preserve">  = Non-GAAP net income attributable to Teledyne (model bridge)</t>
  </si>
  <si>
    <t xml:space="preserve">Historical shown only where Teledyne published non-GAAP net income (see current-definition memo).</t>
  </si>
  <si>
    <t xml:space="preserve">  Tax rate applied to adjustments (forecast input; historical = implied)</t>
  </si>
  <si>
    <t xml:space="preserve">Q3/Q4-26E = FY26 outlook tax rate (same rate as GAAP, so the outlook EPS is hit exactly).</t>
  </si>
  <si>
    <t xml:space="preserve">Non-GAAP EPS – diluted ($) (model bridge)</t>
  </si>
  <si>
    <t xml:space="preserve">  Company-published non-GAAP net income</t>
  </si>
  <si>
    <t xml:space="preserve">  Company-published non-GAAP diluted EPS ($)</t>
  </si>
  <si>
    <t xml:space="preserve">  Check: model bridge vs company-published non-GAAP net income (should be 0)</t>
  </si>
  <si>
    <t xml:space="preserve">  Definition basis (company non-GAAP EPS definition in force)</t>
  </si>
  <si>
    <t xml:space="preserve">'EPS excl. net pension expense, stock option expense &amp; tax benefit' (2005–07)</t>
  </si>
  <si>
    <t xml:space="preserve">Not published (2008–Q3/16)</t>
  </si>
  <si>
    <t xml:space="preserve">Non-GAAP EPS ex e2v charges (per-share; $m = EPS × shares)</t>
  </si>
  <si>
    <t xml:space="preserve">FY2016: Q4/16 e2v charges</t>
  </si>
  <si>
    <t xml:space="preserve">Tax Act provisional charge also excluded</t>
  </si>
  <si>
    <t xml:space="preserve">Not published (2018–2019)</t>
  </si>
  <si>
    <t xml:space="preserve">Current definition (Q2-21 recast): amortization, FLIR transaction / integration, step-up, financing fees, tax-law remeasurement</t>
  </si>
  <si>
    <t xml:space="preserve">'Acquisition-related foreign tax matters' added</t>
  </si>
  <si>
    <t xml:space="preserve">'Acquisition-related tax matters' widened (FLIR reserve settlements)</t>
  </si>
  <si>
    <t xml:space="preserve">Trademark impairment excluded (Q4/24); relabels</t>
  </si>
  <si>
    <t xml:space="preserve">Inventory step-up excluded (Micropac / Excelitas A&amp;D)</t>
  </si>
  <si>
    <t xml:space="preserve">  Non-GAAP net income — current definition</t>
  </si>
  <si>
    <t xml:space="preserve">Periods before the current definition: NI from continuing operations + (acquired-intangible amortization + company-published non-amortization items) × (1 − period ETR, bounded 15–40%). From the current definition onward = company bridge.</t>
  </si>
  <si>
    <t xml:space="preserve">  Non-GAAP EPS — current definition, diluted ($)</t>
  </si>
  <si>
    <t xml:space="preserve">GROWTH &amp; MARGINS</t>
  </si>
  <si>
    <t xml:space="preserve">GROWTH &amp; MARGINS (consolidated) — forecast outputs</t>
  </si>
  <si>
    <t xml:space="preserve">  Net sales — organic y/y %</t>
  </si>
  <si>
    <t xml:space="preserve">Organic = total growth less disclosed incremental acquisition sales (first 12 months), incl. FX.</t>
  </si>
  <si>
    <t xml:space="preserve">  Net sales — acquisition y/y %</t>
  </si>
  <si>
    <t xml:space="preserve">  Non-GAAP operating income (current definition) y/y %</t>
  </si>
  <si>
    <t xml:space="preserve">  Operating income (GAAP) y/y %</t>
  </si>
  <si>
    <t xml:space="preserve">  Net income attributable to Teledyne y/y %</t>
  </si>
  <si>
    <t xml:space="preserve">  Non-GAAP EPS (current definition) y/y %</t>
  </si>
  <si>
    <t xml:space="preserve">  Gross margin %</t>
  </si>
  <si>
    <t xml:space="preserve">  Non-GAAP operating margin (current definition) %</t>
  </si>
  <si>
    <t xml:space="preserve">  Adjusted EBITDA margin (model) %</t>
  </si>
  <si>
    <t xml:space="preserve">  Net margin %</t>
  </si>
  <si>
    <t xml:space="preserve">  Incremental non-GAAP operating margin (ΔOI / ΔSales)</t>
  </si>
  <si>
    <t xml:space="preserve">  SG&amp;A % of sales</t>
  </si>
  <si>
    <t xml:space="preserve">CONSOLIDATED CASH FLOW STATEMENT</t>
  </si>
  <si>
    <t xml:space="preserve">CONSOLIDATED CASH FLOW STATEMENT — forecast logic (annual; 1H/26 = reported six months)</t>
  </si>
  <si>
    <t xml:space="preserve">Net income (incl. NCI)</t>
  </si>
  <si>
    <t xml:space="preserve">Adjustments:</t>
  </si>
  <si>
    <t xml:space="preserve">  Depreciation and amortization</t>
  </si>
  <si>
    <t xml:space="preserve">  Stock-based compensation</t>
  </si>
  <si>
    <t xml:space="preserve">  Deferred income taxes</t>
  </si>
  <si>
    <t xml:space="preserve">Deferred tax benefit from book amortization of acquired intangibles in excess of tax — input.</t>
  </si>
  <si>
    <t xml:space="preserve">  Pension / retirement-benefit (income) expense and contributions</t>
  </si>
  <si>
    <t xml:space="preserve">Forecast reverses the non-cash non-service pension income (no contributions assumed; plans over-funded).</t>
  </si>
  <si>
    <t xml:space="preserve">  Other non-cash items, net (incl. gains, discontinued ops)</t>
  </si>
  <si>
    <t xml:space="preserve">  Changes in operating assets and liabilities</t>
  </si>
  <si>
    <t xml:space="preserve">Linked to BS: −Δ(receivables, unbilled, inventories, other current assets) + Δ(payables, accrued, contract liabilities, other current, pension and other non-current liabilities).</t>
  </si>
  <si>
    <t xml:space="preserve">Net cash provided by operating activities</t>
  </si>
  <si>
    <t xml:space="preserve">Purchases of property, plant and equipment</t>
  </si>
  <si>
    <t xml:space="preserve">2026E: capex estimate (scenario table point estimate). 2027E+: sales × capex % input.</t>
  </si>
  <si>
    <t xml:space="preserve">Purchase of businesses, net of cash acquired</t>
  </si>
  <si>
    <t xml:space="preserve">2026E = 1H/26 actual (no further 2026 M&amp;A assumed). 2027E+ = M&amp;A lever.</t>
  </si>
  <si>
    <t xml:space="preserve">Proceeds from sale of businesses / assets</t>
  </si>
  <si>
    <t xml:space="preserve">Other investing activities, net</t>
  </si>
  <si>
    <t xml:space="preserve">Net cash used in investing activities</t>
  </si>
  <si>
    <t xml:space="preserve">Proceeds from debt / credit-facility borrowings (incl. net short-term)</t>
  </si>
  <si>
    <t xml:space="preserve">Repayment of debt</t>
  </si>
  <si>
    <t xml:space="preserve">Net issuance / (repayment) = change in total debt per the debt schedule (maturities + revolver).</t>
  </si>
  <si>
    <t xml:space="preserve">Purchases of treasury stock (share repurchases)</t>
  </si>
  <si>
    <t xml:space="preserve">2026E = 1H/26 actual + 2H scenario amount; 2027E+ scenario lever (Buybacks table →).</t>
  </si>
  <si>
    <t xml:space="preserve">Proceeds from exercise of stock options</t>
  </si>
  <si>
    <t xml:space="preserve">Other financing activities, net (debt costs, excess tax benefit, other)</t>
  </si>
  <si>
    <t xml:space="preserve">Net cash provided by (used in) financing activities</t>
  </si>
  <si>
    <t xml:space="preserve">Effect of exchange-rate changes on cash</t>
  </si>
  <si>
    <t xml:space="preserve">Change in cash and cash equivalents</t>
  </si>
  <si>
    <t xml:space="preserve">Cash and cash equivalents — beginning</t>
  </si>
  <si>
    <t xml:space="preserve">Cash and cash equivalents — end</t>
  </si>
  <si>
    <t xml:space="preserve">  Check: CFO + CFI + CFF + FX = change in cash (should be 0)</t>
  </si>
  <si>
    <t xml:space="preserve">  Memo: net cash from discontinued operations (where presented separately)</t>
  </si>
  <si>
    <t xml:space="preserve">(Memo)</t>
  </si>
  <si>
    <t xml:space="preserve">Free cash flow (CFO − capital expenditures; company definition)</t>
  </si>
  <si>
    <t xml:space="preserve">Teledyne defines free cash flow as cash from operating activities less capital expenditures for PP&amp;E.</t>
  </si>
  <si>
    <t xml:space="preserve">  Memo: free cash flow as published</t>
  </si>
  <si>
    <t xml:space="preserve">  FCF y/y %</t>
  </si>
  <si>
    <t xml:space="preserve">  FCF % of sales</t>
  </si>
  <si>
    <t xml:space="preserve">  FCF / non-GAAP net income (current definition) conversion %</t>
  </si>
  <si>
    <t xml:space="preserve">  FCF per diluted share ($)</t>
  </si>
  <si>
    <t xml:space="preserve">Capex ratios</t>
  </si>
  <si>
    <t xml:space="preserve">  Capex % of sales</t>
  </si>
  <si>
    <t xml:space="preserve">  Capex / depreciation (ex acquired-intangible amortization) (x)</t>
  </si>
  <si>
    <t xml:space="preserve">SHARE BUYBACK SCHEDULE</t>
  </si>
  <si>
    <t xml:space="preserve">  Avg buyback price ($)</t>
  </si>
  <si>
    <t xml:space="preserve">2026E = current share price ($615, valuation input); appreciates with the share-price input.</t>
  </si>
  <si>
    <t xml:space="preserve">  Buyback cash deployed (USDm)</t>
  </si>
  <si>
    <t xml:space="preserve">2026E row = 2H/26 buyback only (1H/26 repurchases already in Q1/Q2 share counts).</t>
  </si>
  <si>
    <t xml:space="preserve">  Implied shares repurchased (m)</t>
  </si>
  <si>
    <t xml:space="preserve">  Shares issued under equity plans (m)</t>
  </si>
  <si>
    <t xml:space="preserve">  Beginning shares outstanding (m)</t>
  </si>
  <si>
    <t xml:space="preserve">  Ending shares outstanding (m)</t>
  </si>
  <si>
    <t xml:space="preserve">  % of shares repurchased</t>
  </si>
  <si>
    <t xml:space="preserve">  Memo: cumulative shares repurchased since 2H/26 (m)</t>
  </si>
  <si>
    <t xml:space="preserve">CONSOLIDATED BALANCE SHEET</t>
  </si>
  <si>
    <t xml:space="preserve">BS FORECAST — first-principles roll-forward (2026E from FY2025 year-end; 1H/26 shown as reported)</t>
  </si>
  <si>
    <t xml:space="preserve">ASSETS</t>
  </si>
  <si>
    <t xml:space="preserve">Current assets:</t>
  </si>
  <si>
    <t xml:space="preserve">  Cash and cash equivalents</t>
  </si>
  <si>
    <t xml:space="preserve">  Accounts receivable, net</t>
  </si>
  <si>
    <t xml:space="preserve">Receivables = net sales × DSO / 365.</t>
  </si>
  <si>
    <t xml:space="preserve">  Unbilled receivables / contract assets</t>
  </si>
  <si>
    <t xml:space="preserve">  Inventories, net</t>
  </si>
  <si>
    <t xml:space="preserve">  Prepaid expenses and other current assets (incl. held for sale)</t>
  </si>
  <si>
    <t xml:space="preserve">Total current assets</t>
  </si>
  <si>
    <t xml:space="preserve">  Property, plant and equipment, net</t>
  </si>
  <si>
    <t xml:space="preserve">PP&amp;E roll-forward: prior + capex − depreciation (D&amp;A ex acquired-intangible amortization) − disposals.</t>
  </si>
  <si>
    <t xml:space="preserve">  Operating lease right-of-use assets (2019+)</t>
  </si>
  <si>
    <t xml:space="preserve">  Goodwill</t>
  </si>
  <si>
    <t xml:space="preserve">Goodwill + acquisition consideration not allocated to intangibles.</t>
  </si>
  <si>
    <t xml:space="preserve">  Acquired intangible assets, net</t>
  </si>
  <si>
    <t xml:space="preserve">Intangibles roll-forward: prior + acquired intangibles − amortization.</t>
  </si>
  <si>
    <t xml:space="preserve">  Other assets (incl. prepaid pension, deferred taxes)</t>
  </si>
  <si>
    <t xml:space="preserve">Prepaid pension grows with the non-cash pension income reversed in the CF statement.</t>
  </si>
  <si>
    <t xml:space="preserve">TOTAL ASSETS</t>
  </si>
  <si>
    <t xml:space="preserve">LIABILITIES AND STOCKHOLDERS' EQUITY</t>
  </si>
  <si>
    <t xml:space="preserve">Current liabilities:</t>
  </si>
  <si>
    <t xml:space="preserve">  Accounts payable</t>
  </si>
  <si>
    <t xml:space="preserve">  Accrued liabilities</t>
  </si>
  <si>
    <t xml:space="preserve">  Contract liabilities / customer deposits (where separate)</t>
  </si>
  <si>
    <t xml:space="preserve">  Current portion of long-term debt and other debt</t>
  </si>
  <si>
    <t xml:space="preserve">  Other current liabilities (incl. held for sale)</t>
  </si>
  <si>
    <t xml:space="preserve">Total current liabilities</t>
  </si>
  <si>
    <t xml:space="preserve">  Long-term debt, net of current portion</t>
  </si>
  <si>
    <t xml:space="preserve">  Long-term operating lease liabilities</t>
  </si>
  <si>
    <t xml:space="preserve">  Accrued pension and postretirement benefits</t>
  </si>
  <si>
    <t xml:space="preserve">  Other long-term liabilities</t>
  </si>
  <si>
    <t xml:space="preserve">Total liabilities</t>
  </si>
  <si>
    <t xml:space="preserve">  Redeemable non-controlling interest (temporary equity)</t>
  </si>
  <si>
    <t xml:space="preserve">Stockholders' equity:</t>
  </si>
  <si>
    <t xml:space="preserve">  Common stock &amp; additional paid-in capital</t>
  </si>
  <si>
    <t xml:space="preserve">Common stock + APIC + SBC + option proceeds.</t>
  </si>
  <si>
    <t xml:space="preserve">  Retained earnings</t>
  </si>
  <si>
    <t xml:space="preserve">Retained earnings + NI attributable to Teledyne (Teledyne pays no dividend).</t>
  </si>
  <si>
    <t xml:space="preserve">  Treasury stock</t>
  </si>
  <si>
    <t xml:space="preserve">Repurchased shares held in treasury (at cost).</t>
  </si>
  <si>
    <t xml:space="preserve">  Accumulated other comprehensive income (loss)</t>
  </si>
  <si>
    <t xml:space="preserve">Total Teledyne stockholders' equity</t>
  </si>
  <si>
    <t xml:space="preserve">  Non-controlling interests</t>
  </si>
  <si>
    <t xml:space="preserve">Total stockholders' equity</t>
  </si>
  <si>
    <t xml:space="preserve">TOTAL LIABILITIES AND STOCKHOLDERS' EQUITY</t>
  </si>
  <si>
    <t xml:space="preserve">BS tie-out check (TA − TL&amp;E)</t>
  </si>
  <si>
    <t xml:space="preserve">  Check: model total assets vs reported (should be 0)</t>
  </si>
  <si>
    <t xml:space="preserve">  Memo: total assets as reported</t>
  </si>
  <si>
    <t xml:space="preserve">  Check: BS cash vs cash-flow ending cash (should be 0)</t>
  </si>
  <si>
    <t xml:space="preserve">  Memo: common shares outstanding at period end (m)</t>
  </si>
  <si>
    <t xml:space="preserve">WORKING CAPITAL &amp; CASH CONVERSION</t>
  </si>
  <si>
    <t xml:space="preserve">WORKING CAPITAL — forecast drivers (blue = input)</t>
  </si>
  <si>
    <t xml:space="preserve">  DSO — receivables / sales × 365</t>
  </si>
  <si>
    <t xml:space="preserve">  Unbilled receivables % of sales</t>
  </si>
  <si>
    <t xml:space="preserve">  Inventory days — inventories / cost of sales × 365</t>
  </si>
  <si>
    <t xml:space="preserve">  Payable days — payables / cost of sales × 365</t>
  </si>
  <si>
    <t xml:space="preserve">  Accrued liabilities % of sales</t>
  </si>
  <si>
    <t xml:space="preserve">  Contract liabilities % of sales</t>
  </si>
  <si>
    <t xml:space="preserve">  Operating NWC (receivables + unbilled + inventories − payables − accrued − contract liabilities)</t>
  </si>
  <si>
    <t xml:space="preserve">  NWC % of sales</t>
  </si>
  <si>
    <t xml:space="preserve">  ΔNWC (y/y)</t>
  </si>
  <si>
    <t xml:space="preserve">BALANCE SHEET FORECAST SCHEDULES</t>
  </si>
  <si>
    <t xml:space="preserve">BS FORECAST SCHEDULES — explicit driver assumptions</t>
  </si>
  <si>
    <t xml:space="preserve">Asset roll-forwards &amp; non-cash items</t>
  </si>
  <si>
    <t xml:space="preserve">  Amortization of existing acquired intangibles (USDm)</t>
  </si>
  <si>
    <t xml:space="preserve">Existing acquired intangibles: FY2025 10-K expected amortization 2027 $211.8m, 2028 $208.9m, 2029 $165.0m, 2030 $138.8m. 2026E $226m = FY26 outlook bridge ($3.70/$3.65 per share after tax ≈ $225–227m pre-tax; 10-K schedule $219.1m excl. 2026 deals); 1H/26 actual $113.6m.</t>
  </si>
  <si>
    <t xml:space="preserve">  Acquired intangibles % of 2026 acquisition consideration</t>
  </si>
  <si>
    <t xml:space="preserve">1H/26 acquisitions $53.4m (bolt-ons); intangibles share estimated at 30% (Excelitas A&amp;D 2025: $208.2m of $702.8m).</t>
  </si>
  <si>
    <t xml:space="preserve">  Dilutive securities (m shares)</t>
  </si>
  <si>
    <t xml:space="preserve">  Share-price appreciation % (buyback pricing)</t>
  </si>
  <si>
    <t xml:space="preserve">Debt schedule (scheduled maturities + revolver to a minimum cash balance)</t>
  </si>
  <si>
    <t xml:space="preserve">  Total debt (current + long-term)</t>
  </si>
  <si>
    <t xml:space="preserve">Debt at 28-Jun-26 $2,027.0m: 2.25% notes $700m due Apr-2028, 2.50% $427.3m due Aug-2030, 2.75% $910.8m due Apr-2031 ($450m 1.60% notes repaid Apr-2026); $1.2bn revolver (undrawn, Jun-2029). Maturities repaid from cash / revolver.</t>
  </si>
  <si>
    <t xml:space="preserve">  Scheduled maturities / repayments (input, negative)</t>
  </si>
  <si>
    <t xml:space="preserve">2026E includes the $450m April-2026 maturity repaid in Q2.</t>
  </si>
  <si>
    <t xml:space="preserve">  Cash before revolver (opening cash + CFO + CFI + non-debt CFF + FX + maturities)</t>
  </si>
  <si>
    <t xml:space="preserve">  Minimum cash balance</t>
  </si>
  <si>
    <t xml:space="preserve">  Revolver / new borrowings outstanding (year end)</t>
  </si>
  <si>
    <t xml:space="preserve">Draws when cash would fall below the minimum (e.g. Bull M&amp;A); repaid from surplus cash first.</t>
  </si>
  <si>
    <t xml:space="preserve">  Net issuance / (repayment)</t>
  </si>
  <si>
    <t xml:space="preserve">  Interest rate on opening total debt %</t>
  </si>
  <si>
    <t xml:space="preserve">Gross rate on opening debt: fixed coupons 2.25–2.75% (blended ~2.5% + fees); maturities refinanced on the revolver at ~5%.</t>
  </si>
  <si>
    <t xml:space="preserve">  Interest income yield on opening cash %</t>
  </si>
  <si>
    <t xml:space="preserve">Teledyne reports interest net; historical rate above is net interest / opening debt.</t>
  </si>
  <si>
    <t xml:space="preserve">Historical reference (driver context)</t>
  </si>
  <si>
    <t xml:space="preserve">  Total D&amp;A % of sales</t>
  </si>
  <si>
    <t xml:space="preserve">  Acquired-intangible amortization % of sales</t>
  </si>
  <si>
    <t xml:space="preserve">RATIO ANALYSIS</t>
  </si>
  <si>
    <t xml:space="preserve">DuPont decomposition of ROIC</t>
  </si>
  <si>
    <t xml:space="preserve">Non-GAAP operating income (current definition)</t>
  </si>
  <si>
    <t xml:space="preserve">Effective tax rate (actual)</t>
  </si>
  <si>
    <t xml:space="preserve">NOPAT  =  Non-GAAP OI × (1 − tax rate)</t>
  </si>
  <si>
    <t xml:space="preserve">Invested capital (IC)  =  Equity + Net debt</t>
  </si>
  <si>
    <t xml:space="preserve">  Total equity incl. redeemable NCI</t>
  </si>
  <si>
    <t xml:space="preserve">  Net debt  =  Total debt − Cash</t>
  </si>
  <si>
    <t xml:space="preserve">ROIC  =  NOPAT / IC</t>
  </si>
  <si>
    <t xml:space="preserve">  Margin  =  Non-GAAP OI / Sales</t>
  </si>
  <si>
    <t xml:space="preserve">  Capital turnover  =  Sales / IC</t>
  </si>
  <si>
    <t xml:space="preserve">  Tax burden  =  (1 − effective tax rate)</t>
  </si>
  <si>
    <t xml:space="preserve">  Check: Margin × Turnover × Tax burden  =  ROIC</t>
  </si>
  <si>
    <t xml:space="preserve">RONTA decomposition</t>
  </si>
  <si>
    <t xml:space="preserve">  Total assets</t>
  </si>
  <si>
    <t xml:space="preserve">  − Goodwill &amp; acquired intangible assets</t>
  </si>
  <si>
    <t xml:space="preserve">  − Non-interest-bearing current liabilities (total CL excl. debt)</t>
  </si>
  <si>
    <t xml:space="preserve">  = Net tangible assets</t>
  </si>
  <si>
    <t xml:space="preserve">RONTA  =  NOPAT / NTA</t>
  </si>
  <si>
    <t xml:space="preserve">Return on Equity (ROE)</t>
  </si>
  <si>
    <t xml:space="preserve">Teledyne stockholders' equity</t>
  </si>
  <si>
    <t xml:space="preserve">ROE  =  NI / Equity</t>
  </si>
  <si>
    <t xml:space="preserve">Leverage</t>
  </si>
  <si>
    <t xml:space="preserve">Net debt  =  Total debt − cash (company definition)</t>
  </si>
  <si>
    <t xml:space="preserve">Adjusted EBITDA (model)</t>
  </si>
  <si>
    <t xml:space="preserve">Net debt / adjusted EBITDA (x)</t>
  </si>
  <si>
    <t xml:space="preserve">  Memo: company leverage ratio as published (x)</t>
  </si>
  <si>
    <t xml:space="preserve">VALUATION</t>
  </si>
  <si>
    <t xml:space="preserve">VALUATION — current share price input $615 (per user); applied to 2026E–2030E</t>
  </si>
  <si>
    <t xml:space="preserve">Share price ($) — current</t>
  </si>
  <si>
    <t xml:space="preserve">Diluted shares (m)</t>
  </si>
  <si>
    <t xml:space="preserve">Market capitalisation (USDm)</t>
  </si>
  <si>
    <t xml:space="preserve">Net debt (USDm)</t>
  </si>
  <si>
    <t xml:space="preserve">Non-controlling interests (incl. redeemable, USDm)</t>
  </si>
  <si>
    <t xml:space="preserve">Enterprise value (USDm)</t>
  </si>
  <si>
    <t xml:space="preserve">Multiples</t>
  </si>
  <si>
    <t xml:space="preserve">  EV / Sales</t>
  </si>
  <si>
    <t xml:space="preserve">  EV / Adjusted EBITDA</t>
  </si>
  <si>
    <t xml:space="preserve">  EV / Non-GAAP operating income</t>
  </si>
  <si>
    <t xml:space="preserve">  EV / IC</t>
  </si>
  <si>
    <t xml:space="preserve">  P / E (GAAP diluted)</t>
  </si>
  <si>
    <t xml:space="preserve">  P / E (non-GAAP, company definition)</t>
  </si>
  <si>
    <t xml:space="preserve">  FCF yield</t>
  </si>
  <si>
    <t xml:space="preserve">Teledyne Technologies (TDY) — Bull / Base / Bear Case P&amp;L Summary</t>
  </si>
  <si>
    <t xml:space="preserve">Share price ($):</t>
  </si>
  <si>
    <t xml:space="preserve">Non-GAAP figures (company current definition) · USD millions · Live panel linked to Model — toggle scenario via Model!CT2. Bull and Bear panels are value snapshots generated from the Model with the switch set to each case.</t>
  </si>
  <si>
    <t xml:space="preserve">As of:</t>
  </si>
  <si>
    <t xml:space="preserve">Scenario:</t>
  </si>
  <si>
    <t xml:space="preserve">Snapshot (values) — Model run with switch = Bull</t>
  </si>
  <si>
    <t xml:space="preserve">Snapshot (values) — Model run with switch = Bear</t>
  </si>
  <si>
    <t xml:space="preserve">(USDm, except EPS and shares)</t>
  </si>
  <si>
    <t xml:space="preserve">2025A</t>
  </si>
  <si>
    <t xml:space="preserve">25-'30 CAGR</t>
  </si>
  <si>
    <t xml:space="preserve">LT Hist Avg</t>
  </si>
  <si>
    <t xml:space="preserve">LT Hist Min</t>
  </si>
  <si>
    <t xml:space="preserve">LT Hist Max</t>
  </si>
  <si>
    <t xml:space="preserve">Net Sales</t>
  </si>
  <si>
    <t xml:space="preserve">   Net sales y/y %</t>
  </si>
  <si>
    <t xml:space="preserve">   Organic growth %</t>
  </si>
  <si>
    <t xml:space="preserve">Non-GAAP Operating Income</t>
  </si>
  <si>
    <t xml:space="preserve">   Non-GAAP operating margin %</t>
  </si>
  <si>
    <t xml:space="preserve">Operating Income (GAAP)</t>
  </si>
  <si>
    <t xml:space="preserve">   Operating income y/y %</t>
  </si>
  <si>
    <t xml:space="preserve">   Operating margin (GAAP) %</t>
  </si>
  <si>
    <t xml:space="preserve">Non-GAAP Net Income (attributable to Teledyne)</t>
  </si>
  <si>
    <t xml:space="preserve">FDSO (m)</t>
  </si>
  <si>
    <t xml:space="preserve">Non-GAAP EPS — Diluted ($)</t>
  </si>
  <si>
    <t xml:space="preserve">   EPS y/y %</t>
  </si>
  <si>
    <t xml:space="preserve">P / E (x) — assumed (non-GAAP EPS)</t>
  </si>
  <si>
    <t xml:space="preserve">Price Target ($)</t>
  </si>
  <si>
    <t xml:space="preserve">   Upside / (Downside) vs current</t>
  </si>
  <si>
    <t xml:space="preserve">IRR (to Dec-Y-1)</t>
  </si>
  <si>
    <t xml:space="preserve">Free Cash Flow</t>
  </si>
  <si>
    <t xml:space="preserve">   FCF %</t>
  </si>
  <si>
    <t xml:space="preserve">   FCF / share ($)</t>
  </si>
  <si>
    <t xml:space="preserve">   FCF Yield (on PT)</t>
  </si>
  <si>
    <t xml:space="preserve">   Adjusted EBITDA margin %</t>
  </si>
  <si>
    <t xml:space="preserve">Net Debt</t>
  </si>
  <si>
    <t xml:space="preserve">   Net Debt / Adjusted EBITDA (x)</t>
  </si>
  <si>
    <t xml:space="preserve">ROIC</t>
  </si>
  <si>
    <t xml:space="preserve">RONTA</t>
  </si>
  <si>
    <t xml:space="preserve">Implied Market Cap (USDm)</t>
  </si>
  <si>
    <t xml:space="preserve">(+) Net Debt &amp; NCI</t>
  </si>
  <si>
    <t xml:space="preserve">Implied Enterprise Value (USDm)</t>
  </si>
  <si>
    <t xml:space="preserve">Implied EV / Adjusted EBITDA (x)</t>
  </si>
  <si>
    <t xml:space="preserve">DCF VALUATION — TELEDYNE TECHNOLOGIES (TDY)</t>
  </si>
  <si>
    <t xml:space="preserve">1. WACC BUILD</t>
  </si>
  <si>
    <t xml:space="preserve">Risk-free rate (US 10Y govt)</t>
  </si>
  <si>
    <t xml:space="preserve">Assumption (~US 10Y Treasury yield); update to market</t>
  </si>
  <si>
    <t xml:space="preserve">Equity risk premium</t>
  </si>
  <si>
    <t xml:space="preserve">US implied ERP ~4.5–5.5% (Damodaran)</t>
  </si>
  <si>
    <t xml:space="preserve">Levered beta</t>
  </si>
  <si>
    <t xml:space="preserve">Diversified instrumentation / A&amp;D electronics peers (AME, KEYS, LHX) ~0.9–1.1; ~25% US Government sales dampen cyclicality</t>
  </si>
  <si>
    <t xml:space="preserve">Cost of equity</t>
  </si>
  <si>
    <t xml:space="preserve">Pre-tax cost of debt</t>
  </si>
  <si>
    <t xml:space="preserve">BBB-rated (investment grade); FLIR-acquisition notes 1.6%–2.75% fixed coupons; marginal cost ~4.5–5.0%</t>
  </si>
  <si>
    <t xml:space="preserve">Tax rate</t>
  </si>
  <si>
    <t xml:space="preserve">Model 2027E+ effective tax rate (FY26 outlook rate in the scenario table)</t>
  </si>
  <si>
    <t xml:space="preserve">After-tax cost of debt</t>
  </si>
  <si>
    <t xml:space="preserve">Target D/V</t>
  </si>
  <si>
    <t xml:space="preserve">Net debt ~$1.7bn vs ~$29bn market cap; leverage 1.1x at 30-Jun-26</t>
  </si>
  <si>
    <t xml:space="preserve">WACC</t>
  </si>
  <si>
    <t xml:space="preserve">Valuation date (live)</t>
  </si>
  <si>
    <t xml:space="preserve">Periods = (Dec-31-Year − today) / 365.25; cash flows assumed at year-end</t>
  </si>
  <si>
    <t xml:space="preserve">2. UNLEVERED FREE CASH FLOW BUILD (USDm)</t>
  </si>
  <si>
    <t xml:space="preserve">2031E</t>
  </si>
  <si>
    <t xml:space="preserve">2032E</t>
  </si>
  <si>
    <t xml:space="preserve">2033E</t>
  </si>
  <si>
    <t xml:space="preserve">2034E</t>
  </si>
  <si>
    <t xml:space="preserve">2035E</t>
  </si>
  <si>
    <t xml:space="preserve">Terminal</t>
  </si>
  <si>
    <t xml:space="preserve">Non-GAAP operating income (Model, current definition)</t>
  </si>
  <si>
    <t xml:space="preserve">(−) Transaction &amp; integration costs (cash, excluded from non-GAAP)</t>
  </si>
  <si>
    <t xml:space="preserve">× (1 − tax rate)</t>
  </si>
  <si>
    <t xml:space="preserve">NOPAT  =  (Non-GAAP OI − transaction costs) × (1 − t)</t>
  </si>
  <si>
    <t xml:space="preserve">plus depreciation (D&amp;A ex acquired-intangible amortization)</t>
  </si>
  <si>
    <t xml:space="preserve">− Capex (PP&amp;E) and acquisitions (M&amp;A lever, 2027E+)</t>
  </si>
  <si>
    <t xml:space="preserve">− Δ Working capital (CF statement)</t>
  </si>
  <si>
    <t xml:space="preserve">Unlevered FCF</t>
  </si>
  <si>
    <t xml:space="preserve">Terminal Value (Gordon Growth)</t>
  </si>
  <si>
    <t xml:space="preserve">   memo: PP&amp;E capex only (fade years carry no new acquisitions)</t>
  </si>
  <si>
    <t xml:space="preserve">Fade-period growth (2031E–35E)</t>
  </si>
  <si>
    <t xml:space="preserve">Terminal growth rate</t>
  </si>
  <si>
    <t xml:space="preserve">Discount period (years)</t>
  </si>
  <si>
    <t xml:space="preserve">Discount factor</t>
  </si>
  <si>
    <t xml:space="preserve">PV of UFCF</t>
  </si>
  <si>
    <t xml:space="preserve">Teledyne's non-GAAP operating income already expenses stock-based compensation (only acquired-intangible amortization and acquisition items are excluded). Acquisition spend from the M&amp;A lever is deducted in 2027E–30E so that acquired sales / profit in the Model are paid for; the fade period and terminal value assume no new acquisitions. Operating-lease costs sit inside operating income (lease liabilities not deducted as debt).</t>
  </si>
  <si>
    <t xml:space="preserve">3. VALUATION SUMMARY</t>
  </si>
  <si>
    <t xml:space="preserve">Sum of PV (explicit + fade)</t>
  </si>
  <si>
    <t xml:space="preserve">PV of Terminal Value</t>
  </si>
  <si>
    <t xml:space="preserve">Enterprise Value</t>
  </si>
  <si>
    <t xml:space="preserve">Less: net debt (Model 2026E YE)</t>
  </si>
  <si>
    <t xml:space="preserve">Less: non-controlling interests (Model 2026E)</t>
  </si>
  <si>
    <t xml:space="preserve">Equity Value</t>
  </si>
  <si>
    <t xml:space="preserve">Diluted shares (m, Model 2026E)</t>
  </si>
  <si>
    <t xml:space="preserve">Implied share price ($)</t>
  </si>
  <si>
    <t xml:space="preserve">Current share price ($)</t>
  </si>
  <si>
    <t xml:space="preserve">Implied upside / (downside)</t>
  </si>
  <si>
    <t xml:space="preserve">4. SENSITIVITY: IMPLIED PRICE ($) — WACC × Terminal Growth</t>
  </si>
  <si>
    <t xml:space="preserve">WACC (across):</t>
  </si>
  <si>
    <t xml:space="preserve">g (down) / WACC</t>
  </si>
  <si>
    <t xml:space="preserve">5. REVERSE DCF</t>
  </si>
  <si>
    <t xml:space="preserve">To solve for the market-implied path: Data ▸ What-If Analysis ▸ Goal Seek — set C45 to the current price (C46) by changing C30 (terminal growth) or the Model scenario levers (segment organic growth, non-GAAP margins, M&amp;A spend).</t>
  </si>
  <si>
    <t xml:space="preserve">6. MAUBOUSSIN EV / NOPAT — TWO-STAGE FRAMEWORK</t>
  </si>
  <si>
    <t xml:space="preserve">EV/NOPAT  =  1/r  +  [g × (1 − r/ROIIC) / (r × (r − g))] × [1 − ((1+g)/(1+r))^N]</t>
  </si>
  <si>
    <t xml:space="preserve">Formula source: Mauboussin &amp; Rappaport, "Expectations Investing" (2021); Counterpoint Global, "What Does a Price-Earnings Multiple Mean?" (2020).</t>
  </si>
  <si>
    <t xml:space="preserve">Input</t>
  </si>
  <si>
    <t xml:space="preserve">Value</t>
  </si>
  <si>
    <t xml:space="preserve">Rationale (Teledyne characteristics)</t>
  </si>
  <si>
    <t xml:space="preserve">r  (Cost of capital / WACC)</t>
  </si>
  <si>
    <t xml:space="preserve">Linked from Section 1 WACC build</t>
  </si>
  <si>
    <t xml:space="preserve">g  (NOPAT growth, Stage 1)</t>
  </si>
  <si>
    <t xml:space="preserve">Model non-GAAP OI CAGR 2025–30E: mid-single-digit organic growth + margin expansion + bolt-on M&amp;A</t>
  </si>
  <si>
    <t xml:space="preserve">ROIIC  (Return on incremental invested capital)</t>
  </si>
  <si>
    <t xml:space="preserve">Organic growth is capital-light (capex ~2% of sales); acquired growth earns ~8–10% after-tax on purchase price (FLIR goodwill-heavy base: ROIC ~7–9%)</t>
  </si>
  <si>
    <t xml:space="preserve">N  (Years of value creation / CAP)</t>
  </si>
  <si>
    <t xml:space="preserve">Niche leadership in IR imaging, marine instruments and space-qualified sensors; decentralised serial-acquirer model with disciplined capital allocation</t>
  </si>
  <si>
    <t xml:space="preserve">Calculation</t>
  </si>
  <si>
    <t xml:space="preserve">Steady-state component:  1 / r</t>
  </si>
  <si>
    <t xml:space="preserve">Value-creation factor: 1 − r / ROIIC</t>
  </si>
  <si>
    <t xml:space="preserve">Growth multiplier: g × (1 − r/ROIIC) / (r × (r − g))</t>
  </si>
  <si>
    <t xml:space="preserve">Time decay: 1 − ((1+g)/(1+r))^N</t>
  </si>
  <si>
    <t xml:space="preserve">PVGO component (growth value)</t>
  </si>
  <si>
    <t xml:space="preserve">Mauboussin EV / NOPAT (steady-state + PVGO)</t>
  </si>
  <si>
    <t xml:space="preserve">VALUATION  —  Applied to 2028E NOPAT</t>
  </si>
  <si>
    <t xml:space="preserve">USDm</t>
  </si>
  <si>
    <t xml:space="preserve">2028E Non-GAAP operating income (Model)</t>
  </si>
  <si>
    <t xml:space="preserve">(−) 2028E transaction &amp; integration costs</t>
  </si>
  <si>
    <t xml:space="preserve">Tax rate (from WACC build)</t>
  </si>
  <si>
    <t xml:space="preserve">2028E NOPAT  =  (OI − transaction costs) × (1 − t)</t>
  </si>
  <si>
    <t xml:space="preserve">× Mauboussin EV/NOPAT multiple</t>
  </si>
  <si>
    <t xml:space="preserve">Implied Enterprise Value (2028E basis)</t>
  </si>
  <si>
    <t xml:space="preserve">Less: YE2027 net debt + NCI (Model)</t>
  </si>
  <si>
    <t xml:space="preserve">Implied Equity Value</t>
  </si>
  <si>
    <t xml:space="preserve">Diluted shares 2028E (m, Model)</t>
  </si>
  <si>
    <t xml:space="preserve">Implied share price 2028 ($)</t>
  </si>
  <si>
    <t xml:space="preserve">MARKET-IMPLIED EV/NOPAT TODAY</t>
  </si>
  <si>
    <t xml:space="preserve">Current market cap (spot × diluted shares)</t>
  </si>
  <si>
    <t xml:space="preserve">Plus: YE2026 net debt &amp; NCI</t>
  </si>
  <si>
    <t xml:space="preserve">Implied Enterprise Value (today)</t>
  </si>
  <si>
    <t xml:space="preserve">TDY's market-implied EV/NOPAT (on 2028E NOPAT)</t>
  </si>
  <si>
    <t xml:space="preserve">Multiple gap (Mauboussin − Market)</t>
  </si>
  <si>
    <t xml:space="preserve">Implied re-rating headroom</t>
  </si>
  <si>
    <t xml:space="preserve">Teledyne Technologies — Historical Operating Performance (2006–2025)</t>
  </si>
  <si>
    <t xml:space="preserve">All historicals · USDm · Linked to Model. M&amp;A % = disclosed incremental sales from acquisitions (e.g. DALSA 2011, e2v 2017, FLIR 2021, Excelitas A&amp;D 2025). Non-GAAP OI on the current definition (model memo series) for all years.</t>
  </si>
  <si>
    <t xml:space="preserve">Organic %</t>
  </si>
  <si>
    <t xml:space="preserve">M&amp;A %</t>
  </si>
  <si>
    <t xml:space="preserve">Non-GAAP Op. Margin %</t>
  </si>
  <si>
    <t xml:space="preserve">GAAP Op. Margin %</t>
  </si>
  <si>
    <t xml:space="preserve">Non-GAAP op. margin %</t>
  </si>
  <si>
    <t xml:space="preserve">FCF margin %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</si>
</sst>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#,##0;\(#,##0\);\-"/>
    <numFmt numFmtId="166" formatCode="0%;\(0%\);&quot;n/m&quot;"/>
    <numFmt numFmtId="167" formatCode="0.0%;\(0.0%\);\-"/>
    <numFmt numFmtId="168" formatCode="0.00;\(0.00\);\-"/>
    <numFmt numFmtId="169" formatCode="\+0.0%;\-0.0%"/>
    <numFmt numFmtId="170" formatCode="\+#,##0;\-#,##0"/>
    <numFmt numFmtId="171" formatCode="0.00\x;\(0.00&quot;x)&quot;;\-"/>
    <numFmt numFmtId="172" formatCode="#,##0.0;\(#,##0.0\);\-"/>
    <numFmt numFmtId="173" formatCode="0\d;\(0&quot;)d&quot;;\-"/>
    <numFmt numFmtId="174" formatCode="#,##0.00"/>
    <numFmt numFmtId="175" formatCode="dd\-mmm\-yy"/>
    <numFmt numFmtId="176" formatCode="0%;\(0%\);\-"/>
    <numFmt numFmtId="177" formatCode="0.0\x"/>
    <numFmt numFmtId="178" formatCode="0.00%"/>
    <numFmt numFmtId="179" formatCode="0.00"/>
    <numFmt numFmtId="180" formatCode="0.0%"/>
    <numFmt numFmtId="181" formatCode="0.000"/>
    <numFmt numFmtId="182" formatCode="#,##0"/>
    <numFmt numFmtId="183" formatCode="0"/>
    <numFmt numFmtId="184" formatCode="0%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C00000"/>
      <name val="Calibri"/>
      <family val="0"/>
      <charset val="1"/>
    </font>
    <font>
      <b val="true"/>
      <sz val="16"/>
      <color rgb="FF1F3864"/>
      <name val="Calibri"/>
      <family val="0"/>
      <charset val="1"/>
    </font>
    <font>
      <b val="true"/>
      <sz val="12"/>
      <color rgb="FF0000FF"/>
      <name val="Calibri"/>
      <family val="0"/>
      <charset val="1"/>
    </font>
    <font>
      <sz val="10"/>
      <color rgb="FF595959"/>
      <name val="Calibri"/>
      <family val="0"/>
      <charset val="1"/>
    </font>
    <font>
      <sz val="10"/>
      <color rgb="FFC0000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9"/>
      <color rgb="FF666666"/>
      <name val="Calibri"/>
      <family val="0"/>
      <charset val="1"/>
    </font>
    <font>
      <sz val="12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2"/>
      <name val="Calibri"/>
      <family val="0"/>
      <charset val="1"/>
    </font>
    <font>
      <sz val="12"/>
      <color rgb="FF404040"/>
      <name val="Calibri"/>
      <family val="0"/>
      <charset val="1"/>
    </font>
    <font>
      <sz val="12"/>
      <color rgb="FFA6A6A6"/>
      <name val="Calibri"/>
      <family val="0"/>
      <charset val="1"/>
    </font>
    <font>
      <sz val="12"/>
      <color rgb="FF000000"/>
      <name val="Calibri"/>
      <family val="0"/>
      <charset val="1"/>
    </font>
    <font>
      <sz val="12"/>
      <color rgb="FF0000FF"/>
      <name val="Calibri"/>
      <family val="0"/>
      <charset val="1"/>
    </font>
    <font>
      <b val="true"/>
      <i val="true"/>
      <sz val="12"/>
      <color rgb="FF666666"/>
      <name val="Calibri"/>
      <family val="0"/>
      <charset val="1"/>
    </font>
    <font>
      <b val="true"/>
      <sz val="12"/>
      <color rgb="FF595959"/>
      <name val="Calibri"/>
      <family val="0"/>
      <charset val="1"/>
    </font>
    <font>
      <b val="true"/>
      <i val="true"/>
      <sz val="11"/>
      <color rgb="FFC00000"/>
      <name val="Calibri"/>
      <family val="0"/>
      <charset val="1"/>
    </font>
    <font>
      <b val="true"/>
      <i val="true"/>
      <sz val="10"/>
      <color rgb="FFC00000"/>
      <name val="Calibri"/>
      <family val="0"/>
      <charset val="1"/>
    </font>
    <font>
      <sz val="10"/>
      <name val="Arial"/>
      <family val="2"/>
    </font>
    <font>
      <b val="true"/>
      <sz val="16"/>
      <color rgb="FF2F3E46"/>
      <name val="Calibri"/>
      <family val="0"/>
      <charset val="1"/>
    </font>
    <font>
      <b val="true"/>
      <sz val="12"/>
      <color rgb="FF008000"/>
      <name val="Calibri"/>
      <family val="0"/>
      <charset val="1"/>
    </font>
    <font>
      <b val="true"/>
      <sz val="12"/>
      <color rgb="FF2F3E46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12"/>
      <color rgb="FF595959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12"/>
      <color rgb="FF008000"/>
      <name val="Calibri"/>
      <family val="0"/>
      <charset val="1"/>
    </font>
    <font>
      <b val="true"/>
      <sz val="14"/>
      <name val="Calibri"/>
      <family val="0"/>
      <charset val="1"/>
    </font>
    <font>
      <b val="true"/>
      <sz val="14"/>
      <color rgb="FF000000"/>
      <name val="Calibri"/>
      <family val="2"/>
    </font>
    <font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DE7"/>
        <bgColor rgb="FFFFF8DC"/>
      </patternFill>
    </fill>
    <fill>
      <patternFill patternType="solid">
        <fgColor rgb="FFFFFF00"/>
        <bgColor rgb="FFFFFF00"/>
      </patternFill>
    </fill>
    <fill>
      <patternFill patternType="solid">
        <fgColor rgb="FF84A98C"/>
        <bgColor rgb="FFA6A6A6"/>
      </patternFill>
    </fill>
    <fill>
      <patternFill patternType="solid">
        <fgColor rgb="FF2F3E46"/>
        <bgColor rgb="FF404040"/>
      </patternFill>
    </fill>
    <fill>
      <patternFill patternType="solid">
        <fgColor rgb="FFCAD2C5"/>
        <bgColor rgb="FFD9D9D9"/>
      </patternFill>
    </fill>
    <fill>
      <patternFill patternType="solid">
        <fgColor rgb="FF52796F"/>
        <bgColor rgb="FF666666"/>
      </patternFill>
    </fill>
    <fill>
      <patternFill patternType="solid">
        <fgColor rgb="FFE9ECEC"/>
        <bgColor rgb="FFE8EDE9"/>
      </patternFill>
    </fill>
    <fill>
      <patternFill patternType="solid">
        <fgColor rgb="FFF5F5F5"/>
        <bgColor rgb="FFF0F2F0"/>
      </patternFill>
    </fill>
    <fill>
      <patternFill patternType="solid">
        <fgColor rgb="FFE8EDE9"/>
        <bgColor rgb="FFE9ECEC"/>
      </patternFill>
    </fill>
    <fill>
      <patternFill patternType="solid">
        <fgColor rgb="FFF0F2F0"/>
        <bgColor rgb="FFF5F5F5"/>
      </patternFill>
    </fill>
    <fill>
      <patternFill patternType="solid">
        <fgColor rgb="FFFFF8DC"/>
        <bgColor rgb="FFFFFDE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3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3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3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3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3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3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7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16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30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3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7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0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0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7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7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6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30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3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0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1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2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3" fontId="2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AD2C5"/>
      <rgbColor rgb="FF878787"/>
      <rgbColor rgb="FF84A98C"/>
      <rgbColor rgb="FF595959"/>
      <rgbColor rgb="FFFFF8DC"/>
      <rgbColor rgb="FFE8ED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CEC"/>
      <rgbColor rgb="FFF0F2F0"/>
      <rgbColor rgb="FFFFFDE7"/>
      <rgbColor rgb="FFA8C5D6"/>
      <rgbColor rgb="FFFF99CC"/>
      <rgbColor rgb="FFCC99FF"/>
      <rgbColor rgb="FFF5F5F5"/>
      <rgbColor rgb="FF3366FF"/>
      <rgbColor rgb="FF33CCCC"/>
      <rgbColor rgb="FF99CC00"/>
      <rgbColor rgb="FFFFCC00"/>
      <rgbColor rgb="FFFF9900"/>
      <rgbColor rgb="FFC8553D"/>
      <rgbColor rgb="FF666666"/>
      <rgbColor rgb="FFA6A6A6"/>
      <rgbColor rgb="FF1F3864"/>
      <rgbColor rgb="FF52796F"/>
      <rgbColor rgb="FF003300"/>
      <rgbColor rgb="FF404040"/>
      <rgbColor rgb="FF993300"/>
      <rgbColor rgb="FF993366"/>
      <rgbColor rgb="FF1F4E79"/>
      <rgbColor rgb="FF2F3E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400" spc="-1" strike="noStrike">
                <a:solidFill>
                  <a:srgbClr val="000000"/>
                </a:solidFill>
                <a:latin typeface="Calibri"/>
              </a:rPr>
              <a:t>Net Sales Growth Decomposition: Organic vs M&amp;A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Charts!B8</c:f>
              <c:strCache>
                <c:ptCount val="1"/>
                <c:pt idx="0">
                  <c:v>Organic %</c:v>
                </c:pt>
              </c:strCache>
            </c:strRef>
          </c:tx>
          <c:spPr>
            <a:solidFill>
              <a:srgbClr val="2f3e4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Charts!$C$8:$V$8</c:f>
              <c:numCache>
                <c:formatCode>0.0%;\(0.0%\);\-</c:formatCode>
                <c:ptCount val="20"/>
                <c:pt idx="0">
                  <c:v>0</c:v>
                </c:pt>
                <c:pt idx="1">
                  <c:v>0.0192576053586379</c:v>
                </c:pt>
                <c:pt idx="2">
                  <c:v>-0.0266288602601245</c:v>
                </c:pt>
                <c:pt idx="3">
                  <c:v>-0.0637630662020907</c:v>
                </c:pt>
                <c:pt idx="4">
                  <c:v>-0.0200956358573936</c:v>
                </c:pt>
                <c:pt idx="5">
                  <c:v>0.0292543486193893</c:v>
                </c:pt>
                <c:pt idx="6">
                  <c:v>0.00242031000566463</c:v>
                </c:pt>
                <c:pt idx="7">
                  <c:v>0.0184741221266393</c:v>
                </c:pt>
                <c:pt idx="8">
                  <c:v>0.000684170016248993</c:v>
                </c:pt>
                <c:pt idx="9">
                  <c:v>-0.0563074352548037</c:v>
                </c:pt>
                <c:pt idx="10">
                  <c:v>-0.0754536356120273</c:v>
                </c:pt>
                <c:pt idx="11">
                  <c:v>0.0725150006977068</c:v>
                </c:pt>
                <c:pt idx="12">
                  <c:v>0.0702434902834319</c:v>
                </c:pt>
                <c:pt idx="13">
                  <c:v>0.0443517816527671</c:v>
                </c:pt>
                <c:pt idx="14">
                  <c:v>-0.0462447844228095</c:v>
                </c:pt>
                <c:pt idx="15">
                  <c:v>0.0824638714276459</c:v>
                </c:pt>
                <c:pt idx="16">
                  <c:v>0.0543094293825716</c:v>
                </c:pt>
                <c:pt idx="17">
                  <c:v>0.0141245007877477</c:v>
                </c:pt>
                <c:pt idx="18">
                  <c:v>-0.00264395350900542</c:v>
                </c:pt>
                <c:pt idx="19">
                  <c:v>0.0309171075837741</c:v>
                </c:pt>
              </c:numCache>
            </c:numRef>
          </c:val>
        </c:ser>
        <c:ser>
          <c:idx val="1"/>
          <c:order val="1"/>
          <c:tx>
            <c:strRef>
              <c:f>Charts!B9</c:f>
              <c:strCache>
                <c:ptCount val="1"/>
                <c:pt idx="0">
                  <c:v>M&amp;A %</c:v>
                </c:pt>
              </c:strCache>
            </c:strRef>
          </c:tx>
          <c:spPr>
            <a:solidFill>
              <a:srgbClr val="84a98c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Charts!$C$9:$V$9</c:f>
              <c:numCache>
                <c:formatCode>0.0%;\(0.0%\);\-</c:formatCode>
                <c:ptCount val="20"/>
                <c:pt idx="0">
                  <c:v>0</c:v>
                </c:pt>
                <c:pt idx="1">
                  <c:v>0.112684900921016</c:v>
                </c:pt>
                <c:pt idx="2">
                  <c:v>0.0880848178511989</c:v>
                </c:pt>
                <c:pt idx="3">
                  <c:v>0.0231707317073171</c:v>
                </c:pt>
                <c:pt idx="4">
                  <c:v>0.0153138429877126</c:v>
                </c:pt>
                <c:pt idx="5">
                  <c:v>0.151806349592507</c:v>
                </c:pt>
                <c:pt idx="6">
                  <c:v>0.0930531953241671</c:v>
                </c:pt>
                <c:pt idx="7">
                  <c:v>0.0808536642692615</c:v>
                </c:pt>
                <c:pt idx="8">
                  <c:v>0.0230052167963739</c:v>
                </c:pt>
                <c:pt idx="9">
                  <c:v>0.0162489557226399</c:v>
                </c:pt>
                <c:pt idx="10">
                  <c:v>0.0109655802619555</c:v>
                </c:pt>
                <c:pt idx="11">
                  <c:v>0.138611098190614</c:v>
                </c:pt>
                <c:pt idx="12">
                  <c:v>0.0442046240110608</c:v>
                </c:pt>
                <c:pt idx="13">
                  <c:v>0.0458680818802123</c:v>
                </c:pt>
                <c:pt idx="14">
                  <c:v>0.0217789859653559</c:v>
                </c:pt>
                <c:pt idx="15">
                  <c:v>0.412675782515715</c:v>
                </c:pt>
                <c:pt idx="16">
                  <c:v>0.128665236330538</c:v>
                </c:pt>
                <c:pt idx="17">
                  <c:v>0.0182830762466567</c:v>
                </c:pt>
                <c:pt idx="18">
                  <c:v>0.00876585928489043</c:v>
                </c:pt>
                <c:pt idx="19">
                  <c:v>0.047636684303351</c:v>
                </c:pt>
              </c:numCache>
            </c:numRef>
          </c:val>
        </c:ser>
        <c:gapWidth val="150"/>
        <c:overlap val="100"/>
        <c:axId val="64931980"/>
        <c:axId val="7053029"/>
      </c:barChart>
      <c:catAx>
        <c:axId val="649319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53029"/>
        <c:crosses val="autoZero"/>
        <c:auto val="1"/>
        <c:lblAlgn val="ctr"/>
        <c:lblOffset val="100"/>
        <c:noMultiLvlLbl val="0"/>
      </c:catAx>
      <c:valAx>
        <c:axId val="70530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9319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400" spc="-1" strike="noStrike">
                <a:solidFill>
                  <a:srgbClr val="000000"/>
                </a:solidFill>
                <a:latin typeface="Calibri"/>
              </a:rPr>
              <a:t>Non-GAAP &amp; GAAP Operating Income (USDm) with Margins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Charts!B12</c:f>
              <c:strCache>
                <c:ptCount val="1"/>
                <c:pt idx="0">
                  <c:v>Non-GAAP Operating Income</c:v>
                </c:pt>
              </c:strCache>
            </c:strRef>
          </c:tx>
          <c:spPr>
            <a:solidFill>
              <a:srgbClr val="a8c5d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Charts!$C$12:$V$12</c:f>
              <c:numCache>
                <c:formatCode>#,##0;\(#,##0\);\-</c:formatCode>
                <c:ptCount val="20"/>
                <c:pt idx="0">
                  <c:v>132.8</c:v>
                </c:pt>
                <c:pt idx="1">
                  <c:v>168.7</c:v>
                </c:pt>
                <c:pt idx="2">
                  <c:v>214.4</c:v>
                </c:pt>
                <c:pt idx="3">
                  <c:v>183.8</c:v>
                </c:pt>
                <c:pt idx="4">
                  <c:v>192.6</c:v>
                </c:pt>
                <c:pt idx="5">
                  <c:v>251.8</c:v>
                </c:pt>
                <c:pt idx="6">
                  <c:v>272.5</c:v>
                </c:pt>
                <c:pt idx="7">
                  <c:v>271.8</c:v>
                </c:pt>
                <c:pt idx="8">
                  <c:v>326.5</c:v>
                </c:pt>
                <c:pt idx="9">
                  <c:v>312.3</c:v>
                </c:pt>
                <c:pt idx="10">
                  <c:v>284</c:v>
                </c:pt>
                <c:pt idx="11">
                  <c:v>381.8</c:v>
                </c:pt>
                <c:pt idx="12">
                  <c:v>456.1</c:v>
                </c:pt>
                <c:pt idx="13">
                  <c:v>528.2</c:v>
                </c:pt>
                <c:pt idx="14">
                  <c:v>518.9</c:v>
                </c:pt>
                <c:pt idx="15">
                  <c:v>983</c:v>
                </c:pt>
                <c:pt idx="16">
                  <c:v>1169.7</c:v>
                </c:pt>
                <c:pt idx="17">
                  <c:v>1239.9</c:v>
                </c:pt>
                <c:pt idx="18">
                  <c:v>1248</c:v>
                </c:pt>
                <c:pt idx="19">
                  <c:v>1380</c:v>
                </c:pt>
              </c:numCache>
            </c:numRef>
          </c:val>
        </c:ser>
        <c:ser>
          <c:idx val="1"/>
          <c:order val="1"/>
          <c:tx>
            <c:strRef>
              <c:f>Charts!B13</c:f>
              <c:strCache>
                <c:ptCount val="1"/>
                <c:pt idx="0">
                  <c:v>Operating Income (GAAP)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Charts!$C$13:$V$13</c:f>
              <c:numCache>
                <c:formatCode>#,##0;\(#,##0\);\-</c:formatCode>
                <c:ptCount val="20"/>
                <c:pt idx="0">
                  <c:v>125.1</c:v>
                </c:pt>
                <c:pt idx="1">
                  <c:v>162.3</c:v>
                </c:pt>
                <c:pt idx="2">
                  <c:v>198.6</c:v>
                </c:pt>
                <c:pt idx="3">
                  <c:v>171.4</c:v>
                </c:pt>
                <c:pt idx="4">
                  <c:v>178.5</c:v>
                </c:pt>
                <c:pt idx="5">
                  <c:v>227.2</c:v>
                </c:pt>
                <c:pt idx="6">
                  <c:v>243.1</c:v>
                </c:pt>
                <c:pt idx="7">
                  <c:v>240.3</c:v>
                </c:pt>
                <c:pt idx="8">
                  <c:v>294.5</c:v>
                </c:pt>
                <c:pt idx="9">
                  <c:v>281.7</c:v>
                </c:pt>
                <c:pt idx="10">
                  <c:v>253.8</c:v>
                </c:pt>
                <c:pt idx="11">
                  <c:v>321.7</c:v>
                </c:pt>
                <c:pt idx="12">
                  <c:v>416.6</c:v>
                </c:pt>
                <c:pt idx="13">
                  <c:v>491.7</c:v>
                </c:pt>
                <c:pt idx="14">
                  <c:v>480.1</c:v>
                </c:pt>
                <c:pt idx="15">
                  <c:v>624.3</c:v>
                </c:pt>
                <c:pt idx="16">
                  <c:v>972</c:v>
                </c:pt>
                <c:pt idx="17">
                  <c:v>1034.4</c:v>
                </c:pt>
                <c:pt idx="18">
                  <c:v>989.1</c:v>
                </c:pt>
                <c:pt idx="19">
                  <c:v>1149.8</c:v>
                </c:pt>
              </c:numCache>
            </c:numRef>
          </c:val>
        </c:ser>
        <c:gapWidth val="150"/>
        <c:overlap val="0"/>
        <c:axId val="12466311"/>
        <c:axId val="57004857"/>
      </c:barChart>
      <c:lineChart>
        <c:grouping val="standard"/>
        <c:varyColors val="0"/>
        <c:ser>
          <c:idx val="2"/>
          <c:order val="2"/>
          <c:tx>
            <c:strRef>
              <c:f>Charts!B14</c:f>
              <c:strCache>
                <c:ptCount val="1"/>
                <c:pt idx="0">
                  <c:v>Non-GAAP Op. Margin %</c:v>
                </c:pt>
              </c:strCache>
            </c:strRef>
          </c:tx>
          <c:spPr>
            <a:solidFill>
              <a:srgbClr val="2f3e46"/>
            </a:solidFill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Charts!$C$14:$V$14</c:f>
              <c:numCache>
                <c:formatCode>0.0%;\(0.0%\);\-</c:formatCode>
                <c:ptCount val="20"/>
                <c:pt idx="0">
                  <c:v>0.0926597823053307</c:v>
                </c:pt>
                <c:pt idx="1">
                  <c:v>0.103988164950995</c:v>
                </c:pt>
                <c:pt idx="2">
                  <c:v>0.124506387921022</c:v>
                </c:pt>
                <c:pt idx="3">
                  <c:v>0.111252345499667</c:v>
                </c:pt>
                <c:pt idx="4">
                  <c:v>0.117139034180757</c:v>
                </c:pt>
                <c:pt idx="5">
                  <c:v>0.129666821154539</c:v>
                </c:pt>
                <c:pt idx="6">
                  <c:v>0.128096648333568</c:v>
                </c:pt>
                <c:pt idx="7">
                  <c:v>0.116223381510305</c:v>
                </c:pt>
                <c:pt idx="8">
                  <c:v>0.136382623224729</c:v>
                </c:pt>
                <c:pt idx="9">
                  <c:v>0.135894869674949</c:v>
                </c:pt>
                <c:pt idx="10">
                  <c:v>0.132099167403135</c:v>
                </c:pt>
                <c:pt idx="11">
                  <c:v>0.146631845763884</c:v>
                </c:pt>
                <c:pt idx="12">
                  <c:v>0.1571783031222</c:v>
                </c:pt>
                <c:pt idx="13">
                  <c:v>0.166961689214819</c:v>
                </c:pt>
                <c:pt idx="14">
                  <c:v>0.168135571252673</c:v>
                </c:pt>
                <c:pt idx="15">
                  <c:v>0.213033396181436</c:v>
                </c:pt>
                <c:pt idx="16">
                  <c:v>0.214285714285714</c:v>
                </c:pt>
                <c:pt idx="17">
                  <c:v>0.220015970188981</c:v>
                </c:pt>
                <c:pt idx="18">
                  <c:v>0.22010582010582</c:v>
                </c:pt>
                <c:pt idx="19">
                  <c:v>0.225659809660856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Charts!B15</c:f>
              <c:strCache>
                <c:ptCount val="1"/>
                <c:pt idx="0">
                  <c:v>GAAP Op. Margin %</c:v>
                </c:pt>
              </c:strCache>
            </c:strRef>
          </c:tx>
          <c:spPr>
            <a:solidFill>
              <a:srgbClr val="c8553d"/>
            </a:solidFill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Charts!$C$15:$V$15</c:f>
              <c:numCache>
                <c:formatCode>0.0%;\(0.0%\);\-</c:formatCode>
                <c:ptCount val="20"/>
                <c:pt idx="0">
                  <c:v>0.0872871895060006</c:v>
                </c:pt>
                <c:pt idx="1">
                  <c:v>0.100043148616162</c:v>
                </c:pt>
                <c:pt idx="2">
                  <c:v>0.115331010452962</c:v>
                </c:pt>
                <c:pt idx="3">
                  <c:v>0.103746746564978</c:v>
                </c:pt>
                <c:pt idx="4">
                  <c:v>0.108563435105218</c:v>
                </c:pt>
                <c:pt idx="5">
                  <c:v>0.116998815592976</c:v>
                </c:pt>
                <c:pt idx="6">
                  <c:v>0.114276312696846</c:v>
                </c:pt>
                <c:pt idx="7">
                  <c:v>0.102753784315402</c:v>
                </c:pt>
                <c:pt idx="8">
                  <c:v>0.123015873015873</c:v>
                </c:pt>
                <c:pt idx="9">
                  <c:v>0.122579522214003</c:v>
                </c:pt>
                <c:pt idx="10">
                  <c:v>0.118052002418717</c:v>
                </c:pt>
                <c:pt idx="11">
                  <c:v>0.123550195867578</c:v>
                </c:pt>
                <c:pt idx="12">
                  <c:v>0.143566062444</c:v>
                </c:pt>
                <c:pt idx="13">
                  <c:v>0.155424200278164</c:v>
                </c:pt>
                <c:pt idx="14">
                  <c:v>0.1555634761195</c:v>
                </c:pt>
                <c:pt idx="15">
                  <c:v>0.135296794746766</c:v>
                </c:pt>
                <c:pt idx="16">
                  <c:v>0.178067636390283</c:v>
                </c:pt>
                <c:pt idx="17">
                  <c:v>0.183550705350013</c:v>
                </c:pt>
                <c:pt idx="18">
                  <c:v>0.174444444444444</c:v>
                </c:pt>
                <c:pt idx="19">
                  <c:v>0.188017137063806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233312"/>
        <c:axId val="85085782"/>
      </c:lineChart>
      <c:catAx>
        <c:axId val="124663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004857"/>
        <c:crosses val="autoZero"/>
        <c:auto val="1"/>
        <c:lblAlgn val="ctr"/>
        <c:lblOffset val="100"/>
        <c:noMultiLvlLbl val="0"/>
      </c:catAx>
      <c:valAx>
        <c:axId val="570048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466311"/>
        <c:crosses val="autoZero"/>
        <c:crossBetween val="between"/>
      </c:valAx>
      <c:catAx>
        <c:axId val="4233312"/>
        <c:scaling>
          <c:orientation val="minMax"/>
        </c:scaling>
        <c:delete val="0"/>
        <c:axPos val="t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085782"/>
        <c:crosses val="autoZero"/>
        <c:auto val="1"/>
        <c:lblAlgn val="ctr"/>
        <c:lblOffset val="100"/>
        <c:noMultiLvlLbl val="0"/>
      </c:catAx>
      <c:valAx>
        <c:axId val="8508578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33312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400" spc="-1" strike="noStrike">
                <a:solidFill>
                  <a:srgbClr val="000000"/>
                </a:solidFill>
                <a:latin typeface="Calibri"/>
              </a:rPr>
              <a:t>Returns Profile: ROIC, RONTA, Non-GAAP Operating Margin &amp; FCF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Charts!B18</c:f>
              <c:strCache>
                <c:ptCount val="1"/>
                <c:pt idx="0">
                  <c:v>ROIC</c:v>
                </c:pt>
              </c:strCache>
            </c:strRef>
          </c:tx>
          <c:spPr>
            <a:solidFill>
              <a:srgbClr val="2f3e46"/>
            </a:solidFill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Charts!$C$18:$V$18</c:f>
              <c:numCache>
                <c:formatCode>0.0%;\(0.0%\);\-</c:formatCode>
                <c:ptCount val="20"/>
                <c:pt idx="0">
                  <c:v>0.135226949499185</c:v>
                </c:pt>
                <c:pt idx="1">
                  <c:v>0.170571431406402</c:v>
                </c:pt>
                <c:pt idx="2">
                  <c:v>0.159901645925331</c:v>
                </c:pt>
                <c:pt idx="3">
                  <c:v>0.143912731828279</c:v>
                </c:pt>
                <c:pt idx="4">
                  <c:v>0.135961642721605</c:v>
                </c:pt>
                <c:pt idx="5">
                  <c:v>0.135548147334366</c:v>
                </c:pt>
                <c:pt idx="6">
                  <c:v>0.113302268068115</c:v>
                </c:pt>
                <c:pt idx="7">
                  <c:v>0.111645213516286</c:v>
                </c:pt>
                <c:pt idx="8">
                  <c:v>0.12278983306727</c:v>
                </c:pt>
                <c:pt idx="9">
                  <c:v>0.1159357844045</c:v>
                </c:pt>
                <c:pt idx="10">
                  <c:v>0.108353255002481</c:v>
                </c:pt>
                <c:pt idx="11">
                  <c:v>0.102481011557576</c:v>
                </c:pt>
                <c:pt idx="12">
                  <c:v>0.136349427904195</c:v>
                </c:pt>
                <c:pt idx="13">
                  <c:v>0.133277469593092</c:v>
                </c:pt>
                <c:pt idx="14">
                  <c:v>0.133172796992656</c:v>
                </c:pt>
                <c:pt idx="15">
                  <c:v>0.07291259122367</c:v>
                </c:pt>
                <c:pt idx="16">
                  <c:v>0.0887059010703461</c:v>
                </c:pt>
                <c:pt idx="17">
                  <c:v>0.0969695586874712</c:v>
                </c:pt>
                <c:pt idx="18">
                  <c:v>0.0945121335840171</c:v>
                </c:pt>
                <c:pt idx="19">
                  <c:v>0.0893686805333207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Charts!B19</c:f>
              <c:strCache>
                <c:ptCount val="1"/>
                <c:pt idx="0">
                  <c:v>RONTA</c:v>
                </c:pt>
              </c:strCache>
            </c:strRef>
          </c:tx>
          <c:spPr>
            <a:solidFill>
              <a:srgbClr val="84a98c"/>
            </a:solidFill>
            <a:ln w="28440">
              <a:solidFill>
                <a:srgbClr val="84a98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Charts!$C$19:$V$19</c:f>
              <c:numCache>
                <c:formatCode>0.0%;\(0.0%\);\-</c:formatCode>
                <c:ptCount val="20"/>
                <c:pt idx="0">
                  <c:v>0.195886411485129</c:v>
                </c:pt>
                <c:pt idx="1">
                  <c:v>0.232645473709909</c:v>
                </c:pt>
                <c:pt idx="2">
                  <c:v>0.224349099511384</c:v>
                </c:pt>
                <c:pt idx="3">
                  <c:v>0.265150824119168</c:v>
                </c:pt>
                <c:pt idx="4">
                  <c:v>0.238419843397198</c:v>
                </c:pt>
                <c:pt idx="5">
                  <c:v>0.284626012118536</c:v>
                </c:pt>
                <c:pt idx="6">
                  <c:v>0.260874975243252</c:v>
                </c:pt>
                <c:pt idx="7">
                  <c:v>0.217815705529147</c:v>
                </c:pt>
                <c:pt idx="8">
                  <c:v>0.254314613492973</c:v>
                </c:pt>
                <c:pt idx="9">
                  <c:v>0.246546372506952</c:v>
                </c:pt>
                <c:pt idx="10">
                  <c:v>0.237381203986419</c:v>
                </c:pt>
                <c:pt idx="11">
                  <c:v>0.266578979878955</c:v>
                </c:pt>
                <c:pt idx="12">
                  <c:v>0.337150840265196</c:v>
                </c:pt>
                <c:pt idx="13">
                  <c:v>0.312407066757036</c:v>
                </c:pt>
                <c:pt idx="14">
                  <c:v>0.238477873656416</c:v>
                </c:pt>
                <c:pt idx="15">
                  <c:v>0.372130168685446</c:v>
                </c:pt>
                <c:pt idx="16">
                  <c:v>0.360711930396948</c:v>
                </c:pt>
                <c:pt idx="17">
                  <c:v>0.372091175146628</c:v>
                </c:pt>
                <c:pt idx="18">
                  <c:v>0.371976939406596</c:v>
                </c:pt>
                <c:pt idx="19">
                  <c:v>0.365767288195207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Charts!B20</c:f>
              <c:strCache>
                <c:ptCount val="1"/>
                <c:pt idx="0">
                  <c:v>Non-GAAP op. margin %</c:v>
                </c:pt>
              </c:strCache>
            </c:strRef>
          </c:tx>
          <c:spPr>
            <a:solidFill>
              <a:srgbClr val="1f4e79"/>
            </a:solidFill>
            <a:ln w="2844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Charts!$C$20:$V$20</c:f>
              <c:numCache>
                <c:formatCode>0.0%;\(0.0%\);\-</c:formatCode>
                <c:ptCount val="20"/>
                <c:pt idx="0">
                  <c:v>0.0926597823053307</c:v>
                </c:pt>
                <c:pt idx="1">
                  <c:v>0.103988164950995</c:v>
                </c:pt>
                <c:pt idx="2">
                  <c:v>0.124506387921022</c:v>
                </c:pt>
                <c:pt idx="3">
                  <c:v>0.111252345499667</c:v>
                </c:pt>
                <c:pt idx="4">
                  <c:v>0.117139034180757</c:v>
                </c:pt>
                <c:pt idx="5">
                  <c:v>0.129666821154539</c:v>
                </c:pt>
                <c:pt idx="6">
                  <c:v>0.128096648333568</c:v>
                </c:pt>
                <c:pt idx="7">
                  <c:v>0.116223381510305</c:v>
                </c:pt>
                <c:pt idx="8">
                  <c:v>0.136382623224729</c:v>
                </c:pt>
                <c:pt idx="9">
                  <c:v>0.135894869674949</c:v>
                </c:pt>
                <c:pt idx="10">
                  <c:v>0.132099167403135</c:v>
                </c:pt>
                <c:pt idx="11">
                  <c:v>0.146631845763884</c:v>
                </c:pt>
                <c:pt idx="12">
                  <c:v>0.1571783031222</c:v>
                </c:pt>
                <c:pt idx="13">
                  <c:v>0.166961689214819</c:v>
                </c:pt>
                <c:pt idx="14">
                  <c:v>0.168135571252673</c:v>
                </c:pt>
                <c:pt idx="15">
                  <c:v>0.213033396181436</c:v>
                </c:pt>
                <c:pt idx="16">
                  <c:v>0.214285714285714</c:v>
                </c:pt>
                <c:pt idx="17">
                  <c:v>0.220015970188981</c:v>
                </c:pt>
                <c:pt idx="18">
                  <c:v>0.22010582010582</c:v>
                </c:pt>
                <c:pt idx="19">
                  <c:v>0.225659809660856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Charts!B21</c:f>
              <c:strCache>
                <c:ptCount val="1"/>
                <c:pt idx="0">
                  <c:v>FCF margin %</c:v>
                </c:pt>
              </c:strCache>
            </c:strRef>
          </c:tx>
          <c:spPr>
            <a:solidFill>
              <a:srgbClr val="c8553d"/>
            </a:solidFill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Charts!$C$21:$V$21</c:f>
              <c:numCache>
                <c:formatCode>0.0%;\(0.0%\);\-</c:formatCode>
                <c:ptCount val="20"/>
                <c:pt idx="0">
                  <c:v>0.0362824448785934</c:v>
                </c:pt>
                <c:pt idx="1">
                  <c:v>0.0779140726129569</c:v>
                </c:pt>
                <c:pt idx="2">
                  <c:v>0.0477351916376307</c:v>
                </c:pt>
                <c:pt idx="3">
                  <c:v>0.0734822347315538</c:v>
                </c:pt>
                <c:pt idx="4">
                  <c:v>0.0673883955723148</c:v>
                </c:pt>
                <c:pt idx="5">
                  <c:v>0.0900664297852619</c:v>
                </c:pt>
                <c:pt idx="6">
                  <c:v>0.0582428430404738</c:v>
                </c:pt>
                <c:pt idx="7">
                  <c:v>0.0558881382023433</c:v>
                </c:pt>
                <c:pt idx="8">
                  <c:v>0.102088554720134</c:v>
                </c:pt>
                <c:pt idx="9">
                  <c:v>0.0710151864583787</c:v>
                </c:pt>
                <c:pt idx="10">
                  <c:v>0.106702637331969</c:v>
                </c:pt>
                <c:pt idx="11">
                  <c:v>0.121437898456103</c:v>
                </c:pt>
                <c:pt idx="12">
                  <c:v>0.124095389068854</c:v>
                </c:pt>
                <c:pt idx="13">
                  <c:v>0.124446832722215</c:v>
                </c:pt>
                <c:pt idx="14">
                  <c:v>0.177402631067332</c:v>
                </c:pt>
                <c:pt idx="15">
                  <c:v>0.15668682140303</c:v>
                </c:pt>
                <c:pt idx="16">
                  <c:v>0.072216319202726</c:v>
                </c:pt>
                <c:pt idx="17">
                  <c:v>0.127974447697631</c:v>
                </c:pt>
                <c:pt idx="18">
                  <c:v>0.195449735449735</c:v>
                </c:pt>
                <c:pt idx="19">
                  <c:v>0.175622199692579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2087129"/>
        <c:axId val="56670482"/>
      </c:lineChart>
      <c:catAx>
        <c:axId val="620871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670482"/>
        <c:crosses val="autoZero"/>
        <c:auto val="1"/>
        <c:lblAlgn val="ctr"/>
        <c:lblOffset val="100"/>
        <c:noMultiLvlLbl val="0"/>
      </c:catAx>
      <c:valAx>
        <c:axId val="566704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0871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22</xdr:row>
      <xdr:rowOff>160560</xdr:rowOff>
    </xdr:from>
    <xdr:to>
      <xdr:col>12</xdr:col>
      <xdr:colOff>543960</xdr:colOff>
      <xdr:row>37</xdr:row>
      <xdr:rowOff>2520</xdr:rowOff>
    </xdr:to>
    <xdr:graphicFrame>
      <xdr:nvGraphicFramePr>
        <xdr:cNvPr id="0" name="Chart 1"/>
        <xdr:cNvGraphicFramePr/>
      </xdr:nvGraphicFramePr>
      <xdr:xfrm>
        <a:off x="758880" y="4380120"/>
        <a:ext cx="1079928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43</xdr:row>
      <xdr:rowOff>160560</xdr:rowOff>
    </xdr:from>
    <xdr:to>
      <xdr:col>12</xdr:col>
      <xdr:colOff>543960</xdr:colOff>
      <xdr:row>58</xdr:row>
      <xdr:rowOff>2160</xdr:rowOff>
    </xdr:to>
    <xdr:graphicFrame>
      <xdr:nvGraphicFramePr>
        <xdr:cNvPr id="1" name="Chart 2"/>
        <xdr:cNvGraphicFramePr/>
      </xdr:nvGraphicFramePr>
      <xdr:xfrm>
        <a:off x="758880" y="8380800"/>
        <a:ext cx="10799280" cy="26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64</xdr:row>
      <xdr:rowOff>160560</xdr:rowOff>
    </xdr:from>
    <xdr:to>
      <xdr:col>12</xdr:col>
      <xdr:colOff>543960</xdr:colOff>
      <xdr:row>79</xdr:row>
      <xdr:rowOff>2520</xdr:rowOff>
    </xdr:to>
    <xdr:graphicFrame>
      <xdr:nvGraphicFramePr>
        <xdr:cNvPr id="2" name="Chart 3"/>
        <xdr:cNvGraphicFramePr/>
      </xdr:nvGraphicFramePr>
      <xdr:xfrm>
        <a:off x="758880" y="12381120"/>
        <a:ext cx="1079928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F435"/>
  <sheetViews>
    <sheetView showFormulas="false" showGridLines="false" showRowColHeaders="true" showZeros="true" rightToLeft="false" tabSelected="true" showOutlineSymbols="true" defaultGridColor="true" view="normal" topLeftCell="A1" colorId="64" zoomScale="60" zoomScaleNormal="6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1"/>
  <cols>
    <col collapsed="false" customWidth="true" hidden="false" outlineLevel="0" max="1" min="1" style="1" width="2.5"/>
    <col collapsed="false" customWidth="true" hidden="false" outlineLevel="0" max="2" min="2" style="1" width="62"/>
    <col collapsed="false" customWidth="true" hidden="false" outlineLevel="0" max="9" min="3" style="1" width="14.13"/>
    <col collapsed="false" customWidth="true" hidden="true" outlineLevel="1" max="11" min="10" style="1" width="9.63"/>
    <col collapsed="false" customWidth="true" hidden="true" outlineLevel="1" max="12" min="12" style="1" width="10.88"/>
    <col collapsed="false" customWidth="true" hidden="true" outlineLevel="1" max="14" min="13" style="1" width="9.63"/>
    <col collapsed="false" customWidth="true" hidden="false" outlineLevel="0" max="15" min="15" style="1" width="14.13"/>
    <col collapsed="false" customWidth="true" hidden="true" outlineLevel="1" max="17" min="16" style="1" width="9.63"/>
    <col collapsed="false" customWidth="true" hidden="true" outlineLevel="1" max="18" min="18" style="1" width="10.88"/>
    <col collapsed="false" customWidth="true" hidden="true" outlineLevel="1" max="20" min="19" style="1" width="9.63"/>
    <col collapsed="false" customWidth="true" hidden="false" outlineLevel="0" max="21" min="21" style="1" width="14.13"/>
    <col collapsed="false" customWidth="true" hidden="true" outlineLevel="1" max="23" min="22" style="1" width="9.63"/>
    <col collapsed="false" customWidth="true" hidden="true" outlineLevel="1" max="24" min="24" style="1" width="10.88"/>
    <col collapsed="false" customWidth="true" hidden="true" outlineLevel="1" max="26" min="25" style="1" width="9.63"/>
    <col collapsed="false" customWidth="true" hidden="false" outlineLevel="0" max="27" min="27" style="1" width="14.13"/>
    <col collapsed="false" customWidth="true" hidden="true" outlineLevel="1" max="29" min="28" style="1" width="9.63"/>
    <col collapsed="false" customWidth="true" hidden="true" outlineLevel="1" max="30" min="30" style="1" width="10.88"/>
    <col collapsed="false" customWidth="true" hidden="true" outlineLevel="1" max="32" min="31" style="1" width="9.63"/>
    <col collapsed="false" customWidth="true" hidden="false" outlineLevel="0" max="33" min="33" style="1" width="14.13"/>
    <col collapsed="false" customWidth="true" hidden="true" outlineLevel="1" max="35" min="34" style="1" width="9.63"/>
    <col collapsed="false" customWidth="true" hidden="true" outlineLevel="1" max="36" min="36" style="1" width="10.88"/>
    <col collapsed="false" customWidth="true" hidden="true" outlineLevel="1" max="38" min="37" style="1" width="9.63"/>
    <col collapsed="false" customWidth="true" hidden="false" outlineLevel="0" max="39" min="39" style="1" width="14.13"/>
    <col collapsed="false" customWidth="true" hidden="true" outlineLevel="1" max="41" min="40" style="1" width="9.63"/>
    <col collapsed="false" customWidth="true" hidden="true" outlineLevel="1" max="42" min="42" style="1" width="10.88"/>
    <col collapsed="false" customWidth="true" hidden="true" outlineLevel="1" max="44" min="43" style="1" width="9.63"/>
    <col collapsed="false" customWidth="true" hidden="false" outlineLevel="0" max="45" min="45" style="1" width="14.13"/>
    <col collapsed="false" customWidth="true" hidden="true" outlineLevel="1" max="47" min="46" style="1" width="9.63"/>
    <col collapsed="false" customWidth="true" hidden="true" outlineLevel="1" max="48" min="48" style="1" width="10.88"/>
    <col collapsed="false" customWidth="true" hidden="true" outlineLevel="1" max="50" min="49" style="1" width="9.63"/>
    <col collapsed="false" customWidth="true" hidden="false" outlineLevel="0" max="51" min="51" style="1" width="14.13"/>
    <col collapsed="false" customWidth="true" hidden="true" outlineLevel="1" max="53" min="52" style="1" width="9.63"/>
    <col collapsed="false" customWidth="true" hidden="true" outlineLevel="1" max="54" min="54" style="1" width="10.88"/>
    <col collapsed="false" customWidth="true" hidden="true" outlineLevel="1" max="56" min="55" style="1" width="9.63"/>
    <col collapsed="false" customWidth="true" hidden="false" outlineLevel="0" max="57" min="57" style="1" width="14.13"/>
    <col collapsed="false" customWidth="true" hidden="true" outlineLevel="1" max="59" min="58" style="1" width="9.63"/>
    <col collapsed="false" customWidth="true" hidden="true" outlineLevel="1" max="60" min="60" style="1" width="10.88"/>
    <col collapsed="false" customWidth="true" hidden="true" outlineLevel="1" max="62" min="61" style="1" width="9.63"/>
    <col collapsed="false" customWidth="true" hidden="false" outlineLevel="0" max="63" min="63" style="1" width="14.13"/>
    <col collapsed="false" customWidth="true" hidden="true" outlineLevel="1" max="65" min="64" style="1" width="9.63"/>
    <col collapsed="false" customWidth="true" hidden="true" outlineLevel="1" max="66" min="66" style="1" width="10.88"/>
    <col collapsed="false" customWidth="true" hidden="true" outlineLevel="1" max="68" min="67" style="1" width="9.63"/>
    <col collapsed="false" customWidth="true" hidden="false" outlineLevel="0" max="69" min="69" style="1" width="14.13"/>
    <col collapsed="false" customWidth="true" hidden="true" outlineLevel="1" max="71" min="70" style="1" width="9.63"/>
    <col collapsed="false" customWidth="true" hidden="true" outlineLevel="1" max="72" min="72" style="1" width="10.88"/>
    <col collapsed="false" customWidth="true" hidden="true" outlineLevel="1" max="74" min="73" style="1" width="9.63"/>
    <col collapsed="false" customWidth="true" hidden="false" outlineLevel="0" max="75" min="75" style="1" width="14.13"/>
    <col collapsed="false" customWidth="true" hidden="true" outlineLevel="1" max="77" min="76" style="1" width="9.63"/>
    <col collapsed="false" customWidth="true" hidden="true" outlineLevel="1" max="78" min="78" style="1" width="10.88"/>
    <col collapsed="false" customWidth="true" hidden="true" outlineLevel="1" max="80" min="79" style="1" width="9.63"/>
    <col collapsed="false" customWidth="true" hidden="false" outlineLevel="0" max="81" min="81" style="1" width="14.13"/>
    <col collapsed="false" customWidth="true" hidden="true" outlineLevel="1" max="83" min="82" style="1" width="9.63"/>
    <col collapsed="false" customWidth="true" hidden="true" outlineLevel="1" max="84" min="84" style="1" width="10.88"/>
    <col collapsed="false" customWidth="true" hidden="true" outlineLevel="1" max="86" min="85" style="1" width="9.63"/>
    <col collapsed="false" customWidth="true" hidden="false" outlineLevel="0" max="87" min="87" style="1" width="14.13"/>
    <col collapsed="false" customWidth="true" hidden="false" outlineLevel="1" max="89" min="88" style="1" width="9.63"/>
    <col collapsed="false" customWidth="true" hidden="false" outlineLevel="1" max="90" min="90" style="1" width="10.88"/>
    <col collapsed="false" customWidth="true" hidden="false" outlineLevel="1" max="92" min="91" style="1" width="11.5"/>
    <col collapsed="false" customWidth="true" hidden="false" outlineLevel="0" max="97" min="93" style="1" width="14.13"/>
    <col collapsed="false" customWidth="true" hidden="false" outlineLevel="0" max="98" min="98" style="1" width="86.88"/>
    <col collapsed="false" customWidth="true" hidden="false" outlineLevel="0" max="99" min="99" style="1" width="2"/>
    <col collapsed="false" customWidth="true" hidden="false" outlineLevel="0" max="100" min="100" style="1" width="14.13"/>
    <col collapsed="false" customWidth="true" hidden="false" outlineLevel="0" max="101" min="101" style="1" width="12.38"/>
    <col collapsed="false" customWidth="true" hidden="false" outlineLevel="0" max="103" min="102" style="1" width="13.5"/>
    <col collapsed="false" customWidth="true" hidden="false" outlineLevel="0" max="104" min="104" style="1" width="2"/>
    <col collapsed="false" customWidth="true" hidden="false" outlineLevel="0" max="105" min="105" style="1" width="6"/>
    <col collapsed="false" customWidth="true" hidden="false" outlineLevel="0" max="106" min="106" style="1" width="40"/>
    <col collapsed="false" customWidth="true" hidden="false" outlineLevel="0" max="109" min="107" style="1" width="11.63"/>
    <col collapsed="false" customWidth="true" hidden="false" outlineLevel="0" max="110" min="110" style="1" width="40"/>
  </cols>
  <sheetData>
    <row r="1" customFormat="false" ht="15" hidden="false" customHeight="true" outlineLevel="0" collapsed="false">
      <c r="CT1" s="2" t="s">
        <v>0</v>
      </c>
    </row>
    <row r="2" customFormat="false" ht="21" hidden="false" customHeight="true" outlineLevel="0" collapsed="false">
      <c r="B2" s="3" t="s">
        <v>1</v>
      </c>
      <c r="CT2" s="4" t="s">
        <v>2</v>
      </c>
    </row>
    <row r="3" customFormat="false" ht="15" hidden="false" customHeight="true" outlineLevel="0" collapsed="false">
      <c r="B3" s="5" t="s">
        <v>3</v>
      </c>
    </row>
    <row r="4" customFormat="false" ht="15" hidden="false" customHeight="true" outlineLevel="0" collapsed="false">
      <c r="B4" s="6" t="s">
        <v>4</v>
      </c>
    </row>
    <row r="5" customFormat="false" ht="15" hidden="false" customHeight="true" outlineLevel="0" collapsed="false">
      <c r="CM5" s="7"/>
      <c r="CN5" s="7"/>
      <c r="CO5" s="7"/>
      <c r="CP5" s="7"/>
      <c r="CQ5" s="7"/>
      <c r="CR5" s="7"/>
      <c r="CS5" s="7"/>
      <c r="CV5" s="8" t="s">
        <v>5</v>
      </c>
      <c r="CW5" s="8" t="s">
        <v>6</v>
      </c>
      <c r="CX5" s="8" t="s">
        <v>6</v>
      </c>
      <c r="CY5" s="8" t="s">
        <v>6</v>
      </c>
    </row>
    <row r="6" customFormat="false" ht="15" hidden="false" customHeight="true" outlineLevel="0" collapsed="false">
      <c r="B6" s="9" t="s">
        <v>7</v>
      </c>
      <c r="C6" s="10" t="n">
        <v>2006</v>
      </c>
      <c r="D6" s="10" t="n">
        <v>2007</v>
      </c>
      <c r="E6" s="10" t="n">
        <v>2008</v>
      </c>
      <c r="F6" s="10" t="n">
        <v>2009</v>
      </c>
      <c r="G6" s="10" t="n">
        <v>2010</v>
      </c>
      <c r="H6" s="10" t="n">
        <v>2011</v>
      </c>
      <c r="I6" s="10" t="n">
        <v>2012</v>
      </c>
      <c r="J6" s="10" t="s">
        <v>8</v>
      </c>
      <c r="K6" s="10" t="s">
        <v>9</v>
      </c>
      <c r="L6" s="10" t="s">
        <v>10</v>
      </c>
      <c r="M6" s="10" t="s">
        <v>11</v>
      </c>
      <c r="N6" s="10" t="s">
        <v>12</v>
      </c>
      <c r="O6" s="10" t="n">
        <v>2013</v>
      </c>
      <c r="P6" s="10" t="s">
        <v>13</v>
      </c>
      <c r="Q6" s="10" t="s">
        <v>14</v>
      </c>
      <c r="R6" s="10" t="s">
        <v>15</v>
      </c>
      <c r="S6" s="10" t="s">
        <v>16</v>
      </c>
      <c r="T6" s="10" t="s">
        <v>17</v>
      </c>
      <c r="U6" s="10" t="n">
        <v>2014</v>
      </c>
      <c r="V6" s="10" t="s">
        <v>18</v>
      </c>
      <c r="W6" s="10" t="s">
        <v>19</v>
      </c>
      <c r="X6" s="10" t="s">
        <v>20</v>
      </c>
      <c r="Y6" s="10" t="s">
        <v>21</v>
      </c>
      <c r="Z6" s="10" t="s">
        <v>22</v>
      </c>
      <c r="AA6" s="10" t="n">
        <v>2015</v>
      </c>
      <c r="AB6" s="10" t="s">
        <v>23</v>
      </c>
      <c r="AC6" s="10" t="s">
        <v>24</v>
      </c>
      <c r="AD6" s="10" t="s">
        <v>25</v>
      </c>
      <c r="AE6" s="10" t="s">
        <v>26</v>
      </c>
      <c r="AF6" s="10" t="s">
        <v>27</v>
      </c>
      <c r="AG6" s="10" t="n">
        <v>2016</v>
      </c>
      <c r="AH6" s="10" t="s">
        <v>28</v>
      </c>
      <c r="AI6" s="10" t="s">
        <v>29</v>
      </c>
      <c r="AJ6" s="10" t="s">
        <v>30</v>
      </c>
      <c r="AK6" s="10" t="s">
        <v>31</v>
      </c>
      <c r="AL6" s="10" t="s">
        <v>32</v>
      </c>
      <c r="AM6" s="10" t="n">
        <v>2017</v>
      </c>
      <c r="AN6" s="10" t="s">
        <v>33</v>
      </c>
      <c r="AO6" s="10" t="s">
        <v>34</v>
      </c>
      <c r="AP6" s="10" t="s">
        <v>35</v>
      </c>
      <c r="AQ6" s="10" t="s">
        <v>36</v>
      </c>
      <c r="AR6" s="10" t="s">
        <v>37</v>
      </c>
      <c r="AS6" s="10" t="n">
        <v>2018</v>
      </c>
      <c r="AT6" s="10" t="s">
        <v>38</v>
      </c>
      <c r="AU6" s="10" t="s">
        <v>39</v>
      </c>
      <c r="AV6" s="10" t="s">
        <v>40</v>
      </c>
      <c r="AW6" s="10" t="s">
        <v>41</v>
      </c>
      <c r="AX6" s="10" t="s">
        <v>42</v>
      </c>
      <c r="AY6" s="10" t="n">
        <v>2019</v>
      </c>
      <c r="AZ6" s="10" t="s">
        <v>43</v>
      </c>
      <c r="BA6" s="10" t="s">
        <v>44</v>
      </c>
      <c r="BB6" s="10" t="s">
        <v>45</v>
      </c>
      <c r="BC6" s="10" t="s">
        <v>46</v>
      </c>
      <c r="BD6" s="10" t="s">
        <v>47</v>
      </c>
      <c r="BE6" s="10" t="n">
        <v>2020</v>
      </c>
      <c r="BF6" s="10" t="s">
        <v>48</v>
      </c>
      <c r="BG6" s="10" t="s">
        <v>49</v>
      </c>
      <c r="BH6" s="10" t="s">
        <v>50</v>
      </c>
      <c r="BI6" s="10" t="s">
        <v>51</v>
      </c>
      <c r="BJ6" s="10" t="s">
        <v>52</v>
      </c>
      <c r="BK6" s="10" t="n">
        <v>2021</v>
      </c>
      <c r="BL6" s="10" t="s">
        <v>53</v>
      </c>
      <c r="BM6" s="10" t="s">
        <v>54</v>
      </c>
      <c r="BN6" s="10" t="s">
        <v>55</v>
      </c>
      <c r="BO6" s="10" t="s">
        <v>56</v>
      </c>
      <c r="BP6" s="10" t="s">
        <v>57</v>
      </c>
      <c r="BQ6" s="10" t="n">
        <v>2022</v>
      </c>
      <c r="BR6" s="10" t="s">
        <v>58</v>
      </c>
      <c r="BS6" s="10" t="s">
        <v>59</v>
      </c>
      <c r="BT6" s="10" t="s">
        <v>60</v>
      </c>
      <c r="BU6" s="10" t="s">
        <v>61</v>
      </c>
      <c r="BV6" s="10" t="s">
        <v>62</v>
      </c>
      <c r="BW6" s="10" t="n">
        <v>2023</v>
      </c>
      <c r="BX6" s="10" t="s">
        <v>63</v>
      </c>
      <c r="BY6" s="10" t="s">
        <v>64</v>
      </c>
      <c r="BZ6" s="10" t="s">
        <v>65</v>
      </c>
      <c r="CA6" s="10" t="s">
        <v>66</v>
      </c>
      <c r="CB6" s="10" t="s">
        <v>67</v>
      </c>
      <c r="CC6" s="10" t="n">
        <v>2024</v>
      </c>
      <c r="CD6" s="10" t="s">
        <v>68</v>
      </c>
      <c r="CE6" s="10" t="s">
        <v>69</v>
      </c>
      <c r="CF6" s="10" t="s">
        <v>70</v>
      </c>
      <c r="CG6" s="10" t="s">
        <v>71</v>
      </c>
      <c r="CH6" s="10" t="s">
        <v>72</v>
      </c>
      <c r="CI6" s="10" t="n">
        <v>2025</v>
      </c>
      <c r="CJ6" s="10" t="s">
        <v>73</v>
      </c>
      <c r="CK6" s="10" t="s">
        <v>74</v>
      </c>
      <c r="CL6" s="10" t="s">
        <v>75</v>
      </c>
      <c r="CM6" s="10" t="s">
        <v>76</v>
      </c>
      <c r="CN6" s="10" t="s">
        <v>77</v>
      </c>
      <c r="CO6" s="10" t="s">
        <v>78</v>
      </c>
      <c r="CP6" s="10" t="s">
        <v>79</v>
      </c>
      <c r="CQ6" s="10" t="s">
        <v>80</v>
      </c>
      <c r="CR6" s="10" t="s">
        <v>81</v>
      </c>
      <c r="CS6" s="10" t="s">
        <v>82</v>
      </c>
      <c r="CT6" s="10" t="s">
        <v>83</v>
      </c>
      <c r="CV6" s="8" t="s">
        <v>84</v>
      </c>
      <c r="CW6" s="8" t="s">
        <v>84</v>
      </c>
      <c r="CX6" s="8" t="s">
        <v>85</v>
      </c>
      <c r="CY6" s="8" t="s">
        <v>86</v>
      </c>
    </row>
    <row r="7" customFormat="false" ht="15" hidden="false" customHeight="true" outlineLevel="0" collapsed="false">
      <c r="CV7" s="11" t="s">
        <v>87</v>
      </c>
      <c r="CW7" s="11" t="s">
        <v>88</v>
      </c>
      <c r="CX7" s="11" t="s">
        <v>89</v>
      </c>
      <c r="CY7" s="11" t="s">
        <v>90</v>
      </c>
    </row>
    <row r="8" customFormat="false" ht="15" hidden="false" customHeight="true" outlineLevel="0" collapsed="false">
      <c r="B8" s="12" t="s">
        <v>91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 t="s">
        <v>92</v>
      </c>
    </row>
    <row r="9" customFormat="false" ht="15" hidden="false" customHeight="true" outlineLevel="0" collapsed="false">
      <c r="B9" s="13"/>
      <c r="CM9" s="7"/>
      <c r="CN9" s="7"/>
      <c r="CO9" s="7"/>
      <c r="CP9" s="7"/>
      <c r="CQ9" s="7"/>
      <c r="CR9" s="7"/>
      <c r="CS9" s="7"/>
      <c r="CT9" s="7"/>
      <c r="DB9" s="14" t="s">
        <v>93</v>
      </c>
      <c r="DC9" s="15" t="s">
        <v>94</v>
      </c>
      <c r="DD9" s="15" t="s">
        <v>2</v>
      </c>
      <c r="DE9" s="15" t="s">
        <v>95</v>
      </c>
      <c r="DF9" s="16" t="s">
        <v>96</v>
      </c>
    </row>
    <row r="10" customFormat="false" ht="15" hidden="false" customHeight="true" outlineLevel="0" collapsed="false">
      <c r="B10" s="17" t="s">
        <v>97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8" t="s">
        <v>98</v>
      </c>
    </row>
    <row r="11" customFormat="false" ht="15" hidden="false" customHeight="true" outlineLevel="0" collapsed="false">
      <c r="B11" s="19" t="s">
        <v>99</v>
      </c>
      <c r="C11" s="20"/>
      <c r="D11" s="20"/>
      <c r="E11" s="21" t="n">
        <v>137.4</v>
      </c>
      <c r="F11" s="21" t="n">
        <v>127.3</v>
      </c>
      <c r="G11" s="21" t="n">
        <v>122.5</v>
      </c>
      <c r="H11" s="21" t="n">
        <v>349.9</v>
      </c>
      <c r="I11" s="21" t="n">
        <v>415.9</v>
      </c>
      <c r="J11" s="21" t="n">
        <v>102.4</v>
      </c>
      <c r="K11" s="21" t="n">
        <v>104.3</v>
      </c>
      <c r="L11" s="20" t="n">
        <f aca="false">J11+K11</f>
        <v>206.7</v>
      </c>
      <c r="M11" s="21" t="n">
        <v>105.2</v>
      </c>
      <c r="N11" s="21" t="n">
        <v>102.9</v>
      </c>
      <c r="O11" s="21" t="n">
        <v>414.8</v>
      </c>
      <c r="P11" s="21" t="n">
        <v>101.9</v>
      </c>
      <c r="Q11" s="21" t="n">
        <v>103.7</v>
      </c>
      <c r="R11" s="20" t="n">
        <f aca="false">P11+Q11</f>
        <v>205.6</v>
      </c>
      <c r="S11" s="21" t="n">
        <v>95.6</v>
      </c>
      <c r="T11" s="21" t="n">
        <v>102.4</v>
      </c>
      <c r="U11" s="21" t="n">
        <v>403.6</v>
      </c>
      <c r="V11" s="21" t="n">
        <v>90.4</v>
      </c>
      <c r="W11" s="21" t="n">
        <v>90.8</v>
      </c>
      <c r="X11" s="20" t="n">
        <f aca="false">V11+W11</f>
        <v>181.2</v>
      </c>
      <c r="Y11" s="21" t="n">
        <v>95.7</v>
      </c>
      <c r="Z11" s="21" t="n">
        <v>102.1</v>
      </c>
      <c r="AA11" s="21" t="n">
        <v>379</v>
      </c>
      <c r="AB11" s="21" t="n">
        <v>89.9</v>
      </c>
      <c r="AC11" s="21" t="n">
        <v>99.4</v>
      </c>
      <c r="AD11" s="20" t="n">
        <f aca="false">AB11+AC11</f>
        <v>189.3</v>
      </c>
      <c r="AE11" s="21" t="n">
        <v>98.5</v>
      </c>
      <c r="AF11" s="21" t="n">
        <v>110.9</v>
      </c>
      <c r="AG11" s="21" t="n">
        <v>398.7</v>
      </c>
      <c r="AH11" s="21" t="n">
        <v>113.8</v>
      </c>
      <c r="AI11" s="21" t="n">
        <v>200.2</v>
      </c>
      <c r="AJ11" s="20" t="n">
        <f aca="false">AH11+AI11</f>
        <v>314</v>
      </c>
      <c r="AK11" s="21" t="n">
        <v>197</v>
      </c>
      <c r="AL11" s="21" t="n">
        <v>206.7</v>
      </c>
      <c r="AM11" s="21" t="n">
        <v>710.4</v>
      </c>
      <c r="AN11" s="21" t="n">
        <v>208.3</v>
      </c>
      <c r="AO11" s="21" t="n">
        <v>223</v>
      </c>
      <c r="AP11" s="20" t="n">
        <f aca="false">AN11+AO11</f>
        <v>431.3</v>
      </c>
      <c r="AQ11" s="21" t="n">
        <v>220.7</v>
      </c>
      <c r="AR11" s="21" t="n">
        <v>223.3</v>
      </c>
      <c r="AS11" s="21" t="n">
        <v>875.3</v>
      </c>
      <c r="AT11" s="21" t="n">
        <v>232.4</v>
      </c>
      <c r="AU11" s="21" t="n">
        <v>248.4</v>
      </c>
      <c r="AV11" s="20" t="n">
        <f aca="false">AT11+AU11</f>
        <v>480.8</v>
      </c>
      <c r="AW11" s="21" t="n">
        <v>244</v>
      </c>
      <c r="AX11" s="21" t="n">
        <v>268.1</v>
      </c>
      <c r="AY11" s="21" t="n">
        <v>992.9</v>
      </c>
      <c r="AZ11" s="21" t="n">
        <v>246.7</v>
      </c>
      <c r="BA11" s="21" t="n">
        <v>237.6</v>
      </c>
      <c r="BB11" s="20" t="n">
        <f aca="false">AZ11+BA11</f>
        <v>484.3</v>
      </c>
      <c r="BC11" s="21" t="n">
        <v>239.7</v>
      </c>
      <c r="BD11" s="21" t="n">
        <v>262</v>
      </c>
      <c r="BE11" s="21" t="n">
        <v>986</v>
      </c>
      <c r="BF11" s="21" t="n">
        <v>263.3</v>
      </c>
      <c r="BG11" s="21" t="n">
        <v>579.5</v>
      </c>
      <c r="BH11" s="20" t="n">
        <f aca="false">BF11+BG11</f>
        <v>842.8</v>
      </c>
      <c r="BI11" s="21" t="n">
        <v>760.6</v>
      </c>
      <c r="BJ11" s="21" t="n">
        <v>809.5</v>
      </c>
      <c r="BK11" s="21" t="n">
        <v>2412.9</v>
      </c>
      <c r="BL11" s="21" t="n">
        <v>750.5</v>
      </c>
      <c r="BM11" s="21" t="n">
        <v>775.8</v>
      </c>
      <c r="BN11" s="20" t="n">
        <f aca="false">BL11+BM11</f>
        <v>1526.3</v>
      </c>
      <c r="BO11" s="21" t="n">
        <v>777.9</v>
      </c>
      <c r="BP11" s="21" t="n">
        <v>806.7</v>
      </c>
      <c r="BQ11" s="21" t="n">
        <v>3110.9</v>
      </c>
      <c r="BR11" s="21" t="n">
        <v>772.5</v>
      </c>
      <c r="BS11" s="21" t="n">
        <v>793.3</v>
      </c>
      <c r="BT11" s="20" t="n">
        <f aca="false">BR11+BS11</f>
        <v>1565.8</v>
      </c>
      <c r="BU11" s="21" t="n">
        <v>775.8</v>
      </c>
      <c r="BV11" s="21" t="n">
        <v>802.5</v>
      </c>
      <c r="BW11" s="21" t="n">
        <v>3144.1</v>
      </c>
      <c r="BX11" s="21" t="n">
        <v>740.8</v>
      </c>
      <c r="BY11" s="21" t="n">
        <v>739.4</v>
      </c>
      <c r="BZ11" s="20" t="n">
        <f aca="false">BX11+BY11</f>
        <v>1480.2</v>
      </c>
      <c r="CA11" s="21" t="n">
        <v>768.4</v>
      </c>
      <c r="CB11" s="21" t="n">
        <v>822.2</v>
      </c>
      <c r="CC11" s="21" t="n">
        <v>3070.8</v>
      </c>
      <c r="CD11" s="21" t="n">
        <v>757</v>
      </c>
      <c r="CE11" s="21" t="n">
        <v>771</v>
      </c>
      <c r="CF11" s="20" t="n">
        <f aca="false">CD11+CE11</f>
        <v>1528</v>
      </c>
      <c r="CG11" s="21" t="n">
        <v>785.4</v>
      </c>
      <c r="CH11" s="21" t="n">
        <v>850.5</v>
      </c>
      <c r="CI11" s="21" t="n">
        <v>3163.9</v>
      </c>
      <c r="CJ11" s="21" t="n">
        <v>816.9</v>
      </c>
      <c r="CK11" s="21" t="n">
        <v>868.7</v>
      </c>
      <c r="CL11" s="20" t="n">
        <f aca="false">CJ11+CK11</f>
        <v>1685.6</v>
      </c>
      <c r="CM11" s="22" t="n">
        <f aca="false">CG11*CK11/CE11</f>
        <v>884.924747081712</v>
      </c>
      <c r="CN11" s="22" t="n">
        <f aca="false">CH11*CK11/CE11</f>
        <v>958.274124513619</v>
      </c>
      <c r="CO11" s="22" t="n">
        <f aca="false">SUM(CJ11,CK11,CM11,CN11)</f>
        <v>3528.79887159533</v>
      </c>
      <c r="CP11" s="22" t="n">
        <f aca="false">CO11*(1+CP12)</f>
        <v>3740.52680389105</v>
      </c>
      <c r="CQ11" s="22" t="n">
        <f aca="false">CP11*(1+CQ12)</f>
        <v>3946.25577810506</v>
      </c>
      <c r="CR11" s="22" t="n">
        <f aca="false">CQ11*(1+CR12)</f>
        <v>4143.56856701031</v>
      </c>
      <c r="CS11" s="22" t="n">
        <f aca="false">CR11*(1+CS12)</f>
        <v>4350.74699536083</v>
      </c>
      <c r="CT11" s="23" t="s">
        <v>100</v>
      </c>
      <c r="CV11" s="24" t="n">
        <f aca="false">IFERROR((CS11/CI11)^(1/5)-1,"n/m")</f>
        <v>0.0657815948977789</v>
      </c>
      <c r="CW11" s="24" t="n">
        <f aca="false">IFERROR((CI11/BE11)^(1/5)-1,"n/m")</f>
        <v>0.262609831517092</v>
      </c>
      <c r="CX11" s="24" t="n">
        <f aca="false">IFERROR((CI11/AA11)^(1/10)-1,"n/m")</f>
        <v>0.236398170745678</v>
      </c>
      <c r="CY11" s="24" t="str">
        <f aca="false">IFERROR((CI11/C11)^(1/19)-1,"n/m")</f>
        <v>n/m</v>
      </c>
      <c r="DB11" s="18" t="s">
        <v>101</v>
      </c>
      <c r="DC11" s="25" t="s">
        <v>102</v>
      </c>
      <c r="DD11" s="25" t="s">
        <v>103</v>
      </c>
      <c r="DE11" s="25" t="s">
        <v>104</v>
      </c>
    </row>
    <row r="12" customFormat="false" ht="15" hidden="false" customHeight="true" outlineLevel="0" collapsed="false">
      <c r="B12" s="26" t="s">
        <v>105</v>
      </c>
      <c r="C12" s="27"/>
      <c r="D12" s="27" t="str">
        <f aca="false">IFERROR(D11/C11-1,"")</f>
        <v/>
      </c>
      <c r="E12" s="27" t="str">
        <f aca="false">IFERROR(E11/D11-1,"")</f>
        <v/>
      </c>
      <c r="F12" s="27" t="n">
        <f aca="false">IFERROR(F11/E11-1,"")</f>
        <v>-0.0735080058224163</v>
      </c>
      <c r="G12" s="27" t="n">
        <f aca="false">IFERROR(G11/F11-1,"")</f>
        <v>-0.0377062058130401</v>
      </c>
      <c r="H12" s="27" t="n">
        <f aca="false">IFERROR(H11/G11-1,"")</f>
        <v>1.85632653061224</v>
      </c>
      <c r="I12" s="27" t="n">
        <f aca="false">IFERROR(I11/H11-1,"")</f>
        <v>0.188625321520434</v>
      </c>
      <c r="J12" s="27"/>
      <c r="K12" s="27"/>
      <c r="L12" s="27"/>
      <c r="M12" s="27"/>
      <c r="N12" s="27"/>
      <c r="O12" s="27" t="n">
        <f aca="false">IFERROR(O11/I11-1,"")</f>
        <v>-0.00264486655446017</v>
      </c>
      <c r="P12" s="27" t="n">
        <f aca="false">IFERROR(P11/J11-1,"")</f>
        <v>-0.0048828125</v>
      </c>
      <c r="Q12" s="27" t="n">
        <f aca="false">IFERROR(Q11/K11-1,"")</f>
        <v>-0.00575263662511982</v>
      </c>
      <c r="R12" s="27" t="n">
        <f aca="false">IFERROR(R11/L11-1,"")</f>
        <v>-0.00532172230285422</v>
      </c>
      <c r="S12" s="27" t="n">
        <f aca="false">IFERROR(S11/M11-1,"")</f>
        <v>-0.0912547528517111</v>
      </c>
      <c r="T12" s="27" t="n">
        <f aca="false">IFERROR(T11/N11-1,"")</f>
        <v>-0.00485908649173961</v>
      </c>
      <c r="U12" s="27" t="n">
        <f aca="false">IFERROR(U11/O11-1,"")</f>
        <v>-0.0270009643201543</v>
      </c>
      <c r="V12" s="27" t="n">
        <f aca="false">IFERROR(V11/P11-1,"")</f>
        <v>-0.112855740922473</v>
      </c>
      <c r="W12" s="27" t="n">
        <f aca="false">IFERROR(W11/Q11-1,"")</f>
        <v>-0.124397299903568</v>
      </c>
      <c r="X12" s="27" t="n">
        <f aca="false">IFERROR(X11/R11-1,"")</f>
        <v>-0.118677042801557</v>
      </c>
      <c r="Y12" s="27" t="n">
        <f aca="false">IFERROR(Y11/S11-1,"")</f>
        <v>0.0010460251046025</v>
      </c>
      <c r="Z12" s="27" t="n">
        <f aca="false">IFERROR(Z11/T11-1,"")</f>
        <v>-0.00292968750000011</v>
      </c>
      <c r="AA12" s="27" t="n">
        <f aca="false">IFERROR(AA11/U11-1,"")</f>
        <v>-0.0609514370664024</v>
      </c>
      <c r="AB12" s="27" t="n">
        <f aca="false">IFERROR(AB11/V11-1,"")</f>
        <v>-0.00553097345132747</v>
      </c>
      <c r="AC12" s="27" t="n">
        <f aca="false">IFERROR(AC11/W11-1,"")</f>
        <v>0.0947136563876654</v>
      </c>
      <c r="AD12" s="27" t="n">
        <f aca="false">IFERROR(AD11/X11-1,"")</f>
        <v>0.044701986754967</v>
      </c>
      <c r="AE12" s="27" t="n">
        <f aca="false">IFERROR(AE11/Y11-1,"")</f>
        <v>0.0292580982236155</v>
      </c>
      <c r="AF12" s="27" t="n">
        <f aca="false">IFERROR(AF11/Z11-1,"")</f>
        <v>0.0861900097943193</v>
      </c>
      <c r="AG12" s="27" t="n">
        <f aca="false">IFERROR(AG11/AA11-1,"")</f>
        <v>0.0519788918205804</v>
      </c>
      <c r="AH12" s="27" t="n">
        <f aca="false">IFERROR(AH11/AB11-1,"")</f>
        <v>0.265850945494994</v>
      </c>
      <c r="AI12" s="27" t="n">
        <f aca="false">IFERROR(AI11/AC11-1,"")</f>
        <v>1.01408450704225</v>
      </c>
      <c r="AJ12" s="27" t="n">
        <f aca="false">IFERROR(AJ11/AD11-1,"")</f>
        <v>0.658742736397253</v>
      </c>
      <c r="AK12" s="27" t="n">
        <f aca="false">IFERROR(AK11/AE11-1,"")</f>
        <v>1</v>
      </c>
      <c r="AL12" s="27" t="n">
        <f aca="false">IFERROR(AL11/AF11-1,"")</f>
        <v>0.863841298467087</v>
      </c>
      <c r="AM12" s="27" t="n">
        <f aca="false">IFERROR(AM11/AG11-1,"")</f>
        <v>0.781790820165538</v>
      </c>
      <c r="AN12" s="27" t="n">
        <f aca="false">IFERROR(AN11/AH11-1,"")</f>
        <v>0.830404217926186</v>
      </c>
      <c r="AO12" s="27" t="n">
        <f aca="false">IFERROR(AO11/AI11-1,"")</f>
        <v>0.113886113886114</v>
      </c>
      <c r="AP12" s="27" t="n">
        <f aca="false">IFERROR(AP11/AJ11-1,"")</f>
        <v>0.373566878980892</v>
      </c>
      <c r="AQ12" s="27" t="n">
        <f aca="false">IFERROR(AQ11/AK11-1,"")</f>
        <v>0.120304568527919</v>
      </c>
      <c r="AR12" s="27" t="n">
        <f aca="false">IFERROR(AR11/AL11-1,"")</f>
        <v>0.0803096274794388</v>
      </c>
      <c r="AS12" s="27" t="n">
        <f aca="false">IFERROR(AS11/AM11-1,"")</f>
        <v>0.232122747747748</v>
      </c>
      <c r="AT12" s="27" t="n">
        <f aca="false">IFERROR(AT11/AN11-1,"")</f>
        <v>0.115698511761882</v>
      </c>
      <c r="AU12" s="27" t="n">
        <f aca="false">IFERROR(AU11/AO11-1,"")</f>
        <v>0.11390134529148</v>
      </c>
      <c r="AV12" s="27" t="n">
        <f aca="false">IFERROR(AV11/AP11-1,"")</f>
        <v>0.1147693021099</v>
      </c>
      <c r="AW12" s="27" t="n">
        <f aca="false">IFERROR(AW11/AQ11-1,"")</f>
        <v>0.105573176257363</v>
      </c>
      <c r="AX12" s="27" t="n">
        <f aca="false">IFERROR(AX11/AR11-1,"")</f>
        <v>0.200626959247649</v>
      </c>
      <c r="AY12" s="27" t="n">
        <f aca="false">IFERROR(AY11/AS11-1,"")</f>
        <v>0.134353935793442</v>
      </c>
      <c r="AZ12" s="27" t="n">
        <f aca="false">IFERROR(AZ11/AT11-1,"")</f>
        <v>0.0615318416523236</v>
      </c>
      <c r="BA12" s="27" t="n">
        <f aca="false">IFERROR(BA11/AU11-1,"")</f>
        <v>-0.0434782608695653</v>
      </c>
      <c r="BB12" s="27" t="n">
        <f aca="false">IFERROR(BB11/AV11-1,"")</f>
        <v>0.00727953410981685</v>
      </c>
      <c r="BC12" s="27" t="n">
        <f aca="false">IFERROR(BC11/AW11-1,"")</f>
        <v>-0.0176229508196721</v>
      </c>
      <c r="BD12" s="27" t="n">
        <f aca="false">IFERROR(BD11/AX11-1,"")</f>
        <v>-0.0227527042148453</v>
      </c>
      <c r="BE12" s="27" t="n">
        <f aca="false">IFERROR(BE11/AY11-1,"")</f>
        <v>-0.00694934031624528</v>
      </c>
      <c r="BF12" s="27" t="n">
        <f aca="false">IFERROR(BF11/AZ11-1,"")</f>
        <v>0.0672882042967167</v>
      </c>
      <c r="BG12" s="27" t="n">
        <f aca="false">IFERROR(BG11/BA11-1,"")</f>
        <v>1.43897306397306</v>
      </c>
      <c r="BH12" s="27" t="n">
        <f aca="false">IFERROR(BH11/BB11-1,"")</f>
        <v>0.740243650629775</v>
      </c>
      <c r="BI12" s="27" t="n">
        <f aca="false">IFERROR(BI11/BC11-1,"")</f>
        <v>2.17313308302044</v>
      </c>
      <c r="BJ12" s="27" t="n">
        <f aca="false">IFERROR(BJ11/BD11-1,"")</f>
        <v>2.08969465648855</v>
      </c>
      <c r="BK12" s="27" t="n">
        <f aca="false">IFERROR(BK11/BE11-1,"")</f>
        <v>1.44716024340771</v>
      </c>
      <c r="BL12" s="27" t="n">
        <f aca="false">IFERROR(BL11/BF11-1,"")</f>
        <v>1.85036080516521</v>
      </c>
      <c r="BM12" s="27" t="n">
        <f aca="false">IFERROR(BM11/BG11-1,"")</f>
        <v>0.338740293356342</v>
      </c>
      <c r="BN12" s="27" t="n">
        <f aca="false">IFERROR(BN11/BH11-1,"")</f>
        <v>0.810987185571903</v>
      </c>
      <c r="BO12" s="27" t="n">
        <f aca="false">IFERROR(BO11/BI11-1,"")</f>
        <v>0.0227452011569813</v>
      </c>
      <c r="BP12" s="27" t="n">
        <f aca="false">IFERROR(BP11/BJ11-1,"")</f>
        <v>-0.00345892526250768</v>
      </c>
      <c r="BQ12" s="27" t="n">
        <f aca="false">IFERROR(BQ11/BK11-1,"")</f>
        <v>0.289278461602222</v>
      </c>
      <c r="BR12" s="27" t="n">
        <f aca="false">IFERROR(BR11/BL11-1,"")</f>
        <v>0.0293137908061292</v>
      </c>
      <c r="BS12" s="27" t="n">
        <f aca="false">IFERROR(BS11/BM11-1,"")</f>
        <v>0.0225573601443672</v>
      </c>
      <c r="BT12" s="27" t="n">
        <f aca="false">IFERROR(BT11/BN11-1,"")</f>
        <v>0.0258795780646006</v>
      </c>
      <c r="BU12" s="27" t="n">
        <f aca="false">IFERROR(BU11/BO11-1,"")</f>
        <v>-0.0026995757809487</v>
      </c>
      <c r="BV12" s="27" t="n">
        <f aca="false">IFERROR(BV11/BP11-1,"")</f>
        <v>-0.00520639642989962</v>
      </c>
      <c r="BW12" s="27" t="n">
        <f aca="false">IFERROR(BW11/BQ11-1,"")</f>
        <v>0.0106721527532225</v>
      </c>
      <c r="BX12" s="27" t="n">
        <f aca="false">IFERROR(BX11/BR11-1,"")</f>
        <v>-0.0410355987055017</v>
      </c>
      <c r="BY12" s="27" t="n">
        <f aca="false">IFERROR(BY11/BS11-1,"")</f>
        <v>-0.0679440312618177</v>
      </c>
      <c r="BZ12" s="27" t="n">
        <f aca="false">IFERROR(BZ11/BT11-1,"")</f>
        <v>-0.0546685400434284</v>
      </c>
      <c r="CA12" s="27" t="n">
        <f aca="false">IFERROR(CA11/BU11-1,"")</f>
        <v>-0.00953854086104666</v>
      </c>
      <c r="CB12" s="27" t="n">
        <f aca="false">IFERROR(CB11/BV11-1,"")</f>
        <v>0.0245482866043614</v>
      </c>
      <c r="CC12" s="27" t="n">
        <f aca="false">IFERROR(CC11/BW11-1,"")</f>
        <v>-0.0233135078400814</v>
      </c>
      <c r="CD12" s="27" t="n">
        <f aca="false">IFERROR(CD11/BX11-1,"")</f>
        <v>0.0218682505399568</v>
      </c>
      <c r="CE12" s="27" t="n">
        <f aca="false">IFERROR(CE11/BY11-1,"")</f>
        <v>0.0427373546118475</v>
      </c>
      <c r="CF12" s="27" t="n">
        <f aca="false">IFERROR(CF11/BZ11-1,"")</f>
        <v>0.0322929333873803</v>
      </c>
      <c r="CG12" s="27" t="n">
        <f aca="false">IFERROR(CG11/CA11-1,"")</f>
        <v>0.0221238938053097</v>
      </c>
      <c r="CH12" s="27" t="n">
        <f aca="false">IFERROR(CH11/CB11-1,"")</f>
        <v>0.0344198491851131</v>
      </c>
      <c r="CI12" s="27" t="n">
        <f aca="false">IFERROR(CI11/CC11-1,"")</f>
        <v>0.0303178324866484</v>
      </c>
      <c r="CJ12" s="27" t="n">
        <f aca="false">IFERROR(CJ11/CD11-1,"")</f>
        <v>0.0791281373844122</v>
      </c>
      <c r="CK12" s="27" t="n">
        <f aca="false">IFERROR(CK11/CE11-1,"")</f>
        <v>0.126718547341115</v>
      </c>
      <c r="CL12" s="27" t="n">
        <f aca="false">IFERROR(CL11/CF11-1,"")</f>
        <v>0.103141361256544</v>
      </c>
      <c r="CM12" s="28" t="n">
        <f aca="false">IFERROR(CM11/CG11-1,"")</f>
        <v>0.126718547341115</v>
      </c>
      <c r="CN12" s="28" t="n">
        <f aca="false">IFERROR(CN11/CH11-1,"")</f>
        <v>0.126718547341115</v>
      </c>
      <c r="CO12" s="28" t="n">
        <f aca="false">IFERROR(CO11/CI11-1,"")</f>
        <v>0.115331986344489</v>
      </c>
      <c r="CP12" s="28" t="n">
        <f aca="false">CHOOSE(MATCH($CT$2,{"Bull","Base","Bear"},0),$DC$21,$DD$21,$DE$21)</f>
        <v>0.06</v>
      </c>
      <c r="CQ12" s="28" t="n">
        <f aca="false">CHOOSE(MATCH($CT$2,{"Bull","Base","Bear"},0),$DC$22,$DD$22,$DE$22)</f>
        <v>0.055</v>
      </c>
      <c r="CR12" s="28" t="n">
        <f aca="false">CHOOSE(MATCH($CT$2,{"Bull","Base","Bear"},0),$DC$23,$DD$23,$DE$23)</f>
        <v>0.05</v>
      </c>
      <c r="CS12" s="28" t="n">
        <f aca="false">CHOOSE(MATCH($CT$2,{"Bull","Base","Bear"},0),$DC$24,$DD$24,$DE$24)</f>
        <v>0.05</v>
      </c>
      <c r="CT12" s="23" t="s">
        <v>106</v>
      </c>
      <c r="CV12" s="7"/>
      <c r="CW12" s="7"/>
      <c r="CX12" s="7"/>
      <c r="CY12" s="7"/>
      <c r="DB12" s="13" t="s">
        <v>107</v>
      </c>
      <c r="DC12" s="29" t="n">
        <v>24.65</v>
      </c>
      <c r="DD12" s="29" t="n">
        <v>24.55</v>
      </c>
      <c r="DE12" s="29" t="n">
        <v>24.45</v>
      </c>
    </row>
    <row r="13" customFormat="false" ht="15" hidden="false" customHeight="true" outlineLevel="0" collapsed="false">
      <c r="B13" s="13" t="s">
        <v>108</v>
      </c>
      <c r="C13" s="30"/>
      <c r="D13" s="30"/>
      <c r="E13" s="31" t="n">
        <v>14.6</v>
      </c>
      <c r="F13" s="31" t="n">
        <v>11.8</v>
      </c>
      <c r="G13" s="31" t="n">
        <v>5.2</v>
      </c>
      <c r="H13" s="31" t="n">
        <v>16.1</v>
      </c>
      <c r="I13" s="31" t="n">
        <v>24.8</v>
      </c>
      <c r="J13" s="31" t="n">
        <v>5.2</v>
      </c>
      <c r="K13" s="31" t="n">
        <v>7.9</v>
      </c>
      <c r="L13" s="30" t="n">
        <f aca="false">J13+K13</f>
        <v>13.1</v>
      </c>
      <c r="M13" s="31" t="n">
        <v>11.5</v>
      </c>
      <c r="N13" s="31" t="n">
        <v>3.6</v>
      </c>
      <c r="O13" s="31" t="n">
        <v>28.2</v>
      </c>
      <c r="P13" s="31" t="n">
        <v>9.7</v>
      </c>
      <c r="Q13" s="31" t="n">
        <v>11.7</v>
      </c>
      <c r="R13" s="30" t="n">
        <f aca="false">P13+Q13</f>
        <v>21.4</v>
      </c>
      <c r="S13" s="31" t="n">
        <v>7.9</v>
      </c>
      <c r="T13" s="31" t="n">
        <v>7.8</v>
      </c>
      <c r="U13" s="31" t="n">
        <v>37.1</v>
      </c>
      <c r="V13" s="31" t="n">
        <v>9.3</v>
      </c>
      <c r="W13" s="31" t="n">
        <v>8.8</v>
      </c>
      <c r="X13" s="30" t="n">
        <f aca="false">V13+W13</f>
        <v>18.1</v>
      </c>
      <c r="Y13" s="31" t="n">
        <v>10.4</v>
      </c>
      <c r="Z13" s="31" t="n">
        <v>11.5</v>
      </c>
      <c r="AA13" s="31" t="n">
        <v>40</v>
      </c>
      <c r="AB13" s="31" t="n">
        <v>8.2</v>
      </c>
      <c r="AC13" s="31" t="n">
        <v>10.7</v>
      </c>
      <c r="AD13" s="30" t="n">
        <f aca="false">AB13+AC13</f>
        <v>18.9</v>
      </c>
      <c r="AE13" s="31" t="n">
        <v>11.7</v>
      </c>
      <c r="AF13" s="31" t="n">
        <v>15.3</v>
      </c>
      <c r="AG13" s="31" t="n">
        <v>45.9</v>
      </c>
      <c r="AH13" s="31" t="n">
        <v>15.1</v>
      </c>
      <c r="AI13" s="31" t="n">
        <v>28</v>
      </c>
      <c r="AJ13" s="30" t="n">
        <f aca="false">AH13+AI13</f>
        <v>43.1</v>
      </c>
      <c r="AK13" s="31" t="n">
        <v>31.4</v>
      </c>
      <c r="AL13" s="31" t="n">
        <v>35.9</v>
      </c>
      <c r="AM13" s="31" t="n">
        <v>110.2</v>
      </c>
      <c r="AN13" s="31" t="n">
        <v>33.8</v>
      </c>
      <c r="AO13" s="31" t="n">
        <v>43.1</v>
      </c>
      <c r="AP13" s="30" t="n">
        <f aca="false">AN13+AO13</f>
        <v>76.9</v>
      </c>
      <c r="AQ13" s="31" t="n">
        <v>42.3</v>
      </c>
      <c r="AR13" s="31" t="n">
        <v>36.3</v>
      </c>
      <c r="AS13" s="31" t="n">
        <v>155.5</v>
      </c>
      <c r="AT13" s="31" t="n">
        <v>36.6</v>
      </c>
      <c r="AU13" s="31" t="n">
        <v>51.6</v>
      </c>
      <c r="AV13" s="30" t="n">
        <f aca="false">AT13+AU13</f>
        <v>88.2</v>
      </c>
      <c r="AW13" s="31" t="n">
        <v>41.2</v>
      </c>
      <c r="AX13" s="31" t="n">
        <v>47.1</v>
      </c>
      <c r="AY13" s="31" t="n">
        <v>176.5</v>
      </c>
      <c r="AZ13" s="31" t="n">
        <v>43.8</v>
      </c>
      <c r="BA13" s="31" t="n">
        <v>46.8</v>
      </c>
      <c r="BB13" s="30" t="n">
        <f aca="false">AZ13+BA13</f>
        <v>90.6</v>
      </c>
      <c r="BC13" s="31" t="n">
        <v>45.5</v>
      </c>
      <c r="BD13" s="31" t="n">
        <v>56.7</v>
      </c>
      <c r="BE13" s="31" t="n">
        <v>192.8</v>
      </c>
      <c r="BF13" s="31" t="n">
        <v>52</v>
      </c>
      <c r="BG13" s="31" t="n">
        <v>84.6</v>
      </c>
      <c r="BH13" s="30" t="n">
        <f aca="false">BF13+BG13</f>
        <v>136.6</v>
      </c>
      <c r="BI13" s="31" t="n">
        <v>94.9</v>
      </c>
      <c r="BJ13" s="31" t="n">
        <v>94.1</v>
      </c>
      <c r="BK13" s="31" t="n">
        <v>325.6</v>
      </c>
      <c r="BL13" s="31" t="n">
        <v>115.7</v>
      </c>
      <c r="BM13" s="31" t="n">
        <v>117.9</v>
      </c>
      <c r="BN13" s="30" t="n">
        <f aca="false">BL13+BM13</f>
        <v>233.6</v>
      </c>
      <c r="BO13" s="31" t="n">
        <v>133.7</v>
      </c>
      <c r="BP13" s="31" t="n">
        <v>152</v>
      </c>
      <c r="BQ13" s="31" t="n">
        <v>519.3</v>
      </c>
      <c r="BR13" s="31" t="n">
        <v>122.2</v>
      </c>
      <c r="BS13" s="31" t="n">
        <v>124.6</v>
      </c>
      <c r="BT13" s="30" t="n">
        <f aca="false">BR13+BS13</f>
        <v>246.8</v>
      </c>
      <c r="BU13" s="31" t="n">
        <v>136.3</v>
      </c>
      <c r="BV13" s="31" t="n">
        <v>134.3</v>
      </c>
      <c r="BW13" s="31" t="n">
        <v>517.4</v>
      </c>
      <c r="BX13" s="31" t="n">
        <v>113.8</v>
      </c>
      <c r="BY13" s="31" t="n">
        <v>113.5</v>
      </c>
      <c r="BZ13" s="30" t="n">
        <f aca="false">BX13+BY13</f>
        <v>227.3</v>
      </c>
      <c r="CA13" s="31" t="n">
        <v>123.9</v>
      </c>
      <c r="CB13" s="31" t="n">
        <v>90.8</v>
      </c>
      <c r="CC13" s="31" t="n">
        <v>442</v>
      </c>
      <c r="CD13" s="31" t="n">
        <v>122.3</v>
      </c>
      <c r="CE13" s="31" t="n">
        <v>119.6</v>
      </c>
      <c r="CF13" s="30" t="n">
        <f aca="false">CD13+CE13</f>
        <v>241.9</v>
      </c>
      <c r="CG13" s="31" t="n">
        <v>123.4</v>
      </c>
      <c r="CH13" s="31" t="n">
        <v>162.9</v>
      </c>
      <c r="CI13" s="31" t="n">
        <v>528.2</v>
      </c>
      <c r="CJ13" s="31" t="n">
        <v>141.7</v>
      </c>
      <c r="CK13" s="31" t="n">
        <v>170.2</v>
      </c>
      <c r="CL13" s="30" t="n">
        <f aca="false">CJ13+CK13</f>
        <v>311.9</v>
      </c>
      <c r="CM13" s="32" t="n">
        <f aca="false">CM16-CM14-CM15</f>
        <v>157.164574855611</v>
      </c>
      <c r="CN13" s="32" t="n">
        <f aca="false">CN16-CN14-CN15</f>
        <v>184.284628185129</v>
      </c>
      <c r="CO13" s="32" t="n">
        <f aca="false">SUM(CJ13,CK13,CM13,CN13)</f>
        <v>653.34920304074</v>
      </c>
      <c r="CP13" s="32" t="n">
        <f aca="false">CP16-CP14-CP15</f>
        <v>738.561813432181</v>
      </c>
      <c r="CQ13" s="32" t="n">
        <f aca="false">CQ16-CQ14-CQ15</f>
        <v>811.132078329081</v>
      </c>
      <c r="CR13" s="32" t="n">
        <f aca="false">CR16-CR14-CR15</f>
        <v>918.044843742559</v>
      </c>
      <c r="CS13" s="32" t="n">
        <f aca="false">CS16-CS14-CS15</f>
        <v>1014.63154273748</v>
      </c>
      <c r="CT13" s="23" t="s">
        <v>109</v>
      </c>
      <c r="CV13" s="24" t="n">
        <f aca="false">IFERROR((CS13/CI13)^(1/5)-1,"n/m")</f>
        <v>0.139467630708033</v>
      </c>
      <c r="CW13" s="24" t="n">
        <f aca="false">IFERROR((CI13/BE13)^(1/5)-1,"n/m")</f>
        <v>0.223314922475187</v>
      </c>
      <c r="CX13" s="24" t="n">
        <f aca="false">IFERROR((CI13/AA13)^(1/10)-1,"n/m")</f>
        <v>0.294415904717762</v>
      </c>
      <c r="CY13" s="24" t="str">
        <f aca="false">IFERROR((CI13/C13)^(1/19)-1,"n/m")</f>
        <v>n/m</v>
      </c>
      <c r="DB13" s="13" t="s">
        <v>110</v>
      </c>
      <c r="DC13" s="29" t="n">
        <v>6.15</v>
      </c>
      <c r="DD13" s="29" t="n">
        <v>6.1</v>
      </c>
      <c r="DE13" s="29" t="n">
        <v>6.05</v>
      </c>
    </row>
    <row r="14" customFormat="false" ht="15" hidden="false" customHeight="true" outlineLevel="0" collapsed="false">
      <c r="B14" s="13" t="s">
        <v>111</v>
      </c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1" t="n">
        <v>4.6</v>
      </c>
      <c r="BA14" s="31" t="n">
        <v>4.4</v>
      </c>
      <c r="BB14" s="30" t="n">
        <f aca="false">AZ14+BA14</f>
        <v>9</v>
      </c>
      <c r="BC14" s="31" t="n">
        <v>4.5</v>
      </c>
      <c r="BD14" s="31" t="n">
        <v>4.6</v>
      </c>
      <c r="BE14" s="31" t="n">
        <v>18.1</v>
      </c>
      <c r="BF14" s="31" t="n">
        <v>4.6</v>
      </c>
      <c r="BG14" s="31" t="n">
        <v>27.4</v>
      </c>
      <c r="BH14" s="30" t="n">
        <f aca="false">BF14+BG14</f>
        <v>32</v>
      </c>
      <c r="BI14" s="31" t="n">
        <v>50.1</v>
      </c>
      <c r="BJ14" s="31" t="n">
        <v>46.3</v>
      </c>
      <c r="BK14" s="31" t="n">
        <v>128.4</v>
      </c>
      <c r="BL14" s="31" t="n">
        <v>48.5</v>
      </c>
      <c r="BM14" s="31" t="n">
        <v>46.4</v>
      </c>
      <c r="BN14" s="30" t="n">
        <f aca="false">BL14+BM14</f>
        <v>94.9</v>
      </c>
      <c r="BO14" s="31" t="n">
        <v>44.7</v>
      </c>
      <c r="BP14" s="31" t="n">
        <v>44.1</v>
      </c>
      <c r="BQ14" s="31" t="n">
        <v>183.7</v>
      </c>
      <c r="BR14" s="31" t="n">
        <v>45.8</v>
      </c>
      <c r="BS14" s="31" t="n">
        <v>45.6</v>
      </c>
      <c r="BT14" s="30" t="n">
        <f aca="false">BR14+BS14</f>
        <v>91.4</v>
      </c>
      <c r="BU14" s="31" t="n">
        <v>45.4</v>
      </c>
      <c r="BV14" s="31" t="n">
        <v>44.9</v>
      </c>
      <c r="BW14" s="31" t="n">
        <v>181.7</v>
      </c>
      <c r="BX14" s="31" t="n">
        <v>45.8</v>
      </c>
      <c r="BY14" s="31" t="n">
        <v>45.4</v>
      </c>
      <c r="BZ14" s="30" t="n">
        <f aca="false">BX14+BY14</f>
        <v>91.2</v>
      </c>
      <c r="CA14" s="31" t="n">
        <v>46.1</v>
      </c>
      <c r="CB14" s="31" t="n">
        <v>46.1</v>
      </c>
      <c r="CC14" s="31" t="n">
        <v>183.3</v>
      </c>
      <c r="CD14" s="31" t="n">
        <v>45.4</v>
      </c>
      <c r="CE14" s="31" t="n">
        <v>46.3</v>
      </c>
      <c r="CF14" s="30" t="n">
        <f aca="false">CD14+CE14</f>
        <v>91.7</v>
      </c>
      <c r="CG14" s="31" t="n">
        <v>46.8</v>
      </c>
      <c r="CH14" s="31" t="n">
        <v>46.8</v>
      </c>
      <c r="CI14" s="31" t="n">
        <v>185.3</v>
      </c>
      <c r="CJ14" s="31" t="n">
        <v>48</v>
      </c>
      <c r="CK14" s="31" t="n">
        <v>47.4</v>
      </c>
      <c r="CL14" s="30" t="n">
        <f aca="false">CJ14+CK14</f>
        <v>95.4</v>
      </c>
      <c r="CM14" s="32" t="n">
        <f aca="false">CM125*$CL$14/($CL$14+$CL$31+$CL$51+$CL$70)</f>
        <v>47.1961267605634</v>
      </c>
      <c r="CN14" s="32" t="n">
        <f aca="false">CN125*$CL$14/($CL$14+$CL$31+$CL$51+$CL$70)</f>
        <v>47.1961267605634</v>
      </c>
      <c r="CO14" s="32" t="n">
        <f aca="false">SUM(CJ14,CK14,CM14,CN14)</f>
        <v>189.792253521127</v>
      </c>
      <c r="CP14" s="32" t="n">
        <f aca="false">CP371*$CL$14/($CL$14+$CL$31+$CL$51+$CL$70)</f>
        <v>177.867253521127</v>
      </c>
      <c r="CQ14" s="32" t="n">
        <f aca="false">CQ371*$CL$14/($CL$14+$CL$31+$CL$51+$CL$70)</f>
        <v>175.431866197183</v>
      </c>
      <c r="CR14" s="32" t="n">
        <f aca="false">CR371*$CL$14/($CL$14+$CL$31+$CL$51+$CL$70)</f>
        <v>138.56514084507</v>
      </c>
      <c r="CS14" s="32" t="n">
        <f aca="false">CS371*$CL$14/($CL$14+$CL$31+$CL$51+$CL$70)</f>
        <v>116.562676056338</v>
      </c>
      <c r="CT14" s="23" t="s">
        <v>112</v>
      </c>
      <c r="CV14" s="7"/>
      <c r="CW14" s="7"/>
      <c r="CX14" s="7"/>
      <c r="CY14" s="7"/>
      <c r="DB14" s="13" t="s">
        <v>113</v>
      </c>
      <c r="DC14" s="29" t="n">
        <v>20.99</v>
      </c>
      <c r="DD14" s="29" t="n">
        <v>20.86</v>
      </c>
      <c r="DE14" s="29" t="n">
        <v>20.73</v>
      </c>
    </row>
    <row r="15" customFormat="false" ht="15" hidden="false" customHeight="true" outlineLevel="0" collapsed="false">
      <c r="B15" s="13" t="s">
        <v>114</v>
      </c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1" t="n">
        <v>47.4</v>
      </c>
      <c r="BH15" s="30" t="n">
        <f aca="false">N(BF15)+N(BG15)</f>
        <v>47.4</v>
      </c>
      <c r="BI15" s="31" t="n">
        <v>36.7</v>
      </c>
      <c r="BJ15" s="31" t="n">
        <v>48.2</v>
      </c>
      <c r="BK15" s="31" t="n">
        <v>132.3</v>
      </c>
      <c r="BL15" s="30"/>
      <c r="BM15" s="30"/>
      <c r="BN15" s="30"/>
      <c r="BO15" s="30"/>
      <c r="BP15" s="31" t="n">
        <v>-4</v>
      </c>
      <c r="BQ15" s="31" t="n">
        <v>-4</v>
      </c>
      <c r="BR15" s="30"/>
      <c r="BS15" s="30"/>
      <c r="BT15" s="30"/>
      <c r="BU15" s="31" t="n">
        <v>5.8</v>
      </c>
      <c r="BV15" s="31" t="n">
        <v>3</v>
      </c>
      <c r="BW15" s="31" t="n">
        <v>8.8</v>
      </c>
      <c r="BX15" s="31" t="n">
        <v>2.2</v>
      </c>
      <c r="BY15" s="31" t="n">
        <v>1</v>
      </c>
      <c r="BZ15" s="30" t="n">
        <f aca="false">BX15+BY15</f>
        <v>3.2</v>
      </c>
      <c r="CA15" s="31" t="n">
        <v>3.7</v>
      </c>
      <c r="CB15" s="31" t="n">
        <v>51</v>
      </c>
      <c r="CC15" s="31" t="n">
        <v>57.9</v>
      </c>
      <c r="CD15" s="30"/>
      <c r="CE15" s="30"/>
      <c r="CF15" s="30"/>
      <c r="CG15" s="30"/>
      <c r="CH15" s="30"/>
      <c r="CI15" s="30"/>
      <c r="CJ15" s="30"/>
      <c r="CK15" s="30"/>
      <c r="CL15" s="30"/>
      <c r="CM15" s="33" t="n">
        <v>0</v>
      </c>
      <c r="CN15" s="33" t="n">
        <v>0</v>
      </c>
      <c r="CO15" s="32" t="n">
        <f aca="false">SUM(CJ15,CK15,CM15,CN15)</f>
        <v>0</v>
      </c>
      <c r="CP15" s="33" t="n">
        <v>0</v>
      </c>
      <c r="CQ15" s="33" t="n">
        <v>0</v>
      </c>
      <c r="CR15" s="33" t="n">
        <v>0</v>
      </c>
      <c r="CS15" s="33" t="n">
        <v>0</v>
      </c>
      <c r="CT15" s="23"/>
      <c r="CV15" s="7"/>
      <c r="CW15" s="7"/>
      <c r="CX15" s="7"/>
      <c r="CY15" s="7"/>
      <c r="DB15" s="18" t="s">
        <v>115</v>
      </c>
      <c r="DC15" s="25"/>
      <c r="DD15" s="25"/>
      <c r="DE15" s="25"/>
      <c r="DF15" s="16" t="s">
        <v>116</v>
      </c>
    </row>
    <row r="16" customFormat="false" ht="15" hidden="false" customHeight="true" outlineLevel="0" collapsed="false">
      <c r="B16" s="34" t="s">
        <v>117</v>
      </c>
      <c r="C16" s="35" t="str">
        <f aca="false">IF(OR(ISNUMBER(C17),ISNUMBER(C14)),C13+N(C14)+N(C15),"")</f>
        <v/>
      </c>
      <c r="D16" s="35" t="str">
        <f aca="false">IF(OR(ISNUMBER(D17),ISNUMBER(D14)),D13+N(D14)+N(D15),"")</f>
        <v/>
      </c>
      <c r="E16" s="35" t="str">
        <f aca="false">IF(OR(ISNUMBER(E17),ISNUMBER(E14)),E13+N(E14)+N(E15),"")</f>
        <v/>
      </c>
      <c r="F16" s="35" t="str">
        <f aca="false">IF(OR(ISNUMBER(F17),ISNUMBER(F14)),F13+N(F14)+N(F15),"")</f>
        <v/>
      </c>
      <c r="G16" s="35" t="str">
        <f aca="false">IF(OR(ISNUMBER(G17),ISNUMBER(G14)),G13+N(G14)+N(G15),"")</f>
        <v/>
      </c>
      <c r="H16" s="35" t="str">
        <f aca="false">IF(OR(ISNUMBER(H17),ISNUMBER(H14)),H13+N(H14)+N(H15),"")</f>
        <v/>
      </c>
      <c r="I16" s="35" t="str">
        <f aca="false">IF(OR(ISNUMBER(I17),ISNUMBER(I14)),I13+N(I14)+N(I15),"")</f>
        <v/>
      </c>
      <c r="J16" s="20" t="str">
        <f aca="false">IF(OR(ISNUMBER(J17),ISNUMBER(J14)),J13+N(J14)+N(J15),"")</f>
        <v/>
      </c>
      <c r="K16" s="20" t="str">
        <f aca="false">IF(OR(ISNUMBER(K17),ISNUMBER(K14)),K13+N(K14)+N(K15),"")</f>
        <v/>
      </c>
      <c r="L16" s="20" t="str">
        <f aca="false">IF(OR(ISNUMBER(L17),ISNUMBER(L14)),L13+N(L14)+N(L15),"")</f>
        <v/>
      </c>
      <c r="M16" s="20" t="str">
        <f aca="false">IF(OR(ISNUMBER(M17),ISNUMBER(M14)),M13+N(M14)+N(M15),"")</f>
        <v/>
      </c>
      <c r="N16" s="20" t="str">
        <f aca="false">IF(OR(ISNUMBER(N17),ISNUMBER(N14)),N13+N(N14)+N(N15),"")</f>
        <v/>
      </c>
      <c r="O16" s="35" t="str">
        <f aca="false">IF(OR(ISNUMBER(O17),ISNUMBER(O14)),O13+N(O14)+N(O15),"")</f>
        <v/>
      </c>
      <c r="P16" s="20" t="str">
        <f aca="false">IF(OR(ISNUMBER(P17),ISNUMBER(P14)),P13+N(P14)+N(P15),"")</f>
        <v/>
      </c>
      <c r="Q16" s="20" t="str">
        <f aca="false">IF(OR(ISNUMBER(Q17),ISNUMBER(Q14)),Q13+N(Q14)+N(Q15),"")</f>
        <v/>
      </c>
      <c r="R16" s="20" t="str">
        <f aca="false">IF(OR(ISNUMBER(R17),ISNUMBER(R14)),R13+N(R14)+N(R15),"")</f>
        <v/>
      </c>
      <c r="S16" s="20" t="str">
        <f aca="false">IF(OR(ISNUMBER(S17),ISNUMBER(S14)),S13+N(S14)+N(S15),"")</f>
        <v/>
      </c>
      <c r="T16" s="20" t="str">
        <f aca="false">IF(OR(ISNUMBER(T17),ISNUMBER(T14)),T13+N(T14)+N(T15),"")</f>
        <v/>
      </c>
      <c r="U16" s="35" t="str">
        <f aca="false">IF(OR(ISNUMBER(U17),ISNUMBER(U14)),U13+N(U14)+N(U15),"")</f>
        <v/>
      </c>
      <c r="V16" s="20" t="str">
        <f aca="false">IF(OR(ISNUMBER(V17),ISNUMBER(V14)),V13+N(V14)+N(V15),"")</f>
        <v/>
      </c>
      <c r="W16" s="20" t="str">
        <f aca="false">IF(OR(ISNUMBER(W17),ISNUMBER(W14)),W13+N(W14)+N(W15),"")</f>
        <v/>
      </c>
      <c r="X16" s="20" t="str">
        <f aca="false">IF(OR(ISNUMBER(X17),ISNUMBER(X14)),X13+N(X14)+N(X15),"")</f>
        <v/>
      </c>
      <c r="Y16" s="20" t="str">
        <f aca="false">IF(OR(ISNUMBER(Y17),ISNUMBER(Y14)),Y13+N(Y14)+N(Y15),"")</f>
        <v/>
      </c>
      <c r="Z16" s="20" t="str">
        <f aca="false">IF(OR(ISNUMBER(Z17),ISNUMBER(Z14)),Z13+N(Z14)+N(Z15),"")</f>
        <v/>
      </c>
      <c r="AA16" s="35" t="str">
        <f aca="false">IF(OR(ISNUMBER(AA17),ISNUMBER(AA14)),AA13+N(AA14)+N(AA15),"")</f>
        <v/>
      </c>
      <c r="AB16" s="20" t="str">
        <f aca="false">IF(OR(ISNUMBER(AB17),ISNUMBER(AB14)),AB13+N(AB14)+N(AB15),"")</f>
        <v/>
      </c>
      <c r="AC16" s="20" t="str">
        <f aca="false">IF(OR(ISNUMBER(AC17),ISNUMBER(AC14)),AC13+N(AC14)+N(AC15),"")</f>
        <v/>
      </c>
      <c r="AD16" s="20" t="str">
        <f aca="false">IF(OR(ISNUMBER(AD17),ISNUMBER(AD14)),AD13+N(AD14)+N(AD15),"")</f>
        <v/>
      </c>
      <c r="AE16" s="20" t="str">
        <f aca="false">IF(OR(ISNUMBER(AE17),ISNUMBER(AE14)),AE13+N(AE14)+N(AE15),"")</f>
        <v/>
      </c>
      <c r="AF16" s="20" t="str">
        <f aca="false">IF(OR(ISNUMBER(AF17),ISNUMBER(AF14)),AF13+N(AF14)+N(AF15),"")</f>
        <v/>
      </c>
      <c r="AG16" s="35" t="str">
        <f aca="false">IF(OR(ISNUMBER(AG17),ISNUMBER(AG14)),AG13+N(AG14)+N(AG15),"")</f>
        <v/>
      </c>
      <c r="AH16" s="20" t="str">
        <f aca="false">IF(OR(ISNUMBER(AH17),ISNUMBER(AH14)),AH13+N(AH14)+N(AH15),"")</f>
        <v/>
      </c>
      <c r="AI16" s="20" t="str">
        <f aca="false">IF(OR(ISNUMBER(AI17),ISNUMBER(AI14)),AI13+N(AI14)+N(AI15),"")</f>
        <v/>
      </c>
      <c r="AJ16" s="20" t="str">
        <f aca="false">IF(OR(ISNUMBER(AJ17),ISNUMBER(AJ14)),AJ13+N(AJ14)+N(AJ15),"")</f>
        <v/>
      </c>
      <c r="AK16" s="20" t="str">
        <f aca="false">IF(OR(ISNUMBER(AK17),ISNUMBER(AK14)),AK13+N(AK14)+N(AK15),"")</f>
        <v/>
      </c>
      <c r="AL16" s="20" t="str">
        <f aca="false">IF(OR(ISNUMBER(AL17),ISNUMBER(AL14)),AL13+N(AL14)+N(AL15),"")</f>
        <v/>
      </c>
      <c r="AM16" s="35" t="str">
        <f aca="false">IF(OR(ISNUMBER(AM17),ISNUMBER(AM14)),AM13+N(AM14)+N(AM15),"")</f>
        <v/>
      </c>
      <c r="AN16" s="20" t="str">
        <f aca="false">IF(OR(ISNUMBER(AN17),ISNUMBER(AN14)),AN13+N(AN14)+N(AN15),"")</f>
        <v/>
      </c>
      <c r="AO16" s="20" t="str">
        <f aca="false">IF(OR(ISNUMBER(AO17),ISNUMBER(AO14)),AO13+N(AO14)+N(AO15),"")</f>
        <v/>
      </c>
      <c r="AP16" s="20" t="str">
        <f aca="false">IF(OR(ISNUMBER(AP17),ISNUMBER(AP14)),AP13+N(AP14)+N(AP15),"")</f>
        <v/>
      </c>
      <c r="AQ16" s="20" t="str">
        <f aca="false">IF(OR(ISNUMBER(AQ17),ISNUMBER(AQ14)),AQ13+N(AQ14)+N(AQ15),"")</f>
        <v/>
      </c>
      <c r="AR16" s="20" t="str">
        <f aca="false">IF(OR(ISNUMBER(AR17),ISNUMBER(AR14)),AR13+N(AR14)+N(AR15),"")</f>
        <v/>
      </c>
      <c r="AS16" s="35" t="str">
        <f aca="false">IF(OR(ISNUMBER(AS17),ISNUMBER(AS14)),AS13+N(AS14)+N(AS15),"")</f>
        <v/>
      </c>
      <c r="AT16" s="20" t="str">
        <f aca="false">IF(OR(ISNUMBER(AT17),ISNUMBER(AT14)),AT13+N(AT14)+N(AT15),"")</f>
        <v/>
      </c>
      <c r="AU16" s="20" t="str">
        <f aca="false">IF(OR(ISNUMBER(AU17),ISNUMBER(AU14)),AU13+N(AU14)+N(AU15),"")</f>
        <v/>
      </c>
      <c r="AV16" s="20" t="str">
        <f aca="false">IF(OR(ISNUMBER(AV17),ISNUMBER(AV14)),AV13+N(AV14)+N(AV15),"")</f>
        <v/>
      </c>
      <c r="AW16" s="20" t="str">
        <f aca="false">IF(OR(ISNUMBER(AW17),ISNUMBER(AW14)),AW13+N(AW14)+N(AW15),"")</f>
        <v/>
      </c>
      <c r="AX16" s="20" t="str">
        <f aca="false">IF(OR(ISNUMBER(AX17),ISNUMBER(AX14)),AX13+N(AX14)+N(AX15),"")</f>
        <v/>
      </c>
      <c r="AY16" s="35" t="str">
        <f aca="false">IF(OR(ISNUMBER(AY17),ISNUMBER(AY14)),AY13+N(AY14)+N(AY15),"")</f>
        <v/>
      </c>
      <c r="AZ16" s="20" t="n">
        <f aca="false">IF(OR(ISNUMBER(AZ17),ISNUMBER(AZ14)),AZ13+N(AZ14)+N(AZ15),"")</f>
        <v>48.4</v>
      </c>
      <c r="BA16" s="20" t="n">
        <f aca="false">IF(OR(ISNUMBER(BA17),ISNUMBER(BA14)),BA13+N(BA14)+N(BA15),"")</f>
        <v>51.2</v>
      </c>
      <c r="BB16" s="20" t="n">
        <f aca="false">IF(OR(ISNUMBER(BB17),ISNUMBER(BB14)),BB13+N(BB14)+N(BB15),"")</f>
        <v>99.6</v>
      </c>
      <c r="BC16" s="20" t="n">
        <f aca="false">IF(OR(ISNUMBER(BC17),ISNUMBER(BC14)),BC13+N(BC14)+N(BC15),"")</f>
        <v>50</v>
      </c>
      <c r="BD16" s="20" t="n">
        <f aca="false">IF(OR(ISNUMBER(BD17),ISNUMBER(BD14)),BD13+N(BD14)+N(BD15),"")</f>
        <v>61.3</v>
      </c>
      <c r="BE16" s="35" t="n">
        <f aca="false">IF(OR(ISNUMBER(BE17),ISNUMBER(BE14)),BE13+N(BE14)+N(BE15),"")</f>
        <v>210.9</v>
      </c>
      <c r="BF16" s="20" t="n">
        <f aca="false">IF(OR(ISNUMBER(BF17),ISNUMBER(BF14)),BF13+N(BF14)+N(BF15),"")</f>
        <v>56.6</v>
      </c>
      <c r="BG16" s="20" t="n">
        <f aca="false">IF(OR(ISNUMBER(BG17),ISNUMBER(BG14)),BG13+N(BG14)+N(BG15),"")</f>
        <v>159.4</v>
      </c>
      <c r="BH16" s="20" t="n">
        <f aca="false">IF(OR(ISNUMBER(BH17),ISNUMBER(BH14)),BH13+N(BH14)+N(BH15),"")</f>
        <v>216</v>
      </c>
      <c r="BI16" s="20" t="n">
        <f aca="false">IF(OR(ISNUMBER(BI17),ISNUMBER(BI14)),BI13+N(BI14)+N(BI15),"")</f>
        <v>181.7</v>
      </c>
      <c r="BJ16" s="20" t="n">
        <f aca="false">IF(OR(ISNUMBER(BJ17),ISNUMBER(BJ14)),BJ13+N(BJ14)+N(BJ15),"")</f>
        <v>188.6</v>
      </c>
      <c r="BK16" s="35" t="n">
        <f aca="false">IF(OR(ISNUMBER(BK17),ISNUMBER(BK14)),BK13+N(BK14)+N(BK15),"")</f>
        <v>586.3</v>
      </c>
      <c r="BL16" s="20" t="n">
        <f aca="false">IF(OR(ISNUMBER(BL17),ISNUMBER(BL14)),BL13+N(BL14)+N(BL15),"")</f>
        <v>164.2</v>
      </c>
      <c r="BM16" s="20" t="n">
        <f aca="false">IF(OR(ISNUMBER(BM17),ISNUMBER(BM14)),BM13+N(BM14)+N(BM15),"")</f>
        <v>164.3</v>
      </c>
      <c r="BN16" s="20" t="n">
        <f aca="false">IF(OR(ISNUMBER(BN17),ISNUMBER(BN14)),BN13+N(BN14)+N(BN15),"")</f>
        <v>328.5</v>
      </c>
      <c r="BO16" s="20" t="n">
        <f aca="false">IF(OR(ISNUMBER(BO17),ISNUMBER(BO14)),BO13+N(BO14)+N(BO15),"")</f>
        <v>178.4</v>
      </c>
      <c r="BP16" s="20" t="n">
        <f aca="false">IF(OR(ISNUMBER(BP17),ISNUMBER(BP14)),BP13+N(BP14)+N(BP15),"")</f>
        <v>192.1</v>
      </c>
      <c r="BQ16" s="35" t="n">
        <f aca="false">IF(OR(ISNUMBER(BQ17),ISNUMBER(BQ14)),BQ13+N(BQ14)+N(BQ15),"")</f>
        <v>699</v>
      </c>
      <c r="BR16" s="20" t="n">
        <f aca="false">IF(OR(ISNUMBER(BR17),ISNUMBER(BR14)),BR13+N(BR14)+N(BR15),"")</f>
        <v>168</v>
      </c>
      <c r="BS16" s="20" t="n">
        <f aca="false">IF(OR(ISNUMBER(BS17),ISNUMBER(BS14)),BS13+N(BS14)+N(BS15),"")</f>
        <v>170.2</v>
      </c>
      <c r="BT16" s="20" t="n">
        <f aca="false">IF(OR(ISNUMBER(BT17),ISNUMBER(BT14)),BT13+N(BT14)+N(BT15),"")</f>
        <v>338.2</v>
      </c>
      <c r="BU16" s="20" t="n">
        <f aca="false">IF(OR(ISNUMBER(BU17),ISNUMBER(BU14)),BU13+N(BU14)+N(BU15),"")</f>
        <v>187.5</v>
      </c>
      <c r="BV16" s="20" t="n">
        <f aca="false">IF(OR(ISNUMBER(BV17),ISNUMBER(BV14)),BV13+N(BV14)+N(BV15),"")</f>
        <v>182.2</v>
      </c>
      <c r="BW16" s="35" t="n">
        <f aca="false">IF(OR(ISNUMBER(BW17),ISNUMBER(BW14)),BW13+N(BW14)+N(BW15),"")</f>
        <v>707.9</v>
      </c>
      <c r="BX16" s="20" t="n">
        <f aca="false">IF(OR(ISNUMBER(BX17),ISNUMBER(BX14)),BX13+N(BX14)+N(BX15),"")</f>
        <v>161.8</v>
      </c>
      <c r="BY16" s="20" t="n">
        <f aca="false">IF(OR(ISNUMBER(BY17),ISNUMBER(BY14)),BY13+N(BY14)+N(BY15),"")</f>
        <v>159.9</v>
      </c>
      <c r="BZ16" s="20" t="n">
        <f aca="false">IF(OR(ISNUMBER(BZ17),ISNUMBER(BZ14)),BZ13+N(BZ14)+N(BZ15),"")</f>
        <v>321.7</v>
      </c>
      <c r="CA16" s="20" t="n">
        <f aca="false">IF(OR(ISNUMBER(CA17),ISNUMBER(CA14)),CA13+N(CA14)+N(CA15),"")</f>
        <v>173.7</v>
      </c>
      <c r="CB16" s="20" t="n">
        <f aca="false">IF(OR(ISNUMBER(CB17),ISNUMBER(CB14)),CB13+N(CB14)+N(CB15),"")</f>
        <v>187.9</v>
      </c>
      <c r="CC16" s="35" t="n">
        <f aca="false">IF(OR(ISNUMBER(CC17),ISNUMBER(CC14)),CC13+N(CC14)+N(CC15),"")</f>
        <v>683.2</v>
      </c>
      <c r="CD16" s="20" t="n">
        <f aca="false">IF(OR(ISNUMBER(CD17),ISNUMBER(CD14)),CD13+N(CD14)+N(CD15),"")</f>
        <v>167.7</v>
      </c>
      <c r="CE16" s="20" t="n">
        <f aca="false">IF(OR(ISNUMBER(CE17),ISNUMBER(CE14)),CE13+N(CE14)+N(CE15),"")</f>
        <v>165.9</v>
      </c>
      <c r="CF16" s="20" t="n">
        <f aca="false">IF(OR(ISNUMBER(CF17),ISNUMBER(CF14)),CF13+N(CF14)+N(CF15),"")</f>
        <v>333.6</v>
      </c>
      <c r="CG16" s="20" t="n">
        <f aca="false">IF(OR(ISNUMBER(CG17),ISNUMBER(CG14)),CG13+N(CG14)+N(CG15),"")</f>
        <v>170.2</v>
      </c>
      <c r="CH16" s="20" t="n">
        <f aca="false">IF(OR(ISNUMBER(CH17),ISNUMBER(CH14)),CH13+N(CH14)+N(CH15),"")</f>
        <v>209.7</v>
      </c>
      <c r="CI16" s="35" t="n">
        <f aca="false">IF(OR(ISNUMBER(CI17),ISNUMBER(CI14)),CI13+N(CI14)+N(CI15),"")</f>
        <v>713.5</v>
      </c>
      <c r="CJ16" s="20" t="n">
        <f aca="false">IF(OR(ISNUMBER(CJ17),ISNUMBER(CJ14)),CJ13+N(CJ14)+N(CJ15),"")</f>
        <v>189.7</v>
      </c>
      <c r="CK16" s="20" t="n">
        <f aca="false">IF(OR(ISNUMBER(CK17),ISNUMBER(CK14)),CK13+N(CK14)+N(CK15),"")</f>
        <v>217.6</v>
      </c>
      <c r="CL16" s="20" t="n">
        <f aca="false">IF(OR(ISNUMBER(CL17),ISNUMBER(CL14)),CL13+N(CL14)+N(CL15),"")</f>
        <v>407.3</v>
      </c>
      <c r="CM16" s="35" t="n">
        <f aca="false">CM11*CM20</f>
        <v>204.360701616174</v>
      </c>
      <c r="CN16" s="35" t="n">
        <f aca="false">CN11*CN20</f>
        <v>231.480754945693</v>
      </c>
      <c r="CO16" s="35" t="n">
        <f aca="false">SUM(CJ16,CK16,CM16,CN16)</f>
        <v>843.141456561867</v>
      </c>
      <c r="CP16" s="35" t="n">
        <f aca="false">CP11*CP20</f>
        <v>916.429066953308</v>
      </c>
      <c r="CQ16" s="35" t="n">
        <f aca="false">CQ11*CQ20</f>
        <v>986.563944526265</v>
      </c>
      <c r="CR16" s="35" t="n">
        <f aca="false">CR11*CR20</f>
        <v>1056.60998458763</v>
      </c>
      <c r="CS16" s="35" t="n">
        <f aca="false">CS11*CS20</f>
        <v>1131.19421879382</v>
      </c>
      <c r="CT16" s="23" t="s">
        <v>118</v>
      </c>
      <c r="CV16" s="24" t="n">
        <f aca="false">IFERROR((CS16/CI16)^(1/5)-1,"n/m")</f>
        <v>0.0965505066437367</v>
      </c>
      <c r="CW16" s="24" t="n">
        <f aca="false">IFERROR((CI16/BE16)^(1/5)-1,"n/m")</f>
        <v>0.276037623368512</v>
      </c>
      <c r="CX16" s="24" t="str">
        <f aca="false">IFERROR((CI16/AA16)^(1/10)-1,"n/m")</f>
        <v>n/m</v>
      </c>
      <c r="CY16" s="24" t="str">
        <f aca="false">IFERROR((CI16/C16)^(1/19)-1,"n/m")</f>
        <v>n/m</v>
      </c>
      <c r="DB16" s="13" t="s">
        <v>119</v>
      </c>
      <c r="DD16" s="36" t="n">
        <v>0.215</v>
      </c>
    </row>
    <row r="17" customFormat="false" ht="15" hidden="false" customHeight="true" outlineLevel="0" collapsed="false">
      <c r="B17" s="37" t="s">
        <v>120</v>
      </c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1" t="n">
        <v>48.4</v>
      </c>
      <c r="BA17" s="31" t="n">
        <v>51.2</v>
      </c>
      <c r="BB17" s="30" t="n">
        <f aca="false">AZ17+BA17</f>
        <v>99.6</v>
      </c>
      <c r="BC17" s="31" t="n">
        <v>50</v>
      </c>
      <c r="BD17" s="31" t="n">
        <v>61.3</v>
      </c>
      <c r="BE17" s="31" t="n">
        <v>210.9</v>
      </c>
      <c r="BF17" s="31" t="n">
        <v>56.6</v>
      </c>
      <c r="BG17" s="31" t="n">
        <v>159.4</v>
      </c>
      <c r="BH17" s="30" t="n">
        <f aca="false">BF17+BG17</f>
        <v>216</v>
      </c>
      <c r="BI17" s="31" t="n">
        <v>181.7</v>
      </c>
      <c r="BJ17" s="31" t="n">
        <v>188.6</v>
      </c>
      <c r="BK17" s="31" t="n">
        <v>586.3</v>
      </c>
      <c r="BL17" s="31" t="n">
        <v>164.2</v>
      </c>
      <c r="BM17" s="31" t="n">
        <v>164.3</v>
      </c>
      <c r="BN17" s="30" t="n">
        <f aca="false">BL17+BM17</f>
        <v>328.5</v>
      </c>
      <c r="BO17" s="31" t="n">
        <v>178.4</v>
      </c>
      <c r="BP17" s="31" t="n">
        <v>192.1</v>
      </c>
      <c r="BQ17" s="31" t="n">
        <v>699</v>
      </c>
      <c r="BR17" s="31" t="n">
        <v>168</v>
      </c>
      <c r="BS17" s="31" t="n">
        <v>170.2</v>
      </c>
      <c r="BT17" s="30" t="n">
        <f aca="false">BR17+BS17</f>
        <v>338.2</v>
      </c>
      <c r="BU17" s="31" t="n">
        <v>187.5</v>
      </c>
      <c r="BV17" s="31" t="n">
        <v>182.2</v>
      </c>
      <c r="BW17" s="31" t="n">
        <v>707.9</v>
      </c>
      <c r="BX17" s="31" t="n">
        <v>161.8</v>
      </c>
      <c r="BY17" s="31" t="n">
        <v>159.9</v>
      </c>
      <c r="BZ17" s="30" t="n">
        <f aca="false">BX17+BY17</f>
        <v>321.7</v>
      </c>
      <c r="CA17" s="31" t="n">
        <v>173.7</v>
      </c>
      <c r="CB17" s="31" t="n">
        <v>187.9</v>
      </c>
      <c r="CC17" s="31" t="n">
        <v>683.2</v>
      </c>
      <c r="CD17" s="31" t="n">
        <v>167.7</v>
      </c>
      <c r="CE17" s="31" t="n">
        <v>165.9</v>
      </c>
      <c r="CF17" s="30" t="n">
        <f aca="false">CD17+CE17</f>
        <v>333.6</v>
      </c>
      <c r="CG17" s="31" t="n">
        <v>170.2</v>
      </c>
      <c r="CH17" s="31" t="n">
        <v>209.7</v>
      </c>
      <c r="CI17" s="31" t="n">
        <v>713.5</v>
      </c>
      <c r="CJ17" s="31" t="n">
        <v>189.7</v>
      </c>
      <c r="CK17" s="31" t="n">
        <v>217.6</v>
      </c>
      <c r="CL17" s="30" t="n">
        <f aca="false">CJ17+CK17</f>
        <v>407.3</v>
      </c>
      <c r="CM17" s="32"/>
      <c r="CN17" s="32"/>
      <c r="CO17" s="32"/>
      <c r="CP17" s="32"/>
      <c r="CQ17" s="32"/>
      <c r="CR17" s="32"/>
      <c r="CS17" s="32"/>
      <c r="CT17" s="23"/>
      <c r="CV17" s="7"/>
      <c r="CW17" s="7"/>
      <c r="CX17" s="7"/>
      <c r="CY17" s="7"/>
      <c r="DB17" s="13" t="s">
        <v>121</v>
      </c>
      <c r="DD17" s="38" t="n">
        <v>125</v>
      </c>
    </row>
    <row r="18" customFormat="false" ht="15" hidden="false" customHeight="true" outlineLevel="0" collapsed="false">
      <c r="B18" s="39" t="s">
        <v>122</v>
      </c>
      <c r="C18" s="30" t="str">
        <f aca="false">IF(ISNUMBER(C17),ROUND(C16-C17,1),"n/p")</f>
        <v>n/p</v>
      </c>
      <c r="D18" s="30" t="str">
        <f aca="false">IF(ISNUMBER(D17),ROUND(D16-D17,1),"n/p")</f>
        <v>n/p</v>
      </c>
      <c r="E18" s="30" t="str">
        <f aca="false">IF(ISNUMBER(E17),ROUND(E16-E17,1),"n/p")</f>
        <v>n/p</v>
      </c>
      <c r="F18" s="30" t="str">
        <f aca="false">IF(ISNUMBER(F17),ROUND(F16-F17,1),"n/p")</f>
        <v>n/p</v>
      </c>
      <c r="G18" s="30" t="str">
        <f aca="false">IF(ISNUMBER(G17),ROUND(G16-G17,1),"n/p")</f>
        <v>n/p</v>
      </c>
      <c r="H18" s="30" t="str">
        <f aca="false">IF(ISNUMBER(H17),ROUND(H16-H17,1),"n/p")</f>
        <v>n/p</v>
      </c>
      <c r="I18" s="30" t="str">
        <f aca="false">IF(ISNUMBER(I17),ROUND(I16-I17,1),"n/p")</f>
        <v>n/p</v>
      </c>
      <c r="J18" s="30" t="str">
        <f aca="false">IF(ISNUMBER(J17),ROUND(J16-J17,1),"n/p")</f>
        <v>n/p</v>
      </c>
      <c r="K18" s="30" t="str">
        <f aca="false">IF(ISNUMBER(K17),ROUND(K16-K17,1),"n/p")</f>
        <v>n/p</v>
      </c>
      <c r="L18" s="30" t="str">
        <f aca="false">IF(ISNUMBER(L17),ROUND(L16-L17,1),"n/p")</f>
        <v>n/p</v>
      </c>
      <c r="M18" s="30" t="str">
        <f aca="false">IF(ISNUMBER(M17),ROUND(M16-M17,1),"n/p")</f>
        <v>n/p</v>
      </c>
      <c r="N18" s="30" t="str">
        <f aca="false">IF(ISNUMBER(N17),ROUND(N16-N17,1),"n/p")</f>
        <v>n/p</v>
      </c>
      <c r="O18" s="30" t="str">
        <f aca="false">IF(ISNUMBER(O17),ROUND(O16-O17,1),"n/p")</f>
        <v>n/p</v>
      </c>
      <c r="P18" s="30" t="str">
        <f aca="false">IF(ISNUMBER(P17),ROUND(P16-P17,1),"n/p")</f>
        <v>n/p</v>
      </c>
      <c r="Q18" s="30" t="str">
        <f aca="false">IF(ISNUMBER(Q17),ROUND(Q16-Q17,1),"n/p")</f>
        <v>n/p</v>
      </c>
      <c r="R18" s="30" t="str">
        <f aca="false">IF(ISNUMBER(R17),ROUND(R16-R17,1),"n/p")</f>
        <v>n/p</v>
      </c>
      <c r="S18" s="30" t="str">
        <f aca="false">IF(ISNUMBER(S17),ROUND(S16-S17,1),"n/p")</f>
        <v>n/p</v>
      </c>
      <c r="T18" s="30" t="str">
        <f aca="false">IF(ISNUMBER(T17),ROUND(T16-T17,1),"n/p")</f>
        <v>n/p</v>
      </c>
      <c r="U18" s="30" t="str">
        <f aca="false">IF(ISNUMBER(U17),ROUND(U16-U17,1),"n/p")</f>
        <v>n/p</v>
      </c>
      <c r="V18" s="30" t="str">
        <f aca="false">IF(ISNUMBER(V17),ROUND(V16-V17,1),"n/p")</f>
        <v>n/p</v>
      </c>
      <c r="W18" s="30" t="str">
        <f aca="false">IF(ISNUMBER(W17),ROUND(W16-W17,1),"n/p")</f>
        <v>n/p</v>
      </c>
      <c r="X18" s="30" t="str">
        <f aca="false">IF(ISNUMBER(X17),ROUND(X16-X17,1),"n/p")</f>
        <v>n/p</v>
      </c>
      <c r="Y18" s="30" t="str">
        <f aca="false">IF(ISNUMBER(Y17),ROUND(Y16-Y17,1),"n/p")</f>
        <v>n/p</v>
      </c>
      <c r="Z18" s="30" t="str">
        <f aca="false">IF(ISNUMBER(Z17),ROUND(Z16-Z17,1),"n/p")</f>
        <v>n/p</v>
      </c>
      <c r="AA18" s="30" t="str">
        <f aca="false">IF(ISNUMBER(AA17),ROUND(AA16-AA17,1),"n/p")</f>
        <v>n/p</v>
      </c>
      <c r="AB18" s="30" t="str">
        <f aca="false">IF(ISNUMBER(AB17),ROUND(AB16-AB17,1),"n/p")</f>
        <v>n/p</v>
      </c>
      <c r="AC18" s="30" t="str">
        <f aca="false">IF(ISNUMBER(AC17),ROUND(AC16-AC17,1),"n/p")</f>
        <v>n/p</v>
      </c>
      <c r="AD18" s="30" t="str">
        <f aca="false">IF(ISNUMBER(AD17),ROUND(AD16-AD17,1),"n/p")</f>
        <v>n/p</v>
      </c>
      <c r="AE18" s="30" t="str">
        <f aca="false">IF(ISNUMBER(AE17),ROUND(AE16-AE17,1),"n/p")</f>
        <v>n/p</v>
      </c>
      <c r="AF18" s="30" t="str">
        <f aca="false">IF(ISNUMBER(AF17),ROUND(AF16-AF17,1),"n/p")</f>
        <v>n/p</v>
      </c>
      <c r="AG18" s="30" t="str">
        <f aca="false">IF(ISNUMBER(AG17),ROUND(AG16-AG17,1),"n/p")</f>
        <v>n/p</v>
      </c>
      <c r="AH18" s="30" t="str">
        <f aca="false">IF(ISNUMBER(AH17),ROUND(AH16-AH17,1),"n/p")</f>
        <v>n/p</v>
      </c>
      <c r="AI18" s="30" t="str">
        <f aca="false">IF(ISNUMBER(AI17),ROUND(AI16-AI17,1),"n/p")</f>
        <v>n/p</v>
      </c>
      <c r="AJ18" s="30" t="str">
        <f aca="false">IF(ISNUMBER(AJ17),ROUND(AJ16-AJ17,1),"n/p")</f>
        <v>n/p</v>
      </c>
      <c r="AK18" s="30" t="str">
        <f aca="false">IF(ISNUMBER(AK17),ROUND(AK16-AK17,1),"n/p")</f>
        <v>n/p</v>
      </c>
      <c r="AL18" s="30" t="str">
        <f aca="false">IF(ISNUMBER(AL17),ROUND(AL16-AL17,1),"n/p")</f>
        <v>n/p</v>
      </c>
      <c r="AM18" s="30" t="str">
        <f aca="false">IF(ISNUMBER(AM17),ROUND(AM16-AM17,1),"n/p")</f>
        <v>n/p</v>
      </c>
      <c r="AN18" s="30" t="str">
        <f aca="false">IF(ISNUMBER(AN17),ROUND(AN16-AN17,1),"n/p")</f>
        <v>n/p</v>
      </c>
      <c r="AO18" s="30" t="str">
        <f aca="false">IF(ISNUMBER(AO17),ROUND(AO16-AO17,1),"n/p")</f>
        <v>n/p</v>
      </c>
      <c r="AP18" s="30" t="str">
        <f aca="false">IF(ISNUMBER(AP17),ROUND(AP16-AP17,1),"n/p")</f>
        <v>n/p</v>
      </c>
      <c r="AQ18" s="30" t="str">
        <f aca="false">IF(ISNUMBER(AQ17),ROUND(AQ16-AQ17,1),"n/p")</f>
        <v>n/p</v>
      </c>
      <c r="AR18" s="30" t="str">
        <f aca="false">IF(ISNUMBER(AR17),ROUND(AR16-AR17,1),"n/p")</f>
        <v>n/p</v>
      </c>
      <c r="AS18" s="30" t="str">
        <f aca="false">IF(ISNUMBER(AS17),ROUND(AS16-AS17,1),"n/p")</f>
        <v>n/p</v>
      </c>
      <c r="AT18" s="30" t="str">
        <f aca="false">IF(ISNUMBER(AT17),ROUND(AT16-AT17,1),"n/p")</f>
        <v>n/p</v>
      </c>
      <c r="AU18" s="30" t="str">
        <f aca="false">IF(ISNUMBER(AU17),ROUND(AU16-AU17,1),"n/p")</f>
        <v>n/p</v>
      </c>
      <c r="AV18" s="30" t="str">
        <f aca="false">IF(ISNUMBER(AV17),ROUND(AV16-AV17,1),"n/p")</f>
        <v>n/p</v>
      </c>
      <c r="AW18" s="30" t="str">
        <f aca="false">IF(ISNUMBER(AW17),ROUND(AW16-AW17,1),"n/p")</f>
        <v>n/p</v>
      </c>
      <c r="AX18" s="30" t="str">
        <f aca="false">IF(ISNUMBER(AX17),ROUND(AX16-AX17,1),"n/p")</f>
        <v>n/p</v>
      </c>
      <c r="AY18" s="30" t="str">
        <f aca="false">IF(ISNUMBER(AY17),ROUND(AY16-AY17,1),"n/p")</f>
        <v>n/p</v>
      </c>
      <c r="AZ18" s="30" t="n">
        <f aca="false">IF(ISNUMBER(AZ17),ROUND(AZ16-AZ17,1),"n/p")</f>
        <v>0</v>
      </c>
      <c r="BA18" s="30" t="n">
        <f aca="false">IF(ISNUMBER(BA17),ROUND(BA16-BA17,1),"n/p")</f>
        <v>0</v>
      </c>
      <c r="BB18" s="30" t="n">
        <f aca="false">IF(ISNUMBER(BB17),ROUND(BB16-BB17,1),"n/p")</f>
        <v>0</v>
      </c>
      <c r="BC18" s="30" t="n">
        <f aca="false">IF(ISNUMBER(BC17),ROUND(BC16-BC17,1),"n/p")</f>
        <v>0</v>
      </c>
      <c r="BD18" s="30" t="n">
        <f aca="false">IF(ISNUMBER(BD17),ROUND(BD16-BD17,1),"n/p")</f>
        <v>0</v>
      </c>
      <c r="BE18" s="30" t="n">
        <f aca="false">IF(ISNUMBER(BE17),ROUND(BE16-BE17,1),"n/p")</f>
        <v>0</v>
      </c>
      <c r="BF18" s="30" t="n">
        <f aca="false">IF(ISNUMBER(BF17),ROUND(BF16-BF17,1),"n/p")</f>
        <v>0</v>
      </c>
      <c r="BG18" s="30" t="n">
        <f aca="false">IF(ISNUMBER(BG17),ROUND(BG16-BG17,1),"n/p")</f>
        <v>0</v>
      </c>
      <c r="BH18" s="30" t="n">
        <f aca="false">IF(ISNUMBER(BH17),ROUND(BH16-BH17,1),"n/p")</f>
        <v>0</v>
      </c>
      <c r="BI18" s="30" t="n">
        <f aca="false">IF(ISNUMBER(BI17),ROUND(BI16-BI17,1),"n/p")</f>
        <v>0</v>
      </c>
      <c r="BJ18" s="30" t="n">
        <f aca="false">IF(ISNUMBER(BJ17),ROUND(BJ16-BJ17,1),"n/p")</f>
        <v>0</v>
      </c>
      <c r="BK18" s="30" t="n">
        <f aca="false">IF(ISNUMBER(BK17),ROUND(BK16-BK17,1),"n/p")</f>
        <v>0</v>
      </c>
      <c r="BL18" s="30" t="n">
        <f aca="false">IF(ISNUMBER(BL17),ROUND(BL16-BL17,1),"n/p")</f>
        <v>0</v>
      </c>
      <c r="BM18" s="30" t="n">
        <f aca="false">IF(ISNUMBER(BM17),ROUND(BM16-BM17,1),"n/p")</f>
        <v>0</v>
      </c>
      <c r="BN18" s="30" t="n">
        <f aca="false">IF(ISNUMBER(BN17),ROUND(BN16-BN17,1),"n/p")</f>
        <v>0</v>
      </c>
      <c r="BO18" s="30" t="n">
        <f aca="false">IF(ISNUMBER(BO17),ROUND(BO16-BO17,1),"n/p")</f>
        <v>0</v>
      </c>
      <c r="BP18" s="30" t="n">
        <f aca="false">IF(ISNUMBER(BP17),ROUND(BP16-BP17,1),"n/p")</f>
        <v>0</v>
      </c>
      <c r="BQ18" s="30" t="n">
        <f aca="false">IF(ISNUMBER(BQ17),ROUND(BQ16-BQ17,1),"n/p")</f>
        <v>0</v>
      </c>
      <c r="BR18" s="30" t="n">
        <f aca="false">IF(ISNUMBER(BR17),ROUND(BR16-BR17,1),"n/p")</f>
        <v>0</v>
      </c>
      <c r="BS18" s="30" t="n">
        <f aca="false">IF(ISNUMBER(BS17),ROUND(BS16-BS17,1),"n/p")</f>
        <v>0</v>
      </c>
      <c r="BT18" s="30" t="n">
        <f aca="false">IF(ISNUMBER(BT17),ROUND(BT16-BT17,1),"n/p")</f>
        <v>0</v>
      </c>
      <c r="BU18" s="30" t="n">
        <f aca="false">IF(ISNUMBER(BU17),ROUND(BU16-BU17,1),"n/p")</f>
        <v>0</v>
      </c>
      <c r="BV18" s="30" t="n">
        <f aca="false">IF(ISNUMBER(BV17),ROUND(BV16-BV17,1),"n/p")</f>
        <v>0</v>
      </c>
      <c r="BW18" s="30" t="n">
        <f aca="false">IF(ISNUMBER(BW17),ROUND(BW16-BW17,1),"n/p")</f>
        <v>0</v>
      </c>
      <c r="BX18" s="30" t="n">
        <f aca="false">IF(ISNUMBER(BX17),ROUND(BX16-BX17,1),"n/p")</f>
        <v>0</v>
      </c>
      <c r="BY18" s="30" t="n">
        <f aca="false">IF(ISNUMBER(BY17),ROUND(BY16-BY17,1),"n/p")</f>
        <v>0</v>
      </c>
      <c r="BZ18" s="30" t="n">
        <f aca="false">IF(ISNUMBER(BZ17),ROUND(BZ16-BZ17,1),"n/p")</f>
        <v>0</v>
      </c>
      <c r="CA18" s="30" t="n">
        <f aca="false">IF(ISNUMBER(CA17),ROUND(CA16-CA17,1),"n/p")</f>
        <v>0</v>
      </c>
      <c r="CB18" s="30" t="n">
        <f aca="false">IF(ISNUMBER(CB17),ROUND(CB16-CB17,1),"n/p")</f>
        <v>0</v>
      </c>
      <c r="CC18" s="30" t="n">
        <f aca="false">IF(ISNUMBER(CC17),ROUND(CC16-CC17,1),"n/p")</f>
        <v>0</v>
      </c>
      <c r="CD18" s="30" t="n">
        <f aca="false">IF(ISNUMBER(CD17),ROUND(CD16-CD17,1),"n/p")</f>
        <v>0</v>
      </c>
      <c r="CE18" s="30" t="n">
        <f aca="false">IF(ISNUMBER(CE17),ROUND(CE16-CE17,1),"n/p")</f>
        <v>0</v>
      </c>
      <c r="CF18" s="30" t="n">
        <f aca="false">IF(ISNUMBER(CF17),ROUND(CF16-CF17,1),"n/p")</f>
        <v>0</v>
      </c>
      <c r="CG18" s="30" t="n">
        <f aca="false">IF(ISNUMBER(CG17),ROUND(CG16-CG17,1),"n/p")</f>
        <v>0</v>
      </c>
      <c r="CH18" s="30" t="n">
        <f aca="false">IF(ISNUMBER(CH17),ROUND(CH16-CH17,1),"n/p")</f>
        <v>0</v>
      </c>
      <c r="CI18" s="30" t="n">
        <f aca="false">IF(ISNUMBER(CI17),ROUND(CI16-CI17,1),"n/p")</f>
        <v>0</v>
      </c>
      <c r="CJ18" s="30" t="n">
        <f aca="false">IF(ISNUMBER(CJ17),ROUND(CJ16-CJ17,1),"n/p")</f>
        <v>0</v>
      </c>
      <c r="CK18" s="30" t="n">
        <f aca="false">IF(ISNUMBER(CK17),ROUND(CK16-CK17,1),"n/p")</f>
        <v>0</v>
      </c>
      <c r="CL18" s="30" t="n">
        <f aca="false">IF(ISNUMBER(CL17),ROUND(CL16-CL17,1),"n/p")</f>
        <v>0</v>
      </c>
      <c r="CM18" s="32"/>
      <c r="CN18" s="32"/>
      <c r="CO18" s="32"/>
      <c r="CP18" s="32"/>
      <c r="CQ18" s="32"/>
      <c r="CR18" s="32"/>
      <c r="CS18" s="32"/>
      <c r="CT18" s="23"/>
      <c r="CV18" s="7"/>
      <c r="CW18" s="7"/>
      <c r="CX18" s="7"/>
      <c r="CY18" s="7"/>
    </row>
    <row r="19" customFormat="false" ht="15" hidden="false" customHeight="true" outlineLevel="0" collapsed="false">
      <c r="B19" s="26" t="s">
        <v>123</v>
      </c>
      <c r="C19" s="40" t="str">
        <f aca="false">IFERROR(C13/C11,"")</f>
        <v/>
      </c>
      <c r="D19" s="40" t="str">
        <f aca="false">IFERROR(D13/D11,"")</f>
        <v/>
      </c>
      <c r="E19" s="40" t="n">
        <f aca="false">IFERROR(E13/E11,"")</f>
        <v>0.106259097525473</v>
      </c>
      <c r="F19" s="40" t="n">
        <f aca="false">IFERROR(F13/F11,"")</f>
        <v>0.0926944226237235</v>
      </c>
      <c r="G19" s="40" t="n">
        <f aca="false">IFERROR(G13/G11,"")</f>
        <v>0.0424489795918367</v>
      </c>
      <c r="H19" s="40" t="n">
        <f aca="false">IFERROR(H13/H11,"")</f>
        <v>0.0460131466133181</v>
      </c>
      <c r="I19" s="40" t="n">
        <f aca="false">IFERROR(I13/I11,"")</f>
        <v>0.0596297186823756</v>
      </c>
      <c r="J19" s="40" t="n">
        <f aca="false">IFERROR(J13/J11,"")</f>
        <v>0.05078125</v>
      </c>
      <c r="K19" s="40" t="n">
        <f aca="false">IFERROR(K13/K11,"")</f>
        <v>0.0757430488974113</v>
      </c>
      <c r="L19" s="40" t="n">
        <f aca="false">IFERROR(L13/L11,"")</f>
        <v>0.0633768746976294</v>
      </c>
      <c r="M19" s="40" t="n">
        <f aca="false">IFERROR(M13/M11,"")</f>
        <v>0.109315589353612</v>
      </c>
      <c r="N19" s="40" t="n">
        <f aca="false">IFERROR(N13/N11,"")</f>
        <v>0.0349854227405248</v>
      </c>
      <c r="O19" s="40" t="n">
        <f aca="false">IFERROR(O13/O11,"")</f>
        <v>0.0679845708775313</v>
      </c>
      <c r="P19" s="40" t="n">
        <f aca="false">IFERROR(P13/P11,"")</f>
        <v>0.0951913640824337</v>
      </c>
      <c r="Q19" s="40" t="n">
        <f aca="false">IFERROR(Q13/Q11,"")</f>
        <v>0.112825458052073</v>
      </c>
      <c r="R19" s="40" t="n">
        <f aca="false">IFERROR(R13/R11,"")</f>
        <v>0.10408560311284</v>
      </c>
      <c r="S19" s="40" t="n">
        <f aca="false">IFERROR(S13/S11,"")</f>
        <v>0.0826359832635983</v>
      </c>
      <c r="T19" s="40" t="n">
        <f aca="false">IFERROR(T13/T11,"")</f>
        <v>0.076171875</v>
      </c>
      <c r="U19" s="40" t="n">
        <f aca="false">IFERROR(U13/U11,"")</f>
        <v>0.0919226957383548</v>
      </c>
      <c r="V19" s="40" t="n">
        <f aca="false">IFERROR(V13/V11,"")</f>
        <v>0.10287610619469</v>
      </c>
      <c r="W19" s="40" t="n">
        <f aca="false">IFERROR(W13/W11,"")</f>
        <v>0.0969162995594714</v>
      </c>
      <c r="X19" s="40" t="n">
        <f aca="false">IFERROR(X13/X11,"")</f>
        <v>0.0998896247240618</v>
      </c>
      <c r="Y19" s="40" t="n">
        <f aca="false">IFERROR(Y13/Y11,"")</f>
        <v>0.108672936259143</v>
      </c>
      <c r="Z19" s="40" t="n">
        <f aca="false">IFERROR(Z13/Z11,"")</f>
        <v>0.112634671890304</v>
      </c>
      <c r="AA19" s="40" t="n">
        <f aca="false">IFERROR(AA13/AA11,"")</f>
        <v>0.105540897097625</v>
      </c>
      <c r="AB19" s="40" t="n">
        <f aca="false">IFERROR(AB13/AB11,"")</f>
        <v>0.0912124582869855</v>
      </c>
      <c r="AC19" s="40" t="n">
        <f aca="false">IFERROR(AC13/AC11,"")</f>
        <v>0.107645875251509</v>
      </c>
      <c r="AD19" s="40" t="n">
        <f aca="false">IFERROR(AD13/AD11,"")</f>
        <v>0.0998415213946117</v>
      </c>
      <c r="AE19" s="40" t="n">
        <f aca="false">IFERROR(AE13/AE11,"")</f>
        <v>0.118781725888325</v>
      </c>
      <c r="AF19" s="40" t="n">
        <f aca="false">IFERROR(AF13/AF11,"")</f>
        <v>0.137962128043282</v>
      </c>
      <c r="AG19" s="40" t="n">
        <f aca="false">IFERROR(AG13/AG11,"")</f>
        <v>0.115124153498871</v>
      </c>
      <c r="AH19" s="40" t="n">
        <f aca="false">IFERROR(AH13/AH11,"")</f>
        <v>0.132688927943761</v>
      </c>
      <c r="AI19" s="40" t="n">
        <f aca="false">IFERROR(AI13/AI11,"")</f>
        <v>0.13986013986014</v>
      </c>
      <c r="AJ19" s="40" t="n">
        <f aca="false">IFERROR(AJ13/AJ11,"")</f>
        <v>0.137261146496815</v>
      </c>
      <c r="AK19" s="40" t="n">
        <f aca="false">IFERROR(AK13/AK11,"")</f>
        <v>0.159390862944162</v>
      </c>
      <c r="AL19" s="40" t="n">
        <f aca="false">IFERROR(AL13/AL11,"")</f>
        <v>0.173681664247702</v>
      </c>
      <c r="AM19" s="40" t="n">
        <f aca="false">IFERROR(AM13/AM11,"")</f>
        <v>0.155123873873874</v>
      </c>
      <c r="AN19" s="40" t="n">
        <f aca="false">IFERROR(AN13/AN11,"")</f>
        <v>0.162265962554009</v>
      </c>
      <c r="AO19" s="40" t="n">
        <f aca="false">IFERROR(AO13/AO11,"")</f>
        <v>0.193273542600897</v>
      </c>
      <c r="AP19" s="40" t="n">
        <f aca="false">IFERROR(AP13/AP11,"")</f>
        <v>0.17829816832831</v>
      </c>
      <c r="AQ19" s="40" t="n">
        <f aca="false">IFERROR(AQ13/AQ11,"")</f>
        <v>0.191662890801994</v>
      </c>
      <c r="AR19" s="40" t="n">
        <f aca="false">IFERROR(AR13/AR11,"")</f>
        <v>0.16256157635468</v>
      </c>
      <c r="AS19" s="40" t="n">
        <f aca="false">IFERROR(AS13/AS11,"")</f>
        <v>0.177653375985376</v>
      </c>
      <c r="AT19" s="40" t="n">
        <f aca="false">IFERROR(AT13/AT11,"")</f>
        <v>0.157487091222031</v>
      </c>
      <c r="AU19" s="40" t="n">
        <f aca="false">IFERROR(AU13/AU11,"")</f>
        <v>0.207729468599034</v>
      </c>
      <c r="AV19" s="40" t="n">
        <f aca="false">IFERROR(AV13/AV11,"")</f>
        <v>0.183444259567388</v>
      </c>
      <c r="AW19" s="40" t="n">
        <f aca="false">IFERROR(AW13/AW11,"")</f>
        <v>0.168852459016393</v>
      </c>
      <c r="AX19" s="40" t="n">
        <f aca="false">IFERROR(AX13/AX11,"")</f>
        <v>0.17568071615069</v>
      </c>
      <c r="AY19" s="40" t="n">
        <f aca="false">IFERROR(AY13/AY11,"")</f>
        <v>0.177762110988015</v>
      </c>
      <c r="AZ19" s="40" t="n">
        <f aca="false">IFERROR(AZ13/AZ11,"")</f>
        <v>0.177543575192542</v>
      </c>
      <c r="BA19" s="40" t="n">
        <f aca="false">IFERROR(BA13/BA11,"")</f>
        <v>0.196969696969697</v>
      </c>
      <c r="BB19" s="40" t="n">
        <f aca="false">IFERROR(BB13/BB11,"")</f>
        <v>0.187074127606855</v>
      </c>
      <c r="BC19" s="40" t="n">
        <f aca="false">IFERROR(BC13/BC11,"")</f>
        <v>0.189820609094702</v>
      </c>
      <c r="BD19" s="40" t="n">
        <f aca="false">IFERROR(BD13/BD11,"")</f>
        <v>0.216412213740458</v>
      </c>
      <c r="BE19" s="40" t="n">
        <f aca="false">IFERROR(BE13/BE11,"")</f>
        <v>0.19553752535497</v>
      </c>
      <c r="BF19" s="40" t="n">
        <f aca="false">IFERROR(BF13/BF11,"")</f>
        <v>0.197493353589062</v>
      </c>
      <c r="BG19" s="40" t="n">
        <f aca="false">IFERROR(BG13/BG11,"")</f>
        <v>0.145987920621225</v>
      </c>
      <c r="BH19" s="40" t="n">
        <f aca="false">IFERROR(BH13/BH11,"")</f>
        <v>0.162078785002373</v>
      </c>
      <c r="BI19" s="40" t="n">
        <f aca="false">IFERROR(BI13/BI11,"")</f>
        <v>0.124769918485406</v>
      </c>
      <c r="BJ19" s="40" t="n">
        <f aca="false">IFERROR(BJ13/BJ11,"")</f>
        <v>0.116244595429277</v>
      </c>
      <c r="BK19" s="40" t="n">
        <f aca="false">IFERROR(BK13/BK11,"")</f>
        <v>0.134941356873472</v>
      </c>
      <c r="BL19" s="40" t="n">
        <f aca="false">IFERROR(BL13/BL11,"")</f>
        <v>0.154163890739507</v>
      </c>
      <c r="BM19" s="40" t="n">
        <f aca="false">IFERROR(BM13/BM11,"")</f>
        <v>0.151972157772622</v>
      </c>
      <c r="BN19" s="40" t="n">
        <f aca="false">IFERROR(BN13/BN11,"")</f>
        <v>0.153049859136474</v>
      </c>
      <c r="BO19" s="40" t="n">
        <f aca="false">IFERROR(BO13/BO11,"")</f>
        <v>0.171872991387068</v>
      </c>
      <c r="BP19" s="40" t="n">
        <f aca="false">IFERROR(BP13/BP11,"")</f>
        <v>0.188421966034461</v>
      </c>
      <c r="BQ19" s="40" t="n">
        <f aca="false">IFERROR(BQ13/BQ11,"")</f>
        <v>0.166929184480375</v>
      </c>
      <c r="BR19" s="40" t="n">
        <f aca="false">IFERROR(BR13/BR11,"")</f>
        <v>0.158187702265372</v>
      </c>
      <c r="BS19" s="40" t="n">
        <f aca="false">IFERROR(BS13/BS11,"")</f>
        <v>0.157065422916929</v>
      </c>
      <c r="BT19" s="40" t="n">
        <f aca="false">IFERROR(BT13/BT11,"")</f>
        <v>0.157619108442968</v>
      </c>
      <c r="BU19" s="40" t="n">
        <f aca="false">IFERROR(BU13/BU11,"")</f>
        <v>0.175689610724414</v>
      </c>
      <c r="BV19" s="40" t="n">
        <f aca="false">IFERROR(BV13/BV11,"")</f>
        <v>0.167352024922118</v>
      </c>
      <c r="BW19" s="40" t="n">
        <f aca="false">IFERROR(BW13/BW11,"")</f>
        <v>0.16456219585891</v>
      </c>
      <c r="BX19" s="40" t="n">
        <f aca="false">IFERROR(BX13/BX11,"")</f>
        <v>0.153617710583153</v>
      </c>
      <c r="BY19" s="40" t="n">
        <f aca="false">IFERROR(BY13/BY11,"")</f>
        <v>0.153502840140655</v>
      </c>
      <c r="BZ19" s="40" t="n">
        <f aca="false">IFERROR(BZ13/BZ11,"")</f>
        <v>0.153560329685178</v>
      </c>
      <c r="CA19" s="40" t="n">
        <f aca="false">IFERROR(CA13/CA11,"")</f>
        <v>0.161244143675169</v>
      </c>
      <c r="CB19" s="40" t="n">
        <f aca="false">IFERROR(CB13/CB11,"")</f>
        <v>0.110435417173437</v>
      </c>
      <c r="CC19" s="40" t="n">
        <f aca="false">IFERROR(CC13/CC11,"")</f>
        <v>0.14393643350267</v>
      </c>
      <c r="CD19" s="40" t="n">
        <f aca="false">IFERROR(CD13/CD11,"")</f>
        <v>0.161558784676354</v>
      </c>
      <c r="CE19" s="40" t="n">
        <f aca="false">IFERROR(CE13/CE11,"")</f>
        <v>0.155123216601816</v>
      </c>
      <c r="CF19" s="40" t="n">
        <f aca="false">IFERROR(CF13/CF11,"")</f>
        <v>0.158311518324607</v>
      </c>
      <c r="CG19" s="40" t="n">
        <f aca="false">IFERROR(CG13/CG11,"")</f>
        <v>0.15711739241151</v>
      </c>
      <c r="CH19" s="40" t="n">
        <f aca="false">IFERROR(CH13/CH11,"")</f>
        <v>0.191534391534392</v>
      </c>
      <c r="CI19" s="40" t="n">
        <f aca="false">IFERROR(CI13/CI11,"")</f>
        <v>0.166945857960113</v>
      </c>
      <c r="CJ19" s="40" t="n">
        <f aca="false">IFERROR(CJ13/CJ11,"")</f>
        <v>0.173460643897662</v>
      </c>
      <c r="CK19" s="40" t="n">
        <f aca="false">IFERROR(CK13/CK11,"")</f>
        <v>0.195924945320594</v>
      </c>
      <c r="CL19" s="40" t="n">
        <f aca="false">IFERROR(CL13/CL11,"")</f>
        <v>0.185037968675842</v>
      </c>
      <c r="CM19" s="28" t="n">
        <f aca="false">IFERROR(CM13/CM11,"")</f>
        <v>0.177602192021305</v>
      </c>
      <c r="CN19" s="28" t="n">
        <f aca="false">IFERROR(CN13/CN11,"")</f>
        <v>0.192308884765792</v>
      </c>
      <c r="CO19" s="28" t="n">
        <f aca="false">IFERROR(CO13/CO11,"")</f>
        <v>0.185147759000889</v>
      </c>
      <c r="CP19" s="28" t="n">
        <f aca="false">IFERROR(CP13/CP11,"")</f>
        <v>0.197448608753157</v>
      </c>
      <c r="CQ19" s="28" t="n">
        <f aca="false">IFERROR(CQ13/CQ11,"")</f>
        <v>0.20554472997657</v>
      </c>
      <c r="CR19" s="28" t="n">
        <f aca="false">IFERROR(CR13/CR11,"")</f>
        <v>0.221558984458884</v>
      </c>
      <c r="CS19" s="28" t="n">
        <f aca="false">IFERROR(CS13/CS11,"")</f>
        <v>0.233208583220162</v>
      </c>
      <c r="CT19" s="23"/>
      <c r="CV19" s="41" t="n">
        <f aca="false">IFERROR(AVERAGE(CO19,CP19,CQ19,CR19,CS19),"n/m")</f>
        <v>0.208581733081932</v>
      </c>
      <c r="CW19" s="41" t="n">
        <f aca="false">IFERROR(AVERAGE(BK19,BQ19,BW19,CC19,CI19),"n/m")</f>
        <v>0.155463005735108</v>
      </c>
      <c r="CX19" s="41" t="n">
        <f aca="false">IFERROR(AVERAGE(AG19,AM19,AS19,AY19,BE19,BK19,BQ19,BW19,CC19,CI19),"n/m")</f>
        <v>0.159851606837665</v>
      </c>
      <c r="CY19" s="41" t="n">
        <f aca="false">IFERROR(AVERAGE(C19,D19,E19,F19,G19,H19,I19,O19,U19,AA19,AG19,AM19,AS19,AY19,BE19,BK19,BQ19,BW19,CC19,CI19),"n/m")</f>
        <v>0.122833866507049</v>
      </c>
    </row>
    <row r="20" customFormat="false" ht="15" hidden="false" customHeight="true" outlineLevel="0" collapsed="false">
      <c r="B20" s="26" t="s">
        <v>124</v>
      </c>
      <c r="C20" s="40" t="str">
        <f aca="false">IFERROR(C16/C11,"")</f>
        <v/>
      </c>
      <c r="D20" s="40" t="str">
        <f aca="false">IFERROR(D16/D11,"")</f>
        <v/>
      </c>
      <c r="E20" s="40" t="str">
        <f aca="false">IFERROR(E16/E11,"")</f>
        <v/>
      </c>
      <c r="F20" s="40" t="str">
        <f aca="false">IFERROR(F16/F11,"")</f>
        <v/>
      </c>
      <c r="G20" s="40" t="str">
        <f aca="false">IFERROR(G16/G11,"")</f>
        <v/>
      </c>
      <c r="H20" s="40" t="str">
        <f aca="false">IFERROR(H16/H11,"")</f>
        <v/>
      </c>
      <c r="I20" s="40" t="str">
        <f aca="false">IFERROR(I16/I11,"")</f>
        <v/>
      </c>
      <c r="J20" s="40" t="str">
        <f aca="false">IFERROR(J16/J11,"")</f>
        <v/>
      </c>
      <c r="K20" s="40" t="str">
        <f aca="false">IFERROR(K16/K11,"")</f>
        <v/>
      </c>
      <c r="L20" s="40" t="str">
        <f aca="false">IFERROR(L16/L11,"")</f>
        <v/>
      </c>
      <c r="M20" s="40" t="str">
        <f aca="false">IFERROR(M16/M11,"")</f>
        <v/>
      </c>
      <c r="N20" s="40" t="str">
        <f aca="false">IFERROR(N16/N11,"")</f>
        <v/>
      </c>
      <c r="O20" s="40" t="str">
        <f aca="false">IFERROR(O16/O11,"")</f>
        <v/>
      </c>
      <c r="P20" s="40" t="str">
        <f aca="false">IFERROR(P16/P11,"")</f>
        <v/>
      </c>
      <c r="Q20" s="40" t="str">
        <f aca="false">IFERROR(Q16/Q11,"")</f>
        <v/>
      </c>
      <c r="R20" s="40" t="str">
        <f aca="false">IFERROR(R16/R11,"")</f>
        <v/>
      </c>
      <c r="S20" s="40" t="str">
        <f aca="false">IFERROR(S16/S11,"")</f>
        <v/>
      </c>
      <c r="T20" s="40" t="str">
        <f aca="false">IFERROR(T16/T11,"")</f>
        <v/>
      </c>
      <c r="U20" s="40" t="str">
        <f aca="false">IFERROR(U16/U11,"")</f>
        <v/>
      </c>
      <c r="V20" s="40" t="str">
        <f aca="false">IFERROR(V16/V11,"")</f>
        <v/>
      </c>
      <c r="W20" s="40" t="str">
        <f aca="false">IFERROR(W16/W11,"")</f>
        <v/>
      </c>
      <c r="X20" s="40" t="str">
        <f aca="false">IFERROR(X16/X11,"")</f>
        <v/>
      </c>
      <c r="Y20" s="40" t="str">
        <f aca="false">IFERROR(Y16/Y11,"")</f>
        <v/>
      </c>
      <c r="Z20" s="40" t="str">
        <f aca="false">IFERROR(Z16/Z11,"")</f>
        <v/>
      </c>
      <c r="AA20" s="40" t="str">
        <f aca="false">IFERROR(AA16/AA11,"")</f>
        <v/>
      </c>
      <c r="AB20" s="40" t="str">
        <f aca="false">IFERROR(AB16/AB11,"")</f>
        <v/>
      </c>
      <c r="AC20" s="40" t="str">
        <f aca="false">IFERROR(AC16/AC11,"")</f>
        <v/>
      </c>
      <c r="AD20" s="40" t="str">
        <f aca="false">IFERROR(AD16/AD11,"")</f>
        <v/>
      </c>
      <c r="AE20" s="40" t="str">
        <f aca="false">IFERROR(AE16/AE11,"")</f>
        <v/>
      </c>
      <c r="AF20" s="40" t="str">
        <f aca="false">IFERROR(AF16/AF11,"")</f>
        <v/>
      </c>
      <c r="AG20" s="40" t="str">
        <f aca="false">IFERROR(AG16/AG11,"")</f>
        <v/>
      </c>
      <c r="AH20" s="40" t="str">
        <f aca="false">IFERROR(AH16/AH11,"")</f>
        <v/>
      </c>
      <c r="AI20" s="40" t="str">
        <f aca="false">IFERROR(AI16/AI11,"")</f>
        <v/>
      </c>
      <c r="AJ20" s="40" t="str">
        <f aca="false">IFERROR(AJ16/AJ11,"")</f>
        <v/>
      </c>
      <c r="AK20" s="40" t="str">
        <f aca="false">IFERROR(AK16/AK11,"")</f>
        <v/>
      </c>
      <c r="AL20" s="40" t="str">
        <f aca="false">IFERROR(AL16/AL11,"")</f>
        <v/>
      </c>
      <c r="AM20" s="40" t="str">
        <f aca="false">IFERROR(AM16/AM11,"")</f>
        <v/>
      </c>
      <c r="AN20" s="40" t="str">
        <f aca="false">IFERROR(AN16/AN11,"")</f>
        <v/>
      </c>
      <c r="AO20" s="40" t="str">
        <f aca="false">IFERROR(AO16/AO11,"")</f>
        <v/>
      </c>
      <c r="AP20" s="40" t="str">
        <f aca="false">IFERROR(AP16/AP11,"")</f>
        <v/>
      </c>
      <c r="AQ20" s="40" t="str">
        <f aca="false">IFERROR(AQ16/AQ11,"")</f>
        <v/>
      </c>
      <c r="AR20" s="40" t="str">
        <f aca="false">IFERROR(AR16/AR11,"")</f>
        <v/>
      </c>
      <c r="AS20" s="40" t="str">
        <f aca="false">IFERROR(AS16/AS11,"")</f>
        <v/>
      </c>
      <c r="AT20" s="40" t="str">
        <f aca="false">IFERROR(AT16/AT11,"")</f>
        <v/>
      </c>
      <c r="AU20" s="40" t="str">
        <f aca="false">IFERROR(AU16/AU11,"")</f>
        <v/>
      </c>
      <c r="AV20" s="40" t="str">
        <f aca="false">IFERROR(AV16/AV11,"")</f>
        <v/>
      </c>
      <c r="AW20" s="40" t="str">
        <f aca="false">IFERROR(AW16/AW11,"")</f>
        <v/>
      </c>
      <c r="AX20" s="40" t="str">
        <f aca="false">IFERROR(AX16/AX11,"")</f>
        <v/>
      </c>
      <c r="AY20" s="40" t="str">
        <f aca="false">IFERROR(AY16/AY11,"")</f>
        <v/>
      </c>
      <c r="AZ20" s="40" t="n">
        <f aca="false">IFERROR(AZ16/AZ11,"")</f>
        <v>0.196189704094041</v>
      </c>
      <c r="BA20" s="40" t="n">
        <f aca="false">IFERROR(BA16/BA11,"")</f>
        <v>0.215488215488215</v>
      </c>
      <c r="BB20" s="40" t="n">
        <f aca="false">IFERROR(BB16/BB11,"")</f>
        <v>0.205657650216808</v>
      </c>
      <c r="BC20" s="40" t="n">
        <f aca="false">IFERROR(BC16/BC11,"")</f>
        <v>0.208594075928244</v>
      </c>
      <c r="BD20" s="40" t="n">
        <f aca="false">IFERROR(BD16/BD11,"")</f>
        <v>0.233969465648855</v>
      </c>
      <c r="BE20" s="40" t="n">
        <f aca="false">IFERROR(BE16/BE11,"")</f>
        <v>0.213894523326572</v>
      </c>
      <c r="BF20" s="40" t="n">
        <f aca="false">IFERROR(BF16/BF11,"")</f>
        <v>0.214963919483479</v>
      </c>
      <c r="BG20" s="40" t="n">
        <f aca="false">IFERROR(BG16/BG11,"")</f>
        <v>0.275064710957722</v>
      </c>
      <c r="BH20" s="40" t="n">
        <f aca="false">IFERROR(BH16/BH11,"")</f>
        <v>0.256288561936403</v>
      </c>
      <c r="BI20" s="40" t="n">
        <f aca="false">IFERROR(BI16/BI11,"")</f>
        <v>0.238890349723902</v>
      </c>
      <c r="BJ20" s="40" t="n">
        <f aca="false">IFERROR(BJ16/BJ11,"")</f>
        <v>0.232983323038913</v>
      </c>
      <c r="BK20" s="40" t="n">
        <f aca="false">IFERROR(BK16/BK11,"")</f>
        <v>0.242985618964731</v>
      </c>
      <c r="BL20" s="40" t="n">
        <f aca="false">IFERROR(BL16/BL11,"")</f>
        <v>0.218787475016656</v>
      </c>
      <c r="BM20" s="40" t="n">
        <f aca="false">IFERROR(BM16/BM11,"")</f>
        <v>0.211781386955401</v>
      </c>
      <c r="BN20" s="40" t="n">
        <f aca="false">IFERROR(BN16/BN11,"")</f>
        <v>0.215226364410666</v>
      </c>
      <c r="BO20" s="40" t="n">
        <f aca="false">IFERROR(BO16/BO11,"")</f>
        <v>0.229335390152976</v>
      </c>
      <c r="BP20" s="40" t="n">
        <f aca="false">IFERROR(BP16/BP11,"")</f>
        <v>0.238130655758027</v>
      </c>
      <c r="BQ20" s="40" t="n">
        <f aca="false">IFERROR(BQ16/BQ11,"")</f>
        <v>0.224693818509113</v>
      </c>
      <c r="BR20" s="40" t="n">
        <f aca="false">IFERROR(BR16/BR11,"")</f>
        <v>0.21747572815534</v>
      </c>
      <c r="BS20" s="40" t="n">
        <f aca="false">IFERROR(BS16/BS11,"")</f>
        <v>0.214546829698727</v>
      </c>
      <c r="BT20" s="40" t="n">
        <f aca="false">IFERROR(BT16/BT11,"")</f>
        <v>0.21599182526504</v>
      </c>
      <c r="BU20" s="40" t="n">
        <f aca="false">IFERROR(BU16/BU11,"")</f>
        <v>0.24168600154679</v>
      </c>
      <c r="BV20" s="40" t="n">
        <f aca="false">IFERROR(BV16/BV11,"")</f>
        <v>0.227040498442368</v>
      </c>
      <c r="BW20" s="40" t="n">
        <f aca="false">IFERROR(BW16/BW11,"")</f>
        <v>0.225151871759804</v>
      </c>
      <c r="BX20" s="40" t="n">
        <f aca="false">IFERROR(BX16/BX11,"")</f>
        <v>0.21841252699784</v>
      </c>
      <c r="BY20" s="40" t="n">
        <f aca="false">IFERROR(BY16/BY11,"")</f>
        <v>0.216256424127671</v>
      </c>
      <c r="BZ20" s="40" t="n">
        <f aca="false">IFERROR(BZ16/BZ11,"")</f>
        <v>0.217335495203351</v>
      </c>
      <c r="CA20" s="40" t="n">
        <f aca="false">IFERROR(CA16/CA11,"")</f>
        <v>0.226054138469547</v>
      </c>
      <c r="CB20" s="40" t="n">
        <f aca="false">IFERROR(CB16/CB11,"")</f>
        <v>0.228533203600097</v>
      </c>
      <c r="CC20" s="40" t="n">
        <f aca="false">IFERROR(CC16/CC11,"")</f>
        <v>0.222482740653901</v>
      </c>
      <c r="CD20" s="40" t="n">
        <f aca="false">IFERROR(CD16/CD11,"")</f>
        <v>0.221532364597094</v>
      </c>
      <c r="CE20" s="40" t="n">
        <f aca="false">IFERROR(CE16/CE11,"")</f>
        <v>0.215175097276265</v>
      </c>
      <c r="CF20" s="40" t="n">
        <f aca="false">IFERROR(CF16/CF11,"")</f>
        <v>0.218324607329843</v>
      </c>
      <c r="CG20" s="40" t="n">
        <f aca="false">IFERROR(CG16/CG11,"")</f>
        <v>0.216704863763687</v>
      </c>
      <c r="CH20" s="40" t="n">
        <f aca="false">IFERROR(CH16/CH11,"")</f>
        <v>0.246560846560847</v>
      </c>
      <c r="CI20" s="40" t="n">
        <f aca="false">IFERROR(CI16/CI11,"")</f>
        <v>0.225512816460697</v>
      </c>
      <c r="CJ20" s="40" t="n">
        <f aca="false">IFERROR(CJ16/CJ11,"")</f>
        <v>0.232219365895458</v>
      </c>
      <c r="CK20" s="40" t="n">
        <f aca="false">IFERROR(CK16/CK11,"")</f>
        <v>0.250489236790607</v>
      </c>
      <c r="CL20" s="40" t="n">
        <f aca="false">IFERROR(CL16/CL11,"")</f>
        <v>0.241635026103465</v>
      </c>
      <c r="CM20" s="28" t="n">
        <f aca="false">CG20+$CL$20-$CF$20+CM102</f>
        <v>0.23093568384217</v>
      </c>
      <c r="CN20" s="28" t="n">
        <f aca="false">CH20+$CL$20-$CF$20+CN102</f>
        <v>0.241560059928763</v>
      </c>
      <c r="CO20" s="28" t="n">
        <f aca="false">IFERROR(CO16/CO11,"")</f>
        <v>0.238931570554683</v>
      </c>
      <c r="CP20" s="28" t="n">
        <f aca="false">CHOOSE(MATCH($CT$2,{"Bull","Base","Bear"},0),$DC$45,$DD$45,$DE$45)</f>
        <v>0.245</v>
      </c>
      <c r="CQ20" s="28" t="n">
        <f aca="false">CHOOSE(MATCH($CT$2,{"Bull","Base","Bear"},0),$DC$46,$DD$46,$DE$46)</f>
        <v>0.25</v>
      </c>
      <c r="CR20" s="28" t="n">
        <f aca="false">CHOOSE(MATCH($CT$2,{"Bull","Base","Bear"},0),$DC$47,$DD$47,$DE$47)</f>
        <v>0.255</v>
      </c>
      <c r="CS20" s="28" t="n">
        <f aca="false">CHOOSE(MATCH($CT$2,{"Bull","Base","Bear"},0),$DC$48,$DD$48,$DE$48)</f>
        <v>0.26</v>
      </c>
      <c r="CT20" s="23" t="s">
        <v>125</v>
      </c>
      <c r="CV20" s="41" t="n">
        <f aca="false">IFERROR(AVERAGE(CO20,CP20,CQ20,CR20,CS20),"n/m")</f>
        <v>0.249786314110937</v>
      </c>
      <c r="CW20" s="41" t="n">
        <f aca="false">IFERROR(AVERAGE(BK20,BQ20,BW20,CC20,CI20),"n/m")</f>
        <v>0.228165373269649</v>
      </c>
      <c r="CX20" s="41" t="n">
        <f aca="false">IFERROR(AVERAGE(AG20,AM20,AS20,AY20,BE20,BK20,BQ20,BW20,CC20,CI20),"n/m")</f>
        <v>0.225786898279136</v>
      </c>
      <c r="CY20" s="41" t="n">
        <f aca="false">IFERROR(AVERAGE(C20,D20,E20,F20,G20,H20,I20,O20,U20,AA20,AG20,AM20,AS20,AY20,BE20,BK20,BQ20,BW20,CC20,CI20),"n/m")</f>
        <v>0.225786898279136</v>
      </c>
      <c r="DB20" s="18" t="s">
        <v>126</v>
      </c>
      <c r="DC20" s="42" t="n">
        <v>0.03</v>
      </c>
      <c r="DD20" s="25" t="s">
        <v>127</v>
      </c>
      <c r="DE20" s="42" t="n">
        <v>-0.04</v>
      </c>
      <c r="DF20" s="16" t="s">
        <v>128</v>
      </c>
    </row>
    <row r="21" customFormat="false" ht="15" hidden="false" customHeight="true" outlineLevel="0" collapsed="false">
      <c r="B21" s="26" t="s">
        <v>129</v>
      </c>
      <c r="C21" s="27"/>
      <c r="D21" s="27" t="str">
        <f aca="false">IFERROR(D13/C13-1,"")</f>
        <v/>
      </c>
      <c r="E21" s="27" t="str">
        <f aca="false">IFERROR(E13/D13-1,"")</f>
        <v/>
      </c>
      <c r="F21" s="27" t="n">
        <f aca="false">IFERROR(F13/E13-1,"")</f>
        <v>-0.191780821917808</v>
      </c>
      <c r="G21" s="27" t="n">
        <f aca="false">IFERROR(G13/F13-1,"")</f>
        <v>-0.559322033898305</v>
      </c>
      <c r="H21" s="27" t="n">
        <f aca="false">IFERROR(H13/G13-1,"")</f>
        <v>2.09615384615385</v>
      </c>
      <c r="I21" s="27" t="n">
        <f aca="false">IFERROR(I13/H13-1,"")</f>
        <v>0.540372670807453</v>
      </c>
      <c r="J21" s="27"/>
      <c r="K21" s="27"/>
      <c r="L21" s="27"/>
      <c r="M21" s="27"/>
      <c r="N21" s="27"/>
      <c r="O21" s="27" t="n">
        <f aca="false">IFERROR(O13/I13-1,"")</f>
        <v>0.137096774193548</v>
      </c>
      <c r="P21" s="27" t="n">
        <f aca="false">IFERROR(P13/J13-1,"")</f>
        <v>0.865384615384615</v>
      </c>
      <c r="Q21" s="27" t="n">
        <f aca="false">IFERROR(Q13/K13-1,"")</f>
        <v>0.481012658227848</v>
      </c>
      <c r="R21" s="27" t="n">
        <f aca="false">IFERROR(R13/L13-1,"")</f>
        <v>0.633587786259542</v>
      </c>
      <c r="S21" s="27" t="n">
        <f aca="false">IFERROR(S13/M13-1,"")</f>
        <v>-0.31304347826087</v>
      </c>
      <c r="T21" s="27" t="n">
        <f aca="false">IFERROR(T13/N13-1,"")</f>
        <v>1.16666666666667</v>
      </c>
      <c r="U21" s="27" t="n">
        <f aca="false">IFERROR(U13/O13-1,"")</f>
        <v>0.315602836879433</v>
      </c>
      <c r="V21" s="27" t="n">
        <f aca="false">IFERROR(V13/P13-1,"")</f>
        <v>-0.0412371134020617</v>
      </c>
      <c r="W21" s="27" t="n">
        <f aca="false">IFERROR(W13/Q13-1,"")</f>
        <v>-0.247863247863248</v>
      </c>
      <c r="X21" s="27" t="n">
        <f aca="false">IFERROR(X13/R13-1,"")</f>
        <v>-0.154205607476635</v>
      </c>
      <c r="Y21" s="27" t="n">
        <f aca="false">IFERROR(Y13/S13-1,"")</f>
        <v>0.316455696202532</v>
      </c>
      <c r="Z21" s="27" t="n">
        <f aca="false">IFERROR(Z13/T13-1,"")</f>
        <v>0.474358974358974</v>
      </c>
      <c r="AA21" s="27" t="n">
        <f aca="false">IFERROR(AA13/U13-1,"")</f>
        <v>0.0781671159029649</v>
      </c>
      <c r="AB21" s="27" t="n">
        <f aca="false">IFERROR(AB13/V13-1,"")</f>
        <v>-0.118279569892473</v>
      </c>
      <c r="AC21" s="27" t="n">
        <f aca="false">IFERROR(AC13/W13-1,"")</f>
        <v>0.215909090909091</v>
      </c>
      <c r="AD21" s="27" t="n">
        <f aca="false">IFERROR(AD13/X13-1,"")</f>
        <v>0.0441988950276242</v>
      </c>
      <c r="AE21" s="27" t="n">
        <f aca="false">IFERROR(AE13/Y13-1,"")</f>
        <v>0.125</v>
      </c>
      <c r="AF21" s="27" t="n">
        <f aca="false">IFERROR(AF13/Z13-1,"")</f>
        <v>0.330434782608696</v>
      </c>
      <c r="AG21" s="27" t="n">
        <f aca="false">IFERROR(AG13/AA13-1,"")</f>
        <v>0.1475</v>
      </c>
      <c r="AH21" s="27" t="n">
        <f aca="false">IFERROR(AH13/AB13-1,"")</f>
        <v>0.841463414634146</v>
      </c>
      <c r="AI21" s="27" t="n">
        <f aca="false">IFERROR(AI13/AC13-1,"")</f>
        <v>1.61682242990654</v>
      </c>
      <c r="AJ21" s="27" t="n">
        <f aca="false">IFERROR(AJ13/AD13-1,"")</f>
        <v>1.28042328042328</v>
      </c>
      <c r="AK21" s="27" t="n">
        <f aca="false">IFERROR(AK13/AE13-1,"")</f>
        <v>1.68376068376068</v>
      </c>
      <c r="AL21" s="27" t="n">
        <f aca="false">IFERROR(AL13/AF13-1,"")</f>
        <v>1.34640522875817</v>
      </c>
      <c r="AM21" s="27" t="n">
        <f aca="false">IFERROR(AM13/AG13-1,"")</f>
        <v>1.40087145969499</v>
      </c>
      <c r="AN21" s="27" t="n">
        <f aca="false">IFERROR(AN13/AH13-1,"")</f>
        <v>1.23841059602649</v>
      </c>
      <c r="AO21" s="27" t="n">
        <f aca="false">IFERROR(AO13/AI13-1,"")</f>
        <v>0.539285714285714</v>
      </c>
      <c r="AP21" s="27" t="n">
        <f aca="false">IFERROR(AP13/AJ13-1,"")</f>
        <v>0.784222737819026</v>
      </c>
      <c r="AQ21" s="27" t="n">
        <f aca="false">IFERROR(AQ13/AK13-1,"")</f>
        <v>0.347133757961784</v>
      </c>
      <c r="AR21" s="27" t="n">
        <f aca="false">IFERROR(AR13/AL13-1,"")</f>
        <v>0.0111420612813371</v>
      </c>
      <c r="AS21" s="27" t="n">
        <f aca="false">IFERROR(AS13/AM13-1,"")</f>
        <v>0.411070780399274</v>
      </c>
      <c r="AT21" s="27" t="n">
        <f aca="false">IFERROR(AT13/AN13-1,"")</f>
        <v>0.0828402366863907</v>
      </c>
      <c r="AU21" s="27" t="n">
        <f aca="false">IFERROR(AU13/AO13-1,"")</f>
        <v>0.197215777262181</v>
      </c>
      <c r="AV21" s="27" t="n">
        <f aca="false">IFERROR(AV13/AP13-1,"")</f>
        <v>0.146944083224968</v>
      </c>
      <c r="AW21" s="27" t="n">
        <f aca="false">IFERROR(AW13/AQ13-1,"")</f>
        <v>-0.0260047281323875</v>
      </c>
      <c r="AX21" s="27" t="n">
        <f aca="false">IFERROR(AX13/AR13-1,"")</f>
        <v>0.297520661157025</v>
      </c>
      <c r="AY21" s="27" t="n">
        <f aca="false">IFERROR(AY13/AS13-1,"")</f>
        <v>0.135048231511254</v>
      </c>
      <c r="AZ21" s="27" t="n">
        <f aca="false">IFERROR(AZ13/AT13-1,"")</f>
        <v>0.19672131147541</v>
      </c>
      <c r="BA21" s="27" t="n">
        <f aca="false">IFERROR(BA13/AU13-1,"")</f>
        <v>-0.0930232558139535</v>
      </c>
      <c r="BB21" s="27" t="n">
        <f aca="false">IFERROR(BB13/AV13-1,"")</f>
        <v>0.0272108843537413</v>
      </c>
      <c r="BC21" s="27" t="n">
        <f aca="false">IFERROR(BC13/AW13-1,"")</f>
        <v>0.104368932038835</v>
      </c>
      <c r="BD21" s="27" t="n">
        <f aca="false">IFERROR(BD13/AX13-1,"")</f>
        <v>0.203821656050955</v>
      </c>
      <c r="BE21" s="27" t="n">
        <f aca="false">IFERROR(BE13/AY13-1,"")</f>
        <v>0.0923512747875355</v>
      </c>
      <c r="BF21" s="27" t="n">
        <f aca="false">IFERROR(BF13/AZ13-1,"")</f>
        <v>0.187214611872146</v>
      </c>
      <c r="BG21" s="27" t="n">
        <f aca="false">IFERROR(BG13/BA13-1,"")</f>
        <v>0.807692307692308</v>
      </c>
      <c r="BH21" s="27" t="n">
        <f aca="false">IFERROR(BH13/BB13-1,"")</f>
        <v>0.507726269315673</v>
      </c>
      <c r="BI21" s="27" t="n">
        <f aca="false">IFERROR(BI13/BC13-1,"")</f>
        <v>1.08571428571429</v>
      </c>
      <c r="BJ21" s="27" t="n">
        <f aca="false">IFERROR(BJ13/BD13-1,"")</f>
        <v>0.659611992945326</v>
      </c>
      <c r="BK21" s="27" t="n">
        <f aca="false">IFERROR(BK13/BE13-1,"")</f>
        <v>0.688796680497925</v>
      </c>
      <c r="BL21" s="27" t="n">
        <f aca="false">IFERROR(BL13/BF13-1,"")</f>
        <v>1.225</v>
      </c>
      <c r="BM21" s="27" t="n">
        <f aca="false">IFERROR(BM13/BG13-1,"")</f>
        <v>0.393617021276596</v>
      </c>
      <c r="BN21" s="27" t="n">
        <f aca="false">IFERROR(BN13/BH13-1,"")</f>
        <v>0.710102489019034</v>
      </c>
      <c r="BO21" s="27" t="n">
        <f aca="false">IFERROR(BO13/BI13-1,"")</f>
        <v>0.408851422550053</v>
      </c>
      <c r="BP21" s="27" t="n">
        <f aca="false">IFERROR(BP13/BJ13-1,"")</f>
        <v>0.615302869287992</v>
      </c>
      <c r="BQ21" s="27" t="n">
        <f aca="false">IFERROR(BQ13/BK13-1,"")</f>
        <v>0.59490171990172</v>
      </c>
      <c r="BR21" s="27" t="n">
        <f aca="false">IFERROR(BR13/BL13-1,"")</f>
        <v>0.0561797752808988</v>
      </c>
      <c r="BS21" s="27" t="n">
        <f aca="false">IFERROR(BS13/BM13-1,"")</f>
        <v>0.0568278201865988</v>
      </c>
      <c r="BT21" s="27" t="n">
        <f aca="false">IFERROR(BT13/BN13-1,"")</f>
        <v>0.0565068493150684</v>
      </c>
      <c r="BU21" s="27" t="n">
        <f aca="false">IFERROR(BU13/BO13-1,"")</f>
        <v>0.0194465220643232</v>
      </c>
      <c r="BV21" s="27" t="n">
        <f aca="false">IFERROR(BV13/BP13-1,"")</f>
        <v>-0.116447368421053</v>
      </c>
      <c r="BW21" s="27" t="n">
        <f aca="false">IFERROR(BW13/BQ13-1,"")</f>
        <v>-0.00365877142306947</v>
      </c>
      <c r="BX21" s="27" t="n">
        <f aca="false">IFERROR(BX13/BR13-1,"")</f>
        <v>-0.0687397708674304</v>
      </c>
      <c r="BY21" s="27" t="n">
        <f aca="false">IFERROR(BY13/BS13-1,"")</f>
        <v>-0.0890850722311396</v>
      </c>
      <c r="BZ21" s="27" t="n">
        <f aca="false">IFERROR(BZ13/BT13-1,"")</f>
        <v>-0.0790113452188006</v>
      </c>
      <c r="CA21" s="27" t="n">
        <f aca="false">IFERROR(CA13/BU13-1,"")</f>
        <v>-0.090975788701394</v>
      </c>
      <c r="CB21" s="27" t="n">
        <f aca="false">IFERROR(CB13/BV13-1,"")</f>
        <v>-0.323901712583768</v>
      </c>
      <c r="CC21" s="27" t="n">
        <f aca="false">IFERROR(CC13/BW13-1,"")</f>
        <v>-0.14572864321608</v>
      </c>
      <c r="CD21" s="27" t="n">
        <f aca="false">IFERROR(CD13/BX13-1,"")</f>
        <v>0.0746924428822495</v>
      </c>
      <c r="CE21" s="27" t="n">
        <f aca="false">IFERROR(CE13/BY13-1,"")</f>
        <v>0.0537444933920703</v>
      </c>
      <c r="CF21" s="27" t="n">
        <f aca="false">IFERROR(CF13/BZ13-1,"")</f>
        <v>0.0642322921249448</v>
      </c>
      <c r="CG21" s="27" t="n">
        <f aca="false">IFERROR(CG13/CA13-1,"")</f>
        <v>-0.00403551251008882</v>
      </c>
      <c r="CH21" s="27" t="n">
        <f aca="false">IFERROR(CH13/CB13-1,"")</f>
        <v>0.794052863436124</v>
      </c>
      <c r="CI21" s="27" t="n">
        <f aca="false">IFERROR(CI13/CC13-1,"")</f>
        <v>0.195022624434389</v>
      </c>
      <c r="CJ21" s="27" t="n">
        <f aca="false">IFERROR(CJ13/CD13-1,"")</f>
        <v>0.158626328699918</v>
      </c>
      <c r="CK21" s="27" t="n">
        <f aca="false">IFERROR(CK13/CE13-1,"")</f>
        <v>0.423076923076923</v>
      </c>
      <c r="CL21" s="27" t="n">
        <f aca="false">IFERROR(CL13/CF13-1,"")</f>
        <v>0.289375775113683</v>
      </c>
      <c r="CM21" s="28" t="n">
        <f aca="false">IFERROR(CM13/CG13-1,"")</f>
        <v>0.273618921034123</v>
      </c>
      <c r="CN21" s="28" t="n">
        <f aca="false">IFERROR(CN13/CH13-1,"")</f>
        <v>0.131274574494348</v>
      </c>
      <c r="CO21" s="28" t="n">
        <f aca="false">IFERROR(CO13/CI13-1,"")</f>
        <v>0.236935257555358</v>
      </c>
      <c r="CP21" s="28" t="n">
        <f aca="false">IFERROR(CP13/CO13-1,"")</f>
        <v>0.13042429683063</v>
      </c>
      <c r="CQ21" s="28" t="n">
        <f aca="false">IFERROR(CQ13/CP13-1,"")</f>
        <v>0.0982588912357361</v>
      </c>
      <c r="CR21" s="28" t="n">
        <f aca="false">IFERROR(CR13/CQ13-1,"")</f>
        <v>0.131806851522524</v>
      </c>
      <c r="CS21" s="28" t="n">
        <f aca="false">IFERROR(CS13/CR13-1,"")</f>
        <v>0.105209129655548</v>
      </c>
      <c r="CT21" s="23"/>
      <c r="CV21" s="7"/>
      <c r="CW21" s="7"/>
      <c r="CX21" s="7"/>
      <c r="CY21" s="7"/>
      <c r="DB21" s="13" t="s">
        <v>130</v>
      </c>
      <c r="DC21" s="43" t="n">
        <f aca="false">DD21+$DC$20</f>
        <v>0.09</v>
      </c>
      <c r="DD21" s="36" t="n">
        <v>0.06</v>
      </c>
      <c r="DE21" s="43" t="n">
        <f aca="false">DD21+$DE$20</f>
        <v>0.02</v>
      </c>
    </row>
    <row r="22" customFormat="false" ht="15" hidden="false" customHeight="true" outlineLevel="0" collapsed="false">
      <c r="B22" s="26" t="s">
        <v>131</v>
      </c>
      <c r="C22" s="40"/>
      <c r="D22" s="40" t="str">
        <f aca="false">IFERROR((D16-C16)/(D11-C11),"")</f>
        <v/>
      </c>
      <c r="E22" s="40" t="str">
        <f aca="false">IFERROR((E16-D16)/(E11-D11),"")</f>
        <v/>
      </c>
      <c r="F22" s="40" t="str">
        <f aca="false">IFERROR((F16-E16)/(F11-E11),"")</f>
        <v/>
      </c>
      <c r="G22" s="40" t="str">
        <f aca="false">IFERROR((G16-F16)/(G11-F11),"")</f>
        <v/>
      </c>
      <c r="H22" s="40" t="str">
        <f aca="false">IFERROR((H16-G16)/(H11-G11),"")</f>
        <v/>
      </c>
      <c r="I22" s="40" t="str">
        <f aca="false">IFERROR((I16-H16)/(I11-H11),"")</f>
        <v/>
      </c>
      <c r="J22" s="40"/>
      <c r="K22" s="40"/>
      <c r="L22" s="40"/>
      <c r="M22" s="40"/>
      <c r="N22" s="40"/>
      <c r="O22" s="40" t="str">
        <f aca="false">IFERROR((O16-I16)/(O11-I11),"")</f>
        <v/>
      </c>
      <c r="P22" s="40" t="str">
        <f aca="false">IFERROR((P16-J16)/(P11-J11),"")</f>
        <v/>
      </c>
      <c r="Q22" s="40" t="str">
        <f aca="false">IFERROR((Q16-K16)/(Q11-K11),"")</f>
        <v/>
      </c>
      <c r="R22" s="40" t="str">
        <f aca="false">IFERROR((R16-L16)/(R11-L11),"")</f>
        <v/>
      </c>
      <c r="S22" s="40" t="str">
        <f aca="false">IFERROR((S16-M16)/(S11-M11),"")</f>
        <v/>
      </c>
      <c r="T22" s="40" t="str">
        <f aca="false">IFERROR((T16-N16)/(T11-N11),"")</f>
        <v/>
      </c>
      <c r="U22" s="40" t="str">
        <f aca="false">IFERROR((U16-O16)/(U11-O11),"")</f>
        <v/>
      </c>
      <c r="V22" s="40" t="str">
        <f aca="false">IFERROR((V16-P16)/(V11-P11),"")</f>
        <v/>
      </c>
      <c r="W22" s="40" t="str">
        <f aca="false">IFERROR((W16-Q16)/(W11-Q11),"")</f>
        <v/>
      </c>
      <c r="X22" s="40" t="str">
        <f aca="false">IFERROR((X16-R16)/(X11-R11),"")</f>
        <v/>
      </c>
      <c r="Y22" s="40" t="str">
        <f aca="false">IFERROR((Y16-S16)/(Y11-S11),"")</f>
        <v/>
      </c>
      <c r="Z22" s="40" t="str">
        <f aca="false">IFERROR((Z16-T16)/(Z11-T11),"")</f>
        <v/>
      </c>
      <c r="AA22" s="40" t="str">
        <f aca="false">IFERROR((AA16-U16)/(AA11-U11),"")</f>
        <v/>
      </c>
      <c r="AB22" s="40" t="str">
        <f aca="false">IFERROR((AB16-V16)/(AB11-V11),"")</f>
        <v/>
      </c>
      <c r="AC22" s="40" t="str">
        <f aca="false">IFERROR((AC16-W16)/(AC11-W11),"")</f>
        <v/>
      </c>
      <c r="AD22" s="40" t="str">
        <f aca="false">IFERROR((AD16-X16)/(AD11-X11),"")</f>
        <v/>
      </c>
      <c r="AE22" s="40" t="str">
        <f aca="false">IFERROR((AE16-Y16)/(AE11-Y11),"")</f>
        <v/>
      </c>
      <c r="AF22" s="40" t="str">
        <f aca="false">IFERROR((AF16-Z16)/(AF11-Z11),"")</f>
        <v/>
      </c>
      <c r="AG22" s="40" t="str">
        <f aca="false">IFERROR((AG16-AA16)/(AG11-AA11),"")</f>
        <v/>
      </c>
      <c r="AH22" s="40" t="str">
        <f aca="false">IFERROR((AH16-AB16)/(AH11-AB11),"")</f>
        <v/>
      </c>
      <c r="AI22" s="40" t="str">
        <f aca="false">IFERROR((AI16-AC16)/(AI11-AC11),"")</f>
        <v/>
      </c>
      <c r="AJ22" s="40" t="str">
        <f aca="false">IFERROR((AJ16-AD16)/(AJ11-AD11),"")</f>
        <v/>
      </c>
      <c r="AK22" s="40" t="str">
        <f aca="false">IFERROR((AK16-AE16)/(AK11-AE11),"")</f>
        <v/>
      </c>
      <c r="AL22" s="40" t="str">
        <f aca="false">IFERROR((AL16-AF16)/(AL11-AF11),"")</f>
        <v/>
      </c>
      <c r="AM22" s="40" t="str">
        <f aca="false">IFERROR((AM16-AG16)/(AM11-AG11),"")</f>
        <v/>
      </c>
      <c r="AN22" s="40" t="str">
        <f aca="false">IFERROR((AN16-AH16)/(AN11-AH11),"")</f>
        <v/>
      </c>
      <c r="AO22" s="40" t="str">
        <f aca="false">IFERROR((AO16-AI16)/(AO11-AI11),"")</f>
        <v/>
      </c>
      <c r="AP22" s="40" t="str">
        <f aca="false">IFERROR((AP16-AJ16)/(AP11-AJ11),"")</f>
        <v/>
      </c>
      <c r="AQ22" s="40" t="str">
        <f aca="false">IFERROR((AQ16-AK16)/(AQ11-AK11),"")</f>
        <v/>
      </c>
      <c r="AR22" s="40" t="str">
        <f aca="false">IFERROR((AR16-AL16)/(AR11-AL11),"")</f>
        <v/>
      </c>
      <c r="AS22" s="40" t="str">
        <f aca="false">IFERROR((AS16-AM16)/(AS11-AM11),"")</f>
        <v/>
      </c>
      <c r="AT22" s="40" t="str">
        <f aca="false">IFERROR((AT16-AN16)/(AT11-AN11),"")</f>
        <v/>
      </c>
      <c r="AU22" s="40" t="str">
        <f aca="false">IFERROR((AU16-AO16)/(AU11-AO11),"")</f>
        <v/>
      </c>
      <c r="AV22" s="40" t="str">
        <f aca="false">IFERROR((AV16-AP16)/(AV11-AP11),"")</f>
        <v/>
      </c>
      <c r="AW22" s="40" t="str">
        <f aca="false">IFERROR((AW16-AQ16)/(AW11-AQ11),"")</f>
        <v/>
      </c>
      <c r="AX22" s="40" t="str">
        <f aca="false">IFERROR((AX16-AR16)/(AX11-AR11),"")</f>
        <v/>
      </c>
      <c r="AY22" s="40" t="str">
        <f aca="false">IFERROR((AY16-AS16)/(AY11-AS11),"")</f>
        <v/>
      </c>
      <c r="AZ22" s="40" t="str">
        <f aca="false">IFERROR((AZ16-AT16)/(AZ11-AT11),"")</f>
        <v/>
      </c>
      <c r="BA22" s="40" t="str">
        <f aca="false">IFERROR((BA16-AU16)/(BA11-AU11),"")</f>
        <v/>
      </c>
      <c r="BB22" s="40" t="str">
        <f aca="false">IFERROR((BB16-AV16)/(BB11-AV11),"")</f>
        <v/>
      </c>
      <c r="BC22" s="40" t="str">
        <f aca="false">IFERROR((BC16-AW16)/(BC11-AW11),"")</f>
        <v/>
      </c>
      <c r="BD22" s="40" t="str">
        <f aca="false">IFERROR((BD16-AX16)/(BD11-AX11),"")</f>
        <v/>
      </c>
      <c r="BE22" s="40" t="str">
        <f aca="false">IFERROR((BE16-AY16)/(BE11-AY11),"")</f>
        <v/>
      </c>
      <c r="BF22" s="40" t="n">
        <f aca="false">IFERROR((BF16-AZ16)/(BF11-AZ11),"")</f>
        <v>0.493975903614457</v>
      </c>
      <c r="BG22" s="40" t="n">
        <f aca="false">IFERROR((BG16-BA16)/(BG11-BA11),"")</f>
        <v>0.316466803158818</v>
      </c>
      <c r="BH22" s="40" t="n">
        <f aca="false">IFERROR((BH16-BB16)/(BH11-BB11),"")</f>
        <v>0.324686192468619</v>
      </c>
      <c r="BI22" s="40" t="n">
        <f aca="false">IFERROR((BI16-BC16)/(BI11-BC11),"")</f>
        <v>0.252831637550394</v>
      </c>
      <c r="BJ22" s="40" t="n">
        <f aca="false">IFERROR((BJ16-BD16)/(BJ11-BD11),"")</f>
        <v>0.232511415525114</v>
      </c>
      <c r="BK22" s="40" t="n">
        <f aca="false">IFERROR((BK16-BE16)/(BK11-BE11),"")</f>
        <v>0.263087812740907</v>
      </c>
      <c r="BL22" s="40" t="n">
        <f aca="false">IFERROR((BL16-BF16)/(BL11-BF11),"")</f>
        <v>0.220853858784893</v>
      </c>
      <c r="BM22" s="40" t="n">
        <f aca="false">IFERROR((BM16-BG16)/(BM11-BG11),"")</f>
        <v>0.0249617931737137</v>
      </c>
      <c r="BN22" s="40" t="n">
        <f aca="false">IFERROR((BN16-BH16)/(BN11-BH11),"")</f>
        <v>0.164594001463058</v>
      </c>
      <c r="BO22" s="40" t="n">
        <f aca="false">IFERROR((BO16-BI16)/(BO11-BI11),"")</f>
        <v>-0.190751445086706</v>
      </c>
      <c r="BP22" s="40" t="n">
        <f aca="false">IFERROR((BP16-BJ16)/(BP11-BJ11),"")</f>
        <v>-1.25000000000003</v>
      </c>
      <c r="BQ22" s="40" t="n">
        <f aca="false">IFERROR((BQ16-BK16)/(BQ11-BK11),"")</f>
        <v>0.161461318051576</v>
      </c>
      <c r="BR22" s="40" t="n">
        <f aca="false">IFERROR((BR16-BL16)/(BR11-BL11),"")</f>
        <v>0.172727272727273</v>
      </c>
      <c r="BS22" s="40" t="n">
        <f aca="false">IFERROR((BS16-BM16)/(BS11-BM11),"")</f>
        <v>0.337142857142856</v>
      </c>
      <c r="BT22" s="40" t="n">
        <f aca="false">IFERROR((BT16-BN16)/(BT11-BN11),"")</f>
        <v>0.245569620253166</v>
      </c>
      <c r="BU22" s="40" t="n">
        <f aca="false">IFERROR((BU16-BO16)/(BU11-BO11),"")</f>
        <v>-4.33333333333331</v>
      </c>
      <c r="BV22" s="40" t="n">
        <f aca="false">IFERROR((BV16-BP16)/(BV11-BP11),"")</f>
        <v>2.35714285714283</v>
      </c>
      <c r="BW22" s="40" t="n">
        <f aca="false">IFERROR((BW16-BQ16)/(BW11-BQ11),"")</f>
        <v>0.268072289156624</v>
      </c>
      <c r="BX22" s="40" t="n">
        <f aca="false">IFERROR((BX16-BR16)/(BX11-BR11),"")</f>
        <v>0.195583596214511</v>
      </c>
      <c r="BY22" s="40" t="n">
        <f aca="false">IFERROR((BY16-BS16)/(BY11-BS11),"")</f>
        <v>0.191094619666048</v>
      </c>
      <c r="BZ22" s="40" t="n">
        <f aca="false">IFERROR((BZ16-BT16)/(BZ11-BT11),"")</f>
        <v>0.192757009345795</v>
      </c>
      <c r="CA22" s="40" t="n">
        <f aca="false">IFERROR((CA16-BU16)/(CA11-BU11),"")</f>
        <v>1.86486486486488</v>
      </c>
      <c r="CB22" s="40" t="n">
        <f aca="false">IFERROR((CB16-BV16)/(CB11-BV11),"")</f>
        <v>0.289340101522841</v>
      </c>
      <c r="CC22" s="40" t="n">
        <f aca="false">IFERROR((CC16-BW16)/(CC11-BW11),"")</f>
        <v>0.336971350613916</v>
      </c>
      <c r="CD22" s="40" t="n">
        <f aca="false">IFERROR((CD16-BX16)/(CD11-BX11),"")</f>
        <v>0.364197530864197</v>
      </c>
      <c r="CE22" s="40" t="n">
        <f aca="false">IFERROR((CE16-BY16)/(CE11-BY11),"")</f>
        <v>0.189873417721518</v>
      </c>
      <c r="CF22" s="40" t="n">
        <f aca="false">IFERROR((CF16-BZ16)/(CF11-BZ11),"")</f>
        <v>0.248953974895396</v>
      </c>
      <c r="CG22" s="40" t="n">
        <f aca="false">IFERROR((CG16-CA16)/(CG11-CA11),"")</f>
        <v>-0.205882352941176</v>
      </c>
      <c r="CH22" s="40" t="n">
        <f aca="false">IFERROR((CH16-CB16)/(CH11-CB11),"")</f>
        <v>0.770318021201414</v>
      </c>
      <c r="CI22" s="40" t="n">
        <f aca="false">IFERROR((CI16-CC16)/(CI11-CC11),"")</f>
        <v>0.32545649838883</v>
      </c>
      <c r="CJ22" s="40" t="n">
        <f aca="false">IFERROR((CJ16-CD16)/(CJ11-CD11),"")</f>
        <v>0.367278797996661</v>
      </c>
      <c r="CK22" s="40" t="n">
        <f aca="false">IFERROR((CK16-CE16)/(CK11-CE11),"")</f>
        <v>0.529170931422723</v>
      </c>
      <c r="CL22" s="40" t="n">
        <f aca="false">IFERROR((CL16-CF16)/(CL11-CF11),"")</f>
        <v>0.46763959390863</v>
      </c>
      <c r="CM22" s="28" t="n">
        <f aca="false">IFERROR((CM16-CG16)/(CM11-CG11),"")</f>
        <v>0.343238266037767</v>
      </c>
      <c r="CN22" s="28" t="n">
        <f aca="false">IFERROR((CN16-CH16)/(CN11-CH11),"")</f>
        <v>0.20209632918837</v>
      </c>
      <c r="CO22" s="28" t="n">
        <f aca="false">IFERROR((CO16-CI16)/(CO11-CI11),"")</f>
        <v>0.355280508254457</v>
      </c>
      <c r="CP22" s="28" t="n">
        <f aca="false">IFERROR((CP16-CO16)/(CP11-CO11),"")</f>
        <v>0.346140490755277</v>
      </c>
      <c r="CQ22" s="28" t="n">
        <f aca="false">IFERROR((CQ16-CP16)/(CQ11-CP11),"")</f>
        <v>0.340909090909091</v>
      </c>
      <c r="CR22" s="28" t="n">
        <f aca="false">IFERROR((CR16-CQ16)/(CR11-CQ11),"")</f>
        <v>0.355000000000001</v>
      </c>
      <c r="CS22" s="28" t="n">
        <f aca="false">IFERROR((CS16-CR16)/(CS11-CR11),"")</f>
        <v>0.359999999999999</v>
      </c>
      <c r="CT22" s="23"/>
      <c r="CV22" s="7"/>
      <c r="CW22" s="7"/>
      <c r="CX22" s="7"/>
      <c r="CY22" s="7"/>
      <c r="DB22" s="13" t="s">
        <v>132</v>
      </c>
      <c r="DC22" s="43" t="n">
        <f aca="false">DD22+$DC$20</f>
        <v>0.085</v>
      </c>
      <c r="DD22" s="36" t="n">
        <v>0.055</v>
      </c>
      <c r="DE22" s="43" t="n">
        <f aca="false">DD22+$DE$20</f>
        <v>0.015</v>
      </c>
    </row>
    <row r="23" customFormat="false" ht="15" hidden="false" customHeight="true" outlineLevel="0" collapsed="false">
      <c r="B23" s="13" t="s">
        <v>133</v>
      </c>
      <c r="C23" s="30"/>
      <c r="D23" s="30"/>
      <c r="E23" s="31" t="n">
        <v>10</v>
      </c>
      <c r="F23" s="31" t="n">
        <v>9.6</v>
      </c>
      <c r="G23" s="31" t="n">
        <v>9.3</v>
      </c>
      <c r="H23" s="31" t="n">
        <v>26.9</v>
      </c>
      <c r="I23" s="31" t="n">
        <v>30.5</v>
      </c>
      <c r="J23" s="30"/>
      <c r="K23" s="30"/>
      <c r="L23" s="30"/>
      <c r="M23" s="30"/>
      <c r="N23" s="30"/>
      <c r="O23" s="31" t="n">
        <v>30.3</v>
      </c>
      <c r="P23" s="30"/>
      <c r="Q23" s="30"/>
      <c r="R23" s="30"/>
      <c r="S23" s="30"/>
      <c r="T23" s="30"/>
      <c r="U23" s="31" t="n">
        <v>29.6</v>
      </c>
      <c r="V23" s="30"/>
      <c r="W23" s="30"/>
      <c r="X23" s="30"/>
      <c r="Y23" s="30"/>
      <c r="Z23" s="30"/>
      <c r="AA23" s="31" t="n">
        <v>26.1</v>
      </c>
      <c r="AB23" s="30"/>
      <c r="AC23" s="30"/>
      <c r="AD23" s="30"/>
      <c r="AE23" s="30"/>
      <c r="AF23" s="30"/>
      <c r="AG23" s="31" t="n">
        <v>26.2</v>
      </c>
      <c r="AH23" s="30"/>
      <c r="AI23" s="30"/>
      <c r="AJ23" s="30"/>
      <c r="AK23" s="30"/>
      <c r="AL23" s="30"/>
      <c r="AM23" s="31" t="n">
        <v>49.6</v>
      </c>
      <c r="AN23" s="30"/>
      <c r="AO23" s="30"/>
      <c r="AP23" s="30"/>
      <c r="AQ23" s="30"/>
      <c r="AR23" s="30"/>
      <c r="AS23" s="31" t="n">
        <v>50.8</v>
      </c>
      <c r="AT23" s="30"/>
      <c r="AU23" s="30"/>
      <c r="AV23" s="30"/>
      <c r="AW23" s="30"/>
      <c r="AX23" s="30"/>
      <c r="AY23" s="31" t="n">
        <v>48.5</v>
      </c>
      <c r="AZ23" s="30"/>
      <c r="BA23" s="30"/>
      <c r="BB23" s="30"/>
      <c r="BC23" s="30"/>
      <c r="BD23" s="30"/>
      <c r="BE23" s="31" t="n">
        <v>49.2</v>
      </c>
      <c r="BF23" s="30"/>
      <c r="BG23" s="30"/>
      <c r="BH23" s="30"/>
      <c r="BI23" s="30"/>
      <c r="BJ23" s="30"/>
      <c r="BK23" s="31" t="n">
        <v>309.2</v>
      </c>
      <c r="BL23" s="30"/>
      <c r="BM23" s="30"/>
      <c r="BN23" s="30"/>
      <c r="BO23" s="30"/>
      <c r="BP23" s="30"/>
      <c r="BQ23" s="31" t="n">
        <v>279</v>
      </c>
      <c r="BR23" s="30"/>
      <c r="BS23" s="30"/>
      <c r="BT23" s="30"/>
      <c r="BU23" s="30"/>
      <c r="BV23" s="30"/>
      <c r="BW23" s="31" t="n">
        <v>268.9</v>
      </c>
      <c r="BX23" s="30"/>
      <c r="BY23" s="30"/>
      <c r="BZ23" s="30"/>
      <c r="CA23" s="30"/>
      <c r="CB23" s="30"/>
      <c r="CC23" s="31" t="n">
        <v>261.2</v>
      </c>
      <c r="CD23" s="30"/>
      <c r="CE23" s="30"/>
      <c r="CF23" s="30"/>
      <c r="CG23" s="30"/>
      <c r="CH23" s="30"/>
      <c r="CI23" s="31" t="n">
        <v>262.5</v>
      </c>
      <c r="CJ23" s="30"/>
      <c r="CK23" s="30"/>
      <c r="CL23" s="30"/>
      <c r="CM23" s="32"/>
      <c r="CN23" s="32"/>
      <c r="CO23" s="32"/>
      <c r="CP23" s="32"/>
      <c r="CQ23" s="32"/>
      <c r="CR23" s="32"/>
      <c r="CS23" s="32"/>
      <c r="CT23" s="23"/>
      <c r="CV23" s="7"/>
      <c r="CW23" s="7"/>
      <c r="CX23" s="7"/>
      <c r="CY23" s="7"/>
      <c r="DB23" s="13" t="s">
        <v>134</v>
      </c>
      <c r="DC23" s="43" t="n">
        <f aca="false">DD23+$DC$20</f>
        <v>0.08</v>
      </c>
      <c r="DD23" s="36" t="n">
        <v>0.05</v>
      </c>
      <c r="DE23" s="43" t="n">
        <f aca="false">DD23+$DE$20</f>
        <v>0.01</v>
      </c>
    </row>
    <row r="24" customFormat="false" ht="15" hidden="false" customHeight="true" outlineLevel="0" collapsed="false">
      <c r="B24" s="13" t="s">
        <v>135</v>
      </c>
      <c r="C24" s="30"/>
      <c r="D24" s="30"/>
      <c r="E24" s="31" t="n">
        <v>7.1</v>
      </c>
      <c r="F24" s="31" t="n">
        <v>5.7</v>
      </c>
      <c r="G24" s="31" t="n">
        <v>11.3</v>
      </c>
      <c r="H24" s="31" t="n">
        <v>13.8</v>
      </c>
      <c r="I24" s="31" t="n">
        <v>23.5</v>
      </c>
      <c r="J24" s="30"/>
      <c r="K24" s="30"/>
      <c r="L24" s="30"/>
      <c r="M24" s="30"/>
      <c r="N24" s="30"/>
      <c r="O24" s="31" t="n">
        <v>20.2</v>
      </c>
      <c r="P24" s="30"/>
      <c r="Q24" s="30"/>
      <c r="R24" s="30"/>
      <c r="S24" s="30"/>
      <c r="T24" s="30"/>
      <c r="U24" s="31" t="n">
        <v>10.3</v>
      </c>
      <c r="V24" s="30"/>
      <c r="W24" s="30"/>
      <c r="X24" s="30"/>
      <c r="Y24" s="30"/>
      <c r="Z24" s="30"/>
      <c r="AA24" s="31" t="n">
        <v>9.2</v>
      </c>
      <c r="AB24" s="30"/>
      <c r="AC24" s="30"/>
      <c r="AD24" s="30"/>
      <c r="AE24" s="30"/>
      <c r="AF24" s="30"/>
      <c r="AG24" s="31" t="n">
        <v>12.5</v>
      </c>
      <c r="AH24" s="30"/>
      <c r="AI24" s="30"/>
      <c r="AJ24" s="30"/>
      <c r="AK24" s="30"/>
      <c r="AL24" s="30"/>
      <c r="AM24" s="31" t="n">
        <v>23.4</v>
      </c>
      <c r="AN24" s="30"/>
      <c r="AO24" s="30"/>
      <c r="AP24" s="30"/>
      <c r="AQ24" s="30"/>
      <c r="AR24" s="30"/>
      <c r="AS24" s="31" t="n">
        <v>35.8</v>
      </c>
      <c r="AT24" s="30"/>
      <c r="AU24" s="30"/>
      <c r="AV24" s="30"/>
      <c r="AW24" s="30"/>
      <c r="AX24" s="30"/>
      <c r="AY24" s="31" t="n">
        <v>45.2</v>
      </c>
      <c r="AZ24" s="30"/>
      <c r="BA24" s="30"/>
      <c r="BB24" s="30"/>
      <c r="BC24" s="30"/>
      <c r="BD24" s="30"/>
      <c r="BE24" s="31" t="n">
        <v>33.4</v>
      </c>
      <c r="BF24" s="30"/>
      <c r="BG24" s="30"/>
      <c r="BH24" s="30"/>
      <c r="BI24" s="30"/>
      <c r="BJ24" s="30"/>
      <c r="BK24" s="31" t="n">
        <v>64.2</v>
      </c>
      <c r="BL24" s="30"/>
      <c r="BM24" s="30"/>
      <c r="BN24" s="30"/>
      <c r="BO24" s="30"/>
      <c r="BP24" s="30"/>
      <c r="BQ24" s="31" t="n">
        <v>63.9</v>
      </c>
      <c r="BR24" s="30"/>
      <c r="BS24" s="30"/>
      <c r="BT24" s="30"/>
      <c r="BU24" s="30"/>
      <c r="BV24" s="30"/>
      <c r="BW24" s="31" t="n">
        <v>78.2</v>
      </c>
      <c r="BX24" s="30"/>
      <c r="BY24" s="30"/>
      <c r="BZ24" s="30"/>
      <c r="CA24" s="30"/>
      <c r="CB24" s="30"/>
      <c r="CC24" s="31" t="n">
        <v>54.7</v>
      </c>
      <c r="CD24" s="30"/>
      <c r="CE24" s="30"/>
      <c r="CF24" s="30"/>
      <c r="CG24" s="30"/>
      <c r="CH24" s="30"/>
      <c r="CI24" s="31" t="n">
        <v>67.7</v>
      </c>
      <c r="CJ24" s="30"/>
      <c r="CK24" s="30"/>
      <c r="CL24" s="30"/>
      <c r="CM24" s="32"/>
      <c r="CN24" s="32"/>
      <c r="CO24" s="32"/>
      <c r="CP24" s="32"/>
      <c r="CQ24" s="32"/>
      <c r="CR24" s="32"/>
      <c r="CS24" s="32"/>
      <c r="CT24" s="23"/>
      <c r="CV24" s="7"/>
      <c r="CW24" s="7"/>
      <c r="CX24" s="7"/>
      <c r="CY24" s="7"/>
      <c r="DB24" s="13" t="s">
        <v>136</v>
      </c>
      <c r="DC24" s="43" t="n">
        <f aca="false">DD24+$DC$20</f>
        <v>0.08</v>
      </c>
      <c r="DD24" s="36" t="n">
        <v>0.05</v>
      </c>
      <c r="DE24" s="43" t="n">
        <f aca="false">DD24+$DE$20</f>
        <v>0.01</v>
      </c>
    </row>
    <row r="25" customFormat="false" ht="15" hidden="false" customHeight="true" outlineLevel="0" collapsed="false">
      <c r="B25" s="26" t="s">
        <v>137</v>
      </c>
      <c r="C25" s="40" t="str">
        <f aca="false">IFERROR(C24/C11,"")</f>
        <v/>
      </c>
      <c r="D25" s="40" t="str">
        <f aca="false">IFERROR(D24/D11,"")</f>
        <v/>
      </c>
      <c r="E25" s="40" t="n">
        <f aca="false">IFERROR(E24/E11,"")</f>
        <v>0.0516739446870451</v>
      </c>
      <c r="F25" s="40" t="n">
        <f aca="false">IFERROR(F24/F11,"")</f>
        <v>0.0447761194029851</v>
      </c>
      <c r="G25" s="40" t="n">
        <f aca="false">IFERROR(G24/G11,"")</f>
        <v>0.0922448979591837</v>
      </c>
      <c r="H25" s="40" t="n">
        <f aca="false">IFERROR(H24/H11,"")</f>
        <v>0.0394398399542727</v>
      </c>
      <c r="I25" s="40" t="n">
        <f aca="false">IFERROR(I24/I11,"")</f>
        <v>0.0565039672998317</v>
      </c>
      <c r="J25" s="40"/>
      <c r="K25" s="40"/>
      <c r="L25" s="40"/>
      <c r="M25" s="40"/>
      <c r="N25" s="40"/>
      <c r="O25" s="40" t="n">
        <f aca="false">IFERROR(O24/O11,"")</f>
        <v>0.0486981677917068</v>
      </c>
      <c r="P25" s="40"/>
      <c r="Q25" s="40"/>
      <c r="R25" s="40"/>
      <c r="S25" s="40"/>
      <c r="T25" s="40"/>
      <c r="U25" s="40" t="n">
        <f aca="false">IFERROR(U24/U11,"")</f>
        <v>0.0255203171456888</v>
      </c>
      <c r="V25" s="40"/>
      <c r="W25" s="40"/>
      <c r="X25" s="40"/>
      <c r="Y25" s="40"/>
      <c r="Z25" s="40"/>
      <c r="AA25" s="40" t="n">
        <f aca="false">IFERROR(AA24/AA11,"")</f>
        <v>0.0242744063324538</v>
      </c>
      <c r="AB25" s="40"/>
      <c r="AC25" s="40"/>
      <c r="AD25" s="40"/>
      <c r="AE25" s="40"/>
      <c r="AF25" s="40"/>
      <c r="AG25" s="40" t="n">
        <f aca="false">IFERROR(AG24/AG11,"")</f>
        <v>0.0313518936543767</v>
      </c>
      <c r="AH25" s="40"/>
      <c r="AI25" s="40"/>
      <c r="AJ25" s="40"/>
      <c r="AK25" s="40"/>
      <c r="AL25" s="40"/>
      <c r="AM25" s="40" t="n">
        <f aca="false">IFERROR(AM24/AM11,"")</f>
        <v>0.0329391891891892</v>
      </c>
      <c r="AN25" s="40"/>
      <c r="AO25" s="40"/>
      <c r="AP25" s="40"/>
      <c r="AQ25" s="40"/>
      <c r="AR25" s="40"/>
      <c r="AS25" s="40" t="n">
        <f aca="false">IFERROR(AS24/AS11,"")</f>
        <v>0.0409002627670513</v>
      </c>
      <c r="AT25" s="40"/>
      <c r="AU25" s="40"/>
      <c r="AV25" s="40"/>
      <c r="AW25" s="40"/>
      <c r="AX25" s="40"/>
      <c r="AY25" s="40" t="n">
        <f aca="false">IFERROR(AY24/AY11,"")</f>
        <v>0.0455232148252593</v>
      </c>
      <c r="AZ25" s="40"/>
      <c r="BA25" s="40"/>
      <c r="BB25" s="40"/>
      <c r="BC25" s="40"/>
      <c r="BD25" s="40"/>
      <c r="BE25" s="40" t="n">
        <f aca="false">IFERROR(BE24/BE11,"")</f>
        <v>0.0338742393509128</v>
      </c>
      <c r="BF25" s="40"/>
      <c r="BG25" s="40"/>
      <c r="BH25" s="40"/>
      <c r="BI25" s="40"/>
      <c r="BJ25" s="40"/>
      <c r="BK25" s="40" t="n">
        <f aca="false">IFERROR(BK24/BK11,"")</f>
        <v>0.0266069874424966</v>
      </c>
      <c r="BL25" s="40"/>
      <c r="BM25" s="40"/>
      <c r="BN25" s="40"/>
      <c r="BO25" s="40"/>
      <c r="BP25" s="40"/>
      <c r="BQ25" s="40" t="n">
        <f aca="false">IFERROR(BQ24/BQ11,"")</f>
        <v>0.0205406795461121</v>
      </c>
      <c r="BR25" s="40"/>
      <c r="BS25" s="40"/>
      <c r="BT25" s="40"/>
      <c r="BU25" s="40"/>
      <c r="BV25" s="40"/>
      <c r="BW25" s="40" t="n">
        <f aca="false">IFERROR(BW24/BW11,"")</f>
        <v>0.0248719824433065</v>
      </c>
      <c r="BX25" s="40"/>
      <c r="BY25" s="40"/>
      <c r="BZ25" s="40"/>
      <c r="CA25" s="40"/>
      <c r="CB25" s="40"/>
      <c r="CC25" s="40" t="n">
        <f aca="false">IFERROR(CC24/CC11,"")</f>
        <v>0.0178129477660544</v>
      </c>
      <c r="CD25" s="40"/>
      <c r="CE25" s="40"/>
      <c r="CF25" s="40"/>
      <c r="CG25" s="40"/>
      <c r="CH25" s="40"/>
      <c r="CI25" s="40" t="n">
        <f aca="false">IFERROR(CI24/CI11,"")</f>
        <v>0.0213976421505104</v>
      </c>
      <c r="CJ25" s="40"/>
      <c r="CK25" s="40"/>
      <c r="CL25" s="40"/>
      <c r="CM25" s="28"/>
      <c r="CN25" s="28"/>
      <c r="CO25" s="28"/>
      <c r="CP25" s="28"/>
      <c r="CQ25" s="28"/>
      <c r="CR25" s="28"/>
      <c r="CS25" s="28"/>
      <c r="CT25" s="23"/>
      <c r="CV25" s="7"/>
      <c r="CW25" s="7"/>
      <c r="CX25" s="7"/>
      <c r="CY25" s="7"/>
    </row>
    <row r="26" customFormat="false" ht="15" hidden="false" customHeight="true" outlineLevel="0" collapsed="false">
      <c r="B26" s="13"/>
      <c r="CM26" s="7"/>
      <c r="CN26" s="7"/>
      <c r="CO26" s="7"/>
      <c r="CP26" s="7"/>
      <c r="CQ26" s="7"/>
      <c r="CR26" s="7"/>
      <c r="CS26" s="7"/>
      <c r="CT26" s="7"/>
      <c r="DB26" s="18" t="s">
        <v>138</v>
      </c>
      <c r="DC26" s="42" t="n">
        <v>0.02</v>
      </c>
      <c r="DD26" s="25" t="s">
        <v>127</v>
      </c>
      <c r="DE26" s="42" t="n">
        <v>-0.03</v>
      </c>
      <c r="DF26" s="16" t="s">
        <v>139</v>
      </c>
    </row>
    <row r="27" customFormat="false" ht="15" hidden="false" customHeight="true" outlineLevel="0" collapsed="false">
      <c r="B27" s="17" t="s">
        <v>140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8" t="s">
        <v>141</v>
      </c>
      <c r="DB27" s="13" t="s">
        <v>130</v>
      </c>
      <c r="DC27" s="43" t="n">
        <f aca="false">DD27+$DC$26</f>
        <v>0.065</v>
      </c>
      <c r="DD27" s="36" t="n">
        <v>0.045</v>
      </c>
      <c r="DE27" s="43" t="n">
        <f aca="false">DD27+$DE$26</f>
        <v>0.015</v>
      </c>
    </row>
    <row r="28" customFormat="false" ht="15" hidden="false" customHeight="true" outlineLevel="0" collapsed="false">
      <c r="B28" s="19" t="s">
        <v>99</v>
      </c>
      <c r="C28" s="20"/>
      <c r="D28" s="20"/>
      <c r="E28" s="21" t="n">
        <v>549.2</v>
      </c>
      <c r="F28" s="21" t="n">
        <v>538.4</v>
      </c>
      <c r="G28" s="21" t="n">
        <v>573.2</v>
      </c>
      <c r="H28" s="21" t="n">
        <v>648.2</v>
      </c>
      <c r="I28" s="21" t="n">
        <v>804.7</v>
      </c>
      <c r="J28" s="21" t="n">
        <v>232.7</v>
      </c>
      <c r="K28" s="21" t="n">
        <v>257.7</v>
      </c>
      <c r="L28" s="20" t="n">
        <f aca="false">J28+K28</f>
        <v>490.4</v>
      </c>
      <c r="M28" s="21" t="n">
        <v>256.6</v>
      </c>
      <c r="N28" s="21" t="n">
        <v>275.8</v>
      </c>
      <c r="O28" s="21" t="n">
        <v>1022.8</v>
      </c>
      <c r="P28" s="21" t="n">
        <v>258.9</v>
      </c>
      <c r="Q28" s="21" t="n">
        <v>276.6</v>
      </c>
      <c r="R28" s="20" t="n">
        <f aca="false">P28+Q28</f>
        <v>535.5</v>
      </c>
      <c r="S28" s="21" t="n">
        <v>280.4</v>
      </c>
      <c r="T28" s="21" t="n">
        <v>299.6</v>
      </c>
      <c r="U28" s="21" t="n">
        <v>1115.5</v>
      </c>
      <c r="V28" s="21" t="n">
        <v>270.3</v>
      </c>
      <c r="W28" s="21" t="n">
        <v>271.3</v>
      </c>
      <c r="X28" s="20" t="n">
        <f aca="false">V28+W28</f>
        <v>541.6</v>
      </c>
      <c r="Y28" s="21" t="n">
        <v>243.2</v>
      </c>
      <c r="Z28" s="21" t="n">
        <v>266.3</v>
      </c>
      <c r="AA28" s="21" t="n">
        <v>1051.1</v>
      </c>
      <c r="AB28" s="21" t="n">
        <v>223.7</v>
      </c>
      <c r="AC28" s="21" t="n">
        <v>220.1</v>
      </c>
      <c r="AD28" s="20" t="n">
        <f aca="false">AB28+AC28</f>
        <v>443.8</v>
      </c>
      <c r="AE28" s="21" t="n">
        <v>208.3</v>
      </c>
      <c r="AF28" s="21" t="n">
        <v>224.6</v>
      </c>
      <c r="AG28" s="21" t="n">
        <v>876.7</v>
      </c>
      <c r="AH28" s="21" t="n">
        <v>232.8</v>
      </c>
      <c r="AI28" s="21" t="n">
        <v>233.8</v>
      </c>
      <c r="AJ28" s="20" t="n">
        <f aca="false">AH28+AI28</f>
        <v>466.6</v>
      </c>
      <c r="AK28" s="21" t="n">
        <v>232.5</v>
      </c>
      <c r="AL28" s="21" t="n">
        <v>254.8</v>
      </c>
      <c r="AM28" s="21" t="n">
        <v>953.9</v>
      </c>
      <c r="AN28" s="21" t="n">
        <v>239</v>
      </c>
      <c r="AO28" s="21" t="n">
        <v>262.6</v>
      </c>
      <c r="AP28" s="20" t="n">
        <f aca="false">AN28+AO28</f>
        <v>501.6</v>
      </c>
      <c r="AQ28" s="21" t="n">
        <v>256.2</v>
      </c>
      <c r="AR28" s="21" t="n">
        <v>263.4</v>
      </c>
      <c r="AS28" s="21" t="n">
        <v>1021.2</v>
      </c>
      <c r="AT28" s="21" t="n">
        <v>256.5</v>
      </c>
      <c r="AU28" s="21" t="n">
        <v>264.1</v>
      </c>
      <c r="AV28" s="20" t="n">
        <f aca="false">AT28+AU28</f>
        <v>520.6</v>
      </c>
      <c r="AW28" s="21" t="n">
        <v>282.9</v>
      </c>
      <c r="AX28" s="21" t="n">
        <v>301.6</v>
      </c>
      <c r="AY28" s="21" t="n">
        <v>1105.1</v>
      </c>
      <c r="AZ28" s="21" t="n">
        <v>285.1</v>
      </c>
      <c r="BA28" s="21" t="n">
        <v>263.1</v>
      </c>
      <c r="BB28" s="20" t="n">
        <f aca="false">AZ28+BA28</f>
        <v>548.2</v>
      </c>
      <c r="BC28" s="21" t="n">
        <v>263.5</v>
      </c>
      <c r="BD28" s="21" t="n">
        <v>282.8</v>
      </c>
      <c r="BE28" s="21" t="n">
        <v>1094.5</v>
      </c>
      <c r="BF28" s="21" t="n">
        <v>286.5</v>
      </c>
      <c r="BG28" s="21" t="n">
        <v>291.1</v>
      </c>
      <c r="BH28" s="20" t="n">
        <f aca="false">BF28+BG28</f>
        <v>577.6</v>
      </c>
      <c r="BI28" s="21" t="n">
        <v>287.1</v>
      </c>
      <c r="BJ28" s="21" t="n">
        <v>302.2</v>
      </c>
      <c r="BK28" s="21" t="n">
        <v>1166.9</v>
      </c>
      <c r="BL28" s="21" t="n">
        <v>308.9</v>
      </c>
      <c r="BM28" s="21" t="n">
        <v>312.5</v>
      </c>
      <c r="BN28" s="20" t="n">
        <f aca="false">BL28+BM28</f>
        <v>621.4</v>
      </c>
      <c r="BO28" s="21" t="n">
        <v>306.4</v>
      </c>
      <c r="BP28" s="21" t="n">
        <v>326.2</v>
      </c>
      <c r="BQ28" s="21" t="n">
        <v>1254</v>
      </c>
      <c r="BR28" s="21" t="n">
        <v>333.5</v>
      </c>
      <c r="BS28" s="21" t="n">
        <v>328.4</v>
      </c>
      <c r="BT28" s="20" t="n">
        <f aca="false">BR28+BS28</f>
        <v>661.9</v>
      </c>
      <c r="BU28" s="21" t="n">
        <v>329.1</v>
      </c>
      <c r="BV28" s="21" t="n">
        <v>335.2</v>
      </c>
      <c r="BW28" s="21" t="n">
        <v>1326.2</v>
      </c>
      <c r="BX28" s="21" t="n">
        <v>330.4</v>
      </c>
      <c r="BY28" s="21" t="n">
        <v>333.5</v>
      </c>
      <c r="BZ28" s="20" t="n">
        <f aca="false">BX28+BY28</f>
        <v>663.9</v>
      </c>
      <c r="CA28" s="21" t="n">
        <v>349.8</v>
      </c>
      <c r="CB28" s="21" t="n">
        <v>368.9</v>
      </c>
      <c r="CC28" s="21" t="n">
        <v>1382.6</v>
      </c>
      <c r="CD28" s="21" t="n">
        <v>343.3</v>
      </c>
      <c r="CE28" s="21" t="n">
        <v>367.6</v>
      </c>
      <c r="CF28" s="20" t="n">
        <f aca="false">CD28+CE28</f>
        <v>710.9</v>
      </c>
      <c r="CG28" s="21" t="n">
        <v>363.6</v>
      </c>
      <c r="CH28" s="21" t="n">
        <v>382.6</v>
      </c>
      <c r="CI28" s="21" t="n">
        <v>1457.1</v>
      </c>
      <c r="CJ28" s="21" t="n">
        <v>361.4</v>
      </c>
      <c r="CK28" s="21" t="n">
        <v>387.8</v>
      </c>
      <c r="CL28" s="20" t="n">
        <f aca="false">CJ28+CK28</f>
        <v>749.2</v>
      </c>
      <c r="CM28" s="22" t="n">
        <f aca="false">CG28*CK28/CE28</f>
        <v>383.580195865071</v>
      </c>
      <c r="CN28" s="22" t="n">
        <f aca="false">CH28*CK28/CE28</f>
        <v>403.624265505985</v>
      </c>
      <c r="CO28" s="22" t="n">
        <f aca="false">SUM(CJ28,CK28,CM28,CN28)</f>
        <v>1536.40446137106</v>
      </c>
      <c r="CP28" s="22" t="n">
        <f aca="false">CO28*(1+CP29)</f>
        <v>1605.54266213275</v>
      </c>
      <c r="CQ28" s="22" t="n">
        <f aca="false">CP28*(1+CQ29)</f>
        <v>1677.79208192873</v>
      </c>
      <c r="CR28" s="22" t="n">
        <f aca="false">CQ28*(1+CR29)</f>
        <v>1753.29272561552</v>
      </c>
      <c r="CS28" s="22" t="n">
        <f aca="false">CR28*(1+CS29)</f>
        <v>1832.19089826822</v>
      </c>
      <c r="CT28" s="23" t="s">
        <v>100</v>
      </c>
      <c r="CV28" s="24" t="n">
        <f aca="false">IFERROR((CS28/CI28)^(1/5)-1,"n/m")</f>
        <v>0.0468784806014753</v>
      </c>
      <c r="CW28" s="24" t="n">
        <f aca="false">IFERROR((CI28/BE28)^(1/5)-1,"n/m")</f>
        <v>0.0588994395848483</v>
      </c>
      <c r="CX28" s="24" t="n">
        <f aca="false">IFERROR((CI28/AA28)^(1/10)-1,"n/m")</f>
        <v>0.0332003204775109</v>
      </c>
      <c r="CY28" s="24" t="str">
        <f aca="false">IFERROR((CI28/C28)^(1/19)-1,"n/m")</f>
        <v>n/m</v>
      </c>
      <c r="DB28" s="13" t="s">
        <v>132</v>
      </c>
      <c r="DC28" s="43" t="n">
        <f aca="false">DD28+$DC$26</f>
        <v>0.065</v>
      </c>
      <c r="DD28" s="36" t="n">
        <v>0.045</v>
      </c>
      <c r="DE28" s="43" t="n">
        <f aca="false">DD28+$DE$26</f>
        <v>0.015</v>
      </c>
    </row>
    <row r="29" customFormat="false" ht="15" hidden="false" customHeight="true" outlineLevel="0" collapsed="false">
      <c r="B29" s="26" t="s">
        <v>105</v>
      </c>
      <c r="C29" s="27"/>
      <c r="D29" s="27" t="str">
        <f aca="false">IFERROR(D28/C28-1,"")</f>
        <v/>
      </c>
      <c r="E29" s="27" t="str">
        <f aca="false">IFERROR(E28/D28-1,"")</f>
        <v/>
      </c>
      <c r="F29" s="27" t="n">
        <f aca="false">IFERROR(F28/E28-1,"")</f>
        <v>-0.0196649672250547</v>
      </c>
      <c r="G29" s="27" t="n">
        <f aca="false">IFERROR(G28/F28-1,"")</f>
        <v>0.0646359583952454</v>
      </c>
      <c r="H29" s="27" t="n">
        <f aca="false">IFERROR(H28/G28-1,"")</f>
        <v>0.130844382414515</v>
      </c>
      <c r="I29" s="27" t="n">
        <f aca="false">IFERROR(I28/H28-1,"")</f>
        <v>0.241437827830916</v>
      </c>
      <c r="J29" s="27"/>
      <c r="K29" s="27"/>
      <c r="L29" s="27"/>
      <c r="M29" s="27"/>
      <c r="N29" s="27"/>
      <c r="O29" s="27" t="n">
        <f aca="false">IFERROR(O28/I28-1,"")</f>
        <v>0.271032682987449</v>
      </c>
      <c r="P29" s="27" t="n">
        <f aca="false">IFERROR(P28/J28-1,"")</f>
        <v>0.11259131929523</v>
      </c>
      <c r="Q29" s="27" t="n">
        <f aca="false">IFERROR(Q28/K28-1,"")</f>
        <v>0.0733410942956929</v>
      </c>
      <c r="R29" s="27" t="n">
        <f aca="false">IFERROR(R28/L28-1,"")</f>
        <v>0.0919657422512235</v>
      </c>
      <c r="S29" s="27" t="n">
        <f aca="false">IFERROR(S28/M28-1,"")</f>
        <v>0.0927513639906468</v>
      </c>
      <c r="T29" s="27" t="n">
        <f aca="false">IFERROR(T28/N28-1,"")</f>
        <v>0.086294416243655</v>
      </c>
      <c r="U29" s="27" t="n">
        <f aca="false">IFERROR(U28/O28-1,"")</f>
        <v>0.0906335549472037</v>
      </c>
      <c r="V29" s="27" t="n">
        <f aca="false">IFERROR(V28/P28-1,"")</f>
        <v>0.044032444959444</v>
      </c>
      <c r="W29" s="27" t="n">
        <f aca="false">IFERROR(W28/Q28-1,"")</f>
        <v>-0.0191612436731743</v>
      </c>
      <c r="X29" s="27" t="n">
        <f aca="false">IFERROR(X28/R28-1,"")</f>
        <v>0.011391223155929</v>
      </c>
      <c r="Y29" s="27" t="n">
        <f aca="false">IFERROR(Y28/S28-1,"")</f>
        <v>-0.132667617689016</v>
      </c>
      <c r="Z29" s="27" t="n">
        <f aca="false">IFERROR(Z28/T28-1,"")</f>
        <v>-0.111148197596796</v>
      </c>
      <c r="AA29" s="27" t="n">
        <f aca="false">IFERROR(AA28/U28-1,"")</f>
        <v>-0.0577319587628867</v>
      </c>
      <c r="AB29" s="27" t="n">
        <f aca="false">IFERROR(AB28/V28-1,"")</f>
        <v>-0.172401035886053</v>
      </c>
      <c r="AC29" s="27" t="n">
        <f aca="false">IFERROR(AC28/W28-1,"")</f>
        <v>-0.188720973092518</v>
      </c>
      <c r="AD29" s="27" t="n">
        <f aca="false">IFERROR(AD28/X28-1,"")</f>
        <v>-0.180576070901034</v>
      </c>
      <c r="AE29" s="27" t="n">
        <f aca="false">IFERROR(AE28/Y28-1,"")</f>
        <v>-0.143503289473684</v>
      </c>
      <c r="AF29" s="27" t="n">
        <f aca="false">IFERROR(AF28/Z28-1,"")</f>
        <v>-0.156590311678558</v>
      </c>
      <c r="AG29" s="27" t="n">
        <f aca="false">IFERROR(AG28/AA28-1,"")</f>
        <v>-0.165921415659785</v>
      </c>
      <c r="AH29" s="27" t="n">
        <f aca="false">IFERROR(AH28/AB28-1,"")</f>
        <v>0.0406794814483684</v>
      </c>
      <c r="AI29" s="27" t="n">
        <f aca="false">IFERROR(AI28/AC28-1,"")</f>
        <v>0.0622444343480237</v>
      </c>
      <c r="AJ29" s="27" t="n">
        <f aca="false">IFERROR(AJ28/AD28-1,"")</f>
        <v>0.0513744930148716</v>
      </c>
      <c r="AK29" s="27" t="n">
        <f aca="false">IFERROR(AK28/AE28-1,"")</f>
        <v>0.116178588574172</v>
      </c>
      <c r="AL29" s="27" t="n">
        <f aca="false">IFERROR(AL28/AF28-1,"")</f>
        <v>0.134461264470169</v>
      </c>
      <c r="AM29" s="27" t="n">
        <f aca="false">IFERROR(AM28/AG28-1,"")</f>
        <v>0.0880574883084293</v>
      </c>
      <c r="AN29" s="27" t="n">
        <f aca="false">IFERROR(AN28/AH28-1,"")</f>
        <v>0.0266323024054982</v>
      </c>
      <c r="AO29" s="27" t="n">
        <f aca="false">IFERROR(AO28/AI28-1,"")</f>
        <v>0.123182207014542</v>
      </c>
      <c r="AP29" s="27" t="n">
        <f aca="false">IFERROR(AP28/AJ28-1,"")</f>
        <v>0.0750107158165452</v>
      </c>
      <c r="AQ29" s="27" t="n">
        <f aca="false">IFERROR(AQ28/AK28-1,"")</f>
        <v>0.101935483870968</v>
      </c>
      <c r="AR29" s="27" t="n">
        <f aca="false">IFERROR(AR28/AL28-1,"")</f>
        <v>0.0337519623233908</v>
      </c>
      <c r="AS29" s="27" t="n">
        <f aca="false">IFERROR(AS28/AM28-1,"")</f>
        <v>0.0705524688122445</v>
      </c>
      <c r="AT29" s="27" t="n">
        <f aca="false">IFERROR(AT28/AN28-1,"")</f>
        <v>0.0732217573221758</v>
      </c>
      <c r="AU29" s="27" t="n">
        <f aca="false">IFERROR(AU28/AO28-1,"")</f>
        <v>0.00571210967250568</v>
      </c>
      <c r="AV29" s="27" t="n">
        <f aca="false">IFERROR(AV28/AP28-1,"")</f>
        <v>0.0378787878787878</v>
      </c>
      <c r="AW29" s="27" t="n">
        <f aca="false">IFERROR(AW28/AQ28-1,"")</f>
        <v>0.104215456674473</v>
      </c>
      <c r="AX29" s="27" t="n">
        <f aca="false">IFERROR(AX28/AR28-1,"")</f>
        <v>0.145026575550494</v>
      </c>
      <c r="AY29" s="27" t="n">
        <f aca="false">IFERROR(AY28/AS28-1,"")</f>
        <v>0.0821582452017233</v>
      </c>
      <c r="AZ29" s="27" t="n">
        <f aca="false">IFERROR(AZ28/AT28-1,"")</f>
        <v>0.11150097465887</v>
      </c>
      <c r="BA29" s="27" t="n">
        <f aca="false">IFERROR(BA28/AU28-1,"")</f>
        <v>-0.00378644452858767</v>
      </c>
      <c r="BB29" s="27" t="n">
        <f aca="false">IFERROR(BB28/AV28-1,"")</f>
        <v>0.0530157510564733</v>
      </c>
      <c r="BC29" s="27" t="n">
        <f aca="false">IFERROR(BC28/AW28-1,"")</f>
        <v>-0.0685754683633792</v>
      </c>
      <c r="BD29" s="27" t="n">
        <f aca="false">IFERROR(BD28/AX28-1,"")</f>
        <v>-0.0623342175066314</v>
      </c>
      <c r="BE29" s="27" t="n">
        <f aca="false">IFERROR(BE28/AY28-1,"")</f>
        <v>-0.00959189213645817</v>
      </c>
      <c r="BF29" s="27" t="n">
        <f aca="false">IFERROR(BF28/AZ28-1,"")</f>
        <v>0.00491055769905291</v>
      </c>
      <c r="BG29" s="27" t="n">
        <f aca="false">IFERROR(BG28/BA28-1,"")</f>
        <v>0.106423413150893</v>
      </c>
      <c r="BH29" s="27" t="n">
        <f aca="false">IFERROR(BH28/BB28-1,"")</f>
        <v>0.0536300620211601</v>
      </c>
      <c r="BI29" s="27" t="n">
        <f aca="false">IFERROR(BI28/BC28-1,"")</f>
        <v>0.0895635673624289</v>
      </c>
      <c r="BJ29" s="27" t="n">
        <f aca="false">IFERROR(BJ28/BD28-1,"")</f>
        <v>0.0685997171145685</v>
      </c>
      <c r="BK29" s="27" t="n">
        <f aca="false">IFERROR(BK28/BE28-1,"")</f>
        <v>0.066148926450434</v>
      </c>
      <c r="BL29" s="27" t="n">
        <f aca="false">IFERROR(BL28/BF28-1,"")</f>
        <v>0.0781849912739965</v>
      </c>
      <c r="BM29" s="27" t="n">
        <f aca="false">IFERROR(BM28/BG28-1,"")</f>
        <v>0.0735142562693232</v>
      </c>
      <c r="BN29" s="27" t="n">
        <f aca="false">IFERROR(BN28/BH28-1,"")</f>
        <v>0.0758310249307479</v>
      </c>
      <c r="BO29" s="27" t="n">
        <f aca="false">IFERROR(BO28/BI28-1,"")</f>
        <v>0.0672239637756877</v>
      </c>
      <c r="BP29" s="27" t="n">
        <f aca="false">IFERROR(BP28/BJ28-1,"")</f>
        <v>0.0794176042356056</v>
      </c>
      <c r="BQ29" s="27" t="n">
        <f aca="false">IFERROR(BQ28/BK28-1,"")</f>
        <v>0.07464221441426</v>
      </c>
      <c r="BR29" s="27" t="n">
        <f aca="false">IFERROR(BR28/BL28-1,"")</f>
        <v>0.0796374231142765</v>
      </c>
      <c r="BS29" s="27" t="n">
        <f aca="false">IFERROR(BS28/BM28-1,"")</f>
        <v>0.05088</v>
      </c>
      <c r="BT29" s="27" t="n">
        <f aca="false">IFERROR(BT28/BN28-1,"")</f>
        <v>0.0651754103636948</v>
      </c>
      <c r="BU29" s="27" t="n">
        <f aca="false">IFERROR(BU28/BO28-1,"")</f>
        <v>0.0740861618798958</v>
      </c>
      <c r="BV29" s="27" t="n">
        <f aca="false">IFERROR(BV28/BP28-1,"")</f>
        <v>0.0275904353157572</v>
      </c>
      <c r="BW29" s="27" t="n">
        <f aca="false">IFERROR(BW28/BQ28-1,"")</f>
        <v>0.0575757575757576</v>
      </c>
      <c r="BX29" s="27" t="n">
        <f aca="false">IFERROR(BX28/BR28-1,"")</f>
        <v>-0.00929535232383816</v>
      </c>
      <c r="BY29" s="27" t="n">
        <f aca="false">IFERROR(BY28/BS28-1,"")</f>
        <v>0.0155298416565166</v>
      </c>
      <c r="BZ29" s="27" t="n">
        <f aca="false">IFERROR(BZ28/BT28-1,"")</f>
        <v>0.00302160447197464</v>
      </c>
      <c r="CA29" s="27" t="n">
        <f aca="false">IFERROR(CA28/BU28-1,"")</f>
        <v>0.0628988149498633</v>
      </c>
      <c r="CB29" s="27" t="n">
        <f aca="false">IFERROR(CB28/BV28-1,"")</f>
        <v>0.100536992840095</v>
      </c>
      <c r="CC29" s="27" t="n">
        <f aca="false">IFERROR(CC28/BW28-1,"")</f>
        <v>0.0425275222440054</v>
      </c>
      <c r="CD29" s="27" t="n">
        <f aca="false">IFERROR(CD28/BX28-1,"")</f>
        <v>0.0390435835351091</v>
      </c>
      <c r="CE29" s="27" t="n">
        <f aca="false">IFERROR(CE28/BY28-1,"")</f>
        <v>0.102248875562219</v>
      </c>
      <c r="CF29" s="27" t="n">
        <f aca="false">IFERROR(CF28/BZ28-1,"")</f>
        <v>0.0707937942461216</v>
      </c>
      <c r="CG29" s="27" t="n">
        <f aca="false">IFERROR(CG28/CA28-1,"")</f>
        <v>0.0394511149228132</v>
      </c>
      <c r="CH29" s="27" t="n">
        <f aca="false">IFERROR(CH28/CB28-1,"")</f>
        <v>0.0371374356194092</v>
      </c>
      <c r="CI29" s="27" t="n">
        <f aca="false">IFERROR(CI28/CC28-1,"")</f>
        <v>0.0538839866917402</v>
      </c>
      <c r="CJ29" s="27" t="n">
        <f aca="false">IFERROR(CJ28/CD28-1,"")</f>
        <v>0.0527235653946985</v>
      </c>
      <c r="CK29" s="27" t="n">
        <f aca="false">IFERROR(CK28/CE28-1,"")</f>
        <v>0.0549510337323178</v>
      </c>
      <c r="CL29" s="27" t="n">
        <f aca="false">IFERROR(CL28/CF28-1,"")</f>
        <v>0.0538753692502461</v>
      </c>
      <c r="CM29" s="28" t="n">
        <f aca="false">IFERROR(CM28/CG28-1,"")</f>
        <v>0.0549510337323178</v>
      </c>
      <c r="CN29" s="28" t="n">
        <f aca="false">IFERROR(CN28/CH28-1,"")</f>
        <v>0.0549510337323176</v>
      </c>
      <c r="CO29" s="28" t="n">
        <f aca="false">IFERROR(CO28/CI28-1,"")</f>
        <v>0.0544262311241888</v>
      </c>
      <c r="CP29" s="28" t="n">
        <f aca="false">CHOOSE(MATCH($CT$2,{"Bull","Base","Bear"},0),$DC$27,$DD$27,$DE$27)</f>
        <v>0.045</v>
      </c>
      <c r="CQ29" s="28" t="n">
        <f aca="false">CHOOSE(MATCH($CT$2,{"Bull","Base","Bear"},0),$DC$28,$DD$28,$DE$28)</f>
        <v>0.045</v>
      </c>
      <c r="CR29" s="28" t="n">
        <f aca="false">CHOOSE(MATCH($CT$2,{"Bull","Base","Bear"},0),$DC$29,$DD$29,$DE$29)</f>
        <v>0.045</v>
      </c>
      <c r="CS29" s="28" t="n">
        <f aca="false">CHOOSE(MATCH($CT$2,{"Bull","Base","Bear"},0),$DC$30,$DD$30,$DE$30)</f>
        <v>0.045</v>
      </c>
      <c r="CT29" s="23" t="s">
        <v>142</v>
      </c>
      <c r="CV29" s="7"/>
      <c r="CW29" s="7"/>
      <c r="CX29" s="7"/>
      <c r="CY29" s="7"/>
      <c r="DB29" s="13" t="s">
        <v>134</v>
      </c>
      <c r="DC29" s="43" t="n">
        <f aca="false">DD29+$DC$26</f>
        <v>0.065</v>
      </c>
      <c r="DD29" s="36" t="n">
        <v>0.045</v>
      </c>
      <c r="DE29" s="43" t="n">
        <f aca="false">DD29+$DE$26</f>
        <v>0.015</v>
      </c>
    </row>
    <row r="30" customFormat="false" ht="15" hidden="false" customHeight="true" outlineLevel="0" collapsed="false">
      <c r="B30" s="13" t="s">
        <v>108</v>
      </c>
      <c r="C30" s="30"/>
      <c r="D30" s="30"/>
      <c r="E30" s="31" t="n">
        <v>102.9</v>
      </c>
      <c r="F30" s="31" t="n">
        <v>95.5</v>
      </c>
      <c r="G30" s="31" t="n">
        <v>113.9</v>
      </c>
      <c r="H30" s="31" t="n">
        <v>129.3</v>
      </c>
      <c r="I30" s="31" t="n">
        <v>146</v>
      </c>
      <c r="J30" s="31" t="n">
        <v>36.6</v>
      </c>
      <c r="K30" s="31" t="n">
        <v>41.1</v>
      </c>
      <c r="L30" s="30" t="n">
        <f aca="false">J30+K30</f>
        <v>77.7</v>
      </c>
      <c r="M30" s="31" t="n">
        <v>39.9</v>
      </c>
      <c r="N30" s="31" t="n">
        <v>44.4</v>
      </c>
      <c r="O30" s="31" t="n">
        <v>162</v>
      </c>
      <c r="P30" s="31" t="n">
        <v>37.5</v>
      </c>
      <c r="Q30" s="31" t="n">
        <v>43.8</v>
      </c>
      <c r="R30" s="30" t="n">
        <f aca="false">P30+Q30</f>
        <v>81.3</v>
      </c>
      <c r="S30" s="31" t="n">
        <v>46.9</v>
      </c>
      <c r="T30" s="31" t="n">
        <v>53.4</v>
      </c>
      <c r="U30" s="31" t="n">
        <v>181.6</v>
      </c>
      <c r="V30" s="31" t="n">
        <v>42.1</v>
      </c>
      <c r="W30" s="31" t="n">
        <v>45.7</v>
      </c>
      <c r="X30" s="30" t="n">
        <f aca="false">V30+W30</f>
        <v>87.8</v>
      </c>
      <c r="Y30" s="31" t="n">
        <v>38.6</v>
      </c>
      <c r="Z30" s="31" t="n">
        <v>44.6</v>
      </c>
      <c r="AA30" s="31" t="n">
        <v>171</v>
      </c>
      <c r="AB30" s="31" t="n">
        <v>31.4</v>
      </c>
      <c r="AC30" s="31" t="n">
        <v>20.1</v>
      </c>
      <c r="AD30" s="30" t="n">
        <f aca="false">AB30+AC30</f>
        <v>51.5</v>
      </c>
      <c r="AE30" s="31" t="n">
        <v>28.1</v>
      </c>
      <c r="AF30" s="31" t="n">
        <v>30.2</v>
      </c>
      <c r="AG30" s="31" t="n">
        <v>109.8</v>
      </c>
      <c r="AH30" s="31" t="n">
        <v>30.2</v>
      </c>
      <c r="AI30" s="31" t="n">
        <v>30.5</v>
      </c>
      <c r="AJ30" s="30" t="n">
        <f aca="false">AH30+AI30</f>
        <v>60.7</v>
      </c>
      <c r="AK30" s="31" t="n">
        <v>34.6</v>
      </c>
      <c r="AL30" s="31" t="n">
        <v>30.7</v>
      </c>
      <c r="AM30" s="31" t="n">
        <v>126</v>
      </c>
      <c r="AN30" s="31" t="n">
        <v>27.8</v>
      </c>
      <c r="AO30" s="31" t="n">
        <v>40.9</v>
      </c>
      <c r="AP30" s="30" t="n">
        <f aca="false">AN30+AO30</f>
        <v>68.7</v>
      </c>
      <c r="AQ30" s="31" t="n">
        <v>35.7</v>
      </c>
      <c r="AR30" s="31" t="n">
        <v>43</v>
      </c>
      <c r="AS30" s="31" t="n">
        <v>147.4</v>
      </c>
      <c r="AT30" s="31" t="n">
        <v>39.9</v>
      </c>
      <c r="AU30" s="31" t="n">
        <v>49</v>
      </c>
      <c r="AV30" s="30" t="n">
        <f aca="false">AT30+AU30</f>
        <v>88.9</v>
      </c>
      <c r="AW30" s="31" t="n">
        <v>52</v>
      </c>
      <c r="AX30" s="31" t="n">
        <v>59.5</v>
      </c>
      <c r="AY30" s="31" t="n">
        <v>200.4</v>
      </c>
      <c r="AZ30" s="31" t="n">
        <v>50.8</v>
      </c>
      <c r="BA30" s="31" t="n">
        <v>48.5</v>
      </c>
      <c r="BB30" s="30" t="n">
        <f aca="false">AZ30+BA30</f>
        <v>99.3</v>
      </c>
      <c r="BC30" s="31" t="n">
        <v>50.7</v>
      </c>
      <c r="BD30" s="31" t="n">
        <v>63.2</v>
      </c>
      <c r="BE30" s="31" t="n">
        <v>213.2</v>
      </c>
      <c r="BF30" s="31" t="n">
        <v>59.4</v>
      </c>
      <c r="BG30" s="31" t="n">
        <v>64.6</v>
      </c>
      <c r="BH30" s="30" t="n">
        <f aca="false">BF30+BG30</f>
        <v>124</v>
      </c>
      <c r="BI30" s="31" t="n">
        <v>63</v>
      </c>
      <c r="BJ30" s="31" t="n">
        <v>66.7</v>
      </c>
      <c r="BK30" s="31" t="n">
        <v>253.7</v>
      </c>
      <c r="BL30" s="31" t="n">
        <v>71.6</v>
      </c>
      <c r="BM30" s="31" t="n">
        <v>73.6</v>
      </c>
      <c r="BN30" s="30" t="n">
        <f aca="false">BL30+BM30</f>
        <v>145.2</v>
      </c>
      <c r="BO30" s="31" t="n">
        <v>71.1</v>
      </c>
      <c r="BP30" s="31" t="n">
        <v>79</v>
      </c>
      <c r="BQ30" s="31" t="n">
        <v>295.3</v>
      </c>
      <c r="BR30" s="31" t="n">
        <v>80.7</v>
      </c>
      <c r="BS30" s="31" t="n">
        <v>81.4</v>
      </c>
      <c r="BT30" s="30" t="n">
        <f aca="false">BR30+BS30</f>
        <v>162.1</v>
      </c>
      <c r="BU30" s="31" t="n">
        <v>85.5</v>
      </c>
      <c r="BV30" s="31" t="n">
        <v>90.7</v>
      </c>
      <c r="BW30" s="31" t="n">
        <v>338.3</v>
      </c>
      <c r="BX30" s="31" t="n">
        <v>86</v>
      </c>
      <c r="BY30" s="31" t="n">
        <v>87.2</v>
      </c>
      <c r="BZ30" s="30" t="n">
        <f aca="false">BX30+BY30</f>
        <v>173.2</v>
      </c>
      <c r="CA30" s="31" t="n">
        <v>96.3</v>
      </c>
      <c r="CB30" s="31" t="n">
        <v>100.8</v>
      </c>
      <c r="CC30" s="31" t="n">
        <v>370.3</v>
      </c>
      <c r="CD30" s="31" t="n">
        <v>92.7</v>
      </c>
      <c r="CE30" s="31" t="n">
        <v>101.6</v>
      </c>
      <c r="CF30" s="30" t="n">
        <f aca="false">CD30+CE30</f>
        <v>194.3</v>
      </c>
      <c r="CG30" s="31" t="n">
        <v>98.8</v>
      </c>
      <c r="CH30" s="31" t="n">
        <v>107.3</v>
      </c>
      <c r="CI30" s="31" t="n">
        <v>400.4</v>
      </c>
      <c r="CJ30" s="31" t="n">
        <v>88.4</v>
      </c>
      <c r="CK30" s="31" t="n">
        <v>101.4</v>
      </c>
      <c r="CL30" s="30" t="n">
        <f aca="false">CJ30+CK30</f>
        <v>189.8</v>
      </c>
      <c r="CM30" s="32" t="n">
        <f aca="false">CM33-CM31-CM32</f>
        <v>93.1762879838613</v>
      </c>
      <c r="CN30" s="32" t="n">
        <f aca="false">CN33-CN31-CN32</f>
        <v>93.5889260319386</v>
      </c>
      <c r="CO30" s="32" t="n">
        <f aca="false">SUM(CJ30,CK30,CM30,CN30)</f>
        <v>376.5652140158</v>
      </c>
      <c r="CP30" s="32" t="n">
        <f aca="false">CP33-CP31-CP32</f>
        <v>420.631906099787</v>
      </c>
      <c r="CQ30" s="32" t="n">
        <f aca="false">CQ33-CQ31-CQ32</f>
        <v>448.704354220541</v>
      </c>
      <c r="CR30" s="32" t="n">
        <f aca="false">CR33-CR31-CR32</f>
        <v>480.899956130092</v>
      </c>
      <c r="CS30" s="32" t="n">
        <f aca="false">CS33-CS31-CS32</f>
        <v>513.743772203625</v>
      </c>
      <c r="CT30" s="23" t="s">
        <v>109</v>
      </c>
      <c r="CV30" s="24" t="n">
        <f aca="false">IFERROR((CS30/CI30)^(1/5)-1,"n/m")</f>
        <v>0.0511156450732539</v>
      </c>
      <c r="CW30" s="24" t="n">
        <f aca="false">IFERROR((CI30/BE30)^(1/5)-1,"n/m")</f>
        <v>0.134335107635345</v>
      </c>
      <c r="CX30" s="24" t="n">
        <f aca="false">IFERROR((CI30/AA30)^(1/10)-1,"n/m")</f>
        <v>0.0888042210013016</v>
      </c>
      <c r="CY30" s="24" t="str">
        <f aca="false">IFERROR((CI30/C30)^(1/19)-1,"n/m")</f>
        <v>n/m</v>
      </c>
      <c r="DB30" s="13" t="s">
        <v>136</v>
      </c>
      <c r="DC30" s="43" t="n">
        <f aca="false">DD30+$DC$26</f>
        <v>0.065</v>
      </c>
      <c r="DD30" s="36" t="n">
        <v>0.045</v>
      </c>
      <c r="DE30" s="43" t="n">
        <f aca="false">DD30+$DE$26</f>
        <v>0.015</v>
      </c>
    </row>
    <row r="31" customFormat="false" ht="15" hidden="false" customHeight="true" outlineLevel="0" collapsed="false">
      <c r="B31" s="13" t="s">
        <v>111</v>
      </c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1" t="n">
        <v>4.8</v>
      </c>
      <c r="BA31" s="31" t="n">
        <v>5.1</v>
      </c>
      <c r="BB31" s="30" t="n">
        <f aca="false">AZ31+BA31</f>
        <v>9.9</v>
      </c>
      <c r="BC31" s="31" t="n">
        <v>5.1</v>
      </c>
      <c r="BD31" s="31" t="n">
        <v>4.8</v>
      </c>
      <c r="BE31" s="31" t="n">
        <v>19.8</v>
      </c>
      <c r="BF31" s="31" t="n">
        <v>5</v>
      </c>
      <c r="BG31" s="31" t="n">
        <v>5.2</v>
      </c>
      <c r="BH31" s="30" t="n">
        <f aca="false">BF31+BG31</f>
        <v>10.2</v>
      </c>
      <c r="BI31" s="31" t="n">
        <v>5</v>
      </c>
      <c r="BJ31" s="31" t="n">
        <v>4.9</v>
      </c>
      <c r="BK31" s="31" t="n">
        <v>20.1</v>
      </c>
      <c r="BL31" s="31" t="n">
        <v>4.9</v>
      </c>
      <c r="BM31" s="31" t="n">
        <v>4.7</v>
      </c>
      <c r="BN31" s="30" t="n">
        <f aca="false">BL31+BM31</f>
        <v>9.6</v>
      </c>
      <c r="BO31" s="31" t="n">
        <v>4</v>
      </c>
      <c r="BP31" s="31" t="n">
        <v>3.6</v>
      </c>
      <c r="BQ31" s="31" t="n">
        <v>17.2</v>
      </c>
      <c r="BR31" s="31" t="n">
        <v>3.7</v>
      </c>
      <c r="BS31" s="31" t="n">
        <v>3.5</v>
      </c>
      <c r="BT31" s="30" t="n">
        <f aca="false">BR31+BS31</f>
        <v>7.2</v>
      </c>
      <c r="BU31" s="31" t="n">
        <v>3.5</v>
      </c>
      <c r="BV31" s="31" t="n">
        <v>3.5</v>
      </c>
      <c r="BW31" s="31" t="n">
        <v>14.2</v>
      </c>
      <c r="BX31" s="31" t="n">
        <v>3.4</v>
      </c>
      <c r="BY31" s="31" t="n">
        <v>3.5</v>
      </c>
      <c r="BZ31" s="30" t="n">
        <f aca="false">BX31+BY31</f>
        <v>6.9</v>
      </c>
      <c r="CA31" s="31" t="n">
        <v>3.5</v>
      </c>
      <c r="CB31" s="31" t="n">
        <v>3.4</v>
      </c>
      <c r="CC31" s="31" t="n">
        <v>13.9</v>
      </c>
      <c r="CD31" s="31" t="n">
        <v>3.2</v>
      </c>
      <c r="CE31" s="31" t="n">
        <v>3.3</v>
      </c>
      <c r="CF31" s="30" t="n">
        <f aca="false">CD31+CE31</f>
        <v>6.5</v>
      </c>
      <c r="CG31" s="31" t="n">
        <v>3.3</v>
      </c>
      <c r="CH31" s="31" t="n">
        <v>3.1</v>
      </c>
      <c r="CI31" s="31" t="n">
        <v>12.9</v>
      </c>
      <c r="CJ31" s="31" t="n">
        <v>3.5</v>
      </c>
      <c r="CK31" s="31" t="n">
        <v>3.4</v>
      </c>
      <c r="CL31" s="30" t="n">
        <f aca="false">CJ31+CK31</f>
        <v>6.9</v>
      </c>
      <c r="CM31" s="32" t="n">
        <f aca="false">CM125*$CL$31/($CL$14+$CL$31+$CL$51+$CL$70)</f>
        <v>3.41355633802817</v>
      </c>
      <c r="CN31" s="32" t="n">
        <f aca="false">CN125*$CL$31/($CL$14+$CL$31+$CL$51+$CL$70)</f>
        <v>3.41355633802817</v>
      </c>
      <c r="CO31" s="32" t="n">
        <f aca="false">SUM(CJ31,CK31,CM31,CN31)</f>
        <v>13.7271126760563</v>
      </c>
      <c r="CP31" s="32" t="n">
        <f aca="false">CP371*$CL$31/($CL$14+$CL$31+$CL$51+$CL$70)</f>
        <v>12.8646126760563</v>
      </c>
      <c r="CQ31" s="32" t="n">
        <f aca="false">CQ371*$CL$31/($CL$14+$CL$31+$CL$51+$CL$70)</f>
        <v>12.6884683098592</v>
      </c>
      <c r="CR31" s="32" t="n">
        <f aca="false">CR371*$CL$31/($CL$14+$CL$31+$CL$51+$CL$70)</f>
        <v>10.0220070422535</v>
      </c>
      <c r="CS31" s="32" t="n">
        <f aca="false">CS371*$CL$31/($CL$14+$CL$31+$CL$51+$CL$70)</f>
        <v>8.4306338028169</v>
      </c>
      <c r="CT31" s="23" t="s">
        <v>112</v>
      </c>
      <c r="CV31" s="7"/>
      <c r="CW31" s="7"/>
      <c r="CX31" s="7"/>
      <c r="CY31" s="7"/>
    </row>
    <row r="32" customFormat="false" ht="15" hidden="false" customHeight="true" outlineLevel="0" collapsed="false">
      <c r="B32" s="13" t="s">
        <v>114</v>
      </c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1" t="n">
        <v>3</v>
      </c>
      <c r="CC32" s="31" t="n">
        <v>3</v>
      </c>
      <c r="CD32" s="30"/>
      <c r="CE32" s="30"/>
      <c r="CF32" s="30"/>
      <c r="CG32" s="30"/>
      <c r="CH32" s="30"/>
      <c r="CI32" s="30"/>
      <c r="CJ32" s="30"/>
      <c r="CK32" s="30"/>
      <c r="CL32" s="30"/>
      <c r="CM32" s="33" t="n">
        <v>0</v>
      </c>
      <c r="CN32" s="33" t="n">
        <v>0</v>
      </c>
      <c r="CO32" s="32" t="n">
        <f aca="false">SUM(CJ32,CK32,CM32,CN32)</f>
        <v>0</v>
      </c>
      <c r="CP32" s="33" t="n">
        <v>0</v>
      </c>
      <c r="CQ32" s="33" t="n">
        <v>0</v>
      </c>
      <c r="CR32" s="33" t="n">
        <v>0</v>
      </c>
      <c r="CS32" s="33" t="n">
        <v>0</v>
      </c>
      <c r="CT32" s="23"/>
      <c r="CV32" s="7"/>
      <c r="CW32" s="7"/>
      <c r="CX32" s="7"/>
      <c r="CY32" s="7"/>
      <c r="DB32" s="18" t="s">
        <v>143</v>
      </c>
      <c r="DC32" s="42" t="n">
        <v>0.03</v>
      </c>
      <c r="DD32" s="25" t="s">
        <v>127</v>
      </c>
      <c r="DE32" s="42" t="n">
        <v>-0.04</v>
      </c>
      <c r="DF32" s="16" t="s">
        <v>144</v>
      </c>
    </row>
    <row r="33" customFormat="false" ht="15" hidden="false" customHeight="true" outlineLevel="0" collapsed="false">
      <c r="B33" s="34" t="s">
        <v>117</v>
      </c>
      <c r="C33" s="35" t="str">
        <f aca="false">IF(OR(ISNUMBER(C34),ISNUMBER(C31)),C30+N(C31)+N(C32),"")</f>
        <v/>
      </c>
      <c r="D33" s="35" t="str">
        <f aca="false">IF(OR(ISNUMBER(D34),ISNUMBER(D31)),D30+N(D31)+N(D32),"")</f>
        <v/>
      </c>
      <c r="E33" s="35" t="str">
        <f aca="false">IF(OR(ISNUMBER(E34),ISNUMBER(E31)),E30+N(E31)+N(E32),"")</f>
        <v/>
      </c>
      <c r="F33" s="35" t="str">
        <f aca="false">IF(OR(ISNUMBER(F34),ISNUMBER(F31)),F30+N(F31)+N(F32),"")</f>
        <v/>
      </c>
      <c r="G33" s="35" t="str">
        <f aca="false">IF(OR(ISNUMBER(G34),ISNUMBER(G31)),G30+N(G31)+N(G32),"")</f>
        <v/>
      </c>
      <c r="H33" s="35" t="str">
        <f aca="false">IF(OR(ISNUMBER(H34),ISNUMBER(H31)),H30+N(H31)+N(H32),"")</f>
        <v/>
      </c>
      <c r="I33" s="35" t="str">
        <f aca="false">IF(OR(ISNUMBER(I34),ISNUMBER(I31)),I30+N(I31)+N(I32),"")</f>
        <v/>
      </c>
      <c r="J33" s="20" t="str">
        <f aca="false">IF(OR(ISNUMBER(J34),ISNUMBER(J31)),J30+N(J31)+N(J32),"")</f>
        <v/>
      </c>
      <c r="K33" s="20" t="str">
        <f aca="false">IF(OR(ISNUMBER(K34),ISNUMBER(K31)),K30+N(K31)+N(K32),"")</f>
        <v/>
      </c>
      <c r="L33" s="20" t="str">
        <f aca="false">IF(OR(ISNUMBER(L34),ISNUMBER(L31)),L30+N(L31)+N(L32),"")</f>
        <v/>
      </c>
      <c r="M33" s="20" t="str">
        <f aca="false">IF(OR(ISNUMBER(M34),ISNUMBER(M31)),M30+N(M31)+N(M32),"")</f>
        <v/>
      </c>
      <c r="N33" s="20" t="str">
        <f aca="false">IF(OR(ISNUMBER(N34),ISNUMBER(N31)),N30+N(N31)+N(N32),"")</f>
        <v/>
      </c>
      <c r="O33" s="35" t="str">
        <f aca="false">IF(OR(ISNUMBER(O34),ISNUMBER(O31)),O30+N(O31)+N(O32),"")</f>
        <v/>
      </c>
      <c r="P33" s="20" t="str">
        <f aca="false">IF(OR(ISNUMBER(P34),ISNUMBER(P31)),P30+N(P31)+N(P32),"")</f>
        <v/>
      </c>
      <c r="Q33" s="20" t="str">
        <f aca="false">IF(OR(ISNUMBER(Q34),ISNUMBER(Q31)),Q30+N(Q31)+N(Q32),"")</f>
        <v/>
      </c>
      <c r="R33" s="20" t="str">
        <f aca="false">IF(OR(ISNUMBER(R34),ISNUMBER(R31)),R30+N(R31)+N(R32),"")</f>
        <v/>
      </c>
      <c r="S33" s="20" t="str">
        <f aca="false">IF(OR(ISNUMBER(S34),ISNUMBER(S31)),S30+N(S31)+N(S32),"")</f>
        <v/>
      </c>
      <c r="T33" s="20" t="str">
        <f aca="false">IF(OR(ISNUMBER(T34),ISNUMBER(T31)),T30+N(T31)+N(T32),"")</f>
        <v/>
      </c>
      <c r="U33" s="35" t="str">
        <f aca="false">IF(OR(ISNUMBER(U34),ISNUMBER(U31)),U30+N(U31)+N(U32),"")</f>
        <v/>
      </c>
      <c r="V33" s="20" t="str">
        <f aca="false">IF(OR(ISNUMBER(V34),ISNUMBER(V31)),V30+N(V31)+N(V32),"")</f>
        <v/>
      </c>
      <c r="W33" s="20" t="str">
        <f aca="false">IF(OR(ISNUMBER(W34),ISNUMBER(W31)),W30+N(W31)+N(W32),"")</f>
        <v/>
      </c>
      <c r="X33" s="20" t="str">
        <f aca="false">IF(OR(ISNUMBER(X34),ISNUMBER(X31)),X30+N(X31)+N(X32),"")</f>
        <v/>
      </c>
      <c r="Y33" s="20" t="str">
        <f aca="false">IF(OR(ISNUMBER(Y34),ISNUMBER(Y31)),Y30+N(Y31)+N(Y32),"")</f>
        <v/>
      </c>
      <c r="Z33" s="20" t="str">
        <f aca="false">IF(OR(ISNUMBER(Z34),ISNUMBER(Z31)),Z30+N(Z31)+N(Z32),"")</f>
        <v/>
      </c>
      <c r="AA33" s="35" t="str">
        <f aca="false">IF(OR(ISNUMBER(AA34),ISNUMBER(AA31)),AA30+N(AA31)+N(AA32),"")</f>
        <v/>
      </c>
      <c r="AB33" s="20" t="str">
        <f aca="false">IF(OR(ISNUMBER(AB34),ISNUMBER(AB31)),AB30+N(AB31)+N(AB32),"")</f>
        <v/>
      </c>
      <c r="AC33" s="20" t="str">
        <f aca="false">IF(OR(ISNUMBER(AC34),ISNUMBER(AC31)),AC30+N(AC31)+N(AC32),"")</f>
        <v/>
      </c>
      <c r="AD33" s="20" t="str">
        <f aca="false">IF(OR(ISNUMBER(AD34),ISNUMBER(AD31)),AD30+N(AD31)+N(AD32),"")</f>
        <v/>
      </c>
      <c r="AE33" s="20" t="str">
        <f aca="false">IF(OR(ISNUMBER(AE34),ISNUMBER(AE31)),AE30+N(AE31)+N(AE32),"")</f>
        <v/>
      </c>
      <c r="AF33" s="20" t="str">
        <f aca="false">IF(OR(ISNUMBER(AF34),ISNUMBER(AF31)),AF30+N(AF31)+N(AF32),"")</f>
        <v/>
      </c>
      <c r="AG33" s="35" t="str">
        <f aca="false">IF(OR(ISNUMBER(AG34),ISNUMBER(AG31)),AG30+N(AG31)+N(AG32),"")</f>
        <v/>
      </c>
      <c r="AH33" s="20" t="str">
        <f aca="false">IF(OR(ISNUMBER(AH34),ISNUMBER(AH31)),AH30+N(AH31)+N(AH32),"")</f>
        <v/>
      </c>
      <c r="AI33" s="20" t="str">
        <f aca="false">IF(OR(ISNUMBER(AI34),ISNUMBER(AI31)),AI30+N(AI31)+N(AI32),"")</f>
        <v/>
      </c>
      <c r="AJ33" s="20" t="str">
        <f aca="false">IF(OR(ISNUMBER(AJ34),ISNUMBER(AJ31)),AJ30+N(AJ31)+N(AJ32),"")</f>
        <v/>
      </c>
      <c r="AK33" s="20" t="str">
        <f aca="false">IF(OR(ISNUMBER(AK34),ISNUMBER(AK31)),AK30+N(AK31)+N(AK32),"")</f>
        <v/>
      </c>
      <c r="AL33" s="20" t="str">
        <f aca="false">IF(OR(ISNUMBER(AL34),ISNUMBER(AL31)),AL30+N(AL31)+N(AL32),"")</f>
        <v/>
      </c>
      <c r="AM33" s="35" t="str">
        <f aca="false">IF(OR(ISNUMBER(AM34),ISNUMBER(AM31)),AM30+N(AM31)+N(AM32),"")</f>
        <v/>
      </c>
      <c r="AN33" s="20" t="str">
        <f aca="false">IF(OR(ISNUMBER(AN34),ISNUMBER(AN31)),AN30+N(AN31)+N(AN32),"")</f>
        <v/>
      </c>
      <c r="AO33" s="20" t="str">
        <f aca="false">IF(OR(ISNUMBER(AO34),ISNUMBER(AO31)),AO30+N(AO31)+N(AO32),"")</f>
        <v/>
      </c>
      <c r="AP33" s="20" t="str">
        <f aca="false">IF(OR(ISNUMBER(AP34),ISNUMBER(AP31)),AP30+N(AP31)+N(AP32),"")</f>
        <v/>
      </c>
      <c r="AQ33" s="20" t="str">
        <f aca="false">IF(OR(ISNUMBER(AQ34),ISNUMBER(AQ31)),AQ30+N(AQ31)+N(AQ32),"")</f>
        <v/>
      </c>
      <c r="AR33" s="20" t="str">
        <f aca="false">IF(OR(ISNUMBER(AR34),ISNUMBER(AR31)),AR30+N(AR31)+N(AR32),"")</f>
        <v/>
      </c>
      <c r="AS33" s="35" t="str">
        <f aca="false">IF(OR(ISNUMBER(AS34),ISNUMBER(AS31)),AS30+N(AS31)+N(AS32),"")</f>
        <v/>
      </c>
      <c r="AT33" s="20" t="str">
        <f aca="false">IF(OR(ISNUMBER(AT34),ISNUMBER(AT31)),AT30+N(AT31)+N(AT32),"")</f>
        <v/>
      </c>
      <c r="AU33" s="20" t="str">
        <f aca="false">IF(OR(ISNUMBER(AU34),ISNUMBER(AU31)),AU30+N(AU31)+N(AU32),"")</f>
        <v/>
      </c>
      <c r="AV33" s="20" t="str">
        <f aca="false">IF(OR(ISNUMBER(AV34),ISNUMBER(AV31)),AV30+N(AV31)+N(AV32),"")</f>
        <v/>
      </c>
      <c r="AW33" s="20" t="str">
        <f aca="false">IF(OR(ISNUMBER(AW34),ISNUMBER(AW31)),AW30+N(AW31)+N(AW32),"")</f>
        <v/>
      </c>
      <c r="AX33" s="20" t="str">
        <f aca="false">IF(OR(ISNUMBER(AX34),ISNUMBER(AX31)),AX30+N(AX31)+N(AX32),"")</f>
        <v/>
      </c>
      <c r="AY33" s="35" t="str">
        <f aca="false">IF(OR(ISNUMBER(AY34),ISNUMBER(AY31)),AY30+N(AY31)+N(AY32),"")</f>
        <v/>
      </c>
      <c r="AZ33" s="20" t="n">
        <f aca="false">IF(OR(ISNUMBER(AZ34),ISNUMBER(AZ31)),AZ30+N(AZ31)+N(AZ32),"")</f>
        <v>55.6</v>
      </c>
      <c r="BA33" s="20" t="n">
        <f aca="false">IF(OR(ISNUMBER(BA34),ISNUMBER(BA31)),BA30+N(BA31)+N(BA32),"")</f>
        <v>53.6</v>
      </c>
      <c r="BB33" s="20" t="n">
        <f aca="false">IF(OR(ISNUMBER(BB34),ISNUMBER(BB31)),BB30+N(BB31)+N(BB32),"")</f>
        <v>109.2</v>
      </c>
      <c r="BC33" s="20" t="n">
        <f aca="false">IF(OR(ISNUMBER(BC34),ISNUMBER(BC31)),BC30+N(BC31)+N(BC32),"")</f>
        <v>55.8</v>
      </c>
      <c r="BD33" s="20" t="n">
        <f aca="false">IF(OR(ISNUMBER(BD34),ISNUMBER(BD31)),BD30+N(BD31)+N(BD32),"")</f>
        <v>68</v>
      </c>
      <c r="BE33" s="35" t="n">
        <f aca="false">IF(OR(ISNUMBER(BE34),ISNUMBER(BE31)),BE30+N(BE31)+N(BE32),"")</f>
        <v>233</v>
      </c>
      <c r="BF33" s="20" t="n">
        <f aca="false">IF(OR(ISNUMBER(BF34),ISNUMBER(BF31)),BF30+N(BF31)+N(BF32),"")</f>
        <v>64.4</v>
      </c>
      <c r="BG33" s="20" t="n">
        <f aca="false">IF(OR(ISNUMBER(BG34),ISNUMBER(BG31)),BG30+N(BG31)+N(BG32),"")</f>
        <v>69.8</v>
      </c>
      <c r="BH33" s="20" t="n">
        <f aca="false">IF(OR(ISNUMBER(BH34),ISNUMBER(BH31)),BH30+N(BH31)+N(BH32),"")</f>
        <v>134.2</v>
      </c>
      <c r="BI33" s="20" t="n">
        <f aca="false">IF(OR(ISNUMBER(BI34),ISNUMBER(BI31)),BI30+N(BI31)+N(BI32),"")</f>
        <v>68</v>
      </c>
      <c r="BJ33" s="20" t="n">
        <f aca="false">IF(OR(ISNUMBER(BJ34),ISNUMBER(BJ31)),BJ30+N(BJ31)+N(BJ32),"")</f>
        <v>71.6</v>
      </c>
      <c r="BK33" s="35" t="n">
        <f aca="false">IF(OR(ISNUMBER(BK34),ISNUMBER(BK31)),BK30+N(BK31)+N(BK32),"")</f>
        <v>273.8</v>
      </c>
      <c r="BL33" s="20" t="n">
        <f aca="false">IF(OR(ISNUMBER(BL34),ISNUMBER(BL31)),BL30+N(BL31)+N(BL32),"")</f>
        <v>76.5</v>
      </c>
      <c r="BM33" s="20" t="n">
        <f aca="false">IF(OR(ISNUMBER(BM34),ISNUMBER(BM31)),BM30+N(BM31)+N(BM32),"")</f>
        <v>78.3</v>
      </c>
      <c r="BN33" s="20" t="n">
        <f aca="false">IF(OR(ISNUMBER(BN34),ISNUMBER(BN31)),BN30+N(BN31)+N(BN32),"")</f>
        <v>154.8</v>
      </c>
      <c r="BO33" s="20" t="n">
        <f aca="false">IF(OR(ISNUMBER(BO34),ISNUMBER(BO31)),BO30+N(BO31)+N(BO32),"")</f>
        <v>75.1</v>
      </c>
      <c r="BP33" s="20" t="n">
        <f aca="false">IF(OR(ISNUMBER(BP34),ISNUMBER(BP31)),BP30+N(BP31)+N(BP32),"")</f>
        <v>82.6</v>
      </c>
      <c r="BQ33" s="35" t="n">
        <f aca="false">IF(OR(ISNUMBER(BQ34),ISNUMBER(BQ31)),BQ30+N(BQ31)+N(BQ32),"")</f>
        <v>312.5</v>
      </c>
      <c r="BR33" s="20" t="n">
        <f aca="false">IF(OR(ISNUMBER(BR34),ISNUMBER(BR31)),BR30+N(BR31)+N(BR32),"")</f>
        <v>84.4</v>
      </c>
      <c r="BS33" s="20" t="n">
        <f aca="false">IF(OR(ISNUMBER(BS34),ISNUMBER(BS31)),BS30+N(BS31)+N(BS32),"")</f>
        <v>84.9</v>
      </c>
      <c r="BT33" s="20" t="n">
        <f aca="false">IF(OR(ISNUMBER(BT34),ISNUMBER(BT31)),BT30+N(BT31)+N(BT32),"")</f>
        <v>169.3</v>
      </c>
      <c r="BU33" s="20" t="n">
        <f aca="false">IF(OR(ISNUMBER(BU34),ISNUMBER(BU31)),BU30+N(BU31)+N(BU32),"")</f>
        <v>89</v>
      </c>
      <c r="BV33" s="20" t="n">
        <f aca="false">IF(OR(ISNUMBER(BV34),ISNUMBER(BV31)),BV30+N(BV31)+N(BV32),"")</f>
        <v>94.2</v>
      </c>
      <c r="BW33" s="35" t="n">
        <f aca="false">IF(OR(ISNUMBER(BW34),ISNUMBER(BW31)),BW30+N(BW31)+N(BW32),"")</f>
        <v>352.5</v>
      </c>
      <c r="BX33" s="20" t="n">
        <f aca="false">IF(OR(ISNUMBER(BX34),ISNUMBER(BX31)),BX30+N(BX31)+N(BX32),"")</f>
        <v>89.4</v>
      </c>
      <c r="BY33" s="20" t="n">
        <f aca="false">IF(OR(ISNUMBER(BY34),ISNUMBER(BY31)),BY30+N(BY31)+N(BY32),"")</f>
        <v>90.7</v>
      </c>
      <c r="BZ33" s="20" t="n">
        <f aca="false">IF(OR(ISNUMBER(BZ34),ISNUMBER(BZ31)),BZ30+N(BZ31)+N(BZ32),"")</f>
        <v>180.1</v>
      </c>
      <c r="CA33" s="20" t="n">
        <f aca="false">IF(OR(ISNUMBER(CA34),ISNUMBER(CA31)),CA30+N(CA31)+N(CA32),"")</f>
        <v>99.8</v>
      </c>
      <c r="CB33" s="20" t="n">
        <f aca="false">IF(OR(ISNUMBER(CB34),ISNUMBER(CB31)),CB30+N(CB31)+N(CB32),"")</f>
        <v>107.2</v>
      </c>
      <c r="CC33" s="35" t="n">
        <f aca="false">IF(OR(ISNUMBER(CC34),ISNUMBER(CC31)),CC30+N(CC31)+N(CC32),"")</f>
        <v>387.2</v>
      </c>
      <c r="CD33" s="20" t="n">
        <f aca="false">IF(OR(ISNUMBER(CD34),ISNUMBER(CD31)),CD30+N(CD31)+N(CD32),"")</f>
        <v>95.9</v>
      </c>
      <c r="CE33" s="20" t="n">
        <f aca="false">IF(OR(ISNUMBER(CE34),ISNUMBER(CE31)),CE30+N(CE31)+N(CE32),"")</f>
        <v>104.9</v>
      </c>
      <c r="CF33" s="20" t="n">
        <f aca="false">IF(OR(ISNUMBER(CF34),ISNUMBER(CF31)),CF30+N(CF31)+N(CF32),"")</f>
        <v>200.8</v>
      </c>
      <c r="CG33" s="20" t="n">
        <f aca="false">IF(OR(ISNUMBER(CG34),ISNUMBER(CG31)),CG30+N(CG31)+N(CG32),"")</f>
        <v>102.1</v>
      </c>
      <c r="CH33" s="20" t="n">
        <f aca="false">IF(OR(ISNUMBER(CH34),ISNUMBER(CH31)),CH30+N(CH31)+N(CH32),"")</f>
        <v>110.4</v>
      </c>
      <c r="CI33" s="35" t="n">
        <f aca="false">IF(OR(ISNUMBER(CI34),ISNUMBER(CI31)),CI30+N(CI31)+N(CI32),"")</f>
        <v>413.3</v>
      </c>
      <c r="CJ33" s="20" t="n">
        <f aca="false">IF(OR(ISNUMBER(CJ34),ISNUMBER(CJ31)),CJ30+N(CJ31)+N(CJ32),"")</f>
        <v>91.9</v>
      </c>
      <c r="CK33" s="20" t="n">
        <f aca="false">IF(OR(ISNUMBER(CK34),ISNUMBER(CK31)),CK30+N(CK31)+N(CK32),"")</f>
        <v>104.8</v>
      </c>
      <c r="CL33" s="20" t="n">
        <f aca="false">IF(OR(ISNUMBER(CL34),ISNUMBER(CL31)),CL30+N(CL31)+N(CL32),"")</f>
        <v>196.7</v>
      </c>
      <c r="CM33" s="35" t="n">
        <f aca="false">CM28*CM37</f>
        <v>96.5898443218895</v>
      </c>
      <c r="CN33" s="35" t="n">
        <f aca="false">CN28*CN37</f>
        <v>97.0024823699668</v>
      </c>
      <c r="CO33" s="35" t="n">
        <f aca="false">SUM(CJ33,CK33,CM33,CN33)</f>
        <v>390.292326691856</v>
      </c>
      <c r="CP33" s="35" t="n">
        <f aca="false">CP28*CP37</f>
        <v>433.496518775843</v>
      </c>
      <c r="CQ33" s="35" t="n">
        <f aca="false">CQ28*CQ37</f>
        <v>461.3928225304</v>
      </c>
      <c r="CR33" s="35" t="n">
        <f aca="false">CR28*CR37</f>
        <v>490.921963172345</v>
      </c>
      <c r="CS33" s="35" t="n">
        <f aca="false">CS28*CS37</f>
        <v>522.174406006442</v>
      </c>
      <c r="CT33" s="23" t="s">
        <v>118</v>
      </c>
      <c r="CV33" s="24" t="n">
        <f aca="false">IFERROR((CS33/CI33)^(1/5)-1,"n/m")</f>
        <v>0.0478763416594121</v>
      </c>
      <c r="CW33" s="24" t="n">
        <f aca="false">IFERROR((CI33/BE33)^(1/5)-1,"n/m")</f>
        <v>0.12145511691181</v>
      </c>
      <c r="CX33" s="24" t="str">
        <f aca="false">IFERROR((CI33/AA33)^(1/10)-1,"n/m")</f>
        <v>n/m</v>
      </c>
      <c r="CY33" s="24" t="str">
        <f aca="false">IFERROR((CI33/C33)^(1/19)-1,"n/m")</f>
        <v>n/m</v>
      </c>
      <c r="DB33" s="13" t="s">
        <v>130</v>
      </c>
      <c r="DC33" s="43" t="n">
        <f aca="false">DD33+$DC$32</f>
        <v>0.09</v>
      </c>
      <c r="DD33" s="36" t="n">
        <v>0.06</v>
      </c>
      <c r="DE33" s="43" t="n">
        <f aca="false">DD33+$DE$32</f>
        <v>0.02</v>
      </c>
    </row>
    <row r="34" customFormat="false" ht="15" hidden="false" customHeight="true" outlineLevel="0" collapsed="false">
      <c r="B34" s="37" t="s">
        <v>120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1" t="n">
        <v>55.6</v>
      </c>
      <c r="BA34" s="31" t="n">
        <v>53.6</v>
      </c>
      <c r="BB34" s="30" t="n">
        <f aca="false">AZ34+BA34</f>
        <v>109.2</v>
      </c>
      <c r="BC34" s="31" t="n">
        <v>55.8</v>
      </c>
      <c r="BD34" s="31" t="n">
        <v>68</v>
      </c>
      <c r="BE34" s="31" t="n">
        <v>233</v>
      </c>
      <c r="BF34" s="31" t="n">
        <v>64.4</v>
      </c>
      <c r="BG34" s="31" t="n">
        <v>69.8</v>
      </c>
      <c r="BH34" s="30" t="n">
        <f aca="false">BF34+BG34</f>
        <v>134.2</v>
      </c>
      <c r="BI34" s="31" t="n">
        <v>68</v>
      </c>
      <c r="BJ34" s="31" t="n">
        <v>71.6</v>
      </c>
      <c r="BK34" s="31" t="n">
        <v>273.8</v>
      </c>
      <c r="BL34" s="31" t="n">
        <v>76.5</v>
      </c>
      <c r="BM34" s="31" t="n">
        <v>78.3</v>
      </c>
      <c r="BN34" s="30" t="n">
        <f aca="false">BL34+BM34</f>
        <v>154.8</v>
      </c>
      <c r="BO34" s="31" t="n">
        <v>75.1</v>
      </c>
      <c r="BP34" s="31" t="n">
        <v>82.6</v>
      </c>
      <c r="BQ34" s="31" t="n">
        <v>312.5</v>
      </c>
      <c r="BR34" s="31" t="n">
        <v>84.4</v>
      </c>
      <c r="BS34" s="31" t="n">
        <v>84.9</v>
      </c>
      <c r="BT34" s="30" t="n">
        <f aca="false">BR34+BS34</f>
        <v>169.3</v>
      </c>
      <c r="BU34" s="31" t="n">
        <v>89</v>
      </c>
      <c r="BV34" s="31" t="n">
        <v>94.2</v>
      </c>
      <c r="BW34" s="31" t="n">
        <v>352.5</v>
      </c>
      <c r="BX34" s="31" t="n">
        <v>89.4</v>
      </c>
      <c r="BY34" s="31" t="n">
        <v>90.7</v>
      </c>
      <c r="BZ34" s="30" t="n">
        <f aca="false">BX34+BY34</f>
        <v>180.1</v>
      </c>
      <c r="CA34" s="31" t="n">
        <v>99.8</v>
      </c>
      <c r="CB34" s="31" t="n">
        <v>107.2</v>
      </c>
      <c r="CC34" s="31" t="n">
        <v>387.2</v>
      </c>
      <c r="CD34" s="31" t="n">
        <v>95.9</v>
      </c>
      <c r="CE34" s="31" t="n">
        <v>104.9</v>
      </c>
      <c r="CF34" s="30" t="n">
        <f aca="false">CD34+CE34</f>
        <v>200.8</v>
      </c>
      <c r="CG34" s="31" t="n">
        <v>102.1</v>
      </c>
      <c r="CH34" s="31" t="n">
        <v>110.4</v>
      </c>
      <c r="CI34" s="31" t="n">
        <v>413.3</v>
      </c>
      <c r="CJ34" s="31" t="n">
        <v>91.9</v>
      </c>
      <c r="CK34" s="31" t="n">
        <v>104.8</v>
      </c>
      <c r="CL34" s="30" t="n">
        <f aca="false">CJ34+CK34</f>
        <v>196.7</v>
      </c>
      <c r="CM34" s="32"/>
      <c r="CN34" s="32"/>
      <c r="CO34" s="32"/>
      <c r="CP34" s="32"/>
      <c r="CQ34" s="32"/>
      <c r="CR34" s="32"/>
      <c r="CS34" s="32"/>
      <c r="CT34" s="23"/>
      <c r="CV34" s="7"/>
      <c r="CW34" s="7"/>
      <c r="CX34" s="7"/>
      <c r="CY34" s="7"/>
      <c r="DB34" s="13" t="s">
        <v>132</v>
      </c>
      <c r="DC34" s="43" t="n">
        <f aca="false">DD34+$DC$32</f>
        <v>0.085</v>
      </c>
      <c r="DD34" s="36" t="n">
        <v>0.055</v>
      </c>
      <c r="DE34" s="43" t="n">
        <f aca="false">DD34+$DE$32</f>
        <v>0.015</v>
      </c>
    </row>
    <row r="35" customFormat="false" ht="15" hidden="false" customHeight="true" outlineLevel="0" collapsed="false">
      <c r="B35" s="39" t="s">
        <v>122</v>
      </c>
      <c r="C35" s="30" t="str">
        <f aca="false">IF(ISNUMBER(C34),ROUND(C33-C34,1),"n/p")</f>
        <v>n/p</v>
      </c>
      <c r="D35" s="30" t="str">
        <f aca="false">IF(ISNUMBER(D34),ROUND(D33-D34,1),"n/p")</f>
        <v>n/p</v>
      </c>
      <c r="E35" s="30" t="str">
        <f aca="false">IF(ISNUMBER(E34),ROUND(E33-E34,1),"n/p")</f>
        <v>n/p</v>
      </c>
      <c r="F35" s="30" t="str">
        <f aca="false">IF(ISNUMBER(F34),ROUND(F33-F34,1),"n/p")</f>
        <v>n/p</v>
      </c>
      <c r="G35" s="30" t="str">
        <f aca="false">IF(ISNUMBER(G34),ROUND(G33-G34,1),"n/p")</f>
        <v>n/p</v>
      </c>
      <c r="H35" s="30" t="str">
        <f aca="false">IF(ISNUMBER(H34),ROUND(H33-H34,1),"n/p")</f>
        <v>n/p</v>
      </c>
      <c r="I35" s="30" t="str">
        <f aca="false">IF(ISNUMBER(I34),ROUND(I33-I34,1),"n/p")</f>
        <v>n/p</v>
      </c>
      <c r="J35" s="30" t="str">
        <f aca="false">IF(ISNUMBER(J34),ROUND(J33-J34,1),"n/p")</f>
        <v>n/p</v>
      </c>
      <c r="K35" s="30" t="str">
        <f aca="false">IF(ISNUMBER(K34),ROUND(K33-K34,1),"n/p")</f>
        <v>n/p</v>
      </c>
      <c r="L35" s="30" t="str">
        <f aca="false">IF(ISNUMBER(L34),ROUND(L33-L34,1),"n/p")</f>
        <v>n/p</v>
      </c>
      <c r="M35" s="30" t="str">
        <f aca="false">IF(ISNUMBER(M34),ROUND(M33-M34,1),"n/p")</f>
        <v>n/p</v>
      </c>
      <c r="N35" s="30" t="str">
        <f aca="false">IF(ISNUMBER(N34),ROUND(N33-N34,1),"n/p")</f>
        <v>n/p</v>
      </c>
      <c r="O35" s="30" t="str">
        <f aca="false">IF(ISNUMBER(O34),ROUND(O33-O34,1),"n/p")</f>
        <v>n/p</v>
      </c>
      <c r="P35" s="30" t="str">
        <f aca="false">IF(ISNUMBER(P34),ROUND(P33-P34,1),"n/p")</f>
        <v>n/p</v>
      </c>
      <c r="Q35" s="30" t="str">
        <f aca="false">IF(ISNUMBER(Q34),ROUND(Q33-Q34,1),"n/p")</f>
        <v>n/p</v>
      </c>
      <c r="R35" s="30" t="str">
        <f aca="false">IF(ISNUMBER(R34),ROUND(R33-R34,1),"n/p")</f>
        <v>n/p</v>
      </c>
      <c r="S35" s="30" t="str">
        <f aca="false">IF(ISNUMBER(S34),ROUND(S33-S34,1),"n/p")</f>
        <v>n/p</v>
      </c>
      <c r="T35" s="30" t="str">
        <f aca="false">IF(ISNUMBER(T34),ROUND(T33-T34,1),"n/p")</f>
        <v>n/p</v>
      </c>
      <c r="U35" s="30" t="str">
        <f aca="false">IF(ISNUMBER(U34),ROUND(U33-U34,1),"n/p")</f>
        <v>n/p</v>
      </c>
      <c r="V35" s="30" t="str">
        <f aca="false">IF(ISNUMBER(V34),ROUND(V33-V34,1),"n/p")</f>
        <v>n/p</v>
      </c>
      <c r="W35" s="30" t="str">
        <f aca="false">IF(ISNUMBER(W34),ROUND(W33-W34,1),"n/p")</f>
        <v>n/p</v>
      </c>
      <c r="X35" s="30" t="str">
        <f aca="false">IF(ISNUMBER(X34),ROUND(X33-X34,1),"n/p")</f>
        <v>n/p</v>
      </c>
      <c r="Y35" s="30" t="str">
        <f aca="false">IF(ISNUMBER(Y34),ROUND(Y33-Y34,1),"n/p")</f>
        <v>n/p</v>
      </c>
      <c r="Z35" s="30" t="str">
        <f aca="false">IF(ISNUMBER(Z34),ROUND(Z33-Z34,1),"n/p")</f>
        <v>n/p</v>
      </c>
      <c r="AA35" s="30" t="str">
        <f aca="false">IF(ISNUMBER(AA34),ROUND(AA33-AA34,1),"n/p")</f>
        <v>n/p</v>
      </c>
      <c r="AB35" s="30" t="str">
        <f aca="false">IF(ISNUMBER(AB34),ROUND(AB33-AB34,1),"n/p")</f>
        <v>n/p</v>
      </c>
      <c r="AC35" s="30" t="str">
        <f aca="false">IF(ISNUMBER(AC34),ROUND(AC33-AC34,1),"n/p")</f>
        <v>n/p</v>
      </c>
      <c r="AD35" s="30" t="str">
        <f aca="false">IF(ISNUMBER(AD34),ROUND(AD33-AD34,1),"n/p")</f>
        <v>n/p</v>
      </c>
      <c r="AE35" s="30" t="str">
        <f aca="false">IF(ISNUMBER(AE34),ROUND(AE33-AE34,1),"n/p")</f>
        <v>n/p</v>
      </c>
      <c r="AF35" s="30" t="str">
        <f aca="false">IF(ISNUMBER(AF34),ROUND(AF33-AF34,1),"n/p")</f>
        <v>n/p</v>
      </c>
      <c r="AG35" s="30" t="str">
        <f aca="false">IF(ISNUMBER(AG34),ROUND(AG33-AG34,1),"n/p")</f>
        <v>n/p</v>
      </c>
      <c r="AH35" s="30" t="str">
        <f aca="false">IF(ISNUMBER(AH34),ROUND(AH33-AH34,1),"n/p")</f>
        <v>n/p</v>
      </c>
      <c r="AI35" s="30" t="str">
        <f aca="false">IF(ISNUMBER(AI34),ROUND(AI33-AI34,1),"n/p")</f>
        <v>n/p</v>
      </c>
      <c r="AJ35" s="30" t="str">
        <f aca="false">IF(ISNUMBER(AJ34),ROUND(AJ33-AJ34,1),"n/p")</f>
        <v>n/p</v>
      </c>
      <c r="AK35" s="30" t="str">
        <f aca="false">IF(ISNUMBER(AK34),ROUND(AK33-AK34,1),"n/p")</f>
        <v>n/p</v>
      </c>
      <c r="AL35" s="30" t="str">
        <f aca="false">IF(ISNUMBER(AL34),ROUND(AL33-AL34,1),"n/p")</f>
        <v>n/p</v>
      </c>
      <c r="AM35" s="30" t="str">
        <f aca="false">IF(ISNUMBER(AM34),ROUND(AM33-AM34,1),"n/p")</f>
        <v>n/p</v>
      </c>
      <c r="AN35" s="30" t="str">
        <f aca="false">IF(ISNUMBER(AN34),ROUND(AN33-AN34,1),"n/p")</f>
        <v>n/p</v>
      </c>
      <c r="AO35" s="30" t="str">
        <f aca="false">IF(ISNUMBER(AO34),ROUND(AO33-AO34,1),"n/p")</f>
        <v>n/p</v>
      </c>
      <c r="AP35" s="30" t="str">
        <f aca="false">IF(ISNUMBER(AP34),ROUND(AP33-AP34,1),"n/p")</f>
        <v>n/p</v>
      </c>
      <c r="AQ35" s="30" t="str">
        <f aca="false">IF(ISNUMBER(AQ34),ROUND(AQ33-AQ34,1),"n/p")</f>
        <v>n/p</v>
      </c>
      <c r="AR35" s="30" t="str">
        <f aca="false">IF(ISNUMBER(AR34),ROUND(AR33-AR34,1),"n/p")</f>
        <v>n/p</v>
      </c>
      <c r="AS35" s="30" t="str">
        <f aca="false">IF(ISNUMBER(AS34),ROUND(AS33-AS34,1),"n/p")</f>
        <v>n/p</v>
      </c>
      <c r="AT35" s="30" t="str">
        <f aca="false">IF(ISNUMBER(AT34),ROUND(AT33-AT34,1),"n/p")</f>
        <v>n/p</v>
      </c>
      <c r="AU35" s="30" t="str">
        <f aca="false">IF(ISNUMBER(AU34),ROUND(AU33-AU34,1),"n/p")</f>
        <v>n/p</v>
      </c>
      <c r="AV35" s="30" t="str">
        <f aca="false">IF(ISNUMBER(AV34),ROUND(AV33-AV34,1),"n/p")</f>
        <v>n/p</v>
      </c>
      <c r="AW35" s="30" t="str">
        <f aca="false">IF(ISNUMBER(AW34),ROUND(AW33-AW34,1),"n/p")</f>
        <v>n/p</v>
      </c>
      <c r="AX35" s="30" t="str">
        <f aca="false">IF(ISNUMBER(AX34),ROUND(AX33-AX34,1),"n/p")</f>
        <v>n/p</v>
      </c>
      <c r="AY35" s="30" t="str">
        <f aca="false">IF(ISNUMBER(AY34),ROUND(AY33-AY34,1),"n/p")</f>
        <v>n/p</v>
      </c>
      <c r="AZ35" s="30" t="n">
        <f aca="false">IF(ISNUMBER(AZ34),ROUND(AZ33-AZ34,1),"n/p")</f>
        <v>0</v>
      </c>
      <c r="BA35" s="30" t="n">
        <f aca="false">IF(ISNUMBER(BA34),ROUND(BA33-BA34,1),"n/p")</f>
        <v>0</v>
      </c>
      <c r="BB35" s="30" t="n">
        <f aca="false">IF(ISNUMBER(BB34),ROUND(BB33-BB34,1),"n/p")</f>
        <v>0</v>
      </c>
      <c r="BC35" s="30" t="n">
        <f aca="false">IF(ISNUMBER(BC34),ROUND(BC33-BC34,1),"n/p")</f>
        <v>0</v>
      </c>
      <c r="BD35" s="30" t="n">
        <f aca="false">IF(ISNUMBER(BD34),ROUND(BD33-BD34,1),"n/p")</f>
        <v>0</v>
      </c>
      <c r="BE35" s="30" t="n">
        <f aca="false">IF(ISNUMBER(BE34),ROUND(BE33-BE34,1),"n/p")</f>
        <v>0</v>
      </c>
      <c r="BF35" s="30" t="n">
        <f aca="false">IF(ISNUMBER(BF34),ROUND(BF33-BF34,1),"n/p")</f>
        <v>0</v>
      </c>
      <c r="BG35" s="30" t="n">
        <f aca="false">IF(ISNUMBER(BG34),ROUND(BG33-BG34,1),"n/p")</f>
        <v>0</v>
      </c>
      <c r="BH35" s="30" t="n">
        <f aca="false">IF(ISNUMBER(BH34),ROUND(BH33-BH34,1),"n/p")</f>
        <v>0</v>
      </c>
      <c r="BI35" s="30" t="n">
        <f aca="false">IF(ISNUMBER(BI34),ROUND(BI33-BI34,1),"n/p")</f>
        <v>0</v>
      </c>
      <c r="BJ35" s="30" t="n">
        <f aca="false">IF(ISNUMBER(BJ34),ROUND(BJ33-BJ34,1),"n/p")</f>
        <v>0</v>
      </c>
      <c r="BK35" s="30" t="n">
        <f aca="false">IF(ISNUMBER(BK34),ROUND(BK33-BK34,1),"n/p")</f>
        <v>0</v>
      </c>
      <c r="BL35" s="30" t="n">
        <f aca="false">IF(ISNUMBER(BL34),ROUND(BL33-BL34,1),"n/p")</f>
        <v>0</v>
      </c>
      <c r="BM35" s="30" t="n">
        <f aca="false">IF(ISNUMBER(BM34),ROUND(BM33-BM34,1),"n/p")</f>
        <v>0</v>
      </c>
      <c r="BN35" s="30" t="n">
        <f aca="false">IF(ISNUMBER(BN34),ROUND(BN33-BN34,1),"n/p")</f>
        <v>0</v>
      </c>
      <c r="BO35" s="30" t="n">
        <f aca="false">IF(ISNUMBER(BO34),ROUND(BO33-BO34,1),"n/p")</f>
        <v>0</v>
      </c>
      <c r="BP35" s="30" t="n">
        <f aca="false">IF(ISNUMBER(BP34),ROUND(BP33-BP34,1),"n/p")</f>
        <v>0</v>
      </c>
      <c r="BQ35" s="30" t="n">
        <f aca="false">IF(ISNUMBER(BQ34),ROUND(BQ33-BQ34,1),"n/p")</f>
        <v>0</v>
      </c>
      <c r="BR35" s="30" t="n">
        <f aca="false">IF(ISNUMBER(BR34),ROUND(BR33-BR34,1),"n/p")</f>
        <v>0</v>
      </c>
      <c r="BS35" s="30" t="n">
        <f aca="false">IF(ISNUMBER(BS34),ROUND(BS33-BS34,1),"n/p")</f>
        <v>0</v>
      </c>
      <c r="BT35" s="30" t="n">
        <f aca="false">IF(ISNUMBER(BT34),ROUND(BT33-BT34,1),"n/p")</f>
        <v>0</v>
      </c>
      <c r="BU35" s="30" t="n">
        <f aca="false">IF(ISNUMBER(BU34),ROUND(BU33-BU34,1),"n/p")</f>
        <v>0</v>
      </c>
      <c r="BV35" s="30" t="n">
        <f aca="false">IF(ISNUMBER(BV34),ROUND(BV33-BV34,1),"n/p")</f>
        <v>0</v>
      </c>
      <c r="BW35" s="30" t="n">
        <f aca="false">IF(ISNUMBER(BW34),ROUND(BW33-BW34,1),"n/p")</f>
        <v>0</v>
      </c>
      <c r="BX35" s="30" t="n">
        <f aca="false">IF(ISNUMBER(BX34),ROUND(BX33-BX34,1),"n/p")</f>
        <v>0</v>
      </c>
      <c r="BY35" s="30" t="n">
        <f aca="false">IF(ISNUMBER(BY34),ROUND(BY33-BY34,1),"n/p")</f>
        <v>0</v>
      </c>
      <c r="BZ35" s="30" t="n">
        <f aca="false">IF(ISNUMBER(BZ34),ROUND(BZ33-BZ34,1),"n/p")</f>
        <v>0</v>
      </c>
      <c r="CA35" s="30" t="n">
        <f aca="false">IF(ISNUMBER(CA34),ROUND(CA33-CA34,1),"n/p")</f>
        <v>0</v>
      </c>
      <c r="CB35" s="30" t="n">
        <f aca="false">IF(ISNUMBER(CB34),ROUND(CB33-CB34,1),"n/p")</f>
        <v>0</v>
      </c>
      <c r="CC35" s="30" t="n">
        <f aca="false">IF(ISNUMBER(CC34),ROUND(CC33-CC34,1),"n/p")</f>
        <v>0</v>
      </c>
      <c r="CD35" s="30" t="n">
        <f aca="false">IF(ISNUMBER(CD34),ROUND(CD33-CD34,1),"n/p")</f>
        <v>0</v>
      </c>
      <c r="CE35" s="30" t="n">
        <f aca="false">IF(ISNUMBER(CE34),ROUND(CE33-CE34,1),"n/p")</f>
        <v>0</v>
      </c>
      <c r="CF35" s="30" t="n">
        <f aca="false">IF(ISNUMBER(CF34),ROUND(CF33-CF34,1),"n/p")</f>
        <v>0</v>
      </c>
      <c r="CG35" s="30" t="n">
        <f aca="false">IF(ISNUMBER(CG34),ROUND(CG33-CG34,1),"n/p")</f>
        <v>0</v>
      </c>
      <c r="CH35" s="30" t="n">
        <f aca="false">IF(ISNUMBER(CH34),ROUND(CH33-CH34,1),"n/p")</f>
        <v>0</v>
      </c>
      <c r="CI35" s="30" t="n">
        <f aca="false">IF(ISNUMBER(CI34),ROUND(CI33-CI34,1),"n/p")</f>
        <v>0</v>
      </c>
      <c r="CJ35" s="30" t="n">
        <f aca="false">IF(ISNUMBER(CJ34),ROUND(CJ33-CJ34,1),"n/p")</f>
        <v>0</v>
      </c>
      <c r="CK35" s="30" t="n">
        <f aca="false">IF(ISNUMBER(CK34),ROUND(CK33-CK34,1),"n/p")</f>
        <v>0</v>
      </c>
      <c r="CL35" s="30" t="n">
        <f aca="false">IF(ISNUMBER(CL34),ROUND(CL33-CL34,1),"n/p")</f>
        <v>0</v>
      </c>
      <c r="CM35" s="32"/>
      <c r="CN35" s="32"/>
      <c r="CO35" s="32"/>
      <c r="CP35" s="32"/>
      <c r="CQ35" s="32"/>
      <c r="CR35" s="32"/>
      <c r="CS35" s="32"/>
      <c r="CT35" s="23"/>
      <c r="CV35" s="7"/>
      <c r="CW35" s="7"/>
      <c r="CX35" s="7"/>
      <c r="CY35" s="7"/>
      <c r="DB35" s="13" t="s">
        <v>134</v>
      </c>
      <c r="DC35" s="43" t="n">
        <f aca="false">DD35+$DC$32</f>
        <v>0.08</v>
      </c>
      <c r="DD35" s="36" t="n">
        <v>0.05</v>
      </c>
      <c r="DE35" s="43" t="n">
        <f aca="false">DD35+$DE$32</f>
        <v>0.01</v>
      </c>
    </row>
    <row r="36" customFormat="false" ht="15" hidden="false" customHeight="true" outlineLevel="0" collapsed="false">
      <c r="B36" s="26" t="s">
        <v>123</v>
      </c>
      <c r="C36" s="40" t="str">
        <f aca="false">IFERROR(C30/C28,"")</f>
        <v/>
      </c>
      <c r="D36" s="40" t="str">
        <f aca="false">IFERROR(D30/D28,"")</f>
        <v/>
      </c>
      <c r="E36" s="40" t="n">
        <f aca="false">IFERROR(E30/E28,"")</f>
        <v>0.187363437727604</v>
      </c>
      <c r="F36" s="40" t="n">
        <f aca="false">IFERROR(F30/F28,"")</f>
        <v>0.177377414561664</v>
      </c>
      <c r="G36" s="40" t="n">
        <f aca="false">IFERROR(G30/G28,"")</f>
        <v>0.19870900209351</v>
      </c>
      <c r="H36" s="40" t="n">
        <f aca="false">IFERROR(H30/H28,"")</f>
        <v>0.199475470533786</v>
      </c>
      <c r="I36" s="40" t="n">
        <f aca="false">IFERROR(I30/I28,"")</f>
        <v>0.181434074810488</v>
      </c>
      <c r="J36" s="40" t="n">
        <f aca="false">IFERROR(J30/J28,"")</f>
        <v>0.157284056725398</v>
      </c>
      <c r="K36" s="40" t="n">
        <f aca="false">IFERROR(K30/K28,"")</f>
        <v>0.159487776484284</v>
      </c>
      <c r="L36" s="40" t="n">
        <f aca="false">IFERROR(L30/L28,"")</f>
        <v>0.158442088091354</v>
      </c>
      <c r="M36" s="40" t="n">
        <f aca="false">IFERROR(M30/M28,"")</f>
        <v>0.155494933749026</v>
      </c>
      <c r="N36" s="40" t="n">
        <f aca="false">IFERROR(N30/N28,"")</f>
        <v>0.160986221899927</v>
      </c>
      <c r="O36" s="40" t="n">
        <f aca="false">IFERROR(O30/O28,"")</f>
        <v>0.158388736800939</v>
      </c>
      <c r="P36" s="40" t="n">
        <f aca="false">IFERROR(P30/P28,"")</f>
        <v>0.144843568945539</v>
      </c>
      <c r="Q36" s="40" t="n">
        <f aca="false">IFERROR(Q30/Q28,"")</f>
        <v>0.158351409978308</v>
      </c>
      <c r="R36" s="40" t="n">
        <f aca="false">IFERROR(R30/R28,"")</f>
        <v>0.151820728291317</v>
      </c>
      <c r="S36" s="40" t="n">
        <f aca="false">IFERROR(S30/S28,"")</f>
        <v>0.167261055634807</v>
      </c>
      <c r="T36" s="40" t="n">
        <f aca="false">IFERROR(T30/T28,"")</f>
        <v>0.178237650200267</v>
      </c>
      <c r="U36" s="40" t="n">
        <f aca="false">IFERROR(U30/U28,"")</f>
        <v>0.162796952039444</v>
      </c>
      <c r="V36" s="40" t="n">
        <f aca="false">IFERROR(V30/V28,"")</f>
        <v>0.15575286718461</v>
      </c>
      <c r="W36" s="40" t="n">
        <f aca="false">IFERROR(W30/W28,"")</f>
        <v>0.168448212311095</v>
      </c>
      <c r="X36" s="40" t="n">
        <f aca="false">IFERROR(X30/X28,"")</f>
        <v>0.162112259970458</v>
      </c>
      <c r="Y36" s="40" t="n">
        <f aca="false">IFERROR(Y30/Y28,"")</f>
        <v>0.158717105263158</v>
      </c>
      <c r="Z36" s="40" t="n">
        <f aca="false">IFERROR(Z30/Z28,"")</f>
        <v>0.167480285392415</v>
      </c>
      <c r="AA36" s="40" t="n">
        <f aca="false">IFERROR(AA30/AA28,"")</f>
        <v>0.16268670916183</v>
      </c>
      <c r="AB36" s="40" t="n">
        <f aca="false">IFERROR(AB30/AB28,"")</f>
        <v>0.140366562360304</v>
      </c>
      <c r="AC36" s="40" t="n">
        <f aca="false">IFERROR(AC30/AC28,"")</f>
        <v>0.0913221263062245</v>
      </c>
      <c r="AD36" s="40" t="n">
        <f aca="false">IFERROR(AD30/AD28,"")</f>
        <v>0.11604326273096</v>
      </c>
      <c r="AE36" s="40" t="n">
        <f aca="false">IFERROR(AE30/AE28,"")</f>
        <v>0.134901584253481</v>
      </c>
      <c r="AF36" s="40" t="n">
        <f aca="false">IFERROR(AF30/AF28,"")</f>
        <v>0.134461264470169</v>
      </c>
      <c r="AG36" s="40" t="n">
        <f aca="false">IFERROR(AG30/AG28,"")</f>
        <v>0.125242386221056</v>
      </c>
      <c r="AH36" s="40" t="n">
        <f aca="false">IFERROR(AH30/AH28,"")</f>
        <v>0.129725085910653</v>
      </c>
      <c r="AI36" s="40" t="n">
        <f aca="false">IFERROR(AI30/AI28,"")</f>
        <v>0.130453378956373</v>
      </c>
      <c r="AJ36" s="40" t="n">
        <f aca="false">IFERROR(AJ30/AJ28,"")</f>
        <v>0.13009001285898</v>
      </c>
      <c r="AK36" s="40" t="n">
        <f aca="false">IFERROR(AK30/AK28,"")</f>
        <v>0.148817204301075</v>
      </c>
      <c r="AL36" s="40" t="n">
        <f aca="false">IFERROR(AL30/AL28,"")</f>
        <v>0.120486656200942</v>
      </c>
      <c r="AM36" s="40" t="n">
        <f aca="false">IFERROR(AM30/AM28,"")</f>
        <v>0.132089317538526</v>
      </c>
      <c r="AN36" s="40" t="n">
        <f aca="false">IFERROR(AN30/AN28,"")</f>
        <v>0.116317991631799</v>
      </c>
      <c r="AO36" s="40" t="n">
        <f aca="false">IFERROR(AO30/AO28,"")</f>
        <v>0.155750190403656</v>
      </c>
      <c r="AP36" s="40" t="n">
        <f aca="false">IFERROR(AP30/AP28,"")</f>
        <v>0.136961722488038</v>
      </c>
      <c r="AQ36" s="40" t="n">
        <f aca="false">IFERROR(AQ30/AQ28,"")</f>
        <v>0.139344262295082</v>
      </c>
      <c r="AR36" s="40" t="n">
        <f aca="false">IFERROR(AR30/AR28,"")</f>
        <v>0.163249810174639</v>
      </c>
      <c r="AS36" s="40" t="n">
        <f aca="false">IFERROR(AS30/AS28,"")</f>
        <v>0.144339992166079</v>
      </c>
      <c r="AT36" s="40" t="n">
        <f aca="false">IFERROR(AT30/AT28,"")</f>
        <v>0.155555555555556</v>
      </c>
      <c r="AU36" s="40" t="n">
        <f aca="false">IFERROR(AU30/AU28,"")</f>
        <v>0.185535781900795</v>
      </c>
      <c r="AV36" s="40" t="n">
        <f aca="false">IFERROR(AV30/AV28,"")</f>
        <v>0.170764502497119</v>
      </c>
      <c r="AW36" s="40" t="n">
        <f aca="false">IFERROR(AW30/AW28,"")</f>
        <v>0.183810533757512</v>
      </c>
      <c r="AX36" s="40" t="n">
        <f aca="false">IFERROR(AX30/AX28,"")</f>
        <v>0.197281167108753</v>
      </c>
      <c r="AY36" s="40" t="n">
        <f aca="false">IFERROR(AY30/AY28,"")</f>
        <v>0.181341055108135</v>
      </c>
      <c r="AZ36" s="40" t="n">
        <f aca="false">IFERROR(AZ30/AZ28,"")</f>
        <v>0.17818309365135</v>
      </c>
      <c r="BA36" s="40" t="n">
        <f aca="false">IFERROR(BA30/BA28,"")</f>
        <v>0.184340554922083</v>
      </c>
      <c r="BB36" s="40" t="n">
        <f aca="false">IFERROR(BB30/BB28,"")</f>
        <v>0.181138270704123</v>
      </c>
      <c r="BC36" s="40" t="n">
        <f aca="false">IFERROR(BC30/BC28,"")</f>
        <v>0.192409867172676</v>
      </c>
      <c r="BD36" s="40" t="n">
        <f aca="false">IFERROR(BD30/BD28,"")</f>
        <v>0.223479490806223</v>
      </c>
      <c r="BE36" s="40" t="n">
        <f aca="false">IFERROR(BE30/BE28,"")</f>
        <v>0.194792142530836</v>
      </c>
      <c r="BF36" s="40" t="n">
        <f aca="false">IFERROR(BF30/BF28,"")</f>
        <v>0.207329842931937</v>
      </c>
      <c r="BG36" s="40" t="n">
        <f aca="false">IFERROR(BG30/BG28,"")</f>
        <v>0.221916867055994</v>
      </c>
      <c r="BH36" s="40" t="n">
        <f aca="false">IFERROR(BH30/BH28,"")</f>
        <v>0.214681440443213</v>
      </c>
      <c r="BI36" s="40" t="n">
        <f aca="false">IFERROR(BI30/BI28,"")</f>
        <v>0.219435736677116</v>
      </c>
      <c r="BJ36" s="40" t="n">
        <f aca="false">IFERROR(BJ30/BJ28,"")</f>
        <v>0.22071475843812</v>
      </c>
      <c r="BK36" s="40" t="n">
        <f aca="false">IFERROR(BK30/BK28,"")</f>
        <v>0.217413660125118</v>
      </c>
      <c r="BL36" s="40" t="n">
        <f aca="false">IFERROR(BL30/BL28,"")</f>
        <v>0.23179022337326</v>
      </c>
      <c r="BM36" s="40" t="n">
        <f aca="false">IFERROR(BM30/BM28,"")</f>
        <v>0.23552</v>
      </c>
      <c r="BN36" s="40" t="n">
        <f aca="false">IFERROR(BN30/BN28,"")</f>
        <v>0.233665915674284</v>
      </c>
      <c r="BO36" s="40" t="n">
        <f aca="false">IFERROR(BO30/BO28,"")</f>
        <v>0.232049608355091</v>
      </c>
      <c r="BP36" s="40" t="n">
        <f aca="false">IFERROR(BP30/BP28,"")</f>
        <v>0.242182709993869</v>
      </c>
      <c r="BQ36" s="40" t="n">
        <f aca="false">IFERROR(BQ30/BQ28,"")</f>
        <v>0.23548644338118</v>
      </c>
      <c r="BR36" s="40" t="n">
        <f aca="false">IFERROR(BR30/BR28,"")</f>
        <v>0.241979010494753</v>
      </c>
      <c r="BS36" s="40" t="n">
        <f aca="false">IFERROR(BS30/BS28,"")</f>
        <v>0.247868453105968</v>
      </c>
      <c r="BT36" s="40" t="n">
        <f aca="false">IFERROR(BT30/BT28,"")</f>
        <v>0.244901042453543</v>
      </c>
      <c r="BU36" s="40" t="n">
        <f aca="false">IFERROR(BU30/BU28,"")</f>
        <v>0.259799453053783</v>
      </c>
      <c r="BV36" s="40" t="n">
        <f aca="false">IFERROR(BV30/BV28,"")</f>
        <v>0.270584725536993</v>
      </c>
      <c r="BW36" s="40" t="n">
        <f aca="false">IFERROR(BW30/BW28,"")</f>
        <v>0.255089730055799</v>
      </c>
      <c r="BX36" s="40" t="n">
        <f aca="false">IFERROR(BX30/BX28,"")</f>
        <v>0.260290556900726</v>
      </c>
      <c r="BY36" s="40" t="n">
        <f aca="false">IFERROR(BY30/BY28,"")</f>
        <v>0.261469265367316</v>
      </c>
      <c r="BZ36" s="40" t="n">
        <f aca="false">IFERROR(BZ30/BZ28,"")</f>
        <v>0.260882663051664</v>
      </c>
      <c r="CA36" s="40" t="n">
        <f aca="false">IFERROR(CA30/CA28,"")</f>
        <v>0.275300171526587</v>
      </c>
      <c r="CB36" s="40" t="n">
        <f aca="false">IFERROR(CB30/CB28,"")</f>
        <v>0.273244781783681</v>
      </c>
      <c r="CC36" s="40" t="n">
        <f aca="false">IFERROR(CC30/CC28,"")</f>
        <v>0.267828728482569</v>
      </c>
      <c r="CD36" s="40" t="n">
        <f aca="false">IFERROR(CD30/CD28,"")</f>
        <v>0.270026216137489</v>
      </c>
      <c r="CE36" s="40" t="n">
        <f aca="false">IFERROR(CE30/CE28,"")</f>
        <v>0.276387377584331</v>
      </c>
      <c r="CF36" s="40" t="n">
        <f aca="false">IFERROR(CF30/CF28,"")</f>
        <v>0.273315515543677</v>
      </c>
      <c r="CG36" s="40" t="n">
        <f aca="false">IFERROR(CG30/CG28,"")</f>
        <v>0.271727172717272</v>
      </c>
      <c r="CH36" s="40" t="n">
        <f aca="false">IFERROR(CH30/CH28,"")</f>
        <v>0.28044955567172</v>
      </c>
      <c r="CI36" s="40" t="n">
        <f aca="false">IFERROR(CI30/CI28,"")</f>
        <v>0.27479239585478</v>
      </c>
      <c r="CJ36" s="40" t="n">
        <f aca="false">IFERROR(CJ30/CJ28,"")</f>
        <v>0.244604316546763</v>
      </c>
      <c r="CK36" s="40" t="n">
        <f aca="false">IFERROR(CK30/CK28,"")</f>
        <v>0.261474987106756</v>
      </c>
      <c r="CL36" s="40" t="n">
        <f aca="false">IFERROR(CL30/CL28,"")</f>
        <v>0.253336892685531</v>
      </c>
      <c r="CM36" s="28" t="n">
        <f aca="false">IFERROR(CM30/CM28,"")</f>
        <v>0.242912144548352</v>
      </c>
      <c r="CN36" s="28" t="n">
        <f aca="false">IFERROR(CN30/CN28,"")</f>
        <v>0.231871406231276</v>
      </c>
      <c r="CO36" s="28" t="n">
        <f aca="false">IFERROR(CO30/CO28,"")</f>
        <v>0.245095105802909</v>
      </c>
      <c r="CP36" s="28" t="n">
        <f aca="false">IFERROR(CP30/CP28,"")</f>
        <v>0.261987374126224</v>
      </c>
      <c r="CQ36" s="28" t="n">
        <f aca="false">IFERROR(CQ30/CQ28,"")</f>
        <v>0.26743740124505</v>
      </c>
      <c r="CR36" s="28" t="n">
        <f aca="false">IFERROR(CR30/CR28,"")</f>
        <v>0.274283894015054</v>
      </c>
      <c r="CS36" s="28" t="n">
        <f aca="false">IFERROR(CS30/CS28,"")</f>
        <v>0.280398605128546</v>
      </c>
      <c r="CT36" s="23"/>
      <c r="CV36" s="41" t="n">
        <f aca="false">IFERROR(AVERAGE(CO36,CP36,CQ36,CR36,CS36),"n/m")</f>
        <v>0.265840476063556</v>
      </c>
      <c r="CW36" s="41" t="n">
        <f aca="false">IFERROR(AVERAGE(BK36,BQ36,BW36,CC36,CI36),"n/m")</f>
        <v>0.250122191579889</v>
      </c>
      <c r="CX36" s="41" t="n">
        <f aca="false">IFERROR(AVERAGE(AG36,AM36,AS36,AY36,BE36,BK36,BQ36,BW36,CC36,CI36),"n/m")</f>
        <v>0.202841585146408</v>
      </c>
      <c r="CY36" s="41" t="n">
        <f aca="false">IFERROR(AVERAGE(C36,D36,E36,F36,G36,H36,I36,O36,U36,AA36,AG36,AM36,AS36,AY36,BE36,BK36,BQ36,BW36,CC36,CI36),"n/m")</f>
        <v>0.192035980510741</v>
      </c>
      <c r="DB36" s="13" t="s">
        <v>136</v>
      </c>
      <c r="DC36" s="43" t="n">
        <f aca="false">DD36+$DC$32</f>
        <v>0.08</v>
      </c>
      <c r="DD36" s="36" t="n">
        <v>0.05</v>
      </c>
      <c r="DE36" s="43" t="n">
        <f aca="false">DD36+$DE$32</f>
        <v>0.01</v>
      </c>
    </row>
    <row r="37" customFormat="false" ht="15" hidden="false" customHeight="true" outlineLevel="0" collapsed="false">
      <c r="B37" s="26" t="s">
        <v>124</v>
      </c>
      <c r="C37" s="40" t="str">
        <f aca="false">IFERROR(C33/C28,"")</f>
        <v/>
      </c>
      <c r="D37" s="40" t="str">
        <f aca="false">IFERROR(D33/D28,"")</f>
        <v/>
      </c>
      <c r="E37" s="40" t="str">
        <f aca="false">IFERROR(E33/E28,"")</f>
        <v/>
      </c>
      <c r="F37" s="40" t="str">
        <f aca="false">IFERROR(F33/F28,"")</f>
        <v/>
      </c>
      <c r="G37" s="40" t="str">
        <f aca="false">IFERROR(G33/G28,"")</f>
        <v/>
      </c>
      <c r="H37" s="40" t="str">
        <f aca="false">IFERROR(H33/H28,"")</f>
        <v/>
      </c>
      <c r="I37" s="40" t="str">
        <f aca="false">IFERROR(I33/I28,"")</f>
        <v/>
      </c>
      <c r="J37" s="40" t="str">
        <f aca="false">IFERROR(J33/J28,"")</f>
        <v/>
      </c>
      <c r="K37" s="40" t="str">
        <f aca="false">IFERROR(K33/K28,"")</f>
        <v/>
      </c>
      <c r="L37" s="40" t="str">
        <f aca="false">IFERROR(L33/L28,"")</f>
        <v/>
      </c>
      <c r="M37" s="40" t="str">
        <f aca="false">IFERROR(M33/M28,"")</f>
        <v/>
      </c>
      <c r="N37" s="40" t="str">
        <f aca="false">IFERROR(N33/N28,"")</f>
        <v/>
      </c>
      <c r="O37" s="40" t="str">
        <f aca="false">IFERROR(O33/O28,"")</f>
        <v/>
      </c>
      <c r="P37" s="40" t="str">
        <f aca="false">IFERROR(P33/P28,"")</f>
        <v/>
      </c>
      <c r="Q37" s="40" t="str">
        <f aca="false">IFERROR(Q33/Q28,"")</f>
        <v/>
      </c>
      <c r="R37" s="40" t="str">
        <f aca="false">IFERROR(R33/R28,"")</f>
        <v/>
      </c>
      <c r="S37" s="40" t="str">
        <f aca="false">IFERROR(S33/S28,"")</f>
        <v/>
      </c>
      <c r="T37" s="40" t="str">
        <f aca="false">IFERROR(T33/T28,"")</f>
        <v/>
      </c>
      <c r="U37" s="40" t="str">
        <f aca="false">IFERROR(U33/U28,"")</f>
        <v/>
      </c>
      <c r="V37" s="40" t="str">
        <f aca="false">IFERROR(V33/V28,"")</f>
        <v/>
      </c>
      <c r="W37" s="40" t="str">
        <f aca="false">IFERROR(W33/W28,"")</f>
        <v/>
      </c>
      <c r="X37" s="40" t="str">
        <f aca="false">IFERROR(X33/X28,"")</f>
        <v/>
      </c>
      <c r="Y37" s="40" t="str">
        <f aca="false">IFERROR(Y33/Y28,"")</f>
        <v/>
      </c>
      <c r="Z37" s="40" t="str">
        <f aca="false">IFERROR(Z33/Z28,"")</f>
        <v/>
      </c>
      <c r="AA37" s="40" t="str">
        <f aca="false">IFERROR(AA33/AA28,"")</f>
        <v/>
      </c>
      <c r="AB37" s="40" t="str">
        <f aca="false">IFERROR(AB33/AB28,"")</f>
        <v/>
      </c>
      <c r="AC37" s="40" t="str">
        <f aca="false">IFERROR(AC33/AC28,"")</f>
        <v/>
      </c>
      <c r="AD37" s="40" t="str">
        <f aca="false">IFERROR(AD33/AD28,"")</f>
        <v/>
      </c>
      <c r="AE37" s="40" t="str">
        <f aca="false">IFERROR(AE33/AE28,"")</f>
        <v/>
      </c>
      <c r="AF37" s="40" t="str">
        <f aca="false">IFERROR(AF33/AF28,"")</f>
        <v/>
      </c>
      <c r="AG37" s="40" t="str">
        <f aca="false">IFERROR(AG33/AG28,"")</f>
        <v/>
      </c>
      <c r="AH37" s="40" t="str">
        <f aca="false">IFERROR(AH33/AH28,"")</f>
        <v/>
      </c>
      <c r="AI37" s="40" t="str">
        <f aca="false">IFERROR(AI33/AI28,"")</f>
        <v/>
      </c>
      <c r="AJ37" s="40" t="str">
        <f aca="false">IFERROR(AJ33/AJ28,"")</f>
        <v/>
      </c>
      <c r="AK37" s="40" t="str">
        <f aca="false">IFERROR(AK33/AK28,"")</f>
        <v/>
      </c>
      <c r="AL37" s="40" t="str">
        <f aca="false">IFERROR(AL33/AL28,"")</f>
        <v/>
      </c>
      <c r="AM37" s="40" t="str">
        <f aca="false">IFERROR(AM33/AM28,"")</f>
        <v/>
      </c>
      <c r="AN37" s="40" t="str">
        <f aca="false">IFERROR(AN33/AN28,"")</f>
        <v/>
      </c>
      <c r="AO37" s="40" t="str">
        <f aca="false">IFERROR(AO33/AO28,"")</f>
        <v/>
      </c>
      <c r="AP37" s="40" t="str">
        <f aca="false">IFERROR(AP33/AP28,"")</f>
        <v/>
      </c>
      <c r="AQ37" s="40" t="str">
        <f aca="false">IFERROR(AQ33/AQ28,"")</f>
        <v/>
      </c>
      <c r="AR37" s="40" t="str">
        <f aca="false">IFERROR(AR33/AR28,"")</f>
        <v/>
      </c>
      <c r="AS37" s="40" t="str">
        <f aca="false">IFERROR(AS33/AS28,"")</f>
        <v/>
      </c>
      <c r="AT37" s="40" t="str">
        <f aca="false">IFERROR(AT33/AT28,"")</f>
        <v/>
      </c>
      <c r="AU37" s="40" t="str">
        <f aca="false">IFERROR(AU33/AU28,"")</f>
        <v/>
      </c>
      <c r="AV37" s="40" t="str">
        <f aca="false">IFERROR(AV33/AV28,"")</f>
        <v/>
      </c>
      <c r="AW37" s="40" t="str">
        <f aca="false">IFERROR(AW33/AW28,"")</f>
        <v/>
      </c>
      <c r="AX37" s="40" t="str">
        <f aca="false">IFERROR(AX33/AX28,"")</f>
        <v/>
      </c>
      <c r="AY37" s="40" t="str">
        <f aca="false">IFERROR(AY33/AY28,"")</f>
        <v/>
      </c>
      <c r="AZ37" s="40" t="n">
        <f aca="false">IFERROR(AZ33/AZ28,"")</f>
        <v>0.195019291476675</v>
      </c>
      <c r="BA37" s="40" t="n">
        <f aca="false">IFERROR(BA33/BA28,"")</f>
        <v>0.203724819460281</v>
      </c>
      <c r="BB37" s="40" t="n">
        <f aca="false">IFERROR(BB33/BB28,"")</f>
        <v>0.199197373221452</v>
      </c>
      <c r="BC37" s="40" t="n">
        <f aca="false">IFERROR(BC33/BC28,"")</f>
        <v>0.211764705882353</v>
      </c>
      <c r="BD37" s="40" t="n">
        <f aca="false">IFERROR(BD33/BD28,"")</f>
        <v>0.24045261669024</v>
      </c>
      <c r="BE37" s="40" t="n">
        <f aca="false">IFERROR(BE33/BE28,"")</f>
        <v>0.212882594792143</v>
      </c>
      <c r="BF37" s="40" t="n">
        <f aca="false">IFERROR(BF33/BF28,"")</f>
        <v>0.22478184991274</v>
      </c>
      <c r="BG37" s="40" t="n">
        <f aca="false">IFERROR(BG33/BG28,"")</f>
        <v>0.239780144280316</v>
      </c>
      <c r="BH37" s="40" t="n">
        <f aca="false">IFERROR(BH33/BH28,"")</f>
        <v>0.232340720221607</v>
      </c>
      <c r="BI37" s="40" t="n">
        <f aca="false">IFERROR(BI33/BI28,"")</f>
        <v>0.23685127133403</v>
      </c>
      <c r="BJ37" s="40" t="n">
        <f aca="false">IFERROR(BJ33/BJ28,"")</f>
        <v>0.236929185969557</v>
      </c>
      <c r="BK37" s="40" t="n">
        <f aca="false">IFERROR(BK33/BK28,"")</f>
        <v>0.234638786528409</v>
      </c>
      <c r="BL37" s="40" t="n">
        <f aca="false">IFERROR(BL33/BL28,"")</f>
        <v>0.247652962123665</v>
      </c>
      <c r="BM37" s="40" t="n">
        <f aca="false">IFERROR(BM33/BM28,"")</f>
        <v>0.25056</v>
      </c>
      <c r="BN37" s="40" t="n">
        <f aca="false">IFERROR(BN33/BN28,"")</f>
        <v>0.249114901834567</v>
      </c>
      <c r="BO37" s="40" t="n">
        <f aca="false">IFERROR(BO33/BO28,"")</f>
        <v>0.245104438642298</v>
      </c>
      <c r="BP37" s="40" t="n">
        <f aca="false">IFERROR(BP33/BP28,"")</f>
        <v>0.253218884120172</v>
      </c>
      <c r="BQ37" s="40" t="n">
        <f aca="false">IFERROR(BQ33/BQ28,"")</f>
        <v>0.249202551834131</v>
      </c>
      <c r="BR37" s="40" t="n">
        <f aca="false">IFERROR(BR33/BR28,"")</f>
        <v>0.253073463268366</v>
      </c>
      <c r="BS37" s="40" t="n">
        <f aca="false">IFERROR(BS33/BS28,"")</f>
        <v>0.258526187576127</v>
      </c>
      <c r="BT37" s="40" t="n">
        <f aca="false">IFERROR(BT33/BT28,"")</f>
        <v>0.255778818552652</v>
      </c>
      <c r="BU37" s="40" t="n">
        <f aca="false">IFERROR(BU33/BU28,"")</f>
        <v>0.27043451838347</v>
      </c>
      <c r="BV37" s="40" t="n">
        <f aca="false">IFERROR(BV33/BV28,"")</f>
        <v>0.281026252983294</v>
      </c>
      <c r="BW37" s="40" t="n">
        <f aca="false">IFERROR(BW33/BW28,"")</f>
        <v>0.265797014025034</v>
      </c>
      <c r="BX37" s="40" t="n">
        <f aca="false">IFERROR(BX33/BX28,"")</f>
        <v>0.270581113801453</v>
      </c>
      <c r="BY37" s="40" t="n">
        <f aca="false">IFERROR(BY33/BY28,"")</f>
        <v>0.271964017991005</v>
      </c>
      <c r="BZ37" s="40" t="n">
        <f aca="false">IFERROR(BZ33/BZ28,"")</f>
        <v>0.271275794547372</v>
      </c>
      <c r="CA37" s="40" t="n">
        <f aca="false">IFERROR(CA33/CA28,"")</f>
        <v>0.285305889079474</v>
      </c>
      <c r="CB37" s="40" t="n">
        <f aca="false">IFERROR(CB33/CB28,"")</f>
        <v>0.290593656817566</v>
      </c>
      <c r="CC37" s="40" t="n">
        <f aca="false">IFERROR(CC33/CC28,"")</f>
        <v>0.280052075799219</v>
      </c>
      <c r="CD37" s="40" t="n">
        <f aca="false">IFERROR(CD33/CD28,"")</f>
        <v>0.279347509466939</v>
      </c>
      <c r="CE37" s="40" t="n">
        <f aca="false">IFERROR(CE33/CE28,"")</f>
        <v>0.285364526659412</v>
      </c>
      <c r="CF37" s="40" t="n">
        <f aca="false">IFERROR(CF33/CF28,"")</f>
        <v>0.28245885497257</v>
      </c>
      <c r="CG37" s="40" t="n">
        <f aca="false">IFERROR(CG33/CG28,"")</f>
        <v>0.280803080308031</v>
      </c>
      <c r="CH37" s="40" t="n">
        <f aca="false">IFERROR(CH33/CH28,"")</f>
        <v>0.28855201254574</v>
      </c>
      <c r="CI37" s="40" t="n">
        <f aca="false">IFERROR(CI33/CI28,"")</f>
        <v>0.283645597419532</v>
      </c>
      <c r="CJ37" s="40" t="n">
        <f aca="false">IFERROR(CJ33/CJ28,"")</f>
        <v>0.254288876591035</v>
      </c>
      <c r="CK37" s="40" t="n">
        <f aca="false">IFERROR(CK33/CK28,"")</f>
        <v>0.270242392986075</v>
      </c>
      <c r="CL37" s="40" t="n">
        <f aca="false">IFERROR(CL33/CL28,"")</f>
        <v>0.262546716497597</v>
      </c>
      <c r="CM37" s="28" t="n">
        <f aca="false">CG37+$CL$37-$CF$37+CM102</f>
        <v>0.251811343137919</v>
      </c>
      <c r="CN37" s="28" t="n">
        <f aca="false">CH37+$CL$37-$CF$37+CN102</f>
        <v>0.240328668665062</v>
      </c>
      <c r="CO37" s="28" t="n">
        <f aca="false">IFERROR(CO33/CO28,"")</f>
        <v>0.254029675456401</v>
      </c>
      <c r="CP37" s="28" t="n">
        <f aca="false">CHOOSE(MATCH($CT$2,{"Bull","Base","Bear"},0),$DC$51,$DD$51,$DE$51)</f>
        <v>0.27</v>
      </c>
      <c r="CQ37" s="28" t="n">
        <f aca="false">CHOOSE(MATCH($CT$2,{"Bull","Base","Bear"},0),$DC$52,$DD$52,$DE$52)</f>
        <v>0.275</v>
      </c>
      <c r="CR37" s="28" t="n">
        <f aca="false">CHOOSE(MATCH($CT$2,{"Bull","Base","Bear"},0),$DC$53,$DD$53,$DE$53)</f>
        <v>0.28</v>
      </c>
      <c r="CS37" s="28" t="n">
        <f aca="false">CHOOSE(MATCH($CT$2,{"Bull","Base","Bear"},0),$DC$54,$DD$54,$DE$54)</f>
        <v>0.285</v>
      </c>
      <c r="CT37" s="23" t="s">
        <v>145</v>
      </c>
      <c r="CV37" s="41" t="n">
        <f aca="false">IFERROR(AVERAGE(CO37,CP37,CQ37,CR37,CS37),"n/m")</f>
        <v>0.27280593509128</v>
      </c>
      <c r="CW37" s="41" t="n">
        <f aca="false">IFERROR(AVERAGE(BK37,BQ37,BW37,CC37,CI37),"n/m")</f>
        <v>0.262667205121265</v>
      </c>
      <c r="CX37" s="41" t="n">
        <f aca="false">IFERROR(AVERAGE(AG37,AM37,AS37,AY37,BE37,BK37,BQ37,BW37,CC37,CI37),"n/m")</f>
        <v>0.254369770066411</v>
      </c>
      <c r="CY37" s="41" t="n">
        <f aca="false">IFERROR(AVERAGE(C37,D37,E37,F37,G37,H37,I37,O37,U37,AA37,AG37,AM37,AS37,AY37,BE37,BK37,BQ37,BW37,CC37,CI37),"n/m")</f>
        <v>0.254369770066411</v>
      </c>
    </row>
    <row r="38" customFormat="false" ht="15" hidden="false" customHeight="true" outlineLevel="0" collapsed="false">
      <c r="B38" s="26" t="s">
        <v>129</v>
      </c>
      <c r="C38" s="27"/>
      <c r="D38" s="27" t="str">
        <f aca="false">IFERROR(D30/C30-1,"")</f>
        <v/>
      </c>
      <c r="E38" s="27" t="str">
        <f aca="false">IFERROR(E30/D30-1,"")</f>
        <v/>
      </c>
      <c r="F38" s="27" t="n">
        <f aca="false">IFERROR(F30/E30-1,"")</f>
        <v>-0.0719144800777455</v>
      </c>
      <c r="G38" s="27" t="n">
        <f aca="false">IFERROR(G30/F30-1,"")</f>
        <v>0.192670157068063</v>
      </c>
      <c r="H38" s="27" t="n">
        <f aca="false">IFERROR(H30/G30-1,"")</f>
        <v>0.135206321334504</v>
      </c>
      <c r="I38" s="27" t="n">
        <f aca="false">IFERROR(I30/H30-1,"")</f>
        <v>0.129156999226605</v>
      </c>
      <c r="J38" s="27"/>
      <c r="K38" s="27"/>
      <c r="L38" s="27"/>
      <c r="M38" s="27"/>
      <c r="N38" s="27"/>
      <c r="O38" s="27" t="n">
        <f aca="false">IFERROR(O30/I30-1,"")</f>
        <v>0.10958904109589</v>
      </c>
      <c r="P38" s="27" t="n">
        <f aca="false">IFERROR(P30/J30-1,"")</f>
        <v>0.0245901639344261</v>
      </c>
      <c r="Q38" s="27" t="n">
        <f aca="false">IFERROR(Q30/K30-1,"")</f>
        <v>0.0656934306569341</v>
      </c>
      <c r="R38" s="27" t="n">
        <f aca="false">IFERROR(R30/L30-1,"")</f>
        <v>0.0463320463320462</v>
      </c>
      <c r="S38" s="27" t="n">
        <f aca="false">IFERROR(S30/M30-1,"")</f>
        <v>0.175438596491228</v>
      </c>
      <c r="T38" s="27" t="n">
        <f aca="false">IFERROR(T30/N30-1,"")</f>
        <v>0.202702702702703</v>
      </c>
      <c r="U38" s="27" t="n">
        <f aca="false">IFERROR(U30/O30-1,"")</f>
        <v>0.120987654320988</v>
      </c>
      <c r="V38" s="27" t="n">
        <f aca="false">IFERROR(V30/P30-1,"")</f>
        <v>0.122666666666667</v>
      </c>
      <c r="W38" s="27" t="n">
        <f aca="false">IFERROR(W30/Q30-1,"")</f>
        <v>0.04337899543379</v>
      </c>
      <c r="X38" s="27" t="n">
        <f aca="false">IFERROR(X30/R30-1,"")</f>
        <v>0.0799507995079953</v>
      </c>
      <c r="Y38" s="27" t="n">
        <f aca="false">IFERROR(Y30/S30-1,"")</f>
        <v>-0.176972281449893</v>
      </c>
      <c r="Z38" s="27" t="n">
        <f aca="false">IFERROR(Z30/T30-1,"")</f>
        <v>-0.164794007490637</v>
      </c>
      <c r="AA38" s="27" t="n">
        <f aca="false">IFERROR(AA30/U30-1,"")</f>
        <v>-0.0583700440528634</v>
      </c>
      <c r="AB38" s="27" t="n">
        <f aca="false">IFERROR(AB30/V30-1,"")</f>
        <v>-0.2541567695962</v>
      </c>
      <c r="AC38" s="27" t="n">
        <f aca="false">IFERROR(AC30/W30-1,"")</f>
        <v>-0.560175054704595</v>
      </c>
      <c r="AD38" s="27" t="n">
        <f aca="false">IFERROR(AD30/X30-1,"")</f>
        <v>-0.413439635535308</v>
      </c>
      <c r="AE38" s="27" t="n">
        <f aca="false">IFERROR(AE30/Y30-1,"")</f>
        <v>-0.272020725388601</v>
      </c>
      <c r="AF38" s="27" t="n">
        <f aca="false">IFERROR(AF30/Z30-1,"")</f>
        <v>-0.322869955156951</v>
      </c>
      <c r="AG38" s="27" t="n">
        <f aca="false">IFERROR(AG30/AA30-1,"")</f>
        <v>-0.357894736842105</v>
      </c>
      <c r="AH38" s="27" t="n">
        <f aca="false">IFERROR(AH30/AB30-1,"")</f>
        <v>-0.0382165605095541</v>
      </c>
      <c r="AI38" s="27" t="n">
        <f aca="false">IFERROR(AI30/AC30-1,"")</f>
        <v>0.517412935323383</v>
      </c>
      <c r="AJ38" s="27" t="n">
        <f aca="false">IFERROR(AJ30/AD30-1,"")</f>
        <v>0.178640776699029</v>
      </c>
      <c r="AK38" s="27" t="n">
        <f aca="false">IFERROR(AK30/AE30-1,"")</f>
        <v>0.231316725978648</v>
      </c>
      <c r="AL38" s="27" t="n">
        <f aca="false">IFERROR(AL30/AF30-1,"")</f>
        <v>0.0165562913907285</v>
      </c>
      <c r="AM38" s="27" t="n">
        <f aca="false">IFERROR(AM30/AG30-1,"")</f>
        <v>0.147540983606557</v>
      </c>
      <c r="AN38" s="27" t="n">
        <f aca="false">IFERROR(AN30/AH30-1,"")</f>
        <v>-0.0794701986754967</v>
      </c>
      <c r="AO38" s="27" t="n">
        <f aca="false">IFERROR(AO30/AI30-1,"")</f>
        <v>0.340983606557377</v>
      </c>
      <c r="AP38" s="27" t="n">
        <f aca="false">IFERROR(AP30/AJ30-1,"")</f>
        <v>0.131795716639209</v>
      </c>
      <c r="AQ38" s="27" t="n">
        <f aca="false">IFERROR(AQ30/AK30-1,"")</f>
        <v>0.0317919075144508</v>
      </c>
      <c r="AR38" s="27" t="n">
        <f aca="false">IFERROR(AR30/AL30-1,"")</f>
        <v>0.400651465798046</v>
      </c>
      <c r="AS38" s="27" t="n">
        <f aca="false">IFERROR(AS30/AM30-1,"")</f>
        <v>0.16984126984127</v>
      </c>
      <c r="AT38" s="27" t="n">
        <f aca="false">IFERROR(AT30/AN30-1,"")</f>
        <v>0.435251798561151</v>
      </c>
      <c r="AU38" s="27" t="n">
        <f aca="false">IFERROR(AU30/AO30-1,"")</f>
        <v>0.198044009779951</v>
      </c>
      <c r="AV38" s="27" t="n">
        <f aca="false">IFERROR(AV30/AP30-1,"")</f>
        <v>0.294032023289665</v>
      </c>
      <c r="AW38" s="27" t="n">
        <f aca="false">IFERROR(AW30/AQ30-1,"")</f>
        <v>0.456582633053221</v>
      </c>
      <c r="AX38" s="27" t="n">
        <f aca="false">IFERROR(AX30/AR30-1,"")</f>
        <v>0.383720930232558</v>
      </c>
      <c r="AY38" s="27" t="n">
        <f aca="false">IFERROR(AY30/AS30-1,"")</f>
        <v>0.359565807327001</v>
      </c>
      <c r="AZ38" s="27" t="n">
        <f aca="false">IFERROR(AZ30/AT30-1,"")</f>
        <v>0.273182957393484</v>
      </c>
      <c r="BA38" s="27" t="n">
        <f aca="false">IFERROR(BA30/AU30-1,"")</f>
        <v>-0.0102040816326531</v>
      </c>
      <c r="BB38" s="27" t="n">
        <f aca="false">IFERROR(BB30/AV30-1,"")</f>
        <v>0.116985376827896</v>
      </c>
      <c r="BC38" s="27" t="n">
        <f aca="false">IFERROR(BC30/AW30-1,"")</f>
        <v>-0.0249999999999999</v>
      </c>
      <c r="BD38" s="27" t="n">
        <f aca="false">IFERROR(BD30/AX30-1,"")</f>
        <v>0.0621848739495798</v>
      </c>
      <c r="BE38" s="27" t="n">
        <f aca="false">IFERROR(BE30/AY30-1,"")</f>
        <v>0.0638722554890219</v>
      </c>
      <c r="BF38" s="27" t="n">
        <f aca="false">IFERROR(BF30/AZ30-1,"")</f>
        <v>0.169291338582677</v>
      </c>
      <c r="BG38" s="27" t="n">
        <f aca="false">IFERROR(BG30/BA30-1,"")</f>
        <v>0.331958762886598</v>
      </c>
      <c r="BH38" s="27" t="n">
        <f aca="false">IFERROR(BH30/BB30-1,"")</f>
        <v>0.248741188318228</v>
      </c>
      <c r="BI38" s="27" t="n">
        <f aca="false">IFERROR(BI30/BC30-1,"")</f>
        <v>0.242603550295858</v>
      </c>
      <c r="BJ38" s="27" t="n">
        <f aca="false">IFERROR(BJ30/BD30-1,"")</f>
        <v>0.0553797468354431</v>
      </c>
      <c r="BK38" s="27" t="n">
        <f aca="false">IFERROR(BK30/BE30-1,"")</f>
        <v>0.189962476547842</v>
      </c>
      <c r="BL38" s="27" t="n">
        <f aca="false">IFERROR(BL30/BF30-1,"")</f>
        <v>0.205387205387205</v>
      </c>
      <c r="BM38" s="27" t="n">
        <f aca="false">IFERROR(BM30/BG30-1,"")</f>
        <v>0.139318885448916</v>
      </c>
      <c r="BN38" s="27" t="n">
        <f aca="false">IFERROR(BN30/BH30-1,"")</f>
        <v>0.170967741935484</v>
      </c>
      <c r="BO38" s="27" t="n">
        <f aca="false">IFERROR(BO30/BI30-1,"")</f>
        <v>0.128571428571429</v>
      </c>
      <c r="BP38" s="27" t="n">
        <f aca="false">IFERROR(BP30/BJ30-1,"")</f>
        <v>0.184407796101949</v>
      </c>
      <c r="BQ38" s="27" t="n">
        <f aca="false">IFERROR(BQ30/BK30-1,"")</f>
        <v>0.163973196689003</v>
      </c>
      <c r="BR38" s="27" t="n">
        <f aca="false">IFERROR(BR30/BL30-1,"")</f>
        <v>0.127094972067039</v>
      </c>
      <c r="BS38" s="27" t="n">
        <f aca="false">IFERROR(BS30/BM30-1,"")</f>
        <v>0.105978260869565</v>
      </c>
      <c r="BT38" s="27" t="n">
        <f aca="false">IFERROR(BT30/BN30-1,"")</f>
        <v>0.116391184573003</v>
      </c>
      <c r="BU38" s="27" t="n">
        <f aca="false">IFERROR(BU30/BO30-1,"")</f>
        <v>0.20253164556962</v>
      </c>
      <c r="BV38" s="27" t="n">
        <f aca="false">IFERROR(BV30/BP30-1,"")</f>
        <v>0.148101265822785</v>
      </c>
      <c r="BW38" s="27" t="n">
        <f aca="false">IFERROR(BW30/BQ30-1,"")</f>
        <v>0.145614629190654</v>
      </c>
      <c r="BX38" s="27" t="n">
        <f aca="false">IFERROR(BX30/BR30-1,"")</f>
        <v>0.0656753407682775</v>
      </c>
      <c r="BY38" s="27" t="n">
        <f aca="false">IFERROR(BY30/BS30-1,"")</f>
        <v>0.0712530712530712</v>
      </c>
      <c r="BZ38" s="27" t="n">
        <f aca="false">IFERROR(BZ30/BT30-1,"")</f>
        <v>0.0684762492288709</v>
      </c>
      <c r="CA38" s="27" t="n">
        <f aca="false">IFERROR(CA30/BU30-1,"")</f>
        <v>0.126315789473684</v>
      </c>
      <c r="CB38" s="27" t="n">
        <f aca="false">IFERROR(CB30/BV30-1,"")</f>
        <v>0.11135611907387</v>
      </c>
      <c r="CC38" s="27" t="n">
        <f aca="false">IFERROR(CC30/BW30-1,"")</f>
        <v>0.094590600059119</v>
      </c>
      <c r="CD38" s="27" t="n">
        <f aca="false">IFERROR(CD30/BX30-1,"")</f>
        <v>0.077906976744186</v>
      </c>
      <c r="CE38" s="27" t="n">
        <f aca="false">IFERROR(CE30/BY30-1,"")</f>
        <v>0.165137614678899</v>
      </c>
      <c r="CF38" s="27" t="n">
        <f aca="false">IFERROR(CF30/BZ30-1,"")</f>
        <v>0.121824480369515</v>
      </c>
      <c r="CG38" s="27" t="n">
        <f aca="false">IFERROR(CG30/CA30-1,"")</f>
        <v>0.0259605399792315</v>
      </c>
      <c r="CH38" s="27" t="n">
        <f aca="false">IFERROR(CH30/CB30-1,"")</f>
        <v>0.064484126984127</v>
      </c>
      <c r="CI38" s="27" t="n">
        <f aca="false">IFERROR(CI30/CC30-1,"")</f>
        <v>0.0812854442344044</v>
      </c>
      <c r="CJ38" s="27" t="n">
        <f aca="false">IFERROR(CJ30/CD30-1,"")</f>
        <v>-0.0463861920172599</v>
      </c>
      <c r="CK38" s="27" t="n">
        <f aca="false">IFERROR(CK30/CE30-1,"")</f>
        <v>-0.00196850393700776</v>
      </c>
      <c r="CL38" s="27" t="n">
        <f aca="false">IFERROR(CL30/CF30-1,"")</f>
        <v>-0.0231600617601647</v>
      </c>
      <c r="CM38" s="28" t="n">
        <f aca="false">IFERROR(CM30/CG30-1,"")</f>
        <v>-0.0569201621066672</v>
      </c>
      <c r="CN38" s="28" t="n">
        <f aca="false">IFERROR(CN30/CH30-1,"")</f>
        <v>-0.1277826092084</v>
      </c>
      <c r="CO38" s="28" t="n">
        <f aca="false">IFERROR(CO30/CI30-1,"")</f>
        <v>-0.0595274375229772</v>
      </c>
      <c r="CP38" s="28" t="n">
        <f aca="false">IFERROR(CP30/CO30-1,"")</f>
        <v>0.11702273721475</v>
      </c>
      <c r="CQ38" s="28" t="n">
        <f aca="false">IFERROR(CQ30/CP30-1,"")</f>
        <v>0.0667387511828312</v>
      </c>
      <c r="CR38" s="28" t="n">
        <f aca="false">IFERROR(CR30/CQ30-1,"")</f>
        <v>0.0717523723732954</v>
      </c>
      <c r="CS38" s="28" t="n">
        <f aca="false">IFERROR(CS30/CR30-1,"")</f>
        <v>0.0682965669987465</v>
      </c>
      <c r="CT38" s="23"/>
      <c r="CV38" s="7"/>
      <c r="CW38" s="7"/>
      <c r="CX38" s="7"/>
      <c r="CY38" s="7"/>
      <c r="DB38" s="18" t="s">
        <v>146</v>
      </c>
      <c r="DC38" s="42" t="n">
        <v>0.03</v>
      </c>
      <c r="DD38" s="25" t="s">
        <v>127</v>
      </c>
      <c r="DE38" s="42" t="n">
        <v>-0.04</v>
      </c>
      <c r="DF38" s="16" t="s">
        <v>147</v>
      </c>
    </row>
    <row r="39" customFormat="false" ht="15" hidden="false" customHeight="true" outlineLevel="0" collapsed="false">
      <c r="B39" s="26" t="s">
        <v>131</v>
      </c>
      <c r="C39" s="40"/>
      <c r="D39" s="40" t="str">
        <f aca="false">IFERROR((D33-C33)/(D28-C28),"")</f>
        <v/>
      </c>
      <c r="E39" s="40" t="str">
        <f aca="false">IFERROR((E33-D33)/(E28-D28),"")</f>
        <v/>
      </c>
      <c r="F39" s="40" t="str">
        <f aca="false">IFERROR((F33-E33)/(F28-E28),"")</f>
        <v/>
      </c>
      <c r="G39" s="40" t="str">
        <f aca="false">IFERROR((G33-F33)/(G28-F28),"")</f>
        <v/>
      </c>
      <c r="H39" s="40" t="str">
        <f aca="false">IFERROR((H33-G33)/(H28-G28),"")</f>
        <v/>
      </c>
      <c r="I39" s="40" t="str">
        <f aca="false">IFERROR((I33-H33)/(I28-H28),"")</f>
        <v/>
      </c>
      <c r="J39" s="40"/>
      <c r="K39" s="40"/>
      <c r="L39" s="40"/>
      <c r="M39" s="40"/>
      <c r="N39" s="40"/>
      <c r="O39" s="40" t="str">
        <f aca="false">IFERROR((O33-I33)/(O28-I28),"")</f>
        <v/>
      </c>
      <c r="P39" s="40" t="str">
        <f aca="false">IFERROR((P33-J33)/(P28-J28),"")</f>
        <v/>
      </c>
      <c r="Q39" s="40" t="str">
        <f aca="false">IFERROR((Q33-K33)/(Q28-K28),"")</f>
        <v/>
      </c>
      <c r="R39" s="40" t="str">
        <f aca="false">IFERROR((R33-L33)/(R28-L28),"")</f>
        <v/>
      </c>
      <c r="S39" s="40" t="str">
        <f aca="false">IFERROR((S33-M33)/(S28-M28),"")</f>
        <v/>
      </c>
      <c r="T39" s="40" t="str">
        <f aca="false">IFERROR((T33-N33)/(T28-N28),"")</f>
        <v/>
      </c>
      <c r="U39" s="40" t="str">
        <f aca="false">IFERROR((U33-O33)/(U28-O28),"")</f>
        <v/>
      </c>
      <c r="V39" s="40" t="str">
        <f aca="false">IFERROR((V33-P33)/(V28-P28),"")</f>
        <v/>
      </c>
      <c r="W39" s="40" t="str">
        <f aca="false">IFERROR((W33-Q33)/(W28-Q28),"")</f>
        <v/>
      </c>
      <c r="X39" s="40" t="str">
        <f aca="false">IFERROR((X33-R33)/(X28-R28),"")</f>
        <v/>
      </c>
      <c r="Y39" s="40" t="str">
        <f aca="false">IFERROR((Y33-S33)/(Y28-S28),"")</f>
        <v/>
      </c>
      <c r="Z39" s="40" t="str">
        <f aca="false">IFERROR((Z33-T33)/(Z28-T28),"")</f>
        <v/>
      </c>
      <c r="AA39" s="40" t="str">
        <f aca="false">IFERROR((AA33-U33)/(AA28-U28),"")</f>
        <v/>
      </c>
      <c r="AB39" s="40" t="str">
        <f aca="false">IFERROR((AB33-V33)/(AB28-V28),"")</f>
        <v/>
      </c>
      <c r="AC39" s="40" t="str">
        <f aca="false">IFERROR((AC33-W33)/(AC28-W28),"")</f>
        <v/>
      </c>
      <c r="AD39" s="40" t="str">
        <f aca="false">IFERROR((AD33-X33)/(AD28-X28),"")</f>
        <v/>
      </c>
      <c r="AE39" s="40" t="str">
        <f aca="false">IFERROR((AE33-Y33)/(AE28-Y28),"")</f>
        <v/>
      </c>
      <c r="AF39" s="40" t="str">
        <f aca="false">IFERROR((AF33-Z33)/(AF28-Z28),"")</f>
        <v/>
      </c>
      <c r="AG39" s="40" t="str">
        <f aca="false">IFERROR((AG33-AA33)/(AG28-AA28),"")</f>
        <v/>
      </c>
      <c r="AH39" s="40" t="str">
        <f aca="false">IFERROR((AH33-AB33)/(AH28-AB28),"")</f>
        <v/>
      </c>
      <c r="AI39" s="40" t="str">
        <f aca="false">IFERROR((AI33-AC33)/(AI28-AC28),"")</f>
        <v/>
      </c>
      <c r="AJ39" s="40" t="str">
        <f aca="false">IFERROR((AJ33-AD33)/(AJ28-AD28),"")</f>
        <v/>
      </c>
      <c r="AK39" s="40" t="str">
        <f aca="false">IFERROR((AK33-AE33)/(AK28-AE28),"")</f>
        <v/>
      </c>
      <c r="AL39" s="40" t="str">
        <f aca="false">IFERROR((AL33-AF33)/(AL28-AF28),"")</f>
        <v/>
      </c>
      <c r="AM39" s="40" t="str">
        <f aca="false">IFERROR((AM33-AG33)/(AM28-AG28),"")</f>
        <v/>
      </c>
      <c r="AN39" s="40" t="str">
        <f aca="false">IFERROR((AN33-AH33)/(AN28-AH28),"")</f>
        <v/>
      </c>
      <c r="AO39" s="40" t="str">
        <f aca="false">IFERROR((AO33-AI33)/(AO28-AI28),"")</f>
        <v/>
      </c>
      <c r="AP39" s="40" t="str">
        <f aca="false">IFERROR((AP33-AJ33)/(AP28-AJ28),"")</f>
        <v/>
      </c>
      <c r="AQ39" s="40" t="str">
        <f aca="false">IFERROR((AQ33-AK33)/(AQ28-AK28),"")</f>
        <v/>
      </c>
      <c r="AR39" s="40" t="str">
        <f aca="false">IFERROR((AR33-AL33)/(AR28-AL28),"")</f>
        <v/>
      </c>
      <c r="AS39" s="40" t="str">
        <f aca="false">IFERROR((AS33-AM33)/(AS28-AM28),"")</f>
        <v/>
      </c>
      <c r="AT39" s="40" t="str">
        <f aca="false">IFERROR((AT33-AN33)/(AT28-AN28),"")</f>
        <v/>
      </c>
      <c r="AU39" s="40" t="str">
        <f aca="false">IFERROR((AU33-AO33)/(AU28-AO28),"")</f>
        <v/>
      </c>
      <c r="AV39" s="40" t="str">
        <f aca="false">IFERROR((AV33-AP33)/(AV28-AP28),"")</f>
        <v/>
      </c>
      <c r="AW39" s="40" t="str">
        <f aca="false">IFERROR((AW33-AQ33)/(AW28-AQ28),"")</f>
        <v/>
      </c>
      <c r="AX39" s="40" t="str">
        <f aca="false">IFERROR((AX33-AR33)/(AX28-AR28),"")</f>
        <v/>
      </c>
      <c r="AY39" s="40" t="str">
        <f aca="false">IFERROR((AY33-AS33)/(AY28-AS28),"")</f>
        <v/>
      </c>
      <c r="AZ39" s="40" t="str">
        <f aca="false">IFERROR((AZ33-AT33)/(AZ28-AT28),"")</f>
        <v/>
      </c>
      <c r="BA39" s="40" t="str">
        <f aca="false">IFERROR((BA33-AU33)/(BA28-AU28),"")</f>
        <v/>
      </c>
      <c r="BB39" s="40" t="str">
        <f aca="false">IFERROR((BB33-AV33)/(BB28-AV28),"")</f>
        <v/>
      </c>
      <c r="BC39" s="40" t="str">
        <f aca="false">IFERROR((BC33-AW33)/(BC28-AW28),"")</f>
        <v/>
      </c>
      <c r="BD39" s="40" t="str">
        <f aca="false">IFERROR((BD33-AX33)/(BD28-AX28),"")</f>
        <v/>
      </c>
      <c r="BE39" s="40" t="str">
        <f aca="false">IFERROR((BE33-AY33)/(BE28-AY28),"")</f>
        <v/>
      </c>
      <c r="BF39" s="40" t="n">
        <f aca="false">IFERROR((BF33-AZ33)/(BF28-AZ28),"")</f>
        <v>6.2857142857144</v>
      </c>
      <c r="BG39" s="40" t="n">
        <f aca="false">IFERROR((BG33-BA33)/(BG28-BA28),"")</f>
        <v>0.578571428571428</v>
      </c>
      <c r="BH39" s="40" t="n">
        <f aca="false">IFERROR((BH33-BB33)/(BH28-BB28),"")</f>
        <v>0.850340136054422</v>
      </c>
      <c r="BI39" s="40" t="n">
        <f aca="false">IFERROR((BI33-BC33)/(BI28-BC28),"")</f>
        <v>0.516949152542372</v>
      </c>
      <c r="BJ39" s="40" t="n">
        <f aca="false">IFERROR((BJ33-BD33)/(BJ28-BD28),"")</f>
        <v>0.185567010309279</v>
      </c>
      <c r="BK39" s="40" t="n">
        <f aca="false">IFERROR((BK33-BE33)/(BK28-BE28),"")</f>
        <v>0.563535911602209</v>
      </c>
      <c r="BL39" s="40" t="n">
        <f aca="false">IFERROR((BL33-BF33)/(BL28-BF28),"")</f>
        <v>0.540178571428572</v>
      </c>
      <c r="BM39" s="40" t="n">
        <f aca="false">IFERROR((BM33-BG33)/(BM28-BG28),"")</f>
        <v>0.397196261682243</v>
      </c>
      <c r="BN39" s="40" t="n">
        <f aca="false">IFERROR((BN33-BH33)/(BN28-BH28),"")</f>
        <v>0.470319634703197</v>
      </c>
      <c r="BO39" s="40" t="n">
        <f aca="false">IFERROR((BO33-BI33)/(BO28-BI28),"")</f>
        <v>0.367875647668394</v>
      </c>
      <c r="BP39" s="40" t="n">
        <f aca="false">IFERROR((BP33-BJ33)/(BP28-BJ28),"")</f>
        <v>0.458333333333333</v>
      </c>
      <c r="BQ39" s="40" t="n">
        <f aca="false">IFERROR((BQ33-BK33)/(BQ28-BK28),"")</f>
        <v>0.444316877152698</v>
      </c>
      <c r="BR39" s="40" t="n">
        <f aca="false">IFERROR((BR33-BL33)/(BR28-BL28),"")</f>
        <v>0.321138211382114</v>
      </c>
      <c r="BS39" s="40" t="n">
        <f aca="false">IFERROR((BS33-BM33)/(BS28-BM28),"")</f>
        <v>0.415094339622643</v>
      </c>
      <c r="BT39" s="40" t="n">
        <f aca="false">IFERROR((BT33-BN33)/(BT28-BN28),"")</f>
        <v>0.358024691358025</v>
      </c>
      <c r="BU39" s="40" t="n">
        <f aca="false">IFERROR((BU33-BO33)/(BU28-BO28),"")</f>
        <v>0.612334801762114</v>
      </c>
      <c r="BV39" s="40" t="n">
        <f aca="false">IFERROR((BV33-BP33)/(BV28-BP28),"")</f>
        <v>1.28888888888889</v>
      </c>
      <c r="BW39" s="40" t="n">
        <f aca="false">IFERROR((BW33-BQ33)/(BW28-BQ28),"")</f>
        <v>0.554016620498615</v>
      </c>
      <c r="BX39" s="40" t="n">
        <f aca="false">IFERROR((BX33-BR33)/(BX28-BR28),"")</f>
        <v>-1.61290322580644</v>
      </c>
      <c r="BY39" s="40" t="n">
        <f aca="false">IFERROR((BY33-BS33)/(BY28-BS28),"")</f>
        <v>1.13725490196078</v>
      </c>
      <c r="BZ39" s="40" t="n">
        <f aca="false">IFERROR((BZ33-BT33)/(BZ28-BT28),"")</f>
        <v>5.39999999999999</v>
      </c>
      <c r="CA39" s="40" t="n">
        <f aca="false">IFERROR((CA33-BU33)/(CA28-BU28),"")</f>
        <v>0.521739130434783</v>
      </c>
      <c r="CB39" s="40" t="n">
        <f aca="false">IFERROR((CB33-BV33)/(CB28-BV28),"")</f>
        <v>0.385756676557864</v>
      </c>
      <c r="CC39" s="40" t="n">
        <f aca="false">IFERROR((CC33-BW33)/(CC28-BW28),"")</f>
        <v>0.615248226950356</v>
      </c>
      <c r="CD39" s="40" t="n">
        <f aca="false">IFERROR((CD33-BX33)/(CD28-BX28),"")</f>
        <v>0.503875968992247</v>
      </c>
      <c r="CE39" s="40" t="n">
        <f aca="false">IFERROR((CE33-BY33)/(CE28-BY28),"")</f>
        <v>0.416422287390029</v>
      </c>
      <c r="CF39" s="40" t="n">
        <f aca="false">IFERROR((CF33-BZ33)/(CF28-BZ28),"")</f>
        <v>0.440425531914893</v>
      </c>
      <c r="CG39" s="40" t="n">
        <f aca="false">IFERROR((CG33-CA33)/(CG28-CA28),"")</f>
        <v>0.166666666666666</v>
      </c>
      <c r="CH39" s="40" t="n">
        <f aca="false">IFERROR((CH33-CB33)/(CH28-CB28),"")</f>
        <v>0.233576642335765</v>
      </c>
      <c r="CI39" s="40" t="n">
        <f aca="false">IFERROR((CI33-CC33)/(CI28-CC28),"")</f>
        <v>0.350335570469798</v>
      </c>
      <c r="CJ39" s="40" t="n">
        <f aca="false">IFERROR((CJ33-CD33)/(CJ28-CD28),"")</f>
        <v>-0.220994475138122</v>
      </c>
      <c r="CK39" s="40" t="n">
        <f aca="false">IFERROR((CK33-CE33)/(CK28-CE28),"")</f>
        <v>-0.00495049504950397</v>
      </c>
      <c r="CL39" s="40" t="n">
        <f aca="false">IFERROR((CL33-CF33)/(CL28-CF28),"")</f>
        <v>-0.107049608355091</v>
      </c>
      <c r="CM39" s="28" t="n">
        <f aca="false">IFERROR((CM33-CG33)/(CM28-CG28),"")</f>
        <v>-0.275780863977583</v>
      </c>
      <c r="CN39" s="28" t="n">
        <f aca="false">IFERROR((CN33-CH33)/(CN28-CH28),"")</f>
        <v>-0.637240698193213</v>
      </c>
      <c r="CO39" s="28" t="n">
        <f aca="false">IFERROR((CO33-CI33)/(CO28-CI28),"")</f>
        <v>-0.290118272167485</v>
      </c>
      <c r="CP39" s="28" t="n">
        <f aca="false">IFERROR((CP33-CO33)/(CP28-CO28),"")</f>
        <v>0.624896100968861</v>
      </c>
      <c r="CQ39" s="28" t="n">
        <f aca="false">IFERROR((CQ33-CP33)/(CQ28-CP28),"")</f>
        <v>0.386111111111111</v>
      </c>
      <c r="CR39" s="28" t="n">
        <f aca="false">IFERROR((CR33-CQ33)/(CR28-CQ28),"")</f>
        <v>0.391111111111112</v>
      </c>
      <c r="CS39" s="28" t="n">
        <f aca="false">IFERROR((CS33-CR33)/(CS28-CR28),"")</f>
        <v>0.396111111111109</v>
      </c>
      <c r="CT39" s="23"/>
      <c r="CV39" s="7"/>
      <c r="CW39" s="7"/>
      <c r="CX39" s="7"/>
      <c r="CY39" s="7"/>
      <c r="DB39" s="13" t="s">
        <v>130</v>
      </c>
      <c r="DC39" s="43" t="n">
        <f aca="false">DD39+$DC$38</f>
        <v>0.07</v>
      </c>
      <c r="DD39" s="36" t="n">
        <v>0.04</v>
      </c>
      <c r="DE39" s="43" t="n">
        <f aca="false">DD39+$DE$38</f>
        <v>0</v>
      </c>
    </row>
    <row r="40" customFormat="false" ht="15" hidden="false" customHeight="true" outlineLevel="0" collapsed="false">
      <c r="B40" s="37" t="s">
        <v>148</v>
      </c>
      <c r="C40" s="30"/>
      <c r="D40" s="30"/>
      <c r="E40" s="31" t="n">
        <v>320.9</v>
      </c>
      <c r="F40" s="31" t="n">
        <v>335.1</v>
      </c>
      <c r="G40" s="31" t="n">
        <v>353.4</v>
      </c>
      <c r="H40" s="31" t="n">
        <v>404.4</v>
      </c>
      <c r="I40" s="31" t="n">
        <v>473.7</v>
      </c>
      <c r="J40" s="31" t="n">
        <v>127.1</v>
      </c>
      <c r="K40" s="31" t="n">
        <v>145.6</v>
      </c>
      <c r="L40" s="30" t="n">
        <f aca="false">J40+K40</f>
        <v>272.7</v>
      </c>
      <c r="M40" s="31" t="n">
        <v>151.6</v>
      </c>
      <c r="N40" s="31" t="n">
        <v>156.1</v>
      </c>
      <c r="O40" s="31" t="n">
        <v>580.4</v>
      </c>
      <c r="P40" s="31" t="n">
        <v>150.6</v>
      </c>
      <c r="Q40" s="31" t="n">
        <v>160.1</v>
      </c>
      <c r="R40" s="30" t="n">
        <f aca="false">P40+Q40</f>
        <v>310.7</v>
      </c>
      <c r="S40" s="31" t="n">
        <v>167.4</v>
      </c>
      <c r="T40" s="31" t="n">
        <v>176.7</v>
      </c>
      <c r="U40" s="31" t="n">
        <v>654.8</v>
      </c>
      <c r="V40" s="31" t="n">
        <v>159.5</v>
      </c>
      <c r="W40" s="31" t="n">
        <v>161.8</v>
      </c>
      <c r="X40" s="30" t="n">
        <f aca="false">V40+W40</f>
        <v>321.3</v>
      </c>
      <c r="Y40" s="31" t="n">
        <v>136.5</v>
      </c>
      <c r="Z40" s="31" t="n">
        <v>156.2</v>
      </c>
      <c r="AA40" s="31" t="n">
        <v>614</v>
      </c>
      <c r="AB40" s="31" t="n">
        <v>112.9</v>
      </c>
      <c r="AC40" s="31" t="n">
        <v>103.8</v>
      </c>
      <c r="AD40" s="30" t="n">
        <f aca="false">AB40+AC40</f>
        <v>216.7</v>
      </c>
      <c r="AE40" s="31" t="n">
        <v>97.6</v>
      </c>
      <c r="AF40" s="31" t="n">
        <v>104.4</v>
      </c>
      <c r="AG40" s="31" t="n">
        <v>418.7</v>
      </c>
      <c r="AH40" s="30"/>
      <c r="AI40" s="30"/>
      <c r="AJ40" s="30"/>
      <c r="AK40" s="30"/>
      <c r="AL40" s="30"/>
      <c r="AM40" s="31" t="n">
        <v>430.7</v>
      </c>
      <c r="AN40" s="30"/>
      <c r="AO40" s="30"/>
      <c r="AP40" s="30"/>
      <c r="AQ40" s="30"/>
      <c r="AR40" s="30"/>
      <c r="AS40" s="31" t="n">
        <v>433</v>
      </c>
      <c r="AT40" s="30"/>
      <c r="AU40" s="30"/>
      <c r="AV40" s="30"/>
      <c r="AW40" s="30"/>
      <c r="AX40" s="30"/>
      <c r="AY40" s="31" t="n">
        <v>450.2</v>
      </c>
      <c r="AZ40" s="30"/>
      <c r="BA40" s="30"/>
      <c r="BB40" s="30"/>
      <c r="BC40" s="30"/>
      <c r="BD40" s="30"/>
      <c r="BE40" s="31" t="n">
        <v>426.3</v>
      </c>
      <c r="BF40" s="31" t="n">
        <v>102</v>
      </c>
      <c r="BG40" s="31" t="n">
        <v>104.9</v>
      </c>
      <c r="BH40" s="30" t="n">
        <f aca="false">BF40+BG40</f>
        <v>206.9</v>
      </c>
      <c r="BI40" s="31" t="n">
        <v>104.7</v>
      </c>
      <c r="BJ40" s="31" t="n">
        <v>112.5</v>
      </c>
      <c r="BK40" s="31" t="n">
        <v>424.1</v>
      </c>
      <c r="BL40" s="31" t="n">
        <v>111.9</v>
      </c>
      <c r="BM40" s="31" t="n">
        <v>115.3</v>
      </c>
      <c r="BN40" s="30" t="n">
        <f aca="false">BL40+BM40</f>
        <v>227.2</v>
      </c>
      <c r="BO40" s="31" t="n">
        <v>110</v>
      </c>
      <c r="BP40" s="31" t="n">
        <v>123.5</v>
      </c>
      <c r="BQ40" s="31" t="n">
        <v>460.7</v>
      </c>
      <c r="BR40" s="31" t="n">
        <v>128.2</v>
      </c>
      <c r="BS40" s="31" t="n">
        <v>127.4</v>
      </c>
      <c r="BT40" s="30" t="n">
        <f aca="false">BR40+BS40</f>
        <v>255.6</v>
      </c>
      <c r="BU40" s="31" t="n">
        <v>132.5</v>
      </c>
      <c r="BV40" s="31" t="n">
        <v>141.6</v>
      </c>
      <c r="BW40" s="31" t="n">
        <v>529.7</v>
      </c>
      <c r="BX40" s="31" t="n">
        <v>147.8</v>
      </c>
      <c r="BY40" s="31" t="n">
        <v>147.8</v>
      </c>
      <c r="BZ40" s="30" t="n">
        <f aca="false">BX40+BY40</f>
        <v>295.6</v>
      </c>
      <c r="CA40" s="31" t="n">
        <v>164.4</v>
      </c>
      <c r="CB40" s="31" t="n">
        <v>171.5</v>
      </c>
      <c r="CC40" s="31" t="n">
        <v>631.5</v>
      </c>
      <c r="CD40" s="31" t="n">
        <v>161.8</v>
      </c>
      <c r="CE40" s="31" t="n">
        <v>171.5</v>
      </c>
      <c r="CF40" s="30" t="n">
        <f aca="false">CD40+CE40</f>
        <v>333.3</v>
      </c>
      <c r="CG40" s="31" t="n">
        <v>169.7</v>
      </c>
      <c r="CH40" s="31" t="n">
        <v>177.1</v>
      </c>
      <c r="CI40" s="31" t="n">
        <v>680.1</v>
      </c>
      <c r="CJ40" s="31" t="n">
        <v>175.3</v>
      </c>
      <c r="CK40" s="31" t="n">
        <v>181.2</v>
      </c>
      <c r="CL40" s="30" t="n">
        <f aca="false">CJ40+CK40</f>
        <v>356.5</v>
      </c>
      <c r="CM40" s="32"/>
      <c r="CN40" s="32"/>
      <c r="CO40" s="32"/>
      <c r="CP40" s="32"/>
      <c r="CQ40" s="32"/>
      <c r="CR40" s="32"/>
      <c r="CS40" s="32"/>
      <c r="CT40" s="23"/>
      <c r="CV40" s="7"/>
      <c r="CW40" s="7"/>
      <c r="CX40" s="7"/>
      <c r="CY40" s="7"/>
      <c r="DB40" s="13" t="s">
        <v>132</v>
      </c>
      <c r="DC40" s="43" t="n">
        <f aca="false">DD40+$DC$38</f>
        <v>0.07</v>
      </c>
      <c r="DD40" s="36" t="n">
        <v>0.04</v>
      </c>
      <c r="DE40" s="43" t="n">
        <f aca="false">DD40+$DE$38</f>
        <v>0</v>
      </c>
    </row>
    <row r="41" customFormat="false" ht="15" hidden="false" customHeight="true" outlineLevel="0" collapsed="false">
      <c r="B41" s="37" t="s">
        <v>149</v>
      </c>
      <c r="C41" s="30"/>
      <c r="D41" s="30"/>
      <c r="E41" s="31" t="n">
        <v>228.3</v>
      </c>
      <c r="F41" s="31" t="n">
        <v>203.3</v>
      </c>
      <c r="G41" s="31" t="n">
        <v>219.8</v>
      </c>
      <c r="H41" s="31" t="n">
        <v>243.8</v>
      </c>
      <c r="I41" s="31" t="n">
        <v>250.2</v>
      </c>
      <c r="J41" s="31" t="n">
        <v>60.1</v>
      </c>
      <c r="K41" s="31" t="n">
        <v>63</v>
      </c>
      <c r="L41" s="30" t="n">
        <f aca="false">J41+K41</f>
        <v>123.1</v>
      </c>
      <c r="M41" s="31" t="n">
        <v>57.1</v>
      </c>
      <c r="N41" s="31" t="n">
        <v>68.4</v>
      </c>
      <c r="O41" s="31" t="n">
        <v>248.6</v>
      </c>
      <c r="P41" s="31" t="n">
        <v>61.3</v>
      </c>
      <c r="Q41" s="31" t="n">
        <v>69.4</v>
      </c>
      <c r="R41" s="30" t="n">
        <f aca="false">P41+Q41</f>
        <v>130.7</v>
      </c>
      <c r="S41" s="31" t="n">
        <v>66.1</v>
      </c>
      <c r="T41" s="31" t="n">
        <v>71.6</v>
      </c>
      <c r="U41" s="31" t="n">
        <v>268.4</v>
      </c>
      <c r="V41" s="31" t="n">
        <v>67.7</v>
      </c>
      <c r="W41" s="31" t="n">
        <v>67.7</v>
      </c>
      <c r="X41" s="30" t="n">
        <f aca="false">V41+W41</f>
        <v>135.4</v>
      </c>
      <c r="Y41" s="31" t="n">
        <v>67.4</v>
      </c>
      <c r="Z41" s="31" t="n">
        <v>65.9</v>
      </c>
      <c r="AA41" s="31" t="n">
        <v>268.7</v>
      </c>
      <c r="AB41" s="31" t="n">
        <v>68.7</v>
      </c>
      <c r="AC41" s="31" t="n">
        <v>67.9</v>
      </c>
      <c r="AD41" s="30" t="n">
        <f aca="false">AB41+AC41</f>
        <v>136.6</v>
      </c>
      <c r="AE41" s="31" t="n">
        <v>63.8</v>
      </c>
      <c r="AF41" s="31" t="n">
        <v>69.7</v>
      </c>
      <c r="AG41" s="31" t="n">
        <v>270.1</v>
      </c>
      <c r="AH41" s="30"/>
      <c r="AI41" s="30"/>
      <c r="AJ41" s="30"/>
      <c r="AK41" s="30"/>
      <c r="AL41" s="30"/>
      <c r="AM41" s="31" t="n">
        <v>314.3</v>
      </c>
      <c r="AN41" s="30"/>
      <c r="AO41" s="30"/>
      <c r="AP41" s="30"/>
      <c r="AQ41" s="30"/>
      <c r="AR41" s="30"/>
      <c r="AS41" s="31" t="n">
        <v>339.6</v>
      </c>
      <c r="AT41" s="30"/>
      <c r="AU41" s="30"/>
      <c r="AV41" s="30"/>
      <c r="AW41" s="30"/>
      <c r="AX41" s="30"/>
      <c r="AY41" s="31" t="n">
        <v>391.4</v>
      </c>
      <c r="AZ41" s="30"/>
      <c r="BA41" s="30"/>
      <c r="BB41" s="30"/>
      <c r="BC41" s="30"/>
      <c r="BD41" s="30"/>
      <c r="BE41" s="31" t="n">
        <v>411.3</v>
      </c>
      <c r="BF41" s="31" t="n">
        <v>114.8</v>
      </c>
      <c r="BG41" s="31" t="n">
        <v>112.8</v>
      </c>
      <c r="BH41" s="30" t="n">
        <f aca="false">BF41+BG41</f>
        <v>227.6</v>
      </c>
      <c r="BI41" s="31" t="n">
        <v>108</v>
      </c>
      <c r="BJ41" s="31" t="n">
        <v>110.7</v>
      </c>
      <c r="BK41" s="31" t="n">
        <v>446.3</v>
      </c>
      <c r="BL41" s="31" t="n">
        <v>114</v>
      </c>
      <c r="BM41" s="31" t="n">
        <v>115.5</v>
      </c>
      <c r="BN41" s="30" t="n">
        <f aca="false">BL41+BM41</f>
        <v>229.5</v>
      </c>
      <c r="BO41" s="31" t="n">
        <v>114.8</v>
      </c>
      <c r="BP41" s="31" t="n">
        <v>120.7</v>
      </c>
      <c r="BQ41" s="31" t="n">
        <v>465</v>
      </c>
      <c r="BR41" s="31" t="n">
        <v>117.9</v>
      </c>
      <c r="BS41" s="31" t="n">
        <v>115.3</v>
      </c>
      <c r="BT41" s="30" t="n">
        <f aca="false">BR41+BS41</f>
        <v>233.2</v>
      </c>
      <c r="BU41" s="31" t="n">
        <v>113</v>
      </c>
      <c r="BV41" s="31" t="n">
        <v>111.9</v>
      </c>
      <c r="BW41" s="31" t="n">
        <v>458.1</v>
      </c>
      <c r="BX41" s="31" t="n">
        <v>111.1</v>
      </c>
      <c r="BY41" s="31" t="n">
        <v>113.5</v>
      </c>
      <c r="BZ41" s="30" t="n">
        <f aca="false">BX41+BY41</f>
        <v>224.6</v>
      </c>
      <c r="CA41" s="31" t="n">
        <v>109</v>
      </c>
      <c r="CB41" s="31" t="n">
        <v>113.8</v>
      </c>
      <c r="CC41" s="31" t="n">
        <v>447.4</v>
      </c>
      <c r="CD41" s="31" t="n">
        <v>108.9</v>
      </c>
      <c r="CE41" s="31" t="n">
        <v>119.9</v>
      </c>
      <c r="CF41" s="30" t="n">
        <f aca="false">CD41+CE41</f>
        <v>228.8</v>
      </c>
      <c r="CG41" s="31" t="n">
        <v>117.1</v>
      </c>
      <c r="CH41" s="31" t="n">
        <v>120.7</v>
      </c>
      <c r="CI41" s="31" t="n">
        <v>466.6</v>
      </c>
      <c r="CJ41" s="31" t="n">
        <v>116.2</v>
      </c>
      <c r="CK41" s="31" t="n">
        <v>127.1</v>
      </c>
      <c r="CL41" s="30" t="n">
        <f aca="false">CJ41+CK41</f>
        <v>243.3</v>
      </c>
      <c r="CM41" s="32"/>
      <c r="CN41" s="32"/>
      <c r="CO41" s="32"/>
      <c r="CP41" s="32"/>
      <c r="CQ41" s="32"/>
      <c r="CR41" s="32"/>
      <c r="CS41" s="32"/>
      <c r="CT41" s="23"/>
      <c r="CV41" s="7"/>
      <c r="CW41" s="7"/>
      <c r="CX41" s="7"/>
      <c r="CY41" s="7"/>
      <c r="DB41" s="13" t="s">
        <v>134</v>
      </c>
      <c r="DC41" s="43" t="n">
        <f aca="false">DD41+$DC$38</f>
        <v>0.07</v>
      </c>
      <c r="DD41" s="36" t="n">
        <v>0.04</v>
      </c>
      <c r="DE41" s="43" t="n">
        <f aca="false">DD41+$DE$38</f>
        <v>0</v>
      </c>
    </row>
    <row r="42" customFormat="false" ht="15" hidden="false" customHeight="true" outlineLevel="0" collapsed="false">
      <c r="B42" s="37" t="s">
        <v>150</v>
      </c>
      <c r="C42" s="30"/>
      <c r="D42" s="30"/>
      <c r="E42" s="30"/>
      <c r="F42" s="30"/>
      <c r="G42" s="30"/>
      <c r="H42" s="31" t="n">
        <v>0</v>
      </c>
      <c r="I42" s="31" t="n">
        <v>80.8</v>
      </c>
      <c r="J42" s="31" t="n">
        <v>45.5</v>
      </c>
      <c r="K42" s="31" t="n">
        <v>49.1</v>
      </c>
      <c r="L42" s="30" t="n">
        <f aca="false">J42+K42</f>
        <v>94.6</v>
      </c>
      <c r="M42" s="31" t="n">
        <v>47.9</v>
      </c>
      <c r="N42" s="31" t="n">
        <v>51.3</v>
      </c>
      <c r="O42" s="31" t="n">
        <v>193.8</v>
      </c>
      <c r="P42" s="31" t="n">
        <v>47</v>
      </c>
      <c r="Q42" s="31" t="n">
        <v>47.1</v>
      </c>
      <c r="R42" s="30" t="n">
        <f aca="false">P42+Q42</f>
        <v>94.1</v>
      </c>
      <c r="S42" s="31" t="n">
        <v>46.9</v>
      </c>
      <c r="T42" s="31" t="n">
        <v>51.3</v>
      </c>
      <c r="U42" s="31" t="n">
        <v>192.3</v>
      </c>
      <c r="V42" s="31" t="n">
        <v>43.1</v>
      </c>
      <c r="W42" s="31" t="n">
        <v>41.8</v>
      </c>
      <c r="X42" s="30" t="n">
        <f aca="false">V42+W42</f>
        <v>84.9</v>
      </c>
      <c r="Y42" s="31" t="n">
        <v>39.3</v>
      </c>
      <c r="Z42" s="31" t="n">
        <v>44.2</v>
      </c>
      <c r="AA42" s="31" t="n">
        <v>168.4</v>
      </c>
      <c r="AB42" s="31" t="n">
        <v>42.1</v>
      </c>
      <c r="AC42" s="31" t="n">
        <v>48.4</v>
      </c>
      <c r="AD42" s="30" t="n">
        <f aca="false">AB42+AC42</f>
        <v>90.5</v>
      </c>
      <c r="AE42" s="31" t="n">
        <v>46.9</v>
      </c>
      <c r="AF42" s="31" t="n">
        <v>50.5</v>
      </c>
      <c r="AG42" s="31" t="n">
        <v>187.9</v>
      </c>
      <c r="AH42" s="30"/>
      <c r="AI42" s="30"/>
      <c r="AJ42" s="30"/>
      <c r="AK42" s="30"/>
      <c r="AL42" s="30"/>
      <c r="AM42" s="31" t="n">
        <v>208.9</v>
      </c>
      <c r="AN42" s="30"/>
      <c r="AO42" s="30"/>
      <c r="AP42" s="30"/>
      <c r="AQ42" s="30"/>
      <c r="AR42" s="30"/>
      <c r="AS42" s="31" t="n">
        <v>248.6</v>
      </c>
      <c r="AT42" s="30"/>
      <c r="AU42" s="30"/>
      <c r="AV42" s="30"/>
      <c r="AW42" s="30"/>
      <c r="AX42" s="30"/>
      <c r="AY42" s="31" t="n">
        <v>263.5</v>
      </c>
      <c r="AZ42" s="30"/>
      <c r="BA42" s="30"/>
      <c r="BB42" s="30"/>
      <c r="BC42" s="30"/>
      <c r="BD42" s="30"/>
      <c r="BE42" s="31" t="n">
        <v>256.9</v>
      </c>
      <c r="BF42" s="31" t="n">
        <v>69.7</v>
      </c>
      <c r="BG42" s="31" t="n">
        <v>73.4</v>
      </c>
      <c r="BH42" s="30" t="n">
        <f aca="false">BF42+BG42</f>
        <v>143.1</v>
      </c>
      <c r="BI42" s="31" t="n">
        <v>74.4</v>
      </c>
      <c r="BJ42" s="31" t="n">
        <v>79</v>
      </c>
      <c r="BK42" s="31" t="n">
        <v>296.5</v>
      </c>
      <c r="BL42" s="31" t="n">
        <v>83</v>
      </c>
      <c r="BM42" s="31" t="n">
        <v>81.7</v>
      </c>
      <c r="BN42" s="30" t="n">
        <f aca="false">BL42+BM42</f>
        <v>164.7</v>
      </c>
      <c r="BO42" s="31" t="n">
        <v>81.6</v>
      </c>
      <c r="BP42" s="31" t="n">
        <v>82</v>
      </c>
      <c r="BQ42" s="31" t="n">
        <v>328.3</v>
      </c>
      <c r="BR42" s="31" t="n">
        <v>87.4</v>
      </c>
      <c r="BS42" s="31" t="n">
        <v>85.7</v>
      </c>
      <c r="BT42" s="30" t="n">
        <f aca="false">BR42+BS42</f>
        <v>173.1</v>
      </c>
      <c r="BU42" s="31" t="n">
        <v>83.6</v>
      </c>
      <c r="BV42" s="31" t="n">
        <v>81.7</v>
      </c>
      <c r="BW42" s="31" t="n">
        <v>338.4</v>
      </c>
      <c r="BX42" s="31" t="n">
        <v>71.5</v>
      </c>
      <c r="BY42" s="31" t="n">
        <v>72.2</v>
      </c>
      <c r="BZ42" s="30" t="n">
        <f aca="false">BX42+BY42</f>
        <v>143.7</v>
      </c>
      <c r="CA42" s="31" t="n">
        <v>76.4</v>
      </c>
      <c r="CB42" s="31" t="n">
        <v>83.6</v>
      </c>
      <c r="CC42" s="31" t="n">
        <v>303.7</v>
      </c>
      <c r="CD42" s="31" t="n">
        <v>72.6</v>
      </c>
      <c r="CE42" s="31" t="n">
        <v>76.2</v>
      </c>
      <c r="CF42" s="30" t="n">
        <f aca="false">CD42+CE42</f>
        <v>148.8</v>
      </c>
      <c r="CG42" s="31" t="n">
        <v>76.8</v>
      </c>
      <c r="CH42" s="31" t="n">
        <v>84.8</v>
      </c>
      <c r="CI42" s="31" t="n">
        <v>310.4</v>
      </c>
      <c r="CJ42" s="31" t="n">
        <v>69.9</v>
      </c>
      <c r="CK42" s="31" t="n">
        <v>79.5</v>
      </c>
      <c r="CL42" s="30" t="n">
        <f aca="false">CJ42+CK42</f>
        <v>149.4</v>
      </c>
      <c r="CM42" s="32"/>
      <c r="CN42" s="32"/>
      <c r="CO42" s="32"/>
      <c r="CP42" s="32"/>
      <c r="CQ42" s="32"/>
      <c r="CR42" s="32"/>
      <c r="CS42" s="32"/>
      <c r="CT42" s="23"/>
      <c r="CV42" s="7"/>
      <c r="CW42" s="7"/>
      <c r="CX42" s="7"/>
      <c r="CY42" s="7"/>
      <c r="DB42" s="13" t="s">
        <v>136</v>
      </c>
      <c r="DC42" s="43" t="n">
        <f aca="false">DD42+$DC$38</f>
        <v>0.07</v>
      </c>
      <c r="DD42" s="36" t="n">
        <v>0.04</v>
      </c>
      <c r="DE42" s="43" t="n">
        <f aca="false">DD42+$DE$38</f>
        <v>0</v>
      </c>
    </row>
    <row r="43" customFormat="false" ht="15" hidden="false" customHeight="true" outlineLevel="0" collapsed="false">
      <c r="B43" s="13" t="s">
        <v>133</v>
      </c>
      <c r="C43" s="30"/>
      <c r="D43" s="30"/>
      <c r="E43" s="31" t="n">
        <v>16.8</v>
      </c>
      <c r="F43" s="31" t="n">
        <v>16</v>
      </c>
      <c r="G43" s="31" t="n">
        <v>16.6</v>
      </c>
      <c r="H43" s="31" t="n">
        <v>17.4</v>
      </c>
      <c r="I43" s="31" t="n">
        <v>26.1</v>
      </c>
      <c r="J43" s="30"/>
      <c r="K43" s="30"/>
      <c r="L43" s="30"/>
      <c r="M43" s="30"/>
      <c r="N43" s="30"/>
      <c r="O43" s="31" t="n">
        <v>38.2</v>
      </c>
      <c r="P43" s="30"/>
      <c r="Q43" s="30"/>
      <c r="R43" s="30"/>
      <c r="S43" s="30"/>
      <c r="T43" s="30"/>
      <c r="U43" s="31" t="n">
        <v>41.1</v>
      </c>
      <c r="V43" s="30"/>
      <c r="W43" s="30"/>
      <c r="X43" s="30"/>
      <c r="Y43" s="30"/>
      <c r="Z43" s="30"/>
      <c r="AA43" s="31" t="n">
        <v>41.2</v>
      </c>
      <c r="AB43" s="30"/>
      <c r="AC43" s="30"/>
      <c r="AD43" s="30"/>
      <c r="AE43" s="30"/>
      <c r="AF43" s="30"/>
      <c r="AG43" s="31" t="n">
        <v>37.3</v>
      </c>
      <c r="AH43" s="30"/>
      <c r="AI43" s="30"/>
      <c r="AJ43" s="30"/>
      <c r="AK43" s="30"/>
      <c r="AL43" s="30"/>
      <c r="AM43" s="31" t="n">
        <v>38.2</v>
      </c>
      <c r="AN43" s="30"/>
      <c r="AO43" s="30"/>
      <c r="AP43" s="30"/>
      <c r="AQ43" s="30"/>
      <c r="AR43" s="30"/>
      <c r="AS43" s="31" t="n">
        <v>37</v>
      </c>
      <c r="AT43" s="30"/>
      <c r="AU43" s="30"/>
      <c r="AV43" s="30"/>
      <c r="AW43" s="30"/>
      <c r="AX43" s="30"/>
      <c r="AY43" s="31" t="n">
        <v>35.9</v>
      </c>
      <c r="AZ43" s="30"/>
      <c r="BA43" s="30"/>
      <c r="BB43" s="30"/>
      <c r="BC43" s="30"/>
      <c r="BD43" s="30"/>
      <c r="BE43" s="31" t="n">
        <v>38.3</v>
      </c>
      <c r="BF43" s="30"/>
      <c r="BG43" s="30"/>
      <c r="BH43" s="30"/>
      <c r="BI43" s="30"/>
      <c r="BJ43" s="30"/>
      <c r="BK43" s="31" t="n">
        <v>38.1</v>
      </c>
      <c r="BL43" s="30"/>
      <c r="BM43" s="30"/>
      <c r="BN43" s="30"/>
      <c r="BO43" s="30"/>
      <c r="BP43" s="30"/>
      <c r="BQ43" s="31" t="n">
        <v>32.6</v>
      </c>
      <c r="BR43" s="30"/>
      <c r="BS43" s="30"/>
      <c r="BT43" s="30"/>
      <c r="BU43" s="30"/>
      <c r="BV43" s="30"/>
      <c r="BW43" s="31" t="n">
        <v>27.7</v>
      </c>
      <c r="BX43" s="30"/>
      <c r="BY43" s="30"/>
      <c r="BZ43" s="30"/>
      <c r="CA43" s="30"/>
      <c r="CB43" s="30"/>
      <c r="CC43" s="31" t="n">
        <v>29.2</v>
      </c>
      <c r="CD43" s="30"/>
      <c r="CE43" s="30"/>
      <c r="CF43" s="30"/>
      <c r="CG43" s="30"/>
      <c r="CH43" s="30"/>
      <c r="CI43" s="31" t="n">
        <v>27.7</v>
      </c>
      <c r="CJ43" s="30"/>
      <c r="CK43" s="30"/>
      <c r="CL43" s="30"/>
      <c r="CM43" s="32"/>
      <c r="CN43" s="32"/>
      <c r="CO43" s="32"/>
      <c r="CP43" s="32"/>
      <c r="CQ43" s="32"/>
      <c r="CR43" s="32"/>
      <c r="CS43" s="32"/>
      <c r="CT43" s="23"/>
      <c r="CV43" s="7"/>
      <c r="CW43" s="7"/>
      <c r="CX43" s="7"/>
      <c r="CY43" s="7"/>
    </row>
    <row r="44" customFormat="false" ht="15" hidden="false" customHeight="true" outlineLevel="0" collapsed="false">
      <c r="B44" s="13" t="s">
        <v>135</v>
      </c>
      <c r="C44" s="30"/>
      <c r="D44" s="30"/>
      <c r="E44" s="31" t="n">
        <v>12.5</v>
      </c>
      <c r="F44" s="31" t="n">
        <v>16.1</v>
      </c>
      <c r="G44" s="31" t="n">
        <v>6.4</v>
      </c>
      <c r="H44" s="31" t="n">
        <v>9.5</v>
      </c>
      <c r="I44" s="31" t="n">
        <v>14.4</v>
      </c>
      <c r="J44" s="30"/>
      <c r="K44" s="30"/>
      <c r="L44" s="30"/>
      <c r="M44" s="30"/>
      <c r="N44" s="30"/>
      <c r="O44" s="31" t="n">
        <v>22</v>
      </c>
      <c r="P44" s="30"/>
      <c r="Q44" s="30"/>
      <c r="R44" s="30"/>
      <c r="S44" s="30"/>
      <c r="T44" s="30"/>
      <c r="U44" s="31" t="n">
        <v>17</v>
      </c>
      <c r="V44" s="30"/>
      <c r="W44" s="30"/>
      <c r="X44" s="30"/>
      <c r="Y44" s="30"/>
      <c r="Z44" s="30"/>
      <c r="AA44" s="31" t="n">
        <v>20.9</v>
      </c>
      <c r="AB44" s="30"/>
      <c r="AC44" s="30"/>
      <c r="AD44" s="30"/>
      <c r="AE44" s="30"/>
      <c r="AF44" s="30"/>
      <c r="AG44" s="31" t="n">
        <v>50.9</v>
      </c>
      <c r="AH44" s="30"/>
      <c r="AI44" s="30"/>
      <c r="AJ44" s="30"/>
      <c r="AK44" s="30"/>
      <c r="AL44" s="30"/>
      <c r="AM44" s="31" t="n">
        <v>13.7</v>
      </c>
      <c r="AN44" s="30"/>
      <c r="AO44" s="30"/>
      <c r="AP44" s="30"/>
      <c r="AQ44" s="30"/>
      <c r="AR44" s="30"/>
      <c r="AS44" s="31" t="n">
        <v>14.8</v>
      </c>
      <c r="AT44" s="30"/>
      <c r="AU44" s="30"/>
      <c r="AV44" s="30"/>
      <c r="AW44" s="30"/>
      <c r="AX44" s="30"/>
      <c r="AY44" s="31" t="n">
        <v>18.9</v>
      </c>
      <c r="AZ44" s="30"/>
      <c r="BA44" s="30"/>
      <c r="BB44" s="30"/>
      <c r="BC44" s="30"/>
      <c r="BD44" s="30"/>
      <c r="BE44" s="31" t="n">
        <v>18</v>
      </c>
      <c r="BF44" s="30"/>
      <c r="BG44" s="30"/>
      <c r="BH44" s="30"/>
      <c r="BI44" s="30"/>
      <c r="BJ44" s="30"/>
      <c r="BK44" s="31" t="n">
        <v>13.3</v>
      </c>
      <c r="BL44" s="30"/>
      <c r="BM44" s="30"/>
      <c r="BN44" s="30"/>
      <c r="BO44" s="30"/>
      <c r="BP44" s="30"/>
      <c r="BQ44" s="31" t="n">
        <v>9.3</v>
      </c>
      <c r="BR44" s="30"/>
      <c r="BS44" s="30"/>
      <c r="BT44" s="30"/>
      <c r="BU44" s="30"/>
      <c r="BV44" s="30"/>
      <c r="BW44" s="31" t="n">
        <v>14</v>
      </c>
      <c r="BX44" s="30"/>
      <c r="BY44" s="30"/>
      <c r="BZ44" s="30"/>
      <c r="CA44" s="30"/>
      <c r="CB44" s="30"/>
      <c r="CC44" s="31" t="n">
        <v>15</v>
      </c>
      <c r="CD44" s="30"/>
      <c r="CE44" s="30"/>
      <c r="CF44" s="30"/>
      <c r="CG44" s="30"/>
      <c r="CH44" s="30"/>
      <c r="CI44" s="31" t="n">
        <v>15.1</v>
      </c>
      <c r="CJ44" s="30"/>
      <c r="CK44" s="30"/>
      <c r="CL44" s="30"/>
      <c r="CM44" s="32"/>
      <c r="CN44" s="32"/>
      <c r="CO44" s="32"/>
      <c r="CP44" s="32"/>
      <c r="CQ44" s="32"/>
      <c r="CR44" s="32"/>
      <c r="CS44" s="32"/>
      <c r="CT44" s="23"/>
      <c r="CV44" s="7"/>
      <c r="CW44" s="7"/>
      <c r="CX44" s="7"/>
      <c r="CY44" s="7"/>
      <c r="DB44" s="18" t="s">
        <v>151</v>
      </c>
      <c r="DC44" s="42" t="n">
        <v>0.01</v>
      </c>
      <c r="DD44" s="25" t="s">
        <v>127</v>
      </c>
      <c r="DE44" s="42" t="n">
        <v>-0.02</v>
      </c>
      <c r="DF44" s="16" t="s">
        <v>152</v>
      </c>
    </row>
    <row r="45" customFormat="false" ht="15" hidden="false" customHeight="true" outlineLevel="0" collapsed="false">
      <c r="B45" s="26" t="s">
        <v>137</v>
      </c>
      <c r="C45" s="40" t="str">
        <f aca="false">IFERROR(C44/C28,"")</f>
        <v/>
      </c>
      <c r="D45" s="40" t="str">
        <f aca="false">IFERROR(D44/D28,"")</f>
        <v/>
      </c>
      <c r="E45" s="40" t="n">
        <f aca="false">IFERROR(E44/E28,"")</f>
        <v>0.0227603787327021</v>
      </c>
      <c r="F45" s="40" t="n">
        <f aca="false">IFERROR(F44/F28,"")</f>
        <v>0.0299034175334324</v>
      </c>
      <c r="G45" s="40" t="n">
        <f aca="false">IFERROR(G44/G28,"")</f>
        <v>0.0111653872993719</v>
      </c>
      <c r="H45" s="40" t="n">
        <f aca="false">IFERROR(H44/H28,"")</f>
        <v>0.0146559703795125</v>
      </c>
      <c r="I45" s="40" t="n">
        <f aca="false">IFERROR(I44/I28,"")</f>
        <v>0.0178948676525413</v>
      </c>
      <c r="J45" s="40"/>
      <c r="K45" s="40"/>
      <c r="L45" s="40"/>
      <c r="M45" s="40"/>
      <c r="N45" s="40"/>
      <c r="O45" s="40" t="n">
        <f aca="false">IFERROR(O44/O28,"")</f>
        <v>0.0215095815408682</v>
      </c>
      <c r="P45" s="40"/>
      <c r="Q45" s="40"/>
      <c r="R45" s="40"/>
      <c r="S45" s="40"/>
      <c r="T45" s="40"/>
      <c r="U45" s="40" t="n">
        <f aca="false">IFERROR(U44/U28,"")</f>
        <v>0.0152398027790229</v>
      </c>
      <c r="V45" s="40"/>
      <c r="W45" s="40"/>
      <c r="X45" s="40"/>
      <c r="Y45" s="40"/>
      <c r="Z45" s="40"/>
      <c r="AA45" s="40" t="n">
        <f aca="false">IFERROR(AA44/AA28,"")</f>
        <v>0.0198839311197793</v>
      </c>
      <c r="AB45" s="40"/>
      <c r="AC45" s="40"/>
      <c r="AD45" s="40"/>
      <c r="AE45" s="40"/>
      <c r="AF45" s="40"/>
      <c r="AG45" s="40" t="n">
        <f aca="false">IFERROR(AG44/AG28,"")</f>
        <v>0.0580586289494696</v>
      </c>
      <c r="AH45" s="40"/>
      <c r="AI45" s="40"/>
      <c r="AJ45" s="40"/>
      <c r="AK45" s="40"/>
      <c r="AL45" s="40"/>
      <c r="AM45" s="40" t="n">
        <f aca="false">IFERROR(AM44/AM28,"")</f>
        <v>0.0143620924625223</v>
      </c>
      <c r="AN45" s="40"/>
      <c r="AO45" s="40"/>
      <c r="AP45" s="40"/>
      <c r="AQ45" s="40"/>
      <c r="AR45" s="40"/>
      <c r="AS45" s="40" t="n">
        <f aca="false">IFERROR(AS44/AS28,"")</f>
        <v>0.0144927536231884</v>
      </c>
      <c r="AT45" s="40"/>
      <c r="AU45" s="40"/>
      <c r="AV45" s="40"/>
      <c r="AW45" s="40"/>
      <c r="AX45" s="40"/>
      <c r="AY45" s="40" t="n">
        <f aca="false">IFERROR(AY44/AY28,"")</f>
        <v>0.017102524658402</v>
      </c>
      <c r="AZ45" s="40"/>
      <c r="BA45" s="40"/>
      <c r="BB45" s="40"/>
      <c r="BC45" s="40"/>
      <c r="BD45" s="40"/>
      <c r="BE45" s="40" t="n">
        <f aca="false">IFERROR(BE44/BE28,"")</f>
        <v>0.0164458656920969</v>
      </c>
      <c r="BF45" s="40"/>
      <c r="BG45" s="40"/>
      <c r="BH45" s="40"/>
      <c r="BI45" s="40"/>
      <c r="BJ45" s="40"/>
      <c r="BK45" s="40" t="n">
        <f aca="false">IFERROR(BK44/BK28,"")</f>
        <v>0.0113977204559088</v>
      </c>
      <c r="BL45" s="40"/>
      <c r="BM45" s="40"/>
      <c r="BN45" s="40"/>
      <c r="BO45" s="40"/>
      <c r="BP45" s="40"/>
      <c r="BQ45" s="40" t="n">
        <f aca="false">IFERROR(BQ44/BQ28,"")</f>
        <v>0.00741626794258373</v>
      </c>
      <c r="BR45" s="40"/>
      <c r="BS45" s="40"/>
      <c r="BT45" s="40"/>
      <c r="BU45" s="40"/>
      <c r="BV45" s="40"/>
      <c r="BW45" s="40" t="n">
        <f aca="false">IFERROR(BW44/BW28,"")</f>
        <v>0.0105564771527673</v>
      </c>
      <c r="BX45" s="40"/>
      <c r="BY45" s="40"/>
      <c r="BZ45" s="40"/>
      <c r="CA45" s="40"/>
      <c r="CB45" s="40"/>
      <c r="CC45" s="40" t="n">
        <f aca="false">IFERROR(CC44/CC28,"")</f>
        <v>0.0108491248372631</v>
      </c>
      <c r="CD45" s="40"/>
      <c r="CE45" s="40"/>
      <c r="CF45" s="40"/>
      <c r="CG45" s="40"/>
      <c r="CH45" s="40"/>
      <c r="CI45" s="40" t="n">
        <f aca="false">IFERROR(CI44/CI28,"")</f>
        <v>0.0103630498936243</v>
      </c>
      <c r="CJ45" s="40"/>
      <c r="CK45" s="40"/>
      <c r="CL45" s="40"/>
      <c r="CM45" s="28"/>
      <c r="CN45" s="28"/>
      <c r="CO45" s="28"/>
      <c r="CP45" s="28"/>
      <c r="CQ45" s="28"/>
      <c r="CR45" s="28"/>
      <c r="CS45" s="28"/>
      <c r="CT45" s="23"/>
      <c r="CV45" s="7"/>
      <c r="CW45" s="7"/>
      <c r="CX45" s="7"/>
      <c r="CY45" s="7"/>
      <c r="DB45" s="13" t="s">
        <v>130</v>
      </c>
      <c r="DC45" s="43" t="n">
        <f aca="false">DD45+$DC$44</f>
        <v>0.255</v>
      </c>
      <c r="DD45" s="36" t="n">
        <v>0.245</v>
      </c>
      <c r="DE45" s="43" t="n">
        <f aca="false">DD45+$DE$44</f>
        <v>0.225</v>
      </c>
    </row>
    <row r="46" customFormat="false" ht="15" hidden="false" customHeight="true" outlineLevel="0" collapsed="false">
      <c r="B46" s="13"/>
      <c r="CM46" s="7"/>
      <c r="CN46" s="7"/>
      <c r="CO46" s="7"/>
      <c r="CP46" s="7"/>
      <c r="CQ46" s="7"/>
      <c r="CR46" s="7"/>
      <c r="CS46" s="7"/>
      <c r="CT46" s="7"/>
      <c r="DB46" s="13" t="s">
        <v>132</v>
      </c>
      <c r="DC46" s="43" t="n">
        <f aca="false">DD46+$DC$44</f>
        <v>0.26</v>
      </c>
      <c r="DD46" s="36" t="n">
        <v>0.25</v>
      </c>
      <c r="DE46" s="43" t="n">
        <f aca="false">DD46+$DE$44</f>
        <v>0.23</v>
      </c>
    </row>
    <row r="47" customFormat="false" ht="15" hidden="false" customHeight="true" outlineLevel="0" collapsed="false">
      <c r="B47" s="17" t="s">
        <v>153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8" t="s">
        <v>154</v>
      </c>
      <c r="DB47" s="13" t="s">
        <v>134</v>
      </c>
      <c r="DC47" s="43" t="n">
        <f aca="false">DD47+$DC$44</f>
        <v>0.265</v>
      </c>
      <c r="DD47" s="36" t="n">
        <v>0.255</v>
      </c>
      <c r="DE47" s="43" t="n">
        <f aca="false">DD47+$DE$44</f>
        <v>0.235</v>
      </c>
    </row>
    <row r="48" customFormat="false" ht="15" hidden="false" customHeight="true" outlineLevel="0" collapsed="false">
      <c r="B48" s="19" t="s">
        <v>99</v>
      </c>
      <c r="C48" s="20"/>
      <c r="D48" s="20"/>
      <c r="E48" s="21" t="n">
        <v>604.1</v>
      </c>
      <c r="F48" s="21" t="n">
        <v>579.2</v>
      </c>
      <c r="G48" s="21" t="n">
        <v>614.7</v>
      </c>
      <c r="H48" s="21" t="n">
        <v>639.2</v>
      </c>
      <c r="I48" s="21" t="n">
        <v>605.3</v>
      </c>
      <c r="J48" s="21" t="n">
        <v>163.1</v>
      </c>
      <c r="K48" s="21" t="n">
        <v>169.5</v>
      </c>
      <c r="L48" s="20" t="n">
        <f aca="false">J48+K48</f>
        <v>332.6</v>
      </c>
      <c r="M48" s="21" t="n">
        <v>143.1</v>
      </c>
      <c r="N48" s="21" t="n">
        <v>149.4</v>
      </c>
      <c r="O48" s="21" t="n">
        <v>625.1</v>
      </c>
      <c r="P48" s="21" t="n">
        <v>153.3</v>
      </c>
      <c r="Q48" s="21" t="n">
        <v>152.2</v>
      </c>
      <c r="R48" s="20" t="n">
        <f aca="false">P48+Q48</f>
        <v>305.5</v>
      </c>
      <c r="S48" s="21" t="n">
        <v>151.8</v>
      </c>
      <c r="T48" s="21" t="n">
        <v>145.7</v>
      </c>
      <c r="U48" s="21" t="n">
        <v>603</v>
      </c>
      <c r="V48" s="21" t="n">
        <v>141.2</v>
      </c>
      <c r="W48" s="21" t="n">
        <v>147</v>
      </c>
      <c r="X48" s="20" t="n">
        <f aca="false">V48+W48</f>
        <v>288.2</v>
      </c>
      <c r="Y48" s="21" t="n">
        <v>151.3</v>
      </c>
      <c r="Z48" s="21" t="n">
        <v>153.9</v>
      </c>
      <c r="AA48" s="21" t="n">
        <v>593.4</v>
      </c>
      <c r="AB48" s="21" t="n">
        <v>152.6</v>
      </c>
      <c r="AC48" s="21" t="n">
        <v>158</v>
      </c>
      <c r="AD48" s="20" t="n">
        <f aca="false">AB48+AC48</f>
        <v>310.6</v>
      </c>
      <c r="AE48" s="21" t="n">
        <v>153.5</v>
      </c>
      <c r="AF48" s="21" t="n">
        <v>151.8</v>
      </c>
      <c r="AG48" s="21" t="n">
        <v>615.9</v>
      </c>
      <c r="AH48" s="21" t="n">
        <v>151.9</v>
      </c>
      <c r="AI48" s="21" t="n">
        <v>161.1</v>
      </c>
      <c r="AJ48" s="20" t="n">
        <f aca="false">AH48+AI48</f>
        <v>313</v>
      </c>
      <c r="AK48" s="21" t="n">
        <v>159.6</v>
      </c>
      <c r="AL48" s="21" t="n">
        <v>173.4</v>
      </c>
      <c r="AM48" s="21" t="n">
        <v>591.2</v>
      </c>
      <c r="AN48" s="21" t="n">
        <v>156.4</v>
      </c>
      <c r="AO48" s="21" t="n">
        <v>157.5</v>
      </c>
      <c r="AP48" s="20" t="n">
        <f aca="false">AN48+AO48</f>
        <v>313.9</v>
      </c>
      <c r="AQ48" s="21" t="n">
        <v>160.3</v>
      </c>
      <c r="AR48" s="21" t="n">
        <v>166</v>
      </c>
      <c r="AS48" s="21" t="n">
        <v>640.2</v>
      </c>
      <c r="AT48" s="21" t="n">
        <v>166.6</v>
      </c>
      <c r="AU48" s="21" t="n">
        <v>176</v>
      </c>
      <c r="AV48" s="20" t="n">
        <f aca="false">AT48+AU48</f>
        <v>342.6</v>
      </c>
      <c r="AW48" s="21" t="n">
        <v>177.1</v>
      </c>
      <c r="AX48" s="21" t="n">
        <v>170.4</v>
      </c>
      <c r="AY48" s="21" t="n">
        <v>690.1</v>
      </c>
      <c r="AZ48" s="21" t="n">
        <v>156.3</v>
      </c>
      <c r="BA48" s="21" t="n">
        <v>143.1</v>
      </c>
      <c r="BB48" s="20" t="n">
        <f aca="false">AZ48+BA48</f>
        <v>299.4</v>
      </c>
      <c r="BC48" s="21" t="n">
        <v>144.8</v>
      </c>
      <c r="BD48" s="21" t="n">
        <v>145.2</v>
      </c>
      <c r="BE48" s="21" t="n">
        <v>589.4</v>
      </c>
      <c r="BF48" s="21" t="n">
        <v>151.2</v>
      </c>
      <c r="BG48" s="21" t="n">
        <v>152.4</v>
      </c>
      <c r="BH48" s="20" t="n">
        <f aca="false">BF48+BG48</f>
        <v>303.6</v>
      </c>
      <c r="BI48" s="21" t="n">
        <v>161.8</v>
      </c>
      <c r="BJ48" s="21" t="n">
        <v>163.3</v>
      </c>
      <c r="BK48" s="21" t="n">
        <v>628.7</v>
      </c>
      <c r="BL48" s="21" t="n">
        <v>166.2</v>
      </c>
      <c r="BM48" s="21" t="n">
        <v>168.8</v>
      </c>
      <c r="BN48" s="20" t="n">
        <f aca="false">BL48+BM48</f>
        <v>335</v>
      </c>
      <c r="BO48" s="21" t="n">
        <v>169.5</v>
      </c>
      <c r="BP48" s="21" t="n">
        <v>177.9</v>
      </c>
      <c r="BQ48" s="21" t="n">
        <v>682.4</v>
      </c>
      <c r="BR48" s="21" t="n">
        <v>173.2</v>
      </c>
      <c r="BS48" s="21" t="n">
        <v>186</v>
      </c>
      <c r="BT48" s="20" t="n">
        <f aca="false">BR48+BS48</f>
        <v>359.2</v>
      </c>
      <c r="BU48" s="21" t="n">
        <v>183.3</v>
      </c>
      <c r="BV48" s="21" t="n">
        <v>184</v>
      </c>
      <c r="BW48" s="21" t="n">
        <v>726.5</v>
      </c>
      <c r="BX48" s="21" t="n">
        <v>185.7</v>
      </c>
      <c r="BY48" s="21" t="n">
        <v>194.4</v>
      </c>
      <c r="BZ48" s="20" t="n">
        <f aca="false">BX48+BY48</f>
        <v>380.1</v>
      </c>
      <c r="CA48" s="21" t="n">
        <v>200.2</v>
      </c>
      <c r="CB48" s="21" t="n">
        <v>196.5</v>
      </c>
      <c r="CC48" s="21" t="n">
        <v>776.8</v>
      </c>
      <c r="CD48" s="21" t="n">
        <v>242.5</v>
      </c>
      <c r="CE48" s="21" t="n">
        <v>264.8</v>
      </c>
      <c r="CF48" s="20" t="n">
        <f aca="false">CD48+CE48</f>
        <v>507.3</v>
      </c>
      <c r="CG48" s="21" t="n">
        <v>275.5</v>
      </c>
      <c r="CH48" s="21" t="n">
        <v>275.9</v>
      </c>
      <c r="CI48" s="21" t="n">
        <v>1058.7</v>
      </c>
      <c r="CJ48" s="21" t="n">
        <v>277.5</v>
      </c>
      <c r="CK48" s="21" t="n">
        <v>286.4</v>
      </c>
      <c r="CL48" s="20" t="n">
        <f aca="false">CJ48+CK48</f>
        <v>563.9</v>
      </c>
      <c r="CM48" s="22" t="n">
        <f aca="false">CG48*CK48/CE48</f>
        <v>297.972809667674</v>
      </c>
      <c r="CN48" s="22" t="n">
        <f aca="false">CH48*CK48/CE48</f>
        <v>298.405438066465</v>
      </c>
      <c r="CO48" s="22" t="n">
        <f aca="false">SUM(CJ48,CK48,CM48,CN48)</f>
        <v>1160.27824773414</v>
      </c>
      <c r="CP48" s="22" t="n">
        <f aca="false">CO48*(1+CP49)</f>
        <v>1229.89494259819</v>
      </c>
      <c r="CQ48" s="22" t="n">
        <f aca="false">CP48*(1+CQ49)</f>
        <v>1297.53916444109</v>
      </c>
      <c r="CR48" s="22" t="n">
        <f aca="false">CQ48*(1+CR49)</f>
        <v>1362.41612266314</v>
      </c>
      <c r="CS48" s="22" t="n">
        <f aca="false">CR48*(1+CS49)</f>
        <v>1430.5369287963</v>
      </c>
      <c r="CT48" s="23" t="s">
        <v>100</v>
      </c>
      <c r="CV48" s="24" t="n">
        <f aca="false">IFERROR((CS48/CI48)^(1/5)-1,"n/m")</f>
        <v>0.0620506573370576</v>
      </c>
      <c r="CW48" s="24" t="n">
        <f aca="false">IFERROR((CI48/BE48)^(1/5)-1,"n/m")</f>
        <v>0.124275007128789</v>
      </c>
      <c r="CX48" s="24" t="n">
        <f aca="false">IFERROR((CI48/AA48)^(1/10)-1,"n/m")</f>
        <v>0.0596014333573689</v>
      </c>
      <c r="CY48" s="24" t="str">
        <f aca="false">IFERROR((CI48/C48)^(1/19)-1,"n/m")</f>
        <v>n/m</v>
      </c>
      <c r="DB48" s="13" t="s">
        <v>136</v>
      </c>
      <c r="DC48" s="43" t="n">
        <f aca="false">DD48+$DC$44</f>
        <v>0.27</v>
      </c>
      <c r="DD48" s="36" t="n">
        <v>0.26</v>
      </c>
      <c r="DE48" s="43" t="n">
        <f aca="false">DD48+$DE$44</f>
        <v>0.24</v>
      </c>
    </row>
    <row r="49" customFormat="false" ht="15" hidden="false" customHeight="true" outlineLevel="0" collapsed="false">
      <c r="B49" s="26" t="s">
        <v>105</v>
      </c>
      <c r="C49" s="27"/>
      <c r="D49" s="27" t="str">
        <f aca="false">IFERROR(D48/C48-1,"")</f>
        <v/>
      </c>
      <c r="E49" s="27" t="str">
        <f aca="false">IFERROR(E48/D48-1,"")</f>
        <v/>
      </c>
      <c r="F49" s="27" t="n">
        <f aca="false">IFERROR(F48/E48-1,"")</f>
        <v>-0.0412183413342162</v>
      </c>
      <c r="G49" s="27" t="n">
        <f aca="false">IFERROR(G48/F48-1,"")</f>
        <v>0.0612914364640884</v>
      </c>
      <c r="H49" s="27" t="n">
        <f aca="false">IFERROR(H48/G48-1,"")</f>
        <v>0.0398568407353181</v>
      </c>
      <c r="I49" s="27" t="n">
        <f aca="false">IFERROR(I48/H48-1,"")</f>
        <v>-0.0530350438047561</v>
      </c>
      <c r="J49" s="27"/>
      <c r="K49" s="27"/>
      <c r="L49" s="27"/>
      <c r="M49" s="27"/>
      <c r="N49" s="27"/>
      <c r="O49" s="27" t="n">
        <f aca="false">IFERROR(O48/I48-1,"")</f>
        <v>0.0327110523707255</v>
      </c>
      <c r="P49" s="27" t="n">
        <f aca="false">IFERROR(P48/J48-1,"")</f>
        <v>-0.0600858369098711</v>
      </c>
      <c r="Q49" s="27" t="n">
        <f aca="false">IFERROR(Q48/K48-1,"")</f>
        <v>-0.102064896755162</v>
      </c>
      <c r="R49" s="27" t="n">
        <f aca="false">IFERROR(R48/L48-1,"")</f>
        <v>-0.0814792543595911</v>
      </c>
      <c r="S49" s="27" t="n">
        <f aca="false">IFERROR(S48/M48-1,"")</f>
        <v>0.0607966457023061</v>
      </c>
      <c r="T49" s="27" t="n">
        <f aca="false">IFERROR(T48/N48-1,"")</f>
        <v>-0.0247657295850068</v>
      </c>
      <c r="U49" s="27" t="n">
        <f aca="false">IFERROR(U48/O48-1,"")</f>
        <v>-0.0353543433050713</v>
      </c>
      <c r="V49" s="27" t="n">
        <f aca="false">IFERROR(V48/P48-1,"")</f>
        <v>-0.0789302022178736</v>
      </c>
      <c r="W49" s="27" t="n">
        <f aca="false">IFERROR(W48/Q48-1,"")</f>
        <v>-0.0341655716162943</v>
      </c>
      <c r="X49" s="27" t="n">
        <f aca="false">IFERROR(X48/R48-1,"")</f>
        <v>-0.0566284779050736</v>
      </c>
      <c r="Y49" s="27" t="n">
        <f aca="false">IFERROR(Y48/S48-1,"")</f>
        <v>-0.00329380764163378</v>
      </c>
      <c r="Z49" s="27" t="n">
        <f aca="false">IFERROR(Z48/T48-1,"")</f>
        <v>0.0562800274536721</v>
      </c>
      <c r="AA49" s="27" t="n">
        <f aca="false">IFERROR(AA48/U48-1,"")</f>
        <v>-0.0159203980099503</v>
      </c>
      <c r="AB49" s="27" t="n">
        <f aca="false">IFERROR(AB48/V48-1,"")</f>
        <v>0.0807365439093486</v>
      </c>
      <c r="AC49" s="27" t="n">
        <f aca="false">IFERROR(AC48/W48-1,"")</f>
        <v>0.0748299319727892</v>
      </c>
      <c r="AD49" s="27" t="n">
        <f aca="false">IFERROR(AD48/X48-1,"")</f>
        <v>0.0777238029146428</v>
      </c>
      <c r="AE49" s="27" t="n">
        <f aca="false">IFERROR(AE48/Y48-1,"")</f>
        <v>0.014540647719762</v>
      </c>
      <c r="AF49" s="27" t="n">
        <f aca="false">IFERROR(AF48/Z48-1,"")</f>
        <v>-0.0136452241715399</v>
      </c>
      <c r="AG49" s="27" t="n">
        <f aca="false">IFERROR(AG48/AA48-1,"")</f>
        <v>0.037917087967644</v>
      </c>
      <c r="AH49" s="27" t="n">
        <f aca="false">IFERROR(AH48/AB48-1,"")</f>
        <v>-0.00458715596330273</v>
      </c>
      <c r="AI49" s="27" t="n">
        <f aca="false">IFERROR(AI48/AC48-1,"")</f>
        <v>0.0196202531645568</v>
      </c>
      <c r="AJ49" s="27" t="n">
        <f aca="false">IFERROR(AJ48/AD48-1,"")</f>
        <v>0.00772698003863481</v>
      </c>
      <c r="AK49" s="27" t="n">
        <f aca="false">IFERROR(AK48/AE48-1,"")</f>
        <v>0.0397394136807818</v>
      </c>
      <c r="AL49" s="27" t="n">
        <f aca="false">IFERROR(AL48/AF48-1,"")</f>
        <v>0.142292490118577</v>
      </c>
      <c r="AM49" s="27" t="n">
        <f aca="false">IFERROR(AM48/AG48-1,"")</f>
        <v>-0.0401039129728851</v>
      </c>
      <c r="AN49" s="27" t="n">
        <f aca="false">IFERROR(AN48/AH48-1,"")</f>
        <v>0.0296247531270573</v>
      </c>
      <c r="AO49" s="27" t="n">
        <f aca="false">IFERROR(AO48/AI48-1,"")</f>
        <v>-0.0223463687150838</v>
      </c>
      <c r="AP49" s="27" t="n">
        <f aca="false">IFERROR(AP48/AJ48-1,"")</f>
        <v>0.00287539936102221</v>
      </c>
      <c r="AQ49" s="27" t="n">
        <f aca="false">IFERROR(AQ48/AK48-1,"")</f>
        <v>0.00438596491228083</v>
      </c>
      <c r="AR49" s="27" t="n">
        <f aca="false">IFERROR(AR48/AL48-1,"")</f>
        <v>-0.0426758938869666</v>
      </c>
      <c r="AS49" s="27" t="n">
        <f aca="false">IFERROR(AS48/AM48-1,"")</f>
        <v>0.0828822733423544</v>
      </c>
      <c r="AT49" s="27" t="n">
        <f aca="false">IFERROR(AT48/AN48-1,"")</f>
        <v>0.0652173913043477</v>
      </c>
      <c r="AU49" s="27" t="n">
        <f aca="false">IFERROR(AU48/AO48-1,"")</f>
        <v>0.117460317460317</v>
      </c>
      <c r="AV49" s="27" t="n">
        <f aca="false">IFERROR(AV48/AP48-1,"")</f>
        <v>0.0914303918445367</v>
      </c>
      <c r="AW49" s="27" t="n">
        <f aca="false">IFERROR(AW48/AQ48-1,"")</f>
        <v>0.104803493449781</v>
      </c>
      <c r="AX49" s="27" t="n">
        <f aca="false">IFERROR(AX48/AR48-1,"")</f>
        <v>0.0265060240963855</v>
      </c>
      <c r="AY49" s="27" t="n">
        <f aca="false">IFERROR(AY48/AS48-1,"")</f>
        <v>0.0779443923773819</v>
      </c>
      <c r="AZ49" s="27" t="n">
        <f aca="false">IFERROR(AZ48/AT48-1,"")</f>
        <v>-0.0618247298919566</v>
      </c>
      <c r="BA49" s="27" t="n">
        <f aca="false">IFERROR(BA48/AU48-1,"")</f>
        <v>-0.186931818181818</v>
      </c>
      <c r="BB49" s="27" t="n">
        <f aca="false">IFERROR(BB48/AV48-1,"")</f>
        <v>-0.126094570928196</v>
      </c>
      <c r="BC49" s="27" t="n">
        <f aca="false">IFERROR(BC48/AW48-1,"")</f>
        <v>-0.182382834556748</v>
      </c>
      <c r="BD49" s="27" t="n">
        <f aca="false">IFERROR(BD48/AX48-1,"")</f>
        <v>-0.147887323943662</v>
      </c>
      <c r="BE49" s="27" t="n">
        <f aca="false">IFERROR(BE48/AY48-1,"")</f>
        <v>-0.145920881031735</v>
      </c>
      <c r="BF49" s="27" t="n">
        <f aca="false">IFERROR(BF48/AZ48-1,"")</f>
        <v>-0.0326295585412669</v>
      </c>
      <c r="BG49" s="27" t="n">
        <f aca="false">IFERROR(BG48/BA48-1,"")</f>
        <v>0.0649895178197066</v>
      </c>
      <c r="BH49" s="27" t="n">
        <f aca="false">IFERROR(BH48/BB48-1,"")</f>
        <v>0.0140280561122246</v>
      </c>
      <c r="BI49" s="27" t="n">
        <f aca="false">IFERROR(BI48/BC48-1,"")</f>
        <v>0.117403314917127</v>
      </c>
      <c r="BJ49" s="27" t="n">
        <f aca="false">IFERROR(BJ48/BD48-1,"")</f>
        <v>0.12465564738292</v>
      </c>
      <c r="BK49" s="27" t="n">
        <f aca="false">IFERROR(BK48/BE48-1,"")</f>
        <v>0.0666779776043436</v>
      </c>
      <c r="BL49" s="27" t="n">
        <f aca="false">IFERROR(BL48/BF48-1,"")</f>
        <v>0.0992063492063493</v>
      </c>
      <c r="BM49" s="27" t="n">
        <f aca="false">IFERROR(BM48/BG48-1,"")</f>
        <v>0.10761154855643</v>
      </c>
      <c r="BN49" s="27" t="n">
        <f aca="false">IFERROR(BN48/BH48-1,"")</f>
        <v>0.103425559947299</v>
      </c>
      <c r="BO49" s="27" t="n">
        <f aca="false">IFERROR(BO48/BI48-1,"")</f>
        <v>0.0475896168108776</v>
      </c>
      <c r="BP49" s="27" t="n">
        <f aca="false">IFERROR(BP48/BJ48-1,"")</f>
        <v>0.0894060012247397</v>
      </c>
      <c r="BQ49" s="27" t="n">
        <f aca="false">IFERROR(BQ48/BK48-1,"")</f>
        <v>0.085414347065373</v>
      </c>
      <c r="BR49" s="27" t="n">
        <f aca="false">IFERROR(BR48/BL48-1,"")</f>
        <v>0.0421179302045729</v>
      </c>
      <c r="BS49" s="27" t="n">
        <f aca="false">IFERROR(BS48/BM48-1,"")</f>
        <v>0.101895734597156</v>
      </c>
      <c r="BT49" s="27" t="n">
        <f aca="false">IFERROR(BT48/BN48-1,"")</f>
        <v>0.0722388059701493</v>
      </c>
      <c r="BU49" s="27" t="n">
        <f aca="false">IFERROR(BU48/BO48-1,"")</f>
        <v>0.0814159292035399</v>
      </c>
      <c r="BV49" s="27" t="n">
        <f aca="false">IFERROR(BV48/BP48-1,"")</f>
        <v>0.0342889263631254</v>
      </c>
      <c r="BW49" s="27" t="n">
        <f aca="false">IFERROR(BW48/BQ48-1,"")</f>
        <v>0.0646248534583822</v>
      </c>
      <c r="BX49" s="27" t="n">
        <f aca="false">IFERROR(BX48/BR48-1,"")</f>
        <v>0.0721709006928406</v>
      </c>
      <c r="BY49" s="27" t="n">
        <f aca="false">IFERROR(BY48/BS48-1,"")</f>
        <v>0.0451612903225807</v>
      </c>
      <c r="BZ49" s="27" t="n">
        <f aca="false">IFERROR(BZ48/BT48-1,"")</f>
        <v>0.0581848552338531</v>
      </c>
      <c r="CA49" s="27" t="n">
        <f aca="false">IFERROR(CA48/BU48-1,"")</f>
        <v>0.0921985815602835</v>
      </c>
      <c r="CB49" s="27" t="n">
        <f aca="false">IFERROR(CB48/BV48-1,"")</f>
        <v>0.0679347826086956</v>
      </c>
      <c r="CC49" s="27" t="n">
        <f aca="false">IFERROR(CC48/BW48-1,"")</f>
        <v>0.0692360633172746</v>
      </c>
      <c r="CD49" s="27" t="n">
        <f aca="false">IFERROR(CD48/BX48-1,"")</f>
        <v>0.305869682283253</v>
      </c>
      <c r="CE49" s="27" t="n">
        <f aca="false">IFERROR(CE48/BY48-1,"")</f>
        <v>0.362139917695473</v>
      </c>
      <c r="CF49" s="27" t="n">
        <f aca="false">IFERROR(CF48/BZ48-1,"")</f>
        <v>0.334648776637727</v>
      </c>
      <c r="CG49" s="27" t="n">
        <f aca="false">IFERROR(CG48/CA48-1,"")</f>
        <v>0.376123876123876</v>
      </c>
      <c r="CH49" s="27" t="n">
        <f aca="false">IFERROR(CH48/CB48-1,"")</f>
        <v>0.404071246819338</v>
      </c>
      <c r="CI49" s="27" t="n">
        <f aca="false">IFERROR(CI48/CC48-1,"")</f>
        <v>0.362899073120494</v>
      </c>
      <c r="CJ49" s="27" t="n">
        <f aca="false">IFERROR(CJ48/CD48-1,"")</f>
        <v>0.144329896907216</v>
      </c>
      <c r="CK49" s="27" t="n">
        <f aca="false">IFERROR(CK48/CE48-1,"")</f>
        <v>0.0815709969788518</v>
      </c>
      <c r="CL49" s="27" t="n">
        <f aca="false">IFERROR(CL48/CF48-1,"")</f>
        <v>0.11157106248768</v>
      </c>
      <c r="CM49" s="28" t="n">
        <f aca="false">IFERROR(CM48/CG48-1,"")</f>
        <v>0.0815709969788518</v>
      </c>
      <c r="CN49" s="28" t="n">
        <f aca="false">IFERROR(CN48/CH48-1,"")</f>
        <v>0.0815709969788518</v>
      </c>
      <c r="CO49" s="28" t="n">
        <f aca="false">IFERROR(CO48/CI48-1,"")</f>
        <v>0.0959462054728808</v>
      </c>
      <c r="CP49" s="28" t="n">
        <f aca="false">CHOOSE(MATCH($CT$2,{"Bull","Base","Bear"},0),$DC$33,$DD$33,$DE$33)</f>
        <v>0.06</v>
      </c>
      <c r="CQ49" s="28" t="n">
        <f aca="false">CHOOSE(MATCH($CT$2,{"Bull","Base","Bear"},0),$DC$34,$DD$34,$DE$34)</f>
        <v>0.055</v>
      </c>
      <c r="CR49" s="28" t="n">
        <f aca="false">CHOOSE(MATCH($CT$2,{"Bull","Base","Bear"},0),$DC$35,$DD$35,$DE$35)</f>
        <v>0.05</v>
      </c>
      <c r="CS49" s="28" t="n">
        <f aca="false">CHOOSE(MATCH($CT$2,{"Bull","Base","Bear"},0),$DC$36,$DD$36,$DE$36)</f>
        <v>0.05</v>
      </c>
      <c r="CT49" s="23" t="s">
        <v>155</v>
      </c>
      <c r="CV49" s="7"/>
      <c r="CW49" s="7"/>
      <c r="CX49" s="7"/>
      <c r="CY49" s="7"/>
    </row>
    <row r="50" customFormat="false" ht="15" hidden="false" customHeight="true" outlineLevel="0" collapsed="false">
      <c r="B50" s="13" t="s">
        <v>108</v>
      </c>
      <c r="C50" s="30"/>
      <c r="D50" s="30"/>
      <c r="E50" s="31" t="n">
        <v>68.7</v>
      </c>
      <c r="F50" s="31" t="n">
        <v>60.1</v>
      </c>
      <c r="G50" s="31" t="n">
        <v>57.8</v>
      </c>
      <c r="H50" s="31" t="n">
        <v>87.4</v>
      </c>
      <c r="I50" s="31" t="n">
        <v>80.5</v>
      </c>
      <c r="J50" s="31" t="n">
        <v>20.2</v>
      </c>
      <c r="K50" s="31" t="n">
        <v>20.6</v>
      </c>
      <c r="L50" s="30" t="n">
        <f aca="false">J50+K50</f>
        <v>40.8</v>
      </c>
      <c r="M50" s="31" t="n">
        <v>9.3</v>
      </c>
      <c r="N50" s="31" t="n">
        <v>15.6</v>
      </c>
      <c r="O50" s="31" t="n">
        <v>65.7</v>
      </c>
      <c r="P50" s="31" t="n">
        <v>23.8</v>
      </c>
      <c r="Q50" s="31" t="n">
        <v>22.9</v>
      </c>
      <c r="R50" s="30" t="n">
        <f aca="false">P50+Q50</f>
        <v>46.7</v>
      </c>
      <c r="S50" s="31" t="n">
        <v>21.6</v>
      </c>
      <c r="T50" s="31" t="n">
        <v>20</v>
      </c>
      <c r="U50" s="31" t="n">
        <v>88.3</v>
      </c>
      <c r="V50" s="31" t="n">
        <v>19.4</v>
      </c>
      <c r="W50" s="31" t="n">
        <v>20.6</v>
      </c>
      <c r="X50" s="30" t="n">
        <f aca="false">V50+W50</f>
        <v>40</v>
      </c>
      <c r="Y50" s="31" t="n">
        <v>23.5</v>
      </c>
      <c r="Z50" s="31" t="n">
        <v>21.3</v>
      </c>
      <c r="AA50" s="31" t="n">
        <v>84.8</v>
      </c>
      <c r="AB50" s="31" t="n">
        <v>24.1</v>
      </c>
      <c r="AC50" s="31" t="n">
        <v>28</v>
      </c>
      <c r="AD50" s="30" t="n">
        <f aca="false">AB50+AC50</f>
        <v>52.1</v>
      </c>
      <c r="AE50" s="31" t="n">
        <v>31.5</v>
      </c>
      <c r="AF50" s="31" t="n">
        <v>28.5</v>
      </c>
      <c r="AG50" s="31" t="n">
        <v>112.1</v>
      </c>
      <c r="AH50" s="31" t="n">
        <v>24.8</v>
      </c>
      <c r="AI50" s="31" t="n">
        <v>29.2</v>
      </c>
      <c r="AJ50" s="30" t="n">
        <f aca="false">AH50+AI50</f>
        <v>54</v>
      </c>
      <c r="AK50" s="31" t="n">
        <v>28.2</v>
      </c>
      <c r="AL50" s="31" t="n">
        <v>34.1</v>
      </c>
      <c r="AM50" s="31" t="n">
        <v>113</v>
      </c>
      <c r="AN50" s="31" t="n">
        <v>30.8</v>
      </c>
      <c r="AO50" s="31" t="n">
        <v>32.6</v>
      </c>
      <c r="AP50" s="30" t="n">
        <f aca="false">AN50+AO50</f>
        <v>63.4</v>
      </c>
      <c r="AQ50" s="31" t="n">
        <v>33</v>
      </c>
      <c r="AR50" s="31" t="n">
        <v>35.4</v>
      </c>
      <c r="AS50" s="31" t="n">
        <v>131.8</v>
      </c>
      <c r="AT50" s="31" t="n">
        <v>32.5</v>
      </c>
      <c r="AU50" s="31" t="n">
        <v>38.6</v>
      </c>
      <c r="AV50" s="30" t="n">
        <f aca="false">AT50+AU50</f>
        <v>71.1</v>
      </c>
      <c r="AW50" s="31" t="n">
        <v>39.5</v>
      </c>
      <c r="AX50" s="31" t="n">
        <v>32.8</v>
      </c>
      <c r="AY50" s="31" t="n">
        <v>143.4</v>
      </c>
      <c r="AZ50" s="31" t="n">
        <v>13.4</v>
      </c>
      <c r="BA50" s="31" t="n">
        <v>17.5</v>
      </c>
      <c r="BB50" s="30" t="n">
        <f aca="false">AZ50+BA50</f>
        <v>30.9</v>
      </c>
      <c r="BC50" s="31" t="n">
        <v>26.7</v>
      </c>
      <c r="BD50" s="31" t="n">
        <v>23.2</v>
      </c>
      <c r="BE50" s="31" t="n">
        <v>80.8</v>
      </c>
      <c r="BF50" s="31" t="n">
        <v>28.3</v>
      </c>
      <c r="BG50" s="31" t="n">
        <v>28.4</v>
      </c>
      <c r="BH50" s="30" t="n">
        <f aca="false">BF50+BG50</f>
        <v>56.7</v>
      </c>
      <c r="BI50" s="31" t="n">
        <v>35.9</v>
      </c>
      <c r="BJ50" s="31" t="n">
        <v>40.6</v>
      </c>
      <c r="BK50" s="31" t="n">
        <v>133.2</v>
      </c>
      <c r="BL50" s="31" t="n">
        <v>42.9</v>
      </c>
      <c r="BM50" s="31" t="n">
        <v>44.1</v>
      </c>
      <c r="BN50" s="30" t="n">
        <f aca="false">BL50+BM50</f>
        <v>87</v>
      </c>
      <c r="BO50" s="31" t="n">
        <v>44.3</v>
      </c>
      <c r="BP50" s="31" t="n">
        <v>52.8</v>
      </c>
      <c r="BQ50" s="31" t="n">
        <v>184.1</v>
      </c>
      <c r="BR50" s="31" t="n">
        <v>47</v>
      </c>
      <c r="BS50" s="31" t="n">
        <v>53.2</v>
      </c>
      <c r="BT50" s="30" t="n">
        <f aca="false">BR50+BS50</f>
        <v>100.2</v>
      </c>
      <c r="BU50" s="31" t="n">
        <v>49.4</v>
      </c>
      <c r="BV50" s="31" t="n">
        <v>50</v>
      </c>
      <c r="BW50" s="31" t="n">
        <v>199.6</v>
      </c>
      <c r="BX50" s="31" t="n">
        <v>51.9</v>
      </c>
      <c r="BY50" s="31" t="n">
        <v>57.1</v>
      </c>
      <c r="BZ50" s="30" t="n">
        <f aca="false">BX50+BY50</f>
        <v>109</v>
      </c>
      <c r="CA50" s="31" t="n">
        <v>56.3</v>
      </c>
      <c r="CB50" s="31" t="n">
        <v>56.4</v>
      </c>
      <c r="CC50" s="31" t="n">
        <v>221.7</v>
      </c>
      <c r="CD50" s="31" t="n">
        <v>55.7</v>
      </c>
      <c r="CE50" s="31" t="n">
        <v>66.6</v>
      </c>
      <c r="CF50" s="30" t="n">
        <f aca="false">CD50+CE50</f>
        <v>122.3</v>
      </c>
      <c r="CG50" s="31" t="n">
        <v>70.4</v>
      </c>
      <c r="CH50" s="31" t="n">
        <v>69.4</v>
      </c>
      <c r="CI50" s="31" t="n">
        <v>262.1</v>
      </c>
      <c r="CJ50" s="31" t="n">
        <v>71.4</v>
      </c>
      <c r="CK50" s="31" t="n">
        <v>74.5</v>
      </c>
      <c r="CL50" s="30" t="n">
        <f aca="false">CJ50+CK50</f>
        <v>145.9</v>
      </c>
      <c r="CM50" s="32" t="n">
        <f aca="false">CM53-CM51-CM52</f>
        <v>78.3178383310585</v>
      </c>
      <c r="CN50" s="32" t="n">
        <f aca="false">CN53-CN51-CN52</f>
        <v>70.2000056292731</v>
      </c>
      <c r="CO50" s="32" t="n">
        <f aca="false">SUM(CJ50,CK50,CM50,CN50)</f>
        <v>294.417843960332</v>
      </c>
      <c r="CP50" s="32" t="n">
        <f aca="false">CP53-CP51-CP52</f>
        <v>323.302450124676</v>
      </c>
      <c r="CQ50" s="32" t="n">
        <f aca="false">CQ53-CQ51-CQ52</f>
        <v>346.42391804387</v>
      </c>
      <c r="CR50" s="32" t="n">
        <f aca="false">CR53-CR51-CR52</f>
        <v>373.238158968983</v>
      </c>
      <c r="CS50" s="32" t="n">
        <f aca="false">CS53-CS51-CS52</f>
        <v>401.049019210082</v>
      </c>
      <c r="CT50" s="23" t="s">
        <v>109</v>
      </c>
      <c r="CV50" s="24" t="n">
        <f aca="false">IFERROR((CS50/CI50)^(1/5)-1,"n/m")</f>
        <v>0.0887949240588464</v>
      </c>
      <c r="CW50" s="24" t="n">
        <f aca="false">IFERROR((CI50/BE50)^(1/5)-1,"n/m")</f>
        <v>0.265351347861522</v>
      </c>
      <c r="CX50" s="24" t="n">
        <f aca="false">IFERROR((CI50/AA50)^(1/10)-1,"n/m")</f>
        <v>0.119456228065961</v>
      </c>
      <c r="CY50" s="24" t="str">
        <f aca="false">IFERROR((CI50/C50)^(1/19)-1,"n/m")</f>
        <v>n/m</v>
      </c>
      <c r="DB50" s="18" t="s">
        <v>156</v>
      </c>
      <c r="DC50" s="42" t="n">
        <v>0.01</v>
      </c>
      <c r="DD50" s="25" t="s">
        <v>127</v>
      </c>
      <c r="DE50" s="42" t="n">
        <v>-0.02</v>
      </c>
      <c r="DF50" s="16" t="s">
        <v>157</v>
      </c>
    </row>
    <row r="51" customFormat="false" ht="15" hidden="false" customHeight="true" outlineLevel="0" collapsed="false">
      <c r="B51" s="13" t="s">
        <v>111</v>
      </c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1" t="n">
        <v>0.2</v>
      </c>
      <c r="BA51" s="31" t="n">
        <v>0.2</v>
      </c>
      <c r="BB51" s="30" t="n">
        <f aca="false">AZ51+BA51</f>
        <v>0.4</v>
      </c>
      <c r="BC51" s="31" t="n">
        <v>0.3</v>
      </c>
      <c r="BD51" s="31" t="n">
        <v>0.2</v>
      </c>
      <c r="BE51" s="31" t="n">
        <v>0.9</v>
      </c>
      <c r="BF51" s="31" t="n">
        <v>0.2</v>
      </c>
      <c r="BG51" s="31" t="n">
        <v>0.2</v>
      </c>
      <c r="BH51" s="30" t="n">
        <f aca="false">BF51+BG51</f>
        <v>0.4</v>
      </c>
      <c r="BI51" s="31" t="n">
        <v>0.2</v>
      </c>
      <c r="BJ51" s="31" t="n">
        <v>0.2</v>
      </c>
      <c r="BK51" s="31" t="n">
        <v>0.8</v>
      </c>
      <c r="BL51" s="31" t="n">
        <v>0.2</v>
      </c>
      <c r="BM51" s="31" t="n">
        <v>0.2</v>
      </c>
      <c r="BN51" s="30" t="n">
        <f aca="false">BL51+BM51</f>
        <v>0.4</v>
      </c>
      <c r="BO51" s="31" t="n">
        <v>0.2</v>
      </c>
      <c r="BP51" s="31" t="n">
        <v>0.2</v>
      </c>
      <c r="BQ51" s="31" t="n">
        <v>0.8</v>
      </c>
      <c r="BR51" s="31" t="n">
        <v>0.2</v>
      </c>
      <c r="BS51" s="31" t="n">
        <v>0.2</v>
      </c>
      <c r="BT51" s="30" t="n">
        <f aca="false">BR51+BS51</f>
        <v>0.4</v>
      </c>
      <c r="BU51" s="31" t="n">
        <v>0.2</v>
      </c>
      <c r="BV51" s="31" t="n">
        <v>0.2</v>
      </c>
      <c r="BW51" s="31" t="n">
        <v>0.8</v>
      </c>
      <c r="BX51" s="31" t="n">
        <v>0.2</v>
      </c>
      <c r="BY51" s="31" t="n">
        <v>0.2</v>
      </c>
      <c r="BZ51" s="30" t="n">
        <f aca="false">BX51+BY51</f>
        <v>0.4</v>
      </c>
      <c r="CA51" s="31" t="n">
        <v>0.2</v>
      </c>
      <c r="CB51" s="31" t="n">
        <v>0.2</v>
      </c>
      <c r="CC51" s="31" t="n">
        <v>0.8</v>
      </c>
      <c r="CD51" s="31" t="n">
        <v>3.4</v>
      </c>
      <c r="CE51" s="31" t="n">
        <v>5</v>
      </c>
      <c r="CF51" s="30" t="n">
        <f aca="false">CD51+CE51</f>
        <v>8.4</v>
      </c>
      <c r="CG51" s="31" t="n">
        <v>5</v>
      </c>
      <c r="CH51" s="31" t="n">
        <v>5</v>
      </c>
      <c r="CI51" s="31" t="n">
        <v>18.4</v>
      </c>
      <c r="CJ51" s="31" t="n">
        <v>6.1</v>
      </c>
      <c r="CK51" s="31" t="n">
        <v>5.2</v>
      </c>
      <c r="CL51" s="30" t="n">
        <f aca="false">CJ51+CK51</f>
        <v>11.3</v>
      </c>
      <c r="CM51" s="32" t="n">
        <f aca="false">CM125*$CL$51/($CL$14+$CL$31+$CL$51+$CL$70)</f>
        <v>5.59031690140845</v>
      </c>
      <c r="CN51" s="32" t="n">
        <f aca="false">CN125*$CL$51/($CL$14+$CL$31+$CL$51+$CL$70)</f>
        <v>5.59031690140845</v>
      </c>
      <c r="CO51" s="32" t="n">
        <f aca="false">SUM(CJ51,CK51,CM51,CN51)</f>
        <v>22.4806338028169</v>
      </c>
      <c r="CP51" s="32" t="n">
        <f aca="false">CP371*$CL$51/($CL$14+$CL$31+$CL$51+$CL$70)</f>
        <v>21.0681338028169</v>
      </c>
      <c r="CQ51" s="32" t="n">
        <f aca="false">CQ371*$CL$51/($CL$14+$CL$31+$CL$51+$CL$70)</f>
        <v>20.7796654929577</v>
      </c>
      <c r="CR51" s="32" t="n">
        <f aca="false">CR371*$CL$51/($CL$14+$CL$31+$CL$51+$CL$70)</f>
        <v>16.4128521126761</v>
      </c>
      <c r="CS51" s="32" t="n">
        <f aca="false">CS371*$CL$51/($CL$14+$CL$31+$CL$51+$CL$70)</f>
        <v>13.8066901408451</v>
      </c>
      <c r="CT51" s="23" t="s">
        <v>112</v>
      </c>
      <c r="CV51" s="7"/>
      <c r="CW51" s="7"/>
      <c r="CX51" s="7"/>
      <c r="CY51" s="7"/>
      <c r="DB51" s="13" t="s">
        <v>130</v>
      </c>
      <c r="DC51" s="43" t="n">
        <f aca="false">DD51+$DC$50</f>
        <v>0.28</v>
      </c>
      <c r="DD51" s="36" t="n">
        <v>0.27</v>
      </c>
      <c r="DE51" s="43" t="n">
        <f aca="false">DD51+$DE$50</f>
        <v>0.25</v>
      </c>
    </row>
    <row r="52" customFormat="false" ht="15" hidden="false" customHeight="true" outlineLevel="0" collapsed="false">
      <c r="B52" s="13" t="s">
        <v>114</v>
      </c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0"/>
      <c r="BU52" s="30"/>
      <c r="BV52" s="30"/>
      <c r="BW52" s="30"/>
      <c r="BX52" s="30"/>
      <c r="BY52" s="30"/>
      <c r="BZ52" s="30"/>
      <c r="CA52" s="30"/>
      <c r="CB52" s="30"/>
      <c r="CC52" s="30"/>
      <c r="CD52" s="31" t="n">
        <v>3.8</v>
      </c>
      <c r="CE52" s="31" t="n">
        <v>1.8</v>
      </c>
      <c r="CF52" s="30" t="n">
        <f aca="false">CD52+CE52</f>
        <v>5.6</v>
      </c>
      <c r="CG52" s="31" t="n">
        <v>1.9</v>
      </c>
      <c r="CH52" s="31" t="n">
        <v>0.7</v>
      </c>
      <c r="CI52" s="31" t="n">
        <v>8.2</v>
      </c>
      <c r="CJ52" s="30"/>
      <c r="CK52" s="30"/>
      <c r="CL52" s="30"/>
      <c r="CM52" s="33" t="n">
        <v>0</v>
      </c>
      <c r="CN52" s="33" t="n">
        <v>0</v>
      </c>
      <c r="CO52" s="32" t="n">
        <f aca="false">SUM(CJ52,CK52,CM52,CN52)</f>
        <v>0</v>
      </c>
      <c r="CP52" s="33" t="n">
        <v>0</v>
      </c>
      <c r="CQ52" s="33" t="n">
        <v>0</v>
      </c>
      <c r="CR52" s="33" t="n">
        <v>0</v>
      </c>
      <c r="CS52" s="33" t="n">
        <v>0</v>
      </c>
      <c r="CT52" s="23"/>
      <c r="CV52" s="7"/>
      <c r="CW52" s="7"/>
      <c r="CX52" s="7"/>
      <c r="CY52" s="7"/>
      <c r="DB52" s="13" t="s">
        <v>132</v>
      </c>
      <c r="DC52" s="43" t="n">
        <f aca="false">DD52+$DC$50</f>
        <v>0.285</v>
      </c>
      <c r="DD52" s="36" t="n">
        <v>0.275</v>
      </c>
      <c r="DE52" s="43" t="n">
        <f aca="false">DD52+$DE$50</f>
        <v>0.255</v>
      </c>
    </row>
    <row r="53" customFormat="false" ht="15" hidden="false" customHeight="true" outlineLevel="0" collapsed="false">
      <c r="B53" s="34" t="s">
        <v>117</v>
      </c>
      <c r="C53" s="35" t="str">
        <f aca="false">IF(OR(ISNUMBER(C54),ISNUMBER(C51)),C50+N(C51)+N(C52),"")</f>
        <v/>
      </c>
      <c r="D53" s="35" t="str">
        <f aca="false">IF(OR(ISNUMBER(D54),ISNUMBER(D51)),D50+N(D51)+N(D52),"")</f>
        <v/>
      </c>
      <c r="E53" s="35" t="str">
        <f aca="false">IF(OR(ISNUMBER(E54),ISNUMBER(E51)),E50+N(E51)+N(E52),"")</f>
        <v/>
      </c>
      <c r="F53" s="35" t="str">
        <f aca="false">IF(OR(ISNUMBER(F54),ISNUMBER(F51)),F50+N(F51)+N(F52),"")</f>
        <v/>
      </c>
      <c r="G53" s="35" t="str">
        <f aca="false">IF(OR(ISNUMBER(G54),ISNUMBER(G51)),G50+N(G51)+N(G52),"")</f>
        <v/>
      </c>
      <c r="H53" s="35" t="str">
        <f aca="false">IF(OR(ISNUMBER(H54),ISNUMBER(H51)),H50+N(H51)+N(H52),"")</f>
        <v/>
      </c>
      <c r="I53" s="35" t="str">
        <f aca="false">IF(OR(ISNUMBER(I54),ISNUMBER(I51)),I50+N(I51)+N(I52),"")</f>
        <v/>
      </c>
      <c r="J53" s="20" t="str">
        <f aca="false">IF(OR(ISNUMBER(J54),ISNUMBER(J51)),J50+N(J51)+N(J52),"")</f>
        <v/>
      </c>
      <c r="K53" s="20" t="str">
        <f aca="false">IF(OR(ISNUMBER(K54),ISNUMBER(K51)),K50+N(K51)+N(K52),"")</f>
        <v/>
      </c>
      <c r="L53" s="20" t="str">
        <f aca="false">IF(OR(ISNUMBER(L54),ISNUMBER(L51)),L50+N(L51)+N(L52),"")</f>
        <v/>
      </c>
      <c r="M53" s="20" t="str">
        <f aca="false">IF(OR(ISNUMBER(M54),ISNUMBER(M51)),M50+N(M51)+N(M52),"")</f>
        <v/>
      </c>
      <c r="N53" s="20" t="str">
        <f aca="false">IF(OR(ISNUMBER(N54),ISNUMBER(N51)),N50+N(N51)+N(N52),"")</f>
        <v/>
      </c>
      <c r="O53" s="35" t="str">
        <f aca="false">IF(OR(ISNUMBER(O54),ISNUMBER(O51)),O50+N(O51)+N(O52),"")</f>
        <v/>
      </c>
      <c r="P53" s="20" t="str">
        <f aca="false">IF(OR(ISNUMBER(P54),ISNUMBER(P51)),P50+N(P51)+N(P52),"")</f>
        <v/>
      </c>
      <c r="Q53" s="20" t="str">
        <f aca="false">IF(OR(ISNUMBER(Q54),ISNUMBER(Q51)),Q50+N(Q51)+N(Q52),"")</f>
        <v/>
      </c>
      <c r="R53" s="20" t="str">
        <f aca="false">IF(OR(ISNUMBER(R54),ISNUMBER(R51)),R50+N(R51)+N(R52),"")</f>
        <v/>
      </c>
      <c r="S53" s="20" t="str">
        <f aca="false">IF(OR(ISNUMBER(S54),ISNUMBER(S51)),S50+N(S51)+N(S52),"")</f>
        <v/>
      </c>
      <c r="T53" s="20" t="str">
        <f aca="false">IF(OR(ISNUMBER(T54),ISNUMBER(T51)),T50+N(T51)+N(T52),"")</f>
        <v/>
      </c>
      <c r="U53" s="35" t="str">
        <f aca="false">IF(OR(ISNUMBER(U54),ISNUMBER(U51)),U50+N(U51)+N(U52),"")</f>
        <v/>
      </c>
      <c r="V53" s="20" t="str">
        <f aca="false">IF(OR(ISNUMBER(V54),ISNUMBER(V51)),V50+N(V51)+N(V52),"")</f>
        <v/>
      </c>
      <c r="W53" s="20" t="str">
        <f aca="false">IF(OR(ISNUMBER(W54),ISNUMBER(W51)),W50+N(W51)+N(W52),"")</f>
        <v/>
      </c>
      <c r="X53" s="20" t="str">
        <f aca="false">IF(OR(ISNUMBER(X54),ISNUMBER(X51)),X50+N(X51)+N(X52),"")</f>
        <v/>
      </c>
      <c r="Y53" s="20" t="str">
        <f aca="false">IF(OR(ISNUMBER(Y54),ISNUMBER(Y51)),Y50+N(Y51)+N(Y52),"")</f>
        <v/>
      </c>
      <c r="Z53" s="20" t="str">
        <f aca="false">IF(OR(ISNUMBER(Z54),ISNUMBER(Z51)),Z50+N(Z51)+N(Z52),"")</f>
        <v/>
      </c>
      <c r="AA53" s="35" t="str">
        <f aca="false">IF(OR(ISNUMBER(AA54),ISNUMBER(AA51)),AA50+N(AA51)+N(AA52),"")</f>
        <v/>
      </c>
      <c r="AB53" s="20" t="str">
        <f aca="false">IF(OR(ISNUMBER(AB54),ISNUMBER(AB51)),AB50+N(AB51)+N(AB52),"")</f>
        <v/>
      </c>
      <c r="AC53" s="20" t="str">
        <f aca="false">IF(OR(ISNUMBER(AC54),ISNUMBER(AC51)),AC50+N(AC51)+N(AC52),"")</f>
        <v/>
      </c>
      <c r="AD53" s="20" t="str">
        <f aca="false">IF(OR(ISNUMBER(AD54),ISNUMBER(AD51)),AD50+N(AD51)+N(AD52),"")</f>
        <v/>
      </c>
      <c r="AE53" s="20" t="str">
        <f aca="false">IF(OR(ISNUMBER(AE54),ISNUMBER(AE51)),AE50+N(AE51)+N(AE52),"")</f>
        <v/>
      </c>
      <c r="AF53" s="20" t="str">
        <f aca="false">IF(OR(ISNUMBER(AF54),ISNUMBER(AF51)),AF50+N(AF51)+N(AF52),"")</f>
        <v/>
      </c>
      <c r="AG53" s="35" t="str">
        <f aca="false">IF(OR(ISNUMBER(AG54),ISNUMBER(AG51)),AG50+N(AG51)+N(AG52),"")</f>
        <v/>
      </c>
      <c r="AH53" s="20" t="str">
        <f aca="false">IF(OR(ISNUMBER(AH54),ISNUMBER(AH51)),AH50+N(AH51)+N(AH52),"")</f>
        <v/>
      </c>
      <c r="AI53" s="20" t="str">
        <f aca="false">IF(OR(ISNUMBER(AI54),ISNUMBER(AI51)),AI50+N(AI51)+N(AI52),"")</f>
        <v/>
      </c>
      <c r="AJ53" s="20" t="str">
        <f aca="false">IF(OR(ISNUMBER(AJ54),ISNUMBER(AJ51)),AJ50+N(AJ51)+N(AJ52),"")</f>
        <v/>
      </c>
      <c r="AK53" s="20" t="str">
        <f aca="false">IF(OR(ISNUMBER(AK54),ISNUMBER(AK51)),AK50+N(AK51)+N(AK52),"")</f>
        <v/>
      </c>
      <c r="AL53" s="20" t="str">
        <f aca="false">IF(OR(ISNUMBER(AL54),ISNUMBER(AL51)),AL50+N(AL51)+N(AL52),"")</f>
        <v/>
      </c>
      <c r="AM53" s="35" t="str">
        <f aca="false">IF(OR(ISNUMBER(AM54),ISNUMBER(AM51)),AM50+N(AM51)+N(AM52),"")</f>
        <v/>
      </c>
      <c r="AN53" s="20" t="str">
        <f aca="false">IF(OR(ISNUMBER(AN54),ISNUMBER(AN51)),AN50+N(AN51)+N(AN52),"")</f>
        <v/>
      </c>
      <c r="AO53" s="20" t="str">
        <f aca="false">IF(OR(ISNUMBER(AO54),ISNUMBER(AO51)),AO50+N(AO51)+N(AO52),"")</f>
        <v/>
      </c>
      <c r="AP53" s="20" t="str">
        <f aca="false">IF(OR(ISNUMBER(AP54),ISNUMBER(AP51)),AP50+N(AP51)+N(AP52),"")</f>
        <v/>
      </c>
      <c r="AQ53" s="20" t="str">
        <f aca="false">IF(OR(ISNUMBER(AQ54),ISNUMBER(AQ51)),AQ50+N(AQ51)+N(AQ52),"")</f>
        <v/>
      </c>
      <c r="AR53" s="20" t="str">
        <f aca="false">IF(OR(ISNUMBER(AR54),ISNUMBER(AR51)),AR50+N(AR51)+N(AR52),"")</f>
        <v/>
      </c>
      <c r="AS53" s="35" t="str">
        <f aca="false">IF(OR(ISNUMBER(AS54),ISNUMBER(AS51)),AS50+N(AS51)+N(AS52),"")</f>
        <v/>
      </c>
      <c r="AT53" s="20" t="str">
        <f aca="false">IF(OR(ISNUMBER(AT54),ISNUMBER(AT51)),AT50+N(AT51)+N(AT52),"")</f>
        <v/>
      </c>
      <c r="AU53" s="20" t="str">
        <f aca="false">IF(OR(ISNUMBER(AU54),ISNUMBER(AU51)),AU50+N(AU51)+N(AU52),"")</f>
        <v/>
      </c>
      <c r="AV53" s="20" t="str">
        <f aca="false">IF(OR(ISNUMBER(AV54),ISNUMBER(AV51)),AV50+N(AV51)+N(AV52),"")</f>
        <v/>
      </c>
      <c r="AW53" s="20" t="str">
        <f aca="false">IF(OR(ISNUMBER(AW54),ISNUMBER(AW51)),AW50+N(AW51)+N(AW52),"")</f>
        <v/>
      </c>
      <c r="AX53" s="20" t="str">
        <f aca="false">IF(OR(ISNUMBER(AX54),ISNUMBER(AX51)),AX50+N(AX51)+N(AX52),"")</f>
        <v/>
      </c>
      <c r="AY53" s="35" t="str">
        <f aca="false">IF(OR(ISNUMBER(AY54),ISNUMBER(AY51)),AY50+N(AY51)+N(AY52),"")</f>
        <v/>
      </c>
      <c r="AZ53" s="20" t="n">
        <f aca="false">IF(OR(ISNUMBER(AZ54),ISNUMBER(AZ51)),AZ50+N(AZ51)+N(AZ52),"")</f>
        <v>13.6</v>
      </c>
      <c r="BA53" s="20" t="n">
        <f aca="false">IF(OR(ISNUMBER(BA54),ISNUMBER(BA51)),BA50+N(BA51)+N(BA52),"")</f>
        <v>17.7</v>
      </c>
      <c r="BB53" s="20" t="n">
        <f aca="false">IF(OR(ISNUMBER(BB54),ISNUMBER(BB51)),BB50+N(BB51)+N(BB52),"")</f>
        <v>31.3</v>
      </c>
      <c r="BC53" s="20" t="n">
        <f aca="false">IF(OR(ISNUMBER(BC54),ISNUMBER(BC51)),BC50+N(BC51)+N(BC52),"")</f>
        <v>27</v>
      </c>
      <c r="BD53" s="20" t="n">
        <f aca="false">IF(OR(ISNUMBER(BD54),ISNUMBER(BD51)),BD50+N(BD51)+N(BD52),"")</f>
        <v>23.4</v>
      </c>
      <c r="BE53" s="35" t="n">
        <f aca="false">IF(OR(ISNUMBER(BE54),ISNUMBER(BE51)),BE50+N(BE51)+N(BE52),"")</f>
        <v>81.7</v>
      </c>
      <c r="BF53" s="20" t="n">
        <f aca="false">IF(OR(ISNUMBER(BF54),ISNUMBER(BF51)),BF50+N(BF51)+N(BF52),"")</f>
        <v>28.5</v>
      </c>
      <c r="BG53" s="20" t="n">
        <f aca="false">IF(OR(ISNUMBER(BG54),ISNUMBER(BG51)),BG50+N(BG51)+N(BG52),"")</f>
        <v>28.6</v>
      </c>
      <c r="BH53" s="20" t="n">
        <f aca="false">IF(OR(ISNUMBER(BH54),ISNUMBER(BH51)),BH50+N(BH51)+N(BH52),"")</f>
        <v>57.1</v>
      </c>
      <c r="BI53" s="20" t="n">
        <f aca="false">IF(OR(ISNUMBER(BI54),ISNUMBER(BI51)),BI50+N(BI51)+N(BI52),"")</f>
        <v>36.1</v>
      </c>
      <c r="BJ53" s="20" t="n">
        <f aca="false">IF(OR(ISNUMBER(BJ54),ISNUMBER(BJ51)),BJ50+N(BJ51)+N(BJ52),"")</f>
        <v>40.8</v>
      </c>
      <c r="BK53" s="35" t="n">
        <f aca="false">IF(OR(ISNUMBER(BK54),ISNUMBER(BK51)),BK50+N(BK51)+N(BK52),"")</f>
        <v>134</v>
      </c>
      <c r="BL53" s="20" t="n">
        <f aca="false">IF(OR(ISNUMBER(BL54),ISNUMBER(BL51)),BL50+N(BL51)+N(BL52),"")</f>
        <v>43.1</v>
      </c>
      <c r="BM53" s="20" t="n">
        <f aca="false">IF(OR(ISNUMBER(BM54),ISNUMBER(BM51)),BM50+N(BM51)+N(BM52),"")</f>
        <v>44.3</v>
      </c>
      <c r="BN53" s="20" t="n">
        <f aca="false">IF(OR(ISNUMBER(BN54),ISNUMBER(BN51)),BN50+N(BN51)+N(BN52),"")</f>
        <v>87.4</v>
      </c>
      <c r="BO53" s="20" t="n">
        <f aca="false">IF(OR(ISNUMBER(BO54),ISNUMBER(BO51)),BO50+N(BO51)+N(BO52),"")</f>
        <v>44.5</v>
      </c>
      <c r="BP53" s="20" t="n">
        <f aca="false">IF(OR(ISNUMBER(BP54),ISNUMBER(BP51)),BP50+N(BP51)+N(BP52),"")</f>
        <v>53</v>
      </c>
      <c r="BQ53" s="35" t="n">
        <f aca="false">IF(OR(ISNUMBER(BQ54),ISNUMBER(BQ51)),BQ50+N(BQ51)+N(BQ52),"")</f>
        <v>184.9</v>
      </c>
      <c r="BR53" s="20" t="n">
        <f aca="false">IF(OR(ISNUMBER(BR54),ISNUMBER(BR51)),BR50+N(BR51)+N(BR52),"")</f>
        <v>47.2</v>
      </c>
      <c r="BS53" s="20" t="n">
        <f aca="false">IF(OR(ISNUMBER(BS54),ISNUMBER(BS51)),BS50+N(BS51)+N(BS52),"")</f>
        <v>53.4</v>
      </c>
      <c r="BT53" s="20" t="n">
        <f aca="false">IF(OR(ISNUMBER(BT54),ISNUMBER(BT51)),BT50+N(BT51)+N(BT52),"")</f>
        <v>100.6</v>
      </c>
      <c r="BU53" s="20" t="n">
        <f aca="false">IF(OR(ISNUMBER(BU54),ISNUMBER(BU51)),BU50+N(BU51)+N(BU52),"")</f>
        <v>49.6</v>
      </c>
      <c r="BV53" s="20" t="n">
        <f aca="false">IF(OR(ISNUMBER(BV54),ISNUMBER(BV51)),BV50+N(BV51)+N(BV52),"")</f>
        <v>50.2</v>
      </c>
      <c r="BW53" s="35" t="n">
        <f aca="false">IF(OR(ISNUMBER(BW54),ISNUMBER(BW51)),BW50+N(BW51)+N(BW52),"")</f>
        <v>200.4</v>
      </c>
      <c r="BX53" s="20" t="n">
        <f aca="false">IF(OR(ISNUMBER(BX54),ISNUMBER(BX51)),BX50+N(BX51)+N(BX52),"")</f>
        <v>52.1</v>
      </c>
      <c r="BY53" s="20" t="n">
        <f aca="false">IF(OR(ISNUMBER(BY54),ISNUMBER(BY51)),BY50+N(BY51)+N(BY52),"")</f>
        <v>57.3</v>
      </c>
      <c r="BZ53" s="20" t="n">
        <f aca="false">IF(OR(ISNUMBER(BZ54),ISNUMBER(BZ51)),BZ50+N(BZ51)+N(BZ52),"")</f>
        <v>109.4</v>
      </c>
      <c r="CA53" s="20" t="n">
        <f aca="false">IF(OR(ISNUMBER(CA54),ISNUMBER(CA51)),CA50+N(CA51)+N(CA52),"")</f>
        <v>56.5</v>
      </c>
      <c r="CB53" s="20" t="n">
        <f aca="false">IF(OR(ISNUMBER(CB54),ISNUMBER(CB51)),CB50+N(CB51)+N(CB52),"")</f>
        <v>56.6</v>
      </c>
      <c r="CC53" s="35" t="n">
        <f aca="false">IF(OR(ISNUMBER(CC54),ISNUMBER(CC51)),CC50+N(CC51)+N(CC52),"")</f>
        <v>222.5</v>
      </c>
      <c r="CD53" s="20" t="n">
        <f aca="false">IF(OR(ISNUMBER(CD54),ISNUMBER(CD51)),CD50+N(CD51)+N(CD52),"")</f>
        <v>62.9</v>
      </c>
      <c r="CE53" s="20" t="n">
        <f aca="false">IF(OR(ISNUMBER(CE54),ISNUMBER(CE51)),CE50+N(CE51)+N(CE52),"")</f>
        <v>73.4</v>
      </c>
      <c r="CF53" s="20" t="n">
        <f aca="false">IF(OR(ISNUMBER(CF54),ISNUMBER(CF51)),CF50+N(CF51)+N(CF52),"")</f>
        <v>136.3</v>
      </c>
      <c r="CG53" s="20" t="n">
        <f aca="false">IF(OR(ISNUMBER(CG54),ISNUMBER(CG51)),CG50+N(CG51)+N(CG52),"")</f>
        <v>77.3</v>
      </c>
      <c r="CH53" s="20" t="n">
        <f aca="false">IF(OR(ISNUMBER(CH54),ISNUMBER(CH51)),CH50+N(CH51)+N(CH52),"")</f>
        <v>75.1</v>
      </c>
      <c r="CI53" s="35" t="n">
        <f aca="false">IF(OR(ISNUMBER(CI54),ISNUMBER(CI51)),CI50+N(CI51)+N(CI52),"")</f>
        <v>288.7</v>
      </c>
      <c r="CJ53" s="20" t="n">
        <f aca="false">IF(OR(ISNUMBER(CJ54),ISNUMBER(CJ51)),CJ50+N(CJ51)+N(CJ52),"")</f>
        <v>77.5</v>
      </c>
      <c r="CK53" s="20" t="n">
        <f aca="false">IF(OR(ISNUMBER(CK54),ISNUMBER(CK51)),CK50+N(CK51)+N(CK52),"")</f>
        <v>79.7</v>
      </c>
      <c r="CL53" s="20" t="n">
        <f aca="false">IF(OR(ISNUMBER(CL54),ISNUMBER(CL51)),CL50+N(CL51)+N(CL52),"")</f>
        <v>157.2</v>
      </c>
      <c r="CM53" s="35" t="n">
        <f aca="false">CM48*CM57</f>
        <v>83.9081552324669</v>
      </c>
      <c r="CN53" s="35" t="n">
        <f aca="false">CN48*CN57</f>
        <v>75.7903225306816</v>
      </c>
      <c r="CO53" s="35" t="n">
        <f aca="false">SUM(CJ53,CK53,CM53,CN53)</f>
        <v>316.898477763149</v>
      </c>
      <c r="CP53" s="35" t="n">
        <f aca="false">CP48*CP57</f>
        <v>344.370583927493</v>
      </c>
      <c r="CQ53" s="35" t="n">
        <f aca="false">CQ48*CQ57</f>
        <v>367.203583536828</v>
      </c>
      <c r="CR53" s="35" t="n">
        <f aca="false">CR48*CR57</f>
        <v>389.651011081659</v>
      </c>
      <c r="CS53" s="35" t="n">
        <f aca="false">CS48*CS57</f>
        <v>414.855709350927</v>
      </c>
      <c r="CT53" s="23" t="s">
        <v>118</v>
      </c>
      <c r="CV53" s="24" t="n">
        <f aca="false">IFERROR((CS53/CI53)^(1/5)-1,"n/m")</f>
        <v>0.0752019850058494</v>
      </c>
      <c r="CW53" s="24" t="n">
        <f aca="false">IFERROR((CI53/BE53)^(1/5)-1,"n/m")</f>
        <v>0.287196782344551</v>
      </c>
      <c r="CX53" s="24" t="str">
        <f aca="false">IFERROR((CI53/AA53)^(1/10)-1,"n/m")</f>
        <v>n/m</v>
      </c>
      <c r="CY53" s="24" t="str">
        <f aca="false">IFERROR((CI53/C53)^(1/19)-1,"n/m")</f>
        <v>n/m</v>
      </c>
      <c r="DB53" s="13" t="s">
        <v>134</v>
      </c>
      <c r="DC53" s="43" t="n">
        <f aca="false">DD53+$DC$50</f>
        <v>0.29</v>
      </c>
      <c r="DD53" s="36" t="n">
        <v>0.28</v>
      </c>
      <c r="DE53" s="43" t="n">
        <f aca="false">DD53+$DE$50</f>
        <v>0.26</v>
      </c>
    </row>
    <row r="54" customFormat="false" ht="15" hidden="false" customHeight="true" outlineLevel="0" collapsed="false">
      <c r="B54" s="37" t="s">
        <v>120</v>
      </c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1" t="n">
        <v>13.6</v>
      </c>
      <c r="BA54" s="31" t="n">
        <v>17.7</v>
      </c>
      <c r="BB54" s="30" t="n">
        <f aca="false">AZ54+BA54</f>
        <v>31.3</v>
      </c>
      <c r="BC54" s="31" t="n">
        <v>27</v>
      </c>
      <c r="BD54" s="31" t="n">
        <v>23.4</v>
      </c>
      <c r="BE54" s="31" t="n">
        <v>81.7</v>
      </c>
      <c r="BF54" s="31" t="n">
        <v>28.5</v>
      </c>
      <c r="BG54" s="31" t="n">
        <v>28.6</v>
      </c>
      <c r="BH54" s="30" t="n">
        <f aca="false">BF54+BG54</f>
        <v>57.1</v>
      </c>
      <c r="BI54" s="31" t="n">
        <v>36.1</v>
      </c>
      <c r="BJ54" s="31" t="n">
        <v>40.8</v>
      </c>
      <c r="BK54" s="31" t="n">
        <v>134</v>
      </c>
      <c r="BL54" s="31" t="n">
        <v>43.1</v>
      </c>
      <c r="BM54" s="31" t="n">
        <v>44.3</v>
      </c>
      <c r="BN54" s="30" t="n">
        <f aca="false">BL54+BM54</f>
        <v>87.4</v>
      </c>
      <c r="BO54" s="31" t="n">
        <v>44.5</v>
      </c>
      <c r="BP54" s="31" t="n">
        <v>53</v>
      </c>
      <c r="BQ54" s="31" t="n">
        <v>184.9</v>
      </c>
      <c r="BR54" s="31" t="n">
        <v>47.2</v>
      </c>
      <c r="BS54" s="31" t="n">
        <v>53.4</v>
      </c>
      <c r="BT54" s="30" t="n">
        <f aca="false">BR54+BS54</f>
        <v>100.6</v>
      </c>
      <c r="BU54" s="31" t="n">
        <v>49.6</v>
      </c>
      <c r="BV54" s="31" t="n">
        <v>50.2</v>
      </c>
      <c r="BW54" s="31" t="n">
        <v>200.4</v>
      </c>
      <c r="BX54" s="31" t="n">
        <v>52.1</v>
      </c>
      <c r="BY54" s="31" t="n">
        <v>57.3</v>
      </c>
      <c r="BZ54" s="30" t="n">
        <f aca="false">BX54+BY54</f>
        <v>109.4</v>
      </c>
      <c r="CA54" s="31" t="n">
        <v>56.5</v>
      </c>
      <c r="CB54" s="31" t="n">
        <v>56.6</v>
      </c>
      <c r="CC54" s="31" t="n">
        <v>222.5</v>
      </c>
      <c r="CD54" s="31" t="n">
        <v>62.9</v>
      </c>
      <c r="CE54" s="31" t="n">
        <v>73.4</v>
      </c>
      <c r="CF54" s="30" t="n">
        <f aca="false">CD54+CE54</f>
        <v>136.3</v>
      </c>
      <c r="CG54" s="31" t="n">
        <v>77.3</v>
      </c>
      <c r="CH54" s="31" t="n">
        <v>75.1</v>
      </c>
      <c r="CI54" s="31" t="n">
        <v>288.7</v>
      </c>
      <c r="CJ54" s="31" t="n">
        <v>77.5</v>
      </c>
      <c r="CK54" s="31" t="n">
        <v>79.7</v>
      </c>
      <c r="CL54" s="30" t="n">
        <f aca="false">CJ54+CK54</f>
        <v>157.2</v>
      </c>
      <c r="CM54" s="32"/>
      <c r="CN54" s="32"/>
      <c r="CO54" s="32"/>
      <c r="CP54" s="32"/>
      <c r="CQ54" s="32"/>
      <c r="CR54" s="32"/>
      <c r="CS54" s="32"/>
      <c r="CT54" s="23"/>
      <c r="CV54" s="7"/>
      <c r="CW54" s="7"/>
      <c r="CX54" s="7"/>
      <c r="CY54" s="7"/>
      <c r="DB54" s="13" t="s">
        <v>136</v>
      </c>
      <c r="DC54" s="43" t="n">
        <f aca="false">DD54+$DC$50</f>
        <v>0.295</v>
      </c>
      <c r="DD54" s="36" t="n">
        <v>0.285</v>
      </c>
      <c r="DE54" s="43" t="n">
        <f aca="false">DD54+$DE$50</f>
        <v>0.265</v>
      </c>
    </row>
    <row r="55" customFormat="false" ht="15" hidden="false" customHeight="true" outlineLevel="0" collapsed="false">
      <c r="B55" s="39" t="s">
        <v>122</v>
      </c>
      <c r="C55" s="30" t="str">
        <f aca="false">IF(ISNUMBER(C54),ROUND(C53-C54,1),"n/p")</f>
        <v>n/p</v>
      </c>
      <c r="D55" s="30" t="str">
        <f aca="false">IF(ISNUMBER(D54),ROUND(D53-D54,1),"n/p")</f>
        <v>n/p</v>
      </c>
      <c r="E55" s="30" t="str">
        <f aca="false">IF(ISNUMBER(E54),ROUND(E53-E54,1),"n/p")</f>
        <v>n/p</v>
      </c>
      <c r="F55" s="30" t="str">
        <f aca="false">IF(ISNUMBER(F54),ROUND(F53-F54,1),"n/p")</f>
        <v>n/p</v>
      </c>
      <c r="G55" s="30" t="str">
        <f aca="false">IF(ISNUMBER(G54),ROUND(G53-G54,1),"n/p")</f>
        <v>n/p</v>
      </c>
      <c r="H55" s="30" t="str">
        <f aca="false">IF(ISNUMBER(H54),ROUND(H53-H54,1),"n/p")</f>
        <v>n/p</v>
      </c>
      <c r="I55" s="30" t="str">
        <f aca="false">IF(ISNUMBER(I54),ROUND(I53-I54,1),"n/p")</f>
        <v>n/p</v>
      </c>
      <c r="J55" s="30" t="str">
        <f aca="false">IF(ISNUMBER(J54),ROUND(J53-J54,1),"n/p")</f>
        <v>n/p</v>
      </c>
      <c r="K55" s="30" t="str">
        <f aca="false">IF(ISNUMBER(K54),ROUND(K53-K54,1),"n/p")</f>
        <v>n/p</v>
      </c>
      <c r="L55" s="30" t="str">
        <f aca="false">IF(ISNUMBER(L54),ROUND(L53-L54,1),"n/p")</f>
        <v>n/p</v>
      </c>
      <c r="M55" s="30" t="str">
        <f aca="false">IF(ISNUMBER(M54),ROUND(M53-M54,1),"n/p")</f>
        <v>n/p</v>
      </c>
      <c r="N55" s="30" t="str">
        <f aca="false">IF(ISNUMBER(N54),ROUND(N53-N54,1),"n/p")</f>
        <v>n/p</v>
      </c>
      <c r="O55" s="30" t="str">
        <f aca="false">IF(ISNUMBER(O54),ROUND(O53-O54,1),"n/p")</f>
        <v>n/p</v>
      </c>
      <c r="P55" s="30" t="str">
        <f aca="false">IF(ISNUMBER(P54),ROUND(P53-P54,1),"n/p")</f>
        <v>n/p</v>
      </c>
      <c r="Q55" s="30" t="str">
        <f aca="false">IF(ISNUMBER(Q54),ROUND(Q53-Q54,1),"n/p")</f>
        <v>n/p</v>
      </c>
      <c r="R55" s="30" t="str">
        <f aca="false">IF(ISNUMBER(R54),ROUND(R53-R54,1),"n/p")</f>
        <v>n/p</v>
      </c>
      <c r="S55" s="30" t="str">
        <f aca="false">IF(ISNUMBER(S54),ROUND(S53-S54,1),"n/p")</f>
        <v>n/p</v>
      </c>
      <c r="T55" s="30" t="str">
        <f aca="false">IF(ISNUMBER(T54),ROUND(T53-T54,1),"n/p")</f>
        <v>n/p</v>
      </c>
      <c r="U55" s="30" t="str">
        <f aca="false">IF(ISNUMBER(U54),ROUND(U53-U54,1),"n/p")</f>
        <v>n/p</v>
      </c>
      <c r="V55" s="30" t="str">
        <f aca="false">IF(ISNUMBER(V54),ROUND(V53-V54,1),"n/p")</f>
        <v>n/p</v>
      </c>
      <c r="W55" s="30" t="str">
        <f aca="false">IF(ISNUMBER(W54),ROUND(W53-W54,1),"n/p")</f>
        <v>n/p</v>
      </c>
      <c r="X55" s="30" t="str">
        <f aca="false">IF(ISNUMBER(X54),ROUND(X53-X54,1),"n/p")</f>
        <v>n/p</v>
      </c>
      <c r="Y55" s="30" t="str">
        <f aca="false">IF(ISNUMBER(Y54),ROUND(Y53-Y54,1),"n/p")</f>
        <v>n/p</v>
      </c>
      <c r="Z55" s="30" t="str">
        <f aca="false">IF(ISNUMBER(Z54),ROUND(Z53-Z54,1),"n/p")</f>
        <v>n/p</v>
      </c>
      <c r="AA55" s="30" t="str">
        <f aca="false">IF(ISNUMBER(AA54),ROUND(AA53-AA54,1),"n/p")</f>
        <v>n/p</v>
      </c>
      <c r="AB55" s="30" t="str">
        <f aca="false">IF(ISNUMBER(AB54),ROUND(AB53-AB54,1),"n/p")</f>
        <v>n/p</v>
      </c>
      <c r="AC55" s="30" t="str">
        <f aca="false">IF(ISNUMBER(AC54),ROUND(AC53-AC54,1),"n/p")</f>
        <v>n/p</v>
      </c>
      <c r="AD55" s="30" t="str">
        <f aca="false">IF(ISNUMBER(AD54),ROUND(AD53-AD54,1),"n/p")</f>
        <v>n/p</v>
      </c>
      <c r="AE55" s="30" t="str">
        <f aca="false">IF(ISNUMBER(AE54),ROUND(AE53-AE54,1),"n/p")</f>
        <v>n/p</v>
      </c>
      <c r="AF55" s="30" t="str">
        <f aca="false">IF(ISNUMBER(AF54),ROUND(AF53-AF54,1),"n/p")</f>
        <v>n/p</v>
      </c>
      <c r="AG55" s="30" t="str">
        <f aca="false">IF(ISNUMBER(AG54),ROUND(AG53-AG54,1),"n/p")</f>
        <v>n/p</v>
      </c>
      <c r="AH55" s="30" t="str">
        <f aca="false">IF(ISNUMBER(AH54),ROUND(AH53-AH54,1),"n/p")</f>
        <v>n/p</v>
      </c>
      <c r="AI55" s="30" t="str">
        <f aca="false">IF(ISNUMBER(AI54),ROUND(AI53-AI54,1),"n/p")</f>
        <v>n/p</v>
      </c>
      <c r="AJ55" s="30" t="str">
        <f aca="false">IF(ISNUMBER(AJ54),ROUND(AJ53-AJ54,1),"n/p")</f>
        <v>n/p</v>
      </c>
      <c r="AK55" s="30" t="str">
        <f aca="false">IF(ISNUMBER(AK54),ROUND(AK53-AK54,1),"n/p")</f>
        <v>n/p</v>
      </c>
      <c r="AL55" s="30" t="str">
        <f aca="false">IF(ISNUMBER(AL54),ROUND(AL53-AL54,1),"n/p")</f>
        <v>n/p</v>
      </c>
      <c r="AM55" s="30" t="str">
        <f aca="false">IF(ISNUMBER(AM54),ROUND(AM53-AM54,1),"n/p")</f>
        <v>n/p</v>
      </c>
      <c r="AN55" s="30" t="str">
        <f aca="false">IF(ISNUMBER(AN54),ROUND(AN53-AN54,1),"n/p")</f>
        <v>n/p</v>
      </c>
      <c r="AO55" s="30" t="str">
        <f aca="false">IF(ISNUMBER(AO54),ROUND(AO53-AO54,1),"n/p")</f>
        <v>n/p</v>
      </c>
      <c r="AP55" s="30" t="str">
        <f aca="false">IF(ISNUMBER(AP54),ROUND(AP53-AP54,1),"n/p")</f>
        <v>n/p</v>
      </c>
      <c r="AQ55" s="30" t="str">
        <f aca="false">IF(ISNUMBER(AQ54),ROUND(AQ53-AQ54,1),"n/p")</f>
        <v>n/p</v>
      </c>
      <c r="AR55" s="30" t="str">
        <f aca="false">IF(ISNUMBER(AR54),ROUND(AR53-AR54,1),"n/p")</f>
        <v>n/p</v>
      </c>
      <c r="AS55" s="30" t="str">
        <f aca="false">IF(ISNUMBER(AS54),ROUND(AS53-AS54,1),"n/p")</f>
        <v>n/p</v>
      </c>
      <c r="AT55" s="30" t="str">
        <f aca="false">IF(ISNUMBER(AT54),ROUND(AT53-AT54,1),"n/p")</f>
        <v>n/p</v>
      </c>
      <c r="AU55" s="30" t="str">
        <f aca="false">IF(ISNUMBER(AU54),ROUND(AU53-AU54,1),"n/p")</f>
        <v>n/p</v>
      </c>
      <c r="AV55" s="30" t="str">
        <f aca="false">IF(ISNUMBER(AV54),ROUND(AV53-AV54,1),"n/p")</f>
        <v>n/p</v>
      </c>
      <c r="AW55" s="30" t="str">
        <f aca="false">IF(ISNUMBER(AW54),ROUND(AW53-AW54,1),"n/p")</f>
        <v>n/p</v>
      </c>
      <c r="AX55" s="30" t="str">
        <f aca="false">IF(ISNUMBER(AX54),ROUND(AX53-AX54,1),"n/p")</f>
        <v>n/p</v>
      </c>
      <c r="AY55" s="30" t="str">
        <f aca="false">IF(ISNUMBER(AY54),ROUND(AY53-AY54,1),"n/p")</f>
        <v>n/p</v>
      </c>
      <c r="AZ55" s="30" t="n">
        <f aca="false">IF(ISNUMBER(AZ54),ROUND(AZ53-AZ54,1),"n/p")</f>
        <v>0</v>
      </c>
      <c r="BA55" s="30" t="n">
        <f aca="false">IF(ISNUMBER(BA54),ROUND(BA53-BA54,1),"n/p")</f>
        <v>0</v>
      </c>
      <c r="BB55" s="30" t="n">
        <f aca="false">IF(ISNUMBER(BB54),ROUND(BB53-BB54,1),"n/p")</f>
        <v>0</v>
      </c>
      <c r="BC55" s="30" t="n">
        <f aca="false">IF(ISNUMBER(BC54),ROUND(BC53-BC54,1),"n/p")</f>
        <v>0</v>
      </c>
      <c r="BD55" s="30" t="n">
        <f aca="false">IF(ISNUMBER(BD54),ROUND(BD53-BD54,1),"n/p")</f>
        <v>0</v>
      </c>
      <c r="BE55" s="30" t="n">
        <f aca="false">IF(ISNUMBER(BE54),ROUND(BE53-BE54,1),"n/p")</f>
        <v>0</v>
      </c>
      <c r="BF55" s="30" t="n">
        <f aca="false">IF(ISNUMBER(BF54),ROUND(BF53-BF54,1),"n/p")</f>
        <v>0</v>
      </c>
      <c r="BG55" s="30" t="n">
        <f aca="false">IF(ISNUMBER(BG54),ROUND(BG53-BG54,1),"n/p")</f>
        <v>0</v>
      </c>
      <c r="BH55" s="30" t="n">
        <f aca="false">IF(ISNUMBER(BH54),ROUND(BH53-BH54,1),"n/p")</f>
        <v>0</v>
      </c>
      <c r="BI55" s="30" t="n">
        <f aca="false">IF(ISNUMBER(BI54),ROUND(BI53-BI54,1),"n/p")</f>
        <v>0</v>
      </c>
      <c r="BJ55" s="30" t="n">
        <f aca="false">IF(ISNUMBER(BJ54),ROUND(BJ53-BJ54,1),"n/p")</f>
        <v>0</v>
      </c>
      <c r="BK55" s="30" t="n">
        <f aca="false">IF(ISNUMBER(BK54),ROUND(BK53-BK54,1),"n/p")</f>
        <v>0</v>
      </c>
      <c r="BL55" s="30" t="n">
        <f aca="false">IF(ISNUMBER(BL54),ROUND(BL53-BL54,1),"n/p")</f>
        <v>0</v>
      </c>
      <c r="BM55" s="30" t="n">
        <f aca="false">IF(ISNUMBER(BM54),ROUND(BM53-BM54,1),"n/p")</f>
        <v>0</v>
      </c>
      <c r="BN55" s="30" t="n">
        <f aca="false">IF(ISNUMBER(BN54),ROUND(BN53-BN54,1),"n/p")</f>
        <v>0</v>
      </c>
      <c r="BO55" s="30" t="n">
        <f aca="false">IF(ISNUMBER(BO54),ROUND(BO53-BO54,1),"n/p")</f>
        <v>0</v>
      </c>
      <c r="BP55" s="30" t="n">
        <f aca="false">IF(ISNUMBER(BP54),ROUND(BP53-BP54,1),"n/p")</f>
        <v>0</v>
      </c>
      <c r="BQ55" s="30" t="n">
        <f aca="false">IF(ISNUMBER(BQ54),ROUND(BQ53-BQ54,1),"n/p")</f>
        <v>0</v>
      </c>
      <c r="BR55" s="30" t="n">
        <f aca="false">IF(ISNUMBER(BR54),ROUND(BR53-BR54,1),"n/p")</f>
        <v>0</v>
      </c>
      <c r="BS55" s="30" t="n">
        <f aca="false">IF(ISNUMBER(BS54),ROUND(BS53-BS54,1),"n/p")</f>
        <v>0</v>
      </c>
      <c r="BT55" s="30" t="n">
        <f aca="false">IF(ISNUMBER(BT54),ROUND(BT53-BT54,1),"n/p")</f>
        <v>0</v>
      </c>
      <c r="BU55" s="30" t="n">
        <f aca="false">IF(ISNUMBER(BU54),ROUND(BU53-BU54,1),"n/p")</f>
        <v>0</v>
      </c>
      <c r="BV55" s="30" t="n">
        <f aca="false">IF(ISNUMBER(BV54),ROUND(BV53-BV54,1),"n/p")</f>
        <v>0</v>
      </c>
      <c r="BW55" s="30" t="n">
        <f aca="false">IF(ISNUMBER(BW54),ROUND(BW53-BW54,1),"n/p")</f>
        <v>0</v>
      </c>
      <c r="BX55" s="30" t="n">
        <f aca="false">IF(ISNUMBER(BX54),ROUND(BX53-BX54,1),"n/p")</f>
        <v>0</v>
      </c>
      <c r="BY55" s="30" t="n">
        <f aca="false">IF(ISNUMBER(BY54),ROUND(BY53-BY54,1),"n/p")</f>
        <v>0</v>
      </c>
      <c r="BZ55" s="30" t="n">
        <f aca="false">IF(ISNUMBER(BZ54),ROUND(BZ53-BZ54,1),"n/p")</f>
        <v>0</v>
      </c>
      <c r="CA55" s="30" t="n">
        <f aca="false">IF(ISNUMBER(CA54),ROUND(CA53-CA54,1),"n/p")</f>
        <v>0</v>
      </c>
      <c r="CB55" s="30" t="n">
        <f aca="false">IF(ISNUMBER(CB54),ROUND(CB53-CB54,1),"n/p")</f>
        <v>0</v>
      </c>
      <c r="CC55" s="30" t="n">
        <f aca="false">IF(ISNUMBER(CC54),ROUND(CC53-CC54,1),"n/p")</f>
        <v>0</v>
      </c>
      <c r="CD55" s="30" t="n">
        <f aca="false">IF(ISNUMBER(CD54),ROUND(CD53-CD54,1),"n/p")</f>
        <v>0</v>
      </c>
      <c r="CE55" s="30" t="n">
        <f aca="false">IF(ISNUMBER(CE54),ROUND(CE53-CE54,1),"n/p")</f>
        <v>0</v>
      </c>
      <c r="CF55" s="30" t="n">
        <f aca="false">IF(ISNUMBER(CF54),ROUND(CF53-CF54,1),"n/p")</f>
        <v>0</v>
      </c>
      <c r="CG55" s="30" t="n">
        <f aca="false">IF(ISNUMBER(CG54),ROUND(CG53-CG54,1),"n/p")</f>
        <v>0</v>
      </c>
      <c r="CH55" s="30" t="n">
        <f aca="false">IF(ISNUMBER(CH54),ROUND(CH53-CH54,1),"n/p")</f>
        <v>0</v>
      </c>
      <c r="CI55" s="30" t="n">
        <f aca="false">IF(ISNUMBER(CI54),ROUND(CI53-CI54,1),"n/p")</f>
        <v>0</v>
      </c>
      <c r="CJ55" s="30" t="n">
        <f aca="false">IF(ISNUMBER(CJ54),ROUND(CJ53-CJ54,1),"n/p")</f>
        <v>0</v>
      </c>
      <c r="CK55" s="30" t="n">
        <f aca="false">IF(ISNUMBER(CK54),ROUND(CK53-CK54,1),"n/p")</f>
        <v>0</v>
      </c>
      <c r="CL55" s="30" t="n">
        <f aca="false">IF(ISNUMBER(CL54),ROUND(CL53-CL54,1),"n/p")</f>
        <v>0</v>
      </c>
      <c r="CM55" s="32"/>
      <c r="CN55" s="32"/>
      <c r="CO55" s="32"/>
      <c r="CP55" s="32"/>
      <c r="CQ55" s="32"/>
      <c r="CR55" s="32"/>
      <c r="CS55" s="32"/>
      <c r="CT55" s="23"/>
      <c r="CV55" s="7"/>
      <c r="CW55" s="7"/>
      <c r="CX55" s="7"/>
      <c r="CY55" s="7"/>
    </row>
    <row r="56" customFormat="false" ht="15" hidden="false" customHeight="true" outlineLevel="0" collapsed="false">
      <c r="B56" s="26" t="s">
        <v>123</v>
      </c>
      <c r="C56" s="40" t="str">
        <f aca="false">IFERROR(C50/C48,"")</f>
        <v/>
      </c>
      <c r="D56" s="40" t="str">
        <f aca="false">IFERROR(D50/D48,"")</f>
        <v/>
      </c>
      <c r="E56" s="40" t="n">
        <f aca="false">IFERROR(E50/E48,"")</f>
        <v>0.113722893560669</v>
      </c>
      <c r="F56" s="40" t="n">
        <f aca="false">IFERROR(F50/F48,"")</f>
        <v>0.103763812154696</v>
      </c>
      <c r="G56" s="40" t="n">
        <f aca="false">IFERROR(G50/G48,"")</f>
        <v>0.0940296079388319</v>
      </c>
      <c r="H56" s="40" t="n">
        <f aca="false">IFERROR(H50/H48,"")</f>
        <v>0.136733416770964</v>
      </c>
      <c r="I56" s="40" t="n">
        <f aca="false">IFERROR(I50/I48,"")</f>
        <v>0.132991904840575</v>
      </c>
      <c r="J56" s="40" t="n">
        <f aca="false">IFERROR(J50/J48,"")</f>
        <v>0.12385039852851</v>
      </c>
      <c r="K56" s="40" t="n">
        <f aca="false">IFERROR(K50/K48,"")</f>
        <v>0.121533923303835</v>
      </c>
      <c r="L56" s="40" t="n">
        <f aca="false">IFERROR(L50/L48,"")</f>
        <v>0.122669873722189</v>
      </c>
      <c r="M56" s="40" t="n">
        <f aca="false">IFERROR(M50/M48,"")</f>
        <v>0.0649895178197065</v>
      </c>
      <c r="N56" s="40" t="n">
        <f aca="false">IFERROR(N50/N48,"")</f>
        <v>0.104417670682731</v>
      </c>
      <c r="O56" s="40" t="n">
        <f aca="false">IFERROR(O50/O48,"")</f>
        <v>0.105103183490642</v>
      </c>
      <c r="P56" s="40" t="n">
        <f aca="false">IFERROR(P50/P48,"")</f>
        <v>0.155251141552511</v>
      </c>
      <c r="Q56" s="40" t="n">
        <f aca="false">IFERROR(Q50/Q48,"")</f>
        <v>0.150459921156373</v>
      </c>
      <c r="R56" s="40" t="n">
        <f aca="false">IFERROR(R50/R48,"")</f>
        <v>0.152864157119476</v>
      </c>
      <c r="S56" s="40" t="n">
        <f aca="false">IFERROR(S50/S48,"")</f>
        <v>0.142292490118577</v>
      </c>
      <c r="T56" s="40" t="n">
        <f aca="false">IFERROR(T50/T48,"")</f>
        <v>0.137268359643102</v>
      </c>
      <c r="U56" s="40" t="n">
        <f aca="false">IFERROR(U50/U48,"")</f>
        <v>0.146434494195688</v>
      </c>
      <c r="V56" s="40" t="n">
        <f aca="false">IFERROR(V50/V48,"")</f>
        <v>0.137393767705382</v>
      </c>
      <c r="W56" s="40" t="n">
        <f aca="false">IFERROR(W50/W48,"")</f>
        <v>0.140136054421769</v>
      </c>
      <c r="X56" s="40" t="n">
        <f aca="false">IFERROR(X50/X48,"")</f>
        <v>0.138792505204719</v>
      </c>
      <c r="Y56" s="40" t="n">
        <f aca="false">IFERROR(Y50/Y48,"")</f>
        <v>0.155320555188367</v>
      </c>
      <c r="Z56" s="40" t="n">
        <f aca="false">IFERROR(Z50/Z48,"")</f>
        <v>0.138401559454191</v>
      </c>
      <c r="AA56" s="40" t="n">
        <f aca="false">IFERROR(AA50/AA48,"")</f>
        <v>0.142905291540276</v>
      </c>
      <c r="AB56" s="40" t="n">
        <f aca="false">IFERROR(AB50/AB48,"")</f>
        <v>0.157929226736566</v>
      </c>
      <c r="AC56" s="40" t="n">
        <f aca="false">IFERROR(AC50/AC48,"")</f>
        <v>0.177215189873418</v>
      </c>
      <c r="AD56" s="40" t="n">
        <f aca="false">IFERROR(AD50/AD48,"")</f>
        <v>0.167739858338699</v>
      </c>
      <c r="AE56" s="40" t="n">
        <f aca="false">IFERROR(AE50/AE48,"")</f>
        <v>0.205211726384365</v>
      </c>
      <c r="AF56" s="40" t="n">
        <f aca="false">IFERROR(AF50/AF48,"")</f>
        <v>0.187747035573123</v>
      </c>
      <c r="AG56" s="40" t="n">
        <f aca="false">IFERROR(AG50/AG48,"")</f>
        <v>0.182010066569248</v>
      </c>
      <c r="AH56" s="40" t="n">
        <f aca="false">IFERROR(AH50/AH48,"")</f>
        <v>0.163265306122449</v>
      </c>
      <c r="AI56" s="40" t="n">
        <f aca="false">IFERROR(AI50/AI48,"")</f>
        <v>0.181253879577902</v>
      </c>
      <c r="AJ56" s="40" t="n">
        <f aca="false">IFERROR(AJ50/AJ48,"")</f>
        <v>0.172523961661342</v>
      </c>
      <c r="AK56" s="40" t="n">
        <f aca="false">IFERROR(AK50/AK48,"")</f>
        <v>0.176691729323308</v>
      </c>
      <c r="AL56" s="40" t="n">
        <f aca="false">IFERROR(AL50/AL48,"")</f>
        <v>0.196655132641292</v>
      </c>
      <c r="AM56" s="40" t="n">
        <f aca="false">IFERROR(AM50/AM48,"")</f>
        <v>0.191136671177267</v>
      </c>
      <c r="AN56" s="40" t="n">
        <f aca="false">IFERROR(AN50/AN48,"")</f>
        <v>0.19693094629156</v>
      </c>
      <c r="AO56" s="40" t="n">
        <f aca="false">IFERROR(AO50/AO48,"")</f>
        <v>0.206984126984127</v>
      </c>
      <c r="AP56" s="40" t="n">
        <f aca="false">IFERROR(AP50/AP48,"")</f>
        <v>0.201975151322077</v>
      </c>
      <c r="AQ56" s="40" t="n">
        <f aca="false">IFERROR(AQ50/AQ48,"")</f>
        <v>0.205864004990643</v>
      </c>
      <c r="AR56" s="40" t="n">
        <f aca="false">IFERROR(AR50/AR48,"")</f>
        <v>0.213253012048193</v>
      </c>
      <c r="AS56" s="40" t="n">
        <f aca="false">IFERROR(AS50/AS48,"")</f>
        <v>0.205873164636051</v>
      </c>
      <c r="AT56" s="40" t="n">
        <f aca="false">IFERROR(AT50/AT48,"")</f>
        <v>0.195078031212485</v>
      </c>
      <c r="AU56" s="40" t="n">
        <f aca="false">IFERROR(AU50/AU48,"")</f>
        <v>0.219318181818182</v>
      </c>
      <c r="AV56" s="40" t="n">
        <f aca="false">IFERROR(AV50/AV48,"")</f>
        <v>0.207530647985989</v>
      </c>
      <c r="AW56" s="40" t="n">
        <f aca="false">IFERROR(AW50/AW48,"")</f>
        <v>0.223037831733484</v>
      </c>
      <c r="AX56" s="40" t="n">
        <f aca="false">IFERROR(AX50/AX48,"")</f>
        <v>0.192488262910798</v>
      </c>
      <c r="AY56" s="40" t="n">
        <f aca="false">IFERROR(AY50/AY48,"")</f>
        <v>0.207795971598319</v>
      </c>
      <c r="AZ56" s="40" t="n">
        <f aca="false">IFERROR(AZ50/AZ48,"")</f>
        <v>0.0857325655790147</v>
      </c>
      <c r="BA56" s="40" t="n">
        <f aca="false">IFERROR(BA50/BA48,"")</f>
        <v>0.122292103424179</v>
      </c>
      <c r="BB56" s="40" t="n">
        <f aca="false">IFERROR(BB50/BB48,"")</f>
        <v>0.103206412825651</v>
      </c>
      <c r="BC56" s="40" t="n">
        <f aca="false">IFERROR(BC50/BC48,"")</f>
        <v>0.18439226519337</v>
      </c>
      <c r="BD56" s="40" t="n">
        <f aca="false">IFERROR(BD50/BD48,"")</f>
        <v>0.159779614325069</v>
      </c>
      <c r="BE56" s="40" t="n">
        <f aca="false">IFERROR(BE50/BE48,"")</f>
        <v>0.137088564642009</v>
      </c>
      <c r="BF56" s="40" t="n">
        <f aca="false">IFERROR(BF50/BF48,"")</f>
        <v>0.187169312169312</v>
      </c>
      <c r="BG56" s="40" t="n">
        <f aca="false">IFERROR(BG50/BG48,"")</f>
        <v>0.186351706036745</v>
      </c>
      <c r="BH56" s="40" t="n">
        <f aca="false">IFERROR(BH50/BH48,"")</f>
        <v>0.186758893280632</v>
      </c>
      <c r="BI56" s="40" t="n">
        <f aca="false">IFERROR(BI50/BI48,"")</f>
        <v>0.221878862793572</v>
      </c>
      <c r="BJ56" s="40" t="n">
        <f aca="false">IFERROR(BJ50/BJ48,"")</f>
        <v>0.248622167789345</v>
      </c>
      <c r="BK56" s="40" t="n">
        <f aca="false">IFERROR(BK50/BK48,"")</f>
        <v>0.211865754731987</v>
      </c>
      <c r="BL56" s="40" t="n">
        <f aca="false">IFERROR(BL50/BL48,"")</f>
        <v>0.258122743682311</v>
      </c>
      <c r="BM56" s="40" t="n">
        <f aca="false">IFERROR(BM50/BM48,"")</f>
        <v>0.261255924170616</v>
      </c>
      <c r="BN56" s="40" t="n">
        <f aca="false">IFERROR(BN50/BN48,"")</f>
        <v>0.259701492537313</v>
      </c>
      <c r="BO56" s="40" t="n">
        <f aca="false">IFERROR(BO50/BO48,"")</f>
        <v>0.261356932153392</v>
      </c>
      <c r="BP56" s="40" t="n">
        <f aca="false">IFERROR(BP50/BP48,"")</f>
        <v>0.296795952782462</v>
      </c>
      <c r="BQ56" s="40" t="n">
        <f aca="false">IFERROR(BQ50/BQ48,"")</f>
        <v>0.269783118405627</v>
      </c>
      <c r="BR56" s="40" t="n">
        <f aca="false">IFERROR(BR50/BR48,"")</f>
        <v>0.271362586605081</v>
      </c>
      <c r="BS56" s="40" t="n">
        <f aca="false">IFERROR(BS50/BS48,"")</f>
        <v>0.286021505376344</v>
      </c>
      <c r="BT56" s="40" t="n">
        <f aca="false">IFERROR(BT50/BT48,"")</f>
        <v>0.278953229398664</v>
      </c>
      <c r="BU56" s="40" t="n">
        <f aca="false">IFERROR(BU50/BU48,"")</f>
        <v>0.269503546099291</v>
      </c>
      <c r="BV56" s="40" t="n">
        <f aca="false">IFERROR(BV50/BV48,"")</f>
        <v>0.271739130434783</v>
      </c>
      <c r="BW56" s="40" t="n">
        <f aca="false">IFERROR(BW50/BW48,"")</f>
        <v>0.274741913282863</v>
      </c>
      <c r="BX56" s="40" t="n">
        <f aca="false">IFERROR(BX50/BX48,"")</f>
        <v>0.279483037156704</v>
      </c>
      <c r="BY56" s="40" t="n">
        <f aca="false">IFERROR(BY50/BY48,"")</f>
        <v>0.293724279835391</v>
      </c>
      <c r="BZ56" s="40" t="n">
        <f aca="false">IFERROR(BZ50/BZ48,"")</f>
        <v>0.286766640357801</v>
      </c>
      <c r="CA56" s="40" t="n">
        <f aca="false">IFERROR(CA50/CA48,"")</f>
        <v>0.281218781218781</v>
      </c>
      <c r="CB56" s="40" t="n">
        <f aca="false">IFERROR(CB50/CB48,"")</f>
        <v>0.287022900763359</v>
      </c>
      <c r="CC56" s="40" t="n">
        <f aca="false">IFERROR(CC50/CC48,"")</f>
        <v>0.285401647785788</v>
      </c>
      <c r="CD56" s="40" t="n">
        <f aca="false">IFERROR(CD50/CD48,"")</f>
        <v>0.229690721649485</v>
      </c>
      <c r="CE56" s="40" t="n">
        <f aca="false">IFERROR(CE50/CE48,"")</f>
        <v>0.251510574018127</v>
      </c>
      <c r="CF56" s="40" t="n">
        <f aca="false">IFERROR(CF50/CF48,"")</f>
        <v>0.241080228661542</v>
      </c>
      <c r="CG56" s="40" t="n">
        <f aca="false">IFERROR(CG50/CG48,"")</f>
        <v>0.255535390199637</v>
      </c>
      <c r="CH56" s="40" t="n">
        <f aca="false">IFERROR(CH50/CH48,"")</f>
        <v>0.251540413193186</v>
      </c>
      <c r="CI56" s="40" t="n">
        <f aca="false">IFERROR(CI50/CI48,"")</f>
        <v>0.247567771795598</v>
      </c>
      <c r="CJ56" s="40" t="n">
        <f aca="false">IFERROR(CJ50/CJ48,"")</f>
        <v>0.257297297297297</v>
      </c>
      <c r="CK56" s="40" t="n">
        <f aca="false">IFERROR(CK50/CK48,"")</f>
        <v>0.260125698324022</v>
      </c>
      <c r="CL56" s="40" t="n">
        <f aca="false">IFERROR(CL50/CL48,"")</f>
        <v>0.258733818052846</v>
      </c>
      <c r="CM56" s="28" t="n">
        <f aca="false">IFERROR(CM50/CM48,"")</f>
        <v>0.262835519852988</v>
      </c>
      <c r="CN56" s="28" t="n">
        <f aca="false">IFERROR(CN50/CN48,"")</f>
        <v>0.235250423330547</v>
      </c>
      <c r="CO56" s="28" t="n">
        <f aca="false">IFERROR(CO50/CO48,"")</f>
        <v>0.253747620051732</v>
      </c>
      <c r="CP56" s="28" t="n">
        <f aca="false">IFERROR(CP50/CP48,"")</f>
        <v>0.262869972813849</v>
      </c>
      <c r="CQ56" s="28" t="n">
        <f aca="false">IFERROR(CQ50/CQ48,"")</f>
        <v>0.266985326946252</v>
      </c>
      <c r="CR56" s="28" t="n">
        <f aca="false">IFERROR(CR50/CR48,"")</f>
        <v>0.273953128387388</v>
      </c>
      <c r="CS56" s="28" t="n">
        <f aca="false">IFERROR(CS50/CS48,"")</f>
        <v>0.280348595787414</v>
      </c>
      <c r="CT56" s="23"/>
      <c r="CV56" s="41" t="n">
        <f aca="false">IFERROR(AVERAGE(CO56,CP56,CQ56,CR56,CS56),"n/m")</f>
        <v>0.267580928797327</v>
      </c>
      <c r="CW56" s="41" t="n">
        <f aca="false">IFERROR(AVERAGE(BK56,BQ56,BW56,CC56,CI56),"n/m")</f>
        <v>0.257872041200373</v>
      </c>
      <c r="CX56" s="41" t="n">
        <f aca="false">IFERROR(AVERAGE(AG56,AM56,AS56,AY56,BE56,BK56,BQ56,BW56,CC56,CI56),"n/m")</f>
        <v>0.221326464462476</v>
      </c>
      <c r="CY56" s="41" t="n">
        <f aca="false">IFERROR(AVERAGE(C56,D56,E56,F56,G56,H56,I56,O56,U56,AA56,AG56,AM56,AS56,AY56,BE56,BK56,BQ56,BW56,CC56,CI56),"n/m")</f>
        <v>0.177163847173172</v>
      </c>
      <c r="DB56" s="18" t="s">
        <v>158</v>
      </c>
      <c r="DC56" s="42" t="n">
        <v>0.01</v>
      </c>
      <c r="DD56" s="25" t="s">
        <v>127</v>
      </c>
      <c r="DE56" s="42" t="n">
        <v>-0.02</v>
      </c>
      <c r="DF56" s="16" t="s">
        <v>159</v>
      </c>
    </row>
    <row r="57" customFormat="false" ht="15" hidden="false" customHeight="true" outlineLevel="0" collapsed="false">
      <c r="B57" s="26" t="s">
        <v>124</v>
      </c>
      <c r="C57" s="40" t="str">
        <f aca="false">IFERROR(C53/C48,"")</f>
        <v/>
      </c>
      <c r="D57" s="40" t="str">
        <f aca="false">IFERROR(D53/D48,"")</f>
        <v/>
      </c>
      <c r="E57" s="40" t="str">
        <f aca="false">IFERROR(E53/E48,"")</f>
        <v/>
      </c>
      <c r="F57" s="40" t="str">
        <f aca="false">IFERROR(F53/F48,"")</f>
        <v/>
      </c>
      <c r="G57" s="40" t="str">
        <f aca="false">IFERROR(G53/G48,"")</f>
        <v/>
      </c>
      <c r="H57" s="40" t="str">
        <f aca="false">IFERROR(H53/H48,"")</f>
        <v/>
      </c>
      <c r="I57" s="40" t="str">
        <f aca="false">IFERROR(I53/I48,"")</f>
        <v/>
      </c>
      <c r="J57" s="40" t="str">
        <f aca="false">IFERROR(J53/J48,"")</f>
        <v/>
      </c>
      <c r="K57" s="40" t="str">
        <f aca="false">IFERROR(K53/K48,"")</f>
        <v/>
      </c>
      <c r="L57" s="40" t="str">
        <f aca="false">IFERROR(L53/L48,"")</f>
        <v/>
      </c>
      <c r="M57" s="40" t="str">
        <f aca="false">IFERROR(M53/M48,"")</f>
        <v/>
      </c>
      <c r="N57" s="40" t="str">
        <f aca="false">IFERROR(N53/N48,"")</f>
        <v/>
      </c>
      <c r="O57" s="40" t="str">
        <f aca="false">IFERROR(O53/O48,"")</f>
        <v/>
      </c>
      <c r="P57" s="40" t="str">
        <f aca="false">IFERROR(P53/P48,"")</f>
        <v/>
      </c>
      <c r="Q57" s="40" t="str">
        <f aca="false">IFERROR(Q53/Q48,"")</f>
        <v/>
      </c>
      <c r="R57" s="40" t="str">
        <f aca="false">IFERROR(R53/R48,"")</f>
        <v/>
      </c>
      <c r="S57" s="40" t="str">
        <f aca="false">IFERROR(S53/S48,"")</f>
        <v/>
      </c>
      <c r="T57" s="40" t="str">
        <f aca="false">IFERROR(T53/T48,"")</f>
        <v/>
      </c>
      <c r="U57" s="40" t="str">
        <f aca="false">IFERROR(U53/U48,"")</f>
        <v/>
      </c>
      <c r="V57" s="40" t="str">
        <f aca="false">IFERROR(V53/V48,"")</f>
        <v/>
      </c>
      <c r="W57" s="40" t="str">
        <f aca="false">IFERROR(W53/W48,"")</f>
        <v/>
      </c>
      <c r="X57" s="40" t="str">
        <f aca="false">IFERROR(X53/X48,"")</f>
        <v/>
      </c>
      <c r="Y57" s="40" t="str">
        <f aca="false">IFERROR(Y53/Y48,"")</f>
        <v/>
      </c>
      <c r="Z57" s="40" t="str">
        <f aca="false">IFERROR(Z53/Z48,"")</f>
        <v/>
      </c>
      <c r="AA57" s="40" t="str">
        <f aca="false">IFERROR(AA53/AA48,"")</f>
        <v/>
      </c>
      <c r="AB57" s="40" t="str">
        <f aca="false">IFERROR(AB53/AB48,"")</f>
        <v/>
      </c>
      <c r="AC57" s="40" t="str">
        <f aca="false">IFERROR(AC53/AC48,"")</f>
        <v/>
      </c>
      <c r="AD57" s="40" t="str">
        <f aca="false">IFERROR(AD53/AD48,"")</f>
        <v/>
      </c>
      <c r="AE57" s="40" t="str">
        <f aca="false">IFERROR(AE53/AE48,"")</f>
        <v/>
      </c>
      <c r="AF57" s="40" t="str">
        <f aca="false">IFERROR(AF53/AF48,"")</f>
        <v/>
      </c>
      <c r="AG57" s="40" t="str">
        <f aca="false">IFERROR(AG53/AG48,"")</f>
        <v/>
      </c>
      <c r="AH57" s="40" t="str">
        <f aca="false">IFERROR(AH53/AH48,"")</f>
        <v/>
      </c>
      <c r="AI57" s="40" t="str">
        <f aca="false">IFERROR(AI53/AI48,"")</f>
        <v/>
      </c>
      <c r="AJ57" s="40" t="str">
        <f aca="false">IFERROR(AJ53/AJ48,"")</f>
        <v/>
      </c>
      <c r="AK57" s="40" t="str">
        <f aca="false">IFERROR(AK53/AK48,"")</f>
        <v/>
      </c>
      <c r="AL57" s="40" t="str">
        <f aca="false">IFERROR(AL53/AL48,"")</f>
        <v/>
      </c>
      <c r="AM57" s="40" t="str">
        <f aca="false">IFERROR(AM53/AM48,"")</f>
        <v/>
      </c>
      <c r="AN57" s="40" t="str">
        <f aca="false">IFERROR(AN53/AN48,"")</f>
        <v/>
      </c>
      <c r="AO57" s="40" t="str">
        <f aca="false">IFERROR(AO53/AO48,"")</f>
        <v/>
      </c>
      <c r="AP57" s="40" t="str">
        <f aca="false">IFERROR(AP53/AP48,"")</f>
        <v/>
      </c>
      <c r="AQ57" s="40" t="str">
        <f aca="false">IFERROR(AQ53/AQ48,"")</f>
        <v/>
      </c>
      <c r="AR57" s="40" t="str">
        <f aca="false">IFERROR(AR53/AR48,"")</f>
        <v/>
      </c>
      <c r="AS57" s="40" t="str">
        <f aca="false">IFERROR(AS53/AS48,"")</f>
        <v/>
      </c>
      <c r="AT57" s="40" t="str">
        <f aca="false">IFERROR(AT53/AT48,"")</f>
        <v/>
      </c>
      <c r="AU57" s="40" t="str">
        <f aca="false">IFERROR(AU53/AU48,"")</f>
        <v/>
      </c>
      <c r="AV57" s="40" t="str">
        <f aca="false">IFERROR(AV53/AV48,"")</f>
        <v/>
      </c>
      <c r="AW57" s="40" t="str">
        <f aca="false">IFERROR(AW53/AW48,"")</f>
        <v/>
      </c>
      <c r="AX57" s="40" t="str">
        <f aca="false">IFERROR(AX53/AX48,"")</f>
        <v/>
      </c>
      <c r="AY57" s="40" t="str">
        <f aca="false">IFERROR(AY53/AY48,"")</f>
        <v/>
      </c>
      <c r="AZ57" s="40" t="n">
        <f aca="false">IFERROR(AZ53/AZ48,"")</f>
        <v>0.0870121561100448</v>
      </c>
      <c r="BA57" s="40" t="n">
        <f aca="false">IFERROR(BA53/BA48,"")</f>
        <v>0.123689727463312</v>
      </c>
      <c r="BB57" s="40" t="n">
        <f aca="false">IFERROR(BB53/BB48,"")</f>
        <v>0.104542418169673</v>
      </c>
      <c r="BC57" s="40" t="n">
        <f aca="false">IFERROR(BC53/BC48,"")</f>
        <v>0.18646408839779</v>
      </c>
      <c r="BD57" s="40" t="n">
        <f aca="false">IFERROR(BD53/BD48,"")</f>
        <v>0.161157024793388</v>
      </c>
      <c r="BE57" s="40" t="n">
        <f aca="false">IFERROR(BE53/BE48,"")</f>
        <v>0.138615541228368</v>
      </c>
      <c r="BF57" s="40" t="n">
        <f aca="false">IFERROR(BF53/BF48,"")</f>
        <v>0.188492063492064</v>
      </c>
      <c r="BG57" s="40" t="n">
        <f aca="false">IFERROR(BG53/BG48,"")</f>
        <v>0.187664041994751</v>
      </c>
      <c r="BH57" s="40" t="n">
        <f aca="false">IFERROR(BH53/BH48,"")</f>
        <v>0.188076416337286</v>
      </c>
      <c r="BI57" s="40" t="n">
        <f aca="false">IFERROR(BI53/BI48,"")</f>
        <v>0.223114956736712</v>
      </c>
      <c r="BJ57" s="40" t="n">
        <f aca="false">IFERROR(BJ53/BJ48,"")</f>
        <v>0.249846907532149</v>
      </c>
      <c r="BK57" s="40" t="n">
        <f aca="false">IFERROR(BK53/BK48,"")</f>
        <v>0.213138221727374</v>
      </c>
      <c r="BL57" s="40" t="n">
        <f aca="false">IFERROR(BL53/BL48,"")</f>
        <v>0.259326113116727</v>
      </c>
      <c r="BM57" s="40" t="n">
        <f aca="false">IFERROR(BM53/BM48,"")</f>
        <v>0.262440758293839</v>
      </c>
      <c r="BN57" s="40" t="n">
        <f aca="false">IFERROR(BN53/BN48,"")</f>
        <v>0.26089552238806</v>
      </c>
      <c r="BO57" s="40" t="n">
        <f aca="false">IFERROR(BO53/BO48,"")</f>
        <v>0.262536873156342</v>
      </c>
      <c r="BP57" s="40" t="n">
        <f aca="false">IFERROR(BP53/BP48,"")</f>
        <v>0.297920179876335</v>
      </c>
      <c r="BQ57" s="40" t="n">
        <f aca="false">IFERROR(BQ53/BQ48,"")</f>
        <v>0.270955451348183</v>
      </c>
      <c r="BR57" s="40" t="n">
        <f aca="false">IFERROR(BR53/BR48,"")</f>
        <v>0.272517321016166</v>
      </c>
      <c r="BS57" s="40" t="n">
        <f aca="false">IFERROR(BS53/BS48,"")</f>
        <v>0.287096774193548</v>
      </c>
      <c r="BT57" s="40" t="n">
        <f aca="false">IFERROR(BT53/BT48,"")</f>
        <v>0.280066815144766</v>
      </c>
      <c r="BU57" s="40" t="n">
        <f aca="false">IFERROR(BU53/BU48,"")</f>
        <v>0.270594653573377</v>
      </c>
      <c r="BV57" s="40" t="n">
        <f aca="false">IFERROR(BV53/BV48,"")</f>
        <v>0.272826086956522</v>
      </c>
      <c r="BW57" s="40" t="n">
        <f aca="false">IFERROR(BW53/BW48,"")</f>
        <v>0.275843083275981</v>
      </c>
      <c r="BX57" s="40" t="n">
        <f aca="false">IFERROR(BX53/BX48,"")</f>
        <v>0.280560043080237</v>
      </c>
      <c r="BY57" s="40" t="n">
        <f aca="false">IFERROR(BY53/BY48,"")</f>
        <v>0.294753086419753</v>
      </c>
      <c r="BZ57" s="40" t="n">
        <f aca="false">IFERROR(BZ53/BZ48,"")</f>
        <v>0.287818995001315</v>
      </c>
      <c r="CA57" s="40" t="n">
        <f aca="false">IFERROR(CA53/CA48,"")</f>
        <v>0.282217782217782</v>
      </c>
      <c r="CB57" s="40" t="n">
        <f aca="false">IFERROR(CB53/CB48,"")</f>
        <v>0.288040712468193</v>
      </c>
      <c r="CC57" s="40" t="n">
        <f aca="false">IFERROR(CC53/CC48,"")</f>
        <v>0.286431513903193</v>
      </c>
      <c r="CD57" s="40" t="n">
        <f aca="false">IFERROR(CD53/CD48,"")</f>
        <v>0.259381443298969</v>
      </c>
      <c r="CE57" s="40" t="n">
        <f aca="false">IFERROR(CE53/CE48,"")</f>
        <v>0.277190332326284</v>
      </c>
      <c r="CF57" s="40" t="n">
        <f aca="false">IFERROR(CF53/CF48,"")</f>
        <v>0.268677311255667</v>
      </c>
      <c r="CG57" s="40" t="n">
        <f aca="false">IFERROR(CG53/CG48,"")</f>
        <v>0.280580762250454</v>
      </c>
      <c r="CH57" s="40" t="n">
        <f aca="false">IFERROR(CH53/CH48,"")</f>
        <v>0.272200072490033</v>
      </c>
      <c r="CI57" s="40" t="n">
        <f aca="false">IFERROR(CI53/CI48,"")</f>
        <v>0.272692925285728</v>
      </c>
      <c r="CJ57" s="40" t="n">
        <f aca="false">IFERROR(CJ53/CJ48,"")</f>
        <v>0.279279279279279</v>
      </c>
      <c r="CK57" s="40" t="n">
        <f aca="false">IFERROR(CK53/CK48,"")</f>
        <v>0.278282122905028</v>
      </c>
      <c r="CL57" s="40" t="n">
        <f aca="false">IFERROR(CL53/CL48,"")</f>
        <v>0.278772832062423</v>
      </c>
      <c r="CM57" s="28" t="n">
        <f aca="false">CG57+$CL$57-$CF$57+CM102</f>
        <v>0.28159668436207</v>
      </c>
      <c r="CN57" s="28" t="n">
        <f aca="false">CH57+$CL$57-$CF$57+CN102</f>
        <v>0.253984387891083</v>
      </c>
      <c r="CO57" s="28" t="n">
        <f aca="false">IFERROR(CO53/CO48,"")</f>
        <v>0.273122829271347</v>
      </c>
      <c r="CP57" s="28" t="n">
        <f aca="false">CHOOSE(MATCH($CT$2,{"Bull","Base","Bear"},0),$DC$57,$DD$57,$DE$57)</f>
        <v>0.28</v>
      </c>
      <c r="CQ57" s="28" t="n">
        <f aca="false">CHOOSE(MATCH($CT$2,{"Bull","Base","Bear"},0),$DC$58,$DD$58,$DE$58)</f>
        <v>0.283</v>
      </c>
      <c r="CR57" s="28" t="n">
        <f aca="false">CHOOSE(MATCH($CT$2,{"Bull","Base","Bear"},0),$DC$59,$DD$59,$DE$59)</f>
        <v>0.286</v>
      </c>
      <c r="CS57" s="28" t="n">
        <f aca="false">CHOOSE(MATCH($CT$2,{"Bull","Base","Bear"},0),$DC$60,$DD$60,$DE$60)</f>
        <v>0.29</v>
      </c>
      <c r="CT57" s="23" t="s">
        <v>160</v>
      </c>
      <c r="CV57" s="41" t="n">
        <f aca="false">IFERROR(AVERAGE(CO57,CP57,CQ57,CR57,CS57),"n/m")</f>
        <v>0.282424565854269</v>
      </c>
      <c r="CW57" s="41" t="n">
        <f aca="false">IFERROR(AVERAGE(BK57,BQ57,BW57,CC57,CI57),"n/m")</f>
        <v>0.263812239108092</v>
      </c>
      <c r="CX57" s="41" t="n">
        <f aca="false">IFERROR(AVERAGE(AG57,AM57,AS57,AY57,BE57,BK57,BQ57,BW57,CC57,CI57),"n/m")</f>
        <v>0.242946122794804</v>
      </c>
      <c r="CY57" s="41" t="n">
        <f aca="false">IFERROR(AVERAGE(C57,D57,E57,F57,G57,H57,I57,O57,U57,AA57,AG57,AM57,AS57,AY57,BE57,BK57,BQ57,BW57,CC57,CI57),"n/m")</f>
        <v>0.242946122794804</v>
      </c>
      <c r="DB57" s="13" t="s">
        <v>130</v>
      </c>
      <c r="DC57" s="43" t="n">
        <f aca="false">DD57+$DC$56</f>
        <v>0.29</v>
      </c>
      <c r="DD57" s="36" t="n">
        <v>0.28</v>
      </c>
      <c r="DE57" s="43" t="n">
        <f aca="false">DD57+$DE$56</f>
        <v>0.26</v>
      </c>
    </row>
    <row r="58" customFormat="false" ht="15" hidden="false" customHeight="true" outlineLevel="0" collapsed="false">
      <c r="B58" s="26" t="s">
        <v>129</v>
      </c>
      <c r="C58" s="27"/>
      <c r="D58" s="27" t="str">
        <f aca="false">IFERROR(D50/C50-1,"")</f>
        <v/>
      </c>
      <c r="E58" s="27" t="str">
        <f aca="false">IFERROR(E50/D50-1,"")</f>
        <v/>
      </c>
      <c r="F58" s="27" t="n">
        <f aca="false">IFERROR(F50/E50-1,"")</f>
        <v>-0.125181950509461</v>
      </c>
      <c r="G58" s="27" t="n">
        <f aca="false">IFERROR(G50/F50-1,"")</f>
        <v>-0.0382695507487522</v>
      </c>
      <c r="H58" s="27" t="n">
        <f aca="false">IFERROR(H50/G50-1,"")</f>
        <v>0.512110726643599</v>
      </c>
      <c r="I58" s="27" t="n">
        <f aca="false">IFERROR(I50/H50-1,"")</f>
        <v>-0.0789473684210527</v>
      </c>
      <c r="J58" s="27"/>
      <c r="K58" s="27"/>
      <c r="L58" s="27"/>
      <c r="M58" s="27"/>
      <c r="N58" s="27"/>
      <c r="O58" s="27" t="n">
        <f aca="false">IFERROR(O50/I50-1,"")</f>
        <v>-0.183850931677019</v>
      </c>
      <c r="P58" s="27" t="n">
        <f aca="false">IFERROR(P50/J50-1,"")</f>
        <v>0.178217821782178</v>
      </c>
      <c r="Q58" s="27" t="n">
        <f aca="false">IFERROR(Q50/K50-1,"")</f>
        <v>0.111650485436893</v>
      </c>
      <c r="R58" s="27" t="n">
        <f aca="false">IFERROR(R50/L50-1,"")</f>
        <v>0.144607843137255</v>
      </c>
      <c r="S58" s="27" t="n">
        <f aca="false">IFERROR(S50/M50-1,"")</f>
        <v>1.32258064516129</v>
      </c>
      <c r="T58" s="27" t="n">
        <f aca="false">IFERROR(T50/N50-1,"")</f>
        <v>0.282051282051282</v>
      </c>
      <c r="U58" s="27" t="n">
        <f aca="false">IFERROR(U50/O50-1,"")</f>
        <v>0.343987823439878</v>
      </c>
      <c r="V58" s="27" t="n">
        <f aca="false">IFERROR(V50/P50-1,"")</f>
        <v>-0.184873949579832</v>
      </c>
      <c r="W58" s="27" t="n">
        <f aca="false">IFERROR(W50/Q50-1,"")</f>
        <v>-0.100436681222707</v>
      </c>
      <c r="X58" s="27" t="n">
        <f aca="false">IFERROR(X50/R50-1,"")</f>
        <v>-0.143468950749465</v>
      </c>
      <c r="Y58" s="27" t="n">
        <f aca="false">IFERROR(Y50/S50-1,"")</f>
        <v>0.0879629629629628</v>
      </c>
      <c r="Z58" s="27" t="n">
        <f aca="false">IFERROR(Z50/T50-1,"")</f>
        <v>0.065</v>
      </c>
      <c r="AA58" s="27" t="n">
        <f aca="false">IFERROR(AA50/U50-1,"")</f>
        <v>-0.0396375990939978</v>
      </c>
      <c r="AB58" s="27" t="n">
        <f aca="false">IFERROR(AB50/V50-1,"")</f>
        <v>0.242268041237114</v>
      </c>
      <c r="AC58" s="27" t="n">
        <f aca="false">IFERROR(AC50/W50-1,"")</f>
        <v>0.359223300970874</v>
      </c>
      <c r="AD58" s="27" t="n">
        <f aca="false">IFERROR(AD50/X50-1,"")</f>
        <v>0.3025</v>
      </c>
      <c r="AE58" s="27" t="n">
        <f aca="false">IFERROR(AE50/Y50-1,"")</f>
        <v>0.340425531914894</v>
      </c>
      <c r="AF58" s="27" t="n">
        <f aca="false">IFERROR(AF50/Z50-1,"")</f>
        <v>0.338028169014085</v>
      </c>
      <c r="AG58" s="27" t="n">
        <f aca="false">IFERROR(AG50/AA50-1,"")</f>
        <v>0.321933962264151</v>
      </c>
      <c r="AH58" s="27" t="n">
        <f aca="false">IFERROR(AH50/AB50-1,"")</f>
        <v>0.0290456431535269</v>
      </c>
      <c r="AI58" s="27" t="n">
        <f aca="false">IFERROR(AI50/AC50-1,"")</f>
        <v>0.0428571428571429</v>
      </c>
      <c r="AJ58" s="27" t="n">
        <f aca="false">IFERROR(AJ50/AD50-1,"")</f>
        <v>0.0364683301343569</v>
      </c>
      <c r="AK58" s="27" t="n">
        <f aca="false">IFERROR(AK50/AE50-1,"")</f>
        <v>-0.104761904761905</v>
      </c>
      <c r="AL58" s="27" t="n">
        <f aca="false">IFERROR(AL50/AF50-1,"")</f>
        <v>0.196491228070175</v>
      </c>
      <c r="AM58" s="27" t="n">
        <f aca="false">IFERROR(AM50/AG50-1,"")</f>
        <v>0.00802854594112401</v>
      </c>
      <c r="AN58" s="27" t="n">
        <f aca="false">IFERROR(AN50/AH50-1,"")</f>
        <v>0.241935483870968</v>
      </c>
      <c r="AO58" s="27" t="n">
        <f aca="false">IFERROR(AO50/AI50-1,"")</f>
        <v>0.116438356164384</v>
      </c>
      <c r="AP58" s="27" t="n">
        <f aca="false">IFERROR(AP50/AJ50-1,"")</f>
        <v>0.174074074074074</v>
      </c>
      <c r="AQ58" s="27" t="n">
        <f aca="false">IFERROR(AQ50/AK50-1,"")</f>
        <v>0.170212765957447</v>
      </c>
      <c r="AR58" s="27" t="n">
        <f aca="false">IFERROR(AR50/AL50-1,"")</f>
        <v>0.0381231671554252</v>
      </c>
      <c r="AS58" s="27" t="n">
        <f aca="false">IFERROR(AS50/AM50-1,"")</f>
        <v>0.166371681415929</v>
      </c>
      <c r="AT58" s="27" t="n">
        <f aca="false">IFERROR(AT50/AN50-1,"")</f>
        <v>0.0551948051948052</v>
      </c>
      <c r="AU58" s="27" t="n">
        <f aca="false">IFERROR(AU50/AO50-1,"")</f>
        <v>0.184049079754601</v>
      </c>
      <c r="AV58" s="27" t="n">
        <f aca="false">IFERROR(AV50/AP50-1,"")</f>
        <v>0.121451104100946</v>
      </c>
      <c r="AW58" s="27" t="n">
        <f aca="false">IFERROR(AW50/AQ50-1,"")</f>
        <v>0.196969696969697</v>
      </c>
      <c r="AX58" s="27" t="n">
        <f aca="false">IFERROR(AX50/AR50-1,"")</f>
        <v>-0.0734463276836158</v>
      </c>
      <c r="AY58" s="27" t="n">
        <f aca="false">IFERROR(AY50/AS50-1,"")</f>
        <v>0.0880121396054627</v>
      </c>
      <c r="AZ58" s="27" t="n">
        <f aca="false">IFERROR(AZ50/AT50-1,"")</f>
        <v>-0.587692307692308</v>
      </c>
      <c r="BA58" s="27" t="n">
        <f aca="false">IFERROR(BA50/AU50-1,"")</f>
        <v>-0.546632124352332</v>
      </c>
      <c r="BB58" s="27" t="n">
        <f aca="false">IFERROR(BB50/AV50-1,"")</f>
        <v>-0.565400843881857</v>
      </c>
      <c r="BC58" s="27" t="n">
        <f aca="false">IFERROR(BC50/AW50-1,"")</f>
        <v>-0.324050632911392</v>
      </c>
      <c r="BD58" s="27" t="n">
        <f aca="false">IFERROR(BD50/AX50-1,"")</f>
        <v>-0.292682926829268</v>
      </c>
      <c r="BE58" s="27" t="n">
        <f aca="false">IFERROR(BE50/AY50-1,"")</f>
        <v>-0.436541143654114</v>
      </c>
      <c r="BF58" s="27" t="n">
        <f aca="false">IFERROR(BF50/AZ50-1,"")</f>
        <v>1.11194029850746</v>
      </c>
      <c r="BG58" s="27" t="n">
        <f aca="false">IFERROR(BG50/BA50-1,"")</f>
        <v>0.622857142857143</v>
      </c>
      <c r="BH58" s="27" t="n">
        <f aca="false">IFERROR(BH50/BB50-1,"")</f>
        <v>0.83495145631068</v>
      </c>
      <c r="BI58" s="27" t="n">
        <f aca="false">IFERROR(BI50/BC50-1,"")</f>
        <v>0.344569288389513</v>
      </c>
      <c r="BJ58" s="27" t="n">
        <f aca="false">IFERROR(BJ50/BD50-1,"")</f>
        <v>0.75</v>
      </c>
      <c r="BK58" s="27" t="n">
        <f aca="false">IFERROR(BK50/BE50-1,"")</f>
        <v>0.648514851485148</v>
      </c>
      <c r="BL58" s="27" t="n">
        <f aca="false">IFERROR(BL50/BF50-1,"")</f>
        <v>0.515901060070671</v>
      </c>
      <c r="BM58" s="27" t="n">
        <f aca="false">IFERROR(BM50/BG50-1,"")</f>
        <v>0.552816901408451</v>
      </c>
      <c r="BN58" s="27" t="n">
        <f aca="false">IFERROR(BN50/BH50-1,"")</f>
        <v>0.534391534391534</v>
      </c>
      <c r="BO58" s="27" t="n">
        <f aca="false">IFERROR(BO50/BI50-1,"")</f>
        <v>0.233983286908078</v>
      </c>
      <c r="BP58" s="27" t="n">
        <f aca="false">IFERROR(BP50/BJ50-1,"")</f>
        <v>0.300492610837438</v>
      </c>
      <c r="BQ58" s="27" t="n">
        <f aca="false">IFERROR(BQ50/BK50-1,"")</f>
        <v>0.382132132132132</v>
      </c>
      <c r="BR58" s="27" t="n">
        <f aca="false">IFERROR(BR50/BL50-1,"")</f>
        <v>0.0955710955710956</v>
      </c>
      <c r="BS58" s="27" t="n">
        <f aca="false">IFERROR(BS50/BM50-1,"")</f>
        <v>0.206349206349206</v>
      </c>
      <c r="BT58" s="27" t="n">
        <f aca="false">IFERROR(BT50/BN50-1,"")</f>
        <v>0.151724137931035</v>
      </c>
      <c r="BU58" s="27" t="n">
        <f aca="false">IFERROR(BU50/BO50-1,"")</f>
        <v>0.115124153498871</v>
      </c>
      <c r="BV58" s="27" t="n">
        <f aca="false">IFERROR(BV50/BP50-1,"")</f>
        <v>-0.053030303030303</v>
      </c>
      <c r="BW58" s="27" t="n">
        <f aca="false">IFERROR(BW50/BQ50-1,"")</f>
        <v>0.0841933731667572</v>
      </c>
      <c r="BX58" s="27" t="n">
        <f aca="false">IFERROR(BX50/BR50-1,"")</f>
        <v>0.104255319148936</v>
      </c>
      <c r="BY58" s="27" t="n">
        <f aca="false">IFERROR(BY50/BS50-1,"")</f>
        <v>0.0733082706766917</v>
      </c>
      <c r="BZ58" s="27" t="n">
        <f aca="false">IFERROR(BZ50/BT50-1,"")</f>
        <v>0.0878243512974051</v>
      </c>
      <c r="CA58" s="27" t="n">
        <f aca="false">IFERROR(CA50/BU50-1,"")</f>
        <v>0.139676113360324</v>
      </c>
      <c r="CB58" s="27" t="n">
        <f aca="false">IFERROR(CB50/BV50-1,"")</f>
        <v>0.128</v>
      </c>
      <c r="CC58" s="27" t="n">
        <f aca="false">IFERROR(CC50/BW50-1,"")</f>
        <v>0.110721442885771</v>
      </c>
      <c r="CD58" s="27" t="n">
        <f aca="false">IFERROR(CD50/BX50-1,"")</f>
        <v>0.0732177263969172</v>
      </c>
      <c r="CE58" s="27" t="n">
        <f aca="false">IFERROR(CE50/BY50-1,"")</f>
        <v>0.166374781085814</v>
      </c>
      <c r="CF58" s="27" t="n">
        <f aca="false">IFERROR(CF50/BZ50-1,"")</f>
        <v>0.122018348623853</v>
      </c>
      <c r="CG58" s="27" t="n">
        <f aca="false">IFERROR(CG50/CA50-1,"")</f>
        <v>0.25044404973357</v>
      </c>
      <c r="CH58" s="27" t="n">
        <f aca="false">IFERROR(CH50/CB50-1,"")</f>
        <v>0.230496453900709</v>
      </c>
      <c r="CI58" s="27" t="n">
        <f aca="false">IFERROR(CI50/CC50-1,"")</f>
        <v>0.182228236355436</v>
      </c>
      <c r="CJ58" s="27" t="n">
        <f aca="false">IFERROR(CJ50/CD50-1,"")</f>
        <v>0.281867145421903</v>
      </c>
      <c r="CK58" s="27" t="n">
        <f aca="false">IFERROR(CK50/CE50-1,"")</f>
        <v>0.118618618618619</v>
      </c>
      <c r="CL58" s="27" t="n">
        <f aca="false">IFERROR(CL50/CF50-1,"")</f>
        <v>0.192968111201963</v>
      </c>
      <c r="CM58" s="28" t="n">
        <f aca="false">IFERROR(CM50/CG50-1,"")</f>
        <v>0.112469294475263</v>
      </c>
      <c r="CN58" s="28" t="n">
        <f aca="false">IFERROR(CN50/CH50-1,"")</f>
        <v>0.0115274586350591</v>
      </c>
      <c r="CO58" s="28" t="n">
        <f aca="false">IFERROR(CO50/CI50-1,"")</f>
        <v>0.12330348706727</v>
      </c>
      <c r="CP58" s="28" t="n">
        <f aca="false">IFERROR(CP50/CO50-1,"")</f>
        <v>0.0981075256030874</v>
      </c>
      <c r="CQ58" s="28" t="n">
        <f aca="false">IFERROR(CQ50/CP50-1,"")</f>
        <v>0.0715165255019812</v>
      </c>
      <c r="CR58" s="28" t="n">
        <f aca="false">IFERROR(CR50/CQ50-1,"")</f>
        <v>0.0774029722789431</v>
      </c>
      <c r="CS58" s="28" t="n">
        <f aca="false">IFERROR(CS50/CR50-1,"")</f>
        <v>0.0745123711839184</v>
      </c>
      <c r="CT58" s="23"/>
      <c r="CV58" s="7"/>
      <c r="CW58" s="7"/>
      <c r="CX58" s="7"/>
      <c r="CY58" s="7"/>
      <c r="DB58" s="13" t="s">
        <v>132</v>
      </c>
      <c r="DC58" s="43" t="n">
        <f aca="false">DD58+$DC$56</f>
        <v>0.293</v>
      </c>
      <c r="DD58" s="36" t="n">
        <v>0.283</v>
      </c>
      <c r="DE58" s="43" t="n">
        <f aca="false">DD58+$DE$56</f>
        <v>0.263</v>
      </c>
    </row>
    <row r="59" customFormat="false" ht="15" hidden="false" customHeight="true" outlineLevel="0" collapsed="false">
      <c r="B59" s="26" t="s">
        <v>131</v>
      </c>
      <c r="C59" s="40"/>
      <c r="D59" s="40" t="str">
        <f aca="false">IFERROR((D53-C53)/(D48-C48),"")</f>
        <v/>
      </c>
      <c r="E59" s="40" t="str">
        <f aca="false">IFERROR((E53-D53)/(E48-D48),"")</f>
        <v/>
      </c>
      <c r="F59" s="40" t="str">
        <f aca="false">IFERROR((F53-E53)/(F48-E48),"")</f>
        <v/>
      </c>
      <c r="G59" s="40" t="str">
        <f aca="false">IFERROR((G53-F53)/(G48-F48),"")</f>
        <v/>
      </c>
      <c r="H59" s="40" t="str">
        <f aca="false">IFERROR((H53-G53)/(H48-G48),"")</f>
        <v/>
      </c>
      <c r="I59" s="40" t="str">
        <f aca="false">IFERROR((I53-H53)/(I48-H48),"")</f>
        <v/>
      </c>
      <c r="J59" s="40"/>
      <c r="K59" s="40"/>
      <c r="L59" s="40"/>
      <c r="M59" s="40"/>
      <c r="N59" s="40"/>
      <c r="O59" s="40" t="str">
        <f aca="false">IFERROR((O53-I53)/(O48-I48),"")</f>
        <v/>
      </c>
      <c r="P59" s="40" t="str">
        <f aca="false">IFERROR((P53-J53)/(P48-J48),"")</f>
        <v/>
      </c>
      <c r="Q59" s="40" t="str">
        <f aca="false">IFERROR((Q53-K53)/(Q48-K48),"")</f>
        <v/>
      </c>
      <c r="R59" s="40" t="str">
        <f aca="false">IFERROR((R53-L53)/(R48-L48),"")</f>
        <v/>
      </c>
      <c r="S59" s="40" t="str">
        <f aca="false">IFERROR((S53-M53)/(S48-M48),"")</f>
        <v/>
      </c>
      <c r="T59" s="40" t="str">
        <f aca="false">IFERROR((T53-N53)/(T48-N48),"")</f>
        <v/>
      </c>
      <c r="U59" s="40" t="str">
        <f aca="false">IFERROR((U53-O53)/(U48-O48),"")</f>
        <v/>
      </c>
      <c r="V59" s="40" t="str">
        <f aca="false">IFERROR((V53-P53)/(V48-P48),"")</f>
        <v/>
      </c>
      <c r="W59" s="40" t="str">
        <f aca="false">IFERROR((W53-Q53)/(W48-Q48),"")</f>
        <v/>
      </c>
      <c r="X59" s="40" t="str">
        <f aca="false">IFERROR((X53-R53)/(X48-R48),"")</f>
        <v/>
      </c>
      <c r="Y59" s="40" t="str">
        <f aca="false">IFERROR((Y53-S53)/(Y48-S48),"")</f>
        <v/>
      </c>
      <c r="Z59" s="40" t="str">
        <f aca="false">IFERROR((Z53-T53)/(Z48-T48),"")</f>
        <v/>
      </c>
      <c r="AA59" s="40" t="str">
        <f aca="false">IFERROR((AA53-U53)/(AA48-U48),"")</f>
        <v/>
      </c>
      <c r="AB59" s="40" t="str">
        <f aca="false">IFERROR((AB53-V53)/(AB48-V48),"")</f>
        <v/>
      </c>
      <c r="AC59" s="40" t="str">
        <f aca="false">IFERROR((AC53-W53)/(AC48-W48),"")</f>
        <v/>
      </c>
      <c r="AD59" s="40" t="str">
        <f aca="false">IFERROR((AD53-X53)/(AD48-X48),"")</f>
        <v/>
      </c>
      <c r="AE59" s="40" t="str">
        <f aca="false">IFERROR((AE53-Y53)/(AE48-Y48),"")</f>
        <v/>
      </c>
      <c r="AF59" s="40" t="str">
        <f aca="false">IFERROR((AF53-Z53)/(AF48-Z48),"")</f>
        <v/>
      </c>
      <c r="AG59" s="40" t="str">
        <f aca="false">IFERROR((AG53-AA53)/(AG48-AA48),"")</f>
        <v/>
      </c>
      <c r="AH59" s="40" t="str">
        <f aca="false">IFERROR((AH53-AB53)/(AH48-AB48),"")</f>
        <v/>
      </c>
      <c r="AI59" s="40" t="str">
        <f aca="false">IFERROR((AI53-AC53)/(AI48-AC48),"")</f>
        <v/>
      </c>
      <c r="AJ59" s="40" t="str">
        <f aca="false">IFERROR((AJ53-AD53)/(AJ48-AD48),"")</f>
        <v/>
      </c>
      <c r="AK59" s="40" t="str">
        <f aca="false">IFERROR((AK53-AE53)/(AK48-AE48),"")</f>
        <v/>
      </c>
      <c r="AL59" s="40" t="str">
        <f aca="false">IFERROR((AL53-AF53)/(AL48-AF48),"")</f>
        <v/>
      </c>
      <c r="AM59" s="40" t="str">
        <f aca="false">IFERROR((AM53-AG53)/(AM48-AG48),"")</f>
        <v/>
      </c>
      <c r="AN59" s="40" t="str">
        <f aca="false">IFERROR((AN53-AH53)/(AN48-AH48),"")</f>
        <v/>
      </c>
      <c r="AO59" s="40" t="str">
        <f aca="false">IFERROR((AO53-AI53)/(AO48-AI48),"")</f>
        <v/>
      </c>
      <c r="AP59" s="40" t="str">
        <f aca="false">IFERROR((AP53-AJ53)/(AP48-AJ48),"")</f>
        <v/>
      </c>
      <c r="AQ59" s="40" t="str">
        <f aca="false">IFERROR((AQ53-AK53)/(AQ48-AK48),"")</f>
        <v/>
      </c>
      <c r="AR59" s="40" t="str">
        <f aca="false">IFERROR((AR53-AL53)/(AR48-AL48),"")</f>
        <v/>
      </c>
      <c r="AS59" s="40" t="str">
        <f aca="false">IFERROR((AS53-AM53)/(AS48-AM48),"")</f>
        <v/>
      </c>
      <c r="AT59" s="40" t="str">
        <f aca="false">IFERROR((AT53-AN53)/(AT48-AN48),"")</f>
        <v/>
      </c>
      <c r="AU59" s="40" t="str">
        <f aca="false">IFERROR((AU53-AO53)/(AU48-AO48),"")</f>
        <v/>
      </c>
      <c r="AV59" s="40" t="str">
        <f aca="false">IFERROR((AV53-AP53)/(AV48-AP48),"")</f>
        <v/>
      </c>
      <c r="AW59" s="40" t="str">
        <f aca="false">IFERROR((AW53-AQ53)/(AW48-AQ48),"")</f>
        <v/>
      </c>
      <c r="AX59" s="40" t="str">
        <f aca="false">IFERROR((AX53-AR53)/(AX48-AR48),"")</f>
        <v/>
      </c>
      <c r="AY59" s="40" t="str">
        <f aca="false">IFERROR((AY53-AS53)/(AY48-AS48),"")</f>
        <v/>
      </c>
      <c r="AZ59" s="40" t="str">
        <f aca="false">IFERROR((AZ53-AT53)/(AZ48-AT48),"")</f>
        <v/>
      </c>
      <c r="BA59" s="40" t="str">
        <f aca="false">IFERROR((BA53-AU53)/(BA48-AU48),"")</f>
        <v/>
      </c>
      <c r="BB59" s="40" t="str">
        <f aca="false">IFERROR((BB53-AV53)/(BB48-AV48),"")</f>
        <v/>
      </c>
      <c r="BC59" s="40" t="str">
        <f aca="false">IFERROR((BC53-AW53)/(BC48-AW48),"")</f>
        <v/>
      </c>
      <c r="BD59" s="40" t="str">
        <f aca="false">IFERROR((BD53-AX53)/(BD48-AX48),"")</f>
        <v/>
      </c>
      <c r="BE59" s="40" t="str">
        <f aca="false">IFERROR((BE53-AY53)/(BE48-AY48),"")</f>
        <v/>
      </c>
      <c r="BF59" s="40" t="n">
        <f aca="false">IFERROR((BF53-AZ53)/(BF48-AZ48),"")</f>
        <v>-2.92156862745097</v>
      </c>
      <c r="BG59" s="40" t="n">
        <f aca="false">IFERROR((BG53-BA53)/(BG48-BA48),"")</f>
        <v>1.17204301075269</v>
      </c>
      <c r="BH59" s="40" t="n">
        <f aca="false">IFERROR((BH53-BB53)/(BH48-BB48),"")</f>
        <v>6.14285714285708</v>
      </c>
      <c r="BI59" s="40" t="n">
        <f aca="false">IFERROR((BI53-BC53)/(BI48-BC48),"")</f>
        <v>0.535294117647059</v>
      </c>
      <c r="BJ59" s="40" t="n">
        <f aca="false">IFERROR((BJ53-BD53)/(BJ48-BD48),"")</f>
        <v>0.961325966850828</v>
      </c>
      <c r="BK59" s="40" t="n">
        <f aca="false">IFERROR((BK53-BE53)/(BK48-BE48),"")</f>
        <v>1.33078880407124</v>
      </c>
      <c r="BL59" s="40" t="n">
        <f aca="false">IFERROR((BL53-BF53)/(BL48-BF48),"")</f>
        <v>0.973333333333333</v>
      </c>
      <c r="BM59" s="40" t="n">
        <f aca="false">IFERROR((BM53-BG53)/(BM48-BG48),"")</f>
        <v>0.957317073170732</v>
      </c>
      <c r="BN59" s="40" t="n">
        <f aca="false">IFERROR((BN53-BH53)/(BN48-BH48),"")</f>
        <v>0.964968152866243</v>
      </c>
      <c r="BO59" s="40" t="n">
        <f aca="false">IFERROR((BO53-BI53)/(BO48-BI48),"")</f>
        <v>1.09090909090909</v>
      </c>
      <c r="BP59" s="40" t="n">
        <f aca="false">IFERROR((BP53-BJ53)/(BP48-BJ48),"")</f>
        <v>0.835616438356164</v>
      </c>
      <c r="BQ59" s="40" t="n">
        <f aca="false">IFERROR((BQ53-BK53)/(BQ48-BK48),"")</f>
        <v>0.947858472998139</v>
      </c>
      <c r="BR59" s="40" t="n">
        <f aca="false">IFERROR((BR53-BL53)/(BR48-BL48),"")</f>
        <v>0.585714285714286</v>
      </c>
      <c r="BS59" s="40" t="n">
        <f aca="false">IFERROR((BS53-BM53)/(BS48-BM48),"")</f>
        <v>0.529069767441861</v>
      </c>
      <c r="BT59" s="40" t="n">
        <f aca="false">IFERROR((BT53-BN53)/(BT48-BN48),"")</f>
        <v>0.545454545454546</v>
      </c>
      <c r="BU59" s="40" t="n">
        <f aca="false">IFERROR((BU53-BO53)/(BU48-BO48),"")</f>
        <v>0.369565217391304</v>
      </c>
      <c r="BV59" s="40" t="n">
        <f aca="false">IFERROR((BV53-BP53)/(BV48-BP48),"")</f>
        <v>-0.459016393442623</v>
      </c>
      <c r="BW59" s="40" t="n">
        <f aca="false">IFERROR((BW53-BQ53)/(BW48-BQ48),"")</f>
        <v>0.351473922902494</v>
      </c>
      <c r="BX59" s="40" t="n">
        <f aca="false">IFERROR((BX53-BR53)/(BX48-BR48),"")</f>
        <v>0.392</v>
      </c>
      <c r="BY59" s="40" t="n">
        <f aca="false">IFERROR((BY53-BS53)/(BY48-BS48),"")</f>
        <v>0.464285714285714</v>
      </c>
      <c r="BZ59" s="40" t="n">
        <f aca="false">IFERROR((BZ53-BT53)/(BZ48-BT48),"")</f>
        <v>0.421052631578947</v>
      </c>
      <c r="CA59" s="40" t="n">
        <f aca="false">IFERROR((CA53-BU53)/(CA48-BU48),"")</f>
        <v>0.40828402366864</v>
      </c>
      <c r="CB59" s="40" t="n">
        <f aca="false">IFERROR((CB53-BV53)/(CB48-BV48),"")</f>
        <v>0.512</v>
      </c>
      <c r="CC59" s="40" t="n">
        <f aca="false">IFERROR((CC53-BW53)/(CC48-BW48),"")</f>
        <v>0.439363817097416</v>
      </c>
      <c r="CD59" s="40" t="n">
        <f aca="false">IFERROR((CD53-BX53)/(CD48-BX48),"")</f>
        <v>0.190140845070422</v>
      </c>
      <c r="CE59" s="40" t="n">
        <f aca="false">IFERROR((CE53-BY53)/(CE48-BY48),"")</f>
        <v>0.228693181818182</v>
      </c>
      <c r="CF59" s="40" t="n">
        <f aca="false">IFERROR((CF53-BZ53)/(CF48-BZ48),"")</f>
        <v>0.211477987421384</v>
      </c>
      <c r="CG59" s="40" t="n">
        <f aca="false">IFERROR((CG53-CA53)/(CG48-CA48),"")</f>
        <v>0.276228419654715</v>
      </c>
      <c r="CH59" s="40" t="n">
        <f aca="false">IFERROR((CH53-CB53)/(CH48-CB48),"")</f>
        <v>0.232997481108313</v>
      </c>
      <c r="CI59" s="40" t="n">
        <f aca="false">IFERROR((CI53-CC53)/(CI48-CC48),"")</f>
        <v>0.234835047889322</v>
      </c>
      <c r="CJ59" s="40" t="n">
        <f aca="false">IFERROR((CJ53-CD53)/(CJ48-CD48),"")</f>
        <v>0.417142857142857</v>
      </c>
      <c r="CK59" s="40" t="n">
        <f aca="false">IFERROR((CK53-CE53)/(CK48-CE48),"")</f>
        <v>0.291666666666668</v>
      </c>
      <c r="CL59" s="40" t="n">
        <f aca="false">IFERROR((CL53-CF53)/(CL48-CF48),"")</f>
        <v>0.369257950530036</v>
      </c>
      <c r="CM59" s="28" t="n">
        <f aca="false">IFERROR((CM53-CG53)/(CM48-CG48),"")</f>
        <v>0.294051136915582</v>
      </c>
      <c r="CN59" s="28" t="n">
        <f aca="false">IFERROR((CN53-CH53)/(CN48-CH48),"")</f>
        <v>0.0306735878076592</v>
      </c>
      <c r="CO59" s="28" t="n">
        <f aca="false">IFERROR((CO53-CI53)/(CO48-CI48),"")</f>
        <v>0.277603506579012</v>
      </c>
      <c r="CP59" s="28" t="n">
        <f aca="false">IFERROR((CP53-CO53)/(CP48-CO48),"")</f>
        <v>0.394619512144222</v>
      </c>
      <c r="CQ59" s="28" t="n">
        <f aca="false">IFERROR((CQ53-CP53)/(CQ48-CP48),"")</f>
        <v>0.337545454545453</v>
      </c>
      <c r="CR59" s="28" t="n">
        <f aca="false">IFERROR((CR53-CQ53)/(CR48-CQ48),"")</f>
        <v>0.346</v>
      </c>
      <c r="CS59" s="28" t="n">
        <f aca="false">IFERROR((CS53-CR53)/(CS48-CR48),"")</f>
        <v>0.37</v>
      </c>
      <c r="CT59" s="23"/>
      <c r="CV59" s="7"/>
      <c r="CW59" s="7"/>
      <c r="CX59" s="7"/>
      <c r="CY59" s="7"/>
      <c r="DB59" s="13" t="s">
        <v>134</v>
      </c>
      <c r="DC59" s="43" t="n">
        <f aca="false">DD59+$DC$56</f>
        <v>0.296</v>
      </c>
      <c r="DD59" s="36" t="n">
        <v>0.286</v>
      </c>
      <c r="DE59" s="43" t="n">
        <f aca="false">DD59+$DE$56</f>
        <v>0.266</v>
      </c>
    </row>
    <row r="60" customFormat="false" ht="15" hidden="false" customHeight="true" outlineLevel="0" collapsed="false">
      <c r="B60" s="37" t="s">
        <v>161</v>
      </c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2"/>
      <c r="CN60" s="32"/>
      <c r="CO60" s="32"/>
      <c r="CP60" s="32"/>
      <c r="CQ60" s="32"/>
      <c r="CR60" s="32"/>
      <c r="CS60" s="32"/>
      <c r="CT60" s="23"/>
      <c r="CV60" s="7"/>
      <c r="CW60" s="7"/>
      <c r="CX60" s="7"/>
      <c r="CY60" s="7"/>
      <c r="DB60" s="13" t="s">
        <v>136</v>
      </c>
      <c r="DC60" s="43" t="n">
        <f aca="false">DD60+$DC$56</f>
        <v>0.3</v>
      </c>
      <c r="DD60" s="36" t="n">
        <v>0.29</v>
      </c>
      <c r="DE60" s="43" t="n">
        <f aca="false">DD60+$DE$56</f>
        <v>0.27</v>
      </c>
    </row>
    <row r="61" customFormat="false" ht="15" hidden="false" customHeight="true" outlineLevel="0" collapsed="false">
      <c r="B61" s="37" t="s">
        <v>162</v>
      </c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  <c r="BU61" s="30"/>
      <c r="BV61" s="30"/>
      <c r="BW61" s="30"/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0"/>
      <c r="CI61" s="30"/>
      <c r="CJ61" s="30"/>
      <c r="CK61" s="30"/>
      <c r="CL61" s="30"/>
      <c r="CM61" s="32"/>
      <c r="CN61" s="32"/>
      <c r="CO61" s="32"/>
      <c r="CP61" s="32"/>
      <c r="CQ61" s="32"/>
      <c r="CR61" s="32"/>
      <c r="CS61" s="32"/>
      <c r="CT61" s="23"/>
      <c r="CV61" s="7"/>
      <c r="CW61" s="7"/>
      <c r="CX61" s="7"/>
      <c r="CY61" s="7"/>
    </row>
    <row r="62" customFormat="false" ht="15" hidden="false" customHeight="true" outlineLevel="0" collapsed="false">
      <c r="B62" s="13" t="s">
        <v>133</v>
      </c>
      <c r="C62" s="30"/>
      <c r="D62" s="30"/>
      <c r="E62" s="31" t="n">
        <v>15.5</v>
      </c>
      <c r="F62" s="31" t="n">
        <v>14</v>
      </c>
      <c r="G62" s="31" t="n">
        <v>16</v>
      </c>
      <c r="H62" s="31" t="n">
        <v>15.8</v>
      </c>
      <c r="I62" s="31" t="n">
        <v>17.1</v>
      </c>
      <c r="J62" s="30"/>
      <c r="K62" s="30"/>
      <c r="L62" s="30"/>
      <c r="M62" s="30"/>
      <c r="N62" s="30"/>
      <c r="O62" s="31" t="n">
        <v>16.5</v>
      </c>
      <c r="P62" s="30"/>
      <c r="Q62" s="30"/>
      <c r="R62" s="30"/>
      <c r="S62" s="30"/>
      <c r="T62" s="30"/>
      <c r="U62" s="31" t="n">
        <v>15.9</v>
      </c>
      <c r="V62" s="30"/>
      <c r="W62" s="30"/>
      <c r="X62" s="30"/>
      <c r="Y62" s="30"/>
      <c r="Z62" s="30"/>
      <c r="AA62" s="31" t="n">
        <v>15</v>
      </c>
      <c r="AB62" s="30"/>
      <c r="AC62" s="30"/>
      <c r="AD62" s="30"/>
      <c r="AE62" s="30"/>
      <c r="AF62" s="30"/>
      <c r="AG62" s="31" t="n">
        <v>14.4</v>
      </c>
      <c r="AH62" s="30"/>
      <c r="AI62" s="30"/>
      <c r="AJ62" s="30"/>
      <c r="AK62" s="30"/>
      <c r="AL62" s="30"/>
      <c r="AM62" s="31" t="n">
        <v>14</v>
      </c>
      <c r="AN62" s="30"/>
      <c r="AO62" s="30"/>
      <c r="AP62" s="30"/>
      <c r="AQ62" s="30"/>
      <c r="AR62" s="30"/>
      <c r="AS62" s="31" t="n">
        <v>13.8</v>
      </c>
      <c r="AT62" s="30"/>
      <c r="AU62" s="30"/>
      <c r="AV62" s="30"/>
      <c r="AW62" s="30"/>
      <c r="AX62" s="30"/>
      <c r="AY62" s="31" t="n">
        <v>14.3</v>
      </c>
      <c r="AZ62" s="30"/>
      <c r="BA62" s="30"/>
      <c r="BB62" s="30"/>
      <c r="BC62" s="30"/>
      <c r="BD62" s="30"/>
      <c r="BE62" s="31" t="n">
        <v>13.7</v>
      </c>
      <c r="BF62" s="30"/>
      <c r="BG62" s="30"/>
      <c r="BH62" s="30"/>
      <c r="BI62" s="30"/>
      <c r="BJ62" s="30"/>
      <c r="BK62" s="31" t="n">
        <v>13.2</v>
      </c>
      <c r="BL62" s="30"/>
      <c r="BM62" s="30"/>
      <c r="BN62" s="30"/>
      <c r="BO62" s="30"/>
      <c r="BP62" s="30"/>
      <c r="BQ62" s="31" t="n">
        <v>12.4</v>
      </c>
      <c r="BR62" s="30"/>
      <c r="BS62" s="30"/>
      <c r="BT62" s="30"/>
      <c r="BU62" s="30"/>
      <c r="BV62" s="30"/>
      <c r="BW62" s="31" t="n">
        <v>11.5</v>
      </c>
      <c r="BX62" s="30"/>
      <c r="BY62" s="30"/>
      <c r="BZ62" s="30"/>
      <c r="CA62" s="30"/>
      <c r="CB62" s="30"/>
      <c r="CC62" s="31" t="n">
        <v>10.5</v>
      </c>
      <c r="CD62" s="30"/>
      <c r="CE62" s="30"/>
      <c r="CF62" s="30"/>
      <c r="CG62" s="30"/>
      <c r="CH62" s="30"/>
      <c r="CI62" s="31" t="n">
        <v>35.9</v>
      </c>
      <c r="CJ62" s="30"/>
      <c r="CK62" s="30"/>
      <c r="CL62" s="30"/>
      <c r="CM62" s="32"/>
      <c r="CN62" s="32"/>
      <c r="CO62" s="32"/>
      <c r="CP62" s="32"/>
      <c r="CQ62" s="32"/>
      <c r="CR62" s="32"/>
      <c r="CS62" s="32"/>
      <c r="CT62" s="23"/>
      <c r="CV62" s="7"/>
      <c r="CW62" s="7"/>
      <c r="CX62" s="7"/>
      <c r="CY62" s="7"/>
      <c r="DB62" s="18" t="s">
        <v>163</v>
      </c>
      <c r="DC62" s="42" t="n">
        <v>0.01</v>
      </c>
      <c r="DD62" s="25" t="s">
        <v>127</v>
      </c>
      <c r="DE62" s="42" t="n">
        <v>-0.02</v>
      </c>
      <c r="DF62" s="16" t="s">
        <v>164</v>
      </c>
    </row>
    <row r="63" customFormat="false" ht="15" hidden="false" customHeight="true" outlineLevel="0" collapsed="false">
      <c r="B63" s="13" t="s">
        <v>135</v>
      </c>
      <c r="C63" s="30"/>
      <c r="D63" s="30"/>
      <c r="E63" s="31" t="n">
        <v>14.5</v>
      </c>
      <c r="F63" s="31" t="n">
        <v>8.4</v>
      </c>
      <c r="G63" s="31" t="n">
        <v>9.7</v>
      </c>
      <c r="H63" s="31" t="n">
        <v>12.5</v>
      </c>
      <c r="I63" s="31" t="n">
        <v>12.6</v>
      </c>
      <c r="J63" s="30"/>
      <c r="K63" s="30"/>
      <c r="L63" s="30"/>
      <c r="M63" s="30"/>
      <c r="N63" s="30"/>
      <c r="O63" s="31" t="n">
        <v>15.3</v>
      </c>
      <c r="P63" s="30"/>
      <c r="Q63" s="30"/>
      <c r="R63" s="30"/>
      <c r="S63" s="30"/>
      <c r="T63" s="30"/>
      <c r="U63" s="31" t="n">
        <v>8.8</v>
      </c>
      <c r="V63" s="30"/>
      <c r="W63" s="30"/>
      <c r="X63" s="30"/>
      <c r="Y63" s="30"/>
      <c r="Z63" s="30"/>
      <c r="AA63" s="31" t="n">
        <v>9.1</v>
      </c>
      <c r="AB63" s="30"/>
      <c r="AC63" s="30"/>
      <c r="AD63" s="30"/>
      <c r="AE63" s="30"/>
      <c r="AF63" s="30"/>
      <c r="AG63" s="31" t="n">
        <v>12.6</v>
      </c>
      <c r="AH63" s="30"/>
      <c r="AI63" s="30"/>
      <c r="AJ63" s="30"/>
      <c r="AK63" s="30"/>
      <c r="AL63" s="30"/>
      <c r="AM63" s="31" t="n">
        <v>9.3</v>
      </c>
      <c r="AN63" s="30"/>
      <c r="AO63" s="30"/>
      <c r="AP63" s="30"/>
      <c r="AQ63" s="30"/>
      <c r="AR63" s="30"/>
      <c r="AS63" s="31" t="n">
        <v>18.7</v>
      </c>
      <c r="AT63" s="30"/>
      <c r="AU63" s="30"/>
      <c r="AV63" s="30"/>
      <c r="AW63" s="30"/>
      <c r="AX63" s="30"/>
      <c r="AY63" s="31" t="n">
        <v>19</v>
      </c>
      <c r="AZ63" s="30"/>
      <c r="BA63" s="30"/>
      <c r="BB63" s="30"/>
      <c r="BC63" s="30"/>
      <c r="BD63" s="30"/>
      <c r="BE63" s="31" t="n">
        <v>10.4</v>
      </c>
      <c r="BF63" s="30"/>
      <c r="BG63" s="30"/>
      <c r="BH63" s="30"/>
      <c r="BI63" s="30"/>
      <c r="BJ63" s="30"/>
      <c r="BK63" s="31" t="n">
        <v>8.4</v>
      </c>
      <c r="BL63" s="30"/>
      <c r="BM63" s="30"/>
      <c r="BN63" s="30"/>
      <c r="BO63" s="30"/>
      <c r="BP63" s="30"/>
      <c r="BQ63" s="31" t="n">
        <v>8</v>
      </c>
      <c r="BR63" s="30"/>
      <c r="BS63" s="30"/>
      <c r="BT63" s="30"/>
      <c r="BU63" s="30"/>
      <c r="BV63" s="30"/>
      <c r="BW63" s="31" t="n">
        <v>10.9</v>
      </c>
      <c r="BX63" s="30"/>
      <c r="BY63" s="30"/>
      <c r="BZ63" s="30"/>
      <c r="CA63" s="30"/>
      <c r="CB63" s="30"/>
      <c r="CC63" s="31" t="n">
        <v>7.2</v>
      </c>
      <c r="CD63" s="30"/>
      <c r="CE63" s="30"/>
      <c r="CF63" s="30"/>
      <c r="CG63" s="30"/>
      <c r="CH63" s="30"/>
      <c r="CI63" s="31" t="n">
        <v>19.4</v>
      </c>
      <c r="CJ63" s="30"/>
      <c r="CK63" s="30"/>
      <c r="CL63" s="30"/>
      <c r="CM63" s="32"/>
      <c r="CN63" s="32"/>
      <c r="CO63" s="32"/>
      <c r="CP63" s="32"/>
      <c r="CQ63" s="32"/>
      <c r="CR63" s="32"/>
      <c r="CS63" s="32"/>
      <c r="CT63" s="23"/>
      <c r="CV63" s="7"/>
      <c r="CW63" s="7"/>
      <c r="CX63" s="7"/>
      <c r="CY63" s="7"/>
      <c r="DB63" s="13" t="s">
        <v>130</v>
      </c>
      <c r="DC63" s="43" t="n">
        <f aca="false">DD63+$DC$62</f>
        <v>0.125</v>
      </c>
      <c r="DD63" s="36" t="n">
        <v>0.115</v>
      </c>
      <c r="DE63" s="43" t="n">
        <f aca="false">DD63+$DE$62</f>
        <v>0.095</v>
      </c>
    </row>
    <row r="64" customFormat="false" ht="15" hidden="false" customHeight="true" outlineLevel="0" collapsed="false">
      <c r="B64" s="26" t="s">
        <v>137</v>
      </c>
      <c r="C64" s="40" t="str">
        <f aca="false">IFERROR(C63/C48,"")</f>
        <v/>
      </c>
      <c r="D64" s="40" t="str">
        <f aca="false">IFERROR(D63/D48,"")</f>
        <v/>
      </c>
      <c r="E64" s="40" t="n">
        <f aca="false">IFERROR(E63/E48,"")</f>
        <v>0.0240026485681179</v>
      </c>
      <c r="F64" s="40" t="n">
        <f aca="false">IFERROR(F63/F48,"")</f>
        <v>0.0145027624309392</v>
      </c>
      <c r="G64" s="40" t="n">
        <f aca="false">IFERROR(G63/G48,"")</f>
        <v>0.0157800553115341</v>
      </c>
      <c r="H64" s="40" t="n">
        <f aca="false">IFERROR(H63/H48,"")</f>
        <v>0.0195556946182728</v>
      </c>
      <c r="I64" s="40" t="n">
        <f aca="false">IFERROR(I63/I48,"")</f>
        <v>0.0208161242359161</v>
      </c>
      <c r="J64" s="40"/>
      <c r="K64" s="40"/>
      <c r="L64" s="40"/>
      <c r="M64" s="40"/>
      <c r="N64" s="40"/>
      <c r="O64" s="40" t="n">
        <f aca="false">IFERROR(O63/O48,"")</f>
        <v>0.0244760838265877</v>
      </c>
      <c r="P64" s="40"/>
      <c r="Q64" s="40"/>
      <c r="R64" s="40"/>
      <c r="S64" s="40"/>
      <c r="T64" s="40"/>
      <c r="U64" s="40" t="n">
        <f aca="false">IFERROR(U63/U48,"")</f>
        <v>0.0145936981757877</v>
      </c>
      <c r="V64" s="40"/>
      <c r="W64" s="40"/>
      <c r="X64" s="40"/>
      <c r="Y64" s="40"/>
      <c r="Z64" s="40"/>
      <c r="AA64" s="40" t="n">
        <f aca="false">IFERROR(AA63/AA48,"")</f>
        <v>0.0153353555780249</v>
      </c>
      <c r="AB64" s="40"/>
      <c r="AC64" s="40"/>
      <c r="AD64" s="40"/>
      <c r="AE64" s="40"/>
      <c r="AF64" s="40"/>
      <c r="AG64" s="40" t="n">
        <f aca="false">IFERROR(AG63/AG48,"")</f>
        <v>0.0204578665367755</v>
      </c>
      <c r="AH64" s="40"/>
      <c r="AI64" s="40"/>
      <c r="AJ64" s="40"/>
      <c r="AK64" s="40"/>
      <c r="AL64" s="40"/>
      <c r="AM64" s="40" t="n">
        <f aca="false">IFERROR(AM63/AM48,"")</f>
        <v>0.0157307171853857</v>
      </c>
      <c r="AN64" s="40"/>
      <c r="AO64" s="40"/>
      <c r="AP64" s="40"/>
      <c r="AQ64" s="40"/>
      <c r="AR64" s="40"/>
      <c r="AS64" s="40" t="n">
        <f aca="false">IFERROR(AS63/AS48,"")</f>
        <v>0.0292096219931271</v>
      </c>
      <c r="AT64" s="40"/>
      <c r="AU64" s="40"/>
      <c r="AV64" s="40"/>
      <c r="AW64" s="40"/>
      <c r="AX64" s="40"/>
      <c r="AY64" s="40" t="n">
        <f aca="false">IFERROR(AY63/AY48,"")</f>
        <v>0.0275322417041009</v>
      </c>
      <c r="AZ64" s="40"/>
      <c r="BA64" s="40"/>
      <c r="BB64" s="40"/>
      <c r="BC64" s="40"/>
      <c r="BD64" s="40"/>
      <c r="BE64" s="40" t="n">
        <f aca="false">IFERROR(BE63/BE48,"")</f>
        <v>0.0176450627757041</v>
      </c>
      <c r="BF64" s="40"/>
      <c r="BG64" s="40"/>
      <c r="BH64" s="40"/>
      <c r="BI64" s="40"/>
      <c r="BJ64" s="40"/>
      <c r="BK64" s="40" t="n">
        <f aca="false">IFERROR(BK63/BK48,"")</f>
        <v>0.0133609034515667</v>
      </c>
      <c r="BL64" s="40"/>
      <c r="BM64" s="40"/>
      <c r="BN64" s="40"/>
      <c r="BO64" s="40"/>
      <c r="BP64" s="40"/>
      <c r="BQ64" s="40" t="n">
        <f aca="false">IFERROR(BQ63/BQ48,"")</f>
        <v>0.0117233294255569</v>
      </c>
      <c r="BR64" s="40"/>
      <c r="BS64" s="40"/>
      <c r="BT64" s="40"/>
      <c r="BU64" s="40"/>
      <c r="BV64" s="40"/>
      <c r="BW64" s="40" t="n">
        <f aca="false">IFERROR(BW63/BW48,"")</f>
        <v>0.0150034411562285</v>
      </c>
      <c r="BX64" s="40"/>
      <c r="BY64" s="40"/>
      <c r="BZ64" s="40"/>
      <c r="CA64" s="40"/>
      <c r="CB64" s="40"/>
      <c r="CC64" s="40" t="n">
        <f aca="false">IFERROR(CC63/CC48,"")</f>
        <v>0.00926879505664264</v>
      </c>
      <c r="CD64" s="40"/>
      <c r="CE64" s="40"/>
      <c r="CF64" s="40"/>
      <c r="CG64" s="40"/>
      <c r="CH64" s="40"/>
      <c r="CI64" s="40" t="n">
        <f aca="false">IFERROR(CI63/CI48,"")</f>
        <v>0.0183243600642297</v>
      </c>
      <c r="CJ64" s="40"/>
      <c r="CK64" s="40"/>
      <c r="CL64" s="40"/>
      <c r="CM64" s="28"/>
      <c r="CN64" s="28"/>
      <c r="CO64" s="28"/>
      <c r="CP64" s="28"/>
      <c r="CQ64" s="28"/>
      <c r="CR64" s="28"/>
      <c r="CS64" s="28"/>
      <c r="CT64" s="23"/>
      <c r="CV64" s="7"/>
      <c r="CW64" s="7"/>
      <c r="CX64" s="7"/>
      <c r="CY64" s="7"/>
      <c r="DB64" s="13" t="s">
        <v>132</v>
      </c>
      <c r="DC64" s="43" t="n">
        <f aca="false">DD64+$DC$62</f>
        <v>0.13</v>
      </c>
      <c r="DD64" s="36" t="n">
        <v>0.12</v>
      </c>
      <c r="DE64" s="43" t="n">
        <f aca="false">DD64+$DE$62</f>
        <v>0.1</v>
      </c>
    </row>
    <row r="65" customFormat="false" ht="15" hidden="false" customHeight="true" outlineLevel="0" collapsed="false">
      <c r="B65" s="13"/>
      <c r="CM65" s="7"/>
      <c r="CN65" s="7"/>
      <c r="CO65" s="7"/>
      <c r="CP65" s="7"/>
      <c r="CQ65" s="7"/>
      <c r="CR65" s="7"/>
      <c r="CS65" s="7"/>
      <c r="CT65" s="7"/>
      <c r="DB65" s="13" t="s">
        <v>134</v>
      </c>
      <c r="DC65" s="43" t="n">
        <f aca="false">DD65+$DC$62</f>
        <v>0.13</v>
      </c>
      <c r="DD65" s="36" t="n">
        <v>0.12</v>
      </c>
      <c r="DE65" s="43" t="n">
        <f aca="false">DD65+$DE$62</f>
        <v>0.1</v>
      </c>
    </row>
    <row r="66" customFormat="false" ht="15" hidden="false" customHeight="true" outlineLevel="0" collapsed="false">
      <c r="B66" s="17" t="s">
        <v>165</v>
      </c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8" t="s">
        <v>166</v>
      </c>
      <c r="DB66" s="13" t="s">
        <v>136</v>
      </c>
      <c r="DC66" s="43" t="n">
        <f aca="false">DD66+$DC$62</f>
        <v>0.135</v>
      </c>
      <c r="DD66" s="36" t="n">
        <v>0.125</v>
      </c>
      <c r="DE66" s="43" t="n">
        <f aca="false">DD66+$DE$62</f>
        <v>0.105</v>
      </c>
    </row>
    <row r="67" customFormat="false" ht="15" hidden="false" customHeight="true" outlineLevel="0" collapsed="false">
      <c r="B67" s="19" t="s">
        <v>99</v>
      </c>
      <c r="C67" s="20"/>
      <c r="D67" s="20"/>
      <c r="E67" s="21" t="n">
        <v>431.3</v>
      </c>
      <c r="F67" s="21" t="n">
        <v>407.2</v>
      </c>
      <c r="G67" s="21" t="n">
        <v>333.8</v>
      </c>
      <c r="H67" s="21" t="n">
        <v>304.6</v>
      </c>
      <c r="I67" s="21" t="n">
        <v>301.4</v>
      </c>
      <c r="J67" s="21" t="n">
        <v>71.2</v>
      </c>
      <c r="K67" s="21" t="n">
        <v>69.5</v>
      </c>
      <c r="L67" s="20" t="n">
        <f aca="false">J67+K67</f>
        <v>140.7</v>
      </c>
      <c r="M67" s="21" t="n">
        <v>66.7</v>
      </c>
      <c r="N67" s="21" t="n">
        <v>68.5</v>
      </c>
      <c r="O67" s="21" t="n">
        <v>275.9</v>
      </c>
      <c r="P67" s="21" t="n">
        <v>59.4</v>
      </c>
      <c r="Q67" s="21" t="n">
        <v>64.6</v>
      </c>
      <c r="R67" s="20" t="n">
        <f aca="false">P67+Q67</f>
        <v>124</v>
      </c>
      <c r="S67" s="21" t="n">
        <v>73.3</v>
      </c>
      <c r="T67" s="21" t="n">
        <v>74.6</v>
      </c>
      <c r="U67" s="21" t="n">
        <v>271.9</v>
      </c>
      <c r="V67" s="21" t="n">
        <v>63.1</v>
      </c>
      <c r="W67" s="21" t="n">
        <v>68.6</v>
      </c>
      <c r="X67" s="20" t="n">
        <f aca="false">V67+W67</f>
        <v>131.7</v>
      </c>
      <c r="Y67" s="21" t="n">
        <v>65.2</v>
      </c>
      <c r="Z67" s="21" t="n">
        <v>77.7</v>
      </c>
      <c r="AA67" s="21" t="n">
        <v>274.6</v>
      </c>
      <c r="AB67" s="21" t="n">
        <v>64.3</v>
      </c>
      <c r="AC67" s="21" t="n">
        <v>62.2</v>
      </c>
      <c r="AD67" s="20" t="n">
        <f aca="false">AB67+AC67</f>
        <v>126.5</v>
      </c>
      <c r="AE67" s="21" t="n">
        <v>66.5</v>
      </c>
      <c r="AF67" s="21" t="n">
        <v>65.6</v>
      </c>
      <c r="AG67" s="21" t="n">
        <v>258.6</v>
      </c>
      <c r="AH67" s="21" t="n">
        <v>67.6</v>
      </c>
      <c r="AI67" s="21" t="n">
        <v>76</v>
      </c>
      <c r="AJ67" s="20" t="n">
        <f aca="false">AH67+AI67</f>
        <v>143.6</v>
      </c>
      <c r="AK67" s="21" t="n">
        <v>73.1</v>
      </c>
      <c r="AL67" s="21" t="n">
        <v>69.5</v>
      </c>
      <c r="AM67" s="21" t="n">
        <v>348.3</v>
      </c>
      <c r="AN67" s="21" t="n">
        <v>91.9</v>
      </c>
      <c r="AO67" s="21" t="n">
        <v>89.4</v>
      </c>
      <c r="AP67" s="20" t="n">
        <f aca="false">AN67+AO67</f>
        <v>181.3</v>
      </c>
      <c r="AQ67" s="21" t="n">
        <v>88.1</v>
      </c>
      <c r="AR67" s="21" t="n">
        <v>95.7</v>
      </c>
      <c r="AS67" s="21" t="n">
        <v>365.1</v>
      </c>
      <c r="AT67" s="21" t="n">
        <v>89.7</v>
      </c>
      <c r="AU67" s="21" t="n">
        <v>93.5</v>
      </c>
      <c r="AV67" s="20" t="n">
        <f aca="false">AT67+AU67</f>
        <v>183.2</v>
      </c>
      <c r="AW67" s="21" t="n">
        <v>98.2</v>
      </c>
      <c r="AX67" s="21" t="n">
        <v>94.1</v>
      </c>
      <c r="AY67" s="21" t="n">
        <v>375.5</v>
      </c>
      <c r="AZ67" s="21" t="n">
        <v>96.5</v>
      </c>
      <c r="BA67" s="21" t="n">
        <v>99.5</v>
      </c>
      <c r="BB67" s="20" t="n">
        <f aca="false">AZ67+BA67</f>
        <v>196</v>
      </c>
      <c r="BC67" s="21" t="n">
        <v>101</v>
      </c>
      <c r="BD67" s="21" t="n">
        <v>119.3</v>
      </c>
      <c r="BE67" s="21" t="n">
        <v>416.3</v>
      </c>
      <c r="BF67" s="21" t="n">
        <v>104.7</v>
      </c>
      <c r="BG67" s="21" t="n">
        <v>98</v>
      </c>
      <c r="BH67" s="20" t="n">
        <f aca="false">BF67+BG67</f>
        <v>202.7</v>
      </c>
      <c r="BI67" s="21" t="n">
        <v>102.4</v>
      </c>
      <c r="BJ67" s="21" t="n">
        <v>100.7</v>
      </c>
      <c r="BK67" s="21" t="n">
        <v>405.8</v>
      </c>
      <c r="BL67" s="21" t="n">
        <v>95.4</v>
      </c>
      <c r="BM67" s="21" t="n">
        <v>98.7</v>
      </c>
      <c r="BN67" s="20" t="n">
        <f aca="false">BL67+BM67</f>
        <v>194.1</v>
      </c>
      <c r="BO67" s="21" t="n">
        <v>109.8</v>
      </c>
      <c r="BP67" s="21" t="n">
        <v>107.4</v>
      </c>
      <c r="BQ67" s="21" t="n">
        <v>411.3</v>
      </c>
      <c r="BR67" s="21" t="n">
        <v>104.1</v>
      </c>
      <c r="BS67" s="21" t="n">
        <v>117</v>
      </c>
      <c r="BT67" s="20" t="n">
        <f aca="false">BR67+BS67</f>
        <v>221.1</v>
      </c>
      <c r="BU67" s="21" t="n">
        <v>114.3</v>
      </c>
      <c r="BV67" s="21" t="n">
        <v>103.3</v>
      </c>
      <c r="BW67" s="21" t="n">
        <v>438.7</v>
      </c>
      <c r="BX67" s="21" t="n">
        <v>93.2</v>
      </c>
      <c r="BY67" s="21" t="n">
        <v>106.8</v>
      </c>
      <c r="BZ67" s="20" t="n">
        <f aca="false">BX67+BY67</f>
        <v>200</v>
      </c>
      <c r="CA67" s="21" t="n">
        <v>125.1</v>
      </c>
      <c r="CB67" s="21" t="n">
        <v>114.7</v>
      </c>
      <c r="CC67" s="21" t="n">
        <v>439.8</v>
      </c>
      <c r="CD67" s="21" t="n">
        <v>107.1</v>
      </c>
      <c r="CE67" s="21" t="n">
        <v>110.3</v>
      </c>
      <c r="CF67" s="20" t="n">
        <f aca="false">CD67+CE67</f>
        <v>217.4</v>
      </c>
      <c r="CG67" s="21" t="n">
        <v>115</v>
      </c>
      <c r="CH67" s="21" t="n">
        <v>103.3</v>
      </c>
      <c r="CI67" s="21" t="n">
        <v>435.7</v>
      </c>
      <c r="CJ67" s="21" t="n">
        <v>104.3</v>
      </c>
      <c r="CK67" s="21" t="n">
        <v>119.6</v>
      </c>
      <c r="CL67" s="20" t="n">
        <f aca="false">CJ67+CK67</f>
        <v>223.9</v>
      </c>
      <c r="CM67" s="22" t="n">
        <f aca="false">CG67*CK67/CE67</f>
        <v>124.696282864914</v>
      </c>
      <c r="CN67" s="22" t="n">
        <f aca="false">CH67*CK67/CE67</f>
        <v>112.009791477788</v>
      </c>
      <c r="CO67" s="22" t="n">
        <f aca="false">SUM(CJ67,CK67,CM67,CN67)</f>
        <v>460.606074342702</v>
      </c>
      <c r="CP67" s="22" t="n">
        <f aca="false">CO67*(1+CP68)</f>
        <v>479.03031731641</v>
      </c>
      <c r="CQ67" s="22" t="n">
        <f aca="false">CP67*(1+CQ68)</f>
        <v>498.191530009066</v>
      </c>
      <c r="CR67" s="22" t="n">
        <f aca="false">CQ67*(1+CR68)</f>
        <v>518.119191209429</v>
      </c>
      <c r="CS67" s="22" t="n">
        <f aca="false">CR67*(1+CS68)</f>
        <v>538.843958857806</v>
      </c>
      <c r="CT67" s="23" t="s">
        <v>100</v>
      </c>
      <c r="CV67" s="24" t="n">
        <f aca="false">IFERROR((CS67/CI67)^(1/5)-1,"n/m")</f>
        <v>0.0434102330182617</v>
      </c>
      <c r="CW67" s="24" t="n">
        <f aca="false">IFERROR((CI67/BE67)^(1/5)-1,"n/m")</f>
        <v>0.00915117406648291</v>
      </c>
      <c r="CX67" s="24" t="n">
        <f aca="false">IFERROR((CI67/AA67)^(1/10)-1,"n/m")</f>
        <v>0.0472459818497328</v>
      </c>
      <c r="CY67" s="24" t="str">
        <f aca="false">IFERROR((CI67/C67)^(1/19)-1,"n/m")</f>
        <v>n/m</v>
      </c>
    </row>
    <row r="68" customFormat="false" ht="15" hidden="false" customHeight="true" outlineLevel="0" collapsed="false">
      <c r="B68" s="26" t="s">
        <v>105</v>
      </c>
      <c r="C68" s="27"/>
      <c r="D68" s="27" t="str">
        <f aca="false">IFERROR(D67/C67-1,"")</f>
        <v/>
      </c>
      <c r="E68" s="27" t="str">
        <f aca="false">IFERROR(E67/D67-1,"")</f>
        <v/>
      </c>
      <c r="F68" s="27" t="n">
        <f aca="false">IFERROR(F67/E67-1,"")</f>
        <v>-0.0558775794110828</v>
      </c>
      <c r="G68" s="27" t="n">
        <f aca="false">IFERROR(G67/F67-1,"")</f>
        <v>-0.180255402750491</v>
      </c>
      <c r="H68" s="27" t="n">
        <f aca="false">IFERROR(H67/G67-1,"")</f>
        <v>-0.0874775314559616</v>
      </c>
      <c r="I68" s="27" t="n">
        <f aca="false">IFERROR(I67/H67-1,"")</f>
        <v>-0.0105055810899541</v>
      </c>
      <c r="J68" s="27"/>
      <c r="K68" s="27"/>
      <c r="L68" s="27"/>
      <c r="M68" s="27"/>
      <c r="N68" s="27"/>
      <c r="O68" s="27" t="n">
        <f aca="false">IFERROR(O67/I67-1,"")</f>
        <v>-0.0846051758460518</v>
      </c>
      <c r="P68" s="27" t="n">
        <f aca="false">IFERROR(P67/J67-1,"")</f>
        <v>-0.165730337078652</v>
      </c>
      <c r="Q68" s="27" t="n">
        <f aca="false">IFERROR(Q67/K67-1,"")</f>
        <v>-0.0705035971223023</v>
      </c>
      <c r="R68" s="27" t="n">
        <f aca="false">IFERROR(R67/L67-1,"")</f>
        <v>-0.118692253020611</v>
      </c>
      <c r="S68" s="27" t="n">
        <f aca="false">IFERROR(S67/M67-1,"")</f>
        <v>0.098950524737631</v>
      </c>
      <c r="T68" s="27" t="n">
        <f aca="false">IFERROR(T67/N67-1,"")</f>
        <v>0.0890510948905108</v>
      </c>
      <c r="U68" s="27" t="n">
        <f aca="false">IFERROR(U67/O67-1,"")</f>
        <v>-0.0144980065241029</v>
      </c>
      <c r="V68" s="27" t="n">
        <f aca="false">IFERROR(V67/P67-1,"")</f>
        <v>0.0622895622895623</v>
      </c>
      <c r="W68" s="27" t="n">
        <f aca="false">IFERROR(W67/Q67-1,"")</f>
        <v>0.0619195046439629</v>
      </c>
      <c r="X68" s="27" t="n">
        <f aca="false">IFERROR(X67/R67-1,"")</f>
        <v>0.0620967741935483</v>
      </c>
      <c r="Y68" s="27" t="n">
        <f aca="false">IFERROR(Y67/S67-1,"")</f>
        <v>-0.110504774897681</v>
      </c>
      <c r="Z68" s="27" t="n">
        <f aca="false">IFERROR(Z67/T67-1,"")</f>
        <v>0.0415549597855229</v>
      </c>
      <c r="AA68" s="27" t="n">
        <f aca="false">IFERROR(AA67/U67-1,"")</f>
        <v>0.00993012136815019</v>
      </c>
      <c r="AB68" s="27" t="n">
        <f aca="false">IFERROR(AB67/V67-1,"")</f>
        <v>0.0190174326465926</v>
      </c>
      <c r="AC68" s="27" t="n">
        <f aca="false">IFERROR(AC67/W67-1,"")</f>
        <v>-0.0932944606413994</v>
      </c>
      <c r="AD68" s="27" t="n">
        <f aca="false">IFERROR(AD67/X67-1,"")</f>
        <v>-0.0394836750189824</v>
      </c>
      <c r="AE68" s="27" t="n">
        <f aca="false">IFERROR(AE67/Y67-1,"")</f>
        <v>0.0199386503067485</v>
      </c>
      <c r="AF68" s="27" t="n">
        <f aca="false">IFERROR(AF67/Z67-1,"")</f>
        <v>-0.155727155727156</v>
      </c>
      <c r="AG68" s="27" t="n">
        <f aca="false">IFERROR(AG67/AA67-1,"")</f>
        <v>-0.0582665695557174</v>
      </c>
      <c r="AH68" s="27" t="n">
        <f aca="false">IFERROR(AH67/AB67-1,"")</f>
        <v>0.0513219284603421</v>
      </c>
      <c r="AI68" s="27" t="n">
        <f aca="false">IFERROR(AI67/AC67-1,"")</f>
        <v>0.221864951768489</v>
      </c>
      <c r="AJ68" s="27" t="n">
        <f aca="false">IFERROR(AJ67/AD67-1,"")</f>
        <v>0.135177865612648</v>
      </c>
      <c r="AK68" s="27" t="n">
        <f aca="false">IFERROR(AK67/AE67-1,"")</f>
        <v>0.0992481203007518</v>
      </c>
      <c r="AL68" s="27" t="n">
        <f aca="false">IFERROR(AL67/AF67-1,"")</f>
        <v>0.0594512195121952</v>
      </c>
      <c r="AM68" s="27" t="n">
        <f aca="false">IFERROR(AM67/AG67-1,"")</f>
        <v>0.346867749419953</v>
      </c>
      <c r="AN68" s="27" t="n">
        <f aca="false">IFERROR(AN67/AH67-1,"")</f>
        <v>0.359467455621302</v>
      </c>
      <c r="AO68" s="27" t="n">
        <f aca="false">IFERROR(AO67/AI67-1,"")</f>
        <v>0.176315789473684</v>
      </c>
      <c r="AP68" s="27" t="n">
        <f aca="false">IFERROR(AP67/AJ67-1,"")</f>
        <v>0.262534818941504</v>
      </c>
      <c r="AQ68" s="27" t="n">
        <f aca="false">IFERROR(AQ67/AK67-1,"")</f>
        <v>0.205198358413133</v>
      </c>
      <c r="AR68" s="27" t="n">
        <f aca="false">IFERROR(AR67/AL67-1,"")</f>
        <v>0.376978417266187</v>
      </c>
      <c r="AS68" s="27" t="n">
        <f aca="false">IFERROR(AS67/AM67-1,"")</f>
        <v>0.0482342807924203</v>
      </c>
      <c r="AT68" s="27" t="n">
        <f aca="false">IFERROR(AT67/AN67-1,"")</f>
        <v>-0.0239390642002176</v>
      </c>
      <c r="AU68" s="27" t="n">
        <f aca="false">IFERROR(AU67/AO67-1,"")</f>
        <v>0.0458612975391499</v>
      </c>
      <c r="AV68" s="27" t="n">
        <f aca="false">IFERROR(AV67/AP67-1,"")</f>
        <v>0.0104798676227247</v>
      </c>
      <c r="AW68" s="27" t="n">
        <f aca="false">IFERROR(AW67/AQ67-1,"")</f>
        <v>0.114642451759365</v>
      </c>
      <c r="AX68" s="27" t="n">
        <f aca="false">IFERROR(AX67/AR67-1,"")</f>
        <v>-0.0167189132706375</v>
      </c>
      <c r="AY68" s="27" t="n">
        <f aca="false">IFERROR(AY67/AS67-1,"")</f>
        <v>0.0284853464804162</v>
      </c>
      <c r="AZ68" s="27" t="n">
        <f aca="false">IFERROR(AZ67/AT67-1,"")</f>
        <v>0.0758082497212931</v>
      </c>
      <c r="BA68" s="27" t="n">
        <f aca="false">IFERROR(BA67/AU67-1,"")</f>
        <v>0.0641711229946524</v>
      </c>
      <c r="BB68" s="27" t="n">
        <f aca="false">IFERROR(BB67/AV67-1,"")</f>
        <v>0.0698689956331879</v>
      </c>
      <c r="BC68" s="27" t="n">
        <f aca="false">IFERROR(BC67/AW67-1,"")</f>
        <v>0.0285132382892057</v>
      </c>
      <c r="BD68" s="27" t="n">
        <f aca="false">IFERROR(BD67/AX67-1,"")</f>
        <v>0.267800212539851</v>
      </c>
      <c r="BE68" s="27" t="n">
        <f aca="false">IFERROR(BE67/AY67-1,"")</f>
        <v>0.108655126498003</v>
      </c>
      <c r="BF68" s="27" t="n">
        <f aca="false">IFERROR(BF67/AZ67-1,"")</f>
        <v>0.0849740932642487</v>
      </c>
      <c r="BG68" s="27" t="n">
        <f aca="false">IFERROR(BG67/BA67-1,"")</f>
        <v>-0.0150753768844221</v>
      </c>
      <c r="BH68" s="27" t="n">
        <f aca="false">IFERROR(BH67/BB67-1,"")</f>
        <v>0.0341836734693877</v>
      </c>
      <c r="BI68" s="27" t="n">
        <f aca="false">IFERROR(BI67/BC67-1,"")</f>
        <v>0.0138613861386139</v>
      </c>
      <c r="BJ68" s="27" t="n">
        <f aca="false">IFERROR(BJ67/BD67-1,"")</f>
        <v>-0.155909471919531</v>
      </c>
      <c r="BK68" s="27" t="n">
        <f aca="false">IFERROR(BK67/BE67-1,"")</f>
        <v>-0.0252221955320682</v>
      </c>
      <c r="BL68" s="27" t="n">
        <f aca="false">IFERROR(BL67/BF67-1,"")</f>
        <v>-0.0888252148997134</v>
      </c>
      <c r="BM68" s="27" t="n">
        <f aca="false">IFERROR(BM67/BG67-1,"")</f>
        <v>0.00714285714285712</v>
      </c>
      <c r="BN68" s="27" t="n">
        <f aca="false">IFERROR(BN67/BH67-1,"")</f>
        <v>-0.042427232363098</v>
      </c>
      <c r="BO68" s="27" t="n">
        <f aca="false">IFERROR(BO67/BI67-1,"")</f>
        <v>0.072265625</v>
      </c>
      <c r="BP68" s="27" t="n">
        <f aca="false">IFERROR(BP67/BJ67-1,"")</f>
        <v>0.0665342601787489</v>
      </c>
      <c r="BQ68" s="27" t="n">
        <f aca="false">IFERROR(BQ67/BK67-1,"")</f>
        <v>0.0135534746180384</v>
      </c>
      <c r="BR68" s="27" t="n">
        <f aca="false">IFERROR(BR67/BL67-1,"")</f>
        <v>0.091194968553459</v>
      </c>
      <c r="BS68" s="27" t="n">
        <f aca="false">IFERROR(BS67/BM67-1,"")</f>
        <v>0.185410334346505</v>
      </c>
      <c r="BT68" s="27" t="n">
        <f aca="false">IFERROR(BT67/BN67-1,"")</f>
        <v>0.139103554868624</v>
      </c>
      <c r="BU68" s="27" t="n">
        <f aca="false">IFERROR(BU67/BO67-1,"")</f>
        <v>0.040983606557377</v>
      </c>
      <c r="BV68" s="27" t="n">
        <f aca="false">IFERROR(BV67/BP67-1,"")</f>
        <v>-0.0381750465549349</v>
      </c>
      <c r="BW68" s="27" t="n">
        <f aca="false">IFERROR(BW67/BQ67-1,"")</f>
        <v>0.0666180403598347</v>
      </c>
      <c r="BX68" s="27" t="n">
        <f aca="false">IFERROR(BX67/BR67-1,"")</f>
        <v>-0.104707012487992</v>
      </c>
      <c r="BY68" s="27" t="n">
        <f aca="false">IFERROR(BY67/BS67-1,"")</f>
        <v>-0.0871794871794872</v>
      </c>
      <c r="BZ68" s="27" t="n">
        <f aca="false">IFERROR(BZ67/BT67-1,"")</f>
        <v>-0.0954319312528268</v>
      </c>
      <c r="CA68" s="27" t="n">
        <f aca="false">IFERROR(CA67/BU67-1,"")</f>
        <v>0.094488188976378</v>
      </c>
      <c r="CB68" s="27" t="n">
        <f aca="false">IFERROR(CB67/BV67-1,"")</f>
        <v>0.110358180058083</v>
      </c>
      <c r="CC68" s="27" t="n">
        <f aca="false">IFERROR(CC67/BW67-1,"")</f>
        <v>0.00250740825165274</v>
      </c>
      <c r="CD68" s="27" t="n">
        <f aca="false">IFERROR(CD67/BX67-1,"")</f>
        <v>0.149141630901287</v>
      </c>
      <c r="CE68" s="27" t="n">
        <f aca="false">IFERROR(CE67/BY67-1,"")</f>
        <v>0.0327715355805243</v>
      </c>
      <c r="CF68" s="27" t="n">
        <f aca="false">IFERROR(CF67/BZ67-1,"")</f>
        <v>0.087</v>
      </c>
      <c r="CG68" s="27" t="n">
        <f aca="false">IFERROR(CG67/CA67-1,"")</f>
        <v>-0.0807354116706635</v>
      </c>
      <c r="CH68" s="27" t="n">
        <f aca="false">IFERROR(CH67/CB67-1,"")</f>
        <v>-0.0993897122929381</v>
      </c>
      <c r="CI68" s="27" t="n">
        <f aca="false">IFERROR(CI67/CC67-1,"")</f>
        <v>-0.00932241928149169</v>
      </c>
      <c r="CJ68" s="27" t="n">
        <f aca="false">IFERROR(CJ67/CD67-1,"")</f>
        <v>-0.0261437908496732</v>
      </c>
      <c r="CK68" s="27" t="n">
        <f aca="false">IFERROR(CK67/CE67-1,"")</f>
        <v>0.0843155031731642</v>
      </c>
      <c r="CL68" s="27" t="n">
        <f aca="false">IFERROR(CL67/CF67-1,"")</f>
        <v>0.0298988040478381</v>
      </c>
      <c r="CM68" s="28" t="n">
        <f aca="false">IFERROR(CM67/CG67-1,"")</f>
        <v>0.0843155031731642</v>
      </c>
      <c r="CN68" s="28" t="n">
        <f aca="false">IFERROR(CN67/CH67-1,"")</f>
        <v>0.0843155031731639</v>
      </c>
      <c r="CO68" s="28" t="n">
        <f aca="false">IFERROR(CO67/CI67-1,"")</f>
        <v>0.0571633563064076</v>
      </c>
      <c r="CP68" s="28" t="n">
        <f aca="false">CHOOSE(MATCH($CT$2,{"Bull","Base","Bear"},0),$DC$39,$DD$39,$DE$39)</f>
        <v>0.04</v>
      </c>
      <c r="CQ68" s="28" t="n">
        <f aca="false">CHOOSE(MATCH($CT$2,{"Bull","Base","Bear"},0),$DC$40,$DD$40,$DE$40)</f>
        <v>0.04</v>
      </c>
      <c r="CR68" s="28" t="n">
        <f aca="false">CHOOSE(MATCH($CT$2,{"Bull","Base","Bear"},0),$DC$41,$DD$41,$DE$41)</f>
        <v>0.04</v>
      </c>
      <c r="CS68" s="28" t="n">
        <f aca="false">CHOOSE(MATCH($CT$2,{"Bull","Base","Bear"},0),$DC$42,$DD$42,$DE$42)</f>
        <v>0.04</v>
      </c>
      <c r="CT68" s="23" t="s">
        <v>167</v>
      </c>
      <c r="CV68" s="7"/>
      <c r="CW68" s="7"/>
      <c r="CX68" s="7"/>
      <c r="CY68" s="7"/>
      <c r="DB68" s="18" t="s">
        <v>168</v>
      </c>
      <c r="DC68" s="44" t="n">
        <v>750</v>
      </c>
      <c r="DD68" s="25" t="s">
        <v>127</v>
      </c>
      <c r="DE68" s="44" t="n">
        <v>-500</v>
      </c>
      <c r="DF68" s="16" t="s">
        <v>169</v>
      </c>
    </row>
    <row r="69" customFormat="false" ht="15" hidden="false" customHeight="true" outlineLevel="0" collapsed="false">
      <c r="B69" s="13" t="s">
        <v>108</v>
      </c>
      <c r="C69" s="30"/>
      <c r="D69" s="30"/>
      <c r="E69" s="31" t="n">
        <v>42</v>
      </c>
      <c r="F69" s="31" t="n">
        <v>31.3</v>
      </c>
      <c r="G69" s="31" t="n">
        <v>30.4</v>
      </c>
      <c r="H69" s="31" t="n">
        <v>28.1</v>
      </c>
      <c r="I69" s="31" t="n">
        <v>28.5</v>
      </c>
      <c r="J69" s="31" t="n">
        <v>6.4</v>
      </c>
      <c r="K69" s="31" t="n">
        <v>5.7</v>
      </c>
      <c r="L69" s="30" t="n">
        <f aca="false">J69+K69</f>
        <v>12.1</v>
      </c>
      <c r="M69" s="31" t="n">
        <v>2.7</v>
      </c>
      <c r="N69" s="31" t="n">
        <v>7.2</v>
      </c>
      <c r="O69" s="31" t="n">
        <v>22</v>
      </c>
      <c r="P69" s="31" t="n">
        <v>6.1</v>
      </c>
      <c r="Q69" s="31" t="n">
        <v>6.8</v>
      </c>
      <c r="R69" s="30" t="n">
        <f aca="false">P69+Q69</f>
        <v>12.9</v>
      </c>
      <c r="S69" s="31" t="n">
        <v>8.5</v>
      </c>
      <c r="T69" s="31" t="n">
        <v>10</v>
      </c>
      <c r="U69" s="31" t="n">
        <v>31.4</v>
      </c>
      <c r="V69" s="31" t="n">
        <v>6.7</v>
      </c>
      <c r="W69" s="31" t="n">
        <v>4.8</v>
      </c>
      <c r="X69" s="30" t="n">
        <f aca="false">V69+W69</f>
        <v>11.5</v>
      </c>
      <c r="Y69" s="31" t="n">
        <v>5.9</v>
      </c>
      <c r="Z69" s="31" t="n">
        <v>8.7</v>
      </c>
      <c r="AA69" s="31" t="n">
        <v>26.1</v>
      </c>
      <c r="AB69" s="31" t="n">
        <v>8</v>
      </c>
      <c r="AC69" s="31" t="n">
        <v>5.6</v>
      </c>
      <c r="AD69" s="30" t="n">
        <f aca="false">AB69+AC69</f>
        <v>13.6</v>
      </c>
      <c r="AE69" s="31" t="n">
        <v>8.6</v>
      </c>
      <c r="AF69" s="31" t="n">
        <v>9.9</v>
      </c>
      <c r="AG69" s="31" t="n">
        <v>32.1</v>
      </c>
      <c r="AH69" s="31" t="n">
        <v>7.4</v>
      </c>
      <c r="AI69" s="31" t="n">
        <v>7.7</v>
      </c>
      <c r="AJ69" s="30" t="n">
        <f aca="false">AH69+AI69</f>
        <v>15.1</v>
      </c>
      <c r="AK69" s="31" t="n">
        <v>8.6</v>
      </c>
      <c r="AL69" s="31" t="n">
        <v>8.3</v>
      </c>
      <c r="AM69" s="31" t="n">
        <v>35.5</v>
      </c>
      <c r="AN69" s="31" t="n">
        <v>8.9</v>
      </c>
      <c r="AO69" s="31" t="n">
        <v>8.7</v>
      </c>
      <c r="AP69" s="30" t="n">
        <f aca="false">AN69+AO69</f>
        <v>17.6</v>
      </c>
      <c r="AQ69" s="31" t="n">
        <v>9.6</v>
      </c>
      <c r="AR69" s="31" t="n">
        <v>10.7</v>
      </c>
      <c r="AS69" s="31" t="n">
        <v>37.9</v>
      </c>
      <c r="AT69" s="31" t="n">
        <v>6.4</v>
      </c>
      <c r="AU69" s="31" t="n">
        <v>9</v>
      </c>
      <c r="AV69" s="30" t="n">
        <f aca="false">AT69+AU69</f>
        <v>15.4</v>
      </c>
      <c r="AW69" s="31" t="n">
        <v>10.6</v>
      </c>
      <c r="AX69" s="31" t="n">
        <v>10.5</v>
      </c>
      <c r="AY69" s="31" t="n">
        <v>36.5</v>
      </c>
      <c r="AZ69" s="31" t="n">
        <v>11.4</v>
      </c>
      <c r="BA69" s="31" t="n">
        <v>10.8</v>
      </c>
      <c r="BB69" s="30" t="n">
        <f aca="false">AZ69+BA69</f>
        <v>22.2</v>
      </c>
      <c r="BC69" s="31" t="n">
        <v>12.5</v>
      </c>
      <c r="BD69" s="31" t="n">
        <v>15.4</v>
      </c>
      <c r="BE69" s="31" t="n">
        <v>50.1</v>
      </c>
      <c r="BF69" s="31" t="n">
        <v>14.9</v>
      </c>
      <c r="BG69" s="31" t="n">
        <v>11</v>
      </c>
      <c r="BH69" s="30" t="n">
        <f aca="false">BF69+BG69</f>
        <v>25.9</v>
      </c>
      <c r="BI69" s="31" t="n">
        <v>11.5</v>
      </c>
      <c r="BJ69" s="31" t="n">
        <v>11.2</v>
      </c>
      <c r="BK69" s="31" t="n">
        <v>48.6</v>
      </c>
      <c r="BL69" s="31" t="n">
        <v>9.4</v>
      </c>
      <c r="BM69" s="31" t="n">
        <v>8.6</v>
      </c>
      <c r="BN69" s="30" t="n">
        <f aca="false">BL69+BM69</f>
        <v>18</v>
      </c>
      <c r="BO69" s="31" t="n">
        <v>11.9</v>
      </c>
      <c r="BP69" s="31" t="n">
        <v>9.3</v>
      </c>
      <c r="BQ69" s="31" t="n">
        <v>39.2</v>
      </c>
      <c r="BR69" s="31" t="n">
        <v>10</v>
      </c>
      <c r="BS69" s="31" t="n">
        <v>11.5</v>
      </c>
      <c r="BT69" s="30" t="n">
        <f aca="false">BR69+BS69</f>
        <v>21.5</v>
      </c>
      <c r="BU69" s="31" t="n">
        <v>10.9</v>
      </c>
      <c r="BV69" s="31" t="n">
        <v>12.3</v>
      </c>
      <c r="BW69" s="31" t="n">
        <v>44.7</v>
      </c>
      <c r="BX69" s="31" t="n">
        <v>2.7</v>
      </c>
      <c r="BY69" s="31" t="n">
        <v>7.5</v>
      </c>
      <c r="BZ69" s="30" t="n">
        <f aca="false">BX69+BY69</f>
        <v>10.2</v>
      </c>
      <c r="CA69" s="31" t="n">
        <v>12.9</v>
      </c>
      <c r="CB69" s="31" t="n">
        <v>9.8</v>
      </c>
      <c r="CC69" s="31" t="n">
        <v>32.9</v>
      </c>
      <c r="CD69" s="31" t="n">
        <v>10.8</v>
      </c>
      <c r="CE69" s="31" t="n">
        <v>12.1</v>
      </c>
      <c r="CF69" s="30" t="n">
        <f aca="false">CD69+CE69</f>
        <v>22.9</v>
      </c>
      <c r="CG69" s="31" t="n">
        <v>12.2</v>
      </c>
      <c r="CH69" s="31" t="n">
        <v>11.5</v>
      </c>
      <c r="CI69" s="31" t="n">
        <v>46.6</v>
      </c>
      <c r="CJ69" s="31" t="n">
        <v>11.7</v>
      </c>
      <c r="CK69" s="31" t="n">
        <v>15.1</v>
      </c>
      <c r="CL69" s="30" t="n">
        <f aca="false">CJ69+CK69</f>
        <v>26.8</v>
      </c>
      <c r="CM69" s="32" t="n">
        <f aca="false">CM72-CM70-CM71</f>
        <v>13.887158702081</v>
      </c>
      <c r="CN69" s="32" t="n">
        <f aca="false">CN72-CN70-CN71</f>
        <v>10.9070134020664</v>
      </c>
      <c r="CO69" s="32" t="n">
        <f aca="false">SUM(CJ69,CK69,CM69,CN69)</f>
        <v>51.5941721041474</v>
      </c>
      <c r="CP69" s="32" t="n">
        <f aca="false">CP72-CP70-CP71</f>
        <v>55.0884864913871</v>
      </c>
      <c r="CQ69" s="32" t="n">
        <f aca="false">CQ72-CQ70-CQ71</f>
        <v>59.782983601088</v>
      </c>
      <c r="CR69" s="32" t="n">
        <f aca="false">CR72-CR70-CR71</f>
        <v>62.1743029451315</v>
      </c>
      <c r="CS69" s="32" t="n">
        <f aca="false">CS72-CS70-CS71</f>
        <v>67.3554948572258</v>
      </c>
      <c r="CT69" s="23" t="s">
        <v>109</v>
      </c>
      <c r="CV69" s="24" t="n">
        <f aca="false">IFERROR((CS69/CI69)^(1/5)-1,"n/m")</f>
        <v>0.0764588259286452</v>
      </c>
      <c r="CW69" s="24" t="n">
        <f aca="false">IFERROR((CI69/BE69)^(1/5)-1,"n/m")</f>
        <v>-0.0143797035164609</v>
      </c>
      <c r="CX69" s="24" t="n">
        <f aca="false">IFERROR((CI69/AA69)^(1/10)-1,"n/m")</f>
        <v>0.0596795198864013</v>
      </c>
      <c r="CY69" s="24" t="str">
        <f aca="false">IFERROR((CI69/C69)^(1/19)-1,"n/m")</f>
        <v>n/m</v>
      </c>
      <c r="DB69" s="13" t="s">
        <v>130</v>
      </c>
      <c r="DC69" s="45" t="n">
        <f aca="false">MAX(0,DD69+$DC$68)</f>
        <v>1500</v>
      </c>
      <c r="DD69" s="38" t="n">
        <v>750</v>
      </c>
      <c r="DE69" s="45" t="n">
        <f aca="false">MAX(0,DD69+$DE$68)</f>
        <v>250</v>
      </c>
    </row>
    <row r="70" customFormat="false" ht="15" hidden="false" customHeight="true" outlineLevel="0" collapsed="false">
      <c r="B70" s="13" t="s">
        <v>111</v>
      </c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1" t="n">
        <v>0</v>
      </c>
      <c r="BA70" s="31" t="n">
        <v>0</v>
      </c>
      <c r="BB70" s="30" t="n">
        <f aca="false">AZ70+BA70</f>
        <v>0</v>
      </c>
      <c r="BC70" s="31" t="n">
        <v>0</v>
      </c>
      <c r="BD70" s="31" t="n">
        <v>0</v>
      </c>
      <c r="BE70" s="31" t="n">
        <v>0</v>
      </c>
      <c r="BF70" s="31" t="n">
        <v>0</v>
      </c>
      <c r="BG70" s="31" t="n">
        <v>0</v>
      </c>
      <c r="BH70" s="30" t="n">
        <f aca="false">BF70+BG70</f>
        <v>0</v>
      </c>
      <c r="BI70" s="31" t="n">
        <v>0</v>
      </c>
      <c r="BJ70" s="31" t="n">
        <v>0</v>
      </c>
      <c r="BK70" s="31" t="n">
        <v>0</v>
      </c>
      <c r="BL70" s="31" t="n">
        <v>0</v>
      </c>
      <c r="BM70" s="31" t="n">
        <v>0</v>
      </c>
      <c r="BN70" s="30" t="n">
        <f aca="false">BL70+BM70</f>
        <v>0</v>
      </c>
      <c r="BO70" s="31" t="n">
        <v>0</v>
      </c>
      <c r="BP70" s="31" t="n">
        <v>0</v>
      </c>
      <c r="BQ70" s="31" t="n">
        <v>0</v>
      </c>
      <c r="BR70" s="31" t="n">
        <v>0</v>
      </c>
      <c r="BS70" s="31" t="n">
        <v>0</v>
      </c>
      <c r="BT70" s="30" t="n">
        <f aca="false">BR70+BS70</f>
        <v>0</v>
      </c>
      <c r="BU70" s="31" t="n">
        <v>0</v>
      </c>
      <c r="BV70" s="31" t="n">
        <v>0</v>
      </c>
      <c r="BW70" s="31" t="n">
        <v>0</v>
      </c>
      <c r="BX70" s="31" t="n">
        <v>0</v>
      </c>
      <c r="BY70" s="31" t="n">
        <v>0</v>
      </c>
      <c r="BZ70" s="30" t="n">
        <f aca="false">BX70+BY70</f>
        <v>0</v>
      </c>
      <c r="CA70" s="31" t="n">
        <v>0</v>
      </c>
      <c r="CB70" s="31" t="n">
        <v>0</v>
      </c>
      <c r="CC70" s="31" t="n">
        <v>0</v>
      </c>
      <c r="CD70" s="31" t="n">
        <v>0</v>
      </c>
      <c r="CE70" s="31" t="n">
        <v>0</v>
      </c>
      <c r="CF70" s="30" t="n">
        <f aca="false">CD70+CE70</f>
        <v>0</v>
      </c>
      <c r="CG70" s="31" t="n">
        <v>0</v>
      </c>
      <c r="CH70" s="31" t="n">
        <v>0</v>
      </c>
      <c r="CI70" s="31" t="n">
        <v>0</v>
      </c>
      <c r="CJ70" s="31" t="n">
        <v>0</v>
      </c>
      <c r="CK70" s="31" t="n">
        <v>0</v>
      </c>
      <c r="CL70" s="30" t="n">
        <f aca="false">CJ70+CK70</f>
        <v>0</v>
      </c>
      <c r="CM70" s="32" t="n">
        <f aca="false">CM125*$CL$70/($CL$14+$CL$31+$CL$51+$CL$70)</f>
        <v>0</v>
      </c>
      <c r="CN70" s="32" t="n">
        <f aca="false">CN125*$CL$70/($CL$14+$CL$31+$CL$51+$CL$70)</f>
        <v>0</v>
      </c>
      <c r="CO70" s="32" t="n">
        <f aca="false">SUM(CJ70,CK70,CM70,CN70)</f>
        <v>0</v>
      </c>
      <c r="CP70" s="32" t="n">
        <f aca="false">CP371*$CL$70/($CL$14+$CL$31+$CL$51+$CL$70)</f>
        <v>0</v>
      </c>
      <c r="CQ70" s="32" t="n">
        <f aca="false">CQ371*$CL$70/($CL$14+$CL$31+$CL$51+$CL$70)</f>
        <v>0</v>
      </c>
      <c r="CR70" s="32" t="n">
        <f aca="false">CR371*$CL$70/($CL$14+$CL$31+$CL$51+$CL$70)</f>
        <v>0</v>
      </c>
      <c r="CS70" s="32" t="n">
        <f aca="false">CS371*$CL$70/($CL$14+$CL$31+$CL$51+$CL$70)</f>
        <v>0</v>
      </c>
      <c r="CT70" s="23" t="s">
        <v>112</v>
      </c>
      <c r="CV70" s="7"/>
      <c r="CW70" s="7"/>
      <c r="CX70" s="7"/>
      <c r="CY70" s="7"/>
      <c r="DB70" s="13" t="s">
        <v>132</v>
      </c>
      <c r="DC70" s="45" t="n">
        <f aca="false">MAX(0,DD70+$DC$68)</f>
        <v>1750</v>
      </c>
      <c r="DD70" s="38" t="n">
        <v>1000</v>
      </c>
      <c r="DE70" s="45" t="n">
        <f aca="false">MAX(0,DD70+$DE$68)</f>
        <v>500</v>
      </c>
    </row>
    <row r="71" customFormat="false" ht="15" hidden="false" customHeight="true" outlineLevel="0" collapsed="false">
      <c r="B71" s="13" t="s">
        <v>114</v>
      </c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3" t="n">
        <v>0</v>
      </c>
      <c r="CN71" s="33" t="n">
        <v>0</v>
      </c>
      <c r="CO71" s="32" t="n">
        <f aca="false">SUM(CJ71,CK71,CM71,CN71)</f>
        <v>0</v>
      </c>
      <c r="CP71" s="33" t="n">
        <v>0</v>
      </c>
      <c r="CQ71" s="33" t="n">
        <v>0</v>
      </c>
      <c r="CR71" s="33" t="n">
        <v>0</v>
      </c>
      <c r="CS71" s="33" t="n">
        <v>0</v>
      </c>
      <c r="CT71" s="23"/>
      <c r="CV71" s="7"/>
      <c r="CW71" s="7"/>
      <c r="CX71" s="7"/>
      <c r="CY71" s="7"/>
      <c r="DB71" s="13" t="s">
        <v>134</v>
      </c>
      <c r="DC71" s="45" t="n">
        <f aca="false">MAX(0,DD71+$DC$68)</f>
        <v>1750</v>
      </c>
      <c r="DD71" s="38" t="n">
        <v>1000</v>
      </c>
      <c r="DE71" s="45" t="n">
        <f aca="false">MAX(0,DD71+$DE$68)</f>
        <v>500</v>
      </c>
    </row>
    <row r="72" customFormat="false" ht="15" hidden="false" customHeight="true" outlineLevel="0" collapsed="false">
      <c r="B72" s="34" t="s">
        <v>117</v>
      </c>
      <c r="C72" s="35" t="str">
        <f aca="false">IF(OR(ISNUMBER(C73),ISNUMBER(C70)),C69+N(C70)+N(C71),"")</f>
        <v/>
      </c>
      <c r="D72" s="35" t="str">
        <f aca="false">IF(OR(ISNUMBER(D73),ISNUMBER(D70)),D69+N(D70)+N(D71),"")</f>
        <v/>
      </c>
      <c r="E72" s="35" t="str">
        <f aca="false">IF(OR(ISNUMBER(E73),ISNUMBER(E70)),E69+N(E70)+N(E71),"")</f>
        <v/>
      </c>
      <c r="F72" s="35" t="str">
        <f aca="false">IF(OR(ISNUMBER(F73),ISNUMBER(F70)),F69+N(F70)+N(F71),"")</f>
        <v/>
      </c>
      <c r="G72" s="35" t="str">
        <f aca="false">IF(OR(ISNUMBER(G73),ISNUMBER(G70)),G69+N(G70)+N(G71),"")</f>
        <v/>
      </c>
      <c r="H72" s="35" t="str">
        <f aca="false">IF(OR(ISNUMBER(H73),ISNUMBER(H70)),H69+N(H70)+N(H71),"")</f>
        <v/>
      </c>
      <c r="I72" s="35" t="str">
        <f aca="false">IF(OR(ISNUMBER(I73),ISNUMBER(I70)),I69+N(I70)+N(I71),"")</f>
        <v/>
      </c>
      <c r="J72" s="20" t="str">
        <f aca="false">IF(OR(ISNUMBER(J73),ISNUMBER(J70)),J69+N(J70)+N(J71),"")</f>
        <v/>
      </c>
      <c r="K72" s="20" t="str">
        <f aca="false">IF(OR(ISNUMBER(K73),ISNUMBER(K70)),K69+N(K70)+N(K71),"")</f>
        <v/>
      </c>
      <c r="L72" s="20" t="str">
        <f aca="false">IF(OR(ISNUMBER(L73),ISNUMBER(L70)),L69+N(L70)+N(L71),"")</f>
        <v/>
      </c>
      <c r="M72" s="20" t="str">
        <f aca="false">IF(OR(ISNUMBER(M73),ISNUMBER(M70)),M69+N(M70)+N(M71),"")</f>
        <v/>
      </c>
      <c r="N72" s="20" t="str">
        <f aca="false">IF(OR(ISNUMBER(N73),ISNUMBER(N70)),N69+N(N70)+N(N71),"")</f>
        <v/>
      </c>
      <c r="O72" s="35" t="str">
        <f aca="false">IF(OR(ISNUMBER(O73),ISNUMBER(O70)),O69+N(O70)+N(O71),"")</f>
        <v/>
      </c>
      <c r="P72" s="20" t="str">
        <f aca="false">IF(OR(ISNUMBER(P73),ISNUMBER(P70)),P69+N(P70)+N(P71),"")</f>
        <v/>
      </c>
      <c r="Q72" s="20" t="str">
        <f aca="false">IF(OR(ISNUMBER(Q73),ISNUMBER(Q70)),Q69+N(Q70)+N(Q71),"")</f>
        <v/>
      </c>
      <c r="R72" s="20" t="str">
        <f aca="false">IF(OR(ISNUMBER(R73),ISNUMBER(R70)),R69+N(R70)+N(R71),"")</f>
        <v/>
      </c>
      <c r="S72" s="20" t="str">
        <f aca="false">IF(OR(ISNUMBER(S73),ISNUMBER(S70)),S69+N(S70)+N(S71),"")</f>
        <v/>
      </c>
      <c r="T72" s="20" t="str">
        <f aca="false">IF(OR(ISNUMBER(T73),ISNUMBER(T70)),T69+N(T70)+N(T71),"")</f>
        <v/>
      </c>
      <c r="U72" s="35" t="str">
        <f aca="false">IF(OR(ISNUMBER(U73),ISNUMBER(U70)),U69+N(U70)+N(U71),"")</f>
        <v/>
      </c>
      <c r="V72" s="20" t="str">
        <f aca="false">IF(OR(ISNUMBER(V73),ISNUMBER(V70)),V69+N(V70)+N(V71),"")</f>
        <v/>
      </c>
      <c r="W72" s="20" t="str">
        <f aca="false">IF(OR(ISNUMBER(W73),ISNUMBER(W70)),W69+N(W70)+N(W71),"")</f>
        <v/>
      </c>
      <c r="X72" s="20" t="str">
        <f aca="false">IF(OR(ISNUMBER(X73),ISNUMBER(X70)),X69+N(X70)+N(X71),"")</f>
        <v/>
      </c>
      <c r="Y72" s="20" t="str">
        <f aca="false">IF(OR(ISNUMBER(Y73),ISNUMBER(Y70)),Y69+N(Y70)+N(Y71),"")</f>
        <v/>
      </c>
      <c r="Z72" s="20" t="str">
        <f aca="false">IF(OR(ISNUMBER(Z73),ISNUMBER(Z70)),Z69+N(Z70)+N(Z71),"")</f>
        <v/>
      </c>
      <c r="AA72" s="35" t="str">
        <f aca="false">IF(OR(ISNUMBER(AA73),ISNUMBER(AA70)),AA69+N(AA70)+N(AA71),"")</f>
        <v/>
      </c>
      <c r="AB72" s="20" t="str">
        <f aca="false">IF(OR(ISNUMBER(AB73),ISNUMBER(AB70)),AB69+N(AB70)+N(AB71),"")</f>
        <v/>
      </c>
      <c r="AC72" s="20" t="str">
        <f aca="false">IF(OR(ISNUMBER(AC73),ISNUMBER(AC70)),AC69+N(AC70)+N(AC71),"")</f>
        <v/>
      </c>
      <c r="AD72" s="20" t="str">
        <f aca="false">IF(OR(ISNUMBER(AD73),ISNUMBER(AD70)),AD69+N(AD70)+N(AD71),"")</f>
        <v/>
      </c>
      <c r="AE72" s="20" t="str">
        <f aca="false">IF(OR(ISNUMBER(AE73),ISNUMBER(AE70)),AE69+N(AE70)+N(AE71),"")</f>
        <v/>
      </c>
      <c r="AF72" s="20" t="str">
        <f aca="false">IF(OR(ISNUMBER(AF73),ISNUMBER(AF70)),AF69+N(AF70)+N(AF71),"")</f>
        <v/>
      </c>
      <c r="AG72" s="35" t="str">
        <f aca="false">IF(OR(ISNUMBER(AG73),ISNUMBER(AG70)),AG69+N(AG70)+N(AG71),"")</f>
        <v/>
      </c>
      <c r="AH72" s="20" t="str">
        <f aca="false">IF(OR(ISNUMBER(AH73),ISNUMBER(AH70)),AH69+N(AH70)+N(AH71),"")</f>
        <v/>
      </c>
      <c r="AI72" s="20" t="str">
        <f aca="false">IF(OR(ISNUMBER(AI73),ISNUMBER(AI70)),AI69+N(AI70)+N(AI71),"")</f>
        <v/>
      </c>
      <c r="AJ72" s="20" t="str">
        <f aca="false">IF(OR(ISNUMBER(AJ73),ISNUMBER(AJ70)),AJ69+N(AJ70)+N(AJ71),"")</f>
        <v/>
      </c>
      <c r="AK72" s="20" t="str">
        <f aca="false">IF(OR(ISNUMBER(AK73),ISNUMBER(AK70)),AK69+N(AK70)+N(AK71),"")</f>
        <v/>
      </c>
      <c r="AL72" s="20" t="str">
        <f aca="false">IF(OR(ISNUMBER(AL73),ISNUMBER(AL70)),AL69+N(AL70)+N(AL71),"")</f>
        <v/>
      </c>
      <c r="AM72" s="35" t="str">
        <f aca="false">IF(OR(ISNUMBER(AM73),ISNUMBER(AM70)),AM69+N(AM70)+N(AM71),"")</f>
        <v/>
      </c>
      <c r="AN72" s="20" t="str">
        <f aca="false">IF(OR(ISNUMBER(AN73),ISNUMBER(AN70)),AN69+N(AN70)+N(AN71),"")</f>
        <v/>
      </c>
      <c r="AO72" s="20" t="str">
        <f aca="false">IF(OR(ISNUMBER(AO73),ISNUMBER(AO70)),AO69+N(AO70)+N(AO71),"")</f>
        <v/>
      </c>
      <c r="AP72" s="20" t="str">
        <f aca="false">IF(OR(ISNUMBER(AP73),ISNUMBER(AP70)),AP69+N(AP70)+N(AP71),"")</f>
        <v/>
      </c>
      <c r="AQ72" s="20" t="str">
        <f aca="false">IF(OR(ISNUMBER(AQ73),ISNUMBER(AQ70)),AQ69+N(AQ70)+N(AQ71),"")</f>
        <v/>
      </c>
      <c r="AR72" s="20" t="str">
        <f aca="false">IF(OR(ISNUMBER(AR73),ISNUMBER(AR70)),AR69+N(AR70)+N(AR71),"")</f>
        <v/>
      </c>
      <c r="AS72" s="35" t="str">
        <f aca="false">IF(OR(ISNUMBER(AS73),ISNUMBER(AS70)),AS69+N(AS70)+N(AS71),"")</f>
        <v/>
      </c>
      <c r="AT72" s="20" t="str">
        <f aca="false">IF(OR(ISNUMBER(AT73),ISNUMBER(AT70)),AT69+N(AT70)+N(AT71),"")</f>
        <v/>
      </c>
      <c r="AU72" s="20" t="str">
        <f aca="false">IF(OR(ISNUMBER(AU73),ISNUMBER(AU70)),AU69+N(AU70)+N(AU71),"")</f>
        <v/>
      </c>
      <c r="AV72" s="20" t="str">
        <f aca="false">IF(OR(ISNUMBER(AV73),ISNUMBER(AV70)),AV69+N(AV70)+N(AV71),"")</f>
        <v/>
      </c>
      <c r="AW72" s="20" t="str">
        <f aca="false">IF(OR(ISNUMBER(AW73),ISNUMBER(AW70)),AW69+N(AW70)+N(AW71),"")</f>
        <v/>
      </c>
      <c r="AX72" s="20" t="str">
        <f aca="false">IF(OR(ISNUMBER(AX73),ISNUMBER(AX70)),AX69+N(AX70)+N(AX71),"")</f>
        <v/>
      </c>
      <c r="AY72" s="35" t="str">
        <f aca="false">IF(OR(ISNUMBER(AY73),ISNUMBER(AY70)),AY69+N(AY70)+N(AY71),"")</f>
        <v/>
      </c>
      <c r="AZ72" s="20" t="n">
        <f aca="false">IF(OR(ISNUMBER(AZ73),ISNUMBER(AZ70)),AZ69+N(AZ70)+N(AZ71),"")</f>
        <v>11.4</v>
      </c>
      <c r="BA72" s="20" t="n">
        <f aca="false">IF(OR(ISNUMBER(BA73),ISNUMBER(BA70)),BA69+N(BA70)+N(BA71),"")</f>
        <v>10.8</v>
      </c>
      <c r="BB72" s="20" t="n">
        <f aca="false">IF(OR(ISNUMBER(BB73),ISNUMBER(BB70)),BB69+N(BB70)+N(BB71),"")</f>
        <v>22.2</v>
      </c>
      <c r="BC72" s="20" t="n">
        <f aca="false">IF(OR(ISNUMBER(BC73),ISNUMBER(BC70)),BC69+N(BC70)+N(BC71),"")</f>
        <v>12.5</v>
      </c>
      <c r="BD72" s="20" t="n">
        <f aca="false">IF(OR(ISNUMBER(BD73),ISNUMBER(BD70)),BD69+N(BD70)+N(BD71),"")</f>
        <v>15.4</v>
      </c>
      <c r="BE72" s="35" t="n">
        <f aca="false">IF(OR(ISNUMBER(BE73),ISNUMBER(BE70)),BE69+N(BE70)+N(BE71),"")</f>
        <v>50.1</v>
      </c>
      <c r="BF72" s="20" t="n">
        <f aca="false">IF(OR(ISNUMBER(BF73),ISNUMBER(BF70)),BF69+N(BF70)+N(BF71),"")</f>
        <v>14.9</v>
      </c>
      <c r="BG72" s="20" t="n">
        <f aca="false">IF(OR(ISNUMBER(BG73),ISNUMBER(BG70)),BG69+N(BG70)+N(BG71),"")</f>
        <v>11</v>
      </c>
      <c r="BH72" s="20" t="n">
        <f aca="false">IF(OR(ISNUMBER(BH73),ISNUMBER(BH70)),BH69+N(BH70)+N(BH71),"")</f>
        <v>25.9</v>
      </c>
      <c r="BI72" s="20" t="n">
        <f aca="false">IF(OR(ISNUMBER(BI73),ISNUMBER(BI70)),BI69+N(BI70)+N(BI71),"")</f>
        <v>11.5</v>
      </c>
      <c r="BJ72" s="20" t="n">
        <f aca="false">IF(OR(ISNUMBER(BJ73),ISNUMBER(BJ70)),BJ69+N(BJ70)+N(BJ71),"")</f>
        <v>11.2</v>
      </c>
      <c r="BK72" s="35" t="n">
        <f aca="false">IF(OR(ISNUMBER(BK73),ISNUMBER(BK70)),BK69+N(BK70)+N(BK71),"")</f>
        <v>48.6</v>
      </c>
      <c r="BL72" s="20" t="n">
        <f aca="false">IF(OR(ISNUMBER(BL73),ISNUMBER(BL70)),BL69+N(BL70)+N(BL71),"")</f>
        <v>9.4</v>
      </c>
      <c r="BM72" s="20" t="n">
        <f aca="false">IF(OR(ISNUMBER(BM73),ISNUMBER(BM70)),BM69+N(BM70)+N(BM71),"")</f>
        <v>8.6</v>
      </c>
      <c r="BN72" s="20" t="n">
        <f aca="false">IF(OR(ISNUMBER(BN73),ISNUMBER(BN70)),BN69+N(BN70)+N(BN71),"")</f>
        <v>18</v>
      </c>
      <c r="BO72" s="20" t="n">
        <f aca="false">IF(OR(ISNUMBER(BO73),ISNUMBER(BO70)),BO69+N(BO70)+N(BO71),"")</f>
        <v>11.9</v>
      </c>
      <c r="BP72" s="20" t="n">
        <f aca="false">IF(OR(ISNUMBER(BP73),ISNUMBER(BP70)),BP69+N(BP70)+N(BP71),"")</f>
        <v>9.3</v>
      </c>
      <c r="BQ72" s="35" t="n">
        <f aca="false">IF(OR(ISNUMBER(BQ73),ISNUMBER(BQ70)),BQ69+N(BQ70)+N(BQ71),"")</f>
        <v>39.2</v>
      </c>
      <c r="BR72" s="20" t="n">
        <f aca="false">IF(OR(ISNUMBER(BR73),ISNUMBER(BR70)),BR69+N(BR70)+N(BR71),"")</f>
        <v>10</v>
      </c>
      <c r="BS72" s="20" t="n">
        <f aca="false">IF(OR(ISNUMBER(BS73),ISNUMBER(BS70)),BS69+N(BS70)+N(BS71),"")</f>
        <v>11.5</v>
      </c>
      <c r="BT72" s="20" t="n">
        <f aca="false">IF(OR(ISNUMBER(BT73),ISNUMBER(BT70)),BT69+N(BT70)+N(BT71),"")</f>
        <v>21.5</v>
      </c>
      <c r="BU72" s="20" t="n">
        <f aca="false">IF(OR(ISNUMBER(BU73),ISNUMBER(BU70)),BU69+N(BU70)+N(BU71),"")</f>
        <v>10.9</v>
      </c>
      <c r="BV72" s="20" t="n">
        <f aca="false">IF(OR(ISNUMBER(BV73),ISNUMBER(BV70)),BV69+N(BV70)+N(BV71),"")</f>
        <v>12.3</v>
      </c>
      <c r="BW72" s="35" t="n">
        <f aca="false">IF(OR(ISNUMBER(BW73),ISNUMBER(BW70)),BW69+N(BW70)+N(BW71),"")</f>
        <v>44.7</v>
      </c>
      <c r="BX72" s="20" t="n">
        <f aca="false">IF(OR(ISNUMBER(BX73),ISNUMBER(BX70)),BX69+N(BX70)+N(BX71),"")</f>
        <v>2.7</v>
      </c>
      <c r="BY72" s="20" t="n">
        <f aca="false">IF(OR(ISNUMBER(BY73),ISNUMBER(BY70)),BY69+N(BY70)+N(BY71),"")</f>
        <v>7.5</v>
      </c>
      <c r="BZ72" s="20" t="n">
        <f aca="false">IF(OR(ISNUMBER(BZ73),ISNUMBER(BZ70)),BZ69+N(BZ70)+N(BZ71),"")</f>
        <v>10.2</v>
      </c>
      <c r="CA72" s="20" t="n">
        <f aca="false">IF(OR(ISNUMBER(CA73),ISNUMBER(CA70)),CA69+N(CA70)+N(CA71),"")</f>
        <v>12.9</v>
      </c>
      <c r="CB72" s="20" t="n">
        <f aca="false">IF(OR(ISNUMBER(CB73),ISNUMBER(CB70)),CB69+N(CB70)+N(CB71),"")</f>
        <v>9.8</v>
      </c>
      <c r="CC72" s="35" t="n">
        <f aca="false">IF(OR(ISNUMBER(CC73),ISNUMBER(CC70)),CC69+N(CC70)+N(CC71),"")</f>
        <v>32.9</v>
      </c>
      <c r="CD72" s="20" t="n">
        <f aca="false">IF(OR(ISNUMBER(CD73),ISNUMBER(CD70)),CD69+N(CD70)+N(CD71),"")</f>
        <v>10.8</v>
      </c>
      <c r="CE72" s="20" t="n">
        <f aca="false">IF(OR(ISNUMBER(CE73),ISNUMBER(CE70)),CE69+N(CE70)+N(CE71),"")</f>
        <v>12.1</v>
      </c>
      <c r="CF72" s="20" t="n">
        <f aca="false">IF(OR(ISNUMBER(CF73),ISNUMBER(CF70)),CF69+N(CF70)+N(CF71),"")</f>
        <v>22.9</v>
      </c>
      <c r="CG72" s="20" t="n">
        <f aca="false">IF(OR(ISNUMBER(CG73),ISNUMBER(CG70)),CG69+N(CG70)+N(CG71),"")</f>
        <v>12.2</v>
      </c>
      <c r="CH72" s="20" t="n">
        <f aca="false">IF(OR(ISNUMBER(CH73),ISNUMBER(CH70)),CH69+N(CH70)+N(CH71),"")</f>
        <v>11.5</v>
      </c>
      <c r="CI72" s="35" t="n">
        <f aca="false">IF(OR(ISNUMBER(CI73),ISNUMBER(CI70)),CI69+N(CI70)+N(CI71),"")</f>
        <v>46.6</v>
      </c>
      <c r="CJ72" s="20" t="n">
        <f aca="false">IF(OR(ISNUMBER(CJ73),ISNUMBER(CJ70)),CJ69+N(CJ70)+N(CJ71),"")</f>
        <v>11.7</v>
      </c>
      <c r="CK72" s="20" t="n">
        <f aca="false">IF(OR(ISNUMBER(CK73),ISNUMBER(CK70)),CK69+N(CK70)+N(CK71),"")</f>
        <v>15.1</v>
      </c>
      <c r="CL72" s="20" t="n">
        <f aca="false">IF(OR(ISNUMBER(CL73),ISNUMBER(CL70)),CL69+N(CL70)+N(CL71),"")</f>
        <v>26.8</v>
      </c>
      <c r="CM72" s="35" t="n">
        <f aca="false">CM67*CM76</f>
        <v>13.887158702081</v>
      </c>
      <c r="CN72" s="35" t="n">
        <f aca="false">CN67*CN76</f>
        <v>10.9070134020664</v>
      </c>
      <c r="CO72" s="35" t="n">
        <f aca="false">SUM(CJ72,CK72,CM72,CN72)</f>
        <v>51.5941721041474</v>
      </c>
      <c r="CP72" s="35" t="n">
        <f aca="false">CP67*CP76</f>
        <v>55.0884864913871</v>
      </c>
      <c r="CQ72" s="35" t="n">
        <f aca="false">CQ67*CQ76</f>
        <v>59.782983601088</v>
      </c>
      <c r="CR72" s="35" t="n">
        <f aca="false">CR67*CR76</f>
        <v>62.1743029451315</v>
      </c>
      <c r="CS72" s="35" t="n">
        <f aca="false">CS67*CS76</f>
        <v>67.3554948572258</v>
      </c>
      <c r="CT72" s="23" t="s">
        <v>118</v>
      </c>
      <c r="CV72" s="24" t="n">
        <f aca="false">IFERROR((CS72/CI72)^(1/5)-1,"n/m")</f>
        <v>0.0764588259286452</v>
      </c>
      <c r="CW72" s="24" t="n">
        <f aca="false">IFERROR((CI72/BE72)^(1/5)-1,"n/m")</f>
        <v>-0.0143797035164609</v>
      </c>
      <c r="CX72" s="24" t="str">
        <f aca="false">IFERROR((CI72/AA72)^(1/10)-1,"n/m")</f>
        <v>n/m</v>
      </c>
      <c r="CY72" s="24" t="str">
        <f aca="false">IFERROR((CI72/C72)^(1/19)-1,"n/m")</f>
        <v>n/m</v>
      </c>
      <c r="DB72" s="13" t="s">
        <v>136</v>
      </c>
      <c r="DC72" s="45" t="n">
        <f aca="false">MAX(0,DD72+$DC$68)</f>
        <v>1750</v>
      </c>
      <c r="DD72" s="38" t="n">
        <v>1000</v>
      </c>
      <c r="DE72" s="45" t="n">
        <f aca="false">MAX(0,DD72+$DE$68)</f>
        <v>500</v>
      </c>
    </row>
    <row r="73" customFormat="false" ht="15" hidden="false" customHeight="true" outlineLevel="0" collapsed="false">
      <c r="B73" s="37" t="s">
        <v>120</v>
      </c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1" t="n">
        <v>11.4</v>
      </c>
      <c r="BA73" s="31" t="n">
        <v>10.8</v>
      </c>
      <c r="BB73" s="30" t="n">
        <f aca="false">AZ73+BA73</f>
        <v>22.2</v>
      </c>
      <c r="BC73" s="31" t="n">
        <v>12.5</v>
      </c>
      <c r="BD73" s="31" t="n">
        <v>15.4</v>
      </c>
      <c r="BE73" s="31" t="n">
        <v>50.1</v>
      </c>
      <c r="BF73" s="31" t="n">
        <v>14.9</v>
      </c>
      <c r="BG73" s="31" t="n">
        <v>11</v>
      </c>
      <c r="BH73" s="30" t="n">
        <f aca="false">BF73+BG73</f>
        <v>25.9</v>
      </c>
      <c r="BI73" s="31" t="n">
        <v>11.5</v>
      </c>
      <c r="BJ73" s="31" t="n">
        <v>11.2</v>
      </c>
      <c r="BK73" s="31" t="n">
        <v>48.6</v>
      </c>
      <c r="BL73" s="31" t="n">
        <v>9.4</v>
      </c>
      <c r="BM73" s="31" t="n">
        <v>8.6</v>
      </c>
      <c r="BN73" s="30" t="n">
        <f aca="false">BL73+BM73</f>
        <v>18</v>
      </c>
      <c r="BO73" s="31" t="n">
        <v>11.9</v>
      </c>
      <c r="BP73" s="31" t="n">
        <v>9.3</v>
      </c>
      <c r="BQ73" s="31" t="n">
        <v>39.2</v>
      </c>
      <c r="BR73" s="31" t="n">
        <v>10</v>
      </c>
      <c r="BS73" s="31" t="n">
        <v>11.5</v>
      </c>
      <c r="BT73" s="30" t="n">
        <f aca="false">BR73+BS73</f>
        <v>21.5</v>
      </c>
      <c r="BU73" s="31" t="n">
        <v>10.9</v>
      </c>
      <c r="BV73" s="31" t="n">
        <v>12.3</v>
      </c>
      <c r="BW73" s="31" t="n">
        <v>44.7</v>
      </c>
      <c r="BX73" s="31" t="n">
        <v>2.7</v>
      </c>
      <c r="BY73" s="31" t="n">
        <v>7.5</v>
      </c>
      <c r="BZ73" s="30" t="n">
        <f aca="false">BX73+BY73</f>
        <v>10.2</v>
      </c>
      <c r="CA73" s="31" t="n">
        <v>12.9</v>
      </c>
      <c r="CB73" s="31" t="n">
        <v>9.8</v>
      </c>
      <c r="CC73" s="31" t="n">
        <v>32.9</v>
      </c>
      <c r="CD73" s="31" t="n">
        <v>10.8</v>
      </c>
      <c r="CE73" s="31" t="n">
        <v>12.1</v>
      </c>
      <c r="CF73" s="30" t="n">
        <f aca="false">CD73+CE73</f>
        <v>22.9</v>
      </c>
      <c r="CG73" s="31" t="n">
        <v>12.2</v>
      </c>
      <c r="CH73" s="31" t="n">
        <v>11.5</v>
      </c>
      <c r="CI73" s="31" t="n">
        <v>46.6</v>
      </c>
      <c r="CJ73" s="31" t="n">
        <v>11.7</v>
      </c>
      <c r="CK73" s="31" t="n">
        <v>15.1</v>
      </c>
      <c r="CL73" s="30" t="n">
        <f aca="false">CJ73+CK73</f>
        <v>26.8</v>
      </c>
      <c r="CM73" s="32"/>
      <c r="CN73" s="32"/>
      <c r="CO73" s="32"/>
      <c r="CP73" s="32"/>
      <c r="CQ73" s="32"/>
      <c r="CR73" s="32"/>
      <c r="CS73" s="32"/>
      <c r="CT73" s="23"/>
      <c r="CV73" s="7"/>
      <c r="CW73" s="7"/>
      <c r="CX73" s="7"/>
      <c r="CY73" s="7"/>
    </row>
    <row r="74" customFormat="false" ht="15" hidden="false" customHeight="true" outlineLevel="0" collapsed="false">
      <c r="B74" s="39" t="s">
        <v>122</v>
      </c>
      <c r="C74" s="30" t="str">
        <f aca="false">IF(ISNUMBER(C73),ROUND(C72-C73,1),"n/p")</f>
        <v>n/p</v>
      </c>
      <c r="D74" s="30" t="str">
        <f aca="false">IF(ISNUMBER(D73),ROUND(D72-D73,1),"n/p")</f>
        <v>n/p</v>
      </c>
      <c r="E74" s="30" t="str">
        <f aca="false">IF(ISNUMBER(E73),ROUND(E72-E73,1),"n/p")</f>
        <v>n/p</v>
      </c>
      <c r="F74" s="30" t="str">
        <f aca="false">IF(ISNUMBER(F73),ROUND(F72-F73,1),"n/p")</f>
        <v>n/p</v>
      </c>
      <c r="G74" s="30" t="str">
        <f aca="false">IF(ISNUMBER(G73),ROUND(G72-G73,1),"n/p")</f>
        <v>n/p</v>
      </c>
      <c r="H74" s="30" t="str">
        <f aca="false">IF(ISNUMBER(H73),ROUND(H72-H73,1),"n/p")</f>
        <v>n/p</v>
      </c>
      <c r="I74" s="30" t="str">
        <f aca="false">IF(ISNUMBER(I73),ROUND(I72-I73,1),"n/p")</f>
        <v>n/p</v>
      </c>
      <c r="J74" s="30" t="str">
        <f aca="false">IF(ISNUMBER(J73),ROUND(J72-J73,1),"n/p")</f>
        <v>n/p</v>
      </c>
      <c r="K74" s="30" t="str">
        <f aca="false">IF(ISNUMBER(K73),ROUND(K72-K73,1),"n/p")</f>
        <v>n/p</v>
      </c>
      <c r="L74" s="30" t="str">
        <f aca="false">IF(ISNUMBER(L73),ROUND(L72-L73,1),"n/p")</f>
        <v>n/p</v>
      </c>
      <c r="M74" s="30" t="str">
        <f aca="false">IF(ISNUMBER(M73),ROUND(M72-M73,1),"n/p")</f>
        <v>n/p</v>
      </c>
      <c r="N74" s="30" t="str">
        <f aca="false">IF(ISNUMBER(N73),ROUND(N72-N73,1),"n/p")</f>
        <v>n/p</v>
      </c>
      <c r="O74" s="30" t="str">
        <f aca="false">IF(ISNUMBER(O73),ROUND(O72-O73,1),"n/p")</f>
        <v>n/p</v>
      </c>
      <c r="P74" s="30" t="str">
        <f aca="false">IF(ISNUMBER(P73),ROUND(P72-P73,1),"n/p")</f>
        <v>n/p</v>
      </c>
      <c r="Q74" s="30" t="str">
        <f aca="false">IF(ISNUMBER(Q73),ROUND(Q72-Q73,1),"n/p")</f>
        <v>n/p</v>
      </c>
      <c r="R74" s="30" t="str">
        <f aca="false">IF(ISNUMBER(R73),ROUND(R72-R73,1),"n/p")</f>
        <v>n/p</v>
      </c>
      <c r="S74" s="30" t="str">
        <f aca="false">IF(ISNUMBER(S73),ROUND(S72-S73,1),"n/p")</f>
        <v>n/p</v>
      </c>
      <c r="T74" s="30" t="str">
        <f aca="false">IF(ISNUMBER(T73),ROUND(T72-T73,1),"n/p")</f>
        <v>n/p</v>
      </c>
      <c r="U74" s="30" t="str">
        <f aca="false">IF(ISNUMBER(U73),ROUND(U72-U73,1),"n/p")</f>
        <v>n/p</v>
      </c>
      <c r="V74" s="30" t="str">
        <f aca="false">IF(ISNUMBER(V73),ROUND(V72-V73,1),"n/p")</f>
        <v>n/p</v>
      </c>
      <c r="W74" s="30" t="str">
        <f aca="false">IF(ISNUMBER(W73),ROUND(W72-W73,1),"n/p")</f>
        <v>n/p</v>
      </c>
      <c r="X74" s="30" t="str">
        <f aca="false">IF(ISNUMBER(X73),ROUND(X72-X73,1),"n/p")</f>
        <v>n/p</v>
      </c>
      <c r="Y74" s="30" t="str">
        <f aca="false">IF(ISNUMBER(Y73),ROUND(Y72-Y73,1),"n/p")</f>
        <v>n/p</v>
      </c>
      <c r="Z74" s="30" t="str">
        <f aca="false">IF(ISNUMBER(Z73),ROUND(Z72-Z73,1),"n/p")</f>
        <v>n/p</v>
      </c>
      <c r="AA74" s="30" t="str">
        <f aca="false">IF(ISNUMBER(AA73),ROUND(AA72-AA73,1),"n/p")</f>
        <v>n/p</v>
      </c>
      <c r="AB74" s="30" t="str">
        <f aca="false">IF(ISNUMBER(AB73),ROUND(AB72-AB73,1),"n/p")</f>
        <v>n/p</v>
      </c>
      <c r="AC74" s="30" t="str">
        <f aca="false">IF(ISNUMBER(AC73),ROUND(AC72-AC73,1),"n/p")</f>
        <v>n/p</v>
      </c>
      <c r="AD74" s="30" t="str">
        <f aca="false">IF(ISNUMBER(AD73),ROUND(AD72-AD73,1),"n/p")</f>
        <v>n/p</v>
      </c>
      <c r="AE74" s="30" t="str">
        <f aca="false">IF(ISNUMBER(AE73),ROUND(AE72-AE73,1),"n/p")</f>
        <v>n/p</v>
      </c>
      <c r="AF74" s="30" t="str">
        <f aca="false">IF(ISNUMBER(AF73),ROUND(AF72-AF73,1),"n/p")</f>
        <v>n/p</v>
      </c>
      <c r="AG74" s="30" t="str">
        <f aca="false">IF(ISNUMBER(AG73),ROUND(AG72-AG73,1),"n/p")</f>
        <v>n/p</v>
      </c>
      <c r="AH74" s="30" t="str">
        <f aca="false">IF(ISNUMBER(AH73),ROUND(AH72-AH73,1),"n/p")</f>
        <v>n/p</v>
      </c>
      <c r="AI74" s="30" t="str">
        <f aca="false">IF(ISNUMBER(AI73),ROUND(AI72-AI73,1),"n/p")</f>
        <v>n/p</v>
      </c>
      <c r="AJ74" s="30" t="str">
        <f aca="false">IF(ISNUMBER(AJ73),ROUND(AJ72-AJ73,1),"n/p")</f>
        <v>n/p</v>
      </c>
      <c r="AK74" s="30" t="str">
        <f aca="false">IF(ISNUMBER(AK73),ROUND(AK72-AK73,1),"n/p")</f>
        <v>n/p</v>
      </c>
      <c r="AL74" s="30" t="str">
        <f aca="false">IF(ISNUMBER(AL73),ROUND(AL72-AL73,1),"n/p")</f>
        <v>n/p</v>
      </c>
      <c r="AM74" s="30" t="str">
        <f aca="false">IF(ISNUMBER(AM73),ROUND(AM72-AM73,1),"n/p")</f>
        <v>n/p</v>
      </c>
      <c r="AN74" s="30" t="str">
        <f aca="false">IF(ISNUMBER(AN73),ROUND(AN72-AN73,1),"n/p")</f>
        <v>n/p</v>
      </c>
      <c r="AO74" s="30" t="str">
        <f aca="false">IF(ISNUMBER(AO73),ROUND(AO72-AO73,1),"n/p")</f>
        <v>n/p</v>
      </c>
      <c r="AP74" s="30" t="str">
        <f aca="false">IF(ISNUMBER(AP73),ROUND(AP72-AP73,1),"n/p")</f>
        <v>n/p</v>
      </c>
      <c r="AQ74" s="30" t="str">
        <f aca="false">IF(ISNUMBER(AQ73),ROUND(AQ72-AQ73,1),"n/p")</f>
        <v>n/p</v>
      </c>
      <c r="AR74" s="30" t="str">
        <f aca="false">IF(ISNUMBER(AR73),ROUND(AR72-AR73,1),"n/p")</f>
        <v>n/p</v>
      </c>
      <c r="AS74" s="30" t="str">
        <f aca="false">IF(ISNUMBER(AS73),ROUND(AS72-AS73,1),"n/p")</f>
        <v>n/p</v>
      </c>
      <c r="AT74" s="30" t="str">
        <f aca="false">IF(ISNUMBER(AT73),ROUND(AT72-AT73,1),"n/p")</f>
        <v>n/p</v>
      </c>
      <c r="AU74" s="30" t="str">
        <f aca="false">IF(ISNUMBER(AU73),ROUND(AU72-AU73,1),"n/p")</f>
        <v>n/p</v>
      </c>
      <c r="AV74" s="30" t="str">
        <f aca="false">IF(ISNUMBER(AV73),ROUND(AV72-AV73,1),"n/p")</f>
        <v>n/p</v>
      </c>
      <c r="AW74" s="30" t="str">
        <f aca="false">IF(ISNUMBER(AW73),ROUND(AW72-AW73,1),"n/p")</f>
        <v>n/p</v>
      </c>
      <c r="AX74" s="30" t="str">
        <f aca="false">IF(ISNUMBER(AX73),ROUND(AX72-AX73,1),"n/p")</f>
        <v>n/p</v>
      </c>
      <c r="AY74" s="30" t="str">
        <f aca="false">IF(ISNUMBER(AY73),ROUND(AY72-AY73,1),"n/p")</f>
        <v>n/p</v>
      </c>
      <c r="AZ74" s="30" t="n">
        <f aca="false">IF(ISNUMBER(AZ73),ROUND(AZ72-AZ73,1),"n/p")</f>
        <v>0</v>
      </c>
      <c r="BA74" s="30" t="n">
        <f aca="false">IF(ISNUMBER(BA73),ROUND(BA72-BA73,1),"n/p")</f>
        <v>0</v>
      </c>
      <c r="BB74" s="30" t="n">
        <f aca="false">IF(ISNUMBER(BB73),ROUND(BB72-BB73,1),"n/p")</f>
        <v>0</v>
      </c>
      <c r="BC74" s="30" t="n">
        <f aca="false">IF(ISNUMBER(BC73),ROUND(BC72-BC73,1),"n/p")</f>
        <v>0</v>
      </c>
      <c r="BD74" s="30" t="n">
        <f aca="false">IF(ISNUMBER(BD73),ROUND(BD72-BD73,1),"n/p")</f>
        <v>0</v>
      </c>
      <c r="BE74" s="30" t="n">
        <f aca="false">IF(ISNUMBER(BE73),ROUND(BE72-BE73,1),"n/p")</f>
        <v>0</v>
      </c>
      <c r="BF74" s="30" t="n">
        <f aca="false">IF(ISNUMBER(BF73),ROUND(BF72-BF73,1),"n/p")</f>
        <v>0</v>
      </c>
      <c r="BG74" s="30" t="n">
        <f aca="false">IF(ISNUMBER(BG73),ROUND(BG72-BG73,1),"n/p")</f>
        <v>0</v>
      </c>
      <c r="BH74" s="30" t="n">
        <f aca="false">IF(ISNUMBER(BH73),ROUND(BH72-BH73,1),"n/p")</f>
        <v>0</v>
      </c>
      <c r="BI74" s="30" t="n">
        <f aca="false">IF(ISNUMBER(BI73),ROUND(BI72-BI73,1),"n/p")</f>
        <v>0</v>
      </c>
      <c r="BJ74" s="30" t="n">
        <f aca="false">IF(ISNUMBER(BJ73),ROUND(BJ72-BJ73,1),"n/p")</f>
        <v>0</v>
      </c>
      <c r="BK74" s="30" t="n">
        <f aca="false">IF(ISNUMBER(BK73),ROUND(BK72-BK73,1),"n/p")</f>
        <v>0</v>
      </c>
      <c r="BL74" s="30" t="n">
        <f aca="false">IF(ISNUMBER(BL73),ROUND(BL72-BL73,1),"n/p")</f>
        <v>0</v>
      </c>
      <c r="BM74" s="30" t="n">
        <f aca="false">IF(ISNUMBER(BM73),ROUND(BM72-BM73,1),"n/p")</f>
        <v>0</v>
      </c>
      <c r="BN74" s="30" t="n">
        <f aca="false">IF(ISNUMBER(BN73),ROUND(BN72-BN73,1),"n/p")</f>
        <v>0</v>
      </c>
      <c r="BO74" s="30" t="n">
        <f aca="false">IF(ISNUMBER(BO73),ROUND(BO72-BO73,1),"n/p")</f>
        <v>0</v>
      </c>
      <c r="BP74" s="30" t="n">
        <f aca="false">IF(ISNUMBER(BP73),ROUND(BP72-BP73,1),"n/p")</f>
        <v>0</v>
      </c>
      <c r="BQ74" s="30" t="n">
        <f aca="false">IF(ISNUMBER(BQ73),ROUND(BQ72-BQ73,1),"n/p")</f>
        <v>0</v>
      </c>
      <c r="BR74" s="30" t="n">
        <f aca="false">IF(ISNUMBER(BR73),ROUND(BR72-BR73,1),"n/p")</f>
        <v>0</v>
      </c>
      <c r="BS74" s="30" t="n">
        <f aca="false">IF(ISNUMBER(BS73),ROUND(BS72-BS73,1),"n/p")</f>
        <v>0</v>
      </c>
      <c r="BT74" s="30" t="n">
        <f aca="false">IF(ISNUMBER(BT73),ROUND(BT72-BT73,1),"n/p")</f>
        <v>0</v>
      </c>
      <c r="BU74" s="30" t="n">
        <f aca="false">IF(ISNUMBER(BU73),ROUND(BU72-BU73,1),"n/p")</f>
        <v>0</v>
      </c>
      <c r="BV74" s="30" t="n">
        <f aca="false">IF(ISNUMBER(BV73),ROUND(BV72-BV73,1),"n/p")</f>
        <v>0</v>
      </c>
      <c r="BW74" s="30" t="n">
        <f aca="false">IF(ISNUMBER(BW73),ROUND(BW72-BW73,1),"n/p")</f>
        <v>0</v>
      </c>
      <c r="BX74" s="30" t="n">
        <f aca="false">IF(ISNUMBER(BX73),ROUND(BX72-BX73,1),"n/p")</f>
        <v>0</v>
      </c>
      <c r="BY74" s="30" t="n">
        <f aca="false">IF(ISNUMBER(BY73),ROUND(BY72-BY73,1),"n/p")</f>
        <v>0</v>
      </c>
      <c r="BZ74" s="30" t="n">
        <f aca="false">IF(ISNUMBER(BZ73),ROUND(BZ72-BZ73,1),"n/p")</f>
        <v>0</v>
      </c>
      <c r="CA74" s="30" t="n">
        <f aca="false">IF(ISNUMBER(CA73),ROUND(CA72-CA73,1),"n/p")</f>
        <v>0</v>
      </c>
      <c r="CB74" s="30" t="n">
        <f aca="false">IF(ISNUMBER(CB73),ROUND(CB72-CB73,1),"n/p")</f>
        <v>0</v>
      </c>
      <c r="CC74" s="30" t="n">
        <f aca="false">IF(ISNUMBER(CC73),ROUND(CC72-CC73,1),"n/p")</f>
        <v>0</v>
      </c>
      <c r="CD74" s="30" t="n">
        <f aca="false">IF(ISNUMBER(CD73),ROUND(CD72-CD73,1),"n/p")</f>
        <v>0</v>
      </c>
      <c r="CE74" s="30" t="n">
        <f aca="false">IF(ISNUMBER(CE73),ROUND(CE72-CE73,1),"n/p")</f>
        <v>0</v>
      </c>
      <c r="CF74" s="30" t="n">
        <f aca="false">IF(ISNUMBER(CF73),ROUND(CF72-CF73,1),"n/p")</f>
        <v>0</v>
      </c>
      <c r="CG74" s="30" t="n">
        <f aca="false">IF(ISNUMBER(CG73),ROUND(CG72-CG73,1),"n/p")</f>
        <v>0</v>
      </c>
      <c r="CH74" s="30" t="n">
        <f aca="false">IF(ISNUMBER(CH73),ROUND(CH72-CH73,1),"n/p")</f>
        <v>0</v>
      </c>
      <c r="CI74" s="30" t="n">
        <f aca="false">IF(ISNUMBER(CI73),ROUND(CI72-CI73,1),"n/p")</f>
        <v>0</v>
      </c>
      <c r="CJ74" s="30" t="n">
        <f aca="false">IF(ISNUMBER(CJ73),ROUND(CJ72-CJ73,1),"n/p")</f>
        <v>0</v>
      </c>
      <c r="CK74" s="30" t="n">
        <f aca="false">IF(ISNUMBER(CK73),ROUND(CK72-CK73,1),"n/p")</f>
        <v>0</v>
      </c>
      <c r="CL74" s="30" t="n">
        <f aca="false">IF(ISNUMBER(CL73),ROUND(CL72-CL73,1),"n/p")</f>
        <v>0</v>
      </c>
      <c r="CM74" s="32"/>
      <c r="CN74" s="32"/>
      <c r="CO74" s="32"/>
      <c r="CP74" s="32"/>
      <c r="CQ74" s="32"/>
      <c r="CR74" s="32"/>
      <c r="CS74" s="32"/>
      <c r="CT74" s="23"/>
      <c r="CV74" s="7"/>
      <c r="CW74" s="7"/>
      <c r="CX74" s="7"/>
      <c r="CY74" s="7"/>
      <c r="DB74" s="18" t="s">
        <v>170</v>
      </c>
      <c r="DC74" s="44" t="n">
        <v>250</v>
      </c>
      <c r="DD74" s="25" t="s">
        <v>127</v>
      </c>
      <c r="DE74" s="44" t="n">
        <v>-250</v>
      </c>
      <c r="DF74" s="16" t="s">
        <v>171</v>
      </c>
    </row>
    <row r="75" customFormat="false" ht="15" hidden="false" customHeight="true" outlineLevel="0" collapsed="false">
      <c r="B75" s="26" t="s">
        <v>123</v>
      </c>
      <c r="C75" s="40" t="str">
        <f aca="false">IFERROR(C69/C67,"")</f>
        <v/>
      </c>
      <c r="D75" s="40" t="str">
        <f aca="false">IFERROR(D69/D67,"")</f>
        <v/>
      </c>
      <c r="E75" s="40" t="n">
        <f aca="false">IFERROR(E69/E67,"")</f>
        <v>0.0973800139114306</v>
      </c>
      <c r="F75" s="40" t="n">
        <f aca="false">IFERROR(F69/F67,"")</f>
        <v>0.0768664047151277</v>
      </c>
      <c r="G75" s="40" t="n">
        <f aca="false">IFERROR(G69/G67,"")</f>
        <v>0.0910724985020971</v>
      </c>
      <c r="H75" s="40" t="n">
        <f aca="false">IFERROR(H69/H67,"")</f>
        <v>0.0922521339461589</v>
      </c>
      <c r="I75" s="40" t="n">
        <f aca="false">IFERROR(I69/I67,"")</f>
        <v>0.0945587259455873</v>
      </c>
      <c r="J75" s="40" t="n">
        <f aca="false">IFERROR(J69/J67,"")</f>
        <v>0.0898876404494382</v>
      </c>
      <c r="K75" s="40" t="n">
        <f aca="false">IFERROR(K69/K67,"")</f>
        <v>0.0820143884892086</v>
      </c>
      <c r="L75" s="40" t="n">
        <f aca="false">IFERROR(L69/L67,"")</f>
        <v>0.085998578535892</v>
      </c>
      <c r="M75" s="40" t="n">
        <f aca="false">IFERROR(M69/M67,"")</f>
        <v>0.04047976011994</v>
      </c>
      <c r="N75" s="40" t="n">
        <f aca="false">IFERROR(N69/N67,"")</f>
        <v>0.105109489051095</v>
      </c>
      <c r="O75" s="40" t="n">
        <f aca="false">IFERROR(O69/O67,"")</f>
        <v>0.0797390358825662</v>
      </c>
      <c r="P75" s="40" t="n">
        <f aca="false">IFERROR(P69/P67,"")</f>
        <v>0.102693602693603</v>
      </c>
      <c r="Q75" s="40" t="n">
        <f aca="false">IFERROR(Q69/Q67,"")</f>
        <v>0.105263157894737</v>
      </c>
      <c r="R75" s="40" t="n">
        <f aca="false">IFERROR(R69/R67,"")</f>
        <v>0.104032258064516</v>
      </c>
      <c r="S75" s="40" t="n">
        <f aca="false">IFERROR(S69/S67,"")</f>
        <v>0.115961800818554</v>
      </c>
      <c r="T75" s="40" t="n">
        <f aca="false">IFERROR(T69/T67,"")</f>
        <v>0.134048257372654</v>
      </c>
      <c r="U75" s="40" t="n">
        <f aca="false">IFERROR(U69/U67,"")</f>
        <v>0.115483633688856</v>
      </c>
      <c r="V75" s="40" t="n">
        <f aca="false">IFERROR(V69/V67,"")</f>
        <v>0.106180665610143</v>
      </c>
      <c r="W75" s="40" t="n">
        <f aca="false">IFERROR(W69/W67,"")</f>
        <v>0.0699708454810496</v>
      </c>
      <c r="X75" s="40" t="n">
        <f aca="false">IFERROR(X69/X67,"")</f>
        <v>0.0873196659073652</v>
      </c>
      <c r="Y75" s="40" t="n">
        <f aca="false">IFERROR(Y69/Y67,"")</f>
        <v>0.0904907975460123</v>
      </c>
      <c r="Z75" s="40" t="n">
        <f aca="false">IFERROR(Z69/Z67,"")</f>
        <v>0.111969111969112</v>
      </c>
      <c r="AA75" s="40" t="n">
        <f aca="false">IFERROR(AA69/AA67,"")</f>
        <v>0.095047341587764</v>
      </c>
      <c r="AB75" s="40" t="n">
        <f aca="false">IFERROR(AB69/AB67,"")</f>
        <v>0.124416796267496</v>
      </c>
      <c r="AC75" s="40" t="n">
        <f aca="false">IFERROR(AC69/AC67,"")</f>
        <v>0.090032154340836</v>
      </c>
      <c r="AD75" s="40" t="n">
        <f aca="false">IFERROR(AD69/AD67,"")</f>
        <v>0.107509881422925</v>
      </c>
      <c r="AE75" s="40" t="n">
        <f aca="false">IFERROR(AE69/AE67,"")</f>
        <v>0.129323308270677</v>
      </c>
      <c r="AF75" s="40" t="n">
        <f aca="false">IFERROR(AF69/AF67,"")</f>
        <v>0.150914634146342</v>
      </c>
      <c r="AG75" s="40" t="n">
        <f aca="false">IFERROR(AG69/AG67,"")</f>
        <v>0.124129930394432</v>
      </c>
      <c r="AH75" s="40" t="n">
        <f aca="false">IFERROR(AH69/AH67,"")</f>
        <v>0.109467455621302</v>
      </c>
      <c r="AI75" s="40" t="n">
        <f aca="false">IFERROR(AI69/AI67,"")</f>
        <v>0.101315789473684</v>
      </c>
      <c r="AJ75" s="40" t="n">
        <f aca="false">IFERROR(AJ69/AJ67,"")</f>
        <v>0.105153203342618</v>
      </c>
      <c r="AK75" s="40" t="n">
        <f aca="false">IFERROR(AK69/AK67,"")</f>
        <v>0.117647058823529</v>
      </c>
      <c r="AL75" s="40" t="n">
        <f aca="false">IFERROR(AL69/AL67,"")</f>
        <v>0.119424460431655</v>
      </c>
      <c r="AM75" s="40" t="n">
        <f aca="false">IFERROR(AM69/AM67,"")</f>
        <v>0.101923629055412</v>
      </c>
      <c r="AN75" s="40" t="n">
        <f aca="false">IFERROR(AN69/AN67,"")</f>
        <v>0.0968443960826986</v>
      </c>
      <c r="AO75" s="40" t="n">
        <f aca="false">IFERROR(AO69/AO67,"")</f>
        <v>0.0973154362416107</v>
      </c>
      <c r="AP75" s="40" t="n">
        <f aca="false">IFERROR(AP69/AP67,"")</f>
        <v>0.0970766685052399</v>
      </c>
      <c r="AQ75" s="40" t="n">
        <f aca="false">IFERROR(AQ69/AQ67,"")</f>
        <v>0.108967082860386</v>
      </c>
      <c r="AR75" s="40" t="n">
        <f aca="false">IFERROR(AR69/AR67,"")</f>
        <v>0.111807732497388</v>
      </c>
      <c r="AS75" s="40" t="n">
        <f aca="false">IFERROR(AS69/AS67,"")</f>
        <v>0.103807176116133</v>
      </c>
      <c r="AT75" s="40" t="n">
        <f aca="false">IFERROR(AT69/AT67,"")</f>
        <v>0.0713489409141583</v>
      </c>
      <c r="AU75" s="40" t="n">
        <f aca="false">IFERROR(AU69/AU67,"")</f>
        <v>0.0962566844919786</v>
      </c>
      <c r="AV75" s="40" t="n">
        <f aca="false">IFERROR(AV69/AV67,"")</f>
        <v>0.084061135371179</v>
      </c>
      <c r="AW75" s="40" t="n">
        <f aca="false">IFERROR(AW69/AW67,"")</f>
        <v>0.107942973523422</v>
      </c>
      <c r="AX75" s="40" t="n">
        <f aca="false">IFERROR(AX69/AX67,"")</f>
        <v>0.111583421891605</v>
      </c>
      <c r="AY75" s="40" t="n">
        <f aca="false">IFERROR(AY69/AY67,"")</f>
        <v>0.0972037283621838</v>
      </c>
      <c r="AZ75" s="40" t="n">
        <f aca="false">IFERROR(AZ69/AZ67,"")</f>
        <v>0.118134715025907</v>
      </c>
      <c r="BA75" s="40" t="n">
        <f aca="false">IFERROR(BA69/BA67,"")</f>
        <v>0.108542713567839</v>
      </c>
      <c r="BB75" s="40" t="n">
        <f aca="false">IFERROR(BB69/BB67,"")</f>
        <v>0.113265306122449</v>
      </c>
      <c r="BC75" s="40" t="n">
        <f aca="false">IFERROR(BC69/BC67,"")</f>
        <v>0.123762376237624</v>
      </c>
      <c r="BD75" s="40" t="n">
        <f aca="false">IFERROR(BD69/BD67,"")</f>
        <v>0.129086336965633</v>
      </c>
      <c r="BE75" s="40" t="n">
        <f aca="false">IFERROR(BE69/BE67,"")</f>
        <v>0.120345904395868</v>
      </c>
      <c r="BF75" s="40" t="n">
        <f aca="false">IFERROR(BF69/BF67,"")</f>
        <v>0.142311365807068</v>
      </c>
      <c r="BG75" s="40" t="n">
        <f aca="false">IFERROR(BG69/BG67,"")</f>
        <v>0.112244897959184</v>
      </c>
      <c r="BH75" s="40" t="n">
        <f aca="false">IFERROR(BH69/BH67,"")</f>
        <v>0.127775037000493</v>
      </c>
      <c r="BI75" s="40" t="n">
        <f aca="false">IFERROR(BI69/BI67,"")</f>
        <v>0.1123046875</v>
      </c>
      <c r="BJ75" s="40" t="n">
        <f aca="false">IFERROR(BJ69/BJ67,"")</f>
        <v>0.111221449851043</v>
      </c>
      <c r="BK75" s="40" t="n">
        <f aca="false">IFERROR(BK69/BK67,"")</f>
        <v>0.119763430261212</v>
      </c>
      <c r="BL75" s="40" t="n">
        <f aca="false">IFERROR(BL69/BL67,"")</f>
        <v>0.0985324947589099</v>
      </c>
      <c r="BM75" s="40" t="n">
        <f aca="false">IFERROR(BM69/BM67,"")</f>
        <v>0.0871327254305978</v>
      </c>
      <c r="BN75" s="40" t="n">
        <f aca="false">IFERROR(BN69/BN67,"")</f>
        <v>0.0927357032457496</v>
      </c>
      <c r="BO75" s="40" t="n">
        <f aca="false">IFERROR(BO69/BO67,"")</f>
        <v>0.108378870673953</v>
      </c>
      <c r="BP75" s="40" t="n">
        <f aca="false">IFERROR(BP69/BP67,"")</f>
        <v>0.0865921787709497</v>
      </c>
      <c r="BQ75" s="40" t="n">
        <f aca="false">IFERROR(BQ69/BQ67,"")</f>
        <v>0.0953075613907124</v>
      </c>
      <c r="BR75" s="40" t="n">
        <f aca="false">IFERROR(BR69/BR67,"")</f>
        <v>0.0960614793467819</v>
      </c>
      <c r="BS75" s="40" t="n">
        <f aca="false">IFERROR(BS69/BS67,"")</f>
        <v>0.0982905982905983</v>
      </c>
      <c r="BT75" s="40" t="n">
        <f aca="false">IFERROR(BT69/BT67,"")</f>
        <v>0.0972410673903211</v>
      </c>
      <c r="BU75" s="40" t="n">
        <f aca="false">IFERROR(BU69/BU67,"")</f>
        <v>0.0953630796150481</v>
      </c>
      <c r="BV75" s="40" t="n">
        <f aca="false">IFERROR(BV69/BV67,"")</f>
        <v>0.119070667957406</v>
      </c>
      <c r="BW75" s="40" t="n">
        <f aca="false">IFERROR(BW69/BW67,"")</f>
        <v>0.101891953498974</v>
      </c>
      <c r="BX75" s="40" t="n">
        <f aca="false">IFERROR(BX69/BX67,"")</f>
        <v>0.0289699570815451</v>
      </c>
      <c r="BY75" s="40" t="n">
        <f aca="false">IFERROR(BY69/BY67,"")</f>
        <v>0.0702247191011236</v>
      </c>
      <c r="BZ75" s="40" t="n">
        <f aca="false">IFERROR(BZ69/BZ67,"")</f>
        <v>0.051</v>
      </c>
      <c r="CA75" s="40" t="n">
        <f aca="false">IFERROR(CA69/CA67,"")</f>
        <v>0.103117505995204</v>
      </c>
      <c r="CB75" s="40" t="n">
        <f aca="false">IFERROR(CB69/CB67,"")</f>
        <v>0.0854402789886661</v>
      </c>
      <c r="CC75" s="40" t="n">
        <f aca="false">IFERROR(CC69/CC67,"")</f>
        <v>0.0748067303319691</v>
      </c>
      <c r="CD75" s="40" t="n">
        <f aca="false">IFERROR(CD69/CD67,"")</f>
        <v>0.100840336134454</v>
      </c>
      <c r="CE75" s="40" t="n">
        <f aca="false">IFERROR(CE69/CE67,"")</f>
        <v>0.109700815956482</v>
      </c>
      <c r="CF75" s="40" t="n">
        <f aca="false">IFERROR(CF69/CF67,"")</f>
        <v>0.105335786568537</v>
      </c>
      <c r="CG75" s="40" t="n">
        <f aca="false">IFERROR(CG69/CG67,"")</f>
        <v>0.106086956521739</v>
      </c>
      <c r="CH75" s="40" t="n">
        <f aca="false">IFERROR(CH69/CH67,"")</f>
        <v>0.111326234269119</v>
      </c>
      <c r="CI75" s="40" t="n">
        <f aca="false">IFERROR(CI69/CI67,"")</f>
        <v>0.106954326371356</v>
      </c>
      <c r="CJ75" s="40" t="n">
        <f aca="false">IFERROR(CJ69/CJ67,"")</f>
        <v>0.112176414189837</v>
      </c>
      <c r="CK75" s="40" t="n">
        <f aca="false">IFERROR(CK69/CK67,"")</f>
        <v>0.126254180602007</v>
      </c>
      <c r="CL75" s="40" t="n">
        <f aca="false">IFERROR(CL69/CL67,"")</f>
        <v>0.119696292987941</v>
      </c>
      <c r="CM75" s="28" t="n">
        <f aca="false">IFERROR(CM69/CM67,"")</f>
        <v>0.111367864246003</v>
      </c>
      <c r="CN75" s="28" t="n">
        <f aca="false">IFERROR(CN69/CN67,"")</f>
        <v>0.0973755352828177</v>
      </c>
      <c r="CO75" s="28" t="n">
        <f aca="false">IFERROR(CO69/CO67,"")</f>
        <v>0.112013659780266</v>
      </c>
      <c r="CP75" s="28" t="n">
        <f aca="false">IFERROR(CP69/CP67,"")</f>
        <v>0.115</v>
      </c>
      <c r="CQ75" s="28" t="n">
        <f aca="false">IFERROR(CQ69/CQ67,"")</f>
        <v>0.12</v>
      </c>
      <c r="CR75" s="28" t="n">
        <f aca="false">IFERROR(CR69/CR67,"")</f>
        <v>0.12</v>
      </c>
      <c r="CS75" s="28" t="n">
        <f aca="false">IFERROR(CS69/CS67,"")</f>
        <v>0.125</v>
      </c>
      <c r="CT75" s="23"/>
      <c r="CV75" s="41" t="n">
        <f aca="false">IFERROR(AVERAGE(CO75,CP75,CQ75,CR75,CS75),"n/m")</f>
        <v>0.118402731956053</v>
      </c>
      <c r="CW75" s="41" t="n">
        <f aca="false">IFERROR(AVERAGE(BK75,BQ75,BW75,CC75,CI75),"n/m")</f>
        <v>0.0997448003708449</v>
      </c>
      <c r="CX75" s="41" t="n">
        <f aca="false">IFERROR(AVERAGE(AG75,AM75,AS75,AY75,BE75,BK75,BQ75,BW75,CC75,CI75),"n/m")</f>
        <v>0.104613437017825</v>
      </c>
      <c r="CY75" s="41" t="n">
        <f aca="false">IFERROR(AVERAGE(C75,D75,E75,F75,G75,H75,I75,O75,U75,AA75,AG75,AM75,AS75,AY75,BE75,BK75,BQ75,BW75,CC75,CI75),"n/m")</f>
        <v>0.0993630087976578</v>
      </c>
      <c r="DB75" s="13" t="s">
        <v>172</v>
      </c>
      <c r="DC75" s="45" t="n">
        <f aca="false">MAX(0,DD75+$DC$74)</f>
        <v>250</v>
      </c>
      <c r="DD75" s="38" t="n">
        <v>0</v>
      </c>
      <c r="DE75" s="45" t="n">
        <f aca="false">MAX(0,DD75+$DE$74)</f>
        <v>0</v>
      </c>
    </row>
    <row r="76" customFormat="false" ht="15" hidden="false" customHeight="true" outlineLevel="0" collapsed="false">
      <c r="B76" s="26" t="s">
        <v>124</v>
      </c>
      <c r="C76" s="40" t="str">
        <f aca="false">IFERROR(C72/C67,"")</f>
        <v/>
      </c>
      <c r="D76" s="40" t="str">
        <f aca="false">IFERROR(D72/D67,"")</f>
        <v/>
      </c>
      <c r="E76" s="40" t="str">
        <f aca="false">IFERROR(E72/E67,"")</f>
        <v/>
      </c>
      <c r="F76" s="40" t="str">
        <f aca="false">IFERROR(F72/F67,"")</f>
        <v/>
      </c>
      <c r="G76" s="40" t="str">
        <f aca="false">IFERROR(G72/G67,"")</f>
        <v/>
      </c>
      <c r="H76" s="40" t="str">
        <f aca="false">IFERROR(H72/H67,"")</f>
        <v/>
      </c>
      <c r="I76" s="40" t="str">
        <f aca="false">IFERROR(I72/I67,"")</f>
        <v/>
      </c>
      <c r="J76" s="40" t="str">
        <f aca="false">IFERROR(J72/J67,"")</f>
        <v/>
      </c>
      <c r="K76" s="40" t="str">
        <f aca="false">IFERROR(K72/K67,"")</f>
        <v/>
      </c>
      <c r="L76" s="40" t="str">
        <f aca="false">IFERROR(L72/L67,"")</f>
        <v/>
      </c>
      <c r="M76" s="40" t="str">
        <f aca="false">IFERROR(M72/M67,"")</f>
        <v/>
      </c>
      <c r="N76" s="40" t="str">
        <f aca="false">IFERROR(N72/N67,"")</f>
        <v/>
      </c>
      <c r="O76" s="40" t="str">
        <f aca="false">IFERROR(O72/O67,"")</f>
        <v/>
      </c>
      <c r="P76" s="40" t="str">
        <f aca="false">IFERROR(P72/P67,"")</f>
        <v/>
      </c>
      <c r="Q76" s="40" t="str">
        <f aca="false">IFERROR(Q72/Q67,"")</f>
        <v/>
      </c>
      <c r="R76" s="40" t="str">
        <f aca="false">IFERROR(R72/R67,"")</f>
        <v/>
      </c>
      <c r="S76" s="40" t="str">
        <f aca="false">IFERROR(S72/S67,"")</f>
        <v/>
      </c>
      <c r="T76" s="40" t="str">
        <f aca="false">IFERROR(T72/T67,"")</f>
        <v/>
      </c>
      <c r="U76" s="40" t="str">
        <f aca="false">IFERROR(U72/U67,"")</f>
        <v/>
      </c>
      <c r="V76" s="40" t="str">
        <f aca="false">IFERROR(V72/V67,"")</f>
        <v/>
      </c>
      <c r="W76" s="40" t="str">
        <f aca="false">IFERROR(W72/W67,"")</f>
        <v/>
      </c>
      <c r="X76" s="40" t="str">
        <f aca="false">IFERROR(X72/X67,"")</f>
        <v/>
      </c>
      <c r="Y76" s="40" t="str">
        <f aca="false">IFERROR(Y72/Y67,"")</f>
        <v/>
      </c>
      <c r="Z76" s="40" t="str">
        <f aca="false">IFERROR(Z72/Z67,"")</f>
        <v/>
      </c>
      <c r="AA76" s="40" t="str">
        <f aca="false">IFERROR(AA72/AA67,"")</f>
        <v/>
      </c>
      <c r="AB76" s="40" t="str">
        <f aca="false">IFERROR(AB72/AB67,"")</f>
        <v/>
      </c>
      <c r="AC76" s="40" t="str">
        <f aca="false">IFERROR(AC72/AC67,"")</f>
        <v/>
      </c>
      <c r="AD76" s="40" t="str">
        <f aca="false">IFERROR(AD72/AD67,"")</f>
        <v/>
      </c>
      <c r="AE76" s="40" t="str">
        <f aca="false">IFERROR(AE72/AE67,"")</f>
        <v/>
      </c>
      <c r="AF76" s="40" t="str">
        <f aca="false">IFERROR(AF72/AF67,"")</f>
        <v/>
      </c>
      <c r="AG76" s="40" t="str">
        <f aca="false">IFERROR(AG72/AG67,"")</f>
        <v/>
      </c>
      <c r="AH76" s="40" t="str">
        <f aca="false">IFERROR(AH72/AH67,"")</f>
        <v/>
      </c>
      <c r="AI76" s="40" t="str">
        <f aca="false">IFERROR(AI72/AI67,"")</f>
        <v/>
      </c>
      <c r="AJ76" s="40" t="str">
        <f aca="false">IFERROR(AJ72/AJ67,"")</f>
        <v/>
      </c>
      <c r="AK76" s="40" t="str">
        <f aca="false">IFERROR(AK72/AK67,"")</f>
        <v/>
      </c>
      <c r="AL76" s="40" t="str">
        <f aca="false">IFERROR(AL72/AL67,"")</f>
        <v/>
      </c>
      <c r="AM76" s="40" t="str">
        <f aca="false">IFERROR(AM72/AM67,"")</f>
        <v/>
      </c>
      <c r="AN76" s="40" t="str">
        <f aca="false">IFERROR(AN72/AN67,"")</f>
        <v/>
      </c>
      <c r="AO76" s="40" t="str">
        <f aca="false">IFERROR(AO72/AO67,"")</f>
        <v/>
      </c>
      <c r="AP76" s="40" t="str">
        <f aca="false">IFERROR(AP72/AP67,"")</f>
        <v/>
      </c>
      <c r="AQ76" s="40" t="str">
        <f aca="false">IFERROR(AQ72/AQ67,"")</f>
        <v/>
      </c>
      <c r="AR76" s="40" t="str">
        <f aca="false">IFERROR(AR72/AR67,"")</f>
        <v/>
      </c>
      <c r="AS76" s="40" t="str">
        <f aca="false">IFERROR(AS72/AS67,"")</f>
        <v/>
      </c>
      <c r="AT76" s="40" t="str">
        <f aca="false">IFERROR(AT72/AT67,"")</f>
        <v/>
      </c>
      <c r="AU76" s="40" t="str">
        <f aca="false">IFERROR(AU72/AU67,"")</f>
        <v/>
      </c>
      <c r="AV76" s="40" t="str">
        <f aca="false">IFERROR(AV72/AV67,"")</f>
        <v/>
      </c>
      <c r="AW76" s="40" t="str">
        <f aca="false">IFERROR(AW72/AW67,"")</f>
        <v/>
      </c>
      <c r="AX76" s="40" t="str">
        <f aca="false">IFERROR(AX72/AX67,"")</f>
        <v/>
      </c>
      <c r="AY76" s="40" t="str">
        <f aca="false">IFERROR(AY72/AY67,"")</f>
        <v/>
      </c>
      <c r="AZ76" s="40" t="n">
        <f aca="false">IFERROR(AZ72/AZ67,"")</f>
        <v>0.118134715025907</v>
      </c>
      <c r="BA76" s="40" t="n">
        <f aca="false">IFERROR(BA72/BA67,"")</f>
        <v>0.108542713567839</v>
      </c>
      <c r="BB76" s="40" t="n">
        <f aca="false">IFERROR(BB72/BB67,"")</f>
        <v>0.113265306122449</v>
      </c>
      <c r="BC76" s="40" t="n">
        <f aca="false">IFERROR(BC72/BC67,"")</f>
        <v>0.123762376237624</v>
      </c>
      <c r="BD76" s="40" t="n">
        <f aca="false">IFERROR(BD72/BD67,"")</f>
        <v>0.129086336965633</v>
      </c>
      <c r="BE76" s="40" t="n">
        <f aca="false">IFERROR(BE72/BE67,"")</f>
        <v>0.120345904395868</v>
      </c>
      <c r="BF76" s="40" t="n">
        <f aca="false">IFERROR(BF72/BF67,"")</f>
        <v>0.142311365807068</v>
      </c>
      <c r="BG76" s="40" t="n">
        <f aca="false">IFERROR(BG72/BG67,"")</f>
        <v>0.112244897959184</v>
      </c>
      <c r="BH76" s="40" t="n">
        <f aca="false">IFERROR(BH72/BH67,"")</f>
        <v>0.127775037000493</v>
      </c>
      <c r="BI76" s="40" t="n">
        <f aca="false">IFERROR(BI72/BI67,"")</f>
        <v>0.1123046875</v>
      </c>
      <c r="BJ76" s="40" t="n">
        <f aca="false">IFERROR(BJ72/BJ67,"")</f>
        <v>0.111221449851043</v>
      </c>
      <c r="BK76" s="40" t="n">
        <f aca="false">IFERROR(BK72/BK67,"")</f>
        <v>0.119763430261212</v>
      </c>
      <c r="BL76" s="40" t="n">
        <f aca="false">IFERROR(BL72/BL67,"")</f>
        <v>0.0985324947589099</v>
      </c>
      <c r="BM76" s="40" t="n">
        <f aca="false">IFERROR(BM72/BM67,"")</f>
        <v>0.0871327254305978</v>
      </c>
      <c r="BN76" s="40" t="n">
        <f aca="false">IFERROR(BN72/BN67,"")</f>
        <v>0.0927357032457496</v>
      </c>
      <c r="BO76" s="40" t="n">
        <f aca="false">IFERROR(BO72/BO67,"")</f>
        <v>0.108378870673953</v>
      </c>
      <c r="BP76" s="40" t="n">
        <f aca="false">IFERROR(BP72/BP67,"")</f>
        <v>0.0865921787709497</v>
      </c>
      <c r="BQ76" s="40" t="n">
        <f aca="false">IFERROR(BQ72/BQ67,"")</f>
        <v>0.0953075613907124</v>
      </c>
      <c r="BR76" s="40" t="n">
        <f aca="false">IFERROR(BR72/BR67,"")</f>
        <v>0.0960614793467819</v>
      </c>
      <c r="BS76" s="40" t="n">
        <f aca="false">IFERROR(BS72/BS67,"")</f>
        <v>0.0982905982905983</v>
      </c>
      <c r="BT76" s="40" t="n">
        <f aca="false">IFERROR(BT72/BT67,"")</f>
        <v>0.0972410673903211</v>
      </c>
      <c r="BU76" s="40" t="n">
        <f aca="false">IFERROR(BU72/BU67,"")</f>
        <v>0.0953630796150481</v>
      </c>
      <c r="BV76" s="40" t="n">
        <f aca="false">IFERROR(BV72/BV67,"")</f>
        <v>0.119070667957406</v>
      </c>
      <c r="BW76" s="40" t="n">
        <f aca="false">IFERROR(BW72/BW67,"")</f>
        <v>0.101891953498974</v>
      </c>
      <c r="BX76" s="40" t="n">
        <f aca="false">IFERROR(BX72/BX67,"")</f>
        <v>0.0289699570815451</v>
      </c>
      <c r="BY76" s="40" t="n">
        <f aca="false">IFERROR(BY72/BY67,"")</f>
        <v>0.0702247191011236</v>
      </c>
      <c r="BZ76" s="40" t="n">
        <f aca="false">IFERROR(BZ72/BZ67,"")</f>
        <v>0.051</v>
      </c>
      <c r="CA76" s="40" t="n">
        <f aca="false">IFERROR(CA72/CA67,"")</f>
        <v>0.103117505995204</v>
      </c>
      <c r="CB76" s="40" t="n">
        <f aca="false">IFERROR(CB72/CB67,"")</f>
        <v>0.0854402789886661</v>
      </c>
      <c r="CC76" s="40" t="n">
        <f aca="false">IFERROR(CC72/CC67,"")</f>
        <v>0.0748067303319691</v>
      </c>
      <c r="CD76" s="40" t="n">
        <f aca="false">IFERROR(CD72/CD67,"")</f>
        <v>0.100840336134454</v>
      </c>
      <c r="CE76" s="40" t="n">
        <f aca="false">IFERROR(CE72/CE67,"")</f>
        <v>0.109700815956482</v>
      </c>
      <c r="CF76" s="40" t="n">
        <f aca="false">IFERROR(CF72/CF67,"")</f>
        <v>0.105335786568537</v>
      </c>
      <c r="CG76" s="40" t="n">
        <f aca="false">IFERROR(CG72/CG67,"")</f>
        <v>0.106086956521739</v>
      </c>
      <c r="CH76" s="40" t="n">
        <f aca="false">IFERROR(CH72/CH67,"")</f>
        <v>0.111326234269119</v>
      </c>
      <c r="CI76" s="40" t="n">
        <f aca="false">IFERROR(CI72/CI67,"")</f>
        <v>0.106954326371356</v>
      </c>
      <c r="CJ76" s="40" t="n">
        <f aca="false">IFERROR(CJ72/CJ67,"")</f>
        <v>0.112176414189837</v>
      </c>
      <c r="CK76" s="40" t="n">
        <f aca="false">IFERROR(CK72/CK67,"")</f>
        <v>0.126254180602007</v>
      </c>
      <c r="CL76" s="40" t="n">
        <f aca="false">IFERROR(CL72/CL67,"")</f>
        <v>0.119696292987941</v>
      </c>
      <c r="CM76" s="28" t="n">
        <f aca="false">CG76+$CL$76-$CF$76+CM102</f>
        <v>0.111367864246003</v>
      </c>
      <c r="CN76" s="28" t="n">
        <f aca="false">CH76+$CL$76-$CF$76+CN102</f>
        <v>0.0973755352828177</v>
      </c>
      <c r="CO76" s="28" t="n">
        <f aca="false">IFERROR(CO72/CO67,"")</f>
        <v>0.112013659780266</v>
      </c>
      <c r="CP76" s="28" t="n">
        <f aca="false">CHOOSE(MATCH($CT$2,{"Bull","Base","Bear"},0),$DC$63,$DD$63,$DE$63)</f>
        <v>0.115</v>
      </c>
      <c r="CQ76" s="28" t="n">
        <f aca="false">CHOOSE(MATCH($CT$2,{"Bull","Base","Bear"},0),$DC$64,$DD$64,$DE$64)</f>
        <v>0.12</v>
      </c>
      <c r="CR76" s="28" t="n">
        <f aca="false">CHOOSE(MATCH($CT$2,{"Bull","Base","Bear"},0),$DC$65,$DD$65,$DE$65)</f>
        <v>0.12</v>
      </c>
      <c r="CS76" s="28" t="n">
        <f aca="false">CHOOSE(MATCH($CT$2,{"Bull","Base","Bear"},0),$DC$66,$DD$66,$DE$66)</f>
        <v>0.125</v>
      </c>
      <c r="CT76" s="23" t="s">
        <v>173</v>
      </c>
      <c r="CV76" s="41" t="n">
        <f aca="false">IFERROR(AVERAGE(CO76,CP76,CQ76,CR76,CS76),"n/m")</f>
        <v>0.118402731956053</v>
      </c>
      <c r="CW76" s="41" t="n">
        <f aca="false">IFERROR(AVERAGE(BK76,BQ76,BW76,CC76,CI76),"n/m")</f>
        <v>0.0997448003708449</v>
      </c>
      <c r="CX76" s="41" t="n">
        <f aca="false">IFERROR(AVERAGE(AG76,AM76,AS76,AY76,BE76,BK76,BQ76,BW76,CC76,CI76),"n/m")</f>
        <v>0.103178317708349</v>
      </c>
      <c r="CY76" s="41" t="n">
        <f aca="false">IFERROR(AVERAGE(C76,D76,E76,F76,G76,H76,I76,O76,U76,AA76,AG76,AM76,AS76,AY76,BE76,BK76,BQ76,BW76,CC76,CI76),"n/m")</f>
        <v>0.103178317708349</v>
      </c>
      <c r="DB76" s="13" t="s">
        <v>130</v>
      </c>
      <c r="DC76" s="45" t="n">
        <f aca="false">MAX(0,DD76+$DC$74)</f>
        <v>500</v>
      </c>
      <c r="DD76" s="38" t="n">
        <v>250</v>
      </c>
      <c r="DE76" s="45" t="n">
        <f aca="false">MAX(0,DD76+$DE$74)</f>
        <v>0</v>
      </c>
    </row>
    <row r="77" customFormat="false" ht="15" hidden="false" customHeight="true" outlineLevel="0" collapsed="false">
      <c r="B77" s="26" t="s">
        <v>129</v>
      </c>
      <c r="C77" s="27"/>
      <c r="D77" s="27" t="str">
        <f aca="false">IFERROR(D69/C69-1,"")</f>
        <v/>
      </c>
      <c r="E77" s="27" t="str">
        <f aca="false">IFERROR(E69/D69-1,"")</f>
        <v/>
      </c>
      <c r="F77" s="27" t="n">
        <f aca="false">IFERROR(F69/E69-1,"")</f>
        <v>-0.254761904761905</v>
      </c>
      <c r="G77" s="27" t="n">
        <f aca="false">IFERROR(G69/F69-1,"")</f>
        <v>-0.0287539936102237</v>
      </c>
      <c r="H77" s="27" t="n">
        <f aca="false">IFERROR(H69/G69-1,"")</f>
        <v>-0.075657894736842</v>
      </c>
      <c r="I77" s="27" t="n">
        <f aca="false">IFERROR(I69/H69-1,"")</f>
        <v>0.0142348754448398</v>
      </c>
      <c r="J77" s="27"/>
      <c r="K77" s="27"/>
      <c r="L77" s="27"/>
      <c r="M77" s="27"/>
      <c r="N77" s="27"/>
      <c r="O77" s="27" t="n">
        <f aca="false">IFERROR(O69/I69-1,"")</f>
        <v>-0.228070175438597</v>
      </c>
      <c r="P77" s="27" t="n">
        <f aca="false">IFERROR(P69/J69-1,"")</f>
        <v>-0.0468750000000001</v>
      </c>
      <c r="Q77" s="27" t="n">
        <f aca="false">IFERROR(Q69/K69-1,"")</f>
        <v>0.192982456140351</v>
      </c>
      <c r="R77" s="27" t="n">
        <f aca="false">IFERROR(R69/L69-1,"")</f>
        <v>0.0661157024793386</v>
      </c>
      <c r="S77" s="27" t="n">
        <f aca="false">IFERROR(S69/M69-1,"")</f>
        <v>2.14814814814815</v>
      </c>
      <c r="T77" s="27" t="n">
        <f aca="false">IFERROR(T69/N69-1,"")</f>
        <v>0.388888888888889</v>
      </c>
      <c r="U77" s="27" t="n">
        <f aca="false">IFERROR(U69/O69-1,"")</f>
        <v>0.427272727272727</v>
      </c>
      <c r="V77" s="27" t="n">
        <f aca="false">IFERROR(V69/P69-1,"")</f>
        <v>0.098360655737705</v>
      </c>
      <c r="W77" s="27" t="n">
        <f aca="false">IFERROR(W69/Q69-1,"")</f>
        <v>-0.294117647058824</v>
      </c>
      <c r="X77" s="27" t="n">
        <f aca="false">IFERROR(X69/R69-1,"")</f>
        <v>-0.108527131782946</v>
      </c>
      <c r="Y77" s="27" t="n">
        <f aca="false">IFERROR(Y69/S69-1,"")</f>
        <v>-0.305882352941176</v>
      </c>
      <c r="Z77" s="27" t="n">
        <f aca="false">IFERROR(Z69/T69-1,"")</f>
        <v>-0.13</v>
      </c>
      <c r="AA77" s="27" t="n">
        <f aca="false">IFERROR(AA69/U69-1,"")</f>
        <v>-0.168789808917197</v>
      </c>
      <c r="AB77" s="27" t="n">
        <f aca="false">IFERROR(AB69/V69-1,"")</f>
        <v>0.194029850746269</v>
      </c>
      <c r="AC77" s="27" t="n">
        <f aca="false">IFERROR(AC69/W69-1,"")</f>
        <v>0.166666666666667</v>
      </c>
      <c r="AD77" s="27" t="n">
        <f aca="false">IFERROR(AD69/X69-1,"")</f>
        <v>0.182608695652174</v>
      </c>
      <c r="AE77" s="27" t="n">
        <f aca="false">IFERROR(AE69/Y69-1,"")</f>
        <v>0.457627118644068</v>
      </c>
      <c r="AF77" s="27" t="n">
        <f aca="false">IFERROR(AF69/Z69-1,"")</f>
        <v>0.137931034482759</v>
      </c>
      <c r="AG77" s="27" t="n">
        <f aca="false">IFERROR(AG69/AA69-1,"")</f>
        <v>0.229885057471264</v>
      </c>
      <c r="AH77" s="27" t="n">
        <f aca="false">IFERROR(AH69/AB69-1,"")</f>
        <v>-0.075</v>
      </c>
      <c r="AI77" s="27" t="n">
        <f aca="false">IFERROR(AI69/AC69-1,"")</f>
        <v>0.375</v>
      </c>
      <c r="AJ77" s="27" t="n">
        <f aca="false">IFERROR(AJ69/AD69-1,"")</f>
        <v>0.110294117647059</v>
      </c>
      <c r="AK77" s="27" t="n">
        <f aca="false">IFERROR(AK69/AE69-1,"")</f>
        <v>0</v>
      </c>
      <c r="AL77" s="27" t="n">
        <f aca="false">IFERROR(AL69/AF69-1,"")</f>
        <v>-0.161616161616162</v>
      </c>
      <c r="AM77" s="27" t="n">
        <f aca="false">IFERROR(AM69/AG69-1,"")</f>
        <v>0.105919003115265</v>
      </c>
      <c r="AN77" s="27" t="n">
        <f aca="false">IFERROR(AN69/AH69-1,"")</f>
        <v>0.202702702702703</v>
      </c>
      <c r="AO77" s="27" t="n">
        <f aca="false">IFERROR(AO69/AI69-1,"")</f>
        <v>0.12987012987013</v>
      </c>
      <c r="AP77" s="27" t="n">
        <f aca="false">IFERROR(AP69/AJ69-1,"")</f>
        <v>0.165562913907285</v>
      </c>
      <c r="AQ77" s="27" t="n">
        <f aca="false">IFERROR(AQ69/AK69-1,"")</f>
        <v>0.116279069767442</v>
      </c>
      <c r="AR77" s="27" t="n">
        <f aca="false">IFERROR(AR69/AL69-1,"")</f>
        <v>0.289156626506024</v>
      </c>
      <c r="AS77" s="27" t="n">
        <f aca="false">IFERROR(AS69/AM69-1,"")</f>
        <v>0.0676056338028168</v>
      </c>
      <c r="AT77" s="27" t="n">
        <f aca="false">IFERROR(AT69/AN69-1,"")</f>
        <v>-0.280898876404494</v>
      </c>
      <c r="AU77" s="27" t="n">
        <f aca="false">IFERROR(AU69/AO69-1,"")</f>
        <v>0.0344827586206897</v>
      </c>
      <c r="AV77" s="27" t="n">
        <f aca="false">IFERROR(AV69/AP69-1,"")</f>
        <v>-0.125</v>
      </c>
      <c r="AW77" s="27" t="n">
        <f aca="false">IFERROR(AW69/AQ69-1,"")</f>
        <v>0.104166666666667</v>
      </c>
      <c r="AX77" s="27" t="n">
        <f aca="false">IFERROR(AX69/AR69-1,"")</f>
        <v>-0.0186915887850466</v>
      </c>
      <c r="AY77" s="27" t="n">
        <f aca="false">IFERROR(AY69/AS69-1,"")</f>
        <v>-0.0369393139841688</v>
      </c>
      <c r="AZ77" s="27" t="n">
        <f aca="false">IFERROR(AZ69/AT69-1,"")</f>
        <v>0.78125</v>
      </c>
      <c r="BA77" s="27" t="n">
        <f aca="false">IFERROR(BA69/AU69-1,"")</f>
        <v>0.2</v>
      </c>
      <c r="BB77" s="27" t="n">
        <f aca="false">IFERROR(BB69/AV69-1,"")</f>
        <v>0.441558441558442</v>
      </c>
      <c r="BC77" s="27" t="n">
        <f aca="false">IFERROR(BC69/AW69-1,"")</f>
        <v>0.179245283018868</v>
      </c>
      <c r="BD77" s="27" t="n">
        <f aca="false">IFERROR(BD69/AX69-1,"")</f>
        <v>0.466666666666667</v>
      </c>
      <c r="BE77" s="27" t="n">
        <f aca="false">IFERROR(BE69/AY69-1,"")</f>
        <v>0.372602739726027</v>
      </c>
      <c r="BF77" s="27" t="n">
        <f aca="false">IFERROR(BF69/AZ69-1,"")</f>
        <v>0.307017543859649</v>
      </c>
      <c r="BG77" s="27" t="n">
        <f aca="false">IFERROR(BG69/BA69-1,"")</f>
        <v>0.0185185185185184</v>
      </c>
      <c r="BH77" s="27" t="n">
        <f aca="false">IFERROR(BH69/BB69-1,"")</f>
        <v>0.166666666666667</v>
      </c>
      <c r="BI77" s="27" t="n">
        <f aca="false">IFERROR(BI69/BC69-1,"")</f>
        <v>-0.08</v>
      </c>
      <c r="BJ77" s="27" t="n">
        <f aca="false">IFERROR(BJ69/BD69-1,"")</f>
        <v>-0.272727272727273</v>
      </c>
      <c r="BK77" s="27" t="n">
        <f aca="false">IFERROR(BK69/BE69-1,"")</f>
        <v>-0.0299401197604791</v>
      </c>
      <c r="BL77" s="27" t="n">
        <f aca="false">IFERROR(BL69/BF69-1,"")</f>
        <v>-0.369127516778524</v>
      </c>
      <c r="BM77" s="27" t="n">
        <f aca="false">IFERROR(BM69/BG69-1,"")</f>
        <v>-0.218181818181818</v>
      </c>
      <c r="BN77" s="27" t="n">
        <f aca="false">IFERROR(BN69/BH69-1,"")</f>
        <v>-0.305019305019305</v>
      </c>
      <c r="BO77" s="27" t="n">
        <f aca="false">IFERROR(BO69/BI69-1,"")</f>
        <v>0.0347826086956522</v>
      </c>
      <c r="BP77" s="27" t="n">
        <f aca="false">IFERROR(BP69/BJ69-1,"")</f>
        <v>-0.169642857142857</v>
      </c>
      <c r="BQ77" s="27" t="n">
        <f aca="false">IFERROR(BQ69/BK69-1,"")</f>
        <v>-0.193415637860082</v>
      </c>
      <c r="BR77" s="27" t="n">
        <f aca="false">IFERROR(BR69/BL69-1,"")</f>
        <v>0.0638297872340425</v>
      </c>
      <c r="BS77" s="27" t="n">
        <f aca="false">IFERROR(BS69/BM69-1,"")</f>
        <v>0.337209302325582</v>
      </c>
      <c r="BT77" s="27" t="n">
        <f aca="false">IFERROR(BT69/BN69-1,"")</f>
        <v>0.194444444444444</v>
      </c>
      <c r="BU77" s="27" t="n">
        <f aca="false">IFERROR(BU69/BO69-1,"")</f>
        <v>-0.0840336134453782</v>
      </c>
      <c r="BV77" s="27" t="n">
        <f aca="false">IFERROR(BV69/BP69-1,"")</f>
        <v>0.32258064516129</v>
      </c>
      <c r="BW77" s="27" t="n">
        <f aca="false">IFERROR(BW69/BQ69-1,"")</f>
        <v>0.14030612244898</v>
      </c>
      <c r="BX77" s="27" t="n">
        <f aca="false">IFERROR(BX69/BR69-1,"")</f>
        <v>-0.73</v>
      </c>
      <c r="BY77" s="27" t="n">
        <f aca="false">IFERROR(BY69/BS69-1,"")</f>
        <v>-0.347826086956522</v>
      </c>
      <c r="BZ77" s="27" t="n">
        <f aca="false">IFERROR(BZ69/BT69-1,"")</f>
        <v>-0.525581395348837</v>
      </c>
      <c r="CA77" s="27" t="n">
        <f aca="false">IFERROR(CA69/BU69-1,"")</f>
        <v>0.18348623853211</v>
      </c>
      <c r="CB77" s="27" t="n">
        <f aca="false">IFERROR(CB69/BV69-1,"")</f>
        <v>-0.203252032520325</v>
      </c>
      <c r="CC77" s="27" t="n">
        <f aca="false">IFERROR(CC69/BW69-1,"")</f>
        <v>-0.263982102908278</v>
      </c>
      <c r="CD77" s="27" t="n">
        <f aca="false">IFERROR(CD69/BX69-1,"")</f>
        <v>3</v>
      </c>
      <c r="CE77" s="27" t="n">
        <f aca="false">IFERROR(CE69/BY69-1,"")</f>
        <v>0.613333333333333</v>
      </c>
      <c r="CF77" s="27" t="n">
        <f aca="false">IFERROR(CF69/BZ69-1,"")</f>
        <v>1.24509803921569</v>
      </c>
      <c r="CG77" s="27" t="n">
        <f aca="false">IFERROR(CG69/CA69-1,"")</f>
        <v>-0.054263565891473</v>
      </c>
      <c r="CH77" s="27" t="n">
        <f aca="false">IFERROR(CH69/CB69-1,"")</f>
        <v>0.173469387755102</v>
      </c>
      <c r="CI77" s="27" t="n">
        <f aca="false">IFERROR(CI69/CC69-1,"")</f>
        <v>0.416413373860183</v>
      </c>
      <c r="CJ77" s="27" t="n">
        <f aca="false">IFERROR(CJ69/CD69-1,"")</f>
        <v>0.0833333333333333</v>
      </c>
      <c r="CK77" s="27" t="n">
        <f aca="false">IFERROR(CK69/CE69-1,"")</f>
        <v>0.247933884297521</v>
      </c>
      <c r="CL77" s="27" t="n">
        <f aca="false">IFERROR(CL69/CF69-1,"")</f>
        <v>0.170305676855895</v>
      </c>
      <c r="CM77" s="28" t="n">
        <f aca="false">IFERROR(CM69/CG69-1,"")</f>
        <v>0.138291696891883</v>
      </c>
      <c r="CN77" s="28" t="n">
        <f aca="false">IFERROR(CN69/CH69-1,"")</f>
        <v>-0.0515640519942279</v>
      </c>
      <c r="CO77" s="28" t="n">
        <f aca="false">IFERROR(CO69/CI69-1,"")</f>
        <v>0.107171075196295</v>
      </c>
      <c r="CP77" s="28" t="n">
        <f aca="false">IFERROR(CP69/CO69-1,"")</f>
        <v>0.067726920400742</v>
      </c>
      <c r="CQ77" s="28" t="n">
        <f aca="false">IFERROR(CQ69/CP69-1,"")</f>
        <v>0.0852173913043479</v>
      </c>
      <c r="CR77" s="28" t="n">
        <f aca="false">IFERROR(CR69/CQ69-1,"")</f>
        <v>0.04</v>
      </c>
      <c r="CS77" s="28" t="n">
        <f aca="false">IFERROR(CS69/CR69-1,"")</f>
        <v>0.0833333333333335</v>
      </c>
      <c r="CT77" s="23"/>
      <c r="CV77" s="7"/>
      <c r="CW77" s="7"/>
      <c r="CX77" s="7"/>
      <c r="CY77" s="7"/>
      <c r="DB77" s="13" t="s">
        <v>132</v>
      </c>
      <c r="DC77" s="45" t="n">
        <f aca="false">MAX(0,DD77+$DC$74)</f>
        <v>500</v>
      </c>
      <c r="DD77" s="38" t="n">
        <v>250</v>
      </c>
      <c r="DE77" s="45" t="n">
        <f aca="false">MAX(0,DD77+$DE$74)</f>
        <v>0</v>
      </c>
    </row>
    <row r="78" customFormat="false" ht="15" hidden="false" customHeight="true" outlineLevel="0" collapsed="false">
      <c r="B78" s="26" t="s">
        <v>131</v>
      </c>
      <c r="C78" s="40"/>
      <c r="D78" s="40" t="str">
        <f aca="false">IFERROR((D72-C72)/(D67-C67),"")</f>
        <v/>
      </c>
      <c r="E78" s="40" t="str">
        <f aca="false">IFERROR((E72-D72)/(E67-D67),"")</f>
        <v/>
      </c>
      <c r="F78" s="40" t="str">
        <f aca="false">IFERROR((F72-E72)/(F67-E67),"")</f>
        <v/>
      </c>
      <c r="G78" s="40" t="str">
        <f aca="false">IFERROR((G72-F72)/(G67-F67),"")</f>
        <v/>
      </c>
      <c r="H78" s="40" t="str">
        <f aca="false">IFERROR((H72-G72)/(H67-G67),"")</f>
        <v/>
      </c>
      <c r="I78" s="40" t="str">
        <f aca="false">IFERROR((I72-H72)/(I67-H67),"")</f>
        <v/>
      </c>
      <c r="J78" s="40"/>
      <c r="K78" s="40"/>
      <c r="L78" s="40"/>
      <c r="M78" s="40"/>
      <c r="N78" s="40"/>
      <c r="O78" s="40" t="str">
        <f aca="false">IFERROR((O72-I72)/(O67-I67),"")</f>
        <v/>
      </c>
      <c r="P78" s="40" t="str">
        <f aca="false">IFERROR((P72-J72)/(P67-J67),"")</f>
        <v/>
      </c>
      <c r="Q78" s="40" t="str">
        <f aca="false">IFERROR((Q72-K72)/(Q67-K67),"")</f>
        <v/>
      </c>
      <c r="R78" s="40" t="str">
        <f aca="false">IFERROR((R72-L72)/(R67-L67),"")</f>
        <v/>
      </c>
      <c r="S78" s="40" t="str">
        <f aca="false">IFERROR((S72-M72)/(S67-M67),"")</f>
        <v/>
      </c>
      <c r="T78" s="40" t="str">
        <f aca="false">IFERROR((T72-N72)/(T67-N67),"")</f>
        <v/>
      </c>
      <c r="U78" s="40" t="str">
        <f aca="false">IFERROR((U72-O72)/(U67-O67),"")</f>
        <v/>
      </c>
      <c r="V78" s="40" t="str">
        <f aca="false">IFERROR((V72-P72)/(V67-P67),"")</f>
        <v/>
      </c>
      <c r="W78" s="40" t="str">
        <f aca="false">IFERROR((W72-Q72)/(W67-Q67),"")</f>
        <v/>
      </c>
      <c r="X78" s="40" t="str">
        <f aca="false">IFERROR((X72-R72)/(X67-R67),"")</f>
        <v/>
      </c>
      <c r="Y78" s="40" t="str">
        <f aca="false">IFERROR((Y72-S72)/(Y67-S67),"")</f>
        <v/>
      </c>
      <c r="Z78" s="40" t="str">
        <f aca="false">IFERROR((Z72-T72)/(Z67-T67),"")</f>
        <v/>
      </c>
      <c r="AA78" s="40" t="str">
        <f aca="false">IFERROR((AA72-U72)/(AA67-U67),"")</f>
        <v/>
      </c>
      <c r="AB78" s="40" t="str">
        <f aca="false">IFERROR((AB72-V72)/(AB67-V67),"")</f>
        <v/>
      </c>
      <c r="AC78" s="40" t="str">
        <f aca="false">IFERROR((AC72-W72)/(AC67-W67),"")</f>
        <v/>
      </c>
      <c r="AD78" s="40" t="str">
        <f aca="false">IFERROR((AD72-X72)/(AD67-X67),"")</f>
        <v/>
      </c>
      <c r="AE78" s="40" t="str">
        <f aca="false">IFERROR((AE72-Y72)/(AE67-Y67),"")</f>
        <v/>
      </c>
      <c r="AF78" s="40" t="str">
        <f aca="false">IFERROR((AF72-Z72)/(AF67-Z67),"")</f>
        <v/>
      </c>
      <c r="AG78" s="40" t="str">
        <f aca="false">IFERROR((AG72-AA72)/(AG67-AA67),"")</f>
        <v/>
      </c>
      <c r="AH78" s="40" t="str">
        <f aca="false">IFERROR((AH72-AB72)/(AH67-AB67),"")</f>
        <v/>
      </c>
      <c r="AI78" s="40" t="str">
        <f aca="false">IFERROR((AI72-AC72)/(AI67-AC67),"")</f>
        <v/>
      </c>
      <c r="AJ78" s="40" t="str">
        <f aca="false">IFERROR((AJ72-AD72)/(AJ67-AD67),"")</f>
        <v/>
      </c>
      <c r="AK78" s="40" t="str">
        <f aca="false">IFERROR((AK72-AE72)/(AK67-AE67),"")</f>
        <v/>
      </c>
      <c r="AL78" s="40" t="str">
        <f aca="false">IFERROR((AL72-AF72)/(AL67-AF67),"")</f>
        <v/>
      </c>
      <c r="AM78" s="40" t="str">
        <f aca="false">IFERROR((AM72-AG72)/(AM67-AG67),"")</f>
        <v/>
      </c>
      <c r="AN78" s="40" t="str">
        <f aca="false">IFERROR((AN72-AH72)/(AN67-AH67),"")</f>
        <v/>
      </c>
      <c r="AO78" s="40" t="str">
        <f aca="false">IFERROR((AO72-AI72)/(AO67-AI67),"")</f>
        <v/>
      </c>
      <c r="AP78" s="40" t="str">
        <f aca="false">IFERROR((AP72-AJ72)/(AP67-AJ67),"")</f>
        <v/>
      </c>
      <c r="AQ78" s="40" t="str">
        <f aca="false">IFERROR((AQ72-AK72)/(AQ67-AK67),"")</f>
        <v/>
      </c>
      <c r="AR78" s="40" t="str">
        <f aca="false">IFERROR((AR72-AL72)/(AR67-AL67),"")</f>
        <v/>
      </c>
      <c r="AS78" s="40" t="str">
        <f aca="false">IFERROR((AS72-AM72)/(AS67-AM67),"")</f>
        <v/>
      </c>
      <c r="AT78" s="40" t="str">
        <f aca="false">IFERROR((AT72-AN72)/(AT67-AN67),"")</f>
        <v/>
      </c>
      <c r="AU78" s="40" t="str">
        <f aca="false">IFERROR((AU72-AO72)/(AU67-AO67),"")</f>
        <v/>
      </c>
      <c r="AV78" s="40" t="str">
        <f aca="false">IFERROR((AV72-AP72)/(AV67-AP67),"")</f>
        <v/>
      </c>
      <c r="AW78" s="40" t="str">
        <f aca="false">IFERROR((AW72-AQ72)/(AW67-AQ67),"")</f>
        <v/>
      </c>
      <c r="AX78" s="40" t="str">
        <f aca="false">IFERROR((AX72-AR72)/(AX67-AR67),"")</f>
        <v/>
      </c>
      <c r="AY78" s="40" t="str">
        <f aca="false">IFERROR((AY72-AS72)/(AY67-AS67),"")</f>
        <v/>
      </c>
      <c r="AZ78" s="40" t="str">
        <f aca="false">IFERROR((AZ72-AT72)/(AZ67-AT67),"")</f>
        <v/>
      </c>
      <c r="BA78" s="40" t="str">
        <f aca="false">IFERROR((BA72-AU72)/(BA67-AU67),"")</f>
        <v/>
      </c>
      <c r="BB78" s="40" t="str">
        <f aca="false">IFERROR((BB72-AV72)/(BB67-AV67),"")</f>
        <v/>
      </c>
      <c r="BC78" s="40" t="str">
        <f aca="false">IFERROR((BC72-AW72)/(BC67-AW67),"")</f>
        <v/>
      </c>
      <c r="BD78" s="40" t="str">
        <f aca="false">IFERROR((BD72-AX72)/(BD67-AX67),"")</f>
        <v/>
      </c>
      <c r="BE78" s="40" t="str">
        <f aca="false">IFERROR((BE72-AY72)/(BE67-AY67),"")</f>
        <v/>
      </c>
      <c r="BF78" s="40" t="n">
        <f aca="false">IFERROR((BF72-AZ72)/(BF67-AZ67),"")</f>
        <v>0.426829268292683</v>
      </c>
      <c r="BG78" s="40" t="n">
        <f aca="false">IFERROR((BG72-BA72)/(BG67-BA67),"")</f>
        <v>-0.133333333333333</v>
      </c>
      <c r="BH78" s="40" t="n">
        <f aca="false">IFERROR((BH72-BB72)/(BH67-BB67),"")</f>
        <v>0.55223880597015</v>
      </c>
      <c r="BI78" s="40" t="n">
        <f aca="false">IFERROR((BI72-BC72)/(BI67-BC67),"")</f>
        <v>-0.714285714285711</v>
      </c>
      <c r="BJ78" s="40" t="n">
        <f aca="false">IFERROR((BJ72-BD72)/(BJ67-BD67),"")</f>
        <v>0.225806451612903</v>
      </c>
      <c r="BK78" s="40" t="n">
        <f aca="false">IFERROR((BK72-BE72)/(BK67-BE67),"")</f>
        <v>0.142857142857143</v>
      </c>
      <c r="BL78" s="40" t="n">
        <f aca="false">IFERROR((BL72-BF72)/(BL67-BF67),"")</f>
        <v>0.591397849462366</v>
      </c>
      <c r="BM78" s="40" t="n">
        <f aca="false">IFERROR((BM72-BG72)/(BM67-BG67),"")</f>
        <v>-3.42857142857142</v>
      </c>
      <c r="BN78" s="40" t="n">
        <f aca="false">IFERROR((BN72-BH72)/(BN67-BH67),"")</f>
        <v>0.918604651162794</v>
      </c>
      <c r="BO78" s="40" t="n">
        <f aca="false">IFERROR((BO72-BI72)/(BO67-BI67),"")</f>
        <v>0.0540540540540542</v>
      </c>
      <c r="BP78" s="40" t="n">
        <f aca="false">IFERROR((BP72-BJ72)/(BP67-BJ67),"")</f>
        <v>-0.283582089552238</v>
      </c>
      <c r="BQ78" s="40" t="n">
        <f aca="false">IFERROR((BQ72-BK72)/(BQ67-BK67),"")</f>
        <v>-1.70909090909091</v>
      </c>
      <c r="BR78" s="40" t="n">
        <f aca="false">IFERROR((BR72-BL72)/(BR67-BL67),"")</f>
        <v>0.0689655172413794</v>
      </c>
      <c r="BS78" s="40" t="n">
        <f aca="false">IFERROR((BS72-BM72)/(BS67-BM67),"")</f>
        <v>0.158469945355191</v>
      </c>
      <c r="BT78" s="40" t="n">
        <f aca="false">IFERROR((BT72-BN72)/(BT67-BN67),"")</f>
        <v>0.12962962962963</v>
      </c>
      <c r="BU78" s="40" t="n">
        <f aca="false">IFERROR((BU72-BO72)/(BU67-BO67),"")</f>
        <v>-0.222222222222222</v>
      </c>
      <c r="BV78" s="40" t="n">
        <f aca="false">IFERROR((BV72-BP72)/(BV67-BP67),"")</f>
        <v>-0.731707317073169</v>
      </c>
      <c r="BW78" s="40" t="n">
        <f aca="false">IFERROR((BW72-BQ72)/(BW67-BQ67),"")</f>
        <v>0.200729927007299</v>
      </c>
      <c r="BX78" s="40" t="n">
        <f aca="false">IFERROR((BX72-BR72)/(BX67-BR67),"")</f>
        <v>0.669724770642202</v>
      </c>
      <c r="BY78" s="40" t="n">
        <f aca="false">IFERROR((BY72-BS72)/(BY67-BS67),"")</f>
        <v>0.392156862745098</v>
      </c>
      <c r="BZ78" s="40" t="n">
        <f aca="false">IFERROR((BZ72-BT72)/(BZ67-BT67),"")</f>
        <v>0.535545023696683</v>
      </c>
      <c r="CA78" s="40" t="n">
        <f aca="false">IFERROR((CA72-BU72)/(CA67-BU67),"")</f>
        <v>0.185185185185185</v>
      </c>
      <c r="CB78" s="40" t="n">
        <f aca="false">IFERROR((CB72-BV72)/(CB67-BV67),"")</f>
        <v>-0.219298245614035</v>
      </c>
      <c r="CC78" s="40" t="n">
        <f aca="false">IFERROR((CC72-BW72)/(CC67-BW67),"")</f>
        <v>-10.7272727272725</v>
      </c>
      <c r="CD78" s="40" t="n">
        <f aca="false">IFERROR((CD72-BX72)/(CD67-BX67),"")</f>
        <v>0.582733812949641</v>
      </c>
      <c r="CE78" s="40" t="n">
        <f aca="false">IFERROR((CE72-BY72)/(CE67-BY67),"")</f>
        <v>1.31428571428571</v>
      </c>
      <c r="CF78" s="40" t="n">
        <f aca="false">IFERROR((CF72-BZ72)/(CF67-BZ67),"")</f>
        <v>0.729885057471265</v>
      </c>
      <c r="CG78" s="40" t="n">
        <f aca="false">IFERROR((CG72-CA72)/(CG67-CA67),"")</f>
        <v>0.0693069306930695</v>
      </c>
      <c r="CH78" s="40" t="n">
        <f aca="false">IFERROR((CH72-CB72)/(CH67-CB67),"")</f>
        <v>-0.149122807017544</v>
      </c>
      <c r="CI78" s="40" t="n">
        <f aca="false">IFERROR((CI72-CC72)/(CI67-CC67),"")</f>
        <v>-3.34146341463413</v>
      </c>
      <c r="CJ78" s="40" t="n">
        <f aca="false">IFERROR((CJ72-CD72)/(CJ67-CD67),"")</f>
        <v>-0.321428571428571</v>
      </c>
      <c r="CK78" s="40" t="n">
        <f aca="false">IFERROR((CK72-CE72)/(CK67-CE67),"")</f>
        <v>0.32258064516129</v>
      </c>
      <c r="CL78" s="40" t="n">
        <f aca="false">IFERROR((CL72-CF72)/(CL67-CF67),"")</f>
        <v>0.6</v>
      </c>
      <c r="CM78" s="28" t="n">
        <f aca="false">IFERROR((CM72-CG72)/(CM67-CG67),"")</f>
        <v>0.174000565534859</v>
      </c>
      <c r="CN78" s="28" t="n">
        <f aca="false">IFERROR((CN72-CH72)/(CN67-CH67),"")</f>
        <v>-0.0680827548450368</v>
      </c>
      <c r="CO78" s="28" t="n">
        <f aca="false">IFERROR((CO72-CI72)/(CO67-CI67),"")</f>
        <v>0.200520243994646</v>
      </c>
      <c r="CP78" s="28" t="n">
        <f aca="false">IFERROR((CP72-CO72)/(CP67-CO67),"")</f>
        <v>0.189658505493347</v>
      </c>
      <c r="CQ78" s="28" t="n">
        <f aca="false">IFERROR((CQ72-CP72)/(CQ67-CP67),"")</f>
        <v>0.245</v>
      </c>
      <c r="CR78" s="28" t="n">
        <f aca="false">IFERROR((CR72-CQ72)/(CR67-CQ67),"")</f>
        <v>0.12</v>
      </c>
      <c r="CS78" s="28" t="n">
        <f aca="false">IFERROR((CS72-CR72)/(CS67-CR67),"")</f>
        <v>0.25</v>
      </c>
      <c r="CT78" s="23"/>
      <c r="CV78" s="7"/>
      <c r="CW78" s="7"/>
      <c r="CX78" s="7"/>
      <c r="CY78" s="7"/>
      <c r="DB78" s="13" t="s">
        <v>134</v>
      </c>
      <c r="DC78" s="45" t="n">
        <f aca="false">MAX(0,DD78+$DC$74)</f>
        <v>500</v>
      </c>
      <c r="DD78" s="38" t="n">
        <v>250</v>
      </c>
      <c r="DE78" s="45" t="n">
        <f aca="false">MAX(0,DD78+$DE$74)</f>
        <v>0</v>
      </c>
    </row>
    <row r="79" customFormat="false" ht="15" hidden="false" customHeight="true" outlineLevel="0" collapsed="false">
      <c r="B79" s="37" t="s">
        <v>174</v>
      </c>
      <c r="C79" s="30"/>
      <c r="D79" s="30"/>
      <c r="E79" s="31" t="n">
        <v>361.2</v>
      </c>
      <c r="F79" s="31" t="n">
        <v>346.9</v>
      </c>
      <c r="G79" s="31" t="n">
        <v>279.9</v>
      </c>
      <c r="H79" s="31" t="n">
        <v>246.2</v>
      </c>
      <c r="I79" s="31" t="n">
        <v>241.3</v>
      </c>
      <c r="J79" s="31" t="n">
        <v>58.6</v>
      </c>
      <c r="K79" s="31" t="n">
        <v>53.7</v>
      </c>
      <c r="L79" s="30" t="n">
        <f aca="false">J79+K79</f>
        <v>112.3</v>
      </c>
      <c r="M79" s="31" t="n">
        <v>51.1</v>
      </c>
      <c r="N79" s="31" t="n">
        <v>54.1</v>
      </c>
      <c r="O79" s="31" t="n">
        <v>217.5</v>
      </c>
      <c r="P79" s="31" t="n">
        <v>47.6</v>
      </c>
      <c r="Q79" s="31" t="n">
        <v>50.3</v>
      </c>
      <c r="R79" s="30" t="n">
        <f aca="false">P79+Q79</f>
        <v>97.9</v>
      </c>
      <c r="S79" s="31" t="n">
        <v>57.1</v>
      </c>
      <c r="T79" s="31" t="n">
        <v>56.4</v>
      </c>
      <c r="U79" s="31" t="n">
        <v>211.4</v>
      </c>
      <c r="V79" s="31" t="n">
        <v>49.1</v>
      </c>
      <c r="W79" s="31" t="n">
        <v>53.5</v>
      </c>
      <c r="X79" s="30" t="n">
        <f aca="false">V79+W79</f>
        <v>102.6</v>
      </c>
      <c r="Y79" s="31" t="n">
        <v>53.1</v>
      </c>
      <c r="Z79" s="31" t="n">
        <v>59.7</v>
      </c>
      <c r="AA79" s="31" t="n">
        <v>215.4</v>
      </c>
      <c r="AB79" s="31" t="n">
        <v>52.8</v>
      </c>
      <c r="AC79" s="31" t="n">
        <v>49.5</v>
      </c>
      <c r="AD79" s="30" t="n">
        <f aca="false">AB79+AC79</f>
        <v>102.3</v>
      </c>
      <c r="AE79" s="31" t="n">
        <v>51.3</v>
      </c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2"/>
      <c r="CN79" s="32"/>
      <c r="CO79" s="32"/>
      <c r="CP79" s="32"/>
      <c r="CQ79" s="32"/>
      <c r="CR79" s="32"/>
      <c r="CS79" s="32"/>
      <c r="CT79" s="23"/>
      <c r="CV79" s="7"/>
      <c r="CW79" s="7"/>
      <c r="CX79" s="7"/>
      <c r="CY79" s="7"/>
      <c r="DB79" s="13" t="s">
        <v>136</v>
      </c>
      <c r="DC79" s="45" t="n">
        <f aca="false">MAX(0,DD79+$DC$74)</f>
        <v>500</v>
      </c>
      <c r="DD79" s="38" t="n">
        <v>250</v>
      </c>
      <c r="DE79" s="45" t="n">
        <f aca="false">MAX(0,DD79+$DE$74)</f>
        <v>0</v>
      </c>
    </row>
    <row r="80" customFormat="false" ht="15" hidden="false" customHeight="true" outlineLevel="0" collapsed="false">
      <c r="B80" s="37" t="s">
        <v>175</v>
      </c>
      <c r="C80" s="30"/>
      <c r="D80" s="30"/>
      <c r="E80" s="31" t="n">
        <v>38.3</v>
      </c>
      <c r="F80" s="31" t="n">
        <v>31.8</v>
      </c>
      <c r="G80" s="31" t="n">
        <v>36.9</v>
      </c>
      <c r="H80" s="31" t="n">
        <v>34.6</v>
      </c>
      <c r="I80" s="31" t="n">
        <v>35.5</v>
      </c>
      <c r="J80" s="31" t="n">
        <v>6.6</v>
      </c>
      <c r="K80" s="31" t="n">
        <v>7.1</v>
      </c>
      <c r="L80" s="30" t="n">
        <f aca="false">J80+K80</f>
        <v>13.7</v>
      </c>
      <c r="M80" s="31" t="n">
        <v>9.2</v>
      </c>
      <c r="N80" s="31" t="n">
        <v>9.5</v>
      </c>
      <c r="O80" s="31" t="n">
        <v>32.4</v>
      </c>
      <c r="P80" s="31" t="n">
        <v>5.7</v>
      </c>
      <c r="Q80" s="31" t="n">
        <v>7.6</v>
      </c>
      <c r="R80" s="30" t="n">
        <f aca="false">P80+Q80</f>
        <v>13.3</v>
      </c>
      <c r="S80" s="31" t="n">
        <v>10</v>
      </c>
      <c r="T80" s="31" t="n">
        <v>10.7</v>
      </c>
      <c r="U80" s="31" t="n">
        <v>34</v>
      </c>
      <c r="V80" s="31" t="n">
        <v>8.4</v>
      </c>
      <c r="W80" s="31" t="n">
        <v>11.1</v>
      </c>
      <c r="X80" s="30" t="n">
        <f aca="false">V80+W80</f>
        <v>19.5</v>
      </c>
      <c r="Y80" s="31" t="n">
        <v>8</v>
      </c>
      <c r="Z80" s="31" t="n">
        <v>13</v>
      </c>
      <c r="AA80" s="31" t="n">
        <v>40.5</v>
      </c>
      <c r="AB80" s="31" t="n">
        <v>6.5</v>
      </c>
      <c r="AC80" s="31" t="n">
        <v>9.3</v>
      </c>
      <c r="AD80" s="30" t="n">
        <f aca="false">AB80+AC80</f>
        <v>15.8</v>
      </c>
      <c r="AE80" s="31" t="n">
        <v>10.9</v>
      </c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2"/>
      <c r="CN80" s="32"/>
      <c r="CO80" s="32"/>
      <c r="CP80" s="32"/>
      <c r="CQ80" s="32"/>
      <c r="CR80" s="32"/>
      <c r="CS80" s="32"/>
      <c r="CT80" s="23"/>
      <c r="CV80" s="7"/>
      <c r="CW80" s="7"/>
      <c r="CX80" s="7"/>
      <c r="CY80" s="7"/>
    </row>
    <row r="81" customFormat="false" ht="15" hidden="false" customHeight="true" outlineLevel="0" collapsed="false">
      <c r="B81" s="13" t="s">
        <v>133</v>
      </c>
      <c r="C81" s="30"/>
      <c r="D81" s="30"/>
      <c r="E81" s="31" t="n">
        <v>2.6</v>
      </c>
      <c r="F81" s="31" t="n">
        <v>2.7</v>
      </c>
      <c r="G81" s="31" t="n">
        <v>3.1</v>
      </c>
      <c r="H81" s="31" t="n">
        <v>4</v>
      </c>
      <c r="I81" s="31" t="n">
        <v>4.4</v>
      </c>
      <c r="J81" s="30"/>
      <c r="K81" s="30"/>
      <c r="L81" s="30"/>
      <c r="M81" s="30"/>
      <c r="N81" s="30"/>
      <c r="O81" s="31" t="n">
        <v>4.2</v>
      </c>
      <c r="P81" s="30"/>
      <c r="Q81" s="30"/>
      <c r="R81" s="30"/>
      <c r="S81" s="30"/>
      <c r="T81" s="30"/>
      <c r="U81" s="31" t="n">
        <v>3.7</v>
      </c>
      <c r="V81" s="30"/>
      <c r="W81" s="30"/>
      <c r="X81" s="30"/>
      <c r="Y81" s="30"/>
      <c r="Z81" s="30"/>
      <c r="AA81" s="31" t="n">
        <v>3.5</v>
      </c>
      <c r="AB81" s="30"/>
      <c r="AC81" s="30"/>
      <c r="AD81" s="30"/>
      <c r="AE81" s="30"/>
      <c r="AF81" s="30"/>
      <c r="AG81" s="31" t="n">
        <v>4.1</v>
      </c>
      <c r="AH81" s="30"/>
      <c r="AI81" s="30"/>
      <c r="AJ81" s="30"/>
      <c r="AK81" s="30"/>
      <c r="AL81" s="30"/>
      <c r="AM81" s="31" t="n">
        <v>4.6</v>
      </c>
      <c r="AN81" s="30"/>
      <c r="AO81" s="30"/>
      <c r="AP81" s="30"/>
      <c r="AQ81" s="30"/>
      <c r="AR81" s="30"/>
      <c r="AS81" s="31" t="n">
        <v>4.3</v>
      </c>
      <c r="AT81" s="30"/>
      <c r="AU81" s="30"/>
      <c r="AV81" s="30"/>
      <c r="AW81" s="30"/>
      <c r="AX81" s="30"/>
      <c r="AY81" s="31" t="n">
        <v>6</v>
      </c>
      <c r="AZ81" s="30"/>
      <c r="BA81" s="30"/>
      <c r="BB81" s="30"/>
      <c r="BC81" s="30"/>
      <c r="BD81" s="30"/>
      <c r="BE81" s="31" t="n">
        <v>9.2</v>
      </c>
      <c r="BF81" s="30"/>
      <c r="BG81" s="30"/>
      <c r="BH81" s="30"/>
      <c r="BI81" s="30"/>
      <c r="BJ81" s="30"/>
      <c r="BK81" s="31" t="n">
        <v>7.2</v>
      </c>
      <c r="BL81" s="30"/>
      <c r="BM81" s="30"/>
      <c r="BN81" s="30"/>
      <c r="BO81" s="30"/>
      <c r="BP81" s="30"/>
      <c r="BQ81" s="31" t="n">
        <v>4.4</v>
      </c>
      <c r="BR81" s="30"/>
      <c r="BS81" s="30"/>
      <c r="BT81" s="30"/>
      <c r="BU81" s="30"/>
      <c r="BV81" s="30"/>
      <c r="BW81" s="31" t="n">
        <v>4.4</v>
      </c>
      <c r="BX81" s="30"/>
      <c r="BY81" s="30"/>
      <c r="BZ81" s="30"/>
      <c r="CA81" s="30"/>
      <c r="CB81" s="30"/>
      <c r="CC81" s="31" t="n">
        <v>4.6</v>
      </c>
      <c r="CD81" s="30"/>
      <c r="CE81" s="30"/>
      <c r="CF81" s="30"/>
      <c r="CG81" s="30"/>
      <c r="CH81" s="30"/>
      <c r="CI81" s="31" t="n">
        <v>4.6</v>
      </c>
      <c r="CJ81" s="30"/>
      <c r="CK81" s="30"/>
      <c r="CL81" s="30"/>
      <c r="CM81" s="32"/>
      <c r="CN81" s="32"/>
      <c r="CO81" s="32"/>
      <c r="CP81" s="32"/>
      <c r="CQ81" s="32"/>
      <c r="CR81" s="32"/>
      <c r="CS81" s="32"/>
      <c r="CT81" s="23"/>
      <c r="CV81" s="7"/>
      <c r="CW81" s="7"/>
      <c r="CX81" s="7"/>
      <c r="CY81" s="7"/>
    </row>
    <row r="82" customFormat="false" ht="15" hidden="false" customHeight="true" outlineLevel="0" collapsed="false">
      <c r="B82" s="13" t="s">
        <v>135</v>
      </c>
      <c r="C82" s="30"/>
      <c r="D82" s="30"/>
      <c r="E82" s="31" t="n">
        <v>4</v>
      </c>
      <c r="F82" s="31" t="n">
        <v>3.3</v>
      </c>
      <c r="G82" s="31" t="n">
        <v>3.6</v>
      </c>
      <c r="H82" s="31" t="n">
        <v>5.9</v>
      </c>
      <c r="I82" s="31" t="n">
        <v>4.2</v>
      </c>
      <c r="J82" s="30"/>
      <c r="K82" s="30"/>
      <c r="L82" s="30"/>
      <c r="M82" s="30"/>
      <c r="N82" s="30"/>
      <c r="O82" s="31" t="n">
        <v>3.6</v>
      </c>
      <c r="P82" s="30"/>
      <c r="Q82" s="30"/>
      <c r="R82" s="30"/>
      <c r="S82" s="30"/>
      <c r="T82" s="30"/>
      <c r="U82" s="31" t="n">
        <v>4.3</v>
      </c>
      <c r="V82" s="30"/>
      <c r="W82" s="30"/>
      <c r="X82" s="30"/>
      <c r="Y82" s="30"/>
      <c r="Z82" s="30"/>
      <c r="AA82" s="31" t="n">
        <v>5.7</v>
      </c>
      <c r="AB82" s="30"/>
      <c r="AC82" s="30"/>
      <c r="AD82" s="30"/>
      <c r="AE82" s="30"/>
      <c r="AF82" s="30"/>
      <c r="AG82" s="31" t="n">
        <v>5.9</v>
      </c>
      <c r="AH82" s="30"/>
      <c r="AI82" s="30"/>
      <c r="AJ82" s="30"/>
      <c r="AK82" s="30"/>
      <c r="AL82" s="30"/>
      <c r="AM82" s="31" t="n">
        <v>7.4</v>
      </c>
      <c r="AN82" s="30"/>
      <c r="AO82" s="30"/>
      <c r="AP82" s="30"/>
      <c r="AQ82" s="30"/>
      <c r="AR82" s="30"/>
      <c r="AS82" s="31" t="n">
        <v>13.6</v>
      </c>
      <c r="AT82" s="30"/>
      <c r="AU82" s="30"/>
      <c r="AV82" s="30"/>
      <c r="AW82" s="30"/>
      <c r="AX82" s="30"/>
      <c r="AY82" s="31" t="n">
        <v>3.6</v>
      </c>
      <c r="AZ82" s="30"/>
      <c r="BA82" s="30"/>
      <c r="BB82" s="30"/>
      <c r="BC82" s="30"/>
      <c r="BD82" s="30"/>
      <c r="BE82" s="31" t="n">
        <v>7.5</v>
      </c>
      <c r="BF82" s="30"/>
      <c r="BG82" s="30"/>
      <c r="BH82" s="30"/>
      <c r="BI82" s="30"/>
      <c r="BJ82" s="30"/>
      <c r="BK82" s="31" t="n">
        <v>12.9</v>
      </c>
      <c r="BL82" s="30"/>
      <c r="BM82" s="30"/>
      <c r="BN82" s="30"/>
      <c r="BO82" s="30"/>
      <c r="BP82" s="30"/>
      <c r="BQ82" s="31" t="n">
        <v>5.3</v>
      </c>
      <c r="BR82" s="30"/>
      <c r="BS82" s="30"/>
      <c r="BT82" s="30"/>
      <c r="BU82" s="30"/>
      <c r="BV82" s="30"/>
      <c r="BW82" s="31" t="n">
        <v>3.4</v>
      </c>
      <c r="BX82" s="30"/>
      <c r="BY82" s="30"/>
      <c r="BZ82" s="30"/>
      <c r="CA82" s="30"/>
      <c r="CB82" s="30"/>
      <c r="CC82" s="31" t="n">
        <v>2.4</v>
      </c>
      <c r="CD82" s="30"/>
      <c r="CE82" s="30"/>
      <c r="CF82" s="30"/>
      <c r="CG82" s="30"/>
      <c r="CH82" s="30"/>
      <c r="CI82" s="31" t="n">
        <v>4.7</v>
      </c>
      <c r="CJ82" s="30"/>
      <c r="CK82" s="30"/>
      <c r="CL82" s="30"/>
      <c r="CM82" s="32"/>
      <c r="CN82" s="32"/>
      <c r="CO82" s="32"/>
      <c r="CP82" s="32"/>
      <c r="CQ82" s="32"/>
      <c r="CR82" s="32"/>
      <c r="CS82" s="32"/>
      <c r="CT82" s="23"/>
      <c r="CV82" s="7"/>
      <c r="CW82" s="7"/>
      <c r="CX82" s="7"/>
      <c r="CY82" s="7"/>
    </row>
    <row r="83" customFormat="false" ht="15" hidden="false" customHeight="true" outlineLevel="0" collapsed="false">
      <c r="B83" s="26" t="s">
        <v>137</v>
      </c>
      <c r="C83" s="40" t="str">
        <f aca="false">IFERROR(C82/C67,"")</f>
        <v/>
      </c>
      <c r="D83" s="40" t="str">
        <f aca="false">IFERROR(D82/D67,"")</f>
        <v/>
      </c>
      <c r="E83" s="40" t="n">
        <f aca="false">IFERROR(E82/E67,"")</f>
        <v>0.00927428703918386</v>
      </c>
      <c r="F83" s="40" t="n">
        <f aca="false">IFERROR(F82/F67,"")</f>
        <v>0.0081041257367387</v>
      </c>
      <c r="G83" s="40" t="n">
        <f aca="false">IFERROR(G82/G67,"")</f>
        <v>0.0107849011384062</v>
      </c>
      <c r="H83" s="40" t="n">
        <f aca="false">IFERROR(H82/H67,"")</f>
        <v>0.0193696651346028</v>
      </c>
      <c r="I83" s="40" t="n">
        <f aca="false">IFERROR(I82/I67,"")</f>
        <v>0.0139349701393497</v>
      </c>
      <c r="J83" s="40"/>
      <c r="K83" s="40"/>
      <c r="L83" s="40"/>
      <c r="M83" s="40"/>
      <c r="N83" s="40"/>
      <c r="O83" s="40" t="n">
        <f aca="false">IFERROR(O82/O67,"")</f>
        <v>0.0130482058716926</v>
      </c>
      <c r="P83" s="40"/>
      <c r="Q83" s="40"/>
      <c r="R83" s="40"/>
      <c r="S83" s="40"/>
      <c r="T83" s="40"/>
      <c r="U83" s="40" t="n">
        <f aca="false">IFERROR(U82/U67,"")</f>
        <v>0.0158146377344612</v>
      </c>
      <c r="V83" s="40"/>
      <c r="W83" s="40"/>
      <c r="X83" s="40"/>
      <c r="Y83" s="40"/>
      <c r="Z83" s="40"/>
      <c r="AA83" s="40" t="n">
        <f aca="false">IFERROR(AA82/AA67,"")</f>
        <v>0.0207574654042243</v>
      </c>
      <c r="AB83" s="40"/>
      <c r="AC83" s="40"/>
      <c r="AD83" s="40"/>
      <c r="AE83" s="40"/>
      <c r="AF83" s="40"/>
      <c r="AG83" s="40" t="n">
        <f aca="false">IFERROR(AG82/AG67,"")</f>
        <v>0.022815158546017</v>
      </c>
      <c r="AH83" s="40"/>
      <c r="AI83" s="40"/>
      <c r="AJ83" s="40"/>
      <c r="AK83" s="40"/>
      <c r="AL83" s="40"/>
      <c r="AM83" s="40" t="n">
        <f aca="false">IFERROR(AM82/AM67,"")</f>
        <v>0.0212460522538042</v>
      </c>
      <c r="AN83" s="40"/>
      <c r="AO83" s="40"/>
      <c r="AP83" s="40"/>
      <c r="AQ83" s="40"/>
      <c r="AR83" s="40"/>
      <c r="AS83" s="40" t="n">
        <f aca="false">IFERROR(AS82/AS67,"")</f>
        <v>0.0372500684743906</v>
      </c>
      <c r="AT83" s="40"/>
      <c r="AU83" s="40"/>
      <c r="AV83" s="40"/>
      <c r="AW83" s="40"/>
      <c r="AX83" s="40"/>
      <c r="AY83" s="40" t="n">
        <f aca="false">IFERROR(AY82/AY67,"")</f>
        <v>0.00958721704394141</v>
      </c>
      <c r="AZ83" s="40"/>
      <c r="BA83" s="40"/>
      <c r="BB83" s="40"/>
      <c r="BC83" s="40"/>
      <c r="BD83" s="40"/>
      <c r="BE83" s="40" t="n">
        <f aca="false">IFERROR(BE82/BE67,"")</f>
        <v>0.0180158539514773</v>
      </c>
      <c r="BF83" s="40"/>
      <c r="BG83" s="40"/>
      <c r="BH83" s="40"/>
      <c r="BI83" s="40"/>
      <c r="BJ83" s="40"/>
      <c r="BK83" s="40" t="n">
        <f aca="false">IFERROR(BK82/BK67,"")</f>
        <v>0.0317890586495811</v>
      </c>
      <c r="BL83" s="40"/>
      <c r="BM83" s="40"/>
      <c r="BN83" s="40"/>
      <c r="BO83" s="40"/>
      <c r="BP83" s="40"/>
      <c r="BQ83" s="40" t="n">
        <f aca="false">IFERROR(BQ82/BQ67,"")</f>
        <v>0.012885971310479</v>
      </c>
      <c r="BR83" s="40"/>
      <c r="BS83" s="40"/>
      <c r="BT83" s="40"/>
      <c r="BU83" s="40"/>
      <c r="BV83" s="40"/>
      <c r="BW83" s="40" t="n">
        <f aca="false">IFERROR(BW82/BW67,"")</f>
        <v>0.00775017095965352</v>
      </c>
      <c r="BX83" s="40"/>
      <c r="BY83" s="40"/>
      <c r="BZ83" s="40"/>
      <c r="CA83" s="40"/>
      <c r="CB83" s="40"/>
      <c r="CC83" s="40" t="n">
        <f aca="false">IFERROR(CC82/CC67,"")</f>
        <v>0.00545702592087312</v>
      </c>
      <c r="CD83" s="40"/>
      <c r="CE83" s="40"/>
      <c r="CF83" s="40"/>
      <c r="CG83" s="40"/>
      <c r="CH83" s="40"/>
      <c r="CI83" s="40" t="n">
        <f aca="false">IFERROR(CI82/CI67,"")</f>
        <v>0.0107872389258664</v>
      </c>
      <c r="CJ83" s="40"/>
      <c r="CK83" s="40"/>
      <c r="CL83" s="40"/>
      <c r="CM83" s="28"/>
      <c r="CN83" s="28"/>
      <c r="CO83" s="28"/>
      <c r="CP83" s="28"/>
      <c r="CQ83" s="28"/>
      <c r="CR83" s="28"/>
      <c r="CS83" s="28"/>
      <c r="CT83" s="23"/>
      <c r="CV83" s="7"/>
      <c r="CW83" s="7"/>
      <c r="CX83" s="7"/>
      <c r="CY83" s="7"/>
    </row>
    <row r="84" customFormat="false" ht="15" hidden="false" customHeight="true" outlineLevel="0" collapsed="false">
      <c r="B84" s="13"/>
      <c r="CM84" s="7"/>
      <c r="CN84" s="7"/>
      <c r="CO84" s="7"/>
      <c r="CP84" s="7"/>
      <c r="CQ84" s="7"/>
      <c r="CR84" s="7"/>
      <c r="CS84" s="7"/>
      <c r="CT84" s="7"/>
    </row>
    <row r="85" customFormat="false" ht="15" hidden="false" customHeight="true" outlineLevel="0" collapsed="false">
      <c r="B85" s="17" t="s">
        <v>176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8" t="s">
        <v>177</v>
      </c>
    </row>
    <row r="86" customFormat="false" ht="15" hidden="false" customHeight="true" outlineLevel="0" collapsed="false">
      <c r="B86" s="37" t="s">
        <v>178</v>
      </c>
      <c r="C86" s="31" t="n">
        <v>899.4</v>
      </c>
      <c r="D86" s="31" t="n">
        <v>1071.6</v>
      </c>
      <c r="E86" s="31" t="n">
        <v>1276.6</v>
      </c>
      <c r="F86" s="31" t="n">
        <v>1232.2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2"/>
      <c r="CN86" s="32"/>
      <c r="CO86" s="32"/>
      <c r="CP86" s="32"/>
      <c r="CQ86" s="32"/>
      <c r="CR86" s="32"/>
      <c r="CS86" s="32"/>
      <c r="CT86" s="23"/>
      <c r="CV86" s="7"/>
      <c r="CW86" s="7"/>
      <c r="CX86" s="7"/>
      <c r="CY86" s="7"/>
    </row>
    <row r="87" customFormat="false" ht="15" hidden="false" customHeight="true" outlineLevel="0" collapsed="false">
      <c r="B87" s="37" t="s">
        <v>179</v>
      </c>
      <c r="C87" s="31" t="n">
        <v>109.3</v>
      </c>
      <c r="D87" s="31" t="n">
        <v>143.2</v>
      </c>
      <c r="E87" s="31" t="n">
        <v>183</v>
      </c>
      <c r="F87" s="31" t="n">
        <v>163.9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30"/>
      <c r="BT87" s="30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2"/>
      <c r="CN87" s="32"/>
      <c r="CO87" s="32"/>
      <c r="CP87" s="32"/>
      <c r="CQ87" s="32"/>
      <c r="CR87" s="32"/>
      <c r="CS87" s="32"/>
      <c r="CT87" s="23"/>
      <c r="CV87" s="7"/>
      <c r="CW87" s="7"/>
      <c r="CX87" s="7"/>
      <c r="CY87" s="7"/>
    </row>
    <row r="88" customFormat="false" ht="15" hidden="false" customHeight="true" outlineLevel="0" collapsed="false">
      <c r="B88" s="37" t="s">
        <v>180</v>
      </c>
      <c r="C88" s="31" t="n">
        <v>283</v>
      </c>
      <c r="D88" s="31" t="n">
        <v>301.7</v>
      </c>
      <c r="E88" s="31" t="n">
        <v>361.2</v>
      </c>
      <c r="F88" s="31" t="n">
        <v>347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0"/>
      <c r="BR88" s="30"/>
      <c r="BS88" s="30"/>
      <c r="BT88" s="30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2"/>
      <c r="CN88" s="32"/>
      <c r="CO88" s="32"/>
      <c r="CP88" s="32"/>
      <c r="CQ88" s="32"/>
      <c r="CR88" s="32"/>
      <c r="CS88" s="32"/>
      <c r="CT88" s="23"/>
      <c r="CV88" s="7"/>
      <c r="CW88" s="7"/>
      <c r="CX88" s="7"/>
      <c r="CY88" s="7"/>
    </row>
    <row r="89" customFormat="false" ht="15" hidden="false" customHeight="true" outlineLevel="0" collapsed="false">
      <c r="B89" s="37" t="s">
        <v>181</v>
      </c>
      <c r="C89" s="31" t="n">
        <v>24.5</v>
      </c>
      <c r="D89" s="31" t="n">
        <v>26.2</v>
      </c>
      <c r="E89" s="31" t="n">
        <v>35</v>
      </c>
      <c r="F89" s="31" t="n">
        <v>31.5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30"/>
      <c r="BV89" s="30"/>
      <c r="BW89" s="30"/>
      <c r="BX89" s="30"/>
      <c r="BY89" s="30"/>
      <c r="BZ89" s="30"/>
      <c r="CA89" s="30"/>
      <c r="CB89" s="30"/>
      <c r="CC89" s="30"/>
      <c r="CD89" s="30"/>
      <c r="CE89" s="30"/>
      <c r="CF89" s="30"/>
      <c r="CG89" s="30"/>
      <c r="CH89" s="30"/>
      <c r="CI89" s="30"/>
      <c r="CJ89" s="30"/>
      <c r="CK89" s="30"/>
      <c r="CL89" s="30"/>
      <c r="CM89" s="32"/>
      <c r="CN89" s="32"/>
      <c r="CO89" s="32"/>
      <c r="CP89" s="32"/>
      <c r="CQ89" s="32"/>
      <c r="CR89" s="32"/>
      <c r="CS89" s="32"/>
      <c r="CT89" s="23"/>
      <c r="CV89" s="7"/>
      <c r="CW89" s="7"/>
      <c r="CX89" s="7"/>
      <c r="CY89" s="7"/>
    </row>
    <row r="90" customFormat="false" ht="15" hidden="false" customHeight="true" outlineLevel="0" collapsed="false">
      <c r="B90" s="37" t="s">
        <v>182</v>
      </c>
      <c r="C90" s="31" t="n">
        <v>181.6</v>
      </c>
      <c r="D90" s="31" t="n">
        <v>180.7</v>
      </c>
      <c r="E90" s="31" t="n">
        <v>171</v>
      </c>
      <c r="F90" s="31" t="n">
        <v>113.1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30"/>
      <c r="BV90" s="30"/>
      <c r="BW90" s="30"/>
      <c r="BX90" s="30"/>
      <c r="BY90" s="30"/>
      <c r="BZ90" s="30"/>
      <c r="CA90" s="30"/>
      <c r="CB90" s="30"/>
      <c r="CC90" s="30"/>
      <c r="CD90" s="30"/>
      <c r="CE90" s="30"/>
      <c r="CF90" s="30"/>
      <c r="CG90" s="30"/>
      <c r="CH90" s="30"/>
      <c r="CI90" s="30"/>
      <c r="CJ90" s="30"/>
      <c r="CK90" s="30"/>
      <c r="CL90" s="30"/>
      <c r="CM90" s="32"/>
      <c r="CN90" s="32"/>
      <c r="CO90" s="32"/>
      <c r="CP90" s="32"/>
      <c r="CQ90" s="32"/>
      <c r="CR90" s="32"/>
      <c r="CS90" s="32"/>
      <c r="CT90" s="23"/>
      <c r="CV90" s="7"/>
      <c r="CW90" s="7"/>
      <c r="CX90" s="7"/>
      <c r="CY90" s="7"/>
    </row>
    <row r="91" customFormat="false" ht="15" hidden="false" customHeight="true" outlineLevel="0" collapsed="false">
      <c r="B91" s="37" t="s">
        <v>183</v>
      </c>
      <c r="C91" s="31" t="n">
        <v>15.5</v>
      </c>
      <c r="D91" s="31" t="n">
        <v>19.2</v>
      </c>
      <c r="E91" s="31" t="n">
        <v>-9.7</v>
      </c>
      <c r="F91" s="31" t="n">
        <v>-5.4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30"/>
      <c r="BV91" s="30"/>
      <c r="BW91" s="30"/>
      <c r="BX91" s="30"/>
      <c r="BY91" s="30"/>
      <c r="BZ91" s="30"/>
      <c r="CA91" s="30"/>
      <c r="CB91" s="30"/>
      <c r="CC91" s="30"/>
      <c r="CD91" s="30"/>
      <c r="CE91" s="30"/>
      <c r="CF91" s="30"/>
      <c r="CG91" s="30"/>
      <c r="CH91" s="30"/>
      <c r="CI91" s="30"/>
      <c r="CJ91" s="30"/>
      <c r="CK91" s="30"/>
      <c r="CL91" s="30"/>
      <c r="CM91" s="32"/>
      <c r="CN91" s="32"/>
      <c r="CO91" s="32"/>
      <c r="CP91" s="32"/>
      <c r="CQ91" s="32"/>
      <c r="CR91" s="32"/>
      <c r="CS91" s="32"/>
      <c r="CT91" s="23"/>
      <c r="CV91" s="7"/>
      <c r="CW91" s="7"/>
      <c r="CX91" s="7"/>
      <c r="CY91" s="7"/>
    </row>
    <row r="92" customFormat="false" ht="15" hidden="false" customHeight="true" outlineLevel="0" collapsed="false">
      <c r="B92" s="37" t="s">
        <v>184</v>
      </c>
      <c r="C92" s="31" t="n">
        <v>69.2</v>
      </c>
      <c r="D92" s="31" t="n">
        <v>68.3</v>
      </c>
      <c r="E92" s="31" t="n">
        <v>84.2</v>
      </c>
      <c r="F92" s="31" t="n">
        <v>72.9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30"/>
      <c r="BV92" s="30"/>
      <c r="BW92" s="30"/>
      <c r="BX92" s="30"/>
      <c r="BY92" s="30"/>
      <c r="BZ92" s="30"/>
      <c r="CA92" s="30"/>
      <c r="CB92" s="30"/>
      <c r="CC92" s="30"/>
      <c r="CD92" s="30"/>
      <c r="CE92" s="30"/>
      <c r="CF92" s="30"/>
      <c r="CG92" s="30"/>
      <c r="CH92" s="30"/>
      <c r="CI92" s="30"/>
      <c r="CJ92" s="30"/>
      <c r="CK92" s="30"/>
      <c r="CL92" s="30"/>
      <c r="CM92" s="32"/>
      <c r="CN92" s="32"/>
      <c r="CO92" s="32"/>
      <c r="CP92" s="32"/>
      <c r="CQ92" s="32"/>
      <c r="CR92" s="32"/>
      <c r="CS92" s="32"/>
      <c r="CT92" s="23"/>
      <c r="CV92" s="7"/>
      <c r="CW92" s="7"/>
      <c r="CX92" s="7"/>
      <c r="CY92" s="7"/>
    </row>
    <row r="93" customFormat="false" ht="15" hidden="false" customHeight="true" outlineLevel="0" collapsed="false">
      <c r="B93" s="37" t="s">
        <v>185</v>
      </c>
      <c r="C93" s="31" t="n">
        <v>6</v>
      </c>
      <c r="D93" s="31" t="n">
        <v>6.3</v>
      </c>
      <c r="E93" s="31" t="n">
        <v>10.2</v>
      </c>
      <c r="F93" s="31" t="n">
        <v>3.3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30"/>
      <c r="BV93" s="30"/>
      <c r="BW93" s="30"/>
      <c r="BX93" s="30"/>
      <c r="BY93" s="30"/>
      <c r="BZ93" s="30"/>
      <c r="CA93" s="30"/>
      <c r="CB93" s="30"/>
      <c r="CC93" s="30"/>
      <c r="CD93" s="30"/>
      <c r="CE93" s="30"/>
      <c r="CF93" s="30"/>
      <c r="CG93" s="30"/>
      <c r="CH93" s="30"/>
      <c r="CI93" s="30"/>
      <c r="CJ93" s="30"/>
      <c r="CK93" s="30"/>
      <c r="CL93" s="30"/>
      <c r="CM93" s="32"/>
      <c r="CN93" s="32"/>
      <c r="CO93" s="32"/>
      <c r="CP93" s="32"/>
      <c r="CQ93" s="32"/>
      <c r="CR93" s="32"/>
      <c r="CS93" s="32"/>
      <c r="CT93" s="23"/>
      <c r="CV93" s="7"/>
      <c r="CW93" s="7"/>
      <c r="CX93" s="7"/>
      <c r="CY93" s="7"/>
    </row>
    <row r="94" customFormat="false" ht="15" hidden="false" customHeight="true" outlineLevel="0" collapsed="false">
      <c r="B94" s="37" t="s">
        <v>186</v>
      </c>
      <c r="C94" s="31" t="n">
        <v>27.7</v>
      </c>
      <c r="D94" s="31" t="n">
        <v>32.6</v>
      </c>
      <c r="E94" s="31" t="n">
        <v>29.6</v>
      </c>
      <c r="F94" s="31" t="n">
        <v>27.3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30"/>
      <c r="BV94" s="30"/>
      <c r="BW94" s="30"/>
      <c r="BX94" s="30"/>
      <c r="BY94" s="30"/>
      <c r="BZ94" s="30"/>
      <c r="CA94" s="30"/>
      <c r="CB94" s="30"/>
      <c r="CC94" s="30"/>
      <c r="CD94" s="30"/>
      <c r="CE94" s="30"/>
      <c r="CF94" s="30"/>
      <c r="CG94" s="30"/>
      <c r="CH94" s="30"/>
      <c r="CI94" s="30"/>
      <c r="CJ94" s="30"/>
      <c r="CK94" s="30"/>
      <c r="CL94" s="30"/>
      <c r="CM94" s="32"/>
      <c r="CN94" s="32"/>
      <c r="CO94" s="32"/>
      <c r="CP94" s="32"/>
      <c r="CQ94" s="32"/>
      <c r="CR94" s="32"/>
      <c r="CS94" s="32"/>
      <c r="CT94" s="23"/>
      <c r="CV94" s="7"/>
      <c r="CW94" s="7"/>
      <c r="CX94" s="7"/>
      <c r="CY94" s="7"/>
    </row>
    <row r="95" customFormat="false" ht="15" hidden="false" customHeight="true" outlineLevel="0" collapsed="false">
      <c r="B95" s="13"/>
      <c r="CM95" s="7"/>
      <c r="CN95" s="7"/>
      <c r="CO95" s="7"/>
      <c r="CP95" s="7"/>
      <c r="CQ95" s="7"/>
      <c r="CR95" s="7"/>
      <c r="CS95" s="7"/>
      <c r="CT95" s="7"/>
    </row>
    <row r="96" customFormat="false" ht="15" hidden="false" customHeight="true" outlineLevel="0" collapsed="false">
      <c r="B96" s="17" t="s">
        <v>187</v>
      </c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8" t="s">
        <v>188</v>
      </c>
    </row>
    <row r="97" customFormat="false" ht="15" hidden="false" customHeight="true" outlineLevel="0" collapsed="false">
      <c r="B97" s="13" t="s">
        <v>189</v>
      </c>
      <c r="C97" s="30"/>
      <c r="D97" s="30"/>
      <c r="E97" s="31" t="n">
        <v>29.6</v>
      </c>
      <c r="F97" s="31" t="n">
        <v>27.3</v>
      </c>
      <c r="G97" s="31" t="n">
        <v>28.8</v>
      </c>
      <c r="H97" s="31" t="n">
        <v>33.7</v>
      </c>
      <c r="I97" s="31" t="n">
        <v>36.7</v>
      </c>
      <c r="J97" s="31" t="n">
        <v>9.5</v>
      </c>
      <c r="K97" s="31" t="n">
        <v>10.4</v>
      </c>
      <c r="L97" s="30" t="n">
        <f aca="false">J97+K97</f>
        <v>19.9</v>
      </c>
      <c r="M97" s="31" t="n">
        <v>10.4</v>
      </c>
      <c r="N97" s="31" t="n">
        <v>7.3</v>
      </c>
      <c r="O97" s="31" t="n">
        <v>37.6</v>
      </c>
      <c r="P97" s="31" t="n">
        <v>11.1</v>
      </c>
      <c r="Q97" s="31" t="n">
        <v>10.9</v>
      </c>
      <c r="R97" s="30" t="n">
        <f aca="false">P97+Q97</f>
        <v>22</v>
      </c>
      <c r="S97" s="31" t="n">
        <v>10.6</v>
      </c>
      <c r="T97" s="31" t="n">
        <v>11.3</v>
      </c>
      <c r="U97" s="31" t="n">
        <v>43.9</v>
      </c>
      <c r="V97" s="31" t="n">
        <v>10.2</v>
      </c>
      <c r="W97" s="31" t="n">
        <v>11</v>
      </c>
      <c r="X97" s="30" t="n">
        <f aca="false">V97+W97</f>
        <v>21.2</v>
      </c>
      <c r="Y97" s="31" t="n">
        <v>8.9</v>
      </c>
      <c r="Z97" s="31" t="n">
        <v>10.1</v>
      </c>
      <c r="AA97" s="31" t="n">
        <v>40.2</v>
      </c>
      <c r="AB97" s="31" t="n">
        <v>10.8</v>
      </c>
      <c r="AC97" s="31" t="n">
        <v>10.8</v>
      </c>
      <c r="AD97" s="30" t="n">
        <f aca="false">AB97+AC97</f>
        <v>21.6</v>
      </c>
      <c r="AE97" s="31" t="n">
        <v>11.1</v>
      </c>
      <c r="AF97" s="31" t="n">
        <v>13.4</v>
      </c>
      <c r="AG97" s="31" t="n">
        <v>46.1</v>
      </c>
      <c r="AH97" s="31" t="n">
        <v>22.7</v>
      </c>
      <c r="AI97" s="31" t="n">
        <v>12.6</v>
      </c>
      <c r="AJ97" s="30" t="n">
        <f aca="false">AH97+AI97</f>
        <v>35.3</v>
      </c>
      <c r="AK97" s="31" t="n">
        <v>13.3</v>
      </c>
      <c r="AL97" s="31" t="n">
        <v>14.4</v>
      </c>
      <c r="AM97" s="31" t="n">
        <v>63</v>
      </c>
      <c r="AN97" s="31" t="n">
        <v>12.9</v>
      </c>
      <c r="AO97" s="31" t="n">
        <v>13.8</v>
      </c>
      <c r="AP97" s="30" t="n">
        <f aca="false">AN97+AO97</f>
        <v>26.7</v>
      </c>
      <c r="AQ97" s="31" t="n">
        <v>15.1</v>
      </c>
      <c r="AR97" s="31" t="n">
        <v>14.2</v>
      </c>
      <c r="AS97" s="31" t="n">
        <v>56</v>
      </c>
      <c r="AT97" s="31" t="n">
        <v>18.1</v>
      </c>
      <c r="AU97" s="31" t="n">
        <v>16.3</v>
      </c>
      <c r="AV97" s="30" t="n">
        <f aca="false">AT97+AU97</f>
        <v>34.4</v>
      </c>
      <c r="AW97" s="31" t="n">
        <v>14.6</v>
      </c>
      <c r="AX97" s="31" t="n">
        <v>16.1</v>
      </c>
      <c r="AY97" s="31" t="n">
        <v>65.1</v>
      </c>
      <c r="AZ97" s="31" t="n">
        <v>15.4</v>
      </c>
      <c r="BA97" s="31" t="n">
        <v>13.8</v>
      </c>
      <c r="BB97" s="30" t="n">
        <f aca="false">AZ97+BA97</f>
        <v>29.2</v>
      </c>
      <c r="BC97" s="31" t="n">
        <v>12.9</v>
      </c>
      <c r="BD97" s="31" t="n">
        <v>14.7</v>
      </c>
      <c r="BE97" s="31" t="n">
        <v>56.8</v>
      </c>
      <c r="BF97" s="31" t="n">
        <v>19.4</v>
      </c>
      <c r="BG97" s="31" t="n">
        <v>84.2</v>
      </c>
      <c r="BH97" s="30" t="n">
        <f aca="false">BF97+BG97</f>
        <v>103.6</v>
      </c>
      <c r="BI97" s="31" t="n">
        <v>15.7</v>
      </c>
      <c r="BJ97" s="31" t="n">
        <v>17.5</v>
      </c>
      <c r="BK97" s="31" t="n">
        <v>136.8</v>
      </c>
      <c r="BL97" s="31" t="n">
        <v>16.1</v>
      </c>
      <c r="BM97" s="31" t="n">
        <v>14.7</v>
      </c>
      <c r="BN97" s="30" t="n">
        <f aca="false">BL97+BM97</f>
        <v>30.8</v>
      </c>
      <c r="BO97" s="31" t="n">
        <v>15.8</v>
      </c>
      <c r="BP97" s="31" t="n">
        <v>19.3</v>
      </c>
      <c r="BQ97" s="31" t="n">
        <v>65.9</v>
      </c>
      <c r="BR97" s="31" t="n">
        <v>17.4</v>
      </c>
      <c r="BS97" s="31" t="n">
        <v>14.6</v>
      </c>
      <c r="BT97" s="30" t="n">
        <f aca="false">BR97+BS97</f>
        <v>32</v>
      </c>
      <c r="BU97" s="31" t="n">
        <v>17.8</v>
      </c>
      <c r="BV97" s="31" t="n">
        <v>15.8</v>
      </c>
      <c r="BW97" s="31" t="n">
        <v>65.6</v>
      </c>
      <c r="BX97" s="31" t="n">
        <v>20.1</v>
      </c>
      <c r="BY97" s="31" t="n">
        <v>18.3</v>
      </c>
      <c r="BZ97" s="30" t="n">
        <f aca="false">BX97+BY97</f>
        <v>38.4</v>
      </c>
      <c r="CA97" s="31" t="n">
        <v>18.7</v>
      </c>
      <c r="CB97" s="31" t="n">
        <v>20.7</v>
      </c>
      <c r="CC97" s="31" t="n">
        <v>77.8</v>
      </c>
      <c r="CD97" s="31" t="n">
        <v>22.2</v>
      </c>
      <c r="CE97" s="31" t="n">
        <v>21.7</v>
      </c>
      <c r="CF97" s="30" t="n">
        <f aca="false">CD97+CE97</f>
        <v>43.9</v>
      </c>
      <c r="CG97" s="31" t="n">
        <v>22</v>
      </c>
      <c r="CH97" s="31" t="n">
        <v>21.6</v>
      </c>
      <c r="CI97" s="31" t="n">
        <v>87.5</v>
      </c>
      <c r="CJ97" s="31" t="n">
        <v>19</v>
      </c>
      <c r="CK97" s="31" t="n">
        <v>28</v>
      </c>
      <c r="CL97" s="30" t="n">
        <f aca="false">CJ97+CK97</f>
        <v>47</v>
      </c>
      <c r="CM97" s="32" t="n">
        <f aca="false">CM99+CM98</f>
        <v>23.8</v>
      </c>
      <c r="CN97" s="32" t="n">
        <f aca="false">CN99+CN98</f>
        <v>23.8</v>
      </c>
      <c r="CO97" s="32" t="n">
        <f aca="false">SUM(CJ97,CK97,CM97,CN97)</f>
        <v>94.6</v>
      </c>
      <c r="CP97" s="32" t="n">
        <f aca="false">CP99+CP98</f>
        <v>101.929928800168</v>
      </c>
      <c r="CQ97" s="32" t="n">
        <f aca="false">CQ99+CQ98</f>
        <v>109.357721441303</v>
      </c>
      <c r="CR97" s="32" t="n">
        <f aca="false">CR99+CR98</f>
        <v>117.150802211796</v>
      </c>
      <c r="CS97" s="32" t="n">
        <f aca="false">CS99+CS98</f>
        <v>125.996218823348</v>
      </c>
      <c r="CT97" s="23" t="s">
        <v>190</v>
      </c>
      <c r="CV97" s="7"/>
      <c r="CW97" s="7"/>
      <c r="CX97" s="7"/>
      <c r="CY97" s="7"/>
    </row>
    <row r="98" customFormat="false" ht="15" hidden="false" customHeight="true" outlineLevel="0" collapsed="false">
      <c r="B98" s="13" t="s">
        <v>191</v>
      </c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1" t="n">
        <v>5.9</v>
      </c>
      <c r="BG98" s="31" t="n">
        <v>70.5</v>
      </c>
      <c r="BH98" s="30" t="n">
        <f aca="false">BF98+BG98</f>
        <v>76.4</v>
      </c>
      <c r="BI98" s="31" t="n">
        <v>0.3</v>
      </c>
      <c r="BJ98" s="31" t="n">
        <v>0.4</v>
      </c>
      <c r="BK98" s="31" t="n">
        <v>77.1</v>
      </c>
      <c r="BL98" s="30"/>
      <c r="BM98" s="30"/>
      <c r="BN98" s="30"/>
      <c r="BO98" s="30"/>
      <c r="BP98" s="30"/>
      <c r="BQ98" s="30"/>
      <c r="BR98" s="30"/>
      <c r="BS98" s="30"/>
      <c r="BT98" s="30"/>
      <c r="BU98" s="30"/>
      <c r="BV98" s="30"/>
      <c r="BW98" s="30"/>
      <c r="BX98" s="30"/>
      <c r="BY98" s="30"/>
      <c r="BZ98" s="30"/>
      <c r="CA98" s="30"/>
      <c r="CB98" s="30"/>
      <c r="CC98" s="30"/>
      <c r="CD98" s="31" t="n">
        <v>3.6</v>
      </c>
      <c r="CE98" s="31" t="n">
        <v>1.3</v>
      </c>
      <c r="CF98" s="30" t="n">
        <f aca="false">CD98+CE98</f>
        <v>4.9</v>
      </c>
      <c r="CG98" s="31" t="n">
        <v>0.2</v>
      </c>
      <c r="CH98" s="31" t="n">
        <v>0.3</v>
      </c>
      <c r="CI98" s="31" t="n">
        <v>5.4</v>
      </c>
      <c r="CJ98" s="31" t="n">
        <v>0.2</v>
      </c>
      <c r="CK98" s="31" t="n">
        <v>0.2</v>
      </c>
      <c r="CL98" s="30" t="n">
        <f aca="false">CJ98+CK98</f>
        <v>0.4</v>
      </c>
      <c r="CM98" s="33" t="n">
        <v>0.5</v>
      </c>
      <c r="CN98" s="33" t="n">
        <v>0.5</v>
      </c>
      <c r="CO98" s="32" t="n">
        <f aca="false">SUM(CJ98,CK98,CM98,CN98)</f>
        <v>1.4</v>
      </c>
      <c r="CP98" s="33" t="n">
        <v>5</v>
      </c>
      <c r="CQ98" s="33" t="n">
        <v>5</v>
      </c>
      <c r="CR98" s="33" t="n">
        <v>5</v>
      </c>
      <c r="CS98" s="33" t="n">
        <v>5</v>
      </c>
      <c r="CT98" s="23" t="s">
        <v>192</v>
      </c>
      <c r="CV98" s="7"/>
      <c r="CW98" s="7"/>
      <c r="CX98" s="7"/>
      <c r="CY98" s="7"/>
    </row>
    <row r="99" customFormat="false" ht="15" hidden="false" customHeight="true" outlineLevel="0" collapsed="false">
      <c r="B99" s="19" t="s">
        <v>193</v>
      </c>
      <c r="C99" s="20" t="str">
        <f aca="false">IF(ISNUMBER(C97),C97-N(C98),"")</f>
        <v/>
      </c>
      <c r="D99" s="20" t="str">
        <f aca="false">IF(ISNUMBER(D97),D97-N(D98),"")</f>
        <v/>
      </c>
      <c r="E99" s="20" t="n">
        <f aca="false">IF(ISNUMBER(E97),E97-N(E98),"")</f>
        <v>29.6</v>
      </c>
      <c r="F99" s="20" t="n">
        <f aca="false">IF(ISNUMBER(F97),F97-N(F98),"")</f>
        <v>27.3</v>
      </c>
      <c r="G99" s="20" t="n">
        <f aca="false">IF(ISNUMBER(G97),G97-N(G98),"")</f>
        <v>28.8</v>
      </c>
      <c r="H99" s="20" t="n">
        <f aca="false">IF(ISNUMBER(H97),H97-N(H98),"")</f>
        <v>33.7</v>
      </c>
      <c r="I99" s="20" t="n">
        <f aca="false">IF(ISNUMBER(I97),I97-N(I98),"")</f>
        <v>36.7</v>
      </c>
      <c r="J99" s="20" t="n">
        <f aca="false">IF(ISNUMBER(J97),J97-N(J98),"")</f>
        <v>9.5</v>
      </c>
      <c r="K99" s="20" t="n">
        <f aca="false">IF(ISNUMBER(K97),K97-N(K98),"")</f>
        <v>10.4</v>
      </c>
      <c r="L99" s="20" t="n">
        <f aca="false">IF(ISNUMBER(L97),L97-N(L98),"")</f>
        <v>19.9</v>
      </c>
      <c r="M99" s="20" t="n">
        <f aca="false">IF(ISNUMBER(M97),M97-N(M98),"")</f>
        <v>10.4</v>
      </c>
      <c r="N99" s="20" t="n">
        <f aca="false">IF(ISNUMBER(N97),N97-N(N98),"")</f>
        <v>7.3</v>
      </c>
      <c r="O99" s="20" t="n">
        <f aca="false">IF(ISNUMBER(O97),O97-N(O98),"")</f>
        <v>37.6</v>
      </c>
      <c r="P99" s="20" t="n">
        <f aca="false">IF(ISNUMBER(P97),P97-N(P98),"")</f>
        <v>11.1</v>
      </c>
      <c r="Q99" s="20" t="n">
        <f aca="false">IF(ISNUMBER(Q97),Q97-N(Q98),"")</f>
        <v>10.9</v>
      </c>
      <c r="R99" s="20" t="n">
        <f aca="false">IF(ISNUMBER(R97),R97-N(R98),"")</f>
        <v>22</v>
      </c>
      <c r="S99" s="20" t="n">
        <f aca="false">IF(ISNUMBER(S97),S97-N(S98),"")</f>
        <v>10.6</v>
      </c>
      <c r="T99" s="20" t="n">
        <f aca="false">IF(ISNUMBER(T97),T97-N(T98),"")</f>
        <v>11.3</v>
      </c>
      <c r="U99" s="20" t="n">
        <f aca="false">IF(ISNUMBER(U97),U97-N(U98),"")</f>
        <v>43.9</v>
      </c>
      <c r="V99" s="20" t="n">
        <f aca="false">IF(ISNUMBER(V97),V97-N(V98),"")</f>
        <v>10.2</v>
      </c>
      <c r="W99" s="20" t="n">
        <f aca="false">IF(ISNUMBER(W97),W97-N(W98),"")</f>
        <v>11</v>
      </c>
      <c r="X99" s="20" t="n">
        <f aca="false">IF(ISNUMBER(X97),X97-N(X98),"")</f>
        <v>21.2</v>
      </c>
      <c r="Y99" s="20" t="n">
        <f aca="false">IF(ISNUMBER(Y97),Y97-N(Y98),"")</f>
        <v>8.9</v>
      </c>
      <c r="Z99" s="20" t="n">
        <f aca="false">IF(ISNUMBER(Z97),Z97-N(Z98),"")</f>
        <v>10.1</v>
      </c>
      <c r="AA99" s="20" t="n">
        <f aca="false">IF(ISNUMBER(AA97),AA97-N(AA98),"")</f>
        <v>40.2</v>
      </c>
      <c r="AB99" s="20" t="n">
        <f aca="false">IF(ISNUMBER(AB97),AB97-N(AB98),"")</f>
        <v>10.8</v>
      </c>
      <c r="AC99" s="20" t="n">
        <f aca="false">IF(ISNUMBER(AC97),AC97-N(AC98),"")</f>
        <v>10.8</v>
      </c>
      <c r="AD99" s="20" t="n">
        <f aca="false">IF(ISNUMBER(AD97),AD97-N(AD98),"")</f>
        <v>21.6</v>
      </c>
      <c r="AE99" s="20" t="n">
        <f aca="false">IF(ISNUMBER(AE97),AE97-N(AE98),"")</f>
        <v>11.1</v>
      </c>
      <c r="AF99" s="20" t="n">
        <f aca="false">IF(ISNUMBER(AF97),AF97-N(AF98),"")</f>
        <v>13.4</v>
      </c>
      <c r="AG99" s="20" t="n">
        <f aca="false">IF(ISNUMBER(AG97),AG97-N(AG98),"")</f>
        <v>46.1</v>
      </c>
      <c r="AH99" s="20" t="n">
        <f aca="false">IF(ISNUMBER(AH97),AH97-N(AH98),"")</f>
        <v>22.7</v>
      </c>
      <c r="AI99" s="20" t="n">
        <f aca="false">IF(ISNUMBER(AI97),AI97-N(AI98),"")</f>
        <v>12.6</v>
      </c>
      <c r="AJ99" s="20" t="n">
        <f aca="false">IF(ISNUMBER(AJ97),AJ97-N(AJ98),"")</f>
        <v>35.3</v>
      </c>
      <c r="AK99" s="20" t="n">
        <f aca="false">IF(ISNUMBER(AK97),AK97-N(AK98),"")</f>
        <v>13.3</v>
      </c>
      <c r="AL99" s="20" t="n">
        <f aca="false">IF(ISNUMBER(AL97),AL97-N(AL98),"")</f>
        <v>14.4</v>
      </c>
      <c r="AM99" s="20" t="n">
        <f aca="false">IF(ISNUMBER(AM97),AM97-N(AM98),"")</f>
        <v>63</v>
      </c>
      <c r="AN99" s="20" t="n">
        <f aca="false">IF(ISNUMBER(AN97),AN97-N(AN98),"")</f>
        <v>12.9</v>
      </c>
      <c r="AO99" s="20" t="n">
        <f aca="false">IF(ISNUMBER(AO97),AO97-N(AO98),"")</f>
        <v>13.8</v>
      </c>
      <c r="AP99" s="20" t="n">
        <f aca="false">IF(ISNUMBER(AP97),AP97-N(AP98),"")</f>
        <v>26.7</v>
      </c>
      <c r="AQ99" s="20" t="n">
        <f aca="false">IF(ISNUMBER(AQ97),AQ97-N(AQ98),"")</f>
        <v>15.1</v>
      </c>
      <c r="AR99" s="20" t="n">
        <f aca="false">IF(ISNUMBER(AR97),AR97-N(AR98),"")</f>
        <v>14.2</v>
      </c>
      <c r="AS99" s="20" t="n">
        <f aca="false">IF(ISNUMBER(AS97),AS97-N(AS98),"")</f>
        <v>56</v>
      </c>
      <c r="AT99" s="20" t="n">
        <f aca="false">IF(ISNUMBER(AT97),AT97-N(AT98),"")</f>
        <v>18.1</v>
      </c>
      <c r="AU99" s="20" t="n">
        <f aca="false">IF(ISNUMBER(AU97),AU97-N(AU98),"")</f>
        <v>16.3</v>
      </c>
      <c r="AV99" s="20" t="n">
        <f aca="false">IF(ISNUMBER(AV97),AV97-N(AV98),"")</f>
        <v>34.4</v>
      </c>
      <c r="AW99" s="20" t="n">
        <f aca="false">IF(ISNUMBER(AW97),AW97-N(AW98),"")</f>
        <v>14.6</v>
      </c>
      <c r="AX99" s="20" t="n">
        <f aca="false">IF(ISNUMBER(AX97),AX97-N(AX98),"")</f>
        <v>16.1</v>
      </c>
      <c r="AY99" s="20" t="n">
        <f aca="false">IF(ISNUMBER(AY97),AY97-N(AY98),"")</f>
        <v>65.1</v>
      </c>
      <c r="AZ99" s="20" t="n">
        <f aca="false">IF(ISNUMBER(AZ97),AZ97-N(AZ98),"")</f>
        <v>15.4</v>
      </c>
      <c r="BA99" s="20" t="n">
        <f aca="false">IF(ISNUMBER(BA97),BA97-N(BA98),"")</f>
        <v>13.8</v>
      </c>
      <c r="BB99" s="20" t="n">
        <f aca="false">IF(ISNUMBER(BB97),BB97-N(BB98),"")</f>
        <v>29.2</v>
      </c>
      <c r="BC99" s="20" t="n">
        <f aca="false">IF(ISNUMBER(BC97),BC97-N(BC98),"")</f>
        <v>12.9</v>
      </c>
      <c r="BD99" s="20" t="n">
        <f aca="false">IF(ISNUMBER(BD97),BD97-N(BD98),"")</f>
        <v>14.7</v>
      </c>
      <c r="BE99" s="20" t="n">
        <f aca="false">IF(ISNUMBER(BE97),BE97-N(BE98),"")</f>
        <v>56.8</v>
      </c>
      <c r="BF99" s="20" t="n">
        <f aca="false">IF(ISNUMBER(BF97),BF97-N(BF98),"")</f>
        <v>13.5</v>
      </c>
      <c r="BG99" s="20" t="n">
        <f aca="false">IF(ISNUMBER(BG97),BG97-N(BG98),"")</f>
        <v>13.7</v>
      </c>
      <c r="BH99" s="20" t="n">
        <f aca="false">IF(ISNUMBER(BH97),BH97-N(BH98),"")</f>
        <v>27.2</v>
      </c>
      <c r="BI99" s="20" t="n">
        <f aca="false">IF(ISNUMBER(BI97),BI97-N(BI98),"")</f>
        <v>15.4</v>
      </c>
      <c r="BJ99" s="20" t="n">
        <f aca="false">IF(ISNUMBER(BJ97),BJ97-N(BJ98),"")</f>
        <v>17.1</v>
      </c>
      <c r="BK99" s="20" t="n">
        <f aca="false">IF(ISNUMBER(BK97),BK97-N(BK98),"")</f>
        <v>59.7</v>
      </c>
      <c r="BL99" s="20" t="n">
        <f aca="false">IF(ISNUMBER(BL97),BL97-N(BL98),"")</f>
        <v>16.1</v>
      </c>
      <c r="BM99" s="20" t="n">
        <f aca="false">IF(ISNUMBER(BM97),BM97-N(BM98),"")</f>
        <v>14.7</v>
      </c>
      <c r="BN99" s="20" t="n">
        <f aca="false">IF(ISNUMBER(BN97),BN97-N(BN98),"")</f>
        <v>30.8</v>
      </c>
      <c r="BO99" s="20" t="n">
        <f aca="false">IF(ISNUMBER(BO97),BO97-N(BO98),"")</f>
        <v>15.8</v>
      </c>
      <c r="BP99" s="20" t="n">
        <f aca="false">IF(ISNUMBER(BP97),BP97-N(BP98),"")</f>
        <v>19.3</v>
      </c>
      <c r="BQ99" s="20" t="n">
        <f aca="false">IF(ISNUMBER(BQ97),BQ97-N(BQ98),"")</f>
        <v>65.9</v>
      </c>
      <c r="BR99" s="20" t="n">
        <f aca="false">IF(ISNUMBER(BR97),BR97-N(BR98),"")</f>
        <v>17.4</v>
      </c>
      <c r="BS99" s="20" t="n">
        <f aca="false">IF(ISNUMBER(BS97),BS97-N(BS98),"")</f>
        <v>14.6</v>
      </c>
      <c r="BT99" s="20" t="n">
        <f aca="false">IF(ISNUMBER(BT97),BT97-N(BT98),"")</f>
        <v>32</v>
      </c>
      <c r="BU99" s="20" t="n">
        <f aca="false">IF(ISNUMBER(BU97),BU97-N(BU98),"")</f>
        <v>17.8</v>
      </c>
      <c r="BV99" s="20" t="n">
        <f aca="false">IF(ISNUMBER(BV97),BV97-N(BV98),"")</f>
        <v>15.8</v>
      </c>
      <c r="BW99" s="20" t="n">
        <f aca="false">IF(ISNUMBER(BW97),BW97-N(BW98),"")</f>
        <v>65.6</v>
      </c>
      <c r="BX99" s="20" t="n">
        <f aca="false">IF(ISNUMBER(BX97),BX97-N(BX98),"")</f>
        <v>20.1</v>
      </c>
      <c r="BY99" s="20" t="n">
        <f aca="false">IF(ISNUMBER(BY97),BY97-N(BY98),"")</f>
        <v>18.3</v>
      </c>
      <c r="BZ99" s="20" t="n">
        <f aca="false">IF(ISNUMBER(BZ97),BZ97-N(BZ98),"")</f>
        <v>38.4</v>
      </c>
      <c r="CA99" s="20" t="n">
        <f aca="false">IF(ISNUMBER(CA97),CA97-N(CA98),"")</f>
        <v>18.7</v>
      </c>
      <c r="CB99" s="20" t="n">
        <f aca="false">IF(ISNUMBER(CB97),CB97-N(CB98),"")</f>
        <v>20.7</v>
      </c>
      <c r="CC99" s="20" t="n">
        <f aca="false">IF(ISNUMBER(CC97),CC97-N(CC98),"")</f>
        <v>77.8</v>
      </c>
      <c r="CD99" s="20" t="n">
        <f aca="false">IF(ISNUMBER(CD97),CD97-N(CD98),"")</f>
        <v>18.6</v>
      </c>
      <c r="CE99" s="20" t="n">
        <f aca="false">IF(ISNUMBER(CE97),CE97-N(CE98),"")</f>
        <v>20.4</v>
      </c>
      <c r="CF99" s="20" t="n">
        <f aca="false">IF(ISNUMBER(CF97),CF97-N(CF98),"")</f>
        <v>39</v>
      </c>
      <c r="CG99" s="20" t="n">
        <f aca="false">IF(ISNUMBER(CG97),CG97-N(CG98),"")</f>
        <v>21.8</v>
      </c>
      <c r="CH99" s="20" t="n">
        <f aca="false">IF(ISNUMBER(CH97),CH97-N(CH98),"")</f>
        <v>21.3</v>
      </c>
      <c r="CI99" s="20" t="n">
        <f aca="false">IF(ISNUMBER(CI97),CI97-N(CI98),"")</f>
        <v>82.1</v>
      </c>
      <c r="CJ99" s="20" t="n">
        <f aca="false">IF(ISNUMBER(CJ97),CJ97-N(CJ98),"")</f>
        <v>18.8</v>
      </c>
      <c r="CK99" s="20" t="n">
        <f aca="false">IF(ISNUMBER(CK97),CK97-N(CK98),"")</f>
        <v>27.8</v>
      </c>
      <c r="CL99" s="20" t="n">
        <f aca="false">IF(ISNUMBER(CL97),CL97-N(CL98),"")</f>
        <v>46.6</v>
      </c>
      <c r="CM99" s="22" t="n">
        <f aca="false">CL99/2</f>
        <v>23.3</v>
      </c>
      <c r="CN99" s="22" t="n">
        <f aca="false">CL99/2</f>
        <v>23.3</v>
      </c>
      <c r="CO99" s="22" t="n">
        <f aca="false">SUM(CJ99,CK99,CM99,CN99)</f>
        <v>93.2</v>
      </c>
      <c r="CP99" s="22" t="n">
        <f aca="false">CP152*CP100</f>
        <v>96.9299288001684</v>
      </c>
      <c r="CQ99" s="22" t="n">
        <f aca="false">CQ152*CQ100</f>
        <v>104.357721441303</v>
      </c>
      <c r="CR99" s="22" t="n">
        <f aca="false">CR152*CR100</f>
        <v>112.150802211796</v>
      </c>
      <c r="CS99" s="22" t="n">
        <f aca="false">CS152*CS100</f>
        <v>120.996218823348</v>
      </c>
      <c r="CT99" s="23" t="s">
        <v>194</v>
      </c>
      <c r="CV99" s="7"/>
      <c r="CW99" s="7"/>
      <c r="CX99" s="7"/>
      <c r="CY99" s="7"/>
    </row>
    <row r="100" customFormat="false" ht="15" hidden="false" customHeight="true" outlineLevel="0" collapsed="false">
      <c r="B100" s="26" t="s">
        <v>195</v>
      </c>
      <c r="C100" s="40" t="str">
        <f aca="false">IFERROR(C99/C152,"")</f>
        <v/>
      </c>
      <c r="D100" s="40" t="str">
        <f aca="false">IFERROR(D99/D152,"")</f>
        <v/>
      </c>
      <c r="E100" s="40" t="n">
        <f aca="false">IFERROR(E99/E152,"")</f>
        <v>0.0171893147502904</v>
      </c>
      <c r="F100" s="40" t="n">
        <f aca="false">IFERROR(F99/F152,"")</f>
        <v>0.0165244234610496</v>
      </c>
      <c r="G100" s="40" t="n">
        <f aca="false">IFERROR(G99/G152,"")</f>
        <v>0.0175161172606739</v>
      </c>
      <c r="H100" s="40" t="n">
        <f aca="false">IFERROR(H99/H152,"")</f>
        <v>0.0173541377001905</v>
      </c>
      <c r="I100" s="40" t="n">
        <f aca="false">IFERROR(I99/I152,"")</f>
        <v>0.017251915573732</v>
      </c>
      <c r="J100" s="40" t="n">
        <f aca="false">IFERROR(J99/J152,"")</f>
        <v>0.0166842290129961</v>
      </c>
      <c r="K100" s="40" t="n">
        <f aca="false">IFERROR(K99/K152,"")</f>
        <v>0.0173044925124792</v>
      </c>
      <c r="L100" s="40" t="n">
        <f aca="false">IFERROR(L99/L152,"")</f>
        <v>0.0170027341079973</v>
      </c>
      <c r="M100" s="40" t="n">
        <f aca="false">IFERROR(M99/M152,"")</f>
        <v>0.0181945416375088</v>
      </c>
      <c r="N100" s="40" t="n">
        <f aca="false">IFERROR(N99/N152,"")</f>
        <v>0.0122360040227958</v>
      </c>
      <c r="O100" s="40" t="n">
        <f aca="false">IFERROR(O99/O152,"")</f>
        <v>0.0160779953818524</v>
      </c>
      <c r="P100" s="40" t="n">
        <f aca="false">IFERROR(P99/P152,"")</f>
        <v>0.0193548387096774</v>
      </c>
      <c r="Q100" s="40" t="n">
        <f aca="false">IFERROR(Q99/Q152,"")</f>
        <v>0.0182548986769385</v>
      </c>
      <c r="R100" s="40" t="n">
        <f aca="false">IFERROR(R99/R152,"")</f>
        <v>0.0187937809670255</v>
      </c>
      <c r="S100" s="40" t="n">
        <f aca="false">IFERROR(S99/S152,"")</f>
        <v>0.017634337048744</v>
      </c>
      <c r="T100" s="40" t="n">
        <f aca="false">IFERROR(T99/T152,"")</f>
        <v>0.0181584444801543</v>
      </c>
      <c r="U100" s="40" t="n">
        <f aca="false">IFERROR(U99/U152,"")</f>
        <v>0.0183375104427736</v>
      </c>
      <c r="V100" s="40" t="n">
        <f aca="false">IFERROR(V99/V152,"")</f>
        <v>0.0180530973451327</v>
      </c>
      <c r="W100" s="40" t="n">
        <f aca="false">IFERROR(W99/W152,"")</f>
        <v>0.0190410247533322</v>
      </c>
      <c r="X100" s="40" t="n">
        <f aca="false">IFERROR(X99/X152,"")</f>
        <v>0.0185525509757592</v>
      </c>
      <c r="Y100" s="40" t="n">
        <f aca="false">IFERROR(Y99/Y152,"")</f>
        <v>0.0160244868563198</v>
      </c>
      <c r="Z100" s="40" t="n">
        <f aca="false">IFERROR(Z99/Z152,"")</f>
        <v>0.0168333333333333</v>
      </c>
      <c r="AA100" s="40" t="n">
        <f aca="false">IFERROR(AA99/AA152,"")</f>
        <v>0.0174927113702624</v>
      </c>
      <c r="AB100" s="40" t="n">
        <f aca="false">IFERROR(AB99/AB152,"")</f>
        <v>0.0203581526861452</v>
      </c>
      <c r="AC100" s="40" t="n">
        <f aca="false">IFERROR(AC99/AC152,"")</f>
        <v>0.0200111172873819</v>
      </c>
      <c r="AD100" s="40" t="n">
        <f aca="false">IFERROR(AD99/AD152,"")</f>
        <v>0.0201831433376939</v>
      </c>
      <c r="AE100" s="40" t="n">
        <f aca="false">IFERROR(AE99/AE152,"")</f>
        <v>0.0210706150341686</v>
      </c>
      <c r="AF100" s="40" t="n">
        <f aca="false">IFERROR(AF99/AF152,"")</f>
        <v>0.0242358473503346</v>
      </c>
      <c r="AG100" s="40" t="n">
        <f aca="false">IFERROR(AG99/AG152,"")</f>
        <v>0.0214428578073399</v>
      </c>
      <c r="AH100" s="40" t="n">
        <f aca="false">IFERROR(AH99/AH152,"")</f>
        <v>0.0400989224518636</v>
      </c>
      <c r="AI100" s="40" t="n">
        <f aca="false">IFERROR(AI99/AI152,"")</f>
        <v>0.0187751452838623</v>
      </c>
      <c r="AJ100" s="40" t="n">
        <f aca="false">IFERROR(AJ99/AJ152,"")</f>
        <v>0.0285321694148076</v>
      </c>
      <c r="AK100" s="40" t="n">
        <f aca="false">IFERROR(AK99/AK152,"")</f>
        <v>0.0200845665961945</v>
      </c>
      <c r="AL100" s="40" t="n">
        <f aca="false">IFERROR(AL99/AL152,"")</f>
        <v>0.020442930153322</v>
      </c>
      <c r="AM100" s="40" t="n">
        <f aca="false">IFERROR(AM99/AM152,"")</f>
        <v>0.0241954067132652</v>
      </c>
      <c r="AN100" s="40" t="n">
        <f aca="false">IFERROR(AN99/AN152,"")</f>
        <v>0.0185451408855664</v>
      </c>
      <c r="AO100" s="40" t="n">
        <f aca="false">IFERROR(AO99/AO152,"")</f>
        <v>0.018839590443686</v>
      </c>
      <c r="AP100" s="40" t="n">
        <f aca="false">IFERROR(AP99/AP152,"")</f>
        <v>0.0186961697360129</v>
      </c>
      <c r="AQ100" s="40" t="n">
        <f aca="false">IFERROR(AQ99/AQ152,"")</f>
        <v>0.0208189714600855</v>
      </c>
      <c r="AR100" s="40" t="n">
        <f aca="false">IFERROR(AR99/AR152,"")</f>
        <v>0.0189738107963656</v>
      </c>
      <c r="AS100" s="40" t="n">
        <f aca="false">IFERROR(AS99/AS152,"")</f>
        <v>0.0192983665311186</v>
      </c>
      <c r="AT100" s="40" t="n">
        <f aca="false">IFERROR(AT99/AT152,"")</f>
        <v>0.0242887815351583</v>
      </c>
      <c r="AU100" s="40" t="n">
        <f aca="false">IFERROR(AU99/AU152,"")</f>
        <v>0.020843989769821</v>
      </c>
      <c r="AV100" s="40" t="n">
        <f aca="false">IFERROR(AV99/AV152,"")</f>
        <v>0.0225248821372446</v>
      </c>
      <c r="AW100" s="40" t="n">
        <f aca="false">IFERROR(AW99/AW152,"")</f>
        <v>0.0181999501371229</v>
      </c>
      <c r="AX100" s="40" t="n">
        <f aca="false">IFERROR(AX99/AX152,"")</f>
        <v>0.0192999280748022</v>
      </c>
      <c r="AY100" s="40" t="n">
        <f aca="false">IFERROR(AY99/AY152,"")</f>
        <v>0.0205778227335946</v>
      </c>
      <c r="AZ100" s="40" t="n">
        <f aca="false">IFERROR(AZ99/AZ152,"")</f>
        <v>0.0196278358399184</v>
      </c>
      <c r="BA100" s="40" t="n">
        <f aca="false">IFERROR(BA99/BA152,"")</f>
        <v>0.0185658549710749</v>
      </c>
      <c r="BB100" s="40" t="n">
        <f aca="false">IFERROR(BB99/BB152,"")</f>
        <v>0.0191111983768571</v>
      </c>
      <c r="BC100" s="40" t="n">
        <f aca="false">IFERROR(BC99/BC152,"")</f>
        <v>0.0172229639519359</v>
      </c>
      <c r="BD100" s="40" t="n">
        <f aca="false">IFERROR(BD99/BD152,"")</f>
        <v>0.018163845298406</v>
      </c>
      <c r="BE100" s="40" t="n">
        <f aca="false">IFERROR(BE99/BE152,"")</f>
        <v>0.0184045104011406</v>
      </c>
      <c r="BF100" s="40" t="n">
        <f aca="false">IFERROR(BF99/BF152,"")</f>
        <v>0.0167556162343304</v>
      </c>
      <c r="BG100" s="40" t="n">
        <f aca="false">IFERROR(BG99/BG152,"")</f>
        <v>0.012221231043711</v>
      </c>
      <c r="BH100" s="40" t="n">
        <f aca="false">IFERROR(BH99/BH152,"")</f>
        <v>0.0141174028131001</v>
      </c>
      <c r="BI100" s="40" t="n">
        <f aca="false">IFERROR(BI99/BI152,"")</f>
        <v>0.0117386995960058</v>
      </c>
      <c r="BJ100" s="40" t="n">
        <f aca="false">IFERROR(BJ99/BJ152,"")</f>
        <v>0.0124300356182307</v>
      </c>
      <c r="BK100" s="40" t="n">
        <f aca="false">IFERROR(BK99/BK152,"")</f>
        <v>0.0129380404395033</v>
      </c>
      <c r="BL100" s="40" t="n">
        <f aca="false">IFERROR(BL99/BL152,"")</f>
        <v>0.0121877365632097</v>
      </c>
      <c r="BM100" s="40" t="n">
        <f aca="false">IFERROR(BM99/BM152,"")</f>
        <v>0.0108423071249447</v>
      </c>
      <c r="BN100" s="40" t="n">
        <f aca="false">IFERROR(BN99/BN152,"")</f>
        <v>0.0115062761506276</v>
      </c>
      <c r="BO100" s="40" t="n">
        <f aca="false">IFERROR(BO99/BO152,"")</f>
        <v>0.0115869756526841</v>
      </c>
      <c r="BP100" s="40" t="n">
        <f aca="false">IFERROR(BP99/BP152,"")</f>
        <v>0.0136087998871809</v>
      </c>
      <c r="BQ100" s="40" t="n">
        <f aca="false">IFERROR(BQ99/BQ152,"")</f>
        <v>0.0120726926318104</v>
      </c>
      <c r="BR100" s="40" t="n">
        <f aca="false">IFERROR(BR99/BR152,"")</f>
        <v>0.0125786163522013</v>
      </c>
      <c r="BS100" s="40" t="n">
        <f aca="false">IFERROR(BS99/BS152,"")</f>
        <v>0.0102477714606584</v>
      </c>
      <c r="BT100" s="40" t="n">
        <f aca="false">IFERROR(BT99/BT152,"")</f>
        <v>0.0113960113960114</v>
      </c>
      <c r="BU100" s="40" t="n">
        <f aca="false">IFERROR(BU99/BU152,"")</f>
        <v>0.0126916221033868</v>
      </c>
      <c r="BV100" s="40" t="n">
        <f aca="false">IFERROR(BV99/BV152,"")</f>
        <v>0.0110877192982456</v>
      </c>
      <c r="BW100" s="40" t="n">
        <f aca="false">IFERROR(BW99/BW152,"")</f>
        <v>0.011640493301393</v>
      </c>
      <c r="BX100" s="40" t="n">
        <f aca="false">IFERROR(BX99/BX152,"")</f>
        <v>0.0148877860899193</v>
      </c>
      <c r="BY100" s="40" t="n">
        <f aca="false">IFERROR(BY99/BY152,"")</f>
        <v>0.0133178080197948</v>
      </c>
      <c r="BZ100" s="40" t="n">
        <f aca="false">IFERROR(BZ99/BZ152,"")</f>
        <v>0.0140958813596652</v>
      </c>
      <c r="CA100" s="40" t="n">
        <f aca="false">IFERROR(CA99/CA152,"")</f>
        <v>0.0129546241773467</v>
      </c>
      <c r="CB100" s="40" t="n">
        <f aca="false">IFERROR(CB99/CB152,"")</f>
        <v>0.01377887239566</v>
      </c>
      <c r="CC100" s="40" t="n">
        <f aca="false">IFERROR(CC99/CC152,"")</f>
        <v>0.0137213403880071</v>
      </c>
      <c r="CD100" s="40" t="n">
        <f aca="false">IFERROR(CD99/CD152,"")</f>
        <v>0.0128284709290296</v>
      </c>
      <c r="CE100" s="40" t="n">
        <f aca="false">IFERROR(CE99/CE152,"")</f>
        <v>0.0134769108806236</v>
      </c>
      <c r="CF100" s="40" t="n">
        <f aca="false">IFERROR(CF99/CF152,"")</f>
        <v>0.0131596706708058</v>
      </c>
      <c r="CG100" s="40" t="n">
        <f aca="false">IFERROR(CG99/CG152,"")</f>
        <v>0.0141604417018513</v>
      </c>
      <c r="CH100" s="40" t="n">
        <f aca="false">IFERROR(CH99/CH152,"")</f>
        <v>0.0132109408918936</v>
      </c>
      <c r="CI100" s="40" t="n">
        <f aca="false">IFERROR(CI99/CI152,"")</f>
        <v>0.0134251234588089</v>
      </c>
      <c r="CJ100" s="40" t="n">
        <f aca="false">IFERROR(CJ99/CJ152,"")</f>
        <v>0.0120505095827191</v>
      </c>
      <c r="CK100" s="40" t="n">
        <f aca="false">IFERROR(CK99/CK152,"")</f>
        <v>0.0167218045112782</v>
      </c>
      <c r="CL100" s="40" t="n">
        <f aca="false">IFERROR(CL99/CL152,"")</f>
        <v>0.0144603736113697</v>
      </c>
      <c r="CM100" s="28" t="n">
        <f aca="false">IFERROR(CM99/CM152,"")</f>
        <v>0.0137774111423107</v>
      </c>
      <c r="CN100" s="28" t="n">
        <f aca="false">IFERROR(CN99/CN152,"")</f>
        <v>0.0131466574215763</v>
      </c>
      <c r="CO100" s="28" t="n">
        <f aca="false">IFERROR(CO99/CO152,"")</f>
        <v>0.0139393924830914</v>
      </c>
      <c r="CP100" s="46" t="n">
        <v>0.0135</v>
      </c>
      <c r="CQ100" s="46" t="n">
        <v>0.0133</v>
      </c>
      <c r="CR100" s="46" t="n">
        <v>0.0131</v>
      </c>
      <c r="CS100" s="46" t="n">
        <v>0.013</v>
      </c>
      <c r="CT100" s="23"/>
      <c r="CV100" s="7"/>
      <c r="CW100" s="7"/>
      <c r="CX100" s="7"/>
      <c r="CY100" s="7"/>
    </row>
    <row r="101" customFormat="false" ht="15" hidden="false" customHeight="true" outlineLevel="0" collapsed="false">
      <c r="B101" s="13" t="s">
        <v>196</v>
      </c>
      <c r="C101" s="30"/>
      <c r="D101" s="30"/>
      <c r="E101" s="31" t="n">
        <v>0</v>
      </c>
      <c r="F101" s="31" t="n">
        <v>0</v>
      </c>
      <c r="G101" s="31" t="n">
        <v>0</v>
      </c>
      <c r="H101" s="31" t="n">
        <v>0</v>
      </c>
      <c r="I101" s="31" t="n">
        <v>0</v>
      </c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  <c r="CC101" s="30"/>
      <c r="CD101" s="30"/>
      <c r="CE101" s="30"/>
      <c r="CF101" s="30"/>
      <c r="CG101" s="30"/>
      <c r="CH101" s="30"/>
      <c r="CI101" s="30"/>
      <c r="CJ101" s="30"/>
      <c r="CK101" s="30"/>
      <c r="CL101" s="30"/>
      <c r="CM101" s="33" t="n">
        <v>0</v>
      </c>
      <c r="CN101" s="33" t="n">
        <v>0</v>
      </c>
      <c r="CO101" s="32" t="n">
        <f aca="false">SUM(CJ101,CK101,CM101,CN101)</f>
        <v>0</v>
      </c>
      <c r="CP101" s="33" t="n">
        <v>0</v>
      </c>
      <c r="CQ101" s="33" t="n">
        <v>0</v>
      </c>
      <c r="CR101" s="33" t="n">
        <v>0</v>
      </c>
      <c r="CS101" s="33" t="n">
        <v>0</v>
      </c>
      <c r="CT101" s="23"/>
      <c r="CV101" s="7"/>
      <c r="CW101" s="7"/>
      <c r="CX101" s="7"/>
      <c r="CY101" s="7"/>
    </row>
    <row r="102" customFormat="false" ht="15" hidden="false" customHeight="true" outlineLevel="0" collapsed="false">
      <c r="B102" s="26" t="s">
        <v>197</v>
      </c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  <c r="BI102" s="40"/>
      <c r="BJ102" s="40"/>
      <c r="BK102" s="40"/>
      <c r="BL102" s="40"/>
      <c r="BM102" s="40"/>
      <c r="BN102" s="40"/>
      <c r="BO102" s="40"/>
      <c r="BP102" s="40"/>
      <c r="BQ102" s="40"/>
      <c r="BR102" s="40"/>
      <c r="BS102" s="40"/>
      <c r="BT102" s="40"/>
      <c r="BU102" s="40"/>
      <c r="BV102" s="40"/>
      <c r="BW102" s="40"/>
      <c r="BX102" s="40"/>
      <c r="BY102" s="40"/>
      <c r="BZ102" s="40"/>
      <c r="CA102" s="40"/>
      <c r="CB102" s="40"/>
      <c r="CC102" s="40"/>
      <c r="CD102" s="40"/>
      <c r="CE102" s="40"/>
      <c r="CF102" s="40"/>
      <c r="CG102" s="40"/>
      <c r="CH102" s="40"/>
      <c r="CI102" s="40"/>
      <c r="CJ102" s="40"/>
      <c r="CK102" s="40"/>
      <c r="CL102" s="40"/>
      <c r="CM102" s="28" t="n">
        <f aca="false">((CM103+CM170)/(1-$DD$16)+CM161-CM162-CM163+CM99-CM101-(CM11*(CG20+$CL$20-$CF$20)+CM28*(CG37+$CL$37-$CF$37)+CM48*(CG57+$CL$57-$CF$57)+CM67*(CG76+$CL$76-$CF$76)))/(CM11+CM28+CM48+CM67)</f>
        <v>-0.00907959869513943</v>
      </c>
      <c r="CN102" s="28" t="n">
        <f aca="false">((CN103+CN170)/(1-$DD$16)+CN161-CN162-CN163+CN99-CN101-(CN11*(CH20+$CL$20-$CF$20)+CN28*(CH37+$CL$37-$CF$37)+CN48*(CH57+$CL$57-$CF$57)+CN67*(CH76+$CL$76-$CF$76)))/(CN11+CN28+CN48+CN67)</f>
        <v>-0.0283112054057052</v>
      </c>
      <c r="CO102" s="28" t="n">
        <f aca="false">SUM(CJ102,CK102,CM102,CN102)</f>
        <v>-0.0373908041008446</v>
      </c>
      <c r="CP102" s="28"/>
      <c r="CQ102" s="28"/>
      <c r="CR102" s="28"/>
      <c r="CS102" s="28"/>
      <c r="CT102" s="23" t="s">
        <v>198</v>
      </c>
      <c r="CV102" s="7"/>
      <c r="CW102" s="7"/>
      <c r="CX102" s="7"/>
      <c r="CY102" s="7"/>
    </row>
    <row r="103" customFormat="false" ht="15" hidden="false" customHeight="true" outlineLevel="0" collapsed="false">
      <c r="B103" s="37" t="s">
        <v>199</v>
      </c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30"/>
      <c r="BV103" s="30"/>
      <c r="BW103" s="30"/>
      <c r="BX103" s="30"/>
      <c r="BY103" s="30"/>
      <c r="BZ103" s="30"/>
      <c r="CA103" s="30"/>
      <c r="CB103" s="30"/>
      <c r="CC103" s="30"/>
      <c r="CD103" s="30"/>
      <c r="CE103" s="30"/>
      <c r="CF103" s="30"/>
      <c r="CG103" s="30"/>
      <c r="CH103" s="30"/>
      <c r="CI103" s="30"/>
      <c r="CJ103" s="30"/>
      <c r="CK103" s="30"/>
      <c r="CL103" s="30"/>
      <c r="CM103" s="32" t="n">
        <f aca="false">CHOOSE(MATCH($CT$2,{"Bull","Base","Bear"},0),$DC$13,$DD$13,$DE$13)*CM179</f>
        <v>286.09</v>
      </c>
      <c r="CN103" s="32" t="n">
        <f aca="false">CHOOSE(MATCH($CT$2,{"Bull","Base","Bear"},0),$DC$12,$DD$12,$DE$12)*CO179-CL233-CM103</f>
        <v>298.99125</v>
      </c>
      <c r="CO103" s="32" t="n">
        <f aca="false">CL233+CM103+CN103</f>
        <v>1150.78125</v>
      </c>
      <c r="CP103" s="32"/>
      <c r="CQ103" s="32"/>
      <c r="CR103" s="32"/>
      <c r="CS103" s="32"/>
      <c r="CT103" s="23" t="s">
        <v>200</v>
      </c>
      <c r="CV103" s="7"/>
      <c r="CW103" s="7"/>
      <c r="CX103" s="7"/>
      <c r="CY103" s="7"/>
    </row>
    <row r="104" customFormat="false" ht="15" hidden="false" customHeight="true" outlineLevel="0" collapsed="false">
      <c r="B104" s="13"/>
      <c r="CM104" s="7"/>
      <c r="CN104" s="7"/>
      <c r="CO104" s="7"/>
      <c r="CP104" s="7"/>
      <c r="CQ104" s="7"/>
      <c r="CR104" s="7"/>
      <c r="CS104" s="7"/>
      <c r="CT104" s="7"/>
    </row>
    <row r="105" customFormat="false" ht="15" hidden="false" customHeight="true" outlineLevel="0" collapsed="false">
      <c r="B105" s="17" t="s">
        <v>201</v>
      </c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8" t="s">
        <v>202</v>
      </c>
    </row>
    <row r="106" customFormat="false" ht="15" hidden="false" customHeight="true" outlineLevel="0" collapsed="false">
      <c r="B106" s="13" t="s">
        <v>203</v>
      </c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30"/>
      <c r="BV106" s="30"/>
      <c r="BW106" s="30"/>
      <c r="BX106" s="30"/>
      <c r="BY106" s="30"/>
      <c r="BZ106" s="30"/>
      <c r="CA106" s="30"/>
      <c r="CB106" s="30"/>
      <c r="CC106" s="30"/>
      <c r="CD106" s="30"/>
      <c r="CE106" s="30"/>
      <c r="CF106" s="30"/>
      <c r="CG106" s="30"/>
      <c r="CH106" s="30"/>
      <c r="CI106" s="30"/>
      <c r="CJ106" s="30"/>
      <c r="CK106" s="30"/>
      <c r="CL106" s="30"/>
      <c r="CM106" s="32"/>
      <c r="CN106" s="32"/>
      <c r="CO106" s="33" t="n">
        <v>0</v>
      </c>
      <c r="CP106" s="32" t="n">
        <f aca="false">CHOOSE(MATCH($CT$2,{"Bull","Base","Bear"},0),$DC$69,$DD$69,$DE$69)</f>
        <v>750</v>
      </c>
      <c r="CQ106" s="32" t="n">
        <f aca="false">CHOOSE(MATCH($CT$2,{"Bull","Base","Bear"},0),$DC$70,$DD$70,$DE$70)</f>
        <v>1000</v>
      </c>
      <c r="CR106" s="32" t="n">
        <f aca="false">CHOOSE(MATCH($CT$2,{"Bull","Base","Bear"},0),$DC$71,$DD$71,$DE$71)</f>
        <v>1000</v>
      </c>
      <c r="CS106" s="32" t="n">
        <f aca="false">CHOOSE(MATCH($CT$2,{"Bull","Base","Bear"},0),$DC$72,$DD$72,$DE$72)</f>
        <v>1000</v>
      </c>
      <c r="CT106" s="23" t="s">
        <v>204</v>
      </c>
      <c r="CV106" s="7"/>
      <c r="CW106" s="7"/>
      <c r="CX106" s="7"/>
      <c r="CY106" s="7"/>
    </row>
    <row r="107" customFormat="false" ht="15" hidden="false" customHeight="true" outlineLevel="0" collapsed="false">
      <c r="B107" s="47" t="s">
        <v>205</v>
      </c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  <c r="BW107" s="48"/>
      <c r="BX107" s="48"/>
      <c r="BY107" s="48"/>
      <c r="BZ107" s="48"/>
      <c r="CA107" s="48"/>
      <c r="CB107" s="48"/>
      <c r="CC107" s="48"/>
      <c r="CD107" s="48"/>
      <c r="CE107" s="48"/>
      <c r="CF107" s="48"/>
      <c r="CG107" s="48"/>
      <c r="CH107" s="48"/>
      <c r="CI107" s="48"/>
      <c r="CJ107" s="48"/>
      <c r="CK107" s="48"/>
      <c r="CL107" s="48"/>
      <c r="CM107" s="49"/>
      <c r="CN107" s="49"/>
      <c r="CO107" s="49"/>
      <c r="CP107" s="50" t="n">
        <v>3</v>
      </c>
      <c r="CQ107" s="50" t="n">
        <v>3</v>
      </c>
      <c r="CR107" s="50" t="n">
        <v>3</v>
      </c>
      <c r="CS107" s="50" t="n">
        <v>3</v>
      </c>
      <c r="CT107" s="23"/>
      <c r="CV107" s="7"/>
      <c r="CW107" s="7"/>
      <c r="CX107" s="7"/>
      <c r="CY107" s="7"/>
    </row>
    <row r="108" customFormat="false" ht="15" hidden="false" customHeight="true" outlineLevel="0" collapsed="false">
      <c r="B108" s="13" t="s">
        <v>206</v>
      </c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30"/>
      <c r="BV108" s="30"/>
      <c r="BW108" s="30"/>
      <c r="BX108" s="30"/>
      <c r="BY108" s="30"/>
      <c r="BZ108" s="30"/>
      <c r="CA108" s="30"/>
      <c r="CB108" s="30"/>
      <c r="CC108" s="30"/>
      <c r="CD108" s="30"/>
      <c r="CE108" s="30"/>
      <c r="CF108" s="30"/>
      <c r="CG108" s="30"/>
      <c r="CH108" s="30"/>
      <c r="CI108" s="30"/>
      <c r="CJ108" s="30"/>
      <c r="CK108" s="30"/>
      <c r="CL108" s="30"/>
      <c r="CM108" s="32"/>
      <c r="CN108" s="32"/>
      <c r="CO108" s="33" t="n">
        <v>0</v>
      </c>
      <c r="CP108" s="32" t="n">
        <f aca="false">IFERROR(CP106/CP107,0)</f>
        <v>250</v>
      </c>
      <c r="CQ108" s="32" t="n">
        <f aca="false">IFERROR(CQ106/CQ107,0)</f>
        <v>333.333333333333</v>
      </c>
      <c r="CR108" s="32" t="n">
        <f aca="false">IFERROR(CR106/CR107,0)</f>
        <v>333.333333333333</v>
      </c>
      <c r="CS108" s="32" t="n">
        <f aca="false">IFERROR(CS106/CS107,0)</f>
        <v>333.333333333333</v>
      </c>
      <c r="CT108" s="23"/>
      <c r="CV108" s="7"/>
      <c r="CW108" s="7"/>
      <c r="CX108" s="7"/>
      <c r="CY108" s="7"/>
    </row>
    <row r="109" customFormat="false" ht="15" hidden="false" customHeight="true" outlineLevel="0" collapsed="false">
      <c r="B109" s="47" t="s">
        <v>207</v>
      </c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  <c r="BF109" s="40"/>
      <c r="BG109" s="40"/>
      <c r="BH109" s="40"/>
      <c r="BI109" s="40"/>
      <c r="BJ109" s="40"/>
      <c r="BK109" s="40"/>
      <c r="BL109" s="40"/>
      <c r="BM109" s="40"/>
      <c r="BN109" s="40"/>
      <c r="BO109" s="40"/>
      <c r="BP109" s="40"/>
      <c r="BQ109" s="40"/>
      <c r="BR109" s="40"/>
      <c r="BS109" s="40"/>
      <c r="BT109" s="40"/>
      <c r="BU109" s="40"/>
      <c r="BV109" s="40"/>
      <c r="BW109" s="40"/>
      <c r="BX109" s="40"/>
      <c r="BY109" s="40"/>
      <c r="BZ109" s="40"/>
      <c r="CA109" s="40"/>
      <c r="CB109" s="40"/>
      <c r="CC109" s="40"/>
      <c r="CD109" s="40"/>
      <c r="CE109" s="40"/>
      <c r="CF109" s="40"/>
      <c r="CG109" s="40"/>
      <c r="CH109" s="40"/>
      <c r="CI109" s="40"/>
      <c r="CJ109" s="40"/>
      <c r="CK109" s="40"/>
      <c r="CL109" s="40"/>
      <c r="CM109" s="28"/>
      <c r="CN109" s="28"/>
      <c r="CO109" s="28"/>
      <c r="CP109" s="46" t="n">
        <v>0.04</v>
      </c>
      <c r="CQ109" s="46" t="n">
        <v>0.04</v>
      </c>
      <c r="CR109" s="46" t="n">
        <v>0.04</v>
      </c>
      <c r="CS109" s="46" t="n">
        <v>0.04</v>
      </c>
      <c r="CT109" s="23"/>
      <c r="CV109" s="7"/>
      <c r="CW109" s="7"/>
      <c r="CX109" s="7"/>
      <c r="CY109" s="7"/>
    </row>
    <row r="110" customFormat="false" ht="15" hidden="false" customHeight="true" outlineLevel="0" collapsed="false">
      <c r="B110" s="13" t="s">
        <v>208</v>
      </c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30"/>
      <c r="BV110" s="30"/>
      <c r="BW110" s="30"/>
      <c r="BX110" s="30"/>
      <c r="BY110" s="30"/>
      <c r="BZ110" s="30"/>
      <c r="CA110" s="30"/>
      <c r="CB110" s="30"/>
      <c r="CC110" s="30"/>
      <c r="CD110" s="30"/>
      <c r="CE110" s="30"/>
      <c r="CF110" s="30"/>
      <c r="CG110" s="30"/>
      <c r="CH110" s="30"/>
      <c r="CI110" s="30"/>
      <c r="CJ110" s="30"/>
      <c r="CK110" s="30"/>
      <c r="CL110" s="30"/>
      <c r="CM110" s="32"/>
      <c r="CN110" s="32"/>
      <c r="CO110" s="33" t="n">
        <v>0</v>
      </c>
      <c r="CP110" s="32" t="n">
        <f aca="false">CO110*(1+CP109)+CP108</f>
        <v>250</v>
      </c>
      <c r="CQ110" s="32" t="n">
        <f aca="false">CP110*(1+CQ109)+CQ108</f>
        <v>593.333333333333</v>
      </c>
      <c r="CR110" s="32" t="n">
        <f aca="false">CQ110*(1+CR109)+CR108</f>
        <v>950.4</v>
      </c>
      <c r="CS110" s="32" t="n">
        <f aca="false">CR110*(1+CS109)+CS108</f>
        <v>1321.74933333333</v>
      </c>
      <c r="CT110" s="23"/>
      <c r="CV110" s="7"/>
      <c r="CW110" s="7"/>
      <c r="CX110" s="7"/>
      <c r="CY110" s="7"/>
    </row>
    <row r="111" customFormat="false" ht="15" hidden="false" customHeight="true" outlineLevel="0" collapsed="false">
      <c r="B111" s="19" t="s">
        <v>209</v>
      </c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2"/>
      <c r="CN111" s="22"/>
      <c r="CO111" s="51" t="n">
        <v>0</v>
      </c>
      <c r="CP111" s="22" t="n">
        <f aca="false">CO110*(1+CP109)+0.5*CP108</f>
        <v>125</v>
      </c>
      <c r="CQ111" s="22" t="n">
        <f aca="false">CP110*(1+CQ109)+0.5*CQ108</f>
        <v>426.666666666667</v>
      </c>
      <c r="CR111" s="22" t="n">
        <f aca="false">CQ110*(1+CR109)+0.5*CR108</f>
        <v>783.733333333333</v>
      </c>
      <c r="CS111" s="22" t="n">
        <f aca="false">CR110*(1+CS109)+0.5*CS108</f>
        <v>1155.08266666667</v>
      </c>
      <c r="CT111" s="23" t="s">
        <v>210</v>
      </c>
      <c r="CV111" s="7"/>
      <c r="CW111" s="7"/>
      <c r="CX111" s="7"/>
      <c r="CY111" s="7"/>
    </row>
    <row r="112" customFormat="false" ht="15" hidden="false" customHeight="true" outlineLevel="0" collapsed="false">
      <c r="B112" s="47" t="s">
        <v>211</v>
      </c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0"/>
      <c r="BV112" s="40"/>
      <c r="BW112" s="40"/>
      <c r="BX112" s="40"/>
      <c r="BY112" s="40"/>
      <c r="BZ112" s="40"/>
      <c r="CA112" s="40"/>
      <c r="CB112" s="40"/>
      <c r="CC112" s="40"/>
      <c r="CD112" s="40"/>
      <c r="CE112" s="40"/>
      <c r="CF112" s="40"/>
      <c r="CG112" s="40"/>
      <c r="CH112" s="40"/>
      <c r="CI112" s="40"/>
      <c r="CJ112" s="40"/>
      <c r="CK112" s="40"/>
      <c r="CL112" s="40"/>
      <c r="CM112" s="28"/>
      <c r="CN112" s="28"/>
      <c r="CO112" s="28"/>
      <c r="CP112" s="46" t="n">
        <v>0.2</v>
      </c>
      <c r="CQ112" s="46" t="n">
        <v>0.2</v>
      </c>
      <c r="CR112" s="46" t="n">
        <v>0.2</v>
      </c>
      <c r="CS112" s="46" t="n">
        <v>0.2</v>
      </c>
      <c r="CT112" s="23"/>
      <c r="CV112" s="7"/>
      <c r="CW112" s="7"/>
      <c r="CX112" s="7"/>
      <c r="CY112" s="7"/>
    </row>
    <row r="113" customFormat="false" ht="15" hidden="false" customHeight="true" outlineLevel="0" collapsed="false">
      <c r="B113" s="13" t="s">
        <v>212</v>
      </c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30"/>
      <c r="BV113" s="30"/>
      <c r="BW113" s="30"/>
      <c r="BX113" s="30"/>
      <c r="BY113" s="30"/>
      <c r="BZ113" s="30"/>
      <c r="CA113" s="30"/>
      <c r="CB113" s="30"/>
      <c r="CC113" s="30"/>
      <c r="CD113" s="30"/>
      <c r="CE113" s="30"/>
      <c r="CF113" s="30"/>
      <c r="CG113" s="30"/>
      <c r="CH113" s="30"/>
      <c r="CI113" s="30"/>
      <c r="CJ113" s="30"/>
      <c r="CK113" s="30"/>
      <c r="CL113" s="30"/>
      <c r="CM113" s="32"/>
      <c r="CN113" s="32"/>
      <c r="CO113" s="33" t="n">
        <v>0</v>
      </c>
      <c r="CP113" s="32" t="n">
        <f aca="false">CP111*CP112</f>
        <v>25</v>
      </c>
      <c r="CQ113" s="32" t="n">
        <f aca="false">CQ111*CQ112</f>
        <v>85.3333333333333</v>
      </c>
      <c r="CR113" s="32" t="n">
        <f aca="false">CR111*CR112</f>
        <v>156.746666666667</v>
      </c>
      <c r="CS113" s="32" t="n">
        <f aca="false">CS111*CS112</f>
        <v>231.016533333333</v>
      </c>
      <c r="CT113" s="23"/>
      <c r="CV113" s="7"/>
      <c r="CW113" s="7"/>
      <c r="CX113" s="7"/>
      <c r="CY113" s="7"/>
    </row>
    <row r="114" customFormat="false" ht="15" hidden="false" customHeight="true" outlineLevel="0" collapsed="false">
      <c r="B114" s="47" t="s">
        <v>213</v>
      </c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  <c r="BI114" s="40"/>
      <c r="BJ114" s="40"/>
      <c r="BK114" s="40"/>
      <c r="BL114" s="40"/>
      <c r="BM114" s="40"/>
      <c r="BN114" s="40"/>
      <c r="BO114" s="40"/>
      <c r="BP114" s="40"/>
      <c r="BQ114" s="40"/>
      <c r="BR114" s="40"/>
      <c r="BS114" s="40"/>
      <c r="BT114" s="40"/>
      <c r="BU114" s="40"/>
      <c r="BV114" s="40"/>
      <c r="BW114" s="40"/>
      <c r="BX114" s="40"/>
      <c r="BY114" s="40"/>
      <c r="BZ114" s="40"/>
      <c r="CA114" s="40"/>
      <c r="CB114" s="40"/>
      <c r="CC114" s="40"/>
      <c r="CD114" s="40"/>
      <c r="CE114" s="40"/>
      <c r="CF114" s="40"/>
      <c r="CG114" s="40"/>
      <c r="CH114" s="40"/>
      <c r="CI114" s="40"/>
      <c r="CJ114" s="40"/>
      <c r="CK114" s="40"/>
      <c r="CL114" s="40"/>
      <c r="CM114" s="28"/>
      <c r="CN114" s="28"/>
      <c r="CO114" s="28"/>
      <c r="CP114" s="46" t="n">
        <v>0.35</v>
      </c>
      <c r="CQ114" s="46" t="n">
        <v>0.35</v>
      </c>
      <c r="CR114" s="46" t="n">
        <v>0.35</v>
      </c>
      <c r="CS114" s="46" t="n">
        <v>0.35</v>
      </c>
      <c r="CT114" s="23"/>
      <c r="CV114" s="7"/>
      <c r="CW114" s="7"/>
      <c r="CX114" s="7"/>
      <c r="CY114" s="7"/>
    </row>
    <row r="115" customFormat="false" ht="15" hidden="false" customHeight="true" outlineLevel="0" collapsed="false">
      <c r="B115" s="47" t="s">
        <v>214</v>
      </c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52"/>
      <c r="AK115" s="52"/>
      <c r="AL115" s="52"/>
      <c r="AM115" s="52"/>
      <c r="AN115" s="52"/>
      <c r="AO115" s="52"/>
      <c r="AP115" s="52"/>
      <c r="AQ115" s="52"/>
      <c r="AR115" s="52"/>
      <c r="AS115" s="52"/>
      <c r="AT115" s="52"/>
      <c r="AU115" s="52"/>
      <c r="AV115" s="52"/>
      <c r="AW115" s="52"/>
      <c r="AX115" s="52"/>
      <c r="AY115" s="52"/>
      <c r="AZ115" s="52"/>
      <c r="BA115" s="52"/>
      <c r="BB115" s="52"/>
      <c r="BC115" s="52"/>
      <c r="BD115" s="52"/>
      <c r="BE115" s="52"/>
      <c r="BF115" s="52"/>
      <c r="BG115" s="52"/>
      <c r="BH115" s="52"/>
      <c r="BI115" s="52"/>
      <c r="BJ115" s="52"/>
      <c r="BK115" s="52"/>
      <c r="BL115" s="52"/>
      <c r="BM115" s="52"/>
      <c r="BN115" s="52"/>
      <c r="BO115" s="52"/>
      <c r="BP115" s="52"/>
      <c r="BQ115" s="52"/>
      <c r="BR115" s="52"/>
      <c r="BS115" s="52"/>
      <c r="BT115" s="52"/>
      <c r="BU115" s="52"/>
      <c r="BV115" s="52"/>
      <c r="BW115" s="52"/>
      <c r="BX115" s="52"/>
      <c r="BY115" s="52"/>
      <c r="BZ115" s="52"/>
      <c r="CA115" s="52"/>
      <c r="CB115" s="52"/>
      <c r="CC115" s="52"/>
      <c r="CD115" s="52"/>
      <c r="CE115" s="52"/>
      <c r="CF115" s="52"/>
      <c r="CG115" s="52"/>
      <c r="CH115" s="52"/>
      <c r="CI115" s="52"/>
      <c r="CJ115" s="52"/>
      <c r="CK115" s="52"/>
      <c r="CL115" s="52"/>
      <c r="CM115" s="53"/>
      <c r="CN115" s="53"/>
      <c r="CO115" s="53"/>
      <c r="CP115" s="54" t="n">
        <v>12</v>
      </c>
      <c r="CQ115" s="54" t="n">
        <v>12</v>
      </c>
      <c r="CR115" s="54" t="n">
        <v>12</v>
      </c>
      <c r="CS115" s="54" t="n">
        <v>12</v>
      </c>
      <c r="CT115" s="23"/>
      <c r="CV115" s="7"/>
      <c r="CW115" s="7"/>
      <c r="CX115" s="7"/>
      <c r="CY115" s="7"/>
    </row>
    <row r="116" customFormat="false" ht="15" hidden="false" customHeight="true" outlineLevel="0" collapsed="false">
      <c r="B116" s="13" t="s">
        <v>215</v>
      </c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30"/>
      <c r="BV116" s="30"/>
      <c r="BW116" s="30"/>
      <c r="BX116" s="30"/>
      <c r="BY116" s="30"/>
      <c r="BZ116" s="30"/>
      <c r="CA116" s="30"/>
      <c r="CB116" s="30"/>
      <c r="CC116" s="30"/>
      <c r="CD116" s="30"/>
      <c r="CE116" s="30"/>
      <c r="CF116" s="30"/>
      <c r="CG116" s="30"/>
      <c r="CH116" s="30"/>
      <c r="CI116" s="30"/>
      <c r="CJ116" s="30"/>
      <c r="CK116" s="30"/>
      <c r="CL116" s="30"/>
      <c r="CM116" s="32"/>
      <c r="CN116" s="32"/>
      <c r="CO116" s="33" t="n">
        <v>0</v>
      </c>
      <c r="CP116" s="32" t="n">
        <f aca="false">CO116+CP106*CP114</f>
        <v>262.5</v>
      </c>
      <c r="CQ116" s="32" t="n">
        <f aca="false">CP116+CQ106*CQ114</f>
        <v>612.5</v>
      </c>
      <c r="CR116" s="32" t="n">
        <f aca="false">CQ116+CR106*CR114</f>
        <v>962.5</v>
      </c>
      <c r="CS116" s="32" t="n">
        <f aca="false">CR116+CS106*CS114</f>
        <v>1312.5</v>
      </c>
      <c r="CT116" s="23"/>
      <c r="CV116" s="7"/>
      <c r="CW116" s="7"/>
      <c r="CX116" s="7"/>
      <c r="CY116" s="7"/>
    </row>
    <row r="117" customFormat="false" ht="15" hidden="false" customHeight="true" outlineLevel="0" collapsed="false">
      <c r="B117" s="13" t="s">
        <v>216</v>
      </c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30"/>
      <c r="BV117" s="30"/>
      <c r="BW117" s="30"/>
      <c r="BX117" s="30"/>
      <c r="BY117" s="30"/>
      <c r="BZ117" s="30"/>
      <c r="CA117" s="30"/>
      <c r="CB117" s="30"/>
      <c r="CC117" s="30"/>
      <c r="CD117" s="30"/>
      <c r="CE117" s="30"/>
      <c r="CF117" s="30"/>
      <c r="CG117" s="30"/>
      <c r="CH117" s="30"/>
      <c r="CI117" s="30"/>
      <c r="CJ117" s="30"/>
      <c r="CK117" s="30"/>
      <c r="CL117" s="30"/>
      <c r="CM117" s="32"/>
      <c r="CN117" s="32"/>
      <c r="CO117" s="33" t="n">
        <v>0</v>
      </c>
      <c r="CP117" s="32" t="n">
        <f aca="false">(CO116+0.5*CP106*CP114)/CP115</f>
        <v>10.9375</v>
      </c>
      <c r="CQ117" s="32" t="n">
        <f aca="false">(CP116+0.5*CQ106*CQ114)/CQ115</f>
        <v>36.4583333333333</v>
      </c>
      <c r="CR117" s="32" t="n">
        <f aca="false">(CQ116+0.5*CR106*CR114)/CR115</f>
        <v>65.625</v>
      </c>
      <c r="CS117" s="32" t="n">
        <f aca="false">(CR116+0.5*CS106*CS114)/CS115</f>
        <v>94.7916666666667</v>
      </c>
      <c r="CT117" s="23"/>
      <c r="CV117" s="7"/>
      <c r="CW117" s="7"/>
      <c r="CX117" s="7"/>
      <c r="CY117" s="7"/>
    </row>
    <row r="118" customFormat="false" ht="15" hidden="false" customHeight="true" outlineLevel="0" collapsed="false">
      <c r="B118" s="13" t="s">
        <v>217</v>
      </c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30"/>
      <c r="BV118" s="30"/>
      <c r="BW118" s="30"/>
      <c r="BX118" s="30"/>
      <c r="BY118" s="30"/>
      <c r="BZ118" s="30"/>
      <c r="CA118" s="30"/>
      <c r="CB118" s="30"/>
      <c r="CC118" s="30"/>
      <c r="CD118" s="30"/>
      <c r="CE118" s="30"/>
      <c r="CF118" s="30"/>
      <c r="CG118" s="30"/>
      <c r="CH118" s="30"/>
      <c r="CI118" s="30"/>
      <c r="CJ118" s="30"/>
      <c r="CK118" s="30"/>
      <c r="CL118" s="30"/>
      <c r="CM118" s="32"/>
      <c r="CN118" s="32"/>
      <c r="CO118" s="33" t="n">
        <v>0</v>
      </c>
      <c r="CP118" s="32" t="n">
        <f aca="false">CP113-CP117</f>
        <v>14.0625</v>
      </c>
      <c r="CQ118" s="32" t="n">
        <f aca="false">CQ113-CQ117</f>
        <v>48.875</v>
      </c>
      <c r="CR118" s="32" t="n">
        <f aca="false">CR113-CR117</f>
        <v>91.1216666666667</v>
      </c>
      <c r="CS118" s="32" t="n">
        <f aca="false">CS113-CS117</f>
        <v>136.224866666667</v>
      </c>
      <c r="CT118" s="23"/>
      <c r="CV118" s="7"/>
      <c r="CW118" s="7"/>
      <c r="CX118" s="7"/>
      <c r="CY118" s="7"/>
    </row>
    <row r="119" customFormat="false" ht="15" hidden="false" customHeight="true" outlineLevel="0" collapsed="false">
      <c r="B119" s="13" t="s">
        <v>218</v>
      </c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30"/>
      <c r="BV119" s="30"/>
      <c r="BW119" s="30"/>
      <c r="BX119" s="30"/>
      <c r="BY119" s="30"/>
      <c r="BZ119" s="30"/>
      <c r="CA119" s="30"/>
      <c r="CB119" s="30"/>
      <c r="CC119" s="30"/>
      <c r="CD119" s="30"/>
      <c r="CE119" s="30"/>
      <c r="CF119" s="30"/>
      <c r="CG119" s="30"/>
      <c r="CH119" s="30"/>
      <c r="CI119" s="30"/>
      <c r="CJ119" s="30"/>
      <c r="CK119" s="30"/>
      <c r="CL119" s="30"/>
      <c r="CM119" s="32"/>
      <c r="CN119" s="32"/>
      <c r="CO119" s="33" t="n">
        <v>0</v>
      </c>
      <c r="CP119" s="32" t="n">
        <f aca="false">0.5*CP108+0.5*CO108</f>
        <v>125</v>
      </c>
      <c r="CQ119" s="32" t="n">
        <f aca="false">0.5*CQ108+0.5*CP108</f>
        <v>291.666666666667</v>
      </c>
      <c r="CR119" s="32" t="n">
        <f aca="false">0.5*CR108+0.5*CQ108</f>
        <v>333.333333333333</v>
      </c>
      <c r="CS119" s="32" t="n">
        <f aca="false">0.5*CS108+0.5*CR108</f>
        <v>333.333333333333</v>
      </c>
      <c r="CT119" s="23"/>
      <c r="CV119" s="7"/>
      <c r="CW119" s="7"/>
      <c r="CX119" s="7"/>
      <c r="CY119" s="7"/>
    </row>
    <row r="120" customFormat="false" ht="15" hidden="false" customHeight="true" outlineLevel="0" collapsed="false">
      <c r="B120" s="13"/>
      <c r="CM120" s="7"/>
      <c r="CN120" s="7"/>
      <c r="CO120" s="7"/>
      <c r="CP120" s="7"/>
      <c r="CQ120" s="7"/>
      <c r="CR120" s="7"/>
      <c r="CS120" s="7"/>
      <c r="CT120" s="7"/>
    </row>
    <row r="121" customFormat="false" ht="15" hidden="false" customHeight="true" outlineLevel="0" collapsed="false">
      <c r="B121" s="17" t="s">
        <v>219</v>
      </c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8" t="s">
        <v>220</v>
      </c>
    </row>
    <row r="122" customFormat="false" ht="15" hidden="false" customHeight="true" outlineLevel="0" collapsed="false">
      <c r="B122" s="34" t="s">
        <v>221</v>
      </c>
      <c r="C122" s="35" t="str">
        <f aca="false">IF(ISNUMBER(C11),N(C11)+N(C28)+N(C48)+N(C67),"")</f>
        <v/>
      </c>
      <c r="D122" s="35" t="str">
        <f aca="false">IF(ISNUMBER(D11),N(D11)+N(D28)+N(D48)+N(D67),"")</f>
        <v/>
      </c>
      <c r="E122" s="35" t="n">
        <f aca="false">IF(ISNUMBER(E11),N(E11)+N(E28)+N(E48)+N(E67),"")</f>
        <v>1722</v>
      </c>
      <c r="F122" s="35" t="n">
        <f aca="false">IF(ISNUMBER(F11),N(F11)+N(F28)+N(F48)+N(F67),"")</f>
        <v>1652.1</v>
      </c>
      <c r="G122" s="35" t="n">
        <f aca="false">IF(ISNUMBER(G11),N(G11)+N(G28)+N(G48)+N(G67),"")</f>
        <v>1644.2</v>
      </c>
      <c r="H122" s="35" t="n">
        <f aca="false">IF(ISNUMBER(H11),N(H11)+N(H28)+N(H48)+N(H67),"")</f>
        <v>1941.9</v>
      </c>
      <c r="I122" s="35" t="n">
        <f aca="false">IF(ISNUMBER(I11),N(I11)+N(I28)+N(I48)+N(I67),"")</f>
        <v>2127.3</v>
      </c>
      <c r="J122" s="20" t="n">
        <f aca="false">IF(ISNUMBER(J11),N(J11)+N(J28)+N(J48)+N(J67),"")</f>
        <v>569.4</v>
      </c>
      <c r="K122" s="20" t="n">
        <f aca="false">IF(ISNUMBER(K11),N(K11)+N(K28)+N(K48)+N(K67),"")</f>
        <v>601</v>
      </c>
      <c r="L122" s="20" t="n">
        <f aca="false">IF(ISNUMBER(L11),N(L11)+N(L28)+N(L48)+N(L67),"")</f>
        <v>1170.4</v>
      </c>
      <c r="M122" s="20" t="n">
        <f aca="false">IF(ISNUMBER(M11),N(M11)+N(M28)+N(M48)+N(M67),"")</f>
        <v>571.6</v>
      </c>
      <c r="N122" s="20" t="n">
        <f aca="false">IF(ISNUMBER(N11),N(N11)+N(N28)+N(N48)+N(N67),"")</f>
        <v>596.6</v>
      </c>
      <c r="O122" s="35" t="n">
        <f aca="false">IF(ISNUMBER(O11),N(O11)+N(O28)+N(O48)+N(O67),"")</f>
        <v>2338.6</v>
      </c>
      <c r="P122" s="20" t="n">
        <f aca="false">IF(ISNUMBER(P11),N(P11)+N(P28)+N(P48)+N(P67),"")</f>
        <v>573.5</v>
      </c>
      <c r="Q122" s="20" t="n">
        <f aca="false">IF(ISNUMBER(Q11),N(Q11)+N(Q28)+N(Q48)+N(Q67),"")</f>
        <v>597.1</v>
      </c>
      <c r="R122" s="20" t="n">
        <f aca="false">IF(ISNUMBER(R11),N(R11)+N(R28)+N(R48)+N(R67),"")</f>
        <v>1170.6</v>
      </c>
      <c r="S122" s="20" t="n">
        <f aca="false">IF(ISNUMBER(S11),N(S11)+N(S28)+N(S48)+N(S67),"")</f>
        <v>601.1</v>
      </c>
      <c r="T122" s="20" t="n">
        <f aca="false">IF(ISNUMBER(T11),N(T11)+N(T28)+N(T48)+N(T67),"")</f>
        <v>622.3</v>
      </c>
      <c r="U122" s="35" t="n">
        <f aca="false">IF(ISNUMBER(U11),N(U11)+N(U28)+N(U48)+N(U67),"")</f>
        <v>2394</v>
      </c>
      <c r="V122" s="20" t="n">
        <f aca="false">IF(ISNUMBER(V11),N(V11)+N(V28)+N(V48)+N(V67),"")</f>
        <v>565</v>
      </c>
      <c r="W122" s="20" t="n">
        <f aca="false">IF(ISNUMBER(W11),N(W11)+N(W28)+N(W48)+N(W67),"")</f>
        <v>577.7</v>
      </c>
      <c r="X122" s="20" t="n">
        <f aca="false">IF(ISNUMBER(X11),N(X11)+N(X28)+N(X48)+N(X67),"")</f>
        <v>1142.7</v>
      </c>
      <c r="Y122" s="20" t="n">
        <f aca="false">IF(ISNUMBER(Y11),N(Y11)+N(Y28)+N(Y48)+N(Y67),"")</f>
        <v>555.4</v>
      </c>
      <c r="Z122" s="20" t="n">
        <f aca="false">IF(ISNUMBER(Z11),N(Z11)+N(Z28)+N(Z48)+N(Z67),"")</f>
        <v>600</v>
      </c>
      <c r="AA122" s="35" t="n">
        <f aca="false">IF(ISNUMBER(AA11),N(AA11)+N(AA28)+N(AA48)+N(AA67),"")</f>
        <v>2298.1</v>
      </c>
      <c r="AB122" s="20" t="n">
        <f aca="false">IF(ISNUMBER(AB11),N(AB11)+N(AB28)+N(AB48)+N(AB67),"")</f>
        <v>530.5</v>
      </c>
      <c r="AC122" s="20" t="n">
        <f aca="false">IF(ISNUMBER(AC11),N(AC11)+N(AC28)+N(AC48)+N(AC67),"")</f>
        <v>539.7</v>
      </c>
      <c r="AD122" s="20" t="n">
        <f aca="false">IF(ISNUMBER(AD11),N(AD11)+N(AD28)+N(AD48)+N(AD67),"")</f>
        <v>1070.2</v>
      </c>
      <c r="AE122" s="20" t="n">
        <f aca="false">IF(ISNUMBER(AE11),N(AE11)+N(AE28)+N(AE48)+N(AE67),"")</f>
        <v>526.8</v>
      </c>
      <c r="AF122" s="20" t="n">
        <f aca="false">IF(ISNUMBER(AF11),N(AF11)+N(AF28)+N(AF48)+N(AF67),"")</f>
        <v>552.9</v>
      </c>
      <c r="AG122" s="35" t="n">
        <f aca="false">IF(ISNUMBER(AG11),N(AG11)+N(AG28)+N(AG48)+N(AG67),"")</f>
        <v>2149.9</v>
      </c>
      <c r="AH122" s="20" t="n">
        <f aca="false">IF(ISNUMBER(AH11),N(AH11)+N(AH28)+N(AH48)+N(AH67),"")</f>
        <v>566.1</v>
      </c>
      <c r="AI122" s="20" t="n">
        <f aca="false">IF(ISNUMBER(AI11),N(AI11)+N(AI28)+N(AI48)+N(AI67),"")</f>
        <v>671.1</v>
      </c>
      <c r="AJ122" s="20" t="n">
        <f aca="false">IF(ISNUMBER(AJ11),N(AJ11)+N(AJ28)+N(AJ48)+N(AJ67),"")</f>
        <v>1237.2</v>
      </c>
      <c r="AK122" s="20" t="n">
        <f aca="false">IF(ISNUMBER(AK11),N(AK11)+N(AK28)+N(AK48)+N(AK67),"")</f>
        <v>662.2</v>
      </c>
      <c r="AL122" s="20" t="n">
        <f aca="false">IF(ISNUMBER(AL11),N(AL11)+N(AL28)+N(AL48)+N(AL67),"")</f>
        <v>704.4</v>
      </c>
      <c r="AM122" s="35" t="n">
        <f aca="false">IF(ISNUMBER(AM11),N(AM11)+N(AM28)+N(AM48)+N(AM67),"")</f>
        <v>2603.8</v>
      </c>
      <c r="AN122" s="20" t="n">
        <f aca="false">IF(ISNUMBER(AN11),N(AN11)+N(AN28)+N(AN48)+N(AN67),"")</f>
        <v>695.6</v>
      </c>
      <c r="AO122" s="20" t="n">
        <f aca="false">IF(ISNUMBER(AO11),N(AO11)+N(AO28)+N(AO48)+N(AO67),"")</f>
        <v>732.5</v>
      </c>
      <c r="AP122" s="20" t="n">
        <f aca="false">IF(ISNUMBER(AP11),N(AP11)+N(AP28)+N(AP48)+N(AP67),"")</f>
        <v>1428.1</v>
      </c>
      <c r="AQ122" s="20" t="n">
        <f aca="false">IF(ISNUMBER(AQ11),N(AQ11)+N(AQ28)+N(AQ48)+N(AQ67),"")</f>
        <v>725.3</v>
      </c>
      <c r="AR122" s="20" t="n">
        <f aca="false">IF(ISNUMBER(AR11),N(AR11)+N(AR28)+N(AR48)+N(AR67),"")</f>
        <v>748.4</v>
      </c>
      <c r="AS122" s="35" t="n">
        <f aca="false">IF(ISNUMBER(AS11),N(AS11)+N(AS28)+N(AS48)+N(AS67),"")</f>
        <v>2901.8</v>
      </c>
      <c r="AT122" s="20" t="n">
        <f aca="false">IF(ISNUMBER(AT11),N(AT11)+N(AT28)+N(AT48)+N(AT67),"")</f>
        <v>745.2</v>
      </c>
      <c r="AU122" s="20" t="n">
        <f aca="false">IF(ISNUMBER(AU11),N(AU11)+N(AU28)+N(AU48)+N(AU67),"")</f>
        <v>782</v>
      </c>
      <c r="AV122" s="20" t="n">
        <f aca="false">IF(ISNUMBER(AV11),N(AV11)+N(AV28)+N(AV48)+N(AV67),"")</f>
        <v>1527.2</v>
      </c>
      <c r="AW122" s="20" t="n">
        <f aca="false">IF(ISNUMBER(AW11),N(AW11)+N(AW28)+N(AW48)+N(AW67),"")</f>
        <v>802.2</v>
      </c>
      <c r="AX122" s="20" t="n">
        <f aca="false">IF(ISNUMBER(AX11),N(AX11)+N(AX28)+N(AX48)+N(AX67),"")</f>
        <v>834.2</v>
      </c>
      <c r="AY122" s="35" t="n">
        <f aca="false">IF(ISNUMBER(AY11),N(AY11)+N(AY28)+N(AY48)+N(AY67),"")</f>
        <v>3163.6</v>
      </c>
      <c r="AZ122" s="20" t="n">
        <f aca="false">IF(ISNUMBER(AZ11),N(AZ11)+N(AZ28)+N(AZ48)+N(AZ67),"")</f>
        <v>784.6</v>
      </c>
      <c r="BA122" s="20" t="n">
        <f aca="false">IF(ISNUMBER(BA11),N(BA11)+N(BA28)+N(BA48)+N(BA67),"")</f>
        <v>743.3</v>
      </c>
      <c r="BB122" s="20" t="n">
        <f aca="false">IF(ISNUMBER(BB11),N(BB11)+N(BB28)+N(BB48)+N(BB67),"")</f>
        <v>1527.9</v>
      </c>
      <c r="BC122" s="20" t="n">
        <f aca="false">IF(ISNUMBER(BC11),N(BC11)+N(BC28)+N(BC48)+N(BC67),"")</f>
        <v>749</v>
      </c>
      <c r="BD122" s="20" t="n">
        <f aca="false">IF(ISNUMBER(BD11),N(BD11)+N(BD28)+N(BD48)+N(BD67),"")</f>
        <v>809.3</v>
      </c>
      <c r="BE122" s="35" t="n">
        <f aca="false">IF(ISNUMBER(BE11),N(BE11)+N(BE28)+N(BE48)+N(BE67),"")</f>
        <v>3086.2</v>
      </c>
      <c r="BF122" s="20" t="n">
        <f aca="false">IF(ISNUMBER(BF11),N(BF11)+N(BF28)+N(BF48)+N(BF67),"")</f>
        <v>805.7</v>
      </c>
      <c r="BG122" s="20" t="n">
        <f aca="false">IF(ISNUMBER(BG11),N(BG11)+N(BG28)+N(BG48)+N(BG67),"")</f>
        <v>1121</v>
      </c>
      <c r="BH122" s="20" t="n">
        <f aca="false">IF(ISNUMBER(BH11),N(BH11)+N(BH28)+N(BH48)+N(BH67),"")</f>
        <v>1926.7</v>
      </c>
      <c r="BI122" s="20" t="n">
        <f aca="false">IF(ISNUMBER(BI11),N(BI11)+N(BI28)+N(BI48)+N(BI67),"")</f>
        <v>1311.9</v>
      </c>
      <c r="BJ122" s="20" t="n">
        <f aca="false">IF(ISNUMBER(BJ11),N(BJ11)+N(BJ28)+N(BJ48)+N(BJ67),"")</f>
        <v>1375.7</v>
      </c>
      <c r="BK122" s="35" t="n">
        <f aca="false">IF(ISNUMBER(BK11),N(BK11)+N(BK28)+N(BK48)+N(BK67),"")</f>
        <v>4614.3</v>
      </c>
      <c r="BL122" s="20" t="n">
        <f aca="false">IF(ISNUMBER(BL11),N(BL11)+N(BL28)+N(BL48)+N(BL67),"")</f>
        <v>1321</v>
      </c>
      <c r="BM122" s="20" t="n">
        <f aca="false">IF(ISNUMBER(BM11),N(BM11)+N(BM28)+N(BM48)+N(BM67),"")</f>
        <v>1355.8</v>
      </c>
      <c r="BN122" s="20" t="n">
        <f aca="false">IF(ISNUMBER(BN11),N(BN11)+N(BN28)+N(BN48)+N(BN67),"")</f>
        <v>2676.8</v>
      </c>
      <c r="BO122" s="20" t="n">
        <f aca="false">IF(ISNUMBER(BO11),N(BO11)+N(BO28)+N(BO48)+N(BO67),"")</f>
        <v>1363.6</v>
      </c>
      <c r="BP122" s="20" t="n">
        <f aca="false">IF(ISNUMBER(BP11),N(BP11)+N(BP28)+N(BP48)+N(BP67),"")</f>
        <v>1418.2</v>
      </c>
      <c r="BQ122" s="35" t="n">
        <f aca="false">IF(ISNUMBER(BQ11),N(BQ11)+N(BQ28)+N(BQ48)+N(BQ67),"")</f>
        <v>5458.6</v>
      </c>
      <c r="BR122" s="20" t="n">
        <f aca="false">IF(ISNUMBER(BR11),N(BR11)+N(BR28)+N(BR48)+N(BR67),"")</f>
        <v>1383.3</v>
      </c>
      <c r="BS122" s="20" t="n">
        <f aca="false">IF(ISNUMBER(BS11),N(BS11)+N(BS28)+N(BS48)+N(BS67),"")</f>
        <v>1424.7</v>
      </c>
      <c r="BT122" s="20" t="n">
        <f aca="false">IF(ISNUMBER(BT11),N(BT11)+N(BT28)+N(BT48)+N(BT67),"")</f>
        <v>2808</v>
      </c>
      <c r="BU122" s="20" t="n">
        <f aca="false">IF(ISNUMBER(BU11),N(BU11)+N(BU28)+N(BU48)+N(BU67),"")</f>
        <v>1402.5</v>
      </c>
      <c r="BV122" s="20" t="n">
        <f aca="false">IF(ISNUMBER(BV11),N(BV11)+N(BV28)+N(BV48)+N(BV67),"")</f>
        <v>1425</v>
      </c>
      <c r="BW122" s="35" t="n">
        <f aca="false">IF(ISNUMBER(BW11),N(BW11)+N(BW28)+N(BW48)+N(BW67),"")</f>
        <v>5635.5</v>
      </c>
      <c r="BX122" s="20" t="n">
        <f aca="false">IF(ISNUMBER(BX11),N(BX11)+N(BX28)+N(BX48)+N(BX67),"")</f>
        <v>1350.1</v>
      </c>
      <c r="BY122" s="20" t="n">
        <f aca="false">IF(ISNUMBER(BY11),N(BY11)+N(BY28)+N(BY48)+N(BY67),"")</f>
        <v>1374.1</v>
      </c>
      <c r="BZ122" s="20" t="n">
        <f aca="false">IF(ISNUMBER(BZ11),N(BZ11)+N(BZ28)+N(BZ48)+N(BZ67),"")</f>
        <v>2724.2</v>
      </c>
      <c r="CA122" s="20" t="n">
        <f aca="false">IF(ISNUMBER(CA11),N(CA11)+N(CA28)+N(CA48)+N(CA67),"")</f>
        <v>1443.5</v>
      </c>
      <c r="CB122" s="20" t="n">
        <f aca="false">IF(ISNUMBER(CB11),N(CB11)+N(CB28)+N(CB48)+N(CB67),"")</f>
        <v>1502.3</v>
      </c>
      <c r="CC122" s="35" t="n">
        <f aca="false">IF(ISNUMBER(CC11),N(CC11)+N(CC28)+N(CC48)+N(CC67),"")</f>
        <v>5670</v>
      </c>
      <c r="CD122" s="20" t="n">
        <f aca="false">IF(ISNUMBER(CD11),N(CD11)+N(CD28)+N(CD48)+N(CD67),"")</f>
        <v>1449.9</v>
      </c>
      <c r="CE122" s="20" t="n">
        <f aca="false">IF(ISNUMBER(CE11),N(CE11)+N(CE28)+N(CE48)+N(CE67),"")</f>
        <v>1513.7</v>
      </c>
      <c r="CF122" s="20" t="n">
        <f aca="false">IF(ISNUMBER(CF11),N(CF11)+N(CF28)+N(CF48)+N(CF67),"")</f>
        <v>2963.6</v>
      </c>
      <c r="CG122" s="20" t="n">
        <f aca="false">IF(ISNUMBER(CG11),N(CG11)+N(CG28)+N(CG48)+N(CG67),"")</f>
        <v>1539.5</v>
      </c>
      <c r="CH122" s="20" t="n">
        <f aca="false">IF(ISNUMBER(CH11),N(CH11)+N(CH28)+N(CH48)+N(CH67),"")</f>
        <v>1612.3</v>
      </c>
      <c r="CI122" s="35" t="n">
        <f aca="false">IF(ISNUMBER(CI11),N(CI11)+N(CI28)+N(CI48)+N(CI67),"")</f>
        <v>6115.4</v>
      </c>
      <c r="CJ122" s="20" t="n">
        <f aca="false">IF(ISNUMBER(CJ11),N(CJ11)+N(CJ28)+N(CJ48)+N(CJ67),"")</f>
        <v>1560.1</v>
      </c>
      <c r="CK122" s="20" t="n">
        <f aca="false">IF(ISNUMBER(CK11),N(CK11)+N(CK28)+N(CK48)+N(CK67),"")</f>
        <v>1662.5</v>
      </c>
      <c r="CL122" s="20" t="n">
        <f aca="false">IF(ISNUMBER(CL11),N(CL11)+N(CL28)+N(CL48)+N(CL67),"")</f>
        <v>3222.6</v>
      </c>
      <c r="CM122" s="35" t="n">
        <f aca="false">N(CM11)+N(CM28)+N(CM48)+N(CM67)+N(CM111)</f>
        <v>1691.17403547937</v>
      </c>
      <c r="CN122" s="35" t="n">
        <f aca="false">N(CN11)+N(CN28)+N(CN48)+N(CN67)+N(CN111)</f>
        <v>1772.31361956386</v>
      </c>
      <c r="CO122" s="35" t="n">
        <f aca="false">SUM(CJ122,CK122,CM122,CN122)</f>
        <v>6686.08765504323</v>
      </c>
      <c r="CP122" s="35" t="n">
        <f aca="false">N(CP11)+N(CP28)+N(CP48)+N(CP67)+N(CP111)</f>
        <v>7179.9947259384</v>
      </c>
      <c r="CQ122" s="35" t="n">
        <f aca="false">N(CQ11)+N(CQ28)+N(CQ48)+N(CQ67)+N(CQ111)</f>
        <v>7846.44522115061</v>
      </c>
      <c r="CR122" s="35" t="n">
        <f aca="false">N(CR11)+N(CR28)+N(CR48)+N(CR67)+N(CR111)</f>
        <v>8561.12993983174</v>
      </c>
      <c r="CS122" s="35" t="n">
        <f aca="false">N(CS11)+N(CS28)+N(CS48)+N(CS67)+N(CS111)</f>
        <v>9307.40144794982</v>
      </c>
      <c r="CT122" s="23" t="s">
        <v>222</v>
      </c>
      <c r="CV122" s="24" t="n">
        <f aca="false">IFERROR((CS122/CI122)^(1/5)-1,"n/m")</f>
        <v>0.0876288412402981</v>
      </c>
      <c r="CW122" s="24" t="n">
        <f aca="false">IFERROR((CI122/BE122)^(1/5)-1,"n/m")</f>
        <v>0.146568907336283</v>
      </c>
      <c r="CX122" s="24" t="n">
        <f aca="false">IFERROR((CI122/AA122)^(1/10)-1,"n/m")</f>
        <v>0.102822440406677</v>
      </c>
      <c r="CY122" s="24" t="str">
        <f aca="false">IFERROR((CI122/C122)^(1/19)-1,"n/m")</f>
        <v>n/m</v>
      </c>
    </row>
    <row r="123" customFormat="false" ht="15" hidden="false" customHeight="true" outlineLevel="0" collapsed="false">
      <c r="B123" s="34" t="s">
        <v>223</v>
      </c>
      <c r="C123" s="35" t="str">
        <f aca="false">IF(ISNUMBER(C16),N(C16)+N(C33)+N(C53)+N(C72)-C99+N(C101),"")</f>
        <v/>
      </c>
      <c r="D123" s="35" t="str">
        <f aca="false">IF(ISNUMBER(D16),N(D16)+N(D33)+N(D53)+N(D72)-D99+N(D101),"")</f>
        <v/>
      </c>
      <c r="E123" s="35" t="str">
        <f aca="false">IF(ISNUMBER(E16),N(E16)+N(E33)+N(E53)+N(E72)-E99+N(E101),"")</f>
        <v/>
      </c>
      <c r="F123" s="35" t="str">
        <f aca="false">IF(ISNUMBER(F16),N(F16)+N(F33)+N(F53)+N(F72)-F99+N(F101),"")</f>
        <v/>
      </c>
      <c r="G123" s="35" t="str">
        <f aca="false">IF(ISNUMBER(G16),N(G16)+N(G33)+N(G53)+N(G72)-G99+N(G101),"")</f>
        <v/>
      </c>
      <c r="H123" s="35" t="str">
        <f aca="false">IF(ISNUMBER(H16),N(H16)+N(H33)+N(H53)+N(H72)-H99+N(H101),"")</f>
        <v/>
      </c>
      <c r="I123" s="35" t="str">
        <f aca="false">IF(ISNUMBER(I16),N(I16)+N(I33)+N(I53)+N(I72)-I99+N(I101),"")</f>
        <v/>
      </c>
      <c r="J123" s="20" t="str">
        <f aca="false">IF(ISNUMBER(J16),N(J16)+N(J33)+N(J53)+N(J72)-J99+N(J101),"")</f>
        <v/>
      </c>
      <c r="K123" s="20" t="str">
        <f aca="false">IF(ISNUMBER(K16),N(K16)+N(K33)+N(K53)+N(K72)-K99+N(K101),"")</f>
        <v/>
      </c>
      <c r="L123" s="20" t="str">
        <f aca="false">IF(ISNUMBER(L16),N(L16)+N(L33)+N(L53)+N(L72)-L99+N(L101),"")</f>
        <v/>
      </c>
      <c r="M123" s="20" t="str">
        <f aca="false">IF(ISNUMBER(M16),N(M16)+N(M33)+N(M53)+N(M72)-M99+N(M101),"")</f>
        <v/>
      </c>
      <c r="N123" s="20" t="str">
        <f aca="false">IF(ISNUMBER(N16),N(N16)+N(N33)+N(N53)+N(N72)-N99+N(N101),"")</f>
        <v/>
      </c>
      <c r="O123" s="35" t="str">
        <f aca="false">IF(ISNUMBER(O16),N(O16)+N(O33)+N(O53)+N(O72)-O99+N(O101),"")</f>
        <v/>
      </c>
      <c r="P123" s="20" t="str">
        <f aca="false">IF(ISNUMBER(P16),N(P16)+N(P33)+N(P53)+N(P72)-P99+N(P101),"")</f>
        <v/>
      </c>
      <c r="Q123" s="20" t="str">
        <f aca="false">IF(ISNUMBER(Q16),N(Q16)+N(Q33)+N(Q53)+N(Q72)-Q99+N(Q101),"")</f>
        <v/>
      </c>
      <c r="R123" s="20" t="str">
        <f aca="false">IF(ISNUMBER(R16),N(R16)+N(R33)+N(R53)+N(R72)-R99+N(R101),"")</f>
        <v/>
      </c>
      <c r="S123" s="20" t="str">
        <f aca="false">IF(ISNUMBER(S16),N(S16)+N(S33)+N(S53)+N(S72)-S99+N(S101),"")</f>
        <v/>
      </c>
      <c r="T123" s="20" t="str">
        <f aca="false">IF(ISNUMBER(T16),N(T16)+N(T33)+N(T53)+N(T72)-T99+N(T101),"")</f>
        <v/>
      </c>
      <c r="U123" s="35" t="str">
        <f aca="false">IF(ISNUMBER(U16),N(U16)+N(U33)+N(U53)+N(U72)-U99+N(U101),"")</f>
        <v/>
      </c>
      <c r="V123" s="20" t="str">
        <f aca="false">IF(ISNUMBER(V16),N(V16)+N(V33)+N(V53)+N(V72)-V99+N(V101),"")</f>
        <v/>
      </c>
      <c r="W123" s="20" t="str">
        <f aca="false">IF(ISNUMBER(W16),N(W16)+N(W33)+N(W53)+N(W72)-W99+N(W101),"")</f>
        <v/>
      </c>
      <c r="X123" s="20" t="str">
        <f aca="false">IF(ISNUMBER(X16),N(X16)+N(X33)+N(X53)+N(X72)-X99+N(X101),"")</f>
        <v/>
      </c>
      <c r="Y123" s="20" t="str">
        <f aca="false">IF(ISNUMBER(Y16),N(Y16)+N(Y33)+N(Y53)+N(Y72)-Y99+N(Y101),"")</f>
        <v/>
      </c>
      <c r="Z123" s="20" t="str">
        <f aca="false">IF(ISNUMBER(Z16),N(Z16)+N(Z33)+N(Z53)+N(Z72)-Z99+N(Z101),"")</f>
        <v/>
      </c>
      <c r="AA123" s="35" t="str">
        <f aca="false">IF(ISNUMBER(AA16),N(AA16)+N(AA33)+N(AA53)+N(AA72)-AA99+N(AA101),"")</f>
        <v/>
      </c>
      <c r="AB123" s="20" t="str">
        <f aca="false">IF(ISNUMBER(AB16),N(AB16)+N(AB33)+N(AB53)+N(AB72)-AB99+N(AB101),"")</f>
        <v/>
      </c>
      <c r="AC123" s="20" t="str">
        <f aca="false">IF(ISNUMBER(AC16),N(AC16)+N(AC33)+N(AC53)+N(AC72)-AC99+N(AC101),"")</f>
        <v/>
      </c>
      <c r="AD123" s="20" t="str">
        <f aca="false">IF(ISNUMBER(AD16),N(AD16)+N(AD33)+N(AD53)+N(AD72)-AD99+N(AD101),"")</f>
        <v/>
      </c>
      <c r="AE123" s="20" t="str">
        <f aca="false">IF(ISNUMBER(AE16),N(AE16)+N(AE33)+N(AE53)+N(AE72)-AE99+N(AE101),"")</f>
        <v/>
      </c>
      <c r="AF123" s="20" t="str">
        <f aca="false">IF(ISNUMBER(AF16),N(AF16)+N(AF33)+N(AF53)+N(AF72)-AF99+N(AF101),"")</f>
        <v/>
      </c>
      <c r="AG123" s="35" t="str">
        <f aca="false">IF(ISNUMBER(AG16),N(AG16)+N(AG33)+N(AG53)+N(AG72)-AG99+N(AG101),"")</f>
        <v/>
      </c>
      <c r="AH123" s="20" t="str">
        <f aca="false">IF(ISNUMBER(AH16),N(AH16)+N(AH33)+N(AH53)+N(AH72)-AH99+N(AH101),"")</f>
        <v/>
      </c>
      <c r="AI123" s="20" t="str">
        <f aca="false">IF(ISNUMBER(AI16),N(AI16)+N(AI33)+N(AI53)+N(AI72)-AI99+N(AI101),"")</f>
        <v/>
      </c>
      <c r="AJ123" s="20" t="str">
        <f aca="false">IF(ISNUMBER(AJ16),N(AJ16)+N(AJ33)+N(AJ53)+N(AJ72)-AJ99+N(AJ101),"")</f>
        <v/>
      </c>
      <c r="AK123" s="20" t="str">
        <f aca="false">IF(ISNUMBER(AK16),N(AK16)+N(AK33)+N(AK53)+N(AK72)-AK99+N(AK101),"")</f>
        <v/>
      </c>
      <c r="AL123" s="20" t="str">
        <f aca="false">IF(ISNUMBER(AL16),N(AL16)+N(AL33)+N(AL53)+N(AL72)-AL99+N(AL101),"")</f>
        <v/>
      </c>
      <c r="AM123" s="35" t="str">
        <f aca="false">IF(ISNUMBER(AM16),N(AM16)+N(AM33)+N(AM53)+N(AM72)-AM99+N(AM101),"")</f>
        <v/>
      </c>
      <c r="AN123" s="20" t="str">
        <f aca="false">IF(ISNUMBER(AN16),N(AN16)+N(AN33)+N(AN53)+N(AN72)-AN99+N(AN101),"")</f>
        <v/>
      </c>
      <c r="AO123" s="20" t="str">
        <f aca="false">IF(ISNUMBER(AO16),N(AO16)+N(AO33)+N(AO53)+N(AO72)-AO99+N(AO101),"")</f>
        <v/>
      </c>
      <c r="AP123" s="20" t="str">
        <f aca="false">IF(ISNUMBER(AP16),N(AP16)+N(AP33)+N(AP53)+N(AP72)-AP99+N(AP101),"")</f>
        <v/>
      </c>
      <c r="AQ123" s="20" t="str">
        <f aca="false">IF(ISNUMBER(AQ16),N(AQ16)+N(AQ33)+N(AQ53)+N(AQ72)-AQ99+N(AQ101),"")</f>
        <v/>
      </c>
      <c r="AR123" s="20" t="str">
        <f aca="false">IF(ISNUMBER(AR16),N(AR16)+N(AR33)+N(AR53)+N(AR72)-AR99+N(AR101),"")</f>
        <v/>
      </c>
      <c r="AS123" s="35" t="str">
        <f aca="false">IF(ISNUMBER(AS16),N(AS16)+N(AS33)+N(AS53)+N(AS72)-AS99+N(AS101),"")</f>
        <v/>
      </c>
      <c r="AT123" s="20" t="str">
        <f aca="false">IF(ISNUMBER(AT16),N(AT16)+N(AT33)+N(AT53)+N(AT72)-AT99+N(AT101),"")</f>
        <v/>
      </c>
      <c r="AU123" s="20" t="str">
        <f aca="false">IF(ISNUMBER(AU16),N(AU16)+N(AU33)+N(AU53)+N(AU72)-AU99+N(AU101),"")</f>
        <v/>
      </c>
      <c r="AV123" s="20" t="str">
        <f aca="false">IF(ISNUMBER(AV16),N(AV16)+N(AV33)+N(AV53)+N(AV72)-AV99+N(AV101),"")</f>
        <v/>
      </c>
      <c r="AW123" s="20" t="str">
        <f aca="false">IF(ISNUMBER(AW16),N(AW16)+N(AW33)+N(AW53)+N(AW72)-AW99+N(AW101),"")</f>
        <v/>
      </c>
      <c r="AX123" s="20" t="str">
        <f aca="false">IF(ISNUMBER(AX16),N(AX16)+N(AX33)+N(AX53)+N(AX72)-AX99+N(AX101),"")</f>
        <v/>
      </c>
      <c r="AY123" s="35" t="str">
        <f aca="false">IF(ISNUMBER(AY16),N(AY16)+N(AY33)+N(AY53)+N(AY72)-AY99+N(AY101),"")</f>
        <v/>
      </c>
      <c r="AZ123" s="20" t="n">
        <f aca="false">IF(ISNUMBER(AZ16),N(AZ16)+N(AZ33)+N(AZ53)+N(AZ72)-AZ99+N(AZ101),"")</f>
        <v>113.6</v>
      </c>
      <c r="BA123" s="20" t="n">
        <f aca="false">IF(ISNUMBER(BA16),N(BA16)+N(BA33)+N(BA53)+N(BA72)-BA99+N(BA101),"")</f>
        <v>119.5</v>
      </c>
      <c r="BB123" s="20" t="n">
        <f aca="false">IF(ISNUMBER(BB16),N(BB16)+N(BB33)+N(BB53)+N(BB72)-BB99+N(BB101),"")</f>
        <v>233.1</v>
      </c>
      <c r="BC123" s="20" t="n">
        <f aca="false">IF(ISNUMBER(BC16),N(BC16)+N(BC33)+N(BC53)+N(BC72)-BC99+N(BC101),"")</f>
        <v>132.4</v>
      </c>
      <c r="BD123" s="20" t="n">
        <f aca="false">IF(ISNUMBER(BD16),N(BD16)+N(BD33)+N(BD53)+N(BD72)-BD99+N(BD101),"")</f>
        <v>153.4</v>
      </c>
      <c r="BE123" s="35" t="n">
        <f aca="false">IF(ISNUMBER(BE16),N(BE16)+N(BE33)+N(BE53)+N(BE72)-BE99+N(BE101),"")</f>
        <v>518.9</v>
      </c>
      <c r="BF123" s="20" t="n">
        <f aca="false">IF(ISNUMBER(BF16),N(BF16)+N(BF33)+N(BF53)+N(BF72)-BF99+N(BF101),"")</f>
        <v>150.9</v>
      </c>
      <c r="BG123" s="20" t="n">
        <f aca="false">IF(ISNUMBER(BG16),N(BG16)+N(BG33)+N(BG53)+N(BG72)-BG99+N(BG101),"")</f>
        <v>255.1</v>
      </c>
      <c r="BH123" s="20" t="n">
        <f aca="false">IF(ISNUMBER(BH16),N(BH16)+N(BH33)+N(BH53)+N(BH72)-BH99+N(BH101),"")</f>
        <v>406</v>
      </c>
      <c r="BI123" s="20" t="n">
        <f aca="false">IF(ISNUMBER(BI16),N(BI16)+N(BI33)+N(BI53)+N(BI72)-BI99+N(BI101),"")</f>
        <v>281.9</v>
      </c>
      <c r="BJ123" s="20" t="n">
        <f aca="false">IF(ISNUMBER(BJ16),N(BJ16)+N(BJ33)+N(BJ53)+N(BJ72)-BJ99+N(BJ101),"")</f>
        <v>295.1</v>
      </c>
      <c r="BK123" s="35" t="n">
        <f aca="false">IF(ISNUMBER(BK16),N(BK16)+N(BK33)+N(BK53)+N(BK72)-BK99+N(BK101),"")</f>
        <v>983</v>
      </c>
      <c r="BL123" s="20" t="n">
        <f aca="false">IF(ISNUMBER(BL16),N(BL16)+N(BL33)+N(BL53)+N(BL72)-BL99+N(BL101),"")</f>
        <v>277.1</v>
      </c>
      <c r="BM123" s="20" t="n">
        <f aca="false">IF(ISNUMBER(BM16),N(BM16)+N(BM33)+N(BM53)+N(BM72)-BM99+N(BM101),"")</f>
        <v>280.8</v>
      </c>
      <c r="BN123" s="20" t="n">
        <f aca="false">IF(ISNUMBER(BN16),N(BN16)+N(BN33)+N(BN53)+N(BN72)-BN99+N(BN101),"")</f>
        <v>557.9</v>
      </c>
      <c r="BO123" s="20" t="n">
        <f aca="false">IF(ISNUMBER(BO16),N(BO16)+N(BO33)+N(BO53)+N(BO72)-BO99+N(BO101),"")</f>
        <v>294.1</v>
      </c>
      <c r="BP123" s="20" t="n">
        <f aca="false">IF(ISNUMBER(BP16),N(BP16)+N(BP33)+N(BP53)+N(BP72)-BP99+N(BP101),"")</f>
        <v>317.7</v>
      </c>
      <c r="BQ123" s="35" t="n">
        <f aca="false">IF(ISNUMBER(BQ16),N(BQ16)+N(BQ33)+N(BQ53)+N(BQ72)-BQ99+N(BQ101),"")</f>
        <v>1169.7</v>
      </c>
      <c r="BR123" s="20" t="n">
        <f aca="false">IF(ISNUMBER(BR16),N(BR16)+N(BR33)+N(BR53)+N(BR72)-BR99+N(BR101),"")</f>
        <v>292.2</v>
      </c>
      <c r="BS123" s="20" t="n">
        <f aca="false">IF(ISNUMBER(BS16),N(BS16)+N(BS33)+N(BS53)+N(BS72)-BS99+N(BS101),"")</f>
        <v>305.4</v>
      </c>
      <c r="BT123" s="20" t="n">
        <f aca="false">IF(ISNUMBER(BT16),N(BT16)+N(BT33)+N(BT53)+N(BT72)-BT99+N(BT101),"")</f>
        <v>597.6</v>
      </c>
      <c r="BU123" s="20" t="n">
        <f aca="false">IF(ISNUMBER(BU16),N(BU16)+N(BU33)+N(BU53)+N(BU72)-BU99+N(BU101),"")</f>
        <v>319.2</v>
      </c>
      <c r="BV123" s="20" t="n">
        <f aca="false">IF(ISNUMBER(BV16),N(BV16)+N(BV33)+N(BV53)+N(BV72)-BV99+N(BV101),"")</f>
        <v>323.1</v>
      </c>
      <c r="BW123" s="35" t="n">
        <f aca="false">IF(ISNUMBER(BW16),N(BW16)+N(BW33)+N(BW53)+N(BW72)-BW99+N(BW101),"")</f>
        <v>1239.9</v>
      </c>
      <c r="BX123" s="20" t="n">
        <f aca="false">IF(ISNUMBER(BX16),N(BX16)+N(BX33)+N(BX53)+N(BX72)-BX99+N(BX101),"")</f>
        <v>285.9</v>
      </c>
      <c r="BY123" s="20" t="n">
        <f aca="false">IF(ISNUMBER(BY16),N(BY16)+N(BY33)+N(BY53)+N(BY72)-BY99+N(BY101),"")</f>
        <v>297.1</v>
      </c>
      <c r="BZ123" s="20" t="n">
        <f aca="false">IF(ISNUMBER(BZ16),N(BZ16)+N(BZ33)+N(BZ53)+N(BZ72)-BZ99+N(BZ101),"")</f>
        <v>583</v>
      </c>
      <c r="CA123" s="20" t="n">
        <f aca="false">IF(ISNUMBER(CA16),N(CA16)+N(CA33)+N(CA53)+N(CA72)-CA99+N(CA101),"")</f>
        <v>324.2</v>
      </c>
      <c r="CB123" s="20" t="n">
        <f aca="false">IF(ISNUMBER(CB16),N(CB16)+N(CB33)+N(CB53)+N(CB72)-CB99+N(CB101),"")</f>
        <v>340.8</v>
      </c>
      <c r="CC123" s="35" t="n">
        <f aca="false">IF(ISNUMBER(CC16),N(CC16)+N(CC33)+N(CC53)+N(CC72)-CC99+N(CC101),"")</f>
        <v>1248</v>
      </c>
      <c r="CD123" s="20" t="n">
        <f aca="false">IF(ISNUMBER(CD16),N(CD16)+N(CD33)+N(CD53)+N(CD72)-CD99+N(CD101),"")</f>
        <v>318.7</v>
      </c>
      <c r="CE123" s="20" t="n">
        <f aca="false">IF(ISNUMBER(CE16),N(CE16)+N(CE33)+N(CE53)+N(CE72)-CE99+N(CE101),"")</f>
        <v>335.9</v>
      </c>
      <c r="CF123" s="20" t="n">
        <f aca="false">IF(ISNUMBER(CF16),N(CF16)+N(CF33)+N(CF53)+N(CF72)-CF99+N(CF101),"")</f>
        <v>654.6</v>
      </c>
      <c r="CG123" s="20" t="n">
        <f aca="false">IF(ISNUMBER(CG16),N(CG16)+N(CG33)+N(CG53)+N(CG72)-CG99+N(CG101),"")</f>
        <v>340</v>
      </c>
      <c r="CH123" s="20" t="n">
        <f aca="false">IF(ISNUMBER(CH16),N(CH16)+N(CH33)+N(CH53)+N(CH72)-CH99+N(CH101),"")</f>
        <v>385.4</v>
      </c>
      <c r="CI123" s="35" t="n">
        <f aca="false">IF(ISNUMBER(CI16),N(CI16)+N(CI33)+N(CI53)+N(CI72)-CI99+N(CI101),"")</f>
        <v>1380</v>
      </c>
      <c r="CJ123" s="20" t="n">
        <f aca="false">IF(ISNUMBER(CJ16),N(CJ16)+N(CJ33)+N(CJ53)+N(CJ72)-CJ99+N(CJ101),"")</f>
        <v>352</v>
      </c>
      <c r="CK123" s="20" t="n">
        <f aca="false">IF(ISNUMBER(CK16),N(CK16)+N(CK33)+N(CK53)+N(CK72)-CK99+N(CK101),"")</f>
        <v>389.4</v>
      </c>
      <c r="CL123" s="20" t="n">
        <f aca="false">IF(ISNUMBER(CL16),N(CL16)+N(CL33)+N(CL53)+N(CL72)-CL99+N(CL101),"")</f>
        <v>741.4</v>
      </c>
      <c r="CM123" s="35" t="n">
        <f aca="false">N(CM16)+N(CM33)+N(CM53)+N(CM72)+N(CM113)-CM99+CM101</f>
        <v>375.445859872611</v>
      </c>
      <c r="CN123" s="35" t="n">
        <f aca="false">N(CN16)+N(CN33)+N(CN53)+N(CN72)+N(CN113)-CN99+CN101</f>
        <v>391.880573248407</v>
      </c>
      <c r="CO123" s="35" t="n">
        <f aca="false">SUM(CJ123,CK123,CM123,CN123)</f>
        <v>1508.72643312102</v>
      </c>
      <c r="CP123" s="35" t="n">
        <f aca="false">N(CP16)+N(CP33)+N(CP53)+N(CP72)+N(CP113)-CP99+CP101</f>
        <v>1677.45472734786</v>
      </c>
      <c r="CQ123" s="35" t="n">
        <f aca="false">N(CQ16)+N(CQ33)+N(CQ53)+N(CQ72)+N(CQ113)-CQ99+CQ101</f>
        <v>1855.91894608661</v>
      </c>
      <c r="CR123" s="35" t="n">
        <f aca="false">N(CR16)+N(CR33)+N(CR53)+N(CR72)+N(CR113)-CR99+CR101</f>
        <v>2043.95312624164</v>
      </c>
      <c r="CS123" s="35" t="n">
        <f aca="false">N(CS16)+N(CS33)+N(CS53)+N(CS72)+N(CS113)-CS99+CS101</f>
        <v>2245.6001435184</v>
      </c>
      <c r="CT123" s="23"/>
      <c r="CV123" s="24" t="n">
        <f aca="false">IFERROR((CS123/CI123)^(1/5)-1,"n/m")</f>
        <v>0.102276803635044</v>
      </c>
      <c r="CW123" s="24" t="n">
        <f aca="false">IFERROR((CI123/BE123)^(1/5)-1,"n/m")</f>
        <v>0.216071423628334</v>
      </c>
      <c r="CX123" s="24" t="str">
        <f aca="false">IFERROR((CI123/AA123)^(1/10)-1,"n/m")</f>
        <v>n/m</v>
      </c>
      <c r="CY123" s="24" t="str">
        <f aca="false">IFERROR((CI123/C123)^(1/19)-1,"n/m")</f>
        <v>n/m</v>
      </c>
    </row>
    <row r="124" customFormat="false" ht="15" hidden="false" customHeight="true" outlineLevel="0" collapsed="false">
      <c r="B124" s="26" t="s">
        <v>224</v>
      </c>
      <c r="C124" s="40" t="str">
        <f aca="false">IFERROR(C123/C122,"")</f>
        <v/>
      </c>
      <c r="D124" s="40" t="str">
        <f aca="false">IFERROR(D123/D122,"")</f>
        <v/>
      </c>
      <c r="E124" s="40" t="str">
        <f aca="false">IFERROR(E123/E122,"")</f>
        <v/>
      </c>
      <c r="F124" s="40" t="str">
        <f aca="false">IFERROR(F123/F122,"")</f>
        <v/>
      </c>
      <c r="G124" s="40" t="str">
        <f aca="false">IFERROR(G123/G122,"")</f>
        <v/>
      </c>
      <c r="H124" s="40" t="str">
        <f aca="false">IFERROR(H123/H122,"")</f>
        <v/>
      </c>
      <c r="I124" s="40" t="str">
        <f aca="false">IFERROR(I123/I122,"")</f>
        <v/>
      </c>
      <c r="J124" s="40" t="str">
        <f aca="false">IFERROR(J123/J122,"")</f>
        <v/>
      </c>
      <c r="K124" s="40" t="str">
        <f aca="false">IFERROR(K123/K122,"")</f>
        <v/>
      </c>
      <c r="L124" s="40" t="str">
        <f aca="false">IFERROR(L123/L122,"")</f>
        <v/>
      </c>
      <c r="M124" s="40" t="str">
        <f aca="false">IFERROR(M123/M122,"")</f>
        <v/>
      </c>
      <c r="N124" s="40" t="str">
        <f aca="false">IFERROR(N123/N122,"")</f>
        <v/>
      </c>
      <c r="O124" s="40" t="str">
        <f aca="false">IFERROR(O123/O122,"")</f>
        <v/>
      </c>
      <c r="P124" s="40" t="str">
        <f aca="false">IFERROR(P123/P122,"")</f>
        <v/>
      </c>
      <c r="Q124" s="40" t="str">
        <f aca="false">IFERROR(Q123/Q122,"")</f>
        <v/>
      </c>
      <c r="R124" s="40" t="str">
        <f aca="false">IFERROR(R123/R122,"")</f>
        <v/>
      </c>
      <c r="S124" s="40" t="str">
        <f aca="false">IFERROR(S123/S122,"")</f>
        <v/>
      </c>
      <c r="T124" s="40" t="str">
        <f aca="false">IFERROR(T123/T122,"")</f>
        <v/>
      </c>
      <c r="U124" s="40" t="str">
        <f aca="false">IFERROR(U123/U122,"")</f>
        <v/>
      </c>
      <c r="V124" s="40" t="str">
        <f aca="false">IFERROR(V123/V122,"")</f>
        <v/>
      </c>
      <c r="W124" s="40" t="str">
        <f aca="false">IFERROR(W123/W122,"")</f>
        <v/>
      </c>
      <c r="X124" s="40" t="str">
        <f aca="false">IFERROR(X123/X122,"")</f>
        <v/>
      </c>
      <c r="Y124" s="40" t="str">
        <f aca="false">IFERROR(Y123/Y122,"")</f>
        <v/>
      </c>
      <c r="Z124" s="40" t="str">
        <f aca="false">IFERROR(Z123/Z122,"")</f>
        <v/>
      </c>
      <c r="AA124" s="40" t="str">
        <f aca="false">IFERROR(AA123/AA122,"")</f>
        <v/>
      </c>
      <c r="AB124" s="40" t="str">
        <f aca="false">IFERROR(AB123/AB122,"")</f>
        <v/>
      </c>
      <c r="AC124" s="40" t="str">
        <f aca="false">IFERROR(AC123/AC122,"")</f>
        <v/>
      </c>
      <c r="AD124" s="40" t="str">
        <f aca="false">IFERROR(AD123/AD122,"")</f>
        <v/>
      </c>
      <c r="AE124" s="40" t="str">
        <f aca="false">IFERROR(AE123/AE122,"")</f>
        <v/>
      </c>
      <c r="AF124" s="40" t="str">
        <f aca="false">IFERROR(AF123/AF122,"")</f>
        <v/>
      </c>
      <c r="AG124" s="40" t="str">
        <f aca="false">IFERROR(AG123/AG122,"")</f>
        <v/>
      </c>
      <c r="AH124" s="40" t="str">
        <f aca="false">IFERROR(AH123/AH122,"")</f>
        <v/>
      </c>
      <c r="AI124" s="40" t="str">
        <f aca="false">IFERROR(AI123/AI122,"")</f>
        <v/>
      </c>
      <c r="AJ124" s="40" t="str">
        <f aca="false">IFERROR(AJ123/AJ122,"")</f>
        <v/>
      </c>
      <c r="AK124" s="40" t="str">
        <f aca="false">IFERROR(AK123/AK122,"")</f>
        <v/>
      </c>
      <c r="AL124" s="40" t="str">
        <f aca="false">IFERROR(AL123/AL122,"")</f>
        <v/>
      </c>
      <c r="AM124" s="40" t="str">
        <f aca="false">IFERROR(AM123/AM122,"")</f>
        <v/>
      </c>
      <c r="AN124" s="40" t="str">
        <f aca="false">IFERROR(AN123/AN122,"")</f>
        <v/>
      </c>
      <c r="AO124" s="40" t="str">
        <f aca="false">IFERROR(AO123/AO122,"")</f>
        <v/>
      </c>
      <c r="AP124" s="40" t="str">
        <f aca="false">IFERROR(AP123/AP122,"")</f>
        <v/>
      </c>
      <c r="AQ124" s="40" t="str">
        <f aca="false">IFERROR(AQ123/AQ122,"")</f>
        <v/>
      </c>
      <c r="AR124" s="40" t="str">
        <f aca="false">IFERROR(AR123/AR122,"")</f>
        <v/>
      </c>
      <c r="AS124" s="40" t="str">
        <f aca="false">IFERROR(AS123/AS122,"")</f>
        <v/>
      </c>
      <c r="AT124" s="40" t="str">
        <f aca="false">IFERROR(AT123/AT122,"")</f>
        <v/>
      </c>
      <c r="AU124" s="40" t="str">
        <f aca="false">IFERROR(AU123/AU122,"")</f>
        <v/>
      </c>
      <c r="AV124" s="40" t="str">
        <f aca="false">IFERROR(AV123/AV122,"")</f>
        <v/>
      </c>
      <c r="AW124" s="40" t="str">
        <f aca="false">IFERROR(AW123/AW122,"")</f>
        <v/>
      </c>
      <c r="AX124" s="40" t="str">
        <f aca="false">IFERROR(AX123/AX122,"")</f>
        <v/>
      </c>
      <c r="AY124" s="40" t="str">
        <f aca="false">IFERROR(AY123/AY122,"")</f>
        <v/>
      </c>
      <c r="AZ124" s="40" t="n">
        <f aca="false">IFERROR(AZ123/AZ122,"")</f>
        <v>0.144787152689268</v>
      </c>
      <c r="BA124" s="40" t="n">
        <f aca="false">IFERROR(BA123/BA122,"")</f>
        <v>0.160769541235033</v>
      </c>
      <c r="BB124" s="40" t="n">
        <f aca="false">IFERROR(BB123/BB122,"")</f>
        <v>0.152562340467308</v>
      </c>
      <c r="BC124" s="40" t="n">
        <f aca="false">IFERROR(BC123/BC122,"")</f>
        <v>0.176769025367156</v>
      </c>
      <c r="BD124" s="40" t="n">
        <f aca="false">IFERROR(BD123/BD122,"")</f>
        <v>0.189546521685407</v>
      </c>
      <c r="BE124" s="40" t="n">
        <f aca="false">IFERROR(BE123/BE122,"")</f>
        <v>0.168135571252673</v>
      </c>
      <c r="BF124" s="40" t="n">
        <f aca="false">IFERROR(BF123/BF122,"")</f>
        <v>0.187290554797071</v>
      </c>
      <c r="BG124" s="40" t="n">
        <f aca="false">IFERROR(BG123/BG122,"")</f>
        <v>0.227564674397859</v>
      </c>
      <c r="BH124" s="40" t="n">
        <f aca="false">IFERROR(BH123/BH122,"")</f>
        <v>0.210722997872009</v>
      </c>
      <c r="BI124" s="40" t="n">
        <f aca="false">IFERROR(BI123/BI122,"")</f>
        <v>0.214879182864548</v>
      </c>
      <c r="BJ124" s="40" t="n">
        <f aca="false">IFERROR(BJ123/BJ122,"")</f>
        <v>0.214508977247946</v>
      </c>
      <c r="BK124" s="40" t="n">
        <f aca="false">IFERROR(BK123/BK122,"")</f>
        <v>0.213033396181436</v>
      </c>
      <c r="BL124" s="40" t="n">
        <f aca="false">IFERROR(BL123/BL122,"")</f>
        <v>0.209765329295988</v>
      </c>
      <c r="BM124" s="40" t="n">
        <f aca="false">IFERROR(BM123/BM122,"")</f>
        <v>0.207110193243841</v>
      </c>
      <c r="BN124" s="40" t="n">
        <f aca="false">IFERROR(BN123/BN122,"")</f>
        <v>0.20842050209205</v>
      </c>
      <c r="BO124" s="40" t="n">
        <f aca="false">IFERROR(BO123/BO122,"")</f>
        <v>0.215679084775594</v>
      </c>
      <c r="BP124" s="40" t="n">
        <f aca="false">IFERROR(BP123/BP122,"")</f>
        <v>0.224016358764631</v>
      </c>
      <c r="BQ124" s="40" t="n">
        <f aca="false">IFERROR(BQ123/BQ122,"")</f>
        <v>0.214285714285714</v>
      </c>
      <c r="BR124" s="40" t="n">
        <f aca="false">IFERROR(BR123/BR122,"")</f>
        <v>0.21123400563869</v>
      </c>
      <c r="BS124" s="40" t="n">
        <f aca="false">IFERROR(BS123/BS122,"")</f>
        <v>0.214360918088019</v>
      </c>
      <c r="BT124" s="40" t="n">
        <f aca="false">IFERROR(BT123/BT122,"")</f>
        <v>0.212820512820513</v>
      </c>
      <c r="BU124" s="40" t="n">
        <f aca="false">IFERROR(BU123/BU122,"")</f>
        <v>0.227593582887701</v>
      </c>
      <c r="BV124" s="40" t="n">
        <f aca="false">IFERROR(BV123/BV122,"")</f>
        <v>0.226736842105263</v>
      </c>
      <c r="BW124" s="40" t="n">
        <f aca="false">IFERROR(BW123/BW122,"")</f>
        <v>0.220015970188981</v>
      </c>
      <c r="BX124" s="40" t="n">
        <f aca="false">IFERROR(BX123/BX122,"")</f>
        <v>0.211762091696911</v>
      </c>
      <c r="BY124" s="40" t="n">
        <f aca="false">IFERROR(BY123/BY122,"")</f>
        <v>0.216214249326832</v>
      </c>
      <c r="BZ124" s="40" t="n">
        <f aca="false">IFERROR(BZ123/BZ122,"")</f>
        <v>0.214007782101167</v>
      </c>
      <c r="CA124" s="40" t="n">
        <f aca="false">IFERROR(CA123/CA122,"")</f>
        <v>0.224593003117423</v>
      </c>
      <c r="CB124" s="40" t="n">
        <f aca="false">IFERROR(CB123/CB122,"")</f>
        <v>0.226852160021301</v>
      </c>
      <c r="CC124" s="40" t="n">
        <f aca="false">IFERROR(CC123/CC122,"")</f>
        <v>0.22010582010582</v>
      </c>
      <c r="CD124" s="40" t="n">
        <f aca="false">IFERROR(CD123/CD122,"")</f>
        <v>0.219808262638803</v>
      </c>
      <c r="CE124" s="40" t="n">
        <f aca="false">IFERROR(CE123/CE122,"")</f>
        <v>0.221906586509876</v>
      </c>
      <c r="CF124" s="40" t="n">
        <f aca="false">IFERROR(CF123/CF122,"")</f>
        <v>0.220880010797678</v>
      </c>
      <c r="CG124" s="40" t="n">
        <f aca="false">IFERROR(CG123/CG122,"")</f>
        <v>0.220850925625203</v>
      </c>
      <c r="CH124" s="40" t="n">
        <f aca="false">IFERROR(CH123/CH122,"")</f>
        <v>0.239037399987595</v>
      </c>
      <c r="CI124" s="40" t="n">
        <f aca="false">IFERROR(CI123/CI122,"")</f>
        <v>0.225659809660856</v>
      </c>
      <c r="CJ124" s="40" t="n">
        <f aca="false">IFERROR(CJ123/CJ122,"")</f>
        <v>0.225626562399846</v>
      </c>
      <c r="CK124" s="40" t="n">
        <f aca="false">IFERROR(CK123/CK122,"")</f>
        <v>0.234225563909774</v>
      </c>
      <c r="CL124" s="40" t="n">
        <f aca="false">IFERROR(CL123/CL122,"")</f>
        <v>0.230062682306212</v>
      </c>
      <c r="CM124" s="28" t="n">
        <f aca="false">IFERROR(CM123/CM122,"")</f>
        <v>0.222003088976109</v>
      </c>
      <c r="CN124" s="28" t="n">
        <f aca="false">IFERROR(CN123/CN122,"")</f>
        <v>0.221112431187458</v>
      </c>
      <c r="CO124" s="28" t="n">
        <f aca="false">IFERROR(CO123/CO122,"")</f>
        <v>0.225651608378632</v>
      </c>
      <c r="CP124" s="28" t="n">
        <f aca="false">IFERROR(CP123/CP122,"")</f>
        <v>0.233628963721645</v>
      </c>
      <c r="CQ124" s="28" t="n">
        <f aca="false">IFERROR(CQ123/CQ122,"")</f>
        <v>0.23652990542569</v>
      </c>
      <c r="CR124" s="28" t="n">
        <f aca="false">IFERROR(CR123/CR122,"")</f>
        <v>0.238748055526162</v>
      </c>
      <c r="CS124" s="28" t="n">
        <f aca="false">IFERROR(CS123/CS122,"")</f>
        <v>0.241270364889337</v>
      </c>
      <c r="CT124" s="23"/>
      <c r="CV124" s="41" t="n">
        <f aca="false">IFERROR(AVERAGE(CO124,CP124,CQ124,CR124,CS124),"n/m")</f>
        <v>0.235165779588293</v>
      </c>
      <c r="CW124" s="41" t="n">
        <f aca="false">IFERROR(AVERAGE(BK124,BQ124,BW124,CC124,CI124),"n/m")</f>
        <v>0.218620142084561</v>
      </c>
      <c r="CX124" s="41" t="n">
        <f aca="false">IFERROR(AVERAGE(AG124,AM124,AS124,AY124,BE124,BK124,BQ124,BW124,CC124,CI124),"n/m")</f>
        <v>0.210206046945913</v>
      </c>
      <c r="CY124" s="41" t="n">
        <f aca="false">IFERROR(AVERAGE(C124,D124,E124,F124,G124,H124,I124,O124,U124,AA124,AG124,AM124,AS124,AY124,BE124,BK124,BQ124,BW124,CC124,CI124),"n/m")</f>
        <v>0.210206046945913</v>
      </c>
    </row>
    <row r="125" customFormat="false" ht="15" hidden="false" customHeight="true" outlineLevel="0" collapsed="false">
      <c r="B125" s="13" t="s">
        <v>225</v>
      </c>
      <c r="C125" s="31" t="n">
        <v>7.7</v>
      </c>
      <c r="D125" s="31" t="n">
        <v>6.4</v>
      </c>
      <c r="E125" s="31" t="n">
        <v>15.8</v>
      </c>
      <c r="F125" s="31" t="n">
        <v>12.4</v>
      </c>
      <c r="G125" s="31" t="n">
        <v>14.1</v>
      </c>
      <c r="H125" s="31" t="n">
        <v>24.6</v>
      </c>
      <c r="I125" s="31" t="n">
        <v>29.4</v>
      </c>
      <c r="J125" s="30"/>
      <c r="K125" s="30"/>
      <c r="L125" s="30"/>
      <c r="M125" s="30"/>
      <c r="N125" s="30"/>
      <c r="O125" s="31" t="n">
        <v>31.5</v>
      </c>
      <c r="P125" s="30"/>
      <c r="Q125" s="30"/>
      <c r="R125" s="30"/>
      <c r="S125" s="30"/>
      <c r="T125" s="30"/>
      <c r="U125" s="31" t="n">
        <v>32</v>
      </c>
      <c r="V125" s="30"/>
      <c r="W125" s="30"/>
      <c r="X125" s="30"/>
      <c r="Y125" s="30"/>
      <c r="Z125" s="30"/>
      <c r="AA125" s="31" t="n">
        <v>30.6</v>
      </c>
      <c r="AB125" s="30"/>
      <c r="AC125" s="30"/>
      <c r="AD125" s="30"/>
      <c r="AE125" s="30"/>
      <c r="AF125" s="30"/>
      <c r="AG125" s="31" t="n">
        <v>28.3</v>
      </c>
      <c r="AH125" s="30"/>
      <c r="AI125" s="30"/>
      <c r="AJ125" s="30"/>
      <c r="AK125" s="30"/>
      <c r="AL125" s="30"/>
      <c r="AM125" s="31" t="n">
        <v>41.4</v>
      </c>
      <c r="AN125" s="30"/>
      <c r="AO125" s="30"/>
      <c r="AP125" s="30"/>
      <c r="AQ125" s="30"/>
      <c r="AR125" s="30"/>
      <c r="AS125" s="31" t="n">
        <v>39.5</v>
      </c>
      <c r="AT125" s="30"/>
      <c r="AU125" s="30"/>
      <c r="AV125" s="30"/>
      <c r="AW125" s="30"/>
      <c r="AX125" s="30"/>
      <c r="AY125" s="31" t="n">
        <v>36.5</v>
      </c>
      <c r="AZ125" s="31" t="n">
        <v>9.6</v>
      </c>
      <c r="BA125" s="31" t="n">
        <v>9.7</v>
      </c>
      <c r="BB125" s="30" t="n">
        <f aca="false">AZ125+BA125</f>
        <v>19.3</v>
      </c>
      <c r="BC125" s="31" t="n">
        <v>9.9</v>
      </c>
      <c r="BD125" s="31" t="n">
        <v>9.6</v>
      </c>
      <c r="BE125" s="31" t="n">
        <v>38.8</v>
      </c>
      <c r="BF125" s="31" t="n">
        <v>9.8</v>
      </c>
      <c r="BG125" s="31" t="n">
        <v>32.8</v>
      </c>
      <c r="BH125" s="30" t="n">
        <f aca="false">BF125+BG125</f>
        <v>42.6</v>
      </c>
      <c r="BI125" s="31" t="n">
        <v>55.3</v>
      </c>
      <c r="BJ125" s="31" t="n">
        <v>51.4</v>
      </c>
      <c r="BK125" s="31" t="n">
        <v>149.3</v>
      </c>
      <c r="BL125" s="31" t="n">
        <v>53.6</v>
      </c>
      <c r="BM125" s="31" t="n">
        <v>51.3</v>
      </c>
      <c r="BN125" s="30" t="n">
        <f aca="false">BL125+BM125</f>
        <v>104.9</v>
      </c>
      <c r="BO125" s="31" t="n">
        <v>48.9</v>
      </c>
      <c r="BP125" s="31" t="n">
        <v>47.9</v>
      </c>
      <c r="BQ125" s="31" t="n">
        <v>201.7</v>
      </c>
      <c r="BR125" s="31" t="n">
        <v>49.7</v>
      </c>
      <c r="BS125" s="31" t="n">
        <v>49.3</v>
      </c>
      <c r="BT125" s="30" t="n">
        <f aca="false">BR125+BS125</f>
        <v>99</v>
      </c>
      <c r="BU125" s="31" t="n">
        <v>49.1</v>
      </c>
      <c r="BV125" s="31" t="n">
        <v>48.6</v>
      </c>
      <c r="BW125" s="31" t="n">
        <v>196.7</v>
      </c>
      <c r="BX125" s="31" t="n">
        <v>49.4</v>
      </c>
      <c r="BY125" s="31" t="n">
        <v>49.1</v>
      </c>
      <c r="BZ125" s="30" t="n">
        <f aca="false">BX125+BY125</f>
        <v>98.5</v>
      </c>
      <c r="CA125" s="31" t="n">
        <v>49.8</v>
      </c>
      <c r="CB125" s="31" t="n">
        <v>49.7</v>
      </c>
      <c r="CC125" s="31" t="n">
        <v>198</v>
      </c>
      <c r="CD125" s="31" t="n">
        <v>52</v>
      </c>
      <c r="CE125" s="31" t="n">
        <v>54.6</v>
      </c>
      <c r="CF125" s="30" t="n">
        <f aca="false">CD125+CE125</f>
        <v>106.6</v>
      </c>
      <c r="CG125" s="31" t="n">
        <v>55.1</v>
      </c>
      <c r="CH125" s="31" t="n">
        <v>54.9</v>
      </c>
      <c r="CI125" s="31" t="n">
        <v>216.6</v>
      </c>
      <c r="CJ125" s="31" t="n">
        <v>57.6</v>
      </c>
      <c r="CK125" s="31" t="n">
        <v>56</v>
      </c>
      <c r="CL125" s="30" t="n">
        <f aca="false">CJ125+CK125</f>
        <v>113.6</v>
      </c>
      <c r="CM125" s="32" t="n">
        <f aca="false">($CO$371-CL125)/2</f>
        <v>56.2</v>
      </c>
      <c r="CN125" s="32" t="n">
        <f aca="false">($CO$371-CL125)/2</f>
        <v>56.2</v>
      </c>
      <c r="CO125" s="32" t="n">
        <f aca="false">SUM(CJ125,CK125,CM125,CN125)</f>
        <v>226</v>
      </c>
      <c r="CP125" s="32" t="n">
        <f aca="false">CP371+CP117</f>
        <v>222.7375</v>
      </c>
      <c r="CQ125" s="32" t="n">
        <f aca="false">CQ371+CQ117</f>
        <v>245.358333333333</v>
      </c>
      <c r="CR125" s="32" t="n">
        <f aca="false">CR371+CR117</f>
        <v>230.625</v>
      </c>
      <c r="CS125" s="32" t="n">
        <f aca="false">CS371+CS117</f>
        <v>233.591666666667</v>
      </c>
      <c r="CT125" s="23" t="s">
        <v>226</v>
      </c>
      <c r="CV125" s="7"/>
      <c r="CW125" s="7"/>
      <c r="CX125" s="7"/>
      <c r="CY125" s="7"/>
    </row>
    <row r="126" customFormat="false" ht="15" hidden="false" customHeight="true" outlineLevel="0" collapsed="false">
      <c r="B126" s="34" t="s">
        <v>227</v>
      </c>
      <c r="C126" s="35" t="str">
        <f aca="false">IF(ISNUMBER(C13),N(C13)+N(C30)+N(C50)+N(C69)-C97+N(C101),"")</f>
        <v/>
      </c>
      <c r="D126" s="35" t="str">
        <f aca="false">IF(ISNUMBER(D13),N(D13)+N(D30)+N(D50)+N(D69)-D97+N(D101),"")</f>
        <v/>
      </c>
      <c r="E126" s="35" t="n">
        <f aca="false">IF(ISNUMBER(E13),N(E13)+N(E30)+N(E50)+N(E69)-E97+N(E101),"")</f>
        <v>198.6</v>
      </c>
      <c r="F126" s="35" t="n">
        <f aca="false">IF(ISNUMBER(F13),N(F13)+N(F30)+N(F50)+N(F69)-F97+N(F101),"")</f>
        <v>171.4</v>
      </c>
      <c r="G126" s="35" t="n">
        <f aca="false">IF(ISNUMBER(G13),N(G13)+N(G30)+N(G50)+N(G69)-G97+N(G101),"")</f>
        <v>178.5</v>
      </c>
      <c r="H126" s="35" t="n">
        <f aca="false">IF(ISNUMBER(H13),N(H13)+N(H30)+N(H50)+N(H69)-H97+N(H101),"")</f>
        <v>227.2</v>
      </c>
      <c r="I126" s="35" t="n">
        <f aca="false">IF(ISNUMBER(I13),N(I13)+N(I30)+N(I50)+N(I69)-I97+N(I101),"")</f>
        <v>243.1</v>
      </c>
      <c r="J126" s="20" t="n">
        <f aca="false">IF(ISNUMBER(J13),N(J13)+N(J30)+N(J50)+N(J69)-J97+N(J101),"")</f>
        <v>58.9</v>
      </c>
      <c r="K126" s="20" t="n">
        <f aca="false">IF(ISNUMBER(K13),N(K13)+N(K30)+N(K50)+N(K69)-K97+N(K101),"")</f>
        <v>64.9</v>
      </c>
      <c r="L126" s="20" t="n">
        <f aca="false">IF(ISNUMBER(L13),N(L13)+N(L30)+N(L50)+N(L69)-L97+N(L101),"")</f>
        <v>123.8</v>
      </c>
      <c r="M126" s="20" t="n">
        <f aca="false">IF(ISNUMBER(M13),N(M13)+N(M30)+N(M50)+N(M69)-M97+N(M101),"")</f>
        <v>53</v>
      </c>
      <c r="N126" s="20" t="n">
        <f aca="false">IF(ISNUMBER(N13),N(N13)+N(N30)+N(N50)+N(N69)-N97+N(N101),"")</f>
        <v>63.5</v>
      </c>
      <c r="O126" s="35" t="n">
        <f aca="false">IF(ISNUMBER(O13),N(O13)+N(O30)+N(O50)+N(O69)-O97+N(O101),"")</f>
        <v>240.3</v>
      </c>
      <c r="P126" s="20" t="n">
        <f aca="false">IF(ISNUMBER(P13),N(P13)+N(P30)+N(P50)+N(P69)-P97+N(P101),"")</f>
        <v>66</v>
      </c>
      <c r="Q126" s="20" t="n">
        <f aca="false">IF(ISNUMBER(Q13),N(Q13)+N(Q30)+N(Q50)+N(Q69)-Q97+N(Q101),"")</f>
        <v>74.3</v>
      </c>
      <c r="R126" s="20" t="n">
        <f aca="false">IF(ISNUMBER(R13),N(R13)+N(R30)+N(R50)+N(R69)-R97+N(R101),"")</f>
        <v>140.3</v>
      </c>
      <c r="S126" s="20" t="n">
        <f aca="false">IF(ISNUMBER(S13),N(S13)+N(S30)+N(S50)+N(S69)-S97+N(S101),"")</f>
        <v>74.3</v>
      </c>
      <c r="T126" s="20" t="n">
        <f aca="false">IF(ISNUMBER(T13),N(T13)+N(T30)+N(T50)+N(T69)-T97+N(T101),"")</f>
        <v>79.9</v>
      </c>
      <c r="U126" s="35" t="n">
        <f aca="false">IF(ISNUMBER(U13),N(U13)+N(U30)+N(U50)+N(U69)-U97+N(U101),"")</f>
        <v>294.5</v>
      </c>
      <c r="V126" s="20" t="n">
        <f aca="false">IF(ISNUMBER(V13),N(V13)+N(V30)+N(V50)+N(V69)-V97+N(V101),"")</f>
        <v>67.3</v>
      </c>
      <c r="W126" s="20" t="n">
        <f aca="false">IF(ISNUMBER(W13),N(W13)+N(W30)+N(W50)+N(W69)-W97+N(W101),"")</f>
        <v>68.9</v>
      </c>
      <c r="X126" s="20" t="n">
        <f aca="false">IF(ISNUMBER(X13),N(X13)+N(X30)+N(X50)+N(X69)-X97+N(X101),"")</f>
        <v>136.2</v>
      </c>
      <c r="Y126" s="20" t="n">
        <f aca="false">IF(ISNUMBER(Y13),N(Y13)+N(Y30)+N(Y50)+N(Y69)-Y97+N(Y101),"")</f>
        <v>69.5</v>
      </c>
      <c r="Z126" s="20" t="n">
        <f aca="false">IF(ISNUMBER(Z13),N(Z13)+N(Z30)+N(Z50)+N(Z69)-Z97+N(Z101),"")</f>
        <v>76</v>
      </c>
      <c r="AA126" s="35" t="n">
        <f aca="false">IF(ISNUMBER(AA13),N(AA13)+N(AA30)+N(AA50)+N(AA69)-AA97+N(AA101),"")</f>
        <v>281.7</v>
      </c>
      <c r="AB126" s="20" t="n">
        <f aca="false">IF(ISNUMBER(AB13),N(AB13)+N(AB30)+N(AB50)+N(AB69)-AB97+N(AB101),"")</f>
        <v>60.9</v>
      </c>
      <c r="AC126" s="20" t="n">
        <f aca="false">IF(ISNUMBER(AC13),N(AC13)+N(AC30)+N(AC50)+N(AC69)-AC97+N(AC101),"")</f>
        <v>53.6</v>
      </c>
      <c r="AD126" s="20" t="n">
        <f aca="false">IF(ISNUMBER(AD13),N(AD13)+N(AD30)+N(AD50)+N(AD69)-AD97+N(AD101),"")</f>
        <v>114.5</v>
      </c>
      <c r="AE126" s="20" t="n">
        <f aca="false">IF(ISNUMBER(AE13),N(AE13)+N(AE30)+N(AE50)+N(AE69)-AE97+N(AE101),"")</f>
        <v>68.8</v>
      </c>
      <c r="AF126" s="20" t="n">
        <f aca="false">IF(ISNUMBER(AF13),N(AF13)+N(AF30)+N(AF50)+N(AF69)-AF97+N(AF101),"")</f>
        <v>70.5</v>
      </c>
      <c r="AG126" s="35" t="n">
        <f aca="false">IF(ISNUMBER(AG13),N(AG13)+N(AG30)+N(AG50)+N(AG69)-AG97+N(AG101),"")</f>
        <v>253.8</v>
      </c>
      <c r="AH126" s="20" t="n">
        <f aca="false">IF(ISNUMBER(AH13),N(AH13)+N(AH30)+N(AH50)+N(AH69)-AH97+N(AH101),"")</f>
        <v>54.8</v>
      </c>
      <c r="AI126" s="20" t="n">
        <f aca="false">IF(ISNUMBER(AI13),N(AI13)+N(AI30)+N(AI50)+N(AI69)-AI97+N(AI101),"")</f>
        <v>82.8</v>
      </c>
      <c r="AJ126" s="20" t="n">
        <f aca="false">IF(ISNUMBER(AJ13),N(AJ13)+N(AJ30)+N(AJ50)+N(AJ69)-AJ97+N(AJ101),"")</f>
        <v>137.6</v>
      </c>
      <c r="AK126" s="20" t="n">
        <f aca="false">IF(ISNUMBER(AK13),N(AK13)+N(AK30)+N(AK50)+N(AK69)-AK97+N(AK101),"")</f>
        <v>89.5</v>
      </c>
      <c r="AL126" s="20" t="n">
        <f aca="false">IF(ISNUMBER(AL13),N(AL13)+N(AL30)+N(AL50)+N(AL69)-AL97+N(AL101),"")</f>
        <v>94.6</v>
      </c>
      <c r="AM126" s="35" t="n">
        <f aca="false">IF(ISNUMBER(AM13),N(AM13)+N(AM30)+N(AM50)+N(AM69)-AM97+N(AM101),"")</f>
        <v>321.7</v>
      </c>
      <c r="AN126" s="20" t="n">
        <f aca="false">IF(ISNUMBER(AN13),N(AN13)+N(AN30)+N(AN50)+N(AN69)-AN97+N(AN101),"")</f>
        <v>88.4</v>
      </c>
      <c r="AO126" s="20" t="n">
        <f aca="false">IF(ISNUMBER(AO13),N(AO13)+N(AO30)+N(AO50)+N(AO69)-AO97+N(AO101),"")</f>
        <v>111.5</v>
      </c>
      <c r="AP126" s="20" t="n">
        <f aca="false">IF(ISNUMBER(AP13),N(AP13)+N(AP30)+N(AP50)+N(AP69)-AP97+N(AP101),"")</f>
        <v>199.9</v>
      </c>
      <c r="AQ126" s="20" t="n">
        <f aca="false">IF(ISNUMBER(AQ13),N(AQ13)+N(AQ30)+N(AQ50)+N(AQ69)-AQ97+N(AQ101),"")</f>
        <v>105.5</v>
      </c>
      <c r="AR126" s="20" t="n">
        <f aca="false">IF(ISNUMBER(AR13),N(AR13)+N(AR30)+N(AR50)+N(AR69)-AR97+N(AR101),"")</f>
        <v>111.2</v>
      </c>
      <c r="AS126" s="35" t="n">
        <f aca="false">IF(ISNUMBER(AS13),N(AS13)+N(AS30)+N(AS50)+N(AS69)-AS97+N(AS101),"")</f>
        <v>416.6</v>
      </c>
      <c r="AT126" s="20" t="n">
        <f aca="false">IF(ISNUMBER(AT13),N(AT13)+N(AT30)+N(AT50)+N(AT69)-AT97+N(AT101),"")</f>
        <v>97.3</v>
      </c>
      <c r="AU126" s="20" t="n">
        <f aca="false">IF(ISNUMBER(AU13),N(AU13)+N(AU30)+N(AU50)+N(AU69)-AU97+N(AU101),"")</f>
        <v>131.9</v>
      </c>
      <c r="AV126" s="20" t="n">
        <f aca="false">IF(ISNUMBER(AV13),N(AV13)+N(AV30)+N(AV50)+N(AV69)-AV97+N(AV101),"")</f>
        <v>229.2</v>
      </c>
      <c r="AW126" s="20" t="n">
        <f aca="false">IF(ISNUMBER(AW13),N(AW13)+N(AW30)+N(AW50)+N(AW69)-AW97+N(AW101),"")</f>
        <v>128.7</v>
      </c>
      <c r="AX126" s="20" t="n">
        <f aca="false">IF(ISNUMBER(AX13),N(AX13)+N(AX30)+N(AX50)+N(AX69)-AX97+N(AX101),"")</f>
        <v>133.8</v>
      </c>
      <c r="AY126" s="35" t="n">
        <f aca="false">IF(ISNUMBER(AY13),N(AY13)+N(AY30)+N(AY50)+N(AY69)-AY97+N(AY101),"")</f>
        <v>491.7</v>
      </c>
      <c r="AZ126" s="20" t="n">
        <f aca="false">IF(ISNUMBER(AZ13),N(AZ13)+N(AZ30)+N(AZ50)+N(AZ69)-AZ97+N(AZ101),"")</f>
        <v>104</v>
      </c>
      <c r="BA126" s="20" t="n">
        <f aca="false">IF(ISNUMBER(BA13),N(BA13)+N(BA30)+N(BA50)+N(BA69)-BA97+N(BA101),"")</f>
        <v>109.8</v>
      </c>
      <c r="BB126" s="20" t="n">
        <f aca="false">IF(ISNUMBER(BB13),N(BB13)+N(BB30)+N(BB50)+N(BB69)-BB97+N(BB101),"")</f>
        <v>213.8</v>
      </c>
      <c r="BC126" s="20" t="n">
        <f aca="false">IF(ISNUMBER(BC13),N(BC13)+N(BC30)+N(BC50)+N(BC69)-BC97+N(BC101),"")</f>
        <v>122.5</v>
      </c>
      <c r="BD126" s="20" t="n">
        <f aca="false">IF(ISNUMBER(BD13),N(BD13)+N(BD30)+N(BD50)+N(BD69)-BD97+N(BD101),"")</f>
        <v>143.8</v>
      </c>
      <c r="BE126" s="35" t="n">
        <f aca="false">IF(ISNUMBER(BE13),N(BE13)+N(BE30)+N(BE50)+N(BE69)-BE97+N(BE101),"")</f>
        <v>480.1</v>
      </c>
      <c r="BF126" s="20" t="n">
        <f aca="false">IF(ISNUMBER(BF13),N(BF13)+N(BF30)+N(BF50)+N(BF69)-BF97+N(BF101),"")</f>
        <v>135.2</v>
      </c>
      <c r="BG126" s="20" t="n">
        <f aca="false">IF(ISNUMBER(BG13),N(BG13)+N(BG30)+N(BG50)+N(BG69)-BG97+N(BG101),"")</f>
        <v>104.4</v>
      </c>
      <c r="BH126" s="20" t="n">
        <f aca="false">IF(ISNUMBER(BH13),N(BH13)+N(BH30)+N(BH50)+N(BH69)-BH97+N(BH101),"")</f>
        <v>239.6</v>
      </c>
      <c r="BI126" s="20" t="n">
        <f aca="false">IF(ISNUMBER(BI13),N(BI13)+N(BI30)+N(BI50)+N(BI69)-BI97+N(BI101),"")</f>
        <v>189.6</v>
      </c>
      <c r="BJ126" s="20" t="n">
        <f aca="false">IF(ISNUMBER(BJ13),N(BJ13)+N(BJ30)+N(BJ50)+N(BJ69)-BJ97+N(BJ101),"")</f>
        <v>195.1</v>
      </c>
      <c r="BK126" s="35" t="n">
        <f aca="false">IF(ISNUMBER(BK13),N(BK13)+N(BK30)+N(BK50)+N(BK69)-BK97+N(BK101),"")</f>
        <v>624.3</v>
      </c>
      <c r="BL126" s="20" t="n">
        <f aca="false">IF(ISNUMBER(BL13),N(BL13)+N(BL30)+N(BL50)+N(BL69)-BL97+N(BL101),"")</f>
        <v>223.5</v>
      </c>
      <c r="BM126" s="20" t="n">
        <f aca="false">IF(ISNUMBER(BM13),N(BM13)+N(BM30)+N(BM50)+N(BM69)-BM97+N(BM101),"")</f>
        <v>229.5</v>
      </c>
      <c r="BN126" s="20" t="n">
        <f aca="false">IF(ISNUMBER(BN13),N(BN13)+N(BN30)+N(BN50)+N(BN69)-BN97+N(BN101),"")</f>
        <v>453</v>
      </c>
      <c r="BO126" s="20" t="n">
        <f aca="false">IF(ISNUMBER(BO13),N(BO13)+N(BO30)+N(BO50)+N(BO69)-BO97+N(BO101),"")</f>
        <v>245.2</v>
      </c>
      <c r="BP126" s="20" t="n">
        <f aca="false">IF(ISNUMBER(BP13),N(BP13)+N(BP30)+N(BP50)+N(BP69)-BP97+N(BP101),"")</f>
        <v>273.8</v>
      </c>
      <c r="BQ126" s="35" t="n">
        <f aca="false">IF(ISNUMBER(BQ13),N(BQ13)+N(BQ30)+N(BQ50)+N(BQ69)-BQ97+N(BQ101),"")</f>
        <v>972</v>
      </c>
      <c r="BR126" s="20" t="n">
        <f aca="false">IF(ISNUMBER(BR13),N(BR13)+N(BR30)+N(BR50)+N(BR69)-BR97+N(BR101),"")</f>
        <v>242.5</v>
      </c>
      <c r="BS126" s="20" t="n">
        <f aca="false">IF(ISNUMBER(BS13),N(BS13)+N(BS30)+N(BS50)+N(BS69)-BS97+N(BS101),"")</f>
        <v>256.1</v>
      </c>
      <c r="BT126" s="20" t="n">
        <f aca="false">IF(ISNUMBER(BT13),N(BT13)+N(BT30)+N(BT50)+N(BT69)-BT97+N(BT101),"")</f>
        <v>498.6</v>
      </c>
      <c r="BU126" s="20" t="n">
        <f aca="false">IF(ISNUMBER(BU13),N(BU13)+N(BU30)+N(BU50)+N(BU69)-BU97+N(BU101),"")</f>
        <v>264.3</v>
      </c>
      <c r="BV126" s="20" t="n">
        <f aca="false">IF(ISNUMBER(BV13),N(BV13)+N(BV30)+N(BV50)+N(BV69)-BV97+N(BV101),"")</f>
        <v>271.5</v>
      </c>
      <c r="BW126" s="35" t="n">
        <f aca="false">IF(ISNUMBER(BW13),N(BW13)+N(BW30)+N(BW50)+N(BW69)-BW97+N(BW101),"")</f>
        <v>1034.4</v>
      </c>
      <c r="BX126" s="20" t="n">
        <f aca="false">IF(ISNUMBER(BX13),N(BX13)+N(BX30)+N(BX50)+N(BX69)-BX97+N(BX101),"")</f>
        <v>234.3</v>
      </c>
      <c r="BY126" s="20" t="n">
        <f aca="false">IF(ISNUMBER(BY13),N(BY13)+N(BY30)+N(BY50)+N(BY69)-BY97+N(BY101),"")</f>
        <v>247</v>
      </c>
      <c r="BZ126" s="20" t="n">
        <f aca="false">IF(ISNUMBER(BZ13),N(BZ13)+N(BZ30)+N(BZ50)+N(BZ69)-BZ97+N(BZ101),"")</f>
        <v>481.3</v>
      </c>
      <c r="CA126" s="20" t="n">
        <f aca="false">IF(ISNUMBER(CA13),N(CA13)+N(CA30)+N(CA50)+N(CA69)-CA97+N(CA101),"")</f>
        <v>270.7</v>
      </c>
      <c r="CB126" s="20" t="n">
        <f aca="false">IF(ISNUMBER(CB13),N(CB13)+N(CB30)+N(CB50)+N(CB69)-CB97+N(CB101),"")</f>
        <v>237.1</v>
      </c>
      <c r="CC126" s="35" t="n">
        <f aca="false">IF(ISNUMBER(CC13),N(CC13)+N(CC30)+N(CC50)+N(CC69)-CC97+N(CC101),"")</f>
        <v>989.1</v>
      </c>
      <c r="CD126" s="20" t="n">
        <f aca="false">IF(ISNUMBER(CD13),N(CD13)+N(CD30)+N(CD50)+N(CD69)-CD97+N(CD101),"")</f>
        <v>259.3</v>
      </c>
      <c r="CE126" s="20" t="n">
        <f aca="false">IF(ISNUMBER(CE13),N(CE13)+N(CE30)+N(CE50)+N(CE69)-CE97+N(CE101),"")</f>
        <v>278.2</v>
      </c>
      <c r="CF126" s="20" t="n">
        <f aca="false">IF(ISNUMBER(CF13),N(CF13)+N(CF30)+N(CF50)+N(CF69)-CF97+N(CF101),"")</f>
        <v>537.5</v>
      </c>
      <c r="CG126" s="20" t="n">
        <f aca="false">IF(ISNUMBER(CG13),N(CG13)+N(CG30)+N(CG50)+N(CG69)-CG97+N(CG101),"")</f>
        <v>282.8</v>
      </c>
      <c r="CH126" s="20" t="n">
        <f aca="false">IF(ISNUMBER(CH13),N(CH13)+N(CH30)+N(CH50)+N(CH69)-CH97+N(CH101),"")</f>
        <v>329.5</v>
      </c>
      <c r="CI126" s="35" t="n">
        <f aca="false">IF(ISNUMBER(CI13),N(CI13)+N(CI30)+N(CI50)+N(CI69)-CI97+N(CI101),"")</f>
        <v>1149.8</v>
      </c>
      <c r="CJ126" s="20" t="n">
        <f aca="false">IF(ISNUMBER(CJ13),N(CJ13)+N(CJ30)+N(CJ50)+N(CJ69)-CJ97+N(CJ101),"")</f>
        <v>294.2</v>
      </c>
      <c r="CK126" s="20" t="n">
        <f aca="false">IF(ISNUMBER(CK13),N(CK13)+N(CK30)+N(CK50)+N(CK69)-CK97+N(CK101),"")</f>
        <v>333.2</v>
      </c>
      <c r="CL126" s="20" t="n">
        <f aca="false">IF(ISNUMBER(CL13),N(CL13)+N(CL30)+N(CL50)+N(CL69)-CL97+N(CL101),"")</f>
        <v>627.4</v>
      </c>
      <c r="CM126" s="35" t="n">
        <f aca="false">N(CM13)+N(CM30)+N(CM50)+N(CM69)+N(CM118)-CM97+CM101</f>
        <v>318.745859872612</v>
      </c>
      <c r="CN126" s="35" t="n">
        <f aca="false">N(CN13)+N(CN30)+N(CN50)+N(CN69)+N(CN118)-CN97+CN101</f>
        <v>335.180573248407</v>
      </c>
      <c r="CO126" s="35" t="n">
        <f aca="false">SUM(CJ126,CK126,CM126,CN126)</f>
        <v>1281.32643312102</v>
      </c>
      <c r="CP126" s="35" t="n">
        <f aca="false">N(CP13)+N(CP30)+N(CP50)+N(CP69)+N(CP118)-CP97+CP101</f>
        <v>1449.71722734786</v>
      </c>
      <c r="CQ126" s="35" t="n">
        <f aca="false">N(CQ13)+N(CQ30)+N(CQ50)+N(CQ69)+N(CQ118)-CQ97+CQ101</f>
        <v>1605.56061275328</v>
      </c>
      <c r="CR126" s="35" t="n">
        <f aca="false">N(CR13)+N(CR30)+N(CR50)+N(CR69)+N(CR118)-CR97+CR101</f>
        <v>1808.32812624164</v>
      </c>
      <c r="CS126" s="35" t="n">
        <f aca="false">N(CS13)+N(CS30)+N(CS50)+N(CS69)+N(CS118)-CS97+CS101</f>
        <v>2007.00847685173</v>
      </c>
      <c r="CT126" s="23"/>
      <c r="CV126" s="24" t="n">
        <f aca="false">IFERROR((CS126/CI126)^(1/5)-1,"n/m")</f>
        <v>0.117854760121879</v>
      </c>
      <c r="CW126" s="24" t="n">
        <f aca="false">IFERROR((CI126/BE126)^(1/5)-1,"n/m")</f>
        <v>0.190852902906864</v>
      </c>
      <c r="CX126" s="24" t="n">
        <f aca="false">IFERROR((CI126/AA126)^(1/10)-1,"n/m")</f>
        <v>0.151021791042947</v>
      </c>
      <c r="CY126" s="24" t="str">
        <f aca="false">IFERROR((CI126/C126)^(1/19)-1,"n/m")</f>
        <v>n/m</v>
      </c>
    </row>
    <row r="127" customFormat="false" ht="15" hidden="false" customHeight="true" outlineLevel="0" collapsed="false">
      <c r="B127" s="26" t="s">
        <v>228</v>
      </c>
      <c r="C127" s="40" t="str">
        <f aca="false">IFERROR(C126/C122,"")</f>
        <v/>
      </c>
      <c r="D127" s="40" t="str">
        <f aca="false">IFERROR(D126/D122,"")</f>
        <v/>
      </c>
      <c r="E127" s="40" t="n">
        <f aca="false">IFERROR(E126/E122,"")</f>
        <v>0.115331010452962</v>
      </c>
      <c r="F127" s="40" t="n">
        <f aca="false">IFERROR(F126/F122,"")</f>
        <v>0.103746746564978</v>
      </c>
      <c r="G127" s="40" t="n">
        <f aca="false">IFERROR(G126/G122,"")</f>
        <v>0.108563435105218</v>
      </c>
      <c r="H127" s="40" t="n">
        <f aca="false">IFERROR(H126/H122,"")</f>
        <v>0.116998815592976</v>
      </c>
      <c r="I127" s="40" t="n">
        <f aca="false">IFERROR(I126/I122,"")</f>
        <v>0.114276312696846</v>
      </c>
      <c r="J127" s="40" t="n">
        <f aca="false">IFERROR(J126/J122,"")</f>
        <v>0.103442219880576</v>
      </c>
      <c r="K127" s="40" t="n">
        <f aca="false">IFERROR(K126/K122,"")</f>
        <v>0.107986688851913</v>
      </c>
      <c r="L127" s="40" t="n">
        <f aca="false">IFERROR(L126/L122,"")</f>
        <v>0.105775803144224</v>
      </c>
      <c r="M127" s="40" t="n">
        <f aca="false">IFERROR(M126/M122,"")</f>
        <v>0.0927221833449965</v>
      </c>
      <c r="N127" s="40" t="n">
        <f aca="false">IFERROR(N126/N122,"")</f>
        <v>0.106436473348978</v>
      </c>
      <c r="O127" s="40" t="n">
        <f aca="false">IFERROR(O126/O122,"")</f>
        <v>0.102753784315402</v>
      </c>
      <c r="P127" s="40" t="n">
        <f aca="false">IFERROR(P126/P122,"")</f>
        <v>0.115082824760244</v>
      </c>
      <c r="Q127" s="40" t="n">
        <f aca="false">IFERROR(Q126/Q122,"")</f>
        <v>0.124434768045553</v>
      </c>
      <c r="R127" s="40" t="n">
        <f aca="false">IFERROR(R126/R122,"")</f>
        <v>0.119853066803349</v>
      </c>
      <c r="S127" s="40" t="n">
        <f aca="false">IFERROR(S126/S122,"")</f>
        <v>0.123606721011479</v>
      </c>
      <c r="T127" s="40" t="n">
        <f aca="false">IFERROR(T126/T122,"")</f>
        <v>0.128394664952595</v>
      </c>
      <c r="U127" s="40" t="n">
        <f aca="false">IFERROR(U126/U122,"")</f>
        <v>0.123015873015873</v>
      </c>
      <c r="V127" s="40" t="n">
        <f aca="false">IFERROR(V126/V122,"")</f>
        <v>0.119115044247788</v>
      </c>
      <c r="W127" s="40" t="n">
        <f aca="false">IFERROR(W126/W122,"")</f>
        <v>0.119266055045872</v>
      </c>
      <c r="X127" s="40" t="n">
        <f aca="false">IFERROR(X126/X122,"")</f>
        <v>0.119191388815962</v>
      </c>
      <c r="Y127" s="40" t="n">
        <f aca="false">IFERROR(Y126/Y122,"")</f>
        <v>0.125135037810587</v>
      </c>
      <c r="Z127" s="40" t="n">
        <f aca="false">IFERROR(Z126/Z122,"")</f>
        <v>0.126666666666667</v>
      </c>
      <c r="AA127" s="40" t="n">
        <f aca="false">IFERROR(AA126/AA122,"")</f>
        <v>0.122579522214003</v>
      </c>
      <c r="AB127" s="40" t="n">
        <f aca="false">IFERROR(AB126/AB122,"")</f>
        <v>0.114797360980207</v>
      </c>
      <c r="AC127" s="40" t="n">
        <f aca="false">IFERROR(AC126/AC122,"")</f>
        <v>0.0993144339447841</v>
      </c>
      <c r="AD127" s="40" t="n">
        <f aca="false">IFERROR(AD126/AD122,"")</f>
        <v>0.106989347785461</v>
      </c>
      <c r="AE127" s="40" t="n">
        <f aca="false">IFERROR(AE126/AE122,"")</f>
        <v>0.130599848139711</v>
      </c>
      <c r="AF127" s="40" t="n">
        <f aca="false">IFERROR(AF126/AF122,"")</f>
        <v>0.127509495387954</v>
      </c>
      <c r="AG127" s="40" t="n">
        <f aca="false">IFERROR(AG126/AG122,"")</f>
        <v>0.118052002418717</v>
      </c>
      <c r="AH127" s="40" t="n">
        <f aca="false">IFERROR(AH126/AH122,"")</f>
        <v>0.0968026850379792</v>
      </c>
      <c r="AI127" s="40" t="n">
        <f aca="false">IFERROR(AI126/AI122,"")</f>
        <v>0.123379526151095</v>
      </c>
      <c r="AJ127" s="40" t="n">
        <f aca="false">IFERROR(AJ126/AJ122,"")</f>
        <v>0.111218881344973</v>
      </c>
      <c r="AK127" s="40" t="n">
        <f aca="false">IFERROR(AK126/AK122,"")</f>
        <v>0.135155542132286</v>
      </c>
      <c r="AL127" s="40" t="n">
        <f aca="false">IFERROR(AL126/AL122,"")</f>
        <v>0.134298693923907</v>
      </c>
      <c r="AM127" s="40" t="n">
        <f aca="false">IFERROR(AM126/AM122,"")</f>
        <v>0.123550195867578</v>
      </c>
      <c r="AN127" s="40" t="n">
        <f aca="false">IFERROR(AN126/AN122,"")</f>
        <v>0.12708453133985</v>
      </c>
      <c r="AO127" s="40" t="n">
        <f aca="false">IFERROR(AO126/AO122,"")</f>
        <v>0.15221843003413</v>
      </c>
      <c r="AP127" s="40" t="n">
        <f aca="false">IFERROR(AP126/AP122,"")</f>
        <v>0.139976192143407</v>
      </c>
      <c r="AQ127" s="40" t="n">
        <f aca="false">IFERROR(AQ126/AQ122,"")</f>
        <v>0.14545705225424</v>
      </c>
      <c r="AR127" s="40" t="n">
        <f aca="false">IFERROR(AR126/AR122,"")</f>
        <v>0.148583645109567</v>
      </c>
      <c r="AS127" s="40" t="n">
        <f aca="false">IFERROR(AS126/AS122,"")</f>
        <v>0.143566062444</v>
      </c>
      <c r="AT127" s="40" t="n">
        <f aca="false">IFERROR(AT126/AT122,"")</f>
        <v>0.130568974771873</v>
      </c>
      <c r="AU127" s="40" t="n">
        <f aca="false">IFERROR(AU126/AU122,"")</f>
        <v>0.168670076726343</v>
      </c>
      <c r="AV127" s="40" t="n">
        <f aca="false">IFERROR(AV126/AV122,"")</f>
        <v>0.150078575170246</v>
      </c>
      <c r="AW127" s="40" t="n">
        <f aca="false">IFERROR(AW126/AW122,"")</f>
        <v>0.160433807030666</v>
      </c>
      <c r="AX127" s="40" t="n">
        <f aca="false">IFERROR(AX126/AX122,"")</f>
        <v>0.160393191081275</v>
      </c>
      <c r="AY127" s="40" t="n">
        <f aca="false">IFERROR(AY126/AY122,"")</f>
        <v>0.155424200278164</v>
      </c>
      <c r="AZ127" s="40" t="n">
        <f aca="false">IFERROR(AZ126/AZ122,"")</f>
        <v>0.132551618659189</v>
      </c>
      <c r="BA127" s="40" t="n">
        <f aca="false">IFERROR(BA126/BA122,"")</f>
        <v>0.147719628682901</v>
      </c>
      <c r="BB127" s="40" t="n">
        <f aca="false">IFERROR(BB126/BB122,"")</f>
        <v>0.13993062373192</v>
      </c>
      <c r="BC127" s="40" t="n">
        <f aca="false">IFERROR(BC126/BC122,"")</f>
        <v>0.163551401869159</v>
      </c>
      <c r="BD127" s="40" t="n">
        <f aca="false">IFERROR(BD126/BD122,"")</f>
        <v>0.177684418633387</v>
      </c>
      <c r="BE127" s="40" t="n">
        <f aca="false">IFERROR(BE126/BE122,"")</f>
        <v>0.1555634761195</v>
      </c>
      <c r="BF127" s="40" t="n">
        <f aca="false">IFERROR(BF126/BF122,"")</f>
        <v>0.167804393694924</v>
      </c>
      <c r="BG127" s="40" t="n">
        <f aca="false">IFERROR(BG126/BG122,"")</f>
        <v>0.0931311329170384</v>
      </c>
      <c r="BH127" s="40" t="n">
        <f aca="false">IFERROR(BH126/BH122,"")</f>
        <v>0.12435771007422</v>
      </c>
      <c r="BI127" s="40" t="n">
        <f aca="false">IFERROR(BI126/BI122,"")</f>
        <v>0.144523210610565</v>
      </c>
      <c r="BJ127" s="40" t="n">
        <f aca="false">IFERROR(BJ126/BJ122,"")</f>
        <v>0.141818710474667</v>
      </c>
      <c r="BK127" s="40" t="n">
        <f aca="false">IFERROR(BK126/BK122,"")</f>
        <v>0.135296794746765</v>
      </c>
      <c r="BL127" s="40" t="n">
        <f aca="false">IFERROR(BL126/BL122,"")</f>
        <v>0.169190007570023</v>
      </c>
      <c r="BM127" s="40" t="n">
        <f aca="false">IFERROR(BM126/BM122,"")</f>
        <v>0.169272754093524</v>
      </c>
      <c r="BN127" s="40" t="n">
        <f aca="false">IFERROR(BN126/BN122,"")</f>
        <v>0.169231918708906</v>
      </c>
      <c r="BO127" s="40" t="n">
        <f aca="false">IFERROR(BO126/BO122,"")</f>
        <v>0.179818128483426</v>
      </c>
      <c r="BP127" s="40" t="n">
        <f aca="false">IFERROR(BP126/BP122,"")</f>
        <v>0.193061627415033</v>
      </c>
      <c r="BQ127" s="40" t="n">
        <f aca="false">IFERROR(BQ126/BQ122,"")</f>
        <v>0.178067636390283</v>
      </c>
      <c r="BR127" s="40" t="n">
        <f aca="false">IFERROR(BR126/BR122,"")</f>
        <v>0.175305429046483</v>
      </c>
      <c r="BS127" s="40" t="n">
        <f aca="false">IFERROR(BS126/BS122,"")</f>
        <v>0.179757141854425</v>
      </c>
      <c r="BT127" s="40" t="n">
        <f aca="false">IFERROR(BT126/BT122,"")</f>
        <v>0.177564102564103</v>
      </c>
      <c r="BU127" s="40" t="n">
        <f aca="false">IFERROR(BU126/BU122,"")</f>
        <v>0.188449197860963</v>
      </c>
      <c r="BV127" s="40" t="n">
        <f aca="false">IFERROR(BV126/BV122,"")</f>
        <v>0.190526315789474</v>
      </c>
      <c r="BW127" s="40" t="n">
        <f aca="false">IFERROR(BW126/BW122,"")</f>
        <v>0.183550705350013</v>
      </c>
      <c r="BX127" s="40" t="n">
        <f aca="false">IFERROR(BX126/BX122,"")</f>
        <v>0.173542700540701</v>
      </c>
      <c r="BY127" s="40" t="n">
        <f aca="false">IFERROR(BY126/BY122,"")</f>
        <v>0.179754020813623</v>
      </c>
      <c r="BZ127" s="40" t="n">
        <f aca="false">IFERROR(BZ126/BZ122,"")</f>
        <v>0.176675721312679</v>
      </c>
      <c r="CA127" s="40" t="n">
        <f aca="false">IFERROR(CA126/CA122,"")</f>
        <v>0.18753030827849</v>
      </c>
      <c r="CB127" s="40" t="n">
        <f aca="false">IFERROR(CB126/CB122,"")</f>
        <v>0.15782466884111</v>
      </c>
      <c r="CC127" s="40" t="n">
        <f aca="false">IFERROR(CC126/CC122,"")</f>
        <v>0.174444444444444</v>
      </c>
      <c r="CD127" s="40" t="n">
        <f aca="false">IFERROR(CD126/CD122,"")</f>
        <v>0.178839919994482</v>
      </c>
      <c r="CE127" s="40" t="n">
        <f aca="false">IFERROR(CE126/CE122,"")</f>
        <v>0.183788068970073</v>
      </c>
      <c r="CF127" s="40" t="n">
        <f aca="false">IFERROR(CF126/CF122,"")</f>
        <v>0.181367256039951</v>
      </c>
      <c r="CG127" s="40" t="n">
        <f aca="false">IFERROR(CG126/CG122,"")</f>
        <v>0.183696005196492</v>
      </c>
      <c r="CH127" s="40" t="n">
        <f aca="false">IFERROR(CH126/CH122,"")</f>
        <v>0.204366433045959</v>
      </c>
      <c r="CI127" s="40" t="n">
        <f aca="false">IFERROR(CI126/CI122,"")</f>
        <v>0.188017137063806</v>
      </c>
      <c r="CJ127" s="40" t="n">
        <f aca="false">IFERROR(CJ126/CJ122,"")</f>
        <v>0.188577655278508</v>
      </c>
      <c r="CK127" s="40" t="n">
        <f aca="false">IFERROR(CK126/CK122,"")</f>
        <v>0.200421052631579</v>
      </c>
      <c r="CL127" s="40" t="n">
        <f aca="false">IFERROR(CL126/CL122,"")</f>
        <v>0.194687519394278</v>
      </c>
      <c r="CM127" s="28" t="n">
        <f aca="false">IFERROR(CM126/CM122,"")</f>
        <v>0.188476084179155</v>
      </c>
      <c r="CN127" s="28" t="n">
        <f aca="false">IFERROR(CN126/CN122,"")</f>
        <v>0.189120350680875</v>
      </c>
      <c r="CO127" s="28" t="n">
        <f aca="false">IFERROR(CO126/CO122,"")</f>
        <v>0.191640687234265</v>
      </c>
      <c r="CP127" s="28" t="n">
        <f aca="false">IFERROR(CP126/CP122,"")</f>
        <v>0.201910625659741</v>
      </c>
      <c r="CQ127" s="28" t="n">
        <f aca="false">IFERROR(CQ126/CQ122,"")</f>
        <v>0.204622675300834</v>
      </c>
      <c r="CR127" s="28" t="n">
        <f aca="false">IFERROR(CR126/CR122,"")</f>
        <v>0.21122540353326</v>
      </c>
      <c r="CS127" s="28" t="n">
        <f aca="false">IFERROR(CS126/CS122,"")</f>
        <v>0.215635748396113</v>
      </c>
      <c r="CT127" s="23"/>
      <c r="CV127" s="41" t="n">
        <f aca="false">IFERROR(AVERAGE(CO127,CP127,CQ127,CR127,CS127),"n/m")</f>
        <v>0.205007028024843</v>
      </c>
      <c r="CW127" s="41" t="n">
        <f aca="false">IFERROR(AVERAGE(BK127,BQ127,BW127,CC127,CI127),"n/m")</f>
        <v>0.171875343599063</v>
      </c>
      <c r="CX127" s="41" t="n">
        <f aca="false">IFERROR(AVERAGE(AG127,AM127,AS127,AY127,BE127,BK127,BQ127,BW127,CC127,CI127),"n/m")</f>
        <v>0.155553265512327</v>
      </c>
      <c r="CY127" s="41" t="n">
        <f aca="false">IFERROR(AVERAGE(C127,D127,E127,F127,G127,H127,I127,O127,U127,AA127,AG127,AM127,AS127,AY127,BE127,BK127,BQ127,BW127,CC127,CI127),"n/m")</f>
        <v>0.136822119726752</v>
      </c>
    </row>
    <row r="128" customFormat="false" ht="15" hidden="false" customHeight="true" outlineLevel="0" collapsed="false">
      <c r="B128" s="26" t="s">
        <v>105</v>
      </c>
      <c r="C128" s="27"/>
      <c r="D128" s="27" t="str">
        <f aca="false">IFERROR(D122/C122-1,"")</f>
        <v/>
      </c>
      <c r="E128" s="27" t="str">
        <f aca="false">IFERROR(E122/D122-1,"")</f>
        <v/>
      </c>
      <c r="F128" s="27" t="n">
        <f aca="false">IFERROR(F122/E122-1,"")</f>
        <v>-0.0405923344947734</v>
      </c>
      <c r="G128" s="27" t="n">
        <f aca="false">IFERROR(G122/F122-1,"")</f>
        <v>-0.00478179286968106</v>
      </c>
      <c r="H128" s="27" t="n">
        <f aca="false">IFERROR(H122/G122-1,"")</f>
        <v>0.181060698211896</v>
      </c>
      <c r="I128" s="27" t="n">
        <f aca="false">IFERROR(I122/H122-1,"")</f>
        <v>0.0954735053298315</v>
      </c>
      <c r="J128" s="27"/>
      <c r="K128" s="27"/>
      <c r="L128" s="27"/>
      <c r="M128" s="27"/>
      <c r="N128" s="27"/>
      <c r="O128" s="27" t="n">
        <f aca="false">IFERROR(O122/I122-1,"")</f>
        <v>0.099327786395901</v>
      </c>
      <c r="P128" s="27" t="n">
        <f aca="false">IFERROR(P122/J122-1,"")</f>
        <v>0.00720056199508212</v>
      </c>
      <c r="Q128" s="27" t="n">
        <f aca="false">IFERROR(Q122/K122-1,"")</f>
        <v>-0.00648918469217963</v>
      </c>
      <c r="R128" s="27" t="n">
        <f aca="false">IFERROR(R122/L122-1,"")</f>
        <v>0.000170881749829155</v>
      </c>
      <c r="S128" s="27" t="n">
        <f aca="false">IFERROR(S122/M122-1,"")</f>
        <v>0.0516095171448563</v>
      </c>
      <c r="T128" s="27" t="n">
        <f aca="false">IFERROR(T122/N122-1,"")</f>
        <v>0.0430774388199799</v>
      </c>
      <c r="U128" s="27" t="n">
        <f aca="false">IFERROR(U122/O122-1,"")</f>
        <v>0.0236893868126229</v>
      </c>
      <c r="V128" s="27" t="n">
        <f aca="false">IFERROR(V122/P122-1,"")</f>
        <v>-0.0148212728857888</v>
      </c>
      <c r="W128" s="27" t="n">
        <f aca="false">IFERROR(W122/Q122-1,"")</f>
        <v>-0.0324903701222575</v>
      </c>
      <c r="X128" s="27" t="n">
        <f aca="false">IFERROR(X122/R122-1,"")</f>
        <v>-0.0238339313172731</v>
      </c>
      <c r="Y128" s="27" t="n">
        <f aca="false">IFERROR(Y122/S122-1,"")</f>
        <v>-0.0760272833139244</v>
      </c>
      <c r="Z128" s="27" t="n">
        <f aca="false">IFERROR(Z122/T122-1,"")</f>
        <v>-0.0358348063634903</v>
      </c>
      <c r="AA128" s="27" t="n">
        <f aca="false">IFERROR(AA122/U122-1,"")</f>
        <v>-0.0400584795321638</v>
      </c>
      <c r="AB128" s="27" t="n">
        <f aca="false">IFERROR(AB122/V122-1,"")</f>
        <v>-0.0610619469026549</v>
      </c>
      <c r="AC128" s="27" t="n">
        <f aca="false">IFERROR(AC122/W122-1,"")</f>
        <v>-0.0657780855115112</v>
      </c>
      <c r="AD128" s="27" t="n">
        <f aca="false">IFERROR(AD122/X122-1,"")</f>
        <v>-0.0634462238557804</v>
      </c>
      <c r="AE128" s="27" t="n">
        <f aca="false">IFERROR(AE122/Y122-1,"")</f>
        <v>-0.0514944184371624</v>
      </c>
      <c r="AF128" s="27" t="n">
        <f aca="false">IFERROR(AF122/Z122-1,"")</f>
        <v>-0.0785</v>
      </c>
      <c r="AG128" s="27" t="n">
        <f aca="false">IFERROR(AG122/AA122-1,"")</f>
        <v>-0.0644880553500717</v>
      </c>
      <c r="AH128" s="27" t="n">
        <f aca="false">IFERROR(AH122/AB122-1,"")</f>
        <v>0.0671065032987748</v>
      </c>
      <c r="AI128" s="27" t="n">
        <f aca="false">IFERROR(AI122/AC122-1,"")</f>
        <v>0.243468593663146</v>
      </c>
      <c r="AJ128" s="27" t="n">
        <f aca="false">IFERROR(AJ122/AD122-1,"")</f>
        <v>0.156045598953467</v>
      </c>
      <c r="AK128" s="27" t="n">
        <f aca="false">IFERROR(AK122/AE122-1,"")</f>
        <v>0.257023538344723</v>
      </c>
      <c r="AL128" s="27" t="n">
        <f aca="false">IFERROR(AL122/AF122-1,"")</f>
        <v>0.274009766684753</v>
      </c>
      <c r="AM128" s="27" t="n">
        <f aca="false">IFERROR(AM122/AG122-1,"")</f>
        <v>0.21112609888832</v>
      </c>
      <c r="AN128" s="27" t="n">
        <f aca="false">IFERROR(AN122/AH122-1,"")</f>
        <v>0.228758169934641</v>
      </c>
      <c r="AO128" s="27" t="n">
        <f aca="false">IFERROR(AO122/AI122-1,"")</f>
        <v>0.0914915809864401</v>
      </c>
      <c r="AP128" s="27" t="n">
        <f aca="false">IFERROR(AP122/AJ122-1,"")</f>
        <v>0.15430003233107</v>
      </c>
      <c r="AQ128" s="27" t="n">
        <f aca="false">IFERROR(AQ122/AK122-1,"")</f>
        <v>0.0952884324977348</v>
      </c>
      <c r="AR128" s="27" t="n">
        <f aca="false">IFERROR(AR122/AL122-1,"")</f>
        <v>0.0624645088018174</v>
      </c>
      <c r="AS128" s="27" t="n">
        <f aca="false">IFERROR(AS122/AM122-1,"")</f>
        <v>0.114448114294492</v>
      </c>
      <c r="AT128" s="27" t="n">
        <f aca="false">IFERROR(AT122/AN122-1,"")</f>
        <v>0.0713053479010926</v>
      </c>
      <c r="AU128" s="27" t="n">
        <f aca="false">IFERROR(AU122/AO122-1,"")</f>
        <v>0.0675767918088737</v>
      </c>
      <c r="AV128" s="27" t="n">
        <f aca="false">IFERROR(AV122/AP122-1,"")</f>
        <v>0.0693928996568867</v>
      </c>
      <c r="AW128" s="27" t="n">
        <f aca="false">IFERROR(AW122/AQ122-1,"")</f>
        <v>0.106025093064939</v>
      </c>
      <c r="AX128" s="27" t="n">
        <f aca="false">IFERROR(AX122/AR122-1,"")</f>
        <v>0.114644575093533</v>
      </c>
      <c r="AY128" s="27" t="n">
        <f aca="false">IFERROR(AY122/AS122-1,"")</f>
        <v>0.0902198635329796</v>
      </c>
      <c r="AZ128" s="27" t="n">
        <f aca="false">IFERROR(AZ122/AT122-1,"")</f>
        <v>0.0528717122920019</v>
      </c>
      <c r="BA128" s="27" t="n">
        <f aca="false">IFERROR(BA122/AU122-1,"")</f>
        <v>-0.0494884910485932</v>
      </c>
      <c r="BB128" s="27" t="n">
        <f aca="false">IFERROR(BB122/AV122-1,"")</f>
        <v>0.000458355159769441</v>
      </c>
      <c r="BC128" s="27" t="n">
        <f aca="false">IFERROR(BC122/AW122-1,"")</f>
        <v>-0.0663176265270506</v>
      </c>
      <c r="BD128" s="27" t="n">
        <f aca="false">IFERROR(BD122/AX122-1,"")</f>
        <v>-0.0298489570846321</v>
      </c>
      <c r="BE128" s="27" t="n">
        <f aca="false">IFERROR(BE122/AY122-1,"")</f>
        <v>-0.0244657984574534</v>
      </c>
      <c r="BF128" s="27" t="n">
        <f aca="false">IFERROR(BF122/AZ122-1,"")</f>
        <v>0.0268926841702781</v>
      </c>
      <c r="BG128" s="27" t="n">
        <f aca="false">IFERROR(BG122/BA122-1,"")</f>
        <v>0.508139378447464</v>
      </c>
      <c r="BH128" s="27" t="n">
        <f aca="false">IFERROR(BH122/BB122-1,"")</f>
        <v>0.261011846325021</v>
      </c>
      <c r="BI128" s="27" t="n">
        <f aca="false">IFERROR(BI122/BC122-1,"")</f>
        <v>0.751535380507343</v>
      </c>
      <c r="BJ128" s="27" t="n">
        <f aca="false">IFERROR(BJ122/BD122-1,"")</f>
        <v>0.699864080069196</v>
      </c>
      <c r="BK128" s="27" t="n">
        <f aca="false">IFERROR(BK122/BE122-1,"")</f>
        <v>0.495139653943361</v>
      </c>
      <c r="BL128" s="27" t="n">
        <f aca="false">IFERROR(BL122/BF122-1,"")</f>
        <v>0.639568077448182</v>
      </c>
      <c r="BM128" s="27" t="n">
        <f aca="false">IFERROR(BM122/BG122-1,"")</f>
        <v>0.209455842997324</v>
      </c>
      <c r="BN128" s="27" t="n">
        <f aca="false">IFERROR(BN122/BH122-1,"")</f>
        <v>0.38931852390097</v>
      </c>
      <c r="BO128" s="27" t="n">
        <f aca="false">IFERROR(BO122/BI122-1,"")</f>
        <v>0.0394084915008766</v>
      </c>
      <c r="BP128" s="27" t="n">
        <f aca="false">IFERROR(BP122/BJ122-1,"")</f>
        <v>0.0308933633786437</v>
      </c>
      <c r="BQ128" s="27" t="n">
        <f aca="false">IFERROR(BQ122/BK122-1,"")</f>
        <v>0.182974665713109</v>
      </c>
      <c r="BR128" s="27" t="n">
        <f aca="false">IFERROR(BR122/BL122-1,"")</f>
        <v>0.0471612414837241</v>
      </c>
      <c r="BS128" s="27" t="n">
        <f aca="false">IFERROR(BS122/BM122-1,"")</f>
        <v>0.0508187048237203</v>
      </c>
      <c r="BT128" s="27" t="n">
        <f aca="false">IFERROR(BT122/BN122-1,"")</f>
        <v>0.0490137477585175</v>
      </c>
      <c r="BU128" s="27" t="n">
        <f aca="false">IFERROR(BU122/BO122-1,"")</f>
        <v>0.028527427398064</v>
      </c>
      <c r="BV128" s="27" t="n">
        <f aca="false">IFERROR(BV122/BP122-1,"")</f>
        <v>0.00479481032294449</v>
      </c>
      <c r="BW128" s="27" t="n">
        <f aca="false">IFERROR(BW122/BQ122-1,"")</f>
        <v>0.0324075770344046</v>
      </c>
      <c r="BX128" s="27" t="n">
        <f aca="false">IFERROR(BX122/BR122-1,"")</f>
        <v>-0.0240005783271886</v>
      </c>
      <c r="BY128" s="27" t="n">
        <f aca="false">IFERROR(BY122/BS122-1,"")</f>
        <v>-0.0355162490348844</v>
      </c>
      <c r="BZ128" s="27" t="n">
        <f aca="false">IFERROR(BZ122/BT122-1,"")</f>
        <v>-0.0298433048433048</v>
      </c>
      <c r="CA128" s="27" t="n">
        <f aca="false">IFERROR(CA122/BU122-1,"")</f>
        <v>0.0292335115864528</v>
      </c>
      <c r="CB128" s="27" t="n">
        <f aca="false">IFERROR(CB122/BV122-1,"")</f>
        <v>0.0542456140350878</v>
      </c>
      <c r="CC128" s="27" t="n">
        <f aca="false">IFERROR(CC122/BW122-1,"")</f>
        <v>0.00612190577588501</v>
      </c>
      <c r="CD128" s="27" t="n">
        <f aca="false">IFERROR(CD122/BX122-1,"")</f>
        <v>0.0739204503370121</v>
      </c>
      <c r="CE128" s="27" t="n">
        <f aca="false">IFERROR(CE122/BY122-1,"")</f>
        <v>0.101593770467942</v>
      </c>
      <c r="CF128" s="27" t="n">
        <f aca="false">IFERROR(CF122/BZ122-1,"")</f>
        <v>0.0878790103516631</v>
      </c>
      <c r="CG128" s="27" t="n">
        <f aca="false">IFERROR(CG122/CA122-1,"")</f>
        <v>0.0665050225147212</v>
      </c>
      <c r="CH128" s="27" t="n">
        <f aca="false">IFERROR(CH122/CB122-1,"")</f>
        <v>0.073221061039739</v>
      </c>
      <c r="CI128" s="27" t="n">
        <f aca="false">IFERROR(CI122/CC122-1,"")</f>
        <v>0.0785537918871251</v>
      </c>
      <c r="CJ128" s="27" t="n">
        <f aca="false">IFERROR(CJ122/CD122-1,"")</f>
        <v>0.0760052417408097</v>
      </c>
      <c r="CK128" s="27" t="n">
        <f aca="false">IFERROR(CK122/CE122-1,"")</f>
        <v>0.0983021734821961</v>
      </c>
      <c r="CL128" s="27" t="n">
        <f aca="false">IFERROR(CL122/CF122-1,"")</f>
        <v>0.0873937103522742</v>
      </c>
      <c r="CM128" s="28" t="n">
        <f aca="false">IFERROR(CM122/CG122-1,"")</f>
        <v>0.0985216209674376</v>
      </c>
      <c r="CN128" s="28" t="n">
        <f aca="false">IFERROR(CN122/CH122-1,"")</f>
        <v>0.0992455619697679</v>
      </c>
      <c r="CO128" s="28" t="n">
        <f aca="false">IFERROR(CO122/CI122-1,"")</f>
        <v>0.0933197591397501</v>
      </c>
      <c r="CP128" s="28" t="n">
        <f aca="false">IFERROR(CP122/CO122-1,"")</f>
        <v>0.073870863856029</v>
      </c>
      <c r="CQ128" s="28" t="n">
        <f aca="false">IFERROR(CQ122/CP122-1,"")</f>
        <v>0.092820471414079</v>
      </c>
      <c r="CR128" s="28" t="n">
        <f aca="false">IFERROR(CR122/CQ122-1,"")</f>
        <v>0.0910838855733869</v>
      </c>
      <c r="CS128" s="28" t="n">
        <f aca="false">IFERROR(CS122/CR122-1,"")</f>
        <v>0.0871697443401669</v>
      </c>
      <c r="CT128" s="23"/>
      <c r="CV128" s="7"/>
      <c r="CW128" s="7"/>
      <c r="CX128" s="7"/>
      <c r="CY128" s="7"/>
    </row>
    <row r="129" customFormat="false" ht="15" hidden="false" customHeight="true" outlineLevel="0" collapsed="false">
      <c r="B129" s="26" t="s">
        <v>229</v>
      </c>
      <c r="C129" s="27"/>
      <c r="D129" s="27" t="str">
        <f aca="false">IFERROR(D123/C123-1,"")</f>
        <v/>
      </c>
      <c r="E129" s="27" t="str">
        <f aca="false">IFERROR(E123/D123-1,"")</f>
        <v/>
      </c>
      <c r="F129" s="27" t="str">
        <f aca="false">IFERROR(F123/E123-1,"")</f>
        <v/>
      </c>
      <c r="G129" s="27" t="str">
        <f aca="false">IFERROR(G123/F123-1,"")</f>
        <v/>
      </c>
      <c r="H129" s="27" t="str">
        <f aca="false">IFERROR(H123/G123-1,"")</f>
        <v/>
      </c>
      <c r="I129" s="27" t="str">
        <f aca="false">IFERROR(I123/H123-1,"")</f>
        <v/>
      </c>
      <c r="J129" s="27"/>
      <c r="K129" s="27"/>
      <c r="L129" s="27"/>
      <c r="M129" s="27"/>
      <c r="N129" s="27"/>
      <c r="O129" s="27" t="str">
        <f aca="false">IFERROR(O123/I123-1,"")</f>
        <v/>
      </c>
      <c r="P129" s="27" t="str">
        <f aca="false">IFERROR(P123/J123-1,"")</f>
        <v/>
      </c>
      <c r="Q129" s="27" t="str">
        <f aca="false">IFERROR(Q123/K123-1,"")</f>
        <v/>
      </c>
      <c r="R129" s="27" t="str">
        <f aca="false">IFERROR(R123/L123-1,"")</f>
        <v/>
      </c>
      <c r="S129" s="27" t="str">
        <f aca="false">IFERROR(S123/M123-1,"")</f>
        <v/>
      </c>
      <c r="T129" s="27" t="str">
        <f aca="false">IFERROR(T123/N123-1,"")</f>
        <v/>
      </c>
      <c r="U129" s="27" t="str">
        <f aca="false">IFERROR(U123/O123-1,"")</f>
        <v/>
      </c>
      <c r="V129" s="27" t="str">
        <f aca="false">IFERROR(V123/P123-1,"")</f>
        <v/>
      </c>
      <c r="W129" s="27" t="str">
        <f aca="false">IFERROR(W123/Q123-1,"")</f>
        <v/>
      </c>
      <c r="X129" s="27" t="str">
        <f aca="false">IFERROR(X123/R123-1,"")</f>
        <v/>
      </c>
      <c r="Y129" s="27" t="str">
        <f aca="false">IFERROR(Y123/S123-1,"")</f>
        <v/>
      </c>
      <c r="Z129" s="27" t="str">
        <f aca="false">IFERROR(Z123/T123-1,"")</f>
        <v/>
      </c>
      <c r="AA129" s="27" t="str">
        <f aca="false">IFERROR(AA123/U123-1,"")</f>
        <v/>
      </c>
      <c r="AB129" s="27" t="str">
        <f aca="false">IFERROR(AB123/V123-1,"")</f>
        <v/>
      </c>
      <c r="AC129" s="27" t="str">
        <f aca="false">IFERROR(AC123/W123-1,"")</f>
        <v/>
      </c>
      <c r="AD129" s="27" t="str">
        <f aca="false">IFERROR(AD123/X123-1,"")</f>
        <v/>
      </c>
      <c r="AE129" s="27" t="str">
        <f aca="false">IFERROR(AE123/Y123-1,"")</f>
        <v/>
      </c>
      <c r="AF129" s="27" t="str">
        <f aca="false">IFERROR(AF123/Z123-1,"")</f>
        <v/>
      </c>
      <c r="AG129" s="27" t="str">
        <f aca="false">IFERROR(AG123/AA123-1,"")</f>
        <v/>
      </c>
      <c r="AH129" s="27" t="str">
        <f aca="false">IFERROR(AH123/AB123-1,"")</f>
        <v/>
      </c>
      <c r="AI129" s="27" t="str">
        <f aca="false">IFERROR(AI123/AC123-1,"")</f>
        <v/>
      </c>
      <c r="AJ129" s="27" t="str">
        <f aca="false">IFERROR(AJ123/AD123-1,"")</f>
        <v/>
      </c>
      <c r="AK129" s="27" t="str">
        <f aca="false">IFERROR(AK123/AE123-1,"")</f>
        <v/>
      </c>
      <c r="AL129" s="27" t="str">
        <f aca="false">IFERROR(AL123/AF123-1,"")</f>
        <v/>
      </c>
      <c r="AM129" s="27" t="str">
        <f aca="false">IFERROR(AM123/AG123-1,"")</f>
        <v/>
      </c>
      <c r="AN129" s="27" t="str">
        <f aca="false">IFERROR(AN123/AH123-1,"")</f>
        <v/>
      </c>
      <c r="AO129" s="27" t="str">
        <f aca="false">IFERROR(AO123/AI123-1,"")</f>
        <v/>
      </c>
      <c r="AP129" s="27" t="str">
        <f aca="false">IFERROR(AP123/AJ123-1,"")</f>
        <v/>
      </c>
      <c r="AQ129" s="27" t="str">
        <f aca="false">IFERROR(AQ123/AK123-1,"")</f>
        <v/>
      </c>
      <c r="AR129" s="27" t="str">
        <f aca="false">IFERROR(AR123/AL123-1,"")</f>
        <v/>
      </c>
      <c r="AS129" s="27" t="str">
        <f aca="false">IFERROR(AS123/AM123-1,"")</f>
        <v/>
      </c>
      <c r="AT129" s="27" t="str">
        <f aca="false">IFERROR(AT123/AN123-1,"")</f>
        <v/>
      </c>
      <c r="AU129" s="27" t="str">
        <f aca="false">IFERROR(AU123/AO123-1,"")</f>
        <v/>
      </c>
      <c r="AV129" s="27" t="str">
        <f aca="false">IFERROR(AV123/AP123-1,"")</f>
        <v/>
      </c>
      <c r="AW129" s="27" t="str">
        <f aca="false">IFERROR(AW123/AQ123-1,"")</f>
        <v/>
      </c>
      <c r="AX129" s="27" t="str">
        <f aca="false">IFERROR(AX123/AR123-1,"")</f>
        <v/>
      </c>
      <c r="AY129" s="27" t="str">
        <f aca="false">IFERROR(AY123/AS123-1,"")</f>
        <v/>
      </c>
      <c r="AZ129" s="27" t="str">
        <f aca="false">IFERROR(AZ123/AT123-1,"")</f>
        <v/>
      </c>
      <c r="BA129" s="27" t="str">
        <f aca="false">IFERROR(BA123/AU123-1,"")</f>
        <v/>
      </c>
      <c r="BB129" s="27" t="str">
        <f aca="false">IFERROR(BB123/AV123-1,"")</f>
        <v/>
      </c>
      <c r="BC129" s="27" t="str">
        <f aca="false">IFERROR(BC123/AW123-1,"")</f>
        <v/>
      </c>
      <c r="BD129" s="27" t="str">
        <f aca="false">IFERROR(BD123/AX123-1,"")</f>
        <v/>
      </c>
      <c r="BE129" s="27" t="str">
        <f aca="false">IFERROR(BE123/AY123-1,"")</f>
        <v/>
      </c>
      <c r="BF129" s="27" t="n">
        <f aca="false">IFERROR(BF123/AZ123-1,"")</f>
        <v>0.328345070422535</v>
      </c>
      <c r="BG129" s="27" t="n">
        <f aca="false">IFERROR(BG123/BA123-1,"")</f>
        <v>1.1347280334728</v>
      </c>
      <c r="BH129" s="27" t="n">
        <f aca="false">IFERROR(BH123/BB123-1,"")</f>
        <v>0.741741741741742</v>
      </c>
      <c r="BI129" s="27" t="n">
        <f aca="false">IFERROR(BI123/BC123-1,"")</f>
        <v>1.12915407854985</v>
      </c>
      <c r="BJ129" s="27" t="n">
        <f aca="false">IFERROR(BJ123/BD123-1,"")</f>
        <v>0.923728813559321</v>
      </c>
      <c r="BK129" s="27" t="n">
        <f aca="false">IFERROR(BK123/BE123-1,"")</f>
        <v>0.894391983041048</v>
      </c>
      <c r="BL129" s="27" t="n">
        <f aca="false">IFERROR(BL123/BF123-1,"")</f>
        <v>0.836315440689198</v>
      </c>
      <c r="BM129" s="27" t="n">
        <f aca="false">IFERROR(BM123/BG123-1,"")</f>
        <v>0.100744805958448</v>
      </c>
      <c r="BN129" s="27" t="n">
        <f aca="false">IFERROR(BN123/BH123-1,"")</f>
        <v>0.374137931034483</v>
      </c>
      <c r="BO129" s="27" t="n">
        <f aca="false">IFERROR(BO123/BI123-1,"")</f>
        <v>0.0432777580702375</v>
      </c>
      <c r="BP129" s="27" t="n">
        <f aca="false">IFERROR(BP123/BJ123-1,"")</f>
        <v>0.076584208742799</v>
      </c>
      <c r="BQ129" s="27" t="n">
        <f aca="false">IFERROR(BQ123/BK123-1,"")</f>
        <v>0.189928789420143</v>
      </c>
      <c r="BR129" s="27" t="n">
        <f aca="false">IFERROR(BR123/BL123-1,"")</f>
        <v>0.0544929628293038</v>
      </c>
      <c r="BS129" s="27" t="n">
        <f aca="false">IFERROR(BS123/BM123-1,"")</f>
        <v>0.0876068376068373</v>
      </c>
      <c r="BT129" s="27" t="n">
        <f aca="false">IFERROR(BT123/BN123-1,"")</f>
        <v>0.0711597060405091</v>
      </c>
      <c r="BU129" s="27" t="n">
        <f aca="false">IFERROR(BU123/BO123-1,"")</f>
        <v>0.0853451207072424</v>
      </c>
      <c r="BV129" s="27" t="n">
        <f aca="false">IFERROR(BV123/BP123-1,"")</f>
        <v>0.0169971671388103</v>
      </c>
      <c r="BW129" s="27" t="n">
        <f aca="false">IFERROR(BW123/BQ123-1,"")</f>
        <v>0.0600153885611696</v>
      </c>
      <c r="BX129" s="27" t="n">
        <f aca="false">IFERROR(BX123/BR123-1,"")</f>
        <v>-0.0215605749486655</v>
      </c>
      <c r="BY129" s="27" t="n">
        <f aca="false">IFERROR(BY123/BS123-1,"")</f>
        <v>-0.0271774721676489</v>
      </c>
      <c r="BZ129" s="27" t="n">
        <f aca="false">IFERROR(BZ123/BT123-1,"")</f>
        <v>-0.0244310575635878</v>
      </c>
      <c r="CA129" s="27" t="n">
        <f aca="false">IFERROR(CA123/BU123-1,"")</f>
        <v>0.0156641604010026</v>
      </c>
      <c r="CB129" s="27" t="n">
        <f aca="false">IFERROR(CB123/BV123-1,"")</f>
        <v>0.0547818012999073</v>
      </c>
      <c r="CC129" s="27" t="n">
        <f aca="false">IFERROR(CC123/BW123-1,"")</f>
        <v>0.00653278490200826</v>
      </c>
      <c r="CD129" s="27" t="n">
        <f aca="false">IFERROR(CD123/BX123-1,"")</f>
        <v>0.114725428471494</v>
      </c>
      <c r="CE129" s="27" t="n">
        <f aca="false">IFERROR(CE123/BY123-1,"")</f>
        <v>0.130595759003702</v>
      </c>
      <c r="CF129" s="27" t="n">
        <f aca="false">IFERROR(CF123/BZ123-1,"")</f>
        <v>0.122813036020583</v>
      </c>
      <c r="CG129" s="27" t="n">
        <f aca="false">IFERROR(CG123/CA123-1,"")</f>
        <v>0.0487353485502775</v>
      </c>
      <c r="CH129" s="27" t="n">
        <f aca="false">IFERROR(CH123/CB123-1,"")</f>
        <v>0.130868544600939</v>
      </c>
      <c r="CI129" s="27" t="n">
        <f aca="false">IFERROR(CI123/CC123-1,"")</f>
        <v>0.105769230769231</v>
      </c>
      <c r="CJ129" s="27" t="n">
        <f aca="false">IFERROR(CJ123/CD123-1,"")</f>
        <v>0.104486978349545</v>
      </c>
      <c r="CK129" s="27" t="n">
        <f aca="false">IFERROR(CK123/CE123-1,"")</f>
        <v>0.159273593331349</v>
      </c>
      <c r="CL129" s="27" t="n">
        <f aca="false">IFERROR(CL123/CF123-1,"")</f>
        <v>0.132600061106019</v>
      </c>
      <c r="CM129" s="28" t="n">
        <f aca="false">IFERROR(CM123/CG123-1,"")</f>
        <v>0.104252529037093</v>
      </c>
      <c r="CN129" s="28" t="n">
        <f aca="false">IFERROR(CN123/CH123-1,"")</f>
        <v>0.0168151874634339</v>
      </c>
      <c r="CO129" s="28" t="n">
        <f aca="false">IFERROR(CO123/CI123-1,"")</f>
        <v>0.0932800240007383</v>
      </c>
      <c r="CP129" s="28" t="n">
        <f aca="false">IFERROR(CP123/CO123-1,"")</f>
        <v>0.111834916206647</v>
      </c>
      <c r="CQ129" s="28" t="n">
        <f aca="false">IFERROR(CQ123/CP123-1,"")</f>
        <v>0.10638988690974</v>
      </c>
      <c r="CR129" s="28" t="n">
        <f aca="false">IFERROR(CR123/CQ123-1,"")</f>
        <v>0.101315944078008</v>
      </c>
      <c r="CS129" s="28" t="n">
        <f aca="false">IFERROR(CS123/CR123-1,"")</f>
        <v>0.098655401969781</v>
      </c>
      <c r="CT129" s="23"/>
      <c r="CV129" s="7"/>
      <c r="CW129" s="7"/>
      <c r="CX129" s="7"/>
      <c r="CY129" s="7"/>
    </row>
    <row r="130" customFormat="false" ht="15" hidden="false" customHeight="true" outlineLevel="0" collapsed="false">
      <c r="B130" s="13" t="s">
        <v>230</v>
      </c>
      <c r="C130" s="31" t="n">
        <v>124.8</v>
      </c>
      <c r="D130" s="31" t="n">
        <v>161.5</v>
      </c>
      <c r="E130" s="31" t="n">
        <v>142.9</v>
      </c>
      <c r="F130" s="31" t="n">
        <v>39.9</v>
      </c>
      <c r="G130" s="31" t="n">
        <v>25.3</v>
      </c>
      <c r="H130" s="31" t="n">
        <v>249.6</v>
      </c>
      <c r="I130" s="31" t="n">
        <v>180.7</v>
      </c>
      <c r="J130" s="31" t="n">
        <v>65</v>
      </c>
      <c r="K130" s="31" t="n">
        <v>67.3</v>
      </c>
      <c r="L130" s="30" t="n">
        <f aca="false">J130+K130</f>
        <v>132.3</v>
      </c>
      <c r="M130" s="31" t="n">
        <v>28.9</v>
      </c>
      <c r="N130" s="31" t="n">
        <v>23.1</v>
      </c>
      <c r="O130" s="31" t="n">
        <v>172</v>
      </c>
      <c r="P130" s="31" t="n">
        <v>20.6</v>
      </c>
      <c r="Q130" s="31" t="n">
        <v>10.7</v>
      </c>
      <c r="R130" s="30" t="n">
        <f aca="false">P130+Q130</f>
        <v>31.3</v>
      </c>
      <c r="S130" s="31" t="n">
        <v>10.2</v>
      </c>
      <c r="T130" s="31" t="n">
        <v>13.7</v>
      </c>
      <c r="U130" s="31" t="n">
        <v>53.8</v>
      </c>
      <c r="V130" s="31" t="n">
        <v>12.1</v>
      </c>
      <c r="W130" s="31" t="n">
        <v>10</v>
      </c>
      <c r="X130" s="30" t="n">
        <f aca="false">V130+W130</f>
        <v>22.1</v>
      </c>
      <c r="Y130" s="31" t="n">
        <v>13.5</v>
      </c>
      <c r="Z130" s="31" t="n">
        <v>3.2</v>
      </c>
      <c r="AA130" s="31" t="n">
        <v>38.9</v>
      </c>
      <c r="AB130" s="31" t="n">
        <v>2.3</v>
      </c>
      <c r="AC130" s="31" t="n">
        <v>7</v>
      </c>
      <c r="AD130" s="30" t="n">
        <f aca="false">AB130+AC130</f>
        <v>9.3</v>
      </c>
      <c r="AE130" s="31" t="n">
        <v>5.9</v>
      </c>
      <c r="AF130" s="31" t="n">
        <v>10</v>
      </c>
      <c r="AG130" s="31" t="n">
        <v>25.2</v>
      </c>
      <c r="AH130" s="31" t="n">
        <v>19.1</v>
      </c>
      <c r="AI130" s="31" t="n">
        <v>96.3</v>
      </c>
      <c r="AJ130" s="30" t="n">
        <f aca="false">AH130+AI130</f>
        <v>115.4</v>
      </c>
      <c r="AK130" s="31" t="n">
        <v>90.1</v>
      </c>
      <c r="AL130" s="31" t="n">
        <v>99.7</v>
      </c>
      <c r="AM130" s="31" t="n">
        <v>298</v>
      </c>
      <c r="AN130" s="31" t="n">
        <v>85.5</v>
      </c>
      <c r="AO130" s="31" t="n">
        <v>5.3</v>
      </c>
      <c r="AP130" s="30" t="n">
        <f aca="false">AN130+AO130</f>
        <v>90.8</v>
      </c>
      <c r="AQ130" s="30"/>
      <c r="AR130" s="30"/>
      <c r="AS130" s="31" t="n">
        <v>115.1</v>
      </c>
      <c r="AT130" s="31" t="n">
        <v>14.1</v>
      </c>
      <c r="AU130" s="31" t="n">
        <v>23.3</v>
      </c>
      <c r="AV130" s="30" t="n">
        <f aca="false">AT130+AU130</f>
        <v>37.4</v>
      </c>
      <c r="AW130" s="31" t="n">
        <v>40.8</v>
      </c>
      <c r="AX130" s="31" t="n">
        <v>55</v>
      </c>
      <c r="AY130" s="31" t="n">
        <v>133.1</v>
      </c>
      <c r="AZ130" s="31" t="n">
        <v>36.8</v>
      </c>
      <c r="BA130" s="31" t="n">
        <v>29.5</v>
      </c>
      <c r="BB130" s="30" t="n">
        <f aca="false">AZ130+BA130</f>
        <v>66.3</v>
      </c>
      <c r="BC130" s="31" t="n">
        <v>11.7</v>
      </c>
      <c r="BD130" s="31" t="n">
        <v>4.8</v>
      </c>
      <c r="BE130" s="31" t="n">
        <v>68.9</v>
      </c>
      <c r="BF130" s="30"/>
      <c r="BG130" s="31" t="n">
        <v>301.4</v>
      </c>
      <c r="BH130" s="30"/>
      <c r="BI130" s="31" t="n">
        <v>473.6</v>
      </c>
      <c r="BJ130" s="31" t="n">
        <v>498.6</v>
      </c>
      <c r="BK130" s="31" t="n">
        <v>1273.6</v>
      </c>
      <c r="BL130" s="31" t="n">
        <v>452.6</v>
      </c>
      <c r="BM130" s="31" t="n">
        <v>167.6</v>
      </c>
      <c r="BN130" s="30" t="n">
        <f aca="false">BL130+BM130</f>
        <v>620.2</v>
      </c>
      <c r="BO130" s="30"/>
      <c r="BP130" s="30"/>
      <c r="BQ130" s="31" t="n">
        <v>593.7</v>
      </c>
      <c r="BR130" s="31" t="n">
        <v>25</v>
      </c>
      <c r="BS130" s="31" t="n">
        <v>28.8</v>
      </c>
      <c r="BT130" s="30" t="n">
        <f aca="false">BR130+BS130</f>
        <v>53.8</v>
      </c>
      <c r="BU130" s="31" t="n">
        <v>25.8</v>
      </c>
      <c r="BV130" s="31" t="n">
        <v>17.6</v>
      </c>
      <c r="BW130" s="31" t="n">
        <v>99.8</v>
      </c>
      <c r="BX130" s="30"/>
      <c r="BY130" s="30"/>
      <c r="BZ130" s="30"/>
      <c r="CA130" s="31" t="n">
        <v>18</v>
      </c>
      <c r="CB130" s="31" t="n">
        <v>17.3</v>
      </c>
      <c r="CC130" s="31" t="n">
        <v>49.4</v>
      </c>
      <c r="CD130" s="31" t="n">
        <v>55.6</v>
      </c>
      <c r="CE130" s="31" t="n">
        <v>70.1</v>
      </c>
      <c r="CF130" s="30" t="n">
        <f aca="false">CD130+CE130</f>
        <v>125.7</v>
      </c>
      <c r="CG130" s="31" t="n">
        <v>69</v>
      </c>
      <c r="CH130" s="31" t="n">
        <v>73</v>
      </c>
      <c r="CI130" s="31" t="n">
        <v>270.1</v>
      </c>
      <c r="CJ130" s="31" t="n">
        <v>33.3</v>
      </c>
      <c r="CK130" s="31" t="n">
        <v>12.2</v>
      </c>
      <c r="CL130" s="30" t="n">
        <f aca="false">CJ130+CK130</f>
        <v>45.5</v>
      </c>
      <c r="CM130" s="33" t="n">
        <v>8</v>
      </c>
      <c r="CN130" s="33" t="n">
        <v>8</v>
      </c>
      <c r="CO130" s="32" t="n">
        <f aca="false">SUM(CJ130,CK130,CM130,CN130)</f>
        <v>61.5</v>
      </c>
      <c r="CP130" s="32" t="n">
        <f aca="false">CP119</f>
        <v>125</v>
      </c>
      <c r="CQ130" s="32" t="n">
        <f aca="false">CQ119</f>
        <v>291.666666666667</v>
      </c>
      <c r="CR130" s="32" t="n">
        <f aca="false">CR119</f>
        <v>333.333333333333</v>
      </c>
      <c r="CS130" s="32" t="n">
        <f aca="false">CS119</f>
        <v>333.333333333333</v>
      </c>
      <c r="CT130" s="23" t="s">
        <v>231</v>
      </c>
      <c r="CV130" s="7"/>
      <c r="CW130" s="7"/>
      <c r="CX130" s="7"/>
      <c r="CY130" s="7"/>
    </row>
    <row r="131" customFormat="false" ht="15" hidden="false" customHeight="true" outlineLevel="0" collapsed="false">
      <c r="B131" s="37" t="s">
        <v>232</v>
      </c>
      <c r="C131" s="31" t="n">
        <v>582.4</v>
      </c>
      <c r="D131" s="31" t="n">
        <v>707.2</v>
      </c>
      <c r="E131" s="31" t="n">
        <v>822.5</v>
      </c>
      <c r="F131" s="31" t="n">
        <v>812.5</v>
      </c>
      <c r="G131" s="31" t="n">
        <v>863.8</v>
      </c>
      <c r="H131" s="31" t="n">
        <v>944.6</v>
      </c>
      <c r="I131" s="31" t="n">
        <v>952.5</v>
      </c>
      <c r="J131" s="30"/>
      <c r="K131" s="30"/>
      <c r="L131" s="30"/>
      <c r="M131" s="30"/>
      <c r="N131" s="30"/>
      <c r="O131" s="31" t="n">
        <v>941.2</v>
      </c>
      <c r="P131" s="30"/>
      <c r="Q131" s="30"/>
      <c r="R131" s="30"/>
      <c r="S131" s="30"/>
      <c r="T131" s="30"/>
      <c r="U131" s="31" t="n">
        <v>944.6</v>
      </c>
      <c r="V131" s="30"/>
      <c r="W131" s="30"/>
      <c r="X131" s="30"/>
      <c r="Y131" s="30"/>
      <c r="Z131" s="30"/>
      <c r="AA131" s="31" t="n">
        <v>802.8</v>
      </c>
      <c r="AB131" s="30"/>
      <c r="AC131" s="30"/>
      <c r="AD131" s="30"/>
      <c r="AE131" s="30"/>
      <c r="AF131" s="30"/>
      <c r="AG131" s="31" t="n">
        <v>916.4</v>
      </c>
      <c r="AH131" s="30"/>
      <c r="AI131" s="30"/>
      <c r="AJ131" s="30"/>
      <c r="AK131" s="30"/>
      <c r="AL131" s="30"/>
      <c r="AM131" s="31" t="n">
        <v>1250.2</v>
      </c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  <c r="BT131" s="30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1" t="n">
        <v>5000</v>
      </c>
      <c r="CL131" s="30"/>
      <c r="CM131" s="32"/>
      <c r="CN131" s="32"/>
      <c r="CO131" s="32"/>
      <c r="CP131" s="32"/>
      <c r="CQ131" s="32"/>
      <c r="CR131" s="32"/>
      <c r="CS131" s="32"/>
      <c r="CT131" s="23"/>
      <c r="CV131" s="7"/>
      <c r="CW131" s="7"/>
      <c r="CX131" s="7"/>
      <c r="CY131" s="7"/>
    </row>
    <row r="132" customFormat="false" ht="15" hidden="false" customHeight="true" outlineLevel="0" collapsed="false">
      <c r="B132" s="37" t="s">
        <v>233</v>
      </c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  <c r="BT132" s="30"/>
      <c r="BU132" s="30"/>
      <c r="BV132" s="31" t="n">
        <v>1519.4</v>
      </c>
      <c r="BW132" s="30"/>
      <c r="BX132" s="31" t="n">
        <v>1433.2</v>
      </c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2"/>
      <c r="CN132" s="32"/>
      <c r="CO132" s="32"/>
      <c r="CP132" s="32"/>
      <c r="CQ132" s="32"/>
      <c r="CR132" s="32"/>
      <c r="CS132" s="32"/>
      <c r="CT132" s="23"/>
      <c r="CV132" s="7"/>
      <c r="CW132" s="7"/>
      <c r="CX132" s="7"/>
      <c r="CY132" s="7"/>
    </row>
    <row r="133" customFormat="false" ht="15" hidden="false" customHeight="true" outlineLevel="0" collapsed="false">
      <c r="B133" s="39" t="s">
        <v>234</v>
      </c>
      <c r="C133" s="30" t="str">
        <f aca="false">IF(ISNUMBER(C122),ROUND(C122-C152,1),"")</f>
        <v/>
      </c>
      <c r="D133" s="30" t="str">
        <f aca="false">IF(ISNUMBER(D122),ROUND(D122-D152,1),"")</f>
        <v/>
      </c>
      <c r="E133" s="30" t="n">
        <f aca="false">IF(ISNUMBER(E122),ROUND(E122-E152,1),"")</f>
        <v>0</v>
      </c>
      <c r="F133" s="30" t="n">
        <f aca="false">IF(ISNUMBER(F122),ROUND(F122-F152,1),"")</f>
        <v>0</v>
      </c>
      <c r="G133" s="30" t="n">
        <f aca="false">IF(ISNUMBER(G122),ROUND(G122-G152,1),"")</f>
        <v>0</v>
      </c>
      <c r="H133" s="30" t="n">
        <f aca="false">IF(ISNUMBER(H122),ROUND(H122-H152,1),"")</f>
        <v>0</v>
      </c>
      <c r="I133" s="30" t="n">
        <f aca="false">IF(ISNUMBER(I122),ROUND(I122-I152,1),"")</f>
        <v>0</v>
      </c>
      <c r="J133" s="30" t="n">
        <f aca="false">IF(ISNUMBER(J122),ROUND(J122-J152,1),"")</f>
        <v>0</v>
      </c>
      <c r="K133" s="30" t="n">
        <f aca="false">IF(ISNUMBER(K122),ROUND(K122-K152,1),"")</f>
        <v>0</v>
      </c>
      <c r="L133" s="30" t="n">
        <f aca="false">IF(ISNUMBER(L122),ROUND(L122-L152,1),"")</f>
        <v>0</v>
      </c>
      <c r="M133" s="30" t="n">
        <f aca="false">IF(ISNUMBER(M122),ROUND(M122-M152,1),"")</f>
        <v>0</v>
      </c>
      <c r="N133" s="30" t="n">
        <f aca="false">IF(ISNUMBER(N122),ROUND(N122-N152,1),"")</f>
        <v>0</v>
      </c>
      <c r="O133" s="30" t="n">
        <f aca="false">IF(ISNUMBER(O122),ROUND(O122-O152,1),"")</f>
        <v>0</v>
      </c>
      <c r="P133" s="30" t="n">
        <f aca="false">IF(ISNUMBER(P122),ROUND(P122-P152,1),"")</f>
        <v>0</v>
      </c>
      <c r="Q133" s="30" t="n">
        <f aca="false">IF(ISNUMBER(Q122),ROUND(Q122-Q152,1),"")</f>
        <v>0</v>
      </c>
      <c r="R133" s="30" t="n">
        <f aca="false">IF(ISNUMBER(R122),ROUND(R122-R152,1),"")</f>
        <v>0</v>
      </c>
      <c r="S133" s="30" t="n">
        <f aca="false">IF(ISNUMBER(S122),ROUND(S122-S152,1),"")</f>
        <v>0</v>
      </c>
      <c r="T133" s="30" t="n">
        <f aca="false">IF(ISNUMBER(T122),ROUND(T122-T152,1),"")</f>
        <v>0</v>
      </c>
      <c r="U133" s="30" t="n">
        <f aca="false">IF(ISNUMBER(U122),ROUND(U122-U152,1),"")</f>
        <v>0</v>
      </c>
      <c r="V133" s="30" t="n">
        <f aca="false">IF(ISNUMBER(V122),ROUND(V122-V152,1),"")</f>
        <v>0</v>
      </c>
      <c r="W133" s="30" t="n">
        <f aca="false">IF(ISNUMBER(W122),ROUND(W122-W152,1),"")</f>
        <v>0</v>
      </c>
      <c r="X133" s="30" t="n">
        <f aca="false">IF(ISNUMBER(X122),ROUND(X122-X152,1),"")</f>
        <v>0</v>
      </c>
      <c r="Y133" s="30" t="n">
        <f aca="false">IF(ISNUMBER(Y122),ROUND(Y122-Y152,1),"")</f>
        <v>0</v>
      </c>
      <c r="Z133" s="30" t="n">
        <f aca="false">IF(ISNUMBER(Z122),ROUND(Z122-Z152,1),"")</f>
        <v>0</v>
      </c>
      <c r="AA133" s="30" t="n">
        <f aca="false">IF(ISNUMBER(AA122),ROUND(AA122-AA152,1),"")</f>
        <v>0</v>
      </c>
      <c r="AB133" s="30" t="n">
        <f aca="false">IF(ISNUMBER(AB122),ROUND(AB122-AB152,1),"")</f>
        <v>0</v>
      </c>
      <c r="AC133" s="30" t="n">
        <f aca="false">IF(ISNUMBER(AC122),ROUND(AC122-AC152,1),"")</f>
        <v>0</v>
      </c>
      <c r="AD133" s="30" t="n">
        <f aca="false">IF(ISNUMBER(AD122),ROUND(AD122-AD152,1),"")</f>
        <v>0</v>
      </c>
      <c r="AE133" s="30" t="n">
        <f aca="false">IF(ISNUMBER(AE122),ROUND(AE122-AE152,1),"")</f>
        <v>0</v>
      </c>
      <c r="AF133" s="30" t="n">
        <f aca="false">IF(ISNUMBER(AF122),ROUND(AF122-AF152,1),"")</f>
        <v>0</v>
      </c>
      <c r="AG133" s="30" t="n">
        <f aca="false">IF(ISNUMBER(AG122),ROUND(AG122-AG152,1),"")</f>
        <v>0</v>
      </c>
      <c r="AH133" s="30" t="n">
        <f aca="false">IF(ISNUMBER(AH122),ROUND(AH122-AH152,1),"")</f>
        <v>0</v>
      </c>
      <c r="AI133" s="30" t="n">
        <f aca="false">IF(ISNUMBER(AI122),ROUND(AI122-AI152,1),"")</f>
        <v>0</v>
      </c>
      <c r="AJ133" s="30" t="n">
        <f aca="false">IF(ISNUMBER(AJ122),ROUND(AJ122-AJ152,1),"")</f>
        <v>0</v>
      </c>
      <c r="AK133" s="30" t="n">
        <f aca="false">IF(ISNUMBER(AK122),ROUND(AK122-AK152,1),"")</f>
        <v>0</v>
      </c>
      <c r="AL133" s="30" t="n">
        <f aca="false">IF(ISNUMBER(AL122),ROUND(AL122-AL152,1),"")</f>
        <v>0</v>
      </c>
      <c r="AM133" s="30" t="n">
        <f aca="false">IF(ISNUMBER(AM122),ROUND(AM122-AM152,1),"")</f>
        <v>0</v>
      </c>
      <c r="AN133" s="30" t="n">
        <f aca="false">IF(ISNUMBER(AN122),ROUND(AN122-AN152,1),"")</f>
        <v>0</v>
      </c>
      <c r="AO133" s="30" t="n">
        <f aca="false">IF(ISNUMBER(AO122),ROUND(AO122-AO152,1),"")</f>
        <v>0</v>
      </c>
      <c r="AP133" s="30" t="n">
        <f aca="false">IF(ISNUMBER(AP122),ROUND(AP122-AP152,1),"")</f>
        <v>0</v>
      </c>
      <c r="AQ133" s="30" t="n">
        <f aca="false">IF(ISNUMBER(AQ122),ROUND(AQ122-AQ152,1),"")</f>
        <v>0</v>
      </c>
      <c r="AR133" s="30" t="n">
        <f aca="false">IF(ISNUMBER(AR122),ROUND(AR122-AR152,1),"")</f>
        <v>0</v>
      </c>
      <c r="AS133" s="30" t="n">
        <f aca="false">IF(ISNUMBER(AS122),ROUND(AS122-AS152,1),"")</f>
        <v>0</v>
      </c>
      <c r="AT133" s="30" t="n">
        <f aca="false">IF(ISNUMBER(AT122),ROUND(AT122-AT152,1),"")</f>
        <v>0</v>
      </c>
      <c r="AU133" s="30" t="n">
        <f aca="false">IF(ISNUMBER(AU122),ROUND(AU122-AU152,1),"")</f>
        <v>0</v>
      </c>
      <c r="AV133" s="30" t="n">
        <f aca="false">IF(ISNUMBER(AV122),ROUND(AV122-AV152,1),"")</f>
        <v>0</v>
      </c>
      <c r="AW133" s="30" t="n">
        <f aca="false">IF(ISNUMBER(AW122),ROUND(AW122-AW152,1),"")</f>
        <v>0</v>
      </c>
      <c r="AX133" s="30" t="n">
        <f aca="false">IF(ISNUMBER(AX122),ROUND(AX122-AX152,1),"")</f>
        <v>0</v>
      </c>
      <c r="AY133" s="30" t="n">
        <f aca="false">IF(ISNUMBER(AY122),ROUND(AY122-AY152,1),"")</f>
        <v>0</v>
      </c>
      <c r="AZ133" s="30" t="n">
        <f aca="false">IF(ISNUMBER(AZ122),ROUND(AZ122-AZ152,1),"")</f>
        <v>0</v>
      </c>
      <c r="BA133" s="30" t="n">
        <f aca="false">IF(ISNUMBER(BA122),ROUND(BA122-BA152,1),"")</f>
        <v>0</v>
      </c>
      <c r="BB133" s="30" t="n">
        <f aca="false">IF(ISNUMBER(BB122),ROUND(BB122-BB152,1),"")</f>
        <v>0</v>
      </c>
      <c r="BC133" s="30" t="n">
        <f aca="false">IF(ISNUMBER(BC122),ROUND(BC122-BC152,1),"")</f>
        <v>0</v>
      </c>
      <c r="BD133" s="30" t="n">
        <f aca="false">IF(ISNUMBER(BD122),ROUND(BD122-BD152,1),"")</f>
        <v>0</v>
      </c>
      <c r="BE133" s="30" t="n">
        <f aca="false">IF(ISNUMBER(BE122),ROUND(BE122-BE152,1),"")</f>
        <v>0</v>
      </c>
      <c r="BF133" s="30" t="n">
        <f aca="false">IF(ISNUMBER(BF122),ROUND(BF122-BF152,1),"")</f>
        <v>0</v>
      </c>
      <c r="BG133" s="30" t="n">
        <f aca="false">IF(ISNUMBER(BG122),ROUND(BG122-BG152,1),"")</f>
        <v>0</v>
      </c>
      <c r="BH133" s="30" t="n">
        <f aca="false">IF(ISNUMBER(BH122),ROUND(BH122-BH152,1),"")</f>
        <v>0</v>
      </c>
      <c r="BI133" s="30" t="n">
        <f aca="false">IF(ISNUMBER(BI122),ROUND(BI122-BI152,1),"")</f>
        <v>0</v>
      </c>
      <c r="BJ133" s="30" t="n">
        <f aca="false">IF(ISNUMBER(BJ122),ROUND(BJ122-BJ152,1),"")</f>
        <v>0</v>
      </c>
      <c r="BK133" s="30" t="n">
        <f aca="false">IF(ISNUMBER(BK122),ROUND(BK122-BK152,1),"")</f>
        <v>0</v>
      </c>
      <c r="BL133" s="30" t="n">
        <f aca="false">IF(ISNUMBER(BL122),ROUND(BL122-BL152,1),"")</f>
        <v>0</v>
      </c>
      <c r="BM133" s="30" t="n">
        <f aca="false">IF(ISNUMBER(BM122),ROUND(BM122-BM152,1),"")</f>
        <v>0</v>
      </c>
      <c r="BN133" s="30" t="n">
        <f aca="false">IF(ISNUMBER(BN122),ROUND(BN122-BN152,1),"")</f>
        <v>0</v>
      </c>
      <c r="BO133" s="30" t="n">
        <f aca="false">IF(ISNUMBER(BO122),ROUND(BO122-BO152,1),"")</f>
        <v>0</v>
      </c>
      <c r="BP133" s="30" t="n">
        <f aca="false">IF(ISNUMBER(BP122),ROUND(BP122-BP152,1),"")</f>
        <v>0</v>
      </c>
      <c r="BQ133" s="30" t="n">
        <f aca="false">IF(ISNUMBER(BQ122),ROUND(BQ122-BQ152,1),"")</f>
        <v>0</v>
      </c>
      <c r="BR133" s="30" t="n">
        <f aca="false">IF(ISNUMBER(BR122),ROUND(BR122-BR152,1),"")</f>
        <v>0</v>
      </c>
      <c r="BS133" s="30" t="n">
        <f aca="false">IF(ISNUMBER(BS122),ROUND(BS122-BS152,1),"")</f>
        <v>0</v>
      </c>
      <c r="BT133" s="30" t="n">
        <f aca="false">IF(ISNUMBER(BT122),ROUND(BT122-BT152,1),"")</f>
        <v>0</v>
      </c>
      <c r="BU133" s="30" t="n">
        <f aca="false">IF(ISNUMBER(BU122),ROUND(BU122-BU152,1),"")</f>
        <v>0</v>
      </c>
      <c r="BV133" s="30" t="n">
        <f aca="false">IF(ISNUMBER(BV122),ROUND(BV122-BV152,1),"")</f>
        <v>0</v>
      </c>
      <c r="BW133" s="30" t="n">
        <f aca="false">IF(ISNUMBER(BW122),ROUND(BW122-BW152,1),"")</f>
        <v>0</v>
      </c>
      <c r="BX133" s="30" t="n">
        <f aca="false">IF(ISNUMBER(BX122),ROUND(BX122-BX152,1),"")</f>
        <v>0</v>
      </c>
      <c r="BY133" s="30" t="n">
        <f aca="false">IF(ISNUMBER(BY122),ROUND(BY122-BY152,1),"")</f>
        <v>0</v>
      </c>
      <c r="BZ133" s="30" t="n">
        <f aca="false">IF(ISNUMBER(BZ122),ROUND(BZ122-BZ152,1),"")</f>
        <v>0</v>
      </c>
      <c r="CA133" s="30" t="n">
        <f aca="false">IF(ISNUMBER(CA122),ROUND(CA122-CA152,1),"")</f>
        <v>0</v>
      </c>
      <c r="CB133" s="30" t="n">
        <f aca="false">IF(ISNUMBER(CB122),ROUND(CB122-CB152,1),"")</f>
        <v>0</v>
      </c>
      <c r="CC133" s="30" t="n">
        <f aca="false">IF(ISNUMBER(CC122),ROUND(CC122-CC152,1),"")</f>
        <v>0</v>
      </c>
      <c r="CD133" s="30" t="n">
        <f aca="false">IF(ISNUMBER(CD122),ROUND(CD122-CD152,1),"")</f>
        <v>0</v>
      </c>
      <c r="CE133" s="30" t="n">
        <f aca="false">IF(ISNUMBER(CE122),ROUND(CE122-CE152,1),"")</f>
        <v>0</v>
      </c>
      <c r="CF133" s="30" t="n">
        <f aca="false">IF(ISNUMBER(CF122),ROUND(CF122-CF152,1),"")</f>
        <v>0</v>
      </c>
      <c r="CG133" s="30" t="n">
        <f aca="false">IF(ISNUMBER(CG122),ROUND(CG122-CG152,1),"")</f>
        <v>0</v>
      </c>
      <c r="CH133" s="30" t="n">
        <f aca="false">IF(ISNUMBER(CH122),ROUND(CH122-CH152,1),"")</f>
        <v>0</v>
      </c>
      <c r="CI133" s="30" t="n">
        <f aca="false">IF(ISNUMBER(CI122),ROUND(CI122-CI152,1),"")</f>
        <v>0</v>
      </c>
      <c r="CJ133" s="30" t="n">
        <f aca="false">IF(ISNUMBER(CJ122),ROUND(CJ122-CJ152,1),"")</f>
        <v>0</v>
      </c>
      <c r="CK133" s="30" t="n">
        <f aca="false">IF(ISNUMBER(CK122),ROUND(CK122-CK152,1),"")</f>
        <v>0</v>
      </c>
      <c r="CL133" s="30" t="n">
        <f aca="false">IF(ISNUMBER(CL122),ROUND(CL122-CL152,1),"")</f>
        <v>0</v>
      </c>
      <c r="CM133" s="32" t="n">
        <f aca="false">ROUND(CM122-CM152,1)</f>
        <v>0</v>
      </c>
      <c r="CN133" s="32" t="n">
        <f aca="false">ROUND(CN122-CN152,1)</f>
        <v>0</v>
      </c>
      <c r="CO133" s="32" t="n">
        <f aca="false">ROUND(CO122-CO152,1)</f>
        <v>0</v>
      </c>
      <c r="CP133" s="32" t="n">
        <f aca="false">ROUND(CP122-CP152,1)</f>
        <v>0</v>
      </c>
      <c r="CQ133" s="32" t="n">
        <f aca="false">ROUND(CQ122-CQ152,1)</f>
        <v>0</v>
      </c>
      <c r="CR133" s="32" t="n">
        <f aca="false">ROUND(CR122-CR152,1)</f>
        <v>0</v>
      </c>
      <c r="CS133" s="32" t="n">
        <f aca="false">ROUND(CS122-CS152,1)</f>
        <v>0</v>
      </c>
      <c r="CT133" s="23"/>
      <c r="CV133" s="7"/>
      <c r="CW133" s="7"/>
      <c r="CX133" s="7"/>
      <c r="CY133" s="7"/>
    </row>
    <row r="134" customFormat="false" ht="15" hidden="false" customHeight="true" outlineLevel="0" collapsed="false">
      <c r="B134" s="39" t="s">
        <v>235</v>
      </c>
      <c r="C134" s="30" t="str">
        <f aca="false">IF(ISNUMBER(C126),ROUND(C126-C160,1),"")</f>
        <v/>
      </c>
      <c r="D134" s="30" t="str">
        <f aca="false">IF(ISNUMBER(D126),ROUND(D126-D160,1),"")</f>
        <v/>
      </c>
      <c r="E134" s="30" t="n">
        <f aca="false">IF(ISNUMBER(E126),ROUND(E126-E160,1),"")</f>
        <v>0</v>
      </c>
      <c r="F134" s="30" t="n">
        <f aca="false">IF(ISNUMBER(F126),ROUND(F126-F160,1),"")</f>
        <v>0</v>
      </c>
      <c r="G134" s="30" t="n">
        <f aca="false">IF(ISNUMBER(G126),ROUND(G126-G160,1),"")</f>
        <v>0</v>
      </c>
      <c r="H134" s="30" t="n">
        <f aca="false">IF(ISNUMBER(H126),ROUND(H126-H160,1),"")</f>
        <v>0</v>
      </c>
      <c r="I134" s="30" t="n">
        <f aca="false">IF(ISNUMBER(I126),ROUND(I126-I160,1),"")</f>
        <v>0</v>
      </c>
      <c r="J134" s="30" t="n">
        <f aca="false">IF(ISNUMBER(J126),ROUND(J126-J160,1),"")</f>
        <v>0</v>
      </c>
      <c r="K134" s="30" t="n">
        <f aca="false">IF(ISNUMBER(K126),ROUND(K126-K160,1),"")</f>
        <v>0</v>
      </c>
      <c r="L134" s="30" t="n">
        <f aca="false">IF(ISNUMBER(L126),ROUND(L126-L160,1),"")</f>
        <v>0</v>
      </c>
      <c r="M134" s="30" t="n">
        <f aca="false">IF(ISNUMBER(M126),ROUND(M126-M160,1),"")</f>
        <v>0</v>
      </c>
      <c r="N134" s="30" t="n">
        <f aca="false">IF(ISNUMBER(N126),ROUND(N126-N160,1),"")</f>
        <v>0</v>
      </c>
      <c r="O134" s="30" t="n">
        <f aca="false">IF(ISNUMBER(O126),ROUND(O126-O160,1),"")</f>
        <v>0</v>
      </c>
      <c r="P134" s="30" t="n">
        <f aca="false">IF(ISNUMBER(P126),ROUND(P126-P160,1),"")</f>
        <v>0</v>
      </c>
      <c r="Q134" s="30" t="n">
        <f aca="false">IF(ISNUMBER(Q126),ROUND(Q126-Q160,1),"")</f>
        <v>0</v>
      </c>
      <c r="R134" s="30" t="n">
        <f aca="false">IF(ISNUMBER(R126),ROUND(R126-R160,1),"")</f>
        <v>0</v>
      </c>
      <c r="S134" s="30" t="n">
        <f aca="false">IF(ISNUMBER(S126),ROUND(S126-S160,1),"")</f>
        <v>0</v>
      </c>
      <c r="T134" s="30" t="n">
        <f aca="false">IF(ISNUMBER(T126),ROUND(T126-T160,1),"")</f>
        <v>0</v>
      </c>
      <c r="U134" s="30" t="n">
        <f aca="false">IF(ISNUMBER(U126),ROUND(U126-U160,1),"")</f>
        <v>0</v>
      </c>
      <c r="V134" s="30" t="n">
        <f aca="false">IF(ISNUMBER(V126),ROUND(V126-V160,1),"")</f>
        <v>0</v>
      </c>
      <c r="W134" s="30" t="n">
        <f aca="false">IF(ISNUMBER(W126),ROUND(W126-W160,1),"")</f>
        <v>0</v>
      </c>
      <c r="X134" s="30" t="n">
        <f aca="false">IF(ISNUMBER(X126),ROUND(X126-X160,1),"")</f>
        <v>0</v>
      </c>
      <c r="Y134" s="30" t="n">
        <f aca="false">IF(ISNUMBER(Y126),ROUND(Y126-Y160,1),"")</f>
        <v>0</v>
      </c>
      <c r="Z134" s="30" t="n">
        <f aca="false">IF(ISNUMBER(Z126),ROUND(Z126-Z160,1),"")</f>
        <v>0</v>
      </c>
      <c r="AA134" s="30" t="n">
        <f aca="false">IF(ISNUMBER(AA126),ROUND(AA126-AA160,1),"")</f>
        <v>0</v>
      </c>
      <c r="AB134" s="30" t="n">
        <f aca="false">IF(ISNUMBER(AB126),ROUND(AB126-AB160,1),"")</f>
        <v>0</v>
      </c>
      <c r="AC134" s="30" t="n">
        <f aca="false">IF(ISNUMBER(AC126),ROUND(AC126-AC160,1),"")</f>
        <v>0</v>
      </c>
      <c r="AD134" s="30" t="n">
        <f aca="false">IF(ISNUMBER(AD126),ROUND(AD126-AD160,1),"")</f>
        <v>0</v>
      </c>
      <c r="AE134" s="30" t="n">
        <f aca="false">IF(ISNUMBER(AE126),ROUND(AE126-AE160,1),"")</f>
        <v>0</v>
      </c>
      <c r="AF134" s="30" t="n">
        <f aca="false">IF(ISNUMBER(AF126),ROUND(AF126-AF160,1),"")</f>
        <v>0</v>
      </c>
      <c r="AG134" s="30" t="n">
        <f aca="false">IF(ISNUMBER(AG126),ROUND(AG126-AG160,1),"")</f>
        <v>0</v>
      </c>
      <c r="AH134" s="30" t="n">
        <f aca="false">IF(ISNUMBER(AH126),ROUND(AH126-AH160,1),"")</f>
        <v>0</v>
      </c>
      <c r="AI134" s="30" t="n">
        <f aca="false">IF(ISNUMBER(AI126),ROUND(AI126-AI160,1),"")</f>
        <v>0</v>
      </c>
      <c r="AJ134" s="30" t="n">
        <f aca="false">IF(ISNUMBER(AJ126),ROUND(AJ126-AJ160,1),"")</f>
        <v>0</v>
      </c>
      <c r="AK134" s="30" t="n">
        <f aca="false">IF(ISNUMBER(AK126),ROUND(AK126-AK160,1),"")</f>
        <v>0</v>
      </c>
      <c r="AL134" s="30" t="n">
        <f aca="false">IF(ISNUMBER(AL126),ROUND(AL126-AL160,1),"")</f>
        <v>0</v>
      </c>
      <c r="AM134" s="30" t="n">
        <f aca="false">IF(ISNUMBER(AM126),ROUND(AM126-AM160,1),"")</f>
        <v>0</v>
      </c>
      <c r="AN134" s="30" t="n">
        <f aca="false">IF(ISNUMBER(AN126),ROUND(AN126-AN160,1),"")</f>
        <v>0</v>
      </c>
      <c r="AO134" s="30" t="n">
        <f aca="false">IF(ISNUMBER(AO126),ROUND(AO126-AO160,1),"")</f>
        <v>0</v>
      </c>
      <c r="AP134" s="30" t="n">
        <f aca="false">IF(ISNUMBER(AP126),ROUND(AP126-AP160,1),"")</f>
        <v>0</v>
      </c>
      <c r="AQ134" s="30" t="n">
        <f aca="false">IF(ISNUMBER(AQ126),ROUND(AQ126-AQ160,1),"")</f>
        <v>0</v>
      </c>
      <c r="AR134" s="30" t="n">
        <f aca="false">IF(ISNUMBER(AR126),ROUND(AR126-AR160,1),"")</f>
        <v>0</v>
      </c>
      <c r="AS134" s="30" t="n">
        <f aca="false">IF(ISNUMBER(AS126),ROUND(AS126-AS160,1),"")</f>
        <v>0</v>
      </c>
      <c r="AT134" s="30" t="n">
        <f aca="false">IF(ISNUMBER(AT126),ROUND(AT126-AT160,1),"")</f>
        <v>0</v>
      </c>
      <c r="AU134" s="30" t="n">
        <f aca="false">IF(ISNUMBER(AU126),ROUND(AU126-AU160,1),"")</f>
        <v>0</v>
      </c>
      <c r="AV134" s="30" t="n">
        <f aca="false">IF(ISNUMBER(AV126),ROUND(AV126-AV160,1),"")</f>
        <v>0</v>
      </c>
      <c r="AW134" s="30" t="n">
        <f aca="false">IF(ISNUMBER(AW126),ROUND(AW126-AW160,1),"")</f>
        <v>0</v>
      </c>
      <c r="AX134" s="30" t="n">
        <f aca="false">IF(ISNUMBER(AX126),ROUND(AX126-AX160,1),"")</f>
        <v>0</v>
      </c>
      <c r="AY134" s="30" t="n">
        <f aca="false">IF(ISNUMBER(AY126),ROUND(AY126-AY160,1),"")</f>
        <v>0</v>
      </c>
      <c r="AZ134" s="30" t="n">
        <f aca="false">IF(ISNUMBER(AZ126),ROUND(AZ126-AZ160,1),"")</f>
        <v>0</v>
      </c>
      <c r="BA134" s="30" t="n">
        <f aca="false">IF(ISNUMBER(BA126),ROUND(BA126-BA160,1),"")</f>
        <v>0</v>
      </c>
      <c r="BB134" s="30" t="n">
        <f aca="false">IF(ISNUMBER(BB126),ROUND(BB126-BB160,1),"")</f>
        <v>0</v>
      </c>
      <c r="BC134" s="30" t="n">
        <f aca="false">IF(ISNUMBER(BC126),ROUND(BC126-BC160,1),"")</f>
        <v>0</v>
      </c>
      <c r="BD134" s="30" t="n">
        <f aca="false">IF(ISNUMBER(BD126),ROUND(BD126-BD160,1),"")</f>
        <v>0</v>
      </c>
      <c r="BE134" s="30" t="n">
        <f aca="false">IF(ISNUMBER(BE126),ROUND(BE126-BE160,1),"")</f>
        <v>0</v>
      </c>
      <c r="BF134" s="30" t="n">
        <f aca="false">IF(ISNUMBER(BF126),ROUND(BF126-BF160,1),"")</f>
        <v>0</v>
      </c>
      <c r="BG134" s="30" t="n">
        <f aca="false">IF(ISNUMBER(BG126),ROUND(BG126-BG160,1),"")</f>
        <v>0</v>
      </c>
      <c r="BH134" s="30" t="n">
        <f aca="false">IF(ISNUMBER(BH126),ROUND(BH126-BH160,1),"")</f>
        <v>0</v>
      </c>
      <c r="BI134" s="30" t="n">
        <f aca="false">IF(ISNUMBER(BI126),ROUND(BI126-BI160,1),"")</f>
        <v>0</v>
      </c>
      <c r="BJ134" s="30" t="n">
        <f aca="false">IF(ISNUMBER(BJ126),ROUND(BJ126-BJ160,1),"")</f>
        <v>0</v>
      </c>
      <c r="BK134" s="30" t="n">
        <f aca="false">IF(ISNUMBER(BK126),ROUND(BK126-BK160,1),"")</f>
        <v>0</v>
      </c>
      <c r="BL134" s="30" t="n">
        <f aca="false">IF(ISNUMBER(BL126),ROUND(BL126-BL160,1),"")</f>
        <v>0</v>
      </c>
      <c r="BM134" s="30" t="n">
        <f aca="false">IF(ISNUMBER(BM126),ROUND(BM126-BM160,1),"")</f>
        <v>0</v>
      </c>
      <c r="BN134" s="30" t="n">
        <f aca="false">IF(ISNUMBER(BN126),ROUND(BN126-BN160,1),"")</f>
        <v>0</v>
      </c>
      <c r="BO134" s="30" t="n">
        <f aca="false">IF(ISNUMBER(BO126),ROUND(BO126-BO160,1),"")</f>
        <v>0</v>
      </c>
      <c r="BP134" s="30" t="n">
        <f aca="false">IF(ISNUMBER(BP126),ROUND(BP126-BP160,1),"")</f>
        <v>0</v>
      </c>
      <c r="BQ134" s="30" t="n">
        <f aca="false">IF(ISNUMBER(BQ126),ROUND(BQ126-BQ160,1),"")</f>
        <v>0</v>
      </c>
      <c r="BR134" s="30" t="n">
        <f aca="false">IF(ISNUMBER(BR126),ROUND(BR126-BR160,1),"")</f>
        <v>0</v>
      </c>
      <c r="BS134" s="30" t="n">
        <f aca="false">IF(ISNUMBER(BS126),ROUND(BS126-BS160,1),"")</f>
        <v>0</v>
      </c>
      <c r="BT134" s="30" t="n">
        <f aca="false">IF(ISNUMBER(BT126),ROUND(BT126-BT160,1),"")</f>
        <v>0</v>
      </c>
      <c r="BU134" s="30" t="n">
        <f aca="false">IF(ISNUMBER(BU126),ROUND(BU126-BU160,1),"")</f>
        <v>0</v>
      </c>
      <c r="BV134" s="30" t="n">
        <f aca="false">IF(ISNUMBER(BV126),ROUND(BV126-BV160,1),"")</f>
        <v>0</v>
      </c>
      <c r="BW134" s="30" t="n">
        <f aca="false">IF(ISNUMBER(BW126),ROUND(BW126-BW160,1),"")</f>
        <v>0</v>
      </c>
      <c r="BX134" s="30" t="n">
        <f aca="false">IF(ISNUMBER(BX126),ROUND(BX126-BX160,1),"")</f>
        <v>0</v>
      </c>
      <c r="BY134" s="30" t="n">
        <f aca="false">IF(ISNUMBER(BY126),ROUND(BY126-BY160,1),"")</f>
        <v>0</v>
      </c>
      <c r="BZ134" s="30" t="n">
        <f aca="false">IF(ISNUMBER(BZ126),ROUND(BZ126-BZ160,1),"")</f>
        <v>0</v>
      </c>
      <c r="CA134" s="30" t="n">
        <f aca="false">IF(ISNUMBER(CA126),ROUND(CA126-CA160,1),"")</f>
        <v>0</v>
      </c>
      <c r="CB134" s="30" t="n">
        <f aca="false">IF(ISNUMBER(CB126),ROUND(CB126-CB160,1),"")</f>
        <v>0</v>
      </c>
      <c r="CC134" s="30" t="n">
        <f aca="false">IF(ISNUMBER(CC126),ROUND(CC126-CC160,1),"")</f>
        <v>0</v>
      </c>
      <c r="CD134" s="30" t="n">
        <f aca="false">IF(ISNUMBER(CD126),ROUND(CD126-CD160,1),"")</f>
        <v>0</v>
      </c>
      <c r="CE134" s="30" t="n">
        <f aca="false">IF(ISNUMBER(CE126),ROUND(CE126-CE160,1),"")</f>
        <v>0</v>
      </c>
      <c r="CF134" s="30" t="n">
        <f aca="false">IF(ISNUMBER(CF126),ROUND(CF126-CF160,1),"")</f>
        <v>0</v>
      </c>
      <c r="CG134" s="30" t="n">
        <f aca="false">IF(ISNUMBER(CG126),ROUND(CG126-CG160,1),"")</f>
        <v>0</v>
      </c>
      <c r="CH134" s="30" t="n">
        <f aca="false">IF(ISNUMBER(CH126),ROUND(CH126-CH160,1),"")</f>
        <v>0</v>
      </c>
      <c r="CI134" s="30" t="n">
        <f aca="false">IF(ISNUMBER(CI126),ROUND(CI126-CI160,1),"")</f>
        <v>0</v>
      </c>
      <c r="CJ134" s="30" t="n">
        <f aca="false">IF(ISNUMBER(CJ126),ROUND(CJ126-CJ160,1),"")</f>
        <v>0</v>
      </c>
      <c r="CK134" s="30" t="n">
        <f aca="false">IF(ISNUMBER(CK126),ROUND(CK126-CK160,1),"")</f>
        <v>0</v>
      </c>
      <c r="CL134" s="30" t="n">
        <f aca="false">IF(ISNUMBER(CL126),ROUND(CL126-CL160,1),"")</f>
        <v>0</v>
      </c>
      <c r="CM134" s="32" t="n">
        <f aca="false">ROUND(CM126-CM160,1)</f>
        <v>0</v>
      </c>
      <c r="CN134" s="32" t="n">
        <f aca="false">ROUND(CN126-CN160,1)</f>
        <v>0</v>
      </c>
      <c r="CO134" s="32" t="n">
        <f aca="false">ROUND(CO126-CO160,1)</f>
        <v>0</v>
      </c>
      <c r="CP134" s="32" t="n">
        <f aca="false">ROUND(CP126-CP160,1)</f>
        <v>0</v>
      </c>
      <c r="CQ134" s="32" t="n">
        <f aca="false">ROUND(CQ126-CQ160,1)</f>
        <v>0</v>
      </c>
      <c r="CR134" s="32" t="n">
        <f aca="false">ROUND(CR126-CR160,1)</f>
        <v>0</v>
      </c>
      <c r="CS134" s="32" t="n">
        <f aca="false">ROUND(CS126-CS160,1)</f>
        <v>0</v>
      </c>
      <c r="CT134" s="23"/>
      <c r="CV134" s="7"/>
      <c r="CW134" s="7"/>
      <c r="CX134" s="7"/>
      <c r="CY134" s="7"/>
    </row>
    <row r="135" customFormat="false" ht="15" hidden="false" customHeight="true" outlineLevel="0" collapsed="false">
      <c r="B135" s="39" t="s">
        <v>236</v>
      </c>
      <c r="C135" s="30" t="str">
        <f aca="false">IF(AND(ISNUMBER(C123),ISNUMBER(C195)),ROUND(C123-C195,1),"n/p")</f>
        <v>n/p</v>
      </c>
      <c r="D135" s="30" t="str">
        <f aca="false">IF(AND(ISNUMBER(D123),ISNUMBER(D195)),ROUND(D123-D195,1),"n/p")</f>
        <v>n/p</v>
      </c>
      <c r="E135" s="30" t="str">
        <f aca="false">IF(AND(ISNUMBER(E123),ISNUMBER(E195)),ROUND(E123-E195,1),"n/p")</f>
        <v>n/p</v>
      </c>
      <c r="F135" s="30" t="str">
        <f aca="false">IF(AND(ISNUMBER(F123),ISNUMBER(F195)),ROUND(F123-F195,1),"n/p")</f>
        <v>n/p</v>
      </c>
      <c r="G135" s="30" t="str">
        <f aca="false">IF(AND(ISNUMBER(G123),ISNUMBER(G195)),ROUND(G123-G195,1),"n/p")</f>
        <v>n/p</v>
      </c>
      <c r="H135" s="30" t="str">
        <f aca="false">IF(AND(ISNUMBER(H123),ISNUMBER(H195)),ROUND(H123-H195,1),"n/p")</f>
        <v>n/p</v>
      </c>
      <c r="I135" s="30" t="str">
        <f aca="false">IF(AND(ISNUMBER(I123),ISNUMBER(I195)),ROUND(I123-I195,1),"n/p")</f>
        <v>n/p</v>
      </c>
      <c r="J135" s="30" t="str">
        <f aca="false">IF(AND(ISNUMBER(J123),ISNUMBER(J195)),ROUND(J123-J195,1),"n/p")</f>
        <v>n/p</v>
      </c>
      <c r="K135" s="30" t="str">
        <f aca="false">IF(AND(ISNUMBER(K123),ISNUMBER(K195)),ROUND(K123-K195,1),"n/p")</f>
        <v>n/p</v>
      </c>
      <c r="L135" s="30" t="str">
        <f aca="false">IF(AND(ISNUMBER(L123),ISNUMBER(L195)),ROUND(L123-L195,1),"n/p")</f>
        <v>n/p</v>
      </c>
      <c r="M135" s="30" t="str">
        <f aca="false">IF(AND(ISNUMBER(M123),ISNUMBER(M195)),ROUND(M123-M195,1),"n/p")</f>
        <v>n/p</v>
      </c>
      <c r="N135" s="30" t="str">
        <f aca="false">IF(AND(ISNUMBER(N123),ISNUMBER(N195)),ROUND(N123-N195,1),"n/p")</f>
        <v>n/p</v>
      </c>
      <c r="O135" s="30" t="str">
        <f aca="false">IF(AND(ISNUMBER(O123),ISNUMBER(O195)),ROUND(O123-O195,1),"n/p")</f>
        <v>n/p</v>
      </c>
      <c r="P135" s="30" t="str">
        <f aca="false">IF(AND(ISNUMBER(P123),ISNUMBER(P195)),ROUND(P123-P195,1),"n/p")</f>
        <v>n/p</v>
      </c>
      <c r="Q135" s="30" t="str">
        <f aca="false">IF(AND(ISNUMBER(Q123),ISNUMBER(Q195)),ROUND(Q123-Q195,1),"n/p")</f>
        <v>n/p</v>
      </c>
      <c r="R135" s="30" t="str">
        <f aca="false">IF(AND(ISNUMBER(R123),ISNUMBER(R195)),ROUND(R123-R195,1),"n/p")</f>
        <v>n/p</v>
      </c>
      <c r="S135" s="30" t="str">
        <f aca="false">IF(AND(ISNUMBER(S123),ISNUMBER(S195)),ROUND(S123-S195,1),"n/p")</f>
        <v>n/p</v>
      </c>
      <c r="T135" s="30" t="str">
        <f aca="false">IF(AND(ISNUMBER(T123),ISNUMBER(T195)),ROUND(T123-T195,1),"n/p")</f>
        <v>n/p</v>
      </c>
      <c r="U135" s="30" t="str">
        <f aca="false">IF(AND(ISNUMBER(U123),ISNUMBER(U195)),ROUND(U123-U195,1),"n/p")</f>
        <v>n/p</v>
      </c>
      <c r="V135" s="30" t="str">
        <f aca="false">IF(AND(ISNUMBER(V123),ISNUMBER(V195)),ROUND(V123-V195,1),"n/p")</f>
        <v>n/p</v>
      </c>
      <c r="W135" s="30" t="str">
        <f aca="false">IF(AND(ISNUMBER(W123),ISNUMBER(W195)),ROUND(W123-W195,1),"n/p")</f>
        <v>n/p</v>
      </c>
      <c r="X135" s="30" t="str">
        <f aca="false">IF(AND(ISNUMBER(X123),ISNUMBER(X195)),ROUND(X123-X195,1),"n/p")</f>
        <v>n/p</v>
      </c>
      <c r="Y135" s="30" t="str">
        <f aca="false">IF(AND(ISNUMBER(Y123),ISNUMBER(Y195)),ROUND(Y123-Y195,1),"n/p")</f>
        <v>n/p</v>
      </c>
      <c r="Z135" s="30" t="str">
        <f aca="false">IF(AND(ISNUMBER(Z123),ISNUMBER(Z195)),ROUND(Z123-Z195,1),"n/p")</f>
        <v>n/p</v>
      </c>
      <c r="AA135" s="30" t="str">
        <f aca="false">IF(AND(ISNUMBER(AA123),ISNUMBER(AA195)),ROUND(AA123-AA195,1),"n/p")</f>
        <v>n/p</v>
      </c>
      <c r="AB135" s="30" t="str">
        <f aca="false">IF(AND(ISNUMBER(AB123),ISNUMBER(AB195)),ROUND(AB123-AB195,1),"n/p")</f>
        <v>n/p</v>
      </c>
      <c r="AC135" s="30" t="str">
        <f aca="false">IF(AND(ISNUMBER(AC123),ISNUMBER(AC195)),ROUND(AC123-AC195,1),"n/p")</f>
        <v>n/p</v>
      </c>
      <c r="AD135" s="30" t="str">
        <f aca="false">IF(AND(ISNUMBER(AD123),ISNUMBER(AD195)),ROUND(AD123-AD195,1),"n/p")</f>
        <v>n/p</v>
      </c>
      <c r="AE135" s="30" t="str">
        <f aca="false">IF(AND(ISNUMBER(AE123),ISNUMBER(AE195)),ROUND(AE123-AE195,1),"n/p")</f>
        <v>n/p</v>
      </c>
      <c r="AF135" s="30" t="str">
        <f aca="false">IF(AND(ISNUMBER(AF123),ISNUMBER(AF195)),ROUND(AF123-AF195,1),"n/p")</f>
        <v>n/p</v>
      </c>
      <c r="AG135" s="30" t="str">
        <f aca="false">IF(AND(ISNUMBER(AG123),ISNUMBER(AG195)),ROUND(AG123-AG195,1),"n/p")</f>
        <v>n/p</v>
      </c>
      <c r="AH135" s="30" t="str">
        <f aca="false">IF(AND(ISNUMBER(AH123),ISNUMBER(AH195)),ROUND(AH123-AH195,1),"n/p")</f>
        <v>n/p</v>
      </c>
      <c r="AI135" s="30" t="str">
        <f aca="false">IF(AND(ISNUMBER(AI123),ISNUMBER(AI195)),ROUND(AI123-AI195,1),"n/p")</f>
        <v>n/p</v>
      </c>
      <c r="AJ135" s="30" t="str">
        <f aca="false">IF(AND(ISNUMBER(AJ123),ISNUMBER(AJ195)),ROUND(AJ123-AJ195,1),"n/p")</f>
        <v>n/p</v>
      </c>
      <c r="AK135" s="30" t="str">
        <f aca="false">IF(AND(ISNUMBER(AK123),ISNUMBER(AK195)),ROUND(AK123-AK195,1),"n/p")</f>
        <v>n/p</v>
      </c>
      <c r="AL135" s="30" t="str">
        <f aca="false">IF(AND(ISNUMBER(AL123),ISNUMBER(AL195)),ROUND(AL123-AL195,1),"n/p")</f>
        <v>n/p</v>
      </c>
      <c r="AM135" s="30" t="str">
        <f aca="false">IF(AND(ISNUMBER(AM123),ISNUMBER(AM195)),ROUND(AM123-AM195,1),"n/p")</f>
        <v>n/p</v>
      </c>
      <c r="AN135" s="30" t="str">
        <f aca="false">IF(AND(ISNUMBER(AN123),ISNUMBER(AN195)),ROUND(AN123-AN195,1),"n/p")</f>
        <v>n/p</v>
      </c>
      <c r="AO135" s="30" t="str">
        <f aca="false">IF(AND(ISNUMBER(AO123),ISNUMBER(AO195)),ROUND(AO123-AO195,1),"n/p")</f>
        <v>n/p</v>
      </c>
      <c r="AP135" s="30" t="str">
        <f aca="false">IF(AND(ISNUMBER(AP123),ISNUMBER(AP195)),ROUND(AP123-AP195,1),"n/p")</f>
        <v>n/p</v>
      </c>
      <c r="AQ135" s="30" t="str">
        <f aca="false">IF(AND(ISNUMBER(AQ123),ISNUMBER(AQ195)),ROUND(AQ123-AQ195,1),"n/p")</f>
        <v>n/p</v>
      </c>
      <c r="AR135" s="30" t="str">
        <f aca="false">IF(AND(ISNUMBER(AR123),ISNUMBER(AR195)),ROUND(AR123-AR195,1),"n/p")</f>
        <v>n/p</v>
      </c>
      <c r="AS135" s="30" t="str">
        <f aca="false">IF(AND(ISNUMBER(AS123),ISNUMBER(AS195)),ROUND(AS123-AS195,1),"n/p")</f>
        <v>n/p</v>
      </c>
      <c r="AT135" s="30" t="str">
        <f aca="false">IF(AND(ISNUMBER(AT123),ISNUMBER(AT195)),ROUND(AT123-AT195,1),"n/p")</f>
        <v>n/p</v>
      </c>
      <c r="AU135" s="30" t="str">
        <f aca="false">IF(AND(ISNUMBER(AU123),ISNUMBER(AU195)),ROUND(AU123-AU195,1),"n/p")</f>
        <v>n/p</v>
      </c>
      <c r="AV135" s="30" t="str">
        <f aca="false">IF(AND(ISNUMBER(AV123),ISNUMBER(AV195)),ROUND(AV123-AV195,1),"n/p")</f>
        <v>n/p</v>
      </c>
      <c r="AW135" s="30" t="str">
        <f aca="false">IF(AND(ISNUMBER(AW123),ISNUMBER(AW195)),ROUND(AW123-AW195,1),"n/p")</f>
        <v>n/p</v>
      </c>
      <c r="AX135" s="30" t="str">
        <f aca="false">IF(AND(ISNUMBER(AX123),ISNUMBER(AX195)),ROUND(AX123-AX195,1),"n/p")</f>
        <v>n/p</v>
      </c>
      <c r="AY135" s="30" t="str">
        <f aca="false">IF(AND(ISNUMBER(AY123),ISNUMBER(AY195)),ROUND(AY123-AY195,1),"n/p")</f>
        <v>n/p</v>
      </c>
      <c r="AZ135" s="30" t="n">
        <f aca="false">IF(AND(ISNUMBER(AZ123),ISNUMBER(AZ195)),ROUND(AZ123-AZ195,1),"n/p")</f>
        <v>0</v>
      </c>
      <c r="BA135" s="30" t="n">
        <f aca="false">IF(AND(ISNUMBER(BA123),ISNUMBER(BA195)),ROUND(BA123-BA195,1),"n/p")</f>
        <v>0</v>
      </c>
      <c r="BB135" s="30" t="n">
        <f aca="false">IF(AND(ISNUMBER(BB123),ISNUMBER(BB195)),ROUND(BB123-BB195,1),"n/p")</f>
        <v>0</v>
      </c>
      <c r="BC135" s="30" t="n">
        <f aca="false">IF(AND(ISNUMBER(BC123),ISNUMBER(BC195)),ROUND(BC123-BC195,1),"n/p")</f>
        <v>0</v>
      </c>
      <c r="BD135" s="30" t="n">
        <f aca="false">IF(AND(ISNUMBER(BD123),ISNUMBER(BD195)),ROUND(BD123-BD195,1),"n/p")</f>
        <v>0</v>
      </c>
      <c r="BE135" s="30" t="n">
        <f aca="false">IF(AND(ISNUMBER(BE123),ISNUMBER(BE195)),ROUND(BE123-BE195,1),"n/p")</f>
        <v>0</v>
      </c>
      <c r="BF135" s="30" t="n">
        <f aca="false">IF(AND(ISNUMBER(BF123),ISNUMBER(BF195)),ROUND(BF123-BF195,1),"n/p")</f>
        <v>0</v>
      </c>
      <c r="BG135" s="30" t="n">
        <f aca="false">IF(AND(ISNUMBER(BG123),ISNUMBER(BG195)),ROUND(BG123-BG195,1),"n/p")</f>
        <v>0</v>
      </c>
      <c r="BH135" s="30" t="n">
        <f aca="false">IF(AND(ISNUMBER(BH123),ISNUMBER(BH195)),ROUND(BH123-BH195,1),"n/p")</f>
        <v>0</v>
      </c>
      <c r="BI135" s="30" t="n">
        <f aca="false">IF(AND(ISNUMBER(BI123),ISNUMBER(BI195)),ROUND(BI123-BI195,1),"n/p")</f>
        <v>0</v>
      </c>
      <c r="BJ135" s="30" t="n">
        <f aca="false">IF(AND(ISNUMBER(BJ123),ISNUMBER(BJ195)),ROUND(BJ123-BJ195,1),"n/p")</f>
        <v>0</v>
      </c>
      <c r="BK135" s="30" t="n">
        <f aca="false">IF(AND(ISNUMBER(BK123),ISNUMBER(BK195)),ROUND(BK123-BK195,1),"n/p")</f>
        <v>0</v>
      </c>
      <c r="BL135" s="30" t="n">
        <f aca="false">IF(AND(ISNUMBER(BL123),ISNUMBER(BL195)),ROUND(BL123-BL195,1),"n/p")</f>
        <v>0</v>
      </c>
      <c r="BM135" s="30" t="n">
        <f aca="false">IF(AND(ISNUMBER(BM123),ISNUMBER(BM195)),ROUND(BM123-BM195,1),"n/p")</f>
        <v>0</v>
      </c>
      <c r="BN135" s="30" t="n">
        <f aca="false">IF(AND(ISNUMBER(BN123),ISNUMBER(BN195)),ROUND(BN123-BN195,1),"n/p")</f>
        <v>0</v>
      </c>
      <c r="BO135" s="30" t="n">
        <f aca="false">IF(AND(ISNUMBER(BO123),ISNUMBER(BO195)),ROUND(BO123-BO195,1),"n/p")</f>
        <v>0</v>
      </c>
      <c r="BP135" s="30" t="n">
        <f aca="false">IF(AND(ISNUMBER(BP123),ISNUMBER(BP195)),ROUND(BP123-BP195,1),"n/p")</f>
        <v>0</v>
      </c>
      <c r="BQ135" s="30" t="n">
        <f aca="false">IF(AND(ISNUMBER(BQ123),ISNUMBER(BQ195)),ROUND(BQ123-BQ195,1),"n/p")</f>
        <v>0</v>
      </c>
      <c r="BR135" s="30" t="n">
        <f aca="false">IF(AND(ISNUMBER(BR123),ISNUMBER(BR195)),ROUND(BR123-BR195,1),"n/p")</f>
        <v>0</v>
      </c>
      <c r="BS135" s="30" t="n">
        <f aca="false">IF(AND(ISNUMBER(BS123),ISNUMBER(BS195)),ROUND(BS123-BS195,1),"n/p")</f>
        <v>0</v>
      </c>
      <c r="BT135" s="30" t="n">
        <f aca="false">IF(AND(ISNUMBER(BT123),ISNUMBER(BT195)),ROUND(BT123-BT195,1),"n/p")</f>
        <v>0</v>
      </c>
      <c r="BU135" s="30" t="n">
        <f aca="false">IF(AND(ISNUMBER(BU123),ISNUMBER(BU195)),ROUND(BU123-BU195,1),"n/p")</f>
        <v>0</v>
      </c>
      <c r="BV135" s="30" t="n">
        <f aca="false">IF(AND(ISNUMBER(BV123),ISNUMBER(BV195)),ROUND(BV123-BV195,1),"n/p")</f>
        <v>0</v>
      </c>
      <c r="BW135" s="30" t="n">
        <f aca="false">IF(AND(ISNUMBER(BW123),ISNUMBER(BW195)),ROUND(BW123-BW195,1),"n/p")</f>
        <v>0</v>
      </c>
      <c r="BX135" s="30" t="n">
        <f aca="false">IF(AND(ISNUMBER(BX123),ISNUMBER(BX195)),ROUND(BX123-BX195,1),"n/p")</f>
        <v>0</v>
      </c>
      <c r="BY135" s="30" t="n">
        <f aca="false">IF(AND(ISNUMBER(BY123),ISNUMBER(BY195)),ROUND(BY123-BY195,1),"n/p")</f>
        <v>0</v>
      </c>
      <c r="BZ135" s="30" t="n">
        <f aca="false">IF(AND(ISNUMBER(BZ123),ISNUMBER(BZ195)),ROUND(BZ123-BZ195,1),"n/p")</f>
        <v>0</v>
      </c>
      <c r="CA135" s="30" t="n">
        <f aca="false">IF(AND(ISNUMBER(CA123),ISNUMBER(CA195)),ROUND(CA123-CA195,1),"n/p")</f>
        <v>0</v>
      </c>
      <c r="CB135" s="30" t="n">
        <f aca="false">IF(AND(ISNUMBER(CB123),ISNUMBER(CB195)),ROUND(CB123-CB195,1),"n/p")</f>
        <v>0</v>
      </c>
      <c r="CC135" s="30" t="n">
        <f aca="false">IF(AND(ISNUMBER(CC123),ISNUMBER(CC195)),ROUND(CC123-CC195,1),"n/p")</f>
        <v>0</v>
      </c>
      <c r="CD135" s="30" t="n">
        <f aca="false">IF(AND(ISNUMBER(CD123),ISNUMBER(CD195)),ROUND(CD123-CD195,1),"n/p")</f>
        <v>0</v>
      </c>
      <c r="CE135" s="30" t="n">
        <f aca="false">IF(AND(ISNUMBER(CE123),ISNUMBER(CE195)),ROUND(CE123-CE195,1),"n/p")</f>
        <v>0</v>
      </c>
      <c r="CF135" s="30" t="n">
        <f aca="false">IF(AND(ISNUMBER(CF123),ISNUMBER(CF195)),ROUND(CF123-CF195,1),"n/p")</f>
        <v>0</v>
      </c>
      <c r="CG135" s="30" t="n">
        <f aca="false">IF(AND(ISNUMBER(CG123),ISNUMBER(CG195)),ROUND(CG123-CG195,1),"n/p")</f>
        <v>0</v>
      </c>
      <c r="CH135" s="30" t="n">
        <f aca="false">IF(AND(ISNUMBER(CH123),ISNUMBER(CH195)),ROUND(CH123-CH195,1),"n/p")</f>
        <v>0</v>
      </c>
      <c r="CI135" s="30" t="n">
        <f aca="false">IF(AND(ISNUMBER(CI123),ISNUMBER(CI195)),ROUND(CI123-CI195,1),"n/p")</f>
        <v>0</v>
      </c>
      <c r="CJ135" s="30" t="n">
        <f aca="false">IF(AND(ISNUMBER(CJ123),ISNUMBER(CJ195)),ROUND(CJ123-CJ195,1),"n/p")</f>
        <v>0</v>
      </c>
      <c r="CK135" s="30" t="n">
        <f aca="false">IF(AND(ISNUMBER(CK123),ISNUMBER(CK195)),ROUND(CK123-CK195,1),"n/p")</f>
        <v>0</v>
      </c>
      <c r="CL135" s="30" t="n">
        <f aca="false">IF(AND(ISNUMBER(CL123),ISNUMBER(CL195)),ROUND(CL123-CL195,1),"n/p")</f>
        <v>0</v>
      </c>
      <c r="CM135" s="32" t="n">
        <f aca="false">ROUND(CM123-CM193,1)</f>
        <v>0</v>
      </c>
      <c r="CN135" s="32" t="n">
        <f aca="false">ROUND(CN123-CN193,1)</f>
        <v>0</v>
      </c>
      <c r="CO135" s="32" t="n">
        <f aca="false">ROUND(CO123-CO193,1)</f>
        <v>0</v>
      </c>
      <c r="CP135" s="32" t="n">
        <f aca="false">ROUND(CP123-CP193,1)</f>
        <v>0</v>
      </c>
      <c r="CQ135" s="32" t="n">
        <f aca="false">ROUND(CQ123-CQ193,1)</f>
        <v>0</v>
      </c>
      <c r="CR135" s="32" t="n">
        <f aca="false">ROUND(CR123-CR193,1)</f>
        <v>0</v>
      </c>
      <c r="CS135" s="32" t="n">
        <f aca="false">ROUND(CS123-CS193,1)</f>
        <v>0</v>
      </c>
      <c r="CT135" s="23"/>
      <c r="CV135" s="7"/>
      <c r="CW135" s="7"/>
      <c r="CX135" s="7"/>
      <c r="CY135" s="7"/>
    </row>
    <row r="136" customFormat="false" ht="15" hidden="false" customHeight="true" outlineLevel="0" collapsed="false">
      <c r="B136" s="13"/>
      <c r="CM136" s="7"/>
      <c r="CN136" s="7"/>
      <c r="CO136" s="7"/>
      <c r="CP136" s="7"/>
      <c r="CQ136" s="7"/>
      <c r="CR136" s="7"/>
      <c r="CS136" s="7"/>
      <c r="CT136" s="7"/>
    </row>
    <row r="137" customFormat="false" ht="15" hidden="false" customHeight="true" outlineLevel="0" collapsed="false">
      <c r="B137" s="17" t="s">
        <v>237</v>
      </c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8" t="s">
        <v>238</v>
      </c>
    </row>
    <row r="138" customFormat="false" ht="15" hidden="false" customHeight="true" outlineLevel="0" collapsed="false">
      <c r="B138" s="26" t="s">
        <v>239</v>
      </c>
      <c r="C138" s="40" t="n">
        <f aca="false">IFERROR(C155/C152,"")</f>
        <v>0.711833658945018</v>
      </c>
      <c r="D138" s="40" t="n">
        <f aca="false">IFERROR(D155/D152,"")</f>
        <v>0.700486962953831</v>
      </c>
      <c r="E138" s="40" t="n">
        <f aca="false">IFERROR(E155/E152,"")</f>
        <v>0.700290360046458</v>
      </c>
      <c r="F138" s="40" t="n">
        <f aca="false">IFERROR(F155/F152,"")</f>
        <v>0.712608195629805</v>
      </c>
      <c r="G138" s="40" t="n">
        <f aca="false">IFERROR(G155/G152,"")</f>
        <v>0.698272716214572</v>
      </c>
      <c r="H138" s="40" t="n">
        <f aca="false">IFERROR(H155/H152,"")</f>
        <v>0.664658324321541</v>
      </c>
      <c r="I138" s="40" t="n">
        <f aca="false">IFERROR(I155/I152,"")</f>
        <v>0.648286560428712</v>
      </c>
      <c r="J138" s="40" t="n">
        <f aca="false">IFERROR(J155/J152,"")</f>
        <v>0.64172813487882</v>
      </c>
      <c r="K138" s="40" t="n">
        <f aca="false">IFERROR(K155/K152,"")</f>
        <v>0.638269550748752</v>
      </c>
      <c r="L138" s="40" t="n">
        <f aca="false">IFERROR(L155/L152,"")</f>
        <v>0.639952153110048</v>
      </c>
      <c r="M138" s="40" t="n">
        <f aca="false">IFERROR(M155/M152,"")</f>
        <v>0.64555633310007</v>
      </c>
      <c r="N138" s="40" t="n">
        <f aca="false">IFERROR(N155/N152,"")</f>
        <v>0.640295005028495</v>
      </c>
      <c r="O138" s="40" t="n">
        <f aca="false">IFERROR(O155/O152,"")</f>
        <v>0.641409390233473</v>
      </c>
      <c r="P138" s="40" t="n">
        <f aca="false">IFERROR(P155/P152,"")</f>
        <v>0.613251961639058</v>
      </c>
      <c r="Q138" s="40" t="n">
        <f aca="false">IFERROR(Q155/Q152,"")</f>
        <v>0.616982080053592</v>
      </c>
      <c r="R138" s="40" t="n">
        <f aca="false">IFERROR(R155/R152,"")</f>
        <v>0.615154621561592</v>
      </c>
      <c r="S138" s="40" t="n">
        <f aca="false">IFERROR(S155/S152,"")</f>
        <v>0.62452171019797</v>
      </c>
      <c r="T138" s="40" t="n">
        <f aca="false">IFERROR(T155/T152,"")</f>
        <v>0.629278483046762</v>
      </c>
      <c r="U138" s="40" t="n">
        <f aca="false">IFERROR(U155/U152,"")</f>
        <v>0.621177944862155</v>
      </c>
      <c r="V138" s="40" t="n">
        <f aca="false">IFERROR(V155/V152,"")</f>
        <v>0.612212389380531</v>
      </c>
      <c r="W138" s="40" t="n">
        <f aca="false">IFERROR(W155/W152,"")</f>
        <v>0.619179504933356</v>
      </c>
      <c r="X138" s="40" t="n">
        <f aca="false">IFERROR(X155/X152,"")</f>
        <v>0.615734663516233</v>
      </c>
      <c r="Y138" s="40" t="n">
        <f aca="false">IFERROR(Y155/Y152,"")</f>
        <v>0.622614332012964</v>
      </c>
      <c r="Z138" s="40" t="n">
        <f aca="false">IFERROR(Z155/Z152,"")</f>
        <v>0.630666666666667</v>
      </c>
      <c r="AA138" s="40" t="n">
        <f aca="false">IFERROR(AA155/AA152,"")</f>
        <v>0.621295853096036</v>
      </c>
      <c r="AB138" s="40" t="n">
        <f aca="false">IFERROR(AB155/AB152,"")</f>
        <v>0.612252591894439</v>
      </c>
      <c r="AC138" s="40" t="n">
        <f aca="false">IFERROR(AC155/AC152,"")</f>
        <v>0.622938669631277</v>
      </c>
      <c r="AD138" s="40" t="n">
        <f aca="false">IFERROR(AD155/AD152,"")</f>
        <v>0.617641562324799</v>
      </c>
      <c r="AE138" s="40" t="n">
        <f aca="false">IFERROR(AE155/AE152,"")</f>
        <v>0.601746393318147</v>
      </c>
      <c r="AF138" s="40" t="n">
        <f aca="false">IFERROR(AF155/AF152,"")</f>
        <v>0.614939410381624</v>
      </c>
      <c r="AG138" s="40" t="n">
        <f aca="false">IFERROR(AG155/AG152,"")</f>
        <v>0.61305176984976</v>
      </c>
      <c r="AH138" s="40" t="n">
        <f aca="false">IFERROR(AH155/AH152,"")</f>
        <v>0.630630630630631</v>
      </c>
      <c r="AI138" s="40" t="n">
        <f aca="false">IFERROR(AI155/AI152,"")</f>
        <v>0.627626285203397</v>
      </c>
      <c r="AJ138" s="40" t="n">
        <f aca="false">IFERROR(AJ155/AJ152,"")</f>
        <v>0.629000969932105</v>
      </c>
      <c r="AK138" s="40" t="n">
        <f aca="false">IFERROR(AK155/AK152,"")</f>
        <v>0.617034128662036</v>
      </c>
      <c r="AL138" s="40" t="n">
        <f aca="false">IFERROR(AL155/AL152,"")</f>
        <v>0.620670073821692</v>
      </c>
      <c r="AM138" s="40" t="n">
        <f aca="false">IFERROR(AM155/AM152,"")</f>
        <v>0.623703817497504</v>
      </c>
      <c r="AN138" s="40" t="n">
        <f aca="false">IFERROR(AN155/AN152,"")</f>
        <v>0.629959746981024</v>
      </c>
      <c r="AO138" s="40" t="n">
        <f aca="false">IFERROR(AO155/AO152,"")</f>
        <v>0.610238907849829</v>
      </c>
      <c r="AP138" s="40" t="n">
        <f aca="false">IFERROR(AP155/AP152,"")</f>
        <v>0.619844548701071</v>
      </c>
      <c r="AQ138" s="40" t="n">
        <f aca="false">IFERROR(AQ155/AQ152,"")</f>
        <v>0.615193712946367</v>
      </c>
      <c r="AR138" s="40" t="n">
        <f aca="false">IFERROR(AR155/AR152,"")</f>
        <v>0.614110101549973</v>
      </c>
      <c r="AS138" s="40" t="n">
        <f aca="false">IFERROR(AS155/AS152,"")</f>
        <v>0.61720311530774</v>
      </c>
      <c r="AT138" s="40" t="n">
        <f aca="false">IFERROR(AT155/AT152,"")</f>
        <v>0.622517444981213</v>
      </c>
      <c r="AU138" s="40" t="n">
        <f aca="false">IFERROR(AU155/AU152,"")</f>
        <v>0.592838874680307</v>
      </c>
      <c r="AV138" s="40" t="n">
        <f aca="false">IFERROR(AV155/AV152,"")</f>
        <v>0.607320586694605</v>
      </c>
      <c r="AW138" s="40" t="n">
        <f aca="false">IFERROR(AW155/AW152,"")</f>
        <v>0.607953128895537</v>
      </c>
      <c r="AX138" s="40" t="n">
        <f aca="false">IFERROR(AX155/AX152,"")</f>
        <v>0.605490290098298</v>
      </c>
      <c r="AY138" s="40" t="n">
        <f aca="false">IFERROR(AY155/AY152,"")</f>
        <v>0.606998356302946</v>
      </c>
      <c r="AZ138" s="40" t="n">
        <f aca="false">IFERROR(AZ155/AZ152,"")</f>
        <v>0.62783583991843</v>
      </c>
      <c r="BA138" s="40" t="n">
        <f aca="false">IFERROR(BA155/BA152,"")</f>
        <v>0.619669043454864</v>
      </c>
      <c r="BB138" s="40" t="n">
        <f aca="false">IFERROR(BB155/BB152,"")</f>
        <v>0.623862818247268</v>
      </c>
      <c r="BC138" s="40" t="n">
        <f aca="false">IFERROR(BC155/BC152,"")</f>
        <v>0.61214953271028</v>
      </c>
      <c r="BD138" s="40" t="n">
        <f aca="false">IFERROR(BD155/BD152,"")</f>
        <v>0.609909798591375</v>
      </c>
      <c r="BE138" s="40" t="n">
        <f aca="false">IFERROR(BE155/BE152,"")</f>
        <v>0.617361156114315</v>
      </c>
      <c r="BF138" s="40" t="n">
        <f aca="false">IFERROR(BF155/BF152,"")</f>
        <v>0.611269703363535</v>
      </c>
      <c r="BG138" s="40" t="n">
        <f aca="false">IFERROR(BG155/BG152,"")</f>
        <v>0.591525423728814</v>
      </c>
      <c r="BH138" s="40" t="n">
        <f aca="false">IFERROR(BH155/BH152,"")</f>
        <v>0.599782010691856</v>
      </c>
      <c r="BI138" s="40" t="n">
        <f aca="false">IFERROR(BI155/BI152,"")</f>
        <v>0.600426861803491</v>
      </c>
      <c r="BJ138" s="40" t="n">
        <f aca="false">IFERROR(BJ155/BJ152,"")</f>
        <v>0.603038453151123</v>
      </c>
      <c r="BK138" s="40" t="n">
        <f aca="false">IFERROR(BK155/BK152,"")</f>
        <v>0.600936220011703</v>
      </c>
      <c r="BL138" s="40" t="n">
        <f aca="false">IFERROR(BL155/BL152,"")</f>
        <v>0.569719909159728</v>
      </c>
      <c r="BM138" s="40" t="n">
        <f aca="false">IFERROR(BM155/BM152,"")</f>
        <v>0.581649210798053</v>
      </c>
      <c r="BN138" s="40" t="n">
        <f aca="false">IFERROR(BN155/BN152,"")</f>
        <v>0.575762104004782</v>
      </c>
      <c r="BO138" s="40" t="n">
        <f aca="false">IFERROR(BO155/BO152,"")</f>
        <v>0.57626870049868</v>
      </c>
      <c r="BP138" s="40" t="n">
        <f aca="false">IFERROR(BP155/BP152,"")</f>
        <v>0.565011987025807</v>
      </c>
      <c r="BQ138" s="40" t="n">
        <f aca="false">IFERROR(BQ155/BQ152,"")</f>
        <v>0.573095665555271</v>
      </c>
      <c r="BR138" s="40" t="n">
        <f aca="false">IFERROR(BR155/BR152,"")</f>
        <v>0.571604135039399</v>
      </c>
      <c r="BS138" s="40" t="n">
        <f aca="false">IFERROR(BS155/BS152,"")</f>
        <v>0.565943707447182</v>
      </c>
      <c r="BT138" s="40" t="n">
        <f aca="false">IFERROR(BT155/BT152,"")</f>
        <v>0.568732193732194</v>
      </c>
      <c r="BU138" s="40" t="n">
        <f aca="false">IFERROR(BU155/BU152,"")</f>
        <v>0.568413547237077</v>
      </c>
      <c r="BV138" s="40" t="n">
        <f aca="false">IFERROR(BV155/BV152,"")</f>
        <v>0.562736842105263</v>
      </c>
      <c r="BW138" s="40" t="n">
        <f aca="false">IFERROR(BW155/BW152,"")</f>
        <v>0.567136900008872</v>
      </c>
      <c r="BX138" s="40" t="n">
        <f aca="false">IFERROR(BX155/BX152,"")</f>
        <v>0.570476261017702</v>
      </c>
      <c r="BY138" s="40" t="n">
        <f aca="false">IFERROR(BY155/BY152,"")</f>
        <v>0.568735899861728</v>
      </c>
      <c r="BZ138" s="40" t="n">
        <f aca="false">IFERROR(BZ155/BZ152,"")</f>
        <v>0.569598414213347</v>
      </c>
      <c r="CA138" s="40" t="n">
        <f aca="false">IFERROR(CA155/CA152,"")</f>
        <v>0.57076550051957</v>
      </c>
      <c r="CB138" s="40" t="n">
        <f aca="false">IFERROR(CB155/CB152,"")</f>
        <v>0.572189309725088</v>
      </c>
      <c r="CC138" s="40" t="n">
        <f aca="false">IFERROR(CC155/CC152,"")</f>
        <v>0.570582010582011</v>
      </c>
      <c r="CD138" s="40" t="n">
        <f aca="false">IFERROR(CD155/CD152,"")</f>
        <v>0.57272915373474</v>
      </c>
      <c r="CE138" s="40" t="n">
        <f aca="false">IFERROR(CE155/CE152,"")</f>
        <v>0.574156041487745</v>
      </c>
      <c r="CF138" s="40" t="n">
        <f aca="false">IFERROR(CF155/CF152,"")</f>
        <v>0.573457956539344</v>
      </c>
      <c r="CG138" s="40" t="n">
        <f aca="false">IFERROR(CG155/CG152,"")</f>
        <v>0.571614160441702</v>
      </c>
      <c r="CH138" s="40" t="n">
        <f aca="false">IFERROR(CH155/CH152,"")</f>
        <v>0.571295664578552</v>
      </c>
      <c r="CI138" s="40" t="n">
        <f aca="false">IFERROR(CI155/CI152,"")</f>
        <v>0.572423717173039</v>
      </c>
      <c r="CJ138" s="40" t="n">
        <f aca="false">IFERROR(CJ155/CJ152,"")</f>
        <v>0.568104608678931</v>
      </c>
      <c r="CK138" s="40" t="n">
        <f aca="false">IFERROR(CK155/CK152,"")</f>
        <v>0.55603007518797</v>
      </c>
      <c r="CL138" s="40" t="n">
        <f aca="false">IFERROR(CL155/CL152,"")</f>
        <v>0.561875504251226</v>
      </c>
      <c r="CM138" s="28" t="n">
        <f aca="false">CG138+$CL$138-$CF$138</f>
        <v>0.560031708153584</v>
      </c>
      <c r="CN138" s="28" t="n">
        <f aca="false">CH138+$CL$138-$CF$138</f>
        <v>0.559713212290434</v>
      </c>
      <c r="CO138" s="28" t="n">
        <f aca="false">IFERROR(CO155/CO152,"")</f>
        <v>0.560835966641606</v>
      </c>
      <c r="CP138" s="46" t="n">
        <v>0.564</v>
      </c>
      <c r="CQ138" s="46" t="n">
        <v>0.562</v>
      </c>
      <c r="CR138" s="46" t="n">
        <v>0.56</v>
      </c>
      <c r="CS138" s="46" t="n">
        <v>0.558</v>
      </c>
      <c r="CT138" s="23" t="s">
        <v>240</v>
      </c>
      <c r="CV138" s="41" t="n">
        <f aca="false">IFERROR(AVERAGE(CO138,CP138,CQ138,CR138,CS138),"n/m")</f>
        <v>0.560967193328321</v>
      </c>
      <c r="CW138" s="41" t="n">
        <f aca="false">IFERROR(AVERAGE(BK138,BQ138,BW138,CC138,CI138),"n/m")</f>
        <v>0.576834902666179</v>
      </c>
      <c r="CX138" s="41" t="n">
        <f aca="false">IFERROR(AVERAGE(AG138,AM138,AS138,AY138,BE138,BK138,BQ138,BW138,CC138,CI138),"n/m")</f>
        <v>0.596249272840316</v>
      </c>
      <c r="CY138" s="41" t="n">
        <f aca="false">IFERROR(AVERAGE(C138,D138,E138,F138,G138,H138,I138,O138,U138,AA138,AG138,AM138,AS138,AY138,BE138,BK138,BQ138,BW138,CC138,CI138),"n/m")</f>
        <v>0.634140634756738</v>
      </c>
    </row>
    <row r="139" customFormat="false" ht="15" hidden="false" customHeight="true" outlineLevel="0" collapsed="false">
      <c r="B139" s="26" t="s">
        <v>241</v>
      </c>
      <c r="C139" s="40" t="n">
        <f aca="false">IFERROR(C140/C152,"")</f>
        <v>0.0169550655874965</v>
      </c>
      <c r="D139" s="40" t="n">
        <f aca="false">IFERROR(D140/D152,"")</f>
        <v>0.0174443691055908</v>
      </c>
      <c r="E139" s="40" t="n">
        <f aca="false">IFERROR(E140/E152,"")</f>
        <v>0.0169570267131243</v>
      </c>
      <c r="F139" s="40" t="n">
        <f aca="false">IFERROR(F140/F152,"")</f>
        <v>0.0182192361237213</v>
      </c>
      <c r="G139" s="40" t="n">
        <f aca="false">IFERROR(G140/G152,"")</f>
        <v>0.0189149738474638</v>
      </c>
      <c r="H139" s="40" t="n">
        <f aca="false">IFERROR(H140/H152,"")</f>
        <v>0.0203923991966631</v>
      </c>
      <c r="I139" s="40" t="n">
        <f aca="false">IFERROR(I140/I152,"")</f>
        <v>0.0229868847835284</v>
      </c>
      <c r="J139" s="40" t="str">
        <f aca="false">IFERROR(J140/J152,"")</f>
        <v/>
      </c>
      <c r="K139" s="40" t="str">
        <f aca="false">IFERROR(K140/K152,"")</f>
        <v/>
      </c>
      <c r="L139" s="40" t="str">
        <f aca="false">IFERROR(L140/L152,"")</f>
        <v/>
      </c>
      <c r="M139" s="40" t="str">
        <f aca="false">IFERROR(M140/M152,"")</f>
        <v/>
      </c>
      <c r="N139" s="40" t="str">
        <f aca="false">IFERROR(N140/N152,"")</f>
        <v/>
      </c>
      <c r="O139" s="40" t="n">
        <f aca="false">IFERROR(O140/O152,"")</f>
        <v>0.0254853331052767</v>
      </c>
      <c r="P139" s="40" t="str">
        <f aca="false">IFERROR(P140/P152,"")</f>
        <v/>
      </c>
      <c r="Q139" s="40" t="str">
        <f aca="false">IFERROR(Q140/Q152,"")</f>
        <v/>
      </c>
      <c r="R139" s="40" t="str">
        <f aca="false">IFERROR(R140/R152,"")</f>
        <v/>
      </c>
      <c r="S139" s="40" t="str">
        <f aca="false">IFERROR(S140/S152,"")</f>
        <v/>
      </c>
      <c r="T139" s="40" t="str">
        <f aca="false">IFERROR(T140/T152,"")</f>
        <v/>
      </c>
      <c r="U139" s="40" t="n">
        <f aca="false">IFERROR(U140/U152,"")</f>
        <v>0.0260233918128655</v>
      </c>
      <c r="V139" s="40" t="str">
        <f aca="false">IFERROR(V140/V152,"")</f>
        <v/>
      </c>
      <c r="W139" s="40" t="str">
        <f aca="false">IFERROR(W140/W152,"")</f>
        <v/>
      </c>
      <c r="X139" s="40" t="str">
        <f aca="false">IFERROR(X140/X152,"")</f>
        <v/>
      </c>
      <c r="Y139" s="40" t="str">
        <f aca="false">IFERROR(Y140/Y152,"")</f>
        <v/>
      </c>
      <c r="Z139" s="40" t="str">
        <f aca="false">IFERROR(Z140/Z152,"")</f>
        <v/>
      </c>
      <c r="AA139" s="40" t="n">
        <f aca="false">IFERROR(AA140/AA152,"")</f>
        <v>0.0259779818110613</v>
      </c>
      <c r="AB139" s="40" t="str">
        <f aca="false">IFERROR(AB140/AB152,"")</f>
        <v/>
      </c>
      <c r="AC139" s="40" t="str">
        <f aca="false">IFERROR(AC140/AC152,"")</f>
        <v/>
      </c>
      <c r="AD139" s="40" t="str">
        <f aca="false">IFERROR(AD140/AD152,"")</f>
        <v/>
      </c>
      <c r="AE139" s="40" t="str">
        <f aca="false">IFERROR(AE140/AE152,"")</f>
        <v/>
      </c>
      <c r="AF139" s="40" t="str">
        <f aca="false">IFERROR(AF140/AF152,"")</f>
        <v/>
      </c>
      <c r="AG139" s="40" t="n">
        <f aca="false">IFERROR(AG140/AG152,"")</f>
        <v>0.0274431368900879</v>
      </c>
      <c r="AH139" s="40" t="str">
        <f aca="false">IFERROR(AH140/AH152,"")</f>
        <v/>
      </c>
      <c r="AI139" s="40" t="str">
        <f aca="false">IFERROR(AI140/AI152,"")</f>
        <v/>
      </c>
      <c r="AJ139" s="40" t="str">
        <f aca="false">IFERROR(AJ140/AJ152,"")</f>
        <v/>
      </c>
      <c r="AK139" s="40" t="str">
        <f aca="false">IFERROR(AK140/AK152,"")</f>
        <v/>
      </c>
      <c r="AL139" s="40" t="str">
        <f aca="false">IFERROR(AL140/AL152,"")</f>
        <v/>
      </c>
      <c r="AM139" s="40" t="n">
        <f aca="false">IFERROR(AM140/AM152,"")</f>
        <v>0.0274982717566633</v>
      </c>
      <c r="AN139" s="40" t="str">
        <f aca="false">IFERROR(AN140/AN152,"")</f>
        <v/>
      </c>
      <c r="AO139" s="40" t="str">
        <f aca="false">IFERROR(AO140/AO152,"")</f>
        <v/>
      </c>
      <c r="AP139" s="40" t="str">
        <f aca="false">IFERROR(AP140/AP152,"")</f>
        <v/>
      </c>
      <c r="AQ139" s="40" t="str">
        <f aca="false">IFERROR(AQ140/AQ152,"")</f>
        <v/>
      </c>
      <c r="AR139" s="40" t="str">
        <f aca="false">IFERROR(AR140/AR152,"")</f>
        <v/>
      </c>
      <c r="AS139" s="40" t="n">
        <f aca="false">IFERROR(AS140/AS152,"")</f>
        <v>0.0253291060720932</v>
      </c>
      <c r="AT139" s="40" t="str">
        <f aca="false">IFERROR(AT140/AT152,"")</f>
        <v/>
      </c>
      <c r="AU139" s="40" t="str">
        <f aca="false">IFERROR(AU140/AU152,"")</f>
        <v/>
      </c>
      <c r="AV139" s="40" t="str">
        <f aca="false">IFERROR(AV140/AV152,"")</f>
        <v/>
      </c>
      <c r="AW139" s="40" t="str">
        <f aca="false">IFERROR(AW140/AW152,"")</f>
        <v/>
      </c>
      <c r="AX139" s="40" t="str">
        <f aca="false">IFERROR(AX140/AX152,"")</f>
        <v/>
      </c>
      <c r="AY139" s="40" t="n">
        <f aca="false">IFERROR(AY140/AY152,"")</f>
        <v>0.0238336072828423</v>
      </c>
      <c r="AZ139" s="40" t="n">
        <f aca="false">IFERROR(AZ140/AZ152,"")</f>
        <v>0.025108335457558</v>
      </c>
      <c r="BA139" s="40" t="n">
        <f aca="false">IFERROR(BA140/BA152,"")</f>
        <v>0.0259652899233149</v>
      </c>
      <c r="BB139" s="40" t="n">
        <f aca="false">IFERROR(BB140/BB152,"")</f>
        <v>0.025525230708816</v>
      </c>
      <c r="BC139" s="40" t="n">
        <f aca="false">IFERROR(BC140/BC152,"")</f>
        <v>0.0257676902536716</v>
      </c>
      <c r="BD139" s="40" t="n">
        <f aca="false">IFERROR(BD140/BD152,"")</f>
        <v>0.023600642530582</v>
      </c>
      <c r="BE139" s="40" t="n">
        <f aca="false">IFERROR(BE140/BE152,"")</f>
        <v>0.0250793856522584</v>
      </c>
      <c r="BF139" s="40" t="n">
        <f aca="false">IFERROR(BF140/BF152,"")</f>
        <v>0.0242025567829217</v>
      </c>
      <c r="BG139" s="40" t="n">
        <f aca="false">IFERROR(BG140/BG152,"")</f>
        <v>0.0239964317573595</v>
      </c>
      <c r="BH139" s="40" t="n">
        <f aca="false">IFERROR(BH140/BH152,"")</f>
        <v>0.0240826283282296</v>
      </c>
      <c r="BI139" s="40" t="n">
        <f aca="false">IFERROR(BI140/BI152,"")</f>
        <v>0.026602637396143</v>
      </c>
      <c r="BJ139" s="40" t="n">
        <f aca="false">IFERROR(BJ140/BJ152,"")</f>
        <v>0.0252962128371011</v>
      </c>
      <c r="BK139" s="40" t="n">
        <f aca="false">IFERROR(BK140/BK152,"")</f>
        <v>0.0251609128145114</v>
      </c>
      <c r="BL139" s="40" t="n">
        <f aca="false">IFERROR(BL140/BL152,"")</f>
        <v>0.0252081756245269</v>
      </c>
      <c r="BM139" s="40" t="n">
        <f aca="false">IFERROR(BM140/BM152,"")</f>
        <v>0.0231597580764125</v>
      </c>
      <c r="BN139" s="40" t="n">
        <f aca="false">IFERROR(BN140/BN152,"")</f>
        <v>0.024170651524208</v>
      </c>
      <c r="BO139" s="40" t="n">
        <f aca="false">IFERROR(BO140/BO152,"")</f>
        <v>0.0233939571721913</v>
      </c>
      <c r="BP139" s="40" t="n">
        <f aca="false">IFERROR(BP140/BP152,"")</f>
        <v>0.023903539698209</v>
      </c>
      <c r="BQ139" s="40" t="n">
        <f aca="false">IFERROR(BQ140/BQ152,"")</f>
        <v>0.0239072289598065</v>
      </c>
      <c r="BR139" s="40" t="n">
        <f aca="false">IFERROR(BR140/BR152,"")</f>
        <v>0.0234222511385816</v>
      </c>
      <c r="BS139" s="40" t="n">
        <f aca="false">IFERROR(BS140/BS152,"")</f>
        <v>0.0215483961535762</v>
      </c>
      <c r="BT139" s="40" t="n">
        <f aca="false">IFERROR(BT140/BT152,"")</f>
        <v>0.02247150997151</v>
      </c>
      <c r="BU139" s="40" t="n">
        <f aca="false">IFERROR(BU140/BU152,"")</f>
        <v>0.0198217468805704</v>
      </c>
      <c r="BV139" s="40" t="n">
        <f aca="false">IFERROR(BV140/BV152,"")</f>
        <v>0.0202105263157895</v>
      </c>
      <c r="BW139" s="40" t="n">
        <f aca="false">IFERROR(BW140/BW152,"")</f>
        <v>0.0212403513441576</v>
      </c>
      <c r="BX139" s="40" t="n">
        <f aca="false">IFERROR(BX140/BX152,"")</f>
        <v>0.0211836160284423</v>
      </c>
      <c r="BY139" s="40" t="n">
        <f aca="false">IFERROR(BY140/BY152,"")</f>
        <v>0.0208863983698421</v>
      </c>
      <c r="BZ139" s="40" t="n">
        <f aca="false">IFERROR(BZ140/BZ152,"")</f>
        <v>0.0210336979663755</v>
      </c>
      <c r="CA139" s="40" t="n">
        <f aca="false">IFERROR(CA140/CA152,"")</f>
        <v>0.0187738136473848</v>
      </c>
      <c r="CB139" s="40" t="n">
        <f aca="false">IFERROR(CB140/CB152,"")</f>
        <v>0.0183052652599348</v>
      </c>
      <c r="CC139" s="40" t="n">
        <f aca="false">IFERROR(CC140/CC152,"")</f>
        <v>0.0197354497354497</v>
      </c>
      <c r="CD139" s="40" t="n">
        <f aca="false">IFERROR(CD140/CD152,"")</f>
        <v>0.0197944685840403</v>
      </c>
      <c r="CE139" s="40" t="n">
        <f aca="false">IFERROR(CE140/CE152,"")</f>
        <v>0.0210741890731321</v>
      </c>
      <c r="CF139" s="40" t="n">
        <f aca="false">IFERROR(CF140/CF152,"")</f>
        <v>0.0204481036577136</v>
      </c>
      <c r="CG139" s="40" t="n">
        <f aca="false">IFERROR(CG140/CG152,"")</f>
        <v>0.0190971094511205</v>
      </c>
      <c r="CH139" s="40" t="n">
        <f aca="false">IFERROR(CH140/CH152,"")</f>
        <v>0.0184208894126403</v>
      </c>
      <c r="CI139" s="40" t="n">
        <f aca="false">IFERROR(CI140/CI152,"")</f>
        <v>0.0195735356640612</v>
      </c>
      <c r="CJ139" s="40" t="n">
        <f aca="false">IFERROR(CJ140/CJ152,"")</f>
        <v>0.0189731427472598</v>
      </c>
      <c r="CK139" s="40" t="n">
        <f aca="false">IFERROR(CK140/CK152,"")</f>
        <v>0.0178646616541353</v>
      </c>
      <c r="CL139" s="40" t="n">
        <f aca="false">IFERROR(CL140/CL152,"")</f>
        <v>0.0184012908831378</v>
      </c>
      <c r="CM139" s="28" t="n">
        <f aca="false">$CL$139</f>
        <v>0.0184012908831378</v>
      </c>
      <c r="CN139" s="28" t="n">
        <f aca="false">$CL$139</f>
        <v>0.0184012908831378</v>
      </c>
      <c r="CO139" s="28" t="n">
        <f aca="false">IFERROR(CO140/CO152,"")</f>
        <v>0.0184012908831378</v>
      </c>
      <c r="CP139" s="46" t="n">
        <v>0.0195</v>
      </c>
      <c r="CQ139" s="46" t="n">
        <v>0.0195</v>
      </c>
      <c r="CR139" s="46" t="n">
        <v>0.0195</v>
      </c>
      <c r="CS139" s="46" t="n">
        <v>0.0195</v>
      </c>
      <c r="CT139" s="23"/>
      <c r="CV139" s="41" t="n">
        <f aca="false">IFERROR(AVERAGE(CO139,CP139,CQ139,CR139,CS139),"n/m")</f>
        <v>0.0192802581766276</v>
      </c>
      <c r="CW139" s="41" t="n">
        <f aca="false">IFERROR(AVERAGE(BK139,BQ139,BW139,CC139,CI139),"n/m")</f>
        <v>0.0219234957035973</v>
      </c>
      <c r="CX139" s="41" t="n">
        <f aca="false">IFERROR(AVERAGE(AG139,AM139,AS139,AY139,BE139,BK139,BQ139,BW139,CC139,CI139),"n/m")</f>
        <v>0.0238800986171932</v>
      </c>
      <c r="CY139" s="41" t="n">
        <f aca="false">IFERROR(AVERAGE(C139,D139,E139,F139,G139,H139,I139,O139,U139,AA139,AG139,AM139,AS139,AY139,BE139,BK139,BQ139,BW139,CC139,CI139),"n/m")</f>
        <v>0.0224078824129362</v>
      </c>
    </row>
    <row r="140" customFormat="false" ht="15" hidden="false" customHeight="true" outlineLevel="0" collapsed="false">
      <c r="B140" s="13" t="s">
        <v>242</v>
      </c>
      <c r="C140" s="30" t="n">
        <f aca="false">IF(AND(ISNUMBER(C174),ISNUMBER(C125)),C174-C125,"")</f>
        <v>24.3</v>
      </c>
      <c r="D140" s="30" t="n">
        <f aca="false">IF(AND(ISNUMBER(D174),ISNUMBER(D125)),D174-D125,"")</f>
        <v>28.3</v>
      </c>
      <c r="E140" s="30" t="n">
        <f aca="false">IF(AND(ISNUMBER(E174),ISNUMBER(E125)),E174-E125,"")</f>
        <v>29.2</v>
      </c>
      <c r="F140" s="30" t="n">
        <f aca="false">IF(AND(ISNUMBER(F174),ISNUMBER(F125)),F174-F125,"")</f>
        <v>30.1</v>
      </c>
      <c r="G140" s="30" t="n">
        <f aca="false">IF(AND(ISNUMBER(G174),ISNUMBER(G125)),G174-G125,"")</f>
        <v>31.1</v>
      </c>
      <c r="H140" s="30" t="n">
        <f aca="false">IF(AND(ISNUMBER(H174),ISNUMBER(H125)),H174-H125,"")</f>
        <v>39.6</v>
      </c>
      <c r="I140" s="30" t="n">
        <f aca="false">IF(AND(ISNUMBER(I174),ISNUMBER(I125)),I174-I125,"")</f>
        <v>48.9</v>
      </c>
      <c r="J140" s="30" t="str">
        <f aca="false">IF(AND(ISNUMBER(J174),ISNUMBER(J125)),J174-J125,"")</f>
        <v/>
      </c>
      <c r="K140" s="30" t="str">
        <f aca="false">IF(AND(ISNUMBER(K174),ISNUMBER(K125)),K174-K125,"")</f>
        <v/>
      </c>
      <c r="L140" s="30" t="str">
        <f aca="false">IF(AND(ISNUMBER(L174),ISNUMBER(L125)),L174-L125,"")</f>
        <v/>
      </c>
      <c r="M140" s="30" t="str">
        <f aca="false">IF(AND(ISNUMBER(M174),ISNUMBER(M125)),M174-M125,"")</f>
        <v/>
      </c>
      <c r="N140" s="30" t="str">
        <f aca="false">IF(AND(ISNUMBER(N174),ISNUMBER(N125)),N174-N125,"")</f>
        <v/>
      </c>
      <c r="O140" s="30" t="n">
        <f aca="false">IF(AND(ISNUMBER(O174),ISNUMBER(O125)),O174-O125,"")</f>
        <v>59.6</v>
      </c>
      <c r="P140" s="30" t="str">
        <f aca="false">IF(AND(ISNUMBER(P174),ISNUMBER(P125)),P174-P125,"")</f>
        <v/>
      </c>
      <c r="Q140" s="30" t="str">
        <f aca="false">IF(AND(ISNUMBER(Q174),ISNUMBER(Q125)),Q174-Q125,"")</f>
        <v/>
      </c>
      <c r="R140" s="30" t="str">
        <f aca="false">IF(AND(ISNUMBER(R174),ISNUMBER(R125)),R174-R125,"")</f>
        <v/>
      </c>
      <c r="S140" s="30" t="str">
        <f aca="false">IF(AND(ISNUMBER(S174),ISNUMBER(S125)),S174-S125,"")</f>
        <v/>
      </c>
      <c r="T140" s="30" t="str">
        <f aca="false">IF(AND(ISNUMBER(T174),ISNUMBER(T125)),T174-T125,"")</f>
        <v/>
      </c>
      <c r="U140" s="30" t="n">
        <f aca="false">IF(AND(ISNUMBER(U174),ISNUMBER(U125)),U174-U125,"")</f>
        <v>62.3</v>
      </c>
      <c r="V140" s="30" t="str">
        <f aca="false">IF(AND(ISNUMBER(V174),ISNUMBER(V125)),V174-V125,"")</f>
        <v/>
      </c>
      <c r="W140" s="30" t="str">
        <f aca="false">IF(AND(ISNUMBER(W174),ISNUMBER(W125)),W174-W125,"")</f>
        <v/>
      </c>
      <c r="X140" s="30" t="str">
        <f aca="false">IF(AND(ISNUMBER(X174),ISNUMBER(X125)),X174-X125,"")</f>
        <v/>
      </c>
      <c r="Y140" s="30" t="str">
        <f aca="false">IF(AND(ISNUMBER(Y174),ISNUMBER(Y125)),Y174-Y125,"")</f>
        <v/>
      </c>
      <c r="Z140" s="30" t="str">
        <f aca="false">IF(AND(ISNUMBER(Z174),ISNUMBER(Z125)),Z174-Z125,"")</f>
        <v/>
      </c>
      <c r="AA140" s="30" t="n">
        <f aca="false">IF(AND(ISNUMBER(AA174),ISNUMBER(AA125)),AA174-AA125,"")</f>
        <v>59.7</v>
      </c>
      <c r="AB140" s="30" t="str">
        <f aca="false">IF(AND(ISNUMBER(AB174),ISNUMBER(AB125)),AB174-AB125,"")</f>
        <v/>
      </c>
      <c r="AC140" s="30" t="str">
        <f aca="false">IF(AND(ISNUMBER(AC174),ISNUMBER(AC125)),AC174-AC125,"")</f>
        <v/>
      </c>
      <c r="AD140" s="30" t="str">
        <f aca="false">IF(AND(ISNUMBER(AD174),ISNUMBER(AD125)),AD174-AD125,"")</f>
        <v/>
      </c>
      <c r="AE140" s="30" t="str">
        <f aca="false">IF(AND(ISNUMBER(AE174),ISNUMBER(AE125)),AE174-AE125,"")</f>
        <v/>
      </c>
      <c r="AF140" s="30" t="str">
        <f aca="false">IF(AND(ISNUMBER(AF174),ISNUMBER(AF125)),AF174-AF125,"")</f>
        <v/>
      </c>
      <c r="AG140" s="30" t="n">
        <f aca="false">IF(AND(ISNUMBER(AG174),ISNUMBER(AG125)),AG174-AG125,"")</f>
        <v>59</v>
      </c>
      <c r="AH140" s="30" t="str">
        <f aca="false">IF(AND(ISNUMBER(AH174),ISNUMBER(AH125)),AH174-AH125,"")</f>
        <v/>
      </c>
      <c r="AI140" s="30" t="str">
        <f aca="false">IF(AND(ISNUMBER(AI174),ISNUMBER(AI125)),AI174-AI125,"")</f>
        <v/>
      </c>
      <c r="AJ140" s="30" t="str">
        <f aca="false">IF(AND(ISNUMBER(AJ174),ISNUMBER(AJ125)),AJ174-AJ125,"")</f>
        <v/>
      </c>
      <c r="AK140" s="30" t="str">
        <f aca="false">IF(AND(ISNUMBER(AK174),ISNUMBER(AK125)),AK174-AK125,"")</f>
        <v/>
      </c>
      <c r="AL140" s="30" t="str">
        <f aca="false">IF(AND(ISNUMBER(AL174),ISNUMBER(AL125)),AL174-AL125,"")</f>
        <v/>
      </c>
      <c r="AM140" s="30" t="n">
        <f aca="false">IF(AND(ISNUMBER(AM174),ISNUMBER(AM125)),AM174-AM125,"")</f>
        <v>71.6</v>
      </c>
      <c r="AN140" s="30" t="str">
        <f aca="false">IF(AND(ISNUMBER(AN174),ISNUMBER(AN125)),AN174-AN125,"")</f>
        <v/>
      </c>
      <c r="AO140" s="30" t="str">
        <f aca="false">IF(AND(ISNUMBER(AO174),ISNUMBER(AO125)),AO174-AO125,"")</f>
        <v/>
      </c>
      <c r="AP140" s="30" t="str">
        <f aca="false">IF(AND(ISNUMBER(AP174),ISNUMBER(AP125)),AP174-AP125,"")</f>
        <v/>
      </c>
      <c r="AQ140" s="30" t="str">
        <f aca="false">IF(AND(ISNUMBER(AQ174),ISNUMBER(AQ125)),AQ174-AQ125,"")</f>
        <v/>
      </c>
      <c r="AR140" s="30" t="str">
        <f aca="false">IF(AND(ISNUMBER(AR174),ISNUMBER(AR125)),AR174-AR125,"")</f>
        <v/>
      </c>
      <c r="AS140" s="30" t="n">
        <f aca="false">IF(AND(ISNUMBER(AS174),ISNUMBER(AS125)),AS174-AS125,"")</f>
        <v>73.5</v>
      </c>
      <c r="AT140" s="30" t="str">
        <f aca="false">IF(AND(ISNUMBER(AT174),ISNUMBER(AT125)),AT174-AT125,"")</f>
        <v/>
      </c>
      <c r="AU140" s="30" t="str">
        <f aca="false">IF(AND(ISNUMBER(AU174),ISNUMBER(AU125)),AU174-AU125,"")</f>
        <v/>
      </c>
      <c r="AV140" s="30" t="str">
        <f aca="false">IF(AND(ISNUMBER(AV174),ISNUMBER(AV125)),AV174-AV125,"")</f>
        <v/>
      </c>
      <c r="AW140" s="30" t="str">
        <f aca="false">IF(AND(ISNUMBER(AW174),ISNUMBER(AW125)),AW174-AW125,"")</f>
        <v/>
      </c>
      <c r="AX140" s="30" t="str">
        <f aca="false">IF(AND(ISNUMBER(AX174),ISNUMBER(AX125)),AX174-AX125,"")</f>
        <v/>
      </c>
      <c r="AY140" s="30" t="n">
        <f aca="false">IF(AND(ISNUMBER(AY174),ISNUMBER(AY125)),AY174-AY125,"")</f>
        <v>75.4</v>
      </c>
      <c r="AZ140" s="30" t="n">
        <f aca="false">IF(AND(ISNUMBER(AZ174),ISNUMBER(AZ125)),AZ174-AZ125,"")</f>
        <v>19.7</v>
      </c>
      <c r="BA140" s="30" t="n">
        <f aca="false">IF(AND(ISNUMBER(BA174),ISNUMBER(BA125)),BA174-BA125,"")</f>
        <v>19.3</v>
      </c>
      <c r="BB140" s="30" t="n">
        <f aca="false">IF(AND(ISNUMBER(BB174),ISNUMBER(BB125)),BB174-BB125,"")</f>
        <v>39</v>
      </c>
      <c r="BC140" s="30" t="n">
        <f aca="false">IF(AND(ISNUMBER(BC174),ISNUMBER(BC125)),BC174-BC125,"")</f>
        <v>19.3</v>
      </c>
      <c r="BD140" s="30" t="n">
        <f aca="false">IF(AND(ISNUMBER(BD174),ISNUMBER(BD125)),BD174-BD125,"")</f>
        <v>19.1</v>
      </c>
      <c r="BE140" s="30" t="n">
        <f aca="false">IF(AND(ISNUMBER(BE174),ISNUMBER(BE125)),BE174-BE125,"")</f>
        <v>77.4</v>
      </c>
      <c r="BF140" s="30" t="n">
        <f aca="false">IF(AND(ISNUMBER(BF174),ISNUMBER(BF125)),BF174-BF125,"")</f>
        <v>19.5</v>
      </c>
      <c r="BG140" s="30" t="n">
        <f aca="false">IF(AND(ISNUMBER(BG174),ISNUMBER(BG125)),BG174-BG125,"")</f>
        <v>26.9</v>
      </c>
      <c r="BH140" s="30" t="n">
        <f aca="false">IF(AND(ISNUMBER(BH174),ISNUMBER(BH125)),BH174-BH125,"")</f>
        <v>46.4</v>
      </c>
      <c r="BI140" s="30" t="n">
        <f aca="false">IF(AND(ISNUMBER(BI174),ISNUMBER(BI125)),BI174-BI125,"")</f>
        <v>34.9</v>
      </c>
      <c r="BJ140" s="30" t="n">
        <f aca="false">IF(AND(ISNUMBER(BJ174),ISNUMBER(BJ125)),BJ174-BJ125,"")</f>
        <v>34.8</v>
      </c>
      <c r="BK140" s="30" t="n">
        <f aca="false">IF(AND(ISNUMBER(BK174),ISNUMBER(BK125)),BK174-BK125,"")</f>
        <v>116.1</v>
      </c>
      <c r="BL140" s="30" t="n">
        <f aca="false">IF(AND(ISNUMBER(BL174),ISNUMBER(BL125)),BL174-BL125,"")</f>
        <v>33.3</v>
      </c>
      <c r="BM140" s="30" t="n">
        <f aca="false">IF(AND(ISNUMBER(BM174),ISNUMBER(BM125)),BM174-BM125,"")</f>
        <v>31.4</v>
      </c>
      <c r="BN140" s="30" t="n">
        <f aca="false">IF(AND(ISNUMBER(BN174),ISNUMBER(BN125)),BN174-BN125,"")</f>
        <v>64.7</v>
      </c>
      <c r="BO140" s="30" t="n">
        <f aca="false">IF(AND(ISNUMBER(BO174),ISNUMBER(BO125)),BO174-BO125,"")</f>
        <v>31.9</v>
      </c>
      <c r="BP140" s="30" t="n">
        <f aca="false">IF(AND(ISNUMBER(BP174),ISNUMBER(BP125)),BP174-BP125,"")</f>
        <v>33.9</v>
      </c>
      <c r="BQ140" s="30" t="n">
        <f aca="false">IF(AND(ISNUMBER(BQ174),ISNUMBER(BQ125)),BQ174-BQ125,"")</f>
        <v>130.5</v>
      </c>
      <c r="BR140" s="30" t="n">
        <f aca="false">IF(AND(ISNUMBER(BR174),ISNUMBER(BR125)),BR174-BR125,"")</f>
        <v>32.4</v>
      </c>
      <c r="BS140" s="30" t="n">
        <f aca="false">IF(AND(ISNUMBER(BS174),ISNUMBER(BS125)),BS174-BS125,"")</f>
        <v>30.7</v>
      </c>
      <c r="BT140" s="30" t="n">
        <f aca="false">IF(AND(ISNUMBER(BT174),ISNUMBER(BT125)),BT174-BT125,"")</f>
        <v>63.1</v>
      </c>
      <c r="BU140" s="30" t="n">
        <f aca="false">IF(AND(ISNUMBER(BU174),ISNUMBER(BU125)),BU174-BU125,"")</f>
        <v>27.8</v>
      </c>
      <c r="BV140" s="30" t="n">
        <f aca="false">IF(AND(ISNUMBER(BV174),ISNUMBER(BV125)),BV174-BV125,"")</f>
        <v>28.8</v>
      </c>
      <c r="BW140" s="30" t="n">
        <f aca="false">IF(AND(ISNUMBER(BW174),ISNUMBER(BW125)),BW174-BW125,"")</f>
        <v>119.7</v>
      </c>
      <c r="BX140" s="30" t="n">
        <f aca="false">IF(AND(ISNUMBER(BX174),ISNUMBER(BX125)),BX174-BX125,"")</f>
        <v>28.6</v>
      </c>
      <c r="BY140" s="30" t="n">
        <f aca="false">IF(AND(ISNUMBER(BY174),ISNUMBER(BY125)),BY174-BY125,"")</f>
        <v>28.7</v>
      </c>
      <c r="BZ140" s="30" t="n">
        <f aca="false">IF(AND(ISNUMBER(BZ174),ISNUMBER(BZ125)),BZ174-BZ125,"")</f>
        <v>57.3</v>
      </c>
      <c r="CA140" s="30" t="n">
        <f aca="false">IF(AND(ISNUMBER(CA174),ISNUMBER(CA125)),CA174-CA125,"")</f>
        <v>27.1</v>
      </c>
      <c r="CB140" s="30" t="n">
        <f aca="false">IF(AND(ISNUMBER(CB174),ISNUMBER(CB125)),CB174-CB125,"")</f>
        <v>27.5</v>
      </c>
      <c r="CC140" s="30" t="n">
        <f aca="false">IF(AND(ISNUMBER(CC174),ISNUMBER(CC125)),CC174-CC125,"")</f>
        <v>111.9</v>
      </c>
      <c r="CD140" s="30" t="n">
        <f aca="false">IF(AND(ISNUMBER(CD174),ISNUMBER(CD125)),CD174-CD125,"")</f>
        <v>28.7</v>
      </c>
      <c r="CE140" s="30" t="n">
        <f aca="false">IF(AND(ISNUMBER(CE174),ISNUMBER(CE125)),CE174-CE125,"")</f>
        <v>31.9</v>
      </c>
      <c r="CF140" s="30" t="n">
        <f aca="false">IF(AND(ISNUMBER(CF174),ISNUMBER(CF125)),CF174-CF125,"")</f>
        <v>60.6</v>
      </c>
      <c r="CG140" s="30" t="n">
        <f aca="false">IF(AND(ISNUMBER(CG174),ISNUMBER(CG125)),CG174-CG125,"")</f>
        <v>29.4</v>
      </c>
      <c r="CH140" s="30" t="n">
        <f aca="false">IF(AND(ISNUMBER(CH174),ISNUMBER(CH125)),CH174-CH125,"")</f>
        <v>29.7</v>
      </c>
      <c r="CI140" s="30" t="n">
        <f aca="false">IF(AND(ISNUMBER(CI174),ISNUMBER(CI125)),CI174-CI125,"")</f>
        <v>119.7</v>
      </c>
      <c r="CJ140" s="30" t="n">
        <f aca="false">IF(AND(ISNUMBER(CJ174),ISNUMBER(CJ125)),CJ174-CJ125,"")</f>
        <v>29.6</v>
      </c>
      <c r="CK140" s="30" t="n">
        <f aca="false">IF(AND(ISNUMBER(CK174),ISNUMBER(CK125)),CK174-CK125,"")</f>
        <v>29.7</v>
      </c>
      <c r="CL140" s="30" t="n">
        <f aca="false">IF(AND(ISNUMBER(CL174),ISNUMBER(CL125)),CL174-CL125,"")</f>
        <v>59.3</v>
      </c>
      <c r="CM140" s="32" t="n">
        <f aca="false">CM152*CM139</f>
        <v>31.119785360866</v>
      </c>
      <c r="CN140" s="32" t="n">
        <f aca="false">CN152*CN139</f>
        <v>32.6128584497414</v>
      </c>
      <c r="CO140" s="32" t="n">
        <f aca="false">SUM(CJ140,CK140,CM140,CN140)</f>
        <v>123.032643810607</v>
      </c>
      <c r="CP140" s="32" t="n">
        <f aca="false">CP152*CP139</f>
        <v>140.009897155799</v>
      </c>
      <c r="CQ140" s="32" t="n">
        <f aca="false">CQ152*CQ139</f>
        <v>153.005681812437</v>
      </c>
      <c r="CR140" s="32" t="n">
        <f aca="false">CR152*CR139</f>
        <v>166.942033826719</v>
      </c>
      <c r="CS140" s="32" t="n">
        <f aca="false">CS152*CS139</f>
        <v>181.494328235021</v>
      </c>
      <c r="CT140" s="23"/>
      <c r="CV140" s="7"/>
      <c r="CW140" s="7"/>
      <c r="CX140" s="7"/>
      <c r="CY140" s="7"/>
    </row>
    <row r="141" customFormat="false" ht="15" hidden="false" customHeight="true" outlineLevel="0" collapsed="false">
      <c r="B141" s="26" t="s">
        <v>243</v>
      </c>
      <c r="C141" s="40" t="n">
        <f aca="false">IFERROR(C175/C152,"")</f>
        <v>0.00411666201507117</v>
      </c>
      <c r="D141" s="40" t="n">
        <f aca="false">IFERROR(D175/D152,"")</f>
        <v>0.00419157985576034</v>
      </c>
      <c r="E141" s="40" t="n">
        <f aca="false">IFERROR(E175/E152,"")</f>
        <v>0.00435540069686411</v>
      </c>
      <c r="F141" s="40" t="n">
        <f aca="false">IFERROR(F175/F152,"")</f>
        <v>0.00326856727800981</v>
      </c>
      <c r="G141" s="40" t="n">
        <f aca="false">IFERROR(G175/G152,"")</f>
        <v>0.00298017272837854</v>
      </c>
      <c r="H141" s="40" t="n">
        <f aca="false">IFERROR(H175/H152,"")</f>
        <v>0.0029867655389052</v>
      </c>
      <c r="I141" s="40" t="n">
        <f aca="false">IFERROR(I175/I152,"")</f>
        <v>0.00376063554740751</v>
      </c>
      <c r="J141" s="40" t="n">
        <f aca="false">IFERROR(J175/J152,"")</f>
        <v>0.00316122233930453</v>
      </c>
      <c r="K141" s="40" t="n">
        <f aca="false">IFERROR(K175/K152,"")</f>
        <v>0.00465890183028286</v>
      </c>
      <c r="L141" s="40" t="n">
        <f aca="false">IFERROR(L175/L152,"")</f>
        <v>0.00393028024606972</v>
      </c>
      <c r="M141" s="40" t="n">
        <f aca="false">IFERROR(M175/M152,"")</f>
        <v>0.00524842547235829</v>
      </c>
      <c r="N141" s="40" t="n">
        <f aca="false">IFERROR(N175/N152,"")</f>
        <v>0.00519611129735166</v>
      </c>
      <c r="O141" s="40" t="n">
        <f aca="false">IFERROR(O175/O152,"")</f>
        <v>0.00457538698366544</v>
      </c>
      <c r="P141" s="40" t="n">
        <f aca="false">IFERROR(P175/P152,"")</f>
        <v>0.0045335658238884</v>
      </c>
      <c r="Q141" s="40" t="n">
        <f aca="false">IFERROR(Q175/Q152,"")</f>
        <v>0.00602914084742924</v>
      </c>
      <c r="R141" s="40" t="n">
        <f aca="false">IFERROR(R175/R152,"")</f>
        <v>0.00529642918161627</v>
      </c>
      <c r="S141" s="40" t="n">
        <f aca="false">IFERROR(S175/S152,"")</f>
        <v>0.00648810514057561</v>
      </c>
      <c r="T141" s="40" t="n">
        <f aca="false">IFERROR(T175/T152,"")</f>
        <v>0.00626707375863731</v>
      </c>
      <c r="U141" s="40" t="n">
        <f aca="false">IFERROR(U175/U152,"")</f>
        <v>0.00584795321637427</v>
      </c>
      <c r="V141" s="40" t="n">
        <f aca="false">IFERROR(V175/V152,"")</f>
        <v>0.00672566371681416</v>
      </c>
      <c r="W141" s="40" t="n">
        <f aca="false">IFERROR(W175/W152,"")</f>
        <v>0.00571230742599965</v>
      </c>
      <c r="X141" s="40" t="n">
        <f aca="false">IFERROR(X175/X152,"")</f>
        <v>0.00621335433622123</v>
      </c>
      <c r="Y141" s="40" t="n">
        <f aca="false">IFERROR(Y175/Y152,"")</f>
        <v>0.00468131076701476</v>
      </c>
      <c r="Z141" s="40" t="n">
        <f aca="false">IFERROR(Z175/Z152,"")</f>
        <v>0.00416666666666667</v>
      </c>
      <c r="AA141" s="40" t="n">
        <f aca="false">IFERROR(AA175/AA152,"")</f>
        <v>0.00530873330142292</v>
      </c>
      <c r="AB141" s="40" t="n">
        <f aca="false">IFERROR(AB175/AB152,"")</f>
        <v>0.00640904806786051</v>
      </c>
      <c r="AC141" s="40" t="n">
        <f aca="false">IFERROR(AC175/AC152,"")</f>
        <v>0.0053733555679081</v>
      </c>
      <c r="AD141" s="40" t="n">
        <f aca="false">IFERROR(AD175/AD152,"")</f>
        <v>0.00588675014016072</v>
      </c>
      <c r="AE141" s="40" t="n">
        <f aca="false">IFERROR(AE175/AE152,"")</f>
        <v>0.00474563401670463</v>
      </c>
      <c r="AF141" s="40" t="n">
        <f aca="false">IFERROR(AF175/AF152,"")</f>
        <v>0.00506420690902514</v>
      </c>
      <c r="AG141" s="40" t="n">
        <f aca="false">IFERROR(AG175/AG152,"")</f>
        <v>0.00539559979533932</v>
      </c>
      <c r="AH141" s="40" t="n">
        <f aca="false">IFERROR(AH175/AH152,"")</f>
        <v>0</v>
      </c>
      <c r="AI141" s="40" t="n">
        <f aca="false">IFERROR(AI175/AI152,"")</f>
        <v>0</v>
      </c>
      <c r="AJ141" s="40" t="n">
        <f aca="false">IFERROR(AJ175/AJ152,"")</f>
        <v>0</v>
      </c>
      <c r="AK141" s="40" t="n">
        <f aca="false">IFERROR(AK175/AK152,"")</f>
        <v>0</v>
      </c>
      <c r="AL141" s="40" t="n">
        <f aca="false">IFERROR(AL175/AL152,"")</f>
        <v>0</v>
      </c>
      <c r="AM141" s="40" t="n">
        <f aca="false">IFERROR(AM175/AM152,"")</f>
        <v>0.00722021660649819</v>
      </c>
      <c r="AN141" s="40" t="n">
        <f aca="false">IFERROR(AN175/AN152,"")</f>
        <v>0</v>
      </c>
      <c r="AO141" s="40" t="n">
        <f aca="false">IFERROR(AO175/AO152,"")</f>
        <v>0</v>
      </c>
      <c r="AP141" s="40" t="n">
        <f aca="false">IFERROR(AP175/AP152,"")</f>
        <v>0</v>
      </c>
      <c r="AQ141" s="40" t="n">
        <f aca="false">IFERROR(AQ175/AQ152,"")</f>
        <v>0</v>
      </c>
      <c r="AR141" s="40" t="n">
        <f aca="false">IFERROR(AR175/AR152,"")</f>
        <v>0</v>
      </c>
      <c r="AS141" s="40" t="n">
        <f aca="false">IFERROR(AS175/AS152,"")</f>
        <v>0.00864980357019781</v>
      </c>
      <c r="AT141" s="40" t="n">
        <f aca="false">IFERROR(AT175/AT152,"")</f>
        <v>0</v>
      </c>
      <c r="AU141" s="40" t="n">
        <f aca="false">IFERROR(AU175/AU152,"")</f>
        <v>0</v>
      </c>
      <c r="AV141" s="40" t="n">
        <f aca="false">IFERROR(AV175/AV152,"")</f>
        <v>0</v>
      </c>
      <c r="AW141" s="40" t="n">
        <f aca="false">IFERROR(AW175/AW152,"")</f>
        <v>0</v>
      </c>
      <c r="AX141" s="40" t="n">
        <f aca="false">IFERROR(AX175/AX152,"")</f>
        <v>0</v>
      </c>
      <c r="AY141" s="40" t="n">
        <f aca="false">IFERROR(AY175/AY152,"")</f>
        <v>0.00970413453028196</v>
      </c>
      <c r="AZ141" s="40" t="n">
        <f aca="false">IFERROR(AZ175/AZ152,"")</f>
        <v>0</v>
      </c>
      <c r="BA141" s="40" t="n">
        <f aca="false">IFERROR(BA175/BA152,"")</f>
        <v>0</v>
      </c>
      <c r="BB141" s="40" t="n">
        <f aca="false">IFERROR(BB175/BB152,"")</f>
        <v>0</v>
      </c>
      <c r="BC141" s="40" t="n">
        <f aca="false">IFERROR(BC175/BC152,"")</f>
        <v>0</v>
      </c>
      <c r="BD141" s="40" t="n">
        <f aca="false">IFERROR(BD175/BD152,"")</f>
        <v>0</v>
      </c>
      <c r="BE141" s="40" t="n">
        <f aca="false">IFERROR(BE175/BE152,"")</f>
        <v>0.00972069211327847</v>
      </c>
      <c r="BF141" s="40" t="n">
        <f aca="false">IFERROR(BF175/BF152,"")</f>
        <v>0.00868809730668983</v>
      </c>
      <c r="BG141" s="40" t="n">
        <f aca="false">IFERROR(BG175/BG152,"")</f>
        <v>0.00749330954504906</v>
      </c>
      <c r="BH141" s="40" t="n">
        <f aca="false">IFERROR(BH175/BH152,"")</f>
        <v>0.00799294129859345</v>
      </c>
      <c r="BI141" s="40" t="n">
        <f aca="false">IFERROR(BI175/BI152,"")</f>
        <v>0.00663160301852275</v>
      </c>
      <c r="BJ141" s="40" t="n">
        <f aca="false">IFERROR(BJ175/BJ152,"")</f>
        <v>0.00712364614378135</v>
      </c>
      <c r="BK141" s="40" t="n">
        <f aca="false">IFERROR(BK175/BK152,"")</f>
        <v>0.00734672648072297</v>
      </c>
      <c r="BL141" s="40" t="n">
        <f aca="false">IFERROR(BL175/BL152,"")</f>
        <v>0.00681302043906132</v>
      </c>
      <c r="BM141" s="40" t="n">
        <f aca="false">IFERROR(BM175/BM152,"")</f>
        <v>0.00472046024487388</v>
      </c>
      <c r="BN141" s="40" t="n">
        <f aca="false">IFERROR(BN175/BN152,"")</f>
        <v>0.00575313807531381</v>
      </c>
      <c r="BO141" s="40" t="n">
        <f aca="false">IFERROR(BO175/BO152,"")</f>
        <v>0.00491346435904958</v>
      </c>
      <c r="BP141" s="40" t="n">
        <f aca="false">IFERROR(BP175/BP152,"")</f>
        <v>0.00803835848258356</v>
      </c>
      <c r="BQ141" s="40" t="n">
        <f aca="false">IFERROR(BQ175/BQ152,"")</f>
        <v>0.00577071043857399</v>
      </c>
      <c r="BR141" s="40" t="n">
        <f aca="false">IFERROR(BR175/BR152,"")</f>
        <v>0.00571098098749368</v>
      </c>
      <c r="BS141" s="40" t="n">
        <f aca="false">IFERROR(BS175/BS152,"")</f>
        <v>0.00589597810065277</v>
      </c>
      <c r="BT141" s="40" t="n">
        <f aca="false">IFERROR(BT175/BT152,"")</f>
        <v>0.00580484330484331</v>
      </c>
      <c r="BU141" s="40" t="n">
        <f aca="false">IFERROR(BU175/BU152,"")</f>
        <v>0.00570409982174688</v>
      </c>
      <c r="BV141" s="40" t="n">
        <f aca="false">IFERROR(BV175/BV152,"")</f>
        <v>0.0056140350877193</v>
      </c>
      <c r="BW141" s="40" t="n">
        <f aca="false">IFERROR(BW175/BW152,"")</f>
        <v>0.0057315233785822</v>
      </c>
      <c r="BX141" s="40" t="n">
        <f aca="false">IFERROR(BX175/BX152,"")</f>
        <v>0.00888823050144434</v>
      </c>
      <c r="BY141" s="40" t="n">
        <f aca="false">IFERROR(BY175/BY152,"")</f>
        <v>0.00676806637071538</v>
      </c>
      <c r="BZ141" s="40" t="n">
        <f aca="false">IFERROR(BZ175/BZ152,"")</f>
        <v>0.00781880919168931</v>
      </c>
      <c r="CA141" s="40" t="n">
        <f aca="false">IFERROR(CA175/CA152,"")</f>
        <v>0.00602701766539661</v>
      </c>
      <c r="CB141" s="40" t="n">
        <f aca="false">IFERROR(CB175/CB152,"")</f>
        <v>0.00512547427278174</v>
      </c>
      <c r="CC141" s="40" t="n">
        <f aca="false">IFERROR(CC175/CC152,"")</f>
        <v>0.00664902998236332</v>
      </c>
      <c r="CD141" s="40" t="n">
        <f aca="false">IFERROR(CD175/CD152,"")</f>
        <v>0.00613835436926685</v>
      </c>
      <c r="CE141" s="40" t="n">
        <f aca="false">IFERROR(CE175/CE152,"")</f>
        <v>0.00746515161524741</v>
      </c>
      <c r="CF141" s="40" t="n">
        <f aca="false">IFERROR(CF175/CF152,"")</f>
        <v>0.0068160345525712</v>
      </c>
      <c r="CG141" s="40" t="n">
        <f aca="false">IFERROR(CG175/CG152,"")</f>
        <v>0.00682039623254303</v>
      </c>
      <c r="CH141" s="40" t="n">
        <f aca="false">IFERROR(CH175/CH152,"")</f>
        <v>0.00552006450412454</v>
      </c>
      <c r="CI141" s="40" t="n">
        <f aca="false">IFERROR(CI175/CI152,"")</f>
        <v>0.00647545540765935</v>
      </c>
      <c r="CJ141" s="40" t="n">
        <f aca="false">IFERROR(CJ175/CJ152,"")</f>
        <v>0.00358951349272483</v>
      </c>
      <c r="CK141" s="40" t="n">
        <f aca="false">IFERROR(CK175/CK152,"")</f>
        <v>0.0083609022556391</v>
      </c>
      <c r="CL141" s="40" t="n">
        <f aca="false">IFERROR(CL175/CL152,"")</f>
        <v>0.00605101470862037</v>
      </c>
      <c r="CM141" s="28" t="n">
        <f aca="false">$CL$141</f>
        <v>0.00605101470862037</v>
      </c>
      <c r="CN141" s="28" t="n">
        <f aca="false">$CL$141</f>
        <v>0.00605101470862037</v>
      </c>
      <c r="CO141" s="28" t="n">
        <f aca="false">IFERROR(CO175/CO152,"")</f>
        <v>0.00605101470862037</v>
      </c>
      <c r="CP141" s="46" t="n">
        <v>0.0065</v>
      </c>
      <c r="CQ141" s="46" t="n">
        <v>0.0065</v>
      </c>
      <c r="CR141" s="46" t="n">
        <v>0.0065</v>
      </c>
      <c r="CS141" s="46" t="n">
        <v>0.0065</v>
      </c>
      <c r="CT141" s="23"/>
      <c r="CV141" s="7"/>
      <c r="CW141" s="7"/>
      <c r="CX141" s="7"/>
      <c r="CY141" s="7"/>
    </row>
    <row r="142" customFormat="false" ht="15" hidden="false" customHeight="true" outlineLevel="0" collapsed="false">
      <c r="B142" s="26" t="s">
        <v>244</v>
      </c>
      <c r="C142" s="40" t="n">
        <f aca="false">IFERROR(C176/C152,"")</f>
        <v>0.0366313145408875</v>
      </c>
      <c r="D142" s="40" t="n">
        <f aca="false">IFERROR(D176/D152,"")</f>
        <v>0.0367996054983665</v>
      </c>
      <c r="E142" s="40" t="n">
        <f aca="false">IFERROR(E176/E152,"")</f>
        <v>0.0357142857142857</v>
      </c>
      <c r="F142" s="40" t="n">
        <f aca="false">IFERROR(F176/F152,"")</f>
        <v>0.0355910659161068</v>
      </c>
      <c r="G142" s="40" t="n">
        <f aca="false">IFERROR(G176/G152,"")</f>
        <v>0.0372825690305316</v>
      </c>
      <c r="H142" s="40" t="n">
        <f aca="false">IFERROR(H176/H152,"")</f>
        <v>0.0524743807611103</v>
      </c>
      <c r="I142" s="40" t="n">
        <f aca="false">IFERROR(I176/I152,"")</f>
        <v>0.0618624547548536</v>
      </c>
      <c r="J142" s="40" t="n">
        <f aca="false">IFERROR(J176/J152,"")</f>
        <v>0</v>
      </c>
      <c r="K142" s="40" t="n">
        <f aca="false">IFERROR(K176/K152,"")</f>
        <v>0</v>
      </c>
      <c r="L142" s="40" t="n">
        <f aca="false">IFERROR(L176/L152,"")</f>
        <v>0</v>
      </c>
      <c r="M142" s="40" t="n">
        <f aca="false">IFERROR(M176/M152,"")</f>
        <v>0</v>
      </c>
      <c r="N142" s="40" t="n">
        <f aca="false">IFERROR(N176/N152,"")</f>
        <v>0</v>
      </c>
      <c r="O142" s="40" t="n">
        <f aca="false">IFERROR(O176/O152,"")</f>
        <v>0.0714102454459933</v>
      </c>
      <c r="P142" s="40" t="n">
        <f aca="false">IFERROR(P176/P152,"")</f>
        <v>0</v>
      </c>
      <c r="Q142" s="40" t="n">
        <f aca="false">IFERROR(Q176/Q152,"")</f>
        <v>0</v>
      </c>
      <c r="R142" s="40" t="n">
        <f aca="false">IFERROR(R176/R152,"")</f>
        <v>0</v>
      </c>
      <c r="S142" s="40" t="n">
        <f aca="false">IFERROR(S176/S152,"")</f>
        <v>0</v>
      </c>
      <c r="T142" s="40" t="n">
        <f aca="false">IFERROR(T176/T152,"")</f>
        <v>0</v>
      </c>
      <c r="U142" s="40" t="n">
        <f aca="false">IFERROR(U176/U152,"")</f>
        <v>0.0697159565580618</v>
      </c>
      <c r="V142" s="40" t="n">
        <f aca="false">IFERROR(V176/V152,"")</f>
        <v>0</v>
      </c>
      <c r="W142" s="40" t="n">
        <f aca="false">IFERROR(W176/W152,"")</f>
        <v>0</v>
      </c>
      <c r="X142" s="40" t="n">
        <f aca="false">IFERROR(X176/X152,"")</f>
        <v>0</v>
      </c>
      <c r="Y142" s="40" t="n">
        <f aca="false">IFERROR(Y176/Y152,"")</f>
        <v>0</v>
      </c>
      <c r="Z142" s="40" t="n">
        <f aca="false">IFERROR(Z176/Z152,"")</f>
        <v>0</v>
      </c>
      <c r="AA142" s="40" t="n">
        <f aca="false">IFERROR(AA176/AA152,"")</f>
        <v>0.0712327574953222</v>
      </c>
      <c r="AB142" s="40" t="n">
        <f aca="false">IFERROR(AB176/AB152,"")</f>
        <v>0</v>
      </c>
      <c r="AC142" s="40" t="n">
        <f aca="false">IFERROR(AC176/AC152,"")</f>
        <v>0</v>
      </c>
      <c r="AD142" s="40" t="n">
        <f aca="false">IFERROR(AD176/AD152,"")</f>
        <v>0</v>
      </c>
      <c r="AE142" s="40" t="n">
        <f aca="false">IFERROR(AE176/AE152,"")</f>
        <v>0</v>
      </c>
      <c r="AF142" s="40" t="n">
        <f aca="false">IFERROR(AF176/AF152,"")</f>
        <v>0</v>
      </c>
      <c r="AG142" s="40" t="n">
        <f aca="false">IFERROR(AG176/AG152,"")</f>
        <v>0.0780036280757245</v>
      </c>
      <c r="AH142" s="40" t="n">
        <f aca="false">IFERROR(AH176/AH152,"")</f>
        <v>0</v>
      </c>
      <c r="AI142" s="40" t="n">
        <f aca="false">IFERROR(AI176/AI152,"")</f>
        <v>0</v>
      </c>
      <c r="AJ142" s="40" t="n">
        <f aca="false">IFERROR(AJ176/AJ152,"")</f>
        <v>0</v>
      </c>
      <c r="AK142" s="40" t="n">
        <f aca="false">IFERROR(AK176/AK152,"")</f>
        <v>0</v>
      </c>
      <c r="AL142" s="40" t="n">
        <f aca="false">IFERROR(AL176/AL152,"")</f>
        <v>0</v>
      </c>
      <c r="AM142" s="40" t="n">
        <f aca="false">IFERROR(AM176/AM152,"")</f>
        <v>0.0682464090944005</v>
      </c>
      <c r="AN142" s="40" t="n">
        <f aca="false">IFERROR(AN176/AN152,"")</f>
        <v>0</v>
      </c>
      <c r="AO142" s="40" t="n">
        <f aca="false">IFERROR(AO176/AO152,"")</f>
        <v>0</v>
      </c>
      <c r="AP142" s="40" t="n">
        <f aca="false">IFERROR(AP176/AP152,"")</f>
        <v>0</v>
      </c>
      <c r="AQ142" s="40" t="n">
        <f aca="false">IFERROR(AQ176/AQ152,"")</f>
        <v>0</v>
      </c>
      <c r="AR142" s="40" t="n">
        <f aca="false">IFERROR(AR176/AR152,"")</f>
        <v>0</v>
      </c>
      <c r="AS142" s="40" t="n">
        <f aca="false">IFERROR(AS176/AS152,"")</f>
        <v>0.063960300503136</v>
      </c>
      <c r="AT142" s="40" t="n">
        <f aca="false">IFERROR(AT176/AT152,"")</f>
        <v>0</v>
      </c>
      <c r="AU142" s="40" t="n">
        <f aca="false">IFERROR(AU176/AU152,"")</f>
        <v>0</v>
      </c>
      <c r="AV142" s="40" t="n">
        <f aca="false">IFERROR(AV176/AV152,"")</f>
        <v>0</v>
      </c>
      <c r="AW142" s="40" t="n">
        <f aca="false">IFERROR(AW176/AW152,"")</f>
        <v>0</v>
      </c>
      <c r="AX142" s="40" t="n">
        <f aca="false">IFERROR(AX176/AX152,"")</f>
        <v>0</v>
      </c>
      <c r="AY142" s="40" t="n">
        <f aca="false">IFERROR(AY176/AY152,"")</f>
        <v>0.066253635099254</v>
      </c>
      <c r="AZ142" s="40" t="n">
        <f aca="false">IFERROR(AZ176/AZ152,"")</f>
        <v>0</v>
      </c>
      <c r="BA142" s="40" t="n">
        <f aca="false">IFERROR(BA176/BA152,"")</f>
        <v>0</v>
      </c>
      <c r="BB142" s="40" t="n">
        <f aca="false">IFERROR(BB176/BB152,"")</f>
        <v>0</v>
      </c>
      <c r="BC142" s="40" t="n">
        <f aca="false">IFERROR(BC176/BC152,"")</f>
        <v>0</v>
      </c>
      <c r="BD142" s="40" t="n">
        <f aca="false">IFERROR(BD176/BD152,"")</f>
        <v>0</v>
      </c>
      <c r="BE142" s="40" t="n">
        <f aca="false">IFERROR(BE176/BE152,"")</f>
        <v>0.0635085218067527</v>
      </c>
      <c r="BF142" s="40" t="n">
        <f aca="false">IFERROR(BF176/BF152,"")</f>
        <v>0</v>
      </c>
      <c r="BG142" s="40" t="n">
        <f aca="false">IFERROR(BG176/BG152,"")</f>
        <v>0</v>
      </c>
      <c r="BH142" s="40" t="n">
        <f aca="false">IFERROR(BH176/BH152,"")</f>
        <v>0</v>
      </c>
      <c r="BI142" s="40" t="n">
        <f aca="false">IFERROR(BI176/BI152,"")</f>
        <v>0</v>
      </c>
      <c r="BJ142" s="40" t="n">
        <f aca="false">IFERROR(BJ176/BJ152,"")</f>
        <v>0</v>
      </c>
      <c r="BK142" s="40" t="n">
        <f aca="false">IFERROR(BK176/BK152,"")</f>
        <v>0</v>
      </c>
      <c r="BL142" s="40" t="n">
        <f aca="false">IFERROR(BL176/BL152,"")</f>
        <v>0</v>
      </c>
      <c r="BM142" s="40" t="n">
        <f aca="false">IFERROR(BM176/BM152,"")</f>
        <v>0</v>
      </c>
      <c r="BN142" s="40" t="n">
        <f aca="false">IFERROR(BN176/BN152,"")</f>
        <v>0</v>
      </c>
      <c r="BO142" s="40" t="n">
        <f aca="false">IFERROR(BO176/BO152,"")</f>
        <v>0</v>
      </c>
      <c r="BP142" s="40" t="n">
        <f aca="false">IFERROR(BP176/BP152,"")</f>
        <v>0</v>
      </c>
      <c r="BQ142" s="40" t="n">
        <f aca="false">IFERROR(BQ176/BQ152,"")</f>
        <v>0.0645220386179606</v>
      </c>
      <c r="BR142" s="40" t="n">
        <f aca="false">IFERROR(BR176/BR152,"")</f>
        <v>0</v>
      </c>
      <c r="BS142" s="40" t="n">
        <f aca="false">IFERROR(BS176/BS152,"")</f>
        <v>0</v>
      </c>
      <c r="BT142" s="40" t="n">
        <f aca="false">IFERROR(BT176/BT152,"")</f>
        <v>0</v>
      </c>
      <c r="BU142" s="40" t="n">
        <f aca="false">IFERROR(BU176/BU152,"")</f>
        <v>0</v>
      </c>
      <c r="BV142" s="40" t="n">
        <f aca="false">IFERROR(BV176/BV152,"")</f>
        <v>0</v>
      </c>
      <c r="BW142" s="40" t="n">
        <f aca="false">IFERROR(BW176/BW152,"")</f>
        <v>0.0632242037086328</v>
      </c>
      <c r="BX142" s="40" t="n">
        <f aca="false">IFERROR(BX176/BX152,"")</f>
        <v>0.0566624694467077</v>
      </c>
      <c r="BY142" s="40" t="n">
        <f aca="false">IFERROR(BY176/BY152,"")</f>
        <v>0.0521796084709992</v>
      </c>
      <c r="BZ142" s="40" t="n">
        <f aca="false">IFERROR(BZ176/BZ152,"")</f>
        <v>0.054401292122458</v>
      </c>
      <c r="CA142" s="40" t="n">
        <f aca="false">IFERROR(CA176/CA152,"")</f>
        <v>0.0505715275372359</v>
      </c>
      <c r="CB142" s="40" t="n">
        <f aca="false">IFERROR(CB176/CB152,"")</f>
        <v>0.0475271250748852</v>
      </c>
      <c r="CC142" s="40" t="n">
        <f aca="false">IFERROR(CC176/CC152,"")</f>
        <v>0.0516049382716049</v>
      </c>
      <c r="CD142" s="40" t="n">
        <f aca="false">IFERROR(CD176/CD152,"")</f>
        <v>0.0512449134423064</v>
      </c>
      <c r="CE142" s="40" t="n">
        <f aca="false">IFERROR(CE176/CE152,"")</f>
        <v>0.0544361498315386</v>
      </c>
      <c r="CF142" s="40" t="n">
        <f aca="false">IFERROR(CF176/CF152,"")</f>
        <v>0.0528748819003914</v>
      </c>
      <c r="CG142" s="40" t="n">
        <f aca="false">IFERROR(CG176/CG152,"")</f>
        <v>0.0541734329327704</v>
      </c>
      <c r="CH142" s="40" t="n">
        <f aca="false">IFERROR(CH176/CH152,"")</f>
        <v>0.0478819078335298</v>
      </c>
      <c r="CI142" s="40" t="n">
        <f aca="false">IFERROR(CI176/CI152,"")</f>
        <v>0.0518854040618766</v>
      </c>
      <c r="CJ142" s="40" t="n">
        <f aca="false">IFERROR(CJ176/CJ152,"")</f>
        <v>0.0542272931222358</v>
      </c>
      <c r="CK142" s="40" t="n">
        <f aca="false">IFERROR(CK176/CK152,"")</f>
        <v>0.0542556390977444</v>
      </c>
      <c r="CL142" s="40" t="n">
        <f aca="false">IFERROR(CL176/CL152,"")</f>
        <v>0.0542419164649662</v>
      </c>
      <c r="CM142" s="28"/>
      <c r="CN142" s="28"/>
      <c r="CO142" s="28"/>
      <c r="CP142" s="28"/>
      <c r="CQ142" s="28"/>
      <c r="CR142" s="28"/>
      <c r="CS142" s="28"/>
      <c r="CT142" s="23"/>
      <c r="CV142" s="7"/>
      <c r="CW142" s="7"/>
      <c r="CX142" s="7"/>
      <c r="CY142" s="7"/>
    </row>
    <row r="143" customFormat="false" ht="15" hidden="false" customHeight="true" outlineLevel="0" collapsed="false">
      <c r="B143" s="13"/>
      <c r="CM143" s="7"/>
      <c r="CN143" s="7"/>
      <c r="CO143" s="7"/>
      <c r="CP143" s="7"/>
      <c r="CQ143" s="7"/>
      <c r="CR143" s="7"/>
      <c r="CS143" s="7"/>
      <c r="CT143" s="7"/>
    </row>
    <row r="144" customFormat="false" ht="15" hidden="false" customHeight="true" outlineLevel="0" collapsed="false">
      <c r="B144" s="17" t="s">
        <v>245</v>
      </c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8" t="s">
        <v>246</v>
      </c>
    </row>
    <row r="145" customFormat="false" ht="15" hidden="false" customHeight="true" outlineLevel="0" collapsed="false">
      <c r="B145" s="13" t="s">
        <v>247</v>
      </c>
      <c r="C145" s="31" t="n">
        <v>569.4</v>
      </c>
      <c r="D145" s="31" t="n">
        <v>664.5</v>
      </c>
      <c r="E145" s="31" t="n">
        <v>754.5</v>
      </c>
      <c r="F145" s="31" t="n">
        <v>777.8</v>
      </c>
      <c r="G145" s="31" t="n">
        <v>727.4</v>
      </c>
      <c r="H145" s="31" t="n">
        <v>694.4</v>
      </c>
      <c r="I145" s="31" t="n">
        <v>684</v>
      </c>
      <c r="J145" s="30"/>
      <c r="K145" s="30"/>
      <c r="L145" s="30"/>
      <c r="M145" s="30"/>
      <c r="N145" s="30"/>
      <c r="O145" s="31" t="n">
        <v>630.2</v>
      </c>
      <c r="P145" s="30"/>
      <c r="Q145" s="30"/>
      <c r="R145" s="30"/>
      <c r="S145" s="30"/>
      <c r="T145" s="30"/>
      <c r="U145" s="31" t="n">
        <v>607.9</v>
      </c>
      <c r="V145" s="30"/>
      <c r="W145" s="30"/>
      <c r="X145" s="30"/>
      <c r="Y145" s="30"/>
      <c r="Z145" s="30"/>
      <c r="AA145" s="31" t="n">
        <v>598</v>
      </c>
      <c r="AB145" s="30"/>
      <c r="AC145" s="30"/>
      <c r="AD145" s="30"/>
      <c r="AE145" s="30"/>
      <c r="AF145" s="30"/>
      <c r="AG145" s="31" t="n">
        <v>577.7</v>
      </c>
      <c r="AH145" s="30"/>
      <c r="AI145" s="30"/>
      <c r="AJ145" s="30"/>
      <c r="AK145" s="30"/>
      <c r="AL145" s="30"/>
      <c r="AM145" s="31" t="n">
        <v>619.7</v>
      </c>
      <c r="AN145" s="30"/>
      <c r="AO145" s="30"/>
      <c r="AP145" s="30"/>
      <c r="AQ145" s="30"/>
      <c r="AR145" s="30"/>
      <c r="AS145" s="31" t="n">
        <v>655.3</v>
      </c>
      <c r="AT145" s="30"/>
      <c r="AU145" s="30"/>
      <c r="AV145" s="30"/>
      <c r="AW145" s="30"/>
      <c r="AX145" s="30"/>
      <c r="AY145" s="31" t="n">
        <v>759.8</v>
      </c>
      <c r="AZ145" s="30"/>
      <c r="BA145" s="30"/>
      <c r="BB145" s="30"/>
      <c r="BC145" s="30"/>
      <c r="BD145" s="30"/>
      <c r="BE145" s="31" t="n">
        <v>818.2</v>
      </c>
      <c r="BF145" s="30"/>
      <c r="BG145" s="30"/>
      <c r="BH145" s="30"/>
      <c r="BI145" s="30"/>
      <c r="BJ145" s="30"/>
      <c r="BK145" s="31" t="n">
        <v>1193.1</v>
      </c>
      <c r="BL145" s="30"/>
      <c r="BM145" s="30"/>
      <c r="BN145" s="30"/>
      <c r="BO145" s="30"/>
      <c r="BP145" s="30"/>
      <c r="BQ145" s="31" t="n">
        <v>1359.9</v>
      </c>
      <c r="BR145" s="30"/>
      <c r="BS145" s="30"/>
      <c r="BT145" s="30"/>
      <c r="BU145" s="30"/>
      <c r="BV145" s="30"/>
      <c r="BW145" s="31" t="n">
        <v>1381.7</v>
      </c>
      <c r="BX145" s="30"/>
      <c r="BY145" s="30"/>
      <c r="BZ145" s="30"/>
      <c r="CA145" s="30"/>
      <c r="CB145" s="30"/>
      <c r="CC145" s="31" t="n">
        <v>1377.1</v>
      </c>
      <c r="CD145" s="30"/>
      <c r="CE145" s="30"/>
      <c r="CF145" s="30"/>
      <c r="CG145" s="30"/>
      <c r="CH145" s="30"/>
      <c r="CI145" s="31" t="n">
        <v>1559.4</v>
      </c>
      <c r="CJ145" s="30"/>
      <c r="CK145" s="30"/>
      <c r="CL145" s="30"/>
      <c r="CM145" s="32"/>
      <c r="CN145" s="32"/>
      <c r="CO145" s="32"/>
      <c r="CP145" s="32"/>
      <c r="CQ145" s="32"/>
      <c r="CR145" s="32"/>
      <c r="CS145" s="32"/>
      <c r="CT145" s="23"/>
      <c r="CV145" s="7"/>
      <c r="CW145" s="7"/>
      <c r="CX145" s="7"/>
      <c r="CY145" s="7"/>
    </row>
    <row r="146" customFormat="false" ht="15" hidden="false" customHeight="true" outlineLevel="0" collapsed="false">
      <c r="B146" s="26" t="s">
        <v>248</v>
      </c>
      <c r="C146" s="40" t="n">
        <f aca="false">IFERROR(C145/C152,"")</f>
        <v>0.397292771420597</v>
      </c>
      <c r="D146" s="40" t="n">
        <f aca="false">IFERROR(D145/D152,"")</f>
        <v>0.40960364914011</v>
      </c>
      <c r="E146" s="40" t="n">
        <f aca="false">IFERROR(E145/E152,"")</f>
        <v>0.43815331010453</v>
      </c>
      <c r="F146" s="40" t="n">
        <f aca="false">IFERROR(F145/F152,"")</f>
        <v>0.470794746080746</v>
      </c>
      <c r="G146" s="40" t="n">
        <f aca="false">IFERROR(G145/G152,"")</f>
        <v>0.442403600535215</v>
      </c>
      <c r="H146" s="40" t="n">
        <f aca="false">IFERROR(H145/H152,"")</f>
        <v>0.357587929347546</v>
      </c>
      <c r="I146" s="40" t="n">
        <f aca="false">IFERROR(I145/I152,"")</f>
        <v>0.321534339303342</v>
      </c>
      <c r="J146" s="40"/>
      <c r="K146" s="40"/>
      <c r="L146" s="40"/>
      <c r="M146" s="40"/>
      <c r="N146" s="40"/>
      <c r="O146" s="40" t="n">
        <f aca="false">IFERROR(O145/O152,"")</f>
        <v>0.26947746515009</v>
      </c>
      <c r="P146" s="40"/>
      <c r="Q146" s="40"/>
      <c r="R146" s="40"/>
      <c r="S146" s="40"/>
      <c r="T146" s="40"/>
      <c r="U146" s="40" t="n">
        <f aca="false">IFERROR(U145/U152,"")</f>
        <v>0.253926482873851</v>
      </c>
      <c r="V146" s="40"/>
      <c r="W146" s="40"/>
      <c r="X146" s="40"/>
      <c r="Y146" s="40"/>
      <c r="Z146" s="40"/>
      <c r="AA146" s="40" t="n">
        <f aca="false">IFERROR(AA145/AA152,"")</f>
        <v>0.2602149601845</v>
      </c>
      <c r="AB146" s="40"/>
      <c r="AC146" s="40"/>
      <c r="AD146" s="40"/>
      <c r="AE146" s="40"/>
      <c r="AF146" s="40"/>
      <c r="AG146" s="40" t="n">
        <f aca="false">IFERROR(AG145/AG152,"")</f>
        <v>0.268710172566166</v>
      </c>
      <c r="AH146" s="40"/>
      <c r="AI146" s="40"/>
      <c r="AJ146" s="40"/>
      <c r="AK146" s="40"/>
      <c r="AL146" s="40"/>
      <c r="AM146" s="40" t="n">
        <f aca="false">IFERROR(AM145/AM152,"")</f>
        <v>0.237998310162071</v>
      </c>
      <c r="AN146" s="40"/>
      <c r="AO146" s="40"/>
      <c r="AP146" s="40"/>
      <c r="AQ146" s="40"/>
      <c r="AR146" s="40"/>
      <c r="AS146" s="40" t="n">
        <f aca="false">IFERROR(AS145/AS152,"")</f>
        <v>0.225825349782893</v>
      </c>
      <c r="AT146" s="40"/>
      <c r="AU146" s="40"/>
      <c r="AV146" s="40"/>
      <c r="AW146" s="40"/>
      <c r="AX146" s="40"/>
      <c r="AY146" s="40" t="n">
        <f aca="false">IFERROR(AY145/AY152,"")</f>
        <v>0.240169427234796</v>
      </c>
      <c r="AZ146" s="40"/>
      <c r="BA146" s="40"/>
      <c r="BB146" s="40"/>
      <c r="BC146" s="40"/>
      <c r="BD146" s="40"/>
      <c r="BE146" s="40" t="n">
        <f aca="false">IFERROR(BE145/BE152,"")</f>
        <v>0.265115676236148</v>
      </c>
      <c r="BF146" s="40"/>
      <c r="BG146" s="40"/>
      <c r="BH146" s="40"/>
      <c r="BI146" s="40"/>
      <c r="BJ146" s="40"/>
      <c r="BK146" s="40" t="n">
        <f aca="false">IFERROR(BK145/BK152,"")</f>
        <v>0.258565762954294</v>
      </c>
      <c r="BL146" s="40"/>
      <c r="BM146" s="40"/>
      <c r="BN146" s="40"/>
      <c r="BO146" s="40"/>
      <c r="BP146" s="40"/>
      <c r="BQ146" s="40" t="n">
        <f aca="false">IFERROR(BQ145/BQ152,"")</f>
        <v>0.249129813505294</v>
      </c>
      <c r="BR146" s="40"/>
      <c r="BS146" s="40"/>
      <c r="BT146" s="40"/>
      <c r="BU146" s="40"/>
      <c r="BV146" s="40"/>
      <c r="BW146" s="40" t="n">
        <f aca="false">IFERROR(BW145/BW152,"")</f>
        <v>0.245177890160589</v>
      </c>
      <c r="BX146" s="40"/>
      <c r="BY146" s="40"/>
      <c r="BZ146" s="40"/>
      <c r="CA146" s="40"/>
      <c r="CB146" s="40"/>
      <c r="CC146" s="40" t="n">
        <f aca="false">IFERROR(CC145/CC152,"")</f>
        <v>0.242874779541446</v>
      </c>
      <c r="CD146" s="40"/>
      <c r="CE146" s="40"/>
      <c r="CF146" s="40"/>
      <c r="CG146" s="40"/>
      <c r="CH146" s="40"/>
      <c r="CI146" s="40" t="n">
        <f aca="false">IFERROR(CI145/CI152,"")</f>
        <v>0.254995584916768</v>
      </c>
      <c r="CJ146" s="40"/>
      <c r="CK146" s="40"/>
      <c r="CL146" s="40"/>
      <c r="CM146" s="28"/>
      <c r="CN146" s="28"/>
      <c r="CO146" s="28"/>
      <c r="CP146" s="28"/>
      <c r="CQ146" s="28"/>
      <c r="CR146" s="28"/>
      <c r="CS146" s="28"/>
      <c r="CT146" s="23"/>
      <c r="CV146" s="7"/>
      <c r="CW146" s="7"/>
      <c r="CX146" s="7"/>
      <c r="CY146" s="7"/>
    </row>
    <row r="147" customFormat="false" ht="15" hidden="false" customHeight="true" outlineLevel="0" collapsed="false">
      <c r="B147" s="13" t="s">
        <v>249</v>
      </c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1" t="n">
        <v>1776.8</v>
      </c>
      <c r="P147" s="30"/>
      <c r="Q147" s="30"/>
      <c r="R147" s="30"/>
      <c r="S147" s="30"/>
      <c r="T147" s="30"/>
      <c r="U147" s="31" t="n">
        <v>1852</v>
      </c>
      <c r="V147" s="30"/>
      <c r="W147" s="30"/>
      <c r="X147" s="30"/>
      <c r="Y147" s="30"/>
      <c r="Z147" s="30"/>
      <c r="AA147" s="31" t="n">
        <v>1797.1</v>
      </c>
      <c r="AB147" s="30"/>
      <c r="AC147" s="30"/>
      <c r="AD147" s="30"/>
      <c r="AE147" s="30"/>
      <c r="AF147" s="30"/>
      <c r="AG147" s="31" t="n">
        <v>1645.7</v>
      </c>
      <c r="AH147" s="30"/>
      <c r="AI147" s="30"/>
      <c r="AJ147" s="30"/>
      <c r="AK147" s="30"/>
      <c r="AL147" s="30"/>
      <c r="AM147" s="31" t="n">
        <v>1849.4</v>
      </c>
      <c r="AN147" s="30"/>
      <c r="AO147" s="30"/>
      <c r="AP147" s="30"/>
      <c r="AQ147" s="30"/>
      <c r="AR147" s="30"/>
      <c r="AS147" s="31" t="n">
        <v>2044.9</v>
      </c>
      <c r="AT147" s="30"/>
      <c r="AU147" s="30"/>
      <c r="AV147" s="30"/>
      <c r="AW147" s="30"/>
      <c r="AX147" s="30"/>
      <c r="AY147" s="31" t="n">
        <v>2179.6</v>
      </c>
      <c r="AZ147" s="30"/>
      <c r="BA147" s="30"/>
      <c r="BB147" s="30"/>
      <c r="BC147" s="30"/>
      <c r="BD147" s="30"/>
      <c r="BE147" s="31" t="n">
        <v>1700.9</v>
      </c>
      <c r="BF147" s="30"/>
      <c r="BG147" s="30"/>
      <c r="BH147" s="30"/>
      <c r="BI147" s="30"/>
      <c r="BJ147" s="30"/>
      <c r="BK147" s="31" t="n">
        <v>2466.4</v>
      </c>
      <c r="BL147" s="30"/>
      <c r="BM147" s="30"/>
      <c r="BN147" s="30"/>
      <c r="BO147" s="30"/>
      <c r="BP147" s="30"/>
      <c r="BQ147" s="31" t="n">
        <v>2872.6</v>
      </c>
      <c r="BR147" s="30"/>
      <c r="BS147" s="30"/>
      <c r="BT147" s="30"/>
      <c r="BU147" s="30"/>
      <c r="BV147" s="30"/>
      <c r="BW147" s="31" t="n">
        <v>2895.4</v>
      </c>
      <c r="BX147" s="30"/>
      <c r="BY147" s="30"/>
      <c r="BZ147" s="30"/>
      <c r="CA147" s="30"/>
      <c r="CB147" s="30"/>
      <c r="CC147" s="31" t="n">
        <v>2938.9</v>
      </c>
      <c r="CD147" s="30"/>
      <c r="CE147" s="30"/>
      <c r="CF147" s="30"/>
      <c r="CG147" s="30"/>
      <c r="CH147" s="30"/>
      <c r="CI147" s="31" t="n">
        <v>3182.8</v>
      </c>
      <c r="CJ147" s="30"/>
      <c r="CK147" s="30"/>
      <c r="CL147" s="30"/>
      <c r="CM147" s="32"/>
      <c r="CN147" s="32"/>
      <c r="CO147" s="32"/>
      <c r="CP147" s="32"/>
      <c r="CQ147" s="32"/>
      <c r="CR147" s="32"/>
      <c r="CS147" s="32"/>
      <c r="CT147" s="23"/>
      <c r="CV147" s="7"/>
      <c r="CW147" s="7"/>
      <c r="CX147" s="7"/>
      <c r="CY147" s="7"/>
    </row>
    <row r="148" customFormat="false" ht="15" hidden="false" customHeight="true" outlineLevel="0" collapsed="false">
      <c r="B148" s="13" t="s">
        <v>250</v>
      </c>
      <c r="C148" s="30" t="str">
        <f aca="false">IF(ISNUMBER(C147),C152-C147,"")</f>
        <v/>
      </c>
      <c r="D148" s="30" t="str">
        <f aca="false">IF(ISNUMBER(D147),D152-D147,"")</f>
        <v/>
      </c>
      <c r="E148" s="30" t="str">
        <f aca="false">IF(ISNUMBER(E147),E152-E147,"")</f>
        <v/>
      </c>
      <c r="F148" s="30" t="str">
        <f aca="false">IF(ISNUMBER(F147),F152-F147,"")</f>
        <v/>
      </c>
      <c r="G148" s="30" t="str">
        <f aca="false">IF(ISNUMBER(G147),G152-G147,"")</f>
        <v/>
      </c>
      <c r="H148" s="30" t="str">
        <f aca="false">IF(ISNUMBER(H147),H152-H147,"")</f>
        <v/>
      </c>
      <c r="I148" s="30" t="str">
        <f aca="false">IF(ISNUMBER(I147),I152-I147,"")</f>
        <v/>
      </c>
      <c r="J148" s="30"/>
      <c r="K148" s="30"/>
      <c r="L148" s="30"/>
      <c r="M148" s="30"/>
      <c r="N148" s="30"/>
      <c r="O148" s="30" t="n">
        <f aca="false">IF(ISNUMBER(O147),O152-O147,"")</f>
        <v>561.8</v>
      </c>
      <c r="P148" s="30"/>
      <c r="Q148" s="30"/>
      <c r="R148" s="30"/>
      <c r="S148" s="30"/>
      <c r="T148" s="30"/>
      <c r="U148" s="30" t="n">
        <f aca="false">IF(ISNUMBER(U147),U152-U147,"")</f>
        <v>542</v>
      </c>
      <c r="V148" s="30"/>
      <c r="W148" s="30"/>
      <c r="X148" s="30"/>
      <c r="Y148" s="30"/>
      <c r="Z148" s="30"/>
      <c r="AA148" s="30" t="n">
        <f aca="false">IF(ISNUMBER(AA147),AA152-AA147,"")</f>
        <v>501</v>
      </c>
      <c r="AB148" s="30"/>
      <c r="AC148" s="30"/>
      <c r="AD148" s="30"/>
      <c r="AE148" s="30"/>
      <c r="AF148" s="30"/>
      <c r="AG148" s="30" t="n">
        <f aca="false">IF(ISNUMBER(AG147),AG152-AG147,"")</f>
        <v>504.2</v>
      </c>
      <c r="AH148" s="30"/>
      <c r="AI148" s="30"/>
      <c r="AJ148" s="30"/>
      <c r="AK148" s="30"/>
      <c r="AL148" s="30"/>
      <c r="AM148" s="30" t="n">
        <f aca="false">IF(ISNUMBER(AM147),AM152-AM147,"")</f>
        <v>754.4</v>
      </c>
      <c r="AN148" s="30"/>
      <c r="AO148" s="30"/>
      <c r="AP148" s="30"/>
      <c r="AQ148" s="30"/>
      <c r="AR148" s="30"/>
      <c r="AS148" s="30" t="n">
        <f aca="false">IF(ISNUMBER(AS147),AS152-AS147,"")</f>
        <v>856.9</v>
      </c>
      <c r="AT148" s="30"/>
      <c r="AU148" s="30"/>
      <c r="AV148" s="30"/>
      <c r="AW148" s="30"/>
      <c r="AX148" s="30"/>
      <c r="AY148" s="30" t="n">
        <f aca="false">IF(ISNUMBER(AY147),AY152-AY147,"")</f>
        <v>984</v>
      </c>
      <c r="AZ148" s="30"/>
      <c r="BA148" s="30"/>
      <c r="BB148" s="30"/>
      <c r="BC148" s="30"/>
      <c r="BD148" s="30"/>
      <c r="BE148" s="30" t="n">
        <f aca="false">IF(ISNUMBER(BE147),BE152-BE147,"")</f>
        <v>1385.3</v>
      </c>
      <c r="BF148" s="30"/>
      <c r="BG148" s="30"/>
      <c r="BH148" s="30"/>
      <c r="BI148" s="30"/>
      <c r="BJ148" s="30"/>
      <c r="BK148" s="30" t="n">
        <f aca="false">IF(ISNUMBER(BK147),BK152-BK147,"")</f>
        <v>2147.9</v>
      </c>
      <c r="BL148" s="30"/>
      <c r="BM148" s="30"/>
      <c r="BN148" s="30"/>
      <c r="BO148" s="30"/>
      <c r="BP148" s="30"/>
      <c r="BQ148" s="30" t="n">
        <f aca="false">IF(ISNUMBER(BQ147),BQ152-BQ147,"")</f>
        <v>2586</v>
      </c>
      <c r="BR148" s="30"/>
      <c r="BS148" s="30"/>
      <c r="BT148" s="30"/>
      <c r="BU148" s="30"/>
      <c r="BV148" s="30"/>
      <c r="BW148" s="30" t="n">
        <f aca="false">IF(ISNUMBER(BW147),BW152-BW147,"")</f>
        <v>2740.1</v>
      </c>
      <c r="BX148" s="30"/>
      <c r="BY148" s="30"/>
      <c r="BZ148" s="30"/>
      <c r="CA148" s="30"/>
      <c r="CB148" s="30"/>
      <c r="CC148" s="30" t="n">
        <f aca="false">IF(ISNUMBER(CC147),CC152-CC147,"")</f>
        <v>2731.1</v>
      </c>
      <c r="CD148" s="30"/>
      <c r="CE148" s="30"/>
      <c r="CF148" s="30"/>
      <c r="CG148" s="30"/>
      <c r="CH148" s="30"/>
      <c r="CI148" s="30" t="n">
        <f aca="false">IF(ISNUMBER(CI147),CI152-CI147,"")</f>
        <v>2932.6</v>
      </c>
      <c r="CJ148" s="30"/>
      <c r="CK148" s="30"/>
      <c r="CL148" s="30"/>
      <c r="CM148" s="32"/>
      <c r="CN148" s="32"/>
      <c r="CO148" s="32"/>
      <c r="CP148" s="32"/>
      <c r="CQ148" s="32"/>
      <c r="CR148" s="32"/>
      <c r="CS148" s="32"/>
      <c r="CT148" s="23"/>
      <c r="CV148" s="7"/>
      <c r="CW148" s="7"/>
      <c r="CX148" s="7"/>
      <c r="CY148" s="7"/>
    </row>
    <row r="149" customFormat="false" ht="15" hidden="false" customHeight="true" outlineLevel="0" collapsed="false">
      <c r="B149" s="26" t="s">
        <v>251</v>
      </c>
      <c r="C149" s="40" t="str">
        <f aca="false">IFERROR(C148/C152,"")</f>
        <v/>
      </c>
      <c r="D149" s="40" t="str">
        <f aca="false">IFERROR(D148/D152,"")</f>
        <v/>
      </c>
      <c r="E149" s="40" t="str">
        <f aca="false">IFERROR(E148/E152,"")</f>
        <v/>
      </c>
      <c r="F149" s="40" t="str">
        <f aca="false">IFERROR(F148/F152,"")</f>
        <v/>
      </c>
      <c r="G149" s="40" t="str">
        <f aca="false">IFERROR(G148/G152,"")</f>
        <v/>
      </c>
      <c r="H149" s="40" t="str">
        <f aca="false">IFERROR(H148/H152,"")</f>
        <v/>
      </c>
      <c r="I149" s="40" t="str">
        <f aca="false">IFERROR(I148/I152,"")</f>
        <v/>
      </c>
      <c r="J149" s="40"/>
      <c r="K149" s="40"/>
      <c r="L149" s="40"/>
      <c r="M149" s="40"/>
      <c r="N149" s="40"/>
      <c r="O149" s="40" t="n">
        <f aca="false">IFERROR(O148/O152,"")</f>
        <v>0.240229196955443</v>
      </c>
      <c r="P149" s="40"/>
      <c r="Q149" s="40"/>
      <c r="R149" s="40"/>
      <c r="S149" s="40"/>
      <c r="T149" s="40"/>
      <c r="U149" s="40" t="n">
        <f aca="false">IFERROR(U148/U152,"")</f>
        <v>0.22639933166249</v>
      </c>
      <c r="V149" s="40"/>
      <c r="W149" s="40"/>
      <c r="X149" s="40"/>
      <c r="Y149" s="40"/>
      <c r="Z149" s="40"/>
      <c r="AA149" s="40" t="n">
        <f aca="false">IFERROR(AA148/AA152,"")</f>
        <v>0.218006179017449</v>
      </c>
      <c r="AB149" s="40"/>
      <c r="AC149" s="40"/>
      <c r="AD149" s="40"/>
      <c r="AE149" s="40"/>
      <c r="AF149" s="40"/>
      <c r="AG149" s="40" t="n">
        <f aca="false">IFERROR(AG148/AG152,"")</f>
        <v>0.234522535931904</v>
      </c>
      <c r="AH149" s="40"/>
      <c r="AI149" s="40"/>
      <c r="AJ149" s="40"/>
      <c r="AK149" s="40"/>
      <c r="AL149" s="40"/>
      <c r="AM149" s="40" t="n">
        <f aca="false">IFERROR(AM148/AM152,"")</f>
        <v>0.289730394039481</v>
      </c>
      <c r="AN149" s="40"/>
      <c r="AO149" s="40"/>
      <c r="AP149" s="40"/>
      <c r="AQ149" s="40"/>
      <c r="AR149" s="40"/>
      <c r="AS149" s="40" t="n">
        <f aca="false">IFERROR(AS148/AS152,"")</f>
        <v>0.29529946929492</v>
      </c>
      <c r="AT149" s="40"/>
      <c r="AU149" s="40"/>
      <c r="AV149" s="40"/>
      <c r="AW149" s="40"/>
      <c r="AX149" s="40"/>
      <c r="AY149" s="40" t="n">
        <f aca="false">IFERROR(AY148/AY152,"")</f>
        <v>0.311038057908712</v>
      </c>
      <c r="AZ149" s="40"/>
      <c r="BA149" s="40"/>
      <c r="BB149" s="40"/>
      <c r="BC149" s="40"/>
      <c r="BD149" s="40"/>
      <c r="BE149" s="40" t="n">
        <f aca="false">IFERROR(BE148/BE152,"")</f>
        <v>0.448869159484155</v>
      </c>
      <c r="BF149" s="40"/>
      <c r="BG149" s="40"/>
      <c r="BH149" s="40"/>
      <c r="BI149" s="40"/>
      <c r="BJ149" s="40"/>
      <c r="BK149" s="40" t="n">
        <f aca="false">IFERROR(BK148/BK152,"")</f>
        <v>0.465487722948226</v>
      </c>
      <c r="BL149" s="40"/>
      <c r="BM149" s="40"/>
      <c r="BN149" s="40"/>
      <c r="BO149" s="40"/>
      <c r="BP149" s="40"/>
      <c r="BQ149" s="40" t="n">
        <f aca="false">IFERROR(BQ148/BQ152,"")</f>
        <v>0.473747847433408</v>
      </c>
      <c r="BR149" s="40"/>
      <c r="BS149" s="40"/>
      <c r="BT149" s="40"/>
      <c r="BU149" s="40"/>
      <c r="BV149" s="40"/>
      <c r="BW149" s="40" t="n">
        <f aca="false">IFERROR(BW148/BW152,"")</f>
        <v>0.486221275840653</v>
      </c>
      <c r="BX149" s="40"/>
      <c r="BY149" s="40"/>
      <c r="BZ149" s="40"/>
      <c r="CA149" s="40"/>
      <c r="CB149" s="40"/>
      <c r="CC149" s="40" t="n">
        <f aca="false">IFERROR(CC148/CC152,"")</f>
        <v>0.481675485008818</v>
      </c>
      <c r="CD149" s="40"/>
      <c r="CE149" s="40"/>
      <c r="CF149" s="40"/>
      <c r="CG149" s="40"/>
      <c r="CH149" s="40"/>
      <c r="CI149" s="40" t="n">
        <f aca="false">IFERROR(CI148/CI152,"")</f>
        <v>0.47954344768944</v>
      </c>
      <c r="CJ149" s="40"/>
      <c r="CK149" s="40"/>
      <c r="CL149" s="40"/>
      <c r="CM149" s="28"/>
      <c r="CN149" s="28"/>
      <c r="CO149" s="28"/>
      <c r="CP149" s="28"/>
      <c r="CQ149" s="28"/>
      <c r="CR149" s="28"/>
      <c r="CS149" s="28"/>
      <c r="CT149" s="23"/>
      <c r="CV149" s="7"/>
      <c r="CW149" s="7"/>
      <c r="CX149" s="7"/>
      <c r="CY149" s="7"/>
    </row>
    <row r="150" customFormat="false" ht="15" hidden="false" customHeight="true" outlineLevel="0" collapsed="false">
      <c r="B150" s="13"/>
      <c r="CM150" s="7"/>
      <c r="CN150" s="7"/>
      <c r="CO150" s="7"/>
      <c r="CP150" s="7"/>
      <c r="CQ150" s="7"/>
      <c r="CR150" s="7"/>
      <c r="CS150" s="7"/>
      <c r="CT150" s="7"/>
    </row>
    <row r="151" customFormat="false" ht="15" hidden="false" customHeight="true" outlineLevel="0" collapsed="false">
      <c r="B151" s="12" t="s">
        <v>252</v>
      </c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 t="s">
        <v>253</v>
      </c>
    </row>
    <row r="152" customFormat="false" ht="15" hidden="false" customHeight="true" outlineLevel="0" collapsed="false">
      <c r="B152" s="34" t="s">
        <v>254</v>
      </c>
      <c r="C152" s="55" t="n">
        <v>1433.2</v>
      </c>
      <c r="D152" s="55" t="n">
        <v>1622.3</v>
      </c>
      <c r="E152" s="55" t="n">
        <v>1722</v>
      </c>
      <c r="F152" s="55" t="n">
        <v>1652.1</v>
      </c>
      <c r="G152" s="55" t="n">
        <v>1644.2</v>
      </c>
      <c r="H152" s="55" t="n">
        <v>1941.9</v>
      </c>
      <c r="I152" s="55" t="n">
        <v>2127.3</v>
      </c>
      <c r="J152" s="21" t="n">
        <v>569.4</v>
      </c>
      <c r="K152" s="21" t="n">
        <v>601</v>
      </c>
      <c r="L152" s="20" t="n">
        <f aca="false">J152+K152</f>
        <v>1170.4</v>
      </c>
      <c r="M152" s="21" t="n">
        <v>571.6</v>
      </c>
      <c r="N152" s="21" t="n">
        <v>596.6</v>
      </c>
      <c r="O152" s="55" t="n">
        <v>2338.6</v>
      </c>
      <c r="P152" s="21" t="n">
        <v>573.5</v>
      </c>
      <c r="Q152" s="21" t="n">
        <v>597.1</v>
      </c>
      <c r="R152" s="20" t="n">
        <f aca="false">P152+Q152</f>
        <v>1170.6</v>
      </c>
      <c r="S152" s="21" t="n">
        <v>601.1</v>
      </c>
      <c r="T152" s="21" t="n">
        <v>622.3</v>
      </c>
      <c r="U152" s="55" t="n">
        <v>2394</v>
      </c>
      <c r="V152" s="21" t="n">
        <v>565</v>
      </c>
      <c r="W152" s="21" t="n">
        <v>577.7</v>
      </c>
      <c r="X152" s="20" t="n">
        <f aca="false">V152+W152</f>
        <v>1142.7</v>
      </c>
      <c r="Y152" s="21" t="n">
        <v>555.4</v>
      </c>
      <c r="Z152" s="21" t="n">
        <v>600</v>
      </c>
      <c r="AA152" s="55" t="n">
        <v>2298.1</v>
      </c>
      <c r="AB152" s="21" t="n">
        <v>530.5</v>
      </c>
      <c r="AC152" s="21" t="n">
        <v>539.7</v>
      </c>
      <c r="AD152" s="20" t="n">
        <f aca="false">AB152+AC152</f>
        <v>1070.2</v>
      </c>
      <c r="AE152" s="21" t="n">
        <v>526.8</v>
      </c>
      <c r="AF152" s="21" t="n">
        <v>552.9</v>
      </c>
      <c r="AG152" s="55" t="n">
        <v>2149.9</v>
      </c>
      <c r="AH152" s="21" t="n">
        <v>566.1</v>
      </c>
      <c r="AI152" s="21" t="n">
        <v>671.1</v>
      </c>
      <c r="AJ152" s="20" t="n">
        <f aca="false">AH152+AI152</f>
        <v>1237.2</v>
      </c>
      <c r="AK152" s="21" t="n">
        <v>662.2</v>
      </c>
      <c r="AL152" s="21" t="n">
        <v>704.4</v>
      </c>
      <c r="AM152" s="55" t="n">
        <v>2603.8</v>
      </c>
      <c r="AN152" s="21" t="n">
        <v>695.6</v>
      </c>
      <c r="AO152" s="21" t="n">
        <v>732.5</v>
      </c>
      <c r="AP152" s="20" t="n">
        <f aca="false">AN152+AO152</f>
        <v>1428.1</v>
      </c>
      <c r="AQ152" s="21" t="n">
        <v>725.3</v>
      </c>
      <c r="AR152" s="21" t="n">
        <v>748.4</v>
      </c>
      <c r="AS152" s="55" t="n">
        <v>2901.8</v>
      </c>
      <c r="AT152" s="21" t="n">
        <v>745.2</v>
      </c>
      <c r="AU152" s="21" t="n">
        <v>782</v>
      </c>
      <c r="AV152" s="20" t="n">
        <f aca="false">AT152+AU152</f>
        <v>1527.2</v>
      </c>
      <c r="AW152" s="21" t="n">
        <v>802.2</v>
      </c>
      <c r="AX152" s="21" t="n">
        <v>834.2</v>
      </c>
      <c r="AY152" s="55" t="n">
        <v>3163.6</v>
      </c>
      <c r="AZ152" s="21" t="n">
        <v>784.6</v>
      </c>
      <c r="BA152" s="21" t="n">
        <v>743.3</v>
      </c>
      <c r="BB152" s="20" t="n">
        <f aca="false">AZ152+BA152</f>
        <v>1527.9</v>
      </c>
      <c r="BC152" s="21" t="n">
        <v>749</v>
      </c>
      <c r="BD152" s="21" t="n">
        <v>809.3</v>
      </c>
      <c r="BE152" s="55" t="n">
        <v>3086.2</v>
      </c>
      <c r="BF152" s="21" t="n">
        <v>805.7</v>
      </c>
      <c r="BG152" s="21" t="n">
        <v>1121</v>
      </c>
      <c r="BH152" s="20" t="n">
        <f aca="false">BF152+BG152</f>
        <v>1926.7</v>
      </c>
      <c r="BI152" s="21" t="n">
        <v>1311.9</v>
      </c>
      <c r="BJ152" s="21" t="n">
        <v>1375.7</v>
      </c>
      <c r="BK152" s="55" t="n">
        <v>4614.3</v>
      </c>
      <c r="BL152" s="21" t="n">
        <v>1321</v>
      </c>
      <c r="BM152" s="21" t="n">
        <v>1355.8</v>
      </c>
      <c r="BN152" s="20" t="n">
        <f aca="false">BL152+BM152</f>
        <v>2676.8</v>
      </c>
      <c r="BO152" s="21" t="n">
        <v>1363.6</v>
      </c>
      <c r="BP152" s="21" t="n">
        <v>1418.2</v>
      </c>
      <c r="BQ152" s="55" t="n">
        <v>5458.6</v>
      </c>
      <c r="BR152" s="21" t="n">
        <v>1383.3</v>
      </c>
      <c r="BS152" s="21" t="n">
        <v>1424.7</v>
      </c>
      <c r="BT152" s="20" t="n">
        <f aca="false">BR152+BS152</f>
        <v>2808</v>
      </c>
      <c r="BU152" s="21" t="n">
        <v>1402.5</v>
      </c>
      <c r="BV152" s="21" t="n">
        <v>1425</v>
      </c>
      <c r="BW152" s="55" t="n">
        <v>5635.5</v>
      </c>
      <c r="BX152" s="21" t="n">
        <v>1350.1</v>
      </c>
      <c r="BY152" s="21" t="n">
        <v>1374.1</v>
      </c>
      <c r="BZ152" s="20" t="n">
        <f aca="false">BX152+BY152</f>
        <v>2724.2</v>
      </c>
      <c r="CA152" s="21" t="n">
        <v>1443.5</v>
      </c>
      <c r="CB152" s="21" t="n">
        <v>1502.3</v>
      </c>
      <c r="CC152" s="55" t="n">
        <v>5670</v>
      </c>
      <c r="CD152" s="21" t="n">
        <v>1449.9</v>
      </c>
      <c r="CE152" s="21" t="n">
        <v>1513.7</v>
      </c>
      <c r="CF152" s="20" t="n">
        <f aca="false">CD152+CE152</f>
        <v>2963.6</v>
      </c>
      <c r="CG152" s="21" t="n">
        <v>1539.5</v>
      </c>
      <c r="CH152" s="21" t="n">
        <v>1612.3</v>
      </c>
      <c r="CI152" s="55" t="n">
        <v>6115.4</v>
      </c>
      <c r="CJ152" s="21" t="n">
        <v>1560.1</v>
      </c>
      <c r="CK152" s="21" t="n">
        <v>1662.5</v>
      </c>
      <c r="CL152" s="20" t="n">
        <f aca="false">CJ152+CK152</f>
        <v>3222.6</v>
      </c>
      <c r="CM152" s="35" t="n">
        <f aca="false">CM122</f>
        <v>1691.17403547937</v>
      </c>
      <c r="CN152" s="35" t="n">
        <f aca="false">CN122</f>
        <v>1772.31361956386</v>
      </c>
      <c r="CO152" s="35" t="n">
        <f aca="false">SUM(CJ152,CK152,CM152,CN152)</f>
        <v>6686.08765504323</v>
      </c>
      <c r="CP152" s="35" t="n">
        <f aca="false">CP122</f>
        <v>7179.9947259384</v>
      </c>
      <c r="CQ152" s="35" t="n">
        <f aca="false">CQ122</f>
        <v>7846.44522115061</v>
      </c>
      <c r="CR152" s="35" t="n">
        <f aca="false">CR122</f>
        <v>8561.12993983174</v>
      </c>
      <c r="CS152" s="35" t="n">
        <f aca="false">CS122</f>
        <v>9307.40144794982</v>
      </c>
      <c r="CT152" s="23" t="s">
        <v>255</v>
      </c>
      <c r="CV152" s="24" t="n">
        <f aca="false">IFERROR((CS152/CI152)^(1/5)-1,"n/m")</f>
        <v>0.0876288412402981</v>
      </c>
      <c r="CW152" s="24" t="n">
        <f aca="false">IFERROR((CI152/BE152)^(1/5)-1,"n/m")</f>
        <v>0.146568907336283</v>
      </c>
      <c r="CX152" s="24" t="n">
        <f aca="false">IFERROR((CI152/AA152)^(1/10)-1,"n/m")</f>
        <v>0.102822440406677</v>
      </c>
      <c r="CY152" s="24" t="n">
        <f aca="false">IFERROR((CI152/C152)^(1/19)-1,"n/m")</f>
        <v>0.0793545059885499</v>
      </c>
    </row>
    <row r="153" customFormat="false" ht="15" hidden="false" customHeight="true" outlineLevel="0" collapsed="false">
      <c r="B153" s="37" t="s">
        <v>256</v>
      </c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  <c r="BS153" s="30"/>
      <c r="BT153" s="30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2"/>
      <c r="CN153" s="32"/>
      <c r="CO153" s="32"/>
      <c r="CP153" s="32"/>
      <c r="CQ153" s="32"/>
      <c r="CR153" s="32"/>
      <c r="CS153" s="32"/>
      <c r="CT153" s="23"/>
      <c r="CV153" s="7"/>
      <c r="CW153" s="7"/>
      <c r="CX153" s="7"/>
      <c r="CY153" s="7"/>
    </row>
    <row r="154" customFormat="false" ht="15" hidden="false" customHeight="true" outlineLevel="0" collapsed="false">
      <c r="B154" s="37" t="s">
        <v>257</v>
      </c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  <c r="BS154" s="30"/>
      <c r="BT154" s="30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2"/>
      <c r="CN154" s="32"/>
      <c r="CO154" s="32"/>
      <c r="CP154" s="32"/>
      <c r="CQ154" s="32"/>
      <c r="CR154" s="32"/>
      <c r="CS154" s="32"/>
      <c r="CT154" s="23"/>
      <c r="CV154" s="7"/>
      <c r="CW154" s="7"/>
      <c r="CX154" s="7"/>
      <c r="CY154" s="7"/>
    </row>
    <row r="155" customFormat="false" ht="15" hidden="false" customHeight="true" outlineLevel="0" collapsed="false">
      <c r="B155" s="13" t="s">
        <v>258</v>
      </c>
      <c r="C155" s="31" t="n">
        <v>1020.2</v>
      </c>
      <c r="D155" s="31" t="n">
        <v>1136.4</v>
      </c>
      <c r="E155" s="31" t="n">
        <v>1205.9</v>
      </c>
      <c r="F155" s="31" t="n">
        <v>1177.3</v>
      </c>
      <c r="G155" s="31" t="n">
        <v>1148.1</v>
      </c>
      <c r="H155" s="31" t="n">
        <v>1290.7</v>
      </c>
      <c r="I155" s="31" t="n">
        <v>1379.1</v>
      </c>
      <c r="J155" s="31" t="n">
        <v>365.4</v>
      </c>
      <c r="K155" s="31" t="n">
        <v>383.6</v>
      </c>
      <c r="L155" s="30" t="n">
        <f aca="false">J155+K155</f>
        <v>749</v>
      </c>
      <c r="M155" s="31" t="n">
        <v>369</v>
      </c>
      <c r="N155" s="31" t="n">
        <v>382</v>
      </c>
      <c r="O155" s="31" t="n">
        <v>1500</v>
      </c>
      <c r="P155" s="31" t="n">
        <v>351.7</v>
      </c>
      <c r="Q155" s="31" t="n">
        <v>368.4</v>
      </c>
      <c r="R155" s="30" t="n">
        <f aca="false">P155+Q155</f>
        <v>720.1</v>
      </c>
      <c r="S155" s="31" t="n">
        <v>375.4</v>
      </c>
      <c r="T155" s="31" t="n">
        <v>391.6</v>
      </c>
      <c r="U155" s="31" t="n">
        <v>1487.1</v>
      </c>
      <c r="V155" s="31" t="n">
        <v>345.9</v>
      </c>
      <c r="W155" s="31" t="n">
        <v>357.7</v>
      </c>
      <c r="X155" s="30" t="n">
        <f aca="false">V155+W155</f>
        <v>703.6</v>
      </c>
      <c r="Y155" s="31" t="n">
        <v>345.8</v>
      </c>
      <c r="Z155" s="31" t="n">
        <v>378.4</v>
      </c>
      <c r="AA155" s="31" t="n">
        <v>1427.8</v>
      </c>
      <c r="AB155" s="31" t="n">
        <v>324.8</v>
      </c>
      <c r="AC155" s="31" t="n">
        <v>336.2</v>
      </c>
      <c r="AD155" s="30" t="n">
        <f aca="false">AB155+AC155</f>
        <v>661</v>
      </c>
      <c r="AE155" s="31" t="n">
        <v>317</v>
      </c>
      <c r="AF155" s="31" t="n">
        <v>340</v>
      </c>
      <c r="AG155" s="31" t="n">
        <v>1318</v>
      </c>
      <c r="AH155" s="31" t="n">
        <v>357</v>
      </c>
      <c r="AI155" s="31" t="n">
        <v>421.2</v>
      </c>
      <c r="AJ155" s="30" t="n">
        <f aca="false">AH155+AI155</f>
        <v>778.2</v>
      </c>
      <c r="AK155" s="31" t="n">
        <v>408.6</v>
      </c>
      <c r="AL155" s="31" t="n">
        <v>437.2</v>
      </c>
      <c r="AM155" s="31" t="n">
        <v>1624</v>
      </c>
      <c r="AN155" s="31" t="n">
        <v>438.2</v>
      </c>
      <c r="AO155" s="31" t="n">
        <v>447</v>
      </c>
      <c r="AP155" s="30" t="n">
        <f aca="false">AN155+AO155</f>
        <v>885.2</v>
      </c>
      <c r="AQ155" s="31" t="n">
        <v>446.2</v>
      </c>
      <c r="AR155" s="31" t="n">
        <v>459.6</v>
      </c>
      <c r="AS155" s="31" t="n">
        <v>1791</v>
      </c>
      <c r="AT155" s="31" t="n">
        <v>463.9</v>
      </c>
      <c r="AU155" s="31" t="n">
        <v>463.6</v>
      </c>
      <c r="AV155" s="30" t="n">
        <f aca="false">AT155+AU155</f>
        <v>927.5</v>
      </c>
      <c r="AW155" s="31" t="n">
        <v>487.7</v>
      </c>
      <c r="AX155" s="31" t="n">
        <v>505.1</v>
      </c>
      <c r="AY155" s="31" t="n">
        <v>1920.3</v>
      </c>
      <c r="AZ155" s="31" t="n">
        <v>492.6</v>
      </c>
      <c r="BA155" s="31" t="n">
        <v>460.6</v>
      </c>
      <c r="BB155" s="30" t="n">
        <f aca="false">AZ155+BA155</f>
        <v>953.2</v>
      </c>
      <c r="BC155" s="31" t="n">
        <v>458.5</v>
      </c>
      <c r="BD155" s="31" t="n">
        <v>493.6</v>
      </c>
      <c r="BE155" s="31" t="n">
        <v>1905.3</v>
      </c>
      <c r="BF155" s="31" t="n">
        <v>492.5</v>
      </c>
      <c r="BG155" s="31" t="n">
        <v>663.1</v>
      </c>
      <c r="BH155" s="30" t="n">
        <f aca="false">BF155+BG155</f>
        <v>1155.6</v>
      </c>
      <c r="BI155" s="31" t="n">
        <v>787.7</v>
      </c>
      <c r="BJ155" s="31" t="n">
        <v>829.6</v>
      </c>
      <c r="BK155" s="31" t="n">
        <v>2772.9</v>
      </c>
      <c r="BL155" s="31" t="n">
        <v>752.6</v>
      </c>
      <c r="BM155" s="31" t="n">
        <v>788.6</v>
      </c>
      <c r="BN155" s="30" t="n">
        <f aca="false">BL155+BM155</f>
        <v>1541.2</v>
      </c>
      <c r="BO155" s="31" t="n">
        <v>785.8</v>
      </c>
      <c r="BP155" s="31" t="n">
        <v>801.3</v>
      </c>
      <c r="BQ155" s="31" t="n">
        <v>3128.3</v>
      </c>
      <c r="BR155" s="31" t="n">
        <v>790.7</v>
      </c>
      <c r="BS155" s="31" t="n">
        <v>806.3</v>
      </c>
      <c r="BT155" s="30" t="n">
        <f aca="false">BR155+BS155</f>
        <v>1597</v>
      </c>
      <c r="BU155" s="31" t="n">
        <v>797.2</v>
      </c>
      <c r="BV155" s="31" t="n">
        <v>801.9</v>
      </c>
      <c r="BW155" s="31" t="n">
        <v>3196.1</v>
      </c>
      <c r="BX155" s="31" t="n">
        <v>770.2</v>
      </c>
      <c r="BY155" s="31" t="n">
        <v>781.5</v>
      </c>
      <c r="BZ155" s="30" t="n">
        <f aca="false">BX155+BY155</f>
        <v>1551.7</v>
      </c>
      <c r="CA155" s="31" t="n">
        <v>823.9</v>
      </c>
      <c r="CB155" s="31" t="n">
        <v>859.6</v>
      </c>
      <c r="CC155" s="31" t="n">
        <v>3235.2</v>
      </c>
      <c r="CD155" s="31" t="n">
        <v>830.4</v>
      </c>
      <c r="CE155" s="31" t="n">
        <v>869.1</v>
      </c>
      <c r="CF155" s="30" t="n">
        <f aca="false">CD155+CE155</f>
        <v>1699.5</v>
      </c>
      <c r="CG155" s="31" t="n">
        <v>880</v>
      </c>
      <c r="CH155" s="31" t="n">
        <v>921.1</v>
      </c>
      <c r="CI155" s="31" t="n">
        <v>3500.6</v>
      </c>
      <c r="CJ155" s="31" t="n">
        <v>886.3</v>
      </c>
      <c r="CK155" s="31" t="n">
        <v>924.4</v>
      </c>
      <c r="CL155" s="30" t="n">
        <f aca="false">CJ155+CK155</f>
        <v>1810.7</v>
      </c>
      <c r="CM155" s="32" t="n">
        <f aca="false">CM152*CM138</f>
        <v>947.111083874501</v>
      </c>
      <c r="CN155" s="32" t="n">
        <f aca="false">CN152*CN138</f>
        <v>991.987349192173</v>
      </c>
      <c r="CO155" s="32" t="n">
        <f aca="false">SUM(CJ155,CK155,CM155,CN155)</f>
        <v>3749.79843306667</v>
      </c>
      <c r="CP155" s="32" t="n">
        <f aca="false">CP152*CP138</f>
        <v>4049.51702542926</v>
      </c>
      <c r="CQ155" s="32" t="n">
        <f aca="false">CQ152*CQ138</f>
        <v>4409.70221428664</v>
      </c>
      <c r="CR155" s="32" t="n">
        <f aca="false">CR152*CR138</f>
        <v>4794.23276630577</v>
      </c>
      <c r="CS155" s="32" t="n">
        <f aca="false">CS152*CS138</f>
        <v>5193.530007956</v>
      </c>
      <c r="CT155" s="23"/>
      <c r="CV155" s="7"/>
      <c r="CW155" s="7"/>
      <c r="CX155" s="7"/>
      <c r="CY155" s="7"/>
    </row>
    <row r="156" customFormat="false" ht="15" hidden="false" customHeight="true" outlineLevel="0" collapsed="false">
      <c r="B156" s="19" t="s">
        <v>259</v>
      </c>
      <c r="C156" s="20" t="n">
        <f aca="false">C152-C155</f>
        <v>413</v>
      </c>
      <c r="D156" s="20" t="n">
        <f aca="false">D152-D155</f>
        <v>485.9</v>
      </c>
      <c r="E156" s="20" t="n">
        <f aca="false">E152-E155</f>
        <v>516.1</v>
      </c>
      <c r="F156" s="20" t="n">
        <f aca="false">F152-F155</f>
        <v>474.8</v>
      </c>
      <c r="G156" s="20" t="n">
        <f aca="false">G152-G155</f>
        <v>496.1</v>
      </c>
      <c r="H156" s="20" t="n">
        <f aca="false">H152-H155</f>
        <v>651.2</v>
      </c>
      <c r="I156" s="20" t="n">
        <f aca="false">I152-I155</f>
        <v>748.2</v>
      </c>
      <c r="J156" s="20" t="n">
        <f aca="false">J152-J155</f>
        <v>204</v>
      </c>
      <c r="K156" s="20" t="n">
        <f aca="false">K152-K155</f>
        <v>217.4</v>
      </c>
      <c r="L156" s="20" t="n">
        <f aca="false">L152-L155</f>
        <v>421.4</v>
      </c>
      <c r="M156" s="20" t="n">
        <f aca="false">M152-M155</f>
        <v>202.6</v>
      </c>
      <c r="N156" s="20" t="n">
        <f aca="false">N152-N155</f>
        <v>214.6</v>
      </c>
      <c r="O156" s="20" t="n">
        <f aca="false">O152-O155</f>
        <v>838.6</v>
      </c>
      <c r="P156" s="20" t="n">
        <f aca="false">P152-P155</f>
        <v>221.8</v>
      </c>
      <c r="Q156" s="20" t="n">
        <f aca="false">Q152-Q155</f>
        <v>228.7</v>
      </c>
      <c r="R156" s="20" t="n">
        <f aca="false">R152-R155</f>
        <v>450.5</v>
      </c>
      <c r="S156" s="20" t="n">
        <f aca="false">S152-S155</f>
        <v>225.7</v>
      </c>
      <c r="T156" s="20" t="n">
        <f aca="false">T152-T155</f>
        <v>230.7</v>
      </c>
      <c r="U156" s="20" t="n">
        <f aca="false">U152-U155</f>
        <v>906.9</v>
      </c>
      <c r="V156" s="20" t="n">
        <f aca="false">V152-V155</f>
        <v>219.1</v>
      </c>
      <c r="W156" s="20" t="n">
        <f aca="false">W152-W155</f>
        <v>220</v>
      </c>
      <c r="X156" s="20" t="n">
        <f aca="false">X152-X155</f>
        <v>439.1</v>
      </c>
      <c r="Y156" s="20" t="n">
        <f aca="false">Y152-Y155</f>
        <v>209.6</v>
      </c>
      <c r="Z156" s="20" t="n">
        <f aca="false">Z152-Z155</f>
        <v>221.6</v>
      </c>
      <c r="AA156" s="20" t="n">
        <f aca="false">AA152-AA155</f>
        <v>870.3</v>
      </c>
      <c r="AB156" s="20" t="n">
        <f aca="false">AB152-AB155</f>
        <v>205.7</v>
      </c>
      <c r="AC156" s="20" t="n">
        <f aca="false">AC152-AC155</f>
        <v>203.5</v>
      </c>
      <c r="AD156" s="20" t="n">
        <f aca="false">AD152-AD155</f>
        <v>409.2</v>
      </c>
      <c r="AE156" s="20" t="n">
        <f aca="false">AE152-AE155</f>
        <v>209.8</v>
      </c>
      <c r="AF156" s="20" t="n">
        <f aca="false">AF152-AF155</f>
        <v>212.9</v>
      </c>
      <c r="AG156" s="20" t="n">
        <f aca="false">AG152-AG155</f>
        <v>831.9</v>
      </c>
      <c r="AH156" s="20" t="n">
        <f aca="false">AH152-AH155</f>
        <v>209.1</v>
      </c>
      <c r="AI156" s="20" t="n">
        <f aca="false">AI152-AI155</f>
        <v>249.9</v>
      </c>
      <c r="AJ156" s="20" t="n">
        <f aca="false">AJ152-AJ155</f>
        <v>459</v>
      </c>
      <c r="AK156" s="20" t="n">
        <f aca="false">AK152-AK155</f>
        <v>253.6</v>
      </c>
      <c r="AL156" s="20" t="n">
        <f aca="false">AL152-AL155</f>
        <v>267.2</v>
      </c>
      <c r="AM156" s="20" t="n">
        <f aca="false">AM152-AM155</f>
        <v>979.8</v>
      </c>
      <c r="AN156" s="20" t="n">
        <f aca="false">AN152-AN155</f>
        <v>257.4</v>
      </c>
      <c r="AO156" s="20" t="n">
        <f aca="false">AO152-AO155</f>
        <v>285.5</v>
      </c>
      <c r="AP156" s="20" t="n">
        <f aca="false">AP152-AP155</f>
        <v>542.9</v>
      </c>
      <c r="AQ156" s="20" t="n">
        <f aca="false">AQ152-AQ155</f>
        <v>279.1</v>
      </c>
      <c r="AR156" s="20" t="n">
        <f aca="false">AR152-AR155</f>
        <v>288.8</v>
      </c>
      <c r="AS156" s="20" t="n">
        <f aca="false">AS152-AS155</f>
        <v>1110.8</v>
      </c>
      <c r="AT156" s="20" t="n">
        <f aca="false">AT152-AT155</f>
        <v>281.3</v>
      </c>
      <c r="AU156" s="20" t="n">
        <f aca="false">AU152-AU155</f>
        <v>318.4</v>
      </c>
      <c r="AV156" s="20" t="n">
        <f aca="false">AV152-AV155</f>
        <v>599.7</v>
      </c>
      <c r="AW156" s="20" t="n">
        <f aca="false">AW152-AW155</f>
        <v>314.5</v>
      </c>
      <c r="AX156" s="20" t="n">
        <f aca="false">AX152-AX155</f>
        <v>329.1</v>
      </c>
      <c r="AY156" s="20" t="n">
        <f aca="false">AY152-AY155</f>
        <v>1243.3</v>
      </c>
      <c r="AZ156" s="20" t="n">
        <f aca="false">AZ152-AZ155</f>
        <v>292</v>
      </c>
      <c r="BA156" s="20" t="n">
        <f aca="false">BA152-BA155</f>
        <v>282.7</v>
      </c>
      <c r="BB156" s="20" t="n">
        <f aca="false">BB152-BB155</f>
        <v>574.7</v>
      </c>
      <c r="BC156" s="20" t="n">
        <f aca="false">BC152-BC155</f>
        <v>290.5</v>
      </c>
      <c r="BD156" s="20" t="n">
        <f aca="false">BD152-BD155</f>
        <v>315.7</v>
      </c>
      <c r="BE156" s="20" t="n">
        <f aca="false">BE152-BE155</f>
        <v>1180.9</v>
      </c>
      <c r="BF156" s="20" t="n">
        <f aca="false">BF152-BF155</f>
        <v>313.2</v>
      </c>
      <c r="BG156" s="20" t="n">
        <f aca="false">BG152-BG155</f>
        <v>457.9</v>
      </c>
      <c r="BH156" s="20" t="n">
        <f aca="false">BH152-BH155</f>
        <v>771.1</v>
      </c>
      <c r="BI156" s="20" t="n">
        <f aca="false">BI152-BI155</f>
        <v>524.2</v>
      </c>
      <c r="BJ156" s="20" t="n">
        <f aca="false">BJ152-BJ155</f>
        <v>546.1</v>
      </c>
      <c r="BK156" s="20" t="n">
        <f aca="false">BK152-BK155</f>
        <v>1841.4</v>
      </c>
      <c r="BL156" s="20" t="n">
        <f aca="false">BL152-BL155</f>
        <v>568.4</v>
      </c>
      <c r="BM156" s="20" t="n">
        <f aca="false">BM152-BM155</f>
        <v>567.2</v>
      </c>
      <c r="BN156" s="20" t="n">
        <f aca="false">BN152-BN155</f>
        <v>1135.6</v>
      </c>
      <c r="BO156" s="20" t="n">
        <f aca="false">BO152-BO155</f>
        <v>577.8</v>
      </c>
      <c r="BP156" s="20" t="n">
        <f aca="false">BP152-BP155</f>
        <v>616.9</v>
      </c>
      <c r="BQ156" s="20" t="n">
        <f aca="false">BQ152-BQ155</f>
        <v>2330.3</v>
      </c>
      <c r="BR156" s="20" t="n">
        <f aca="false">BR152-BR155</f>
        <v>592.6</v>
      </c>
      <c r="BS156" s="20" t="n">
        <f aca="false">BS152-BS155</f>
        <v>618.4</v>
      </c>
      <c r="BT156" s="20" t="n">
        <f aca="false">BT152-BT155</f>
        <v>1211</v>
      </c>
      <c r="BU156" s="20" t="n">
        <f aca="false">BU152-BU155</f>
        <v>605.3</v>
      </c>
      <c r="BV156" s="20" t="n">
        <f aca="false">BV152-BV155</f>
        <v>623.1</v>
      </c>
      <c r="BW156" s="20" t="n">
        <f aca="false">BW152-BW155</f>
        <v>2439.4</v>
      </c>
      <c r="BX156" s="20" t="n">
        <f aca="false">BX152-BX155</f>
        <v>579.9</v>
      </c>
      <c r="BY156" s="20" t="n">
        <f aca="false">BY152-BY155</f>
        <v>592.6</v>
      </c>
      <c r="BZ156" s="20" t="n">
        <f aca="false">BZ152-BZ155</f>
        <v>1172.5</v>
      </c>
      <c r="CA156" s="20" t="n">
        <f aca="false">CA152-CA155</f>
        <v>619.6</v>
      </c>
      <c r="CB156" s="20" t="n">
        <f aca="false">CB152-CB155</f>
        <v>642.7</v>
      </c>
      <c r="CC156" s="20" t="n">
        <f aca="false">CC152-CC155</f>
        <v>2434.8</v>
      </c>
      <c r="CD156" s="20" t="n">
        <f aca="false">CD152-CD155</f>
        <v>619.5</v>
      </c>
      <c r="CE156" s="20" t="n">
        <f aca="false">CE152-CE155</f>
        <v>644.6</v>
      </c>
      <c r="CF156" s="20" t="n">
        <f aca="false">CF152-CF155</f>
        <v>1264.1</v>
      </c>
      <c r="CG156" s="20" t="n">
        <f aca="false">CG152-CG155</f>
        <v>659.5</v>
      </c>
      <c r="CH156" s="20" t="n">
        <f aca="false">CH152-CH155</f>
        <v>691.2</v>
      </c>
      <c r="CI156" s="20" t="n">
        <f aca="false">CI152-CI155</f>
        <v>2614.8</v>
      </c>
      <c r="CJ156" s="20" t="n">
        <f aca="false">CJ152-CJ155</f>
        <v>673.8</v>
      </c>
      <c r="CK156" s="20" t="n">
        <f aca="false">CK152-CK155</f>
        <v>738.1</v>
      </c>
      <c r="CL156" s="20" t="n">
        <f aca="false">CL152-CL155</f>
        <v>1411.9</v>
      </c>
      <c r="CM156" s="22" t="n">
        <f aca="false">CM152-CM155</f>
        <v>744.062951604869</v>
      </c>
      <c r="CN156" s="22" t="n">
        <f aca="false">CN152-CN155</f>
        <v>780.326270371684</v>
      </c>
      <c r="CO156" s="22" t="n">
        <f aca="false">SUM(CJ156,CK156,CM156,CN156)</f>
        <v>2936.28922197655</v>
      </c>
      <c r="CP156" s="22" t="n">
        <f aca="false">CP152-CP155</f>
        <v>3130.47770050914</v>
      </c>
      <c r="CQ156" s="22" t="n">
        <f aca="false">CQ152-CQ155</f>
        <v>3436.74300686396</v>
      </c>
      <c r="CR156" s="22" t="n">
        <f aca="false">CR152-CR155</f>
        <v>3766.89717352596</v>
      </c>
      <c r="CS156" s="22" t="n">
        <f aca="false">CS152-CS155</f>
        <v>4113.87143999382</v>
      </c>
      <c r="CT156" s="23"/>
      <c r="CV156" s="7"/>
      <c r="CW156" s="7"/>
      <c r="CX156" s="7"/>
      <c r="CY156" s="7"/>
    </row>
    <row r="157" customFormat="false" ht="15" hidden="false" customHeight="true" outlineLevel="0" collapsed="false">
      <c r="B157" s="13" t="s">
        <v>260</v>
      </c>
      <c r="C157" s="31" t="n">
        <v>287.9</v>
      </c>
      <c r="D157" s="31" t="n">
        <v>323.6</v>
      </c>
      <c r="E157" s="31" t="n">
        <v>317.5</v>
      </c>
      <c r="F157" s="31" t="n">
        <v>303.4</v>
      </c>
      <c r="G157" s="31" t="n">
        <v>317.6</v>
      </c>
      <c r="H157" s="31" t="n">
        <v>424</v>
      </c>
      <c r="I157" s="31" t="n">
        <v>505.1</v>
      </c>
      <c r="J157" s="31" t="n">
        <v>145.1</v>
      </c>
      <c r="K157" s="31" t="n">
        <v>152.5</v>
      </c>
      <c r="L157" s="30" t="n">
        <f aca="false">J157+K157</f>
        <v>297.6</v>
      </c>
      <c r="M157" s="31" t="n">
        <v>149.6</v>
      </c>
      <c r="N157" s="31" t="n">
        <v>151.1</v>
      </c>
      <c r="O157" s="31" t="n">
        <v>598.3</v>
      </c>
      <c r="P157" s="31" t="n">
        <v>155.8</v>
      </c>
      <c r="Q157" s="31" t="n">
        <v>154.4</v>
      </c>
      <c r="R157" s="30" t="n">
        <f aca="false">P157+Q157</f>
        <v>310.2</v>
      </c>
      <c r="S157" s="31" t="n">
        <v>151.4</v>
      </c>
      <c r="T157" s="31" t="n">
        <v>150.8</v>
      </c>
      <c r="U157" s="31" t="n">
        <v>612.4</v>
      </c>
      <c r="V157" s="31" t="n">
        <v>151.8</v>
      </c>
      <c r="W157" s="31" t="n">
        <v>151.1</v>
      </c>
      <c r="X157" s="30" t="n">
        <f aca="false">V157+W157</f>
        <v>302.9</v>
      </c>
      <c r="Y157" s="31" t="n">
        <v>140.1</v>
      </c>
      <c r="Z157" s="31" t="n">
        <v>145.6</v>
      </c>
      <c r="AA157" s="31" t="n">
        <v>588.6</v>
      </c>
      <c r="AB157" s="31" t="n">
        <v>144.8</v>
      </c>
      <c r="AC157" s="31" t="n">
        <v>149.9</v>
      </c>
      <c r="AD157" s="30" t="n">
        <f aca="false">AB157+AC157</f>
        <v>294.7</v>
      </c>
      <c r="AE157" s="31" t="n">
        <v>141</v>
      </c>
      <c r="AF157" s="31" t="n">
        <v>142.4</v>
      </c>
      <c r="AG157" s="31" t="n">
        <v>578.1</v>
      </c>
      <c r="AH157" s="31" t="n">
        <v>154.3</v>
      </c>
      <c r="AI157" s="31" t="n">
        <v>167.1</v>
      </c>
      <c r="AJ157" s="30" t="n">
        <f aca="false">AH157+AI157</f>
        <v>321.4</v>
      </c>
      <c r="AK157" s="31" t="n">
        <v>164.1</v>
      </c>
      <c r="AL157" s="31" t="n">
        <v>172.6</v>
      </c>
      <c r="AM157" s="31" t="n">
        <v>658.1</v>
      </c>
      <c r="AN157" s="31" t="n">
        <v>169</v>
      </c>
      <c r="AO157" s="31" t="n">
        <v>174</v>
      </c>
      <c r="AP157" s="30" t="n">
        <f aca="false">AN157+AO157</f>
        <v>343</v>
      </c>
      <c r="AQ157" s="31" t="n">
        <v>173.6</v>
      </c>
      <c r="AR157" s="31" t="n">
        <v>177.6</v>
      </c>
      <c r="AS157" s="31" t="n">
        <v>694.2</v>
      </c>
      <c r="AT157" s="31" t="n">
        <v>184</v>
      </c>
      <c r="AU157" s="31" t="n">
        <v>186.5</v>
      </c>
      <c r="AV157" s="30" t="n">
        <f aca="false">AT157+AU157</f>
        <v>370.5</v>
      </c>
      <c r="AW157" s="31" t="n">
        <v>185.8</v>
      </c>
      <c r="AX157" s="31" t="n">
        <v>195.3</v>
      </c>
      <c r="AY157" s="31" t="n">
        <v>751.6</v>
      </c>
      <c r="AZ157" s="31" t="n">
        <v>188</v>
      </c>
      <c r="BA157" s="31" t="n">
        <v>172.9</v>
      </c>
      <c r="BB157" s="30" t="n">
        <f aca="false">AZ157+BA157</f>
        <v>360.9</v>
      </c>
      <c r="BC157" s="31" t="n">
        <v>168</v>
      </c>
      <c r="BD157" s="31" t="n">
        <v>171.9</v>
      </c>
      <c r="BE157" s="31" t="n">
        <v>700.8</v>
      </c>
      <c r="BF157" s="31" t="n">
        <v>168.2</v>
      </c>
      <c r="BG157" s="31" t="n">
        <v>320.7</v>
      </c>
      <c r="BH157" s="30" t="n">
        <f aca="false">BF157+BG157</f>
        <v>488.9</v>
      </c>
      <c r="BI157" s="31" t="n">
        <v>279.3</v>
      </c>
      <c r="BJ157" s="31" t="n">
        <v>299.6</v>
      </c>
      <c r="BK157" s="31" t="n">
        <v>1067.8</v>
      </c>
      <c r="BL157" s="31" t="n">
        <v>291.3</v>
      </c>
      <c r="BM157" s="31" t="n">
        <v>286.4</v>
      </c>
      <c r="BN157" s="30" t="n">
        <f aca="false">BL157+BM157</f>
        <v>577.7</v>
      </c>
      <c r="BO157" s="31" t="n">
        <v>283.7</v>
      </c>
      <c r="BP157" s="31" t="n">
        <v>295.2</v>
      </c>
      <c r="BQ157" s="31" t="n">
        <v>1156.6</v>
      </c>
      <c r="BR157" s="31" t="n">
        <v>300.4</v>
      </c>
      <c r="BS157" s="31" t="n">
        <v>313</v>
      </c>
      <c r="BT157" s="30" t="n">
        <f aca="false">BR157+BS157</f>
        <v>613.4</v>
      </c>
      <c r="BU157" s="31" t="n">
        <v>291.9</v>
      </c>
      <c r="BV157" s="31" t="n">
        <v>303</v>
      </c>
      <c r="BW157" s="31" t="n">
        <v>1208.3</v>
      </c>
      <c r="BX157" s="31" t="n">
        <v>296.2</v>
      </c>
      <c r="BY157" s="31" t="n">
        <v>296.5</v>
      </c>
      <c r="BZ157" s="30" t="n">
        <f aca="false">BX157+BY157</f>
        <v>592.7</v>
      </c>
      <c r="CA157" s="31" t="n">
        <v>299.1</v>
      </c>
      <c r="CB157" s="31" t="n">
        <v>303.4</v>
      </c>
      <c r="CC157" s="31" t="n">
        <v>1195.2</v>
      </c>
      <c r="CD157" s="31" t="n">
        <v>308.2</v>
      </c>
      <c r="CE157" s="31" t="n">
        <v>311.8</v>
      </c>
      <c r="CF157" s="30" t="n">
        <f aca="false">CD157+CE157</f>
        <v>620</v>
      </c>
      <c r="CG157" s="31" t="n">
        <v>321.6</v>
      </c>
      <c r="CH157" s="31" t="n">
        <v>306.8</v>
      </c>
      <c r="CI157" s="31" t="n">
        <v>1248.4</v>
      </c>
      <c r="CJ157" s="31" t="n">
        <v>322</v>
      </c>
      <c r="CK157" s="31" t="n">
        <v>348.9</v>
      </c>
      <c r="CL157" s="30" t="n">
        <f aca="false">CJ157+CK157</f>
        <v>670.9</v>
      </c>
      <c r="CM157" s="32" t="n">
        <f aca="false">CM156-CM158+CM159-CM126</f>
        <v>369.117091732258</v>
      </c>
      <c r="CN157" s="32" t="n">
        <f aca="false">CN156-CN158+CN159-CN126</f>
        <v>388.945697123276</v>
      </c>
      <c r="CO157" s="32" t="n">
        <f aca="false">SUM(CJ157,CK157,CM157,CN157)</f>
        <v>1428.96278885553</v>
      </c>
      <c r="CP157" s="32" t="n">
        <f aca="false">CP156-CP158+CP159-CP126</f>
        <v>1458.02297316128</v>
      </c>
      <c r="CQ157" s="32" t="n">
        <f aca="false">CQ156-CQ158+CQ159-CQ126</f>
        <v>1585.82406077735</v>
      </c>
      <c r="CR157" s="32" t="n">
        <f aca="false">CR156-CR158+CR159-CR126</f>
        <v>1727.94404728433</v>
      </c>
      <c r="CS157" s="32" t="n">
        <f aca="false">CS156-CS158+CS159-CS126</f>
        <v>1873.27129647542</v>
      </c>
      <c r="CT157" s="23" t="s">
        <v>261</v>
      </c>
      <c r="CV157" s="7"/>
      <c r="CW157" s="7"/>
      <c r="CX157" s="7"/>
      <c r="CY157" s="7"/>
    </row>
    <row r="158" customFormat="false" ht="15" hidden="false" customHeight="true" outlineLevel="0" collapsed="false">
      <c r="B158" s="13" t="s">
        <v>262</v>
      </c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1" t="n">
        <v>9.8</v>
      </c>
      <c r="BG158" s="31" t="n">
        <v>32.8</v>
      </c>
      <c r="BH158" s="30" t="n">
        <f aca="false">BF158+BG158</f>
        <v>42.6</v>
      </c>
      <c r="BI158" s="31" t="n">
        <v>55.3</v>
      </c>
      <c r="BJ158" s="31" t="n">
        <v>51.4</v>
      </c>
      <c r="BK158" s="31" t="n">
        <v>149.3</v>
      </c>
      <c r="BL158" s="31" t="n">
        <v>53.6</v>
      </c>
      <c r="BM158" s="31" t="n">
        <v>51.3</v>
      </c>
      <c r="BN158" s="30" t="n">
        <f aca="false">BL158+BM158</f>
        <v>104.9</v>
      </c>
      <c r="BO158" s="31" t="n">
        <v>48.9</v>
      </c>
      <c r="BP158" s="31" t="n">
        <v>47.9</v>
      </c>
      <c r="BQ158" s="31" t="n">
        <v>201.7</v>
      </c>
      <c r="BR158" s="31" t="n">
        <v>49.7</v>
      </c>
      <c r="BS158" s="31" t="n">
        <v>49.3</v>
      </c>
      <c r="BT158" s="30" t="n">
        <f aca="false">BR158+BS158</f>
        <v>99</v>
      </c>
      <c r="BU158" s="31" t="n">
        <v>49.1</v>
      </c>
      <c r="BV158" s="31" t="n">
        <v>48.6</v>
      </c>
      <c r="BW158" s="31" t="n">
        <v>196.7</v>
      </c>
      <c r="BX158" s="31" t="n">
        <v>49.4</v>
      </c>
      <c r="BY158" s="31" t="n">
        <v>49.1</v>
      </c>
      <c r="BZ158" s="30" t="n">
        <f aca="false">BX158+BY158</f>
        <v>98.5</v>
      </c>
      <c r="CA158" s="31" t="n">
        <v>49.8</v>
      </c>
      <c r="CB158" s="31" t="n">
        <v>49.7</v>
      </c>
      <c r="CC158" s="31" t="n">
        <v>198</v>
      </c>
      <c r="CD158" s="31" t="n">
        <v>52</v>
      </c>
      <c r="CE158" s="31" t="n">
        <v>54.6</v>
      </c>
      <c r="CF158" s="30" t="n">
        <f aca="false">CD158+CE158</f>
        <v>106.6</v>
      </c>
      <c r="CG158" s="31" t="n">
        <v>55.1</v>
      </c>
      <c r="CH158" s="31" t="n">
        <v>54.9</v>
      </c>
      <c r="CI158" s="31" t="n">
        <v>216.6</v>
      </c>
      <c r="CJ158" s="31" t="n">
        <v>57.6</v>
      </c>
      <c r="CK158" s="31" t="n">
        <v>56</v>
      </c>
      <c r="CL158" s="30" t="n">
        <f aca="false">CJ158+CK158</f>
        <v>113.6</v>
      </c>
      <c r="CM158" s="32" t="n">
        <f aca="false">CM125</f>
        <v>56.2</v>
      </c>
      <c r="CN158" s="32" t="n">
        <f aca="false">CN125</f>
        <v>56.2</v>
      </c>
      <c r="CO158" s="32" t="n">
        <f aca="false">SUM(CJ158,CK158,CM158,CN158)</f>
        <v>226</v>
      </c>
      <c r="CP158" s="32" t="n">
        <f aca="false">CP125</f>
        <v>222.7375</v>
      </c>
      <c r="CQ158" s="32" t="n">
        <f aca="false">CQ125</f>
        <v>245.358333333333</v>
      </c>
      <c r="CR158" s="32" t="n">
        <f aca="false">CR125</f>
        <v>230.625</v>
      </c>
      <c r="CS158" s="32" t="n">
        <f aca="false">CS125</f>
        <v>233.591666666667</v>
      </c>
      <c r="CT158" s="23"/>
      <c r="CV158" s="7"/>
      <c r="CW158" s="7"/>
      <c r="CX158" s="7"/>
      <c r="CY158" s="7"/>
    </row>
    <row r="159" customFormat="false" ht="15" hidden="false" customHeight="true" outlineLevel="0" collapsed="false">
      <c r="B159" s="13" t="s">
        <v>263</v>
      </c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1" t="n">
        <v>0</v>
      </c>
      <c r="BG159" s="31" t="n">
        <v>0</v>
      </c>
      <c r="BH159" s="30" t="n">
        <f aca="false">BF159+BG159</f>
        <v>0</v>
      </c>
      <c r="BI159" s="31" t="n">
        <v>0</v>
      </c>
      <c r="BJ159" s="31" t="n">
        <v>0</v>
      </c>
      <c r="BK159" s="31" t="n">
        <v>0</v>
      </c>
      <c r="BL159" s="31" t="n">
        <v>0</v>
      </c>
      <c r="BM159" s="31" t="n">
        <v>0</v>
      </c>
      <c r="BN159" s="30" t="n">
        <f aca="false">BL159+BM159</f>
        <v>0</v>
      </c>
      <c r="BO159" s="31" t="n">
        <v>0</v>
      </c>
      <c r="BP159" s="31" t="n">
        <v>0</v>
      </c>
      <c r="BQ159" s="31" t="n">
        <v>0</v>
      </c>
      <c r="BR159" s="31" t="n">
        <v>0</v>
      </c>
      <c r="BS159" s="31" t="n">
        <v>0</v>
      </c>
      <c r="BT159" s="30" t="n">
        <f aca="false">BR159+BS159</f>
        <v>0</v>
      </c>
      <c r="BU159" s="31" t="n">
        <v>0</v>
      </c>
      <c r="BV159" s="31" t="n">
        <v>0</v>
      </c>
      <c r="BW159" s="31" t="n">
        <v>0</v>
      </c>
      <c r="BX159" s="31" t="n">
        <v>0</v>
      </c>
      <c r="BY159" s="31" t="n">
        <v>0</v>
      </c>
      <c r="BZ159" s="30" t="n">
        <f aca="false">BX159+BY159</f>
        <v>0</v>
      </c>
      <c r="CA159" s="31" t="n">
        <v>0</v>
      </c>
      <c r="CB159" s="31" t="n">
        <v>-52.5</v>
      </c>
      <c r="CC159" s="31" t="n">
        <v>-52.5</v>
      </c>
      <c r="CD159" s="31" t="n">
        <v>0</v>
      </c>
      <c r="CE159" s="31" t="n">
        <v>0</v>
      </c>
      <c r="CF159" s="30" t="n">
        <f aca="false">CD159+CE159</f>
        <v>0</v>
      </c>
      <c r="CG159" s="31" t="n">
        <v>0</v>
      </c>
      <c r="CH159" s="31" t="n">
        <v>0</v>
      </c>
      <c r="CI159" s="31" t="n">
        <v>0</v>
      </c>
      <c r="CJ159" s="31" t="n">
        <v>0</v>
      </c>
      <c r="CK159" s="31" t="n">
        <v>0</v>
      </c>
      <c r="CL159" s="30" t="n">
        <f aca="false">CJ159+CK159</f>
        <v>0</v>
      </c>
      <c r="CM159" s="33" t="n">
        <v>0</v>
      </c>
      <c r="CN159" s="33" t="n">
        <v>0</v>
      </c>
      <c r="CO159" s="32" t="n">
        <f aca="false">SUM(CJ159,CK159,CM159,CN159)</f>
        <v>0</v>
      </c>
      <c r="CP159" s="33" t="n">
        <v>0</v>
      </c>
      <c r="CQ159" s="33" t="n">
        <v>0</v>
      </c>
      <c r="CR159" s="33" t="n">
        <v>0</v>
      </c>
      <c r="CS159" s="33" t="n">
        <v>0</v>
      </c>
      <c r="CT159" s="23"/>
      <c r="CV159" s="7"/>
      <c r="CW159" s="7"/>
      <c r="CX159" s="7"/>
      <c r="CY159" s="7"/>
    </row>
    <row r="160" customFormat="false" ht="15" hidden="false" customHeight="true" outlineLevel="0" collapsed="false">
      <c r="B160" s="34" t="s">
        <v>264</v>
      </c>
      <c r="C160" s="35" t="n">
        <f aca="false">C156-C157-N(C158)+N(C159)</f>
        <v>125.1</v>
      </c>
      <c r="D160" s="35" t="n">
        <f aca="false">D156-D157-N(D158)+N(D159)</f>
        <v>162.3</v>
      </c>
      <c r="E160" s="35" t="n">
        <f aca="false">E156-E157-N(E158)+N(E159)</f>
        <v>198.6</v>
      </c>
      <c r="F160" s="35" t="n">
        <f aca="false">F156-F157-N(F158)+N(F159)</f>
        <v>171.4</v>
      </c>
      <c r="G160" s="35" t="n">
        <f aca="false">G156-G157-N(G158)+N(G159)</f>
        <v>178.5</v>
      </c>
      <c r="H160" s="35" t="n">
        <f aca="false">H156-H157-N(H158)+N(H159)</f>
        <v>227.2</v>
      </c>
      <c r="I160" s="35" t="n">
        <f aca="false">I156-I157-N(I158)+N(I159)</f>
        <v>243.1</v>
      </c>
      <c r="J160" s="20" t="n">
        <f aca="false">J156-J157-N(J158)+N(J159)</f>
        <v>58.9</v>
      </c>
      <c r="K160" s="20" t="n">
        <f aca="false">K156-K157-N(K158)+N(K159)</f>
        <v>64.9</v>
      </c>
      <c r="L160" s="20" t="n">
        <f aca="false">L156-L157-N(L158)+N(L159)</f>
        <v>123.8</v>
      </c>
      <c r="M160" s="20" t="n">
        <f aca="false">M156-M157-N(M158)+N(M159)</f>
        <v>53</v>
      </c>
      <c r="N160" s="20" t="n">
        <f aca="false">N156-N157-N(N158)+N(N159)</f>
        <v>63.5</v>
      </c>
      <c r="O160" s="35" t="n">
        <f aca="false">O156-O157-N(O158)+N(O159)</f>
        <v>240.3</v>
      </c>
      <c r="P160" s="20" t="n">
        <f aca="false">P156-P157-N(P158)+N(P159)</f>
        <v>66</v>
      </c>
      <c r="Q160" s="20" t="n">
        <f aca="false">Q156-Q157-N(Q158)+N(Q159)</f>
        <v>74.3</v>
      </c>
      <c r="R160" s="20" t="n">
        <f aca="false">R156-R157-N(R158)+N(R159)</f>
        <v>140.3</v>
      </c>
      <c r="S160" s="20" t="n">
        <f aca="false">S156-S157-N(S158)+N(S159)</f>
        <v>74.3</v>
      </c>
      <c r="T160" s="20" t="n">
        <f aca="false">T156-T157-N(T158)+N(T159)</f>
        <v>79.8999999999999</v>
      </c>
      <c r="U160" s="35" t="n">
        <f aca="false">U156-U157-N(U158)+N(U159)</f>
        <v>294.5</v>
      </c>
      <c r="V160" s="20" t="n">
        <f aca="false">V156-V157-N(V158)+N(V159)</f>
        <v>67.3</v>
      </c>
      <c r="W160" s="20" t="n">
        <f aca="false">W156-W157-N(W158)+N(W159)</f>
        <v>68.9000000000001</v>
      </c>
      <c r="X160" s="20" t="n">
        <f aca="false">X156-X157-N(X158)+N(X159)</f>
        <v>136.2</v>
      </c>
      <c r="Y160" s="20" t="n">
        <f aca="false">Y156-Y157-N(Y158)+N(Y159)</f>
        <v>69.5</v>
      </c>
      <c r="Z160" s="20" t="n">
        <f aca="false">Z156-Z157-N(Z158)+N(Z159)</f>
        <v>76</v>
      </c>
      <c r="AA160" s="35" t="n">
        <f aca="false">AA156-AA157-N(AA158)+N(AA159)</f>
        <v>281.7</v>
      </c>
      <c r="AB160" s="20" t="n">
        <f aca="false">AB156-AB157-N(AB158)+N(AB159)</f>
        <v>60.9</v>
      </c>
      <c r="AC160" s="20" t="n">
        <f aca="false">AC156-AC157-N(AC158)+N(AC159)</f>
        <v>53.6000000000001</v>
      </c>
      <c r="AD160" s="20" t="n">
        <f aca="false">AD156-AD157-N(AD158)+N(AD159)</f>
        <v>114.5</v>
      </c>
      <c r="AE160" s="20" t="n">
        <f aca="false">AE156-AE157-N(AE158)+N(AE159)</f>
        <v>68.8</v>
      </c>
      <c r="AF160" s="20" t="n">
        <f aca="false">AF156-AF157-N(AF158)+N(AF159)</f>
        <v>70.5</v>
      </c>
      <c r="AG160" s="35" t="n">
        <f aca="false">AG156-AG157-N(AG158)+N(AG159)</f>
        <v>253.8</v>
      </c>
      <c r="AH160" s="20" t="n">
        <f aca="false">AH156-AH157-N(AH158)+N(AH159)</f>
        <v>54.8</v>
      </c>
      <c r="AI160" s="20" t="n">
        <f aca="false">AI156-AI157-N(AI158)+N(AI159)</f>
        <v>82.8</v>
      </c>
      <c r="AJ160" s="20" t="n">
        <f aca="false">AJ156-AJ157-N(AJ158)+N(AJ159)</f>
        <v>137.6</v>
      </c>
      <c r="AK160" s="20" t="n">
        <f aca="false">AK156-AK157-N(AK158)+N(AK159)</f>
        <v>89.5</v>
      </c>
      <c r="AL160" s="20" t="n">
        <f aca="false">AL156-AL157-N(AL158)+N(AL159)</f>
        <v>94.6</v>
      </c>
      <c r="AM160" s="35" t="n">
        <f aca="false">AM156-AM157-N(AM158)+N(AM159)</f>
        <v>321.7</v>
      </c>
      <c r="AN160" s="20" t="n">
        <f aca="false">AN156-AN157-N(AN158)+N(AN159)</f>
        <v>88.4</v>
      </c>
      <c r="AO160" s="20" t="n">
        <f aca="false">AO156-AO157-N(AO158)+N(AO159)</f>
        <v>111.5</v>
      </c>
      <c r="AP160" s="20" t="n">
        <f aca="false">AP156-AP157-N(AP158)+N(AP159)</f>
        <v>199.9</v>
      </c>
      <c r="AQ160" s="20" t="n">
        <f aca="false">AQ156-AQ157-N(AQ158)+N(AQ159)</f>
        <v>105.5</v>
      </c>
      <c r="AR160" s="20" t="n">
        <f aca="false">AR156-AR157-N(AR158)+N(AR159)</f>
        <v>111.2</v>
      </c>
      <c r="AS160" s="35" t="n">
        <f aca="false">AS156-AS157-N(AS158)+N(AS159)</f>
        <v>416.6</v>
      </c>
      <c r="AT160" s="20" t="n">
        <f aca="false">AT156-AT157-N(AT158)+N(AT159)</f>
        <v>97.3000000000001</v>
      </c>
      <c r="AU160" s="20" t="n">
        <f aca="false">AU156-AU157-N(AU158)+N(AU159)</f>
        <v>131.9</v>
      </c>
      <c r="AV160" s="20" t="n">
        <f aca="false">AV156-AV157-N(AV158)+N(AV159)</f>
        <v>229.2</v>
      </c>
      <c r="AW160" s="20" t="n">
        <f aca="false">AW156-AW157-N(AW158)+N(AW159)</f>
        <v>128.7</v>
      </c>
      <c r="AX160" s="20" t="n">
        <f aca="false">AX156-AX157-N(AX158)+N(AX159)</f>
        <v>133.8</v>
      </c>
      <c r="AY160" s="35" t="n">
        <f aca="false">AY156-AY157-N(AY158)+N(AY159)</f>
        <v>491.7</v>
      </c>
      <c r="AZ160" s="20" t="n">
        <f aca="false">AZ156-AZ157-N(AZ158)+N(AZ159)</f>
        <v>104</v>
      </c>
      <c r="BA160" s="20" t="n">
        <f aca="false">BA156-BA157-N(BA158)+N(BA159)</f>
        <v>109.8</v>
      </c>
      <c r="BB160" s="20" t="n">
        <f aca="false">BB156-BB157-N(BB158)+N(BB159)</f>
        <v>213.8</v>
      </c>
      <c r="BC160" s="20" t="n">
        <f aca="false">BC156-BC157-N(BC158)+N(BC159)</f>
        <v>122.5</v>
      </c>
      <c r="BD160" s="20" t="n">
        <f aca="false">BD156-BD157-N(BD158)+N(BD159)</f>
        <v>143.8</v>
      </c>
      <c r="BE160" s="35" t="n">
        <f aca="false">BE156-BE157-N(BE158)+N(BE159)</f>
        <v>480.1</v>
      </c>
      <c r="BF160" s="20" t="n">
        <f aca="false">BF156-BF157-N(BF158)+N(BF159)</f>
        <v>135.2</v>
      </c>
      <c r="BG160" s="20" t="n">
        <f aca="false">BG156-BG157-N(BG158)+N(BG159)</f>
        <v>104.4</v>
      </c>
      <c r="BH160" s="20" t="n">
        <f aca="false">BH156-BH157-N(BH158)+N(BH159)</f>
        <v>239.6</v>
      </c>
      <c r="BI160" s="20" t="n">
        <f aca="false">BI156-BI157-N(BI158)+N(BI159)</f>
        <v>189.6</v>
      </c>
      <c r="BJ160" s="20" t="n">
        <f aca="false">BJ156-BJ157-N(BJ158)+N(BJ159)</f>
        <v>195.1</v>
      </c>
      <c r="BK160" s="35" t="n">
        <f aca="false">BK156-BK157-N(BK158)+N(BK159)</f>
        <v>624.3</v>
      </c>
      <c r="BL160" s="20" t="n">
        <f aca="false">BL156-BL157-N(BL158)+N(BL159)</f>
        <v>223.5</v>
      </c>
      <c r="BM160" s="20" t="n">
        <f aca="false">BM156-BM157-N(BM158)+N(BM159)</f>
        <v>229.5</v>
      </c>
      <c r="BN160" s="20" t="n">
        <f aca="false">BN156-BN157-N(BN158)+N(BN159)</f>
        <v>453</v>
      </c>
      <c r="BO160" s="20" t="n">
        <f aca="false">BO156-BO157-N(BO158)+N(BO159)</f>
        <v>245.2</v>
      </c>
      <c r="BP160" s="20" t="n">
        <f aca="false">BP156-BP157-N(BP158)+N(BP159)</f>
        <v>273.8</v>
      </c>
      <c r="BQ160" s="35" t="n">
        <f aca="false">BQ156-BQ157-N(BQ158)+N(BQ159)</f>
        <v>972</v>
      </c>
      <c r="BR160" s="20" t="n">
        <f aca="false">BR156-BR157-N(BR158)+N(BR159)</f>
        <v>242.5</v>
      </c>
      <c r="BS160" s="20" t="n">
        <f aca="false">BS156-BS157-N(BS158)+N(BS159)</f>
        <v>256.1</v>
      </c>
      <c r="BT160" s="20" t="n">
        <f aca="false">BT156-BT157-N(BT158)+N(BT159)</f>
        <v>498.6</v>
      </c>
      <c r="BU160" s="20" t="n">
        <f aca="false">BU156-BU157-N(BU158)+N(BU159)</f>
        <v>264.3</v>
      </c>
      <c r="BV160" s="20" t="n">
        <f aca="false">BV156-BV157-N(BV158)+N(BV159)</f>
        <v>271.5</v>
      </c>
      <c r="BW160" s="35" t="n">
        <f aca="false">BW156-BW157-N(BW158)+N(BW159)</f>
        <v>1034.4</v>
      </c>
      <c r="BX160" s="20" t="n">
        <f aca="false">BX156-BX157-N(BX158)+N(BX159)</f>
        <v>234.3</v>
      </c>
      <c r="BY160" s="20" t="n">
        <f aca="false">BY156-BY157-N(BY158)+N(BY159)</f>
        <v>247</v>
      </c>
      <c r="BZ160" s="20" t="n">
        <f aca="false">BZ156-BZ157-N(BZ158)+N(BZ159)</f>
        <v>481.3</v>
      </c>
      <c r="CA160" s="20" t="n">
        <f aca="false">CA156-CA157-N(CA158)+N(CA159)</f>
        <v>270.7</v>
      </c>
      <c r="CB160" s="20" t="n">
        <f aca="false">CB156-CB157-N(CB158)+N(CB159)</f>
        <v>237.1</v>
      </c>
      <c r="CC160" s="35" t="n">
        <f aca="false">CC156-CC157-N(CC158)+N(CC159)</f>
        <v>989.1</v>
      </c>
      <c r="CD160" s="20" t="n">
        <f aca="false">CD156-CD157-N(CD158)+N(CD159)</f>
        <v>259.3</v>
      </c>
      <c r="CE160" s="20" t="n">
        <f aca="false">CE156-CE157-N(CE158)+N(CE159)</f>
        <v>278.2</v>
      </c>
      <c r="CF160" s="20" t="n">
        <f aca="false">CF156-CF157-N(CF158)+N(CF159)</f>
        <v>537.5</v>
      </c>
      <c r="CG160" s="20" t="n">
        <f aca="false">CG156-CG157-N(CG158)+N(CG159)</f>
        <v>282.8</v>
      </c>
      <c r="CH160" s="20" t="n">
        <f aca="false">CH156-CH157-N(CH158)+N(CH159)</f>
        <v>329.5</v>
      </c>
      <c r="CI160" s="35" t="n">
        <f aca="false">CI156-CI157-N(CI158)+N(CI159)</f>
        <v>1149.8</v>
      </c>
      <c r="CJ160" s="20" t="n">
        <f aca="false">CJ156-CJ157-N(CJ158)+N(CJ159)</f>
        <v>294.2</v>
      </c>
      <c r="CK160" s="20" t="n">
        <f aca="false">CK156-CK157-N(CK158)+N(CK159)</f>
        <v>333.2</v>
      </c>
      <c r="CL160" s="20" t="n">
        <f aca="false">CL156-CL157-N(CL158)+N(CL159)</f>
        <v>627.4</v>
      </c>
      <c r="CM160" s="35" t="n">
        <f aca="false">CM156-CM157-CM158+CM159</f>
        <v>318.745859872612</v>
      </c>
      <c r="CN160" s="35" t="n">
        <f aca="false">CN156-CN157-CN158+CN159</f>
        <v>335.180573248408</v>
      </c>
      <c r="CO160" s="35" t="n">
        <f aca="false">SUM(CJ160,CK160,CM160,CN160)</f>
        <v>1281.32643312102</v>
      </c>
      <c r="CP160" s="35" t="n">
        <f aca="false">CP156-CP157-CP158+CP159</f>
        <v>1449.71722734786</v>
      </c>
      <c r="CQ160" s="35" t="n">
        <f aca="false">CQ156-CQ157-CQ158+CQ159</f>
        <v>1605.56061275328</v>
      </c>
      <c r="CR160" s="35" t="n">
        <f aca="false">CR156-CR157-CR158+CR159</f>
        <v>1808.32812624164</v>
      </c>
      <c r="CS160" s="35" t="n">
        <f aca="false">CS156-CS157-CS158+CS159</f>
        <v>2007.00847685173</v>
      </c>
      <c r="CT160" s="23"/>
      <c r="CV160" s="24" t="n">
        <f aca="false">IFERROR((CS160/CI160)^(1/5)-1,"n/m")</f>
        <v>0.117854760121879</v>
      </c>
      <c r="CW160" s="24" t="n">
        <f aca="false">IFERROR((CI160/BE160)^(1/5)-1,"n/m")</f>
        <v>0.190852902906864</v>
      </c>
      <c r="CX160" s="24" t="n">
        <f aca="false">IFERROR((CI160/AA160)^(1/10)-1,"n/m")</f>
        <v>0.151021791042947</v>
      </c>
      <c r="CY160" s="24" t="n">
        <f aca="false">IFERROR((CI160/C160)^(1/19)-1,"n/m")</f>
        <v>0.123837244620419</v>
      </c>
    </row>
    <row r="161" customFormat="false" ht="15" hidden="false" customHeight="true" outlineLevel="0" collapsed="false">
      <c r="B161" s="13" t="s">
        <v>265</v>
      </c>
      <c r="C161" s="31" t="n">
        <v>7.4</v>
      </c>
      <c r="D161" s="31" t="n">
        <v>12.5</v>
      </c>
      <c r="E161" s="31" t="n">
        <v>10.9</v>
      </c>
      <c r="F161" s="31" t="n">
        <v>4.8</v>
      </c>
      <c r="G161" s="31" t="n">
        <v>6.5</v>
      </c>
      <c r="H161" s="31" t="n">
        <v>16.2</v>
      </c>
      <c r="I161" s="31" t="n">
        <v>17.8</v>
      </c>
      <c r="J161" s="31" t="n">
        <v>5.4</v>
      </c>
      <c r="K161" s="31" t="n">
        <v>5.1</v>
      </c>
      <c r="L161" s="30" t="n">
        <f aca="false">J161+K161</f>
        <v>10.5</v>
      </c>
      <c r="M161" s="31" t="n">
        <v>5.1</v>
      </c>
      <c r="N161" s="31" t="n">
        <v>4.8</v>
      </c>
      <c r="O161" s="31" t="n">
        <v>20.4</v>
      </c>
      <c r="P161" s="31" t="n">
        <v>4.7</v>
      </c>
      <c r="Q161" s="31" t="n">
        <v>4.6</v>
      </c>
      <c r="R161" s="30" t="n">
        <f aca="false">P161+Q161</f>
        <v>9.3</v>
      </c>
      <c r="S161" s="31" t="n">
        <v>4.6</v>
      </c>
      <c r="T161" s="31" t="n">
        <v>5.1</v>
      </c>
      <c r="U161" s="31" t="n">
        <v>19</v>
      </c>
      <c r="V161" s="31" t="n">
        <v>5.9</v>
      </c>
      <c r="W161" s="31" t="n">
        <v>6</v>
      </c>
      <c r="X161" s="30" t="n">
        <f aca="false">V161+W161</f>
        <v>11.9</v>
      </c>
      <c r="Y161" s="31" t="n">
        <v>6</v>
      </c>
      <c r="Z161" s="31" t="n">
        <v>6</v>
      </c>
      <c r="AA161" s="31" t="n">
        <v>23.9</v>
      </c>
      <c r="AB161" s="31" t="n">
        <v>5.7</v>
      </c>
      <c r="AC161" s="31" t="n">
        <v>5.9</v>
      </c>
      <c r="AD161" s="30" t="n">
        <f aca="false">AB161+AC161</f>
        <v>11.6</v>
      </c>
      <c r="AE161" s="31" t="n">
        <v>5.6</v>
      </c>
      <c r="AF161" s="31" t="n">
        <v>6</v>
      </c>
      <c r="AG161" s="31" t="n">
        <v>23.2</v>
      </c>
      <c r="AH161" s="31" t="n">
        <v>8.2</v>
      </c>
      <c r="AI161" s="31" t="n">
        <v>9.1</v>
      </c>
      <c r="AJ161" s="30" t="n">
        <f aca="false">AH161+AI161</f>
        <v>17.3</v>
      </c>
      <c r="AK161" s="31" t="n">
        <v>8.2</v>
      </c>
      <c r="AL161" s="31" t="n">
        <v>7.6</v>
      </c>
      <c r="AM161" s="31" t="n">
        <v>33.1</v>
      </c>
      <c r="AN161" s="31" t="n">
        <v>7.1</v>
      </c>
      <c r="AO161" s="31" t="n">
        <v>6.7</v>
      </c>
      <c r="AP161" s="30" t="n">
        <f aca="false">AN161+AO161</f>
        <v>13.8</v>
      </c>
      <c r="AQ161" s="31" t="n">
        <v>6</v>
      </c>
      <c r="AR161" s="31" t="n">
        <v>5.7</v>
      </c>
      <c r="AS161" s="31" t="n">
        <v>25.5</v>
      </c>
      <c r="AT161" s="31" t="n">
        <v>5.4</v>
      </c>
      <c r="AU161" s="31" t="n">
        <v>5.4</v>
      </c>
      <c r="AV161" s="30" t="n">
        <f aca="false">AT161+AU161</f>
        <v>10.8</v>
      </c>
      <c r="AW161" s="31" t="n">
        <v>5.5</v>
      </c>
      <c r="AX161" s="31" t="n">
        <v>4.7</v>
      </c>
      <c r="AY161" s="31" t="n">
        <v>21</v>
      </c>
      <c r="AZ161" s="31" t="n">
        <v>4.1</v>
      </c>
      <c r="BA161" s="31" t="n">
        <v>3.7</v>
      </c>
      <c r="BB161" s="30" t="n">
        <f aca="false">AZ161+BA161</f>
        <v>7.8</v>
      </c>
      <c r="BC161" s="31" t="n">
        <v>4.1</v>
      </c>
      <c r="BD161" s="31" t="n">
        <v>3.4</v>
      </c>
      <c r="BE161" s="31" t="n">
        <v>15.3</v>
      </c>
      <c r="BF161" s="31" t="n">
        <v>22.3</v>
      </c>
      <c r="BG161" s="31" t="n">
        <v>21.2</v>
      </c>
      <c r="BH161" s="30" t="n">
        <f aca="false">BF161+BG161</f>
        <v>43.5</v>
      </c>
      <c r="BI161" s="31" t="n">
        <v>23.8</v>
      </c>
      <c r="BJ161" s="31" t="n">
        <v>23.5</v>
      </c>
      <c r="BK161" s="31" t="n">
        <v>90.8</v>
      </c>
      <c r="BL161" s="31" t="n">
        <v>22.3</v>
      </c>
      <c r="BM161" s="31" t="n">
        <v>22.5</v>
      </c>
      <c r="BN161" s="30" t="n">
        <f aca="false">BL161+BM161</f>
        <v>44.8</v>
      </c>
      <c r="BO161" s="31" t="n">
        <v>22</v>
      </c>
      <c r="BP161" s="31" t="n">
        <v>22.5</v>
      </c>
      <c r="BQ161" s="31" t="n">
        <v>89.3</v>
      </c>
      <c r="BR161" s="31" t="n">
        <v>21</v>
      </c>
      <c r="BS161" s="31" t="n">
        <v>22.3</v>
      </c>
      <c r="BT161" s="30" t="n">
        <f aca="false">BR161+BS161</f>
        <v>43.3</v>
      </c>
      <c r="BU161" s="31" t="n">
        <v>18.4</v>
      </c>
      <c r="BV161" s="31" t="n">
        <v>15.6</v>
      </c>
      <c r="BW161" s="31" t="n">
        <v>77.3</v>
      </c>
      <c r="BX161" s="31" t="n">
        <v>12.7</v>
      </c>
      <c r="BY161" s="31" t="n">
        <v>15.8</v>
      </c>
      <c r="BZ161" s="30" t="n">
        <f aca="false">BX161+BY161</f>
        <v>28.5</v>
      </c>
      <c r="CA161" s="31" t="n">
        <v>15.7</v>
      </c>
      <c r="CB161" s="31" t="n">
        <v>13.7</v>
      </c>
      <c r="CC161" s="31" t="n">
        <v>57.9</v>
      </c>
      <c r="CD161" s="31" t="n">
        <v>17.3</v>
      </c>
      <c r="CE161" s="31" t="n">
        <v>17.6</v>
      </c>
      <c r="CF161" s="30" t="n">
        <f aca="false">CD161+CE161</f>
        <v>34.9</v>
      </c>
      <c r="CG161" s="31" t="n">
        <v>12.6</v>
      </c>
      <c r="CH161" s="31" t="n">
        <v>12.1</v>
      </c>
      <c r="CI161" s="31" t="n">
        <v>59.6</v>
      </c>
      <c r="CJ161" s="31" t="n">
        <v>12.3</v>
      </c>
      <c r="CK161" s="31" t="n">
        <v>13.6</v>
      </c>
      <c r="CL161" s="30" t="n">
        <f aca="false">CJ161+CK161</f>
        <v>25.9</v>
      </c>
      <c r="CM161" s="32" t="n">
        <f aca="false">CK161</f>
        <v>13.6</v>
      </c>
      <c r="CN161" s="32" t="n">
        <f aca="false">CK161</f>
        <v>13.6</v>
      </c>
      <c r="CO161" s="32" t="n">
        <f aca="false">SUM(CJ161,CK161,CM161,CN161)</f>
        <v>53.1</v>
      </c>
      <c r="CP161" s="32" t="n">
        <f aca="false">CP382*CO376-CP383*CO315</f>
        <v>24.6230541166122</v>
      </c>
      <c r="CQ161" s="32" t="n">
        <f aca="false">CQ382*CP376-CQ383*CP315</f>
        <v>20.5105881637694</v>
      </c>
      <c r="CR161" s="32" t="n">
        <f aca="false">CR382*CQ376-CR383*CQ315</f>
        <v>19.1042584537115</v>
      </c>
      <c r="CS161" s="32" t="n">
        <f aca="false">CS382*CR376-CS383*CR315</f>
        <v>13.2963358953412</v>
      </c>
      <c r="CT161" s="23" t="s">
        <v>266</v>
      </c>
      <c r="CV161" s="7"/>
      <c r="CW161" s="7"/>
      <c r="CX161" s="7"/>
      <c r="CY161" s="7"/>
    </row>
    <row r="162" customFormat="false" ht="15" hidden="false" customHeight="true" outlineLevel="0" collapsed="false">
      <c r="B162" s="13" t="s">
        <v>267</v>
      </c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1" t="n">
        <v>3.3</v>
      </c>
      <c r="AI162" s="31" t="n">
        <v>3.4</v>
      </c>
      <c r="AJ162" s="30" t="n">
        <f aca="false">AH162+AI162</f>
        <v>6.7</v>
      </c>
      <c r="AK162" s="31" t="n">
        <v>3.4</v>
      </c>
      <c r="AL162" s="31" t="n">
        <v>3.8</v>
      </c>
      <c r="AM162" s="31" t="n">
        <v>13.9</v>
      </c>
      <c r="AN162" s="31" t="n">
        <v>3.4</v>
      </c>
      <c r="AO162" s="31" t="n">
        <v>3.3</v>
      </c>
      <c r="AP162" s="30" t="n">
        <f aca="false">AN162+AO162</f>
        <v>6.7</v>
      </c>
      <c r="AQ162" s="31" t="n">
        <v>3.4</v>
      </c>
      <c r="AR162" s="31" t="n">
        <v>3.4</v>
      </c>
      <c r="AS162" s="31" t="n">
        <v>13.5</v>
      </c>
      <c r="AT162" s="31" t="n">
        <v>2.2</v>
      </c>
      <c r="AU162" s="31" t="n">
        <v>2</v>
      </c>
      <c r="AV162" s="30" t="n">
        <f aca="false">AT162+AU162</f>
        <v>4.2</v>
      </c>
      <c r="AW162" s="31" t="n">
        <v>1.9</v>
      </c>
      <c r="AX162" s="31" t="n">
        <v>1.9</v>
      </c>
      <c r="AY162" s="31" t="n">
        <v>8</v>
      </c>
      <c r="AZ162" s="31" t="n">
        <v>2.5</v>
      </c>
      <c r="BA162" s="31" t="n">
        <v>3.2</v>
      </c>
      <c r="BB162" s="30" t="n">
        <f aca="false">AZ162+BA162</f>
        <v>5.7</v>
      </c>
      <c r="BC162" s="31" t="n">
        <v>3.2</v>
      </c>
      <c r="BD162" s="31" t="n">
        <v>3.2</v>
      </c>
      <c r="BE162" s="31" t="n">
        <v>12.1</v>
      </c>
      <c r="BF162" s="31" t="n">
        <v>2.8</v>
      </c>
      <c r="BG162" s="31" t="n">
        <v>2.8</v>
      </c>
      <c r="BH162" s="30" t="n">
        <f aca="false">BF162+BG162</f>
        <v>5.6</v>
      </c>
      <c r="BI162" s="31" t="n">
        <v>2.8</v>
      </c>
      <c r="BJ162" s="31" t="n">
        <v>2.8</v>
      </c>
      <c r="BK162" s="31" t="n">
        <v>11.2</v>
      </c>
      <c r="BL162" s="31" t="n">
        <v>2.8</v>
      </c>
      <c r="BM162" s="31" t="n">
        <v>2.9</v>
      </c>
      <c r="BN162" s="30" t="n">
        <f aca="false">BL162+BM162</f>
        <v>5.7</v>
      </c>
      <c r="BO162" s="31" t="n">
        <v>2.9</v>
      </c>
      <c r="BP162" s="31" t="n">
        <v>2.8</v>
      </c>
      <c r="BQ162" s="31" t="n">
        <v>11.4</v>
      </c>
      <c r="BR162" s="31" t="n">
        <v>3.3</v>
      </c>
      <c r="BS162" s="31" t="n">
        <v>2.9</v>
      </c>
      <c r="BT162" s="30" t="n">
        <f aca="false">BR162+BS162</f>
        <v>6.2</v>
      </c>
      <c r="BU162" s="31" t="n">
        <v>3.1</v>
      </c>
      <c r="BV162" s="31" t="n">
        <v>3.1</v>
      </c>
      <c r="BW162" s="31" t="n">
        <v>12.4</v>
      </c>
      <c r="BX162" s="31" t="n">
        <v>2.7</v>
      </c>
      <c r="BY162" s="31" t="n">
        <v>2.7</v>
      </c>
      <c r="BZ162" s="30" t="n">
        <f aca="false">BX162+BY162</f>
        <v>5.4</v>
      </c>
      <c r="CA162" s="31" t="n">
        <v>2.8</v>
      </c>
      <c r="CB162" s="31" t="n">
        <v>2.6</v>
      </c>
      <c r="CC162" s="31" t="n">
        <v>10.8</v>
      </c>
      <c r="CD162" s="31" t="n">
        <v>2.8</v>
      </c>
      <c r="CE162" s="31" t="n">
        <v>2.7</v>
      </c>
      <c r="CF162" s="30" t="n">
        <f aca="false">CD162+CE162</f>
        <v>5.5</v>
      </c>
      <c r="CG162" s="31" t="n">
        <v>2.7</v>
      </c>
      <c r="CH162" s="31" t="n">
        <v>2.7</v>
      </c>
      <c r="CI162" s="31" t="n">
        <v>10.9</v>
      </c>
      <c r="CJ162" s="31" t="n">
        <v>2.7</v>
      </c>
      <c r="CK162" s="31" t="n">
        <v>2.6</v>
      </c>
      <c r="CL162" s="30" t="n">
        <f aca="false">CJ162+CK162</f>
        <v>5.3</v>
      </c>
      <c r="CM162" s="32" t="n">
        <f aca="false">CK162</f>
        <v>2.6</v>
      </c>
      <c r="CN162" s="32" t="n">
        <f aca="false">CK162</f>
        <v>2.6</v>
      </c>
      <c r="CO162" s="32" t="n">
        <f aca="false">SUM(CJ162,CK162,CM162,CN162)</f>
        <v>10.5</v>
      </c>
      <c r="CP162" s="33" t="n">
        <v>10</v>
      </c>
      <c r="CQ162" s="33" t="n">
        <v>10</v>
      </c>
      <c r="CR162" s="33" t="n">
        <v>10</v>
      </c>
      <c r="CS162" s="33" t="n">
        <v>10</v>
      </c>
      <c r="CT162" s="23" t="s">
        <v>268</v>
      </c>
      <c r="CV162" s="7"/>
      <c r="CW162" s="7"/>
      <c r="CX162" s="7"/>
      <c r="CY162" s="7"/>
    </row>
    <row r="163" customFormat="false" ht="15" hidden="false" customHeight="true" outlineLevel="0" collapsed="false">
      <c r="B163" s="13" t="s">
        <v>269</v>
      </c>
      <c r="C163" s="31" t="n">
        <v>5</v>
      </c>
      <c r="D163" s="31" t="n">
        <v>2.9</v>
      </c>
      <c r="E163" s="31" t="n">
        <v>0.3</v>
      </c>
      <c r="F163" s="31" t="n">
        <v>-0.2</v>
      </c>
      <c r="G163" s="31" t="n">
        <v>1.6</v>
      </c>
      <c r="H163" s="31" t="n">
        <v>0.6</v>
      </c>
      <c r="I163" s="31" t="n">
        <v>2.9</v>
      </c>
      <c r="J163" s="31" t="n">
        <v>-0.5</v>
      </c>
      <c r="K163" s="31" t="n">
        <v>0</v>
      </c>
      <c r="L163" s="30" t="n">
        <f aca="false">J163+K163</f>
        <v>-0.5</v>
      </c>
      <c r="M163" s="31" t="n">
        <v>-0.7</v>
      </c>
      <c r="N163" s="31" t="n">
        <v>5.3</v>
      </c>
      <c r="O163" s="31" t="n">
        <v>4.1</v>
      </c>
      <c r="P163" s="31" t="n">
        <v>0.6</v>
      </c>
      <c r="Q163" s="31" t="n">
        <v>8.2</v>
      </c>
      <c r="R163" s="30" t="n">
        <f aca="false">P163+Q163</f>
        <v>8.8</v>
      </c>
      <c r="S163" s="31" t="n">
        <v>-1.8</v>
      </c>
      <c r="T163" s="31" t="n">
        <v>-0.4</v>
      </c>
      <c r="U163" s="31" t="n">
        <v>6.6</v>
      </c>
      <c r="V163" s="31" t="n">
        <v>0.8</v>
      </c>
      <c r="W163" s="31" t="n">
        <v>3.4</v>
      </c>
      <c r="X163" s="30" t="n">
        <f aca="false">V163+W163</f>
        <v>4.2</v>
      </c>
      <c r="Y163" s="31" t="n">
        <v>-2.1</v>
      </c>
      <c r="Z163" s="31" t="n">
        <v>-1.7</v>
      </c>
      <c r="AA163" s="31" t="n">
        <v>0.4</v>
      </c>
      <c r="AB163" s="31" t="n">
        <v>-1.3</v>
      </c>
      <c r="AC163" s="31" t="n">
        <v>17.2</v>
      </c>
      <c r="AD163" s="30" t="n">
        <f aca="false">AB163+AC163</f>
        <v>15.9</v>
      </c>
      <c r="AE163" s="31" t="n">
        <v>-0.8</v>
      </c>
      <c r="AF163" s="31" t="n">
        <v>-4.4</v>
      </c>
      <c r="AG163" s="31" t="n">
        <v>10.7</v>
      </c>
      <c r="AH163" s="31" t="n">
        <v>-9.3</v>
      </c>
      <c r="AI163" s="31" t="n">
        <v>-0.7</v>
      </c>
      <c r="AJ163" s="30" t="n">
        <f aca="false">AH163+AI163</f>
        <v>-10</v>
      </c>
      <c r="AK163" s="31" t="n">
        <v>-3</v>
      </c>
      <c r="AL163" s="31" t="n">
        <v>-2.5</v>
      </c>
      <c r="AM163" s="31" t="n">
        <v>-15.5</v>
      </c>
      <c r="AN163" s="31" t="n">
        <v>-2.5</v>
      </c>
      <c r="AO163" s="31" t="n">
        <v>-3.7</v>
      </c>
      <c r="AP163" s="30" t="n">
        <f aca="false">AN163+AO163</f>
        <v>-6.2</v>
      </c>
      <c r="AQ163" s="31" t="n">
        <v>-2.7</v>
      </c>
      <c r="AR163" s="31" t="n">
        <v>-1.8</v>
      </c>
      <c r="AS163" s="31" t="n">
        <v>-10.7</v>
      </c>
      <c r="AT163" s="31" t="n">
        <v>-1.2</v>
      </c>
      <c r="AU163" s="31" t="n">
        <v>-0.6</v>
      </c>
      <c r="AV163" s="30" t="n">
        <f aca="false">AT163+AU163</f>
        <v>-1.8</v>
      </c>
      <c r="AW163" s="31" t="n">
        <v>-1.7</v>
      </c>
      <c r="AX163" s="31" t="n">
        <v>-1.5</v>
      </c>
      <c r="AY163" s="31" t="n">
        <v>-5</v>
      </c>
      <c r="AZ163" s="31" t="n">
        <v>-1.4</v>
      </c>
      <c r="BA163" s="31" t="n">
        <v>-1.4</v>
      </c>
      <c r="BB163" s="30" t="n">
        <f aca="false">AZ163+BA163</f>
        <v>-2.8</v>
      </c>
      <c r="BC163" s="31" t="n">
        <v>-1.9</v>
      </c>
      <c r="BD163" s="31" t="n">
        <v>-2.5</v>
      </c>
      <c r="BE163" s="31" t="n">
        <v>-7.2</v>
      </c>
      <c r="BF163" s="31" t="n">
        <v>-14.4</v>
      </c>
      <c r="BG163" s="31" t="n">
        <v>6.1</v>
      </c>
      <c r="BH163" s="30" t="n">
        <f aca="false">BF163+BG163</f>
        <v>-8.3</v>
      </c>
      <c r="BI163" s="31" t="n">
        <v>-0.7</v>
      </c>
      <c r="BJ163" s="31" t="n">
        <v>-1.9</v>
      </c>
      <c r="BK163" s="31" t="n">
        <v>-10.9</v>
      </c>
      <c r="BL163" s="31" t="n">
        <v>-1</v>
      </c>
      <c r="BM163" s="31" t="n">
        <v>11.6</v>
      </c>
      <c r="BN163" s="30" t="n">
        <f aca="false">BL163+BM163</f>
        <v>10.6</v>
      </c>
      <c r="BO163" s="31" t="n">
        <v>5.2</v>
      </c>
      <c r="BP163" s="31" t="n">
        <v>-1.8</v>
      </c>
      <c r="BQ163" s="31" t="n">
        <v>14</v>
      </c>
      <c r="BR163" s="31" t="n">
        <v>-1.1</v>
      </c>
      <c r="BS163" s="31" t="n">
        <v>-1.8</v>
      </c>
      <c r="BT163" s="30" t="n">
        <f aca="false">BR163+BS163</f>
        <v>-2.9</v>
      </c>
      <c r="BU163" s="31" t="n">
        <v>-2.9</v>
      </c>
      <c r="BV163" s="31" t="n">
        <v>-4.8</v>
      </c>
      <c r="BW163" s="31" t="n">
        <v>-10.6</v>
      </c>
      <c r="BX163" s="31" t="n">
        <v>1.2</v>
      </c>
      <c r="BY163" s="31" t="n">
        <v>-2.2</v>
      </c>
      <c r="BZ163" s="30" t="n">
        <f aca="false">BX163+BY163</f>
        <v>-1</v>
      </c>
      <c r="CA163" s="31" t="n">
        <v>-2.7</v>
      </c>
      <c r="CB163" s="31" t="n">
        <v>-0.4</v>
      </c>
      <c r="CC163" s="31" t="n">
        <v>-4.1</v>
      </c>
      <c r="CD163" s="31" t="n">
        <v>-5.9</v>
      </c>
      <c r="CE163" s="31" t="n">
        <v>-2.7</v>
      </c>
      <c r="CF163" s="30" t="n">
        <f aca="false">CD163+CE163</f>
        <v>-8.6</v>
      </c>
      <c r="CG163" s="31" t="n">
        <v>0.9</v>
      </c>
      <c r="CH163" s="31" t="n">
        <v>1.1</v>
      </c>
      <c r="CI163" s="31" t="n">
        <v>-6.6</v>
      </c>
      <c r="CJ163" s="31" t="n">
        <v>-5.9</v>
      </c>
      <c r="CK163" s="31" t="n">
        <v>-0.9</v>
      </c>
      <c r="CL163" s="30" t="n">
        <f aca="false">CJ163+CK163</f>
        <v>-6.8</v>
      </c>
      <c r="CM163" s="33" t="n">
        <v>0</v>
      </c>
      <c r="CN163" s="33" t="n">
        <v>0</v>
      </c>
      <c r="CO163" s="32" t="n">
        <f aca="false">SUM(CJ163,CK163,CM163,CN163)</f>
        <v>-6.8</v>
      </c>
      <c r="CP163" s="33" t="n">
        <v>0</v>
      </c>
      <c r="CQ163" s="33" t="n">
        <v>0</v>
      </c>
      <c r="CR163" s="33" t="n">
        <v>0</v>
      </c>
      <c r="CS163" s="33" t="n">
        <v>0</v>
      </c>
      <c r="CT163" s="23"/>
      <c r="CV163" s="7"/>
      <c r="CW163" s="7"/>
      <c r="CX163" s="7"/>
      <c r="CY163" s="7"/>
    </row>
    <row r="164" customFormat="false" ht="15" hidden="false" customHeight="true" outlineLevel="0" collapsed="false">
      <c r="B164" s="34" t="s">
        <v>270</v>
      </c>
      <c r="C164" s="35" t="n">
        <f aca="false">C160-C161+N(C162)+N(C163)</f>
        <v>122.7</v>
      </c>
      <c r="D164" s="35" t="n">
        <f aca="false">D160-D161+N(D162)+N(D163)</f>
        <v>152.7</v>
      </c>
      <c r="E164" s="35" t="n">
        <f aca="false">E160-E161+N(E162)+N(E163)</f>
        <v>188</v>
      </c>
      <c r="F164" s="35" t="n">
        <f aca="false">F160-F161+N(F162)+N(F163)</f>
        <v>166.4</v>
      </c>
      <c r="G164" s="35" t="n">
        <f aca="false">G160-G161+N(G162)+N(G163)</f>
        <v>173.6</v>
      </c>
      <c r="H164" s="35" t="n">
        <f aca="false">H160-H161+N(H162)+N(H163)</f>
        <v>211.6</v>
      </c>
      <c r="I164" s="35" t="n">
        <f aca="false">I160-I161+N(I162)+N(I163)</f>
        <v>228.2</v>
      </c>
      <c r="J164" s="20" t="n">
        <f aca="false">J160-J161+N(J162)+N(J163)</f>
        <v>53</v>
      </c>
      <c r="K164" s="20" t="n">
        <f aca="false">K160-K161+N(K162)+N(K163)</f>
        <v>59.8</v>
      </c>
      <c r="L164" s="20" t="n">
        <f aca="false">L160-L161+N(L162)+N(L163)</f>
        <v>112.8</v>
      </c>
      <c r="M164" s="20" t="n">
        <f aca="false">M160-M161+N(M162)+N(M163)</f>
        <v>47.2</v>
      </c>
      <c r="N164" s="20" t="n">
        <f aca="false">N160-N161+N(N162)+N(N163)</f>
        <v>64</v>
      </c>
      <c r="O164" s="35" t="n">
        <f aca="false">O160-O161+N(O162)+N(O163)</f>
        <v>224</v>
      </c>
      <c r="P164" s="20" t="n">
        <f aca="false">P160-P161+N(P162)+N(P163)</f>
        <v>61.9</v>
      </c>
      <c r="Q164" s="20" t="n">
        <f aca="false">Q160-Q161+N(Q162)+N(Q163)</f>
        <v>77.9000000000001</v>
      </c>
      <c r="R164" s="20" t="n">
        <f aca="false">R160-R161+N(R162)+N(R163)</f>
        <v>139.8</v>
      </c>
      <c r="S164" s="20" t="n">
        <f aca="false">S160-S161+N(S162)+N(S163)</f>
        <v>67.9000000000001</v>
      </c>
      <c r="T164" s="20" t="n">
        <f aca="false">T160-T161+N(T162)+N(T163)</f>
        <v>74.3999999999999</v>
      </c>
      <c r="U164" s="35" t="n">
        <f aca="false">U160-U161+N(U162)+N(U163)</f>
        <v>282.1</v>
      </c>
      <c r="V164" s="20" t="n">
        <f aca="false">V160-V161+N(V162)+N(V163)</f>
        <v>62.2</v>
      </c>
      <c r="W164" s="20" t="n">
        <f aca="false">W160-W161+N(W162)+N(W163)</f>
        <v>66.3000000000001</v>
      </c>
      <c r="X164" s="20" t="n">
        <f aca="false">X160-X161+N(X162)+N(X163)</f>
        <v>128.5</v>
      </c>
      <c r="Y164" s="20" t="n">
        <f aca="false">Y160-Y161+N(Y162)+N(Y163)</f>
        <v>61.4</v>
      </c>
      <c r="Z164" s="20" t="n">
        <f aca="false">Z160-Z161+N(Z162)+N(Z163)</f>
        <v>68.3</v>
      </c>
      <c r="AA164" s="35" t="n">
        <f aca="false">AA160-AA161+N(AA162)+N(AA163)</f>
        <v>258.2</v>
      </c>
      <c r="AB164" s="20" t="n">
        <f aca="false">AB160-AB161+N(AB162)+N(AB163)</f>
        <v>53.9</v>
      </c>
      <c r="AC164" s="20" t="n">
        <f aca="false">AC160-AC161+N(AC162)+N(AC163)</f>
        <v>64.9000000000001</v>
      </c>
      <c r="AD164" s="20" t="n">
        <f aca="false">AD160-AD161+N(AD162)+N(AD163)</f>
        <v>118.8</v>
      </c>
      <c r="AE164" s="20" t="n">
        <f aca="false">AE160-AE161+N(AE162)+N(AE163)</f>
        <v>62.4</v>
      </c>
      <c r="AF164" s="20" t="n">
        <f aca="false">AF160-AF161+N(AF162)+N(AF163)</f>
        <v>60.1</v>
      </c>
      <c r="AG164" s="35" t="n">
        <f aca="false">AG160-AG161+N(AG162)+N(AG163)</f>
        <v>241.3</v>
      </c>
      <c r="AH164" s="20" t="n">
        <f aca="false">AH160-AH161+N(AH162)+N(AH163)</f>
        <v>40.6</v>
      </c>
      <c r="AI164" s="20" t="n">
        <f aca="false">AI160-AI161+N(AI162)+N(AI163)</f>
        <v>76.4000000000001</v>
      </c>
      <c r="AJ164" s="20" t="n">
        <f aca="false">AJ160-AJ161+N(AJ162)+N(AJ163)</f>
        <v>117</v>
      </c>
      <c r="AK164" s="20" t="n">
        <f aca="false">AK160-AK161+N(AK162)+N(AK163)</f>
        <v>81.7</v>
      </c>
      <c r="AL164" s="20" t="n">
        <f aca="false">AL160-AL161+N(AL162)+N(AL163)</f>
        <v>88.3</v>
      </c>
      <c r="AM164" s="35" t="n">
        <f aca="false">AM160-AM161+N(AM162)+N(AM163)</f>
        <v>287</v>
      </c>
      <c r="AN164" s="20" t="n">
        <f aca="false">AN160-AN161+N(AN162)+N(AN163)</f>
        <v>82.2000000000001</v>
      </c>
      <c r="AO164" s="20" t="n">
        <f aca="false">AO160-AO161+N(AO162)+N(AO163)</f>
        <v>104.4</v>
      </c>
      <c r="AP164" s="20" t="n">
        <f aca="false">AP160-AP161+N(AP162)+N(AP163)</f>
        <v>186.6</v>
      </c>
      <c r="AQ164" s="20" t="n">
        <f aca="false">AQ160-AQ161+N(AQ162)+N(AQ163)</f>
        <v>100.2</v>
      </c>
      <c r="AR164" s="20" t="n">
        <f aca="false">AR160-AR161+N(AR162)+N(AR163)</f>
        <v>107.1</v>
      </c>
      <c r="AS164" s="35" t="n">
        <f aca="false">AS160-AS161+N(AS162)+N(AS163)</f>
        <v>393.9</v>
      </c>
      <c r="AT164" s="20" t="n">
        <f aca="false">AT160-AT161+N(AT162)+N(AT163)</f>
        <v>92.9000000000001</v>
      </c>
      <c r="AU164" s="20" t="n">
        <f aca="false">AU160-AU161+N(AU162)+N(AU163)</f>
        <v>127.9</v>
      </c>
      <c r="AV164" s="20" t="n">
        <f aca="false">AV160-AV161+N(AV162)+N(AV163)</f>
        <v>220.8</v>
      </c>
      <c r="AW164" s="20" t="n">
        <f aca="false">AW160-AW161+N(AW162)+N(AW163)</f>
        <v>123.4</v>
      </c>
      <c r="AX164" s="20" t="n">
        <f aca="false">AX160-AX161+N(AX162)+N(AX163)</f>
        <v>129.5</v>
      </c>
      <c r="AY164" s="35" t="n">
        <f aca="false">AY160-AY161+N(AY162)+N(AY163)</f>
        <v>473.7</v>
      </c>
      <c r="AZ164" s="20" t="n">
        <f aca="false">AZ160-AZ161+N(AZ162)+N(AZ163)</f>
        <v>101</v>
      </c>
      <c r="BA164" s="20" t="n">
        <f aca="false">BA160-BA161+N(BA162)+N(BA163)</f>
        <v>107.9</v>
      </c>
      <c r="BB164" s="20" t="n">
        <f aca="false">BB160-BB161+N(BB162)+N(BB163)</f>
        <v>208.9</v>
      </c>
      <c r="BC164" s="20" t="n">
        <f aca="false">BC160-BC161+N(BC162)+N(BC163)</f>
        <v>119.7</v>
      </c>
      <c r="BD164" s="20" t="n">
        <f aca="false">BD160-BD161+N(BD162)+N(BD163)</f>
        <v>141.1</v>
      </c>
      <c r="BE164" s="35" t="n">
        <f aca="false">BE160-BE161+N(BE162)+N(BE163)</f>
        <v>469.7</v>
      </c>
      <c r="BF164" s="20" t="n">
        <f aca="false">BF160-BF161+N(BF162)+N(BF163)</f>
        <v>101.3</v>
      </c>
      <c r="BG164" s="20" t="n">
        <f aca="false">BG160-BG161+N(BG162)+N(BG163)</f>
        <v>92.1</v>
      </c>
      <c r="BH164" s="20" t="n">
        <f aca="false">BH160-BH161+N(BH162)+N(BH163)</f>
        <v>193.4</v>
      </c>
      <c r="BI164" s="20" t="n">
        <f aca="false">BI160-BI161+N(BI162)+N(BI163)</f>
        <v>167.9</v>
      </c>
      <c r="BJ164" s="20" t="n">
        <f aca="false">BJ160-BJ161+N(BJ162)+N(BJ163)</f>
        <v>172.5</v>
      </c>
      <c r="BK164" s="35" t="n">
        <f aca="false">BK160-BK161+N(BK162)+N(BK163)</f>
        <v>533.8</v>
      </c>
      <c r="BL164" s="20" t="n">
        <f aca="false">BL160-BL161+N(BL162)+N(BL163)</f>
        <v>203</v>
      </c>
      <c r="BM164" s="20" t="n">
        <f aca="false">BM160-BM161+N(BM162)+N(BM163)</f>
        <v>221.5</v>
      </c>
      <c r="BN164" s="20" t="n">
        <f aca="false">BN160-BN161+N(BN162)+N(BN163)</f>
        <v>424.5</v>
      </c>
      <c r="BO164" s="20" t="n">
        <f aca="false">BO160-BO161+N(BO162)+N(BO163)</f>
        <v>231.3</v>
      </c>
      <c r="BP164" s="20" t="n">
        <f aca="false">BP160-BP161+N(BP162)+N(BP163)</f>
        <v>252.3</v>
      </c>
      <c r="BQ164" s="35" t="n">
        <f aca="false">BQ160-BQ161+N(BQ162)+N(BQ163)</f>
        <v>908.1</v>
      </c>
      <c r="BR164" s="20" t="n">
        <f aca="false">BR160-BR161+N(BR162)+N(BR163)</f>
        <v>223.7</v>
      </c>
      <c r="BS164" s="20" t="n">
        <f aca="false">BS160-BS161+N(BS162)+N(BS163)</f>
        <v>234.9</v>
      </c>
      <c r="BT164" s="20" t="n">
        <f aca="false">BT160-BT161+N(BT162)+N(BT163)</f>
        <v>458.6</v>
      </c>
      <c r="BU164" s="20" t="n">
        <f aca="false">BU160-BU161+N(BU162)+N(BU163)</f>
        <v>246.1</v>
      </c>
      <c r="BV164" s="20" t="n">
        <f aca="false">BV160-BV161+N(BV162)+N(BV163)</f>
        <v>254.2</v>
      </c>
      <c r="BW164" s="35" t="n">
        <f aca="false">BW160-BW161+N(BW162)+N(BW163)</f>
        <v>958.9</v>
      </c>
      <c r="BX164" s="20" t="n">
        <f aca="false">BX160-BX161+N(BX162)+N(BX163)</f>
        <v>225.5</v>
      </c>
      <c r="BY164" s="20" t="n">
        <f aca="false">BY160-BY161+N(BY162)+N(BY163)</f>
        <v>231.7</v>
      </c>
      <c r="BZ164" s="20" t="n">
        <f aca="false">BZ160-BZ161+N(BZ162)+N(BZ163)</f>
        <v>457.2</v>
      </c>
      <c r="CA164" s="20" t="n">
        <f aca="false">CA160-CA161+N(CA162)+N(CA163)</f>
        <v>255.1</v>
      </c>
      <c r="CB164" s="20" t="n">
        <f aca="false">CB160-CB161+N(CB162)+N(CB163)</f>
        <v>225.6</v>
      </c>
      <c r="CC164" s="35" t="n">
        <f aca="false">CC160-CC161+N(CC162)+N(CC163)</f>
        <v>937.9</v>
      </c>
      <c r="CD164" s="20" t="n">
        <f aca="false">CD160-CD161+N(CD162)+N(CD163)</f>
        <v>238.9</v>
      </c>
      <c r="CE164" s="20" t="n">
        <f aca="false">CE160-CE161+N(CE162)+N(CE163)</f>
        <v>260.6</v>
      </c>
      <c r="CF164" s="20" t="n">
        <f aca="false">CF160-CF161+N(CF162)+N(CF163)</f>
        <v>499.5</v>
      </c>
      <c r="CG164" s="20" t="n">
        <f aca="false">CG160-CG161+N(CG162)+N(CG163)</f>
        <v>273.8</v>
      </c>
      <c r="CH164" s="20" t="n">
        <f aca="false">CH160-CH161+N(CH162)+N(CH163)</f>
        <v>321.2</v>
      </c>
      <c r="CI164" s="35" t="n">
        <f aca="false">CI160-CI161+N(CI162)+N(CI163)</f>
        <v>1094.5</v>
      </c>
      <c r="CJ164" s="20" t="n">
        <f aca="false">CJ160-CJ161+N(CJ162)+N(CJ163)</f>
        <v>278.7</v>
      </c>
      <c r="CK164" s="20" t="n">
        <f aca="false">CK160-CK161+N(CK162)+N(CK163)</f>
        <v>321.3</v>
      </c>
      <c r="CL164" s="20" t="n">
        <f aca="false">CL160-CL161+N(CL162)+N(CL163)</f>
        <v>600</v>
      </c>
      <c r="CM164" s="35" t="n">
        <f aca="false">CM160-CM161+CM162+CM163</f>
        <v>307.745859872612</v>
      </c>
      <c r="CN164" s="35" t="n">
        <f aca="false">CN160-CN161+CN162+CN163</f>
        <v>324.180573248408</v>
      </c>
      <c r="CO164" s="35" t="n">
        <f aca="false">SUM(CJ164,CK164,CM164,CN164)</f>
        <v>1231.92643312102</v>
      </c>
      <c r="CP164" s="35" t="n">
        <f aca="false">CP160-CP161+CP162+CP163</f>
        <v>1435.09417323125</v>
      </c>
      <c r="CQ164" s="35" t="n">
        <f aca="false">CQ160-CQ161+CQ162+CQ163</f>
        <v>1595.05002458951</v>
      </c>
      <c r="CR164" s="35" t="n">
        <f aca="false">CR160-CR161+CR162+CR163</f>
        <v>1799.22386778792</v>
      </c>
      <c r="CS164" s="35" t="n">
        <f aca="false">CS160-CS161+CS162+CS163</f>
        <v>2003.71214095639</v>
      </c>
      <c r="CT164" s="23"/>
      <c r="CV164" s="24" t="n">
        <f aca="false">IFERROR((CS164/CI164)^(1/5)-1,"n/m")</f>
        <v>0.128558075528408</v>
      </c>
      <c r="CW164" s="24" t="n">
        <f aca="false">IFERROR((CI164/BE164)^(1/5)-1,"n/m")</f>
        <v>0.184347209555707</v>
      </c>
      <c r="CX164" s="24" t="n">
        <f aca="false">IFERROR((CI164/AA164)^(1/10)-1,"n/m")</f>
        <v>0.155382945832621</v>
      </c>
      <c r="CY164" s="24" t="n">
        <f aca="false">IFERROR((CI164/C164)^(1/19)-1,"n/m")</f>
        <v>0.122068930140304</v>
      </c>
    </row>
    <row r="165" customFormat="false" ht="15" hidden="false" customHeight="true" outlineLevel="0" collapsed="false">
      <c r="B165" s="13" t="s">
        <v>271</v>
      </c>
      <c r="C165" s="31" t="n">
        <v>41.4</v>
      </c>
      <c r="D165" s="31" t="n">
        <v>50.8</v>
      </c>
      <c r="E165" s="31" t="n">
        <v>69.1</v>
      </c>
      <c r="F165" s="31" t="n">
        <v>50</v>
      </c>
      <c r="G165" s="31" t="n">
        <v>53.6</v>
      </c>
      <c r="H165" s="31" t="n">
        <v>69.5</v>
      </c>
      <c r="I165" s="31" t="n">
        <v>65.4</v>
      </c>
      <c r="J165" s="31" t="n">
        <v>13.2</v>
      </c>
      <c r="K165" s="31" t="n">
        <v>16.5</v>
      </c>
      <c r="L165" s="30" t="n">
        <f aca="false">J165+K165</f>
        <v>29.7</v>
      </c>
      <c r="M165" s="31" t="n">
        <v>0.3</v>
      </c>
      <c r="N165" s="31" t="n">
        <v>9.5</v>
      </c>
      <c r="O165" s="31" t="n">
        <v>39.5</v>
      </c>
      <c r="P165" s="31" t="n">
        <v>15.9</v>
      </c>
      <c r="Q165" s="31" t="n">
        <v>22.1</v>
      </c>
      <c r="R165" s="30" t="n">
        <f aca="false">P165+Q165</f>
        <v>38</v>
      </c>
      <c r="S165" s="31" t="n">
        <v>13</v>
      </c>
      <c r="T165" s="31" t="n">
        <v>15.5</v>
      </c>
      <c r="U165" s="31" t="n">
        <v>66.5</v>
      </c>
      <c r="V165" s="31" t="n">
        <v>18.5</v>
      </c>
      <c r="W165" s="31" t="n">
        <v>18.3</v>
      </c>
      <c r="X165" s="30" t="n">
        <f aca="false">V165+W165</f>
        <v>36.8</v>
      </c>
      <c r="Y165" s="31" t="n">
        <v>13.1</v>
      </c>
      <c r="Z165" s="31" t="n">
        <v>12.8</v>
      </c>
      <c r="AA165" s="31" t="n">
        <v>62.7</v>
      </c>
      <c r="AB165" s="31" t="n">
        <v>14.9</v>
      </c>
      <c r="AC165" s="31" t="n">
        <v>18</v>
      </c>
      <c r="AD165" s="30" t="n">
        <f aca="false">AB165+AC165</f>
        <v>32.9</v>
      </c>
      <c r="AE165" s="31" t="n">
        <v>10.4</v>
      </c>
      <c r="AF165" s="31" t="n">
        <v>7.1</v>
      </c>
      <c r="AG165" s="31" t="n">
        <v>50.4</v>
      </c>
      <c r="AH165" s="31" t="n">
        <v>10.1</v>
      </c>
      <c r="AI165" s="31" t="n">
        <v>16.3</v>
      </c>
      <c r="AJ165" s="30" t="n">
        <f aca="false">AH165+AI165</f>
        <v>26.4</v>
      </c>
      <c r="AK165" s="31" t="n">
        <v>12.7</v>
      </c>
      <c r="AL165" s="31" t="n">
        <v>20.7</v>
      </c>
      <c r="AM165" s="31" t="n">
        <v>59.8</v>
      </c>
      <c r="AN165" s="31" t="n">
        <v>15.7</v>
      </c>
      <c r="AO165" s="31" t="n">
        <v>18.5</v>
      </c>
      <c r="AP165" s="30" t="n">
        <f aca="false">AN165+AO165</f>
        <v>34.2</v>
      </c>
      <c r="AQ165" s="31" t="n">
        <v>9.9</v>
      </c>
      <c r="AR165" s="31" t="n">
        <v>16</v>
      </c>
      <c r="AS165" s="31" t="n">
        <v>60.1</v>
      </c>
      <c r="AT165" s="31" t="n">
        <v>17.6</v>
      </c>
      <c r="AU165" s="31" t="n">
        <v>23.3</v>
      </c>
      <c r="AV165" s="30" t="n">
        <f aca="false">AT165+AU165</f>
        <v>40.9</v>
      </c>
      <c r="AW165" s="31" t="n">
        <v>16.7</v>
      </c>
      <c r="AX165" s="31" t="n">
        <v>13.8</v>
      </c>
      <c r="AY165" s="31" t="n">
        <v>71.4</v>
      </c>
      <c r="AZ165" s="31" t="n">
        <v>18.8</v>
      </c>
      <c r="BA165" s="31" t="n">
        <v>14.2</v>
      </c>
      <c r="BB165" s="30" t="n">
        <f aca="false">AZ165+BA165</f>
        <v>33</v>
      </c>
      <c r="BC165" s="31" t="n">
        <v>25.8</v>
      </c>
      <c r="BD165" s="31" t="n">
        <v>9</v>
      </c>
      <c r="BE165" s="31" t="n">
        <v>67.8</v>
      </c>
      <c r="BF165" s="31" t="n">
        <v>16.6</v>
      </c>
      <c r="BG165" s="31" t="n">
        <v>27.4</v>
      </c>
      <c r="BH165" s="30" t="n">
        <f aca="false">BF165+BG165</f>
        <v>44</v>
      </c>
      <c r="BI165" s="31" t="n">
        <v>33.8</v>
      </c>
      <c r="BJ165" s="31" t="n">
        <v>10.7</v>
      </c>
      <c r="BK165" s="31" t="n">
        <v>88.5</v>
      </c>
      <c r="BL165" s="31" t="n">
        <v>-9.6</v>
      </c>
      <c r="BM165" s="31" t="n">
        <v>50.2</v>
      </c>
      <c r="BN165" s="30" t="n">
        <f aca="false">BL165+BM165</f>
        <v>40.6</v>
      </c>
      <c r="BO165" s="31" t="n">
        <v>53.1</v>
      </c>
      <c r="BP165" s="31" t="n">
        <v>25.5</v>
      </c>
      <c r="BQ165" s="31" t="n">
        <v>119.2</v>
      </c>
      <c r="BR165" s="31" t="n">
        <v>44.9</v>
      </c>
      <c r="BS165" s="31" t="n">
        <v>49.4</v>
      </c>
      <c r="BT165" s="30" t="n">
        <f aca="false">BR165+BS165</f>
        <v>94.3</v>
      </c>
      <c r="BU165" s="31" t="n">
        <v>47.3</v>
      </c>
      <c r="BV165" s="31" t="n">
        <v>-69.3</v>
      </c>
      <c r="BW165" s="31" t="n">
        <v>72.3</v>
      </c>
      <c r="BX165" s="31" t="n">
        <v>46.4</v>
      </c>
      <c r="BY165" s="31" t="n">
        <v>51.4</v>
      </c>
      <c r="BZ165" s="30" t="n">
        <f aca="false">BX165+BY165</f>
        <v>97.8</v>
      </c>
      <c r="CA165" s="31" t="n">
        <v>-7.1</v>
      </c>
      <c r="CB165" s="31" t="n">
        <v>26.5</v>
      </c>
      <c r="CC165" s="31" t="n">
        <v>117.2</v>
      </c>
      <c r="CD165" s="31" t="n">
        <v>50.1</v>
      </c>
      <c r="CE165" s="31" t="n">
        <v>50.2</v>
      </c>
      <c r="CF165" s="30" t="n">
        <f aca="false">CD165+CE165</f>
        <v>100.3</v>
      </c>
      <c r="CG165" s="31" t="n">
        <v>52.9</v>
      </c>
      <c r="CH165" s="31" t="n">
        <v>45.6</v>
      </c>
      <c r="CI165" s="31" t="n">
        <v>198.8</v>
      </c>
      <c r="CJ165" s="31" t="n">
        <v>51.9</v>
      </c>
      <c r="CK165" s="31" t="n">
        <v>69.6</v>
      </c>
      <c r="CL165" s="30" t="n">
        <f aca="false">CJ165+CK165</f>
        <v>121.5</v>
      </c>
      <c r="CM165" s="32" t="n">
        <f aca="false">CM164*$DD$16</f>
        <v>66.1653598726115</v>
      </c>
      <c r="CN165" s="32" t="n">
        <f aca="false">CN164*$DD$16</f>
        <v>69.6988232484076</v>
      </c>
      <c r="CO165" s="32" t="n">
        <f aca="false">SUM(CJ165,CK165,CM165,CN165)</f>
        <v>257.364183121019</v>
      </c>
      <c r="CP165" s="32" t="n">
        <f aca="false">CP164*CP166</f>
        <v>308.545247244719</v>
      </c>
      <c r="CQ165" s="32" t="n">
        <f aca="false">CQ164*CQ166</f>
        <v>342.935755286744</v>
      </c>
      <c r="CR165" s="32" t="n">
        <f aca="false">CR164*CR166</f>
        <v>386.833131574404</v>
      </c>
      <c r="CS165" s="32" t="n">
        <f aca="false">CS164*CS166</f>
        <v>430.798110305623</v>
      </c>
      <c r="CT165" s="23" t="s">
        <v>272</v>
      </c>
      <c r="CV165" s="7"/>
      <c r="CW165" s="7"/>
      <c r="CX165" s="7"/>
      <c r="CY165" s="7"/>
    </row>
    <row r="166" customFormat="false" ht="15" hidden="false" customHeight="true" outlineLevel="0" collapsed="false">
      <c r="B166" s="26" t="s">
        <v>273</v>
      </c>
      <c r="C166" s="40" t="n">
        <f aca="false">IFERROR(C165/C164,"")</f>
        <v>0.337408312958435</v>
      </c>
      <c r="D166" s="40" t="n">
        <f aca="false">IFERROR(D165/D164,"")</f>
        <v>0.33267845448592</v>
      </c>
      <c r="E166" s="40" t="n">
        <f aca="false">IFERROR(E165/E164,"")</f>
        <v>0.367553191489362</v>
      </c>
      <c r="F166" s="40" t="n">
        <f aca="false">IFERROR(F165/F164,"")</f>
        <v>0.300480769230769</v>
      </c>
      <c r="G166" s="40" t="n">
        <f aca="false">IFERROR(G165/G164,"")</f>
        <v>0.308755760368663</v>
      </c>
      <c r="H166" s="40" t="n">
        <f aca="false">IFERROR(H165/H164,"")</f>
        <v>0.328449905482042</v>
      </c>
      <c r="I166" s="40" t="n">
        <f aca="false">IFERROR(I165/I164,"")</f>
        <v>0.286590709903593</v>
      </c>
      <c r="J166" s="40" t="n">
        <f aca="false">IFERROR(J165/J164,"")</f>
        <v>0.249056603773585</v>
      </c>
      <c r="K166" s="40" t="n">
        <f aca="false">IFERROR(K165/K164,"")</f>
        <v>0.275919732441472</v>
      </c>
      <c r="L166" s="40" t="n">
        <f aca="false">IFERROR(L165/L164,"")</f>
        <v>0.263297872340425</v>
      </c>
      <c r="M166" s="40" t="n">
        <f aca="false">IFERROR(M165/M164,"")</f>
        <v>0.00635593220338983</v>
      </c>
      <c r="N166" s="40" t="n">
        <f aca="false">IFERROR(N165/N164,"")</f>
        <v>0.1484375</v>
      </c>
      <c r="O166" s="40" t="n">
        <f aca="false">IFERROR(O165/O164,"")</f>
        <v>0.176339285714286</v>
      </c>
      <c r="P166" s="40" t="n">
        <f aca="false">IFERROR(P165/P164,"")</f>
        <v>0.25686591276252</v>
      </c>
      <c r="Q166" s="40" t="n">
        <f aca="false">IFERROR(Q165/Q164,"")</f>
        <v>0.283697047496791</v>
      </c>
      <c r="R166" s="40" t="n">
        <f aca="false">IFERROR(R165/R164,"")</f>
        <v>0.271816881258941</v>
      </c>
      <c r="S166" s="40" t="n">
        <f aca="false">IFERROR(S165/S164,"")</f>
        <v>0.191458026509573</v>
      </c>
      <c r="T166" s="40" t="n">
        <f aca="false">IFERROR(T165/T164,"")</f>
        <v>0.208333333333334</v>
      </c>
      <c r="U166" s="40" t="n">
        <f aca="false">IFERROR(U165/U164,"")</f>
        <v>0.235732009925558</v>
      </c>
      <c r="V166" s="40" t="n">
        <f aca="false">IFERROR(V165/V164,"")</f>
        <v>0.297427652733119</v>
      </c>
      <c r="W166" s="40" t="n">
        <f aca="false">IFERROR(W165/W164,"")</f>
        <v>0.276018099547511</v>
      </c>
      <c r="X166" s="40" t="n">
        <f aca="false">IFERROR(X165/X164,"")</f>
        <v>0.286381322957198</v>
      </c>
      <c r="Y166" s="40" t="n">
        <f aca="false">IFERROR(Y165/Y164,"")</f>
        <v>0.213355048859935</v>
      </c>
      <c r="Z166" s="40" t="n">
        <f aca="false">IFERROR(Z165/Z164,"")</f>
        <v>0.187408491947291</v>
      </c>
      <c r="AA166" s="40" t="n">
        <f aca="false">IFERROR(AA165/AA164,"")</f>
        <v>0.2428350116189</v>
      </c>
      <c r="AB166" s="40" t="n">
        <f aca="false">IFERROR(AB165/AB164,"")</f>
        <v>0.276437847866419</v>
      </c>
      <c r="AC166" s="40" t="n">
        <f aca="false">IFERROR(AC165/AC164,"")</f>
        <v>0.277349768875192</v>
      </c>
      <c r="AD166" s="40" t="n">
        <f aca="false">IFERROR(AD165/AD164,"")</f>
        <v>0.276936026936027</v>
      </c>
      <c r="AE166" s="40" t="n">
        <f aca="false">IFERROR(AE165/AE164,"")</f>
        <v>0.166666666666667</v>
      </c>
      <c r="AF166" s="40" t="n">
        <f aca="false">IFERROR(AF165/AF164,"")</f>
        <v>0.118136439267887</v>
      </c>
      <c r="AG166" s="40" t="n">
        <f aca="false">IFERROR(AG165/AG164,"")</f>
        <v>0.208868628263572</v>
      </c>
      <c r="AH166" s="40" t="n">
        <f aca="false">IFERROR(AH165/AH164,"")</f>
        <v>0.248768472906404</v>
      </c>
      <c r="AI166" s="40" t="n">
        <f aca="false">IFERROR(AI165/AI164,"")</f>
        <v>0.213350785340314</v>
      </c>
      <c r="AJ166" s="40" t="n">
        <f aca="false">IFERROR(AJ165/AJ164,"")</f>
        <v>0.225641025641026</v>
      </c>
      <c r="AK166" s="40" t="n">
        <f aca="false">IFERROR(AK165/AK164,"")</f>
        <v>0.155446756425949</v>
      </c>
      <c r="AL166" s="40" t="n">
        <f aca="false">IFERROR(AL165/AL164,"")</f>
        <v>0.234428086070215</v>
      </c>
      <c r="AM166" s="40" t="n">
        <f aca="false">IFERROR(AM165/AM164,"")</f>
        <v>0.208362369337979</v>
      </c>
      <c r="AN166" s="40" t="n">
        <f aca="false">IFERROR(AN165/AN164,"")</f>
        <v>0.190997566909976</v>
      </c>
      <c r="AO166" s="40" t="n">
        <f aca="false">IFERROR(AO165/AO164,"")</f>
        <v>0.1772030651341</v>
      </c>
      <c r="AP166" s="40" t="n">
        <f aca="false">IFERROR(AP165/AP164,"")</f>
        <v>0.183279742765273</v>
      </c>
      <c r="AQ166" s="40" t="n">
        <f aca="false">IFERROR(AQ165/AQ164,"")</f>
        <v>0.0988023952095809</v>
      </c>
      <c r="AR166" s="40" t="n">
        <f aca="false">IFERROR(AR165/AR164,"")</f>
        <v>0.149393090569561</v>
      </c>
      <c r="AS166" s="40" t="n">
        <f aca="false">IFERROR(AS165/AS164,"")</f>
        <v>0.152576796141153</v>
      </c>
      <c r="AT166" s="40" t="n">
        <f aca="false">IFERROR(AT165/AT164,"")</f>
        <v>0.189451022604951</v>
      </c>
      <c r="AU166" s="40" t="n">
        <f aca="false">IFERROR(AU165/AU164,"")</f>
        <v>0.182173573103988</v>
      </c>
      <c r="AV166" s="40" t="n">
        <f aca="false">IFERROR(AV165/AV164,"")</f>
        <v>0.185235507246377</v>
      </c>
      <c r="AW166" s="40" t="n">
        <f aca="false">IFERROR(AW165/AW164,"")</f>
        <v>0.135332252836305</v>
      </c>
      <c r="AX166" s="40" t="n">
        <f aca="false">IFERROR(AX165/AX164,"")</f>
        <v>0.106563706563707</v>
      </c>
      <c r="AY166" s="40" t="n">
        <f aca="false">IFERROR(AY165/AY164,"")</f>
        <v>0.150728309056365</v>
      </c>
      <c r="AZ166" s="40" t="n">
        <f aca="false">IFERROR(AZ165/AZ164,"")</f>
        <v>0.186138613861386</v>
      </c>
      <c r="BA166" s="40" t="n">
        <f aca="false">IFERROR(BA165/BA164,"")</f>
        <v>0.131603336422614</v>
      </c>
      <c r="BB166" s="40" t="n">
        <f aca="false">IFERROR(BB165/BB164,"")</f>
        <v>0.157970320727621</v>
      </c>
      <c r="BC166" s="40" t="n">
        <f aca="false">IFERROR(BC165/BC164,"")</f>
        <v>0.215538847117794</v>
      </c>
      <c r="BD166" s="40" t="n">
        <f aca="false">IFERROR(BD165/BD164,"")</f>
        <v>0.0637845499645642</v>
      </c>
      <c r="BE166" s="40" t="n">
        <f aca="false">IFERROR(BE165/BE164,"")</f>
        <v>0.144347455822866</v>
      </c>
      <c r="BF166" s="40" t="n">
        <f aca="false">IFERROR(BF165/BF164,"")</f>
        <v>0.163869693978282</v>
      </c>
      <c r="BG166" s="40" t="n">
        <f aca="false">IFERROR(BG165/BG164,"")</f>
        <v>0.297502714440825</v>
      </c>
      <c r="BH166" s="40" t="n">
        <f aca="false">IFERROR(BH165/BH164,"")</f>
        <v>0.227507755946225</v>
      </c>
      <c r="BI166" s="40" t="n">
        <f aca="false">IFERROR(BI165/BI164,"")</f>
        <v>0.201310303752233</v>
      </c>
      <c r="BJ166" s="40" t="n">
        <f aca="false">IFERROR(BJ165/BJ164,"")</f>
        <v>0.0620289855072464</v>
      </c>
      <c r="BK166" s="40" t="n">
        <f aca="false">IFERROR(BK165/BK164,"")</f>
        <v>0.16579243162233</v>
      </c>
      <c r="BL166" s="40" t="n">
        <f aca="false">IFERROR(BL165/BL164,"")</f>
        <v>-0.0472906403940887</v>
      </c>
      <c r="BM166" s="40" t="n">
        <f aca="false">IFERROR(BM165/BM164,"")</f>
        <v>0.226636568848759</v>
      </c>
      <c r="BN166" s="40" t="n">
        <f aca="false">IFERROR(BN165/BN164,"")</f>
        <v>0.0956419316843345</v>
      </c>
      <c r="BO166" s="40" t="n">
        <f aca="false">IFERROR(BO165/BO164,"")</f>
        <v>0.229571984435798</v>
      </c>
      <c r="BP166" s="40" t="n">
        <f aca="false">IFERROR(BP165/BP164,"")</f>
        <v>0.101070154577883</v>
      </c>
      <c r="BQ166" s="40" t="n">
        <f aca="false">IFERROR(BQ165/BQ164,"")</f>
        <v>0.131263076753661</v>
      </c>
      <c r="BR166" s="40" t="n">
        <f aca="false">IFERROR(BR165/BR164,"")</f>
        <v>0.200715243629861</v>
      </c>
      <c r="BS166" s="40" t="n">
        <f aca="false">IFERROR(BS165/BS164,"")</f>
        <v>0.210302256279268</v>
      </c>
      <c r="BT166" s="40" t="n">
        <f aca="false">IFERROR(BT165/BT164,"")</f>
        <v>0.205625817706062</v>
      </c>
      <c r="BU166" s="40" t="n">
        <f aca="false">IFERROR(BU165/BU164,"")</f>
        <v>0.192198293376676</v>
      </c>
      <c r="BV166" s="40" t="n">
        <f aca="false">IFERROR(BV165/BV164,"")</f>
        <v>-0.272619984264359</v>
      </c>
      <c r="BW166" s="40" t="n">
        <f aca="false">IFERROR(BW165/BW164,"")</f>
        <v>0.075398894566691</v>
      </c>
      <c r="BX166" s="40" t="n">
        <f aca="false">IFERROR(BX165/BX164,"")</f>
        <v>0.205764966740577</v>
      </c>
      <c r="BY166" s="40" t="n">
        <f aca="false">IFERROR(BY165/BY164,"")</f>
        <v>0.221838584376349</v>
      </c>
      <c r="BZ166" s="40" t="n">
        <f aca="false">IFERROR(BZ165/BZ164,"")</f>
        <v>0.213910761154856</v>
      </c>
      <c r="CA166" s="40" t="n">
        <f aca="false">IFERROR(CA165/CA164,"")</f>
        <v>-0.0278322226577813</v>
      </c>
      <c r="CB166" s="40" t="n">
        <f aca="false">IFERROR(CB165/CB164,"")</f>
        <v>0.117464539007092</v>
      </c>
      <c r="CC166" s="40" t="n">
        <f aca="false">IFERROR(CC165/CC164,"")</f>
        <v>0.124960017059388</v>
      </c>
      <c r="CD166" s="40" t="n">
        <f aca="false">IFERROR(CD165/CD164,"")</f>
        <v>0.209711176224362</v>
      </c>
      <c r="CE166" s="40" t="n">
        <f aca="false">IFERROR(CE165/CE164,"")</f>
        <v>0.192632386799693</v>
      </c>
      <c r="CF166" s="40" t="n">
        <f aca="false">IFERROR(CF165/CF164,"")</f>
        <v>0.200800800800801</v>
      </c>
      <c r="CG166" s="40" t="n">
        <f aca="false">IFERROR(CG165/CG164,"")</f>
        <v>0.193206720233747</v>
      </c>
      <c r="CH166" s="40" t="n">
        <f aca="false">IFERROR(CH165/CH164,"")</f>
        <v>0.141967621419676</v>
      </c>
      <c r="CI166" s="40" t="n">
        <f aca="false">IFERROR(CI165/CI164,"")</f>
        <v>0.181635449977159</v>
      </c>
      <c r="CJ166" s="40" t="n">
        <f aca="false">IFERROR(CJ165/CJ164,"")</f>
        <v>0.186221743810549</v>
      </c>
      <c r="CK166" s="40" t="n">
        <f aca="false">IFERROR(CK165/CK164,"")</f>
        <v>0.216619981325864</v>
      </c>
      <c r="CL166" s="40" t="n">
        <f aca="false">IFERROR(CL165/CL164,"")</f>
        <v>0.2025</v>
      </c>
      <c r="CM166" s="28" t="n">
        <f aca="false">IFERROR(CM165/CM164,"")</f>
        <v>0.215</v>
      </c>
      <c r="CN166" s="28" t="n">
        <f aca="false">IFERROR(CN165/CN164,"")</f>
        <v>0.215</v>
      </c>
      <c r="CO166" s="28" t="n">
        <f aca="false">IFERROR(CO165/CO164,"")</f>
        <v>0.208911974125761</v>
      </c>
      <c r="CP166" s="46" t="n">
        <v>0.215</v>
      </c>
      <c r="CQ166" s="46" t="n">
        <v>0.215</v>
      </c>
      <c r="CR166" s="46" t="n">
        <v>0.215</v>
      </c>
      <c r="CS166" s="46" t="n">
        <v>0.215</v>
      </c>
      <c r="CT166" s="23"/>
      <c r="CV166" s="41" t="n">
        <f aca="false">IFERROR(AVERAGE(CO166,CP166,CQ166,CR166,CS166),"n/m")</f>
        <v>0.213782394825152</v>
      </c>
      <c r="CW166" s="41" t="n">
        <f aca="false">IFERROR(AVERAGE(BK166,BQ166,BW166,CC166,CI166),"n/m")</f>
        <v>0.135809973995846</v>
      </c>
      <c r="CX166" s="41" t="n">
        <f aca="false">IFERROR(AVERAGE(AG166,AM166,AS166,AY166,BE166,BK166,BQ166,BW166,CC166,CI166),"n/m")</f>
        <v>0.154393342860116</v>
      </c>
      <c r="CY166" s="41" t="n">
        <f aca="false">IFERROR(AVERAGE(C166,D166,E166,F166,G166,H166,I166,O166,U166,AA166,AG166,AM166,AS166,AY166,BE166,BK166,BQ166,BW166,CC166,CI166),"n/m")</f>
        <v>0.223037841988935</v>
      </c>
    </row>
    <row r="167" customFormat="false" ht="15" hidden="false" customHeight="true" outlineLevel="0" collapsed="false">
      <c r="B167" s="19" t="s">
        <v>274</v>
      </c>
      <c r="C167" s="20" t="n">
        <f aca="false">C164-C165</f>
        <v>81.3</v>
      </c>
      <c r="D167" s="20" t="n">
        <f aca="false">D164-D165</f>
        <v>101.9</v>
      </c>
      <c r="E167" s="20" t="n">
        <f aca="false">E164-E165</f>
        <v>118.9</v>
      </c>
      <c r="F167" s="20" t="n">
        <f aca="false">F164-F165</f>
        <v>116.4</v>
      </c>
      <c r="G167" s="20" t="n">
        <f aca="false">G164-G165</f>
        <v>120</v>
      </c>
      <c r="H167" s="20" t="n">
        <f aca="false">H164-H165</f>
        <v>142.1</v>
      </c>
      <c r="I167" s="20" t="n">
        <f aca="false">I164-I165</f>
        <v>162.8</v>
      </c>
      <c r="J167" s="20" t="n">
        <f aca="false">J164-J165</f>
        <v>39.8</v>
      </c>
      <c r="K167" s="20" t="n">
        <f aca="false">K164-K165</f>
        <v>43.3</v>
      </c>
      <c r="L167" s="20" t="n">
        <f aca="false">L164-L165</f>
        <v>83.1000000000001</v>
      </c>
      <c r="M167" s="20" t="n">
        <f aca="false">M164-M165</f>
        <v>46.9</v>
      </c>
      <c r="N167" s="20" t="n">
        <f aca="false">N164-N165</f>
        <v>54.5</v>
      </c>
      <c r="O167" s="20" t="n">
        <f aca="false">O164-O165</f>
        <v>184.5</v>
      </c>
      <c r="P167" s="20" t="n">
        <f aca="false">P164-P165</f>
        <v>46</v>
      </c>
      <c r="Q167" s="20" t="n">
        <f aca="false">Q164-Q165</f>
        <v>55.8000000000001</v>
      </c>
      <c r="R167" s="20" t="n">
        <f aca="false">R164-R165</f>
        <v>101.8</v>
      </c>
      <c r="S167" s="20" t="n">
        <f aca="false">S164-S165</f>
        <v>54.9000000000001</v>
      </c>
      <c r="T167" s="20" t="n">
        <f aca="false">T164-T165</f>
        <v>58.8999999999999</v>
      </c>
      <c r="U167" s="20" t="n">
        <f aca="false">U164-U165</f>
        <v>215.6</v>
      </c>
      <c r="V167" s="20" t="n">
        <f aca="false">V164-V165</f>
        <v>43.7</v>
      </c>
      <c r="W167" s="20" t="n">
        <f aca="false">W164-W165</f>
        <v>48.0000000000001</v>
      </c>
      <c r="X167" s="20" t="n">
        <f aca="false">X164-X165</f>
        <v>91.7000000000001</v>
      </c>
      <c r="Y167" s="20" t="n">
        <f aca="false">Y164-Y165</f>
        <v>48.3</v>
      </c>
      <c r="Z167" s="20" t="n">
        <f aca="false">Z164-Z165</f>
        <v>55.5</v>
      </c>
      <c r="AA167" s="20" t="n">
        <f aca="false">AA164-AA165</f>
        <v>195.5</v>
      </c>
      <c r="AB167" s="20" t="n">
        <f aca="false">AB164-AB165</f>
        <v>39</v>
      </c>
      <c r="AC167" s="20" t="n">
        <f aca="false">AC164-AC165</f>
        <v>46.9000000000001</v>
      </c>
      <c r="AD167" s="20" t="n">
        <f aca="false">AD164-AD165</f>
        <v>85.9</v>
      </c>
      <c r="AE167" s="20" t="n">
        <f aca="false">AE164-AE165</f>
        <v>52</v>
      </c>
      <c r="AF167" s="20" t="n">
        <f aca="false">AF164-AF165</f>
        <v>53</v>
      </c>
      <c r="AG167" s="20" t="n">
        <f aca="false">AG164-AG165</f>
        <v>190.9</v>
      </c>
      <c r="AH167" s="20" t="n">
        <f aca="false">AH164-AH165</f>
        <v>30.5</v>
      </c>
      <c r="AI167" s="20" t="n">
        <f aca="false">AI164-AI165</f>
        <v>60.1000000000001</v>
      </c>
      <c r="AJ167" s="20" t="n">
        <f aca="false">AJ164-AJ165</f>
        <v>90.6</v>
      </c>
      <c r="AK167" s="20" t="n">
        <f aca="false">AK164-AK165</f>
        <v>69</v>
      </c>
      <c r="AL167" s="20" t="n">
        <f aca="false">AL164-AL165</f>
        <v>67.6</v>
      </c>
      <c r="AM167" s="20" t="n">
        <f aca="false">AM164-AM165</f>
        <v>227.2</v>
      </c>
      <c r="AN167" s="20" t="n">
        <f aca="false">AN164-AN165</f>
        <v>66.5</v>
      </c>
      <c r="AO167" s="20" t="n">
        <f aca="false">AO164-AO165</f>
        <v>85.9</v>
      </c>
      <c r="AP167" s="20" t="n">
        <f aca="false">AP164-AP165</f>
        <v>152.4</v>
      </c>
      <c r="AQ167" s="20" t="n">
        <f aca="false">AQ164-AQ165</f>
        <v>90.3</v>
      </c>
      <c r="AR167" s="20" t="n">
        <f aca="false">AR164-AR165</f>
        <v>91.1</v>
      </c>
      <c r="AS167" s="20" t="n">
        <f aca="false">AS164-AS165</f>
        <v>333.8</v>
      </c>
      <c r="AT167" s="20" t="n">
        <f aca="false">AT164-AT165</f>
        <v>75.3000000000001</v>
      </c>
      <c r="AU167" s="20" t="n">
        <f aca="false">AU164-AU165</f>
        <v>104.6</v>
      </c>
      <c r="AV167" s="20" t="n">
        <f aca="false">AV164-AV165</f>
        <v>179.9</v>
      </c>
      <c r="AW167" s="20" t="n">
        <f aca="false">AW164-AW165</f>
        <v>106.7</v>
      </c>
      <c r="AX167" s="20" t="n">
        <f aca="false">AX164-AX165</f>
        <v>115.7</v>
      </c>
      <c r="AY167" s="20" t="n">
        <f aca="false">AY164-AY165</f>
        <v>402.3</v>
      </c>
      <c r="AZ167" s="20" t="n">
        <f aca="false">AZ164-AZ165</f>
        <v>82.2</v>
      </c>
      <c r="BA167" s="20" t="n">
        <f aca="false">BA164-BA165</f>
        <v>93.6999999999999</v>
      </c>
      <c r="BB167" s="20" t="n">
        <f aca="false">BB164-BB165</f>
        <v>175.9</v>
      </c>
      <c r="BC167" s="20" t="n">
        <f aca="false">BC164-BC165</f>
        <v>93.9</v>
      </c>
      <c r="BD167" s="20" t="n">
        <f aca="false">BD164-BD165</f>
        <v>132.1</v>
      </c>
      <c r="BE167" s="20" t="n">
        <f aca="false">BE164-BE165</f>
        <v>401.9</v>
      </c>
      <c r="BF167" s="20" t="n">
        <f aca="false">BF164-BF165</f>
        <v>84.7000000000001</v>
      </c>
      <c r="BG167" s="20" t="n">
        <f aca="false">BG164-BG165</f>
        <v>64.7</v>
      </c>
      <c r="BH167" s="20" t="n">
        <f aca="false">BH164-BH165</f>
        <v>149.4</v>
      </c>
      <c r="BI167" s="20" t="n">
        <f aca="false">BI164-BI165</f>
        <v>134.1</v>
      </c>
      <c r="BJ167" s="20" t="n">
        <f aca="false">BJ164-BJ165</f>
        <v>161.8</v>
      </c>
      <c r="BK167" s="20" t="n">
        <f aca="false">BK164-BK165</f>
        <v>445.3</v>
      </c>
      <c r="BL167" s="20" t="n">
        <f aca="false">BL164-BL165</f>
        <v>212.6</v>
      </c>
      <c r="BM167" s="20" t="n">
        <f aca="false">BM164-BM165</f>
        <v>171.3</v>
      </c>
      <c r="BN167" s="20" t="n">
        <f aca="false">BN164-BN165</f>
        <v>383.9</v>
      </c>
      <c r="BO167" s="20" t="n">
        <f aca="false">BO164-BO165</f>
        <v>178.2</v>
      </c>
      <c r="BP167" s="20" t="n">
        <f aca="false">BP164-BP165</f>
        <v>226.8</v>
      </c>
      <c r="BQ167" s="20" t="n">
        <f aca="false">BQ164-BQ165</f>
        <v>788.9</v>
      </c>
      <c r="BR167" s="20" t="n">
        <f aca="false">BR164-BR165</f>
        <v>178.8</v>
      </c>
      <c r="BS167" s="20" t="n">
        <f aca="false">BS164-BS165</f>
        <v>185.5</v>
      </c>
      <c r="BT167" s="20" t="n">
        <f aca="false">BT164-BT165</f>
        <v>364.3</v>
      </c>
      <c r="BU167" s="20" t="n">
        <f aca="false">BU164-BU165</f>
        <v>198.8</v>
      </c>
      <c r="BV167" s="20" t="n">
        <f aca="false">BV164-BV165</f>
        <v>323.5</v>
      </c>
      <c r="BW167" s="20" t="n">
        <f aca="false">BW164-BW165</f>
        <v>886.6</v>
      </c>
      <c r="BX167" s="20" t="n">
        <f aca="false">BX164-BX165</f>
        <v>179.1</v>
      </c>
      <c r="BY167" s="20" t="n">
        <f aca="false">BY164-BY165</f>
        <v>180.3</v>
      </c>
      <c r="BZ167" s="20" t="n">
        <f aca="false">BZ164-BZ165</f>
        <v>359.4</v>
      </c>
      <c r="CA167" s="20" t="n">
        <f aca="false">CA164-CA165</f>
        <v>262.2</v>
      </c>
      <c r="CB167" s="20" t="n">
        <f aca="false">CB164-CB165</f>
        <v>199.1</v>
      </c>
      <c r="CC167" s="20" t="n">
        <f aca="false">CC164-CC165</f>
        <v>820.7</v>
      </c>
      <c r="CD167" s="20" t="n">
        <f aca="false">CD164-CD165</f>
        <v>188.8</v>
      </c>
      <c r="CE167" s="20" t="n">
        <f aca="false">CE164-CE165</f>
        <v>210.4</v>
      </c>
      <c r="CF167" s="20" t="n">
        <f aca="false">CF164-CF165</f>
        <v>399.2</v>
      </c>
      <c r="CG167" s="20" t="n">
        <f aca="false">CG164-CG165</f>
        <v>220.9</v>
      </c>
      <c r="CH167" s="20" t="n">
        <f aca="false">CH164-CH165</f>
        <v>275.6</v>
      </c>
      <c r="CI167" s="20" t="n">
        <f aca="false">CI164-CI165</f>
        <v>895.7</v>
      </c>
      <c r="CJ167" s="20" t="n">
        <f aca="false">CJ164-CJ165</f>
        <v>226.8</v>
      </c>
      <c r="CK167" s="20" t="n">
        <f aca="false">CK164-CK165</f>
        <v>251.7</v>
      </c>
      <c r="CL167" s="20" t="n">
        <f aca="false">CL164-CL165</f>
        <v>478.5</v>
      </c>
      <c r="CM167" s="22" t="n">
        <f aca="false">CM164-CM165</f>
        <v>241.5805</v>
      </c>
      <c r="CN167" s="22" t="n">
        <f aca="false">CN164-CN165</f>
        <v>254.48175</v>
      </c>
      <c r="CO167" s="22" t="n">
        <f aca="false">SUM(CJ167,CK167,CM167,CN167)</f>
        <v>974.56225</v>
      </c>
      <c r="CP167" s="22" t="n">
        <f aca="false">CP164-CP165</f>
        <v>1126.54892598653</v>
      </c>
      <c r="CQ167" s="22" t="n">
        <f aca="false">CQ164-CQ165</f>
        <v>1252.11426930276</v>
      </c>
      <c r="CR167" s="22" t="n">
        <f aca="false">CR164-CR165</f>
        <v>1412.39073621352</v>
      </c>
      <c r="CS167" s="22" t="n">
        <f aca="false">CS164-CS165</f>
        <v>1572.91403065076</v>
      </c>
      <c r="CT167" s="23"/>
      <c r="CV167" s="7"/>
      <c r="CW167" s="7"/>
      <c r="CX167" s="7"/>
      <c r="CY167" s="7"/>
    </row>
    <row r="168" customFormat="false" ht="15" hidden="false" customHeight="true" outlineLevel="0" collapsed="false">
      <c r="B168" s="13" t="s">
        <v>275</v>
      </c>
      <c r="C168" s="30"/>
      <c r="D168" s="30"/>
      <c r="E168" s="31" t="n">
        <v>-5.3</v>
      </c>
      <c r="F168" s="31" t="n">
        <v>-2.6</v>
      </c>
      <c r="G168" s="31" t="n">
        <v>0.6</v>
      </c>
      <c r="H168" s="31" t="n">
        <v>113.1</v>
      </c>
      <c r="I168" s="31" t="n">
        <v>2.3</v>
      </c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  <c r="BU168" s="30"/>
      <c r="BV168" s="30"/>
      <c r="BW168" s="30"/>
      <c r="BX168" s="30"/>
      <c r="BY168" s="30"/>
      <c r="BZ168" s="30"/>
      <c r="CA168" s="30"/>
      <c r="CB168" s="30"/>
      <c r="CC168" s="30"/>
      <c r="CD168" s="30"/>
      <c r="CE168" s="30"/>
      <c r="CF168" s="30"/>
      <c r="CG168" s="30"/>
      <c r="CH168" s="30"/>
      <c r="CI168" s="30"/>
      <c r="CJ168" s="30"/>
      <c r="CK168" s="30"/>
      <c r="CL168" s="30"/>
      <c r="CM168" s="33" t="n">
        <v>0</v>
      </c>
      <c r="CN168" s="33" t="n">
        <v>0</v>
      </c>
      <c r="CO168" s="32" t="n">
        <f aca="false">SUM(CJ168,CK168,CM168,CN168)</f>
        <v>0</v>
      </c>
      <c r="CP168" s="33" t="n">
        <v>0</v>
      </c>
      <c r="CQ168" s="33" t="n">
        <v>0</v>
      </c>
      <c r="CR168" s="33" t="n">
        <v>0</v>
      </c>
      <c r="CS168" s="33" t="n">
        <v>0</v>
      </c>
      <c r="CT168" s="23"/>
      <c r="CV168" s="7"/>
      <c r="CW168" s="7"/>
      <c r="CX168" s="7"/>
      <c r="CY168" s="7"/>
    </row>
    <row r="169" customFormat="false" ht="15" hidden="false" customHeight="true" outlineLevel="0" collapsed="false">
      <c r="B169" s="34" t="s">
        <v>276</v>
      </c>
      <c r="C169" s="35" t="n">
        <f aca="false">C167+N(C168)</f>
        <v>81.3</v>
      </c>
      <c r="D169" s="35" t="n">
        <f aca="false">D167+N(D168)</f>
        <v>101.9</v>
      </c>
      <c r="E169" s="35" t="n">
        <f aca="false">E167+N(E168)</f>
        <v>113.6</v>
      </c>
      <c r="F169" s="35" t="n">
        <f aca="false">F167+N(F168)</f>
        <v>113.8</v>
      </c>
      <c r="G169" s="35" t="n">
        <f aca="false">G167+N(G168)</f>
        <v>120.6</v>
      </c>
      <c r="H169" s="35" t="n">
        <f aca="false">H167+N(H168)</f>
        <v>255.2</v>
      </c>
      <c r="I169" s="35" t="n">
        <f aca="false">I167+N(I168)</f>
        <v>165.1</v>
      </c>
      <c r="J169" s="20" t="n">
        <f aca="false">J167+N(J168)</f>
        <v>39.8</v>
      </c>
      <c r="K169" s="20" t="n">
        <f aca="false">K167+N(K168)</f>
        <v>43.3</v>
      </c>
      <c r="L169" s="20" t="n">
        <f aca="false">L167+N(L168)</f>
        <v>83.1000000000001</v>
      </c>
      <c r="M169" s="20" t="n">
        <f aca="false">M167+N(M168)</f>
        <v>46.9</v>
      </c>
      <c r="N169" s="20" t="n">
        <f aca="false">N167+N(N168)</f>
        <v>54.5</v>
      </c>
      <c r="O169" s="35" t="n">
        <f aca="false">O167+N(O168)</f>
        <v>184.5</v>
      </c>
      <c r="P169" s="20" t="n">
        <f aca="false">P167+N(P168)</f>
        <v>46</v>
      </c>
      <c r="Q169" s="20" t="n">
        <f aca="false">Q167+N(Q168)</f>
        <v>55.8000000000001</v>
      </c>
      <c r="R169" s="20" t="n">
        <f aca="false">R167+N(R168)</f>
        <v>101.8</v>
      </c>
      <c r="S169" s="20" t="n">
        <f aca="false">S167+N(S168)</f>
        <v>54.9000000000001</v>
      </c>
      <c r="T169" s="20" t="n">
        <f aca="false">T167+N(T168)</f>
        <v>58.8999999999999</v>
      </c>
      <c r="U169" s="35" t="n">
        <f aca="false">U167+N(U168)</f>
        <v>215.6</v>
      </c>
      <c r="V169" s="20" t="n">
        <f aca="false">V167+N(V168)</f>
        <v>43.7</v>
      </c>
      <c r="W169" s="20" t="n">
        <f aca="false">W167+N(W168)</f>
        <v>48.0000000000001</v>
      </c>
      <c r="X169" s="20" t="n">
        <f aca="false">X167+N(X168)</f>
        <v>91.7000000000001</v>
      </c>
      <c r="Y169" s="20" t="n">
        <f aca="false">Y167+N(Y168)</f>
        <v>48.3</v>
      </c>
      <c r="Z169" s="20" t="n">
        <f aca="false">Z167+N(Z168)</f>
        <v>55.5</v>
      </c>
      <c r="AA169" s="35" t="n">
        <f aca="false">AA167+N(AA168)</f>
        <v>195.5</v>
      </c>
      <c r="AB169" s="20" t="n">
        <f aca="false">AB167+N(AB168)</f>
        <v>39</v>
      </c>
      <c r="AC169" s="20" t="n">
        <f aca="false">AC167+N(AC168)</f>
        <v>46.9000000000001</v>
      </c>
      <c r="AD169" s="20" t="n">
        <f aca="false">AD167+N(AD168)</f>
        <v>85.9</v>
      </c>
      <c r="AE169" s="20" t="n">
        <f aca="false">AE167+N(AE168)</f>
        <v>52</v>
      </c>
      <c r="AF169" s="20" t="n">
        <f aca="false">AF167+N(AF168)</f>
        <v>53</v>
      </c>
      <c r="AG169" s="35" t="n">
        <f aca="false">AG167+N(AG168)</f>
        <v>190.9</v>
      </c>
      <c r="AH169" s="20" t="n">
        <f aca="false">AH167+N(AH168)</f>
        <v>30.5</v>
      </c>
      <c r="AI169" s="20" t="n">
        <f aca="false">AI167+N(AI168)</f>
        <v>60.1000000000001</v>
      </c>
      <c r="AJ169" s="20" t="n">
        <f aca="false">AJ167+N(AJ168)</f>
        <v>90.6</v>
      </c>
      <c r="AK169" s="20" t="n">
        <f aca="false">AK167+N(AK168)</f>
        <v>69</v>
      </c>
      <c r="AL169" s="20" t="n">
        <f aca="false">AL167+N(AL168)</f>
        <v>67.6</v>
      </c>
      <c r="AM169" s="35" t="n">
        <f aca="false">AM167+N(AM168)</f>
        <v>227.2</v>
      </c>
      <c r="AN169" s="20" t="n">
        <f aca="false">AN167+N(AN168)</f>
        <v>66.5</v>
      </c>
      <c r="AO169" s="20" t="n">
        <f aca="false">AO167+N(AO168)</f>
        <v>85.9</v>
      </c>
      <c r="AP169" s="20" t="n">
        <f aca="false">AP167+N(AP168)</f>
        <v>152.4</v>
      </c>
      <c r="AQ169" s="20" t="n">
        <f aca="false">AQ167+N(AQ168)</f>
        <v>90.3</v>
      </c>
      <c r="AR169" s="20" t="n">
        <f aca="false">AR167+N(AR168)</f>
        <v>91.1</v>
      </c>
      <c r="AS169" s="35" t="n">
        <f aca="false">AS167+N(AS168)</f>
        <v>333.8</v>
      </c>
      <c r="AT169" s="20" t="n">
        <f aca="false">AT167+N(AT168)</f>
        <v>75.3000000000001</v>
      </c>
      <c r="AU169" s="20" t="n">
        <f aca="false">AU167+N(AU168)</f>
        <v>104.6</v>
      </c>
      <c r="AV169" s="20" t="n">
        <f aca="false">AV167+N(AV168)</f>
        <v>179.9</v>
      </c>
      <c r="AW169" s="20" t="n">
        <f aca="false">AW167+N(AW168)</f>
        <v>106.7</v>
      </c>
      <c r="AX169" s="20" t="n">
        <f aca="false">AX167+N(AX168)</f>
        <v>115.7</v>
      </c>
      <c r="AY169" s="35" t="n">
        <f aca="false">AY167+N(AY168)</f>
        <v>402.3</v>
      </c>
      <c r="AZ169" s="20" t="n">
        <f aca="false">AZ167+N(AZ168)</f>
        <v>82.2</v>
      </c>
      <c r="BA169" s="20" t="n">
        <f aca="false">BA167+N(BA168)</f>
        <v>93.6999999999999</v>
      </c>
      <c r="BB169" s="20" t="n">
        <f aca="false">BB167+N(BB168)</f>
        <v>175.9</v>
      </c>
      <c r="BC169" s="20" t="n">
        <f aca="false">BC167+N(BC168)</f>
        <v>93.9</v>
      </c>
      <c r="BD169" s="20" t="n">
        <f aca="false">BD167+N(BD168)</f>
        <v>132.1</v>
      </c>
      <c r="BE169" s="35" t="n">
        <f aca="false">BE167+N(BE168)</f>
        <v>401.9</v>
      </c>
      <c r="BF169" s="20" t="n">
        <f aca="false">BF167+N(BF168)</f>
        <v>84.7000000000001</v>
      </c>
      <c r="BG169" s="20" t="n">
        <f aca="false">BG167+N(BG168)</f>
        <v>64.7</v>
      </c>
      <c r="BH169" s="20" t="n">
        <f aca="false">BH167+N(BH168)</f>
        <v>149.4</v>
      </c>
      <c r="BI169" s="20" t="n">
        <f aca="false">BI167+N(BI168)</f>
        <v>134.1</v>
      </c>
      <c r="BJ169" s="20" t="n">
        <f aca="false">BJ167+N(BJ168)</f>
        <v>161.8</v>
      </c>
      <c r="BK169" s="35" t="n">
        <f aca="false">BK167+N(BK168)</f>
        <v>445.3</v>
      </c>
      <c r="BL169" s="20" t="n">
        <f aca="false">BL167+N(BL168)</f>
        <v>212.6</v>
      </c>
      <c r="BM169" s="20" t="n">
        <f aca="false">BM167+N(BM168)</f>
        <v>171.3</v>
      </c>
      <c r="BN169" s="20" t="n">
        <f aca="false">BN167+N(BN168)</f>
        <v>383.9</v>
      </c>
      <c r="BO169" s="20" t="n">
        <f aca="false">BO167+N(BO168)</f>
        <v>178.2</v>
      </c>
      <c r="BP169" s="20" t="n">
        <f aca="false">BP167+N(BP168)</f>
        <v>226.8</v>
      </c>
      <c r="BQ169" s="35" t="n">
        <f aca="false">BQ167+N(BQ168)</f>
        <v>788.9</v>
      </c>
      <c r="BR169" s="20" t="n">
        <f aca="false">BR167+N(BR168)</f>
        <v>178.8</v>
      </c>
      <c r="BS169" s="20" t="n">
        <f aca="false">BS167+N(BS168)</f>
        <v>185.5</v>
      </c>
      <c r="BT169" s="20" t="n">
        <f aca="false">BT167+N(BT168)</f>
        <v>364.3</v>
      </c>
      <c r="BU169" s="20" t="n">
        <f aca="false">BU167+N(BU168)</f>
        <v>198.8</v>
      </c>
      <c r="BV169" s="20" t="n">
        <f aca="false">BV167+N(BV168)</f>
        <v>323.5</v>
      </c>
      <c r="BW169" s="35" t="n">
        <f aca="false">BW167+N(BW168)</f>
        <v>886.6</v>
      </c>
      <c r="BX169" s="20" t="n">
        <f aca="false">BX167+N(BX168)</f>
        <v>179.1</v>
      </c>
      <c r="BY169" s="20" t="n">
        <f aca="false">BY167+N(BY168)</f>
        <v>180.3</v>
      </c>
      <c r="BZ169" s="20" t="n">
        <f aca="false">BZ167+N(BZ168)</f>
        <v>359.4</v>
      </c>
      <c r="CA169" s="20" t="n">
        <f aca="false">CA167+N(CA168)</f>
        <v>262.2</v>
      </c>
      <c r="CB169" s="20" t="n">
        <f aca="false">CB167+N(CB168)</f>
        <v>199.1</v>
      </c>
      <c r="CC169" s="35" t="n">
        <f aca="false">CC167+N(CC168)</f>
        <v>820.7</v>
      </c>
      <c r="CD169" s="20" t="n">
        <f aca="false">CD167+N(CD168)</f>
        <v>188.8</v>
      </c>
      <c r="CE169" s="20" t="n">
        <f aca="false">CE167+N(CE168)</f>
        <v>210.4</v>
      </c>
      <c r="CF169" s="20" t="n">
        <f aca="false">CF167+N(CF168)</f>
        <v>399.2</v>
      </c>
      <c r="CG169" s="20" t="n">
        <f aca="false">CG167+N(CG168)</f>
        <v>220.9</v>
      </c>
      <c r="CH169" s="20" t="n">
        <f aca="false">CH167+N(CH168)</f>
        <v>275.6</v>
      </c>
      <c r="CI169" s="35" t="n">
        <f aca="false">CI167+N(CI168)</f>
        <v>895.7</v>
      </c>
      <c r="CJ169" s="20" t="n">
        <f aca="false">CJ167+N(CJ168)</f>
        <v>226.8</v>
      </c>
      <c r="CK169" s="20" t="n">
        <f aca="false">CK167+N(CK168)</f>
        <v>251.7</v>
      </c>
      <c r="CL169" s="20" t="n">
        <f aca="false">CL167+N(CL168)</f>
        <v>478.5</v>
      </c>
      <c r="CM169" s="35" t="n">
        <f aca="false">CM167+CM168</f>
        <v>241.5805</v>
      </c>
      <c r="CN169" s="35" t="n">
        <f aca="false">CN167+CN168</f>
        <v>254.48175</v>
      </c>
      <c r="CO169" s="35" t="n">
        <f aca="false">SUM(CJ169,CK169,CM169,CN169)</f>
        <v>974.56225</v>
      </c>
      <c r="CP169" s="35" t="n">
        <f aca="false">CP167+CP168</f>
        <v>1126.54892598653</v>
      </c>
      <c r="CQ169" s="35" t="n">
        <f aca="false">CQ167+CQ168</f>
        <v>1252.11426930276</v>
      </c>
      <c r="CR169" s="35" t="n">
        <f aca="false">CR167+CR168</f>
        <v>1412.39073621352</v>
      </c>
      <c r="CS169" s="35" t="n">
        <f aca="false">CS167+CS168</f>
        <v>1572.91403065076</v>
      </c>
      <c r="CT169" s="23"/>
      <c r="CV169" s="24" t="n">
        <f aca="false">IFERROR((CS169/CI169)^(1/5)-1,"n/m")</f>
        <v>0.119202012574858</v>
      </c>
      <c r="CW169" s="24" t="n">
        <f aca="false">IFERROR((CI169/BE169)^(1/5)-1,"n/m")</f>
        <v>0.173840024519316</v>
      </c>
      <c r="CX169" s="24" t="n">
        <f aca="false">IFERROR((CI169/AA169)^(1/10)-1,"n/m")</f>
        <v>0.164398349715962</v>
      </c>
      <c r="CY169" s="24" t="n">
        <f aca="false">IFERROR((CI169/C169)^(1/19)-1,"n/m")</f>
        <v>0.134608143270258</v>
      </c>
    </row>
    <row r="170" customFormat="false" ht="15" hidden="false" customHeight="true" outlineLevel="0" collapsed="false">
      <c r="B170" s="13" t="s">
        <v>277</v>
      </c>
      <c r="C170" s="31" t="n">
        <v>1</v>
      </c>
      <c r="D170" s="31" t="n">
        <v>3.4</v>
      </c>
      <c r="E170" s="31" t="n">
        <v>2.3</v>
      </c>
      <c r="F170" s="31" t="n">
        <v>0.5</v>
      </c>
      <c r="G170" s="31" t="n">
        <v>0.1</v>
      </c>
      <c r="H170" s="31" t="n">
        <v>0</v>
      </c>
      <c r="I170" s="31" t="n">
        <v>1</v>
      </c>
      <c r="J170" s="31" t="n">
        <v>-0.6</v>
      </c>
      <c r="K170" s="31" t="n">
        <v>0.4</v>
      </c>
      <c r="L170" s="30" t="n">
        <f aca="false">J170+K170</f>
        <v>-0.2</v>
      </c>
      <c r="M170" s="31" t="n">
        <v>0.1</v>
      </c>
      <c r="N170" s="31" t="n">
        <v>-0.4</v>
      </c>
      <c r="O170" s="31" t="n">
        <v>-0.5</v>
      </c>
      <c r="P170" s="31" t="n">
        <v>0.2</v>
      </c>
      <c r="Q170" s="31" t="n">
        <v>-0.3</v>
      </c>
      <c r="R170" s="30" t="n">
        <f aca="false">P170+Q170</f>
        <v>-0.1</v>
      </c>
      <c r="S170" s="31" t="n">
        <v>-0.7</v>
      </c>
      <c r="T170" s="31" t="n">
        <v>-1.3</v>
      </c>
      <c r="U170" s="31" t="n">
        <v>-2.1</v>
      </c>
      <c r="V170" s="31" t="n">
        <v>0</v>
      </c>
      <c r="W170" s="31" t="n">
        <v>-0.3</v>
      </c>
      <c r="X170" s="30" t="n">
        <f aca="false">V170+W170</f>
        <v>-0.3</v>
      </c>
      <c r="Y170" s="31" t="n">
        <v>0</v>
      </c>
      <c r="Z170" s="31" t="n">
        <v>0</v>
      </c>
      <c r="AA170" s="31" t="n">
        <v>-0.3</v>
      </c>
      <c r="AB170" s="31" t="n">
        <v>0</v>
      </c>
      <c r="AC170" s="31" t="n">
        <v>0</v>
      </c>
      <c r="AD170" s="30" t="n">
        <f aca="false">AB170+AC170</f>
        <v>0</v>
      </c>
      <c r="AE170" s="31" t="n">
        <v>0</v>
      </c>
      <c r="AF170" s="31" t="n">
        <v>0</v>
      </c>
      <c r="AG170" s="31" t="n">
        <v>0</v>
      </c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1" t="n">
        <v>0</v>
      </c>
      <c r="BJ170" s="31" t="n">
        <v>0</v>
      </c>
      <c r="BK170" s="31" t="n">
        <v>0</v>
      </c>
      <c r="BL170" s="31" t="n">
        <v>0</v>
      </c>
      <c r="BM170" s="31" t="n">
        <v>0</v>
      </c>
      <c r="BN170" s="30" t="n">
        <f aca="false">BL170+BM170</f>
        <v>0</v>
      </c>
      <c r="BO170" s="31" t="n">
        <v>-0.1</v>
      </c>
      <c r="BP170" s="31" t="n">
        <v>0.4</v>
      </c>
      <c r="BQ170" s="31" t="n">
        <v>0.3</v>
      </c>
      <c r="BR170" s="31" t="n">
        <v>0.1</v>
      </c>
      <c r="BS170" s="31" t="n">
        <v>0.2</v>
      </c>
      <c r="BT170" s="30" t="n">
        <f aca="false">BR170+BS170</f>
        <v>0.3</v>
      </c>
      <c r="BU170" s="31" t="n">
        <v>0.2</v>
      </c>
      <c r="BV170" s="31" t="n">
        <v>0.4</v>
      </c>
      <c r="BW170" s="31" t="n">
        <v>0.9</v>
      </c>
      <c r="BX170" s="31" t="n">
        <v>0.6</v>
      </c>
      <c r="BY170" s="31" t="n">
        <v>0.1</v>
      </c>
      <c r="BZ170" s="30" t="n">
        <f aca="false">BX170+BY170</f>
        <v>0.7</v>
      </c>
      <c r="CA170" s="31" t="n">
        <v>0.2</v>
      </c>
      <c r="CB170" s="31" t="n">
        <v>0.6</v>
      </c>
      <c r="CC170" s="31" t="n">
        <v>1.5</v>
      </c>
      <c r="CD170" s="31" t="n">
        <v>0.2</v>
      </c>
      <c r="CE170" s="31" t="n">
        <v>0.5</v>
      </c>
      <c r="CF170" s="30" t="n">
        <f aca="false">CD170+CE170</f>
        <v>0.7</v>
      </c>
      <c r="CG170" s="31" t="n">
        <v>0.2</v>
      </c>
      <c r="CH170" s="31" t="n">
        <v>0</v>
      </c>
      <c r="CI170" s="31" t="n">
        <v>0.9</v>
      </c>
      <c r="CJ170" s="31" t="n">
        <v>0</v>
      </c>
      <c r="CK170" s="31" t="n">
        <v>0</v>
      </c>
      <c r="CL170" s="30" t="n">
        <f aca="false">CJ170+CK170</f>
        <v>0</v>
      </c>
      <c r="CM170" s="33" t="n">
        <v>0</v>
      </c>
      <c r="CN170" s="33" t="n">
        <v>0</v>
      </c>
      <c r="CO170" s="32" t="n">
        <f aca="false">SUM(CJ170,CK170,CM170,CN170)</f>
        <v>0</v>
      </c>
      <c r="CP170" s="33" t="n">
        <v>0</v>
      </c>
      <c r="CQ170" s="33" t="n">
        <v>0</v>
      </c>
      <c r="CR170" s="33" t="n">
        <v>0</v>
      </c>
      <c r="CS170" s="33" t="n">
        <v>0</v>
      </c>
      <c r="CT170" s="23"/>
      <c r="CV170" s="7"/>
      <c r="CW170" s="7"/>
      <c r="CX170" s="7"/>
      <c r="CY170" s="7"/>
    </row>
    <row r="171" customFormat="false" ht="15" hidden="false" customHeight="true" outlineLevel="0" collapsed="false">
      <c r="B171" s="34" t="s">
        <v>278</v>
      </c>
      <c r="C171" s="35" t="n">
        <f aca="false">C169-N(C170)</f>
        <v>80.3</v>
      </c>
      <c r="D171" s="35" t="n">
        <f aca="false">D169-N(D170)</f>
        <v>98.4999999999998</v>
      </c>
      <c r="E171" s="35" t="n">
        <f aca="false">E169-N(E170)</f>
        <v>111.3</v>
      </c>
      <c r="F171" s="35" t="n">
        <f aca="false">F169-N(F170)</f>
        <v>113.3</v>
      </c>
      <c r="G171" s="35" t="n">
        <f aca="false">G169-N(G170)</f>
        <v>120.5</v>
      </c>
      <c r="H171" s="35" t="n">
        <f aca="false">H169-N(H170)</f>
        <v>255.2</v>
      </c>
      <c r="I171" s="35" t="n">
        <f aca="false">I169-N(I170)</f>
        <v>164.1</v>
      </c>
      <c r="J171" s="20" t="n">
        <f aca="false">J169-N(J170)</f>
        <v>40.4</v>
      </c>
      <c r="K171" s="20" t="n">
        <f aca="false">K169-N(K170)</f>
        <v>42.9</v>
      </c>
      <c r="L171" s="20" t="n">
        <f aca="false">L169-N(L170)</f>
        <v>83.3000000000001</v>
      </c>
      <c r="M171" s="20" t="n">
        <f aca="false">M169-N(M170)</f>
        <v>46.8</v>
      </c>
      <c r="N171" s="20" t="n">
        <f aca="false">N169-N(N170)</f>
        <v>54.9</v>
      </c>
      <c r="O171" s="35" t="n">
        <f aca="false">O169-N(O170)</f>
        <v>185</v>
      </c>
      <c r="P171" s="20" t="n">
        <f aca="false">P169-N(P170)</f>
        <v>45.8</v>
      </c>
      <c r="Q171" s="20" t="n">
        <f aca="false">Q169-N(Q170)</f>
        <v>56.1</v>
      </c>
      <c r="R171" s="20" t="n">
        <f aca="false">R169-N(R170)</f>
        <v>101.9</v>
      </c>
      <c r="S171" s="20" t="n">
        <f aca="false">S169-N(S170)</f>
        <v>55.6000000000001</v>
      </c>
      <c r="T171" s="20" t="n">
        <f aca="false">T169-N(T170)</f>
        <v>60.1999999999999</v>
      </c>
      <c r="U171" s="35" t="n">
        <f aca="false">U169-N(U170)</f>
        <v>217.7</v>
      </c>
      <c r="V171" s="20" t="n">
        <f aca="false">V169-N(V170)</f>
        <v>43.7</v>
      </c>
      <c r="W171" s="20" t="n">
        <f aca="false">W169-N(W170)</f>
        <v>48.3000000000001</v>
      </c>
      <c r="X171" s="20" t="n">
        <f aca="false">X169-N(X170)</f>
        <v>92.0000000000001</v>
      </c>
      <c r="Y171" s="20" t="n">
        <f aca="false">Y169-N(Y170)</f>
        <v>48.3</v>
      </c>
      <c r="Z171" s="20" t="n">
        <f aca="false">Z169-N(Z170)</f>
        <v>55.5</v>
      </c>
      <c r="AA171" s="35" t="n">
        <f aca="false">AA169-N(AA170)</f>
        <v>195.8</v>
      </c>
      <c r="AB171" s="20" t="n">
        <f aca="false">AB169-N(AB170)</f>
        <v>39</v>
      </c>
      <c r="AC171" s="20" t="n">
        <f aca="false">AC169-N(AC170)</f>
        <v>46.9000000000001</v>
      </c>
      <c r="AD171" s="20" t="n">
        <f aca="false">AD169-N(AD170)</f>
        <v>85.9</v>
      </c>
      <c r="AE171" s="20" t="n">
        <f aca="false">AE169-N(AE170)</f>
        <v>52</v>
      </c>
      <c r="AF171" s="20" t="n">
        <f aca="false">AF169-N(AF170)</f>
        <v>53</v>
      </c>
      <c r="AG171" s="35" t="n">
        <f aca="false">AG169-N(AG170)</f>
        <v>190.9</v>
      </c>
      <c r="AH171" s="20" t="n">
        <f aca="false">AH169-N(AH170)</f>
        <v>30.5</v>
      </c>
      <c r="AI171" s="20" t="n">
        <f aca="false">AI169-N(AI170)</f>
        <v>60.1000000000001</v>
      </c>
      <c r="AJ171" s="20" t="n">
        <f aca="false">AJ169-N(AJ170)</f>
        <v>90.6</v>
      </c>
      <c r="AK171" s="20" t="n">
        <f aca="false">AK169-N(AK170)</f>
        <v>69</v>
      </c>
      <c r="AL171" s="20" t="n">
        <f aca="false">AL169-N(AL170)</f>
        <v>67.6</v>
      </c>
      <c r="AM171" s="35" t="n">
        <f aca="false">AM169-N(AM170)</f>
        <v>227.2</v>
      </c>
      <c r="AN171" s="20" t="n">
        <f aca="false">AN169-N(AN170)</f>
        <v>66.5</v>
      </c>
      <c r="AO171" s="20" t="n">
        <f aca="false">AO169-N(AO170)</f>
        <v>85.9</v>
      </c>
      <c r="AP171" s="20" t="n">
        <f aca="false">AP169-N(AP170)</f>
        <v>152.4</v>
      </c>
      <c r="AQ171" s="20" t="n">
        <f aca="false">AQ169-N(AQ170)</f>
        <v>90.3</v>
      </c>
      <c r="AR171" s="20" t="n">
        <f aca="false">AR169-N(AR170)</f>
        <v>91.1</v>
      </c>
      <c r="AS171" s="35" t="n">
        <f aca="false">AS169-N(AS170)</f>
        <v>333.8</v>
      </c>
      <c r="AT171" s="20" t="n">
        <f aca="false">AT169-N(AT170)</f>
        <v>75.3000000000001</v>
      </c>
      <c r="AU171" s="20" t="n">
        <f aca="false">AU169-N(AU170)</f>
        <v>104.6</v>
      </c>
      <c r="AV171" s="20" t="n">
        <f aca="false">AV169-N(AV170)</f>
        <v>179.9</v>
      </c>
      <c r="AW171" s="20" t="n">
        <f aca="false">AW169-N(AW170)</f>
        <v>106.7</v>
      </c>
      <c r="AX171" s="20" t="n">
        <f aca="false">AX169-N(AX170)</f>
        <v>115.7</v>
      </c>
      <c r="AY171" s="35" t="n">
        <f aca="false">AY169-N(AY170)</f>
        <v>402.3</v>
      </c>
      <c r="AZ171" s="20" t="n">
        <f aca="false">AZ169-N(AZ170)</f>
        <v>82.2</v>
      </c>
      <c r="BA171" s="20" t="n">
        <f aca="false">BA169-N(BA170)</f>
        <v>93.6999999999999</v>
      </c>
      <c r="BB171" s="20" t="n">
        <f aca="false">BB169-N(BB170)</f>
        <v>175.9</v>
      </c>
      <c r="BC171" s="20" t="n">
        <f aca="false">BC169-N(BC170)</f>
        <v>93.9</v>
      </c>
      <c r="BD171" s="20" t="n">
        <f aca="false">BD169-N(BD170)</f>
        <v>132.1</v>
      </c>
      <c r="BE171" s="35" t="n">
        <f aca="false">BE169-N(BE170)</f>
        <v>401.9</v>
      </c>
      <c r="BF171" s="20" t="n">
        <f aca="false">BF169-N(BF170)</f>
        <v>84.7000000000001</v>
      </c>
      <c r="BG171" s="20" t="n">
        <f aca="false">BG169-N(BG170)</f>
        <v>64.7</v>
      </c>
      <c r="BH171" s="20" t="n">
        <f aca="false">BH169-N(BH170)</f>
        <v>149.4</v>
      </c>
      <c r="BI171" s="20" t="n">
        <f aca="false">BI169-N(BI170)</f>
        <v>134.1</v>
      </c>
      <c r="BJ171" s="20" t="n">
        <f aca="false">BJ169-N(BJ170)</f>
        <v>161.8</v>
      </c>
      <c r="BK171" s="35" t="n">
        <f aca="false">BK169-N(BK170)</f>
        <v>445.3</v>
      </c>
      <c r="BL171" s="20" t="n">
        <f aca="false">BL169-N(BL170)</f>
        <v>212.6</v>
      </c>
      <c r="BM171" s="20" t="n">
        <f aca="false">BM169-N(BM170)</f>
        <v>171.3</v>
      </c>
      <c r="BN171" s="20" t="n">
        <f aca="false">BN169-N(BN170)</f>
        <v>383.9</v>
      </c>
      <c r="BO171" s="20" t="n">
        <f aca="false">BO169-N(BO170)</f>
        <v>178.3</v>
      </c>
      <c r="BP171" s="20" t="n">
        <f aca="false">BP169-N(BP170)</f>
        <v>226.4</v>
      </c>
      <c r="BQ171" s="35" t="n">
        <f aca="false">BQ169-N(BQ170)</f>
        <v>788.6</v>
      </c>
      <c r="BR171" s="20" t="n">
        <f aca="false">BR169-N(BR170)</f>
        <v>178.7</v>
      </c>
      <c r="BS171" s="20" t="n">
        <f aca="false">BS169-N(BS170)</f>
        <v>185.3</v>
      </c>
      <c r="BT171" s="20" t="n">
        <f aca="false">BT169-N(BT170)</f>
        <v>364</v>
      </c>
      <c r="BU171" s="20" t="n">
        <f aca="false">BU169-N(BU170)</f>
        <v>198.6</v>
      </c>
      <c r="BV171" s="20" t="n">
        <f aca="false">BV169-N(BV170)</f>
        <v>323.1</v>
      </c>
      <c r="BW171" s="35" t="n">
        <f aca="false">BW169-N(BW170)</f>
        <v>885.7</v>
      </c>
      <c r="BX171" s="20" t="n">
        <f aca="false">BX169-N(BX170)</f>
        <v>178.5</v>
      </c>
      <c r="BY171" s="20" t="n">
        <f aca="false">BY169-N(BY170)</f>
        <v>180.2</v>
      </c>
      <c r="BZ171" s="20" t="n">
        <f aca="false">BZ169-N(BZ170)</f>
        <v>358.7</v>
      </c>
      <c r="CA171" s="20" t="n">
        <f aca="false">CA169-N(CA170)</f>
        <v>262</v>
      </c>
      <c r="CB171" s="20" t="n">
        <f aca="false">CB169-N(CB170)</f>
        <v>198.5</v>
      </c>
      <c r="CC171" s="35" t="n">
        <f aca="false">CC169-N(CC170)</f>
        <v>819.2</v>
      </c>
      <c r="CD171" s="20" t="n">
        <f aca="false">CD169-N(CD170)</f>
        <v>188.6</v>
      </c>
      <c r="CE171" s="20" t="n">
        <f aca="false">CE169-N(CE170)</f>
        <v>209.9</v>
      </c>
      <c r="CF171" s="20" t="n">
        <f aca="false">CF169-N(CF170)</f>
        <v>398.5</v>
      </c>
      <c r="CG171" s="20" t="n">
        <f aca="false">CG169-N(CG170)</f>
        <v>220.7</v>
      </c>
      <c r="CH171" s="20" t="n">
        <f aca="false">CH169-N(CH170)</f>
        <v>275.6</v>
      </c>
      <c r="CI171" s="35" t="n">
        <f aca="false">CI169-N(CI170)</f>
        <v>894.8</v>
      </c>
      <c r="CJ171" s="20" t="n">
        <f aca="false">CJ169-N(CJ170)</f>
        <v>226.8</v>
      </c>
      <c r="CK171" s="20" t="n">
        <f aca="false">CK169-N(CK170)</f>
        <v>251.7</v>
      </c>
      <c r="CL171" s="20" t="n">
        <f aca="false">CL169-N(CL170)</f>
        <v>478.5</v>
      </c>
      <c r="CM171" s="35" t="n">
        <f aca="false">CM169-CM170</f>
        <v>241.5805</v>
      </c>
      <c r="CN171" s="35" t="n">
        <f aca="false">CN169-CN170</f>
        <v>254.48175</v>
      </c>
      <c r="CO171" s="35" t="n">
        <f aca="false">SUM(CJ171,CK171,CM171,CN171)</f>
        <v>974.56225</v>
      </c>
      <c r="CP171" s="35" t="n">
        <f aca="false">CP169-CP170</f>
        <v>1126.54892598653</v>
      </c>
      <c r="CQ171" s="35" t="n">
        <f aca="false">CQ169-CQ170</f>
        <v>1252.11426930276</v>
      </c>
      <c r="CR171" s="35" t="n">
        <f aca="false">CR169-CR170</f>
        <v>1412.39073621352</v>
      </c>
      <c r="CS171" s="35" t="n">
        <f aca="false">CS169-CS170</f>
        <v>1572.91403065076</v>
      </c>
      <c r="CT171" s="23"/>
      <c r="CV171" s="24" t="n">
        <f aca="false">IFERROR((CS171/CI171)^(1/5)-1,"n/m")</f>
        <v>0.119427063268089</v>
      </c>
      <c r="CW171" s="24" t="n">
        <f aca="false">IFERROR((CI171/BE171)^(1/5)-1,"n/m")</f>
        <v>0.173604034592032</v>
      </c>
      <c r="CX171" s="24" t="n">
        <f aca="false">IFERROR((CI171/AA171)^(1/10)-1,"n/m")</f>
        <v>0.164102786486104</v>
      </c>
      <c r="CY171" s="24" t="n">
        <f aca="false">IFERROR((CI171/C171)^(1/19)-1,"n/m")</f>
        <v>0.135287384980058</v>
      </c>
    </row>
    <row r="172" customFormat="false" ht="15" hidden="false" customHeight="true" outlineLevel="0" collapsed="false">
      <c r="B172" s="39" t="s">
        <v>279</v>
      </c>
      <c r="C172" s="30" t="n">
        <f aca="false">IF(ISNUMBER(C173),ROUND(C171-C173,1),"")</f>
        <v>0</v>
      </c>
      <c r="D172" s="30" t="n">
        <f aca="false">IF(ISNUMBER(D173),ROUND(D171-D173,1),"")</f>
        <v>0</v>
      </c>
      <c r="E172" s="30" t="n">
        <f aca="false">IF(ISNUMBER(E173),ROUND(E171-E173,1),"")</f>
        <v>0</v>
      </c>
      <c r="F172" s="30" t="n">
        <f aca="false">IF(ISNUMBER(F173),ROUND(F171-F173,1),"")</f>
        <v>0</v>
      </c>
      <c r="G172" s="30" t="n">
        <f aca="false">IF(ISNUMBER(G173),ROUND(G171-G173,1),"")</f>
        <v>0</v>
      </c>
      <c r="H172" s="30" t="n">
        <f aca="false">IF(ISNUMBER(H173),ROUND(H171-H173,1),"")</f>
        <v>0</v>
      </c>
      <c r="I172" s="30" t="n">
        <f aca="false">IF(ISNUMBER(I173),ROUND(I171-I173,1),"")</f>
        <v>0</v>
      </c>
      <c r="J172" s="30" t="n">
        <f aca="false">IF(ISNUMBER(J173),ROUND(J171-J173,1),"")</f>
        <v>0</v>
      </c>
      <c r="K172" s="30" t="n">
        <f aca="false">IF(ISNUMBER(K173),ROUND(K171-K173,1),"")</f>
        <v>0</v>
      </c>
      <c r="L172" s="30" t="n">
        <f aca="false">IF(ISNUMBER(L173),ROUND(L171-L173,1),"")</f>
        <v>0</v>
      </c>
      <c r="M172" s="30" t="n">
        <f aca="false">IF(ISNUMBER(M173),ROUND(M171-M173,1),"")</f>
        <v>0</v>
      </c>
      <c r="N172" s="30" t="n">
        <f aca="false">IF(ISNUMBER(N173),ROUND(N171-N173,1),"")</f>
        <v>0</v>
      </c>
      <c r="O172" s="30" t="n">
        <f aca="false">IF(ISNUMBER(O173),ROUND(O171-O173,1),"")</f>
        <v>0</v>
      </c>
      <c r="P172" s="30" t="n">
        <f aca="false">IF(ISNUMBER(P173),ROUND(P171-P173,1),"")</f>
        <v>0</v>
      </c>
      <c r="Q172" s="30" t="n">
        <f aca="false">IF(ISNUMBER(Q173),ROUND(Q171-Q173,1),"")</f>
        <v>0</v>
      </c>
      <c r="R172" s="30" t="n">
        <f aca="false">IF(ISNUMBER(R173),ROUND(R171-R173,1),"")</f>
        <v>0</v>
      </c>
      <c r="S172" s="30" t="n">
        <f aca="false">IF(ISNUMBER(S173),ROUND(S171-S173,1),"")</f>
        <v>0</v>
      </c>
      <c r="T172" s="30" t="n">
        <f aca="false">IF(ISNUMBER(T173),ROUND(T171-T173,1),"")</f>
        <v>0</v>
      </c>
      <c r="U172" s="30" t="n">
        <f aca="false">IF(ISNUMBER(U173),ROUND(U171-U173,1),"")</f>
        <v>0</v>
      </c>
      <c r="V172" s="30" t="n">
        <f aca="false">IF(ISNUMBER(V173),ROUND(V171-V173,1),"")</f>
        <v>0</v>
      </c>
      <c r="W172" s="30" t="n">
        <f aca="false">IF(ISNUMBER(W173),ROUND(W171-W173,1),"")</f>
        <v>0</v>
      </c>
      <c r="X172" s="30" t="n">
        <f aca="false">IF(ISNUMBER(X173),ROUND(X171-X173,1),"")</f>
        <v>0</v>
      </c>
      <c r="Y172" s="30" t="n">
        <f aca="false">IF(ISNUMBER(Y173),ROUND(Y171-Y173,1),"")</f>
        <v>0</v>
      </c>
      <c r="Z172" s="30" t="n">
        <f aca="false">IF(ISNUMBER(Z173),ROUND(Z171-Z173,1),"")</f>
        <v>0</v>
      </c>
      <c r="AA172" s="30" t="n">
        <f aca="false">IF(ISNUMBER(AA173),ROUND(AA171-AA173,1),"")</f>
        <v>0</v>
      </c>
      <c r="AB172" s="30" t="n">
        <f aca="false">IF(ISNUMBER(AB173),ROUND(AB171-AB173,1),"")</f>
        <v>0</v>
      </c>
      <c r="AC172" s="30" t="n">
        <f aca="false">IF(ISNUMBER(AC173),ROUND(AC171-AC173,1),"")</f>
        <v>0</v>
      </c>
      <c r="AD172" s="30" t="n">
        <f aca="false">IF(ISNUMBER(AD173),ROUND(AD171-AD173,1),"")</f>
        <v>0</v>
      </c>
      <c r="AE172" s="30" t="n">
        <f aca="false">IF(ISNUMBER(AE173),ROUND(AE171-AE173,1),"")</f>
        <v>0</v>
      </c>
      <c r="AF172" s="30" t="n">
        <f aca="false">IF(ISNUMBER(AF173),ROUND(AF171-AF173,1),"")</f>
        <v>0</v>
      </c>
      <c r="AG172" s="30" t="n">
        <f aca="false">IF(ISNUMBER(AG173),ROUND(AG171-AG173,1),"")</f>
        <v>0</v>
      </c>
      <c r="AH172" s="30" t="n">
        <f aca="false">IF(ISNUMBER(AH173),ROUND(AH171-AH173,1),"")</f>
        <v>0</v>
      </c>
      <c r="AI172" s="30" t="n">
        <f aca="false">IF(ISNUMBER(AI173),ROUND(AI171-AI173,1),"")</f>
        <v>0</v>
      </c>
      <c r="AJ172" s="30" t="n">
        <f aca="false">IF(ISNUMBER(AJ173),ROUND(AJ171-AJ173,1),"")</f>
        <v>0</v>
      </c>
      <c r="AK172" s="30" t="n">
        <f aca="false">IF(ISNUMBER(AK173),ROUND(AK171-AK173,1),"")</f>
        <v>0</v>
      </c>
      <c r="AL172" s="30" t="n">
        <f aca="false">IF(ISNUMBER(AL173),ROUND(AL171-AL173,1),"")</f>
        <v>0</v>
      </c>
      <c r="AM172" s="30" t="n">
        <f aca="false">IF(ISNUMBER(AM173),ROUND(AM171-AM173,1),"")</f>
        <v>0</v>
      </c>
      <c r="AN172" s="30" t="n">
        <f aca="false">IF(ISNUMBER(AN173),ROUND(AN171-AN173,1),"")</f>
        <v>0</v>
      </c>
      <c r="AO172" s="30" t="n">
        <f aca="false">IF(ISNUMBER(AO173),ROUND(AO171-AO173,1),"")</f>
        <v>0</v>
      </c>
      <c r="AP172" s="30" t="n">
        <f aca="false">IF(ISNUMBER(AP173),ROUND(AP171-AP173,1),"")</f>
        <v>0</v>
      </c>
      <c r="AQ172" s="30" t="n">
        <f aca="false">IF(ISNUMBER(AQ173),ROUND(AQ171-AQ173,1),"")</f>
        <v>0</v>
      </c>
      <c r="AR172" s="30" t="n">
        <f aca="false">IF(ISNUMBER(AR173),ROUND(AR171-AR173,1),"")</f>
        <v>0</v>
      </c>
      <c r="AS172" s="30" t="n">
        <f aca="false">IF(ISNUMBER(AS173),ROUND(AS171-AS173,1),"")</f>
        <v>0</v>
      </c>
      <c r="AT172" s="30" t="n">
        <f aca="false">IF(ISNUMBER(AT173),ROUND(AT171-AT173,1),"")</f>
        <v>0</v>
      </c>
      <c r="AU172" s="30" t="n">
        <f aca="false">IF(ISNUMBER(AU173),ROUND(AU171-AU173,1),"")</f>
        <v>0</v>
      </c>
      <c r="AV172" s="30" t="n">
        <f aca="false">IF(ISNUMBER(AV173),ROUND(AV171-AV173,1),"")</f>
        <v>0</v>
      </c>
      <c r="AW172" s="30" t="n">
        <f aca="false">IF(ISNUMBER(AW173),ROUND(AW171-AW173,1),"")</f>
        <v>0</v>
      </c>
      <c r="AX172" s="30" t="n">
        <f aca="false">IF(ISNUMBER(AX173),ROUND(AX171-AX173,1),"")</f>
        <v>0</v>
      </c>
      <c r="AY172" s="30" t="n">
        <f aca="false">IF(ISNUMBER(AY173),ROUND(AY171-AY173,1),"")</f>
        <v>0</v>
      </c>
      <c r="AZ172" s="30" t="n">
        <f aca="false">IF(ISNUMBER(AZ173),ROUND(AZ171-AZ173,1),"")</f>
        <v>0</v>
      </c>
      <c r="BA172" s="30" t="n">
        <f aca="false">IF(ISNUMBER(BA173),ROUND(BA171-BA173,1),"")</f>
        <v>0</v>
      </c>
      <c r="BB172" s="30" t="n">
        <f aca="false">IF(ISNUMBER(BB173),ROUND(BB171-BB173,1),"")</f>
        <v>0</v>
      </c>
      <c r="BC172" s="30" t="n">
        <f aca="false">IF(ISNUMBER(BC173),ROUND(BC171-BC173,1),"")</f>
        <v>0</v>
      </c>
      <c r="BD172" s="30" t="n">
        <f aca="false">IF(ISNUMBER(BD173),ROUND(BD171-BD173,1),"")</f>
        <v>0</v>
      </c>
      <c r="BE172" s="30" t="n">
        <f aca="false">IF(ISNUMBER(BE173),ROUND(BE171-BE173,1),"")</f>
        <v>0</v>
      </c>
      <c r="BF172" s="30" t="n">
        <f aca="false">IF(ISNUMBER(BF173),ROUND(BF171-BF173,1),"")</f>
        <v>0</v>
      </c>
      <c r="BG172" s="30" t="n">
        <f aca="false">IF(ISNUMBER(BG173),ROUND(BG171-BG173,1),"")</f>
        <v>0</v>
      </c>
      <c r="BH172" s="30" t="n">
        <f aca="false">IF(ISNUMBER(BH173),ROUND(BH171-BH173,1),"")</f>
        <v>0</v>
      </c>
      <c r="BI172" s="30" t="n">
        <f aca="false">IF(ISNUMBER(BI173),ROUND(BI171-BI173,1),"")</f>
        <v>0</v>
      </c>
      <c r="BJ172" s="30" t="n">
        <f aca="false">IF(ISNUMBER(BJ173),ROUND(BJ171-BJ173,1),"")</f>
        <v>0</v>
      </c>
      <c r="BK172" s="30" t="n">
        <f aca="false">IF(ISNUMBER(BK173),ROUND(BK171-BK173,1),"")</f>
        <v>0</v>
      </c>
      <c r="BL172" s="30" t="n">
        <f aca="false">IF(ISNUMBER(BL173),ROUND(BL171-BL173,1),"")</f>
        <v>0</v>
      </c>
      <c r="BM172" s="30" t="n">
        <f aca="false">IF(ISNUMBER(BM173),ROUND(BM171-BM173,1),"")</f>
        <v>0</v>
      </c>
      <c r="BN172" s="30" t="n">
        <f aca="false">IF(ISNUMBER(BN173),ROUND(BN171-BN173,1),"")</f>
        <v>0</v>
      </c>
      <c r="BO172" s="30" t="n">
        <f aca="false">IF(ISNUMBER(BO173),ROUND(BO171-BO173,1),"")</f>
        <v>0</v>
      </c>
      <c r="BP172" s="30" t="n">
        <f aca="false">IF(ISNUMBER(BP173),ROUND(BP171-BP173,1),"")</f>
        <v>0</v>
      </c>
      <c r="BQ172" s="30" t="n">
        <f aca="false">IF(ISNUMBER(BQ173),ROUND(BQ171-BQ173,1),"")</f>
        <v>0</v>
      </c>
      <c r="BR172" s="30" t="n">
        <f aca="false">IF(ISNUMBER(BR173),ROUND(BR171-BR173,1),"")</f>
        <v>0</v>
      </c>
      <c r="BS172" s="30" t="n">
        <f aca="false">IF(ISNUMBER(BS173),ROUND(BS171-BS173,1),"")</f>
        <v>0</v>
      </c>
      <c r="BT172" s="30" t="n">
        <f aca="false">IF(ISNUMBER(BT173),ROUND(BT171-BT173,1),"")</f>
        <v>0</v>
      </c>
      <c r="BU172" s="30" t="n">
        <f aca="false">IF(ISNUMBER(BU173),ROUND(BU171-BU173,1),"")</f>
        <v>0</v>
      </c>
      <c r="BV172" s="30" t="n">
        <f aca="false">IF(ISNUMBER(BV173),ROUND(BV171-BV173,1),"")</f>
        <v>0</v>
      </c>
      <c r="BW172" s="30" t="n">
        <f aca="false">IF(ISNUMBER(BW173),ROUND(BW171-BW173,1),"")</f>
        <v>0</v>
      </c>
      <c r="BX172" s="30" t="n">
        <f aca="false">IF(ISNUMBER(BX173),ROUND(BX171-BX173,1),"")</f>
        <v>0</v>
      </c>
      <c r="BY172" s="30" t="n">
        <f aca="false">IF(ISNUMBER(BY173),ROUND(BY171-BY173,1),"")</f>
        <v>0</v>
      </c>
      <c r="BZ172" s="30" t="n">
        <f aca="false">IF(ISNUMBER(BZ173),ROUND(BZ171-BZ173,1),"")</f>
        <v>0</v>
      </c>
      <c r="CA172" s="30" t="n">
        <f aca="false">IF(ISNUMBER(CA173),ROUND(CA171-CA173,1),"")</f>
        <v>0</v>
      </c>
      <c r="CB172" s="30" t="n">
        <f aca="false">IF(ISNUMBER(CB173),ROUND(CB171-CB173,1),"")</f>
        <v>0</v>
      </c>
      <c r="CC172" s="30" t="n">
        <f aca="false">IF(ISNUMBER(CC173),ROUND(CC171-CC173,1),"")</f>
        <v>0</v>
      </c>
      <c r="CD172" s="30" t="n">
        <f aca="false">IF(ISNUMBER(CD173),ROUND(CD171-CD173,1),"")</f>
        <v>0</v>
      </c>
      <c r="CE172" s="30" t="n">
        <f aca="false">IF(ISNUMBER(CE173),ROUND(CE171-CE173,1),"")</f>
        <v>0</v>
      </c>
      <c r="CF172" s="30" t="n">
        <f aca="false">IF(ISNUMBER(CF173),ROUND(CF171-CF173,1),"")</f>
        <v>0</v>
      </c>
      <c r="CG172" s="30" t="n">
        <f aca="false">IF(ISNUMBER(CG173),ROUND(CG171-CG173,1),"")</f>
        <v>0</v>
      </c>
      <c r="CH172" s="30" t="n">
        <f aca="false">IF(ISNUMBER(CH173),ROUND(CH171-CH173,1),"")</f>
        <v>0</v>
      </c>
      <c r="CI172" s="30" t="n">
        <f aca="false">IF(ISNUMBER(CI173),ROUND(CI171-CI173,1),"")</f>
        <v>0</v>
      </c>
      <c r="CJ172" s="30" t="n">
        <f aca="false">IF(ISNUMBER(CJ173),ROUND(CJ171-CJ173,1),"")</f>
        <v>0</v>
      </c>
      <c r="CK172" s="30" t="n">
        <f aca="false">IF(ISNUMBER(CK173),ROUND(CK171-CK173,1),"")</f>
        <v>0</v>
      </c>
      <c r="CL172" s="30" t="n">
        <f aca="false">IF(ISNUMBER(CL173),ROUND(CL171-CL173,1),"")</f>
        <v>0</v>
      </c>
      <c r="CM172" s="32"/>
      <c r="CN172" s="32"/>
      <c r="CO172" s="32"/>
      <c r="CP172" s="32"/>
      <c r="CQ172" s="32"/>
      <c r="CR172" s="32"/>
      <c r="CS172" s="32"/>
      <c r="CT172" s="23"/>
      <c r="CV172" s="7"/>
      <c r="CW172" s="7"/>
      <c r="CX172" s="7"/>
      <c r="CY172" s="7"/>
    </row>
    <row r="173" customFormat="false" ht="15" hidden="false" customHeight="true" outlineLevel="0" collapsed="false">
      <c r="B173" s="37" t="s">
        <v>280</v>
      </c>
      <c r="C173" s="31" t="n">
        <v>80.3</v>
      </c>
      <c r="D173" s="31" t="n">
        <v>98.5</v>
      </c>
      <c r="E173" s="31" t="n">
        <v>111.3</v>
      </c>
      <c r="F173" s="31" t="n">
        <v>113.3</v>
      </c>
      <c r="G173" s="31" t="n">
        <v>120.5</v>
      </c>
      <c r="H173" s="31" t="n">
        <v>255.2</v>
      </c>
      <c r="I173" s="31" t="n">
        <v>164.1</v>
      </c>
      <c r="J173" s="31" t="n">
        <v>40.4</v>
      </c>
      <c r="K173" s="31" t="n">
        <v>42.9</v>
      </c>
      <c r="L173" s="30" t="n">
        <f aca="false">J173+K173</f>
        <v>83.3</v>
      </c>
      <c r="M173" s="31" t="n">
        <v>46.8</v>
      </c>
      <c r="N173" s="31" t="n">
        <v>54.9</v>
      </c>
      <c r="O173" s="31" t="n">
        <v>185</v>
      </c>
      <c r="P173" s="31" t="n">
        <v>45.8</v>
      </c>
      <c r="Q173" s="31" t="n">
        <v>56.1</v>
      </c>
      <c r="R173" s="30" t="n">
        <f aca="false">P173+Q173</f>
        <v>101.9</v>
      </c>
      <c r="S173" s="31" t="n">
        <v>55.6</v>
      </c>
      <c r="T173" s="31" t="n">
        <v>60.2</v>
      </c>
      <c r="U173" s="31" t="n">
        <v>217.7</v>
      </c>
      <c r="V173" s="31" t="n">
        <v>43.7</v>
      </c>
      <c r="W173" s="31" t="n">
        <v>48.3</v>
      </c>
      <c r="X173" s="30" t="n">
        <f aca="false">V173+W173</f>
        <v>92</v>
      </c>
      <c r="Y173" s="31" t="n">
        <v>48.3</v>
      </c>
      <c r="Z173" s="31" t="n">
        <v>55.5</v>
      </c>
      <c r="AA173" s="31" t="n">
        <v>195.8</v>
      </c>
      <c r="AB173" s="31" t="n">
        <v>39</v>
      </c>
      <c r="AC173" s="31" t="n">
        <v>46.9</v>
      </c>
      <c r="AD173" s="30" t="n">
        <f aca="false">AB173+AC173</f>
        <v>85.9</v>
      </c>
      <c r="AE173" s="31" t="n">
        <v>52</v>
      </c>
      <c r="AF173" s="31" t="n">
        <v>53</v>
      </c>
      <c r="AG173" s="31" t="n">
        <v>190.9</v>
      </c>
      <c r="AH173" s="31" t="n">
        <v>30.5</v>
      </c>
      <c r="AI173" s="31" t="n">
        <v>60.1</v>
      </c>
      <c r="AJ173" s="30" t="n">
        <f aca="false">AH173+AI173</f>
        <v>90.6</v>
      </c>
      <c r="AK173" s="31" t="n">
        <v>69</v>
      </c>
      <c r="AL173" s="31" t="n">
        <v>67.6</v>
      </c>
      <c r="AM173" s="31" t="n">
        <v>227.2</v>
      </c>
      <c r="AN173" s="31" t="n">
        <v>66.5</v>
      </c>
      <c r="AO173" s="31" t="n">
        <v>85.9</v>
      </c>
      <c r="AP173" s="30" t="n">
        <f aca="false">AN173+AO173</f>
        <v>152.4</v>
      </c>
      <c r="AQ173" s="31" t="n">
        <v>90.3</v>
      </c>
      <c r="AR173" s="31" t="n">
        <v>91.1</v>
      </c>
      <c r="AS173" s="31" t="n">
        <v>333.8</v>
      </c>
      <c r="AT173" s="31" t="n">
        <v>75.3</v>
      </c>
      <c r="AU173" s="31" t="n">
        <v>104.6</v>
      </c>
      <c r="AV173" s="30" t="n">
        <f aca="false">AT173+AU173</f>
        <v>179.9</v>
      </c>
      <c r="AW173" s="31" t="n">
        <v>106.7</v>
      </c>
      <c r="AX173" s="31" t="n">
        <v>115.7</v>
      </c>
      <c r="AY173" s="31" t="n">
        <v>402.3</v>
      </c>
      <c r="AZ173" s="31" t="n">
        <v>82.2</v>
      </c>
      <c r="BA173" s="31" t="n">
        <v>93.7</v>
      </c>
      <c r="BB173" s="30" t="n">
        <f aca="false">AZ173+BA173</f>
        <v>175.9</v>
      </c>
      <c r="BC173" s="31" t="n">
        <v>93.9</v>
      </c>
      <c r="BD173" s="31" t="n">
        <v>132.1</v>
      </c>
      <c r="BE173" s="31" t="n">
        <v>401.9</v>
      </c>
      <c r="BF173" s="31" t="n">
        <v>84.7</v>
      </c>
      <c r="BG173" s="31" t="n">
        <v>64.7</v>
      </c>
      <c r="BH173" s="30" t="n">
        <f aca="false">BF173+BG173</f>
        <v>149.4</v>
      </c>
      <c r="BI173" s="31" t="n">
        <v>134.1</v>
      </c>
      <c r="BJ173" s="31" t="n">
        <v>161.8</v>
      </c>
      <c r="BK173" s="31" t="n">
        <v>445.3</v>
      </c>
      <c r="BL173" s="31" t="n">
        <v>212.6</v>
      </c>
      <c r="BM173" s="31" t="n">
        <v>171.3</v>
      </c>
      <c r="BN173" s="30" t="n">
        <f aca="false">BL173+BM173</f>
        <v>383.9</v>
      </c>
      <c r="BO173" s="31" t="n">
        <v>178.3</v>
      </c>
      <c r="BP173" s="31" t="n">
        <v>226.4</v>
      </c>
      <c r="BQ173" s="31" t="n">
        <v>788.6</v>
      </c>
      <c r="BR173" s="31" t="n">
        <v>178.7</v>
      </c>
      <c r="BS173" s="31" t="n">
        <v>185.3</v>
      </c>
      <c r="BT173" s="30" t="n">
        <f aca="false">BR173+BS173</f>
        <v>364</v>
      </c>
      <c r="BU173" s="31" t="n">
        <v>198.6</v>
      </c>
      <c r="BV173" s="31" t="n">
        <v>323.1</v>
      </c>
      <c r="BW173" s="31" t="n">
        <v>885.7</v>
      </c>
      <c r="BX173" s="31" t="n">
        <v>178.5</v>
      </c>
      <c r="BY173" s="31" t="n">
        <v>180.2</v>
      </c>
      <c r="BZ173" s="30" t="n">
        <f aca="false">BX173+BY173</f>
        <v>358.7</v>
      </c>
      <c r="CA173" s="31" t="n">
        <v>262</v>
      </c>
      <c r="CB173" s="31" t="n">
        <v>198.5</v>
      </c>
      <c r="CC173" s="31" t="n">
        <v>819.2</v>
      </c>
      <c r="CD173" s="31" t="n">
        <v>188.6</v>
      </c>
      <c r="CE173" s="31" t="n">
        <v>209.9</v>
      </c>
      <c r="CF173" s="30" t="n">
        <f aca="false">CD173+CE173</f>
        <v>398.5</v>
      </c>
      <c r="CG173" s="31" t="n">
        <v>220.7</v>
      </c>
      <c r="CH173" s="31" t="n">
        <v>275.6</v>
      </c>
      <c r="CI173" s="31" t="n">
        <v>894.8</v>
      </c>
      <c r="CJ173" s="31" t="n">
        <v>226.8</v>
      </c>
      <c r="CK173" s="31" t="n">
        <v>251.7</v>
      </c>
      <c r="CL173" s="30" t="n">
        <f aca="false">CJ173+CK173</f>
        <v>478.5</v>
      </c>
      <c r="CM173" s="32"/>
      <c r="CN173" s="32"/>
      <c r="CO173" s="32"/>
      <c r="CP173" s="32"/>
      <c r="CQ173" s="32"/>
      <c r="CR173" s="32"/>
      <c r="CS173" s="32"/>
      <c r="CT173" s="23"/>
      <c r="CV173" s="7"/>
      <c r="CW173" s="7"/>
      <c r="CX173" s="7"/>
      <c r="CY173" s="7"/>
    </row>
    <row r="174" customFormat="false" ht="15" hidden="false" customHeight="true" outlineLevel="0" collapsed="false">
      <c r="B174" s="37" t="s">
        <v>281</v>
      </c>
      <c r="C174" s="31" t="n">
        <v>32</v>
      </c>
      <c r="D174" s="31" t="n">
        <v>34.7</v>
      </c>
      <c r="E174" s="31" t="n">
        <v>45</v>
      </c>
      <c r="F174" s="31" t="n">
        <v>42.5</v>
      </c>
      <c r="G174" s="31" t="n">
        <v>45.2</v>
      </c>
      <c r="H174" s="31" t="n">
        <v>64.2</v>
      </c>
      <c r="I174" s="31" t="n">
        <v>78.3</v>
      </c>
      <c r="J174" s="31" t="n">
        <v>21.9</v>
      </c>
      <c r="K174" s="31" t="n">
        <v>22.1</v>
      </c>
      <c r="L174" s="30" t="n">
        <f aca="false">J174+K174</f>
        <v>44</v>
      </c>
      <c r="M174" s="31" t="n">
        <v>23.1</v>
      </c>
      <c r="N174" s="31" t="n">
        <v>24</v>
      </c>
      <c r="O174" s="31" t="n">
        <v>91.1</v>
      </c>
      <c r="P174" s="31" t="n">
        <v>23.2</v>
      </c>
      <c r="Q174" s="31" t="n">
        <v>23.4</v>
      </c>
      <c r="R174" s="30" t="n">
        <f aca="false">P174+Q174</f>
        <v>46.6</v>
      </c>
      <c r="S174" s="31" t="n">
        <v>23.5</v>
      </c>
      <c r="T174" s="31" t="n">
        <v>24.2</v>
      </c>
      <c r="U174" s="31" t="n">
        <v>94.3</v>
      </c>
      <c r="V174" s="31" t="n">
        <v>23.2</v>
      </c>
      <c r="W174" s="31" t="n">
        <v>22.8</v>
      </c>
      <c r="X174" s="30" t="n">
        <f aca="false">V174+W174</f>
        <v>46</v>
      </c>
      <c r="Y174" s="31" t="n">
        <v>21.9</v>
      </c>
      <c r="Z174" s="31" t="n">
        <v>22.4</v>
      </c>
      <c r="AA174" s="31" t="n">
        <v>90.3</v>
      </c>
      <c r="AB174" s="31" t="n">
        <v>21.1</v>
      </c>
      <c r="AC174" s="31" t="n">
        <v>21.7</v>
      </c>
      <c r="AD174" s="30" t="n">
        <f aca="false">AB174+AC174</f>
        <v>42.8</v>
      </c>
      <c r="AE174" s="31" t="n">
        <v>22.8</v>
      </c>
      <c r="AF174" s="31" t="n">
        <v>21.7</v>
      </c>
      <c r="AG174" s="31" t="n">
        <v>87.3</v>
      </c>
      <c r="AH174" s="31" t="n">
        <v>22.8</v>
      </c>
      <c r="AI174" s="31" t="n">
        <v>33.2</v>
      </c>
      <c r="AJ174" s="30" t="n">
        <f aca="false">AH174+AI174</f>
        <v>56</v>
      </c>
      <c r="AK174" s="31" t="n">
        <v>31.4</v>
      </c>
      <c r="AL174" s="31" t="n">
        <v>25.6</v>
      </c>
      <c r="AM174" s="31" t="n">
        <v>113</v>
      </c>
      <c r="AN174" s="31" t="n">
        <v>28.8</v>
      </c>
      <c r="AO174" s="31" t="n">
        <v>27.6</v>
      </c>
      <c r="AP174" s="30" t="n">
        <f aca="false">AN174+AO174</f>
        <v>56.4</v>
      </c>
      <c r="AQ174" s="31" t="n">
        <v>27.3</v>
      </c>
      <c r="AR174" s="31" t="n">
        <v>29.3</v>
      </c>
      <c r="AS174" s="31" t="n">
        <v>113</v>
      </c>
      <c r="AT174" s="31" t="n">
        <v>27.6</v>
      </c>
      <c r="AU174" s="31" t="n">
        <v>27.1</v>
      </c>
      <c r="AV174" s="30" t="n">
        <f aca="false">AT174+AU174</f>
        <v>54.7</v>
      </c>
      <c r="AW174" s="31" t="n">
        <v>27.9</v>
      </c>
      <c r="AX174" s="31" t="n">
        <v>29.3</v>
      </c>
      <c r="AY174" s="31" t="n">
        <v>111.9</v>
      </c>
      <c r="AZ174" s="31" t="n">
        <v>29.3</v>
      </c>
      <c r="BA174" s="31" t="n">
        <v>29</v>
      </c>
      <c r="BB174" s="30" t="n">
        <f aca="false">AZ174+BA174</f>
        <v>58.3</v>
      </c>
      <c r="BC174" s="31" t="n">
        <v>29.2</v>
      </c>
      <c r="BD174" s="31" t="n">
        <v>28.7</v>
      </c>
      <c r="BE174" s="31" t="n">
        <v>116.2</v>
      </c>
      <c r="BF174" s="31" t="n">
        <v>29.3</v>
      </c>
      <c r="BG174" s="31" t="n">
        <v>59.7</v>
      </c>
      <c r="BH174" s="30" t="n">
        <f aca="false">BF174+BG174</f>
        <v>89</v>
      </c>
      <c r="BI174" s="31" t="n">
        <v>90.2</v>
      </c>
      <c r="BJ174" s="31" t="n">
        <v>86.2</v>
      </c>
      <c r="BK174" s="31" t="n">
        <v>265.4</v>
      </c>
      <c r="BL174" s="31" t="n">
        <v>86.9</v>
      </c>
      <c r="BM174" s="31" t="n">
        <v>82.7</v>
      </c>
      <c r="BN174" s="30" t="n">
        <f aca="false">BL174+BM174</f>
        <v>169.6</v>
      </c>
      <c r="BO174" s="31" t="n">
        <v>80.8</v>
      </c>
      <c r="BP174" s="31" t="n">
        <v>81.8</v>
      </c>
      <c r="BQ174" s="31" t="n">
        <v>332.2</v>
      </c>
      <c r="BR174" s="31" t="n">
        <v>82.1</v>
      </c>
      <c r="BS174" s="31" t="n">
        <v>80</v>
      </c>
      <c r="BT174" s="30" t="n">
        <f aca="false">BR174+BS174</f>
        <v>162.1</v>
      </c>
      <c r="BU174" s="31" t="n">
        <v>76.9</v>
      </c>
      <c r="BV174" s="31" t="n">
        <v>77.4</v>
      </c>
      <c r="BW174" s="31" t="n">
        <v>316.4</v>
      </c>
      <c r="BX174" s="31" t="n">
        <v>78</v>
      </c>
      <c r="BY174" s="31" t="n">
        <v>77.8</v>
      </c>
      <c r="BZ174" s="30" t="n">
        <f aca="false">BX174+BY174</f>
        <v>155.8</v>
      </c>
      <c r="CA174" s="31" t="n">
        <v>76.9</v>
      </c>
      <c r="CB174" s="31" t="n">
        <v>77.2</v>
      </c>
      <c r="CC174" s="31" t="n">
        <v>309.9</v>
      </c>
      <c r="CD174" s="31" t="n">
        <v>80.7</v>
      </c>
      <c r="CE174" s="31" t="n">
        <v>86.5</v>
      </c>
      <c r="CF174" s="30" t="n">
        <f aca="false">CD174+CE174</f>
        <v>167.2</v>
      </c>
      <c r="CG174" s="31" t="n">
        <v>84.5</v>
      </c>
      <c r="CH174" s="31" t="n">
        <v>84.6</v>
      </c>
      <c r="CI174" s="31" t="n">
        <v>336.3</v>
      </c>
      <c r="CJ174" s="31" t="n">
        <v>87.2</v>
      </c>
      <c r="CK174" s="31" t="n">
        <v>85.7</v>
      </c>
      <c r="CL174" s="30" t="n">
        <f aca="false">CJ174+CK174</f>
        <v>172.9</v>
      </c>
      <c r="CM174" s="32" t="n">
        <f aca="false">CM140+CM125</f>
        <v>87.319785360866</v>
      </c>
      <c r="CN174" s="32" t="n">
        <f aca="false">CN140+CN125</f>
        <v>88.8128584497414</v>
      </c>
      <c r="CO174" s="32" t="n">
        <f aca="false">SUM(CJ174,CK174,CM174,CN174)</f>
        <v>349.032643810607</v>
      </c>
      <c r="CP174" s="32" t="n">
        <f aca="false">CP140+CP125</f>
        <v>362.747397155799</v>
      </c>
      <c r="CQ174" s="32" t="n">
        <f aca="false">CQ140+CQ125</f>
        <v>398.36401514577</v>
      </c>
      <c r="CR174" s="32" t="n">
        <f aca="false">CR140+CR125</f>
        <v>397.567033826719</v>
      </c>
      <c r="CS174" s="32" t="n">
        <f aca="false">CS140+CS125</f>
        <v>415.085994901688</v>
      </c>
      <c r="CT174" s="23"/>
      <c r="CV174" s="7"/>
      <c r="CW174" s="7"/>
      <c r="CX174" s="7"/>
      <c r="CY174" s="7"/>
    </row>
    <row r="175" customFormat="false" ht="15" hidden="false" customHeight="true" outlineLevel="0" collapsed="false">
      <c r="B175" s="37" t="s">
        <v>282</v>
      </c>
      <c r="C175" s="31" t="n">
        <v>5.9</v>
      </c>
      <c r="D175" s="31" t="n">
        <v>6.8</v>
      </c>
      <c r="E175" s="31" t="n">
        <v>7.5</v>
      </c>
      <c r="F175" s="31" t="n">
        <v>5.4</v>
      </c>
      <c r="G175" s="31" t="n">
        <v>4.9</v>
      </c>
      <c r="H175" s="31" t="n">
        <v>5.8</v>
      </c>
      <c r="I175" s="31" t="n">
        <v>8</v>
      </c>
      <c r="J175" s="31" t="n">
        <v>1.8</v>
      </c>
      <c r="K175" s="31" t="n">
        <v>2.8</v>
      </c>
      <c r="L175" s="30" t="n">
        <f aca="false">J175+K175</f>
        <v>4.6</v>
      </c>
      <c r="M175" s="31" t="n">
        <v>3</v>
      </c>
      <c r="N175" s="31" t="n">
        <v>3.1</v>
      </c>
      <c r="O175" s="31" t="n">
        <v>10.7</v>
      </c>
      <c r="P175" s="31" t="n">
        <v>2.6</v>
      </c>
      <c r="Q175" s="31" t="n">
        <v>3.6</v>
      </c>
      <c r="R175" s="30" t="n">
        <f aca="false">P175+Q175</f>
        <v>6.2</v>
      </c>
      <c r="S175" s="31" t="n">
        <v>3.9</v>
      </c>
      <c r="T175" s="31" t="n">
        <v>3.9</v>
      </c>
      <c r="U175" s="31" t="n">
        <v>14</v>
      </c>
      <c r="V175" s="31" t="n">
        <v>3.8</v>
      </c>
      <c r="W175" s="31" t="n">
        <v>3.3</v>
      </c>
      <c r="X175" s="30" t="n">
        <f aca="false">V175+W175</f>
        <v>7.1</v>
      </c>
      <c r="Y175" s="31" t="n">
        <v>2.6</v>
      </c>
      <c r="Z175" s="31" t="n">
        <v>2.5</v>
      </c>
      <c r="AA175" s="31" t="n">
        <v>12.2</v>
      </c>
      <c r="AB175" s="31" t="n">
        <v>3.4</v>
      </c>
      <c r="AC175" s="31" t="n">
        <v>2.9</v>
      </c>
      <c r="AD175" s="30" t="n">
        <f aca="false">AB175+AC175</f>
        <v>6.3</v>
      </c>
      <c r="AE175" s="31" t="n">
        <v>2.5</v>
      </c>
      <c r="AF175" s="31" t="n">
        <v>2.8</v>
      </c>
      <c r="AG175" s="31" t="n">
        <v>11.6</v>
      </c>
      <c r="AH175" s="30"/>
      <c r="AI175" s="30"/>
      <c r="AJ175" s="30"/>
      <c r="AK175" s="30"/>
      <c r="AL175" s="30"/>
      <c r="AM175" s="31" t="n">
        <v>18.8</v>
      </c>
      <c r="AN175" s="30"/>
      <c r="AO175" s="30"/>
      <c r="AP175" s="30"/>
      <c r="AQ175" s="30"/>
      <c r="AR175" s="30"/>
      <c r="AS175" s="31" t="n">
        <v>25.1</v>
      </c>
      <c r="AT175" s="30"/>
      <c r="AU175" s="30"/>
      <c r="AV175" s="30"/>
      <c r="AW175" s="30"/>
      <c r="AX175" s="30"/>
      <c r="AY175" s="31" t="n">
        <v>30.7</v>
      </c>
      <c r="AZ175" s="30"/>
      <c r="BA175" s="30"/>
      <c r="BB175" s="30"/>
      <c r="BC175" s="30"/>
      <c r="BD175" s="30"/>
      <c r="BE175" s="31" t="n">
        <v>30</v>
      </c>
      <c r="BF175" s="31" t="n">
        <v>7</v>
      </c>
      <c r="BG175" s="31" t="n">
        <v>8.4</v>
      </c>
      <c r="BH175" s="30" t="n">
        <f aca="false">BF175+BG175</f>
        <v>15.4</v>
      </c>
      <c r="BI175" s="31" t="n">
        <v>8.7</v>
      </c>
      <c r="BJ175" s="31" t="n">
        <v>9.8</v>
      </c>
      <c r="BK175" s="31" t="n">
        <v>33.9</v>
      </c>
      <c r="BL175" s="31" t="n">
        <v>9</v>
      </c>
      <c r="BM175" s="31" t="n">
        <v>6.4</v>
      </c>
      <c r="BN175" s="30" t="n">
        <f aca="false">BL175+BM175</f>
        <v>15.4</v>
      </c>
      <c r="BO175" s="31" t="n">
        <v>6.7</v>
      </c>
      <c r="BP175" s="31" t="n">
        <v>11.4</v>
      </c>
      <c r="BQ175" s="31" t="n">
        <v>31.5</v>
      </c>
      <c r="BR175" s="31" t="n">
        <v>7.9</v>
      </c>
      <c r="BS175" s="31" t="n">
        <v>8.4</v>
      </c>
      <c r="BT175" s="30" t="n">
        <f aca="false">BR175+BS175</f>
        <v>16.3</v>
      </c>
      <c r="BU175" s="31" t="n">
        <v>8</v>
      </c>
      <c r="BV175" s="31" t="n">
        <v>8</v>
      </c>
      <c r="BW175" s="31" t="n">
        <v>32.3</v>
      </c>
      <c r="BX175" s="31" t="n">
        <v>12</v>
      </c>
      <c r="BY175" s="31" t="n">
        <v>9.3</v>
      </c>
      <c r="BZ175" s="30" t="n">
        <f aca="false">BX175+BY175</f>
        <v>21.3</v>
      </c>
      <c r="CA175" s="31" t="n">
        <v>8.7</v>
      </c>
      <c r="CB175" s="31" t="n">
        <v>7.7</v>
      </c>
      <c r="CC175" s="31" t="n">
        <v>37.7</v>
      </c>
      <c r="CD175" s="31" t="n">
        <v>8.9</v>
      </c>
      <c r="CE175" s="31" t="n">
        <v>11.3</v>
      </c>
      <c r="CF175" s="30" t="n">
        <f aca="false">CD175+CE175</f>
        <v>20.2</v>
      </c>
      <c r="CG175" s="31" t="n">
        <v>10.5</v>
      </c>
      <c r="CH175" s="31" t="n">
        <v>8.9</v>
      </c>
      <c r="CI175" s="31" t="n">
        <v>39.6</v>
      </c>
      <c r="CJ175" s="31" t="n">
        <v>5.6</v>
      </c>
      <c r="CK175" s="31" t="n">
        <v>13.9</v>
      </c>
      <c r="CL175" s="30" t="n">
        <f aca="false">CJ175+CK175</f>
        <v>19.5</v>
      </c>
      <c r="CM175" s="32" t="n">
        <f aca="false">CM152*CM141</f>
        <v>10.2333189635225</v>
      </c>
      <c r="CN175" s="32" t="n">
        <f aca="false">CN152*CN141</f>
        <v>10.7242957802691</v>
      </c>
      <c r="CO175" s="32" t="n">
        <f aca="false">SUM(CJ175,CK175,CM175,CN175)</f>
        <v>40.4576147437916</v>
      </c>
      <c r="CP175" s="32" t="n">
        <f aca="false">CP152*CP141</f>
        <v>46.6699657185996</v>
      </c>
      <c r="CQ175" s="32" t="n">
        <f aca="false">CQ152*CQ141</f>
        <v>51.0018939374789</v>
      </c>
      <c r="CR175" s="32" t="n">
        <f aca="false">CR152*CR141</f>
        <v>55.6473446089063</v>
      </c>
      <c r="CS175" s="32" t="n">
        <f aca="false">CS152*CS141</f>
        <v>60.4981094116738</v>
      </c>
      <c r="CT175" s="23"/>
      <c r="CV175" s="7"/>
      <c r="CW175" s="7"/>
      <c r="CX175" s="7"/>
      <c r="CY175" s="7"/>
    </row>
    <row r="176" customFormat="false" ht="15" hidden="false" customHeight="true" outlineLevel="0" collapsed="false">
      <c r="B176" s="37" t="s">
        <v>283</v>
      </c>
      <c r="C176" s="31" t="n">
        <v>52.5</v>
      </c>
      <c r="D176" s="31" t="n">
        <v>59.7</v>
      </c>
      <c r="E176" s="31" t="n">
        <v>61.5</v>
      </c>
      <c r="F176" s="31" t="n">
        <v>58.8</v>
      </c>
      <c r="G176" s="31" t="n">
        <v>61.3</v>
      </c>
      <c r="H176" s="31" t="n">
        <v>101.9</v>
      </c>
      <c r="I176" s="31" t="n">
        <v>131.6</v>
      </c>
      <c r="J176" s="30"/>
      <c r="K176" s="30"/>
      <c r="L176" s="30"/>
      <c r="M176" s="30"/>
      <c r="N176" s="30"/>
      <c r="O176" s="31" t="n">
        <v>167</v>
      </c>
      <c r="P176" s="30"/>
      <c r="Q176" s="30"/>
      <c r="R176" s="30"/>
      <c r="S176" s="30"/>
      <c r="T176" s="30"/>
      <c r="U176" s="31" t="n">
        <v>166.9</v>
      </c>
      <c r="V176" s="30"/>
      <c r="W176" s="30"/>
      <c r="X176" s="30"/>
      <c r="Y176" s="30"/>
      <c r="Z176" s="30"/>
      <c r="AA176" s="31" t="n">
        <v>163.7</v>
      </c>
      <c r="AB176" s="30"/>
      <c r="AC176" s="30"/>
      <c r="AD176" s="30"/>
      <c r="AE176" s="30"/>
      <c r="AF176" s="30"/>
      <c r="AG176" s="31" t="n">
        <v>167.7</v>
      </c>
      <c r="AH176" s="30"/>
      <c r="AI176" s="30"/>
      <c r="AJ176" s="30"/>
      <c r="AK176" s="30"/>
      <c r="AL176" s="30"/>
      <c r="AM176" s="31" t="n">
        <v>177.7</v>
      </c>
      <c r="AN176" s="30"/>
      <c r="AO176" s="30"/>
      <c r="AP176" s="30"/>
      <c r="AQ176" s="30"/>
      <c r="AR176" s="30"/>
      <c r="AS176" s="31" t="n">
        <v>185.6</v>
      </c>
      <c r="AT176" s="30"/>
      <c r="AU176" s="30"/>
      <c r="AV176" s="30"/>
      <c r="AW176" s="30"/>
      <c r="AX176" s="30"/>
      <c r="AY176" s="31" t="n">
        <v>209.6</v>
      </c>
      <c r="AZ176" s="30"/>
      <c r="BA176" s="30"/>
      <c r="BB176" s="30"/>
      <c r="BC176" s="30"/>
      <c r="BD176" s="30"/>
      <c r="BE176" s="31" t="n">
        <v>196</v>
      </c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1" t="n">
        <v>352.2</v>
      </c>
      <c r="BR176" s="30"/>
      <c r="BS176" s="30"/>
      <c r="BT176" s="30"/>
      <c r="BU176" s="30"/>
      <c r="BV176" s="30"/>
      <c r="BW176" s="31" t="n">
        <v>356.3</v>
      </c>
      <c r="BX176" s="31" t="n">
        <v>76.5</v>
      </c>
      <c r="BY176" s="31" t="n">
        <v>71.7</v>
      </c>
      <c r="BZ176" s="30" t="n">
        <f aca="false">BX176+BY176</f>
        <v>148.2</v>
      </c>
      <c r="CA176" s="31" t="n">
        <v>73</v>
      </c>
      <c r="CB176" s="31" t="n">
        <v>71.4</v>
      </c>
      <c r="CC176" s="31" t="n">
        <v>292.6</v>
      </c>
      <c r="CD176" s="31" t="n">
        <v>74.3</v>
      </c>
      <c r="CE176" s="31" t="n">
        <v>82.4</v>
      </c>
      <c r="CF176" s="30" t="n">
        <f aca="false">CD176+CE176</f>
        <v>156.7</v>
      </c>
      <c r="CG176" s="31" t="n">
        <v>83.4</v>
      </c>
      <c r="CH176" s="31" t="n">
        <v>77.2</v>
      </c>
      <c r="CI176" s="31" t="n">
        <v>317.3</v>
      </c>
      <c r="CJ176" s="31" t="n">
        <v>84.6</v>
      </c>
      <c r="CK176" s="31" t="n">
        <v>90.2</v>
      </c>
      <c r="CL176" s="30" t="n">
        <f aca="false">CJ176+CK176</f>
        <v>174.8</v>
      </c>
      <c r="CM176" s="32"/>
      <c r="CN176" s="32"/>
      <c r="CO176" s="32"/>
      <c r="CP176" s="32"/>
      <c r="CQ176" s="32"/>
      <c r="CR176" s="32"/>
      <c r="CS176" s="32"/>
      <c r="CT176" s="23"/>
      <c r="CV176" s="7"/>
      <c r="CW176" s="7"/>
      <c r="CX176" s="7"/>
      <c r="CY176" s="7"/>
    </row>
    <row r="177" customFormat="false" ht="15" hidden="false" customHeight="true" outlineLevel="0" collapsed="false">
      <c r="B177" s="13" t="s">
        <v>284</v>
      </c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  <c r="BS177" s="30"/>
      <c r="BT177" s="30"/>
      <c r="BU177" s="30"/>
      <c r="BV177" s="30"/>
      <c r="BW177" s="30"/>
      <c r="BX177" s="30"/>
      <c r="BY177" s="30"/>
      <c r="BZ177" s="30"/>
      <c r="CA177" s="30"/>
      <c r="CB177" s="30"/>
      <c r="CC177" s="30"/>
      <c r="CD177" s="30"/>
      <c r="CE177" s="30"/>
      <c r="CF177" s="30"/>
      <c r="CG177" s="30"/>
      <c r="CH177" s="30"/>
      <c r="CI177" s="30"/>
      <c r="CJ177" s="30"/>
      <c r="CK177" s="30"/>
      <c r="CL177" s="30"/>
      <c r="CM177" s="32"/>
      <c r="CN177" s="32"/>
      <c r="CO177" s="32"/>
      <c r="CP177" s="32"/>
      <c r="CQ177" s="32"/>
      <c r="CR177" s="32"/>
      <c r="CS177" s="32"/>
      <c r="CT177" s="23"/>
      <c r="CV177" s="7"/>
      <c r="CW177" s="7"/>
      <c r="CX177" s="7"/>
      <c r="CY177" s="7"/>
    </row>
    <row r="178" customFormat="false" ht="15" hidden="false" customHeight="true" outlineLevel="0" collapsed="false">
      <c r="B178" s="13" t="s">
        <v>285</v>
      </c>
      <c r="C178" s="56" t="n">
        <v>34.3</v>
      </c>
      <c r="D178" s="56" t="n">
        <v>34.9</v>
      </c>
      <c r="E178" s="56" t="n">
        <v>35.5</v>
      </c>
      <c r="F178" s="56" t="n">
        <v>36</v>
      </c>
      <c r="G178" s="56" t="n">
        <v>36.2</v>
      </c>
      <c r="H178" s="56" t="n">
        <v>36.6</v>
      </c>
      <c r="I178" s="56" t="n">
        <v>36.7</v>
      </c>
      <c r="J178" s="56" t="n">
        <v>37.2</v>
      </c>
      <c r="K178" s="56" t="n">
        <v>37.3</v>
      </c>
      <c r="L178" s="52" t="n">
        <f aca="false">AVERAGE(J178,K178)</f>
        <v>37.25</v>
      </c>
      <c r="M178" s="56" t="n">
        <v>37.3</v>
      </c>
      <c r="N178" s="52"/>
      <c r="O178" s="56" t="n">
        <v>37.3</v>
      </c>
      <c r="P178" s="56" t="n">
        <v>37.5</v>
      </c>
      <c r="Q178" s="56" t="n">
        <v>37.4</v>
      </c>
      <c r="R178" s="52" t="n">
        <f aca="false">AVERAGE(P178,Q178)</f>
        <v>37.45</v>
      </c>
      <c r="S178" s="56" t="n">
        <v>37.2</v>
      </c>
      <c r="T178" s="52"/>
      <c r="U178" s="56" t="n">
        <v>37.1</v>
      </c>
      <c r="V178" s="56" t="n">
        <v>35.7</v>
      </c>
      <c r="W178" s="56" t="n">
        <v>35.3</v>
      </c>
      <c r="X178" s="52" t="n">
        <f aca="false">AVERAGE(V178,W178)</f>
        <v>35.5</v>
      </c>
      <c r="Y178" s="56" t="n">
        <v>35.3</v>
      </c>
      <c r="Z178" s="52"/>
      <c r="AA178" s="56" t="n">
        <v>35.3</v>
      </c>
      <c r="AB178" s="56" t="n">
        <v>34.4</v>
      </c>
      <c r="AC178" s="56" t="n">
        <v>34.4</v>
      </c>
      <c r="AD178" s="52" t="n">
        <f aca="false">AVERAGE(AB178,AC178)</f>
        <v>34.4</v>
      </c>
      <c r="AE178" s="56" t="n">
        <v>34.7</v>
      </c>
      <c r="AF178" s="52"/>
      <c r="AG178" s="56" t="n">
        <v>34.6</v>
      </c>
      <c r="AH178" s="56" t="n">
        <v>35.1</v>
      </c>
      <c r="AI178" s="56" t="n">
        <v>35.2</v>
      </c>
      <c r="AJ178" s="52" t="n">
        <f aca="false">AVERAGE(AH178,AI178)</f>
        <v>35.15</v>
      </c>
      <c r="AK178" s="56" t="n">
        <v>35.3</v>
      </c>
      <c r="AL178" s="52"/>
      <c r="AM178" s="56" t="n">
        <v>35.2</v>
      </c>
      <c r="AN178" s="56" t="n">
        <v>35.6</v>
      </c>
      <c r="AO178" s="56" t="n">
        <v>35.8</v>
      </c>
      <c r="AP178" s="52" t="n">
        <f aca="false">AVERAGE(AN178,AO178)</f>
        <v>35.7</v>
      </c>
      <c r="AQ178" s="56" t="n">
        <v>35.9</v>
      </c>
      <c r="AR178" s="52"/>
      <c r="AS178" s="56" t="n">
        <v>35.8</v>
      </c>
      <c r="AT178" s="56" t="n">
        <v>36.1</v>
      </c>
      <c r="AU178" s="56" t="n">
        <v>36.2</v>
      </c>
      <c r="AV178" s="52" t="n">
        <f aca="false">AVERAGE(AT178,AU178)</f>
        <v>36.15</v>
      </c>
      <c r="AW178" s="56" t="n">
        <v>36.4</v>
      </c>
      <c r="AX178" s="52"/>
      <c r="AY178" s="56" t="n">
        <v>36.3</v>
      </c>
      <c r="AZ178" s="56" t="n">
        <v>36.6</v>
      </c>
      <c r="BA178" s="56" t="n">
        <v>36.7</v>
      </c>
      <c r="BB178" s="52" t="n">
        <f aca="false">AVERAGE(AZ178,BA178)</f>
        <v>36.65</v>
      </c>
      <c r="BC178" s="56" t="n">
        <v>36.8</v>
      </c>
      <c r="BD178" s="52"/>
      <c r="BE178" s="56" t="n">
        <v>36.7</v>
      </c>
      <c r="BF178" s="56" t="n">
        <v>37</v>
      </c>
      <c r="BG178" s="56" t="n">
        <v>42.5</v>
      </c>
      <c r="BH178" s="52" t="n">
        <f aca="false">AVERAGE(BF178,BG178)</f>
        <v>39.75</v>
      </c>
      <c r="BI178" s="56" t="n">
        <v>46.6</v>
      </c>
      <c r="BJ178" s="52"/>
      <c r="BK178" s="56" t="n">
        <v>43.2</v>
      </c>
      <c r="BL178" s="56" t="n">
        <v>46.7</v>
      </c>
      <c r="BM178" s="56" t="n">
        <v>46.8</v>
      </c>
      <c r="BN178" s="52" t="n">
        <f aca="false">AVERAGE(BL178,BM178)</f>
        <v>46.75</v>
      </c>
      <c r="BO178" s="56" t="n">
        <v>46.8</v>
      </c>
      <c r="BP178" s="52"/>
      <c r="BQ178" s="56" t="n">
        <v>46.8</v>
      </c>
      <c r="BR178" s="56" t="n">
        <v>46.9</v>
      </c>
      <c r="BS178" s="56" t="n">
        <v>47</v>
      </c>
      <c r="BT178" s="52" t="n">
        <f aca="false">AVERAGE(BR178,BS178)</f>
        <v>46.95</v>
      </c>
      <c r="BU178" s="56" t="n">
        <v>47.1</v>
      </c>
      <c r="BV178" s="52"/>
      <c r="BW178" s="56" t="n">
        <v>47.1</v>
      </c>
      <c r="BX178" s="56" t="n">
        <v>47.3</v>
      </c>
      <c r="BY178" s="56" t="n">
        <v>47.2</v>
      </c>
      <c r="BZ178" s="52" t="n">
        <f aca="false">AVERAGE(BX178,BY178)</f>
        <v>47.25</v>
      </c>
      <c r="CA178" s="56" t="n">
        <v>46.7</v>
      </c>
      <c r="CB178" s="52"/>
      <c r="CC178" s="56" t="n">
        <v>47</v>
      </c>
      <c r="CD178" s="56" t="n">
        <v>46.8</v>
      </c>
      <c r="CE178" s="56" t="n">
        <v>46.9</v>
      </c>
      <c r="CF178" s="52" t="n">
        <f aca="false">AVERAGE(CD178,CE178)</f>
        <v>46.85</v>
      </c>
      <c r="CG178" s="56" t="n">
        <v>46.9</v>
      </c>
      <c r="CH178" s="52"/>
      <c r="CI178" s="56" t="n">
        <v>46.8</v>
      </c>
      <c r="CJ178" s="56" t="n">
        <v>46.3</v>
      </c>
      <c r="CK178" s="56" t="n">
        <v>46.3</v>
      </c>
      <c r="CL178" s="52" t="n">
        <f aca="false">AVERAGE(CJ178,CK178)</f>
        <v>46.3</v>
      </c>
      <c r="CM178" s="53" t="n">
        <f aca="false">CK178-CO304*(3-2)/2</f>
        <v>46.3</v>
      </c>
      <c r="CN178" s="53" t="n">
        <f aca="false">CK178-CO304*(4-2)/2</f>
        <v>46.3</v>
      </c>
      <c r="CO178" s="53" t="n">
        <f aca="false">AVERAGE(CJ178,CK178,CM178,CN178)</f>
        <v>46.3</v>
      </c>
      <c r="CP178" s="53" t="n">
        <f aca="false">AVERAGE(CP306,CP307)</f>
        <v>46.3902978294203</v>
      </c>
      <c r="CQ178" s="53" t="n">
        <f aca="false">AVERAGE(CQ306,CQ307)</f>
        <v>46.172814462037</v>
      </c>
      <c r="CR178" s="53" t="n">
        <f aca="false">AVERAGE(CR306,CR307)</f>
        <v>45.9793720626134</v>
      </c>
      <c r="CS178" s="53" t="n">
        <f aca="false">AVERAGE(CS306,CS307)</f>
        <v>45.8083978575447</v>
      </c>
      <c r="CT178" s="23" t="s">
        <v>286</v>
      </c>
      <c r="CV178" s="7"/>
      <c r="CW178" s="7"/>
      <c r="CX178" s="7"/>
      <c r="CY178" s="7"/>
    </row>
    <row r="179" customFormat="false" ht="15" hidden="false" customHeight="true" outlineLevel="0" collapsed="false">
      <c r="B179" s="13" t="s">
        <v>287</v>
      </c>
      <c r="C179" s="56" t="n">
        <v>35.5</v>
      </c>
      <c r="D179" s="56" t="n">
        <v>36.2</v>
      </c>
      <c r="E179" s="56" t="n">
        <v>36.5</v>
      </c>
      <c r="F179" s="56" t="n">
        <v>36.6</v>
      </c>
      <c r="G179" s="56" t="n">
        <v>36.9</v>
      </c>
      <c r="H179" s="56" t="n">
        <v>37.3</v>
      </c>
      <c r="I179" s="56" t="n">
        <v>37.4</v>
      </c>
      <c r="J179" s="56" t="n">
        <v>37.8</v>
      </c>
      <c r="K179" s="56" t="n">
        <v>38</v>
      </c>
      <c r="L179" s="52" t="n">
        <f aca="false">AVERAGE(J179,K179)</f>
        <v>37.9</v>
      </c>
      <c r="M179" s="56" t="n">
        <v>38.1</v>
      </c>
      <c r="N179" s="56" t="n">
        <v>38.2</v>
      </c>
      <c r="O179" s="56" t="n">
        <v>38</v>
      </c>
      <c r="P179" s="56" t="n">
        <v>38.3</v>
      </c>
      <c r="Q179" s="56" t="n">
        <v>38.1</v>
      </c>
      <c r="R179" s="52" t="n">
        <f aca="false">AVERAGE(P179,Q179)</f>
        <v>38.2</v>
      </c>
      <c r="S179" s="56" t="n">
        <v>37.8</v>
      </c>
      <c r="T179" s="56" t="n">
        <v>37.2</v>
      </c>
      <c r="U179" s="56" t="n">
        <v>37.9</v>
      </c>
      <c r="V179" s="56" t="n">
        <v>36.5</v>
      </c>
      <c r="W179" s="56" t="n">
        <v>36.1</v>
      </c>
      <c r="X179" s="52" t="n">
        <f aca="false">AVERAGE(V179,W179)</f>
        <v>36.3</v>
      </c>
      <c r="Y179" s="56" t="n">
        <v>36.1</v>
      </c>
      <c r="Z179" s="56" t="n">
        <v>35.4</v>
      </c>
      <c r="AA179" s="56" t="n">
        <v>36</v>
      </c>
      <c r="AB179" s="56" t="n">
        <v>35.2</v>
      </c>
      <c r="AC179" s="56" t="n">
        <v>35.3</v>
      </c>
      <c r="AD179" s="52" t="n">
        <f aca="false">AVERAGE(AB179,AC179)</f>
        <v>35.25</v>
      </c>
      <c r="AE179" s="56" t="n">
        <v>35.6</v>
      </c>
      <c r="AF179" s="56" t="n">
        <v>35.9</v>
      </c>
      <c r="AG179" s="56" t="n">
        <v>35.5</v>
      </c>
      <c r="AH179" s="56" t="n">
        <v>36.1</v>
      </c>
      <c r="AI179" s="56" t="n">
        <v>36.2</v>
      </c>
      <c r="AJ179" s="52" t="n">
        <f aca="false">AVERAGE(AH179,AI179)</f>
        <v>36.15</v>
      </c>
      <c r="AK179" s="56" t="n">
        <v>36.4</v>
      </c>
      <c r="AL179" s="56" t="n">
        <v>36.7</v>
      </c>
      <c r="AM179" s="56" t="n">
        <v>36.3</v>
      </c>
      <c r="AN179" s="56" t="n">
        <v>36.8</v>
      </c>
      <c r="AO179" s="56" t="n">
        <v>37</v>
      </c>
      <c r="AP179" s="52" t="n">
        <f aca="false">AVERAGE(AN179,AO179)</f>
        <v>36.9</v>
      </c>
      <c r="AQ179" s="56" t="n">
        <v>37.2</v>
      </c>
      <c r="AR179" s="56" t="n">
        <v>37.2</v>
      </c>
      <c r="AS179" s="56" t="n">
        <v>37</v>
      </c>
      <c r="AT179" s="56" t="n">
        <v>37.2</v>
      </c>
      <c r="AU179" s="56" t="n">
        <v>37.4</v>
      </c>
      <c r="AV179" s="52" t="n">
        <f aca="false">AVERAGE(AT179,AU179)</f>
        <v>37.3</v>
      </c>
      <c r="AW179" s="56" t="n">
        <v>37.6</v>
      </c>
      <c r="AX179" s="56" t="n">
        <v>37.8</v>
      </c>
      <c r="AY179" s="56" t="n">
        <v>37.5</v>
      </c>
      <c r="AZ179" s="56" t="n">
        <v>37.8</v>
      </c>
      <c r="BA179" s="56" t="n">
        <v>37.8</v>
      </c>
      <c r="BB179" s="52" t="n">
        <f aca="false">AVERAGE(AZ179,BA179)</f>
        <v>37.8</v>
      </c>
      <c r="BC179" s="56" t="n">
        <v>37.8</v>
      </c>
      <c r="BD179" s="56" t="n">
        <v>38</v>
      </c>
      <c r="BE179" s="56" t="n">
        <v>37.9</v>
      </c>
      <c r="BF179" s="56" t="n">
        <v>38</v>
      </c>
      <c r="BG179" s="56" t="n">
        <v>43.6</v>
      </c>
      <c r="BH179" s="52" t="n">
        <f aca="false">AVERAGE(BF179,BG179)</f>
        <v>40.8</v>
      </c>
      <c r="BI179" s="56" t="n">
        <v>47.7</v>
      </c>
      <c r="BJ179" s="56" t="n">
        <v>47.7</v>
      </c>
      <c r="BK179" s="56" t="n">
        <v>44.3</v>
      </c>
      <c r="BL179" s="56" t="n">
        <v>47.7</v>
      </c>
      <c r="BM179" s="56" t="n">
        <v>47.7</v>
      </c>
      <c r="BN179" s="52" t="n">
        <f aca="false">AVERAGE(BL179,BM179)</f>
        <v>47.7</v>
      </c>
      <c r="BO179" s="56" t="n">
        <v>47.7</v>
      </c>
      <c r="BP179" s="56" t="n">
        <v>47.8</v>
      </c>
      <c r="BQ179" s="56" t="n">
        <v>47.7</v>
      </c>
      <c r="BR179" s="56" t="n">
        <v>47.9</v>
      </c>
      <c r="BS179" s="56" t="n">
        <v>47.9</v>
      </c>
      <c r="BT179" s="52" t="n">
        <f aca="false">AVERAGE(BR179,BS179)</f>
        <v>47.9</v>
      </c>
      <c r="BU179" s="56" t="n">
        <v>47.9</v>
      </c>
      <c r="BV179" s="56" t="n">
        <v>47.9</v>
      </c>
      <c r="BW179" s="56" t="n">
        <v>47.9</v>
      </c>
      <c r="BX179" s="56" t="n">
        <v>48</v>
      </c>
      <c r="BY179" s="56" t="n">
        <v>47.8</v>
      </c>
      <c r="BZ179" s="52" t="n">
        <f aca="false">AVERAGE(BX179,BY179)</f>
        <v>47.9</v>
      </c>
      <c r="CA179" s="56" t="n">
        <v>47.3</v>
      </c>
      <c r="CB179" s="56" t="n">
        <v>47.3</v>
      </c>
      <c r="CC179" s="56" t="n">
        <v>47.6</v>
      </c>
      <c r="CD179" s="56" t="n">
        <v>47.3</v>
      </c>
      <c r="CE179" s="56" t="n">
        <v>47.4</v>
      </c>
      <c r="CF179" s="52" t="n">
        <f aca="false">AVERAGE(CD179,CE179)</f>
        <v>47.35</v>
      </c>
      <c r="CG179" s="56" t="n">
        <v>47.5</v>
      </c>
      <c r="CH179" s="56" t="n">
        <v>47.2</v>
      </c>
      <c r="CI179" s="56" t="n">
        <v>47.4</v>
      </c>
      <c r="CJ179" s="56" t="n">
        <v>46.8</v>
      </c>
      <c r="CK179" s="56" t="n">
        <v>46.9</v>
      </c>
      <c r="CL179" s="52" t="n">
        <f aca="false">AVERAGE(CJ179,CK179)</f>
        <v>46.85</v>
      </c>
      <c r="CM179" s="53" t="n">
        <f aca="false">CM178+(CK179-CK178)</f>
        <v>46.9</v>
      </c>
      <c r="CN179" s="53" t="n">
        <f aca="false">CN178+(CK179-CK178)</f>
        <v>46.9</v>
      </c>
      <c r="CO179" s="53" t="n">
        <f aca="false">AVERAGE(CJ179,CK179,CM179,CN179)</f>
        <v>46.875</v>
      </c>
      <c r="CP179" s="53" t="n">
        <f aca="false">CP178+CP373</f>
        <v>46.9902978294203</v>
      </c>
      <c r="CQ179" s="53" t="n">
        <f aca="false">CQ178+CQ373</f>
        <v>46.772814462037</v>
      </c>
      <c r="CR179" s="53" t="n">
        <f aca="false">CR178+CR373</f>
        <v>46.5793720626134</v>
      </c>
      <c r="CS179" s="53" t="n">
        <f aca="false">CS178+CS373</f>
        <v>46.4083978575447</v>
      </c>
      <c r="CT179" s="23" t="s">
        <v>288</v>
      </c>
      <c r="CV179" s="7"/>
      <c r="CW179" s="7"/>
      <c r="CX179" s="7"/>
      <c r="CY179" s="7"/>
    </row>
    <row r="180" customFormat="false" ht="15" hidden="false" customHeight="true" outlineLevel="0" collapsed="false">
      <c r="B180" s="34" t="s">
        <v>289</v>
      </c>
      <c r="C180" s="57" t="n">
        <f aca="false">IFERROR(C171/C178,"")</f>
        <v>2.34110787172012</v>
      </c>
      <c r="D180" s="57" t="n">
        <f aca="false">IFERROR(D171/D178,"")</f>
        <v>2.82234957020057</v>
      </c>
      <c r="E180" s="57" t="n">
        <f aca="false">IFERROR(E171/E178,"")</f>
        <v>3.13521126760563</v>
      </c>
      <c r="F180" s="57" t="n">
        <f aca="false">IFERROR(F171/F178,"")</f>
        <v>3.14722222222222</v>
      </c>
      <c r="G180" s="57" t="n">
        <f aca="false">IFERROR(G171/G178,"")</f>
        <v>3.32872928176796</v>
      </c>
      <c r="H180" s="57" t="n">
        <f aca="false">IFERROR(H171/H178,"")</f>
        <v>6.97267759562842</v>
      </c>
      <c r="I180" s="57" t="n">
        <f aca="false">IFERROR(I171/I178,"")</f>
        <v>4.47138964577657</v>
      </c>
      <c r="J180" s="58" t="n">
        <f aca="false">IFERROR(J171/J178,"")</f>
        <v>1.08602150537634</v>
      </c>
      <c r="K180" s="58" t="n">
        <f aca="false">IFERROR(K171/K178,"")</f>
        <v>1.15013404825737</v>
      </c>
      <c r="L180" s="58" t="n">
        <f aca="false">IFERROR(L171/L178,"")</f>
        <v>2.23624161073826</v>
      </c>
      <c r="M180" s="58" t="n">
        <f aca="false">IFERROR(M171/M178,"")</f>
        <v>1.25469168900804</v>
      </c>
      <c r="N180" s="58" t="str">
        <f aca="false">IFERROR(N171/N178,"")</f>
        <v/>
      </c>
      <c r="O180" s="57" t="n">
        <f aca="false">IFERROR(O171/O178,"")</f>
        <v>4.9597855227882</v>
      </c>
      <c r="P180" s="58" t="n">
        <f aca="false">IFERROR(P171/P178,"")</f>
        <v>1.22133333333333</v>
      </c>
      <c r="Q180" s="58" t="n">
        <f aca="false">IFERROR(Q171/Q178,"")</f>
        <v>1.5</v>
      </c>
      <c r="R180" s="58" t="n">
        <f aca="false">IFERROR(R171/R178,"")</f>
        <v>2.72096128170894</v>
      </c>
      <c r="S180" s="58" t="n">
        <f aca="false">IFERROR(S171/S178,"")</f>
        <v>1.49462365591398</v>
      </c>
      <c r="T180" s="58" t="str">
        <f aca="false">IFERROR(T171/T178,"")</f>
        <v/>
      </c>
      <c r="U180" s="57" t="n">
        <f aca="false">IFERROR(U171/U178,"")</f>
        <v>5.86792452830189</v>
      </c>
      <c r="V180" s="58" t="n">
        <f aca="false">IFERROR(V171/V178,"")</f>
        <v>1.22408963585434</v>
      </c>
      <c r="W180" s="58" t="n">
        <f aca="false">IFERROR(W171/W178,"")</f>
        <v>1.36827195467422</v>
      </c>
      <c r="X180" s="58" t="n">
        <f aca="false">IFERROR(X171/X178,"")</f>
        <v>2.59154929577465</v>
      </c>
      <c r="Y180" s="58" t="n">
        <f aca="false">IFERROR(Y171/Y178,"")</f>
        <v>1.36827195467422</v>
      </c>
      <c r="Z180" s="58" t="str">
        <f aca="false">IFERROR(Z171/Z178,"")</f>
        <v/>
      </c>
      <c r="AA180" s="57" t="n">
        <f aca="false">IFERROR(AA171/AA178,"")</f>
        <v>5.54674220963173</v>
      </c>
      <c r="AB180" s="58" t="n">
        <f aca="false">IFERROR(AB171/AB178,"")</f>
        <v>1.13372093023256</v>
      </c>
      <c r="AC180" s="58" t="n">
        <f aca="false">IFERROR(AC171/AC178,"")</f>
        <v>1.36337209302326</v>
      </c>
      <c r="AD180" s="58" t="n">
        <f aca="false">IFERROR(AD171/AD178,"")</f>
        <v>2.49709302325581</v>
      </c>
      <c r="AE180" s="58" t="n">
        <f aca="false">IFERROR(AE171/AE178,"")</f>
        <v>1.4985590778098</v>
      </c>
      <c r="AF180" s="58" t="str">
        <f aca="false">IFERROR(AF171/AF178,"")</f>
        <v/>
      </c>
      <c r="AG180" s="57" t="n">
        <f aca="false">IFERROR(AG171/AG178,"")</f>
        <v>5.51734104046243</v>
      </c>
      <c r="AH180" s="58" t="n">
        <f aca="false">IFERROR(AH171/AH178,"")</f>
        <v>0.868945868945869</v>
      </c>
      <c r="AI180" s="58" t="n">
        <f aca="false">IFERROR(AI171/AI178,"")</f>
        <v>1.70738636363636</v>
      </c>
      <c r="AJ180" s="58" t="n">
        <f aca="false">IFERROR(AJ171/AJ178,"")</f>
        <v>2.57752489331437</v>
      </c>
      <c r="AK180" s="58" t="n">
        <f aca="false">IFERROR(AK171/AK178,"")</f>
        <v>1.95467422096317</v>
      </c>
      <c r="AL180" s="58" t="str">
        <f aca="false">IFERROR(AL171/AL178,"")</f>
        <v/>
      </c>
      <c r="AM180" s="57" t="n">
        <f aca="false">IFERROR(AM171/AM178,"")</f>
        <v>6.45454545454546</v>
      </c>
      <c r="AN180" s="58" t="n">
        <f aca="false">IFERROR(AN171/AN178,"")</f>
        <v>1.86797752808989</v>
      </c>
      <c r="AO180" s="58" t="n">
        <f aca="false">IFERROR(AO171/AO178,"")</f>
        <v>2.39944134078212</v>
      </c>
      <c r="AP180" s="58" t="n">
        <f aca="false">IFERROR(AP171/AP178,"")</f>
        <v>4.26890756302521</v>
      </c>
      <c r="AQ180" s="58" t="n">
        <f aca="false">IFERROR(AQ171/AQ178,"")</f>
        <v>2.51532033426184</v>
      </c>
      <c r="AR180" s="58" t="str">
        <f aca="false">IFERROR(AR171/AR178,"")</f>
        <v/>
      </c>
      <c r="AS180" s="57" t="n">
        <f aca="false">IFERROR(AS171/AS178,"")</f>
        <v>9.32402234636872</v>
      </c>
      <c r="AT180" s="58" t="n">
        <f aca="false">IFERROR(AT171/AT178,"")</f>
        <v>2.08587257617729</v>
      </c>
      <c r="AU180" s="58" t="n">
        <f aca="false">IFERROR(AU171/AU178,"")</f>
        <v>2.88950276243094</v>
      </c>
      <c r="AV180" s="58" t="n">
        <f aca="false">IFERROR(AV171/AV178,"")</f>
        <v>4.97648686030429</v>
      </c>
      <c r="AW180" s="58" t="n">
        <f aca="false">IFERROR(AW171/AW178,"")</f>
        <v>2.93131868131868</v>
      </c>
      <c r="AX180" s="58" t="str">
        <f aca="false">IFERROR(AX171/AX178,"")</f>
        <v/>
      </c>
      <c r="AY180" s="57" t="n">
        <f aca="false">IFERROR(AY171/AY178,"")</f>
        <v>11.0826446280992</v>
      </c>
      <c r="AZ180" s="58" t="n">
        <f aca="false">IFERROR(AZ171/AZ178,"")</f>
        <v>2.24590163934426</v>
      </c>
      <c r="BA180" s="58" t="n">
        <f aca="false">IFERROR(BA171/BA178,"")</f>
        <v>2.55313351498637</v>
      </c>
      <c r="BB180" s="58" t="n">
        <f aca="false">IFERROR(BB171/BB178,"")</f>
        <v>4.79945429740791</v>
      </c>
      <c r="BC180" s="58" t="n">
        <f aca="false">IFERROR(BC171/BC178,"")</f>
        <v>2.55163043478261</v>
      </c>
      <c r="BD180" s="58" t="str">
        <f aca="false">IFERROR(BD171/BD178,"")</f>
        <v/>
      </c>
      <c r="BE180" s="57" t="n">
        <f aca="false">IFERROR(BE171/BE178,"")</f>
        <v>10.9509536784741</v>
      </c>
      <c r="BF180" s="58" t="n">
        <f aca="false">IFERROR(BF171/BF178,"")</f>
        <v>2.28918918918919</v>
      </c>
      <c r="BG180" s="58" t="n">
        <f aca="false">IFERROR(BG171/BG178,"")</f>
        <v>1.52235294117647</v>
      </c>
      <c r="BH180" s="58" t="n">
        <f aca="false">IFERROR(BH171/BH178,"")</f>
        <v>3.75849056603774</v>
      </c>
      <c r="BI180" s="58" t="n">
        <f aca="false">IFERROR(BI171/BI178,"")</f>
        <v>2.87768240343348</v>
      </c>
      <c r="BJ180" s="58" t="str">
        <f aca="false">IFERROR(BJ171/BJ178,"")</f>
        <v/>
      </c>
      <c r="BK180" s="57" t="n">
        <f aca="false">IFERROR(BK171/BK178,"")</f>
        <v>10.3078703703704</v>
      </c>
      <c r="BL180" s="58" t="n">
        <f aca="false">IFERROR(BL171/BL178,"")</f>
        <v>4.55246252676659</v>
      </c>
      <c r="BM180" s="58" t="n">
        <f aca="false">IFERROR(BM171/BM178,"")</f>
        <v>3.66025641025641</v>
      </c>
      <c r="BN180" s="58" t="n">
        <f aca="false">IFERROR(BN171/BN178,"")</f>
        <v>8.21176470588236</v>
      </c>
      <c r="BO180" s="58" t="n">
        <f aca="false">IFERROR(BO171/BO178,"")</f>
        <v>3.80982905982906</v>
      </c>
      <c r="BP180" s="58" t="str">
        <f aca="false">IFERROR(BP171/BP178,"")</f>
        <v/>
      </c>
      <c r="BQ180" s="57" t="n">
        <f aca="false">IFERROR(BQ171/BQ178,"")</f>
        <v>16.8504273504274</v>
      </c>
      <c r="BR180" s="58" t="n">
        <f aca="false">IFERROR(BR171/BR178,"")</f>
        <v>3.81023454157782</v>
      </c>
      <c r="BS180" s="58" t="n">
        <f aca="false">IFERROR(BS171/BS178,"")</f>
        <v>3.94255319148936</v>
      </c>
      <c r="BT180" s="58" t="n">
        <f aca="false">IFERROR(BT171/BT178,"")</f>
        <v>7.75292864749734</v>
      </c>
      <c r="BU180" s="58" t="n">
        <f aca="false">IFERROR(BU171/BU178,"")</f>
        <v>4.21656050955414</v>
      </c>
      <c r="BV180" s="58" t="str">
        <f aca="false">IFERROR(BV171/BV178,"")</f>
        <v/>
      </c>
      <c r="BW180" s="57" t="n">
        <f aca="false">IFERROR(BW171/BW178,"")</f>
        <v>18.8046709129512</v>
      </c>
      <c r="BX180" s="58" t="n">
        <f aca="false">IFERROR(BX171/BX178,"")</f>
        <v>3.7737843551797</v>
      </c>
      <c r="BY180" s="58" t="n">
        <f aca="false">IFERROR(BY171/BY178,"")</f>
        <v>3.81779661016949</v>
      </c>
      <c r="BZ180" s="58" t="n">
        <f aca="false">IFERROR(BZ171/BZ178,"")</f>
        <v>7.59153439153439</v>
      </c>
      <c r="CA180" s="58" t="n">
        <f aca="false">IFERROR(CA171/CA178,"")</f>
        <v>5.61027837259101</v>
      </c>
      <c r="CB180" s="58" t="str">
        <f aca="false">IFERROR(CB171/CB178,"")</f>
        <v/>
      </c>
      <c r="CC180" s="57" t="n">
        <f aca="false">IFERROR(CC171/CC178,"")</f>
        <v>17.4297872340426</v>
      </c>
      <c r="CD180" s="58" t="n">
        <f aca="false">IFERROR(CD171/CD178,"")</f>
        <v>4.02991452991453</v>
      </c>
      <c r="CE180" s="58" t="n">
        <f aca="false">IFERROR(CE171/CE178,"")</f>
        <v>4.47547974413646</v>
      </c>
      <c r="CF180" s="58" t="n">
        <f aca="false">IFERROR(CF171/CF178,"")</f>
        <v>8.5058697972252</v>
      </c>
      <c r="CG180" s="58" t="n">
        <f aca="false">IFERROR(CG171/CG178,"")</f>
        <v>4.70575692963752</v>
      </c>
      <c r="CH180" s="58" t="str">
        <f aca="false">IFERROR(CH171/CH178,"")</f>
        <v/>
      </c>
      <c r="CI180" s="57" t="n">
        <f aca="false">IFERROR(CI171/CI178,"")</f>
        <v>19.1196581196581</v>
      </c>
      <c r="CJ180" s="58" t="n">
        <f aca="false">IFERROR(CJ171/CJ178,"")</f>
        <v>4.89848812095032</v>
      </c>
      <c r="CK180" s="58" t="n">
        <f aca="false">IFERROR(CK171/CK178,"")</f>
        <v>5.43628509719223</v>
      </c>
      <c r="CL180" s="58" t="n">
        <f aca="false">IFERROR(CL171/CL178,"")</f>
        <v>10.3347732181426</v>
      </c>
      <c r="CM180" s="57" t="n">
        <f aca="false">IFERROR(CM171/CM178,"")</f>
        <v>5.21772138228942</v>
      </c>
      <c r="CN180" s="57" t="n">
        <f aca="false">IFERROR(CN171/CN178,"")</f>
        <v>5.49636609071274</v>
      </c>
      <c r="CO180" s="57" t="n">
        <f aca="false">IFERROR(CO171/CO178,"")</f>
        <v>21.0488606911447</v>
      </c>
      <c r="CP180" s="57" t="n">
        <f aca="false">IFERROR(CP171/CP178,"")</f>
        <v>24.2841494600642</v>
      </c>
      <c r="CQ180" s="57" t="n">
        <f aca="false">IFERROR(CQ171/CQ178,"")</f>
        <v>27.1179975466352</v>
      </c>
      <c r="CR180" s="57" t="n">
        <f aca="false">IFERROR(CR171/CR178,"")</f>
        <v>30.7179213820095</v>
      </c>
      <c r="CS180" s="57" t="n">
        <f aca="false">IFERROR(CS171/CS178,"")</f>
        <v>34.3368051321556</v>
      </c>
      <c r="CT180" s="23"/>
      <c r="CV180" s="24" t="n">
        <f aca="false">IFERROR((CS180/CI180)^(1/5)-1,"n/m")</f>
        <v>0.124232024458175</v>
      </c>
      <c r="CW180" s="24" t="n">
        <f aca="false">IFERROR((CI180/BE180)^(1/5)-1,"n/m")</f>
        <v>0.117906898319931</v>
      </c>
      <c r="CX180" s="24" t="n">
        <f aca="false">IFERROR((CI180/AA180)^(1/10)-1,"n/m")</f>
        <v>0.131733610929564</v>
      </c>
      <c r="CY180" s="24" t="n">
        <f aca="false">IFERROR((CI180/C180)^(1/19)-1,"n/m")</f>
        <v>0.116871192533294</v>
      </c>
    </row>
    <row r="181" customFormat="false" ht="15" hidden="false" customHeight="true" outlineLevel="0" collapsed="false">
      <c r="B181" s="34" t="s">
        <v>290</v>
      </c>
      <c r="C181" s="57" t="n">
        <f aca="false">IFERROR(C171/C179,"")</f>
        <v>2.26197183098592</v>
      </c>
      <c r="D181" s="57" t="n">
        <f aca="false">IFERROR(D171/D179,"")</f>
        <v>2.72099447513812</v>
      </c>
      <c r="E181" s="57" t="n">
        <f aca="false">IFERROR(E171/E179,"")</f>
        <v>3.04931506849315</v>
      </c>
      <c r="F181" s="57" t="n">
        <f aca="false">IFERROR(F171/F179,"")</f>
        <v>3.09562841530055</v>
      </c>
      <c r="G181" s="57" t="n">
        <f aca="false">IFERROR(G171/G179,"")</f>
        <v>3.26558265582656</v>
      </c>
      <c r="H181" s="57" t="n">
        <f aca="false">IFERROR(H171/H179,"")</f>
        <v>6.84182305630027</v>
      </c>
      <c r="I181" s="57" t="n">
        <f aca="false">IFERROR(I171/I179,"")</f>
        <v>4.38770053475937</v>
      </c>
      <c r="J181" s="58" t="n">
        <f aca="false">IFERROR(J171/J179,"")</f>
        <v>1.06878306878307</v>
      </c>
      <c r="K181" s="58" t="n">
        <f aca="false">IFERROR(K171/K179,"")</f>
        <v>1.12894736842105</v>
      </c>
      <c r="L181" s="58" t="n">
        <f aca="false">IFERROR(L171/L179,"")</f>
        <v>2.19788918205805</v>
      </c>
      <c r="M181" s="58" t="n">
        <f aca="false">IFERROR(M171/M179,"")</f>
        <v>1.22834645669291</v>
      </c>
      <c r="N181" s="58" t="n">
        <f aca="false">IFERROR(N171/N179,"")</f>
        <v>1.43717277486911</v>
      </c>
      <c r="O181" s="57" t="n">
        <f aca="false">IFERROR(O171/O179,"")</f>
        <v>4.86842105263158</v>
      </c>
      <c r="P181" s="58" t="n">
        <f aca="false">IFERROR(P171/P179,"")</f>
        <v>1.19582245430809</v>
      </c>
      <c r="Q181" s="58" t="n">
        <f aca="false">IFERROR(Q171/Q179,"")</f>
        <v>1.47244094488189</v>
      </c>
      <c r="R181" s="58" t="n">
        <f aca="false">IFERROR(R171/R179,"")</f>
        <v>2.66753926701571</v>
      </c>
      <c r="S181" s="58" t="n">
        <f aca="false">IFERROR(S171/S179,"")</f>
        <v>1.47089947089947</v>
      </c>
      <c r="T181" s="58" t="n">
        <f aca="false">IFERROR(T171/T179,"")</f>
        <v>1.61827956989247</v>
      </c>
      <c r="U181" s="57" t="n">
        <f aca="false">IFERROR(U171/U179,"")</f>
        <v>5.74406332453826</v>
      </c>
      <c r="V181" s="58" t="n">
        <f aca="false">IFERROR(V171/V179,"")</f>
        <v>1.1972602739726</v>
      </c>
      <c r="W181" s="58" t="n">
        <f aca="false">IFERROR(W171/W179,"")</f>
        <v>1.33795013850416</v>
      </c>
      <c r="X181" s="58" t="n">
        <f aca="false">IFERROR(X171/X179,"")</f>
        <v>2.53443526170799</v>
      </c>
      <c r="Y181" s="58" t="n">
        <f aca="false">IFERROR(Y171/Y179,"")</f>
        <v>1.33795013850415</v>
      </c>
      <c r="Z181" s="58" t="n">
        <f aca="false">IFERROR(Z171/Z179,"")</f>
        <v>1.56779661016949</v>
      </c>
      <c r="AA181" s="57" t="n">
        <f aca="false">IFERROR(AA171/AA179,"")</f>
        <v>5.43888888888889</v>
      </c>
      <c r="AB181" s="58" t="n">
        <f aca="false">IFERROR(AB171/AB179,"")</f>
        <v>1.10795454545454</v>
      </c>
      <c r="AC181" s="58" t="n">
        <f aca="false">IFERROR(AC171/AC179,"")</f>
        <v>1.328611898017</v>
      </c>
      <c r="AD181" s="58" t="n">
        <f aca="false">IFERROR(AD171/AD179,"")</f>
        <v>2.43687943262411</v>
      </c>
      <c r="AE181" s="58" t="n">
        <f aca="false">IFERROR(AE171/AE179,"")</f>
        <v>1.46067415730337</v>
      </c>
      <c r="AF181" s="58" t="n">
        <f aca="false">IFERROR(AF171/AF179,"")</f>
        <v>1.47632311977716</v>
      </c>
      <c r="AG181" s="57" t="n">
        <f aca="false">IFERROR(AG171/AG179,"")</f>
        <v>5.3774647887324</v>
      </c>
      <c r="AH181" s="58" t="n">
        <f aca="false">IFERROR(AH171/AH179,"")</f>
        <v>0.844875346260388</v>
      </c>
      <c r="AI181" s="58" t="n">
        <f aca="false">IFERROR(AI171/AI179,"")</f>
        <v>1.66022099447514</v>
      </c>
      <c r="AJ181" s="58" t="n">
        <f aca="false">IFERROR(AJ171/AJ179,"")</f>
        <v>2.50622406639004</v>
      </c>
      <c r="AK181" s="58" t="n">
        <f aca="false">IFERROR(AK171/AK179,"")</f>
        <v>1.8956043956044</v>
      </c>
      <c r="AL181" s="58" t="n">
        <f aca="false">IFERROR(AL171/AL179,"")</f>
        <v>1.84196185286104</v>
      </c>
      <c r="AM181" s="57" t="n">
        <f aca="false">IFERROR(AM171/AM179,"")</f>
        <v>6.25895316804408</v>
      </c>
      <c r="AN181" s="58" t="n">
        <f aca="false">IFERROR(AN171/AN179,"")</f>
        <v>1.80706521739131</v>
      </c>
      <c r="AO181" s="58" t="n">
        <f aca="false">IFERROR(AO171/AO179,"")</f>
        <v>2.32162162162162</v>
      </c>
      <c r="AP181" s="58" t="n">
        <f aca="false">IFERROR(AP171/AP179,"")</f>
        <v>4.130081300813</v>
      </c>
      <c r="AQ181" s="58" t="n">
        <f aca="false">IFERROR(AQ171/AQ179,"")</f>
        <v>2.42741935483871</v>
      </c>
      <c r="AR181" s="58" t="n">
        <f aca="false">IFERROR(AR171/AR179,"")</f>
        <v>2.44892473118279</v>
      </c>
      <c r="AS181" s="57" t="n">
        <f aca="false">IFERROR(AS171/AS179,"")</f>
        <v>9.02162162162163</v>
      </c>
      <c r="AT181" s="58" t="n">
        <f aca="false">IFERROR(AT171/AT179,"")</f>
        <v>2.0241935483871</v>
      </c>
      <c r="AU181" s="58" t="n">
        <f aca="false">IFERROR(AU171/AU179,"")</f>
        <v>2.79679144385027</v>
      </c>
      <c r="AV181" s="58" t="n">
        <f aca="false">IFERROR(AV171/AV179,"")</f>
        <v>4.8230563002681</v>
      </c>
      <c r="AW181" s="58" t="n">
        <f aca="false">IFERROR(AW171/AW179,"")</f>
        <v>2.83776595744681</v>
      </c>
      <c r="AX181" s="58" t="n">
        <f aca="false">IFERROR(AX171/AX179,"")</f>
        <v>3.06084656084656</v>
      </c>
      <c r="AY181" s="57" t="n">
        <f aca="false">IFERROR(AY171/AY179,"")</f>
        <v>10.728</v>
      </c>
      <c r="AZ181" s="58" t="n">
        <f aca="false">IFERROR(AZ171/AZ179,"")</f>
        <v>2.17460317460318</v>
      </c>
      <c r="BA181" s="58" t="n">
        <f aca="false">IFERROR(BA171/BA179,"")</f>
        <v>2.47883597883598</v>
      </c>
      <c r="BB181" s="58" t="n">
        <f aca="false">IFERROR(BB171/BB179,"")</f>
        <v>4.65343915343915</v>
      </c>
      <c r="BC181" s="58" t="n">
        <f aca="false">IFERROR(BC171/BC179,"")</f>
        <v>2.48412698412698</v>
      </c>
      <c r="BD181" s="58" t="n">
        <f aca="false">IFERROR(BD171/BD179,"")</f>
        <v>3.47631578947368</v>
      </c>
      <c r="BE181" s="57" t="n">
        <f aca="false">IFERROR(BE171/BE179,"")</f>
        <v>10.6042216358839</v>
      </c>
      <c r="BF181" s="58" t="n">
        <f aca="false">IFERROR(BF171/BF179,"")</f>
        <v>2.22894736842105</v>
      </c>
      <c r="BG181" s="58" t="n">
        <f aca="false">IFERROR(BG171/BG179,"")</f>
        <v>1.48394495412844</v>
      </c>
      <c r="BH181" s="58" t="n">
        <f aca="false">IFERROR(BH171/BH179,"")</f>
        <v>3.66176470588236</v>
      </c>
      <c r="BI181" s="58" t="n">
        <f aca="false">IFERROR(BI171/BI179,"")</f>
        <v>2.81132075471698</v>
      </c>
      <c r="BJ181" s="58" t="n">
        <f aca="false">IFERROR(BJ171/BJ179,"")</f>
        <v>3.39203354297694</v>
      </c>
      <c r="BK181" s="57" t="n">
        <f aca="false">IFERROR(BK171/BK179,"")</f>
        <v>10.0519187358917</v>
      </c>
      <c r="BL181" s="58" t="n">
        <f aca="false">IFERROR(BL171/BL179,"")</f>
        <v>4.45702306079665</v>
      </c>
      <c r="BM181" s="58" t="n">
        <f aca="false">IFERROR(BM171/BM179,"")</f>
        <v>3.59119496855346</v>
      </c>
      <c r="BN181" s="58" t="n">
        <f aca="false">IFERROR(BN171/BN179,"")</f>
        <v>8.04821802935011</v>
      </c>
      <c r="BO181" s="58" t="n">
        <f aca="false">IFERROR(BO171/BO179,"")</f>
        <v>3.73794549266247</v>
      </c>
      <c r="BP181" s="58" t="n">
        <f aca="false">IFERROR(BP171/BP179,"")</f>
        <v>4.73640167364017</v>
      </c>
      <c r="BQ181" s="57" t="n">
        <f aca="false">IFERROR(BQ171/BQ179,"")</f>
        <v>16.5324947589099</v>
      </c>
      <c r="BR181" s="58" t="n">
        <f aca="false">IFERROR(BR171/BR179,"")</f>
        <v>3.73068893528184</v>
      </c>
      <c r="BS181" s="58" t="n">
        <f aca="false">IFERROR(BS171/BS179,"")</f>
        <v>3.86847599164927</v>
      </c>
      <c r="BT181" s="58" t="n">
        <f aca="false">IFERROR(BT171/BT179,"")</f>
        <v>7.59916492693111</v>
      </c>
      <c r="BU181" s="58" t="n">
        <f aca="false">IFERROR(BU171/BU179,"")</f>
        <v>4.14613778705637</v>
      </c>
      <c r="BV181" s="58" t="n">
        <f aca="false">IFERROR(BV171/BV179,"")</f>
        <v>6.74530271398747</v>
      </c>
      <c r="BW181" s="57" t="n">
        <f aca="false">IFERROR(BW171/BW179,"")</f>
        <v>18.490605427975</v>
      </c>
      <c r="BX181" s="58" t="n">
        <f aca="false">IFERROR(BX171/BX179,"")</f>
        <v>3.71875</v>
      </c>
      <c r="BY181" s="58" t="n">
        <f aca="false">IFERROR(BY171/BY179,"")</f>
        <v>3.76987447698745</v>
      </c>
      <c r="BZ181" s="58" t="n">
        <f aca="false">IFERROR(BZ171/BZ179,"")</f>
        <v>7.48851774530271</v>
      </c>
      <c r="CA181" s="58" t="n">
        <f aca="false">IFERROR(CA171/CA179,"")</f>
        <v>5.53911205073996</v>
      </c>
      <c r="CB181" s="58" t="n">
        <f aca="false">IFERROR(CB171/CB179,"")</f>
        <v>4.19661733615222</v>
      </c>
      <c r="CC181" s="57" t="n">
        <f aca="false">IFERROR(CC171/CC179,"")</f>
        <v>17.2100840336134</v>
      </c>
      <c r="CD181" s="58" t="n">
        <f aca="false">IFERROR(CD171/CD179,"")</f>
        <v>3.98731501057083</v>
      </c>
      <c r="CE181" s="58" t="n">
        <f aca="false">IFERROR(CE171/CE179,"")</f>
        <v>4.42827004219409</v>
      </c>
      <c r="CF181" s="58" t="n">
        <f aca="false">IFERROR(CF171/CF179,"")</f>
        <v>8.41605068637804</v>
      </c>
      <c r="CG181" s="58" t="n">
        <f aca="false">IFERROR(CG171/CG179,"")</f>
        <v>4.64631578947368</v>
      </c>
      <c r="CH181" s="58" t="n">
        <f aca="false">IFERROR(CH171/CH179,"")</f>
        <v>5.83898305084746</v>
      </c>
      <c r="CI181" s="57" t="n">
        <f aca="false">IFERROR(CI171/CI179,"")</f>
        <v>18.8776371308017</v>
      </c>
      <c r="CJ181" s="58" t="n">
        <f aca="false">IFERROR(CJ171/CJ179,"")</f>
        <v>4.84615384615385</v>
      </c>
      <c r="CK181" s="58" t="n">
        <f aca="false">IFERROR(CK171/CK179,"")</f>
        <v>5.36673773987207</v>
      </c>
      <c r="CL181" s="58" t="n">
        <f aca="false">IFERROR(CL171/CL179,"")</f>
        <v>10.213447171825</v>
      </c>
      <c r="CM181" s="57" t="n">
        <f aca="false">IFERROR(CM171/CM179,"")</f>
        <v>5.15097014925373</v>
      </c>
      <c r="CN181" s="57" t="n">
        <f aca="false">IFERROR(CN171/CN179,"")</f>
        <v>5.42605010660981</v>
      </c>
      <c r="CO181" s="57" t="n">
        <f aca="false">IFERROR(CO171/CO179,"")</f>
        <v>20.7906613333333</v>
      </c>
      <c r="CP181" s="57" t="n">
        <f aca="false">IFERROR(CP171/CP179,"")</f>
        <v>23.9740750330211</v>
      </c>
      <c r="CQ181" s="57" t="n">
        <f aca="false">IFERROR(CQ171/CQ179,"")</f>
        <v>26.7701288388159</v>
      </c>
      <c r="CR181" s="57" t="n">
        <f aca="false">IFERROR(CR171/CR179,"")</f>
        <v>30.3222365109375</v>
      </c>
      <c r="CS181" s="57" t="n">
        <f aca="false">IFERROR(CS171/CS179,"")</f>
        <v>33.8928750671158</v>
      </c>
      <c r="CT181" s="23" t="s">
        <v>291</v>
      </c>
      <c r="CV181" s="24" t="n">
        <f aca="false">IFERROR((CS181/CI181)^(1/5)-1,"n/m")</f>
        <v>0.124170424584933</v>
      </c>
      <c r="CW181" s="24" t="n">
        <f aca="false">IFERROR((CI181/BE181)^(1/5)-1,"n/m")</f>
        <v>0.122260732834786</v>
      </c>
      <c r="CX181" s="24" t="n">
        <f aca="false">IFERROR((CI181/AA181)^(1/10)-1,"n/m")</f>
        <v>0.132514431032551</v>
      </c>
      <c r="CY181" s="24" t="n">
        <f aca="false">IFERROR((CI181/C181)^(1/19)-1,"n/m")</f>
        <v>0.118144464142647</v>
      </c>
    </row>
    <row r="182" customFormat="false" ht="15" hidden="false" customHeight="true" outlineLevel="0" collapsed="false">
      <c r="B182" s="37" t="s">
        <v>292</v>
      </c>
      <c r="C182" s="59" t="n">
        <v>2.26</v>
      </c>
      <c r="D182" s="59" t="n">
        <v>2.72</v>
      </c>
      <c r="E182" s="59" t="n">
        <v>3.05</v>
      </c>
      <c r="F182" s="59" t="n">
        <v>3.1</v>
      </c>
      <c r="G182" s="59" t="n">
        <v>3.27</v>
      </c>
      <c r="H182" s="59" t="n">
        <v>6.84</v>
      </c>
      <c r="I182" s="59" t="n">
        <v>4.39</v>
      </c>
      <c r="J182" s="59" t="n">
        <v>1.07</v>
      </c>
      <c r="K182" s="59" t="n">
        <v>1.13</v>
      </c>
      <c r="L182" s="60"/>
      <c r="M182" s="59" t="n">
        <v>1.23</v>
      </c>
      <c r="N182" s="59" t="n">
        <v>1.44</v>
      </c>
      <c r="O182" s="59" t="n">
        <v>4.87</v>
      </c>
      <c r="P182" s="59" t="n">
        <v>1.2</v>
      </c>
      <c r="Q182" s="59" t="n">
        <v>1.47</v>
      </c>
      <c r="R182" s="60"/>
      <c r="S182" s="59" t="n">
        <v>1.47</v>
      </c>
      <c r="T182" s="59" t="n">
        <v>1.62</v>
      </c>
      <c r="U182" s="59" t="n">
        <v>5.75</v>
      </c>
      <c r="V182" s="59" t="n">
        <v>1.2</v>
      </c>
      <c r="W182" s="59" t="n">
        <v>1.34</v>
      </c>
      <c r="X182" s="60"/>
      <c r="Y182" s="59" t="n">
        <v>1.34</v>
      </c>
      <c r="Z182" s="59" t="n">
        <v>1.57</v>
      </c>
      <c r="AA182" s="59" t="n">
        <v>5.44</v>
      </c>
      <c r="AB182" s="59" t="n">
        <v>1.11</v>
      </c>
      <c r="AC182" s="59" t="n">
        <v>1.33</v>
      </c>
      <c r="AD182" s="60"/>
      <c r="AE182" s="59" t="n">
        <v>1.46</v>
      </c>
      <c r="AF182" s="59" t="n">
        <v>1.48</v>
      </c>
      <c r="AG182" s="59" t="n">
        <v>5.37</v>
      </c>
      <c r="AH182" s="59" t="n">
        <v>0.84</v>
      </c>
      <c r="AI182" s="59" t="n">
        <v>1.66</v>
      </c>
      <c r="AJ182" s="60"/>
      <c r="AK182" s="59" t="n">
        <v>1.9</v>
      </c>
      <c r="AL182" s="59" t="n">
        <v>1.84</v>
      </c>
      <c r="AM182" s="59" t="n">
        <v>6.26</v>
      </c>
      <c r="AN182" s="59" t="n">
        <v>1.81</v>
      </c>
      <c r="AO182" s="59" t="n">
        <v>2.32</v>
      </c>
      <c r="AP182" s="60"/>
      <c r="AQ182" s="59" t="n">
        <v>2.43</v>
      </c>
      <c r="AR182" s="59" t="n">
        <v>2.45</v>
      </c>
      <c r="AS182" s="59" t="n">
        <v>9.01</v>
      </c>
      <c r="AT182" s="59" t="n">
        <v>2.02</v>
      </c>
      <c r="AU182" s="59" t="n">
        <v>2.8</v>
      </c>
      <c r="AV182" s="60"/>
      <c r="AW182" s="59" t="n">
        <v>2.84</v>
      </c>
      <c r="AX182" s="59" t="n">
        <v>3.06</v>
      </c>
      <c r="AY182" s="59" t="n">
        <v>10.73</v>
      </c>
      <c r="AZ182" s="59" t="n">
        <v>2.17</v>
      </c>
      <c r="BA182" s="59" t="n">
        <v>2.48</v>
      </c>
      <c r="BB182" s="60"/>
      <c r="BC182" s="59" t="n">
        <v>2.48</v>
      </c>
      <c r="BD182" s="59" t="n">
        <v>3.48</v>
      </c>
      <c r="BE182" s="59" t="n">
        <v>10.62</v>
      </c>
      <c r="BF182" s="59" t="n">
        <v>2.23</v>
      </c>
      <c r="BG182" s="59" t="n">
        <v>1.48</v>
      </c>
      <c r="BH182" s="60"/>
      <c r="BI182" s="59" t="n">
        <v>2.81</v>
      </c>
      <c r="BJ182" s="59" t="n">
        <v>3.39</v>
      </c>
      <c r="BK182" s="59" t="n">
        <v>10.05</v>
      </c>
      <c r="BL182" s="59" t="n">
        <v>4.46</v>
      </c>
      <c r="BM182" s="59" t="n">
        <v>3.59</v>
      </c>
      <c r="BN182" s="60"/>
      <c r="BO182" s="59" t="n">
        <v>3.74</v>
      </c>
      <c r="BP182" s="59" t="n">
        <v>4.74</v>
      </c>
      <c r="BQ182" s="59" t="n">
        <v>16.53</v>
      </c>
      <c r="BR182" s="59" t="n">
        <v>3.73</v>
      </c>
      <c r="BS182" s="59" t="n">
        <v>3.87</v>
      </c>
      <c r="BT182" s="60"/>
      <c r="BU182" s="59" t="n">
        <v>4.15</v>
      </c>
      <c r="BV182" s="59" t="n">
        <v>6.75</v>
      </c>
      <c r="BW182" s="59" t="n">
        <v>18.49</v>
      </c>
      <c r="BX182" s="59" t="n">
        <v>3.72</v>
      </c>
      <c r="BY182" s="59" t="n">
        <v>3.77</v>
      </c>
      <c r="BZ182" s="60"/>
      <c r="CA182" s="59" t="n">
        <v>5.54</v>
      </c>
      <c r="CB182" s="59" t="n">
        <v>4.2</v>
      </c>
      <c r="CC182" s="59" t="n">
        <v>17.21</v>
      </c>
      <c r="CD182" s="59" t="n">
        <v>3.99</v>
      </c>
      <c r="CE182" s="59" t="n">
        <v>4.43</v>
      </c>
      <c r="CF182" s="60"/>
      <c r="CG182" s="59" t="n">
        <v>4.65</v>
      </c>
      <c r="CH182" s="59" t="n">
        <v>5.84</v>
      </c>
      <c r="CI182" s="59" t="n">
        <v>18.88</v>
      </c>
      <c r="CJ182" s="59" t="n">
        <v>4.85</v>
      </c>
      <c r="CK182" s="59" t="n">
        <v>5.37</v>
      </c>
      <c r="CL182" s="59" t="n">
        <v>10.2</v>
      </c>
      <c r="CM182" s="61"/>
      <c r="CN182" s="61"/>
      <c r="CO182" s="61"/>
      <c r="CP182" s="61"/>
      <c r="CQ182" s="61"/>
      <c r="CR182" s="61"/>
      <c r="CS182" s="61"/>
      <c r="CT182" s="23"/>
      <c r="CV182" s="7"/>
      <c r="CW182" s="7"/>
      <c r="CX182" s="7"/>
      <c r="CY182" s="7"/>
    </row>
    <row r="183" customFormat="false" ht="15" hidden="false" customHeight="true" outlineLevel="0" collapsed="false">
      <c r="B183" s="37" t="s">
        <v>293</v>
      </c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  <c r="AL183" s="60"/>
      <c r="AM183" s="60"/>
      <c r="AN183" s="60"/>
      <c r="AO183" s="60"/>
      <c r="AP183" s="60"/>
      <c r="AQ183" s="60"/>
      <c r="AR183" s="60"/>
      <c r="AS183" s="60"/>
      <c r="AT183" s="60"/>
      <c r="AU183" s="60"/>
      <c r="AV183" s="60"/>
      <c r="AW183" s="60"/>
      <c r="AX183" s="60"/>
      <c r="AY183" s="60"/>
      <c r="AZ183" s="60"/>
      <c r="BA183" s="60"/>
      <c r="BB183" s="60"/>
      <c r="BC183" s="60"/>
      <c r="BD183" s="60"/>
      <c r="BE183" s="60"/>
      <c r="BF183" s="60"/>
      <c r="BG183" s="60"/>
      <c r="BH183" s="60"/>
      <c r="BI183" s="60"/>
      <c r="BJ183" s="60"/>
      <c r="BK183" s="60"/>
      <c r="BL183" s="60"/>
      <c r="BM183" s="60"/>
      <c r="BN183" s="60"/>
      <c r="BO183" s="60"/>
      <c r="BP183" s="60"/>
      <c r="BQ183" s="60"/>
      <c r="BR183" s="60"/>
      <c r="BS183" s="60"/>
      <c r="BT183" s="60"/>
      <c r="BU183" s="60"/>
      <c r="BV183" s="60"/>
      <c r="BW183" s="60"/>
      <c r="BX183" s="60"/>
      <c r="BY183" s="60"/>
      <c r="BZ183" s="60"/>
      <c r="CA183" s="60"/>
      <c r="CB183" s="60"/>
      <c r="CC183" s="60"/>
      <c r="CD183" s="60"/>
      <c r="CE183" s="60"/>
      <c r="CF183" s="60"/>
      <c r="CG183" s="60"/>
      <c r="CH183" s="60"/>
      <c r="CI183" s="60"/>
      <c r="CJ183" s="60"/>
      <c r="CK183" s="60"/>
      <c r="CL183" s="60"/>
      <c r="CM183" s="61"/>
      <c r="CN183" s="61"/>
      <c r="CO183" s="61" t="n">
        <f aca="false">CHOOSE(MATCH($CT$2,{"Bull","Base","Bear"},0),$DC$14,$DD$14,$DE$14)</f>
        <v>20.86</v>
      </c>
      <c r="CP183" s="61"/>
      <c r="CQ183" s="61"/>
      <c r="CR183" s="61"/>
      <c r="CS183" s="61"/>
      <c r="CT183" s="23" t="s">
        <v>294</v>
      </c>
      <c r="CV183" s="7"/>
      <c r="CW183" s="7"/>
      <c r="CX183" s="7"/>
      <c r="CY183" s="7"/>
    </row>
    <row r="184" customFormat="false" ht="15" hidden="false" customHeight="true" outlineLevel="0" collapsed="false">
      <c r="B184" s="13"/>
      <c r="CM184" s="7"/>
      <c r="CN184" s="7"/>
      <c r="CO184" s="7"/>
      <c r="CP184" s="7"/>
      <c r="CQ184" s="7"/>
      <c r="CR184" s="7"/>
      <c r="CS184" s="7"/>
      <c r="CT184" s="7"/>
    </row>
    <row r="185" customFormat="false" ht="15" hidden="false" customHeight="true" outlineLevel="0" collapsed="false">
      <c r="B185" s="12" t="s">
        <v>295</v>
      </c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 t="s">
        <v>296</v>
      </c>
    </row>
    <row r="186" customFormat="false" ht="15" hidden="false" customHeight="true" outlineLevel="0" collapsed="false">
      <c r="B186" s="19" t="s">
        <v>297</v>
      </c>
      <c r="C186" s="20" t="n">
        <f aca="false">C160</f>
        <v>125.1</v>
      </c>
      <c r="D186" s="20" t="n">
        <f aca="false">D160</f>
        <v>162.3</v>
      </c>
      <c r="E186" s="20" t="n">
        <f aca="false">E160</f>
        <v>198.6</v>
      </c>
      <c r="F186" s="20" t="n">
        <f aca="false">F160</f>
        <v>171.4</v>
      </c>
      <c r="G186" s="20" t="n">
        <f aca="false">G160</f>
        <v>178.5</v>
      </c>
      <c r="H186" s="20" t="n">
        <f aca="false">H160</f>
        <v>227.2</v>
      </c>
      <c r="I186" s="20" t="n">
        <f aca="false">I160</f>
        <v>243.1</v>
      </c>
      <c r="J186" s="20" t="n">
        <f aca="false">J160</f>
        <v>58.9</v>
      </c>
      <c r="K186" s="20" t="n">
        <f aca="false">K160</f>
        <v>64.9</v>
      </c>
      <c r="L186" s="20" t="n">
        <f aca="false">L160</f>
        <v>123.8</v>
      </c>
      <c r="M186" s="20" t="n">
        <f aca="false">M160</f>
        <v>53</v>
      </c>
      <c r="N186" s="20" t="n">
        <f aca="false">N160</f>
        <v>63.5</v>
      </c>
      <c r="O186" s="20" t="n">
        <f aca="false">O160</f>
        <v>240.3</v>
      </c>
      <c r="P186" s="20" t="n">
        <f aca="false">P160</f>
        <v>66</v>
      </c>
      <c r="Q186" s="20" t="n">
        <f aca="false">Q160</f>
        <v>74.3</v>
      </c>
      <c r="R186" s="20" t="n">
        <f aca="false">R160</f>
        <v>140.3</v>
      </c>
      <c r="S186" s="20" t="n">
        <f aca="false">S160</f>
        <v>74.3</v>
      </c>
      <c r="T186" s="20" t="n">
        <f aca="false">T160</f>
        <v>79.8999999999999</v>
      </c>
      <c r="U186" s="20" t="n">
        <f aca="false">U160</f>
        <v>294.5</v>
      </c>
      <c r="V186" s="20" t="n">
        <f aca="false">V160</f>
        <v>67.3</v>
      </c>
      <c r="W186" s="20" t="n">
        <f aca="false">W160</f>
        <v>68.9000000000001</v>
      </c>
      <c r="X186" s="20" t="n">
        <f aca="false">X160</f>
        <v>136.2</v>
      </c>
      <c r="Y186" s="20" t="n">
        <f aca="false">Y160</f>
        <v>69.5</v>
      </c>
      <c r="Z186" s="20" t="n">
        <f aca="false">Z160</f>
        <v>76</v>
      </c>
      <c r="AA186" s="20" t="n">
        <f aca="false">AA160</f>
        <v>281.7</v>
      </c>
      <c r="AB186" s="20" t="n">
        <f aca="false">AB160</f>
        <v>60.9</v>
      </c>
      <c r="AC186" s="20" t="n">
        <f aca="false">AC160</f>
        <v>53.6000000000001</v>
      </c>
      <c r="AD186" s="20" t="n">
        <f aca="false">AD160</f>
        <v>114.5</v>
      </c>
      <c r="AE186" s="20" t="n">
        <f aca="false">AE160</f>
        <v>68.8</v>
      </c>
      <c r="AF186" s="20" t="n">
        <f aca="false">AF160</f>
        <v>70.5</v>
      </c>
      <c r="AG186" s="20" t="n">
        <f aca="false">AG160</f>
        <v>253.8</v>
      </c>
      <c r="AH186" s="20" t="n">
        <f aca="false">AH160</f>
        <v>54.8</v>
      </c>
      <c r="AI186" s="20" t="n">
        <f aca="false">AI160</f>
        <v>82.8</v>
      </c>
      <c r="AJ186" s="20" t="n">
        <f aca="false">AJ160</f>
        <v>137.6</v>
      </c>
      <c r="AK186" s="20" t="n">
        <f aca="false">AK160</f>
        <v>89.5</v>
      </c>
      <c r="AL186" s="20" t="n">
        <f aca="false">AL160</f>
        <v>94.6</v>
      </c>
      <c r="AM186" s="20" t="n">
        <f aca="false">AM160</f>
        <v>321.7</v>
      </c>
      <c r="AN186" s="20" t="n">
        <f aca="false">AN160</f>
        <v>88.4</v>
      </c>
      <c r="AO186" s="20" t="n">
        <f aca="false">AO160</f>
        <v>111.5</v>
      </c>
      <c r="AP186" s="20" t="n">
        <f aca="false">AP160</f>
        <v>199.9</v>
      </c>
      <c r="AQ186" s="20" t="n">
        <f aca="false">AQ160</f>
        <v>105.5</v>
      </c>
      <c r="AR186" s="20" t="n">
        <f aca="false">AR160</f>
        <v>111.2</v>
      </c>
      <c r="AS186" s="20" t="n">
        <f aca="false">AS160</f>
        <v>416.6</v>
      </c>
      <c r="AT186" s="20" t="n">
        <f aca="false">AT160</f>
        <v>97.3000000000001</v>
      </c>
      <c r="AU186" s="20" t="n">
        <f aca="false">AU160</f>
        <v>131.9</v>
      </c>
      <c r="AV186" s="20" t="n">
        <f aca="false">AV160</f>
        <v>229.2</v>
      </c>
      <c r="AW186" s="20" t="n">
        <f aca="false">AW160</f>
        <v>128.7</v>
      </c>
      <c r="AX186" s="20" t="n">
        <f aca="false">AX160</f>
        <v>133.8</v>
      </c>
      <c r="AY186" s="20" t="n">
        <f aca="false">AY160</f>
        <v>491.7</v>
      </c>
      <c r="AZ186" s="20" t="n">
        <f aca="false">AZ160</f>
        <v>104</v>
      </c>
      <c r="BA186" s="20" t="n">
        <f aca="false">BA160</f>
        <v>109.8</v>
      </c>
      <c r="BB186" s="20" t="n">
        <f aca="false">BB160</f>
        <v>213.8</v>
      </c>
      <c r="BC186" s="20" t="n">
        <f aca="false">BC160</f>
        <v>122.5</v>
      </c>
      <c r="BD186" s="20" t="n">
        <f aca="false">BD160</f>
        <v>143.8</v>
      </c>
      <c r="BE186" s="20" t="n">
        <f aca="false">BE160</f>
        <v>480.1</v>
      </c>
      <c r="BF186" s="20" t="n">
        <f aca="false">BF160</f>
        <v>135.2</v>
      </c>
      <c r="BG186" s="20" t="n">
        <f aca="false">BG160</f>
        <v>104.4</v>
      </c>
      <c r="BH186" s="20" t="n">
        <f aca="false">BH160</f>
        <v>239.6</v>
      </c>
      <c r="BI186" s="20" t="n">
        <f aca="false">BI160</f>
        <v>189.6</v>
      </c>
      <c r="BJ186" s="20" t="n">
        <f aca="false">BJ160</f>
        <v>195.1</v>
      </c>
      <c r="BK186" s="20" t="n">
        <f aca="false">BK160</f>
        <v>624.3</v>
      </c>
      <c r="BL186" s="20" t="n">
        <f aca="false">BL160</f>
        <v>223.5</v>
      </c>
      <c r="BM186" s="20" t="n">
        <f aca="false">BM160</f>
        <v>229.5</v>
      </c>
      <c r="BN186" s="20" t="n">
        <f aca="false">BN160</f>
        <v>453</v>
      </c>
      <c r="BO186" s="20" t="n">
        <f aca="false">BO160</f>
        <v>245.2</v>
      </c>
      <c r="BP186" s="20" t="n">
        <f aca="false">BP160</f>
        <v>273.8</v>
      </c>
      <c r="BQ186" s="20" t="n">
        <f aca="false">BQ160</f>
        <v>972</v>
      </c>
      <c r="BR186" s="20" t="n">
        <f aca="false">BR160</f>
        <v>242.5</v>
      </c>
      <c r="BS186" s="20" t="n">
        <f aca="false">BS160</f>
        <v>256.1</v>
      </c>
      <c r="BT186" s="20" t="n">
        <f aca="false">BT160</f>
        <v>498.6</v>
      </c>
      <c r="BU186" s="20" t="n">
        <f aca="false">BU160</f>
        <v>264.3</v>
      </c>
      <c r="BV186" s="20" t="n">
        <f aca="false">BV160</f>
        <v>271.5</v>
      </c>
      <c r="BW186" s="20" t="n">
        <f aca="false">BW160</f>
        <v>1034.4</v>
      </c>
      <c r="BX186" s="20" t="n">
        <f aca="false">BX160</f>
        <v>234.3</v>
      </c>
      <c r="BY186" s="20" t="n">
        <f aca="false">BY160</f>
        <v>247</v>
      </c>
      <c r="BZ186" s="20" t="n">
        <f aca="false">BZ160</f>
        <v>481.3</v>
      </c>
      <c r="CA186" s="20" t="n">
        <f aca="false">CA160</f>
        <v>270.7</v>
      </c>
      <c r="CB186" s="20" t="n">
        <f aca="false">CB160</f>
        <v>237.1</v>
      </c>
      <c r="CC186" s="20" t="n">
        <f aca="false">CC160</f>
        <v>989.1</v>
      </c>
      <c r="CD186" s="20" t="n">
        <f aca="false">CD160</f>
        <v>259.3</v>
      </c>
      <c r="CE186" s="20" t="n">
        <f aca="false">CE160</f>
        <v>278.2</v>
      </c>
      <c r="CF186" s="20" t="n">
        <f aca="false">CF160</f>
        <v>537.5</v>
      </c>
      <c r="CG186" s="20" t="n">
        <f aca="false">CG160</f>
        <v>282.8</v>
      </c>
      <c r="CH186" s="20" t="n">
        <f aca="false">CH160</f>
        <v>329.5</v>
      </c>
      <c r="CI186" s="20" t="n">
        <f aca="false">CI160</f>
        <v>1149.8</v>
      </c>
      <c r="CJ186" s="20" t="n">
        <f aca="false">CJ160</f>
        <v>294.2</v>
      </c>
      <c r="CK186" s="20" t="n">
        <f aca="false">CK160</f>
        <v>333.2</v>
      </c>
      <c r="CL186" s="20" t="n">
        <f aca="false">CL160</f>
        <v>627.4</v>
      </c>
      <c r="CM186" s="22" t="n">
        <f aca="false">CM160</f>
        <v>318.745859872612</v>
      </c>
      <c r="CN186" s="22" t="n">
        <f aca="false">CN160</f>
        <v>335.180573248408</v>
      </c>
      <c r="CO186" s="22" t="n">
        <f aca="false">SUM(CJ186,CK186,CM186,CN186)</f>
        <v>1281.32643312102</v>
      </c>
      <c r="CP186" s="22" t="n">
        <f aca="false">CP160</f>
        <v>1449.71722734786</v>
      </c>
      <c r="CQ186" s="22" t="n">
        <f aca="false">CQ160</f>
        <v>1605.56061275328</v>
      </c>
      <c r="CR186" s="22" t="n">
        <f aca="false">CR160</f>
        <v>1808.32812624164</v>
      </c>
      <c r="CS186" s="22" t="n">
        <f aca="false">CS160</f>
        <v>2007.00847685173</v>
      </c>
      <c r="CT186" s="23"/>
      <c r="CV186" s="7"/>
      <c r="CW186" s="7"/>
      <c r="CX186" s="7"/>
      <c r="CY186" s="7"/>
    </row>
    <row r="187" customFormat="false" ht="15" hidden="false" customHeight="true" outlineLevel="0" collapsed="false">
      <c r="B187" s="13" t="s">
        <v>111</v>
      </c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1" t="n">
        <v>9.6</v>
      </c>
      <c r="BA187" s="31" t="n">
        <v>9.7</v>
      </c>
      <c r="BB187" s="30" t="n">
        <f aca="false">AZ187+BA187</f>
        <v>19.3</v>
      </c>
      <c r="BC187" s="31" t="n">
        <v>9.9</v>
      </c>
      <c r="BD187" s="31" t="n">
        <v>9.6</v>
      </c>
      <c r="BE187" s="31" t="n">
        <v>38.8</v>
      </c>
      <c r="BF187" s="31" t="n">
        <v>9.8</v>
      </c>
      <c r="BG187" s="31" t="n">
        <v>32.8</v>
      </c>
      <c r="BH187" s="30" t="n">
        <f aca="false">BF187+BG187</f>
        <v>42.6</v>
      </c>
      <c r="BI187" s="31" t="n">
        <v>55.3</v>
      </c>
      <c r="BJ187" s="31" t="n">
        <v>51.4</v>
      </c>
      <c r="BK187" s="31" t="n">
        <v>149.3</v>
      </c>
      <c r="BL187" s="31" t="n">
        <v>53.6</v>
      </c>
      <c r="BM187" s="31" t="n">
        <v>51.3</v>
      </c>
      <c r="BN187" s="30" t="n">
        <f aca="false">BL187+BM187</f>
        <v>104.9</v>
      </c>
      <c r="BO187" s="31" t="n">
        <v>48.9</v>
      </c>
      <c r="BP187" s="31" t="n">
        <v>47.9</v>
      </c>
      <c r="BQ187" s="31" t="n">
        <v>201.7</v>
      </c>
      <c r="BR187" s="31" t="n">
        <v>49.7</v>
      </c>
      <c r="BS187" s="31" t="n">
        <v>49.3</v>
      </c>
      <c r="BT187" s="30" t="n">
        <f aca="false">BR187+BS187</f>
        <v>99</v>
      </c>
      <c r="BU187" s="31" t="n">
        <v>49.1</v>
      </c>
      <c r="BV187" s="31" t="n">
        <v>48.6</v>
      </c>
      <c r="BW187" s="31" t="n">
        <v>196.7</v>
      </c>
      <c r="BX187" s="31" t="n">
        <v>49.4</v>
      </c>
      <c r="BY187" s="31" t="n">
        <v>49.1</v>
      </c>
      <c r="BZ187" s="30" t="n">
        <f aca="false">BX187+BY187</f>
        <v>98.5</v>
      </c>
      <c r="CA187" s="31" t="n">
        <v>49.8</v>
      </c>
      <c r="CB187" s="31" t="n">
        <v>49.7</v>
      </c>
      <c r="CC187" s="31" t="n">
        <v>198</v>
      </c>
      <c r="CD187" s="31" t="n">
        <v>52</v>
      </c>
      <c r="CE187" s="31" t="n">
        <v>54.6</v>
      </c>
      <c r="CF187" s="30" t="n">
        <f aca="false">CD187+CE187</f>
        <v>106.6</v>
      </c>
      <c r="CG187" s="31" t="n">
        <v>55.1</v>
      </c>
      <c r="CH187" s="31" t="n">
        <v>54.9</v>
      </c>
      <c r="CI187" s="31" t="n">
        <v>216.6</v>
      </c>
      <c r="CJ187" s="31" t="n">
        <v>57.6</v>
      </c>
      <c r="CK187" s="31" t="n">
        <v>56</v>
      </c>
      <c r="CL187" s="30" t="n">
        <f aca="false">CJ187+CK187</f>
        <v>113.6</v>
      </c>
      <c r="CM187" s="32" t="n">
        <f aca="false">CM125</f>
        <v>56.2</v>
      </c>
      <c r="CN187" s="32" t="n">
        <f aca="false">CN125</f>
        <v>56.2</v>
      </c>
      <c r="CO187" s="32" t="n">
        <f aca="false">SUM(CJ187,CK187,CM187,CN187)</f>
        <v>226</v>
      </c>
      <c r="CP187" s="32" t="n">
        <f aca="false">CP125</f>
        <v>222.7375</v>
      </c>
      <c r="CQ187" s="32" t="n">
        <f aca="false">CQ125</f>
        <v>245.358333333333</v>
      </c>
      <c r="CR187" s="32" t="n">
        <f aca="false">CR125</f>
        <v>230.625</v>
      </c>
      <c r="CS187" s="32" t="n">
        <f aca="false">CS125</f>
        <v>233.591666666667</v>
      </c>
      <c r="CT187" s="23"/>
      <c r="CV187" s="7"/>
      <c r="CW187" s="7"/>
      <c r="CX187" s="7"/>
      <c r="CY187" s="7"/>
    </row>
    <row r="188" customFormat="false" ht="15" hidden="false" customHeight="true" outlineLevel="0" collapsed="false">
      <c r="B188" s="13" t="s">
        <v>298</v>
      </c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1" t="n">
        <v>1.9</v>
      </c>
      <c r="AG188" s="31" t="n">
        <v>1.9</v>
      </c>
      <c r="AH188" s="31" t="n">
        <v>11.5</v>
      </c>
      <c r="AI188" s="31" t="n">
        <v>1.3</v>
      </c>
      <c r="AJ188" s="30" t="n">
        <f aca="false">AH188+AI188</f>
        <v>12.8</v>
      </c>
      <c r="AK188" s="31" t="n">
        <v>0.2</v>
      </c>
      <c r="AL188" s="31" t="n">
        <v>0</v>
      </c>
      <c r="AM188" s="31" t="n">
        <v>13</v>
      </c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  <c r="BF188" s="31" t="n">
        <v>5.9</v>
      </c>
      <c r="BG188" s="31" t="n">
        <v>94.5</v>
      </c>
      <c r="BH188" s="30" t="n">
        <f aca="false">BF188+BG188</f>
        <v>100.4</v>
      </c>
      <c r="BI188" s="31" t="n">
        <v>1.8</v>
      </c>
      <c r="BJ188" s="31" t="n">
        <v>0.8</v>
      </c>
      <c r="BK188" s="31" t="n">
        <v>103</v>
      </c>
      <c r="BL188" s="30"/>
      <c r="BM188" s="30"/>
      <c r="BN188" s="30"/>
      <c r="BO188" s="30"/>
      <c r="BP188" s="31" t="n">
        <v>-4</v>
      </c>
      <c r="BQ188" s="31" t="n">
        <v>-4</v>
      </c>
      <c r="BR188" s="30"/>
      <c r="BS188" s="30"/>
      <c r="BT188" s="30"/>
      <c r="BU188" s="31" t="n">
        <v>5.8</v>
      </c>
      <c r="BV188" s="31" t="n">
        <v>3</v>
      </c>
      <c r="BW188" s="31" t="n">
        <v>8.8</v>
      </c>
      <c r="BX188" s="31" t="n">
        <v>2.2</v>
      </c>
      <c r="BY188" s="31" t="n">
        <v>1</v>
      </c>
      <c r="BZ188" s="30" t="n">
        <f aca="false">BX188+BY188</f>
        <v>3.2</v>
      </c>
      <c r="CA188" s="31" t="n">
        <v>3.7</v>
      </c>
      <c r="CB188" s="31" t="n">
        <v>1.5</v>
      </c>
      <c r="CC188" s="31" t="n">
        <v>8.4</v>
      </c>
      <c r="CD188" s="31" t="n">
        <v>6.8</v>
      </c>
      <c r="CE188" s="31" t="n">
        <v>1.9</v>
      </c>
      <c r="CF188" s="30" t="n">
        <f aca="false">CD188+CE188</f>
        <v>8.7</v>
      </c>
      <c r="CG188" s="31" t="n">
        <v>0.7</v>
      </c>
      <c r="CH188" s="31" t="n">
        <v>0.8</v>
      </c>
      <c r="CI188" s="31" t="n">
        <v>10.2</v>
      </c>
      <c r="CJ188" s="31" t="n">
        <v>0.2</v>
      </c>
      <c r="CK188" s="31" t="n">
        <v>0.2</v>
      </c>
      <c r="CL188" s="30" t="n">
        <f aca="false">CJ188+CK188</f>
        <v>0.4</v>
      </c>
      <c r="CM188" s="32" t="n">
        <f aca="false">CM98</f>
        <v>0.5</v>
      </c>
      <c r="CN188" s="32" t="n">
        <f aca="false">CN98</f>
        <v>0.5</v>
      </c>
      <c r="CO188" s="32" t="n">
        <f aca="false">SUM(CJ188,CK188,CM188,CN188)</f>
        <v>1.4</v>
      </c>
      <c r="CP188" s="32" t="n">
        <f aca="false">CP98</f>
        <v>5</v>
      </c>
      <c r="CQ188" s="32" t="n">
        <f aca="false">CQ98</f>
        <v>5</v>
      </c>
      <c r="CR188" s="32" t="n">
        <f aca="false">CR98</f>
        <v>5</v>
      </c>
      <c r="CS188" s="32" t="n">
        <f aca="false">CS98</f>
        <v>5</v>
      </c>
      <c r="CT188" s="23"/>
      <c r="CV188" s="7"/>
      <c r="CW188" s="7"/>
      <c r="CX188" s="7"/>
      <c r="CY188" s="7"/>
    </row>
    <row r="189" customFormat="false" ht="15" hidden="false" customHeight="true" outlineLevel="0" collapsed="false">
      <c r="B189" s="13" t="s">
        <v>299</v>
      </c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1" t="n">
        <v>1.4</v>
      </c>
      <c r="AI189" s="31" t="n">
        <v>2.7</v>
      </c>
      <c r="AJ189" s="30" t="n">
        <f aca="false">AH189+AI189</f>
        <v>4.1</v>
      </c>
      <c r="AK189" s="31" t="n">
        <v>2.7</v>
      </c>
      <c r="AL189" s="31" t="n">
        <v>-1.1</v>
      </c>
      <c r="AM189" s="31" t="n">
        <v>5.7</v>
      </c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  <c r="BF189" s="30"/>
      <c r="BG189" s="31" t="n">
        <v>23.4</v>
      </c>
      <c r="BH189" s="30" t="n">
        <f aca="false">N(BF189)+N(BG189)</f>
        <v>23.4</v>
      </c>
      <c r="BI189" s="31" t="n">
        <v>35.2</v>
      </c>
      <c r="BJ189" s="31" t="n">
        <v>47.8</v>
      </c>
      <c r="BK189" s="31" t="n">
        <v>106.4</v>
      </c>
      <c r="BL189" s="30"/>
      <c r="BM189" s="30"/>
      <c r="BN189" s="30"/>
      <c r="BO189" s="30"/>
      <c r="BP189" s="30"/>
      <c r="BQ189" s="30"/>
      <c r="BR189" s="30"/>
      <c r="BS189" s="30"/>
      <c r="BT189" s="30"/>
      <c r="BU189" s="30"/>
      <c r="BV189" s="30"/>
      <c r="BW189" s="30"/>
      <c r="BX189" s="31" t="n">
        <v>0</v>
      </c>
      <c r="BY189" s="31" t="n">
        <v>0</v>
      </c>
      <c r="BZ189" s="30" t="n">
        <f aca="false">BX189+BY189</f>
        <v>0</v>
      </c>
      <c r="CA189" s="31" t="n">
        <v>0</v>
      </c>
      <c r="CB189" s="31" t="n">
        <v>0</v>
      </c>
      <c r="CC189" s="31" t="n">
        <v>0</v>
      </c>
      <c r="CD189" s="31" t="n">
        <v>0.6</v>
      </c>
      <c r="CE189" s="31" t="n">
        <v>1.2</v>
      </c>
      <c r="CF189" s="30" t="n">
        <f aca="false">CD189+CE189</f>
        <v>1.8</v>
      </c>
      <c r="CG189" s="31" t="n">
        <v>1.4</v>
      </c>
      <c r="CH189" s="31" t="n">
        <v>0.2</v>
      </c>
      <c r="CI189" s="31" t="n">
        <v>3.4</v>
      </c>
      <c r="CJ189" s="31" t="n">
        <v>0</v>
      </c>
      <c r="CK189" s="31" t="n">
        <v>0</v>
      </c>
      <c r="CL189" s="30" t="n">
        <f aca="false">CJ189+CK189</f>
        <v>0</v>
      </c>
      <c r="CM189" s="32" t="n">
        <f aca="false">CM15+CM32+CM52+CM71</f>
        <v>0</v>
      </c>
      <c r="CN189" s="32" t="n">
        <f aca="false">CN15+CN32+CN52+CN71</f>
        <v>0</v>
      </c>
      <c r="CO189" s="32" t="n">
        <f aca="false">SUM(CJ189,CK189,CM189,CN189)</f>
        <v>0</v>
      </c>
      <c r="CP189" s="32" t="n">
        <f aca="false">CP15+CP32+CP52+CP71</f>
        <v>0</v>
      </c>
      <c r="CQ189" s="32" t="n">
        <f aca="false">CQ15+CQ32+CQ52+CQ71</f>
        <v>0</v>
      </c>
      <c r="CR189" s="32" t="n">
        <f aca="false">CR15+CR32+CR52+CR71</f>
        <v>0</v>
      </c>
      <c r="CS189" s="32" t="n">
        <f aca="false">CS15+CS32+CS52+CS71</f>
        <v>0</v>
      </c>
      <c r="CT189" s="23"/>
      <c r="CV189" s="7"/>
      <c r="CW189" s="7"/>
      <c r="CX189" s="7"/>
      <c r="CY189" s="7"/>
    </row>
    <row r="190" customFormat="false" ht="15" hidden="false" customHeight="true" outlineLevel="0" collapsed="false">
      <c r="B190" s="13" t="s">
        <v>300</v>
      </c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30"/>
      <c r="BK190" s="30"/>
      <c r="BL190" s="30"/>
      <c r="BM190" s="30"/>
      <c r="BN190" s="30"/>
      <c r="BO190" s="30"/>
      <c r="BP190" s="30"/>
      <c r="BQ190" s="30"/>
      <c r="BR190" s="30"/>
      <c r="BS190" s="30"/>
      <c r="BT190" s="30"/>
      <c r="BU190" s="30"/>
      <c r="BV190" s="30"/>
      <c r="BW190" s="30"/>
      <c r="BX190" s="30"/>
      <c r="BY190" s="30"/>
      <c r="BZ190" s="30"/>
      <c r="CA190" s="30"/>
      <c r="CB190" s="31" t="n">
        <v>52.5</v>
      </c>
      <c r="CC190" s="31" t="n">
        <v>52.5</v>
      </c>
      <c r="CD190" s="30"/>
      <c r="CE190" s="30"/>
      <c r="CF190" s="30"/>
      <c r="CG190" s="30"/>
      <c r="CH190" s="31" t="n">
        <v>0</v>
      </c>
      <c r="CI190" s="31" t="n">
        <v>0</v>
      </c>
      <c r="CJ190" s="30"/>
      <c r="CK190" s="30"/>
      <c r="CL190" s="30"/>
      <c r="CM190" s="33" t="n">
        <v>0</v>
      </c>
      <c r="CN190" s="33" t="n">
        <v>0</v>
      </c>
      <c r="CO190" s="32" t="n">
        <f aca="false">SUM(CJ190,CK190,CM190,CN190)</f>
        <v>0</v>
      </c>
      <c r="CP190" s="33" t="n">
        <v>0</v>
      </c>
      <c r="CQ190" s="33" t="n">
        <v>0</v>
      </c>
      <c r="CR190" s="33" t="n">
        <v>0</v>
      </c>
      <c r="CS190" s="33" t="n">
        <v>0</v>
      </c>
      <c r="CT190" s="23"/>
      <c r="CV190" s="7"/>
      <c r="CW190" s="7"/>
      <c r="CX190" s="7"/>
      <c r="CY190" s="7"/>
    </row>
    <row r="191" customFormat="false" ht="15" hidden="false" customHeight="true" outlineLevel="0" collapsed="false">
      <c r="B191" s="13" t="s">
        <v>301</v>
      </c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1" t="n">
        <v>3.3</v>
      </c>
      <c r="AI191" s="31" t="n">
        <v>3.4</v>
      </c>
      <c r="AJ191" s="30" t="n">
        <f aca="false">AH191+AI191</f>
        <v>6.7</v>
      </c>
      <c r="AK191" s="31" t="n">
        <v>3.4</v>
      </c>
      <c r="AL191" s="31" t="n">
        <v>3.8</v>
      </c>
      <c r="AM191" s="31" t="n">
        <v>13.9</v>
      </c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0"/>
      <c r="BK191" s="30"/>
      <c r="BL191" s="30"/>
      <c r="BM191" s="30"/>
      <c r="BN191" s="30"/>
      <c r="BO191" s="30"/>
      <c r="BP191" s="30"/>
      <c r="BQ191" s="30"/>
      <c r="BR191" s="30"/>
      <c r="BS191" s="30"/>
      <c r="BT191" s="30"/>
      <c r="BU191" s="30"/>
      <c r="BV191" s="30"/>
      <c r="BW191" s="30"/>
      <c r="BX191" s="30"/>
      <c r="BY191" s="30"/>
      <c r="BZ191" s="30"/>
      <c r="CA191" s="30"/>
      <c r="CB191" s="30"/>
      <c r="CC191" s="30"/>
      <c r="CD191" s="30"/>
      <c r="CE191" s="30"/>
      <c r="CF191" s="30"/>
      <c r="CG191" s="30"/>
      <c r="CH191" s="30"/>
      <c r="CI191" s="30"/>
      <c r="CJ191" s="30"/>
      <c r="CK191" s="30"/>
      <c r="CL191" s="30"/>
      <c r="CM191" s="33" t="n">
        <v>0</v>
      </c>
      <c r="CN191" s="33" t="n">
        <v>0</v>
      </c>
      <c r="CO191" s="32" t="n">
        <f aca="false">SUM(CJ191,CK191,CM191,CN191)</f>
        <v>0</v>
      </c>
      <c r="CP191" s="33" t="n">
        <v>0</v>
      </c>
      <c r="CQ191" s="33" t="n">
        <v>0</v>
      </c>
      <c r="CR191" s="33" t="n">
        <v>0</v>
      </c>
      <c r="CS191" s="33" t="n">
        <v>0</v>
      </c>
      <c r="CT191" s="23"/>
      <c r="CV191" s="7"/>
      <c r="CW191" s="7"/>
      <c r="CX191" s="7"/>
      <c r="CY191" s="7"/>
    </row>
    <row r="192" customFormat="false" ht="15" hidden="false" customHeight="true" outlineLevel="0" collapsed="false">
      <c r="B192" s="19" t="s">
        <v>302</v>
      </c>
      <c r="C192" s="20" t="n">
        <f aca="false">SUM(C187:C191)</f>
        <v>0</v>
      </c>
      <c r="D192" s="20" t="n">
        <f aca="false">SUM(D187:D191)</f>
        <v>0</v>
      </c>
      <c r="E192" s="20" t="n">
        <f aca="false">SUM(E187:E191)</f>
        <v>0</v>
      </c>
      <c r="F192" s="20" t="n">
        <f aca="false">SUM(F187:F191)</f>
        <v>0</v>
      </c>
      <c r="G192" s="20" t="n">
        <f aca="false">SUM(G187:G191)</f>
        <v>0</v>
      </c>
      <c r="H192" s="20" t="n">
        <f aca="false">SUM(H187:H191)</f>
        <v>0</v>
      </c>
      <c r="I192" s="20" t="n">
        <f aca="false">SUM(I187:I191)</f>
        <v>0</v>
      </c>
      <c r="J192" s="20" t="n">
        <f aca="false">SUM(J187:J191)</f>
        <v>0</v>
      </c>
      <c r="K192" s="20" t="n">
        <f aca="false">SUM(K187:K191)</f>
        <v>0</v>
      </c>
      <c r="L192" s="20" t="n">
        <f aca="false">SUM(L187:L191)</f>
        <v>0</v>
      </c>
      <c r="M192" s="20" t="n">
        <f aca="false">SUM(M187:M191)</f>
        <v>0</v>
      </c>
      <c r="N192" s="20" t="n">
        <f aca="false">SUM(N187:N191)</f>
        <v>0</v>
      </c>
      <c r="O192" s="20" t="n">
        <f aca="false">SUM(O187:O191)</f>
        <v>0</v>
      </c>
      <c r="P192" s="20" t="n">
        <f aca="false">SUM(P187:P191)</f>
        <v>0</v>
      </c>
      <c r="Q192" s="20" t="n">
        <f aca="false">SUM(Q187:Q191)</f>
        <v>0</v>
      </c>
      <c r="R192" s="20" t="n">
        <f aca="false">SUM(R187:R191)</f>
        <v>0</v>
      </c>
      <c r="S192" s="20" t="n">
        <f aca="false">SUM(S187:S191)</f>
        <v>0</v>
      </c>
      <c r="T192" s="20" t="n">
        <f aca="false">SUM(T187:T191)</f>
        <v>0</v>
      </c>
      <c r="U192" s="20" t="n">
        <f aca="false">SUM(U187:U191)</f>
        <v>0</v>
      </c>
      <c r="V192" s="20" t="n">
        <f aca="false">SUM(V187:V191)</f>
        <v>0</v>
      </c>
      <c r="W192" s="20" t="n">
        <f aca="false">SUM(W187:W191)</f>
        <v>0</v>
      </c>
      <c r="X192" s="20" t="n">
        <f aca="false">SUM(X187:X191)</f>
        <v>0</v>
      </c>
      <c r="Y192" s="20" t="n">
        <f aca="false">SUM(Y187:Y191)</f>
        <v>0</v>
      </c>
      <c r="Z192" s="20" t="n">
        <f aca="false">SUM(Z187:Z191)</f>
        <v>0</v>
      </c>
      <c r="AA192" s="20" t="n">
        <f aca="false">SUM(AA187:AA191)</f>
        <v>0</v>
      </c>
      <c r="AB192" s="20" t="n">
        <f aca="false">SUM(AB187:AB191)</f>
        <v>0</v>
      </c>
      <c r="AC192" s="20" t="n">
        <f aca="false">SUM(AC187:AC191)</f>
        <v>0</v>
      </c>
      <c r="AD192" s="20" t="n">
        <f aca="false">SUM(AD187:AD191)</f>
        <v>0</v>
      </c>
      <c r="AE192" s="20" t="n">
        <f aca="false">SUM(AE187:AE191)</f>
        <v>0</v>
      </c>
      <c r="AF192" s="20" t="n">
        <f aca="false">SUM(AF187:AF191)</f>
        <v>1.9</v>
      </c>
      <c r="AG192" s="20" t="n">
        <f aca="false">SUM(AG187:AG191)</f>
        <v>1.9</v>
      </c>
      <c r="AH192" s="20" t="n">
        <f aca="false">SUM(AH187:AH191)</f>
        <v>16.2</v>
      </c>
      <c r="AI192" s="20" t="n">
        <f aca="false">SUM(AI187:AI191)</f>
        <v>7.4</v>
      </c>
      <c r="AJ192" s="20" t="n">
        <f aca="false">SUM(AJ187:AJ191)</f>
        <v>23.6</v>
      </c>
      <c r="AK192" s="20" t="n">
        <f aca="false">SUM(AK187:AK191)</f>
        <v>6.3</v>
      </c>
      <c r="AL192" s="20" t="n">
        <f aca="false">SUM(AL187:AL191)</f>
        <v>2.7</v>
      </c>
      <c r="AM192" s="20" t="n">
        <f aca="false">SUM(AM187:AM191)</f>
        <v>32.6</v>
      </c>
      <c r="AN192" s="20" t="n">
        <f aca="false">SUM(AN187:AN191)</f>
        <v>0</v>
      </c>
      <c r="AO192" s="20" t="n">
        <f aca="false">SUM(AO187:AO191)</f>
        <v>0</v>
      </c>
      <c r="AP192" s="20" t="n">
        <f aca="false">SUM(AP187:AP191)</f>
        <v>0</v>
      </c>
      <c r="AQ192" s="20" t="n">
        <f aca="false">SUM(AQ187:AQ191)</f>
        <v>0</v>
      </c>
      <c r="AR192" s="20" t="n">
        <f aca="false">SUM(AR187:AR191)</f>
        <v>0</v>
      </c>
      <c r="AS192" s="20" t="n">
        <f aca="false">SUM(AS187:AS191)</f>
        <v>0</v>
      </c>
      <c r="AT192" s="20" t="n">
        <f aca="false">SUM(AT187:AT191)</f>
        <v>0</v>
      </c>
      <c r="AU192" s="20" t="n">
        <f aca="false">SUM(AU187:AU191)</f>
        <v>0</v>
      </c>
      <c r="AV192" s="20" t="n">
        <f aca="false">SUM(AV187:AV191)</f>
        <v>0</v>
      </c>
      <c r="AW192" s="20" t="n">
        <f aca="false">SUM(AW187:AW191)</f>
        <v>0</v>
      </c>
      <c r="AX192" s="20" t="n">
        <f aca="false">SUM(AX187:AX191)</f>
        <v>0</v>
      </c>
      <c r="AY192" s="20" t="n">
        <f aca="false">SUM(AY187:AY191)</f>
        <v>0</v>
      </c>
      <c r="AZ192" s="20" t="n">
        <f aca="false">SUM(AZ187:AZ191)</f>
        <v>9.6</v>
      </c>
      <c r="BA192" s="20" t="n">
        <f aca="false">SUM(BA187:BA191)</f>
        <v>9.7</v>
      </c>
      <c r="BB192" s="20" t="n">
        <f aca="false">SUM(BB187:BB191)</f>
        <v>19.3</v>
      </c>
      <c r="BC192" s="20" t="n">
        <f aca="false">SUM(BC187:BC191)</f>
        <v>9.9</v>
      </c>
      <c r="BD192" s="20" t="n">
        <f aca="false">SUM(BD187:BD191)</f>
        <v>9.6</v>
      </c>
      <c r="BE192" s="20" t="n">
        <f aca="false">SUM(BE187:BE191)</f>
        <v>38.8</v>
      </c>
      <c r="BF192" s="20" t="n">
        <f aca="false">SUM(BF187:BF191)</f>
        <v>15.7</v>
      </c>
      <c r="BG192" s="20" t="n">
        <f aca="false">SUM(BG187:BG191)</f>
        <v>150.7</v>
      </c>
      <c r="BH192" s="20" t="n">
        <f aca="false">SUM(BH187:BH191)</f>
        <v>166.4</v>
      </c>
      <c r="BI192" s="20" t="n">
        <f aca="false">SUM(BI187:BI191)</f>
        <v>92.3</v>
      </c>
      <c r="BJ192" s="20" t="n">
        <f aca="false">SUM(BJ187:BJ191)</f>
        <v>100</v>
      </c>
      <c r="BK192" s="20" t="n">
        <f aca="false">SUM(BK187:BK191)</f>
        <v>358.7</v>
      </c>
      <c r="BL192" s="20" t="n">
        <f aca="false">SUM(BL187:BL191)</f>
        <v>53.6</v>
      </c>
      <c r="BM192" s="20" t="n">
        <f aca="false">SUM(BM187:BM191)</f>
        <v>51.3</v>
      </c>
      <c r="BN192" s="20" t="n">
        <f aca="false">SUM(BN187:BN191)</f>
        <v>104.9</v>
      </c>
      <c r="BO192" s="20" t="n">
        <f aca="false">SUM(BO187:BO191)</f>
        <v>48.9</v>
      </c>
      <c r="BP192" s="20" t="n">
        <f aca="false">SUM(BP187:BP191)</f>
        <v>43.9</v>
      </c>
      <c r="BQ192" s="20" t="n">
        <f aca="false">SUM(BQ187:BQ191)</f>
        <v>197.7</v>
      </c>
      <c r="BR192" s="20" t="n">
        <f aca="false">SUM(BR187:BR191)</f>
        <v>49.7</v>
      </c>
      <c r="BS192" s="20" t="n">
        <f aca="false">SUM(BS187:BS191)</f>
        <v>49.3</v>
      </c>
      <c r="BT192" s="20" t="n">
        <f aca="false">SUM(BT187:BT191)</f>
        <v>99</v>
      </c>
      <c r="BU192" s="20" t="n">
        <f aca="false">SUM(BU187:BU191)</f>
        <v>54.9</v>
      </c>
      <c r="BV192" s="20" t="n">
        <f aca="false">SUM(BV187:BV191)</f>
        <v>51.6</v>
      </c>
      <c r="BW192" s="20" t="n">
        <f aca="false">SUM(BW187:BW191)</f>
        <v>205.5</v>
      </c>
      <c r="BX192" s="20" t="n">
        <f aca="false">SUM(BX187:BX191)</f>
        <v>51.6</v>
      </c>
      <c r="BY192" s="20" t="n">
        <f aca="false">SUM(BY187:BY191)</f>
        <v>50.1</v>
      </c>
      <c r="BZ192" s="20" t="n">
        <f aca="false">SUM(BZ187:BZ191)</f>
        <v>101.7</v>
      </c>
      <c r="CA192" s="20" t="n">
        <f aca="false">SUM(CA187:CA191)</f>
        <v>53.5</v>
      </c>
      <c r="CB192" s="20" t="n">
        <f aca="false">SUM(CB187:CB191)</f>
        <v>103.7</v>
      </c>
      <c r="CC192" s="20" t="n">
        <f aca="false">SUM(CC187:CC191)</f>
        <v>258.9</v>
      </c>
      <c r="CD192" s="20" t="n">
        <f aca="false">SUM(CD187:CD191)</f>
        <v>59.4</v>
      </c>
      <c r="CE192" s="20" t="n">
        <f aca="false">SUM(CE187:CE191)</f>
        <v>57.7</v>
      </c>
      <c r="CF192" s="20" t="n">
        <f aca="false">SUM(CF187:CF191)</f>
        <v>117.1</v>
      </c>
      <c r="CG192" s="20" t="n">
        <f aca="false">SUM(CG187:CG191)</f>
        <v>57.2</v>
      </c>
      <c r="CH192" s="20" t="n">
        <f aca="false">SUM(CH187:CH191)</f>
        <v>55.9</v>
      </c>
      <c r="CI192" s="20" t="n">
        <f aca="false">SUM(CI187:CI191)</f>
        <v>230.2</v>
      </c>
      <c r="CJ192" s="20" t="n">
        <f aca="false">SUM(CJ187:CJ191)</f>
        <v>57.8</v>
      </c>
      <c r="CK192" s="20" t="n">
        <f aca="false">SUM(CK187:CK191)</f>
        <v>56.2</v>
      </c>
      <c r="CL192" s="20" t="n">
        <f aca="false">SUM(CL187:CL191)</f>
        <v>114</v>
      </c>
      <c r="CM192" s="22" t="n">
        <f aca="false">SUM(CM187:CM191)</f>
        <v>56.7</v>
      </c>
      <c r="CN192" s="22" t="n">
        <f aca="false">SUM(CN187:CN191)</f>
        <v>56.7</v>
      </c>
      <c r="CO192" s="22" t="n">
        <f aca="false">SUM(CJ192,CK192,CM192,CN192)</f>
        <v>227.4</v>
      </c>
      <c r="CP192" s="22" t="n">
        <f aca="false">SUM(CP187:CP191)</f>
        <v>227.7375</v>
      </c>
      <c r="CQ192" s="22" t="n">
        <f aca="false">SUM(CQ187:CQ191)</f>
        <v>250.358333333333</v>
      </c>
      <c r="CR192" s="22" t="n">
        <f aca="false">SUM(CR187:CR191)</f>
        <v>235.625</v>
      </c>
      <c r="CS192" s="22" t="n">
        <f aca="false">SUM(CS187:CS191)</f>
        <v>238.591666666667</v>
      </c>
      <c r="CT192" s="23"/>
      <c r="CV192" s="7"/>
      <c r="CW192" s="7"/>
      <c r="CX192" s="7"/>
      <c r="CY192" s="7"/>
    </row>
    <row r="193" customFormat="false" ht="15" hidden="false" customHeight="true" outlineLevel="0" collapsed="false">
      <c r="B193" s="34" t="s">
        <v>303</v>
      </c>
      <c r="C193" s="35" t="str">
        <f aca="false">IF(ISNUMBER(C195),C186+C192,"")</f>
        <v/>
      </c>
      <c r="D193" s="35" t="str">
        <f aca="false">IF(ISNUMBER(D195),D186+D192,"")</f>
        <v/>
      </c>
      <c r="E193" s="35" t="str">
        <f aca="false">IF(ISNUMBER(E195),E186+E192,"")</f>
        <v/>
      </c>
      <c r="F193" s="35" t="str">
        <f aca="false">IF(ISNUMBER(F195),F186+F192,"")</f>
        <v/>
      </c>
      <c r="G193" s="35" t="str">
        <f aca="false">IF(ISNUMBER(G195),G186+G192,"")</f>
        <v/>
      </c>
      <c r="H193" s="35" t="str">
        <f aca="false">IF(ISNUMBER(H195),H186+H192,"")</f>
        <v/>
      </c>
      <c r="I193" s="35" t="str">
        <f aca="false">IF(ISNUMBER(I195),I186+I192,"")</f>
        <v/>
      </c>
      <c r="J193" s="20" t="str">
        <f aca="false">IF(ISNUMBER(J195),J186+J192,"")</f>
        <v/>
      </c>
      <c r="K193" s="20" t="str">
        <f aca="false">IF(ISNUMBER(K195),K186+K192,"")</f>
        <v/>
      </c>
      <c r="L193" s="20" t="str">
        <f aca="false">IF(ISNUMBER(L195),L186+L192,"")</f>
        <v/>
      </c>
      <c r="M193" s="20" t="str">
        <f aca="false">IF(ISNUMBER(M195),M186+M192,"")</f>
        <v/>
      </c>
      <c r="N193" s="20" t="str">
        <f aca="false">IF(ISNUMBER(N195),N186+N192,"")</f>
        <v/>
      </c>
      <c r="O193" s="35" t="str">
        <f aca="false">IF(ISNUMBER(O195),O186+O192,"")</f>
        <v/>
      </c>
      <c r="P193" s="20" t="str">
        <f aca="false">IF(ISNUMBER(P195),P186+P192,"")</f>
        <v/>
      </c>
      <c r="Q193" s="20" t="str">
        <f aca="false">IF(ISNUMBER(Q195),Q186+Q192,"")</f>
        <v/>
      </c>
      <c r="R193" s="20" t="str">
        <f aca="false">IF(ISNUMBER(R195),R186+R192,"")</f>
        <v/>
      </c>
      <c r="S193" s="20" t="str">
        <f aca="false">IF(ISNUMBER(S195),S186+S192,"")</f>
        <v/>
      </c>
      <c r="T193" s="20" t="str">
        <f aca="false">IF(ISNUMBER(T195),T186+T192,"")</f>
        <v/>
      </c>
      <c r="U193" s="35" t="str">
        <f aca="false">IF(ISNUMBER(U195),U186+U192,"")</f>
        <v/>
      </c>
      <c r="V193" s="20" t="str">
        <f aca="false">IF(ISNUMBER(V195),V186+V192,"")</f>
        <v/>
      </c>
      <c r="W193" s="20" t="str">
        <f aca="false">IF(ISNUMBER(W195),W186+W192,"")</f>
        <v/>
      </c>
      <c r="X193" s="20" t="str">
        <f aca="false">IF(ISNUMBER(X195),X186+X192,"")</f>
        <v/>
      </c>
      <c r="Y193" s="20" t="str">
        <f aca="false">IF(ISNUMBER(Y195),Y186+Y192,"")</f>
        <v/>
      </c>
      <c r="Z193" s="20" t="str">
        <f aca="false">IF(ISNUMBER(Z195),Z186+Z192,"")</f>
        <v/>
      </c>
      <c r="AA193" s="35" t="str">
        <f aca="false">IF(ISNUMBER(AA195),AA186+AA192,"")</f>
        <v/>
      </c>
      <c r="AB193" s="20" t="n">
        <f aca="false">IF(ISNUMBER(AB195),AB186+AB192,"")</f>
        <v>60.9</v>
      </c>
      <c r="AC193" s="20" t="n">
        <f aca="false">IF(ISNUMBER(AC195),AC186+AC192,"")</f>
        <v>53.6000000000001</v>
      </c>
      <c r="AD193" s="20" t="n">
        <f aca="false">IF(ISNUMBER(AD195),AD186+AD192,"")</f>
        <v>114.5</v>
      </c>
      <c r="AE193" s="20" t="n">
        <f aca="false">IF(ISNUMBER(AE195),AE186+AE192,"")</f>
        <v>68.8</v>
      </c>
      <c r="AF193" s="20" t="n">
        <f aca="false">IF(ISNUMBER(AF195),AF186+AF192,"")</f>
        <v>72.4</v>
      </c>
      <c r="AG193" s="35" t="n">
        <f aca="false">IF(ISNUMBER(AG195),AG186+AG192,"")</f>
        <v>255.7</v>
      </c>
      <c r="AH193" s="20" t="n">
        <f aca="false">IF(ISNUMBER(AH195),AH186+AH192,"")</f>
        <v>71</v>
      </c>
      <c r="AI193" s="20" t="n">
        <f aca="false">IF(ISNUMBER(AI195),AI186+AI192,"")</f>
        <v>90.2000000000001</v>
      </c>
      <c r="AJ193" s="20" t="n">
        <f aca="false">IF(ISNUMBER(AJ195),AJ186+AJ192,"")</f>
        <v>161.2</v>
      </c>
      <c r="AK193" s="20" t="n">
        <f aca="false">IF(ISNUMBER(AK195),AK186+AK192,"")</f>
        <v>95.8</v>
      </c>
      <c r="AL193" s="20" t="n">
        <f aca="false">IF(ISNUMBER(AL195),AL186+AL192,"")</f>
        <v>97.3</v>
      </c>
      <c r="AM193" s="35" t="n">
        <f aca="false">IF(ISNUMBER(AM195),AM186+AM192,"")</f>
        <v>354.3</v>
      </c>
      <c r="AN193" s="20" t="str">
        <f aca="false">IF(ISNUMBER(AN195),AN186+AN192,"")</f>
        <v/>
      </c>
      <c r="AO193" s="20" t="str">
        <f aca="false">IF(ISNUMBER(AO195),AO186+AO192,"")</f>
        <v/>
      </c>
      <c r="AP193" s="20" t="str">
        <f aca="false">IF(ISNUMBER(AP195),AP186+AP192,"")</f>
        <v/>
      </c>
      <c r="AQ193" s="20" t="str">
        <f aca="false">IF(ISNUMBER(AQ195),AQ186+AQ192,"")</f>
        <v/>
      </c>
      <c r="AR193" s="20" t="str">
        <f aca="false">IF(ISNUMBER(AR195),AR186+AR192,"")</f>
        <v/>
      </c>
      <c r="AS193" s="35" t="str">
        <f aca="false">IF(ISNUMBER(AS195),AS186+AS192,"")</f>
        <v/>
      </c>
      <c r="AT193" s="20" t="str">
        <f aca="false">IF(ISNUMBER(AT195),AT186+AT192,"")</f>
        <v/>
      </c>
      <c r="AU193" s="20" t="str">
        <f aca="false">IF(ISNUMBER(AU195),AU186+AU192,"")</f>
        <v/>
      </c>
      <c r="AV193" s="20" t="str">
        <f aca="false">IF(ISNUMBER(AV195),AV186+AV192,"")</f>
        <v/>
      </c>
      <c r="AW193" s="20" t="str">
        <f aca="false">IF(ISNUMBER(AW195),AW186+AW192,"")</f>
        <v/>
      </c>
      <c r="AX193" s="20" t="str">
        <f aca="false">IF(ISNUMBER(AX195),AX186+AX192,"")</f>
        <v/>
      </c>
      <c r="AY193" s="35" t="str">
        <f aca="false">IF(ISNUMBER(AY195),AY186+AY192,"")</f>
        <v/>
      </c>
      <c r="AZ193" s="20" t="n">
        <f aca="false">IF(ISNUMBER(AZ195),AZ186+AZ192,"")</f>
        <v>113.6</v>
      </c>
      <c r="BA193" s="20" t="n">
        <f aca="false">IF(ISNUMBER(BA195),BA186+BA192,"")</f>
        <v>119.5</v>
      </c>
      <c r="BB193" s="20" t="n">
        <f aca="false">IF(ISNUMBER(BB195),BB186+BB192,"")</f>
        <v>233.1</v>
      </c>
      <c r="BC193" s="20" t="n">
        <f aca="false">IF(ISNUMBER(BC195),BC186+BC192,"")</f>
        <v>132.4</v>
      </c>
      <c r="BD193" s="20" t="n">
        <f aca="false">IF(ISNUMBER(BD195),BD186+BD192,"")</f>
        <v>153.4</v>
      </c>
      <c r="BE193" s="35" t="n">
        <f aca="false">IF(ISNUMBER(BE195),BE186+BE192,"")</f>
        <v>518.9</v>
      </c>
      <c r="BF193" s="20" t="n">
        <f aca="false">IF(ISNUMBER(BF195),BF186+BF192,"")</f>
        <v>150.9</v>
      </c>
      <c r="BG193" s="20" t="n">
        <f aca="false">IF(ISNUMBER(BG195),BG186+BG192,"")</f>
        <v>255.1</v>
      </c>
      <c r="BH193" s="20" t="n">
        <f aca="false">IF(ISNUMBER(BH195),BH186+BH192,"")</f>
        <v>406</v>
      </c>
      <c r="BI193" s="20" t="n">
        <f aca="false">IF(ISNUMBER(BI195),BI186+BI192,"")</f>
        <v>281.9</v>
      </c>
      <c r="BJ193" s="20" t="n">
        <f aca="false">IF(ISNUMBER(BJ195),BJ186+BJ192,"")</f>
        <v>295.1</v>
      </c>
      <c r="BK193" s="35" t="n">
        <f aca="false">IF(ISNUMBER(BK195),BK186+BK192,"")</f>
        <v>983</v>
      </c>
      <c r="BL193" s="20" t="n">
        <f aca="false">IF(ISNUMBER(BL195),BL186+BL192,"")</f>
        <v>277.1</v>
      </c>
      <c r="BM193" s="20" t="n">
        <f aca="false">IF(ISNUMBER(BM195),BM186+BM192,"")</f>
        <v>280.8</v>
      </c>
      <c r="BN193" s="20" t="n">
        <f aca="false">IF(ISNUMBER(BN195),BN186+BN192,"")</f>
        <v>557.9</v>
      </c>
      <c r="BO193" s="20" t="n">
        <f aca="false">IF(ISNUMBER(BO195),BO186+BO192,"")</f>
        <v>294.1</v>
      </c>
      <c r="BP193" s="20" t="n">
        <f aca="false">IF(ISNUMBER(BP195),BP186+BP192,"")</f>
        <v>317.7</v>
      </c>
      <c r="BQ193" s="35" t="n">
        <f aca="false">IF(ISNUMBER(BQ195),BQ186+BQ192,"")</f>
        <v>1169.7</v>
      </c>
      <c r="BR193" s="20" t="n">
        <f aca="false">IF(ISNUMBER(BR195),BR186+BR192,"")</f>
        <v>292.2</v>
      </c>
      <c r="BS193" s="20" t="n">
        <f aca="false">IF(ISNUMBER(BS195),BS186+BS192,"")</f>
        <v>305.4</v>
      </c>
      <c r="BT193" s="20" t="n">
        <f aca="false">IF(ISNUMBER(BT195),BT186+BT192,"")</f>
        <v>597.6</v>
      </c>
      <c r="BU193" s="20" t="n">
        <f aca="false">IF(ISNUMBER(BU195),BU186+BU192,"")</f>
        <v>319.2</v>
      </c>
      <c r="BV193" s="20" t="n">
        <f aca="false">IF(ISNUMBER(BV195),BV186+BV192,"")</f>
        <v>323.1</v>
      </c>
      <c r="BW193" s="35" t="n">
        <f aca="false">IF(ISNUMBER(BW195),BW186+BW192,"")</f>
        <v>1239.9</v>
      </c>
      <c r="BX193" s="20" t="n">
        <f aca="false">IF(ISNUMBER(BX195),BX186+BX192,"")</f>
        <v>285.9</v>
      </c>
      <c r="BY193" s="20" t="n">
        <f aca="false">IF(ISNUMBER(BY195),BY186+BY192,"")</f>
        <v>297.1</v>
      </c>
      <c r="BZ193" s="20" t="n">
        <f aca="false">IF(ISNUMBER(BZ195),BZ186+BZ192,"")</f>
        <v>583</v>
      </c>
      <c r="CA193" s="20" t="n">
        <f aca="false">IF(ISNUMBER(CA195),CA186+CA192,"")</f>
        <v>324.2</v>
      </c>
      <c r="CB193" s="20" t="n">
        <f aca="false">IF(ISNUMBER(CB195),CB186+CB192,"")</f>
        <v>340.8</v>
      </c>
      <c r="CC193" s="35" t="n">
        <f aca="false">IF(ISNUMBER(CC195),CC186+CC192,"")</f>
        <v>1248</v>
      </c>
      <c r="CD193" s="20" t="n">
        <f aca="false">IF(ISNUMBER(CD195),CD186+CD192,"")</f>
        <v>318.7</v>
      </c>
      <c r="CE193" s="20" t="n">
        <f aca="false">IF(ISNUMBER(CE195),CE186+CE192,"")</f>
        <v>335.9</v>
      </c>
      <c r="CF193" s="20" t="n">
        <f aca="false">IF(ISNUMBER(CF195),CF186+CF192,"")</f>
        <v>654.6</v>
      </c>
      <c r="CG193" s="20" t="n">
        <f aca="false">IF(ISNUMBER(CG195),CG186+CG192,"")</f>
        <v>340</v>
      </c>
      <c r="CH193" s="20" t="n">
        <f aca="false">IF(ISNUMBER(CH195),CH186+CH192,"")</f>
        <v>385.4</v>
      </c>
      <c r="CI193" s="35" t="n">
        <f aca="false">IF(ISNUMBER(CI195),CI186+CI192,"")</f>
        <v>1380</v>
      </c>
      <c r="CJ193" s="20" t="n">
        <f aca="false">IF(ISNUMBER(CJ195),CJ186+CJ192,"")</f>
        <v>352</v>
      </c>
      <c r="CK193" s="20" t="n">
        <f aca="false">IF(ISNUMBER(CK195),CK186+CK192,"")</f>
        <v>389.4</v>
      </c>
      <c r="CL193" s="20" t="n">
        <f aca="false">IF(ISNUMBER(CL195),CL186+CL192,"")</f>
        <v>741.4</v>
      </c>
      <c r="CM193" s="35" t="n">
        <f aca="false">CM186+CM192</f>
        <v>375.445859872612</v>
      </c>
      <c r="CN193" s="35" t="n">
        <f aca="false">CN186+CN192</f>
        <v>391.880573248408</v>
      </c>
      <c r="CO193" s="35" t="n">
        <f aca="false">SUM(CJ193,CK193,CM193,CN193)</f>
        <v>1508.72643312102</v>
      </c>
      <c r="CP193" s="35" t="n">
        <f aca="false">CP186+CP192</f>
        <v>1677.45472734786</v>
      </c>
      <c r="CQ193" s="35" t="n">
        <f aca="false">CQ186+CQ192</f>
        <v>1855.91894608661</v>
      </c>
      <c r="CR193" s="35" t="n">
        <f aca="false">CR186+CR192</f>
        <v>2043.95312624164</v>
      </c>
      <c r="CS193" s="35" t="n">
        <f aca="false">CS186+CS192</f>
        <v>2245.6001435184</v>
      </c>
      <c r="CT193" s="23" t="s">
        <v>304</v>
      </c>
      <c r="CV193" s="24" t="n">
        <f aca="false">IFERROR((CS193/CI193)^(1/5)-1,"n/m")</f>
        <v>0.102276803635044</v>
      </c>
      <c r="CW193" s="24" t="n">
        <f aca="false">IFERROR((CI193/BE193)^(1/5)-1,"n/m")</f>
        <v>0.216071423628334</v>
      </c>
      <c r="CX193" s="24" t="str">
        <f aca="false">IFERROR((CI193/AA193)^(1/10)-1,"n/m")</f>
        <v>n/m</v>
      </c>
      <c r="CY193" s="24" t="str">
        <f aca="false">IFERROR((CI193/C193)^(1/19)-1,"n/m")</f>
        <v>n/m</v>
      </c>
    </row>
    <row r="194" customFormat="false" ht="15" hidden="false" customHeight="true" outlineLevel="0" collapsed="false">
      <c r="B194" s="26" t="s">
        <v>224</v>
      </c>
      <c r="C194" s="40" t="str">
        <f aca="false">IFERROR(C193/C152,"")</f>
        <v/>
      </c>
      <c r="D194" s="40" t="str">
        <f aca="false">IFERROR(D193/D152,"")</f>
        <v/>
      </c>
      <c r="E194" s="40" t="str">
        <f aca="false">IFERROR(E193/E152,"")</f>
        <v/>
      </c>
      <c r="F194" s="40" t="str">
        <f aca="false">IFERROR(F193/F152,"")</f>
        <v/>
      </c>
      <c r="G194" s="40" t="str">
        <f aca="false">IFERROR(G193/G152,"")</f>
        <v/>
      </c>
      <c r="H194" s="40" t="str">
        <f aca="false">IFERROR(H193/H152,"")</f>
        <v/>
      </c>
      <c r="I194" s="40" t="str">
        <f aca="false">IFERROR(I193/I152,"")</f>
        <v/>
      </c>
      <c r="J194" s="40" t="str">
        <f aca="false">IFERROR(J193/J152,"")</f>
        <v/>
      </c>
      <c r="K194" s="40" t="str">
        <f aca="false">IFERROR(K193/K152,"")</f>
        <v/>
      </c>
      <c r="L194" s="40" t="str">
        <f aca="false">IFERROR(L193/L152,"")</f>
        <v/>
      </c>
      <c r="M194" s="40" t="str">
        <f aca="false">IFERROR(M193/M152,"")</f>
        <v/>
      </c>
      <c r="N194" s="40" t="str">
        <f aca="false">IFERROR(N193/N152,"")</f>
        <v/>
      </c>
      <c r="O194" s="40" t="str">
        <f aca="false">IFERROR(O193/O152,"")</f>
        <v/>
      </c>
      <c r="P194" s="40" t="str">
        <f aca="false">IFERROR(P193/P152,"")</f>
        <v/>
      </c>
      <c r="Q194" s="40" t="str">
        <f aca="false">IFERROR(Q193/Q152,"")</f>
        <v/>
      </c>
      <c r="R194" s="40" t="str">
        <f aca="false">IFERROR(R193/R152,"")</f>
        <v/>
      </c>
      <c r="S194" s="40" t="str">
        <f aca="false">IFERROR(S193/S152,"")</f>
        <v/>
      </c>
      <c r="T194" s="40" t="str">
        <f aca="false">IFERROR(T193/T152,"")</f>
        <v/>
      </c>
      <c r="U194" s="40" t="str">
        <f aca="false">IFERROR(U193/U152,"")</f>
        <v/>
      </c>
      <c r="V194" s="40" t="str">
        <f aca="false">IFERROR(V193/V152,"")</f>
        <v/>
      </c>
      <c r="W194" s="40" t="str">
        <f aca="false">IFERROR(W193/W152,"")</f>
        <v/>
      </c>
      <c r="X194" s="40" t="str">
        <f aca="false">IFERROR(X193/X152,"")</f>
        <v/>
      </c>
      <c r="Y194" s="40" t="str">
        <f aca="false">IFERROR(Y193/Y152,"")</f>
        <v/>
      </c>
      <c r="Z194" s="40" t="str">
        <f aca="false">IFERROR(Z193/Z152,"")</f>
        <v/>
      </c>
      <c r="AA194" s="40" t="str">
        <f aca="false">IFERROR(AA193/AA152,"")</f>
        <v/>
      </c>
      <c r="AB194" s="40" t="n">
        <f aca="false">IFERROR(AB193/AB152,"")</f>
        <v>0.114797360980207</v>
      </c>
      <c r="AC194" s="40" t="n">
        <f aca="false">IFERROR(AC193/AC152,"")</f>
        <v>0.0993144339447842</v>
      </c>
      <c r="AD194" s="40" t="n">
        <f aca="false">IFERROR(AD193/AD152,"")</f>
        <v>0.106989347785461</v>
      </c>
      <c r="AE194" s="40" t="n">
        <f aca="false">IFERROR(AE193/AE152,"")</f>
        <v>0.130599848139711</v>
      </c>
      <c r="AF194" s="40" t="n">
        <f aca="false">IFERROR(AF193/AF152,"")</f>
        <v>0.130945921504793</v>
      </c>
      <c r="AG194" s="40" t="n">
        <f aca="false">IFERROR(AG193/AG152,"")</f>
        <v>0.118935764454161</v>
      </c>
      <c r="AH194" s="40" t="n">
        <f aca="false">IFERROR(AH193/AH152,"")</f>
        <v>0.125419537184243</v>
      </c>
      <c r="AI194" s="40" t="n">
        <f aca="false">IFERROR(AI193/AI152,"")</f>
        <v>0.134406198778126</v>
      </c>
      <c r="AJ194" s="40" t="n">
        <f aca="false">IFERROR(AJ193/AJ152,"")</f>
        <v>0.130294212738442</v>
      </c>
      <c r="AK194" s="40" t="n">
        <f aca="false">IFERROR(AK193/AK152,"")</f>
        <v>0.144669284204168</v>
      </c>
      <c r="AL194" s="40" t="n">
        <f aca="false">IFERROR(AL193/AL152,"")</f>
        <v>0.138131743327655</v>
      </c>
      <c r="AM194" s="40" t="n">
        <f aca="false">IFERROR(AM193/AM152,"")</f>
        <v>0.136070358706506</v>
      </c>
      <c r="AN194" s="40" t="str">
        <f aca="false">IFERROR(AN193/AN152,"")</f>
        <v/>
      </c>
      <c r="AO194" s="40" t="str">
        <f aca="false">IFERROR(AO193/AO152,"")</f>
        <v/>
      </c>
      <c r="AP194" s="40" t="str">
        <f aca="false">IFERROR(AP193/AP152,"")</f>
        <v/>
      </c>
      <c r="AQ194" s="40" t="str">
        <f aca="false">IFERROR(AQ193/AQ152,"")</f>
        <v/>
      </c>
      <c r="AR194" s="40" t="str">
        <f aca="false">IFERROR(AR193/AR152,"")</f>
        <v/>
      </c>
      <c r="AS194" s="40" t="str">
        <f aca="false">IFERROR(AS193/AS152,"")</f>
        <v/>
      </c>
      <c r="AT194" s="40" t="str">
        <f aca="false">IFERROR(AT193/AT152,"")</f>
        <v/>
      </c>
      <c r="AU194" s="40" t="str">
        <f aca="false">IFERROR(AU193/AU152,"")</f>
        <v/>
      </c>
      <c r="AV194" s="40" t="str">
        <f aca="false">IFERROR(AV193/AV152,"")</f>
        <v/>
      </c>
      <c r="AW194" s="40" t="str">
        <f aca="false">IFERROR(AW193/AW152,"")</f>
        <v/>
      </c>
      <c r="AX194" s="40" t="str">
        <f aca="false">IFERROR(AX193/AX152,"")</f>
        <v/>
      </c>
      <c r="AY194" s="40" t="str">
        <f aca="false">IFERROR(AY193/AY152,"")</f>
        <v/>
      </c>
      <c r="AZ194" s="40" t="n">
        <f aca="false">IFERROR(AZ193/AZ152,"")</f>
        <v>0.144787152689268</v>
      </c>
      <c r="BA194" s="40" t="n">
        <f aca="false">IFERROR(BA193/BA152,"")</f>
        <v>0.160769541235033</v>
      </c>
      <c r="BB194" s="40" t="n">
        <f aca="false">IFERROR(BB193/BB152,"")</f>
        <v>0.152562340467308</v>
      </c>
      <c r="BC194" s="40" t="n">
        <f aca="false">IFERROR(BC193/BC152,"")</f>
        <v>0.176769025367156</v>
      </c>
      <c r="BD194" s="40" t="n">
        <f aca="false">IFERROR(BD193/BD152,"")</f>
        <v>0.189546521685407</v>
      </c>
      <c r="BE194" s="40" t="n">
        <f aca="false">IFERROR(BE193/BE152,"")</f>
        <v>0.168135571252673</v>
      </c>
      <c r="BF194" s="40" t="n">
        <f aca="false">IFERROR(BF193/BF152,"")</f>
        <v>0.187290554797071</v>
      </c>
      <c r="BG194" s="40" t="n">
        <f aca="false">IFERROR(BG193/BG152,"")</f>
        <v>0.227564674397859</v>
      </c>
      <c r="BH194" s="40" t="n">
        <f aca="false">IFERROR(BH193/BH152,"")</f>
        <v>0.210722997872009</v>
      </c>
      <c r="BI194" s="40" t="n">
        <f aca="false">IFERROR(BI193/BI152,"")</f>
        <v>0.214879182864548</v>
      </c>
      <c r="BJ194" s="40" t="n">
        <f aca="false">IFERROR(BJ193/BJ152,"")</f>
        <v>0.214508977247947</v>
      </c>
      <c r="BK194" s="40" t="n">
        <f aca="false">IFERROR(BK193/BK152,"")</f>
        <v>0.213033396181436</v>
      </c>
      <c r="BL194" s="40" t="n">
        <f aca="false">IFERROR(BL193/BL152,"")</f>
        <v>0.209765329295988</v>
      </c>
      <c r="BM194" s="40" t="n">
        <f aca="false">IFERROR(BM193/BM152,"")</f>
        <v>0.207110193243841</v>
      </c>
      <c r="BN194" s="40" t="n">
        <f aca="false">IFERROR(BN193/BN152,"")</f>
        <v>0.20842050209205</v>
      </c>
      <c r="BO194" s="40" t="n">
        <f aca="false">IFERROR(BO193/BO152,"")</f>
        <v>0.215679084775594</v>
      </c>
      <c r="BP194" s="40" t="n">
        <f aca="false">IFERROR(BP193/BP152,"")</f>
        <v>0.224016358764631</v>
      </c>
      <c r="BQ194" s="40" t="n">
        <f aca="false">IFERROR(BQ193/BQ152,"")</f>
        <v>0.214285714285714</v>
      </c>
      <c r="BR194" s="40" t="n">
        <f aca="false">IFERROR(BR193/BR152,"")</f>
        <v>0.21123400563869</v>
      </c>
      <c r="BS194" s="40" t="n">
        <f aca="false">IFERROR(BS193/BS152,"")</f>
        <v>0.214360918088019</v>
      </c>
      <c r="BT194" s="40" t="n">
        <f aca="false">IFERROR(BT193/BT152,"")</f>
        <v>0.212820512820513</v>
      </c>
      <c r="BU194" s="40" t="n">
        <f aca="false">IFERROR(BU193/BU152,"")</f>
        <v>0.2275935828877</v>
      </c>
      <c r="BV194" s="40" t="n">
        <f aca="false">IFERROR(BV193/BV152,"")</f>
        <v>0.226736842105263</v>
      </c>
      <c r="BW194" s="40" t="n">
        <f aca="false">IFERROR(BW193/BW152,"")</f>
        <v>0.220015970188981</v>
      </c>
      <c r="BX194" s="40" t="n">
        <f aca="false">IFERROR(BX193/BX152,"")</f>
        <v>0.211762091696911</v>
      </c>
      <c r="BY194" s="40" t="n">
        <f aca="false">IFERROR(BY193/BY152,"")</f>
        <v>0.216214249326832</v>
      </c>
      <c r="BZ194" s="40" t="n">
        <f aca="false">IFERROR(BZ193/BZ152,"")</f>
        <v>0.214007782101167</v>
      </c>
      <c r="CA194" s="40" t="n">
        <f aca="false">IFERROR(CA193/CA152,"")</f>
        <v>0.224593003117423</v>
      </c>
      <c r="CB194" s="40" t="n">
        <f aca="false">IFERROR(CB193/CB152,"")</f>
        <v>0.226852160021301</v>
      </c>
      <c r="CC194" s="40" t="n">
        <f aca="false">IFERROR(CC193/CC152,"")</f>
        <v>0.22010582010582</v>
      </c>
      <c r="CD194" s="40" t="n">
        <f aca="false">IFERROR(CD193/CD152,"")</f>
        <v>0.219808262638803</v>
      </c>
      <c r="CE194" s="40" t="n">
        <f aca="false">IFERROR(CE193/CE152,"")</f>
        <v>0.221906586509876</v>
      </c>
      <c r="CF194" s="40" t="n">
        <f aca="false">IFERROR(CF193/CF152,"")</f>
        <v>0.220880010797679</v>
      </c>
      <c r="CG194" s="40" t="n">
        <f aca="false">IFERROR(CG193/CG152,"")</f>
        <v>0.220850925625203</v>
      </c>
      <c r="CH194" s="40" t="n">
        <f aca="false">IFERROR(CH193/CH152,"")</f>
        <v>0.239037399987595</v>
      </c>
      <c r="CI194" s="40" t="n">
        <f aca="false">IFERROR(CI193/CI152,"")</f>
        <v>0.225659809660856</v>
      </c>
      <c r="CJ194" s="40" t="n">
        <f aca="false">IFERROR(CJ193/CJ152,"")</f>
        <v>0.225626562399846</v>
      </c>
      <c r="CK194" s="40" t="n">
        <f aca="false">IFERROR(CK193/CK152,"")</f>
        <v>0.234225563909774</v>
      </c>
      <c r="CL194" s="40" t="n">
        <f aca="false">IFERROR(CL193/CL152,"")</f>
        <v>0.230062682306212</v>
      </c>
      <c r="CM194" s="28" t="n">
        <f aca="false">IFERROR(CM193/CM152,"")</f>
        <v>0.222003088976109</v>
      </c>
      <c r="CN194" s="28" t="n">
        <f aca="false">IFERROR(CN193/CN152,"")</f>
        <v>0.221112431187458</v>
      </c>
      <c r="CO194" s="28" t="n">
        <f aca="false">IFERROR(CO193/CO152,"")</f>
        <v>0.225651608378632</v>
      </c>
      <c r="CP194" s="28" t="n">
        <f aca="false">IFERROR(CP193/CP152,"")</f>
        <v>0.233628963721645</v>
      </c>
      <c r="CQ194" s="28" t="n">
        <f aca="false">IFERROR(CQ193/CQ152,"")</f>
        <v>0.23652990542569</v>
      </c>
      <c r="CR194" s="28" t="n">
        <f aca="false">IFERROR(CR193/CR152,"")</f>
        <v>0.238748055526162</v>
      </c>
      <c r="CS194" s="28" t="n">
        <f aca="false">IFERROR(CS193/CS152,"")</f>
        <v>0.241270364889337</v>
      </c>
      <c r="CT194" s="23"/>
      <c r="CV194" s="41" t="n">
        <f aca="false">IFERROR(AVERAGE(CO194,CP194,CQ194,CR194,CS194),"n/m")</f>
        <v>0.235165779588293</v>
      </c>
      <c r="CW194" s="41" t="n">
        <f aca="false">IFERROR(AVERAGE(BK194,BQ194,BW194,CC194,CI194),"n/m")</f>
        <v>0.218620142084561</v>
      </c>
      <c r="CX194" s="41" t="n">
        <f aca="false">IFERROR(AVERAGE(AG194,AM194,AS194,AY194,BE194,BK194,BQ194,BW194,CC194,CI194),"n/m")</f>
        <v>0.189530300604518</v>
      </c>
      <c r="CY194" s="41" t="n">
        <f aca="false">IFERROR(AVERAGE(C194,D194,E194,F194,G194,H194,I194,O194,U194,AA194,AG194,AM194,AS194,AY194,BE194,BK194,BQ194,BW194,CC194,CI194),"n/m")</f>
        <v>0.189530300604518</v>
      </c>
    </row>
    <row r="195" customFormat="false" ht="15" hidden="false" customHeight="true" outlineLevel="0" collapsed="false">
      <c r="B195" s="37" t="s">
        <v>305</v>
      </c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1" t="n">
        <v>60.9</v>
      </c>
      <c r="AC195" s="31" t="n">
        <v>53.6</v>
      </c>
      <c r="AD195" s="30" t="n">
        <f aca="false">AB195+AC195</f>
        <v>114.5</v>
      </c>
      <c r="AE195" s="31" t="n">
        <v>68.8</v>
      </c>
      <c r="AF195" s="31" t="n">
        <v>72.4</v>
      </c>
      <c r="AG195" s="31" t="n">
        <v>255.7</v>
      </c>
      <c r="AH195" s="31" t="n">
        <v>71</v>
      </c>
      <c r="AI195" s="31" t="n">
        <v>90.2</v>
      </c>
      <c r="AJ195" s="30" t="n">
        <f aca="false">AH195+AI195</f>
        <v>161.2</v>
      </c>
      <c r="AK195" s="31" t="n">
        <v>95.8</v>
      </c>
      <c r="AL195" s="31" t="n">
        <v>97.3</v>
      </c>
      <c r="AM195" s="31" t="n">
        <v>354.3</v>
      </c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1" t="n">
        <v>113.6</v>
      </c>
      <c r="BA195" s="31" t="n">
        <v>119.5</v>
      </c>
      <c r="BB195" s="30" t="n">
        <f aca="false">AZ195+BA195</f>
        <v>233.1</v>
      </c>
      <c r="BC195" s="31" t="n">
        <v>132.4</v>
      </c>
      <c r="BD195" s="31" t="n">
        <v>153.4</v>
      </c>
      <c r="BE195" s="31" t="n">
        <v>518.9</v>
      </c>
      <c r="BF195" s="31" t="n">
        <v>150.9</v>
      </c>
      <c r="BG195" s="31" t="n">
        <v>255.1</v>
      </c>
      <c r="BH195" s="30" t="n">
        <f aca="false">BF195+BG195</f>
        <v>406</v>
      </c>
      <c r="BI195" s="31" t="n">
        <v>281.9</v>
      </c>
      <c r="BJ195" s="31" t="n">
        <v>295.1</v>
      </c>
      <c r="BK195" s="31" t="n">
        <v>983</v>
      </c>
      <c r="BL195" s="31" t="n">
        <v>277.1</v>
      </c>
      <c r="BM195" s="31" t="n">
        <v>280.8</v>
      </c>
      <c r="BN195" s="30" t="n">
        <f aca="false">BL195+BM195</f>
        <v>557.9</v>
      </c>
      <c r="BO195" s="31" t="n">
        <v>294.1</v>
      </c>
      <c r="BP195" s="31" t="n">
        <v>317.7</v>
      </c>
      <c r="BQ195" s="31" t="n">
        <v>1169.7</v>
      </c>
      <c r="BR195" s="31" t="n">
        <v>292.2</v>
      </c>
      <c r="BS195" s="31" t="n">
        <v>305.4</v>
      </c>
      <c r="BT195" s="30" t="n">
        <f aca="false">BR195+BS195</f>
        <v>597.6</v>
      </c>
      <c r="BU195" s="31" t="n">
        <v>319.2</v>
      </c>
      <c r="BV195" s="31" t="n">
        <v>323.1</v>
      </c>
      <c r="BW195" s="31" t="n">
        <v>1239.9</v>
      </c>
      <c r="BX195" s="31" t="n">
        <v>285.9</v>
      </c>
      <c r="BY195" s="31" t="n">
        <v>297.1</v>
      </c>
      <c r="BZ195" s="30" t="n">
        <f aca="false">BX195+BY195</f>
        <v>583</v>
      </c>
      <c r="CA195" s="31" t="n">
        <v>324.2</v>
      </c>
      <c r="CB195" s="31" t="n">
        <v>340.8</v>
      </c>
      <c r="CC195" s="31" t="n">
        <v>1248</v>
      </c>
      <c r="CD195" s="31" t="n">
        <v>318.7</v>
      </c>
      <c r="CE195" s="31" t="n">
        <v>335.9</v>
      </c>
      <c r="CF195" s="30" t="n">
        <f aca="false">CD195+CE195</f>
        <v>654.6</v>
      </c>
      <c r="CG195" s="31" t="n">
        <v>340</v>
      </c>
      <c r="CH195" s="31" t="n">
        <v>385.4</v>
      </c>
      <c r="CI195" s="31" t="n">
        <v>1380</v>
      </c>
      <c r="CJ195" s="31" t="n">
        <v>352</v>
      </c>
      <c r="CK195" s="31" t="n">
        <v>389.4</v>
      </c>
      <c r="CL195" s="30" t="n">
        <f aca="false">CJ195+CK195</f>
        <v>741.4</v>
      </c>
      <c r="CM195" s="32"/>
      <c r="CN195" s="32"/>
      <c r="CO195" s="32"/>
      <c r="CP195" s="32"/>
      <c r="CQ195" s="32"/>
      <c r="CR195" s="32"/>
      <c r="CS195" s="32"/>
      <c r="CT195" s="23"/>
      <c r="CV195" s="7"/>
      <c r="CW195" s="7"/>
      <c r="CX195" s="7"/>
      <c r="CY195" s="7"/>
    </row>
    <row r="196" customFormat="false" ht="15" hidden="false" customHeight="true" outlineLevel="0" collapsed="false">
      <c r="B196" s="39" t="s">
        <v>306</v>
      </c>
      <c r="C196" s="30" t="str">
        <f aca="false">IF(ISNUMBER(C195),ROUND(C193-C195,1),"n/p")</f>
        <v>n/p</v>
      </c>
      <c r="D196" s="30" t="str">
        <f aca="false">IF(ISNUMBER(D195),ROUND(D193-D195,1),"n/p")</f>
        <v>n/p</v>
      </c>
      <c r="E196" s="30" t="str">
        <f aca="false">IF(ISNUMBER(E195),ROUND(E193-E195,1),"n/p")</f>
        <v>n/p</v>
      </c>
      <c r="F196" s="30" t="str">
        <f aca="false">IF(ISNUMBER(F195),ROUND(F193-F195,1),"n/p")</f>
        <v>n/p</v>
      </c>
      <c r="G196" s="30" t="str">
        <f aca="false">IF(ISNUMBER(G195),ROUND(G193-G195,1),"n/p")</f>
        <v>n/p</v>
      </c>
      <c r="H196" s="30" t="str">
        <f aca="false">IF(ISNUMBER(H195),ROUND(H193-H195,1),"n/p")</f>
        <v>n/p</v>
      </c>
      <c r="I196" s="30" t="str">
        <f aca="false">IF(ISNUMBER(I195),ROUND(I193-I195,1),"n/p")</f>
        <v>n/p</v>
      </c>
      <c r="J196" s="30" t="str">
        <f aca="false">IF(ISNUMBER(J195),ROUND(J193-J195,1),"n/p")</f>
        <v>n/p</v>
      </c>
      <c r="K196" s="30" t="str">
        <f aca="false">IF(ISNUMBER(K195),ROUND(K193-K195,1),"n/p")</f>
        <v>n/p</v>
      </c>
      <c r="L196" s="30" t="str">
        <f aca="false">IF(ISNUMBER(L195),ROUND(L193-L195,1),"n/p")</f>
        <v>n/p</v>
      </c>
      <c r="M196" s="30" t="str">
        <f aca="false">IF(ISNUMBER(M195),ROUND(M193-M195,1),"n/p")</f>
        <v>n/p</v>
      </c>
      <c r="N196" s="30" t="str">
        <f aca="false">IF(ISNUMBER(N195),ROUND(N193-N195,1),"n/p")</f>
        <v>n/p</v>
      </c>
      <c r="O196" s="30" t="str">
        <f aca="false">IF(ISNUMBER(O195),ROUND(O193-O195,1),"n/p")</f>
        <v>n/p</v>
      </c>
      <c r="P196" s="30" t="str">
        <f aca="false">IF(ISNUMBER(P195),ROUND(P193-P195,1),"n/p")</f>
        <v>n/p</v>
      </c>
      <c r="Q196" s="30" t="str">
        <f aca="false">IF(ISNUMBER(Q195),ROUND(Q193-Q195,1),"n/p")</f>
        <v>n/p</v>
      </c>
      <c r="R196" s="30" t="str">
        <f aca="false">IF(ISNUMBER(R195),ROUND(R193-R195,1),"n/p")</f>
        <v>n/p</v>
      </c>
      <c r="S196" s="30" t="str">
        <f aca="false">IF(ISNUMBER(S195),ROUND(S193-S195,1),"n/p")</f>
        <v>n/p</v>
      </c>
      <c r="T196" s="30" t="str">
        <f aca="false">IF(ISNUMBER(T195),ROUND(T193-T195,1),"n/p")</f>
        <v>n/p</v>
      </c>
      <c r="U196" s="30" t="str">
        <f aca="false">IF(ISNUMBER(U195),ROUND(U193-U195,1),"n/p")</f>
        <v>n/p</v>
      </c>
      <c r="V196" s="30" t="str">
        <f aca="false">IF(ISNUMBER(V195),ROUND(V193-V195,1),"n/p")</f>
        <v>n/p</v>
      </c>
      <c r="W196" s="30" t="str">
        <f aca="false">IF(ISNUMBER(W195),ROUND(W193-W195,1),"n/p")</f>
        <v>n/p</v>
      </c>
      <c r="X196" s="30" t="str">
        <f aca="false">IF(ISNUMBER(X195),ROUND(X193-X195,1),"n/p")</f>
        <v>n/p</v>
      </c>
      <c r="Y196" s="30" t="str">
        <f aca="false">IF(ISNUMBER(Y195),ROUND(Y193-Y195,1),"n/p")</f>
        <v>n/p</v>
      </c>
      <c r="Z196" s="30" t="str">
        <f aca="false">IF(ISNUMBER(Z195),ROUND(Z193-Z195,1),"n/p")</f>
        <v>n/p</v>
      </c>
      <c r="AA196" s="30" t="str">
        <f aca="false">IF(ISNUMBER(AA195),ROUND(AA193-AA195,1),"n/p")</f>
        <v>n/p</v>
      </c>
      <c r="AB196" s="30" t="n">
        <f aca="false">IF(ISNUMBER(AB195),ROUND(AB193-AB195,1),"n/p")</f>
        <v>0</v>
      </c>
      <c r="AC196" s="30" t="n">
        <f aca="false">IF(ISNUMBER(AC195),ROUND(AC193-AC195,1),"n/p")</f>
        <v>0</v>
      </c>
      <c r="AD196" s="30" t="n">
        <f aca="false">IF(ISNUMBER(AD195),ROUND(AD193-AD195,1),"n/p")</f>
        <v>0</v>
      </c>
      <c r="AE196" s="30" t="n">
        <f aca="false">IF(ISNUMBER(AE195),ROUND(AE193-AE195,1),"n/p")</f>
        <v>0</v>
      </c>
      <c r="AF196" s="30" t="n">
        <f aca="false">IF(ISNUMBER(AF195),ROUND(AF193-AF195,1),"n/p")</f>
        <v>0</v>
      </c>
      <c r="AG196" s="30" t="n">
        <f aca="false">IF(ISNUMBER(AG195),ROUND(AG193-AG195,1),"n/p")</f>
        <v>0</v>
      </c>
      <c r="AH196" s="30" t="n">
        <f aca="false">IF(ISNUMBER(AH195),ROUND(AH193-AH195,1),"n/p")</f>
        <v>0</v>
      </c>
      <c r="AI196" s="30" t="n">
        <f aca="false">IF(ISNUMBER(AI195),ROUND(AI193-AI195,1),"n/p")</f>
        <v>0</v>
      </c>
      <c r="AJ196" s="30" t="n">
        <f aca="false">IF(ISNUMBER(AJ195),ROUND(AJ193-AJ195,1),"n/p")</f>
        <v>0</v>
      </c>
      <c r="AK196" s="30" t="n">
        <f aca="false">IF(ISNUMBER(AK195),ROUND(AK193-AK195,1),"n/p")</f>
        <v>0</v>
      </c>
      <c r="AL196" s="30" t="n">
        <f aca="false">IF(ISNUMBER(AL195),ROUND(AL193-AL195,1),"n/p")</f>
        <v>0</v>
      </c>
      <c r="AM196" s="30" t="n">
        <f aca="false">IF(ISNUMBER(AM195),ROUND(AM193-AM195,1),"n/p")</f>
        <v>0</v>
      </c>
      <c r="AN196" s="30" t="str">
        <f aca="false">IF(ISNUMBER(AN195),ROUND(AN193-AN195,1),"n/p")</f>
        <v>n/p</v>
      </c>
      <c r="AO196" s="30" t="str">
        <f aca="false">IF(ISNUMBER(AO195),ROUND(AO193-AO195,1),"n/p")</f>
        <v>n/p</v>
      </c>
      <c r="AP196" s="30" t="str">
        <f aca="false">IF(ISNUMBER(AP195),ROUND(AP193-AP195,1),"n/p")</f>
        <v>n/p</v>
      </c>
      <c r="AQ196" s="30" t="str">
        <f aca="false">IF(ISNUMBER(AQ195),ROUND(AQ193-AQ195,1),"n/p")</f>
        <v>n/p</v>
      </c>
      <c r="AR196" s="30" t="str">
        <f aca="false">IF(ISNUMBER(AR195),ROUND(AR193-AR195,1),"n/p")</f>
        <v>n/p</v>
      </c>
      <c r="AS196" s="30" t="str">
        <f aca="false">IF(ISNUMBER(AS195),ROUND(AS193-AS195,1),"n/p")</f>
        <v>n/p</v>
      </c>
      <c r="AT196" s="30" t="str">
        <f aca="false">IF(ISNUMBER(AT195),ROUND(AT193-AT195,1),"n/p")</f>
        <v>n/p</v>
      </c>
      <c r="AU196" s="30" t="str">
        <f aca="false">IF(ISNUMBER(AU195),ROUND(AU193-AU195,1),"n/p")</f>
        <v>n/p</v>
      </c>
      <c r="AV196" s="30" t="str">
        <f aca="false">IF(ISNUMBER(AV195),ROUND(AV193-AV195,1),"n/p")</f>
        <v>n/p</v>
      </c>
      <c r="AW196" s="30" t="str">
        <f aca="false">IF(ISNUMBER(AW195),ROUND(AW193-AW195,1),"n/p")</f>
        <v>n/p</v>
      </c>
      <c r="AX196" s="30" t="str">
        <f aca="false">IF(ISNUMBER(AX195),ROUND(AX193-AX195,1),"n/p")</f>
        <v>n/p</v>
      </c>
      <c r="AY196" s="30" t="str">
        <f aca="false">IF(ISNUMBER(AY195),ROUND(AY193-AY195,1),"n/p")</f>
        <v>n/p</v>
      </c>
      <c r="AZ196" s="30" t="n">
        <f aca="false">IF(ISNUMBER(AZ195),ROUND(AZ193-AZ195,1),"n/p")</f>
        <v>0</v>
      </c>
      <c r="BA196" s="30" t="n">
        <f aca="false">IF(ISNUMBER(BA195),ROUND(BA193-BA195,1),"n/p")</f>
        <v>0</v>
      </c>
      <c r="BB196" s="30" t="n">
        <f aca="false">IF(ISNUMBER(BB195),ROUND(BB193-BB195,1),"n/p")</f>
        <v>0</v>
      </c>
      <c r="BC196" s="30" t="n">
        <f aca="false">IF(ISNUMBER(BC195),ROUND(BC193-BC195,1),"n/p")</f>
        <v>0</v>
      </c>
      <c r="BD196" s="30" t="n">
        <f aca="false">IF(ISNUMBER(BD195),ROUND(BD193-BD195,1),"n/p")</f>
        <v>0</v>
      </c>
      <c r="BE196" s="30" t="n">
        <f aca="false">IF(ISNUMBER(BE195),ROUND(BE193-BE195,1),"n/p")</f>
        <v>0</v>
      </c>
      <c r="BF196" s="30" t="n">
        <f aca="false">IF(ISNUMBER(BF195),ROUND(BF193-BF195,1),"n/p")</f>
        <v>0</v>
      </c>
      <c r="BG196" s="30" t="n">
        <f aca="false">IF(ISNUMBER(BG195),ROUND(BG193-BG195,1),"n/p")</f>
        <v>0</v>
      </c>
      <c r="BH196" s="30" t="n">
        <f aca="false">IF(ISNUMBER(BH195),ROUND(BH193-BH195,1),"n/p")</f>
        <v>0</v>
      </c>
      <c r="BI196" s="30" t="n">
        <f aca="false">IF(ISNUMBER(BI195),ROUND(BI193-BI195,1),"n/p")</f>
        <v>0</v>
      </c>
      <c r="BJ196" s="30" t="n">
        <f aca="false">IF(ISNUMBER(BJ195),ROUND(BJ193-BJ195,1),"n/p")</f>
        <v>0</v>
      </c>
      <c r="BK196" s="30" t="n">
        <f aca="false">IF(ISNUMBER(BK195),ROUND(BK193-BK195,1),"n/p")</f>
        <v>0</v>
      </c>
      <c r="BL196" s="30" t="n">
        <f aca="false">IF(ISNUMBER(BL195),ROUND(BL193-BL195,1),"n/p")</f>
        <v>0</v>
      </c>
      <c r="BM196" s="30" t="n">
        <f aca="false">IF(ISNUMBER(BM195),ROUND(BM193-BM195,1),"n/p")</f>
        <v>0</v>
      </c>
      <c r="BN196" s="30" t="n">
        <f aca="false">IF(ISNUMBER(BN195),ROUND(BN193-BN195,1),"n/p")</f>
        <v>0</v>
      </c>
      <c r="BO196" s="30" t="n">
        <f aca="false">IF(ISNUMBER(BO195),ROUND(BO193-BO195,1),"n/p")</f>
        <v>0</v>
      </c>
      <c r="BP196" s="30" t="n">
        <f aca="false">IF(ISNUMBER(BP195),ROUND(BP193-BP195,1),"n/p")</f>
        <v>0</v>
      </c>
      <c r="BQ196" s="30" t="n">
        <f aca="false">IF(ISNUMBER(BQ195),ROUND(BQ193-BQ195,1),"n/p")</f>
        <v>0</v>
      </c>
      <c r="BR196" s="30" t="n">
        <f aca="false">IF(ISNUMBER(BR195),ROUND(BR193-BR195,1),"n/p")</f>
        <v>0</v>
      </c>
      <c r="BS196" s="30" t="n">
        <f aca="false">IF(ISNUMBER(BS195),ROUND(BS193-BS195,1),"n/p")</f>
        <v>0</v>
      </c>
      <c r="BT196" s="30" t="n">
        <f aca="false">IF(ISNUMBER(BT195),ROUND(BT193-BT195,1),"n/p")</f>
        <v>0</v>
      </c>
      <c r="BU196" s="30" t="n">
        <f aca="false">IF(ISNUMBER(BU195),ROUND(BU193-BU195,1),"n/p")</f>
        <v>0</v>
      </c>
      <c r="BV196" s="30" t="n">
        <f aca="false">IF(ISNUMBER(BV195),ROUND(BV193-BV195,1),"n/p")</f>
        <v>0</v>
      </c>
      <c r="BW196" s="30" t="n">
        <f aca="false">IF(ISNUMBER(BW195),ROUND(BW193-BW195,1),"n/p")</f>
        <v>0</v>
      </c>
      <c r="BX196" s="30" t="n">
        <f aca="false">IF(ISNUMBER(BX195),ROUND(BX193-BX195,1),"n/p")</f>
        <v>0</v>
      </c>
      <c r="BY196" s="30" t="n">
        <f aca="false">IF(ISNUMBER(BY195),ROUND(BY193-BY195,1),"n/p")</f>
        <v>0</v>
      </c>
      <c r="BZ196" s="30" t="n">
        <f aca="false">IF(ISNUMBER(BZ195),ROUND(BZ193-BZ195,1),"n/p")</f>
        <v>0</v>
      </c>
      <c r="CA196" s="30" t="n">
        <f aca="false">IF(ISNUMBER(CA195),ROUND(CA193-CA195,1),"n/p")</f>
        <v>0</v>
      </c>
      <c r="CB196" s="30" t="n">
        <f aca="false">IF(ISNUMBER(CB195),ROUND(CB193-CB195,1),"n/p")</f>
        <v>0</v>
      </c>
      <c r="CC196" s="30" t="n">
        <f aca="false">IF(ISNUMBER(CC195),ROUND(CC193-CC195,1),"n/p")</f>
        <v>0</v>
      </c>
      <c r="CD196" s="30" t="n">
        <f aca="false">IF(ISNUMBER(CD195),ROUND(CD193-CD195,1),"n/p")</f>
        <v>0</v>
      </c>
      <c r="CE196" s="30" t="n">
        <f aca="false">IF(ISNUMBER(CE195),ROUND(CE193-CE195,1),"n/p")</f>
        <v>0</v>
      </c>
      <c r="CF196" s="30" t="n">
        <f aca="false">IF(ISNUMBER(CF195),ROUND(CF193-CF195,1),"n/p")</f>
        <v>0</v>
      </c>
      <c r="CG196" s="30" t="n">
        <f aca="false">IF(ISNUMBER(CG195),ROUND(CG193-CG195,1),"n/p")</f>
        <v>0</v>
      </c>
      <c r="CH196" s="30" t="n">
        <f aca="false">IF(ISNUMBER(CH195),ROUND(CH193-CH195,1),"n/p")</f>
        <v>0</v>
      </c>
      <c r="CI196" s="30" t="n">
        <f aca="false">IF(ISNUMBER(CI195),ROUND(CI193-CI195,1),"n/p")</f>
        <v>0</v>
      </c>
      <c r="CJ196" s="30" t="n">
        <f aca="false">IF(ISNUMBER(CJ195),ROUND(CJ193-CJ195,1),"n/p")</f>
        <v>0</v>
      </c>
      <c r="CK196" s="30" t="n">
        <f aca="false">IF(ISNUMBER(CK195),ROUND(CK193-CK195,1),"n/p")</f>
        <v>0</v>
      </c>
      <c r="CL196" s="30" t="n">
        <f aca="false">IF(ISNUMBER(CL195),ROUND(CL193-CL195,1),"n/p")</f>
        <v>0</v>
      </c>
      <c r="CM196" s="32"/>
      <c r="CN196" s="32"/>
      <c r="CO196" s="32"/>
      <c r="CP196" s="32"/>
      <c r="CQ196" s="32"/>
      <c r="CR196" s="32"/>
      <c r="CS196" s="32"/>
      <c r="CT196" s="23"/>
      <c r="CV196" s="7"/>
      <c r="CW196" s="7"/>
      <c r="CX196" s="7"/>
      <c r="CY196" s="7"/>
    </row>
    <row r="197" customFormat="false" ht="15" hidden="false" customHeight="true" outlineLevel="0" collapsed="false">
      <c r="B197" s="62" t="s">
        <v>307</v>
      </c>
      <c r="C197" s="63" t="s">
        <v>308</v>
      </c>
      <c r="AF197" s="63" t="s">
        <v>309</v>
      </c>
      <c r="AG197" s="63" t="s">
        <v>310</v>
      </c>
      <c r="AS197" s="63" t="s">
        <v>311</v>
      </c>
      <c r="AZ197" s="63" t="s">
        <v>312</v>
      </c>
      <c r="BE197" s="63" t="s">
        <v>313</v>
      </c>
      <c r="BF197" s="63" t="s">
        <v>314</v>
      </c>
      <c r="BK197" s="63" t="s">
        <v>315</v>
      </c>
      <c r="BP197" s="63" t="s">
        <v>316</v>
      </c>
      <c r="BU197" s="63" t="s">
        <v>317</v>
      </c>
      <c r="CB197" s="63" t="s">
        <v>318</v>
      </c>
      <c r="CD197" s="63" t="s">
        <v>319</v>
      </c>
      <c r="CM197" s="7"/>
      <c r="CN197" s="7"/>
      <c r="CO197" s="7"/>
      <c r="CP197" s="7"/>
      <c r="CQ197" s="7"/>
      <c r="CR197" s="7"/>
      <c r="CS197" s="7"/>
      <c r="CT197" s="23" t="s">
        <v>320</v>
      </c>
      <c r="CV197" s="7"/>
      <c r="CW197" s="7"/>
      <c r="CX197" s="7"/>
      <c r="CY197" s="7"/>
    </row>
    <row r="198" customFormat="false" ht="15" hidden="false" customHeight="true" outlineLevel="0" collapsed="false">
      <c r="B198" s="37" t="s">
        <v>321</v>
      </c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  <c r="BD198" s="30"/>
      <c r="BE198" s="30"/>
      <c r="BF198" s="30"/>
      <c r="BG198" s="30"/>
      <c r="BH198" s="30"/>
      <c r="BI198" s="30"/>
      <c r="BJ198" s="30"/>
      <c r="BK198" s="30"/>
      <c r="BL198" s="30"/>
      <c r="BM198" s="30"/>
      <c r="BN198" s="30"/>
      <c r="BO198" s="30"/>
      <c r="BP198" s="30"/>
      <c r="BQ198" s="30"/>
      <c r="BR198" s="30"/>
      <c r="BS198" s="30"/>
      <c r="BT198" s="30"/>
      <c r="BU198" s="30"/>
      <c r="BV198" s="30"/>
      <c r="BW198" s="30"/>
      <c r="BX198" s="30"/>
      <c r="BY198" s="30"/>
      <c r="BZ198" s="30"/>
      <c r="CA198" s="30"/>
      <c r="CB198" s="30"/>
      <c r="CC198" s="30"/>
      <c r="CD198" s="30"/>
      <c r="CE198" s="30"/>
      <c r="CF198" s="30"/>
      <c r="CG198" s="30"/>
      <c r="CH198" s="30"/>
      <c r="CI198" s="30"/>
      <c r="CJ198" s="30"/>
      <c r="CK198" s="30"/>
      <c r="CL198" s="30"/>
      <c r="CM198" s="32"/>
      <c r="CN198" s="32"/>
      <c r="CO198" s="32"/>
      <c r="CP198" s="32"/>
      <c r="CQ198" s="32"/>
      <c r="CR198" s="32"/>
      <c r="CS198" s="32"/>
      <c r="CT198" s="23"/>
      <c r="CV198" s="7"/>
      <c r="CW198" s="7"/>
      <c r="CX198" s="7"/>
      <c r="CY198" s="7"/>
    </row>
    <row r="199" customFormat="false" ht="15" hidden="false" customHeight="true" outlineLevel="0" collapsed="false">
      <c r="B199" s="13" t="s">
        <v>322</v>
      </c>
      <c r="C199" s="30" t="n">
        <f aca="false">N(C192)-N(C187)-N(C191)</f>
        <v>0</v>
      </c>
      <c r="D199" s="30" t="n">
        <f aca="false">N(D192)-N(D187)-N(D191)</f>
        <v>0</v>
      </c>
      <c r="E199" s="30" t="n">
        <f aca="false">N(E192)-N(E187)-N(E191)</f>
        <v>0</v>
      </c>
      <c r="F199" s="30" t="n">
        <f aca="false">N(F192)-N(F187)-N(F191)</f>
        <v>0</v>
      </c>
      <c r="G199" s="30" t="n">
        <f aca="false">N(G192)-N(G187)-N(G191)</f>
        <v>0</v>
      </c>
      <c r="H199" s="30" t="n">
        <f aca="false">N(H192)-N(H187)-N(H191)</f>
        <v>0</v>
      </c>
      <c r="I199" s="30" t="n">
        <f aca="false">N(I192)-N(I187)-N(I191)</f>
        <v>0</v>
      </c>
      <c r="J199" s="30" t="n">
        <f aca="false">N(J192)-N(J187)-N(J191)</f>
        <v>0</v>
      </c>
      <c r="K199" s="30" t="n">
        <f aca="false">N(K192)-N(K187)-N(K191)</f>
        <v>0</v>
      </c>
      <c r="L199" s="30" t="n">
        <f aca="false">N(L192)-N(L187)-N(L191)</f>
        <v>0</v>
      </c>
      <c r="M199" s="30" t="n">
        <f aca="false">N(M192)-N(M187)-N(M191)</f>
        <v>0</v>
      </c>
      <c r="N199" s="30" t="n">
        <f aca="false">N(N192)-N(N187)-N(N191)</f>
        <v>0</v>
      </c>
      <c r="O199" s="30" t="n">
        <f aca="false">N(O192)-N(O187)-N(O191)</f>
        <v>0</v>
      </c>
      <c r="P199" s="30" t="n">
        <f aca="false">N(P192)-N(P187)-N(P191)</f>
        <v>0</v>
      </c>
      <c r="Q199" s="30" t="n">
        <f aca="false">N(Q192)-N(Q187)-N(Q191)</f>
        <v>0</v>
      </c>
      <c r="R199" s="30" t="n">
        <f aca="false">N(R192)-N(R187)-N(R191)</f>
        <v>0</v>
      </c>
      <c r="S199" s="30" t="n">
        <f aca="false">N(S192)-N(S187)-N(S191)</f>
        <v>0</v>
      </c>
      <c r="T199" s="30" t="n">
        <f aca="false">N(T192)-N(T187)-N(T191)</f>
        <v>0</v>
      </c>
      <c r="U199" s="30" t="n">
        <f aca="false">N(U192)-N(U187)-N(U191)</f>
        <v>0</v>
      </c>
      <c r="V199" s="30" t="n">
        <f aca="false">N(V192)-N(V187)-N(V191)</f>
        <v>0</v>
      </c>
      <c r="W199" s="30" t="n">
        <f aca="false">N(W192)-N(W187)-N(W191)</f>
        <v>0</v>
      </c>
      <c r="X199" s="30" t="n">
        <f aca="false">N(X192)-N(X187)-N(X191)</f>
        <v>0</v>
      </c>
      <c r="Y199" s="30" t="n">
        <f aca="false">N(Y192)-N(Y187)-N(Y191)</f>
        <v>0</v>
      </c>
      <c r="Z199" s="30" t="n">
        <f aca="false">N(Z192)-N(Z187)-N(Z191)</f>
        <v>0</v>
      </c>
      <c r="AA199" s="30" t="n">
        <f aca="false">N(AA192)-N(AA187)-N(AA191)</f>
        <v>0</v>
      </c>
      <c r="AB199" s="30" t="n">
        <f aca="false">N(AB192)-N(AB187)-N(AB191)</f>
        <v>0</v>
      </c>
      <c r="AC199" s="30" t="n">
        <f aca="false">N(AC192)-N(AC187)-N(AC191)</f>
        <v>0</v>
      </c>
      <c r="AD199" s="30" t="n">
        <f aca="false">N(AD192)-N(AD187)-N(AD191)</f>
        <v>0</v>
      </c>
      <c r="AE199" s="30" t="n">
        <f aca="false">N(AE192)-N(AE187)-N(AE191)</f>
        <v>0</v>
      </c>
      <c r="AF199" s="30" t="n">
        <f aca="false">N(AF192)-N(AF187)-N(AF191)</f>
        <v>1.9</v>
      </c>
      <c r="AG199" s="30" t="n">
        <f aca="false">N(AG192)-N(AG187)-N(AG191)</f>
        <v>1.9</v>
      </c>
      <c r="AH199" s="30" t="n">
        <f aca="false">N(AH192)-N(AH187)-N(AH191)</f>
        <v>12.9</v>
      </c>
      <c r="AI199" s="30" t="n">
        <f aca="false">N(AI192)-N(AI187)-N(AI191)</f>
        <v>4</v>
      </c>
      <c r="AJ199" s="30" t="n">
        <f aca="false">N(AJ192)-N(AJ187)-N(AJ191)</f>
        <v>16.9</v>
      </c>
      <c r="AK199" s="30" t="n">
        <f aca="false">N(AK192)-N(AK187)-N(AK191)</f>
        <v>2.9</v>
      </c>
      <c r="AL199" s="30" t="n">
        <f aca="false">N(AL192)-N(AL187)-N(AL191)</f>
        <v>-1.1</v>
      </c>
      <c r="AM199" s="30" t="n">
        <f aca="false">N(AM192)-N(AM187)-N(AM191)</f>
        <v>18.7</v>
      </c>
      <c r="AN199" s="30" t="n">
        <f aca="false">N(AN192)-N(AN187)-N(AN191)</f>
        <v>0</v>
      </c>
      <c r="AO199" s="30" t="n">
        <f aca="false">N(AO192)-N(AO187)-N(AO191)</f>
        <v>0</v>
      </c>
      <c r="AP199" s="30" t="n">
        <f aca="false">N(AP192)-N(AP187)-N(AP191)</f>
        <v>0</v>
      </c>
      <c r="AQ199" s="30" t="n">
        <f aca="false">N(AQ192)-N(AQ187)-N(AQ191)</f>
        <v>0</v>
      </c>
      <c r="AR199" s="30" t="n">
        <f aca="false">N(AR192)-N(AR187)-N(AR191)</f>
        <v>0</v>
      </c>
      <c r="AS199" s="30" t="n">
        <f aca="false">N(AS192)-N(AS187)-N(AS191)</f>
        <v>0</v>
      </c>
      <c r="AT199" s="30" t="n">
        <f aca="false">N(AT192)-N(AT187)-N(AT191)</f>
        <v>0</v>
      </c>
      <c r="AU199" s="30" t="n">
        <f aca="false">N(AU192)-N(AU187)-N(AU191)</f>
        <v>0</v>
      </c>
      <c r="AV199" s="30" t="n">
        <f aca="false">N(AV192)-N(AV187)-N(AV191)</f>
        <v>0</v>
      </c>
      <c r="AW199" s="30" t="n">
        <f aca="false">N(AW192)-N(AW187)-N(AW191)</f>
        <v>0</v>
      </c>
      <c r="AX199" s="30" t="n">
        <f aca="false">N(AX192)-N(AX187)-N(AX191)</f>
        <v>0</v>
      </c>
      <c r="AY199" s="30" t="n">
        <f aca="false">N(AY192)-N(AY187)-N(AY191)</f>
        <v>0</v>
      </c>
      <c r="AZ199" s="30" t="n">
        <f aca="false">N(AZ192)-N(AZ187)-N(AZ191)</f>
        <v>0</v>
      </c>
      <c r="BA199" s="30" t="n">
        <f aca="false">N(BA192)-N(BA187)-N(BA191)</f>
        <v>0</v>
      </c>
      <c r="BB199" s="30" t="n">
        <f aca="false">N(BB192)-N(BB187)-N(BB191)</f>
        <v>0</v>
      </c>
      <c r="BC199" s="30" t="n">
        <f aca="false">N(BC192)-N(BC187)-N(BC191)</f>
        <v>0</v>
      </c>
      <c r="BD199" s="30" t="n">
        <f aca="false">N(BD192)-N(BD187)-N(BD191)</f>
        <v>0</v>
      </c>
      <c r="BE199" s="30" t="n">
        <f aca="false">N(BE192)-N(BE187)-N(BE191)</f>
        <v>0</v>
      </c>
      <c r="BF199" s="30" t="n">
        <f aca="false">N(BF192)-N(BF187)-N(BF191)</f>
        <v>5.9</v>
      </c>
      <c r="BG199" s="30" t="n">
        <f aca="false">N(BG192)-N(BG187)-N(BG191)</f>
        <v>117.9</v>
      </c>
      <c r="BH199" s="30" t="n">
        <f aca="false">N(BH192)-N(BH187)-N(BH191)</f>
        <v>123.8</v>
      </c>
      <c r="BI199" s="30" t="n">
        <f aca="false">N(BI192)-N(BI187)-N(BI191)</f>
        <v>37</v>
      </c>
      <c r="BJ199" s="30" t="n">
        <f aca="false">N(BJ192)-N(BJ187)-N(BJ191)</f>
        <v>48.6</v>
      </c>
      <c r="BK199" s="30" t="n">
        <f aca="false">N(BK192)-N(BK187)-N(BK191)</f>
        <v>209.4</v>
      </c>
      <c r="BL199" s="30" t="n">
        <f aca="false">N(BL192)-N(BL187)-N(BL191)</f>
        <v>0</v>
      </c>
      <c r="BM199" s="30" t="n">
        <f aca="false">N(BM192)-N(BM187)-N(BM191)</f>
        <v>0</v>
      </c>
      <c r="BN199" s="30" t="n">
        <f aca="false">N(BN192)-N(BN187)-N(BN191)</f>
        <v>0</v>
      </c>
      <c r="BO199" s="30" t="n">
        <f aca="false">N(BO192)-N(BO187)-N(BO191)</f>
        <v>0</v>
      </c>
      <c r="BP199" s="30" t="n">
        <f aca="false">N(BP192)-N(BP187)-N(BP191)</f>
        <v>-4</v>
      </c>
      <c r="BQ199" s="30" t="n">
        <f aca="false">N(BQ192)-N(BQ187)-N(BQ191)</f>
        <v>-4</v>
      </c>
      <c r="BR199" s="30" t="n">
        <f aca="false">N(BR192)-N(BR187)-N(BR191)</f>
        <v>0</v>
      </c>
      <c r="BS199" s="30" t="n">
        <f aca="false">N(BS192)-N(BS187)-N(BS191)</f>
        <v>0</v>
      </c>
      <c r="BT199" s="30" t="n">
        <f aca="false">N(BT192)-N(BT187)-N(BT191)</f>
        <v>0</v>
      </c>
      <c r="BU199" s="30" t="n">
        <f aca="false">N(BU192)-N(BU187)-N(BU191)</f>
        <v>5.8</v>
      </c>
      <c r="BV199" s="30" t="n">
        <f aca="false">N(BV192)-N(BV187)-N(BV191)</f>
        <v>3</v>
      </c>
      <c r="BW199" s="30" t="n">
        <f aca="false">N(BW192)-N(BW187)-N(BW191)</f>
        <v>8.80000000000001</v>
      </c>
      <c r="BX199" s="30" t="n">
        <f aca="false">N(BX192)-N(BX187)-N(BX191)</f>
        <v>2.2</v>
      </c>
      <c r="BY199" s="30" t="n">
        <f aca="false">N(BY192)-N(BY187)-N(BY191)</f>
        <v>1</v>
      </c>
      <c r="BZ199" s="30" t="n">
        <f aca="false">N(BZ192)-N(BZ187)-N(BZ191)</f>
        <v>3.2</v>
      </c>
      <c r="CA199" s="30" t="n">
        <f aca="false">N(CA192)-N(CA187)-N(CA191)</f>
        <v>3.7</v>
      </c>
      <c r="CB199" s="30" t="n">
        <f aca="false">N(CB192)-N(CB187)-N(CB191)</f>
        <v>54</v>
      </c>
      <c r="CC199" s="30" t="n">
        <f aca="false">N(CC192)-N(CC187)-N(CC191)</f>
        <v>60.9</v>
      </c>
      <c r="CD199" s="30" t="n">
        <f aca="false">N(CD192)-N(CD187)-N(CD191)</f>
        <v>7.4</v>
      </c>
      <c r="CE199" s="30" t="n">
        <f aca="false">N(CE192)-N(CE187)-N(CE191)</f>
        <v>3.1</v>
      </c>
      <c r="CF199" s="30" t="n">
        <f aca="false">N(CF192)-N(CF187)-N(CF191)</f>
        <v>10.5</v>
      </c>
      <c r="CG199" s="30" t="n">
        <f aca="false">N(CG192)-N(CG187)-N(CG191)</f>
        <v>2.1</v>
      </c>
      <c r="CH199" s="30" t="n">
        <f aca="false">N(CH192)-N(CH187)-N(CH191)</f>
        <v>1</v>
      </c>
      <c r="CI199" s="30" t="n">
        <f aca="false">N(CI192)-N(CI187)-N(CI191)</f>
        <v>13.6</v>
      </c>
      <c r="CJ199" s="30" t="n">
        <f aca="false">N(CJ192)-N(CJ187)-N(CJ191)</f>
        <v>0.200000000000003</v>
      </c>
      <c r="CK199" s="30" t="n">
        <f aca="false">N(CK192)-N(CK187)-N(CK191)</f>
        <v>0.200000000000003</v>
      </c>
      <c r="CL199" s="30" t="n">
        <f aca="false">N(CL192)-N(CL187)-N(CL191)</f>
        <v>0.400000000000006</v>
      </c>
      <c r="CM199" s="32" t="n">
        <f aca="false">N(CM192)-N(CM187)-N(CM191)</f>
        <v>0.5</v>
      </c>
      <c r="CN199" s="32" t="n">
        <f aca="false">N(CN192)-N(CN187)-N(CN191)</f>
        <v>0.5</v>
      </c>
      <c r="CO199" s="32" t="n">
        <f aca="false">SUM(CJ199,CK199,CM199,CN199)</f>
        <v>1.40000000000001</v>
      </c>
      <c r="CP199" s="32" t="n">
        <f aca="false">N(CP192)-N(CP187)-N(CP191)</f>
        <v>5</v>
      </c>
      <c r="CQ199" s="32" t="n">
        <f aca="false">N(CQ192)-N(CQ187)-N(CQ191)</f>
        <v>5</v>
      </c>
      <c r="CR199" s="32" t="n">
        <f aca="false">N(CR192)-N(CR187)-N(CR191)</f>
        <v>5</v>
      </c>
      <c r="CS199" s="32" t="n">
        <f aca="false">N(CS192)-N(CS187)-N(CS191)</f>
        <v>5</v>
      </c>
      <c r="CT199" s="23" t="s">
        <v>323</v>
      </c>
      <c r="CV199" s="7"/>
      <c r="CW199" s="7"/>
      <c r="CX199" s="7"/>
      <c r="CY199" s="7"/>
    </row>
    <row r="200" customFormat="false" ht="15" hidden="false" customHeight="true" outlineLevel="0" collapsed="false">
      <c r="B200" s="19" t="s">
        <v>324</v>
      </c>
      <c r="C200" s="20" t="n">
        <f aca="false">IF(ISNUMBER(C125),C160+C125+C199,"")</f>
        <v>132.8</v>
      </c>
      <c r="D200" s="20" t="n">
        <f aca="false">IF(ISNUMBER(D125),D160+D125+D199,"")</f>
        <v>168.7</v>
      </c>
      <c r="E200" s="20" t="n">
        <f aca="false">IF(ISNUMBER(E125),E160+E125+E199,"")</f>
        <v>214.4</v>
      </c>
      <c r="F200" s="20" t="n">
        <f aca="false">IF(ISNUMBER(F125),F160+F125+F199,"")</f>
        <v>183.8</v>
      </c>
      <c r="G200" s="20" t="n">
        <f aca="false">IF(ISNUMBER(G125),G160+G125+G199,"")</f>
        <v>192.6</v>
      </c>
      <c r="H200" s="20" t="n">
        <f aca="false">IF(ISNUMBER(H125),H160+H125+H199,"")</f>
        <v>251.8</v>
      </c>
      <c r="I200" s="20" t="n">
        <f aca="false">IF(ISNUMBER(I125),I160+I125+I199,"")</f>
        <v>272.5</v>
      </c>
      <c r="J200" s="20" t="str">
        <f aca="false">IF(ISNUMBER(J125),J160+J125+J199,"")</f>
        <v/>
      </c>
      <c r="K200" s="20" t="str">
        <f aca="false">IF(ISNUMBER(K125),K160+K125+K199,"")</f>
        <v/>
      </c>
      <c r="L200" s="20" t="str">
        <f aca="false">IF(ISNUMBER(L125),L160+L125+L199,"")</f>
        <v/>
      </c>
      <c r="M200" s="20" t="str">
        <f aca="false">IF(ISNUMBER(M125),M160+M125+M199,"")</f>
        <v/>
      </c>
      <c r="N200" s="20" t="str">
        <f aca="false">IF(ISNUMBER(N125),N160+N125+N199,"")</f>
        <v/>
      </c>
      <c r="O200" s="20" t="n">
        <f aca="false">IF(ISNUMBER(O125),O160+O125+O199,"")</f>
        <v>271.8</v>
      </c>
      <c r="P200" s="20" t="str">
        <f aca="false">IF(ISNUMBER(P125),P160+P125+P199,"")</f>
        <v/>
      </c>
      <c r="Q200" s="20" t="str">
        <f aca="false">IF(ISNUMBER(Q125),Q160+Q125+Q199,"")</f>
        <v/>
      </c>
      <c r="R200" s="20" t="str">
        <f aca="false">IF(ISNUMBER(R125),R160+R125+R199,"")</f>
        <v/>
      </c>
      <c r="S200" s="20" t="str">
        <f aca="false">IF(ISNUMBER(S125),S160+S125+S199,"")</f>
        <v/>
      </c>
      <c r="T200" s="20" t="str">
        <f aca="false">IF(ISNUMBER(T125),T160+T125+T199,"")</f>
        <v/>
      </c>
      <c r="U200" s="20" t="n">
        <f aca="false">IF(ISNUMBER(U125),U160+U125+U199,"")</f>
        <v>326.5</v>
      </c>
      <c r="V200" s="20" t="str">
        <f aca="false">IF(ISNUMBER(V125),V160+V125+V199,"")</f>
        <v/>
      </c>
      <c r="W200" s="20" t="str">
        <f aca="false">IF(ISNUMBER(W125),W160+W125+W199,"")</f>
        <v/>
      </c>
      <c r="X200" s="20" t="str">
        <f aca="false">IF(ISNUMBER(X125),X160+X125+X199,"")</f>
        <v/>
      </c>
      <c r="Y200" s="20" t="str">
        <f aca="false">IF(ISNUMBER(Y125),Y160+Y125+Y199,"")</f>
        <v/>
      </c>
      <c r="Z200" s="20" t="str">
        <f aca="false">IF(ISNUMBER(Z125),Z160+Z125+Z199,"")</f>
        <v/>
      </c>
      <c r="AA200" s="20" t="n">
        <f aca="false">IF(ISNUMBER(AA125),AA160+AA125+AA199,"")</f>
        <v>312.3</v>
      </c>
      <c r="AB200" s="20" t="str">
        <f aca="false">IF(ISNUMBER(AB125),AB160+AB125+AB199,"")</f>
        <v/>
      </c>
      <c r="AC200" s="20" t="str">
        <f aca="false">IF(ISNUMBER(AC125),AC160+AC125+AC199,"")</f>
        <v/>
      </c>
      <c r="AD200" s="20" t="str">
        <f aca="false">IF(ISNUMBER(AD125),AD160+AD125+AD199,"")</f>
        <v/>
      </c>
      <c r="AE200" s="20" t="str">
        <f aca="false">IF(ISNUMBER(AE125),AE160+AE125+AE199,"")</f>
        <v/>
      </c>
      <c r="AF200" s="20" t="str">
        <f aca="false">IF(ISNUMBER(AF125),AF160+AF125+AF199,"")</f>
        <v/>
      </c>
      <c r="AG200" s="20" t="n">
        <f aca="false">IF(ISNUMBER(AG125),AG160+AG125+AG199,"")</f>
        <v>284</v>
      </c>
      <c r="AH200" s="20" t="str">
        <f aca="false">IF(ISNUMBER(AH125),AH160+AH125+AH199,"")</f>
        <v/>
      </c>
      <c r="AI200" s="20" t="str">
        <f aca="false">IF(ISNUMBER(AI125),AI160+AI125+AI199,"")</f>
        <v/>
      </c>
      <c r="AJ200" s="20" t="str">
        <f aca="false">IF(ISNUMBER(AJ125),AJ160+AJ125+AJ199,"")</f>
        <v/>
      </c>
      <c r="AK200" s="20" t="str">
        <f aca="false">IF(ISNUMBER(AK125),AK160+AK125+AK199,"")</f>
        <v/>
      </c>
      <c r="AL200" s="20" t="str">
        <f aca="false">IF(ISNUMBER(AL125),AL160+AL125+AL199,"")</f>
        <v/>
      </c>
      <c r="AM200" s="20" t="n">
        <f aca="false">IF(ISNUMBER(AM125),AM160+AM125+AM199,"")</f>
        <v>381.8</v>
      </c>
      <c r="AN200" s="20" t="str">
        <f aca="false">IF(ISNUMBER(AN125),AN160+AN125+AN199,"")</f>
        <v/>
      </c>
      <c r="AO200" s="20" t="str">
        <f aca="false">IF(ISNUMBER(AO125),AO160+AO125+AO199,"")</f>
        <v/>
      </c>
      <c r="AP200" s="20" t="str">
        <f aca="false">IF(ISNUMBER(AP125),AP160+AP125+AP199,"")</f>
        <v/>
      </c>
      <c r="AQ200" s="20" t="str">
        <f aca="false">IF(ISNUMBER(AQ125),AQ160+AQ125+AQ199,"")</f>
        <v/>
      </c>
      <c r="AR200" s="20" t="str">
        <f aca="false">IF(ISNUMBER(AR125),AR160+AR125+AR199,"")</f>
        <v/>
      </c>
      <c r="AS200" s="20" t="n">
        <f aca="false">IF(ISNUMBER(AS125),AS160+AS125+AS199,"")</f>
        <v>456.1</v>
      </c>
      <c r="AT200" s="20" t="str">
        <f aca="false">IF(ISNUMBER(AT125),AT160+AT125+AT199,"")</f>
        <v/>
      </c>
      <c r="AU200" s="20" t="str">
        <f aca="false">IF(ISNUMBER(AU125),AU160+AU125+AU199,"")</f>
        <v/>
      </c>
      <c r="AV200" s="20" t="str">
        <f aca="false">IF(ISNUMBER(AV125),AV160+AV125+AV199,"")</f>
        <v/>
      </c>
      <c r="AW200" s="20" t="str">
        <f aca="false">IF(ISNUMBER(AW125),AW160+AW125+AW199,"")</f>
        <v/>
      </c>
      <c r="AX200" s="20" t="str">
        <f aca="false">IF(ISNUMBER(AX125),AX160+AX125+AX199,"")</f>
        <v/>
      </c>
      <c r="AY200" s="20" t="n">
        <f aca="false">IF(ISNUMBER(AY125),AY160+AY125+AY199,"")</f>
        <v>528.2</v>
      </c>
      <c r="AZ200" s="20" t="n">
        <f aca="false">IF(ISNUMBER(AZ125),AZ160+AZ125+AZ199,"")</f>
        <v>113.6</v>
      </c>
      <c r="BA200" s="20" t="n">
        <f aca="false">IF(ISNUMBER(BA125),BA160+BA125+BA199,"")</f>
        <v>119.5</v>
      </c>
      <c r="BB200" s="20" t="n">
        <f aca="false">IF(ISNUMBER(BB125),BB160+BB125+BB199,"")</f>
        <v>233.1</v>
      </c>
      <c r="BC200" s="20" t="n">
        <f aca="false">IF(ISNUMBER(BC125),BC160+BC125+BC199,"")</f>
        <v>132.4</v>
      </c>
      <c r="BD200" s="20" t="n">
        <f aca="false">IF(ISNUMBER(BD125),BD160+BD125+BD199,"")</f>
        <v>153.4</v>
      </c>
      <c r="BE200" s="20" t="n">
        <f aca="false">IF(ISNUMBER(BE125),BE160+BE125+BE199,"")</f>
        <v>518.9</v>
      </c>
      <c r="BF200" s="20" t="n">
        <f aca="false">IF(ISNUMBER(BF125),BF160+BF125+BF199,"")</f>
        <v>150.9</v>
      </c>
      <c r="BG200" s="20" t="n">
        <f aca="false">IF(ISNUMBER(BG125),BG160+BG125+BG199,"")</f>
        <v>255.1</v>
      </c>
      <c r="BH200" s="20" t="n">
        <f aca="false">IF(ISNUMBER(BH125),BH160+BH125+BH199,"")</f>
        <v>406</v>
      </c>
      <c r="BI200" s="20" t="n">
        <f aca="false">IF(ISNUMBER(BI125),BI160+BI125+BI199,"")</f>
        <v>281.9</v>
      </c>
      <c r="BJ200" s="20" t="n">
        <f aca="false">IF(ISNUMBER(BJ125),BJ160+BJ125+BJ199,"")</f>
        <v>295.1</v>
      </c>
      <c r="BK200" s="20" t="n">
        <f aca="false">IF(ISNUMBER(BK125),BK160+BK125+BK199,"")</f>
        <v>983</v>
      </c>
      <c r="BL200" s="20" t="n">
        <f aca="false">IF(ISNUMBER(BL125),BL160+BL125+BL199,"")</f>
        <v>277.1</v>
      </c>
      <c r="BM200" s="20" t="n">
        <f aca="false">IF(ISNUMBER(BM125),BM160+BM125+BM199,"")</f>
        <v>280.8</v>
      </c>
      <c r="BN200" s="20" t="n">
        <f aca="false">IF(ISNUMBER(BN125),BN160+BN125+BN199,"")</f>
        <v>557.9</v>
      </c>
      <c r="BO200" s="20" t="n">
        <f aca="false">IF(ISNUMBER(BO125),BO160+BO125+BO199,"")</f>
        <v>294.1</v>
      </c>
      <c r="BP200" s="20" t="n">
        <f aca="false">IF(ISNUMBER(BP125),BP160+BP125+BP199,"")</f>
        <v>317.7</v>
      </c>
      <c r="BQ200" s="20" t="n">
        <f aca="false">IF(ISNUMBER(BQ125),BQ160+BQ125+BQ199,"")</f>
        <v>1169.7</v>
      </c>
      <c r="BR200" s="20" t="n">
        <f aca="false">IF(ISNUMBER(BR125),BR160+BR125+BR199,"")</f>
        <v>292.2</v>
      </c>
      <c r="BS200" s="20" t="n">
        <f aca="false">IF(ISNUMBER(BS125),BS160+BS125+BS199,"")</f>
        <v>305.4</v>
      </c>
      <c r="BT200" s="20" t="n">
        <f aca="false">IF(ISNUMBER(BT125),BT160+BT125+BT199,"")</f>
        <v>597.6</v>
      </c>
      <c r="BU200" s="20" t="n">
        <f aca="false">IF(ISNUMBER(BU125),BU160+BU125+BU199,"")</f>
        <v>319.2</v>
      </c>
      <c r="BV200" s="20" t="n">
        <f aca="false">IF(ISNUMBER(BV125),BV160+BV125+BV199,"")</f>
        <v>323.1</v>
      </c>
      <c r="BW200" s="20" t="n">
        <f aca="false">IF(ISNUMBER(BW125),BW160+BW125+BW199,"")</f>
        <v>1239.9</v>
      </c>
      <c r="BX200" s="20" t="n">
        <f aca="false">IF(ISNUMBER(BX125),BX160+BX125+BX199,"")</f>
        <v>285.9</v>
      </c>
      <c r="BY200" s="20" t="n">
        <f aca="false">IF(ISNUMBER(BY125),BY160+BY125+BY199,"")</f>
        <v>297.1</v>
      </c>
      <c r="BZ200" s="20" t="n">
        <f aca="false">IF(ISNUMBER(BZ125),BZ160+BZ125+BZ199,"")</f>
        <v>583</v>
      </c>
      <c r="CA200" s="20" t="n">
        <f aca="false">IF(ISNUMBER(CA125),CA160+CA125+CA199,"")</f>
        <v>324.2</v>
      </c>
      <c r="CB200" s="20" t="n">
        <f aca="false">IF(ISNUMBER(CB125),CB160+CB125+CB199,"")</f>
        <v>340.8</v>
      </c>
      <c r="CC200" s="20" t="n">
        <f aca="false">IF(ISNUMBER(CC125),CC160+CC125+CC199,"")</f>
        <v>1248</v>
      </c>
      <c r="CD200" s="20" t="n">
        <f aca="false">IF(ISNUMBER(CD125),CD160+CD125+CD199,"")</f>
        <v>318.7</v>
      </c>
      <c r="CE200" s="20" t="n">
        <f aca="false">IF(ISNUMBER(CE125),CE160+CE125+CE199,"")</f>
        <v>335.9</v>
      </c>
      <c r="CF200" s="20" t="n">
        <f aca="false">IF(ISNUMBER(CF125),CF160+CF125+CF199,"")</f>
        <v>654.6</v>
      </c>
      <c r="CG200" s="20" t="n">
        <f aca="false">IF(ISNUMBER(CG125),CG160+CG125+CG199,"")</f>
        <v>340</v>
      </c>
      <c r="CH200" s="20" t="n">
        <f aca="false">IF(ISNUMBER(CH125),CH160+CH125+CH199,"")</f>
        <v>385.4</v>
      </c>
      <c r="CI200" s="20" t="n">
        <f aca="false">IF(ISNUMBER(CI125),CI160+CI125+CI199,"")</f>
        <v>1380</v>
      </c>
      <c r="CJ200" s="20" t="n">
        <f aca="false">IF(ISNUMBER(CJ125),CJ160+CJ125+CJ199,"")</f>
        <v>352</v>
      </c>
      <c r="CK200" s="20" t="n">
        <f aca="false">IF(ISNUMBER(CK125),CK160+CK125+CK199,"")</f>
        <v>389.4</v>
      </c>
      <c r="CL200" s="20" t="n">
        <f aca="false">IF(ISNUMBER(CL125),CL160+CL125+CL199,"")</f>
        <v>741.4</v>
      </c>
      <c r="CM200" s="22" t="n">
        <f aca="false">CM160+CM125+CM199</f>
        <v>375.445859872612</v>
      </c>
      <c r="CN200" s="22" t="n">
        <f aca="false">CN160+CN125+CN199</f>
        <v>391.880573248408</v>
      </c>
      <c r="CO200" s="22" t="n">
        <f aca="false">SUM(CJ200,CK200,CM200,CN200)</f>
        <v>1508.72643312102</v>
      </c>
      <c r="CP200" s="22" t="n">
        <f aca="false">CP160+CP125+CP199</f>
        <v>1677.45472734786</v>
      </c>
      <c r="CQ200" s="22" t="n">
        <f aca="false">CQ160+CQ125+CQ199</f>
        <v>1855.91894608661</v>
      </c>
      <c r="CR200" s="22" t="n">
        <f aca="false">CR160+CR125+CR199</f>
        <v>2043.95312624164</v>
      </c>
      <c r="CS200" s="22" t="n">
        <f aca="false">CS160+CS125+CS199</f>
        <v>2245.6001435184</v>
      </c>
      <c r="CT200" s="23" t="s">
        <v>325</v>
      </c>
      <c r="CV200" s="24" t="n">
        <f aca="false">IFERROR((CS200/CI200)^(1/5)-1,"n/m")</f>
        <v>0.102276803635044</v>
      </c>
      <c r="CW200" s="24" t="n">
        <f aca="false">IFERROR((CI200/BE200)^(1/5)-1,"n/m")</f>
        <v>0.216071423628334</v>
      </c>
      <c r="CX200" s="24" t="n">
        <f aca="false">IFERROR((CI200/AA200)^(1/10)-1,"n/m")</f>
        <v>0.160194253933915</v>
      </c>
      <c r="CY200" s="24" t="n">
        <f aca="false">IFERROR((CI200/C200)^(1/19)-1,"n/m")</f>
        <v>0.131122201958293</v>
      </c>
    </row>
    <row r="201" customFormat="false" ht="15" hidden="false" customHeight="true" outlineLevel="0" collapsed="false">
      <c r="B201" s="26" t="s">
        <v>326</v>
      </c>
      <c r="C201" s="40" t="n">
        <f aca="false">IFERROR(C200/C152,"")</f>
        <v>0.0926597823053307</v>
      </c>
      <c r="D201" s="40" t="n">
        <f aca="false">IFERROR(D200/D152,"")</f>
        <v>0.103988164950995</v>
      </c>
      <c r="E201" s="40" t="n">
        <f aca="false">IFERROR(E200/E152,"")</f>
        <v>0.124506387921022</v>
      </c>
      <c r="F201" s="40" t="n">
        <f aca="false">IFERROR(F200/F152,"")</f>
        <v>0.111252345499667</v>
      </c>
      <c r="G201" s="40" t="n">
        <f aca="false">IFERROR(G200/G152,"")</f>
        <v>0.117139034180757</v>
      </c>
      <c r="H201" s="40" t="n">
        <f aca="false">IFERROR(H200/H152,"")</f>
        <v>0.129666821154539</v>
      </c>
      <c r="I201" s="40" t="n">
        <f aca="false">IFERROR(I200/I152,"")</f>
        <v>0.128096648333568</v>
      </c>
      <c r="J201" s="40" t="str">
        <f aca="false">IFERROR(J200/J152,"")</f>
        <v/>
      </c>
      <c r="K201" s="40" t="str">
        <f aca="false">IFERROR(K200/K152,"")</f>
        <v/>
      </c>
      <c r="L201" s="40" t="str">
        <f aca="false">IFERROR(L200/L152,"")</f>
        <v/>
      </c>
      <c r="M201" s="40" t="str">
        <f aca="false">IFERROR(M200/M152,"")</f>
        <v/>
      </c>
      <c r="N201" s="40" t="str">
        <f aca="false">IFERROR(N200/N152,"")</f>
        <v/>
      </c>
      <c r="O201" s="40" t="n">
        <f aca="false">IFERROR(O200/O152,"")</f>
        <v>0.116223381510305</v>
      </c>
      <c r="P201" s="40" t="str">
        <f aca="false">IFERROR(P200/P152,"")</f>
        <v/>
      </c>
      <c r="Q201" s="40" t="str">
        <f aca="false">IFERROR(Q200/Q152,"")</f>
        <v/>
      </c>
      <c r="R201" s="40" t="str">
        <f aca="false">IFERROR(R200/R152,"")</f>
        <v/>
      </c>
      <c r="S201" s="40" t="str">
        <f aca="false">IFERROR(S200/S152,"")</f>
        <v/>
      </c>
      <c r="T201" s="40" t="str">
        <f aca="false">IFERROR(T200/T152,"")</f>
        <v/>
      </c>
      <c r="U201" s="40" t="n">
        <f aca="false">IFERROR(U200/U152,"")</f>
        <v>0.136382623224729</v>
      </c>
      <c r="V201" s="40" t="str">
        <f aca="false">IFERROR(V200/V152,"")</f>
        <v/>
      </c>
      <c r="W201" s="40" t="str">
        <f aca="false">IFERROR(W200/W152,"")</f>
        <v/>
      </c>
      <c r="X201" s="40" t="str">
        <f aca="false">IFERROR(X200/X152,"")</f>
        <v/>
      </c>
      <c r="Y201" s="40" t="str">
        <f aca="false">IFERROR(Y200/Y152,"")</f>
        <v/>
      </c>
      <c r="Z201" s="40" t="str">
        <f aca="false">IFERROR(Z200/Z152,"")</f>
        <v/>
      </c>
      <c r="AA201" s="40" t="n">
        <f aca="false">IFERROR(AA200/AA152,"")</f>
        <v>0.135894869674949</v>
      </c>
      <c r="AB201" s="40" t="str">
        <f aca="false">IFERROR(AB200/AB152,"")</f>
        <v/>
      </c>
      <c r="AC201" s="40" t="str">
        <f aca="false">IFERROR(AC200/AC152,"")</f>
        <v/>
      </c>
      <c r="AD201" s="40" t="str">
        <f aca="false">IFERROR(AD200/AD152,"")</f>
        <v/>
      </c>
      <c r="AE201" s="40" t="str">
        <f aca="false">IFERROR(AE200/AE152,"")</f>
        <v/>
      </c>
      <c r="AF201" s="40" t="str">
        <f aca="false">IFERROR(AF200/AF152,"")</f>
        <v/>
      </c>
      <c r="AG201" s="40" t="n">
        <f aca="false">IFERROR(AG200/AG152,"")</f>
        <v>0.132099167403135</v>
      </c>
      <c r="AH201" s="40" t="str">
        <f aca="false">IFERROR(AH200/AH152,"")</f>
        <v/>
      </c>
      <c r="AI201" s="40" t="str">
        <f aca="false">IFERROR(AI200/AI152,"")</f>
        <v/>
      </c>
      <c r="AJ201" s="40" t="str">
        <f aca="false">IFERROR(AJ200/AJ152,"")</f>
        <v/>
      </c>
      <c r="AK201" s="40" t="str">
        <f aca="false">IFERROR(AK200/AK152,"")</f>
        <v/>
      </c>
      <c r="AL201" s="40" t="str">
        <f aca="false">IFERROR(AL200/AL152,"")</f>
        <v/>
      </c>
      <c r="AM201" s="40" t="n">
        <f aca="false">IFERROR(AM200/AM152,"")</f>
        <v>0.146631845763884</v>
      </c>
      <c r="AN201" s="40" t="str">
        <f aca="false">IFERROR(AN200/AN152,"")</f>
        <v/>
      </c>
      <c r="AO201" s="40" t="str">
        <f aca="false">IFERROR(AO200/AO152,"")</f>
        <v/>
      </c>
      <c r="AP201" s="40" t="str">
        <f aca="false">IFERROR(AP200/AP152,"")</f>
        <v/>
      </c>
      <c r="AQ201" s="40" t="str">
        <f aca="false">IFERROR(AQ200/AQ152,"")</f>
        <v/>
      </c>
      <c r="AR201" s="40" t="str">
        <f aca="false">IFERROR(AR200/AR152,"")</f>
        <v/>
      </c>
      <c r="AS201" s="40" t="n">
        <f aca="false">IFERROR(AS200/AS152,"")</f>
        <v>0.1571783031222</v>
      </c>
      <c r="AT201" s="40" t="str">
        <f aca="false">IFERROR(AT200/AT152,"")</f>
        <v/>
      </c>
      <c r="AU201" s="40" t="str">
        <f aca="false">IFERROR(AU200/AU152,"")</f>
        <v/>
      </c>
      <c r="AV201" s="40" t="str">
        <f aca="false">IFERROR(AV200/AV152,"")</f>
        <v/>
      </c>
      <c r="AW201" s="40" t="str">
        <f aca="false">IFERROR(AW200/AW152,"")</f>
        <v/>
      </c>
      <c r="AX201" s="40" t="str">
        <f aca="false">IFERROR(AX200/AX152,"")</f>
        <v/>
      </c>
      <c r="AY201" s="40" t="n">
        <f aca="false">IFERROR(AY200/AY152,"")</f>
        <v>0.166961689214819</v>
      </c>
      <c r="AZ201" s="40" t="n">
        <f aca="false">IFERROR(AZ200/AZ152,"")</f>
        <v>0.144787152689268</v>
      </c>
      <c r="BA201" s="40" t="n">
        <f aca="false">IFERROR(BA200/BA152,"")</f>
        <v>0.160769541235033</v>
      </c>
      <c r="BB201" s="40" t="n">
        <f aca="false">IFERROR(BB200/BB152,"")</f>
        <v>0.152562340467308</v>
      </c>
      <c r="BC201" s="40" t="n">
        <f aca="false">IFERROR(BC200/BC152,"")</f>
        <v>0.176769025367156</v>
      </c>
      <c r="BD201" s="40" t="n">
        <f aca="false">IFERROR(BD200/BD152,"")</f>
        <v>0.189546521685407</v>
      </c>
      <c r="BE201" s="40" t="n">
        <f aca="false">IFERROR(BE200/BE152,"")</f>
        <v>0.168135571252673</v>
      </c>
      <c r="BF201" s="40" t="n">
        <f aca="false">IFERROR(BF200/BF152,"")</f>
        <v>0.187290554797071</v>
      </c>
      <c r="BG201" s="40" t="n">
        <f aca="false">IFERROR(BG200/BG152,"")</f>
        <v>0.227564674397859</v>
      </c>
      <c r="BH201" s="40" t="n">
        <f aca="false">IFERROR(BH200/BH152,"")</f>
        <v>0.210722997872009</v>
      </c>
      <c r="BI201" s="40" t="n">
        <f aca="false">IFERROR(BI200/BI152,"")</f>
        <v>0.214879182864548</v>
      </c>
      <c r="BJ201" s="40" t="n">
        <f aca="false">IFERROR(BJ200/BJ152,"")</f>
        <v>0.214508977247947</v>
      </c>
      <c r="BK201" s="40" t="n">
        <f aca="false">IFERROR(BK200/BK152,"")</f>
        <v>0.213033396181436</v>
      </c>
      <c r="BL201" s="40" t="n">
        <f aca="false">IFERROR(BL200/BL152,"")</f>
        <v>0.209765329295988</v>
      </c>
      <c r="BM201" s="40" t="n">
        <f aca="false">IFERROR(BM200/BM152,"")</f>
        <v>0.207110193243841</v>
      </c>
      <c r="BN201" s="40" t="n">
        <f aca="false">IFERROR(BN200/BN152,"")</f>
        <v>0.20842050209205</v>
      </c>
      <c r="BO201" s="40" t="n">
        <f aca="false">IFERROR(BO200/BO152,"")</f>
        <v>0.215679084775594</v>
      </c>
      <c r="BP201" s="40" t="n">
        <f aca="false">IFERROR(BP200/BP152,"")</f>
        <v>0.224016358764631</v>
      </c>
      <c r="BQ201" s="40" t="n">
        <f aca="false">IFERROR(BQ200/BQ152,"")</f>
        <v>0.214285714285714</v>
      </c>
      <c r="BR201" s="40" t="n">
        <f aca="false">IFERROR(BR200/BR152,"")</f>
        <v>0.21123400563869</v>
      </c>
      <c r="BS201" s="40" t="n">
        <f aca="false">IFERROR(BS200/BS152,"")</f>
        <v>0.214360918088019</v>
      </c>
      <c r="BT201" s="40" t="n">
        <f aca="false">IFERROR(BT200/BT152,"")</f>
        <v>0.212820512820513</v>
      </c>
      <c r="BU201" s="40" t="n">
        <f aca="false">IFERROR(BU200/BU152,"")</f>
        <v>0.227593582887701</v>
      </c>
      <c r="BV201" s="40" t="n">
        <f aca="false">IFERROR(BV200/BV152,"")</f>
        <v>0.226736842105263</v>
      </c>
      <c r="BW201" s="40" t="n">
        <f aca="false">IFERROR(BW200/BW152,"")</f>
        <v>0.220015970188981</v>
      </c>
      <c r="BX201" s="40" t="n">
        <f aca="false">IFERROR(BX200/BX152,"")</f>
        <v>0.211762091696911</v>
      </c>
      <c r="BY201" s="40" t="n">
        <f aca="false">IFERROR(BY200/BY152,"")</f>
        <v>0.216214249326832</v>
      </c>
      <c r="BZ201" s="40" t="n">
        <f aca="false">IFERROR(BZ200/BZ152,"")</f>
        <v>0.214007782101167</v>
      </c>
      <c r="CA201" s="40" t="n">
        <f aca="false">IFERROR(CA200/CA152,"")</f>
        <v>0.224593003117423</v>
      </c>
      <c r="CB201" s="40" t="n">
        <f aca="false">IFERROR(CB200/CB152,"")</f>
        <v>0.226852160021301</v>
      </c>
      <c r="CC201" s="40" t="n">
        <f aca="false">IFERROR(CC200/CC152,"")</f>
        <v>0.22010582010582</v>
      </c>
      <c r="CD201" s="40" t="n">
        <f aca="false">IFERROR(CD200/CD152,"")</f>
        <v>0.219808262638803</v>
      </c>
      <c r="CE201" s="40" t="n">
        <f aca="false">IFERROR(CE200/CE152,"")</f>
        <v>0.221906586509877</v>
      </c>
      <c r="CF201" s="40" t="n">
        <f aca="false">IFERROR(CF200/CF152,"")</f>
        <v>0.220880010797679</v>
      </c>
      <c r="CG201" s="40" t="n">
        <f aca="false">IFERROR(CG200/CG152,"")</f>
        <v>0.220850925625203</v>
      </c>
      <c r="CH201" s="40" t="n">
        <f aca="false">IFERROR(CH200/CH152,"")</f>
        <v>0.239037399987595</v>
      </c>
      <c r="CI201" s="40" t="n">
        <f aca="false">IFERROR(CI200/CI152,"")</f>
        <v>0.225659809660856</v>
      </c>
      <c r="CJ201" s="40" t="n">
        <f aca="false">IFERROR(CJ200/CJ152,"")</f>
        <v>0.225626562399846</v>
      </c>
      <c r="CK201" s="40" t="n">
        <f aca="false">IFERROR(CK200/CK152,"")</f>
        <v>0.234225563909774</v>
      </c>
      <c r="CL201" s="40" t="n">
        <f aca="false">IFERROR(CL200/CL152,"")</f>
        <v>0.230062682306212</v>
      </c>
      <c r="CM201" s="28" t="n">
        <f aca="false">IFERROR(CM200/CM152,"")</f>
        <v>0.222003088976109</v>
      </c>
      <c r="CN201" s="28" t="n">
        <f aca="false">IFERROR(CN200/CN152,"")</f>
        <v>0.221112431187458</v>
      </c>
      <c r="CO201" s="28" t="n">
        <f aca="false">IFERROR(CO200/CO152,"")</f>
        <v>0.225651608378632</v>
      </c>
      <c r="CP201" s="28" t="n">
        <f aca="false">IFERROR(CP200/CP152,"")</f>
        <v>0.233628963721645</v>
      </c>
      <c r="CQ201" s="28" t="n">
        <f aca="false">IFERROR(CQ200/CQ152,"")</f>
        <v>0.23652990542569</v>
      </c>
      <c r="CR201" s="28" t="n">
        <f aca="false">IFERROR(CR200/CR152,"")</f>
        <v>0.238748055526162</v>
      </c>
      <c r="CS201" s="28" t="n">
        <f aca="false">IFERROR(CS200/CS152,"")</f>
        <v>0.241270364889337</v>
      </c>
      <c r="CT201" s="23"/>
      <c r="CV201" s="41" t="n">
        <f aca="false">IFERROR(AVERAGE(CO201,CP201,CQ201,CR201,CS201),"n/m")</f>
        <v>0.235165779588293</v>
      </c>
      <c r="CW201" s="41" t="n">
        <f aca="false">IFERROR(AVERAGE(BK201,BQ201,BW201,CC201,CI201),"n/m")</f>
        <v>0.218620142084561</v>
      </c>
      <c r="CX201" s="41" t="n">
        <f aca="false">IFERROR(AVERAGE(AG201,AM201,AS201,AY201,BE201,BK201,BQ201,BW201,CC201,CI201),"n/m")</f>
        <v>0.186410728717952</v>
      </c>
      <c r="CY201" s="41" t="n">
        <f aca="false">IFERROR(AVERAGE(C201,D201,E201,F201,G201,H201,I201,O201,U201,AA201,AG201,AM201,AS201,AY201,BE201,BK201,BQ201,BW201,CC201,CI201),"n/m")</f>
        <v>0.152995867296769</v>
      </c>
    </row>
    <row r="202" customFormat="false" ht="15" hidden="false" customHeight="true" outlineLevel="0" collapsed="false">
      <c r="B202" s="13"/>
      <c r="CM202" s="7"/>
      <c r="CN202" s="7"/>
      <c r="CO202" s="7"/>
      <c r="CP202" s="7"/>
      <c r="CQ202" s="7"/>
      <c r="CR202" s="7"/>
      <c r="CS202" s="7"/>
      <c r="CT202" s="7"/>
    </row>
    <row r="203" customFormat="false" ht="15" hidden="false" customHeight="true" outlineLevel="0" collapsed="false">
      <c r="B203" s="12" t="s">
        <v>327</v>
      </c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 t="s">
        <v>328</v>
      </c>
    </row>
    <row r="204" customFormat="false" ht="15" hidden="false" customHeight="true" outlineLevel="0" collapsed="false">
      <c r="B204" s="19" t="s">
        <v>329</v>
      </c>
      <c r="C204" s="20" t="n">
        <f aca="false">C169</f>
        <v>81.3</v>
      </c>
      <c r="D204" s="20" t="n">
        <f aca="false">D169</f>
        <v>101.9</v>
      </c>
      <c r="E204" s="20" t="n">
        <f aca="false">E169</f>
        <v>113.6</v>
      </c>
      <c r="F204" s="20" t="n">
        <f aca="false">F169</f>
        <v>113.8</v>
      </c>
      <c r="G204" s="20" t="n">
        <f aca="false">G169</f>
        <v>120.6</v>
      </c>
      <c r="H204" s="20" t="n">
        <f aca="false">H169</f>
        <v>255.2</v>
      </c>
      <c r="I204" s="20" t="n">
        <f aca="false">I169</f>
        <v>165.1</v>
      </c>
      <c r="J204" s="20" t="n">
        <f aca="false">J169</f>
        <v>39.8</v>
      </c>
      <c r="K204" s="20" t="n">
        <f aca="false">K169</f>
        <v>43.3</v>
      </c>
      <c r="L204" s="20" t="n">
        <f aca="false">L169</f>
        <v>83.1000000000001</v>
      </c>
      <c r="M204" s="20" t="n">
        <f aca="false">M169</f>
        <v>46.9</v>
      </c>
      <c r="N204" s="20" t="n">
        <f aca="false">N169</f>
        <v>54.5</v>
      </c>
      <c r="O204" s="20" t="n">
        <f aca="false">O169</f>
        <v>184.5</v>
      </c>
      <c r="P204" s="20" t="n">
        <f aca="false">P169</f>
        <v>46</v>
      </c>
      <c r="Q204" s="20" t="n">
        <f aca="false">Q169</f>
        <v>55.8000000000001</v>
      </c>
      <c r="R204" s="20" t="n">
        <f aca="false">R169</f>
        <v>101.8</v>
      </c>
      <c r="S204" s="20" t="n">
        <f aca="false">S169</f>
        <v>54.9000000000001</v>
      </c>
      <c r="T204" s="20" t="n">
        <f aca="false">T169</f>
        <v>58.8999999999999</v>
      </c>
      <c r="U204" s="20" t="n">
        <f aca="false">U169</f>
        <v>215.6</v>
      </c>
      <c r="V204" s="20" t="n">
        <f aca="false">V169</f>
        <v>43.7</v>
      </c>
      <c r="W204" s="20" t="n">
        <f aca="false">W169</f>
        <v>48.0000000000001</v>
      </c>
      <c r="X204" s="20" t="n">
        <f aca="false">X169</f>
        <v>91.7000000000001</v>
      </c>
      <c r="Y204" s="20" t="n">
        <f aca="false">Y169</f>
        <v>48.3</v>
      </c>
      <c r="Z204" s="20" t="n">
        <f aca="false">Z169</f>
        <v>55.5</v>
      </c>
      <c r="AA204" s="20" t="n">
        <f aca="false">AA169</f>
        <v>195.5</v>
      </c>
      <c r="AB204" s="20" t="n">
        <f aca="false">AB169</f>
        <v>39</v>
      </c>
      <c r="AC204" s="20" t="n">
        <f aca="false">AC169</f>
        <v>46.9000000000001</v>
      </c>
      <c r="AD204" s="20" t="n">
        <f aca="false">AD169</f>
        <v>85.9</v>
      </c>
      <c r="AE204" s="20" t="n">
        <f aca="false">AE169</f>
        <v>52</v>
      </c>
      <c r="AF204" s="20" t="n">
        <f aca="false">AF169</f>
        <v>53</v>
      </c>
      <c r="AG204" s="20" t="n">
        <f aca="false">AG169</f>
        <v>190.9</v>
      </c>
      <c r="AH204" s="20" t="n">
        <f aca="false">AH169</f>
        <v>30.5</v>
      </c>
      <c r="AI204" s="20" t="n">
        <f aca="false">AI169</f>
        <v>60.1000000000001</v>
      </c>
      <c r="AJ204" s="20" t="n">
        <f aca="false">AJ169</f>
        <v>90.6</v>
      </c>
      <c r="AK204" s="20" t="n">
        <f aca="false">AK169</f>
        <v>69</v>
      </c>
      <c r="AL204" s="20" t="n">
        <f aca="false">AL169</f>
        <v>67.6</v>
      </c>
      <c r="AM204" s="20" t="n">
        <f aca="false">AM169</f>
        <v>227.2</v>
      </c>
      <c r="AN204" s="20" t="n">
        <f aca="false">AN169</f>
        <v>66.5</v>
      </c>
      <c r="AO204" s="20" t="n">
        <f aca="false">AO169</f>
        <v>85.9</v>
      </c>
      <c r="AP204" s="20" t="n">
        <f aca="false">AP169</f>
        <v>152.4</v>
      </c>
      <c r="AQ204" s="20" t="n">
        <f aca="false">AQ169</f>
        <v>90.3</v>
      </c>
      <c r="AR204" s="20" t="n">
        <f aca="false">AR169</f>
        <v>91.1</v>
      </c>
      <c r="AS204" s="20" t="n">
        <f aca="false">AS169</f>
        <v>333.8</v>
      </c>
      <c r="AT204" s="20" t="n">
        <f aca="false">AT169</f>
        <v>75.3000000000001</v>
      </c>
      <c r="AU204" s="20" t="n">
        <f aca="false">AU169</f>
        <v>104.6</v>
      </c>
      <c r="AV204" s="20" t="n">
        <f aca="false">AV169</f>
        <v>179.9</v>
      </c>
      <c r="AW204" s="20" t="n">
        <f aca="false">AW169</f>
        <v>106.7</v>
      </c>
      <c r="AX204" s="20" t="n">
        <f aca="false">AX169</f>
        <v>115.7</v>
      </c>
      <c r="AY204" s="20" t="n">
        <f aca="false">AY169</f>
        <v>402.3</v>
      </c>
      <c r="AZ204" s="20" t="n">
        <f aca="false">AZ169</f>
        <v>82.2</v>
      </c>
      <c r="BA204" s="20" t="n">
        <f aca="false">BA169</f>
        <v>93.6999999999999</v>
      </c>
      <c r="BB204" s="20" t="n">
        <f aca="false">BB169</f>
        <v>175.9</v>
      </c>
      <c r="BC204" s="20" t="n">
        <f aca="false">BC169</f>
        <v>93.9</v>
      </c>
      <c r="BD204" s="20" t="n">
        <f aca="false">BD169</f>
        <v>132.1</v>
      </c>
      <c r="BE204" s="20" t="n">
        <f aca="false">BE169</f>
        <v>401.9</v>
      </c>
      <c r="BF204" s="20" t="n">
        <f aca="false">BF169</f>
        <v>84.7000000000001</v>
      </c>
      <c r="BG204" s="20" t="n">
        <f aca="false">BG169</f>
        <v>64.7</v>
      </c>
      <c r="BH204" s="20" t="n">
        <f aca="false">BH169</f>
        <v>149.4</v>
      </c>
      <c r="BI204" s="20" t="n">
        <f aca="false">BI169</f>
        <v>134.1</v>
      </c>
      <c r="BJ204" s="20" t="n">
        <f aca="false">BJ169</f>
        <v>161.8</v>
      </c>
      <c r="BK204" s="20" t="n">
        <f aca="false">BK169</f>
        <v>445.3</v>
      </c>
      <c r="BL204" s="20" t="n">
        <f aca="false">BL169</f>
        <v>212.6</v>
      </c>
      <c r="BM204" s="20" t="n">
        <f aca="false">BM169</f>
        <v>171.3</v>
      </c>
      <c r="BN204" s="20" t="n">
        <f aca="false">BN169</f>
        <v>383.9</v>
      </c>
      <c r="BO204" s="20" t="n">
        <f aca="false">BO169</f>
        <v>178.2</v>
      </c>
      <c r="BP204" s="20" t="n">
        <f aca="false">BP169</f>
        <v>226.8</v>
      </c>
      <c r="BQ204" s="20" t="n">
        <f aca="false">BQ169</f>
        <v>788.9</v>
      </c>
      <c r="BR204" s="20" t="n">
        <f aca="false">BR169</f>
        <v>178.8</v>
      </c>
      <c r="BS204" s="20" t="n">
        <f aca="false">BS169</f>
        <v>185.5</v>
      </c>
      <c r="BT204" s="20" t="n">
        <f aca="false">BT169</f>
        <v>364.3</v>
      </c>
      <c r="BU204" s="20" t="n">
        <f aca="false">BU169</f>
        <v>198.8</v>
      </c>
      <c r="BV204" s="20" t="n">
        <f aca="false">BV169</f>
        <v>323.5</v>
      </c>
      <c r="BW204" s="20" t="n">
        <f aca="false">BW169</f>
        <v>886.6</v>
      </c>
      <c r="BX204" s="20" t="n">
        <f aca="false">BX169</f>
        <v>179.1</v>
      </c>
      <c r="BY204" s="20" t="n">
        <f aca="false">BY169</f>
        <v>180.3</v>
      </c>
      <c r="BZ204" s="20" t="n">
        <f aca="false">BZ169</f>
        <v>359.4</v>
      </c>
      <c r="CA204" s="20" t="n">
        <f aca="false">CA169</f>
        <v>262.2</v>
      </c>
      <c r="CB204" s="20" t="n">
        <f aca="false">CB169</f>
        <v>199.1</v>
      </c>
      <c r="CC204" s="20" t="n">
        <f aca="false">CC169</f>
        <v>820.7</v>
      </c>
      <c r="CD204" s="20" t="n">
        <f aca="false">CD169</f>
        <v>188.8</v>
      </c>
      <c r="CE204" s="20" t="n">
        <f aca="false">CE169</f>
        <v>210.4</v>
      </c>
      <c r="CF204" s="20" t="n">
        <f aca="false">CF169</f>
        <v>399.2</v>
      </c>
      <c r="CG204" s="20" t="n">
        <f aca="false">CG169</f>
        <v>220.9</v>
      </c>
      <c r="CH204" s="20" t="n">
        <f aca="false">CH169</f>
        <v>275.6</v>
      </c>
      <c r="CI204" s="20" t="n">
        <f aca="false">CI169</f>
        <v>895.7</v>
      </c>
      <c r="CJ204" s="20" t="n">
        <f aca="false">CJ169</f>
        <v>226.8</v>
      </c>
      <c r="CK204" s="20" t="n">
        <f aca="false">CK169</f>
        <v>251.7</v>
      </c>
      <c r="CL204" s="20" t="n">
        <f aca="false">CL169</f>
        <v>478.5</v>
      </c>
      <c r="CM204" s="22" t="n">
        <f aca="false">CM169</f>
        <v>241.5805</v>
      </c>
      <c r="CN204" s="22" t="n">
        <f aca="false">CN169</f>
        <v>254.48175</v>
      </c>
      <c r="CO204" s="22" t="n">
        <f aca="false">SUM(CJ204,CK204,CM204,CN204)</f>
        <v>974.56225</v>
      </c>
      <c r="CP204" s="22" t="n">
        <f aca="false">CP169</f>
        <v>1126.54892598653</v>
      </c>
      <c r="CQ204" s="22" t="n">
        <f aca="false">CQ169</f>
        <v>1252.11426930276</v>
      </c>
      <c r="CR204" s="22" t="n">
        <f aca="false">CR169</f>
        <v>1412.39073621352</v>
      </c>
      <c r="CS204" s="22" t="n">
        <f aca="false">CS169</f>
        <v>1572.91403065076</v>
      </c>
      <c r="CT204" s="23"/>
      <c r="CV204" s="7"/>
      <c r="CW204" s="7"/>
      <c r="CX204" s="7"/>
      <c r="CY204" s="7"/>
    </row>
    <row r="205" customFormat="false" ht="15" hidden="false" customHeight="true" outlineLevel="0" collapsed="false">
      <c r="B205" s="13" t="s">
        <v>330</v>
      </c>
      <c r="C205" s="30" t="n">
        <f aca="false">-N(C168)</f>
        <v>-0</v>
      </c>
      <c r="D205" s="30" t="n">
        <f aca="false">-N(D168)</f>
        <v>-0</v>
      </c>
      <c r="E205" s="30" t="n">
        <f aca="false">-N(E168)</f>
        <v>5.3</v>
      </c>
      <c r="F205" s="30" t="n">
        <f aca="false">-N(F168)</f>
        <v>2.6</v>
      </c>
      <c r="G205" s="30" t="n">
        <f aca="false">-N(G168)</f>
        <v>-0.6</v>
      </c>
      <c r="H205" s="30" t="n">
        <f aca="false">-N(H168)</f>
        <v>-113.1</v>
      </c>
      <c r="I205" s="30" t="n">
        <f aca="false">-N(I168)</f>
        <v>-2.3</v>
      </c>
      <c r="J205" s="30" t="n">
        <f aca="false">-N(J168)</f>
        <v>-0</v>
      </c>
      <c r="K205" s="30" t="n">
        <f aca="false">-N(K168)</f>
        <v>-0</v>
      </c>
      <c r="L205" s="30" t="n">
        <f aca="false">-N(L168)</f>
        <v>-0</v>
      </c>
      <c r="M205" s="30" t="n">
        <f aca="false">-N(M168)</f>
        <v>-0</v>
      </c>
      <c r="N205" s="30" t="n">
        <f aca="false">-N(N168)</f>
        <v>-0</v>
      </c>
      <c r="O205" s="30" t="n">
        <f aca="false">-N(O168)</f>
        <v>-0</v>
      </c>
      <c r="P205" s="30" t="n">
        <f aca="false">-N(P168)</f>
        <v>-0</v>
      </c>
      <c r="Q205" s="30" t="n">
        <f aca="false">-N(Q168)</f>
        <v>-0</v>
      </c>
      <c r="R205" s="30" t="n">
        <f aca="false">-N(R168)</f>
        <v>-0</v>
      </c>
      <c r="S205" s="30" t="n">
        <f aca="false">-N(S168)</f>
        <v>-0</v>
      </c>
      <c r="T205" s="30" t="n">
        <f aca="false">-N(T168)</f>
        <v>-0</v>
      </c>
      <c r="U205" s="30" t="n">
        <f aca="false">-N(U168)</f>
        <v>-0</v>
      </c>
      <c r="V205" s="30" t="n">
        <f aca="false">-N(V168)</f>
        <v>-0</v>
      </c>
      <c r="W205" s="30" t="n">
        <f aca="false">-N(W168)</f>
        <v>-0</v>
      </c>
      <c r="X205" s="30" t="n">
        <f aca="false">-N(X168)</f>
        <v>-0</v>
      </c>
      <c r="Y205" s="30" t="n">
        <f aca="false">-N(Y168)</f>
        <v>-0</v>
      </c>
      <c r="Z205" s="30" t="n">
        <f aca="false">-N(Z168)</f>
        <v>-0</v>
      </c>
      <c r="AA205" s="30" t="n">
        <f aca="false">-N(AA168)</f>
        <v>-0</v>
      </c>
      <c r="AB205" s="30" t="n">
        <f aca="false">-N(AB168)</f>
        <v>-0</v>
      </c>
      <c r="AC205" s="30" t="n">
        <f aca="false">-N(AC168)</f>
        <v>-0</v>
      </c>
      <c r="AD205" s="30" t="n">
        <f aca="false">-N(AD168)</f>
        <v>-0</v>
      </c>
      <c r="AE205" s="30" t="n">
        <f aca="false">-N(AE168)</f>
        <v>-0</v>
      </c>
      <c r="AF205" s="30" t="n">
        <f aca="false">-N(AF168)</f>
        <v>-0</v>
      </c>
      <c r="AG205" s="30" t="n">
        <f aca="false">-N(AG168)</f>
        <v>-0</v>
      </c>
      <c r="AH205" s="30" t="n">
        <f aca="false">-N(AH168)</f>
        <v>-0</v>
      </c>
      <c r="AI205" s="30" t="n">
        <f aca="false">-N(AI168)</f>
        <v>-0</v>
      </c>
      <c r="AJ205" s="30" t="n">
        <f aca="false">-N(AJ168)</f>
        <v>-0</v>
      </c>
      <c r="AK205" s="30" t="n">
        <f aca="false">-N(AK168)</f>
        <v>-0</v>
      </c>
      <c r="AL205" s="30" t="n">
        <f aca="false">-N(AL168)</f>
        <v>-0</v>
      </c>
      <c r="AM205" s="30" t="n">
        <f aca="false">-N(AM168)</f>
        <v>-0</v>
      </c>
      <c r="AN205" s="30" t="n">
        <f aca="false">-N(AN168)</f>
        <v>-0</v>
      </c>
      <c r="AO205" s="30" t="n">
        <f aca="false">-N(AO168)</f>
        <v>-0</v>
      </c>
      <c r="AP205" s="30" t="n">
        <f aca="false">-N(AP168)</f>
        <v>-0</v>
      </c>
      <c r="AQ205" s="30" t="n">
        <f aca="false">-N(AQ168)</f>
        <v>-0</v>
      </c>
      <c r="AR205" s="30" t="n">
        <f aca="false">-N(AR168)</f>
        <v>-0</v>
      </c>
      <c r="AS205" s="30" t="n">
        <f aca="false">-N(AS168)</f>
        <v>-0</v>
      </c>
      <c r="AT205" s="30" t="n">
        <f aca="false">-N(AT168)</f>
        <v>-0</v>
      </c>
      <c r="AU205" s="30" t="n">
        <f aca="false">-N(AU168)</f>
        <v>-0</v>
      </c>
      <c r="AV205" s="30" t="n">
        <f aca="false">-N(AV168)</f>
        <v>-0</v>
      </c>
      <c r="AW205" s="30" t="n">
        <f aca="false">-N(AW168)</f>
        <v>-0</v>
      </c>
      <c r="AX205" s="30" t="n">
        <f aca="false">-N(AX168)</f>
        <v>-0</v>
      </c>
      <c r="AY205" s="30" t="n">
        <f aca="false">-N(AY168)</f>
        <v>-0</v>
      </c>
      <c r="AZ205" s="30" t="n">
        <f aca="false">-N(AZ168)</f>
        <v>-0</v>
      </c>
      <c r="BA205" s="30" t="n">
        <f aca="false">-N(BA168)</f>
        <v>-0</v>
      </c>
      <c r="BB205" s="30" t="n">
        <f aca="false">-N(BB168)</f>
        <v>-0</v>
      </c>
      <c r="BC205" s="30" t="n">
        <f aca="false">-N(BC168)</f>
        <v>-0</v>
      </c>
      <c r="BD205" s="30" t="n">
        <f aca="false">-N(BD168)</f>
        <v>-0</v>
      </c>
      <c r="BE205" s="30" t="n">
        <f aca="false">-N(BE168)</f>
        <v>-0</v>
      </c>
      <c r="BF205" s="30" t="n">
        <f aca="false">-N(BF168)</f>
        <v>-0</v>
      </c>
      <c r="BG205" s="30" t="n">
        <f aca="false">-N(BG168)</f>
        <v>-0</v>
      </c>
      <c r="BH205" s="30" t="n">
        <f aca="false">-N(BH168)</f>
        <v>-0</v>
      </c>
      <c r="BI205" s="30" t="n">
        <f aca="false">-N(BI168)</f>
        <v>-0</v>
      </c>
      <c r="BJ205" s="30" t="n">
        <f aca="false">-N(BJ168)</f>
        <v>-0</v>
      </c>
      <c r="BK205" s="30" t="n">
        <f aca="false">-N(BK168)</f>
        <v>-0</v>
      </c>
      <c r="BL205" s="30" t="n">
        <f aca="false">-N(BL168)</f>
        <v>-0</v>
      </c>
      <c r="BM205" s="30" t="n">
        <f aca="false">-N(BM168)</f>
        <v>-0</v>
      </c>
      <c r="BN205" s="30" t="n">
        <f aca="false">-N(BN168)</f>
        <v>-0</v>
      </c>
      <c r="BO205" s="30" t="n">
        <f aca="false">-N(BO168)</f>
        <v>-0</v>
      </c>
      <c r="BP205" s="30" t="n">
        <f aca="false">-N(BP168)</f>
        <v>-0</v>
      </c>
      <c r="BQ205" s="30" t="n">
        <f aca="false">-N(BQ168)</f>
        <v>-0</v>
      </c>
      <c r="BR205" s="30" t="n">
        <f aca="false">-N(BR168)</f>
        <v>-0</v>
      </c>
      <c r="BS205" s="30" t="n">
        <f aca="false">-N(BS168)</f>
        <v>-0</v>
      </c>
      <c r="BT205" s="30" t="n">
        <f aca="false">-N(BT168)</f>
        <v>-0</v>
      </c>
      <c r="BU205" s="30" t="n">
        <f aca="false">-N(BU168)</f>
        <v>-0</v>
      </c>
      <c r="BV205" s="30" t="n">
        <f aca="false">-N(BV168)</f>
        <v>-0</v>
      </c>
      <c r="BW205" s="30" t="n">
        <f aca="false">-N(BW168)</f>
        <v>-0</v>
      </c>
      <c r="BX205" s="30" t="n">
        <f aca="false">-N(BX168)</f>
        <v>-0</v>
      </c>
      <c r="BY205" s="30" t="n">
        <f aca="false">-N(BY168)</f>
        <v>-0</v>
      </c>
      <c r="BZ205" s="30" t="n">
        <f aca="false">-N(BZ168)</f>
        <v>-0</v>
      </c>
      <c r="CA205" s="30" t="n">
        <f aca="false">-N(CA168)</f>
        <v>-0</v>
      </c>
      <c r="CB205" s="30" t="n">
        <f aca="false">-N(CB168)</f>
        <v>-0</v>
      </c>
      <c r="CC205" s="30" t="n">
        <f aca="false">-N(CC168)</f>
        <v>-0</v>
      </c>
      <c r="CD205" s="30" t="n">
        <f aca="false">-N(CD168)</f>
        <v>-0</v>
      </c>
      <c r="CE205" s="30" t="n">
        <f aca="false">-N(CE168)</f>
        <v>-0</v>
      </c>
      <c r="CF205" s="30" t="n">
        <f aca="false">-N(CF168)</f>
        <v>-0</v>
      </c>
      <c r="CG205" s="30" t="n">
        <f aca="false">-N(CG168)</f>
        <v>-0</v>
      </c>
      <c r="CH205" s="30" t="n">
        <f aca="false">-N(CH168)</f>
        <v>-0</v>
      </c>
      <c r="CI205" s="30" t="n">
        <f aca="false">-N(CI168)</f>
        <v>-0</v>
      </c>
      <c r="CJ205" s="30" t="n">
        <f aca="false">-N(CJ168)</f>
        <v>-0</v>
      </c>
      <c r="CK205" s="30" t="n">
        <f aca="false">-N(CK168)</f>
        <v>-0</v>
      </c>
      <c r="CL205" s="30" t="n">
        <f aca="false">-N(CL168)</f>
        <v>-0</v>
      </c>
      <c r="CM205" s="32" t="n">
        <f aca="false">-CM168</f>
        <v>-0</v>
      </c>
      <c r="CN205" s="32" t="n">
        <f aca="false">-CN168</f>
        <v>-0</v>
      </c>
      <c r="CO205" s="32" t="n">
        <f aca="false">SUM(CJ205,CK205,CM205,CN205)</f>
        <v>0</v>
      </c>
      <c r="CP205" s="32" t="n">
        <f aca="false">-CP168</f>
        <v>-0</v>
      </c>
      <c r="CQ205" s="32" t="n">
        <f aca="false">-CQ168</f>
        <v>-0</v>
      </c>
      <c r="CR205" s="32" t="n">
        <f aca="false">-CR168</f>
        <v>-0</v>
      </c>
      <c r="CS205" s="32" t="n">
        <f aca="false">-CS168</f>
        <v>-0</v>
      </c>
      <c r="CT205" s="23"/>
      <c r="CV205" s="7"/>
      <c r="CW205" s="7"/>
      <c r="CX205" s="7"/>
      <c r="CY205" s="7"/>
    </row>
    <row r="206" customFormat="false" ht="15" hidden="false" customHeight="true" outlineLevel="0" collapsed="false">
      <c r="B206" s="13" t="s">
        <v>331</v>
      </c>
      <c r="C206" s="30" t="n">
        <f aca="false">C165</f>
        <v>41.4</v>
      </c>
      <c r="D206" s="30" t="n">
        <f aca="false">D165</f>
        <v>50.8</v>
      </c>
      <c r="E206" s="30" t="n">
        <f aca="false">E165</f>
        <v>69.1</v>
      </c>
      <c r="F206" s="30" t="n">
        <f aca="false">F165</f>
        <v>50</v>
      </c>
      <c r="G206" s="30" t="n">
        <f aca="false">G165</f>
        <v>53.6</v>
      </c>
      <c r="H206" s="30" t="n">
        <f aca="false">H165</f>
        <v>69.5</v>
      </c>
      <c r="I206" s="30" t="n">
        <f aca="false">I165</f>
        <v>65.4</v>
      </c>
      <c r="J206" s="30" t="n">
        <f aca="false">J165</f>
        <v>13.2</v>
      </c>
      <c r="K206" s="30" t="n">
        <f aca="false">K165</f>
        <v>16.5</v>
      </c>
      <c r="L206" s="30" t="n">
        <f aca="false">L165</f>
        <v>29.7</v>
      </c>
      <c r="M206" s="30" t="n">
        <f aca="false">M165</f>
        <v>0.3</v>
      </c>
      <c r="N206" s="30" t="n">
        <f aca="false">N165</f>
        <v>9.5</v>
      </c>
      <c r="O206" s="30" t="n">
        <f aca="false">O165</f>
        <v>39.5</v>
      </c>
      <c r="P206" s="30" t="n">
        <f aca="false">P165</f>
        <v>15.9</v>
      </c>
      <c r="Q206" s="30" t="n">
        <f aca="false">Q165</f>
        <v>22.1</v>
      </c>
      <c r="R206" s="30" t="n">
        <f aca="false">R165</f>
        <v>38</v>
      </c>
      <c r="S206" s="30" t="n">
        <f aca="false">S165</f>
        <v>13</v>
      </c>
      <c r="T206" s="30" t="n">
        <f aca="false">T165</f>
        <v>15.5</v>
      </c>
      <c r="U206" s="30" t="n">
        <f aca="false">U165</f>
        <v>66.5</v>
      </c>
      <c r="V206" s="30" t="n">
        <f aca="false">V165</f>
        <v>18.5</v>
      </c>
      <c r="W206" s="30" t="n">
        <f aca="false">W165</f>
        <v>18.3</v>
      </c>
      <c r="X206" s="30" t="n">
        <f aca="false">X165</f>
        <v>36.8</v>
      </c>
      <c r="Y206" s="30" t="n">
        <f aca="false">Y165</f>
        <v>13.1</v>
      </c>
      <c r="Z206" s="30" t="n">
        <f aca="false">Z165</f>
        <v>12.8</v>
      </c>
      <c r="AA206" s="30" t="n">
        <f aca="false">AA165</f>
        <v>62.7</v>
      </c>
      <c r="AB206" s="30" t="n">
        <f aca="false">AB165</f>
        <v>14.9</v>
      </c>
      <c r="AC206" s="30" t="n">
        <f aca="false">AC165</f>
        <v>18</v>
      </c>
      <c r="AD206" s="30" t="n">
        <f aca="false">AD165</f>
        <v>32.9</v>
      </c>
      <c r="AE206" s="30" t="n">
        <f aca="false">AE165</f>
        <v>10.4</v>
      </c>
      <c r="AF206" s="30" t="n">
        <f aca="false">AF165</f>
        <v>7.1</v>
      </c>
      <c r="AG206" s="30" t="n">
        <f aca="false">AG165</f>
        <v>50.4</v>
      </c>
      <c r="AH206" s="30" t="n">
        <f aca="false">AH165</f>
        <v>10.1</v>
      </c>
      <c r="AI206" s="30" t="n">
        <f aca="false">AI165</f>
        <v>16.3</v>
      </c>
      <c r="AJ206" s="30" t="n">
        <f aca="false">AJ165</f>
        <v>26.4</v>
      </c>
      <c r="AK206" s="30" t="n">
        <f aca="false">AK165</f>
        <v>12.7</v>
      </c>
      <c r="AL206" s="30" t="n">
        <f aca="false">AL165</f>
        <v>20.7</v>
      </c>
      <c r="AM206" s="30" t="n">
        <f aca="false">AM165</f>
        <v>59.8</v>
      </c>
      <c r="AN206" s="30" t="n">
        <f aca="false">AN165</f>
        <v>15.7</v>
      </c>
      <c r="AO206" s="30" t="n">
        <f aca="false">AO165</f>
        <v>18.5</v>
      </c>
      <c r="AP206" s="30" t="n">
        <f aca="false">AP165</f>
        <v>34.2</v>
      </c>
      <c r="AQ206" s="30" t="n">
        <f aca="false">AQ165</f>
        <v>9.9</v>
      </c>
      <c r="AR206" s="30" t="n">
        <f aca="false">AR165</f>
        <v>16</v>
      </c>
      <c r="AS206" s="30" t="n">
        <f aca="false">AS165</f>
        <v>60.1</v>
      </c>
      <c r="AT206" s="30" t="n">
        <f aca="false">AT165</f>
        <v>17.6</v>
      </c>
      <c r="AU206" s="30" t="n">
        <f aca="false">AU165</f>
        <v>23.3</v>
      </c>
      <c r="AV206" s="30" t="n">
        <f aca="false">AV165</f>
        <v>40.9</v>
      </c>
      <c r="AW206" s="30" t="n">
        <f aca="false">AW165</f>
        <v>16.7</v>
      </c>
      <c r="AX206" s="30" t="n">
        <f aca="false">AX165</f>
        <v>13.8</v>
      </c>
      <c r="AY206" s="30" t="n">
        <f aca="false">AY165</f>
        <v>71.4</v>
      </c>
      <c r="AZ206" s="30" t="n">
        <f aca="false">AZ165</f>
        <v>18.8</v>
      </c>
      <c r="BA206" s="30" t="n">
        <f aca="false">BA165</f>
        <v>14.2</v>
      </c>
      <c r="BB206" s="30" t="n">
        <f aca="false">BB165</f>
        <v>33</v>
      </c>
      <c r="BC206" s="30" t="n">
        <f aca="false">BC165</f>
        <v>25.8</v>
      </c>
      <c r="BD206" s="30" t="n">
        <f aca="false">BD165</f>
        <v>9</v>
      </c>
      <c r="BE206" s="30" t="n">
        <f aca="false">BE165</f>
        <v>67.8</v>
      </c>
      <c r="BF206" s="30" t="n">
        <f aca="false">BF165</f>
        <v>16.6</v>
      </c>
      <c r="BG206" s="30" t="n">
        <f aca="false">BG165</f>
        <v>27.4</v>
      </c>
      <c r="BH206" s="30" t="n">
        <f aca="false">BH165</f>
        <v>44</v>
      </c>
      <c r="BI206" s="30" t="n">
        <f aca="false">BI165</f>
        <v>33.8</v>
      </c>
      <c r="BJ206" s="30" t="n">
        <f aca="false">BJ165</f>
        <v>10.7</v>
      </c>
      <c r="BK206" s="30" t="n">
        <f aca="false">BK165</f>
        <v>88.5</v>
      </c>
      <c r="BL206" s="30" t="n">
        <f aca="false">BL165</f>
        <v>-9.6</v>
      </c>
      <c r="BM206" s="30" t="n">
        <f aca="false">BM165</f>
        <v>50.2</v>
      </c>
      <c r="BN206" s="30" t="n">
        <f aca="false">BN165</f>
        <v>40.6</v>
      </c>
      <c r="BO206" s="30" t="n">
        <f aca="false">BO165</f>
        <v>53.1</v>
      </c>
      <c r="BP206" s="30" t="n">
        <f aca="false">BP165</f>
        <v>25.5</v>
      </c>
      <c r="BQ206" s="30" t="n">
        <f aca="false">BQ165</f>
        <v>119.2</v>
      </c>
      <c r="BR206" s="30" t="n">
        <f aca="false">BR165</f>
        <v>44.9</v>
      </c>
      <c r="BS206" s="30" t="n">
        <f aca="false">BS165</f>
        <v>49.4</v>
      </c>
      <c r="BT206" s="30" t="n">
        <f aca="false">BT165</f>
        <v>94.3</v>
      </c>
      <c r="BU206" s="30" t="n">
        <f aca="false">BU165</f>
        <v>47.3</v>
      </c>
      <c r="BV206" s="30" t="n">
        <f aca="false">BV165</f>
        <v>-69.3</v>
      </c>
      <c r="BW206" s="30" t="n">
        <f aca="false">BW165</f>
        <v>72.3</v>
      </c>
      <c r="BX206" s="30" t="n">
        <f aca="false">BX165</f>
        <v>46.4</v>
      </c>
      <c r="BY206" s="30" t="n">
        <f aca="false">BY165</f>
        <v>51.4</v>
      </c>
      <c r="BZ206" s="30" t="n">
        <f aca="false">BZ165</f>
        <v>97.8</v>
      </c>
      <c r="CA206" s="30" t="n">
        <f aca="false">CA165</f>
        <v>-7.1</v>
      </c>
      <c r="CB206" s="30" t="n">
        <f aca="false">CB165</f>
        <v>26.5</v>
      </c>
      <c r="CC206" s="30" t="n">
        <f aca="false">CC165</f>
        <v>117.2</v>
      </c>
      <c r="CD206" s="30" t="n">
        <f aca="false">CD165</f>
        <v>50.1</v>
      </c>
      <c r="CE206" s="30" t="n">
        <f aca="false">CE165</f>
        <v>50.2</v>
      </c>
      <c r="CF206" s="30" t="n">
        <f aca="false">CF165</f>
        <v>100.3</v>
      </c>
      <c r="CG206" s="30" t="n">
        <f aca="false">CG165</f>
        <v>52.9</v>
      </c>
      <c r="CH206" s="30" t="n">
        <f aca="false">CH165</f>
        <v>45.6</v>
      </c>
      <c r="CI206" s="30" t="n">
        <f aca="false">CI165</f>
        <v>198.8</v>
      </c>
      <c r="CJ206" s="30" t="n">
        <f aca="false">CJ165</f>
        <v>51.9</v>
      </c>
      <c r="CK206" s="30" t="n">
        <f aca="false">CK165</f>
        <v>69.6</v>
      </c>
      <c r="CL206" s="30" t="n">
        <f aca="false">CL165</f>
        <v>121.5</v>
      </c>
      <c r="CM206" s="32" t="n">
        <f aca="false">CM165</f>
        <v>66.1653598726115</v>
      </c>
      <c r="CN206" s="32" t="n">
        <f aca="false">CN165</f>
        <v>69.6988232484076</v>
      </c>
      <c r="CO206" s="32" t="n">
        <f aca="false">SUM(CJ206,CK206,CM206,CN206)</f>
        <v>257.364183121019</v>
      </c>
      <c r="CP206" s="32" t="n">
        <f aca="false">CP165</f>
        <v>308.545247244719</v>
      </c>
      <c r="CQ206" s="32" t="n">
        <f aca="false">CQ165</f>
        <v>342.935755286744</v>
      </c>
      <c r="CR206" s="32" t="n">
        <f aca="false">CR165</f>
        <v>386.833131574404</v>
      </c>
      <c r="CS206" s="32" t="n">
        <f aca="false">CS165</f>
        <v>430.798110305623</v>
      </c>
      <c r="CT206" s="23"/>
      <c r="CV206" s="7"/>
      <c r="CW206" s="7"/>
      <c r="CX206" s="7"/>
      <c r="CY206" s="7"/>
    </row>
    <row r="207" customFormat="false" ht="15" hidden="false" customHeight="true" outlineLevel="0" collapsed="false">
      <c r="B207" s="13" t="s">
        <v>332</v>
      </c>
      <c r="C207" s="30" t="n">
        <f aca="false">C161</f>
        <v>7.4</v>
      </c>
      <c r="D207" s="30" t="n">
        <f aca="false">D161</f>
        <v>12.5</v>
      </c>
      <c r="E207" s="30" t="n">
        <f aca="false">E161</f>
        <v>10.9</v>
      </c>
      <c r="F207" s="30" t="n">
        <f aca="false">F161</f>
        <v>4.8</v>
      </c>
      <c r="G207" s="30" t="n">
        <f aca="false">G161</f>
        <v>6.5</v>
      </c>
      <c r="H207" s="30" t="n">
        <f aca="false">H161</f>
        <v>16.2</v>
      </c>
      <c r="I207" s="30" t="n">
        <f aca="false">I161</f>
        <v>17.8</v>
      </c>
      <c r="J207" s="30" t="n">
        <f aca="false">J161</f>
        <v>5.4</v>
      </c>
      <c r="K207" s="30" t="n">
        <f aca="false">K161</f>
        <v>5.1</v>
      </c>
      <c r="L207" s="30" t="n">
        <f aca="false">L161</f>
        <v>10.5</v>
      </c>
      <c r="M207" s="30" t="n">
        <f aca="false">M161</f>
        <v>5.1</v>
      </c>
      <c r="N207" s="30" t="n">
        <f aca="false">N161</f>
        <v>4.8</v>
      </c>
      <c r="O207" s="30" t="n">
        <f aca="false">O161</f>
        <v>20.4</v>
      </c>
      <c r="P207" s="30" t="n">
        <f aca="false">P161</f>
        <v>4.7</v>
      </c>
      <c r="Q207" s="30" t="n">
        <f aca="false">Q161</f>
        <v>4.6</v>
      </c>
      <c r="R207" s="30" t="n">
        <f aca="false">R161</f>
        <v>9.3</v>
      </c>
      <c r="S207" s="30" t="n">
        <f aca="false">S161</f>
        <v>4.6</v>
      </c>
      <c r="T207" s="30" t="n">
        <f aca="false">T161</f>
        <v>5.1</v>
      </c>
      <c r="U207" s="30" t="n">
        <f aca="false">U161</f>
        <v>19</v>
      </c>
      <c r="V207" s="30" t="n">
        <f aca="false">V161</f>
        <v>5.9</v>
      </c>
      <c r="W207" s="30" t="n">
        <f aca="false">W161</f>
        <v>6</v>
      </c>
      <c r="X207" s="30" t="n">
        <f aca="false">X161</f>
        <v>11.9</v>
      </c>
      <c r="Y207" s="30" t="n">
        <f aca="false">Y161</f>
        <v>6</v>
      </c>
      <c r="Z207" s="30" t="n">
        <f aca="false">Z161</f>
        <v>6</v>
      </c>
      <c r="AA207" s="30" t="n">
        <f aca="false">AA161</f>
        <v>23.9</v>
      </c>
      <c r="AB207" s="30" t="n">
        <f aca="false">AB161</f>
        <v>5.7</v>
      </c>
      <c r="AC207" s="30" t="n">
        <f aca="false">AC161</f>
        <v>5.9</v>
      </c>
      <c r="AD207" s="30" t="n">
        <f aca="false">AD161</f>
        <v>11.6</v>
      </c>
      <c r="AE207" s="30" t="n">
        <f aca="false">AE161</f>
        <v>5.6</v>
      </c>
      <c r="AF207" s="30" t="n">
        <f aca="false">AF161</f>
        <v>6</v>
      </c>
      <c r="AG207" s="30" t="n">
        <f aca="false">AG161</f>
        <v>23.2</v>
      </c>
      <c r="AH207" s="30" t="n">
        <f aca="false">AH161</f>
        <v>8.2</v>
      </c>
      <c r="AI207" s="30" t="n">
        <f aca="false">AI161</f>
        <v>9.1</v>
      </c>
      <c r="AJ207" s="30" t="n">
        <f aca="false">AJ161</f>
        <v>17.3</v>
      </c>
      <c r="AK207" s="30" t="n">
        <f aca="false">AK161</f>
        <v>8.2</v>
      </c>
      <c r="AL207" s="30" t="n">
        <f aca="false">AL161</f>
        <v>7.6</v>
      </c>
      <c r="AM207" s="30" t="n">
        <f aca="false">AM161</f>
        <v>33.1</v>
      </c>
      <c r="AN207" s="30" t="n">
        <f aca="false">AN161</f>
        <v>7.1</v>
      </c>
      <c r="AO207" s="30" t="n">
        <f aca="false">AO161</f>
        <v>6.7</v>
      </c>
      <c r="AP207" s="30" t="n">
        <f aca="false">AP161</f>
        <v>13.8</v>
      </c>
      <c r="AQ207" s="30" t="n">
        <f aca="false">AQ161</f>
        <v>6</v>
      </c>
      <c r="AR207" s="30" t="n">
        <f aca="false">AR161</f>
        <v>5.7</v>
      </c>
      <c r="AS207" s="30" t="n">
        <f aca="false">AS161</f>
        <v>25.5</v>
      </c>
      <c r="AT207" s="30" t="n">
        <f aca="false">AT161</f>
        <v>5.4</v>
      </c>
      <c r="AU207" s="30" t="n">
        <f aca="false">AU161</f>
        <v>5.4</v>
      </c>
      <c r="AV207" s="30" t="n">
        <f aca="false">AV161</f>
        <v>10.8</v>
      </c>
      <c r="AW207" s="30" t="n">
        <f aca="false">AW161</f>
        <v>5.5</v>
      </c>
      <c r="AX207" s="30" t="n">
        <f aca="false">AX161</f>
        <v>4.7</v>
      </c>
      <c r="AY207" s="30" t="n">
        <f aca="false">AY161</f>
        <v>21</v>
      </c>
      <c r="AZ207" s="30" t="n">
        <f aca="false">AZ161</f>
        <v>4.1</v>
      </c>
      <c r="BA207" s="30" t="n">
        <f aca="false">BA161</f>
        <v>3.7</v>
      </c>
      <c r="BB207" s="30" t="n">
        <f aca="false">BB161</f>
        <v>7.8</v>
      </c>
      <c r="BC207" s="30" t="n">
        <f aca="false">BC161</f>
        <v>4.1</v>
      </c>
      <c r="BD207" s="30" t="n">
        <f aca="false">BD161</f>
        <v>3.4</v>
      </c>
      <c r="BE207" s="30" t="n">
        <f aca="false">BE161</f>
        <v>15.3</v>
      </c>
      <c r="BF207" s="30" t="n">
        <f aca="false">BF161</f>
        <v>22.3</v>
      </c>
      <c r="BG207" s="30" t="n">
        <f aca="false">BG161</f>
        <v>21.2</v>
      </c>
      <c r="BH207" s="30" t="n">
        <f aca="false">BH161</f>
        <v>43.5</v>
      </c>
      <c r="BI207" s="30" t="n">
        <f aca="false">BI161</f>
        <v>23.8</v>
      </c>
      <c r="BJ207" s="30" t="n">
        <f aca="false">BJ161</f>
        <v>23.5</v>
      </c>
      <c r="BK207" s="30" t="n">
        <f aca="false">BK161</f>
        <v>90.8</v>
      </c>
      <c r="BL207" s="30" t="n">
        <f aca="false">BL161</f>
        <v>22.3</v>
      </c>
      <c r="BM207" s="30" t="n">
        <f aca="false">BM161</f>
        <v>22.5</v>
      </c>
      <c r="BN207" s="30" t="n">
        <f aca="false">BN161</f>
        <v>44.8</v>
      </c>
      <c r="BO207" s="30" t="n">
        <f aca="false">BO161</f>
        <v>22</v>
      </c>
      <c r="BP207" s="30" t="n">
        <f aca="false">BP161</f>
        <v>22.5</v>
      </c>
      <c r="BQ207" s="30" t="n">
        <f aca="false">BQ161</f>
        <v>89.3</v>
      </c>
      <c r="BR207" s="30" t="n">
        <f aca="false">BR161</f>
        <v>21</v>
      </c>
      <c r="BS207" s="30" t="n">
        <f aca="false">BS161</f>
        <v>22.3</v>
      </c>
      <c r="BT207" s="30" t="n">
        <f aca="false">BT161</f>
        <v>43.3</v>
      </c>
      <c r="BU207" s="30" t="n">
        <f aca="false">BU161</f>
        <v>18.4</v>
      </c>
      <c r="BV207" s="30" t="n">
        <f aca="false">BV161</f>
        <v>15.6</v>
      </c>
      <c r="BW207" s="30" t="n">
        <f aca="false">BW161</f>
        <v>77.3</v>
      </c>
      <c r="BX207" s="30" t="n">
        <f aca="false">BX161</f>
        <v>12.7</v>
      </c>
      <c r="BY207" s="30" t="n">
        <f aca="false">BY161</f>
        <v>15.8</v>
      </c>
      <c r="BZ207" s="30" t="n">
        <f aca="false">BZ161</f>
        <v>28.5</v>
      </c>
      <c r="CA207" s="30" t="n">
        <f aca="false">CA161</f>
        <v>15.7</v>
      </c>
      <c r="CB207" s="30" t="n">
        <f aca="false">CB161</f>
        <v>13.7</v>
      </c>
      <c r="CC207" s="30" t="n">
        <f aca="false">CC161</f>
        <v>57.9</v>
      </c>
      <c r="CD207" s="30" t="n">
        <f aca="false">CD161</f>
        <v>17.3</v>
      </c>
      <c r="CE207" s="30" t="n">
        <f aca="false">CE161</f>
        <v>17.6</v>
      </c>
      <c r="CF207" s="30" t="n">
        <f aca="false">CF161</f>
        <v>34.9</v>
      </c>
      <c r="CG207" s="30" t="n">
        <f aca="false">CG161</f>
        <v>12.6</v>
      </c>
      <c r="CH207" s="30" t="n">
        <f aca="false">CH161</f>
        <v>12.1</v>
      </c>
      <c r="CI207" s="30" t="n">
        <f aca="false">CI161</f>
        <v>59.6</v>
      </c>
      <c r="CJ207" s="30" t="n">
        <f aca="false">CJ161</f>
        <v>12.3</v>
      </c>
      <c r="CK207" s="30" t="n">
        <f aca="false">CK161</f>
        <v>13.6</v>
      </c>
      <c r="CL207" s="30" t="n">
        <f aca="false">CL161</f>
        <v>25.9</v>
      </c>
      <c r="CM207" s="32" t="n">
        <f aca="false">CM161</f>
        <v>13.6</v>
      </c>
      <c r="CN207" s="32" t="n">
        <f aca="false">CN161</f>
        <v>13.6</v>
      </c>
      <c r="CO207" s="32" t="n">
        <f aca="false">SUM(CJ207,CK207,CM207,CN207)</f>
        <v>53.1</v>
      </c>
      <c r="CP207" s="32" t="n">
        <f aca="false">CP161</f>
        <v>24.6230541166122</v>
      </c>
      <c r="CQ207" s="32" t="n">
        <f aca="false">CQ161</f>
        <v>20.5105881637694</v>
      </c>
      <c r="CR207" s="32" t="n">
        <f aca="false">CR161</f>
        <v>19.1042584537115</v>
      </c>
      <c r="CS207" s="32" t="n">
        <f aca="false">CS161</f>
        <v>13.2963358953412</v>
      </c>
      <c r="CT207" s="23"/>
      <c r="CV207" s="7"/>
      <c r="CW207" s="7"/>
      <c r="CX207" s="7"/>
      <c r="CY207" s="7"/>
    </row>
    <row r="208" customFormat="false" ht="15" hidden="false" customHeight="true" outlineLevel="0" collapsed="false">
      <c r="B208" s="13" t="s">
        <v>333</v>
      </c>
      <c r="C208" s="30" t="n">
        <f aca="false">C174</f>
        <v>32</v>
      </c>
      <c r="D208" s="30" t="n">
        <f aca="false">D174</f>
        <v>34.7</v>
      </c>
      <c r="E208" s="30" t="n">
        <f aca="false">E174</f>
        <v>45</v>
      </c>
      <c r="F208" s="30" t="n">
        <f aca="false">F174</f>
        <v>42.5</v>
      </c>
      <c r="G208" s="30" t="n">
        <f aca="false">G174</f>
        <v>45.2</v>
      </c>
      <c r="H208" s="30" t="n">
        <f aca="false">H174</f>
        <v>64.2</v>
      </c>
      <c r="I208" s="30" t="n">
        <f aca="false">I174</f>
        <v>78.3</v>
      </c>
      <c r="J208" s="30" t="n">
        <f aca="false">J174</f>
        <v>21.9</v>
      </c>
      <c r="K208" s="30" t="n">
        <f aca="false">K174</f>
        <v>22.1</v>
      </c>
      <c r="L208" s="30" t="n">
        <f aca="false">L174</f>
        <v>44</v>
      </c>
      <c r="M208" s="30" t="n">
        <f aca="false">M174</f>
        <v>23.1</v>
      </c>
      <c r="N208" s="30" t="n">
        <f aca="false">N174</f>
        <v>24</v>
      </c>
      <c r="O208" s="30" t="n">
        <f aca="false">O174</f>
        <v>91.1</v>
      </c>
      <c r="P208" s="30" t="n">
        <f aca="false">P174</f>
        <v>23.2</v>
      </c>
      <c r="Q208" s="30" t="n">
        <f aca="false">Q174</f>
        <v>23.4</v>
      </c>
      <c r="R208" s="30" t="n">
        <f aca="false">R174</f>
        <v>46.6</v>
      </c>
      <c r="S208" s="30" t="n">
        <f aca="false">S174</f>
        <v>23.5</v>
      </c>
      <c r="T208" s="30" t="n">
        <f aca="false">T174</f>
        <v>24.2</v>
      </c>
      <c r="U208" s="30" t="n">
        <f aca="false">U174</f>
        <v>94.3</v>
      </c>
      <c r="V208" s="30" t="n">
        <f aca="false">V174</f>
        <v>23.2</v>
      </c>
      <c r="W208" s="30" t="n">
        <f aca="false">W174</f>
        <v>22.8</v>
      </c>
      <c r="X208" s="30" t="n">
        <f aca="false">X174</f>
        <v>46</v>
      </c>
      <c r="Y208" s="30" t="n">
        <f aca="false">Y174</f>
        <v>21.9</v>
      </c>
      <c r="Z208" s="30" t="n">
        <f aca="false">Z174</f>
        <v>22.4</v>
      </c>
      <c r="AA208" s="30" t="n">
        <f aca="false">AA174</f>
        <v>90.3</v>
      </c>
      <c r="AB208" s="30" t="n">
        <f aca="false">AB174</f>
        <v>21.1</v>
      </c>
      <c r="AC208" s="30" t="n">
        <f aca="false">AC174</f>
        <v>21.7</v>
      </c>
      <c r="AD208" s="30" t="n">
        <f aca="false">AD174</f>
        <v>42.8</v>
      </c>
      <c r="AE208" s="30" t="n">
        <f aca="false">AE174</f>
        <v>22.8</v>
      </c>
      <c r="AF208" s="30" t="n">
        <f aca="false">AF174</f>
        <v>21.7</v>
      </c>
      <c r="AG208" s="30" t="n">
        <f aca="false">AG174</f>
        <v>87.3</v>
      </c>
      <c r="AH208" s="30" t="n">
        <f aca="false">AH174</f>
        <v>22.8</v>
      </c>
      <c r="AI208" s="30" t="n">
        <f aca="false">AI174</f>
        <v>33.2</v>
      </c>
      <c r="AJ208" s="30" t="n">
        <f aca="false">AJ174</f>
        <v>56</v>
      </c>
      <c r="AK208" s="30" t="n">
        <f aca="false">AK174</f>
        <v>31.4</v>
      </c>
      <c r="AL208" s="30" t="n">
        <f aca="false">AL174</f>
        <v>25.6</v>
      </c>
      <c r="AM208" s="30" t="n">
        <f aca="false">AM174</f>
        <v>113</v>
      </c>
      <c r="AN208" s="30" t="n">
        <f aca="false">AN174</f>
        <v>28.8</v>
      </c>
      <c r="AO208" s="30" t="n">
        <f aca="false">AO174</f>
        <v>27.6</v>
      </c>
      <c r="AP208" s="30" t="n">
        <f aca="false">AP174</f>
        <v>56.4</v>
      </c>
      <c r="AQ208" s="30" t="n">
        <f aca="false">AQ174</f>
        <v>27.3</v>
      </c>
      <c r="AR208" s="30" t="n">
        <f aca="false">AR174</f>
        <v>29.3</v>
      </c>
      <c r="AS208" s="30" t="n">
        <f aca="false">AS174</f>
        <v>113</v>
      </c>
      <c r="AT208" s="30" t="n">
        <f aca="false">AT174</f>
        <v>27.6</v>
      </c>
      <c r="AU208" s="30" t="n">
        <f aca="false">AU174</f>
        <v>27.1</v>
      </c>
      <c r="AV208" s="30" t="n">
        <f aca="false">AV174</f>
        <v>54.7</v>
      </c>
      <c r="AW208" s="30" t="n">
        <f aca="false">AW174</f>
        <v>27.9</v>
      </c>
      <c r="AX208" s="30" t="n">
        <f aca="false">AX174</f>
        <v>29.3</v>
      </c>
      <c r="AY208" s="30" t="n">
        <f aca="false">AY174</f>
        <v>111.9</v>
      </c>
      <c r="AZ208" s="30" t="n">
        <f aca="false">AZ174</f>
        <v>29.3</v>
      </c>
      <c r="BA208" s="30" t="n">
        <f aca="false">BA174</f>
        <v>29</v>
      </c>
      <c r="BB208" s="30" t="n">
        <f aca="false">BB174</f>
        <v>58.3</v>
      </c>
      <c r="BC208" s="30" t="n">
        <f aca="false">BC174</f>
        <v>29.2</v>
      </c>
      <c r="BD208" s="30" t="n">
        <f aca="false">BD174</f>
        <v>28.7</v>
      </c>
      <c r="BE208" s="30" t="n">
        <f aca="false">BE174</f>
        <v>116.2</v>
      </c>
      <c r="BF208" s="30" t="n">
        <f aca="false">BF174</f>
        <v>29.3</v>
      </c>
      <c r="BG208" s="30" t="n">
        <f aca="false">BG174</f>
        <v>59.7</v>
      </c>
      <c r="BH208" s="30" t="n">
        <f aca="false">BH174</f>
        <v>89</v>
      </c>
      <c r="BI208" s="30" t="n">
        <f aca="false">BI174</f>
        <v>90.2</v>
      </c>
      <c r="BJ208" s="30" t="n">
        <f aca="false">BJ174</f>
        <v>86.2</v>
      </c>
      <c r="BK208" s="30" t="n">
        <f aca="false">BK174</f>
        <v>265.4</v>
      </c>
      <c r="BL208" s="30" t="n">
        <f aca="false">BL174</f>
        <v>86.9</v>
      </c>
      <c r="BM208" s="30" t="n">
        <f aca="false">BM174</f>
        <v>82.7</v>
      </c>
      <c r="BN208" s="30" t="n">
        <f aca="false">BN174</f>
        <v>169.6</v>
      </c>
      <c r="BO208" s="30" t="n">
        <f aca="false">BO174</f>
        <v>80.8</v>
      </c>
      <c r="BP208" s="30" t="n">
        <f aca="false">BP174</f>
        <v>81.8</v>
      </c>
      <c r="BQ208" s="30" t="n">
        <f aca="false">BQ174</f>
        <v>332.2</v>
      </c>
      <c r="BR208" s="30" t="n">
        <f aca="false">BR174</f>
        <v>82.1</v>
      </c>
      <c r="BS208" s="30" t="n">
        <f aca="false">BS174</f>
        <v>80</v>
      </c>
      <c r="BT208" s="30" t="n">
        <f aca="false">BT174</f>
        <v>162.1</v>
      </c>
      <c r="BU208" s="30" t="n">
        <f aca="false">BU174</f>
        <v>76.9</v>
      </c>
      <c r="BV208" s="30" t="n">
        <f aca="false">BV174</f>
        <v>77.4</v>
      </c>
      <c r="BW208" s="30" t="n">
        <f aca="false">BW174</f>
        <v>316.4</v>
      </c>
      <c r="BX208" s="30" t="n">
        <f aca="false">BX174</f>
        <v>78</v>
      </c>
      <c r="BY208" s="30" t="n">
        <f aca="false">BY174</f>
        <v>77.8</v>
      </c>
      <c r="BZ208" s="30" t="n">
        <f aca="false">BZ174</f>
        <v>155.8</v>
      </c>
      <c r="CA208" s="30" t="n">
        <f aca="false">CA174</f>
        <v>76.9</v>
      </c>
      <c r="CB208" s="30" t="n">
        <f aca="false">CB174</f>
        <v>77.2</v>
      </c>
      <c r="CC208" s="30" t="n">
        <f aca="false">CC174</f>
        <v>309.9</v>
      </c>
      <c r="CD208" s="30" t="n">
        <f aca="false">CD174</f>
        <v>80.7</v>
      </c>
      <c r="CE208" s="30" t="n">
        <f aca="false">CE174</f>
        <v>86.5</v>
      </c>
      <c r="CF208" s="30" t="n">
        <f aca="false">CF174</f>
        <v>167.2</v>
      </c>
      <c r="CG208" s="30" t="n">
        <f aca="false">CG174</f>
        <v>84.5</v>
      </c>
      <c r="CH208" s="30" t="n">
        <f aca="false">CH174</f>
        <v>84.6</v>
      </c>
      <c r="CI208" s="30" t="n">
        <f aca="false">CI174</f>
        <v>336.3</v>
      </c>
      <c r="CJ208" s="30" t="n">
        <f aca="false">CJ174</f>
        <v>87.2</v>
      </c>
      <c r="CK208" s="30" t="n">
        <f aca="false">CK174</f>
        <v>85.7</v>
      </c>
      <c r="CL208" s="30" t="n">
        <f aca="false">CL174</f>
        <v>172.9</v>
      </c>
      <c r="CM208" s="32" t="n">
        <f aca="false">CM174</f>
        <v>87.319785360866</v>
      </c>
      <c r="CN208" s="32" t="n">
        <f aca="false">CN174</f>
        <v>88.8128584497414</v>
      </c>
      <c r="CO208" s="32" t="n">
        <f aca="false">SUM(CJ208,CK208,CM208,CN208)</f>
        <v>349.032643810607</v>
      </c>
      <c r="CP208" s="32" t="n">
        <f aca="false">CP174</f>
        <v>362.747397155799</v>
      </c>
      <c r="CQ208" s="32" t="n">
        <f aca="false">CQ174</f>
        <v>398.36401514577</v>
      </c>
      <c r="CR208" s="32" t="n">
        <f aca="false">CR174</f>
        <v>397.567033826719</v>
      </c>
      <c r="CS208" s="32" t="n">
        <f aca="false">CS174</f>
        <v>415.085994901688</v>
      </c>
      <c r="CT208" s="23"/>
      <c r="CV208" s="7"/>
      <c r="CW208" s="7"/>
      <c r="CX208" s="7"/>
      <c r="CY208" s="7"/>
    </row>
    <row r="209" customFormat="false" ht="15" hidden="false" customHeight="true" outlineLevel="0" collapsed="false">
      <c r="B209" s="34" t="s">
        <v>334</v>
      </c>
      <c r="C209" s="35" t="n">
        <f aca="false">IF(ISNUMBER(C174),SUM(C204:C208),"")</f>
        <v>162.1</v>
      </c>
      <c r="D209" s="35" t="n">
        <f aca="false">IF(ISNUMBER(D174),SUM(D204:D208),"")</f>
        <v>199.9</v>
      </c>
      <c r="E209" s="35" t="n">
        <f aca="false">IF(ISNUMBER(E174),SUM(E204:E208),"")</f>
        <v>243.9</v>
      </c>
      <c r="F209" s="35" t="n">
        <f aca="false">IF(ISNUMBER(F174),SUM(F204:F208),"")</f>
        <v>213.7</v>
      </c>
      <c r="G209" s="35" t="n">
        <f aca="false">IF(ISNUMBER(G174),SUM(G204:G208),"")</f>
        <v>225.3</v>
      </c>
      <c r="H209" s="35" t="n">
        <f aca="false">IF(ISNUMBER(H174),SUM(H204:H208),"")</f>
        <v>292</v>
      </c>
      <c r="I209" s="35" t="n">
        <f aca="false">IF(ISNUMBER(I174),SUM(I204:I208),"")</f>
        <v>324.3</v>
      </c>
      <c r="J209" s="20" t="n">
        <f aca="false">IF(ISNUMBER(J174),SUM(J204:J208),"")</f>
        <v>80.3</v>
      </c>
      <c r="K209" s="20" t="n">
        <f aca="false">IF(ISNUMBER(K174),SUM(K204:K208),"")</f>
        <v>87</v>
      </c>
      <c r="L209" s="20" t="n">
        <f aca="false">IF(ISNUMBER(L174),SUM(L204:L208),"")</f>
        <v>167.3</v>
      </c>
      <c r="M209" s="20" t="n">
        <f aca="false">IF(ISNUMBER(M174),SUM(M204:M208),"")</f>
        <v>75.4</v>
      </c>
      <c r="N209" s="20" t="n">
        <f aca="false">IF(ISNUMBER(N174),SUM(N204:N208),"")</f>
        <v>92.8</v>
      </c>
      <c r="O209" s="35" t="n">
        <f aca="false">IF(ISNUMBER(O174),SUM(O204:O208),"")</f>
        <v>335.5</v>
      </c>
      <c r="P209" s="20" t="n">
        <f aca="false">IF(ISNUMBER(P174),SUM(P204:P208),"")</f>
        <v>89.8</v>
      </c>
      <c r="Q209" s="20" t="n">
        <f aca="false">IF(ISNUMBER(Q174),SUM(Q204:Q208),"")</f>
        <v>105.9</v>
      </c>
      <c r="R209" s="20" t="n">
        <f aca="false">IF(ISNUMBER(R174),SUM(R204:R208),"")</f>
        <v>195.7</v>
      </c>
      <c r="S209" s="20" t="n">
        <f aca="false">IF(ISNUMBER(S174),SUM(S204:S208),"")</f>
        <v>96</v>
      </c>
      <c r="T209" s="20" t="n">
        <f aca="false">IF(ISNUMBER(T174),SUM(T204:T208),"")</f>
        <v>103.7</v>
      </c>
      <c r="U209" s="35" t="n">
        <f aca="false">IF(ISNUMBER(U174),SUM(U204:U208),"")</f>
        <v>395.4</v>
      </c>
      <c r="V209" s="20" t="n">
        <f aca="false">IF(ISNUMBER(V174),SUM(V204:V208),"")</f>
        <v>91.3</v>
      </c>
      <c r="W209" s="20" t="n">
        <f aca="false">IF(ISNUMBER(W174),SUM(W204:W208),"")</f>
        <v>95.1000000000001</v>
      </c>
      <c r="X209" s="20" t="n">
        <f aca="false">IF(ISNUMBER(X174),SUM(X204:X208),"")</f>
        <v>186.4</v>
      </c>
      <c r="Y209" s="20" t="n">
        <f aca="false">IF(ISNUMBER(Y174),SUM(Y204:Y208),"")</f>
        <v>89.3</v>
      </c>
      <c r="Z209" s="20" t="n">
        <f aca="false">IF(ISNUMBER(Z174),SUM(Z204:Z208),"")</f>
        <v>96.7</v>
      </c>
      <c r="AA209" s="35" t="n">
        <f aca="false">IF(ISNUMBER(AA174),SUM(AA204:AA208),"")</f>
        <v>372.4</v>
      </c>
      <c r="AB209" s="20" t="n">
        <f aca="false">IF(ISNUMBER(AB174),SUM(AB204:AB208),"")</f>
        <v>80.7</v>
      </c>
      <c r="AC209" s="20" t="n">
        <f aca="false">IF(ISNUMBER(AC174),SUM(AC204:AC208),"")</f>
        <v>92.5000000000001</v>
      </c>
      <c r="AD209" s="20" t="n">
        <f aca="false">IF(ISNUMBER(AD174),SUM(AD204:AD208),"")</f>
        <v>173.2</v>
      </c>
      <c r="AE209" s="20" t="n">
        <f aca="false">IF(ISNUMBER(AE174),SUM(AE204:AE208),"")</f>
        <v>90.8</v>
      </c>
      <c r="AF209" s="20" t="n">
        <f aca="false">IF(ISNUMBER(AF174),SUM(AF204:AF208),"")</f>
        <v>87.8</v>
      </c>
      <c r="AG209" s="35" t="n">
        <f aca="false">IF(ISNUMBER(AG174),SUM(AG204:AG208),"")</f>
        <v>351.8</v>
      </c>
      <c r="AH209" s="20" t="n">
        <f aca="false">IF(ISNUMBER(AH174),SUM(AH204:AH208),"")</f>
        <v>71.6</v>
      </c>
      <c r="AI209" s="20" t="n">
        <f aca="false">IF(ISNUMBER(AI174),SUM(AI204:AI208),"")</f>
        <v>118.7</v>
      </c>
      <c r="AJ209" s="20" t="n">
        <f aca="false">IF(ISNUMBER(AJ174),SUM(AJ204:AJ208),"")</f>
        <v>190.3</v>
      </c>
      <c r="AK209" s="20" t="n">
        <f aca="false">IF(ISNUMBER(AK174),SUM(AK204:AK208),"")</f>
        <v>121.3</v>
      </c>
      <c r="AL209" s="20" t="n">
        <f aca="false">IF(ISNUMBER(AL174),SUM(AL204:AL208),"")</f>
        <v>121.5</v>
      </c>
      <c r="AM209" s="35" t="n">
        <f aca="false">IF(ISNUMBER(AM174),SUM(AM204:AM208),"")</f>
        <v>433.1</v>
      </c>
      <c r="AN209" s="20" t="n">
        <f aca="false">IF(ISNUMBER(AN174),SUM(AN204:AN208),"")</f>
        <v>118.1</v>
      </c>
      <c r="AO209" s="20" t="n">
        <f aca="false">IF(ISNUMBER(AO174),SUM(AO204:AO208),"")</f>
        <v>138.7</v>
      </c>
      <c r="AP209" s="20" t="n">
        <f aca="false">IF(ISNUMBER(AP174),SUM(AP204:AP208),"")</f>
        <v>256.8</v>
      </c>
      <c r="AQ209" s="20" t="n">
        <f aca="false">IF(ISNUMBER(AQ174),SUM(AQ204:AQ208),"")</f>
        <v>133.5</v>
      </c>
      <c r="AR209" s="20" t="n">
        <f aca="false">IF(ISNUMBER(AR174),SUM(AR204:AR208),"")</f>
        <v>142.1</v>
      </c>
      <c r="AS209" s="35" t="n">
        <f aca="false">IF(ISNUMBER(AS174),SUM(AS204:AS208),"")</f>
        <v>532.4</v>
      </c>
      <c r="AT209" s="20" t="n">
        <f aca="false">IF(ISNUMBER(AT174),SUM(AT204:AT208),"")</f>
        <v>125.9</v>
      </c>
      <c r="AU209" s="20" t="n">
        <f aca="false">IF(ISNUMBER(AU174),SUM(AU204:AU208),"")</f>
        <v>160.4</v>
      </c>
      <c r="AV209" s="20" t="n">
        <f aca="false">IF(ISNUMBER(AV174),SUM(AV204:AV208),"")</f>
        <v>286.3</v>
      </c>
      <c r="AW209" s="20" t="n">
        <f aca="false">IF(ISNUMBER(AW174),SUM(AW204:AW208),"")</f>
        <v>156.8</v>
      </c>
      <c r="AX209" s="20" t="n">
        <f aca="false">IF(ISNUMBER(AX174),SUM(AX204:AX208),"")</f>
        <v>163.5</v>
      </c>
      <c r="AY209" s="35" t="n">
        <f aca="false">IF(ISNUMBER(AY174),SUM(AY204:AY208),"")</f>
        <v>606.6</v>
      </c>
      <c r="AZ209" s="20" t="n">
        <f aca="false">IF(ISNUMBER(AZ174),SUM(AZ204:AZ208),"")</f>
        <v>134.4</v>
      </c>
      <c r="BA209" s="20" t="n">
        <f aca="false">IF(ISNUMBER(BA174),SUM(BA204:BA208),"")</f>
        <v>140.6</v>
      </c>
      <c r="BB209" s="20" t="n">
        <f aca="false">IF(ISNUMBER(BB174),SUM(BB204:BB208),"")</f>
        <v>275</v>
      </c>
      <c r="BC209" s="20" t="n">
        <f aca="false">IF(ISNUMBER(BC174),SUM(BC204:BC208),"")</f>
        <v>153</v>
      </c>
      <c r="BD209" s="20" t="n">
        <f aca="false">IF(ISNUMBER(BD174),SUM(BD204:BD208),"")</f>
        <v>173.2</v>
      </c>
      <c r="BE209" s="35" t="n">
        <f aca="false">IF(ISNUMBER(BE174),SUM(BE204:BE208),"")</f>
        <v>601.2</v>
      </c>
      <c r="BF209" s="20" t="n">
        <f aca="false">IF(ISNUMBER(BF174),SUM(BF204:BF208),"")</f>
        <v>152.9</v>
      </c>
      <c r="BG209" s="20" t="n">
        <f aca="false">IF(ISNUMBER(BG174),SUM(BG204:BG208),"")</f>
        <v>173</v>
      </c>
      <c r="BH209" s="20" t="n">
        <f aca="false">IF(ISNUMBER(BH174),SUM(BH204:BH208),"")</f>
        <v>325.9</v>
      </c>
      <c r="BI209" s="20" t="n">
        <f aca="false">IF(ISNUMBER(BI174),SUM(BI204:BI208),"")</f>
        <v>281.9</v>
      </c>
      <c r="BJ209" s="20" t="n">
        <f aca="false">IF(ISNUMBER(BJ174),SUM(BJ204:BJ208),"")</f>
        <v>282.2</v>
      </c>
      <c r="BK209" s="35" t="n">
        <f aca="false">IF(ISNUMBER(BK174),SUM(BK204:BK208),"")</f>
        <v>890</v>
      </c>
      <c r="BL209" s="20" t="n">
        <f aca="false">IF(ISNUMBER(BL174),SUM(BL204:BL208),"")</f>
        <v>312.2</v>
      </c>
      <c r="BM209" s="20" t="n">
        <f aca="false">IF(ISNUMBER(BM174),SUM(BM204:BM208),"")</f>
        <v>326.7</v>
      </c>
      <c r="BN209" s="20" t="n">
        <f aca="false">IF(ISNUMBER(BN174),SUM(BN204:BN208),"")</f>
        <v>638.9</v>
      </c>
      <c r="BO209" s="20" t="n">
        <f aca="false">IF(ISNUMBER(BO174),SUM(BO204:BO208),"")</f>
        <v>334.1</v>
      </c>
      <c r="BP209" s="20" t="n">
        <f aca="false">IF(ISNUMBER(BP174),SUM(BP204:BP208),"")</f>
        <v>356.6</v>
      </c>
      <c r="BQ209" s="35" t="n">
        <f aca="false">IF(ISNUMBER(BQ174),SUM(BQ204:BQ208),"")</f>
        <v>1329.6</v>
      </c>
      <c r="BR209" s="20" t="n">
        <f aca="false">IF(ISNUMBER(BR174),SUM(BR204:BR208),"")</f>
        <v>326.8</v>
      </c>
      <c r="BS209" s="20" t="n">
        <f aca="false">IF(ISNUMBER(BS174),SUM(BS204:BS208),"")</f>
        <v>337.2</v>
      </c>
      <c r="BT209" s="20" t="n">
        <f aca="false">IF(ISNUMBER(BT174),SUM(BT204:BT208),"")</f>
        <v>664</v>
      </c>
      <c r="BU209" s="20" t="n">
        <f aca="false">IF(ISNUMBER(BU174),SUM(BU204:BU208),"")</f>
        <v>341.4</v>
      </c>
      <c r="BV209" s="20" t="n">
        <f aca="false">IF(ISNUMBER(BV174),SUM(BV204:BV208),"")</f>
        <v>347.2</v>
      </c>
      <c r="BW209" s="35" t="n">
        <f aca="false">IF(ISNUMBER(BW174),SUM(BW204:BW208),"")</f>
        <v>1352.6</v>
      </c>
      <c r="BX209" s="20" t="n">
        <f aca="false">IF(ISNUMBER(BX174),SUM(BX204:BX208),"")</f>
        <v>316.2</v>
      </c>
      <c r="BY209" s="20" t="n">
        <f aca="false">IF(ISNUMBER(BY174),SUM(BY204:BY208),"")</f>
        <v>325.3</v>
      </c>
      <c r="BZ209" s="20" t="n">
        <f aca="false">IF(ISNUMBER(BZ174),SUM(BZ204:BZ208),"")</f>
        <v>641.5</v>
      </c>
      <c r="CA209" s="20" t="n">
        <f aca="false">IF(ISNUMBER(CA174),SUM(CA204:CA208),"")</f>
        <v>347.7</v>
      </c>
      <c r="CB209" s="20" t="n">
        <f aca="false">IF(ISNUMBER(CB174),SUM(CB204:CB208),"")</f>
        <v>316.5</v>
      </c>
      <c r="CC209" s="35" t="n">
        <f aca="false">IF(ISNUMBER(CC174),SUM(CC204:CC208),"")</f>
        <v>1305.7</v>
      </c>
      <c r="CD209" s="20" t="n">
        <f aca="false">IF(ISNUMBER(CD174),SUM(CD204:CD208),"")</f>
        <v>336.9</v>
      </c>
      <c r="CE209" s="20" t="n">
        <f aca="false">IF(ISNUMBER(CE174),SUM(CE204:CE208),"")</f>
        <v>364.7</v>
      </c>
      <c r="CF209" s="20" t="n">
        <f aca="false">IF(ISNUMBER(CF174),SUM(CF204:CF208),"")</f>
        <v>701.6</v>
      </c>
      <c r="CG209" s="20" t="n">
        <f aca="false">IF(ISNUMBER(CG174),SUM(CG204:CG208),"")</f>
        <v>370.9</v>
      </c>
      <c r="CH209" s="20" t="n">
        <f aca="false">IF(ISNUMBER(CH174),SUM(CH204:CH208),"")</f>
        <v>417.9</v>
      </c>
      <c r="CI209" s="35" t="n">
        <f aca="false">IF(ISNUMBER(CI174),SUM(CI204:CI208),"")</f>
        <v>1490.4</v>
      </c>
      <c r="CJ209" s="20" t="n">
        <f aca="false">IF(ISNUMBER(CJ174),SUM(CJ204:CJ208),"")</f>
        <v>378.2</v>
      </c>
      <c r="CK209" s="20" t="n">
        <f aca="false">IF(ISNUMBER(CK174),SUM(CK204:CK208),"")</f>
        <v>420.6</v>
      </c>
      <c r="CL209" s="20" t="n">
        <f aca="false">IF(ISNUMBER(CL174),SUM(CL204:CL208),"")</f>
        <v>798.8</v>
      </c>
      <c r="CM209" s="35" t="n">
        <f aca="false">SUM(CM204:CM208)</f>
        <v>408.665645233478</v>
      </c>
      <c r="CN209" s="35" t="n">
        <f aca="false">SUM(CN204:CN208)</f>
        <v>426.593431698149</v>
      </c>
      <c r="CO209" s="35" t="n">
        <f aca="false">SUM(CJ209,CK209,CM209,CN209)</f>
        <v>1634.05907693163</v>
      </c>
      <c r="CP209" s="35" t="n">
        <f aca="false">SUM(CP204:CP208)</f>
        <v>1822.46462450366</v>
      </c>
      <c r="CQ209" s="35" t="n">
        <f aca="false">SUM(CQ204:CQ208)</f>
        <v>2013.92462789905</v>
      </c>
      <c r="CR209" s="35" t="n">
        <f aca="false">SUM(CR204:CR208)</f>
        <v>2215.89516006836</v>
      </c>
      <c r="CS209" s="35" t="n">
        <f aca="false">SUM(CS204:CS208)</f>
        <v>2432.09447175342</v>
      </c>
      <c r="CT209" s="23"/>
      <c r="CV209" s="24" t="n">
        <f aca="false">IFERROR((CS209/CI209)^(1/5)-1,"n/m")</f>
        <v>0.102898433152496</v>
      </c>
      <c r="CW209" s="24" t="n">
        <f aca="false">IFERROR((CI209/BE209)^(1/5)-1,"n/m")</f>
        <v>0.199103785418938</v>
      </c>
      <c r="CX209" s="24" t="n">
        <f aca="false">IFERROR((CI209/AA209)^(1/10)-1,"n/m")</f>
        <v>0.148760031733716</v>
      </c>
      <c r="CY209" s="24" t="n">
        <f aca="false">IFERROR((CI209/C209)^(1/19)-1,"n/m")</f>
        <v>0.123858332431083</v>
      </c>
    </row>
    <row r="210" customFormat="false" ht="15" hidden="false" customHeight="true" outlineLevel="0" collapsed="false">
      <c r="B210" s="13" t="s">
        <v>335</v>
      </c>
      <c r="C210" s="30" t="n">
        <f aca="false">C199</f>
        <v>0</v>
      </c>
      <c r="D210" s="30" t="n">
        <f aca="false">D199</f>
        <v>0</v>
      </c>
      <c r="E210" s="30" t="n">
        <f aca="false">E199</f>
        <v>0</v>
      </c>
      <c r="F210" s="30" t="n">
        <f aca="false">F199</f>
        <v>0</v>
      </c>
      <c r="G210" s="30" t="n">
        <f aca="false">G199</f>
        <v>0</v>
      </c>
      <c r="H210" s="30" t="n">
        <f aca="false">H199</f>
        <v>0</v>
      </c>
      <c r="I210" s="30" t="n">
        <f aca="false">I199</f>
        <v>0</v>
      </c>
      <c r="J210" s="30" t="n">
        <f aca="false">J199</f>
        <v>0</v>
      </c>
      <c r="K210" s="30" t="n">
        <f aca="false">K199</f>
        <v>0</v>
      </c>
      <c r="L210" s="30" t="n">
        <f aca="false">L199</f>
        <v>0</v>
      </c>
      <c r="M210" s="30" t="n">
        <f aca="false">M199</f>
        <v>0</v>
      </c>
      <c r="N210" s="30" t="n">
        <f aca="false">N199</f>
        <v>0</v>
      </c>
      <c r="O210" s="30" t="n">
        <f aca="false">O199</f>
        <v>0</v>
      </c>
      <c r="P210" s="30" t="n">
        <f aca="false">P199</f>
        <v>0</v>
      </c>
      <c r="Q210" s="30" t="n">
        <f aca="false">Q199</f>
        <v>0</v>
      </c>
      <c r="R210" s="30" t="n">
        <f aca="false">R199</f>
        <v>0</v>
      </c>
      <c r="S210" s="30" t="n">
        <f aca="false">S199</f>
        <v>0</v>
      </c>
      <c r="T210" s="30" t="n">
        <f aca="false">T199</f>
        <v>0</v>
      </c>
      <c r="U210" s="30" t="n">
        <f aca="false">U199</f>
        <v>0</v>
      </c>
      <c r="V210" s="30" t="n">
        <f aca="false">V199</f>
        <v>0</v>
      </c>
      <c r="W210" s="30" t="n">
        <f aca="false">W199</f>
        <v>0</v>
      </c>
      <c r="X210" s="30" t="n">
        <f aca="false">X199</f>
        <v>0</v>
      </c>
      <c r="Y210" s="30" t="n">
        <f aca="false">Y199</f>
        <v>0</v>
      </c>
      <c r="Z210" s="30" t="n">
        <f aca="false">Z199</f>
        <v>0</v>
      </c>
      <c r="AA210" s="30" t="n">
        <f aca="false">AA199</f>
        <v>0</v>
      </c>
      <c r="AB210" s="30" t="n">
        <f aca="false">AB199</f>
        <v>0</v>
      </c>
      <c r="AC210" s="30" t="n">
        <f aca="false">AC199</f>
        <v>0</v>
      </c>
      <c r="AD210" s="30" t="n">
        <f aca="false">AD199</f>
        <v>0</v>
      </c>
      <c r="AE210" s="30" t="n">
        <f aca="false">AE199</f>
        <v>0</v>
      </c>
      <c r="AF210" s="30" t="n">
        <f aca="false">AF199</f>
        <v>1.9</v>
      </c>
      <c r="AG210" s="30" t="n">
        <f aca="false">AG199</f>
        <v>1.9</v>
      </c>
      <c r="AH210" s="30" t="n">
        <f aca="false">AH199</f>
        <v>12.9</v>
      </c>
      <c r="AI210" s="30" t="n">
        <f aca="false">AI199</f>
        <v>4</v>
      </c>
      <c r="AJ210" s="30" t="n">
        <f aca="false">AJ199</f>
        <v>16.9</v>
      </c>
      <c r="AK210" s="30" t="n">
        <f aca="false">AK199</f>
        <v>2.9</v>
      </c>
      <c r="AL210" s="30" t="n">
        <f aca="false">AL199</f>
        <v>-1.1</v>
      </c>
      <c r="AM210" s="30" t="n">
        <f aca="false">AM199</f>
        <v>18.7</v>
      </c>
      <c r="AN210" s="30" t="n">
        <f aca="false">AN199</f>
        <v>0</v>
      </c>
      <c r="AO210" s="30" t="n">
        <f aca="false">AO199</f>
        <v>0</v>
      </c>
      <c r="AP210" s="30" t="n">
        <f aca="false">AP199</f>
        <v>0</v>
      </c>
      <c r="AQ210" s="30" t="n">
        <f aca="false">AQ199</f>
        <v>0</v>
      </c>
      <c r="AR210" s="30" t="n">
        <f aca="false">AR199</f>
        <v>0</v>
      </c>
      <c r="AS210" s="30" t="n">
        <f aca="false">AS199</f>
        <v>0</v>
      </c>
      <c r="AT210" s="30" t="n">
        <f aca="false">AT199</f>
        <v>0</v>
      </c>
      <c r="AU210" s="30" t="n">
        <f aca="false">AU199</f>
        <v>0</v>
      </c>
      <c r="AV210" s="30" t="n">
        <f aca="false">AV199</f>
        <v>0</v>
      </c>
      <c r="AW210" s="30" t="n">
        <f aca="false">AW199</f>
        <v>0</v>
      </c>
      <c r="AX210" s="30" t="n">
        <f aca="false">AX199</f>
        <v>0</v>
      </c>
      <c r="AY210" s="30" t="n">
        <f aca="false">AY199</f>
        <v>0</v>
      </c>
      <c r="AZ210" s="30" t="n">
        <f aca="false">AZ199</f>
        <v>0</v>
      </c>
      <c r="BA210" s="30" t="n">
        <f aca="false">BA199</f>
        <v>0</v>
      </c>
      <c r="BB210" s="30" t="n">
        <f aca="false">BB199</f>
        <v>0</v>
      </c>
      <c r="BC210" s="30" t="n">
        <f aca="false">BC199</f>
        <v>0</v>
      </c>
      <c r="BD210" s="30" t="n">
        <f aca="false">BD199</f>
        <v>0</v>
      </c>
      <c r="BE210" s="30" t="n">
        <f aca="false">BE199</f>
        <v>0</v>
      </c>
      <c r="BF210" s="30" t="n">
        <f aca="false">BF199</f>
        <v>5.9</v>
      </c>
      <c r="BG210" s="30" t="n">
        <f aca="false">BG199</f>
        <v>117.9</v>
      </c>
      <c r="BH210" s="30" t="n">
        <f aca="false">BH199</f>
        <v>123.8</v>
      </c>
      <c r="BI210" s="30" t="n">
        <f aca="false">BI199</f>
        <v>37</v>
      </c>
      <c r="BJ210" s="30" t="n">
        <f aca="false">BJ199</f>
        <v>48.6</v>
      </c>
      <c r="BK210" s="30" t="n">
        <f aca="false">BK199</f>
        <v>209.4</v>
      </c>
      <c r="BL210" s="30" t="n">
        <f aca="false">BL199</f>
        <v>0</v>
      </c>
      <c r="BM210" s="30" t="n">
        <f aca="false">BM199</f>
        <v>0</v>
      </c>
      <c r="BN210" s="30" t="n">
        <f aca="false">BN199</f>
        <v>0</v>
      </c>
      <c r="BO210" s="30" t="n">
        <f aca="false">BO199</f>
        <v>0</v>
      </c>
      <c r="BP210" s="30" t="n">
        <f aca="false">BP199</f>
        <v>-4</v>
      </c>
      <c r="BQ210" s="30" t="n">
        <f aca="false">BQ199</f>
        <v>-4</v>
      </c>
      <c r="BR210" s="30" t="n">
        <f aca="false">BR199</f>
        <v>0</v>
      </c>
      <c r="BS210" s="30" t="n">
        <f aca="false">BS199</f>
        <v>0</v>
      </c>
      <c r="BT210" s="30" t="n">
        <f aca="false">BT199</f>
        <v>0</v>
      </c>
      <c r="BU210" s="30" t="n">
        <f aca="false">BU199</f>
        <v>5.8</v>
      </c>
      <c r="BV210" s="30" t="n">
        <f aca="false">BV199</f>
        <v>3</v>
      </c>
      <c r="BW210" s="30" t="n">
        <f aca="false">BW199</f>
        <v>8.80000000000001</v>
      </c>
      <c r="BX210" s="30" t="n">
        <f aca="false">BX199</f>
        <v>2.2</v>
      </c>
      <c r="BY210" s="30" t="n">
        <f aca="false">BY199</f>
        <v>1</v>
      </c>
      <c r="BZ210" s="30" t="n">
        <f aca="false">BZ199</f>
        <v>3.2</v>
      </c>
      <c r="CA210" s="30" t="n">
        <f aca="false">CA199</f>
        <v>3.7</v>
      </c>
      <c r="CB210" s="30" t="n">
        <f aca="false">CB199</f>
        <v>54</v>
      </c>
      <c r="CC210" s="30" t="n">
        <f aca="false">CC199</f>
        <v>60.9</v>
      </c>
      <c r="CD210" s="30" t="n">
        <f aca="false">CD199</f>
        <v>7.4</v>
      </c>
      <c r="CE210" s="30" t="n">
        <f aca="false">CE199</f>
        <v>3.1</v>
      </c>
      <c r="CF210" s="30" t="n">
        <f aca="false">CF199</f>
        <v>10.5</v>
      </c>
      <c r="CG210" s="30" t="n">
        <f aca="false">CG199</f>
        <v>2.1</v>
      </c>
      <c r="CH210" s="30" t="n">
        <f aca="false">CH199</f>
        <v>1</v>
      </c>
      <c r="CI210" s="30" t="n">
        <f aca="false">CI199</f>
        <v>13.6</v>
      </c>
      <c r="CJ210" s="30" t="n">
        <f aca="false">CJ199</f>
        <v>0.200000000000003</v>
      </c>
      <c r="CK210" s="30" t="n">
        <f aca="false">CK199</f>
        <v>0.200000000000003</v>
      </c>
      <c r="CL210" s="30" t="n">
        <f aca="false">CL199</f>
        <v>0.400000000000006</v>
      </c>
      <c r="CM210" s="32" t="n">
        <f aca="false">CM199</f>
        <v>0.5</v>
      </c>
      <c r="CN210" s="32" t="n">
        <f aca="false">CN199</f>
        <v>0.5</v>
      </c>
      <c r="CO210" s="32" t="n">
        <f aca="false">SUM(CJ210,CK210,CM210,CN210)</f>
        <v>1.40000000000001</v>
      </c>
      <c r="CP210" s="32" t="n">
        <f aca="false">CP199</f>
        <v>5</v>
      </c>
      <c r="CQ210" s="32" t="n">
        <f aca="false">CQ199</f>
        <v>5</v>
      </c>
      <c r="CR210" s="32" t="n">
        <f aca="false">CR199</f>
        <v>5</v>
      </c>
      <c r="CS210" s="32" t="n">
        <f aca="false">CS199</f>
        <v>5</v>
      </c>
      <c r="CT210" s="23"/>
      <c r="CV210" s="7"/>
      <c r="CW210" s="7"/>
      <c r="CX210" s="7"/>
      <c r="CY210" s="7"/>
    </row>
    <row r="211" customFormat="false" ht="15" hidden="false" customHeight="true" outlineLevel="0" collapsed="false">
      <c r="B211" s="34" t="s">
        <v>336</v>
      </c>
      <c r="C211" s="35" t="n">
        <f aca="false">IF(ISNUMBER(C209),C209+C210,"")</f>
        <v>162.1</v>
      </c>
      <c r="D211" s="35" t="n">
        <f aca="false">IF(ISNUMBER(D209),D209+D210,"")</f>
        <v>199.9</v>
      </c>
      <c r="E211" s="35" t="n">
        <f aca="false">IF(ISNUMBER(E209),E209+E210,"")</f>
        <v>243.9</v>
      </c>
      <c r="F211" s="35" t="n">
        <f aca="false">IF(ISNUMBER(F209),F209+F210,"")</f>
        <v>213.7</v>
      </c>
      <c r="G211" s="35" t="n">
        <f aca="false">IF(ISNUMBER(G209),G209+G210,"")</f>
        <v>225.3</v>
      </c>
      <c r="H211" s="35" t="n">
        <f aca="false">IF(ISNUMBER(H209),H209+H210,"")</f>
        <v>292</v>
      </c>
      <c r="I211" s="35" t="n">
        <f aca="false">IF(ISNUMBER(I209),I209+I210,"")</f>
        <v>324.3</v>
      </c>
      <c r="J211" s="20" t="n">
        <f aca="false">IF(ISNUMBER(J209),J209+J210,"")</f>
        <v>80.3</v>
      </c>
      <c r="K211" s="20" t="n">
        <f aca="false">IF(ISNUMBER(K209),K209+K210,"")</f>
        <v>87</v>
      </c>
      <c r="L211" s="20" t="n">
        <f aca="false">IF(ISNUMBER(L209),L209+L210,"")</f>
        <v>167.3</v>
      </c>
      <c r="M211" s="20" t="n">
        <f aca="false">IF(ISNUMBER(M209),M209+M210,"")</f>
        <v>75.4</v>
      </c>
      <c r="N211" s="20" t="n">
        <f aca="false">IF(ISNUMBER(N209),N209+N210,"")</f>
        <v>92.8</v>
      </c>
      <c r="O211" s="35" t="n">
        <f aca="false">IF(ISNUMBER(O209),O209+O210,"")</f>
        <v>335.5</v>
      </c>
      <c r="P211" s="20" t="n">
        <f aca="false">IF(ISNUMBER(P209),P209+P210,"")</f>
        <v>89.8</v>
      </c>
      <c r="Q211" s="20" t="n">
        <f aca="false">IF(ISNUMBER(Q209),Q209+Q210,"")</f>
        <v>105.9</v>
      </c>
      <c r="R211" s="20" t="n">
        <f aca="false">IF(ISNUMBER(R209),R209+R210,"")</f>
        <v>195.7</v>
      </c>
      <c r="S211" s="20" t="n">
        <f aca="false">IF(ISNUMBER(S209),S209+S210,"")</f>
        <v>96</v>
      </c>
      <c r="T211" s="20" t="n">
        <f aca="false">IF(ISNUMBER(T209),T209+T210,"")</f>
        <v>103.7</v>
      </c>
      <c r="U211" s="35" t="n">
        <f aca="false">IF(ISNUMBER(U209),U209+U210,"")</f>
        <v>395.4</v>
      </c>
      <c r="V211" s="20" t="n">
        <f aca="false">IF(ISNUMBER(V209),V209+V210,"")</f>
        <v>91.3</v>
      </c>
      <c r="W211" s="20" t="n">
        <f aca="false">IF(ISNUMBER(W209),W209+W210,"")</f>
        <v>95.1000000000001</v>
      </c>
      <c r="X211" s="20" t="n">
        <f aca="false">IF(ISNUMBER(X209),X209+X210,"")</f>
        <v>186.4</v>
      </c>
      <c r="Y211" s="20" t="n">
        <f aca="false">IF(ISNUMBER(Y209),Y209+Y210,"")</f>
        <v>89.3</v>
      </c>
      <c r="Z211" s="20" t="n">
        <f aca="false">IF(ISNUMBER(Z209),Z209+Z210,"")</f>
        <v>96.7</v>
      </c>
      <c r="AA211" s="35" t="n">
        <f aca="false">IF(ISNUMBER(AA209),AA209+AA210,"")</f>
        <v>372.4</v>
      </c>
      <c r="AB211" s="20" t="n">
        <f aca="false">IF(ISNUMBER(AB209),AB209+AB210,"")</f>
        <v>80.7</v>
      </c>
      <c r="AC211" s="20" t="n">
        <f aca="false">IF(ISNUMBER(AC209),AC209+AC210,"")</f>
        <v>92.5000000000001</v>
      </c>
      <c r="AD211" s="20" t="n">
        <f aca="false">IF(ISNUMBER(AD209),AD209+AD210,"")</f>
        <v>173.2</v>
      </c>
      <c r="AE211" s="20" t="n">
        <f aca="false">IF(ISNUMBER(AE209),AE209+AE210,"")</f>
        <v>90.8</v>
      </c>
      <c r="AF211" s="20" t="n">
        <f aca="false">IF(ISNUMBER(AF209),AF209+AF210,"")</f>
        <v>89.7</v>
      </c>
      <c r="AG211" s="35" t="n">
        <f aca="false">IF(ISNUMBER(AG209),AG209+AG210,"")</f>
        <v>353.7</v>
      </c>
      <c r="AH211" s="20" t="n">
        <f aca="false">IF(ISNUMBER(AH209),AH209+AH210,"")</f>
        <v>84.5</v>
      </c>
      <c r="AI211" s="20" t="n">
        <f aca="false">IF(ISNUMBER(AI209),AI209+AI210,"")</f>
        <v>122.7</v>
      </c>
      <c r="AJ211" s="20" t="n">
        <f aca="false">IF(ISNUMBER(AJ209),AJ209+AJ210,"")</f>
        <v>207.2</v>
      </c>
      <c r="AK211" s="20" t="n">
        <f aca="false">IF(ISNUMBER(AK209),AK209+AK210,"")</f>
        <v>124.2</v>
      </c>
      <c r="AL211" s="20" t="n">
        <f aca="false">IF(ISNUMBER(AL209),AL209+AL210,"")</f>
        <v>120.4</v>
      </c>
      <c r="AM211" s="35" t="n">
        <f aca="false">IF(ISNUMBER(AM209),AM209+AM210,"")</f>
        <v>451.8</v>
      </c>
      <c r="AN211" s="20" t="n">
        <f aca="false">IF(ISNUMBER(AN209),AN209+AN210,"")</f>
        <v>118.1</v>
      </c>
      <c r="AO211" s="20" t="n">
        <f aca="false">IF(ISNUMBER(AO209),AO209+AO210,"")</f>
        <v>138.7</v>
      </c>
      <c r="AP211" s="20" t="n">
        <f aca="false">IF(ISNUMBER(AP209),AP209+AP210,"")</f>
        <v>256.8</v>
      </c>
      <c r="AQ211" s="20" t="n">
        <f aca="false">IF(ISNUMBER(AQ209),AQ209+AQ210,"")</f>
        <v>133.5</v>
      </c>
      <c r="AR211" s="20" t="n">
        <f aca="false">IF(ISNUMBER(AR209),AR209+AR210,"")</f>
        <v>142.1</v>
      </c>
      <c r="AS211" s="35" t="n">
        <f aca="false">IF(ISNUMBER(AS209),AS209+AS210,"")</f>
        <v>532.4</v>
      </c>
      <c r="AT211" s="20" t="n">
        <f aca="false">IF(ISNUMBER(AT209),AT209+AT210,"")</f>
        <v>125.9</v>
      </c>
      <c r="AU211" s="20" t="n">
        <f aca="false">IF(ISNUMBER(AU209),AU209+AU210,"")</f>
        <v>160.4</v>
      </c>
      <c r="AV211" s="20" t="n">
        <f aca="false">IF(ISNUMBER(AV209),AV209+AV210,"")</f>
        <v>286.3</v>
      </c>
      <c r="AW211" s="20" t="n">
        <f aca="false">IF(ISNUMBER(AW209),AW209+AW210,"")</f>
        <v>156.8</v>
      </c>
      <c r="AX211" s="20" t="n">
        <f aca="false">IF(ISNUMBER(AX209),AX209+AX210,"")</f>
        <v>163.5</v>
      </c>
      <c r="AY211" s="35" t="n">
        <f aca="false">IF(ISNUMBER(AY209),AY209+AY210,"")</f>
        <v>606.6</v>
      </c>
      <c r="AZ211" s="20" t="n">
        <f aca="false">IF(ISNUMBER(AZ209),AZ209+AZ210,"")</f>
        <v>134.4</v>
      </c>
      <c r="BA211" s="20" t="n">
        <f aca="false">IF(ISNUMBER(BA209),BA209+BA210,"")</f>
        <v>140.6</v>
      </c>
      <c r="BB211" s="20" t="n">
        <f aca="false">IF(ISNUMBER(BB209),BB209+BB210,"")</f>
        <v>275</v>
      </c>
      <c r="BC211" s="20" t="n">
        <f aca="false">IF(ISNUMBER(BC209),BC209+BC210,"")</f>
        <v>153</v>
      </c>
      <c r="BD211" s="20" t="n">
        <f aca="false">IF(ISNUMBER(BD209),BD209+BD210,"")</f>
        <v>173.2</v>
      </c>
      <c r="BE211" s="35" t="n">
        <f aca="false">IF(ISNUMBER(BE209),BE209+BE210,"")</f>
        <v>601.2</v>
      </c>
      <c r="BF211" s="20" t="n">
        <f aca="false">IF(ISNUMBER(BF209),BF209+BF210,"")</f>
        <v>158.8</v>
      </c>
      <c r="BG211" s="20" t="n">
        <f aca="false">IF(ISNUMBER(BG209),BG209+BG210,"")</f>
        <v>290.9</v>
      </c>
      <c r="BH211" s="20" t="n">
        <f aca="false">IF(ISNUMBER(BH209),BH209+BH210,"")</f>
        <v>449.7</v>
      </c>
      <c r="BI211" s="20" t="n">
        <f aca="false">IF(ISNUMBER(BI209),BI209+BI210,"")</f>
        <v>318.9</v>
      </c>
      <c r="BJ211" s="20" t="n">
        <f aca="false">IF(ISNUMBER(BJ209),BJ209+BJ210,"")</f>
        <v>330.8</v>
      </c>
      <c r="BK211" s="35" t="n">
        <f aca="false">IF(ISNUMBER(BK209),BK209+BK210,"")</f>
        <v>1099.4</v>
      </c>
      <c r="BL211" s="20" t="n">
        <f aca="false">IF(ISNUMBER(BL209),BL209+BL210,"")</f>
        <v>312.2</v>
      </c>
      <c r="BM211" s="20" t="n">
        <f aca="false">IF(ISNUMBER(BM209),BM209+BM210,"")</f>
        <v>326.7</v>
      </c>
      <c r="BN211" s="20" t="n">
        <f aca="false">IF(ISNUMBER(BN209),BN209+BN210,"")</f>
        <v>638.9</v>
      </c>
      <c r="BO211" s="20" t="n">
        <f aca="false">IF(ISNUMBER(BO209),BO209+BO210,"")</f>
        <v>334.1</v>
      </c>
      <c r="BP211" s="20" t="n">
        <f aca="false">IF(ISNUMBER(BP209),BP209+BP210,"")</f>
        <v>352.6</v>
      </c>
      <c r="BQ211" s="35" t="n">
        <f aca="false">IF(ISNUMBER(BQ209),BQ209+BQ210,"")</f>
        <v>1325.6</v>
      </c>
      <c r="BR211" s="20" t="n">
        <f aca="false">IF(ISNUMBER(BR209),BR209+BR210,"")</f>
        <v>326.8</v>
      </c>
      <c r="BS211" s="20" t="n">
        <f aca="false">IF(ISNUMBER(BS209),BS209+BS210,"")</f>
        <v>337.2</v>
      </c>
      <c r="BT211" s="20" t="n">
        <f aca="false">IF(ISNUMBER(BT209),BT209+BT210,"")</f>
        <v>664</v>
      </c>
      <c r="BU211" s="20" t="n">
        <f aca="false">IF(ISNUMBER(BU209),BU209+BU210,"")</f>
        <v>347.2</v>
      </c>
      <c r="BV211" s="20" t="n">
        <f aca="false">IF(ISNUMBER(BV209),BV209+BV210,"")</f>
        <v>350.2</v>
      </c>
      <c r="BW211" s="35" t="n">
        <f aca="false">IF(ISNUMBER(BW209),BW209+BW210,"")</f>
        <v>1361.4</v>
      </c>
      <c r="BX211" s="20" t="n">
        <f aca="false">IF(ISNUMBER(BX209),BX209+BX210,"")</f>
        <v>318.4</v>
      </c>
      <c r="BY211" s="20" t="n">
        <f aca="false">IF(ISNUMBER(BY209),BY209+BY210,"")</f>
        <v>326.3</v>
      </c>
      <c r="BZ211" s="20" t="n">
        <f aca="false">IF(ISNUMBER(BZ209),BZ209+BZ210,"")</f>
        <v>644.7</v>
      </c>
      <c r="CA211" s="20" t="n">
        <f aca="false">IF(ISNUMBER(CA209),CA209+CA210,"")</f>
        <v>351.4</v>
      </c>
      <c r="CB211" s="20" t="n">
        <f aca="false">IF(ISNUMBER(CB209),CB209+CB210,"")</f>
        <v>370.5</v>
      </c>
      <c r="CC211" s="35" t="n">
        <f aca="false">IF(ISNUMBER(CC209),CC209+CC210,"")</f>
        <v>1366.6</v>
      </c>
      <c r="CD211" s="20" t="n">
        <f aca="false">IF(ISNUMBER(CD209),CD209+CD210,"")</f>
        <v>344.3</v>
      </c>
      <c r="CE211" s="20" t="n">
        <f aca="false">IF(ISNUMBER(CE209),CE209+CE210,"")</f>
        <v>367.8</v>
      </c>
      <c r="CF211" s="20" t="n">
        <f aca="false">IF(ISNUMBER(CF209),CF209+CF210,"")</f>
        <v>712.1</v>
      </c>
      <c r="CG211" s="20" t="n">
        <f aca="false">IF(ISNUMBER(CG209),CG209+CG210,"")</f>
        <v>373</v>
      </c>
      <c r="CH211" s="20" t="n">
        <f aca="false">IF(ISNUMBER(CH209),CH209+CH210,"")</f>
        <v>418.9</v>
      </c>
      <c r="CI211" s="35" t="n">
        <f aca="false">IF(ISNUMBER(CI209),CI209+CI210,"")</f>
        <v>1504</v>
      </c>
      <c r="CJ211" s="20" t="n">
        <f aca="false">IF(ISNUMBER(CJ209),CJ209+CJ210,"")</f>
        <v>378.4</v>
      </c>
      <c r="CK211" s="20" t="n">
        <f aca="false">IF(ISNUMBER(CK209),CK209+CK210,"")</f>
        <v>420.8</v>
      </c>
      <c r="CL211" s="20" t="n">
        <f aca="false">IF(ISNUMBER(CL209),CL209+CL210,"")</f>
        <v>799.2</v>
      </c>
      <c r="CM211" s="35" t="n">
        <f aca="false">CM209+CM210</f>
        <v>409.165645233478</v>
      </c>
      <c r="CN211" s="35" t="n">
        <f aca="false">CN209+CN210</f>
        <v>427.093431698149</v>
      </c>
      <c r="CO211" s="35" t="n">
        <f aca="false">SUM(CJ211,CK211,CM211,CN211)</f>
        <v>1635.45907693163</v>
      </c>
      <c r="CP211" s="35" t="n">
        <f aca="false">CP209+CP210</f>
        <v>1827.46462450366</v>
      </c>
      <c r="CQ211" s="35" t="n">
        <f aca="false">CQ209+CQ210</f>
        <v>2018.92462789905</v>
      </c>
      <c r="CR211" s="35" t="n">
        <f aca="false">CR209+CR210</f>
        <v>2220.89516006836</v>
      </c>
      <c r="CS211" s="35" t="n">
        <f aca="false">CS209+CS210</f>
        <v>2437.09447175342</v>
      </c>
      <c r="CT211" s="23"/>
      <c r="CV211" s="24" t="n">
        <f aca="false">IFERROR((CS211/CI211)^(1/5)-1,"n/m")</f>
        <v>0.101348857618312</v>
      </c>
      <c r="CW211" s="24" t="n">
        <f aca="false">IFERROR((CI211/BE211)^(1/5)-1,"n/m")</f>
        <v>0.201284221726076</v>
      </c>
      <c r="CX211" s="24" t="n">
        <f aca="false">IFERROR((CI211/AA211)^(1/10)-1,"n/m")</f>
        <v>0.149804003269807</v>
      </c>
      <c r="CY211" s="24" t="n">
        <f aca="false">IFERROR((CI211/C211)^(1/19)-1,"n/m")</f>
        <v>0.124395764855577</v>
      </c>
    </row>
    <row r="212" customFormat="false" ht="15" hidden="false" customHeight="true" outlineLevel="0" collapsed="false">
      <c r="B212" s="26" t="s">
        <v>337</v>
      </c>
      <c r="C212" s="40" t="n">
        <f aca="false">IFERROR(C211/C152,"")</f>
        <v>0.113103544515769</v>
      </c>
      <c r="D212" s="40" t="n">
        <f aca="false">IFERROR(D211/D152,"")</f>
        <v>0.123220119583308</v>
      </c>
      <c r="E212" s="40" t="n">
        <f aca="false">IFERROR(E211/E152,"")</f>
        <v>0.141637630662021</v>
      </c>
      <c r="F212" s="40" t="n">
        <f aca="false">IFERROR(F211/F152,"")</f>
        <v>0.129350523576055</v>
      </c>
      <c r="G212" s="40" t="n">
        <f aca="false">IFERROR(G211/G152,"")</f>
        <v>0.137027125653813</v>
      </c>
      <c r="H212" s="40" t="n">
        <f aca="false">IFERROR(H211/H152,"")</f>
        <v>0.150368196096606</v>
      </c>
      <c r="I212" s="40" t="n">
        <f aca="false">IFERROR(I211/I152,"")</f>
        <v>0.152446763503032</v>
      </c>
      <c r="J212" s="40" t="n">
        <f aca="false">IFERROR(J211/J152,"")</f>
        <v>0.141025641025641</v>
      </c>
      <c r="K212" s="40" t="n">
        <f aca="false">IFERROR(K211/K152,"")</f>
        <v>0.144758735440932</v>
      </c>
      <c r="L212" s="40" t="n">
        <f aca="false">IFERROR(L211/L152,"")</f>
        <v>0.142942583732057</v>
      </c>
      <c r="M212" s="40" t="n">
        <f aca="false">IFERROR(M211/M152,"")</f>
        <v>0.131910426871938</v>
      </c>
      <c r="N212" s="40" t="n">
        <f aca="false">IFERROR(N211/N152,"")</f>
        <v>0.155548105933624</v>
      </c>
      <c r="O212" s="40" t="n">
        <f aca="false">IFERROR(O211/O152,"")</f>
        <v>0.14346190028222</v>
      </c>
      <c r="P212" s="40" t="n">
        <f aca="false">IFERROR(P211/P152,"")</f>
        <v>0.156582388840453</v>
      </c>
      <c r="Q212" s="40" t="n">
        <f aca="false">IFERROR(Q211/Q152,"")</f>
        <v>0.17735722659521</v>
      </c>
      <c r="R212" s="40" t="n">
        <f aca="false">IFERROR(R211/R152,"")</f>
        <v>0.167179224329404</v>
      </c>
      <c r="S212" s="40" t="n">
        <f aca="false">IFERROR(S211/S152,"")</f>
        <v>0.159707203460323</v>
      </c>
      <c r="T212" s="40" t="n">
        <f aca="false">IFERROR(T211/T152,"")</f>
        <v>0.166639884300177</v>
      </c>
      <c r="U212" s="40" t="n">
        <f aca="false">IFERROR(U211/U152,"")</f>
        <v>0.16516290726817</v>
      </c>
      <c r="V212" s="40" t="n">
        <f aca="false">IFERROR(V211/V152,"")</f>
        <v>0.161592920353982</v>
      </c>
      <c r="W212" s="40" t="n">
        <f aca="false">IFERROR(W211/W152,"")</f>
        <v>0.164618314003808</v>
      </c>
      <c r="X212" s="40" t="n">
        <f aca="false">IFERROR(X211/X152,"")</f>
        <v>0.163122429334034</v>
      </c>
      <c r="Y212" s="40" t="n">
        <f aca="false">IFERROR(Y211/Y152,"")</f>
        <v>0.160785019805545</v>
      </c>
      <c r="Z212" s="40" t="n">
        <f aca="false">IFERROR(Z211/Z152,"")</f>
        <v>0.161166666666667</v>
      </c>
      <c r="AA212" s="40" t="n">
        <f aca="false">IFERROR(AA211/AA152,"")</f>
        <v>0.162046908315565</v>
      </c>
      <c r="AB212" s="40" t="n">
        <f aca="false">IFERROR(AB211/AB152,"")</f>
        <v>0.152120640904807</v>
      </c>
      <c r="AC212" s="40" t="n">
        <f aca="false">IFERROR(AC211/AC152,"")</f>
        <v>0.171391513803965</v>
      </c>
      <c r="AD212" s="40" t="n">
        <f aca="false">IFERROR(AD211/AD152,"")</f>
        <v>0.161838908615212</v>
      </c>
      <c r="AE212" s="40" t="n">
        <f aca="false">IFERROR(AE211/AE152,"")</f>
        <v>0.172361427486712</v>
      </c>
      <c r="AF212" s="40" t="n">
        <f aca="false">IFERROR(AF211/AF152,"")</f>
        <v>0.16223548562127</v>
      </c>
      <c r="AG212" s="40" t="n">
        <f aca="false">IFERROR(AG211/AG152,"")</f>
        <v>0.16451927996651</v>
      </c>
      <c r="AH212" s="40" t="n">
        <f aca="false">IFERROR(AH211/AH152,"")</f>
        <v>0.149266913972796</v>
      </c>
      <c r="AI212" s="40" t="n">
        <f aca="false">IFERROR(AI211/AI152,"")</f>
        <v>0.182834152883326</v>
      </c>
      <c r="AJ212" s="40" t="n">
        <f aca="false">IFERROR(AJ211/AJ152,"")</f>
        <v>0.167474943420627</v>
      </c>
      <c r="AK212" s="40" t="n">
        <f aca="false">IFERROR(AK211/AK152,"")</f>
        <v>0.187556629417095</v>
      </c>
      <c r="AL212" s="40" t="n">
        <f aca="false">IFERROR(AL211/AL152,"")</f>
        <v>0.170925610448609</v>
      </c>
      <c r="AM212" s="40" t="n">
        <f aca="false">IFERROR(AM211/AM152,"")</f>
        <v>0.173515631000845</v>
      </c>
      <c r="AN212" s="40" t="n">
        <f aca="false">IFERROR(AN211/AN152,"")</f>
        <v>0.169781483611271</v>
      </c>
      <c r="AO212" s="40" t="n">
        <f aca="false">IFERROR(AO211/AO152,"")</f>
        <v>0.189351535836177</v>
      </c>
      <c r="AP212" s="40" t="n">
        <f aca="false">IFERROR(AP211/AP152,"")</f>
        <v>0.179819340382326</v>
      </c>
      <c r="AQ212" s="40" t="n">
        <f aca="false">IFERROR(AQ211/AQ152,"")</f>
        <v>0.184061767544464</v>
      </c>
      <c r="AR212" s="40" t="n">
        <f aca="false">IFERROR(AR211/AR152,"")</f>
        <v>0.189871726349546</v>
      </c>
      <c r="AS212" s="40" t="n">
        <f aca="false">IFERROR(AS211/AS152,"")</f>
        <v>0.183472327520849</v>
      </c>
      <c r="AT212" s="40" t="n">
        <f aca="false">IFERROR(AT211/AT152,"")</f>
        <v>0.168947933440687</v>
      </c>
      <c r="AU212" s="40" t="n">
        <f aca="false">IFERROR(AU211/AU152,"")</f>
        <v>0.205115089514066</v>
      </c>
      <c r="AV212" s="40" t="n">
        <f aca="false">IFERROR(AV211/AV152,"")</f>
        <v>0.187467260345731</v>
      </c>
      <c r="AW212" s="40" t="n">
        <f aca="false">IFERROR(AW211/AW152,"")</f>
        <v>0.195462478184991</v>
      </c>
      <c r="AX212" s="40" t="n">
        <f aca="false">IFERROR(AX211/AX152,"")</f>
        <v>0.195996163989451</v>
      </c>
      <c r="AY212" s="40" t="n">
        <f aca="false">IFERROR(AY211/AY152,"")</f>
        <v>0.191743583259578</v>
      </c>
      <c r="AZ212" s="40" t="n">
        <f aca="false">IFERROR(AZ211/AZ152,"")</f>
        <v>0.171297476421106</v>
      </c>
      <c r="BA212" s="40" t="n">
        <f aca="false">IFERROR(BA211/BA152,"")</f>
        <v>0.189156464415445</v>
      </c>
      <c r="BB212" s="40" t="n">
        <f aca="false">IFERROR(BB211/BB152,"")</f>
        <v>0.179985601151908</v>
      </c>
      <c r="BC212" s="40" t="n">
        <f aca="false">IFERROR(BC211/BC152,"")</f>
        <v>0.204272363150868</v>
      </c>
      <c r="BD212" s="40" t="n">
        <f aca="false">IFERROR(BD211/BD152,"")</f>
        <v>0.214012109230199</v>
      </c>
      <c r="BE212" s="40" t="n">
        <f aca="false">IFERROR(BE211/BE152,"")</f>
        <v>0.1948026699501</v>
      </c>
      <c r="BF212" s="40" t="n">
        <f aca="false">IFERROR(BF211/BF152,"")</f>
        <v>0.197095693186049</v>
      </c>
      <c r="BG212" s="40" t="n">
        <f aca="false">IFERROR(BG211/BG152,"")</f>
        <v>0.25950044603033</v>
      </c>
      <c r="BH212" s="40" t="n">
        <f aca="false">IFERROR(BH211/BH152,"")</f>
        <v>0.233404266362174</v>
      </c>
      <c r="BI212" s="40" t="n">
        <f aca="false">IFERROR(BI211/BI152,"")</f>
        <v>0.243082552023782</v>
      </c>
      <c r="BJ212" s="40" t="n">
        <f aca="false">IFERROR(BJ211/BJ152,"")</f>
        <v>0.240459402486007</v>
      </c>
      <c r="BK212" s="40" t="n">
        <f aca="false">IFERROR(BK211/BK152,"")</f>
        <v>0.238259324274538</v>
      </c>
      <c r="BL212" s="40" t="n">
        <f aca="false">IFERROR(BL211/BL152,"")</f>
        <v>0.236336109008327</v>
      </c>
      <c r="BM212" s="40" t="n">
        <f aca="false">IFERROR(BM211/BM152,"")</f>
        <v>0.240964744062546</v>
      </c>
      <c r="BN212" s="40" t="n">
        <f aca="false">IFERROR(BN211/BN152,"")</f>
        <v>0.238680514046623</v>
      </c>
      <c r="BO212" s="40" t="n">
        <f aca="false">IFERROR(BO211/BO152,"")</f>
        <v>0.245013200352009</v>
      </c>
      <c r="BP212" s="40" t="n">
        <f aca="false">IFERROR(BP211/BP152,"")</f>
        <v>0.248625017627979</v>
      </c>
      <c r="BQ212" s="40" t="n">
        <f aca="false">IFERROR(BQ211/BQ152,"")</f>
        <v>0.242846151027736</v>
      </c>
      <c r="BR212" s="40" t="n">
        <f aca="false">IFERROR(BR211/BR152,"")</f>
        <v>0.236246656545941</v>
      </c>
      <c r="BS212" s="40" t="n">
        <f aca="false">IFERROR(BS211/BS152,"")</f>
        <v>0.236681406611918</v>
      </c>
      <c r="BT212" s="40" t="n">
        <f aca="false">IFERROR(BT211/BT152,"")</f>
        <v>0.236467236467236</v>
      </c>
      <c r="BU212" s="40" t="n">
        <f aca="false">IFERROR(BU211/BU152,"")</f>
        <v>0.247557932263815</v>
      </c>
      <c r="BV212" s="40" t="n">
        <f aca="false">IFERROR(BV211/BV152,"")</f>
        <v>0.245754385964912</v>
      </c>
      <c r="BW212" s="40" t="n">
        <f aca="false">IFERROR(BW211/BW152,"")</f>
        <v>0.24157572531275</v>
      </c>
      <c r="BX212" s="40" t="n">
        <f aca="false">IFERROR(BX211/BX152,"")</f>
        <v>0.235834382638323</v>
      </c>
      <c r="BY212" s="40" t="n">
        <f aca="false">IFERROR(BY211/BY152,"")</f>
        <v>0.237464522232734</v>
      </c>
      <c r="BZ212" s="40" t="n">
        <f aca="false">IFERROR(BZ211/BZ152,"")</f>
        <v>0.236656633140004</v>
      </c>
      <c r="CA212" s="40" t="n">
        <f aca="false">IFERROR(CA211/CA152,"")</f>
        <v>0.243436092829927</v>
      </c>
      <c r="CB212" s="40" t="n">
        <f aca="false">IFERROR(CB211/CB152,"")</f>
        <v>0.24662184650203</v>
      </c>
      <c r="CC212" s="40" t="n">
        <f aca="false">IFERROR(CC211/CC152,"")</f>
        <v>0.241022927689594</v>
      </c>
      <c r="CD212" s="40" t="n">
        <f aca="false">IFERROR(CD211/CD152,"")</f>
        <v>0.237464652734671</v>
      </c>
      <c r="CE212" s="40" t="n">
        <f aca="false">IFERROR(CE211/CE152,"")</f>
        <v>0.242980775583009</v>
      </c>
      <c r="CF212" s="40" t="n">
        <f aca="false">IFERROR(CF211/CF152,"")</f>
        <v>0.24028208935079</v>
      </c>
      <c r="CG212" s="40" t="n">
        <f aca="false">IFERROR(CG211/CG152,"")</f>
        <v>0.242286456641767</v>
      </c>
      <c r="CH212" s="40" t="n">
        <f aca="false">IFERROR(CH211/CH152,"")</f>
        <v>0.259815170873907</v>
      </c>
      <c r="CI212" s="40" t="n">
        <f aca="false">IFERROR(CI211/CI152,"")</f>
        <v>0.245936488210093</v>
      </c>
      <c r="CJ212" s="40" t="n">
        <f aca="false">IFERROR(CJ211/CJ152,"")</f>
        <v>0.242548554579835</v>
      </c>
      <c r="CK212" s="40" t="n">
        <f aca="false">IFERROR(CK211/CK152,"")</f>
        <v>0.253112781954887</v>
      </c>
      <c r="CL212" s="40" t="n">
        <f aca="false">IFERROR(CL211/CL152,"")</f>
        <v>0.247998510519456</v>
      </c>
      <c r="CM212" s="28" t="n">
        <f aca="false">IFERROR(CM211/CM152,"")</f>
        <v>0.241941773377273</v>
      </c>
      <c r="CN212" s="28" t="n">
        <f aca="false">IFERROR(CN211/CN152,"")</f>
        <v>0.240980731053261</v>
      </c>
      <c r="CO212" s="28" t="n">
        <f aca="false">IFERROR(CO211/CO152,"")</f>
        <v>0.244606287160777</v>
      </c>
      <c r="CP212" s="28" t="n">
        <f aca="false">IFERROR(CP211/CP152,"")</f>
        <v>0.254521722404861</v>
      </c>
      <c r="CQ212" s="28" t="n">
        <f aca="false">IFERROR(CQ211/CQ152,"")</f>
        <v>0.257304367901136</v>
      </c>
      <c r="CR212" s="28" t="n">
        <f aca="false">IFERROR(CR211/CR152,"")</f>
        <v>0.259416125637267</v>
      </c>
      <c r="CS212" s="28" t="n">
        <f aca="false">IFERROR(CS211/CS152,"")</f>
        <v>0.261844778629404</v>
      </c>
      <c r="CT212" s="23"/>
      <c r="CV212" s="41" t="n">
        <f aca="false">IFERROR(AVERAGE(CO212,CP212,CQ212,CR212,CS212),"n/m")</f>
        <v>0.255538656346689</v>
      </c>
      <c r="CW212" s="41" t="n">
        <f aca="false">IFERROR(AVERAGE(BK212,BQ212,BW212,CC212,CI212),"n/m")</f>
        <v>0.241928123302942</v>
      </c>
      <c r="CX212" s="41" t="n">
        <f aca="false">IFERROR(AVERAGE(AG212,AM212,AS212,AY212,BE212,BK212,BQ212,BW212,CC212,CI212),"n/m")</f>
        <v>0.211769410821259</v>
      </c>
      <c r="CY212" s="41" t="n">
        <f aca="false">IFERROR(AVERAGE(C212,D212,E212,F212,G212,H212,I212,O212,U212,AA212,AG212,AM212,AS212,AY212,BE212,BK212,BQ212,BW212,CC212,CI212),"n/m")</f>
        <v>0.176775986383458</v>
      </c>
    </row>
    <row r="213" customFormat="false" ht="15" hidden="false" customHeight="true" outlineLevel="0" collapsed="false">
      <c r="B213" s="37" t="s">
        <v>338</v>
      </c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30"/>
      <c r="BD213" s="30"/>
      <c r="BE213" s="30"/>
      <c r="BF213" s="30"/>
      <c r="BG213" s="30"/>
      <c r="BH213" s="30"/>
      <c r="BI213" s="30"/>
      <c r="BJ213" s="30"/>
      <c r="BK213" s="30"/>
      <c r="BL213" s="30"/>
      <c r="BM213" s="30"/>
      <c r="BN213" s="30"/>
      <c r="BO213" s="30"/>
      <c r="BP213" s="30"/>
      <c r="BQ213" s="30"/>
      <c r="BR213" s="30"/>
      <c r="BS213" s="30"/>
      <c r="BT213" s="30"/>
      <c r="BU213" s="30"/>
      <c r="BV213" s="30"/>
      <c r="BW213" s="30"/>
      <c r="BX213" s="30"/>
      <c r="BY213" s="30"/>
      <c r="BZ213" s="30"/>
      <c r="CA213" s="30"/>
      <c r="CB213" s="30"/>
      <c r="CC213" s="30"/>
      <c r="CD213" s="30"/>
      <c r="CE213" s="30"/>
      <c r="CF213" s="30"/>
      <c r="CG213" s="30"/>
      <c r="CH213" s="30"/>
      <c r="CI213" s="30"/>
      <c r="CJ213" s="30"/>
      <c r="CK213" s="30"/>
      <c r="CL213" s="30"/>
      <c r="CM213" s="32"/>
      <c r="CN213" s="32"/>
      <c r="CO213" s="32"/>
      <c r="CP213" s="32"/>
      <c r="CQ213" s="32"/>
      <c r="CR213" s="32"/>
      <c r="CS213" s="32"/>
      <c r="CT213" s="23"/>
      <c r="CV213" s="7"/>
      <c r="CW213" s="7"/>
      <c r="CX213" s="7"/>
      <c r="CY213" s="7"/>
    </row>
    <row r="214" customFormat="false" ht="15" hidden="false" customHeight="true" outlineLevel="0" collapsed="false">
      <c r="B214" s="13" t="s">
        <v>339</v>
      </c>
      <c r="C214" s="30" t="n">
        <f aca="false">-N(C174)</f>
        <v>-32</v>
      </c>
      <c r="D214" s="30" t="n">
        <f aca="false">-N(D174)</f>
        <v>-34.7</v>
      </c>
      <c r="E214" s="30" t="n">
        <f aca="false">-N(E174)</f>
        <v>-45</v>
      </c>
      <c r="F214" s="30" t="n">
        <f aca="false">-N(F174)</f>
        <v>-42.5</v>
      </c>
      <c r="G214" s="30" t="n">
        <f aca="false">-N(G174)</f>
        <v>-45.2</v>
      </c>
      <c r="H214" s="30" t="n">
        <f aca="false">-N(H174)</f>
        <v>-64.2</v>
      </c>
      <c r="I214" s="30" t="n">
        <f aca="false">-N(I174)</f>
        <v>-78.3</v>
      </c>
      <c r="J214" s="30" t="n">
        <f aca="false">-N(J174)</f>
        <v>-21.9</v>
      </c>
      <c r="K214" s="30" t="n">
        <f aca="false">-N(K174)</f>
        <v>-22.1</v>
      </c>
      <c r="L214" s="30" t="n">
        <f aca="false">-N(L174)</f>
        <v>-44</v>
      </c>
      <c r="M214" s="30" t="n">
        <f aca="false">-N(M174)</f>
        <v>-23.1</v>
      </c>
      <c r="N214" s="30" t="n">
        <f aca="false">-N(N174)</f>
        <v>-24</v>
      </c>
      <c r="O214" s="30" t="n">
        <f aca="false">-N(O174)</f>
        <v>-91.1</v>
      </c>
      <c r="P214" s="30" t="n">
        <f aca="false">-N(P174)</f>
        <v>-23.2</v>
      </c>
      <c r="Q214" s="30" t="n">
        <f aca="false">-N(Q174)</f>
        <v>-23.4</v>
      </c>
      <c r="R214" s="30" t="n">
        <f aca="false">-N(R174)</f>
        <v>-46.6</v>
      </c>
      <c r="S214" s="30" t="n">
        <f aca="false">-N(S174)</f>
        <v>-23.5</v>
      </c>
      <c r="T214" s="30" t="n">
        <f aca="false">-N(T174)</f>
        <v>-24.2</v>
      </c>
      <c r="U214" s="30" t="n">
        <f aca="false">-N(U174)</f>
        <v>-94.3</v>
      </c>
      <c r="V214" s="30" t="n">
        <f aca="false">-N(V174)</f>
        <v>-23.2</v>
      </c>
      <c r="W214" s="30" t="n">
        <f aca="false">-N(W174)</f>
        <v>-22.8</v>
      </c>
      <c r="X214" s="30" t="n">
        <f aca="false">-N(X174)</f>
        <v>-46</v>
      </c>
      <c r="Y214" s="30" t="n">
        <f aca="false">-N(Y174)</f>
        <v>-21.9</v>
      </c>
      <c r="Z214" s="30" t="n">
        <f aca="false">-N(Z174)</f>
        <v>-22.4</v>
      </c>
      <c r="AA214" s="30" t="n">
        <f aca="false">-N(AA174)</f>
        <v>-90.3</v>
      </c>
      <c r="AB214" s="30" t="n">
        <f aca="false">-N(AB174)</f>
        <v>-21.1</v>
      </c>
      <c r="AC214" s="30" t="n">
        <f aca="false">-N(AC174)</f>
        <v>-21.7</v>
      </c>
      <c r="AD214" s="30" t="n">
        <f aca="false">-N(AD174)</f>
        <v>-42.8</v>
      </c>
      <c r="AE214" s="30" t="n">
        <f aca="false">-N(AE174)</f>
        <v>-22.8</v>
      </c>
      <c r="AF214" s="30" t="n">
        <f aca="false">-N(AF174)</f>
        <v>-21.7</v>
      </c>
      <c r="AG214" s="30" t="n">
        <f aca="false">-N(AG174)</f>
        <v>-87.3</v>
      </c>
      <c r="AH214" s="30" t="n">
        <f aca="false">-N(AH174)</f>
        <v>-22.8</v>
      </c>
      <c r="AI214" s="30" t="n">
        <f aca="false">-N(AI174)</f>
        <v>-33.2</v>
      </c>
      <c r="AJ214" s="30" t="n">
        <f aca="false">-N(AJ174)</f>
        <v>-56</v>
      </c>
      <c r="AK214" s="30" t="n">
        <f aca="false">-N(AK174)</f>
        <v>-31.4</v>
      </c>
      <c r="AL214" s="30" t="n">
        <f aca="false">-N(AL174)</f>
        <v>-25.6</v>
      </c>
      <c r="AM214" s="30" t="n">
        <f aca="false">-N(AM174)</f>
        <v>-113</v>
      </c>
      <c r="AN214" s="30" t="n">
        <f aca="false">-N(AN174)</f>
        <v>-28.8</v>
      </c>
      <c r="AO214" s="30" t="n">
        <f aca="false">-N(AO174)</f>
        <v>-27.6</v>
      </c>
      <c r="AP214" s="30" t="n">
        <f aca="false">-N(AP174)</f>
        <v>-56.4</v>
      </c>
      <c r="AQ214" s="30" t="n">
        <f aca="false">-N(AQ174)</f>
        <v>-27.3</v>
      </c>
      <c r="AR214" s="30" t="n">
        <f aca="false">-N(AR174)</f>
        <v>-29.3</v>
      </c>
      <c r="AS214" s="30" t="n">
        <f aca="false">-N(AS174)</f>
        <v>-113</v>
      </c>
      <c r="AT214" s="30" t="n">
        <f aca="false">-N(AT174)</f>
        <v>-27.6</v>
      </c>
      <c r="AU214" s="30" t="n">
        <f aca="false">-N(AU174)</f>
        <v>-27.1</v>
      </c>
      <c r="AV214" s="30" t="n">
        <f aca="false">-N(AV174)</f>
        <v>-54.7</v>
      </c>
      <c r="AW214" s="30" t="n">
        <f aca="false">-N(AW174)</f>
        <v>-27.9</v>
      </c>
      <c r="AX214" s="30" t="n">
        <f aca="false">-N(AX174)</f>
        <v>-29.3</v>
      </c>
      <c r="AY214" s="30" t="n">
        <f aca="false">-N(AY174)</f>
        <v>-111.9</v>
      </c>
      <c r="AZ214" s="30" t="n">
        <f aca="false">-N(AZ174)</f>
        <v>-29.3</v>
      </c>
      <c r="BA214" s="30" t="n">
        <f aca="false">-N(BA174)</f>
        <v>-29</v>
      </c>
      <c r="BB214" s="30" t="n">
        <f aca="false">-N(BB174)</f>
        <v>-58.3</v>
      </c>
      <c r="BC214" s="30" t="n">
        <f aca="false">-N(BC174)</f>
        <v>-29.2</v>
      </c>
      <c r="BD214" s="30" t="n">
        <f aca="false">-N(BD174)</f>
        <v>-28.7</v>
      </c>
      <c r="BE214" s="30" t="n">
        <f aca="false">-N(BE174)</f>
        <v>-116.2</v>
      </c>
      <c r="BF214" s="30" t="n">
        <f aca="false">-N(BF174)</f>
        <v>-29.3</v>
      </c>
      <c r="BG214" s="30" t="n">
        <f aca="false">-N(BG174)</f>
        <v>-59.7</v>
      </c>
      <c r="BH214" s="30" t="n">
        <f aca="false">-N(BH174)</f>
        <v>-89</v>
      </c>
      <c r="BI214" s="30" t="n">
        <f aca="false">-N(BI174)</f>
        <v>-90.2</v>
      </c>
      <c r="BJ214" s="30" t="n">
        <f aca="false">-N(BJ174)</f>
        <v>-86.2</v>
      </c>
      <c r="BK214" s="30" t="n">
        <f aca="false">-N(BK174)</f>
        <v>-265.4</v>
      </c>
      <c r="BL214" s="30" t="n">
        <f aca="false">-N(BL174)</f>
        <v>-86.9</v>
      </c>
      <c r="BM214" s="30" t="n">
        <f aca="false">-N(BM174)</f>
        <v>-82.7</v>
      </c>
      <c r="BN214" s="30" t="n">
        <f aca="false">-N(BN174)</f>
        <v>-169.6</v>
      </c>
      <c r="BO214" s="30" t="n">
        <f aca="false">-N(BO174)</f>
        <v>-80.8</v>
      </c>
      <c r="BP214" s="30" t="n">
        <f aca="false">-N(BP174)</f>
        <v>-81.8</v>
      </c>
      <c r="BQ214" s="30" t="n">
        <f aca="false">-N(BQ174)</f>
        <v>-332.2</v>
      </c>
      <c r="BR214" s="30" t="n">
        <f aca="false">-N(BR174)</f>
        <v>-82.1</v>
      </c>
      <c r="BS214" s="30" t="n">
        <f aca="false">-N(BS174)</f>
        <v>-80</v>
      </c>
      <c r="BT214" s="30" t="n">
        <f aca="false">-N(BT174)</f>
        <v>-162.1</v>
      </c>
      <c r="BU214" s="30" t="n">
        <f aca="false">-N(BU174)</f>
        <v>-76.9</v>
      </c>
      <c r="BV214" s="30" t="n">
        <f aca="false">-N(BV174)</f>
        <v>-77.4</v>
      </c>
      <c r="BW214" s="30" t="n">
        <f aca="false">-N(BW174)</f>
        <v>-316.4</v>
      </c>
      <c r="BX214" s="30" t="n">
        <f aca="false">-N(BX174)</f>
        <v>-78</v>
      </c>
      <c r="BY214" s="30" t="n">
        <f aca="false">-N(BY174)</f>
        <v>-77.8</v>
      </c>
      <c r="BZ214" s="30" t="n">
        <f aca="false">-N(BZ174)</f>
        <v>-155.8</v>
      </c>
      <c r="CA214" s="30" t="n">
        <f aca="false">-N(CA174)</f>
        <v>-76.9</v>
      </c>
      <c r="CB214" s="30" t="n">
        <f aca="false">-N(CB174)</f>
        <v>-77.2</v>
      </c>
      <c r="CC214" s="30" t="n">
        <f aca="false">-N(CC174)</f>
        <v>-309.9</v>
      </c>
      <c r="CD214" s="30" t="n">
        <f aca="false">-N(CD174)</f>
        <v>-80.7</v>
      </c>
      <c r="CE214" s="30" t="n">
        <f aca="false">-N(CE174)</f>
        <v>-86.5</v>
      </c>
      <c r="CF214" s="30" t="n">
        <f aca="false">-N(CF174)</f>
        <v>-167.2</v>
      </c>
      <c r="CG214" s="30" t="n">
        <f aca="false">-N(CG174)</f>
        <v>-84.5</v>
      </c>
      <c r="CH214" s="30" t="n">
        <f aca="false">-N(CH174)</f>
        <v>-84.6</v>
      </c>
      <c r="CI214" s="30" t="n">
        <f aca="false">-N(CI174)</f>
        <v>-336.3</v>
      </c>
      <c r="CJ214" s="30" t="n">
        <f aca="false">-N(CJ174)</f>
        <v>-87.2</v>
      </c>
      <c r="CK214" s="30" t="n">
        <f aca="false">-N(CK174)</f>
        <v>-85.7</v>
      </c>
      <c r="CL214" s="30" t="n">
        <f aca="false">-N(CL174)</f>
        <v>-172.9</v>
      </c>
      <c r="CM214" s="32" t="n">
        <f aca="false">-CM174</f>
        <v>-87.319785360866</v>
      </c>
      <c r="CN214" s="32" t="n">
        <f aca="false">-CN174</f>
        <v>-88.8128584497414</v>
      </c>
      <c r="CO214" s="32" t="n">
        <f aca="false">SUM(CJ214,CK214,CM214,CN214)</f>
        <v>-349.032643810607</v>
      </c>
      <c r="CP214" s="32" t="n">
        <f aca="false">-CP174</f>
        <v>-362.747397155799</v>
      </c>
      <c r="CQ214" s="32" t="n">
        <f aca="false">-CQ174</f>
        <v>-398.36401514577</v>
      </c>
      <c r="CR214" s="32" t="n">
        <f aca="false">-CR174</f>
        <v>-397.567033826719</v>
      </c>
      <c r="CS214" s="32" t="n">
        <f aca="false">-CS174</f>
        <v>-415.085994901688</v>
      </c>
      <c r="CT214" s="23"/>
      <c r="CV214" s="7"/>
      <c r="CW214" s="7"/>
      <c r="CX214" s="7"/>
      <c r="CY214" s="7"/>
    </row>
    <row r="215" customFormat="false" ht="15" hidden="false" customHeight="true" outlineLevel="0" collapsed="false">
      <c r="B215" s="13" t="s">
        <v>111</v>
      </c>
      <c r="C215" s="30" t="n">
        <f aca="false">N(C125)</f>
        <v>7.7</v>
      </c>
      <c r="D215" s="30" t="n">
        <f aca="false">N(D125)</f>
        <v>6.4</v>
      </c>
      <c r="E215" s="30" t="n">
        <f aca="false">N(E125)</f>
        <v>15.8</v>
      </c>
      <c r="F215" s="30" t="n">
        <f aca="false">N(F125)</f>
        <v>12.4</v>
      </c>
      <c r="G215" s="30" t="n">
        <f aca="false">N(G125)</f>
        <v>14.1</v>
      </c>
      <c r="H215" s="30" t="n">
        <f aca="false">N(H125)</f>
        <v>24.6</v>
      </c>
      <c r="I215" s="30" t="n">
        <f aca="false">N(I125)</f>
        <v>29.4</v>
      </c>
      <c r="J215" s="30" t="n">
        <f aca="false">N(J125)</f>
        <v>0</v>
      </c>
      <c r="K215" s="30" t="n">
        <f aca="false">N(K125)</f>
        <v>0</v>
      </c>
      <c r="L215" s="30" t="n">
        <f aca="false">N(L125)</f>
        <v>0</v>
      </c>
      <c r="M215" s="30" t="n">
        <f aca="false">N(M125)</f>
        <v>0</v>
      </c>
      <c r="N215" s="30" t="n">
        <f aca="false">N(N125)</f>
        <v>0</v>
      </c>
      <c r="O215" s="30" t="n">
        <f aca="false">N(O125)</f>
        <v>31.5</v>
      </c>
      <c r="P215" s="30" t="n">
        <f aca="false">N(P125)</f>
        <v>0</v>
      </c>
      <c r="Q215" s="30" t="n">
        <f aca="false">N(Q125)</f>
        <v>0</v>
      </c>
      <c r="R215" s="30" t="n">
        <f aca="false">N(R125)</f>
        <v>0</v>
      </c>
      <c r="S215" s="30" t="n">
        <f aca="false">N(S125)</f>
        <v>0</v>
      </c>
      <c r="T215" s="30" t="n">
        <f aca="false">N(T125)</f>
        <v>0</v>
      </c>
      <c r="U215" s="30" t="n">
        <f aca="false">N(U125)</f>
        <v>32</v>
      </c>
      <c r="V215" s="30" t="n">
        <f aca="false">N(V125)</f>
        <v>0</v>
      </c>
      <c r="W215" s="30" t="n">
        <f aca="false">N(W125)</f>
        <v>0</v>
      </c>
      <c r="X215" s="30" t="n">
        <f aca="false">N(X125)</f>
        <v>0</v>
      </c>
      <c r="Y215" s="30" t="n">
        <f aca="false">N(Y125)</f>
        <v>0</v>
      </c>
      <c r="Z215" s="30" t="n">
        <f aca="false">N(Z125)</f>
        <v>0</v>
      </c>
      <c r="AA215" s="30" t="n">
        <f aca="false">N(AA125)</f>
        <v>30.6</v>
      </c>
      <c r="AB215" s="30" t="n">
        <f aca="false">N(AB125)</f>
        <v>0</v>
      </c>
      <c r="AC215" s="30" t="n">
        <f aca="false">N(AC125)</f>
        <v>0</v>
      </c>
      <c r="AD215" s="30" t="n">
        <f aca="false">N(AD125)</f>
        <v>0</v>
      </c>
      <c r="AE215" s="30" t="n">
        <f aca="false">N(AE125)</f>
        <v>0</v>
      </c>
      <c r="AF215" s="30" t="n">
        <f aca="false">N(AF125)</f>
        <v>0</v>
      </c>
      <c r="AG215" s="30" t="n">
        <f aca="false">N(AG125)</f>
        <v>28.3</v>
      </c>
      <c r="AH215" s="30" t="n">
        <f aca="false">N(AH125)</f>
        <v>0</v>
      </c>
      <c r="AI215" s="30" t="n">
        <f aca="false">N(AI125)</f>
        <v>0</v>
      </c>
      <c r="AJ215" s="30" t="n">
        <f aca="false">N(AJ125)</f>
        <v>0</v>
      </c>
      <c r="AK215" s="30" t="n">
        <f aca="false">N(AK125)</f>
        <v>0</v>
      </c>
      <c r="AL215" s="30" t="n">
        <f aca="false">N(AL125)</f>
        <v>0</v>
      </c>
      <c r="AM215" s="30" t="n">
        <f aca="false">N(AM125)</f>
        <v>41.4</v>
      </c>
      <c r="AN215" s="30" t="n">
        <f aca="false">N(AN125)</f>
        <v>0</v>
      </c>
      <c r="AO215" s="30" t="n">
        <f aca="false">N(AO125)</f>
        <v>0</v>
      </c>
      <c r="AP215" s="30" t="n">
        <f aca="false">N(AP125)</f>
        <v>0</v>
      </c>
      <c r="AQ215" s="30" t="n">
        <f aca="false">N(AQ125)</f>
        <v>0</v>
      </c>
      <c r="AR215" s="30" t="n">
        <f aca="false">N(AR125)</f>
        <v>0</v>
      </c>
      <c r="AS215" s="30" t="n">
        <f aca="false">N(AS125)</f>
        <v>39.5</v>
      </c>
      <c r="AT215" s="30" t="n">
        <f aca="false">N(AT125)</f>
        <v>0</v>
      </c>
      <c r="AU215" s="30" t="n">
        <f aca="false">N(AU125)</f>
        <v>0</v>
      </c>
      <c r="AV215" s="30" t="n">
        <f aca="false">N(AV125)</f>
        <v>0</v>
      </c>
      <c r="AW215" s="30" t="n">
        <f aca="false">N(AW125)</f>
        <v>0</v>
      </c>
      <c r="AX215" s="30" t="n">
        <f aca="false">N(AX125)</f>
        <v>0</v>
      </c>
      <c r="AY215" s="30" t="n">
        <f aca="false">N(AY125)</f>
        <v>36.5</v>
      </c>
      <c r="AZ215" s="30" t="n">
        <f aca="false">N(AZ125)</f>
        <v>9.6</v>
      </c>
      <c r="BA215" s="30" t="n">
        <f aca="false">N(BA125)</f>
        <v>9.7</v>
      </c>
      <c r="BB215" s="30" t="n">
        <f aca="false">N(BB125)</f>
        <v>19.3</v>
      </c>
      <c r="BC215" s="30" t="n">
        <f aca="false">N(BC125)</f>
        <v>9.9</v>
      </c>
      <c r="BD215" s="30" t="n">
        <f aca="false">N(BD125)</f>
        <v>9.6</v>
      </c>
      <c r="BE215" s="30" t="n">
        <f aca="false">N(BE125)</f>
        <v>38.8</v>
      </c>
      <c r="BF215" s="30" t="n">
        <f aca="false">N(BF125)</f>
        <v>9.8</v>
      </c>
      <c r="BG215" s="30" t="n">
        <f aca="false">N(BG125)</f>
        <v>32.8</v>
      </c>
      <c r="BH215" s="30" t="n">
        <f aca="false">N(BH125)</f>
        <v>42.6</v>
      </c>
      <c r="BI215" s="30" t="n">
        <f aca="false">N(BI125)</f>
        <v>55.3</v>
      </c>
      <c r="BJ215" s="30" t="n">
        <f aca="false">N(BJ125)</f>
        <v>51.4</v>
      </c>
      <c r="BK215" s="30" t="n">
        <f aca="false">N(BK125)</f>
        <v>149.3</v>
      </c>
      <c r="BL215" s="30" t="n">
        <f aca="false">N(BL125)</f>
        <v>53.6</v>
      </c>
      <c r="BM215" s="30" t="n">
        <f aca="false">N(BM125)</f>
        <v>51.3</v>
      </c>
      <c r="BN215" s="30" t="n">
        <f aca="false">N(BN125)</f>
        <v>104.9</v>
      </c>
      <c r="BO215" s="30" t="n">
        <f aca="false">N(BO125)</f>
        <v>48.9</v>
      </c>
      <c r="BP215" s="30" t="n">
        <f aca="false">N(BP125)</f>
        <v>47.9</v>
      </c>
      <c r="BQ215" s="30" t="n">
        <f aca="false">N(BQ125)</f>
        <v>201.7</v>
      </c>
      <c r="BR215" s="30" t="n">
        <f aca="false">N(BR125)</f>
        <v>49.7</v>
      </c>
      <c r="BS215" s="30" t="n">
        <f aca="false">N(BS125)</f>
        <v>49.3</v>
      </c>
      <c r="BT215" s="30" t="n">
        <f aca="false">N(BT125)</f>
        <v>99</v>
      </c>
      <c r="BU215" s="30" t="n">
        <f aca="false">N(BU125)</f>
        <v>49.1</v>
      </c>
      <c r="BV215" s="30" t="n">
        <f aca="false">N(BV125)</f>
        <v>48.6</v>
      </c>
      <c r="BW215" s="30" t="n">
        <f aca="false">N(BW125)</f>
        <v>196.7</v>
      </c>
      <c r="BX215" s="30" t="n">
        <f aca="false">N(BX125)</f>
        <v>49.4</v>
      </c>
      <c r="BY215" s="30" t="n">
        <f aca="false">N(BY125)</f>
        <v>49.1</v>
      </c>
      <c r="BZ215" s="30" t="n">
        <f aca="false">N(BZ125)</f>
        <v>98.5</v>
      </c>
      <c r="CA215" s="30" t="n">
        <f aca="false">N(CA125)</f>
        <v>49.8</v>
      </c>
      <c r="CB215" s="30" t="n">
        <f aca="false">N(CB125)</f>
        <v>49.7</v>
      </c>
      <c r="CC215" s="30" t="n">
        <f aca="false">N(CC125)</f>
        <v>198</v>
      </c>
      <c r="CD215" s="30" t="n">
        <f aca="false">N(CD125)</f>
        <v>52</v>
      </c>
      <c r="CE215" s="30" t="n">
        <f aca="false">N(CE125)</f>
        <v>54.6</v>
      </c>
      <c r="CF215" s="30" t="n">
        <f aca="false">N(CF125)</f>
        <v>106.6</v>
      </c>
      <c r="CG215" s="30" t="n">
        <f aca="false">N(CG125)</f>
        <v>55.1</v>
      </c>
      <c r="CH215" s="30" t="n">
        <f aca="false">N(CH125)</f>
        <v>54.9</v>
      </c>
      <c r="CI215" s="30" t="n">
        <f aca="false">N(CI125)</f>
        <v>216.6</v>
      </c>
      <c r="CJ215" s="30" t="n">
        <f aca="false">N(CJ125)</f>
        <v>57.6</v>
      </c>
      <c r="CK215" s="30" t="n">
        <f aca="false">N(CK125)</f>
        <v>56</v>
      </c>
      <c r="CL215" s="30" t="n">
        <f aca="false">N(CL125)</f>
        <v>113.6</v>
      </c>
      <c r="CM215" s="32" t="n">
        <f aca="false">CM125</f>
        <v>56.2</v>
      </c>
      <c r="CN215" s="32" t="n">
        <f aca="false">CN125</f>
        <v>56.2</v>
      </c>
      <c r="CO215" s="32" t="n">
        <f aca="false">SUM(CJ215,CK215,CM215,CN215)</f>
        <v>226</v>
      </c>
      <c r="CP215" s="32" t="n">
        <f aca="false">CP125</f>
        <v>222.7375</v>
      </c>
      <c r="CQ215" s="32" t="n">
        <f aca="false">CQ125</f>
        <v>245.358333333333</v>
      </c>
      <c r="CR215" s="32" t="n">
        <f aca="false">CR125</f>
        <v>230.625</v>
      </c>
      <c r="CS215" s="32" t="n">
        <f aca="false">CS125</f>
        <v>233.591666666667</v>
      </c>
      <c r="CT215" s="23"/>
      <c r="CV215" s="7"/>
      <c r="CW215" s="7"/>
      <c r="CX215" s="7"/>
      <c r="CY215" s="7"/>
    </row>
    <row r="216" customFormat="false" ht="15" hidden="false" customHeight="true" outlineLevel="0" collapsed="false">
      <c r="B216" s="34" t="s">
        <v>340</v>
      </c>
      <c r="C216" s="35" t="n">
        <f aca="false">IF(AND(ISNUMBER(C211),ISNUMBER(C125)),C211+C214+C215,"")</f>
        <v>137.8</v>
      </c>
      <c r="D216" s="35" t="n">
        <f aca="false">IF(AND(ISNUMBER(D211),ISNUMBER(D125)),D211+D214+D215,"")</f>
        <v>171.6</v>
      </c>
      <c r="E216" s="35" t="n">
        <f aca="false">IF(AND(ISNUMBER(E211),ISNUMBER(E125)),E211+E214+E215,"")</f>
        <v>214.7</v>
      </c>
      <c r="F216" s="35" t="n">
        <f aca="false">IF(AND(ISNUMBER(F211),ISNUMBER(F125)),F211+F214+F215,"")</f>
        <v>183.6</v>
      </c>
      <c r="G216" s="35" t="n">
        <f aca="false">IF(AND(ISNUMBER(G211),ISNUMBER(G125)),G211+G214+G215,"")</f>
        <v>194.2</v>
      </c>
      <c r="H216" s="35" t="n">
        <f aca="false">IF(AND(ISNUMBER(H211),ISNUMBER(H125)),H211+H214+H215,"")</f>
        <v>252.4</v>
      </c>
      <c r="I216" s="35" t="n">
        <f aca="false">IF(AND(ISNUMBER(I211),ISNUMBER(I125)),I211+I214+I215,"")</f>
        <v>275.4</v>
      </c>
      <c r="J216" s="20" t="str">
        <f aca="false">IF(AND(ISNUMBER(J211),ISNUMBER(J125)),J211+J214+J215,"")</f>
        <v/>
      </c>
      <c r="K216" s="20" t="str">
        <f aca="false">IF(AND(ISNUMBER(K211),ISNUMBER(K125)),K211+K214+K215,"")</f>
        <v/>
      </c>
      <c r="L216" s="20" t="str">
        <f aca="false">IF(AND(ISNUMBER(L211),ISNUMBER(L125)),L211+L214+L215,"")</f>
        <v/>
      </c>
      <c r="M216" s="20" t="str">
        <f aca="false">IF(AND(ISNUMBER(M211),ISNUMBER(M125)),M211+M214+M215,"")</f>
        <v/>
      </c>
      <c r="N216" s="20" t="str">
        <f aca="false">IF(AND(ISNUMBER(N211),ISNUMBER(N125)),N211+N214+N215,"")</f>
        <v/>
      </c>
      <c r="O216" s="35" t="n">
        <f aca="false">IF(AND(ISNUMBER(O211),ISNUMBER(O125)),O211+O214+O215,"")</f>
        <v>275.9</v>
      </c>
      <c r="P216" s="20" t="str">
        <f aca="false">IF(AND(ISNUMBER(P211),ISNUMBER(P125)),P211+P214+P215,"")</f>
        <v/>
      </c>
      <c r="Q216" s="20" t="str">
        <f aca="false">IF(AND(ISNUMBER(Q211),ISNUMBER(Q125)),Q211+Q214+Q215,"")</f>
        <v/>
      </c>
      <c r="R216" s="20" t="str">
        <f aca="false">IF(AND(ISNUMBER(R211),ISNUMBER(R125)),R211+R214+R215,"")</f>
        <v/>
      </c>
      <c r="S216" s="20" t="str">
        <f aca="false">IF(AND(ISNUMBER(S211),ISNUMBER(S125)),S211+S214+S215,"")</f>
        <v/>
      </c>
      <c r="T216" s="20" t="str">
        <f aca="false">IF(AND(ISNUMBER(T211),ISNUMBER(T125)),T211+T214+T215,"")</f>
        <v/>
      </c>
      <c r="U216" s="35" t="n">
        <f aca="false">IF(AND(ISNUMBER(U211),ISNUMBER(U125)),U211+U214+U215,"")</f>
        <v>333.1</v>
      </c>
      <c r="V216" s="20" t="str">
        <f aca="false">IF(AND(ISNUMBER(V211),ISNUMBER(V125)),V211+V214+V215,"")</f>
        <v/>
      </c>
      <c r="W216" s="20" t="str">
        <f aca="false">IF(AND(ISNUMBER(W211),ISNUMBER(W125)),W211+W214+W215,"")</f>
        <v/>
      </c>
      <c r="X216" s="20" t="str">
        <f aca="false">IF(AND(ISNUMBER(X211),ISNUMBER(X125)),X211+X214+X215,"")</f>
        <v/>
      </c>
      <c r="Y216" s="20" t="str">
        <f aca="false">IF(AND(ISNUMBER(Y211),ISNUMBER(Y125)),Y211+Y214+Y215,"")</f>
        <v/>
      </c>
      <c r="Z216" s="20" t="str">
        <f aca="false">IF(AND(ISNUMBER(Z211),ISNUMBER(Z125)),Z211+Z214+Z215,"")</f>
        <v/>
      </c>
      <c r="AA216" s="35" t="n">
        <f aca="false">IF(AND(ISNUMBER(AA211),ISNUMBER(AA125)),AA211+AA214+AA215,"")</f>
        <v>312.7</v>
      </c>
      <c r="AB216" s="20" t="str">
        <f aca="false">IF(AND(ISNUMBER(AB211),ISNUMBER(AB125)),AB211+AB214+AB215,"")</f>
        <v/>
      </c>
      <c r="AC216" s="20" t="str">
        <f aca="false">IF(AND(ISNUMBER(AC211),ISNUMBER(AC125)),AC211+AC214+AC215,"")</f>
        <v/>
      </c>
      <c r="AD216" s="20" t="str">
        <f aca="false">IF(AND(ISNUMBER(AD211),ISNUMBER(AD125)),AD211+AD214+AD215,"")</f>
        <v/>
      </c>
      <c r="AE216" s="20" t="str">
        <f aca="false">IF(AND(ISNUMBER(AE211),ISNUMBER(AE125)),AE211+AE214+AE215,"")</f>
        <v/>
      </c>
      <c r="AF216" s="20" t="str">
        <f aca="false">IF(AND(ISNUMBER(AF211),ISNUMBER(AF125)),AF211+AF214+AF215,"")</f>
        <v/>
      </c>
      <c r="AG216" s="35" t="n">
        <f aca="false">IF(AND(ISNUMBER(AG211),ISNUMBER(AG125)),AG211+AG214+AG215,"")</f>
        <v>294.7</v>
      </c>
      <c r="AH216" s="20" t="str">
        <f aca="false">IF(AND(ISNUMBER(AH211),ISNUMBER(AH125)),AH211+AH214+AH215,"")</f>
        <v/>
      </c>
      <c r="AI216" s="20" t="str">
        <f aca="false">IF(AND(ISNUMBER(AI211),ISNUMBER(AI125)),AI211+AI214+AI215,"")</f>
        <v/>
      </c>
      <c r="AJ216" s="20" t="str">
        <f aca="false">IF(AND(ISNUMBER(AJ211),ISNUMBER(AJ125)),AJ211+AJ214+AJ215,"")</f>
        <v/>
      </c>
      <c r="AK216" s="20" t="str">
        <f aca="false">IF(AND(ISNUMBER(AK211),ISNUMBER(AK125)),AK211+AK214+AK215,"")</f>
        <v/>
      </c>
      <c r="AL216" s="20" t="str">
        <f aca="false">IF(AND(ISNUMBER(AL211),ISNUMBER(AL125)),AL211+AL214+AL215,"")</f>
        <v/>
      </c>
      <c r="AM216" s="35" t="n">
        <f aca="false">IF(AND(ISNUMBER(AM211),ISNUMBER(AM125)),AM211+AM214+AM215,"")</f>
        <v>380.2</v>
      </c>
      <c r="AN216" s="20" t="str">
        <f aca="false">IF(AND(ISNUMBER(AN211),ISNUMBER(AN125)),AN211+AN214+AN215,"")</f>
        <v/>
      </c>
      <c r="AO216" s="20" t="str">
        <f aca="false">IF(AND(ISNUMBER(AO211),ISNUMBER(AO125)),AO211+AO214+AO215,"")</f>
        <v/>
      </c>
      <c r="AP216" s="20" t="str">
        <f aca="false">IF(AND(ISNUMBER(AP211),ISNUMBER(AP125)),AP211+AP214+AP215,"")</f>
        <v/>
      </c>
      <c r="AQ216" s="20" t="str">
        <f aca="false">IF(AND(ISNUMBER(AQ211),ISNUMBER(AQ125)),AQ211+AQ214+AQ215,"")</f>
        <v/>
      </c>
      <c r="AR216" s="20" t="str">
        <f aca="false">IF(AND(ISNUMBER(AR211),ISNUMBER(AR125)),AR211+AR214+AR215,"")</f>
        <v/>
      </c>
      <c r="AS216" s="35" t="n">
        <f aca="false">IF(AND(ISNUMBER(AS211),ISNUMBER(AS125)),AS211+AS214+AS215,"")</f>
        <v>458.9</v>
      </c>
      <c r="AT216" s="20" t="str">
        <f aca="false">IF(AND(ISNUMBER(AT211),ISNUMBER(AT125)),AT211+AT214+AT215,"")</f>
        <v/>
      </c>
      <c r="AU216" s="20" t="str">
        <f aca="false">IF(AND(ISNUMBER(AU211),ISNUMBER(AU125)),AU211+AU214+AU215,"")</f>
        <v/>
      </c>
      <c r="AV216" s="20" t="str">
        <f aca="false">IF(AND(ISNUMBER(AV211),ISNUMBER(AV125)),AV211+AV214+AV215,"")</f>
        <v/>
      </c>
      <c r="AW216" s="20" t="str">
        <f aca="false">IF(AND(ISNUMBER(AW211),ISNUMBER(AW125)),AW211+AW214+AW215,"")</f>
        <v/>
      </c>
      <c r="AX216" s="20" t="str">
        <f aca="false">IF(AND(ISNUMBER(AX211),ISNUMBER(AX125)),AX211+AX214+AX215,"")</f>
        <v/>
      </c>
      <c r="AY216" s="35" t="n">
        <f aca="false">IF(AND(ISNUMBER(AY211),ISNUMBER(AY125)),AY211+AY214+AY215,"")</f>
        <v>531.2</v>
      </c>
      <c r="AZ216" s="20" t="n">
        <f aca="false">IF(AND(ISNUMBER(AZ211),ISNUMBER(AZ125)),AZ211+AZ214+AZ215,"")</f>
        <v>114.7</v>
      </c>
      <c r="BA216" s="20" t="n">
        <f aca="false">IF(AND(ISNUMBER(BA211),ISNUMBER(BA125)),BA211+BA214+BA215,"")</f>
        <v>121.3</v>
      </c>
      <c r="BB216" s="20" t="n">
        <f aca="false">IF(AND(ISNUMBER(BB211),ISNUMBER(BB125)),BB211+BB214+BB215,"")</f>
        <v>236</v>
      </c>
      <c r="BC216" s="20" t="n">
        <f aca="false">IF(AND(ISNUMBER(BC211),ISNUMBER(BC125)),BC211+BC214+BC215,"")</f>
        <v>133.7</v>
      </c>
      <c r="BD216" s="20" t="n">
        <f aca="false">IF(AND(ISNUMBER(BD211),ISNUMBER(BD125)),BD211+BD214+BD215,"")</f>
        <v>154.1</v>
      </c>
      <c r="BE216" s="35" t="n">
        <f aca="false">IF(AND(ISNUMBER(BE211),ISNUMBER(BE125)),BE211+BE214+BE215,"")</f>
        <v>523.8</v>
      </c>
      <c r="BF216" s="20" t="n">
        <f aca="false">IF(AND(ISNUMBER(BF211),ISNUMBER(BF125)),BF211+BF214+BF215,"")</f>
        <v>139.3</v>
      </c>
      <c r="BG216" s="20" t="n">
        <f aca="false">IF(AND(ISNUMBER(BG211),ISNUMBER(BG125)),BG211+BG214+BG215,"")</f>
        <v>264</v>
      </c>
      <c r="BH216" s="20" t="n">
        <f aca="false">IF(AND(ISNUMBER(BH211),ISNUMBER(BH125)),BH211+BH214+BH215,"")</f>
        <v>403.3</v>
      </c>
      <c r="BI216" s="20" t="n">
        <f aca="false">IF(AND(ISNUMBER(BI211),ISNUMBER(BI125)),BI211+BI214+BI215,"")</f>
        <v>284</v>
      </c>
      <c r="BJ216" s="20" t="n">
        <f aca="false">IF(AND(ISNUMBER(BJ211),ISNUMBER(BJ125)),BJ211+BJ214+BJ215,"")</f>
        <v>296</v>
      </c>
      <c r="BK216" s="35" t="n">
        <f aca="false">IF(AND(ISNUMBER(BK211),ISNUMBER(BK125)),BK211+BK214+BK215,"")</f>
        <v>983.3</v>
      </c>
      <c r="BL216" s="20" t="n">
        <f aca="false">IF(AND(ISNUMBER(BL211),ISNUMBER(BL125)),BL211+BL214+BL215,"")</f>
        <v>278.9</v>
      </c>
      <c r="BM216" s="20" t="n">
        <f aca="false">IF(AND(ISNUMBER(BM211),ISNUMBER(BM125)),BM211+BM214+BM215,"")</f>
        <v>295.3</v>
      </c>
      <c r="BN216" s="20" t="n">
        <f aca="false">IF(AND(ISNUMBER(BN211),ISNUMBER(BN125)),BN211+BN214+BN215,"")</f>
        <v>574.2</v>
      </c>
      <c r="BO216" s="20" t="n">
        <f aca="false">IF(AND(ISNUMBER(BO211),ISNUMBER(BO125)),BO211+BO214+BO215,"")</f>
        <v>302.2</v>
      </c>
      <c r="BP216" s="20" t="n">
        <f aca="false">IF(AND(ISNUMBER(BP211),ISNUMBER(BP125)),BP211+BP214+BP215,"")</f>
        <v>318.7</v>
      </c>
      <c r="BQ216" s="35" t="n">
        <f aca="false">IF(AND(ISNUMBER(BQ211),ISNUMBER(BQ125)),BQ211+BQ214+BQ215,"")</f>
        <v>1195.1</v>
      </c>
      <c r="BR216" s="20" t="n">
        <f aca="false">IF(AND(ISNUMBER(BR211),ISNUMBER(BR125)),BR211+BR214+BR215,"")</f>
        <v>294.4</v>
      </c>
      <c r="BS216" s="20" t="n">
        <f aca="false">IF(AND(ISNUMBER(BS211),ISNUMBER(BS125)),BS211+BS214+BS215,"")</f>
        <v>306.5</v>
      </c>
      <c r="BT216" s="20" t="n">
        <f aca="false">IF(AND(ISNUMBER(BT211),ISNUMBER(BT125)),BT211+BT214+BT215,"")</f>
        <v>600.9</v>
      </c>
      <c r="BU216" s="20" t="n">
        <f aca="false">IF(AND(ISNUMBER(BU211),ISNUMBER(BU125)),BU211+BU214+BU215,"")</f>
        <v>319.4</v>
      </c>
      <c r="BV216" s="20" t="n">
        <f aca="false">IF(AND(ISNUMBER(BV211),ISNUMBER(BV125)),BV211+BV214+BV215,"")</f>
        <v>321.4</v>
      </c>
      <c r="BW216" s="35" t="n">
        <f aca="false">IF(AND(ISNUMBER(BW211),ISNUMBER(BW125)),BW211+BW214+BW215,"")</f>
        <v>1241.7</v>
      </c>
      <c r="BX216" s="20" t="n">
        <f aca="false">IF(AND(ISNUMBER(BX211),ISNUMBER(BX125)),BX211+BX214+BX215,"")</f>
        <v>289.8</v>
      </c>
      <c r="BY216" s="20" t="n">
        <f aca="false">IF(AND(ISNUMBER(BY211),ISNUMBER(BY125)),BY211+BY214+BY215,"")</f>
        <v>297.6</v>
      </c>
      <c r="BZ216" s="20" t="n">
        <f aca="false">IF(AND(ISNUMBER(BZ211),ISNUMBER(BZ125)),BZ211+BZ214+BZ215,"")</f>
        <v>587.4</v>
      </c>
      <c r="CA216" s="20" t="n">
        <f aca="false">IF(AND(ISNUMBER(CA211),ISNUMBER(CA125)),CA211+CA214+CA215,"")</f>
        <v>324.3</v>
      </c>
      <c r="CB216" s="20" t="n">
        <f aca="false">IF(AND(ISNUMBER(CB211),ISNUMBER(CB125)),CB211+CB214+CB215,"")</f>
        <v>343</v>
      </c>
      <c r="CC216" s="35" t="n">
        <f aca="false">IF(AND(ISNUMBER(CC211),ISNUMBER(CC125)),CC211+CC214+CC215,"")</f>
        <v>1254.7</v>
      </c>
      <c r="CD216" s="20" t="n">
        <f aca="false">IF(AND(ISNUMBER(CD211),ISNUMBER(CD125)),CD211+CD214+CD215,"")</f>
        <v>315.6</v>
      </c>
      <c r="CE216" s="20" t="n">
        <f aca="false">IF(AND(ISNUMBER(CE211),ISNUMBER(CE125)),CE211+CE214+CE215,"")</f>
        <v>335.9</v>
      </c>
      <c r="CF216" s="20" t="n">
        <f aca="false">IF(AND(ISNUMBER(CF211),ISNUMBER(CF125)),CF211+CF214+CF215,"")</f>
        <v>651.5</v>
      </c>
      <c r="CG216" s="20" t="n">
        <f aca="false">IF(AND(ISNUMBER(CG211),ISNUMBER(CG125)),CG211+CG214+CG215,"")</f>
        <v>343.6</v>
      </c>
      <c r="CH216" s="20" t="n">
        <f aca="false">IF(AND(ISNUMBER(CH211),ISNUMBER(CH125)),CH211+CH214+CH215,"")</f>
        <v>389.2</v>
      </c>
      <c r="CI216" s="35" t="n">
        <f aca="false">IF(AND(ISNUMBER(CI211),ISNUMBER(CI125)),CI211+CI214+CI215,"")</f>
        <v>1384.3</v>
      </c>
      <c r="CJ216" s="20" t="n">
        <f aca="false">IF(AND(ISNUMBER(CJ211),ISNUMBER(CJ125)),CJ211+CJ214+CJ215,"")</f>
        <v>348.8</v>
      </c>
      <c r="CK216" s="20" t="n">
        <f aca="false">IF(AND(ISNUMBER(CK211),ISNUMBER(CK125)),CK211+CK214+CK215,"")</f>
        <v>391.1</v>
      </c>
      <c r="CL216" s="20" t="n">
        <f aca="false">IF(AND(ISNUMBER(CL211),ISNUMBER(CL125)),CL211+CL214+CL215,"")</f>
        <v>739.9</v>
      </c>
      <c r="CM216" s="35" t="n">
        <f aca="false">CM211+CM214+CM215</f>
        <v>378.045859872612</v>
      </c>
      <c r="CN216" s="35" t="n">
        <f aca="false">CN211+CN214+CN215</f>
        <v>394.480573248407</v>
      </c>
      <c r="CO216" s="35" t="n">
        <f aca="false">SUM(CJ216,CK216,CM216,CN216)</f>
        <v>1512.42643312102</v>
      </c>
      <c r="CP216" s="35" t="n">
        <f aca="false">CP211+CP214+CP215</f>
        <v>1687.45472734786</v>
      </c>
      <c r="CQ216" s="35" t="n">
        <f aca="false">CQ211+CQ214+CQ215</f>
        <v>1865.91894608661</v>
      </c>
      <c r="CR216" s="35" t="n">
        <f aca="false">CR211+CR214+CR215</f>
        <v>2053.95312624164</v>
      </c>
      <c r="CS216" s="35" t="n">
        <f aca="false">CS211+CS214+CS215</f>
        <v>2255.6001435184</v>
      </c>
      <c r="CT216" s="23"/>
      <c r="CV216" s="24" t="n">
        <f aca="false">IFERROR((CS216/CI216)^(1/5)-1,"n/m")</f>
        <v>0.102570526572745</v>
      </c>
      <c r="CW216" s="24" t="n">
        <f aca="false">IFERROR((CI216/BE216)^(1/5)-1,"n/m")</f>
        <v>0.214543138912164</v>
      </c>
      <c r="CX216" s="24" t="n">
        <f aca="false">IFERROR((CI216/AA216)^(1/10)-1,"n/m")</f>
        <v>0.160406716249717</v>
      </c>
      <c r="CY216" s="24" t="n">
        <f aca="false">IFERROR((CI216/C216)^(1/19)-1,"n/m")</f>
        <v>0.129108929922702</v>
      </c>
    </row>
    <row r="217" customFormat="false" ht="15" hidden="false" customHeight="true" outlineLevel="0" collapsed="false">
      <c r="B217" s="26" t="s">
        <v>341</v>
      </c>
      <c r="C217" s="40" t="n">
        <f aca="false">IFERROR(C216/C152,"")</f>
        <v>0.0961484789282724</v>
      </c>
      <c r="D217" s="40" t="n">
        <f aca="false">IFERROR(D216/D152,"")</f>
        <v>0.105775750477717</v>
      </c>
      <c r="E217" s="40" t="n">
        <f aca="false">IFERROR(E216/E152,"")</f>
        <v>0.124680603948897</v>
      </c>
      <c r="F217" s="40" t="n">
        <f aca="false">IFERROR(F216/F152,"")</f>
        <v>0.111131287452333</v>
      </c>
      <c r="G217" s="40" t="n">
        <f aca="false">IFERROR(G216/G152,"")</f>
        <v>0.11811215180635</v>
      </c>
      <c r="H217" s="40" t="n">
        <f aca="false">IFERROR(H216/H152,"")</f>
        <v>0.129975796899943</v>
      </c>
      <c r="I217" s="40" t="n">
        <f aca="false">IFERROR(I216/I152,"")</f>
        <v>0.129459878719504</v>
      </c>
      <c r="J217" s="40" t="str">
        <f aca="false">IFERROR(J216/J152,"")</f>
        <v/>
      </c>
      <c r="K217" s="40" t="str">
        <f aca="false">IFERROR(K216/K152,"")</f>
        <v/>
      </c>
      <c r="L217" s="40" t="str">
        <f aca="false">IFERROR(L216/L152,"")</f>
        <v/>
      </c>
      <c r="M217" s="40" t="str">
        <f aca="false">IFERROR(M216/M152,"")</f>
        <v/>
      </c>
      <c r="N217" s="40" t="str">
        <f aca="false">IFERROR(N216/N152,"")</f>
        <v/>
      </c>
      <c r="O217" s="40" t="n">
        <f aca="false">IFERROR(O216/O152,"")</f>
        <v>0.117976567176943</v>
      </c>
      <c r="P217" s="40" t="str">
        <f aca="false">IFERROR(P216/P152,"")</f>
        <v/>
      </c>
      <c r="Q217" s="40" t="str">
        <f aca="false">IFERROR(Q216/Q152,"")</f>
        <v/>
      </c>
      <c r="R217" s="40" t="str">
        <f aca="false">IFERROR(R216/R152,"")</f>
        <v/>
      </c>
      <c r="S217" s="40" t="str">
        <f aca="false">IFERROR(S216/S152,"")</f>
        <v/>
      </c>
      <c r="T217" s="40" t="str">
        <f aca="false">IFERROR(T216/T152,"")</f>
        <v/>
      </c>
      <c r="U217" s="40" t="n">
        <f aca="false">IFERROR(U216/U152,"")</f>
        <v>0.139139515455305</v>
      </c>
      <c r="V217" s="40" t="str">
        <f aca="false">IFERROR(V216/V152,"")</f>
        <v/>
      </c>
      <c r="W217" s="40" t="str">
        <f aca="false">IFERROR(W216/W152,"")</f>
        <v/>
      </c>
      <c r="X217" s="40" t="str">
        <f aca="false">IFERROR(X216/X152,"")</f>
        <v/>
      </c>
      <c r="Y217" s="40" t="str">
        <f aca="false">IFERROR(Y216/Y152,"")</f>
        <v/>
      </c>
      <c r="Z217" s="40" t="str">
        <f aca="false">IFERROR(Z216/Z152,"")</f>
        <v/>
      </c>
      <c r="AA217" s="40" t="n">
        <f aca="false">IFERROR(AA216/AA152,"")</f>
        <v>0.136068926504504</v>
      </c>
      <c r="AB217" s="40" t="str">
        <f aca="false">IFERROR(AB216/AB152,"")</f>
        <v/>
      </c>
      <c r="AC217" s="40" t="str">
        <f aca="false">IFERROR(AC216/AC152,"")</f>
        <v/>
      </c>
      <c r="AD217" s="40" t="str">
        <f aca="false">IFERROR(AD216/AD152,"")</f>
        <v/>
      </c>
      <c r="AE217" s="40" t="str">
        <f aca="false">IFERROR(AE216/AE152,"")</f>
        <v/>
      </c>
      <c r="AF217" s="40" t="str">
        <f aca="false">IFERROR(AF216/AF152,"")</f>
        <v/>
      </c>
      <c r="AG217" s="40" t="n">
        <f aca="false">IFERROR(AG216/AG152,"")</f>
        <v>0.137076143076422</v>
      </c>
      <c r="AH217" s="40" t="str">
        <f aca="false">IFERROR(AH216/AH152,"")</f>
        <v/>
      </c>
      <c r="AI217" s="40" t="str">
        <f aca="false">IFERROR(AI216/AI152,"")</f>
        <v/>
      </c>
      <c r="AJ217" s="40" t="str">
        <f aca="false">IFERROR(AJ216/AJ152,"")</f>
        <v/>
      </c>
      <c r="AK217" s="40" t="str">
        <f aca="false">IFERROR(AK216/AK152,"")</f>
        <v/>
      </c>
      <c r="AL217" s="40" t="str">
        <f aca="false">IFERROR(AL216/AL152,"")</f>
        <v/>
      </c>
      <c r="AM217" s="40" t="n">
        <f aca="false">IFERROR(AM216/AM152,"")</f>
        <v>0.146017359244182</v>
      </c>
      <c r="AN217" s="40" t="str">
        <f aca="false">IFERROR(AN216/AN152,"")</f>
        <v/>
      </c>
      <c r="AO217" s="40" t="str">
        <f aca="false">IFERROR(AO216/AO152,"")</f>
        <v/>
      </c>
      <c r="AP217" s="40" t="str">
        <f aca="false">IFERROR(AP216/AP152,"")</f>
        <v/>
      </c>
      <c r="AQ217" s="40" t="str">
        <f aca="false">IFERROR(AQ216/AQ152,"")</f>
        <v/>
      </c>
      <c r="AR217" s="40" t="str">
        <f aca="false">IFERROR(AR216/AR152,"")</f>
        <v/>
      </c>
      <c r="AS217" s="40" t="n">
        <f aca="false">IFERROR(AS216/AS152,"")</f>
        <v>0.158143221448756</v>
      </c>
      <c r="AT217" s="40" t="str">
        <f aca="false">IFERROR(AT216/AT152,"")</f>
        <v/>
      </c>
      <c r="AU217" s="40" t="str">
        <f aca="false">IFERROR(AU216/AU152,"")</f>
        <v/>
      </c>
      <c r="AV217" s="40" t="str">
        <f aca="false">IFERROR(AV216/AV152,"")</f>
        <v/>
      </c>
      <c r="AW217" s="40" t="str">
        <f aca="false">IFERROR(AW216/AW152,"")</f>
        <v/>
      </c>
      <c r="AX217" s="40" t="str">
        <f aca="false">IFERROR(AX216/AX152,"")</f>
        <v/>
      </c>
      <c r="AY217" s="40" t="n">
        <f aca="false">IFERROR(AY216/AY152,"")</f>
        <v>0.167909975976735</v>
      </c>
      <c r="AZ217" s="40" t="n">
        <f aca="false">IFERROR(AZ216/AZ152,"")</f>
        <v>0.146189140963548</v>
      </c>
      <c r="BA217" s="40" t="n">
        <f aca="false">IFERROR(BA216/BA152,"")</f>
        <v>0.16319117449213</v>
      </c>
      <c r="BB217" s="40" t="n">
        <f aca="false">IFERROR(BB216/BB152,"")</f>
        <v>0.154460370443092</v>
      </c>
      <c r="BC217" s="40" t="n">
        <f aca="false">IFERROR(BC216/BC152,"")</f>
        <v>0.178504672897196</v>
      </c>
      <c r="BD217" s="40" t="n">
        <f aca="false">IFERROR(BD216/BD152,"")</f>
        <v>0.190411466699617</v>
      </c>
      <c r="BE217" s="40" t="n">
        <f aca="false">IFERROR(BE216/BE152,"")</f>
        <v>0.169723284297842</v>
      </c>
      <c r="BF217" s="40" t="n">
        <f aca="false">IFERROR(BF216/BF152,"")</f>
        <v>0.172893136403128</v>
      </c>
      <c r="BG217" s="40" t="n">
        <f aca="false">IFERROR(BG216/BG152,"")</f>
        <v>0.235504014272971</v>
      </c>
      <c r="BH217" s="40" t="n">
        <f aca="false">IFERROR(BH216/BH152,"")</f>
        <v>0.209321638033944</v>
      </c>
      <c r="BI217" s="40" t="n">
        <f aca="false">IFERROR(BI216/BI152,"")</f>
        <v>0.216479914627639</v>
      </c>
      <c r="BJ217" s="40" t="n">
        <f aca="false">IFERROR(BJ216/BJ152,"")</f>
        <v>0.215163189648906</v>
      </c>
      <c r="BK217" s="40" t="n">
        <f aca="false">IFERROR(BK216/BK152,"")</f>
        <v>0.213098411460027</v>
      </c>
      <c r="BL217" s="40" t="n">
        <f aca="false">IFERROR(BL216/BL152,"")</f>
        <v>0.2111279333838</v>
      </c>
      <c r="BM217" s="40" t="n">
        <f aca="false">IFERROR(BM216/BM152,"")</f>
        <v>0.217804985986134</v>
      </c>
      <c r="BN217" s="40" t="n">
        <f aca="false">IFERROR(BN216/BN152,"")</f>
        <v>0.214509862522415</v>
      </c>
      <c r="BO217" s="40" t="n">
        <f aca="false">IFERROR(BO216/BO152,"")</f>
        <v>0.221619243179818</v>
      </c>
      <c r="BP217" s="40" t="n">
        <f aca="false">IFERROR(BP216/BP152,"")</f>
        <v>0.22472147792977</v>
      </c>
      <c r="BQ217" s="40" t="n">
        <f aca="false">IFERROR(BQ216/BQ152,"")</f>
        <v>0.21893892206793</v>
      </c>
      <c r="BR217" s="40" t="n">
        <f aca="false">IFERROR(BR216/BR152,"")</f>
        <v>0.212824405407359</v>
      </c>
      <c r="BS217" s="40" t="n">
        <f aca="false">IFERROR(BS216/BS152,"")</f>
        <v>0.215133010458342</v>
      </c>
      <c r="BT217" s="40" t="n">
        <f aca="false">IFERROR(BT216/BT152,"")</f>
        <v>0.213995726495726</v>
      </c>
      <c r="BU217" s="40" t="n">
        <f aca="false">IFERROR(BU216/BU152,"")</f>
        <v>0.227736185383244</v>
      </c>
      <c r="BV217" s="40" t="n">
        <f aca="false">IFERROR(BV216/BV152,"")</f>
        <v>0.225543859649123</v>
      </c>
      <c r="BW217" s="40" t="n">
        <f aca="false">IFERROR(BW216/BW152,"")</f>
        <v>0.220335373968592</v>
      </c>
      <c r="BX217" s="40" t="n">
        <f aca="false">IFERROR(BX216/BX152,"")</f>
        <v>0.214650766609881</v>
      </c>
      <c r="BY217" s="40" t="n">
        <f aca="false">IFERROR(BY216/BY152,"")</f>
        <v>0.216578123862892</v>
      </c>
      <c r="BZ217" s="40" t="n">
        <f aca="false">IFERROR(BZ216/BZ152,"")</f>
        <v>0.215622935173629</v>
      </c>
      <c r="CA217" s="40" t="n">
        <f aca="false">IFERROR(CA216/CA152,"")</f>
        <v>0.224662279182542</v>
      </c>
      <c r="CB217" s="40" t="n">
        <f aca="false">IFERROR(CB216/CB152,"")</f>
        <v>0.228316581242095</v>
      </c>
      <c r="CC217" s="40" t="n">
        <f aca="false">IFERROR(CC216/CC152,"")</f>
        <v>0.221287477954145</v>
      </c>
      <c r="CD217" s="40" t="n">
        <f aca="false">IFERROR(CD216/CD152,"")</f>
        <v>0.217670184150631</v>
      </c>
      <c r="CE217" s="40" t="n">
        <f aca="false">IFERROR(CE216/CE152,"")</f>
        <v>0.221906586509877</v>
      </c>
      <c r="CF217" s="40" t="n">
        <f aca="false">IFERROR(CF216/CF152,"")</f>
        <v>0.219833985693076</v>
      </c>
      <c r="CG217" s="40" t="n">
        <f aca="false">IFERROR(CG216/CG152,"")</f>
        <v>0.223189347190646</v>
      </c>
      <c r="CH217" s="40" t="n">
        <f aca="false">IFERROR(CH216/CH152,"")</f>
        <v>0.241394281461266</v>
      </c>
      <c r="CI217" s="40" t="n">
        <f aca="false">IFERROR(CI216/CI152,"")</f>
        <v>0.226362952546031</v>
      </c>
      <c r="CJ217" s="40" t="n">
        <f aca="false">IFERROR(CJ216/CJ152,"")</f>
        <v>0.223575411832575</v>
      </c>
      <c r="CK217" s="40" t="n">
        <f aca="false">IFERROR(CK216/CK152,"")</f>
        <v>0.235248120300752</v>
      </c>
      <c r="CL217" s="40" t="n">
        <f aca="false">IFERROR(CL216/CL152,"")</f>
        <v>0.229597219636319</v>
      </c>
      <c r="CM217" s="28" t="n">
        <f aca="false">IFERROR(CM216/CM152,"")</f>
        <v>0.223540482494135</v>
      </c>
      <c r="CN217" s="28" t="n">
        <f aca="false">IFERROR(CN216/CN152,"")</f>
        <v>0.222579440170123</v>
      </c>
      <c r="CO217" s="28" t="n">
        <f aca="false">IFERROR(CO216/CO152,"")</f>
        <v>0.226204996277639</v>
      </c>
      <c r="CP217" s="28" t="n">
        <f aca="false">IFERROR(CP216/CP152,"")</f>
        <v>0.235021722404861</v>
      </c>
      <c r="CQ217" s="28" t="n">
        <f aca="false">IFERROR(CQ216/CQ152,"")</f>
        <v>0.237804367901136</v>
      </c>
      <c r="CR217" s="28" t="n">
        <f aca="false">IFERROR(CR216/CR152,"")</f>
        <v>0.239916125637267</v>
      </c>
      <c r="CS217" s="28" t="n">
        <f aca="false">IFERROR(CS216/CS152,"")</f>
        <v>0.242344778629404</v>
      </c>
      <c r="CT217" s="23"/>
      <c r="CV217" s="41" t="n">
        <f aca="false">IFERROR(AVERAGE(CO217,CP217,CQ217,CR217,CS217),"n/m")</f>
        <v>0.236258398170061</v>
      </c>
      <c r="CW217" s="41" t="n">
        <f aca="false">IFERROR(AVERAGE(BK217,BQ217,BW217,CC217,CI217),"n/m")</f>
        <v>0.220004627599345</v>
      </c>
      <c r="CX217" s="41" t="n">
        <f aca="false">IFERROR(AVERAGE(AG217,AM217,AS217,AY217,BE217,BK217,BQ217,BW217,CC217,CI217),"n/m")</f>
        <v>0.187889312204066</v>
      </c>
      <c r="CY217" s="41" t="n">
        <f aca="false">IFERROR(AVERAGE(C217,D217,E217,F217,G217,H217,I217,O217,U217,AA217,AG217,AM217,AS217,AY217,BE217,BK217,BQ217,BW217,CC217,CI217),"n/m")</f>
        <v>0.154368103970521</v>
      </c>
    </row>
    <row r="218" customFormat="false" ht="15" hidden="false" customHeight="true" outlineLevel="0" collapsed="false">
      <c r="B218" s="39" t="s">
        <v>342</v>
      </c>
      <c r="C218" s="30" t="n">
        <f aca="false">IF(ISNUMBER(C216),ROUND(C216-C200-N(C162)-N(C163),1),"")</f>
        <v>0</v>
      </c>
      <c r="D218" s="30" t="n">
        <f aca="false">IF(ISNUMBER(D216),ROUND(D216-D200-N(D162)-N(D163),1),"")</f>
        <v>0</v>
      </c>
      <c r="E218" s="30" t="n">
        <f aca="false">IF(ISNUMBER(E216),ROUND(E216-E200-N(E162)-N(E163),1),"")</f>
        <v>0</v>
      </c>
      <c r="F218" s="30" t="n">
        <f aca="false">IF(ISNUMBER(F216),ROUND(F216-F200-N(F162)-N(F163),1),"")</f>
        <v>0</v>
      </c>
      <c r="G218" s="30" t="n">
        <f aca="false">IF(ISNUMBER(G216),ROUND(G216-G200-N(G162)-N(G163),1),"")</f>
        <v>0</v>
      </c>
      <c r="H218" s="30" t="n">
        <f aca="false">IF(ISNUMBER(H216),ROUND(H216-H200-N(H162)-N(H163),1),"")</f>
        <v>0</v>
      </c>
      <c r="I218" s="30" t="n">
        <f aca="false">IF(ISNUMBER(I216),ROUND(I216-I200-N(I162)-N(I163),1),"")</f>
        <v>-0</v>
      </c>
      <c r="J218" s="30" t="str">
        <f aca="false">IF(ISNUMBER(J216),ROUND(J216-J200-N(J162)-N(J163),1),"")</f>
        <v/>
      </c>
      <c r="K218" s="30" t="str">
        <f aca="false">IF(ISNUMBER(K216),ROUND(K216-K200-N(K162)-N(K163),1),"")</f>
        <v/>
      </c>
      <c r="L218" s="30" t="str">
        <f aca="false">IF(ISNUMBER(L216),ROUND(L216-L200-N(L162)-N(L163),1),"")</f>
        <v/>
      </c>
      <c r="M218" s="30" t="str">
        <f aca="false">IF(ISNUMBER(M216),ROUND(M216-M200-N(M162)-N(M163),1),"")</f>
        <v/>
      </c>
      <c r="N218" s="30" t="str">
        <f aca="false">IF(ISNUMBER(N216),ROUND(N216-N200-N(N162)-N(N163),1),"")</f>
        <v/>
      </c>
      <c r="O218" s="30" t="n">
        <f aca="false">IF(ISNUMBER(O216),ROUND(O216-O200-N(O162)-N(O163),1),"")</f>
        <v>0</v>
      </c>
      <c r="P218" s="30" t="str">
        <f aca="false">IF(ISNUMBER(P216),ROUND(P216-P200-N(P162)-N(P163),1),"")</f>
        <v/>
      </c>
      <c r="Q218" s="30" t="str">
        <f aca="false">IF(ISNUMBER(Q216),ROUND(Q216-Q200-N(Q162)-N(Q163),1),"")</f>
        <v/>
      </c>
      <c r="R218" s="30" t="str">
        <f aca="false">IF(ISNUMBER(R216),ROUND(R216-R200-N(R162)-N(R163),1),"")</f>
        <v/>
      </c>
      <c r="S218" s="30" t="str">
        <f aca="false">IF(ISNUMBER(S216),ROUND(S216-S200-N(S162)-N(S163),1),"")</f>
        <v/>
      </c>
      <c r="T218" s="30" t="str">
        <f aca="false">IF(ISNUMBER(T216),ROUND(T216-T200-N(T162)-N(T163),1),"")</f>
        <v/>
      </c>
      <c r="U218" s="30" t="n">
        <f aca="false">IF(ISNUMBER(U216),ROUND(U216-U200-N(U162)-N(U163),1),"")</f>
        <v>0</v>
      </c>
      <c r="V218" s="30" t="str">
        <f aca="false">IF(ISNUMBER(V216),ROUND(V216-V200-N(V162)-N(V163),1),"")</f>
        <v/>
      </c>
      <c r="W218" s="30" t="str">
        <f aca="false">IF(ISNUMBER(W216),ROUND(W216-W200-N(W162)-N(W163),1),"")</f>
        <v/>
      </c>
      <c r="X218" s="30" t="str">
        <f aca="false">IF(ISNUMBER(X216),ROUND(X216-X200-N(X162)-N(X163),1),"")</f>
        <v/>
      </c>
      <c r="Y218" s="30" t="str">
        <f aca="false">IF(ISNUMBER(Y216),ROUND(Y216-Y200-N(Y162)-N(Y163),1),"")</f>
        <v/>
      </c>
      <c r="Z218" s="30" t="str">
        <f aca="false">IF(ISNUMBER(Z216),ROUND(Z216-Z200-N(Z162)-N(Z163),1),"")</f>
        <v/>
      </c>
      <c r="AA218" s="30" t="n">
        <f aca="false">IF(ISNUMBER(AA216),ROUND(AA216-AA200-N(AA162)-N(AA163),1),"")</f>
        <v>0</v>
      </c>
      <c r="AB218" s="30" t="str">
        <f aca="false">IF(ISNUMBER(AB216),ROUND(AB216-AB200-N(AB162)-N(AB163),1),"")</f>
        <v/>
      </c>
      <c r="AC218" s="30" t="str">
        <f aca="false">IF(ISNUMBER(AC216),ROUND(AC216-AC200-N(AC162)-N(AC163),1),"")</f>
        <v/>
      </c>
      <c r="AD218" s="30" t="str">
        <f aca="false">IF(ISNUMBER(AD216),ROUND(AD216-AD200-N(AD162)-N(AD163),1),"")</f>
        <v/>
      </c>
      <c r="AE218" s="30" t="str">
        <f aca="false">IF(ISNUMBER(AE216),ROUND(AE216-AE200-N(AE162)-N(AE163),1),"")</f>
        <v/>
      </c>
      <c r="AF218" s="30" t="str">
        <f aca="false">IF(ISNUMBER(AF216),ROUND(AF216-AF200-N(AF162)-N(AF163),1),"")</f>
        <v/>
      </c>
      <c r="AG218" s="30" t="n">
        <f aca="false">IF(ISNUMBER(AG216),ROUND(AG216-AG200-N(AG162)-N(AG163),1),"")</f>
        <v>0</v>
      </c>
      <c r="AH218" s="30" t="str">
        <f aca="false">IF(ISNUMBER(AH216),ROUND(AH216-AH200-N(AH162)-N(AH163),1),"")</f>
        <v/>
      </c>
      <c r="AI218" s="30" t="str">
        <f aca="false">IF(ISNUMBER(AI216),ROUND(AI216-AI200-N(AI162)-N(AI163),1),"")</f>
        <v/>
      </c>
      <c r="AJ218" s="30" t="str">
        <f aca="false">IF(ISNUMBER(AJ216),ROUND(AJ216-AJ200-N(AJ162)-N(AJ163),1),"")</f>
        <v/>
      </c>
      <c r="AK218" s="30" t="str">
        <f aca="false">IF(ISNUMBER(AK216),ROUND(AK216-AK200-N(AK162)-N(AK163),1),"")</f>
        <v/>
      </c>
      <c r="AL218" s="30" t="str">
        <f aca="false">IF(ISNUMBER(AL216),ROUND(AL216-AL200-N(AL162)-N(AL163),1),"")</f>
        <v/>
      </c>
      <c r="AM218" s="30" t="n">
        <f aca="false">IF(ISNUMBER(AM216),ROUND(AM216-AM200-N(AM162)-N(AM163),1),"")</f>
        <v>-0</v>
      </c>
      <c r="AN218" s="30" t="str">
        <f aca="false">IF(ISNUMBER(AN216),ROUND(AN216-AN200-N(AN162)-N(AN163),1),"")</f>
        <v/>
      </c>
      <c r="AO218" s="30" t="str">
        <f aca="false">IF(ISNUMBER(AO216),ROUND(AO216-AO200-N(AO162)-N(AO163),1),"")</f>
        <v/>
      </c>
      <c r="AP218" s="30" t="str">
        <f aca="false">IF(ISNUMBER(AP216),ROUND(AP216-AP200-N(AP162)-N(AP163),1),"")</f>
        <v/>
      </c>
      <c r="AQ218" s="30" t="str">
        <f aca="false">IF(ISNUMBER(AQ216),ROUND(AQ216-AQ200-N(AQ162)-N(AQ163),1),"")</f>
        <v/>
      </c>
      <c r="AR218" s="30" t="str">
        <f aca="false">IF(ISNUMBER(AR216),ROUND(AR216-AR200-N(AR162)-N(AR163),1),"")</f>
        <v/>
      </c>
      <c r="AS218" s="30" t="n">
        <f aca="false">IF(ISNUMBER(AS216),ROUND(AS216-AS200-N(AS162)-N(AS163),1),"")</f>
        <v>-0</v>
      </c>
      <c r="AT218" s="30" t="str">
        <f aca="false">IF(ISNUMBER(AT216),ROUND(AT216-AT200-N(AT162)-N(AT163),1),"")</f>
        <v/>
      </c>
      <c r="AU218" s="30" t="str">
        <f aca="false">IF(ISNUMBER(AU216),ROUND(AU216-AU200-N(AU162)-N(AU163),1),"")</f>
        <v/>
      </c>
      <c r="AV218" s="30" t="str">
        <f aca="false">IF(ISNUMBER(AV216),ROUND(AV216-AV200-N(AV162)-N(AV163),1),"")</f>
        <v/>
      </c>
      <c r="AW218" s="30" t="str">
        <f aca="false">IF(ISNUMBER(AW216),ROUND(AW216-AW200-N(AW162)-N(AW163),1),"")</f>
        <v/>
      </c>
      <c r="AX218" s="30" t="str">
        <f aca="false">IF(ISNUMBER(AX216),ROUND(AX216-AX200-N(AX162)-N(AX163),1),"")</f>
        <v/>
      </c>
      <c r="AY218" s="30" t="n">
        <f aca="false">IF(ISNUMBER(AY216),ROUND(AY216-AY200-N(AY162)-N(AY163),1),"")</f>
        <v>0</v>
      </c>
      <c r="AZ218" s="30" t="n">
        <f aca="false">IF(ISNUMBER(AZ216),ROUND(AZ216-AZ200-N(AZ162)-N(AZ163),1),"")</f>
        <v>0</v>
      </c>
      <c r="BA218" s="30" t="n">
        <f aca="false">IF(ISNUMBER(BA216),ROUND(BA216-BA200-N(BA162)-N(BA163),1),"")</f>
        <v>-0</v>
      </c>
      <c r="BB218" s="30" t="n">
        <f aca="false">IF(ISNUMBER(BB216),ROUND(BB216-BB200-N(BB162)-N(BB163),1),"")</f>
        <v>-0</v>
      </c>
      <c r="BC218" s="30" t="n">
        <f aca="false">IF(ISNUMBER(BC216),ROUND(BC216-BC200-N(BC162)-N(BC163),1),"")</f>
        <v>-0</v>
      </c>
      <c r="BD218" s="30" t="n">
        <f aca="false">IF(ISNUMBER(BD216),ROUND(BD216-BD200-N(BD162)-N(BD163),1),"")</f>
        <v>-0</v>
      </c>
      <c r="BE218" s="30" t="n">
        <f aca="false">IF(ISNUMBER(BE216),ROUND(BE216-BE200-N(BE162)-N(BE163),1),"")</f>
        <v>0</v>
      </c>
      <c r="BF218" s="30" t="n">
        <f aca="false">IF(ISNUMBER(BF216),ROUND(BF216-BF200-N(BF162)-N(BF163),1),"")</f>
        <v>0</v>
      </c>
      <c r="BG218" s="30" t="n">
        <f aca="false">IF(ISNUMBER(BG216),ROUND(BG216-BG200-N(BG162)-N(BG163),1),"")</f>
        <v>0</v>
      </c>
      <c r="BH218" s="30" t="n">
        <f aca="false">IF(ISNUMBER(BH216),ROUND(BH216-BH200-N(BH162)-N(BH163),1),"")</f>
        <v>0</v>
      </c>
      <c r="BI218" s="30" t="n">
        <f aca="false">IF(ISNUMBER(BI216),ROUND(BI216-BI200-N(BI162)-N(BI163),1),"")</f>
        <v>0</v>
      </c>
      <c r="BJ218" s="30" t="n">
        <f aca="false">IF(ISNUMBER(BJ216),ROUND(BJ216-BJ200-N(BJ162)-N(BJ163),1),"")</f>
        <v>-0</v>
      </c>
      <c r="BK218" s="30" t="n">
        <f aca="false">IF(ISNUMBER(BK216),ROUND(BK216-BK200-N(BK162)-N(BK163),1),"")</f>
        <v>0</v>
      </c>
      <c r="BL218" s="30" t="n">
        <f aca="false">IF(ISNUMBER(BL216),ROUND(BL216-BL200-N(BL162)-N(BL163),1),"")</f>
        <v>-0</v>
      </c>
      <c r="BM218" s="30" t="n">
        <f aca="false">IF(ISNUMBER(BM216),ROUND(BM216-BM200-N(BM162)-N(BM163),1),"")</f>
        <v>0</v>
      </c>
      <c r="BN218" s="30" t="n">
        <f aca="false">IF(ISNUMBER(BN216),ROUND(BN216-BN200-N(BN162)-N(BN163),1),"")</f>
        <v>-0</v>
      </c>
      <c r="BO218" s="30" t="n">
        <f aca="false">IF(ISNUMBER(BO216),ROUND(BO216-BO200-N(BO162)-N(BO163),1),"")</f>
        <v>-0</v>
      </c>
      <c r="BP218" s="30" t="n">
        <f aca="false">IF(ISNUMBER(BP216),ROUND(BP216-BP200-N(BP162)-N(BP163),1),"")</f>
        <v>0</v>
      </c>
      <c r="BQ218" s="30" t="n">
        <f aca="false">IF(ISNUMBER(BQ216),ROUND(BQ216-BQ200-N(BQ162)-N(BQ163),1),"")</f>
        <v>-0</v>
      </c>
      <c r="BR218" s="30" t="n">
        <f aca="false">IF(ISNUMBER(BR216),ROUND(BR216-BR200-N(BR162)-N(BR163),1),"")</f>
        <v>0</v>
      </c>
      <c r="BS218" s="30" t="n">
        <f aca="false">IF(ISNUMBER(BS216),ROUND(BS216-BS200-N(BS162)-N(BS163),1),"")</f>
        <v>-0</v>
      </c>
      <c r="BT218" s="30" t="n">
        <f aca="false">IF(ISNUMBER(BT216),ROUND(BT216-BT200-N(BT162)-N(BT163),1),"")</f>
        <v>-0</v>
      </c>
      <c r="BU218" s="30" t="n">
        <f aca="false">IF(ISNUMBER(BU216),ROUND(BU216-BU200-N(BU162)-N(BU163),1),"")</f>
        <v>-0</v>
      </c>
      <c r="BV218" s="30" t="n">
        <f aca="false">IF(ISNUMBER(BV216),ROUND(BV216-BV200-N(BV162)-N(BV163),1),"")</f>
        <v>0</v>
      </c>
      <c r="BW218" s="30" t="n">
        <f aca="false">IF(ISNUMBER(BW216),ROUND(BW216-BW200-N(BW162)-N(BW163),1),"")</f>
        <v>-0</v>
      </c>
      <c r="BX218" s="30" t="n">
        <f aca="false">IF(ISNUMBER(BX216),ROUND(BX216-BX200-N(BX162)-N(BX163),1),"")</f>
        <v>-0</v>
      </c>
      <c r="BY218" s="30" t="n">
        <f aca="false">IF(ISNUMBER(BY216),ROUND(BY216-BY200-N(BY162)-N(BY163),1),"")</f>
        <v>0</v>
      </c>
      <c r="BZ218" s="30" t="n">
        <f aca="false">IF(ISNUMBER(BZ216),ROUND(BZ216-BZ200-N(BZ162)-N(BZ163),1),"")</f>
        <v>0</v>
      </c>
      <c r="CA218" s="30" t="n">
        <f aca="false">IF(ISNUMBER(CA216),ROUND(CA216-CA200-N(CA162)-N(CA163),1),"")</f>
        <v>0</v>
      </c>
      <c r="CB218" s="30" t="n">
        <f aca="false">IF(ISNUMBER(CB216),ROUND(CB216-CB200-N(CB162)-N(CB163),1),"")</f>
        <v>-0</v>
      </c>
      <c r="CC218" s="30" t="n">
        <f aca="false">IF(ISNUMBER(CC216),ROUND(CC216-CC200-N(CC162)-N(CC163),1),"")</f>
        <v>-0</v>
      </c>
      <c r="CD218" s="30" t="n">
        <f aca="false">IF(ISNUMBER(CD216),ROUND(CD216-CD200-N(CD162)-N(CD163),1),"")</f>
        <v>-0</v>
      </c>
      <c r="CE218" s="30" t="n">
        <f aca="false">IF(ISNUMBER(CE216),ROUND(CE216-CE200-N(CE162)-N(CE163),1),"")</f>
        <v>0</v>
      </c>
      <c r="CF218" s="30" t="n">
        <f aca="false">IF(ISNUMBER(CF216),ROUND(CF216-CF200-N(CF162)-N(CF163),1),"")</f>
        <v>0</v>
      </c>
      <c r="CG218" s="30" t="n">
        <f aca="false">IF(ISNUMBER(CG216),ROUND(CG216-CG200-N(CG162)-N(CG163),1),"")</f>
        <v>-0</v>
      </c>
      <c r="CH218" s="30" t="n">
        <f aca="false">IF(ISNUMBER(CH216),ROUND(CH216-CH200-N(CH162)-N(CH163),1),"")</f>
        <v>-0</v>
      </c>
      <c r="CI218" s="30" t="n">
        <f aca="false">IF(ISNUMBER(CI216),ROUND(CI216-CI200-N(CI162)-N(CI163),1),"")</f>
        <v>0</v>
      </c>
      <c r="CJ218" s="30" t="n">
        <f aca="false">IF(ISNUMBER(CJ216),ROUND(CJ216-CJ200-N(CJ162)-N(CJ163),1),"")</f>
        <v>0</v>
      </c>
      <c r="CK218" s="30" t="n">
        <f aca="false">IF(ISNUMBER(CK216),ROUND(CK216-CK200-N(CK162)-N(CK163),1),"")</f>
        <v>0</v>
      </c>
      <c r="CL218" s="30" t="n">
        <f aca="false">IF(ISNUMBER(CL216),ROUND(CL216-CL200-N(CL162)-N(CL163),1),"")</f>
        <v>0</v>
      </c>
      <c r="CM218" s="32" t="n">
        <f aca="false">ROUND(CM216-CM200-CM162-CM163,1)</f>
        <v>0</v>
      </c>
      <c r="CN218" s="32" t="n">
        <f aca="false">ROUND(CN216-CN200-CN162-CN163,1)</f>
        <v>-0</v>
      </c>
      <c r="CO218" s="32" t="n">
        <f aca="false">ROUND(CO216-CO200-CO162-CO163,1)</f>
        <v>0</v>
      </c>
      <c r="CP218" s="32" t="n">
        <f aca="false">ROUND(CP216-CP200-CP162-CP163,1)</f>
        <v>0</v>
      </c>
      <c r="CQ218" s="32" t="n">
        <f aca="false">ROUND(CQ216-CQ200-CQ162-CQ163,1)</f>
        <v>-0</v>
      </c>
      <c r="CR218" s="32" t="n">
        <f aca="false">ROUND(CR216-CR200-CR162-CR163,1)</f>
        <v>-0</v>
      </c>
      <c r="CS218" s="32" t="n">
        <f aca="false">ROUND(CS216-CS200-CS162-CS163,1)</f>
        <v>0</v>
      </c>
      <c r="CT218" s="23"/>
      <c r="CV218" s="7"/>
      <c r="CW218" s="7"/>
      <c r="CX218" s="7"/>
      <c r="CY218" s="7"/>
    </row>
    <row r="219" customFormat="false" ht="15" hidden="false" customHeight="true" outlineLevel="0" collapsed="false">
      <c r="B219" s="13"/>
      <c r="CM219" s="7"/>
      <c r="CN219" s="7"/>
      <c r="CO219" s="7"/>
      <c r="CP219" s="7"/>
      <c r="CQ219" s="7"/>
      <c r="CR219" s="7"/>
      <c r="CS219" s="7"/>
      <c r="CT219" s="7"/>
    </row>
    <row r="220" customFormat="false" ht="15" hidden="false" customHeight="true" outlineLevel="0" collapsed="false">
      <c r="B220" s="12" t="s">
        <v>343</v>
      </c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 t="s">
        <v>344</v>
      </c>
    </row>
    <row r="221" customFormat="false" ht="15" hidden="false" customHeight="true" outlineLevel="0" collapsed="false">
      <c r="B221" s="19" t="s">
        <v>345</v>
      </c>
      <c r="C221" s="20" t="n">
        <f aca="false">C171</f>
        <v>80.3</v>
      </c>
      <c r="D221" s="20" t="n">
        <f aca="false">D171</f>
        <v>98.4999999999998</v>
      </c>
      <c r="E221" s="20" t="n">
        <f aca="false">E171</f>
        <v>111.3</v>
      </c>
      <c r="F221" s="20" t="n">
        <f aca="false">F171</f>
        <v>113.3</v>
      </c>
      <c r="G221" s="20" t="n">
        <f aca="false">G171</f>
        <v>120.5</v>
      </c>
      <c r="H221" s="20" t="n">
        <f aca="false">H171</f>
        <v>255.2</v>
      </c>
      <c r="I221" s="20" t="n">
        <f aca="false">I171</f>
        <v>164.1</v>
      </c>
      <c r="J221" s="20" t="n">
        <f aca="false">J171</f>
        <v>40.4</v>
      </c>
      <c r="K221" s="20" t="n">
        <f aca="false">K171</f>
        <v>42.9</v>
      </c>
      <c r="L221" s="20" t="n">
        <f aca="false">L171</f>
        <v>83.3000000000001</v>
      </c>
      <c r="M221" s="20" t="n">
        <f aca="false">M171</f>
        <v>46.8</v>
      </c>
      <c r="N221" s="20" t="n">
        <f aca="false">N171</f>
        <v>54.9</v>
      </c>
      <c r="O221" s="20" t="n">
        <f aca="false">O171</f>
        <v>185</v>
      </c>
      <c r="P221" s="20" t="n">
        <f aca="false">P171</f>
        <v>45.8</v>
      </c>
      <c r="Q221" s="20" t="n">
        <f aca="false">Q171</f>
        <v>56.1</v>
      </c>
      <c r="R221" s="20" t="n">
        <f aca="false">R171</f>
        <v>101.9</v>
      </c>
      <c r="S221" s="20" t="n">
        <f aca="false">S171</f>
        <v>55.6000000000001</v>
      </c>
      <c r="T221" s="20" t="n">
        <f aca="false">T171</f>
        <v>60.1999999999999</v>
      </c>
      <c r="U221" s="20" t="n">
        <f aca="false">U171</f>
        <v>217.7</v>
      </c>
      <c r="V221" s="20" t="n">
        <f aca="false">V171</f>
        <v>43.7</v>
      </c>
      <c r="W221" s="20" t="n">
        <f aca="false">W171</f>
        <v>48.3000000000001</v>
      </c>
      <c r="X221" s="20" t="n">
        <f aca="false">X171</f>
        <v>92.0000000000001</v>
      </c>
      <c r="Y221" s="20" t="n">
        <f aca="false">Y171</f>
        <v>48.3</v>
      </c>
      <c r="Z221" s="20" t="n">
        <f aca="false">Z171</f>
        <v>55.5</v>
      </c>
      <c r="AA221" s="20" t="n">
        <f aca="false">AA171</f>
        <v>195.8</v>
      </c>
      <c r="AB221" s="20" t="n">
        <f aca="false">AB171</f>
        <v>39</v>
      </c>
      <c r="AC221" s="20" t="n">
        <f aca="false">AC171</f>
        <v>46.9000000000001</v>
      </c>
      <c r="AD221" s="20" t="n">
        <f aca="false">AD171</f>
        <v>85.9</v>
      </c>
      <c r="AE221" s="20" t="n">
        <f aca="false">AE171</f>
        <v>52</v>
      </c>
      <c r="AF221" s="20" t="n">
        <f aca="false">AF171</f>
        <v>53</v>
      </c>
      <c r="AG221" s="20" t="n">
        <f aca="false">AG171</f>
        <v>190.9</v>
      </c>
      <c r="AH221" s="20" t="n">
        <f aca="false">AH171</f>
        <v>30.5</v>
      </c>
      <c r="AI221" s="20" t="n">
        <f aca="false">AI171</f>
        <v>60.1000000000001</v>
      </c>
      <c r="AJ221" s="20" t="n">
        <f aca="false">AJ171</f>
        <v>90.6</v>
      </c>
      <c r="AK221" s="20" t="n">
        <f aca="false">AK171</f>
        <v>69</v>
      </c>
      <c r="AL221" s="20" t="n">
        <f aca="false">AL171</f>
        <v>67.6</v>
      </c>
      <c r="AM221" s="20" t="n">
        <f aca="false">AM171</f>
        <v>227.2</v>
      </c>
      <c r="AN221" s="20" t="n">
        <f aca="false">AN171</f>
        <v>66.5</v>
      </c>
      <c r="AO221" s="20" t="n">
        <f aca="false">AO171</f>
        <v>85.9</v>
      </c>
      <c r="AP221" s="20" t="n">
        <f aca="false">AP171</f>
        <v>152.4</v>
      </c>
      <c r="AQ221" s="20" t="n">
        <f aca="false">AQ171</f>
        <v>90.3</v>
      </c>
      <c r="AR221" s="20" t="n">
        <f aca="false">AR171</f>
        <v>91.1</v>
      </c>
      <c r="AS221" s="20" t="n">
        <f aca="false">AS171</f>
        <v>333.8</v>
      </c>
      <c r="AT221" s="20" t="n">
        <f aca="false">AT171</f>
        <v>75.3000000000001</v>
      </c>
      <c r="AU221" s="20" t="n">
        <f aca="false">AU171</f>
        <v>104.6</v>
      </c>
      <c r="AV221" s="20" t="n">
        <f aca="false">AV171</f>
        <v>179.9</v>
      </c>
      <c r="AW221" s="20" t="n">
        <f aca="false">AW171</f>
        <v>106.7</v>
      </c>
      <c r="AX221" s="20" t="n">
        <f aca="false">AX171</f>
        <v>115.7</v>
      </c>
      <c r="AY221" s="20" t="n">
        <f aca="false">AY171</f>
        <v>402.3</v>
      </c>
      <c r="AZ221" s="20" t="n">
        <f aca="false">AZ171</f>
        <v>82.2</v>
      </c>
      <c r="BA221" s="20" t="n">
        <f aca="false">BA171</f>
        <v>93.6999999999999</v>
      </c>
      <c r="BB221" s="20" t="n">
        <f aca="false">BB171</f>
        <v>175.9</v>
      </c>
      <c r="BC221" s="20" t="n">
        <f aca="false">BC171</f>
        <v>93.9</v>
      </c>
      <c r="BD221" s="20" t="n">
        <f aca="false">BD171</f>
        <v>132.1</v>
      </c>
      <c r="BE221" s="20" t="n">
        <f aca="false">BE171</f>
        <v>401.9</v>
      </c>
      <c r="BF221" s="20" t="n">
        <f aca="false">BF171</f>
        <v>84.7000000000001</v>
      </c>
      <c r="BG221" s="20" t="n">
        <f aca="false">BG171</f>
        <v>64.7</v>
      </c>
      <c r="BH221" s="20" t="n">
        <f aca="false">BH171</f>
        <v>149.4</v>
      </c>
      <c r="BI221" s="20" t="n">
        <f aca="false">BI171</f>
        <v>134.1</v>
      </c>
      <c r="BJ221" s="20" t="n">
        <f aca="false">BJ171</f>
        <v>161.8</v>
      </c>
      <c r="BK221" s="20" t="n">
        <f aca="false">BK171</f>
        <v>445.3</v>
      </c>
      <c r="BL221" s="20" t="n">
        <f aca="false">BL171</f>
        <v>212.6</v>
      </c>
      <c r="BM221" s="20" t="n">
        <f aca="false">BM171</f>
        <v>171.3</v>
      </c>
      <c r="BN221" s="20" t="n">
        <f aca="false">BN171</f>
        <v>383.9</v>
      </c>
      <c r="BO221" s="20" t="n">
        <f aca="false">BO171</f>
        <v>178.3</v>
      </c>
      <c r="BP221" s="20" t="n">
        <f aca="false">BP171</f>
        <v>226.4</v>
      </c>
      <c r="BQ221" s="20" t="n">
        <f aca="false">BQ171</f>
        <v>788.6</v>
      </c>
      <c r="BR221" s="20" t="n">
        <f aca="false">BR171</f>
        <v>178.7</v>
      </c>
      <c r="BS221" s="20" t="n">
        <f aca="false">BS171</f>
        <v>185.3</v>
      </c>
      <c r="BT221" s="20" t="n">
        <f aca="false">BT171</f>
        <v>364</v>
      </c>
      <c r="BU221" s="20" t="n">
        <f aca="false">BU171</f>
        <v>198.6</v>
      </c>
      <c r="BV221" s="20" t="n">
        <f aca="false">BV171</f>
        <v>323.1</v>
      </c>
      <c r="BW221" s="20" t="n">
        <f aca="false">BW171</f>
        <v>885.7</v>
      </c>
      <c r="BX221" s="20" t="n">
        <f aca="false">BX171</f>
        <v>178.5</v>
      </c>
      <c r="BY221" s="20" t="n">
        <f aca="false">BY171</f>
        <v>180.2</v>
      </c>
      <c r="BZ221" s="20" t="n">
        <f aca="false">BZ171</f>
        <v>358.7</v>
      </c>
      <c r="CA221" s="20" t="n">
        <f aca="false">CA171</f>
        <v>262</v>
      </c>
      <c r="CB221" s="20" t="n">
        <f aca="false">CB171</f>
        <v>198.5</v>
      </c>
      <c r="CC221" s="20" t="n">
        <f aca="false">CC171</f>
        <v>819.2</v>
      </c>
      <c r="CD221" s="20" t="n">
        <f aca="false">CD171</f>
        <v>188.6</v>
      </c>
      <c r="CE221" s="20" t="n">
        <f aca="false">CE171</f>
        <v>209.9</v>
      </c>
      <c r="CF221" s="20" t="n">
        <f aca="false">CF171</f>
        <v>398.5</v>
      </c>
      <c r="CG221" s="20" t="n">
        <f aca="false">CG171</f>
        <v>220.7</v>
      </c>
      <c r="CH221" s="20" t="n">
        <f aca="false">CH171</f>
        <v>275.6</v>
      </c>
      <c r="CI221" s="20" t="n">
        <f aca="false">CI171</f>
        <v>894.8</v>
      </c>
      <c r="CJ221" s="20" t="n">
        <f aca="false">CJ171</f>
        <v>226.8</v>
      </c>
      <c r="CK221" s="20" t="n">
        <f aca="false">CK171</f>
        <v>251.7</v>
      </c>
      <c r="CL221" s="20" t="n">
        <f aca="false">CL171</f>
        <v>478.5</v>
      </c>
      <c r="CM221" s="22" t="n">
        <f aca="false">CM171</f>
        <v>241.5805</v>
      </c>
      <c r="CN221" s="22" t="n">
        <f aca="false">CN171</f>
        <v>254.48175</v>
      </c>
      <c r="CO221" s="22" t="n">
        <f aca="false">SUM(CJ221,CK221,CM221,CN221)</f>
        <v>974.56225</v>
      </c>
      <c r="CP221" s="22" t="n">
        <f aca="false">CP171</f>
        <v>1126.54892598653</v>
      </c>
      <c r="CQ221" s="22" t="n">
        <f aca="false">CQ171</f>
        <v>1252.11426930276</v>
      </c>
      <c r="CR221" s="22" t="n">
        <f aca="false">CR171</f>
        <v>1412.39073621352</v>
      </c>
      <c r="CS221" s="22" t="n">
        <f aca="false">CS171</f>
        <v>1572.91403065076</v>
      </c>
      <c r="CT221" s="23"/>
      <c r="CV221" s="7"/>
      <c r="CW221" s="7"/>
      <c r="CX221" s="7"/>
      <c r="CY221" s="7"/>
    </row>
    <row r="222" customFormat="false" ht="15" hidden="false" customHeight="true" outlineLevel="0" collapsed="false">
      <c r="B222" s="13" t="s">
        <v>111</v>
      </c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1" t="n">
        <v>9.6</v>
      </c>
      <c r="BA222" s="31" t="n">
        <v>9.7</v>
      </c>
      <c r="BB222" s="30" t="n">
        <f aca="false">AZ222+BA222</f>
        <v>19.3</v>
      </c>
      <c r="BC222" s="31" t="n">
        <v>9.9</v>
      </c>
      <c r="BD222" s="31" t="n">
        <v>9.6</v>
      </c>
      <c r="BE222" s="31" t="n">
        <v>38.8</v>
      </c>
      <c r="BF222" s="31" t="n">
        <v>9.8</v>
      </c>
      <c r="BG222" s="31" t="n">
        <v>32.8</v>
      </c>
      <c r="BH222" s="30" t="n">
        <f aca="false">BF222+BG222</f>
        <v>42.6</v>
      </c>
      <c r="BI222" s="31" t="n">
        <v>55.3</v>
      </c>
      <c r="BJ222" s="31" t="n">
        <v>51.4</v>
      </c>
      <c r="BK222" s="31" t="n">
        <v>149.3</v>
      </c>
      <c r="BL222" s="31" t="n">
        <v>53.6</v>
      </c>
      <c r="BM222" s="31" t="n">
        <v>51.3</v>
      </c>
      <c r="BN222" s="30" t="n">
        <f aca="false">BL222+BM222</f>
        <v>104.9</v>
      </c>
      <c r="BO222" s="31" t="n">
        <v>48.9</v>
      </c>
      <c r="BP222" s="31" t="n">
        <v>47.9</v>
      </c>
      <c r="BQ222" s="31" t="n">
        <v>201.7</v>
      </c>
      <c r="BR222" s="31" t="n">
        <v>49.7</v>
      </c>
      <c r="BS222" s="31" t="n">
        <v>49.3</v>
      </c>
      <c r="BT222" s="30" t="n">
        <f aca="false">BR222+BS222</f>
        <v>99</v>
      </c>
      <c r="BU222" s="31" t="n">
        <v>49.1</v>
      </c>
      <c r="BV222" s="31" t="n">
        <v>48.6</v>
      </c>
      <c r="BW222" s="31" t="n">
        <v>196.7</v>
      </c>
      <c r="BX222" s="31" t="n">
        <v>49.4</v>
      </c>
      <c r="BY222" s="31" t="n">
        <v>49.1</v>
      </c>
      <c r="BZ222" s="30" t="n">
        <f aca="false">BX222+BY222</f>
        <v>98.5</v>
      </c>
      <c r="CA222" s="31" t="n">
        <v>49.8</v>
      </c>
      <c r="CB222" s="31" t="n">
        <v>49.7</v>
      </c>
      <c r="CC222" s="31" t="n">
        <v>198</v>
      </c>
      <c r="CD222" s="31" t="n">
        <v>52</v>
      </c>
      <c r="CE222" s="31" t="n">
        <v>54.6</v>
      </c>
      <c r="CF222" s="30" t="n">
        <f aca="false">CD222+CE222</f>
        <v>106.6</v>
      </c>
      <c r="CG222" s="31" t="n">
        <v>55.1</v>
      </c>
      <c r="CH222" s="31" t="n">
        <v>54.9</v>
      </c>
      <c r="CI222" s="31" t="n">
        <v>216.6</v>
      </c>
      <c r="CJ222" s="31" t="n">
        <v>57.6</v>
      </c>
      <c r="CK222" s="31" t="n">
        <v>56</v>
      </c>
      <c r="CL222" s="30" t="n">
        <f aca="false">CJ222+CK222</f>
        <v>113.6</v>
      </c>
      <c r="CM222" s="32" t="n">
        <f aca="false">CM125</f>
        <v>56.2</v>
      </c>
      <c r="CN222" s="32" t="n">
        <f aca="false">CN125</f>
        <v>56.2</v>
      </c>
      <c r="CO222" s="32" t="n">
        <f aca="false">SUM(CJ222,CK222,CM222,CN222)</f>
        <v>226</v>
      </c>
      <c r="CP222" s="32" t="n">
        <f aca="false">CP125</f>
        <v>222.7375</v>
      </c>
      <c r="CQ222" s="32" t="n">
        <f aca="false">CQ125</f>
        <v>245.358333333333</v>
      </c>
      <c r="CR222" s="32" t="n">
        <f aca="false">CR125</f>
        <v>230.625</v>
      </c>
      <c r="CS222" s="32" t="n">
        <f aca="false">CS125</f>
        <v>233.591666666667</v>
      </c>
      <c r="CT222" s="23"/>
      <c r="CV222" s="7"/>
      <c r="CW222" s="7"/>
      <c r="CX222" s="7"/>
      <c r="CY222" s="7"/>
    </row>
    <row r="223" customFormat="false" ht="15" hidden="false" customHeight="true" outlineLevel="0" collapsed="false">
      <c r="B223" s="13" t="s">
        <v>298</v>
      </c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1" t="n">
        <v>7.4</v>
      </c>
      <c r="AG223" s="31" t="n">
        <v>7.4</v>
      </c>
      <c r="AH223" s="31" t="n">
        <v>17.5</v>
      </c>
      <c r="AI223" s="31" t="n">
        <v>1.3</v>
      </c>
      <c r="AJ223" s="30" t="n">
        <f aca="false">AH223+AI223</f>
        <v>18.8</v>
      </c>
      <c r="AK223" s="31" t="n">
        <v>0.2</v>
      </c>
      <c r="AL223" s="30"/>
      <c r="AM223" s="31" t="n">
        <v>19</v>
      </c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1" t="n">
        <v>5.9</v>
      </c>
      <c r="BG223" s="31" t="n">
        <v>94.5</v>
      </c>
      <c r="BH223" s="30" t="n">
        <f aca="false">BF223+BG223</f>
        <v>100.4</v>
      </c>
      <c r="BI223" s="31" t="n">
        <v>1.8</v>
      </c>
      <c r="BJ223" s="31" t="n">
        <v>0.8</v>
      </c>
      <c r="BK223" s="31" t="n">
        <v>103</v>
      </c>
      <c r="BL223" s="30"/>
      <c r="BM223" s="30"/>
      <c r="BN223" s="30"/>
      <c r="BO223" s="30"/>
      <c r="BP223" s="31" t="n">
        <v>-4</v>
      </c>
      <c r="BQ223" s="31" t="n">
        <v>-4</v>
      </c>
      <c r="BR223" s="30"/>
      <c r="BS223" s="30"/>
      <c r="BT223" s="30"/>
      <c r="BU223" s="31" t="n">
        <v>5.8</v>
      </c>
      <c r="BV223" s="31" t="n">
        <v>3</v>
      </c>
      <c r="BW223" s="31" t="n">
        <v>8.8</v>
      </c>
      <c r="BX223" s="31" t="n">
        <v>2.2</v>
      </c>
      <c r="BY223" s="31" t="n">
        <v>1</v>
      </c>
      <c r="BZ223" s="30" t="n">
        <f aca="false">BX223+BY223</f>
        <v>3.2</v>
      </c>
      <c r="CA223" s="31" t="n">
        <v>3.7</v>
      </c>
      <c r="CB223" s="31" t="n">
        <v>1.5</v>
      </c>
      <c r="CC223" s="31" t="n">
        <v>8.4</v>
      </c>
      <c r="CD223" s="31" t="n">
        <v>6.8</v>
      </c>
      <c r="CE223" s="31" t="n">
        <v>1.9</v>
      </c>
      <c r="CF223" s="30" t="n">
        <f aca="false">CD223+CE223</f>
        <v>8.7</v>
      </c>
      <c r="CG223" s="31" t="n">
        <v>0.7</v>
      </c>
      <c r="CH223" s="31" t="n">
        <v>0.8</v>
      </c>
      <c r="CI223" s="31" t="n">
        <v>10.2</v>
      </c>
      <c r="CJ223" s="31" t="n">
        <v>0.2</v>
      </c>
      <c r="CK223" s="31" t="n">
        <v>0.2</v>
      </c>
      <c r="CL223" s="30" t="n">
        <f aca="false">CJ223+CK223</f>
        <v>0.4</v>
      </c>
      <c r="CM223" s="32" t="n">
        <f aca="false">CM98</f>
        <v>0.5</v>
      </c>
      <c r="CN223" s="32" t="n">
        <f aca="false">CN98</f>
        <v>0.5</v>
      </c>
      <c r="CO223" s="32" t="n">
        <f aca="false">SUM(CJ223,CK223,CM223,CN223)</f>
        <v>1.4</v>
      </c>
      <c r="CP223" s="32" t="n">
        <f aca="false">CP98</f>
        <v>5</v>
      </c>
      <c r="CQ223" s="32" t="n">
        <f aca="false">CQ98</f>
        <v>5</v>
      </c>
      <c r="CR223" s="32" t="n">
        <f aca="false">CR98</f>
        <v>5</v>
      </c>
      <c r="CS223" s="32" t="n">
        <f aca="false">CS98</f>
        <v>5</v>
      </c>
      <c r="CT223" s="23"/>
      <c r="CV223" s="7"/>
      <c r="CW223" s="7"/>
      <c r="CX223" s="7"/>
      <c r="CY223" s="7"/>
    </row>
    <row r="224" customFormat="false" ht="15" hidden="false" customHeight="true" outlineLevel="0" collapsed="false">
      <c r="B224" s="13" t="s">
        <v>299</v>
      </c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1" t="n">
        <v>1.4</v>
      </c>
      <c r="AI224" s="31" t="n">
        <v>2.7</v>
      </c>
      <c r="AJ224" s="30" t="n">
        <f aca="false">AH224+AI224</f>
        <v>4.1</v>
      </c>
      <c r="AK224" s="31" t="n">
        <v>2.7</v>
      </c>
      <c r="AL224" s="31" t="n">
        <v>-1.1</v>
      </c>
      <c r="AM224" s="31" t="n">
        <v>5.7</v>
      </c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  <c r="BD224" s="30"/>
      <c r="BE224" s="30"/>
      <c r="BF224" s="30"/>
      <c r="BG224" s="31" t="n">
        <v>23.4</v>
      </c>
      <c r="BH224" s="30" t="n">
        <f aca="false">N(BF224)+N(BG224)</f>
        <v>23.4</v>
      </c>
      <c r="BI224" s="31" t="n">
        <v>35.2</v>
      </c>
      <c r="BJ224" s="31" t="n">
        <v>47.8</v>
      </c>
      <c r="BK224" s="31" t="n">
        <v>106.4</v>
      </c>
      <c r="BL224" s="30"/>
      <c r="BM224" s="30"/>
      <c r="BN224" s="30"/>
      <c r="BO224" s="30"/>
      <c r="BP224" s="30"/>
      <c r="BQ224" s="30"/>
      <c r="BR224" s="30"/>
      <c r="BS224" s="30"/>
      <c r="BT224" s="30"/>
      <c r="BU224" s="30"/>
      <c r="BV224" s="30"/>
      <c r="BW224" s="30"/>
      <c r="BX224" s="31" t="n">
        <v>0</v>
      </c>
      <c r="BY224" s="31" t="n">
        <v>0</v>
      </c>
      <c r="BZ224" s="30" t="n">
        <f aca="false">BX224+BY224</f>
        <v>0</v>
      </c>
      <c r="CA224" s="31" t="n">
        <v>0</v>
      </c>
      <c r="CB224" s="31" t="n">
        <v>0</v>
      </c>
      <c r="CC224" s="31" t="n">
        <v>0</v>
      </c>
      <c r="CD224" s="31" t="n">
        <v>0.6</v>
      </c>
      <c r="CE224" s="31" t="n">
        <v>1.2</v>
      </c>
      <c r="CF224" s="30" t="n">
        <f aca="false">CD224+CE224</f>
        <v>1.8</v>
      </c>
      <c r="CG224" s="31" t="n">
        <v>1.4</v>
      </c>
      <c r="CH224" s="31" t="n">
        <v>0.2</v>
      </c>
      <c r="CI224" s="31" t="n">
        <v>3.4</v>
      </c>
      <c r="CJ224" s="31" t="n">
        <v>0</v>
      </c>
      <c r="CK224" s="31" t="n">
        <v>0</v>
      </c>
      <c r="CL224" s="30" t="n">
        <f aca="false">CJ224+CK224</f>
        <v>0</v>
      </c>
      <c r="CM224" s="32" t="n">
        <f aca="false">CM15+CM32+CM52+CM71</f>
        <v>0</v>
      </c>
      <c r="CN224" s="32" t="n">
        <f aca="false">CN15+CN32+CN52+CN71</f>
        <v>0</v>
      </c>
      <c r="CO224" s="32" t="n">
        <f aca="false">SUM(CJ224,CK224,CM224,CN224)</f>
        <v>0</v>
      </c>
      <c r="CP224" s="32" t="n">
        <f aca="false">CP15+CP32+CP52+CP71</f>
        <v>0</v>
      </c>
      <c r="CQ224" s="32" t="n">
        <f aca="false">CQ15+CQ32+CQ52+CQ71</f>
        <v>0</v>
      </c>
      <c r="CR224" s="32" t="n">
        <f aca="false">CR15+CR32+CR52+CR71</f>
        <v>0</v>
      </c>
      <c r="CS224" s="32" t="n">
        <f aca="false">CS15+CS32+CS52+CS71</f>
        <v>0</v>
      </c>
      <c r="CT224" s="23"/>
      <c r="CV224" s="7"/>
      <c r="CW224" s="7"/>
      <c r="CX224" s="7"/>
      <c r="CY224" s="7"/>
    </row>
    <row r="225" customFormat="false" ht="15" hidden="false" customHeight="true" outlineLevel="0" collapsed="false">
      <c r="B225" s="13" t="s">
        <v>300</v>
      </c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  <c r="BJ225" s="30"/>
      <c r="BK225" s="30"/>
      <c r="BL225" s="30"/>
      <c r="BM225" s="30"/>
      <c r="BN225" s="30"/>
      <c r="BO225" s="30"/>
      <c r="BP225" s="30"/>
      <c r="BQ225" s="30"/>
      <c r="BR225" s="30"/>
      <c r="BS225" s="30"/>
      <c r="BT225" s="30"/>
      <c r="BU225" s="30"/>
      <c r="BV225" s="30"/>
      <c r="BW225" s="30"/>
      <c r="BX225" s="30"/>
      <c r="BY225" s="30"/>
      <c r="BZ225" s="30"/>
      <c r="CA225" s="30"/>
      <c r="CB225" s="31" t="n">
        <v>52.5</v>
      </c>
      <c r="CC225" s="31" t="n">
        <v>52.5</v>
      </c>
      <c r="CD225" s="30"/>
      <c r="CE225" s="30"/>
      <c r="CF225" s="30"/>
      <c r="CG225" s="30"/>
      <c r="CH225" s="31" t="n">
        <v>0</v>
      </c>
      <c r="CI225" s="31" t="n">
        <v>0</v>
      </c>
      <c r="CJ225" s="30"/>
      <c r="CK225" s="30"/>
      <c r="CL225" s="30"/>
      <c r="CM225" s="33" t="n">
        <v>0</v>
      </c>
      <c r="CN225" s="33" t="n">
        <v>0</v>
      </c>
      <c r="CO225" s="32" t="n">
        <f aca="false">SUM(CJ225,CK225,CM225,CN225)</f>
        <v>0</v>
      </c>
      <c r="CP225" s="33" t="n">
        <v>0</v>
      </c>
      <c r="CQ225" s="33" t="n">
        <v>0</v>
      </c>
      <c r="CR225" s="33" t="n">
        <v>0</v>
      </c>
      <c r="CS225" s="33" t="n">
        <v>0</v>
      </c>
      <c r="CT225" s="23"/>
      <c r="CV225" s="7"/>
      <c r="CW225" s="7"/>
      <c r="CX225" s="7"/>
      <c r="CY225" s="7"/>
    </row>
    <row r="226" customFormat="false" ht="15" hidden="false" customHeight="true" outlineLevel="0" collapsed="false">
      <c r="B226" s="13" t="s">
        <v>346</v>
      </c>
      <c r="C226" s="31" t="n">
        <v>3.195</v>
      </c>
      <c r="D226" s="31" t="n">
        <v>1.086</v>
      </c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0"/>
      <c r="BI226" s="30"/>
      <c r="BJ226" s="30"/>
      <c r="BK226" s="30"/>
      <c r="BL226" s="30"/>
      <c r="BM226" s="30"/>
      <c r="BN226" s="30"/>
      <c r="BO226" s="30"/>
      <c r="BP226" s="30"/>
      <c r="BQ226" s="30"/>
      <c r="BR226" s="30"/>
      <c r="BS226" s="30"/>
      <c r="BT226" s="30"/>
      <c r="BU226" s="30"/>
      <c r="BV226" s="30"/>
      <c r="BW226" s="30"/>
      <c r="BX226" s="30"/>
      <c r="BY226" s="30"/>
      <c r="BZ226" s="30"/>
      <c r="CA226" s="30"/>
      <c r="CB226" s="30"/>
      <c r="CC226" s="30"/>
      <c r="CD226" s="30"/>
      <c r="CE226" s="30"/>
      <c r="CF226" s="30"/>
      <c r="CG226" s="30"/>
      <c r="CH226" s="30"/>
      <c r="CI226" s="30"/>
      <c r="CJ226" s="30"/>
      <c r="CK226" s="30"/>
      <c r="CL226" s="30"/>
      <c r="CM226" s="33" t="n">
        <v>0</v>
      </c>
      <c r="CN226" s="33" t="n">
        <v>0</v>
      </c>
      <c r="CO226" s="32" t="n">
        <f aca="false">SUM(CJ226,CK226,CM226,CN226)</f>
        <v>0</v>
      </c>
      <c r="CP226" s="33" t="n">
        <v>0</v>
      </c>
      <c r="CQ226" s="33" t="n">
        <v>0</v>
      </c>
      <c r="CR226" s="33" t="n">
        <v>0</v>
      </c>
      <c r="CS226" s="33" t="n">
        <v>0</v>
      </c>
      <c r="CT226" s="23"/>
      <c r="CV226" s="7"/>
      <c r="CW226" s="7"/>
      <c r="CX226" s="7"/>
      <c r="CY226" s="7"/>
    </row>
    <row r="227" customFormat="false" ht="15" hidden="false" customHeight="true" outlineLevel="0" collapsed="false">
      <c r="B227" s="13" t="s">
        <v>347</v>
      </c>
      <c r="C227" s="31" t="n">
        <v>3.55</v>
      </c>
      <c r="D227" s="31" t="n">
        <v>4.344</v>
      </c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30"/>
      <c r="BP227" s="30"/>
      <c r="BQ227" s="30"/>
      <c r="BR227" s="30"/>
      <c r="BS227" s="30"/>
      <c r="BT227" s="30"/>
      <c r="BU227" s="30"/>
      <c r="BV227" s="30"/>
      <c r="BW227" s="30"/>
      <c r="BX227" s="30"/>
      <c r="BY227" s="30"/>
      <c r="BZ227" s="30"/>
      <c r="CA227" s="30"/>
      <c r="CB227" s="30"/>
      <c r="CC227" s="30"/>
      <c r="CD227" s="30"/>
      <c r="CE227" s="30"/>
      <c r="CF227" s="30"/>
      <c r="CG227" s="30"/>
      <c r="CH227" s="30"/>
      <c r="CI227" s="30"/>
      <c r="CJ227" s="30"/>
      <c r="CK227" s="30"/>
      <c r="CL227" s="30"/>
      <c r="CM227" s="33" t="n">
        <v>0</v>
      </c>
      <c r="CN227" s="33" t="n">
        <v>0</v>
      </c>
      <c r="CO227" s="32" t="n">
        <f aca="false">SUM(CJ227,CK227,CM227,CN227)</f>
        <v>0</v>
      </c>
      <c r="CP227" s="33" t="n">
        <v>0</v>
      </c>
      <c r="CQ227" s="33" t="n">
        <v>0</v>
      </c>
      <c r="CR227" s="33" t="n">
        <v>0</v>
      </c>
      <c r="CS227" s="33" t="n">
        <v>0</v>
      </c>
      <c r="CT227" s="23"/>
      <c r="CV227" s="7"/>
      <c r="CW227" s="7"/>
      <c r="CX227" s="7"/>
      <c r="CY227" s="7"/>
    </row>
    <row r="228" customFormat="false" ht="15" hidden="false" customHeight="true" outlineLevel="0" collapsed="false">
      <c r="B228" s="13" t="s">
        <v>348</v>
      </c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1" t="n">
        <v>0.5</v>
      </c>
      <c r="AG228" s="31" t="n">
        <v>0.5</v>
      </c>
      <c r="AH228" s="31" t="n">
        <v>2.3</v>
      </c>
      <c r="AI228" s="30"/>
      <c r="AJ228" s="30" t="n">
        <f aca="false">N(AH228)+N(AI228)</f>
        <v>2.3</v>
      </c>
      <c r="AK228" s="30"/>
      <c r="AL228" s="30"/>
      <c r="AM228" s="31" t="n">
        <v>2.3</v>
      </c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0"/>
      <c r="BD228" s="30"/>
      <c r="BE228" s="30"/>
      <c r="BF228" s="31" t="n">
        <v>30.6</v>
      </c>
      <c r="BG228" s="30"/>
      <c r="BH228" s="30" t="n">
        <f aca="false">N(BF228)+N(BG228)</f>
        <v>30.6</v>
      </c>
      <c r="BI228" s="30"/>
      <c r="BJ228" s="30"/>
      <c r="BK228" s="31" t="n">
        <v>30.6</v>
      </c>
      <c r="BL228" s="30"/>
      <c r="BM228" s="30"/>
      <c r="BN228" s="30"/>
      <c r="BO228" s="30"/>
      <c r="BP228" s="30"/>
      <c r="BQ228" s="30"/>
      <c r="BR228" s="30"/>
      <c r="BS228" s="30"/>
      <c r="BT228" s="30"/>
      <c r="BU228" s="30"/>
      <c r="BV228" s="30"/>
      <c r="BW228" s="30"/>
      <c r="BX228" s="30"/>
      <c r="BY228" s="30"/>
      <c r="BZ228" s="30"/>
      <c r="CA228" s="30"/>
      <c r="CB228" s="30"/>
      <c r="CC228" s="30"/>
      <c r="CD228" s="30"/>
      <c r="CE228" s="30"/>
      <c r="CF228" s="30"/>
      <c r="CG228" s="30"/>
      <c r="CH228" s="30"/>
      <c r="CI228" s="30"/>
      <c r="CJ228" s="30"/>
      <c r="CK228" s="30"/>
      <c r="CL228" s="30"/>
      <c r="CM228" s="33" t="n">
        <v>0</v>
      </c>
      <c r="CN228" s="33" t="n">
        <v>0</v>
      </c>
      <c r="CO228" s="32" t="n">
        <f aca="false">SUM(CJ228,CK228,CM228,CN228)</f>
        <v>0</v>
      </c>
      <c r="CP228" s="33" t="n">
        <v>0</v>
      </c>
      <c r="CQ228" s="33" t="n">
        <v>0</v>
      </c>
      <c r="CR228" s="33" t="n">
        <v>0</v>
      </c>
      <c r="CS228" s="33" t="n">
        <v>0</v>
      </c>
      <c r="CT228" s="23"/>
      <c r="CV228" s="7"/>
      <c r="CW228" s="7"/>
      <c r="CX228" s="7"/>
      <c r="CY228" s="7"/>
    </row>
    <row r="229" customFormat="false" ht="15" hidden="false" customHeight="true" outlineLevel="0" collapsed="false">
      <c r="B229" s="13" t="s">
        <v>349</v>
      </c>
      <c r="C229" s="31" t="n">
        <v>-0.07</v>
      </c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1" t="n">
        <v>0.072</v>
      </c>
      <c r="AC229" s="30"/>
      <c r="AD229" s="30" t="n">
        <f aca="false">N(AB229)+N(AC229)</f>
        <v>0.072</v>
      </c>
      <c r="AE229" s="30"/>
      <c r="AF229" s="31" t="n">
        <v>2.33</v>
      </c>
      <c r="AG229" s="31" t="n">
        <v>1.845</v>
      </c>
      <c r="AH229" s="31" t="n">
        <v>-0.077</v>
      </c>
      <c r="AI229" s="30"/>
      <c r="AJ229" s="30" t="n">
        <f aca="false">N(AH229)+N(AI229)</f>
        <v>-0.077</v>
      </c>
      <c r="AK229" s="31" t="n">
        <v>0.172</v>
      </c>
      <c r="AL229" s="30"/>
      <c r="AM229" s="31" t="n">
        <v>-0.081</v>
      </c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30"/>
      <c r="BI229" s="30"/>
      <c r="BJ229" s="30"/>
      <c r="BK229" s="30"/>
      <c r="BL229" s="30"/>
      <c r="BM229" s="30"/>
      <c r="BN229" s="30"/>
      <c r="BO229" s="30"/>
      <c r="BP229" s="30"/>
      <c r="BQ229" s="30"/>
      <c r="BR229" s="30"/>
      <c r="BS229" s="30"/>
      <c r="BT229" s="30"/>
      <c r="BU229" s="30"/>
      <c r="BV229" s="30"/>
      <c r="BW229" s="30"/>
      <c r="BX229" s="30"/>
      <c r="BY229" s="30"/>
      <c r="BZ229" s="30"/>
      <c r="CA229" s="30"/>
      <c r="CB229" s="30"/>
      <c r="CC229" s="30"/>
      <c r="CD229" s="30"/>
      <c r="CE229" s="30"/>
      <c r="CF229" s="30"/>
      <c r="CG229" s="30"/>
      <c r="CH229" s="30"/>
      <c r="CI229" s="30"/>
      <c r="CJ229" s="30"/>
      <c r="CK229" s="30"/>
      <c r="CL229" s="30"/>
      <c r="CM229" s="33" t="n">
        <v>0</v>
      </c>
      <c r="CN229" s="33" t="n">
        <v>0</v>
      </c>
      <c r="CO229" s="32" t="n">
        <f aca="false">SUM(CJ229,CK229,CM229,CN229)</f>
        <v>0</v>
      </c>
      <c r="CP229" s="33" t="n">
        <v>0</v>
      </c>
      <c r="CQ229" s="33" t="n">
        <v>0</v>
      </c>
      <c r="CR229" s="33" t="n">
        <v>0</v>
      </c>
      <c r="CS229" s="33" t="n">
        <v>0</v>
      </c>
      <c r="CT229" s="23"/>
      <c r="CV229" s="7"/>
      <c r="CW229" s="7"/>
      <c r="CX229" s="7"/>
      <c r="CY229" s="7"/>
    </row>
    <row r="230" customFormat="false" ht="15" hidden="false" customHeight="true" outlineLevel="0" collapsed="false">
      <c r="B230" s="13" t="s">
        <v>350</v>
      </c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1" t="n">
        <v>-4.354</v>
      </c>
      <c r="AG230" s="31" t="n">
        <v>-4.33</v>
      </c>
      <c r="AH230" s="31" t="n">
        <v>-6.137</v>
      </c>
      <c r="AI230" s="31" t="n">
        <v>-1.086</v>
      </c>
      <c r="AJ230" s="30" t="n">
        <f aca="false">AH230+AI230</f>
        <v>-7.223</v>
      </c>
      <c r="AK230" s="31" t="n">
        <v>-0.728</v>
      </c>
      <c r="AL230" s="31" t="n">
        <v>0.367</v>
      </c>
      <c r="AM230" s="31" t="n">
        <v>-7.26</v>
      </c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1" t="n">
        <v>-2.3</v>
      </c>
      <c r="BA230" s="31" t="n">
        <v>-2.3</v>
      </c>
      <c r="BB230" s="30" t="n">
        <f aca="false">AZ230+BA230</f>
        <v>-4.6</v>
      </c>
      <c r="BC230" s="31" t="n">
        <v>-2.3</v>
      </c>
      <c r="BD230" s="31" t="n">
        <v>-2.2</v>
      </c>
      <c r="BE230" s="31" t="n">
        <v>-9.1</v>
      </c>
      <c r="BF230" s="31" t="n">
        <v>-9.7</v>
      </c>
      <c r="BG230" s="31" t="n">
        <v>-26.8</v>
      </c>
      <c r="BH230" s="30" t="n">
        <f aca="false">BF230+BG230</f>
        <v>-36.5</v>
      </c>
      <c r="BI230" s="31" t="n">
        <v>-20.9</v>
      </c>
      <c r="BJ230" s="31" t="n">
        <v>-23</v>
      </c>
      <c r="BK230" s="31" t="n">
        <v>-80.4</v>
      </c>
      <c r="BL230" s="31" t="n">
        <v>-12.3</v>
      </c>
      <c r="BM230" s="31" t="n">
        <v>-11.9</v>
      </c>
      <c r="BN230" s="30" t="n">
        <f aca="false">BL230+BM230</f>
        <v>-24.2</v>
      </c>
      <c r="BO230" s="31" t="n">
        <v>-11.5</v>
      </c>
      <c r="BP230" s="31" t="n">
        <v>-10.1</v>
      </c>
      <c r="BQ230" s="31" t="n">
        <v>-45.8</v>
      </c>
      <c r="BR230" s="31" t="n">
        <v>-11.5</v>
      </c>
      <c r="BS230" s="31" t="n">
        <v>-11.3</v>
      </c>
      <c r="BT230" s="30" t="n">
        <f aca="false">BR230+BS230</f>
        <v>-22.8</v>
      </c>
      <c r="BU230" s="31" t="n">
        <v>-12.6</v>
      </c>
      <c r="BV230" s="31" t="n">
        <v>-12</v>
      </c>
      <c r="BW230" s="31" t="n">
        <v>-47.4</v>
      </c>
      <c r="BX230" s="31" t="n">
        <v>-12.1</v>
      </c>
      <c r="BY230" s="31" t="n">
        <v>-11.8</v>
      </c>
      <c r="BZ230" s="30" t="n">
        <f aca="false">BX230+BY230</f>
        <v>-23.9</v>
      </c>
      <c r="CA230" s="31" t="n">
        <v>-12.5</v>
      </c>
      <c r="CB230" s="31" t="n">
        <v>-24.7</v>
      </c>
      <c r="CC230" s="31" t="n">
        <v>-61.1</v>
      </c>
      <c r="CD230" s="31" t="n">
        <v>-14</v>
      </c>
      <c r="CE230" s="31" t="n">
        <v>-13.6</v>
      </c>
      <c r="CF230" s="30" t="n">
        <f aca="false">CD230+CE230</f>
        <v>-27.6</v>
      </c>
      <c r="CG230" s="31" t="n">
        <v>-13.6</v>
      </c>
      <c r="CH230" s="31" t="n">
        <v>-13.2</v>
      </c>
      <c r="CI230" s="31" t="n">
        <v>-54.4</v>
      </c>
      <c r="CJ230" s="31" t="n">
        <v>-13.7</v>
      </c>
      <c r="CK230" s="31" t="n">
        <v>-13.1</v>
      </c>
      <c r="CL230" s="30" t="n">
        <f aca="false">CJ230+CK230</f>
        <v>-26.8</v>
      </c>
      <c r="CM230" s="32" t="n">
        <f aca="false">-SUM(CM222:CM229)*CM234</f>
        <v>-12.1905</v>
      </c>
      <c r="CN230" s="32" t="n">
        <f aca="false">-SUM(CN222:CN229)*CN234</f>
        <v>-12.1905</v>
      </c>
      <c r="CO230" s="32" t="n">
        <f aca="false">SUM(CJ230,CK230,CM230,CN230)</f>
        <v>-51.181</v>
      </c>
      <c r="CP230" s="32" t="n">
        <f aca="false">-SUM(CP222:CP229)*CP234</f>
        <v>-53.5183125</v>
      </c>
      <c r="CQ230" s="32" t="n">
        <f aca="false">-SUM(CQ222:CQ229)*CQ234</f>
        <v>-58.8342083333333</v>
      </c>
      <c r="CR230" s="32" t="n">
        <f aca="false">-SUM(CR222:CR229)*CR234</f>
        <v>-55.371875</v>
      </c>
      <c r="CS230" s="32" t="n">
        <f aca="false">-SUM(CS222:CS229)*CS234</f>
        <v>-56.0690416666667</v>
      </c>
      <c r="CT230" s="23"/>
      <c r="CV230" s="7"/>
      <c r="CW230" s="7"/>
      <c r="CX230" s="7"/>
      <c r="CY230" s="7"/>
    </row>
    <row r="231" customFormat="false" ht="15" hidden="false" customHeight="true" outlineLevel="0" collapsed="false">
      <c r="B231" s="13" t="s">
        <v>351</v>
      </c>
      <c r="C231" s="31" t="n">
        <v>-3.195</v>
      </c>
      <c r="D231" s="31" t="n">
        <v>-5.43</v>
      </c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1" t="n">
        <v>4.7</v>
      </c>
      <c r="AM231" s="31" t="n">
        <v>4.7</v>
      </c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  <c r="BA231" s="30"/>
      <c r="BB231" s="30"/>
      <c r="BC231" s="30"/>
      <c r="BD231" s="30"/>
      <c r="BE231" s="30"/>
      <c r="BF231" s="30"/>
      <c r="BG231" s="31" t="n">
        <v>12.4</v>
      </c>
      <c r="BH231" s="30" t="n">
        <f aca="false">N(BF231)+N(BG231)</f>
        <v>12.4</v>
      </c>
      <c r="BI231" s="31" t="n">
        <v>1.7</v>
      </c>
      <c r="BJ231" s="31" t="n">
        <v>-21.4</v>
      </c>
      <c r="BK231" s="31" t="n">
        <v>-7.3</v>
      </c>
      <c r="BL231" s="31" t="n">
        <v>-50</v>
      </c>
      <c r="BM231" s="31" t="n">
        <v>0.6</v>
      </c>
      <c r="BN231" s="30" t="n">
        <f aca="false">BL231+BM231</f>
        <v>-49.4</v>
      </c>
      <c r="BO231" s="31" t="n">
        <v>0.8</v>
      </c>
      <c r="BP231" s="31" t="n">
        <v>-24.1</v>
      </c>
      <c r="BQ231" s="31" t="n">
        <v>-72.7</v>
      </c>
      <c r="BR231" s="31" t="n">
        <v>0.3</v>
      </c>
      <c r="BS231" s="31" t="n">
        <v>0.4</v>
      </c>
      <c r="BT231" s="30" t="n">
        <f aca="false">BR231+BS231</f>
        <v>0.7</v>
      </c>
      <c r="BU231" s="31" t="n">
        <v>1</v>
      </c>
      <c r="BV231" s="31" t="n">
        <v>-102.2</v>
      </c>
      <c r="BW231" s="31" t="n">
        <v>-100.5</v>
      </c>
      <c r="BX231" s="31" t="n">
        <v>0.3</v>
      </c>
      <c r="BY231" s="31" t="n">
        <v>0.2</v>
      </c>
      <c r="BZ231" s="30" t="n">
        <f aca="false">BX231+BY231</f>
        <v>0.5</v>
      </c>
      <c r="CA231" s="31" t="n">
        <v>-61.7</v>
      </c>
      <c r="CB231" s="31" t="n">
        <v>-16.6</v>
      </c>
      <c r="CC231" s="31" t="n">
        <v>-77.8</v>
      </c>
      <c r="CD231" s="31" t="n">
        <v>0</v>
      </c>
      <c r="CE231" s="31" t="n">
        <v>-7.7</v>
      </c>
      <c r="CF231" s="30" t="n">
        <f aca="false">CD231+CE231</f>
        <v>-7.7</v>
      </c>
      <c r="CG231" s="31" t="n">
        <v>0.2</v>
      </c>
      <c r="CH231" s="31" t="n">
        <v>-20.8</v>
      </c>
      <c r="CI231" s="31" t="n">
        <v>-28.3</v>
      </c>
      <c r="CJ231" s="31" t="n">
        <v>0.5</v>
      </c>
      <c r="CK231" s="31" t="n">
        <v>-0.5</v>
      </c>
      <c r="CL231" s="30" t="n">
        <f aca="false">CJ231+CK231</f>
        <v>0</v>
      </c>
      <c r="CM231" s="33" t="n">
        <v>0</v>
      </c>
      <c r="CN231" s="33" t="n">
        <v>0</v>
      </c>
      <c r="CO231" s="32" t="n">
        <f aca="false">SUM(CJ231,CK231,CM231,CN231)</f>
        <v>0</v>
      </c>
      <c r="CP231" s="33" t="n">
        <v>0</v>
      </c>
      <c r="CQ231" s="33" t="n">
        <v>0</v>
      </c>
      <c r="CR231" s="33" t="n">
        <v>0</v>
      </c>
      <c r="CS231" s="33" t="n">
        <v>0</v>
      </c>
      <c r="CT231" s="23"/>
      <c r="CV231" s="7"/>
      <c r="CW231" s="7"/>
      <c r="CX231" s="7"/>
      <c r="CY231" s="7"/>
    </row>
    <row r="232" customFormat="false" ht="15" hidden="false" customHeight="true" outlineLevel="0" collapsed="false">
      <c r="B232" s="13" t="s">
        <v>352</v>
      </c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  <c r="BA232" s="30"/>
      <c r="BB232" s="30"/>
      <c r="BC232" s="30"/>
      <c r="BD232" s="30"/>
      <c r="BE232" s="30"/>
      <c r="BF232" s="30"/>
      <c r="BG232" s="30"/>
      <c r="BH232" s="30"/>
      <c r="BI232" s="30"/>
      <c r="BJ232" s="30"/>
      <c r="BK232" s="30"/>
      <c r="BL232" s="30"/>
      <c r="BM232" s="30"/>
      <c r="BN232" s="30"/>
      <c r="BO232" s="30"/>
      <c r="BP232" s="30"/>
      <c r="BQ232" s="30"/>
      <c r="BR232" s="30"/>
      <c r="BS232" s="30"/>
      <c r="BT232" s="30"/>
      <c r="BU232" s="30"/>
      <c r="BV232" s="30"/>
      <c r="BW232" s="30"/>
      <c r="BX232" s="30"/>
      <c r="BY232" s="30"/>
      <c r="BZ232" s="30"/>
      <c r="CA232" s="30"/>
      <c r="CB232" s="30"/>
      <c r="CC232" s="30"/>
      <c r="CD232" s="30"/>
      <c r="CE232" s="30"/>
      <c r="CF232" s="30"/>
      <c r="CG232" s="30"/>
      <c r="CH232" s="30"/>
      <c r="CI232" s="30"/>
      <c r="CJ232" s="30"/>
      <c r="CK232" s="30"/>
      <c r="CL232" s="30"/>
      <c r="CM232" s="33" t="n">
        <v>0</v>
      </c>
      <c r="CN232" s="33" t="n">
        <v>0</v>
      </c>
      <c r="CO232" s="32" t="n">
        <f aca="false">SUM(CJ232,CK232,CM232,CN232)</f>
        <v>0</v>
      </c>
      <c r="CP232" s="33" t="n">
        <v>0</v>
      </c>
      <c r="CQ232" s="33" t="n">
        <v>0</v>
      </c>
      <c r="CR232" s="33" t="n">
        <v>0</v>
      </c>
      <c r="CS232" s="33" t="n">
        <v>0</v>
      </c>
      <c r="CT232" s="23"/>
      <c r="CV232" s="7"/>
      <c r="CW232" s="7"/>
      <c r="CX232" s="7"/>
      <c r="CY232" s="7"/>
    </row>
    <row r="233" customFormat="false" ht="15" hidden="false" customHeight="true" outlineLevel="0" collapsed="false">
      <c r="B233" s="34" t="s">
        <v>353</v>
      </c>
      <c r="C233" s="35" t="n">
        <f aca="false">IF(ISNUMBER(C237),SUM(C221:C232),"")</f>
        <v>83.78</v>
      </c>
      <c r="D233" s="35" t="n">
        <f aca="false">IF(ISNUMBER(D237),SUM(D221:D232),"")</f>
        <v>98.4999999999999</v>
      </c>
      <c r="E233" s="35" t="str">
        <f aca="false">IF(ISNUMBER(E237),SUM(E221:E232),"")</f>
        <v/>
      </c>
      <c r="F233" s="35" t="str">
        <f aca="false">IF(ISNUMBER(F237),SUM(F221:F232),"")</f>
        <v/>
      </c>
      <c r="G233" s="35" t="str">
        <f aca="false">IF(ISNUMBER(G237),SUM(G221:G232),"")</f>
        <v/>
      </c>
      <c r="H233" s="35" t="str">
        <f aca="false">IF(ISNUMBER(H237),SUM(H221:H232),"")</f>
        <v/>
      </c>
      <c r="I233" s="35" t="str">
        <f aca="false">IF(ISNUMBER(I237),SUM(I221:I232),"")</f>
        <v/>
      </c>
      <c r="J233" s="20" t="str">
        <f aca="false">IF(ISNUMBER(J237),SUM(J221:J232),"")</f>
        <v/>
      </c>
      <c r="K233" s="20" t="str">
        <f aca="false">IF(ISNUMBER(K237),SUM(K221:K232),"")</f>
        <v/>
      </c>
      <c r="L233" s="20" t="str">
        <f aca="false">IF(ISNUMBER(L237),SUM(L221:L232),"")</f>
        <v/>
      </c>
      <c r="M233" s="20" t="str">
        <f aca="false">IF(ISNUMBER(M237),SUM(M221:M232),"")</f>
        <v/>
      </c>
      <c r="N233" s="20" t="str">
        <f aca="false">IF(ISNUMBER(N237),SUM(N221:N232),"")</f>
        <v/>
      </c>
      <c r="O233" s="35" t="str">
        <f aca="false">IF(ISNUMBER(O237),SUM(O221:O232),"")</f>
        <v/>
      </c>
      <c r="P233" s="20" t="str">
        <f aca="false">IF(ISNUMBER(P237),SUM(P221:P232),"")</f>
        <v/>
      </c>
      <c r="Q233" s="20" t="str">
        <f aca="false">IF(ISNUMBER(Q237),SUM(Q221:Q232),"")</f>
        <v/>
      </c>
      <c r="R233" s="20" t="str">
        <f aca="false">IF(ISNUMBER(R237),SUM(R221:R232),"")</f>
        <v/>
      </c>
      <c r="S233" s="20" t="str">
        <f aca="false">IF(ISNUMBER(S237),SUM(S221:S232),"")</f>
        <v/>
      </c>
      <c r="T233" s="20" t="str">
        <f aca="false">IF(ISNUMBER(T237),SUM(T221:T232),"")</f>
        <v/>
      </c>
      <c r="U233" s="35" t="str">
        <f aca="false">IF(ISNUMBER(U237),SUM(U221:U232),"")</f>
        <v/>
      </c>
      <c r="V233" s="20" t="str">
        <f aca="false">IF(ISNUMBER(V237),SUM(V221:V232),"")</f>
        <v/>
      </c>
      <c r="W233" s="20" t="str">
        <f aca="false">IF(ISNUMBER(W237),SUM(W221:W232),"")</f>
        <v/>
      </c>
      <c r="X233" s="20" t="str">
        <f aca="false">IF(ISNUMBER(X237),SUM(X221:X232),"")</f>
        <v/>
      </c>
      <c r="Y233" s="20" t="str">
        <f aca="false">IF(ISNUMBER(Y237),SUM(Y221:Y232),"")</f>
        <v/>
      </c>
      <c r="Z233" s="20" t="str">
        <f aca="false">IF(ISNUMBER(Z237),SUM(Z221:Z232),"")</f>
        <v/>
      </c>
      <c r="AA233" s="35" t="str">
        <f aca="false">IF(ISNUMBER(AA237),SUM(AA221:AA232),"")</f>
        <v/>
      </c>
      <c r="AB233" s="20" t="n">
        <f aca="false">IF(ISNUMBER(AB237),SUM(AB221:AB232),"")</f>
        <v>39.072</v>
      </c>
      <c r="AC233" s="20" t="n">
        <f aca="false">IF(ISNUMBER(AC237),SUM(AC221:AC232),"")</f>
        <v>46.9000000000001</v>
      </c>
      <c r="AD233" s="20" t="n">
        <f aca="false">IF(ISNUMBER(AD237),SUM(AD221:AD232),"")</f>
        <v>85.972</v>
      </c>
      <c r="AE233" s="20" t="n">
        <f aca="false">IF(ISNUMBER(AE237),SUM(AE221:AE232),"")</f>
        <v>52</v>
      </c>
      <c r="AF233" s="20" t="n">
        <f aca="false">IF(ISNUMBER(AF237),SUM(AF221:AF232),"")</f>
        <v>58.876</v>
      </c>
      <c r="AG233" s="35" t="n">
        <f aca="false">IF(ISNUMBER(AG237),SUM(AG221:AG232),"")</f>
        <v>196.315</v>
      </c>
      <c r="AH233" s="20" t="n">
        <f aca="false">IF(ISNUMBER(AH237),SUM(AH221:AH232),"")</f>
        <v>45.486</v>
      </c>
      <c r="AI233" s="20" t="n">
        <f aca="false">IF(ISNUMBER(AI237),SUM(AI221:AI232),"")</f>
        <v>63.0140000000001</v>
      </c>
      <c r="AJ233" s="20" t="n">
        <f aca="false">IF(ISNUMBER(AJ237),SUM(AJ221:AJ232),"")</f>
        <v>108.5</v>
      </c>
      <c r="AK233" s="20" t="n">
        <f aca="false">IF(ISNUMBER(AK237),SUM(AK221:AK232),"")</f>
        <v>71.344</v>
      </c>
      <c r="AL233" s="20" t="n">
        <f aca="false">IF(ISNUMBER(AL237),SUM(AL221:AL232),"")</f>
        <v>71.567</v>
      </c>
      <c r="AM233" s="35" t="n">
        <f aca="false">IF(ISNUMBER(AM237),SUM(AM221:AM232),"")</f>
        <v>251.559</v>
      </c>
      <c r="AN233" s="20" t="str">
        <f aca="false">IF(ISNUMBER(AN237),SUM(AN221:AN232),"")</f>
        <v/>
      </c>
      <c r="AO233" s="20" t="str">
        <f aca="false">IF(ISNUMBER(AO237),SUM(AO221:AO232),"")</f>
        <v/>
      </c>
      <c r="AP233" s="20" t="str">
        <f aca="false">IF(ISNUMBER(AP237),SUM(AP221:AP232),"")</f>
        <v/>
      </c>
      <c r="AQ233" s="20" t="str">
        <f aca="false">IF(ISNUMBER(AQ237),SUM(AQ221:AQ232),"")</f>
        <v/>
      </c>
      <c r="AR233" s="20" t="str">
        <f aca="false">IF(ISNUMBER(AR237),SUM(AR221:AR232),"")</f>
        <v/>
      </c>
      <c r="AS233" s="35" t="str">
        <f aca="false">IF(ISNUMBER(AS237),SUM(AS221:AS232),"")</f>
        <v/>
      </c>
      <c r="AT233" s="20" t="str">
        <f aca="false">IF(ISNUMBER(AT237),SUM(AT221:AT232),"")</f>
        <v/>
      </c>
      <c r="AU233" s="20" t="str">
        <f aca="false">IF(ISNUMBER(AU237),SUM(AU221:AU232),"")</f>
        <v/>
      </c>
      <c r="AV233" s="20" t="str">
        <f aca="false">IF(ISNUMBER(AV237),SUM(AV221:AV232),"")</f>
        <v/>
      </c>
      <c r="AW233" s="20" t="str">
        <f aca="false">IF(ISNUMBER(AW237),SUM(AW221:AW232),"")</f>
        <v/>
      </c>
      <c r="AX233" s="20" t="str">
        <f aca="false">IF(ISNUMBER(AX237),SUM(AX221:AX232),"")</f>
        <v/>
      </c>
      <c r="AY233" s="35" t="str">
        <f aca="false">IF(ISNUMBER(AY237),SUM(AY221:AY232),"")</f>
        <v/>
      </c>
      <c r="AZ233" s="20" t="n">
        <f aca="false">IF(ISNUMBER(AZ237),SUM(AZ221:AZ232),"")</f>
        <v>89.5</v>
      </c>
      <c r="BA233" s="20" t="n">
        <f aca="false">IF(ISNUMBER(BA237),SUM(BA221:BA232),"")</f>
        <v>101.1</v>
      </c>
      <c r="BB233" s="20" t="n">
        <f aca="false">IF(ISNUMBER(BB237),SUM(BB221:BB232),"")</f>
        <v>190.6</v>
      </c>
      <c r="BC233" s="20" t="n">
        <f aca="false">IF(ISNUMBER(BC237),SUM(BC221:BC232),"")</f>
        <v>101.5</v>
      </c>
      <c r="BD233" s="20" t="n">
        <f aca="false">IF(ISNUMBER(BD237),SUM(BD221:BD232),"")</f>
        <v>139.5</v>
      </c>
      <c r="BE233" s="35" t="n">
        <f aca="false">IF(ISNUMBER(BE237),SUM(BE221:BE232),"")</f>
        <v>431.6</v>
      </c>
      <c r="BF233" s="20" t="n">
        <f aca="false">IF(ISNUMBER(BF237),SUM(BF221:BF232),"")</f>
        <v>121.3</v>
      </c>
      <c r="BG233" s="20" t="n">
        <f aca="false">IF(ISNUMBER(BG237),SUM(BG221:BG232),"")</f>
        <v>201</v>
      </c>
      <c r="BH233" s="20" t="n">
        <f aca="false">IF(ISNUMBER(BH237),SUM(BH221:BH232),"")</f>
        <v>322.3</v>
      </c>
      <c r="BI233" s="20" t="n">
        <f aca="false">IF(ISNUMBER(BI237),SUM(BI221:BI232),"")</f>
        <v>207.2</v>
      </c>
      <c r="BJ233" s="20" t="n">
        <f aca="false">IF(ISNUMBER(BJ237),SUM(BJ221:BJ232),"")</f>
        <v>217.4</v>
      </c>
      <c r="BK233" s="35" t="n">
        <f aca="false">IF(ISNUMBER(BK237),SUM(BK221:BK232),"")</f>
        <v>746.9</v>
      </c>
      <c r="BL233" s="20" t="n">
        <f aca="false">IF(ISNUMBER(BL237),SUM(BL221:BL232),"")</f>
        <v>203.9</v>
      </c>
      <c r="BM233" s="20" t="n">
        <f aca="false">IF(ISNUMBER(BM237),SUM(BM221:BM232),"")</f>
        <v>211.3</v>
      </c>
      <c r="BN233" s="20" t="n">
        <f aca="false">IF(ISNUMBER(BN237),SUM(BN221:BN232),"")</f>
        <v>415.2</v>
      </c>
      <c r="BO233" s="20" t="n">
        <f aca="false">IF(ISNUMBER(BO237),SUM(BO221:BO232),"")</f>
        <v>216.5</v>
      </c>
      <c r="BP233" s="20" t="n">
        <f aca="false">IF(ISNUMBER(BP237),SUM(BP221:BP232),"")</f>
        <v>236.1</v>
      </c>
      <c r="BQ233" s="35" t="n">
        <f aca="false">IF(ISNUMBER(BQ237),SUM(BQ221:BQ232),"")</f>
        <v>867.8</v>
      </c>
      <c r="BR233" s="20" t="n">
        <f aca="false">IF(ISNUMBER(BR237),SUM(BR221:BR232),"")</f>
        <v>217.2</v>
      </c>
      <c r="BS233" s="20" t="n">
        <f aca="false">IF(ISNUMBER(BS237),SUM(BS221:BS232),"")</f>
        <v>223.7</v>
      </c>
      <c r="BT233" s="20" t="n">
        <f aca="false">IF(ISNUMBER(BT237),SUM(BT221:BT232),"")</f>
        <v>440.9</v>
      </c>
      <c r="BU233" s="20" t="n">
        <f aca="false">IF(ISNUMBER(BU237),SUM(BU221:BU232),"")</f>
        <v>241.9</v>
      </c>
      <c r="BV233" s="20" t="n">
        <f aca="false">IF(ISNUMBER(BV237),SUM(BV221:BV232),"")</f>
        <v>260.5</v>
      </c>
      <c r="BW233" s="35" t="n">
        <f aca="false">IF(ISNUMBER(BW237),SUM(BW221:BW232),"")</f>
        <v>943.3</v>
      </c>
      <c r="BX233" s="20" t="n">
        <f aca="false">IF(ISNUMBER(BX237),SUM(BX221:BX232),"")</f>
        <v>218.3</v>
      </c>
      <c r="BY233" s="20" t="n">
        <f aca="false">IF(ISNUMBER(BY237),SUM(BY221:BY232),"")</f>
        <v>218.7</v>
      </c>
      <c r="BZ233" s="20" t="n">
        <f aca="false">IF(ISNUMBER(BZ237),SUM(BZ221:BZ232),"")</f>
        <v>437</v>
      </c>
      <c r="CA233" s="20" t="n">
        <f aca="false">IF(ISNUMBER(CA237),SUM(CA221:CA232),"")</f>
        <v>241.3</v>
      </c>
      <c r="CB233" s="20" t="n">
        <f aca="false">IF(ISNUMBER(CB237),SUM(CB221:CB232),"")</f>
        <v>260.9</v>
      </c>
      <c r="CC233" s="35" t="n">
        <f aca="false">IF(ISNUMBER(CC237),SUM(CC221:CC232),"")</f>
        <v>939.2</v>
      </c>
      <c r="CD233" s="20" t="n">
        <f aca="false">IF(ISNUMBER(CD237),SUM(CD221:CD232),"")</f>
        <v>234</v>
      </c>
      <c r="CE233" s="20" t="n">
        <f aca="false">IF(ISNUMBER(CE237),SUM(CE221:CE232),"")</f>
        <v>246.3</v>
      </c>
      <c r="CF233" s="20" t="n">
        <f aca="false">IF(ISNUMBER(CF237),SUM(CF221:CF232),"")</f>
        <v>480.3</v>
      </c>
      <c r="CG233" s="20" t="n">
        <f aca="false">IF(ISNUMBER(CG237),SUM(CG221:CG232),"")</f>
        <v>264.5</v>
      </c>
      <c r="CH233" s="20" t="n">
        <f aca="false">IF(ISNUMBER(CH237),SUM(CH221:CH232),"")</f>
        <v>297.5</v>
      </c>
      <c r="CI233" s="35" t="n">
        <f aca="false">IF(ISNUMBER(CI237),SUM(CI221:CI232),"")</f>
        <v>1042.3</v>
      </c>
      <c r="CJ233" s="20" t="n">
        <f aca="false">IF(ISNUMBER(CJ237),SUM(CJ221:CJ232),"")</f>
        <v>271.4</v>
      </c>
      <c r="CK233" s="20" t="n">
        <f aca="false">IF(ISNUMBER(CK237),SUM(CK221:CK232),"")</f>
        <v>294.3</v>
      </c>
      <c r="CL233" s="20" t="n">
        <f aca="false">IF(ISNUMBER(CL237),SUM(CL221:CL232),"")</f>
        <v>565.7</v>
      </c>
      <c r="CM233" s="35" t="n">
        <f aca="false">SUM(CM221:CM232)</f>
        <v>286.09</v>
      </c>
      <c r="CN233" s="35" t="n">
        <f aca="false">SUM(CN221:CN232)</f>
        <v>298.99125</v>
      </c>
      <c r="CO233" s="35" t="n">
        <f aca="false">SUM(CJ233,CK233,CM233,CN233)</f>
        <v>1150.78125</v>
      </c>
      <c r="CP233" s="35" t="n">
        <f aca="false">SUM(CP221:CP232)</f>
        <v>1300.76811348653</v>
      </c>
      <c r="CQ233" s="35" t="n">
        <f aca="false">SUM(CQ221:CQ232)</f>
        <v>1443.63839430276</v>
      </c>
      <c r="CR233" s="35" t="n">
        <f aca="false">SUM(CR221:CR232)</f>
        <v>1592.64386121352</v>
      </c>
      <c r="CS233" s="35" t="n">
        <f aca="false">SUM(CS221:CS232)</f>
        <v>1755.43665565076</v>
      </c>
      <c r="CT233" s="23" t="s">
        <v>354</v>
      </c>
      <c r="CV233" s="24" t="n">
        <f aca="false">IFERROR((CS233/CI233)^(1/5)-1,"n/m")</f>
        <v>0.109886285487085</v>
      </c>
      <c r="CW233" s="24" t="n">
        <f aca="false">IFERROR((CI233/BE233)^(1/5)-1,"n/m")</f>
        <v>0.192840182057888</v>
      </c>
      <c r="CX233" s="24" t="str">
        <f aca="false">IFERROR((CI233/AA233)^(1/10)-1,"n/m")</f>
        <v>n/m</v>
      </c>
      <c r="CY233" s="24" t="n">
        <f aca="false">IFERROR((CI233/C233)^(1/19)-1,"n/m")</f>
        <v>0.141888790229619</v>
      </c>
    </row>
    <row r="234" customFormat="false" ht="15" hidden="false" customHeight="true" outlineLevel="0" collapsed="false">
      <c r="B234" s="26" t="s">
        <v>355</v>
      </c>
      <c r="C234" s="40" t="n">
        <f aca="false">IFERROR(-C230/SUM(C222:C229),"")</f>
        <v>-0</v>
      </c>
      <c r="D234" s="40" t="n">
        <f aca="false">IFERROR(-D230/SUM(D222:D229),"")</f>
        <v>-0</v>
      </c>
      <c r="E234" s="40" t="str">
        <f aca="false">IFERROR(-E230/SUM(E222:E229),"")</f>
        <v/>
      </c>
      <c r="F234" s="40" t="str">
        <f aca="false">IFERROR(-F230/SUM(F222:F229),"")</f>
        <v/>
      </c>
      <c r="G234" s="40" t="str">
        <f aca="false">IFERROR(-G230/SUM(G222:G229),"")</f>
        <v/>
      </c>
      <c r="H234" s="40" t="str">
        <f aca="false">IFERROR(-H230/SUM(H222:H229),"")</f>
        <v/>
      </c>
      <c r="I234" s="40" t="str">
        <f aca="false">IFERROR(-I230/SUM(I222:I229),"")</f>
        <v/>
      </c>
      <c r="J234" s="40" t="str">
        <f aca="false">IFERROR(-J230/SUM(J222:J229),"")</f>
        <v/>
      </c>
      <c r="K234" s="40" t="str">
        <f aca="false">IFERROR(-K230/SUM(K222:K229),"")</f>
        <v/>
      </c>
      <c r="L234" s="40" t="str">
        <f aca="false">IFERROR(-L230/SUM(L222:L229),"")</f>
        <v/>
      </c>
      <c r="M234" s="40" t="str">
        <f aca="false">IFERROR(-M230/SUM(M222:M229),"")</f>
        <v/>
      </c>
      <c r="N234" s="40" t="str">
        <f aca="false">IFERROR(-N230/SUM(N222:N229),"")</f>
        <v/>
      </c>
      <c r="O234" s="40" t="str">
        <f aca="false">IFERROR(-O230/SUM(O222:O229),"")</f>
        <v/>
      </c>
      <c r="P234" s="40" t="str">
        <f aca="false">IFERROR(-P230/SUM(P222:P229),"")</f>
        <v/>
      </c>
      <c r="Q234" s="40" t="str">
        <f aca="false">IFERROR(-Q230/SUM(Q222:Q229),"")</f>
        <v/>
      </c>
      <c r="R234" s="40" t="str">
        <f aca="false">IFERROR(-R230/SUM(R222:R229),"")</f>
        <v/>
      </c>
      <c r="S234" s="40" t="str">
        <f aca="false">IFERROR(-S230/SUM(S222:S229),"")</f>
        <v/>
      </c>
      <c r="T234" s="40" t="str">
        <f aca="false">IFERROR(-T230/SUM(T222:T229),"")</f>
        <v/>
      </c>
      <c r="U234" s="40" t="str">
        <f aca="false">IFERROR(-U230/SUM(U222:U229),"")</f>
        <v/>
      </c>
      <c r="V234" s="40" t="str">
        <f aca="false">IFERROR(-V230/SUM(V222:V229),"")</f>
        <v/>
      </c>
      <c r="W234" s="40" t="str">
        <f aca="false">IFERROR(-W230/SUM(W222:W229),"")</f>
        <v/>
      </c>
      <c r="X234" s="40" t="str">
        <f aca="false">IFERROR(-X230/SUM(X222:X229),"")</f>
        <v/>
      </c>
      <c r="Y234" s="40" t="str">
        <f aca="false">IFERROR(-Y230/SUM(Y222:Y229),"")</f>
        <v/>
      </c>
      <c r="Z234" s="40" t="str">
        <f aca="false">IFERROR(-Z230/SUM(Z222:Z229),"")</f>
        <v/>
      </c>
      <c r="AA234" s="40" t="str">
        <f aca="false">IFERROR(-AA230/SUM(AA222:AA229),"")</f>
        <v/>
      </c>
      <c r="AB234" s="40" t="n">
        <f aca="false">IFERROR(-AB230/SUM(AB222:AB229),"")</f>
        <v>-0</v>
      </c>
      <c r="AC234" s="40" t="str">
        <f aca="false">IFERROR(-AC230/SUM(AC222:AC229),"")</f>
        <v/>
      </c>
      <c r="AD234" s="40" t="n">
        <f aca="false">IFERROR(-AD230/SUM(AD222:AD229),"")</f>
        <v>-0</v>
      </c>
      <c r="AE234" s="40" t="str">
        <f aca="false">IFERROR(-AE230/SUM(AE222:AE229),"")</f>
        <v/>
      </c>
      <c r="AF234" s="40" t="n">
        <f aca="false">IFERROR(-AF230/SUM(AF222:AF229),"")</f>
        <v>0.425610948191593</v>
      </c>
      <c r="AG234" s="40" t="n">
        <f aca="false">IFERROR(-AG230/SUM(AG222:AG229),"")</f>
        <v>0.444330425859415</v>
      </c>
      <c r="AH234" s="40" t="n">
        <f aca="false">IFERROR(-AH230/SUM(AH222:AH229),"")</f>
        <v>0.290536382142688</v>
      </c>
      <c r="AI234" s="40" t="n">
        <f aca="false">IFERROR(-AI230/SUM(AI222:AI229),"")</f>
        <v>0.2715</v>
      </c>
      <c r="AJ234" s="40" t="n">
        <f aca="false">IFERROR(-AJ230/SUM(AJ222:AJ229),"")</f>
        <v>0.287505473072483</v>
      </c>
      <c r="AK234" s="40" t="n">
        <f aca="false">IFERROR(-AK230/SUM(AK222:AK229),"")</f>
        <v>0.236979166666667</v>
      </c>
      <c r="AL234" s="40" t="n">
        <f aca="false">IFERROR(-AL230/SUM(AL222:AL229),"")</f>
        <v>0.333636363636364</v>
      </c>
      <c r="AM234" s="40" t="n">
        <f aca="false">IFERROR(-AM230/SUM(AM222:AM229),"")</f>
        <v>0.269697982837401</v>
      </c>
      <c r="AN234" s="40" t="str">
        <f aca="false">IFERROR(-AN230/SUM(AN222:AN229),"")</f>
        <v/>
      </c>
      <c r="AO234" s="40" t="str">
        <f aca="false">IFERROR(-AO230/SUM(AO222:AO229),"")</f>
        <v/>
      </c>
      <c r="AP234" s="40" t="str">
        <f aca="false">IFERROR(-AP230/SUM(AP222:AP229),"")</f>
        <v/>
      </c>
      <c r="AQ234" s="40" t="str">
        <f aca="false">IFERROR(-AQ230/SUM(AQ222:AQ229),"")</f>
        <v/>
      </c>
      <c r="AR234" s="40" t="str">
        <f aca="false">IFERROR(-AR230/SUM(AR222:AR229),"")</f>
        <v/>
      </c>
      <c r="AS234" s="40" t="str">
        <f aca="false">IFERROR(-AS230/SUM(AS222:AS229),"")</f>
        <v/>
      </c>
      <c r="AT234" s="40" t="str">
        <f aca="false">IFERROR(-AT230/SUM(AT222:AT229),"")</f>
        <v/>
      </c>
      <c r="AU234" s="40" t="str">
        <f aca="false">IFERROR(-AU230/SUM(AU222:AU229),"")</f>
        <v/>
      </c>
      <c r="AV234" s="40" t="str">
        <f aca="false">IFERROR(-AV230/SUM(AV222:AV229),"")</f>
        <v/>
      </c>
      <c r="AW234" s="40" t="str">
        <f aca="false">IFERROR(-AW230/SUM(AW222:AW229),"")</f>
        <v/>
      </c>
      <c r="AX234" s="40" t="str">
        <f aca="false">IFERROR(-AX230/SUM(AX222:AX229),"")</f>
        <v/>
      </c>
      <c r="AY234" s="40" t="str">
        <f aca="false">IFERROR(-AY230/SUM(AY222:AY229),"")</f>
        <v/>
      </c>
      <c r="AZ234" s="40" t="n">
        <f aca="false">IFERROR(-AZ230/SUM(AZ222:AZ229),"")</f>
        <v>0.239583333333333</v>
      </c>
      <c r="BA234" s="40" t="n">
        <f aca="false">IFERROR(-BA230/SUM(BA222:BA229),"")</f>
        <v>0.237113402061856</v>
      </c>
      <c r="BB234" s="40" t="n">
        <f aca="false">IFERROR(-BB230/SUM(BB222:BB229),"")</f>
        <v>0.238341968911917</v>
      </c>
      <c r="BC234" s="40" t="n">
        <f aca="false">IFERROR(-BC230/SUM(BC222:BC229),"")</f>
        <v>0.232323232323232</v>
      </c>
      <c r="BD234" s="40" t="n">
        <f aca="false">IFERROR(-BD230/SUM(BD222:BD229),"")</f>
        <v>0.229166666666667</v>
      </c>
      <c r="BE234" s="40" t="n">
        <f aca="false">IFERROR(-BE230/SUM(BE222:BE229),"")</f>
        <v>0.234536082474227</v>
      </c>
      <c r="BF234" s="40" t="n">
        <f aca="false">IFERROR(-BF230/SUM(BF222:BF229),"")</f>
        <v>0.209503239740821</v>
      </c>
      <c r="BG234" s="40" t="n">
        <f aca="false">IFERROR(-BG230/SUM(BG222:BG229),"")</f>
        <v>0.177836761778368</v>
      </c>
      <c r="BH234" s="40" t="n">
        <f aca="false">IFERROR(-BH230/SUM(BH222:BH229),"")</f>
        <v>0.185279187817259</v>
      </c>
      <c r="BI234" s="40" t="n">
        <f aca="false">IFERROR(-BI230/SUM(BI222:BI229),"")</f>
        <v>0.226435536294691</v>
      </c>
      <c r="BJ234" s="40" t="n">
        <f aca="false">IFERROR(-BJ230/SUM(BJ222:BJ229),"")</f>
        <v>0.23</v>
      </c>
      <c r="BK234" s="40" t="n">
        <f aca="false">IFERROR(-BK230/SUM(BK222:BK229),"")</f>
        <v>0.206524531209864</v>
      </c>
      <c r="BL234" s="40" t="n">
        <f aca="false">IFERROR(-BL230/SUM(BL222:BL229),"")</f>
        <v>0.229477611940299</v>
      </c>
      <c r="BM234" s="40" t="n">
        <f aca="false">IFERROR(-BM230/SUM(BM222:BM229),"")</f>
        <v>0.231968810916179</v>
      </c>
      <c r="BN234" s="40" t="n">
        <f aca="false">IFERROR(-BN230/SUM(BN222:BN229),"")</f>
        <v>0.23069590085796</v>
      </c>
      <c r="BO234" s="40" t="n">
        <f aca="false">IFERROR(-BO230/SUM(BO222:BO229),"")</f>
        <v>0.235173824130879</v>
      </c>
      <c r="BP234" s="40" t="n">
        <f aca="false">IFERROR(-BP230/SUM(BP222:BP229),"")</f>
        <v>0.230068337129841</v>
      </c>
      <c r="BQ234" s="40" t="n">
        <f aca="false">IFERROR(-BQ230/SUM(BQ222:BQ229),"")</f>
        <v>0.231664137582195</v>
      </c>
      <c r="BR234" s="40" t="n">
        <f aca="false">IFERROR(-BR230/SUM(BR222:BR229),"")</f>
        <v>0.231388329979879</v>
      </c>
      <c r="BS234" s="40" t="n">
        <f aca="false">IFERROR(-BS230/SUM(BS222:BS229),"")</f>
        <v>0.22920892494929</v>
      </c>
      <c r="BT234" s="40" t="n">
        <f aca="false">IFERROR(-BT230/SUM(BT222:BT229),"")</f>
        <v>0.23030303030303</v>
      </c>
      <c r="BU234" s="40" t="n">
        <f aca="false">IFERROR(-BU230/SUM(BU222:BU229),"")</f>
        <v>0.229508196721311</v>
      </c>
      <c r="BV234" s="40" t="n">
        <f aca="false">IFERROR(-BV230/SUM(BV222:BV229),"")</f>
        <v>0.232558139534884</v>
      </c>
      <c r="BW234" s="40" t="n">
        <f aca="false">IFERROR(-BW230/SUM(BW222:BW229),"")</f>
        <v>0.230656934306569</v>
      </c>
      <c r="BX234" s="40" t="n">
        <f aca="false">IFERROR(-BX230/SUM(BX222:BX229),"")</f>
        <v>0.234496124031008</v>
      </c>
      <c r="BY234" s="40" t="n">
        <f aca="false">IFERROR(-BY230/SUM(BY222:BY229),"")</f>
        <v>0.235528942115768</v>
      </c>
      <c r="BZ234" s="40" t="n">
        <f aca="false">IFERROR(-BZ230/SUM(BZ222:BZ229),"")</f>
        <v>0.235004916420846</v>
      </c>
      <c r="CA234" s="40" t="n">
        <f aca="false">IFERROR(-CA230/SUM(CA222:CA229),"")</f>
        <v>0.233644859813084</v>
      </c>
      <c r="CB234" s="40" t="n">
        <f aca="false">IFERROR(-CB230/SUM(CB222:CB229),"")</f>
        <v>0.238187078109932</v>
      </c>
      <c r="CC234" s="40" t="n">
        <f aca="false">IFERROR(-CC230/SUM(CC222:CC229),"")</f>
        <v>0.235998455001931</v>
      </c>
      <c r="CD234" s="40" t="n">
        <f aca="false">IFERROR(-CD230/SUM(CD222:CD229),"")</f>
        <v>0.235690235690236</v>
      </c>
      <c r="CE234" s="40" t="n">
        <f aca="false">IFERROR(-CE230/SUM(CE222:CE229),"")</f>
        <v>0.235701906412478</v>
      </c>
      <c r="CF234" s="40" t="n">
        <f aca="false">IFERROR(-CF230/SUM(CF222:CF229),"")</f>
        <v>0.235695986336465</v>
      </c>
      <c r="CG234" s="40" t="n">
        <f aca="false">IFERROR(-CG230/SUM(CG222:CG229),"")</f>
        <v>0.237762237762238</v>
      </c>
      <c r="CH234" s="40" t="n">
        <f aca="false">IFERROR(-CH230/SUM(CH222:CH229),"")</f>
        <v>0.23613595706619</v>
      </c>
      <c r="CI234" s="40" t="n">
        <f aca="false">IFERROR(-CI230/SUM(CI222:CI229),"")</f>
        <v>0.236316246741964</v>
      </c>
      <c r="CJ234" s="40" t="n">
        <f aca="false">IFERROR(-CJ230/SUM(CJ222:CJ229),"")</f>
        <v>0.237024221453287</v>
      </c>
      <c r="CK234" s="40" t="n">
        <f aca="false">IFERROR(-CK230/SUM(CK222:CK229),"")</f>
        <v>0.233096085409253</v>
      </c>
      <c r="CL234" s="40" t="n">
        <f aca="false">IFERROR(-CL230/SUM(CL222:CL229),"")</f>
        <v>0.235087719298246</v>
      </c>
      <c r="CM234" s="28" t="n">
        <f aca="false">$DD$16</f>
        <v>0.215</v>
      </c>
      <c r="CN234" s="28" t="n">
        <f aca="false">$DD$16</f>
        <v>0.215</v>
      </c>
      <c r="CO234" s="28" t="n">
        <f aca="false">$DD$16</f>
        <v>0.215</v>
      </c>
      <c r="CP234" s="46" t="n">
        <v>0.235</v>
      </c>
      <c r="CQ234" s="46" t="n">
        <v>0.235</v>
      </c>
      <c r="CR234" s="46" t="n">
        <v>0.235</v>
      </c>
      <c r="CS234" s="46" t="n">
        <v>0.235</v>
      </c>
      <c r="CT234" s="23" t="s">
        <v>356</v>
      </c>
      <c r="CV234" s="7"/>
      <c r="CW234" s="7"/>
      <c r="CX234" s="7"/>
      <c r="CY234" s="7"/>
    </row>
    <row r="235" customFormat="false" ht="15" hidden="false" customHeight="true" outlineLevel="0" collapsed="false">
      <c r="B235" s="13" t="s">
        <v>287</v>
      </c>
      <c r="C235" s="52" t="n">
        <f aca="false">C179</f>
        <v>35.5</v>
      </c>
      <c r="D235" s="52" t="n">
        <f aca="false">D179</f>
        <v>36.2</v>
      </c>
      <c r="E235" s="52" t="n">
        <f aca="false">E179</f>
        <v>36.5</v>
      </c>
      <c r="F235" s="52" t="n">
        <f aca="false">F179</f>
        <v>36.6</v>
      </c>
      <c r="G235" s="52" t="n">
        <f aca="false">G179</f>
        <v>36.9</v>
      </c>
      <c r="H235" s="52" t="n">
        <f aca="false">H179</f>
        <v>37.3</v>
      </c>
      <c r="I235" s="52" t="n">
        <f aca="false">I179</f>
        <v>37.4</v>
      </c>
      <c r="J235" s="52" t="n">
        <f aca="false">J179</f>
        <v>37.8</v>
      </c>
      <c r="K235" s="52" t="n">
        <f aca="false">K179</f>
        <v>38</v>
      </c>
      <c r="L235" s="52" t="n">
        <f aca="false">L179</f>
        <v>37.9</v>
      </c>
      <c r="M235" s="52" t="n">
        <f aca="false">M179</f>
        <v>38.1</v>
      </c>
      <c r="N235" s="52" t="n">
        <f aca="false">N179</f>
        <v>38.2</v>
      </c>
      <c r="O235" s="52" t="n">
        <f aca="false">O179</f>
        <v>38</v>
      </c>
      <c r="P235" s="52" t="n">
        <f aca="false">P179</f>
        <v>38.3</v>
      </c>
      <c r="Q235" s="52" t="n">
        <f aca="false">Q179</f>
        <v>38.1</v>
      </c>
      <c r="R235" s="52" t="n">
        <f aca="false">R179</f>
        <v>38.2</v>
      </c>
      <c r="S235" s="52" t="n">
        <f aca="false">S179</f>
        <v>37.8</v>
      </c>
      <c r="T235" s="52" t="n">
        <f aca="false">T179</f>
        <v>37.2</v>
      </c>
      <c r="U235" s="52" t="n">
        <f aca="false">U179</f>
        <v>37.9</v>
      </c>
      <c r="V235" s="52" t="n">
        <f aca="false">V179</f>
        <v>36.5</v>
      </c>
      <c r="W235" s="52" t="n">
        <f aca="false">W179</f>
        <v>36.1</v>
      </c>
      <c r="X235" s="52" t="n">
        <f aca="false">X179</f>
        <v>36.3</v>
      </c>
      <c r="Y235" s="52" t="n">
        <f aca="false">Y179</f>
        <v>36.1</v>
      </c>
      <c r="Z235" s="52" t="n">
        <f aca="false">Z179</f>
        <v>35.4</v>
      </c>
      <c r="AA235" s="52" t="n">
        <f aca="false">AA179</f>
        <v>36</v>
      </c>
      <c r="AB235" s="52" t="n">
        <f aca="false">AB179</f>
        <v>35.2</v>
      </c>
      <c r="AC235" s="52" t="n">
        <f aca="false">AC179</f>
        <v>35.3</v>
      </c>
      <c r="AD235" s="52" t="n">
        <f aca="false">AD179</f>
        <v>35.25</v>
      </c>
      <c r="AE235" s="52" t="n">
        <f aca="false">AE179</f>
        <v>35.6</v>
      </c>
      <c r="AF235" s="52" t="n">
        <f aca="false">AF179</f>
        <v>35.9</v>
      </c>
      <c r="AG235" s="52" t="n">
        <f aca="false">AG179</f>
        <v>35.5</v>
      </c>
      <c r="AH235" s="52" t="n">
        <f aca="false">AH179</f>
        <v>36.1</v>
      </c>
      <c r="AI235" s="52" t="n">
        <f aca="false">AI179</f>
        <v>36.2</v>
      </c>
      <c r="AJ235" s="52" t="n">
        <f aca="false">AJ179</f>
        <v>36.15</v>
      </c>
      <c r="AK235" s="52" t="n">
        <f aca="false">AK179</f>
        <v>36.4</v>
      </c>
      <c r="AL235" s="52" t="n">
        <f aca="false">AL179</f>
        <v>36.7</v>
      </c>
      <c r="AM235" s="52" t="n">
        <f aca="false">AM179</f>
        <v>36.3</v>
      </c>
      <c r="AN235" s="52" t="n">
        <f aca="false">AN179</f>
        <v>36.8</v>
      </c>
      <c r="AO235" s="52" t="n">
        <f aca="false">AO179</f>
        <v>37</v>
      </c>
      <c r="AP235" s="52" t="n">
        <f aca="false">AP179</f>
        <v>36.9</v>
      </c>
      <c r="AQ235" s="52" t="n">
        <f aca="false">AQ179</f>
        <v>37.2</v>
      </c>
      <c r="AR235" s="52" t="n">
        <f aca="false">AR179</f>
        <v>37.2</v>
      </c>
      <c r="AS235" s="52" t="n">
        <f aca="false">AS179</f>
        <v>37</v>
      </c>
      <c r="AT235" s="52" t="n">
        <f aca="false">AT179</f>
        <v>37.2</v>
      </c>
      <c r="AU235" s="52" t="n">
        <f aca="false">AU179</f>
        <v>37.4</v>
      </c>
      <c r="AV235" s="52" t="n">
        <f aca="false">AV179</f>
        <v>37.3</v>
      </c>
      <c r="AW235" s="52" t="n">
        <f aca="false">AW179</f>
        <v>37.6</v>
      </c>
      <c r="AX235" s="52" t="n">
        <f aca="false">AX179</f>
        <v>37.8</v>
      </c>
      <c r="AY235" s="52" t="n">
        <f aca="false">AY179</f>
        <v>37.5</v>
      </c>
      <c r="AZ235" s="52" t="n">
        <f aca="false">AZ179</f>
        <v>37.8</v>
      </c>
      <c r="BA235" s="52" t="n">
        <f aca="false">BA179</f>
        <v>37.8</v>
      </c>
      <c r="BB235" s="52" t="n">
        <f aca="false">BB179</f>
        <v>37.8</v>
      </c>
      <c r="BC235" s="52" t="n">
        <f aca="false">BC179</f>
        <v>37.8</v>
      </c>
      <c r="BD235" s="52" t="n">
        <f aca="false">BD179</f>
        <v>38</v>
      </c>
      <c r="BE235" s="52" t="n">
        <f aca="false">BE179</f>
        <v>37.9</v>
      </c>
      <c r="BF235" s="52" t="n">
        <f aca="false">BF179</f>
        <v>38</v>
      </c>
      <c r="BG235" s="52" t="n">
        <f aca="false">BG179</f>
        <v>43.6</v>
      </c>
      <c r="BH235" s="52" t="n">
        <f aca="false">BH179</f>
        <v>40.8</v>
      </c>
      <c r="BI235" s="52" t="n">
        <f aca="false">BI179</f>
        <v>47.7</v>
      </c>
      <c r="BJ235" s="52" t="n">
        <f aca="false">BJ179</f>
        <v>47.7</v>
      </c>
      <c r="BK235" s="52" t="n">
        <f aca="false">BK179</f>
        <v>44.3</v>
      </c>
      <c r="BL235" s="52" t="n">
        <f aca="false">BL179</f>
        <v>47.7</v>
      </c>
      <c r="BM235" s="52" t="n">
        <f aca="false">BM179</f>
        <v>47.7</v>
      </c>
      <c r="BN235" s="52" t="n">
        <f aca="false">BN179</f>
        <v>47.7</v>
      </c>
      <c r="BO235" s="52" t="n">
        <f aca="false">BO179</f>
        <v>47.7</v>
      </c>
      <c r="BP235" s="52" t="n">
        <f aca="false">BP179</f>
        <v>47.8</v>
      </c>
      <c r="BQ235" s="52" t="n">
        <f aca="false">BQ179</f>
        <v>47.7</v>
      </c>
      <c r="BR235" s="52" t="n">
        <f aca="false">BR179</f>
        <v>47.9</v>
      </c>
      <c r="BS235" s="52" t="n">
        <f aca="false">BS179</f>
        <v>47.9</v>
      </c>
      <c r="BT235" s="52" t="n">
        <f aca="false">BT179</f>
        <v>47.9</v>
      </c>
      <c r="BU235" s="52" t="n">
        <f aca="false">BU179</f>
        <v>47.9</v>
      </c>
      <c r="BV235" s="52" t="n">
        <f aca="false">BV179</f>
        <v>47.9</v>
      </c>
      <c r="BW235" s="52" t="n">
        <f aca="false">BW179</f>
        <v>47.9</v>
      </c>
      <c r="BX235" s="52" t="n">
        <f aca="false">BX179</f>
        <v>48</v>
      </c>
      <c r="BY235" s="52" t="n">
        <f aca="false">BY179</f>
        <v>47.8</v>
      </c>
      <c r="BZ235" s="52" t="n">
        <f aca="false">BZ179</f>
        <v>47.9</v>
      </c>
      <c r="CA235" s="52" t="n">
        <f aca="false">CA179</f>
        <v>47.3</v>
      </c>
      <c r="CB235" s="52" t="n">
        <f aca="false">CB179</f>
        <v>47.3</v>
      </c>
      <c r="CC235" s="52" t="n">
        <f aca="false">CC179</f>
        <v>47.6</v>
      </c>
      <c r="CD235" s="52" t="n">
        <f aca="false">CD179</f>
        <v>47.3</v>
      </c>
      <c r="CE235" s="52" t="n">
        <f aca="false">CE179</f>
        <v>47.4</v>
      </c>
      <c r="CF235" s="52" t="n">
        <f aca="false">CF179</f>
        <v>47.35</v>
      </c>
      <c r="CG235" s="52" t="n">
        <f aca="false">CG179</f>
        <v>47.5</v>
      </c>
      <c r="CH235" s="52" t="n">
        <f aca="false">CH179</f>
        <v>47.2</v>
      </c>
      <c r="CI235" s="52" t="n">
        <f aca="false">CI179</f>
        <v>47.4</v>
      </c>
      <c r="CJ235" s="52" t="n">
        <f aca="false">CJ179</f>
        <v>46.8</v>
      </c>
      <c r="CK235" s="52" t="n">
        <f aca="false">CK179</f>
        <v>46.9</v>
      </c>
      <c r="CL235" s="52" t="n">
        <f aca="false">CL179</f>
        <v>46.85</v>
      </c>
      <c r="CM235" s="53" t="n">
        <f aca="false">CM179</f>
        <v>46.9</v>
      </c>
      <c r="CN235" s="53" t="n">
        <f aca="false">CN179</f>
        <v>46.9</v>
      </c>
      <c r="CO235" s="53" t="n">
        <f aca="false">CO179</f>
        <v>46.875</v>
      </c>
      <c r="CP235" s="53" t="n">
        <f aca="false">CP179</f>
        <v>46.9902978294203</v>
      </c>
      <c r="CQ235" s="53" t="n">
        <f aca="false">CQ179</f>
        <v>46.772814462037</v>
      </c>
      <c r="CR235" s="53" t="n">
        <f aca="false">CR179</f>
        <v>46.5793720626134</v>
      </c>
      <c r="CS235" s="53" t="n">
        <f aca="false">CS179</f>
        <v>46.4083978575447</v>
      </c>
      <c r="CT235" s="23"/>
      <c r="CV235" s="7"/>
      <c r="CW235" s="7"/>
      <c r="CX235" s="7"/>
      <c r="CY235" s="7"/>
    </row>
    <row r="236" customFormat="false" ht="15" hidden="false" customHeight="true" outlineLevel="0" collapsed="false">
      <c r="B236" s="34" t="s">
        <v>357</v>
      </c>
      <c r="C236" s="57" t="n">
        <f aca="false">IFERROR(C233/C235,"")</f>
        <v>2.36</v>
      </c>
      <c r="D236" s="57" t="n">
        <f aca="false">IFERROR(D233/D235,"")</f>
        <v>2.72099447513812</v>
      </c>
      <c r="E236" s="57" t="str">
        <f aca="false">IFERROR(E233/E235,"")</f>
        <v/>
      </c>
      <c r="F236" s="57" t="str">
        <f aca="false">IFERROR(F233/F235,"")</f>
        <v/>
      </c>
      <c r="G236" s="57" t="str">
        <f aca="false">IFERROR(G233/G235,"")</f>
        <v/>
      </c>
      <c r="H236" s="57" t="str">
        <f aca="false">IFERROR(H233/H235,"")</f>
        <v/>
      </c>
      <c r="I236" s="57" t="str">
        <f aca="false">IFERROR(I233/I235,"")</f>
        <v/>
      </c>
      <c r="J236" s="58" t="str">
        <f aca="false">IFERROR(J233/J235,"")</f>
        <v/>
      </c>
      <c r="K236" s="58" t="str">
        <f aca="false">IFERROR(K233/K235,"")</f>
        <v/>
      </c>
      <c r="L236" s="58" t="str">
        <f aca="false">IFERROR(L233/L235,"")</f>
        <v/>
      </c>
      <c r="M236" s="58" t="str">
        <f aca="false">IFERROR(M233/M235,"")</f>
        <v/>
      </c>
      <c r="N236" s="58" t="str">
        <f aca="false">IFERROR(N233/N235,"")</f>
        <v/>
      </c>
      <c r="O236" s="57" t="str">
        <f aca="false">IFERROR(O233/O235,"")</f>
        <v/>
      </c>
      <c r="P236" s="58" t="str">
        <f aca="false">IFERROR(P233/P235,"")</f>
        <v/>
      </c>
      <c r="Q236" s="58" t="str">
        <f aca="false">IFERROR(Q233/Q235,"")</f>
        <v/>
      </c>
      <c r="R236" s="58" t="str">
        <f aca="false">IFERROR(R233/R235,"")</f>
        <v/>
      </c>
      <c r="S236" s="58" t="str">
        <f aca="false">IFERROR(S233/S235,"")</f>
        <v/>
      </c>
      <c r="T236" s="58" t="str">
        <f aca="false">IFERROR(T233/T235,"")</f>
        <v/>
      </c>
      <c r="U236" s="57" t="str">
        <f aca="false">IFERROR(U233/U235,"")</f>
        <v/>
      </c>
      <c r="V236" s="58" t="str">
        <f aca="false">IFERROR(V233/V235,"")</f>
        <v/>
      </c>
      <c r="W236" s="58" t="str">
        <f aca="false">IFERROR(W233/W235,"")</f>
        <v/>
      </c>
      <c r="X236" s="58" t="str">
        <f aca="false">IFERROR(X233/X235,"")</f>
        <v/>
      </c>
      <c r="Y236" s="58" t="str">
        <f aca="false">IFERROR(Y233/Y235,"")</f>
        <v/>
      </c>
      <c r="Z236" s="58" t="str">
        <f aca="false">IFERROR(Z233/Z235,"")</f>
        <v/>
      </c>
      <c r="AA236" s="57" t="str">
        <f aca="false">IFERROR(AA233/AA235,"")</f>
        <v/>
      </c>
      <c r="AB236" s="58" t="n">
        <f aca="false">IFERROR(AB233/AB235,"")</f>
        <v>1.11</v>
      </c>
      <c r="AC236" s="58" t="n">
        <f aca="false">IFERROR(AC233/AC235,"")</f>
        <v>1.328611898017</v>
      </c>
      <c r="AD236" s="58" t="n">
        <f aca="false">IFERROR(AD233/AD235,"")</f>
        <v>2.4389219858156</v>
      </c>
      <c r="AE236" s="58" t="n">
        <f aca="false">IFERROR(AE233/AE235,"")</f>
        <v>1.46067415730337</v>
      </c>
      <c r="AF236" s="58" t="n">
        <f aca="false">IFERROR(AF233/AF235,"")</f>
        <v>1.64</v>
      </c>
      <c r="AG236" s="57" t="n">
        <f aca="false">IFERROR(AG233/AG235,"")</f>
        <v>5.53</v>
      </c>
      <c r="AH236" s="58" t="n">
        <f aca="false">IFERROR(AH233/AH235,"")</f>
        <v>1.26</v>
      </c>
      <c r="AI236" s="58" t="n">
        <f aca="false">IFERROR(AI233/AI235,"")</f>
        <v>1.7407182320442</v>
      </c>
      <c r="AJ236" s="58" t="n">
        <f aca="false">IFERROR(AJ233/AJ235,"")</f>
        <v>3.00138312586445</v>
      </c>
      <c r="AK236" s="58" t="n">
        <f aca="false">IFERROR(AK233/AK235,"")</f>
        <v>1.96</v>
      </c>
      <c r="AL236" s="58" t="n">
        <f aca="false">IFERROR(AL233/AL235,"")</f>
        <v>1.95005449591281</v>
      </c>
      <c r="AM236" s="57" t="n">
        <f aca="false">IFERROR(AM233/AM235,"")</f>
        <v>6.93</v>
      </c>
      <c r="AN236" s="58" t="str">
        <f aca="false">IFERROR(AN233/AN235,"")</f>
        <v/>
      </c>
      <c r="AO236" s="58" t="str">
        <f aca="false">IFERROR(AO233/AO235,"")</f>
        <v/>
      </c>
      <c r="AP236" s="58" t="str">
        <f aca="false">IFERROR(AP233/AP235,"")</f>
        <v/>
      </c>
      <c r="AQ236" s="58" t="str">
        <f aca="false">IFERROR(AQ233/AQ235,"")</f>
        <v/>
      </c>
      <c r="AR236" s="58" t="str">
        <f aca="false">IFERROR(AR233/AR235,"")</f>
        <v/>
      </c>
      <c r="AS236" s="57" t="str">
        <f aca="false">IFERROR(AS233/AS235,"")</f>
        <v/>
      </c>
      <c r="AT236" s="58" t="str">
        <f aca="false">IFERROR(AT233/AT235,"")</f>
        <v/>
      </c>
      <c r="AU236" s="58" t="str">
        <f aca="false">IFERROR(AU233/AU235,"")</f>
        <v/>
      </c>
      <c r="AV236" s="58" t="str">
        <f aca="false">IFERROR(AV233/AV235,"")</f>
        <v/>
      </c>
      <c r="AW236" s="58" t="str">
        <f aca="false">IFERROR(AW233/AW235,"")</f>
        <v/>
      </c>
      <c r="AX236" s="58" t="str">
        <f aca="false">IFERROR(AX233/AX235,"")</f>
        <v/>
      </c>
      <c r="AY236" s="57" t="str">
        <f aca="false">IFERROR(AY233/AY235,"")</f>
        <v/>
      </c>
      <c r="AZ236" s="58" t="n">
        <f aca="false">IFERROR(AZ233/AZ235,"")</f>
        <v>2.36772486772487</v>
      </c>
      <c r="BA236" s="58" t="n">
        <f aca="false">IFERROR(BA233/BA235,"")</f>
        <v>2.67460317460317</v>
      </c>
      <c r="BB236" s="58" t="n">
        <f aca="false">IFERROR(BB233/BB235,"")</f>
        <v>5.04232804232804</v>
      </c>
      <c r="BC236" s="58" t="n">
        <f aca="false">IFERROR(BC233/BC235,"")</f>
        <v>2.68518518518519</v>
      </c>
      <c r="BD236" s="58" t="n">
        <f aca="false">IFERROR(BD233/BD235,"")</f>
        <v>3.67105263157895</v>
      </c>
      <c r="BE236" s="57" t="n">
        <f aca="false">IFERROR(BE233/BE235,"")</f>
        <v>11.3878627968338</v>
      </c>
      <c r="BF236" s="58" t="n">
        <f aca="false">IFERROR(BF233/BF235,"")</f>
        <v>3.1921052631579</v>
      </c>
      <c r="BG236" s="58" t="n">
        <f aca="false">IFERROR(BG233/BG235,"")</f>
        <v>4.61009174311927</v>
      </c>
      <c r="BH236" s="58" t="n">
        <f aca="false">IFERROR(BH233/BH235,"")</f>
        <v>7.89950980392157</v>
      </c>
      <c r="BI236" s="58" t="n">
        <f aca="false">IFERROR(BI233/BI235,"")</f>
        <v>4.34381551362684</v>
      </c>
      <c r="BJ236" s="58" t="n">
        <f aca="false">IFERROR(BJ233/BJ235,"")</f>
        <v>4.55765199161426</v>
      </c>
      <c r="BK236" s="57" t="n">
        <f aca="false">IFERROR(BK233/BK235,"")</f>
        <v>16.8600451467269</v>
      </c>
      <c r="BL236" s="58" t="n">
        <f aca="false">IFERROR(BL233/BL235,"")</f>
        <v>4.27463312368973</v>
      </c>
      <c r="BM236" s="58" t="n">
        <f aca="false">IFERROR(BM233/BM235,"")</f>
        <v>4.42976939203354</v>
      </c>
      <c r="BN236" s="58" t="n">
        <f aca="false">IFERROR(BN233/BN235,"")</f>
        <v>8.70440251572327</v>
      </c>
      <c r="BO236" s="58" t="n">
        <f aca="false">IFERROR(BO233/BO235,"")</f>
        <v>4.53878406708595</v>
      </c>
      <c r="BP236" s="58" t="n">
        <f aca="false">IFERROR(BP233/BP235,"")</f>
        <v>4.93933054393306</v>
      </c>
      <c r="BQ236" s="57" t="n">
        <f aca="false">IFERROR(BQ233/BQ235,"")</f>
        <v>18.1928721174004</v>
      </c>
      <c r="BR236" s="58" t="n">
        <f aca="false">IFERROR(BR233/BR235,"")</f>
        <v>4.53444676409186</v>
      </c>
      <c r="BS236" s="58" t="n">
        <f aca="false">IFERROR(BS233/BS235,"")</f>
        <v>4.67014613778706</v>
      </c>
      <c r="BT236" s="58" t="n">
        <f aca="false">IFERROR(BT233/BT235,"")</f>
        <v>9.20459290187892</v>
      </c>
      <c r="BU236" s="58" t="n">
        <f aca="false">IFERROR(BU233/BU235,"")</f>
        <v>5.05010438413361</v>
      </c>
      <c r="BV236" s="58" t="n">
        <f aca="false">IFERROR(BV233/BV235,"")</f>
        <v>5.4384133611691</v>
      </c>
      <c r="BW236" s="57" t="n">
        <f aca="false">IFERROR(BW233/BW235,"")</f>
        <v>19.6931106471816</v>
      </c>
      <c r="BX236" s="58" t="n">
        <f aca="false">IFERROR(BX233/BX235,"")</f>
        <v>4.54791666666666</v>
      </c>
      <c r="BY236" s="58" t="n">
        <f aca="false">IFERROR(BY233/BY235,"")</f>
        <v>4.57531380753138</v>
      </c>
      <c r="BZ236" s="58" t="n">
        <f aca="false">IFERROR(BZ233/BZ235,"")</f>
        <v>9.12317327766179</v>
      </c>
      <c r="CA236" s="58" t="n">
        <f aca="false">IFERROR(CA233/CA235,"")</f>
        <v>5.10147991543341</v>
      </c>
      <c r="CB236" s="58" t="n">
        <f aca="false">IFERROR(CB233/CB235,"")</f>
        <v>5.51585623678647</v>
      </c>
      <c r="CC236" s="57" t="n">
        <f aca="false">IFERROR(CC233/CC235,"")</f>
        <v>19.7310924369748</v>
      </c>
      <c r="CD236" s="58" t="n">
        <f aca="false">IFERROR(CD233/CD235,"")</f>
        <v>4.94714587737844</v>
      </c>
      <c r="CE236" s="58" t="n">
        <f aca="false">IFERROR(CE233/CE235,"")</f>
        <v>5.19620253164557</v>
      </c>
      <c r="CF236" s="58" t="n">
        <f aca="false">IFERROR(CF233/CF235,"")</f>
        <v>10.1436114044351</v>
      </c>
      <c r="CG236" s="58" t="n">
        <f aca="false">IFERROR(CG233/CG235,"")</f>
        <v>5.56842105263158</v>
      </c>
      <c r="CH236" s="58" t="n">
        <f aca="false">IFERROR(CH233/CH235,"")</f>
        <v>6.30296610169491</v>
      </c>
      <c r="CI236" s="57" t="n">
        <f aca="false">IFERROR(CI233/CI235,"")</f>
        <v>21.9894514767933</v>
      </c>
      <c r="CJ236" s="58" t="n">
        <f aca="false">IFERROR(CJ233/CJ235,"")</f>
        <v>5.7991452991453</v>
      </c>
      <c r="CK236" s="58" t="n">
        <f aca="false">IFERROR(CK233/CK235,"")</f>
        <v>6.27505330490405</v>
      </c>
      <c r="CL236" s="58" t="n">
        <f aca="false">IFERROR(CL233/CL235,"")</f>
        <v>12.0747065101387</v>
      </c>
      <c r="CM236" s="57" t="n">
        <f aca="false">IFERROR(CM233/CM235,"")</f>
        <v>6.1</v>
      </c>
      <c r="CN236" s="57" t="n">
        <f aca="false">IFERROR(CN233/CN235,"")</f>
        <v>6.37507995735607</v>
      </c>
      <c r="CO236" s="57" t="n">
        <f aca="false">IFERROR(CO233/CO235,"")</f>
        <v>24.55</v>
      </c>
      <c r="CP236" s="57" t="n">
        <f aca="false">IFERROR(CP233/CP235,"")</f>
        <v>27.6816316042187</v>
      </c>
      <c r="CQ236" s="57" t="n">
        <f aca="false">IFERROR(CQ233/CQ235,"")</f>
        <v>30.8649032756942</v>
      </c>
      <c r="CR236" s="57" t="n">
        <f aca="false">IFERROR(CR233/CR235,"")</f>
        <v>34.192042328794</v>
      </c>
      <c r="CS236" s="57" t="n">
        <f aca="false">IFERROR(CS233/CS235,"")</f>
        <v>37.8258405092815</v>
      </c>
      <c r="CT236" s="23"/>
      <c r="CV236" s="24" t="n">
        <f aca="false">IFERROR((CS236/CI236)^(1/5)-1,"n/m")</f>
        <v>0.114589219555254</v>
      </c>
      <c r="CW236" s="24" t="n">
        <f aca="false">IFERROR((CI236/BE236)^(1/5)-1,"n/m")</f>
        <v>0.140655329577507</v>
      </c>
      <c r="CX236" s="24" t="str">
        <f aca="false">IFERROR((CI236/AA236)^(1/10)-1,"n/m")</f>
        <v>n/m</v>
      </c>
      <c r="CY236" s="24" t="n">
        <f aca="false">IFERROR((CI236/C236)^(1/19)-1,"n/m")</f>
        <v>0.124646187700061</v>
      </c>
    </row>
    <row r="237" customFormat="false" ht="15" hidden="false" customHeight="true" outlineLevel="0" collapsed="false">
      <c r="B237" s="37" t="s">
        <v>358</v>
      </c>
      <c r="C237" s="31" t="n">
        <v>83.78</v>
      </c>
      <c r="D237" s="31" t="n">
        <v>98.464</v>
      </c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1" t="n">
        <v>39.072</v>
      </c>
      <c r="AC237" s="31" t="n">
        <v>46.949</v>
      </c>
      <c r="AD237" s="30" t="n">
        <f aca="false">AB237+AC237</f>
        <v>86.021</v>
      </c>
      <c r="AE237" s="31" t="n">
        <v>51.976</v>
      </c>
      <c r="AF237" s="31" t="n">
        <v>58.876</v>
      </c>
      <c r="AG237" s="31" t="n">
        <v>196.315</v>
      </c>
      <c r="AH237" s="31" t="n">
        <v>45.486</v>
      </c>
      <c r="AI237" s="31" t="n">
        <v>62.988</v>
      </c>
      <c r="AJ237" s="30" t="n">
        <f aca="false">AH237+AI237</f>
        <v>108.474</v>
      </c>
      <c r="AK237" s="31" t="n">
        <v>71.344</v>
      </c>
      <c r="AL237" s="31" t="n">
        <v>71.565</v>
      </c>
      <c r="AM237" s="31" t="n">
        <v>251.559</v>
      </c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1" t="n">
        <v>89.5</v>
      </c>
      <c r="BA237" s="31" t="n">
        <v>101.1</v>
      </c>
      <c r="BB237" s="30" t="n">
        <f aca="false">AZ237+BA237</f>
        <v>190.6</v>
      </c>
      <c r="BC237" s="31" t="n">
        <v>101.5</v>
      </c>
      <c r="BD237" s="31" t="n">
        <v>139.5</v>
      </c>
      <c r="BE237" s="31" t="n">
        <v>431.6</v>
      </c>
      <c r="BF237" s="31" t="n">
        <v>121.3</v>
      </c>
      <c r="BG237" s="31" t="n">
        <v>201</v>
      </c>
      <c r="BH237" s="30" t="n">
        <f aca="false">BF237+BG237</f>
        <v>322.3</v>
      </c>
      <c r="BI237" s="31" t="n">
        <v>207.2</v>
      </c>
      <c r="BJ237" s="31" t="n">
        <v>217.4</v>
      </c>
      <c r="BK237" s="31" t="n">
        <v>746.9</v>
      </c>
      <c r="BL237" s="31" t="n">
        <v>203.9</v>
      </c>
      <c r="BM237" s="31" t="n">
        <v>211.3</v>
      </c>
      <c r="BN237" s="30" t="n">
        <f aca="false">BL237+BM237</f>
        <v>415.2</v>
      </c>
      <c r="BO237" s="31" t="n">
        <v>216.5</v>
      </c>
      <c r="BP237" s="31" t="n">
        <v>236.1</v>
      </c>
      <c r="BQ237" s="31" t="n">
        <v>867.8</v>
      </c>
      <c r="BR237" s="31" t="n">
        <v>217.2</v>
      </c>
      <c r="BS237" s="31" t="n">
        <v>223.7</v>
      </c>
      <c r="BT237" s="30" t="n">
        <f aca="false">BR237+BS237</f>
        <v>440.9</v>
      </c>
      <c r="BU237" s="31" t="n">
        <v>241.9</v>
      </c>
      <c r="BV237" s="31" t="n">
        <v>260.5</v>
      </c>
      <c r="BW237" s="31" t="n">
        <v>943.3</v>
      </c>
      <c r="BX237" s="31" t="n">
        <v>218.3</v>
      </c>
      <c r="BY237" s="31" t="n">
        <v>218.7</v>
      </c>
      <c r="BZ237" s="30" t="n">
        <f aca="false">BX237+BY237</f>
        <v>437</v>
      </c>
      <c r="CA237" s="31" t="n">
        <v>241.3</v>
      </c>
      <c r="CB237" s="31" t="n">
        <v>260.9</v>
      </c>
      <c r="CC237" s="31" t="n">
        <v>939.2</v>
      </c>
      <c r="CD237" s="31" t="n">
        <v>234</v>
      </c>
      <c r="CE237" s="31" t="n">
        <v>246.3</v>
      </c>
      <c r="CF237" s="30" t="n">
        <f aca="false">CD237+CE237</f>
        <v>480.3</v>
      </c>
      <c r="CG237" s="31" t="n">
        <v>264.5</v>
      </c>
      <c r="CH237" s="31" t="n">
        <v>297.5</v>
      </c>
      <c r="CI237" s="31" t="n">
        <v>1042.3</v>
      </c>
      <c r="CJ237" s="31" t="n">
        <v>271.4</v>
      </c>
      <c r="CK237" s="31" t="n">
        <v>294.3</v>
      </c>
      <c r="CL237" s="30" t="n">
        <f aca="false">CJ237+CK237</f>
        <v>565.7</v>
      </c>
      <c r="CM237" s="32"/>
      <c r="CN237" s="32"/>
      <c r="CO237" s="32"/>
      <c r="CP237" s="32"/>
      <c r="CQ237" s="32"/>
      <c r="CR237" s="32"/>
      <c r="CS237" s="32"/>
      <c r="CT237" s="23"/>
      <c r="CV237" s="7"/>
      <c r="CW237" s="7"/>
      <c r="CX237" s="7"/>
      <c r="CY237" s="7"/>
    </row>
    <row r="238" customFormat="false" ht="15" hidden="false" customHeight="true" outlineLevel="0" collapsed="false">
      <c r="B238" s="37" t="s">
        <v>359</v>
      </c>
      <c r="C238" s="59" t="n">
        <v>2.36</v>
      </c>
      <c r="D238" s="59" t="n">
        <v>2.72</v>
      </c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59" t="n">
        <v>1.11</v>
      </c>
      <c r="AC238" s="59" t="n">
        <v>1.33</v>
      </c>
      <c r="AD238" s="60"/>
      <c r="AE238" s="59" t="n">
        <v>1.46</v>
      </c>
      <c r="AF238" s="59" t="n">
        <v>1.64</v>
      </c>
      <c r="AG238" s="59" t="n">
        <v>5.53</v>
      </c>
      <c r="AH238" s="59" t="n">
        <v>1.26</v>
      </c>
      <c r="AI238" s="59" t="n">
        <v>1.74</v>
      </c>
      <c r="AJ238" s="60"/>
      <c r="AK238" s="59" t="n">
        <v>1.96</v>
      </c>
      <c r="AL238" s="59" t="n">
        <v>1.95</v>
      </c>
      <c r="AM238" s="59" t="n">
        <v>6.93</v>
      </c>
      <c r="AN238" s="60"/>
      <c r="AO238" s="60"/>
      <c r="AP238" s="60"/>
      <c r="AQ238" s="60"/>
      <c r="AR238" s="60"/>
      <c r="AS238" s="60"/>
      <c r="AT238" s="60"/>
      <c r="AU238" s="60"/>
      <c r="AV238" s="60"/>
      <c r="AW238" s="60"/>
      <c r="AX238" s="60"/>
      <c r="AY238" s="60"/>
      <c r="AZ238" s="59" t="n">
        <v>2.36</v>
      </c>
      <c r="BA238" s="59" t="n">
        <v>2.68</v>
      </c>
      <c r="BB238" s="60"/>
      <c r="BC238" s="59" t="n">
        <v>2.68</v>
      </c>
      <c r="BD238" s="59" t="n">
        <v>3.68</v>
      </c>
      <c r="BE238" s="59" t="n">
        <v>11.41</v>
      </c>
      <c r="BF238" s="59" t="n">
        <v>3.19</v>
      </c>
      <c r="BG238" s="59" t="n">
        <v>4.61</v>
      </c>
      <c r="BH238" s="60"/>
      <c r="BI238" s="59" t="n">
        <v>4.34</v>
      </c>
      <c r="BJ238" s="59" t="n">
        <v>4.56</v>
      </c>
      <c r="BK238" s="59" t="n">
        <v>16.86</v>
      </c>
      <c r="BL238" s="59" t="n">
        <v>4.27</v>
      </c>
      <c r="BM238" s="59" t="n">
        <v>4.43</v>
      </c>
      <c r="BN238" s="60"/>
      <c r="BO238" s="59" t="n">
        <v>4.54</v>
      </c>
      <c r="BP238" s="59" t="n">
        <v>4.94</v>
      </c>
      <c r="BQ238" s="59" t="n">
        <v>18.19</v>
      </c>
      <c r="BR238" s="59" t="n">
        <v>4.53</v>
      </c>
      <c r="BS238" s="59" t="n">
        <v>4.67</v>
      </c>
      <c r="BT238" s="60"/>
      <c r="BU238" s="59" t="n">
        <v>5.05</v>
      </c>
      <c r="BV238" s="59" t="n">
        <v>5.44</v>
      </c>
      <c r="BW238" s="59" t="n">
        <v>19.69</v>
      </c>
      <c r="BX238" s="59" t="n">
        <v>4.55</v>
      </c>
      <c r="BY238" s="59" t="n">
        <v>4.58</v>
      </c>
      <c r="BZ238" s="60"/>
      <c r="CA238" s="59" t="n">
        <v>5.1</v>
      </c>
      <c r="CB238" s="59" t="n">
        <v>5.52</v>
      </c>
      <c r="CC238" s="59" t="n">
        <v>19.73</v>
      </c>
      <c r="CD238" s="59" t="n">
        <v>4.95</v>
      </c>
      <c r="CE238" s="59" t="n">
        <v>5.2</v>
      </c>
      <c r="CF238" s="60"/>
      <c r="CG238" s="59" t="n">
        <v>5.57</v>
      </c>
      <c r="CH238" s="59" t="n">
        <v>6.3</v>
      </c>
      <c r="CI238" s="59" t="n">
        <v>21.99</v>
      </c>
      <c r="CJ238" s="59" t="n">
        <v>5.8</v>
      </c>
      <c r="CK238" s="59" t="n">
        <v>6.28</v>
      </c>
      <c r="CL238" s="59" t="n">
        <v>12.06</v>
      </c>
      <c r="CM238" s="61"/>
      <c r="CN238" s="61"/>
      <c r="CO238" s="61"/>
      <c r="CP238" s="61"/>
      <c r="CQ238" s="61"/>
      <c r="CR238" s="61"/>
      <c r="CS238" s="61"/>
      <c r="CT238" s="23"/>
      <c r="CV238" s="7"/>
      <c r="CW238" s="7"/>
      <c r="CX238" s="7"/>
      <c r="CY238" s="7"/>
    </row>
    <row r="239" customFormat="false" ht="15" hidden="false" customHeight="true" outlineLevel="0" collapsed="false">
      <c r="B239" s="39" t="s">
        <v>360</v>
      </c>
      <c r="C239" s="30" t="n">
        <f aca="false">IF(ISNUMBER(C237),ROUND(C233-C237,1),"n/p")</f>
        <v>0</v>
      </c>
      <c r="D239" s="30" t="n">
        <f aca="false">IF(ISNUMBER(D237),ROUND(D233-D237,1),"n/p")</f>
        <v>0</v>
      </c>
      <c r="E239" s="30" t="str">
        <f aca="false">IF(ISNUMBER(E237),ROUND(E233-E237,1),"n/p")</f>
        <v>n/p</v>
      </c>
      <c r="F239" s="30" t="str">
        <f aca="false">IF(ISNUMBER(F237),ROUND(F233-F237,1),"n/p")</f>
        <v>n/p</v>
      </c>
      <c r="G239" s="30" t="str">
        <f aca="false">IF(ISNUMBER(G237),ROUND(G233-G237,1),"n/p")</f>
        <v>n/p</v>
      </c>
      <c r="H239" s="30" t="str">
        <f aca="false">IF(ISNUMBER(H237),ROUND(H233-H237,1),"n/p")</f>
        <v>n/p</v>
      </c>
      <c r="I239" s="30" t="str">
        <f aca="false">IF(ISNUMBER(I237),ROUND(I233-I237,1),"n/p")</f>
        <v>n/p</v>
      </c>
      <c r="J239" s="30" t="str">
        <f aca="false">IF(ISNUMBER(J237),ROUND(J233-J237,1),"n/p")</f>
        <v>n/p</v>
      </c>
      <c r="K239" s="30" t="str">
        <f aca="false">IF(ISNUMBER(K237),ROUND(K233-K237,1),"n/p")</f>
        <v>n/p</v>
      </c>
      <c r="L239" s="30" t="str">
        <f aca="false">IF(ISNUMBER(L237),ROUND(L233-L237,1),"n/p")</f>
        <v>n/p</v>
      </c>
      <c r="M239" s="30" t="str">
        <f aca="false">IF(ISNUMBER(M237),ROUND(M233-M237,1),"n/p")</f>
        <v>n/p</v>
      </c>
      <c r="N239" s="30" t="str">
        <f aca="false">IF(ISNUMBER(N237),ROUND(N233-N237,1),"n/p")</f>
        <v>n/p</v>
      </c>
      <c r="O239" s="30" t="str">
        <f aca="false">IF(ISNUMBER(O237),ROUND(O233-O237,1),"n/p")</f>
        <v>n/p</v>
      </c>
      <c r="P239" s="30" t="str">
        <f aca="false">IF(ISNUMBER(P237),ROUND(P233-P237,1),"n/p")</f>
        <v>n/p</v>
      </c>
      <c r="Q239" s="30" t="str">
        <f aca="false">IF(ISNUMBER(Q237),ROUND(Q233-Q237,1),"n/p")</f>
        <v>n/p</v>
      </c>
      <c r="R239" s="30" t="str">
        <f aca="false">IF(ISNUMBER(R237),ROUND(R233-R237,1),"n/p")</f>
        <v>n/p</v>
      </c>
      <c r="S239" s="30" t="str">
        <f aca="false">IF(ISNUMBER(S237),ROUND(S233-S237,1),"n/p")</f>
        <v>n/p</v>
      </c>
      <c r="T239" s="30" t="str">
        <f aca="false">IF(ISNUMBER(T237),ROUND(T233-T237,1),"n/p")</f>
        <v>n/p</v>
      </c>
      <c r="U239" s="30" t="str">
        <f aca="false">IF(ISNUMBER(U237),ROUND(U233-U237,1),"n/p")</f>
        <v>n/p</v>
      </c>
      <c r="V239" s="30" t="str">
        <f aca="false">IF(ISNUMBER(V237),ROUND(V233-V237,1),"n/p")</f>
        <v>n/p</v>
      </c>
      <c r="W239" s="30" t="str">
        <f aca="false">IF(ISNUMBER(W237),ROUND(W233-W237,1),"n/p")</f>
        <v>n/p</v>
      </c>
      <c r="X239" s="30" t="str">
        <f aca="false">IF(ISNUMBER(X237),ROUND(X233-X237,1),"n/p")</f>
        <v>n/p</v>
      </c>
      <c r="Y239" s="30" t="str">
        <f aca="false">IF(ISNUMBER(Y237),ROUND(Y233-Y237,1),"n/p")</f>
        <v>n/p</v>
      </c>
      <c r="Z239" s="30" t="str">
        <f aca="false">IF(ISNUMBER(Z237),ROUND(Z233-Z237,1),"n/p")</f>
        <v>n/p</v>
      </c>
      <c r="AA239" s="30" t="str">
        <f aca="false">IF(ISNUMBER(AA237),ROUND(AA233-AA237,1),"n/p")</f>
        <v>n/p</v>
      </c>
      <c r="AB239" s="30" t="n">
        <f aca="false">IF(ISNUMBER(AB237),ROUND(AB233-AB237,1),"n/p")</f>
        <v>0</v>
      </c>
      <c r="AC239" s="30" t="n">
        <f aca="false">IF(ISNUMBER(AC237),ROUND(AC233-AC237,1),"n/p")</f>
        <v>-0</v>
      </c>
      <c r="AD239" s="30" t="n">
        <f aca="false">IF(ISNUMBER(AD237),ROUND(AD233-AD237,1),"n/p")</f>
        <v>-0</v>
      </c>
      <c r="AE239" s="30" t="n">
        <f aca="false">IF(ISNUMBER(AE237),ROUND(AE233-AE237,1),"n/p")</f>
        <v>0</v>
      </c>
      <c r="AF239" s="30" t="n">
        <f aca="false">IF(ISNUMBER(AF237),ROUND(AF233-AF237,1),"n/p")</f>
        <v>0</v>
      </c>
      <c r="AG239" s="30" t="n">
        <f aca="false">IF(ISNUMBER(AG237),ROUND(AG233-AG237,1),"n/p")</f>
        <v>0</v>
      </c>
      <c r="AH239" s="30" t="n">
        <f aca="false">IF(ISNUMBER(AH237),ROUND(AH233-AH237,1),"n/p")</f>
        <v>0</v>
      </c>
      <c r="AI239" s="30" t="n">
        <f aca="false">IF(ISNUMBER(AI237),ROUND(AI233-AI237,1),"n/p")</f>
        <v>0</v>
      </c>
      <c r="AJ239" s="30" t="n">
        <f aca="false">IF(ISNUMBER(AJ237),ROUND(AJ233-AJ237,1),"n/p")</f>
        <v>0</v>
      </c>
      <c r="AK239" s="30" t="n">
        <f aca="false">IF(ISNUMBER(AK237),ROUND(AK233-AK237,1),"n/p")</f>
        <v>0</v>
      </c>
      <c r="AL239" s="30" t="n">
        <f aca="false">IF(ISNUMBER(AL237),ROUND(AL233-AL237,1),"n/p")</f>
        <v>0</v>
      </c>
      <c r="AM239" s="30" t="n">
        <f aca="false">IF(ISNUMBER(AM237),ROUND(AM233-AM237,1),"n/p")</f>
        <v>0</v>
      </c>
      <c r="AN239" s="30" t="str">
        <f aca="false">IF(ISNUMBER(AN237),ROUND(AN233-AN237,1),"n/p")</f>
        <v>n/p</v>
      </c>
      <c r="AO239" s="30" t="str">
        <f aca="false">IF(ISNUMBER(AO237),ROUND(AO233-AO237,1),"n/p")</f>
        <v>n/p</v>
      </c>
      <c r="AP239" s="30" t="str">
        <f aca="false">IF(ISNUMBER(AP237),ROUND(AP233-AP237,1),"n/p")</f>
        <v>n/p</v>
      </c>
      <c r="AQ239" s="30" t="str">
        <f aca="false">IF(ISNUMBER(AQ237),ROUND(AQ233-AQ237,1),"n/p")</f>
        <v>n/p</v>
      </c>
      <c r="AR239" s="30" t="str">
        <f aca="false">IF(ISNUMBER(AR237),ROUND(AR233-AR237,1),"n/p")</f>
        <v>n/p</v>
      </c>
      <c r="AS239" s="30" t="str">
        <f aca="false">IF(ISNUMBER(AS237),ROUND(AS233-AS237,1),"n/p")</f>
        <v>n/p</v>
      </c>
      <c r="AT239" s="30" t="str">
        <f aca="false">IF(ISNUMBER(AT237),ROUND(AT233-AT237,1),"n/p")</f>
        <v>n/p</v>
      </c>
      <c r="AU239" s="30" t="str">
        <f aca="false">IF(ISNUMBER(AU237),ROUND(AU233-AU237,1),"n/p")</f>
        <v>n/p</v>
      </c>
      <c r="AV239" s="30" t="str">
        <f aca="false">IF(ISNUMBER(AV237),ROUND(AV233-AV237,1),"n/p")</f>
        <v>n/p</v>
      </c>
      <c r="AW239" s="30" t="str">
        <f aca="false">IF(ISNUMBER(AW237),ROUND(AW233-AW237,1),"n/p")</f>
        <v>n/p</v>
      </c>
      <c r="AX239" s="30" t="str">
        <f aca="false">IF(ISNUMBER(AX237),ROUND(AX233-AX237,1),"n/p")</f>
        <v>n/p</v>
      </c>
      <c r="AY239" s="30" t="str">
        <f aca="false">IF(ISNUMBER(AY237),ROUND(AY233-AY237,1),"n/p")</f>
        <v>n/p</v>
      </c>
      <c r="AZ239" s="30" t="n">
        <f aca="false">IF(ISNUMBER(AZ237),ROUND(AZ233-AZ237,1),"n/p")</f>
        <v>0</v>
      </c>
      <c r="BA239" s="30" t="n">
        <f aca="false">IF(ISNUMBER(BA237),ROUND(BA233-BA237,1),"n/p")</f>
        <v>0</v>
      </c>
      <c r="BB239" s="30" t="n">
        <f aca="false">IF(ISNUMBER(BB237),ROUND(BB233-BB237,1),"n/p")</f>
        <v>0</v>
      </c>
      <c r="BC239" s="30" t="n">
        <f aca="false">IF(ISNUMBER(BC237),ROUND(BC233-BC237,1),"n/p")</f>
        <v>0</v>
      </c>
      <c r="BD239" s="30" t="n">
        <f aca="false">IF(ISNUMBER(BD237),ROUND(BD233-BD237,1),"n/p")</f>
        <v>0</v>
      </c>
      <c r="BE239" s="30" t="n">
        <f aca="false">IF(ISNUMBER(BE237),ROUND(BE233-BE237,1),"n/p")</f>
        <v>0</v>
      </c>
      <c r="BF239" s="30" t="n">
        <f aca="false">IF(ISNUMBER(BF237),ROUND(BF233-BF237,1),"n/p")</f>
        <v>0</v>
      </c>
      <c r="BG239" s="30" t="n">
        <f aca="false">IF(ISNUMBER(BG237),ROUND(BG233-BG237,1),"n/p")</f>
        <v>0</v>
      </c>
      <c r="BH239" s="30" t="n">
        <f aca="false">IF(ISNUMBER(BH237),ROUND(BH233-BH237,1),"n/p")</f>
        <v>0</v>
      </c>
      <c r="BI239" s="30" t="n">
        <f aca="false">IF(ISNUMBER(BI237),ROUND(BI233-BI237,1),"n/p")</f>
        <v>0</v>
      </c>
      <c r="BJ239" s="30" t="n">
        <f aca="false">IF(ISNUMBER(BJ237),ROUND(BJ233-BJ237,1),"n/p")</f>
        <v>0</v>
      </c>
      <c r="BK239" s="30" t="n">
        <f aca="false">IF(ISNUMBER(BK237),ROUND(BK233-BK237,1),"n/p")</f>
        <v>0</v>
      </c>
      <c r="BL239" s="30" t="n">
        <f aca="false">IF(ISNUMBER(BL237),ROUND(BL233-BL237,1),"n/p")</f>
        <v>0</v>
      </c>
      <c r="BM239" s="30" t="n">
        <f aca="false">IF(ISNUMBER(BM237),ROUND(BM233-BM237,1),"n/p")</f>
        <v>0</v>
      </c>
      <c r="BN239" s="30" t="n">
        <f aca="false">IF(ISNUMBER(BN237),ROUND(BN233-BN237,1),"n/p")</f>
        <v>0</v>
      </c>
      <c r="BO239" s="30" t="n">
        <f aca="false">IF(ISNUMBER(BO237),ROUND(BO233-BO237,1),"n/p")</f>
        <v>0</v>
      </c>
      <c r="BP239" s="30" t="n">
        <f aca="false">IF(ISNUMBER(BP237),ROUND(BP233-BP237,1),"n/p")</f>
        <v>0</v>
      </c>
      <c r="BQ239" s="30" t="n">
        <f aca="false">IF(ISNUMBER(BQ237),ROUND(BQ233-BQ237,1),"n/p")</f>
        <v>0</v>
      </c>
      <c r="BR239" s="30" t="n">
        <f aca="false">IF(ISNUMBER(BR237),ROUND(BR233-BR237,1),"n/p")</f>
        <v>0</v>
      </c>
      <c r="BS239" s="30" t="n">
        <f aca="false">IF(ISNUMBER(BS237),ROUND(BS233-BS237,1),"n/p")</f>
        <v>0</v>
      </c>
      <c r="BT239" s="30" t="n">
        <f aca="false">IF(ISNUMBER(BT237),ROUND(BT233-BT237,1),"n/p")</f>
        <v>0</v>
      </c>
      <c r="BU239" s="30" t="n">
        <f aca="false">IF(ISNUMBER(BU237),ROUND(BU233-BU237,1),"n/p")</f>
        <v>0</v>
      </c>
      <c r="BV239" s="30" t="n">
        <f aca="false">IF(ISNUMBER(BV237),ROUND(BV233-BV237,1),"n/p")</f>
        <v>0</v>
      </c>
      <c r="BW239" s="30" t="n">
        <f aca="false">IF(ISNUMBER(BW237),ROUND(BW233-BW237,1),"n/p")</f>
        <v>0</v>
      </c>
      <c r="BX239" s="30" t="n">
        <f aca="false">IF(ISNUMBER(BX237),ROUND(BX233-BX237,1),"n/p")</f>
        <v>0</v>
      </c>
      <c r="BY239" s="30" t="n">
        <f aca="false">IF(ISNUMBER(BY237),ROUND(BY233-BY237,1),"n/p")</f>
        <v>0</v>
      </c>
      <c r="BZ239" s="30" t="n">
        <f aca="false">IF(ISNUMBER(BZ237),ROUND(BZ233-BZ237,1),"n/p")</f>
        <v>0</v>
      </c>
      <c r="CA239" s="30" t="n">
        <f aca="false">IF(ISNUMBER(CA237),ROUND(CA233-CA237,1),"n/p")</f>
        <v>0</v>
      </c>
      <c r="CB239" s="30" t="n">
        <f aca="false">IF(ISNUMBER(CB237),ROUND(CB233-CB237,1),"n/p")</f>
        <v>0</v>
      </c>
      <c r="CC239" s="30" t="n">
        <f aca="false">IF(ISNUMBER(CC237),ROUND(CC233-CC237,1),"n/p")</f>
        <v>0</v>
      </c>
      <c r="CD239" s="30" t="n">
        <f aca="false">IF(ISNUMBER(CD237),ROUND(CD233-CD237,1),"n/p")</f>
        <v>0</v>
      </c>
      <c r="CE239" s="30" t="n">
        <f aca="false">IF(ISNUMBER(CE237),ROUND(CE233-CE237,1),"n/p")</f>
        <v>0</v>
      </c>
      <c r="CF239" s="30" t="n">
        <f aca="false">IF(ISNUMBER(CF237),ROUND(CF233-CF237,1),"n/p")</f>
        <v>0</v>
      </c>
      <c r="CG239" s="30" t="n">
        <f aca="false">IF(ISNUMBER(CG237),ROUND(CG233-CG237,1),"n/p")</f>
        <v>0</v>
      </c>
      <c r="CH239" s="30" t="n">
        <f aca="false">IF(ISNUMBER(CH237),ROUND(CH233-CH237,1),"n/p")</f>
        <v>0</v>
      </c>
      <c r="CI239" s="30" t="n">
        <f aca="false">IF(ISNUMBER(CI237),ROUND(CI233-CI237,1),"n/p")</f>
        <v>0</v>
      </c>
      <c r="CJ239" s="30" t="n">
        <f aca="false">IF(ISNUMBER(CJ237),ROUND(CJ233-CJ237,1),"n/p")</f>
        <v>0</v>
      </c>
      <c r="CK239" s="30" t="n">
        <f aca="false">IF(ISNUMBER(CK237),ROUND(CK233-CK237,1),"n/p")</f>
        <v>0</v>
      </c>
      <c r="CL239" s="30" t="n">
        <f aca="false">IF(ISNUMBER(CL237),ROUND(CL233-CL237,1),"n/p")</f>
        <v>0</v>
      </c>
      <c r="CM239" s="32"/>
      <c r="CN239" s="32"/>
      <c r="CO239" s="32"/>
      <c r="CP239" s="32"/>
      <c r="CQ239" s="32"/>
      <c r="CR239" s="32"/>
      <c r="CS239" s="32"/>
      <c r="CT239" s="23"/>
      <c r="CV239" s="7"/>
      <c r="CW239" s="7"/>
      <c r="CX239" s="7"/>
      <c r="CY239" s="7"/>
    </row>
    <row r="240" customFormat="false" ht="15" hidden="false" customHeight="true" outlineLevel="0" collapsed="false">
      <c r="B240" s="62" t="s">
        <v>361</v>
      </c>
      <c r="C240" s="63" t="s">
        <v>362</v>
      </c>
      <c r="E240" s="63" t="s">
        <v>363</v>
      </c>
      <c r="AF240" s="63" t="s">
        <v>364</v>
      </c>
      <c r="AG240" s="63" t="s">
        <v>365</v>
      </c>
      <c r="AL240" s="63" t="s">
        <v>366</v>
      </c>
      <c r="AS240" s="63" t="s">
        <v>367</v>
      </c>
      <c r="AZ240" s="63" t="s">
        <v>312</v>
      </c>
      <c r="BE240" s="63" t="s">
        <v>313</v>
      </c>
      <c r="BF240" s="63" t="s">
        <v>368</v>
      </c>
      <c r="BI240" s="63" t="s">
        <v>369</v>
      </c>
      <c r="BJ240" s="63" t="s">
        <v>370</v>
      </c>
      <c r="BK240" s="63" t="s">
        <v>315</v>
      </c>
      <c r="BU240" s="63" t="s">
        <v>317</v>
      </c>
      <c r="CB240" s="63" t="s">
        <v>371</v>
      </c>
      <c r="CD240" s="63" t="s">
        <v>372</v>
      </c>
      <c r="CM240" s="7"/>
      <c r="CN240" s="7"/>
      <c r="CO240" s="7"/>
      <c r="CP240" s="7"/>
      <c r="CQ240" s="7"/>
      <c r="CR240" s="7"/>
      <c r="CS240" s="7"/>
      <c r="CT240" s="23" t="s">
        <v>320</v>
      </c>
      <c r="CV240" s="7"/>
      <c r="CW240" s="7"/>
      <c r="CX240" s="7"/>
      <c r="CY240" s="7"/>
    </row>
    <row r="241" customFormat="false" ht="15" hidden="false" customHeight="true" outlineLevel="0" collapsed="false">
      <c r="B241" s="37" t="s">
        <v>321</v>
      </c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  <c r="BB241" s="30"/>
      <c r="BC241" s="30"/>
      <c r="BD241" s="30"/>
      <c r="BE241" s="30"/>
      <c r="BF241" s="30"/>
      <c r="BG241" s="30"/>
      <c r="BH241" s="30"/>
      <c r="BI241" s="30"/>
      <c r="BJ241" s="30"/>
      <c r="BK241" s="30"/>
      <c r="BL241" s="30"/>
      <c r="BM241" s="30"/>
      <c r="BN241" s="30"/>
      <c r="BO241" s="30"/>
      <c r="BP241" s="30"/>
      <c r="BQ241" s="30"/>
      <c r="BR241" s="30"/>
      <c r="BS241" s="30"/>
      <c r="BT241" s="30"/>
      <c r="BU241" s="30"/>
      <c r="BV241" s="30"/>
      <c r="BW241" s="30"/>
      <c r="BX241" s="30"/>
      <c r="BY241" s="30"/>
      <c r="BZ241" s="30"/>
      <c r="CA241" s="30"/>
      <c r="CB241" s="30"/>
      <c r="CC241" s="30"/>
      <c r="CD241" s="30"/>
      <c r="CE241" s="30"/>
      <c r="CF241" s="30"/>
      <c r="CG241" s="30"/>
      <c r="CH241" s="30"/>
      <c r="CI241" s="30"/>
      <c r="CJ241" s="30"/>
      <c r="CK241" s="30"/>
      <c r="CL241" s="30"/>
      <c r="CM241" s="32"/>
      <c r="CN241" s="32"/>
      <c r="CO241" s="32"/>
      <c r="CP241" s="32"/>
      <c r="CQ241" s="32"/>
      <c r="CR241" s="32"/>
      <c r="CS241" s="32"/>
      <c r="CT241" s="23"/>
      <c r="CV241" s="7"/>
      <c r="CW241" s="7"/>
      <c r="CX241" s="7"/>
      <c r="CY241" s="7"/>
    </row>
    <row r="242" customFormat="false" ht="15" hidden="false" customHeight="true" outlineLevel="0" collapsed="false">
      <c r="B242" s="19" t="s">
        <v>373</v>
      </c>
      <c r="C242" s="20" t="n">
        <f aca="false">IF(ISNUMBER(C125),C171-N(C168)+(C125+C199)*(1-MAX(0.15,MIN(0.4,N(C166)))),"")</f>
        <v>85.4019559902201</v>
      </c>
      <c r="D242" s="20" t="n">
        <f aca="false">IF(ISNUMBER(D125),D171-N(D168)+(D125+D199)*(1-MAX(0.15,MIN(0.4,N(D166)))),"")</f>
        <v>102.77085789129</v>
      </c>
      <c r="E242" s="20" t="n">
        <f aca="false">IF(ISNUMBER(E125),E171-N(E168)+(E125+E199)*(1-MAX(0.15,MIN(0.4,N(E166)))),"")</f>
        <v>126.592659574468</v>
      </c>
      <c r="F242" s="20" t="n">
        <f aca="false">IF(ISNUMBER(F125),F171-N(F168)+(F125+F199)*(1-MAX(0.15,MIN(0.4,N(F166)))),"")</f>
        <v>124.574038461538</v>
      </c>
      <c r="G242" s="20" t="n">
        <f aca="false">IF(ISNUMBER(G125),G171-N(G168)+(G125+G199)*(1-MAX(0.15,MIN(0.4,N(G166)))),"")</f>
        <v>129.646543778802</v>
      </c>
      <c r="H242" s="20" t="n">
        <f aca="false">IF(ISNUMBER(H125),H171-N(H168)+(H125+H199)*(1-MAX(0.15,MIN(0.4,N(H166)))),"")</f>
        <v>158.620132325142</v>
      </c>
      <c r="I242" s="20" t="n">
        <f aca="false">IF(ISNUMBER(I125),I171-N(I168)+(I125+I199)*(1-MAX(0.15,MIN(0.4,N(I166)))),"")</f>
        <v>182.774233128835</v>
      </c>
      <c r="J242" s="20" t="str">
        <f aca="false">IF(ISNUMBER(J125),J171-N(J168)+(J125+J199)*(1-MAX(0.15,MIN(0.4,N(J166)))),"")</f>
        <v/>
      </c>
      <c r="K242" s="20" t="str">
        <f aca="false">IF(ISNUMBER(K125),K171-N(K168)+(K125+K199)*(1-MAX(0.15,MIN(0.4,N(K166)))),"")</f>
        <v/>
      </c>
      <c r="L242" s="20" t="str">
        <f aca="false">IF(ISNUMBER(L125),L171-N(L168)+(L125+L199)*(1-MAX(0.15,MIN(0.4,N(L166)))),"")</f>
        <v/>
      </c>
      <c r="M242" s="20" t="str">
        <f aca="false">IF(ISNUMBER(M125),M171-N(M168)+(M125+M199)*(1-MAX(0.15,MIN(0.4,N(M166)))),"")</f>
        <v/>
      </c>
      <c r="N242" s="20" t="str">
        <f aca="false">IF(ISNUMBER(N125),N171-N(N168)+(N125+N199)*(1-MAX(0.15,MIN(0.4,N(N166)))),"")</f>
        <v/>
      </c>
      <c r="O242" s="20" t="n">
        <f aca="false">IF(ISNUMBER(O125),O171-N(O168)+(O125+O199)*(1-MAX(0.15,MIN(0.4,N(O166)))),"")</f>
        <v>210.9453125</v>
      </c>
      <c r="P242" s="20" t="str">
        <f aca="false">IF(ISNUMBER(P125),P171-N(P168)+(P125+P199)*(1-MAX(0.15,MIN(0.4,N(P166)))),"")</f>
        <v/>
      </c>
      <c r="Q242" s="20" t="str">
        <f aca="false">IF(ISNUMBER(Q125),Q171-N(Q168)+(Q125+Q199)*(1-MAX(0.15,MIN(0.4,N(Q166)))),"")</f>
        <v/>
      </c>
      <c r="R242" s="20" t="str">
        <f aca="false">IF(ISNUMBER(R125),R171-N(R168)+(R125+R199)*(1-MAX(0.15,MIN(0.4,N(R166)))),"")</f>
        <v/>
      </c>
      <c r="S242" s="20" t="str">
        <f aca="false">IF(ISNUMBER(S125),S171-N(S168)+(S125+S199)*(1-MAX(0.15,MIN(0.4,N(S166)))),"")</f>
        <v/>
      </c>
      <c r="T242" s="20" t="str">
        <f aca="false">IF(ISNUMBER(T125),T171-N(T168)+(T125+T199)*(1-MAX(0.15,MIN(0.4,N(T166)))),"")</f>
        <v/>
      </c>
      <c r="U242" s="20" t="n">
        <f aca="false">IF(ISNUMBER(U125),U171-N(U168)+(U125+U199)*(1-MAX(0.15,MIN(0.4,N(U166)))),"")</f>
        <v>242.156575682382</v>
      </c>
      <c r="V242" s="20" t="str">
        <f aca="false">IF(ISNUMBER(V125),V171-N(V168)+(V125+V199)*(1-MAX(0.15,MIN(0.4,N(V166)))),"")</f>
        <v/>
      </c>
      <c r="W242" s="20" t="str">
        <f aca="false">IF(ISNUMBER(W125),W171-N(W168)+(W125+W199)*(1-MAX(0.15,MIN(0.4,N(W166)))),"")</f>
        <v/>
      </c>
      <c r="X242" s="20" t="str">
        <f aca="false">IF(ISNUMBER(X125),X171-N(X168)+(X125+X199)*(1-MAX(0.15,MIN(0.4,N(X166)))),"")</f>
        <v/>
      </c>
      <c r="Y242" s="20" t="str">
        <f aca="false">IF(ISNUMBER(Y125),Y171-N(Y168)+(Y125+Y199)*(1-MAX(0.15,MIN(0.4,N(Y166)))),"")</f>
        <v/>
      </c>
      <c r="Z242" s="20" t="str">
        <f aca="false">IF(ISNUMBER(Z125),Z171-N(Z168)+(Z125+Z199)*(1-MAX(0.15,MIN(0.4,N(Z166)))),"")</f>
        <v/>
      </c>
      <c r="AA242" s="20" t="n">
        <f aca="false">IF(ISNUMBER(AA125),AA171-N(AA168)+(AA125+AA199)*(1-MAX(0.15,MIN(0.4,N(AA166)))),"")</f>
        <v>218.969248644462</v>
      </c>
      <c r="AB242" s="20" t="str">
        <f aca="false">IF(ISNUMBER(AB125),AB171-N(AB168)+(AB125+AB199)*(1-MAX(0.15,MIN(0.4,N(AB166)))),"")</f>
        <v/>
      </c>
      <c r="AC242" s="20" t="str">
        <f aca="false">IF(ISNUMBER(AC125),AC171-N(AC168)+(AC125+AC199)*(1-MAX(0.15,MIN(0.4,N(AC166)))),"")</f>
        <v/>
      </c>
      <c r="AD242" s="20" t="str">
        <f aca="false">IF(ISNUMBER(AD125),AD171-N(AD168)+(AD125+AD199)*(1-MAX(0.15,MIN(0.4,N(AD166)))),"")</f>
        <v/>
      </c>
      <c r="AE242" s="20" t="str">
        <f aca="false">IF(ISNUMBER(AE125),AE171-N(AE168)+(AE125+AE199)*(1-MAX(0.15,MIN(0.4,N(AE166)))),"")</f>
        <v/>
      </c>
      <c r="AF242" s="20" t="str">
        <f aca="false">IF(ISNUMBER(AF125),AF171-N(AF168)+(AF125+AF199)*(1-MAX(0.15,MIN(0.4,N(AF166)))),"")</f>
        <v/>
      </c>
      <c r="AG242" s="20" t="n">
        <f aca="false">IF(ISNUMBER(AG125),AG171-N(AG168)+(AG125+AG199)*(1-MAX(0.15,MIN(0.4,N(AG166)))),"")</f>
        <v>214.79216742644</v>
      </c>
      <c r="AH242" s="20" t="str">
        <f aca="false">IF(ISNUMBER(AH125),AH171-N(AH168)+(AH125+AH199)*(1-MAX(0.15,MIN(0.4,N(AH166)))),"")</f>
        <v/>
      </c>
      <c r="AI242" s="20" t="str">
        <f aca="false">IF(ISNUMBER(AI125),AI171-N(AI168)+(AI125+AI199)*(1-MAX(0.15,MIN(0.4,N(AI166)))),"")</f>
        <v/>
      </c>
      <c r="AJ242" s="20" t="str">
        <f aca="false">IF(ISNUMBER(AJ125),AJ171-N(AJ168)+(AJ125+AJ199)*(1-MAX(0.15,MIN(0.4,N(AJ166)))),"")</f>
        <v/>
      </c>
      <c r="AK242" s="20" t="str">
        <f aca="false">IF(ISNUMBER(AK125),AK171-N(AK168)+(AK125+AK199)*(1-MAX(0.15,MIN(0.4,N(AK166)))),"")</f>
        <v/>
      </c>
      <c r="AL242" s="20" t="str">
        <f aca="false">IF(ISNUMBER(AL125),AL171-N(AL168)+(AL125+AL199)*(1-MAX(0.15,MIN(0.4,N(AL166)))),"")</f>
        <v/>
      </c>
      <c r="AM242" s="20" t="n">
        <f aca="false">IF(ISNUMBER(AM125),AM171-N(AM168)+(AM125+AM199)*(1-MAX(0.15,MIN(0.4,N(AM166)))),"")</f>
        <v>274.777421602788</v>
      </c>
      <c r="AN242" s="20" t="str">
        <f aca="false">IF(ISNUMBER(AN125),AN171-N(AN168)+(AN125+AN199)*(1-MAX(0.15,MIN(0.4,N(AN166)))),"")</f>
        <v/>
      </c>
      <c r="AO242" s="20" t="str">
        <f aca="false">IF(ISNUMBER(AO125),AO171-N(AO168)+(AO125+AO199)*(1-MAX(0.15,MIN(0.4,N(AO166)))),"")</f>
        <v/>
      </c>
      <c r="AP242" s="20" t="str">
        <f aca="false">IF(ISNUMBER(AP125),AP171-N(AP168)+(AP125+AP199)*(1-MAX(0.15,MIN(0.4,N(AP166)))),"")</f>
        <v/>
      </c>
      <c r="AQ242" s="20" t="str">
        <f aca="false">IF(ISNUMBER(AQ125),AQ171-N(AQ168)+(AQ125+AQ199)*(1-MAX(0.15,MIN(0.4,N(AQ166)))),"")</f>
        <v/>
      </c>
      <c r="AR242" s="20" t="str">
        <f aca="false">IF(ISNUMBER(AR125),AR171-N(AR168)+(AR125+AR199)*(1-MAX(0.15,MIN(0.4,N(AR166)))),"")</f>
        <v/>
      </c>
      <c r="AS242" s="20" t="n">
        <f aca="false">IF(ISNUMBER(AS125),AS171-N(AS168)+(AS125+AS199)*(1-MAX(0.15,MIN(0.4,N(AS166)))),"")</f>
        <v>367.273216552425</v>
      </c>
      <c r="AT242" s="20" t="str">
        <f aca="false">IF(ISNUMBER(AT125),AT171-N(AT168)+(AT125+AT199)*(1-MAX(0.15,MIN(0.4,N(AT166)))),"")</f>
        <v/>
      </c>
      <c r="AU242" s="20" t="str">
        <f aca="false">IF(ISNUMBER(AU125),AU171-N(AU168)+(AU125+AU199)*(1-MAX(0.15,MIN(0.4,N(AU166)))),"")</f>
        <v/>
      </c>
      <c r="AV242" s="20" t="str">
        <f aca="false">IF(ISNUMBER(AV125),AV171-N(AV168)+(AV125+AV199)*(1-MAX(0.15,MIN(0.4,N(AV166)))),"")</f>
        <v/>
      </c>
      <c r="AW242" s="20" t="str">
        <f aca="false">IF(ISNUMBER(AW125),AW171-N(AW168)+(AW125+AW199)*(1-MAX(0.15,MIN(0.4,N(AW166)))),"")</f>
        <v/>
      </c>
      <c r="AX242" s="20" t="str">
        <f aca="false">IF(ISNUMBER(AX125),AX171-N(AX168)+(AX125+AX199)*(1-MAX(0.15,MIN(0.4,N(AX166)))),"")</f>
        <v/>
      </c>
      <c r="AY242" s="20" t="n">
        <f aca="false">IF(ISNUMBER(AY125),AY171-N(AY168)+(AY125+AY199)*(1-MAX(0.15,MIN(0.4,N(AY166)))),"")</f>
        <v>433.298416719443</v>
      </c>
      <c r="AZ242" s="20" t="n">
        <f aca="false">IF(ISNUMBER(AZ233),AZ233,"")</f>
        <v>89.5</v>
      </c>
      <c r="BA242" s="20" t="n">
        <f aca="false">IF(ISNUMBER(BA233),BA233,"")</f>
        <v>101.1</v>
      </c>
      <c r="BB242" s="20" t="n">
        <f aca="false">IF(ISNUMBER(BB125),BB171-N(BB168)+(BB125+BB199)*(1-MAX(0.15,MIN(0.4,N(BB166)))),"")</f>
        <v>192.151172809957</v>
      </c>
      <c r="BC242" s="20" t="n">
        <f aca="false">IF(ISNUMBER(BC233),BC233,"")</f>
        <v>101.5</v>
      </c>
      <c r="BD242" s="20" t="n">
        <f aca="false">IF(ISNUMBER(BD233),BD233,"")</f>
        <v>139.5</v>
      </c>
      <c r="BE242" s="20" t="n">
        <f aca="false">IF(ISNUMBER(BE233),BE233,"")</f>
        <v>431.6</v>
      </c>
      <c r="BF242" s="20" t="n">
        <f aca="false">IF(ISNUMBER(BF233),BF233,"")</f>
        <v>121.3</v>
      </c>
      <c r="BG242" s="20" t="n">
        <f aca="false">IF(ISNUMBER(BG233),BG233,"")</f>
        <v>201</v>
      </c>
      <c r="BH242" s="20" t="n">
        <f aca="false">IF(ISNUMBER(BH233),BH233,"")</f>
        <v>322.3</v>
      </c>
      <c r="BI242" s="20" t="n">
        <f aca="false">IF(ISNUMBER(BI233),BI233,"")</f>
        <v>207.2</v>
      </c>
      <c r="BJ242" s="20" t="n">
        <f aca="false">IF(ISNUMBER(BJ233),BJ233,"")</f>
        <v>217.4</v>
      </c>
      <c r="BK242" s="20" t="n">
        <f aca="false">IF(ISNUMBER(BK233),BK233,"")</f>
        <v>746.9</v>
      </c>
      <c r="BL242" s="20" t="n">
        <f aca="false">IF(ISNUMBER(BL233),BL233,"")</f>
        <v>203.9</v>
      </c>
      <c r="BM242" s="20" t="n">
        <f aca="false">IF(ISNUMBER(BM233),BM233,"")</f>
        <v>211.3</v>
      </c>
      <c r="BN242" s="20" t="n">
        <f aca="false">IF(ISNUMBER(BN233),BN233,"")</f>
        <v>415.2</v>
      </c>
      <c r="BO242" s="20" t="n">
        <f aca="false">IF(ISNUMBER(BO233),BO233,"")</f>
        <v>216.5</v>
      </c>
      <c r="BP242" s="20" t="n">
        <f aca="false">IF(ISNUMBER(BP233),BP233,"")</f>
        <v>236.1</v>
      </c>
      <c r="BQ242" s="20" t="n">
        <f aca="false">IF(ISNUMBER(BQ233),BQ233,"")</f>
        <v>867.8</v>
      </c>
      <c r="BR242" s="20" t="n">
        <f aca="false">IF(ISNUMBER(BR233),BR233,"")</f>
        <v>217.2</v>
      </c>
      <c r="BS242" s="20" t="n">
        <f aca="false">IF(ISNUMBER(BS233),BS233,"")</f>
        <v>223.7</v>
      </c>
      <c r="BT242" s="20" t="n">
        <f aca="false">IF(ISNUMBER(BT233),BT233,"")</f>
        <v>440.9</v>
      </c>
      <c r="BU242" s="20" t="n">
        <f aca="false">IF(ISNUMBER(BU233),BU233,"")</f>
        <v>241.9</v>
      </c>
      <c r="BV242" s="20" t="n">
        <f aca="false">IF(ISNUMBER(BV233),BV233,"")</f>
        <v>260.5</v>
      </c>
      <c r="BW242" s="20" t="n">
        <f aca="false">IF(ISNUMBER(BW233),BW233,"")</f>
        <v>943.3</v>
      </c>
      <c r="BX242" s="20" t="n">
        <f aca="false">IF(ISNUMBER(BX233),BX233,"")</f>
        <v>218.3</v>
      </c>
      <c r="BY242" s="20" t="n">
        <f aca="false">IF(ISNUMBER(BY233),BY233,"")</f>
        <v>218.7</v>
      </c>
      <c r="BZ242" s="20" t="n">
        <f aca="false">IF(ISNUMBER(BZ233),BZ233,"")</f>
        <v>437</v>
      </c>
      <c r="CA242" s="20" t="n">
        <f aca="false">IF(ISNUMBER(CA233),CA233,"")</f>
        <v>241.3</v>
      </c>
      <c r="CB242" s="20" t="n">
        <f aca="false">IF(ISNUMBER(CB233),CB233,"")</f>
        <v>260.9</v>
      </c>
      <c r="CC242" s="20" t="n">
        <f aca="false">IF(ISNUMBER(CC233),CC233,"")</f>
        <v>939.2</v>
      </c>
      <c r="CD242" s="20" t="n">
        <f aca="false">IF(ISNUMBER(CD233),CD233,"")</f>
        <v>234</v>
      </c>
      <c r="CE242" s="20" t="n">
        <f aca="false">IF(ISNUMBER(CE233),CE233,"")</f>
        <v>246.3</v>
      </c>
      <c r="CF242" s="20" t="n">
        <f aca="false">IF(ISNUMBER(CF233),CF233,"")</f>
        <v>480.3</v>
      </c>
      <c r="CG242" s="20" t="n">
        <f aca="false">IF(ISNUMBER(CG233),CG233,"")</f>
        <v>264.5</v>
      </c>
      <c r="CH242" s="20" t="n">
        <f aca="false">IF(ISNUMBER(CH233),CH233,"")</f>
        <v>297.5</v>
      </c>
      <c r="CI242" s="20" t="n">
        <f aca="false">IF(ISNUMBER(CI233),CI233,"")</f>
        <v>1042.3</v>
      </c>
      <c r="CJ242" s="20" t="n">
        <f aca="false">IF(ISNUMBER(CJ233),CJ233,"")</f>
        <v>271.4</v>
      </c>
      <c r="CK242" s="20" t="n">
        <f aca="false">IF(ISNUMBER(CK233),CK233,"")</f>
        <v>294.3</v>
      </c>
      <c r="CL242" s="20" t="n">
        <f aca="false">IF(ISNUMBER(CL233),CL233,"")</f>
        <v>565.7</v>
      </c>
      <c r="CM242" s="22" t="n">
        <f aca="false">CM233</f>
        <v>286.09</v>
      </c>
      <c r="CN242" s="22" t="n">
        <f aca="false">CN233</f>
        <v>298.99125</v>
      </c>
      <c r="CO242" s="22" t="n">
        <f aca="false">SUM(CJ242,CK242,CM242,CN242)</f>
        <v>1150.78125</v>
      </c>
      <c r="CP242" s="22" t="n">
        <f aca="false">CP233</f>
        <v>1300.76811348653</v>
      </c>
      <c r="CQ242" s="22" t="n">
        <f aca="false">CQ233</f>
        <v>1443.63839430276</v>
      </c>
      <c r="CR242" s="22" t="n">
        <f aca="false">CR233</f>
        <v>1592.64386121352</v>
      </c>
      <c r="CS242" s="22" t="n">
        <f aca="false">CS233</f>
        <v>1755.43665565076</v>
      </c>
      <c r="CT242" s="23" t="s">
        <v>374</v>
      </c>
      <c r="CV242" s="24" t="n">
        <f aca="false">IFERROR((CS242/CI242)^(1/5)-1,"n/m")</f>
        <v>0.109886285487085</v>
      </c>
      <c r="CW242" s="24" t="n">
        <f aca="false">IFERROR((CI242/BE242)^(1/5)-1,"n/m")</f>
        <v>0.192840182057888</v>
      </c>
      <c r="CX242" s="24" t="n">
        <f aca="false">IFERROR((CI242/AA242)^(1/10)-1,"n/m")</f>
        <v>0.168855866631564</v>
      </c>
      <c r="CY242" s="24" t="n">
        <f aca="false">IFERROR((CI242/C242)^(1/19)-1,"n/m")</f>
        <v>0.140736984036554</v>
      </c>
    </row>
    <row r="243" customFormat="false" ht="15" hidden="false" customHeight="true" outlineLevel="0" collapsed="false">
      <c r="B243" s="19" t="s">
        <v>375</v>
      </c>
      <c r="C243" s="58" t="n">
        <f aca="false">IFERROR(C242/C179,"")</f>
        <v>2.40568890113296</v>
      </c>
      <c r="D243" s="58" t="n">
        <f aca="false">IFERROR(D242/D179,"")</f>
        <v>2.83897397489751</v>
      </c>
      <c r="E243" s="58" t="n">
        <f aca="false">IFERROR(E242/E179,"")</f>
        <v>3.46829204313611</v>
      </c>
      <c r="F243" s="58" t="n">
        <f aca="false">IFERROR(F242/F179,"")</f>
        <v>3.4036622530475</v>
      </c>
      <c r="G243" s="58" t="n">
        <f aca="false">IFERROR(G242/G179,"")</f>
        <v>3.51345647097024</v>
      </c>
      <c r="H243" s="58" t="n">
        <f aca="false">IFERROR(H242/H179,"")</f>
        <v>4.25255046448102</v>
      </c>
      <c r="I243" s="58" t="n">
        <f aca="false">IFERROR(I242/I179,"")</f>
        <v>4.88701158098488</v>
      </c>
      <c r="J243" s="58" t="str">
        <f aca="false">IFERROR(J242/J179,"")</f>
        <v/>
      </c>
      <c r="K243" s="58" t="str">
        <f aca="false">IFERROR(K242/K179,"")</f>
        <v/>
      </c>
      <c r="L243" s="58" t="str">
        <f aca="false">IFERROR(L242/L179,"")</f>
        <v/>
      </c>
      <c r="M243" s="58" t="str">
        <f aca="false">IFERROR(M242/M179,"")</f>
        <v/>
      </c>
      <c r="N243" s="58" t="str">
        <f aca="false">IFERROR(N242/N179,"")</f>
        <v/>
      </c>
      <c r="O243" s="58" t="n">
        <f aca="false">IFERROR(O242/O179,"")</f>
        <v>5.55119243421053</v>
      </c>
      <c r="P243" s="58" t="str">
        <f aca="false">IFERROR(P242/P179,"")</f>
        <v/>
      </c>
      <c r="Q243" s="58" t="str">
        <f aca="false">IFERROR(Q242/Q179,"")</f>
        <v/>
      </c>
      <c r="R243" s="58" t="str">
        <f aca="false">IFERROR(R242/R179,"")</f>
        <v/>
      </c>
      <c r="S243" s="58" t="str">
        <f aca="false">IFERROR(S242/S179,"")</f>
        <v/>
      </c>
      <c r="T243" s="58" t="str">
        <f aca="false">IFERROR(T242/T179,"")</f>
        <v/>
      </c>
      <c r="U243" s="58" t="n">
        <f aca="false">IFERROR(U242/U179,"")</f>
        <v>6.38935555890191</v>
      </c>
      <c r="V243" s="58" t="str">
        <f aca="false">IFERROR(V242/V179,"")</f>
        <v/>
      </c>
      <c r="W243" s="58" t="str">
        <f aca="false">IFERROR(W242/W179,"")</f>
        <v/>
      </c>
      <c r="X243" s="58" t="str">
        <f aca="false">IFERROR(X242/X179,"")</f>
        <v/>
      </c>
      <c r="Y243" s="58" t="str">
        <f aca="false">IFERROR(Y242/Y179,"")</f>
        <v/>
      </c>
      <c r="Z243" s="58" t="str">
        <f aca="false">IFERROR(Z242/Z179,"")</f>
        <v/>
      </c>
      <c r="AA243" s="58" t="n">
        <f aca="false">IFERROR(AA242/AA179,"")</f>
        <v>6.08247912901282</v>
      </c>
      <c r="AB243" s="58" t="str">
        <f aca="false">IFERROR(AB242/AB179,"")</f>
        <v/>
      </c>
      <c r="AC243" s="58" t="str">
        <f aca="false">IFERROR(AC242/AC179,"")</f>
        <v/>
      </c>
      <c r="AD243" s="58" t="str">
        <f aca="false">IFERROR(AD242/AD179,"")</f>
        <v/>
      </c>
      <c r="AE243" s="58" t="str">
        <f aca="false">IFERROR(AE242/AE179,"")</f>
        <v/>
      </c>
      <c r="AF243" s="58" t="str">
        <f aca="false">IFERROR(AF242/AF179,"")</f>
        <v/>
      </c>
      <c r="AG243" s="58" t="n">
        <f aca="false">IFERROR(AG242/AG179,"")</f>
        <v>6.05048358947719</v>
      </c>
      <c r="AH243" s="58" t="str">
        <f aca="false">IFERROR(AH242/AH179,"")</f>
        <v/>
      </c>
      <c r="AI243" s="58" t="str">
        <f aca="false">IFERROR(AI242/AI179,"")</f>
        <v/>
      </c>
      <c r="AJ243" s="58" t="str">
        <f aca="false">IFERROR(AJ242/AJ179,"")</f>
        <v/>
      </c>
      <c r="AK243" s="58" t="str">
        <f aca="false">IFERROR(AK242/AK179,"")</f>
        <v/>
      </c>
      <c r="AL243" s="58" t="str">
        <f aca="false">IFERROR(AL242/AL179,"")</f>
        <v/>
      </c>
      <c r="AM243" s="58" t="n">
        <f aca="false">IFERROR(AM242/AM179,"")</f>
        <v>7.56962593947073</v>
      </c>
      <c r="AN243" s="58" t="str">
        <f aca="false">IFERROR(AN242/AN179,"")</f>
        <v/>
      </c>
      <c r="AO243" s="58" t="str">
        <f aca="false">IFERROR(AO242/AO179,"")</f>
        <v/>
      </c>
      <c r="AP243" s="58" t="str">
        <f aca="false">IFERROR(AP242/AP179,"")</f>
        <v/>
      </c>
      <c r="AQ243" s="58" t="str">
        <f aca="false">IFERROR(AQ242/AQ179,"")</f>
        <v/>
      </c>
      <c r="AR243" s="58" t="str">
        <f aca="false">IFERROR(AR242/AR179,"")</f>
        <v/>
      </c>
      <c r="AS243" s="58" t="n">
        <f aca="false">IFERROR(AS242/AS179,"")</f>
        <v>9.92630315006553</v>
      </c>
      <c r="AT243" s="58" t="str">
        <f aca="false">IFERROR(AT242/AT179,"")</f>
        <v/>
      </c>
      <c r="AU243" s="58" t="str">
        <f aca="false">IFERROR(AU242/AU179,"")</f>
        <v/>
      </c>
      <c r="AV243" s="58" t="str">
        <f aca="false">IFERROR(AV242/AV179,"")</f>
        <v/>
      </c>
      <c r="AW243" s="58" t="str">
        <f aca="false">IFERROR(AW242/AW179,"")</f>
        <v/>
      </c>
      <c r="AX243" s="58" t="str">
        <f aca="false">IFERROR(AX242/AX179,"")</f>
        <v/>
      </c>
      <c r="AY243" s="58" t="n">
        <f aca="false">IFERROR(AY242/AY179,"")</f>
        <v>11.5546244458518</v>
      </c>
      <c r="AZ243" s="58" t="n">
        <f aca="false">IFERROR(AZ242/AZ179,"")</f>
        <v>2.36772486772487</v>
      </c>
      <c r="BA243" s="58" t="n">
        <f aca="false">IFERROR(BA242/BA179,"")</f>
        <v>2.67460317460317</v>
      </c>
      <c r="BB243" s="58" t="n">
        <f aca="false">IFERROR(BB242/BB179,"")</f>
        <v>5.08336436005177</v>
      </c>
      <c r="BC243" s="58" t="n">
        <f aca="false">IFERROR(BC242/BC179,"")</f>
        <v>2.68518518518519</v>
      </c>
      <c r="BD243" s="58" t="n">
        <f aca="false">IFERROR(BD242/BD179,"")</f>
        <v>3.67105263157895</v>
      </c>
      <c r="BE243" s="58" t="n">
        <f aca="false">IFERROR(BE242/BE179,"")</f>
        <v>11.3878627968338</v>
      </c>
      <c r="BF243" s="58" t="n">
        <f aca="false">IFERROR(BF242/BF179,"")</f>
        <v>3.1921052631579</v>
      </c>
      <c r="BG243" s="58" t="n">
        <f aca="false">IFERROR(BG242/BG179,"")</f>
        <v>4.61009174311927</v>
      </c>
      <c r="BH243" s="58" t="n">
        <f aca="false">IFERROR(BH242/BH179,"")</f>
        <v>7.89950980392157</v>
      </c>
      <c r="BI243" s="58" t="n">
        <f aca="false">IFERROR(BI242/BI179,"")</f>
        <v>4.34381551362684</v>
      </c>
      <c r="BJ243" s="58" t="n">
        <f aca="false">IFERROR(BJ242/BJ179,"")</f>
        <v>4.55765199161426</v>
      </c>
      <c r="BK243" s="58" t="n">
        <f aca="false">IFERROR(BK242/BK179,"")</f>
        <v>16.8600451467269</v>
      </c>
      <c r="BL243" s="58" t="n">
        <f aca="false">IFERROR(BL242/BL179,"")</f>
        <v>4.27463312368973</v>
      </c>
      <c r="BM243" s="58" t="n">
        <f aca="false">IFERROR(BM242/BM179,"")</f>
        <v>4.42976939203354</v>
      </c>
      <c r="BN243" s="58" t="n">
        <f aca="false">IFERROR(BN242/BN179,"")</f>
        <v>8.70440251572327</v>
      </c>
      <c r="BO243" s="58" t="n">
        <f aca="false">IFERROR(BO242/BO179,"")</f>
        <v>4.53878406708595</v>
      </c>
      <c r="BP243" s="58" t="n">
        <f aca="false">IFERROR(BP242/BP179,"")</f>
        <v>4.93933054393306</v>
      </c>
      <c r="BQ243" s="58" t="n">
        <f aca="false">IFERROR(BQ242/BQ179,"")</f>
        <v>18.1928721174004</v>
      </c>
      <c r="BR243" s="58" t="n">
        <f aca="false">IFERROR(BR242/BR179,"")</f>
        <v>4.53444676409186</v>
      </c>
      <c r="BS243" s="58" t="n">
        <f aca="false">IFERROR(BS242/BS179,"")</f>
        <v>4.67014613778706</v>
      </c>
      <c r="BT243" s="58" t="n">
        <f aca="false">IFERROR(BT242/BT179,"")</f>
        <v>9.20459290187892</v>
      </c>
      <c r="BU243" s="58" t="n">
        <f aca="false">IFERROR(BU242/BU179,"")</f>
        <v>5.05010438413361</v>
      </c>
      <c r="BV243" s="58" t="n">
        <f aca="false">IFERROR(BV242/BV179,"")</f>
        <v>5.4384133611691</v>
      </c>
      <c r="BW243" s="58" t="n">
        <f aca="false">IFERROR(BW242/BW179,"")</f>
        <v>19.6931106471816</v>
      </c>
      <c r="BX243" s="58" t="n">
        <f aca="false">IFERROR(BX242/BX179,"")</f>
        <v>4.54791666666666</v>
      </c>
      <c r="BY243" s="58" t="n">
        <f aca="false">IFERROR(BY242/BY179,"")</f>
        <v>4.57531380753138</v>
      </c>
      <c r="BZ243" s="58" t="n">
        <f aca="false">IFERROR(BZ242/BZ179,"")</f>
        <v>9.12317327766179</v>
      </c>
      <c r="CA243" s="58" t="n">
        <f aca="false">IFERROR(CA242/CA179,"")</f>
        <v>5.10147991543341</v>
      </c>
      <c r="CB243" s="58" t="n">
        <f aca="false">IFERROR(CB242/CB179,"")</f>
        <v>5.51585623678647</v>
      </c>
      <c r="CC243" s="58" t="n">
        <f aca="false">IFERROR(CC242/CC179,"")</f>
        <v>19.7310924369748</v>
      </c>
      <c r="CD243" s="58" t="n">
        <f aca="false">IFERROR(CD242/CD179,"")</f>
        <v>4.94714587737844</v>
      </c>
      <c r="CE243" s="58" t="n">
        <f aca="false">IFERROR(CE242/CE179,"")</f>
        <v>5.19620253164557</v>
      </c>
      <c r="CF243" s="58" t="n">
        <f aca="false">IFERROR(CF242/CF179,"")</f>
        <v>10.1436114044351</v>
      </c>
      <c r="CG243" s="58" t="n">
        <f aca="false">IFERROR(CG242/CG179,"")</f>
        <v>5.56842105263158</v>
      </c>
      <c r="CH243" s="58" t="n">
        <f aca="false">IFERROR(CH242/CH179,"")</f>
        <v>6.30296610169491</v>
      </c>
      <c r="CI243" s="58" t="n">
        <f aca="false">IFERROR(CI242/CI179,"")</f>
        <v>21.9894514767933</v>
      </c>
      <c r="CJ243" s="58" t="n">
        <f aca="false">IFERROR(CJ242/CJ179,"")</f>
        <v>5.7991452991453</v>
      </c>
      <c r="CK243" s="58" t="n">
        <f aca="false">IFERROR(CK242/CK179,"")</f>
        <v>6.27505330490405</v>
      </c>
      <c r="CL243" s="58" t="n">
        <f aca="false">IFERROR(CL242/CL179,"")</f>
        <v>12.0747065101387</v>
      </c>
      <c r="CM243" s="64" t="n">
        <f aca="false">IFERROR(CM242/CM179,"")</f>
        <v>6.1</v>
      </c>
      <c r="CN243" s="64" t="n">
        <f aca="false">IFERROR(CN242/CN179,"")</f>
        <v>6.37507995735607</v>
      </c>
      <c r="CO243" s="64" t="n">
        <f aca="false">IFERROR(CO242/CO179,"")</f>
        <v>24.55</v>
      </c>
      <c r="CP243" s="64" t="n">
        <f aca="false">IFERROR(CP242/CP179,"")</f>
        <v>27.6816316042187</v>
      </c>
      <c r="CQ243" s="64" t="n">
        <f aca="false">IFERROR(CQ242/CQ179,"")</f>
        <v>30.8649032756942</v>
      </c>
      <c r="CR243" s="64" t="n">
        <f aca="false">IFERROR(CR242/CR179,"")</f>
        <v>34.192042328794</v>
      </c>
      <c r="CS243" s="64" t="n">
        <f aca="false">IFERROR(CS242/CS179,"")</f>
        <v>37.8258405092815</v>
      </c>
      <c r="CT243" s="23"/>
      <c r="CV243" s="24" t="n">
        <f aca="false">IFERROR((CS243/CI243)^(1/5)-1,"n/m")</f>
        <v>0.114589219555254</v>
      </c>
      <c r="CW243" s="24" t="n">
        <f aca="false">IFERROR((CI243/BE243)^(1/5)-1,"n/m")</f>
        <v>0.140655329577507</v>
      </c>
      <c r="CX243" s="24" t="n">
        <f aca="false">IFERROR((CI243/AA243)^(1/10)-1,"n/m")</f>
        <v>0.13713853460749</v>
      </c>
      <c r="CY243" s="24" t="n">
        <f aca="false">IFERROR((CI243/C243)^(1/19)-1,"n/m")</f>
        <v>0.123511773863019</v>
      </c>
    </row>
    <row r="244" customFormat="false" ht="15" hidden="false" customHeight="true" outlineLevel="0" collapsed="false">
      <c r="B244" s="13"/>
      <c r="CM244" s="7"/>
      <c r="CN244" s="7"/>
      <c r="CO244" s="7"/>
      <c r="CP244" s="7"/>
      <c r="CQ244" s="7"/>
      <c r="CR244" s="7"/>
      <c r="CS244" s="7"/>
      <c r="CT244" s="7"/>
    </row>
    <row r="245" customFormat="false" ht="15" hidden="false" customHeight="true" outlineLevel="0" collapsed="false">
      <c r="B245" s="12" t="s">
        <v>376</v>
      </c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  <c r="CN245" s="12"/>
      <c r="CO245" s="12"/>
      <c r="CP245" s="12"/>
      <c r="CQ245" s="12"/>
      <c r="CR245" s="12"/>
      <c r="CS245" s="12"/>
      <c r="CT245" s="12" t="s">
        <v>377</v>
      </c>
    </row>
    <row r="246" customFormat="false" ht="15" hidden="false" customHeight="true" outlineLevel="0" collapsed="false">
      <c r="B246" s="26" t="s">
        <v>105</v>
      </c>
      <c r="C246" s="27"/>
      <c r="D246" s="27" t="n">
        <f aca="false">IFERROR(D152/C152-1,"")</f>
        <v>0.131942506279654</v>
      </c>
      <c r="E246" s="27" t="n">
        <f aca="false">IFERROR(E152/D152-1,"")</f>
        <v>0.0614559575910745</v>
      </c>
      <c r="F246" s="27" t="n">
        <f aca="false">IFERROR(F152/E152-1,"")</f>
        <v>-0.0405923344947736</v>
      </c>
      <c r="G246" s="27" t="n">
        <f aca="false">IFERROR(G152/F152-1,"")</f>
        <v>-0.00478179286968095</v>
      </c>
      <c r="H246" s="27" t="n">
        <f aca="false">IFERROR(H152/G152-1,"")</f>
        <v>0.181060698211896</v>
      </c>
      <c r="I246" s="27" t="n">
        <f aca="false">IFERROR(I152/H152-1,"")</f>
        <v>0.0954735053298317</v>
      </c>
      <c r="J246" s="27"/>
      <c r="K246" s="27"/>
      <c r="L246" s="27"/>
      <c r="M246" s="27"/>
      <c r="N246" s="27"/>
      <c r="O246" s="27" t="n">
        <f aca="false">IFERROR(O152/I152-1,"")</f>
        <v>0.0993277863959008</v>
      </c>
      <c r="P246" s="27" t="n">
        <f aca="false">IFERROR(P152/J152-1,"")</f>
        <v>0.00720056199508257</v>
      </c>
      <c r="Q246" s="27" t="n">
        <f aca="false">IFERROR(Q152/K152-1,"")</f>
        <v>-0.00648918469217963</v>
      </c>
      <c r="R246" s="27" t="n">
        <f aca="false">IFERROR(R152/L152-1,"")</f>
        <v>0.000170881749828933</v>
      </c>
      <c r="S246" s="27" t="n">
        <f aca="false">IFERROR(S152/M152-1,"")</f>
        <v>0.0516095171448565</v>
      </c>
      <c r="T246" s="27" t="n">
        <f aca="false">IFERROR(T152/N152-1,"")</f>
        <v>0.0430774388199797</v>
      </c>
      <c r="U246" s="27" t="n">
        <f aca="false">IFERROR(U152/O152-1,"")</f>
        <v>0.0236893868126229</v>
      </c>
      <c r="V246" s="27" t="n">
        <f aca="false">IFERROR(V152/P152-1,"")</f>
        <v>-0.0148212728857891</v>
      </c>
      <c r="W246" s="27" t="n">
        <f aca="false">IFERROR(W152/Q152-1,"")</f>
        <v>-0.0324903701222575</v>
      </c>
      <c r="X246" s="27" t="n">
        <f aca="false">IFERROR(X152/R152-1,"")</f>
        <v>-0.0238339313172731</v>
      </c>
      <c r="Y246" s="27" t="n">
        <f aca="false">IFERROR(Y152/S152-1,"")</f>
        <v>-0.0760272833139245</v>
      </c>
      <c r="Z246" s="27" t="n">
        <f aca="false">IFERROR(Z152/T152-1,"")</f>
        <v>-0.0358348063634902</v>
      </c>
      <c r="AA246" s="27" t="n">
        <f aca="false">IFERROR(AA152/U152-1,"")</f>
        <v>-0.0400584795321638</v>
      </c>
      <c r="AB246" s="27" t="n">
        <f aca="false">IFERROR(AB152/V152-1,"")</f>
        <v>-0.0610619469026549</v>
      </c>
      <c r="AC246" s="27" t="n">
        <f aca="false">IFERROR(AC152/W152-1,"")</f>
        <v>-0.0657780855115112</v>
      </c>
      <c r="AD246" s="27" t="n">
        <f aca="false">IFERROR(AD152/X152-1,"")</f>
        <v>-0.0634462238557801</v>
      </c>
      <c r="AE246" s="27" t="n">
        <f aca="false">IFERROR(AE152/Y152-1,"")</f>
        <v>-0.0514944184371624</v>
      </c>
      <c r="AF246" s="27" t="n">
        <f aca="false">IFERROR(AF152/Z152-1,"")</f>
        <v>-0.0785</v>
      </c>
      <c r="AG246" s="27" t="n">
        <f aca="false">IFERROR(AG152/AA152-1,"")</f>
        <v>-0.0644880553500717</v>
      </c>
      <c r="AH246" s="27" t="n">
        <f aca="false">IFERROR(AH152/AB152-1,"")</f>
        <v>0.0671065032987748</v>
      </c>
      <c r="AI246" s="27" t="n">
        <f aca="false">IFERROR(AI152/AC152-1,"")</f>
        <v>0.243468593663146</v>
      </c>
      <c r="AJ246" s="27" t="n">
        <f aca="false">IFERROR(AJ152/AD152-1,"")</f>
        <v>0.156045598953467</v>
      </c>
      <c r="AK246" s="27" t="n">
        <f aca="false">IFERROR(AK152/AE152-1,"")</f>
        <v>0.257023538344723</v>
      </c>
      <c r="AL246" s="27" t="n">
        <f aca="false">IFERROR(AL152/AF152-1,"")</f>
        <v>0.274009766684753</v>
      </c>
      <c r="AM246" s="27" t="n">
        <f aca="false">IFERROR(AM152/AG152-1,"")</f>
        <v>0.21112609888832</v>
      </c>
      <c r="AN246" s="27" t="n">
        <f aca="false">IFERROR(AN152/AH152-1,"")</f>
        <v>0.228758169934641</v>
      </c>
      <c r="AO246" s="27" t="n">
        <f aca="false">IFERROR(AO152/AI152-1,"")</f>
        <v>0.0914915809864401</v>
      </c>
      <c r="AP246" s="27" t="n">
        <f aca="false">IFERROR(AP152/AJ152-1,"")</f>
        <v>0.15430003233107</v>
      </c>
      <c r="AQ246" s="27" t="n">
        <f aca="false">IFERROR(AQ152/AK152-1,"")</f>
        <v>0.0952884324977348</v>
      </c>
      <c r="AR246" s="27" t="n">
        <f aca="false">IFERROR(AR152/AL152-1,"")</f>
        <v>0.0624645088018172</v>
      </c>
      <c r="AS246" s="27" t="n">
        <f aca="false">IFERROR(AS152/AM152-1,"")</f>
        <v>0.114448114294493</v>
      </c>
      <c r="AT246" s="27" t="n">
        <f aca="false">IFERROR(AT152/AN152-1,"")</f>
        <v>0.0713053479010926</v>
      </c>
      <c r="AU246" s="27" t="n">
        <f aca="false">IFERROR(AU152/AO152-1,"")</f>
        <v>0.0675767918088737</v>
      </c>
      <c r="AV246" s="27" t="n">
        <f aca="false">IFERROR(AV152/AP152-1,"")</f>
        <v>0.0693928996568869</v>
      </c>
      <c r="AW246" s="27" t="n">
        <f aca="false">IFERROR(AW152/AQ152-1,"")</f>
        <v>0.106025093064939</v>
      </c>
      <c r="AX246" s="27" t="n">
        <f aca="false">IFERROR(AX152/AR152-1,"")</f>
        <v>0.114644575093533</v>
      </c>
      <c r="AY246" s="27" t="n">
        <f aca="false">IFERROR(AY152/AS152-1,"")</f>
        <v>0.0902198635329794</v>
      </c>
      <c r="AZ246" s="27" t="n">
        <f aca="false">IFERROR(AZ152/AT152-1,"")</f>
        <v>0.0528717122920022</v>
      </c>
      <c r="BA246" s="27" t="n">
        <f aca="false">IFERROR(BA152/AU152-1,"")</f>
        <v>-0.0494884910485934</v>
      </c>
      <c r="BB246" s="27" t="n">
        <f aca="false">IFERROR(BB152/AV152-1,"")</f>
        <v>0.000458355159769441</v>
      </c>
      <c r="BC246" s="27" t="n">
        <f aca="false">IFERROR(BC152/AW152-1,"")</f>
        <v>-0.0663176265270506</v>
      </c>
      <c r="BD246" s="27" t="n">
        <f aca="false">IFERROR(BD152/AX152-1,"")</f>
        <v>-0.0298489570846321</v>
      </c>
      <c r="BE246" s="27" t="n">
        <f aca="false">IFERROR(BE152/AY152-1,"")</f>
        <v>-0.0244657984574536</v>
      </c>
      <c r="BF246" s="27" t="n">
        <f aca="false">IFERROR(BF152/AZ152-1,"")</f>
        <v>0.0268926841702779</v>
      </c>
      <c r="BG246" s="27" t="n">
        <f aca="false">IFERROR(BG152/BA152-1,"")</f>
        <v>0.508139378447464</v>
      </c>
      <c r="BH246" s="27" t="n">
        <f aca="false">IFERROR(BH152/BB152-1,"")</f>
        <v>0.261011846325021</v>
      </c>
      <c r="BI246" s="27" t="n">
        <f aca="false">IFERROR(BI152/BC152-1,"")</f>
        <v>0.751535380507343</v>
      </c>
      <c r="BJ246" s="27" t="n">
        <f aca="false">IFERROR(BJ152/BD152-1,"")</f>
        <v>0.699864080069196</v>
      </c>
      <c r="BK246" s="27" t="n">
        <f aca="false">IFERROR(BK152/BE152-1,"")</f>
        <v>0.495139653943361</v>
      </c>
      <c r="BL246" s="27" t="n">
        <f aca="false">IFERROR(BL152/BF152-1,"")</f>
        <v>0.639568077448182</v>
      </c>
      <c r="BM246" s="27" t="n">
        <f aca="false">IFERROR(BM152/BG152-1,"")</f>
        <v>0.209455842997324</v>
      </c>
      <c r="BN246" s="27" t="n">
        <f aca="false">IFERROR(BN152/BH152-1,"")</f>
        <v>0.389318523900971</v>
      </c>
      <c r="BO246" s="27" t="n">
        <f aca="false">IFERROR(BO152/BI152-1,"")</f>
        <v>0.0394084915008766</v>
      </c>
      <c r="BP246" s="27" t="n">
        <f aca="false">IFERROR(BP152/BJ152-1,"")</f>
        <v>0.0308933633786437</v>
      </c>
      <c r="BQ246" s="27" t="n">
        <f aca="false">IFERROR(BQ152/BK152-1,"")</f>
        <v>0.182974665713109</v>
      </c>
      <c r="BR246" s="27" t="n">
        <f aca="false">IFERROR(BR152/BL152-1,"")</f>
        <v>0.0471612414837244</v>
      </c>
      <c r="BS246" s="27" t="n">
        <f aca="false">IFERROR(BS152/BM152-1,"")</f>
        <v>0.0508187048237203</v>
      </c>
      <c r="BT246" s="27" t="n">
        <f aca="false">IFERROR(BT152/BN152-1,"")</f>
        <v>0.0490137477585175</v>
      </c>
      <c r="BU246" s="27" t="n">
        <f aca="false">IFERROR(BU152/BO152-1,"")</f>
        <v>0.028527427398064</v>
      </c>
      <c r="BV246" s="27" t="n">
        <f aca="false">IFERROR(BV152/BP152-1,"")</f>
        <v>0.00479481032294449</v>
      </c>
      <c r="BW246" s="27" t="n">
        <f aca="false">IFERROR(BW152/BQ152-1,"")</f>
        <v>0.0324075770344043</v>
      </c>
      <c r="BX246" s="27" t="n">
        <f aca="false">IFERROR(BX152/BR152-1,"")</f>
        <v>-0.0240005783271886</v>
      </c>
      <c r="BY246" s="27" t="n">
        <f aca="false">IFERROR(BY152/BS152-1,"")</f>
        <v>-0.0355162490348846</v>
      </c>
      <c r="BZ246" s="27" t="n">
        <f aca="false">IFERROR(BZ152/BT152-1,"")</f>
        <v>-0.0298433048433049</v>
      </c>
      <c r="CA246" s="27" t="n">
        <f aca="false">IFERROR(CA152/BU152-1,"")</f>
        <v>0.0292335115864528</v>
      </c>
      <c r="CB246" s="27" t="n">
        <f aca="false">IFERROR(CB152/BV152-1,"")</f>
        <v>0.0542456140350878</v>
      </c>
      <c r="CC246" s="27" t="n">
        <f aca="false">IFERROR(CC152/BW152-1,"")</f>
        <v>0.00612190577588501</v>
      </c>
      <c r="CD246" s="27" t="n">
        <f aca="false">IFERROR(CD152/BX152-1,"")</f>
        <v>0.0739204503370121</v>
      </c>
      <c r="CE246" s="27" t="n">
        <f aca="false">IFERROR(CE152/BY152-1,"")</f>
        <v>0.101593770467943</v>
      </c>
      <c r="CF246" s="27" t="n">
        <f aca="false">IFERROR(CF152/BZ152-1,"")</f>
        <v>0.0878790103516631</v>
      </c>
      <c r="CG246" s="27" t="n">
        <f aca="false">IFERROR(CG152/CA152-1,"")</f>
        <v>0.0665050225147212</v>
      </c>
      <c r="CH246" s="27" t="n">
        <f aca="false">IFERROR(CH152/CB152-1,"")</f>
        <v>0.073221061039739</v>
      </c>
      <c r="CI246" s="27" t="n">
        <f aca="false">IFERROR(CI152/CC152-1,"")</f>
        <v>0.0785537918871251</v>
      </c>
      <c r="CJ246" s="27" t="n">
        <f aca="false">IFERROR(CJ152/CD152-1,"")</f>
        <v>0.0760052417408095</v>
      </c>
      <c r="CK246" s="27" t="n">
        <f aca="false">IFERROR(CK152/CE152-1,"")</f>
        <v>0.0983021734821958</v>
      </c>
      <c r="CL246" s="27" t="n">
        <f aca="false">IFERROR(CL152/CF152-1,"")</f>
        <v>0.0873937103522742</v>
      </c>
      <c r="CM246" s="28" t="n">
        <f aca="false">IFERROR(CM152/CG152-1,"")</f>
        <v>0.0985216209674376</v>
      </c>
      <c r="CN246" s="28" t="n">
        <f aca="false">IFERROR(CN152/CH152-1,"")</f>
        <v>0.0992455619697679</v>
      </c>
      <c r="CO246" s="28" t="n">
        <f aca="false">IFERROR(CO152/CI152-1,"")</f>
        <v>0.0933197591397501</v>
      </c>
      <c r="CP246" s="28" t="n">
        <f aca="false">IFERROR(CP152/CO152-1,"")</f>
        <v>0.073870863856029</v>
      </c>
      <c r="CQ246" s="28" t="n">
        <f aca="false">IFERROR(CQ152/CP152-1,"")</f>
        <v>0.092820471414079</v>
      </c>
      <c r="CR246" s="28" t="n">
        <f aca="false">IFERROR(CR152/CQ152-1,"")</f>
        <v>0.0910838855733869</v>
      </c>
      <c r="CS246" s="28" t="n">
        <f aca="false">IFERROR(CS152/CR152-1,"")</f>
        <v>0.0871697443401669</v>
      </c>
      <c r="CT246" s="23"/>
      <c r="CV246" s="7"/>
      <c r="CW246" s="7"/>
      <c r="CX246" s="7"/>
      <c r="CY246" s="7"/>
    </row>
    <row r="247" customFormat="false" ht="15" hidden="false" customHeight="true" outlineLevel="0" collapsed="false">
      <c r="B247" s="26" t="s">
        <v>378</v>
      </c>
      <c r="C247" s="27"/>
      <c r="D247" s="27" t="n">
        <f aca="false">IFERROR(D246-D248,"")</f>
        <v>0.0192576053586379</v>
      </c>
      <c r="E247" s="27" t="n">
        <f aca="false">IFERROR(E246-E248,"")</f>
        <v>-0.0266288602601245</v>
      </c>
      <c r="F247" s="27" t="n">
        <f aca="false">IFERROR(F246-F248,"")</f>
        <v>-0.0637630662020907</v>
      </c>
      <c r="G247" s="27" t="n">
        <f aca="false">IFERROR(G246-G248,"")</f>
        <v>-0.0200956358573936</v>
      </c>
      <c r="H247" s="27" t="n">
        <f aca="false">IFERROR(H246-H248,"")</f>
        <v>0.0292543486193893</v>
      </c>
      <c r="I247" s="27" t="n">
        <f aca="false">IFERROR(I246-I248,"")</f>
        <v>0.00242031000566463</v>
      </c>
      <c r="J247" s="27"/>
      <c r="K247" s="27"/>
      <c r="L247" s="27"/>
      <c r="M247" s="27"/>
      <c r="N247" s="27"/>
      <c r="O247" s="27" t="n">
        <f aca="false">IFERROR(O246-O248,"")</f>
        <v>0.0184741221266393</v>
      </c>
      <c r="P247" s="27" t="n">
        <f aca="false">IFERROR(P246-P248,"")</f>
        <v>-0.0289778714436248</v>
      </c>
      <c r="Q247" s="27" t="n">
        <f aca="false">IFERROR(Q246-Q248,"")</f>
        <v>-0.0242928452579034</v>
      </c>
      <c r="R247" s="27" t="n">
        <f aca="false">IFERROR(R246-R248,"")</f>
        <v>-0.0265721120984281</v>
      </c>
      <c r="S247" s="27" t="n">
        <f aca="false">IFERROR(S246-S248,"")</f>
        <v>0.0337648705388383</v>
      </c>
      <c r="T247" s="27" t="n">
        <f aca="false">IFERROR(T246-T248,"")</f>
        <v>0.0201139792155546</v>
      </c>
      <c r="U247" s="27" t="n">
        <f aca="false">IFERROR(U246-U248,"")</f>
        <v>0.000684170016248993</v>
      </c>
      <c r="V247" s="27" t="n">
        <f aca="false">IFERROR(V246-V248,"")</f>
        <v>-0.0359197907585005</v>
      </c>
      <c r="W247" s="27" t="n">
        <f aca="false">IFERROR(W246-W248,"")</f>
        <v>-0.0492379835873388</v>
      </c>
      <c r="X247" s="27" t="n">
        <f aca="false">IFERROR(X246-X248,"")</f>
        <v>-0.0427131385614214</v>
      </c>
      <c r="Y247" s="27" t="n">
        <f aca="false">IFERROR(Y246-Y248,"")</f>
        <v>-0.0984861088005324</v>
      </c>
      <c r="Z247" s="27" t="n">
        <f aca="false">IFERROR(Z246-Z248,"")</f>
        <v>-0.0409770207295516</v>
      </c>
      <c r="AA247" s="27" t="n">
        <f aca="false">IFERROR(AA246-AA248,"")</f>
        <v>-0.0563074352548037</v>
      </c>
      <c r="AB247" s="27" t="n">
        <f aca="false">IFERROR(AB246-AB248,"")</f>
        <v>-0.0651327433628319</v>
      </c>
      <c r="AC247" s="27" t="n">
        <f aca="false">IFERROR(AC246-AC248,"")</f>
        <v>-0.0778951012636317</v>
      </c>
      <c r="AD247" s="27" t="n">
        <f aca="false">IFERROR(AD246-AD248,"")</f>
        <v>-0.0715848429159009</v>
      </c>
      <c r="AE247" s="27" t="n">
        <f aca="false">IFERROR(AE246-AE248,"")</f>
        <v>-0.0621173928700036</v>
      </c>
      <c r="AF247" s="27" t="n">
        <f aca="false">IFERROR(AF246-AF248,"")</f>
        <v>-0.0951666666666667</v>
      </c>
      <c r="AG247" s="27" t="n">
        <f aca="false">IFERROR(AG246-AG248,"")</f>
        <v>-0.0754536356120273</v>
      </c>
      <c r="AH247" s="27" t="n">
        <f aca="false">IFERROR(AH246-AH248,"")</f>
        <v>0.0311027332704996</v>
      </c>
      <c r="AI247" s="27" t="n">
        <f aca="false">IFERROR(AI246-AI248,"")</f>
        <v>0.0650361311839912</v>
      </c>
      <c r="AJ247" s="27" t="n">
        <f aca="false">IFERROR(AJ246-AJ248,"")</f>
        <v>0.0482152868622687</v>
      </c>
      <c r="AK247" s="27" t="n">
        <f aca="false">IFERROR(AK246-AK248,"")</f>
        <v>0.0859908883826881</v>
      </c>
      <c r="AL247" s="27" t="n">
        <f aca="false">IFERROR(AL246-AL248,"")</f>
        <v>0.0936878278169651</v>
      </c>
      <c r="AM247" s="27" t="n">
        <f aca="false">IFERROR(AM246-AM248,"")</f>
        <v>0.0725150006977068</v>
      </c>
      <c r="AN247" s="27" t="n">
        <f aca="false">IFERROR(AN246-AN248,"")</f>
        <v>0.0777247836071366</v>
      </c>
      <c r="AO247" s="27" t="n">
        <f aca="false">IFERROR(AO246-AO248,"")</f>
        <v>0.0835940992400535</v>
      </c>
      <c r="AP247" s="27" t="n">
        <f aca="false">IFERROR(AP246-AP248,"")</f>
        <v>0.0809085030714517</v>
      </c>
      <c r="AQ247" s="27" t="n">
        <f aca="false">IFERROR(AQ246-AQ248,"")</f>
        <v>0.0952884324977348</v>
      </c>
      <c r="AR247" s="27" t="n">
        <f aca="false">IFERROR(AR246-AR248,"")</f>
        <v>0.0624645088018172</v>
      </c>
      <c r="AS247" s="27" t="n">
        <f aca="false">IFERROR(AS246-AS248,"")</f>
        <v>0.0702434902834319</v>
      </c>
      <c r="AT247" s="27" t="n">
        <f aca="false">IFERROR(AT246-AT248,"")</f>
        <v>0.0510350776308223</v>
      </c>
      <c r="AU247" s="27" t="n">
        <f aca="false">IFERROR(AU246-AU248,"")</f>
        <v>0.0357679180887371</v>
      </c>
      <c r="AV247" s="27" t="n">
        <f aca="false">IFERROR(AV246-AV248,"")</f>
        <v>0.0432042574049437</v>
      </c>
      <c r="AW247" s="27" t="n">
        <f aca="false">IFERROR(AW246-AW248,"")</f>
        <v>0.0497725079277541</v>
      </c>
      <c r="AX247" s="27" t="n">
        <f aca="false">IFERROR(AX246-AX248,"")</f>
        <v>0.0411544628540888</v>
      </c>
      <c r="AY247" s="27" t="n">
        <f aca="false">IFERROR(AY246-AY248,"")</f>
        <v>0.0443517816527671</v>
      </c>
      <c r="AZ247" s="27" t="n">
        <f aca="false">IFERROR(AZ246-AZ248,"")</f>
        <v>0.00348899624261945</v>
      </c>
      <c r="BA247" s="27" t="n">
        <f aca="false">IFERROR(BA246-BA248,"")</f>
        <v>-0.0872122762148338</v>
      </c>
      <c r="BB247" s="27" t="n">
        <f aca="false">IFERROR(BB246-BB248,"")</f>
        <v>-0.0429544264012573</v>
      </c>
      <c r="BC247" s="27" t="n">
        <f aca="false">IFERROR(BC246-BC248,"")</f>
        <v>-0.080902518075293</v>
      </c>
      <c r="BD247" s="27" t="n">
        <f aca="false">IFERROR(BD246-BD248,"")</f>
        <v>-0.0356029729081756</v>
      </c>
      <c r="BE247" s="27" t="n">
        <f aca="false">IFERROR(BE246-BE248,"")</f>
        <v>-0.0462447844228095</v>
      </c>
      <c r="BF247" s="27" t="n">
        <f aca="false">IFERROR(BF246-BF248,"")</f>
        <v>0.0268926841702779</v>
      </c>
      <c r="BG247" s="27" t="n">
        <f aca="false">IFERROR(BG246-BG248,"")</f>
        <v>0.102650343064712</v>
      </c>
      <c r="BH247" s="27" t="n">
        <f aca="false">IFERROR(BH246-BH248,"")</f>
        <v>0.261011846325021</v>
      </c>
      <c r="BI247" s="27" t="n">
        <f aca="false">IFERROR(BI246-BI248,"")</f>
        <v>0.119225634178905</v>
      </c>
      <c r="BJ247" s="27" t="n">
        <f aca="false">IFERROR(BJ246-BJ248,"")</f>
        <v>0.0837761028048932</v>
      </c>
      <c r="BK247" s="27" t="n">
        <f aca="false">IFERROR(BK246-BK248,"")</f>
        <v>0.0824638714276459</v>
      </c>
      <c r="BL247" s="27" t="n">
        <f aca="false">IFERROR(BL246-BL248,"")</f>
        <v>0.0778205287327788</v>
      </c>
      <c r="BM247" s="27" t="n">
        <f aca="false">IFERROR(BM246-BM248,"")</f>
        <v>0.0599464763603924</v>
      </c>
      <c r="BN247" s="27" t="n">
        <f aca="false">IFERROR(BN246-BN248,"")</f>
        <v>0.0674209788757981</v>
      </c>
      <c r="BO247" s="27" t="n">
        <f aca="false">IFERROR(BO246-BO248,"")</f>
        <v>0.0394084915008766</v>
      </c>
      <c r="BP247" s="27" t="n">
        <f aca="false">IFERROR(BP246-BP248,"")</f>
        <v>0.0308933633786437</v>
      </c>
      <c r="BQ247" s="27" t="n">
        <f aca="false">IFERROR(BQ246-BQ248,"")</f>
        <v>0.0543094293825716</v>
      </c>
      <c r="BR247" s="27" t="n">
        <f aca="false">IFERROR(BR246-BR248,"")</f>
        <v>0.028236184708554</v>
      </c>
      <c r="BS247" s="27" t="n">
        <f aca="false">IFERROR(BS246-BS248,"")</f>
        <v>0.0295766337217879</v>
      </c>
      <c r="BT247" s="27" t="n">
        <f aca="false">IFERROR(BT246-BT248,"")</f>
        <v>0.0289151225343693</v>
      </c>
      <c r="BU247" s="27" t="n">
        <f aca="false">IFERROR(BU246-BU248,"")</f>
        <v>0.00960692285127611</v>
      </c>
      <c r="BV247" s="27" t="n">
        <f aca="false">IFERROR(BV246-BV248,"")</f>
        <v>-0.0076152869835003</v>
      </c>
      <c r="BW247" s="27" t="n">
        <f aca="false">IFERROR(BW246-BW248,"")</f>
        <v>0.0141245007877477</v>
      </c>
      <c r="BX247" s="27" t="n">
        <f aca="false">IFERROR(BX246-BX248,"")</f>
        <v>-0.0240005783271886</v>
      </c>
      <c r="BY247" s="27" t="n">
        <f aca="false">IFERROR(BY246-BY248,"")</f>
        <v>-0.0355162490348846</v>
      </c>
      <c r="BZ247" s="27" t="n">
        <f aca="false">IFERROR(BZ246-BZ248,"")</f>
        <v>-0.0298433048433049</v>
      </c>
      <c r="CA247" s="27" t="n">
        <f aca="false">IFERROR(CA246-CA248,"")</f>
        <v>0.0163992869875223</v>
      </c>
      <c r="CB247" s="27" t="n">
        <f aca="false">IFERROR(CB246-CB248,"")</f>
        <v>0.0421052631578948</v>
      </c>
      <c r="CC247" s="27" t="n">
        <f aca="false">IFERROR(CC246-CC248,"")</f>
        <v>-0.00264395350900542</v>
      </c>
      <c r="CD247" s="27" t="n">
        <f aca="false">IFERROR(CD246-CD248,"")</f>
        <v>0.03273831568032</v>
      </c>
      <c r="CE247" s="27" t="n">
        <f aca="false">IFERROR(CE246-CE248,"")</f>
        <v>0.0505785605123355</v>
      </c>
      <c r="CF247" s="27" t="n">
        <f aca="false">IFERROR(CF246-CF248,"")</f>
        <v>0.041737023713384</v>
      </c>
      <c r="CG247" s="27" t="n">
        <f aca="false">IFERROR(CG246-CG248,"")</f>
        <v>0.0187045375822654</v>
      </c>
      <c r="CH247" s="27" t="n">
        <f aca="false">IFERROR(CH246-CH248,"")</f>
        <v>0.0246289023497304</v>
      </c>
      <c r="CI247" s="27" t="n">
        <f aca="false">IFERROR(CI246-CI248,"")</f>
        <v>0.0309171075837741</v>
      </c>
      <c r="CJ247" s="27" t="n">
        <f aca="false">IFERROR(CJ246-CJ248,"")</f>
        <v>0.0530381405614178</v>
      </c>
      <c r="CK247" s="27" t="n">
        <f aca="false">IFERROR(CK246-CK248,"")</f>
        <v>0.0902424522692739</v>
      </c>
      <c r="CL247" s="27" t="n">
        <f aca="false">IFERROR(CL246-CL248,"")</f>
        <v>0.0720407612363341</v>
      </c>
      <c r="CM247" s="28" t="n">
        <f aca="false">IFERROR(CM246-CM248,"")</f>
        <v>0.0933251285997857</v>
      </c>
      <c r="CN247" s="28" t="n">
        <f aca="false">IFERROR(CN246-CN248,"")</f>
        <v>0.0942837062357233</v>
      </c>
      <c r="CO247" s="28" t="n">
        <f aca="false">IFERROR(CO246-CO248,"")</f>
        <v>0.0832631806657337</v>
      </c>
      <c r="CP247" s="28" t="n">
        <f aca="false">IFERROR(CP246-CP248,"")</f>
        <v>0.0551753267274193</v>
      </c>
      <c r="CQ247" s="28" t="n">
        <f aca="false">IFERROR(CQ246-CQ248,"")</f>
        <v>0.0521983431535953</v>
      </c>
      <c r="CR247" s="28" t="n">
        <f aca="false">IFERROR(CR246-CR248,"")</f>
        <v>0.0486018030585161</v>
      </c>
      <c r="CS247" s="28" t="n">
        <f aca="false">IFERROR(CS246-CS248,"")</f>
        <v>0.0482340739700142</v>
      </c>
      <c r="CT247" s="23" t="s">
        <v>379</v>
      </c>
      <c r="CV247" s="7"/>
      <c r="CW247" s="7"/>
      <c r="CX247" s="7"/>
      <c r="CY247" s="7"/>
    </row>
    <row r="248" customFormat="false" ht="15" hidden="false" customHeight="true" outlineLevel="0" collapsed="false">
      <c r="B248" s="26" t="s">
        <v>380</v>
      </c>
      <c r="C248" s="27"/>
      <c r="D248" s="27" t="n">
        <f aca="false">IFERROR(N(D130)/C152,"")</f>
        <v>0.112684900921016</v>
      </c>
      <c r="E248" s="27" t="n">
        <f aca="false">IFERROR(N(E130)/D152,"")</f>
        <v>0.0880848178511989</v>
      </c>
      <c r="F248" s="27" t="n">
        <f aca="false">IFERROR(N(F130)/E152,"")</f>
        <v>0.0231707317073171</v>
      </c>
      <c r="G248" s="27" t="n">
        <f aca="false">IFERROR(N(G130)/F152,"")</f>
        <v>0.0153138429877126</v>
      </c>
      <c r="H248" s="27" t="n">
        <f aca="false">IFERROR(N(H130)/G152,"")</f>
        <v>0.151806349592507</v>
      </c>
      <c r="I248" s="27" t="n">
        <f aca="false">IFERROR(N(I130)/H152,"")</f>
        <v>0.0930531953241671</v>
      </c>
      <c r="J248" s="27"/>
      <c r="K248" s="27"/>
      <c r="L248" s="27"/>
      <c r="M248" s="27"/>
      <c r="N248" s="27"/>
      <c r="O248" s="27" t="n">
        <f aca="false">IFERROR(N(O130)/I152,"")</f>
        <v>0.0808536642692615</v>
      </c>
      <c r="P248" s="27" t="n">
        <f aca="false">IFERROR(N(P130)/J152,"")</f>
        <v>0.0361784334387074</v>
      </c>
      <c r="Q248" s="27" t="n">
        <f aca="false">IFERROR(N(Q130)/K152,"")</f>
        <v>0.0178036605657238</v>
      </c>
      <c r="R248" s="27" t="n">
        <f aca="false">IFERROR(N(R130)/L152,"")</f>
        <v>0.026742993848257</v>
      </c>
      <c r="S248" s="27" t="n">
        <f aca="false">IFERROR(N(S130)/M152,"")</f>
        <v>0.0178446466060182</v>
      </c>
      <c r="T248" s="27" t="n">
        <f aca="false">IFERROR(N(T130)/N152,"")</f>
        <v>0.0229634596044251</v>
      </c>
      <c r="U248" s="27" t="n">
        <f aca="false">IFERROR(N(U130)/O152,"")</f>
        <v>0.0230052167963739</v>
      </c>
      <c r="V248" s="27" t="n">
        <f aca="false">IFERROR(N(V130)/P152,"")</f>
        <v>0.0210985178727114</v>
      </c>
      <c r="W248" s="27" t="n">
        <f aca="false">IFERROR(N(W130)/Q152,"")</f>
        <v>0.0167476134650812</v>
      </c>
      <c r="X248" s="27" t="n">
        <f aca="false">IFERROR(N(X130)/R152,"")</f>
        <v>0.0188792072441483</v>
      </c>
      <c r="Y248" s="27" t="n">
        <f aca="false">IFERROR(N(Y130)/S152,"")</f>
        <v>0.0224588254866079</v>
      </c>
      <c r="Z248" s="27" t="n">
        <f aca="false">IFERROR(N(Z130)/T152,"")</f>
        <v>0.00514221436606139</v>
      </c>
      <c r="AA248" s="27" t="n">
        <f aca="false">IFERROR(N(AA130)/U152,"")</f>
        <v>0.0162489557226399</v>
      </c>
      <c r="AB248" s="27" t="n">
        <f aca="false">IFERROR(N(AB130)/V152,"")</f>
        <v>0.00407079646017699</v>
      </c>
      <c r="AC248" s="27" t="n">
        <f aca="false">IFERROR(N(AC130)/W152,"")</f>
        <v>0.0121170157521205</v>
      </c>
      <c r="AD248" s="27" t="n">
        <f aca="false">IFERROR(N(AD130)/X152,"")</f>
        <v>0.00813861906012077</v>
      </c>
      <c r="AE248" s="27" t="n">
        <f aca="false">IFERROR(N(AE130)/Y152,"")</f>
        <v>0.0106229744328412</v>
      </c>
      <c r="AF248" s="27" t="n">
        <f aca="false">IFERROR(N(AF130)/Z152,"")</f>
        <v>0.0166666666666667</v>
      </c>
      <c r="AG248" s="27" t="n">
        <f aca="false">IFERROR(N(AG130)/AA152,"")</f>
        <v>0.0109655802619555</v>
      </c>
      <c r="AH248" s="27" t="n">
        <f aca="false">IFERROR(N(AH130)/AB152,"")</f>
        <v>0.0360037700282752</v>
      </c>
      <c r="AI248" s="27" t="n">
        <f aca="false">IFERROR(N(AI130)/AC152,"")</f>
        <v>0.178432462479155</v>
      </c>
      <c r="AJ248" s="27" t="n">
        <f aca="false">IFERROR(N(AJ130)/AD152,"")</f>
        <v>0.107830312091198</v>
      </c>
      <c r="AK248" s="27" t="n">
        <f aca="false">IFERROR(N(AK130)/AE152,"")</f>
        <v>0.171032649962035</v>
      </c>
      <c r="AL248" s="27" t="n">
        <f aca="false">IFERROR(N(AL130)/AF152,"")</f>
        <v>0.180321938867788</v>
      </c>
      <c r="AM248" s="27" t="n">
        <f aca="false">IFERROR(N(AM130)/AG152,"")</f>
        <v>0.138611098190614</v>
      </c>
      <c r="AN248" s="27" t="n">
        <f aca="false">IFERROR(N(AN130)/AH152,"")</f>
        <v>0.151033386327504</v>
      </c>
      <c r="AO248" s="27" t="n">
        <f aca="false">IFERROR(N(AO130)/AI152,"")</f>
        <v>0.00789748174638653</v>
      </c>
      <c r="AP248" s="27" t="n">
        <f aca="false">IFERROR(N(AP130)/AJ152,"")</f>
        <v>0.0733915292596185</v>
      </c>
      <c r="AQ248" s="27" t="n">
        <f aca="false">IFERROR(N(AQ130)/AK152,"")</f>
        <v>0</v>
      </c>
      <c r="AR248" s="27" t="n">
        <f aca="false">IFERROR(N(AR130)/AL152,"")</f>
        <v>0</v>
      </c>
      <c r="AS248" s="27" t="n">
        <f aca="false">IFERROR(N(AS130)/AM152,"")</f>
        <v>0.0442046240110608</v>
      </c>
      <c r="AT248" s="27" t="n">
        <f aca="false">IFERROR(N(AT130)/AN152,"")</f>
        <v>0.0202702702702703</v>
      </c>
      <c r="AU248" s="27" t="n">
        <f aca="false">IFERROR(N(AU130)/AO152,"")</f>
        <v>0.0318088737201365</v>
      </c>
      <c r="AV248" s="27" t="n">
        <f aca="false">IFERROR(N(AV130)/AP152,"")</f>
        <v>0.0261886422519431</v>
      </c>
      <c r="AW248" s="27" t="n">
        <f aca="false">IFERROR(N(AW130)/AQ152,"")</f>
        <v>0.0562525851371846</v>
      </c>
      <c r="AX248" s="27" t="n">
        <f aca="false">IFERROR(N(AX130)/AR152,"")</f>
        <v>0.0734901122394442</v>
      </c>
      <c r="AY248" s="27" t="n">
        <f aca="false">IFERROR(N(AY130)/AS152,"")</f>
        <v>0.0458680818802123</v>
      </c>
      <c r="AZ248" s="27" t="n">
        <f aca="false">IFERROR(N(AZ130)/AT152,"")</f>
        <v>0.0493827160493827</v>
      </c>
      <c r="BA248" s="27" t="n">
        <f aca="false">IFERROR(N(BA130)/AU152,"")</f>
        <v>0.0377237851662404</v>
      </c>
      <c r="BB248" s="27" t="n">
        <f aca="false">IFERROR(N(BB130)/AV152,"")</f>
        <v>0.0434127815610267</v>
      </c>
      <c r="BC248" s="27" t="n">
        <f aca="false">IFERROR(N(BC130)/AW152,"")</f>
        <v>0.0145848915482423</v>
      </c>
      <c r="BD248" s="27" t="n">
        <f aca="false">IFERROR(N(BD130)/AX152,"")</f>
        <v>0.00575401582354351</v>
      </c>
      <c r="BE248" s="27" t="n">
        <f aca="false">IFERROR(N(BE130)/AY152,"")</f>
        <v>0.0217789859653559</v>
      </c>
      <c r="BF248" s="27" t="n">
        <f aca="false">IFERROR(N(BF130)/AZ152,"")</f>
        <v>0</v>
      </c>
      <c r="BG248" s="27" t="n">
        <f aca="false">IFERROR(N(BG130)/BA152,"")</f>
        <v>0.405489035382753</v>
      </c>
      <c r="BH248" s="27" t="n">
        <f aca="false">IFERROR(N(BH130)/BB152,"")</f>
        <v>0</v>
      </c>
      <c r="BI248" s="27" t="n">
        <f aca="false">IFERROR(N(BI130)/BC152,"")</f>
        <v>0.632309746328438</v>
      </c>
      <c r="BJ248" s="27" t="n">
        <f aca="false">IFERROR(N(BJ130)/BD152,"")</f>
        <v>0.616087977264303</v>
      </c>
      <c r="BK248" s="27" t="n">
        <f aca="false">IFERROR(N(BK130)/BE152,"")</f>
        <v>0.412675782515715</v>
      </c>
      <c r="BL248" s="27" t="n">
        <f aca="false">IFERROR(N(BL130)/BF152,"")</f>
        <v>0.561747548715403</v>
      </c>
      <c r="BM248" s="27" t="n">
        <f aca="false">IFERROR(N(BM130)/BG152,"")</f>
        <v>0.149509366636931</v>
      </c>
      <c r="BN248" s="27" t="n">
        <f aca="false">IFERROR(N(BN130)/BH152,"")</f>
        <v>0.321897545025173</v>
      </c>
      <c r="BO248" s="27" t="n">
        <f aca="false">IFERROR(N(BO130)/BI152,"")</f>
        <v>0</v>
      </c>
      <c r="BP248" s="27" t="n">
        <f aca="false">IFERROR(N(BP130)/BJ152,"")</f>
        <v>0</v>
      </c>
      <c r="BQ248" s="27" t="n">
        <f aca="false">IFERROR(N(BQ130)/BK152,"")</f>
        <v>0.128665236330538</v>
      </c>
      <c r="BR248" s="27" t="n">
        <f aca="false">IFERROR(N(BR130)/BL152,"")</f>
        <v>0.0189250567751703</v>
      </c>
      <c r="BS248" s="27" t="n">
        <f aca="false">IFERROR(N(BS130)/BM152,"")</f>
        <v>0.0212420711019324</v>
      </c>
      <c r="BT248" s="27" t="n">
        <f aca="false">IFERROR(N(BT130)/BN152,"")</f>
        <v>0.0200986252241482</v>
      </c>
      <c r="BU248" s="27" t="n">
        <f aca="false">IFERROR(N(BU130)/BO152,"")</f>
        <v>0.0189205045467879</v>
      </c>
      <c r="BV248" s="27" t="n">
        <f aca="false">IFERROR(N(BV130)/BP152,"")</f>
        <v>0.0124100973064448</v>
      </c>
      <c r="BW248" s="27" t="n">
        <f aca="false">IFERROR(N(BW130)/BQ152,"")</f>
        <v>0.0182830762466567</v>
      </c>
      <c r="BX248" s="27" t="n">
        <f aca="false">IFERROR(N(BX130)/BR152,"")</f>
        <v>0</v>
      </c>
      <c r="BY248" s="27" t="n">
        <f aca="false">IFERROR(N(BY130)/BS152,"")</f>
        <v>0</v>
      </c>
      <c r="BZ248" s="27" t="n">
        <f aca="false">IFERROR(N(BZ130)/BT152,"")</f>
        <v>0</v>
      </c>
      <c r="CA248" s="27" t="n">
        <f aca="false">IFERROR(N(CA130)/BU152,"")</f>
        <v>0.0128342245989305</v>
      </c>
      <c r="CB248" s="27" t="n">
        <f aca="false">IFERROR(N(CB130)/BV152,"")</f>
        <v>0.012140350877193</v>
      </c>
      <c r="CC248" s="27" t="n">
        <f aca="false">IFERROR(N(CC130)/BW152,"")</f>
        <v>0.00876585928489043</v>
      </c>
      <c r="CD248" s="27" t="n">
        <f aca="false">IFERROR(N(CD130)/BX152,"")</f>
        <v>0.0411821346566921</v>
      </c>
      <c r="CE248" s="27" t="n">
        <f aca="false">IFERROR(N(CE130)/BY152,"")</f>
        <v>0.0510152099556073</v>
      </c>
      <c r="CF248" s="27" t="n">
        <f aca="false">IFERROR(N(CF130)/BZ152,"")</f>
        <v>0.0461419866382791</v>
      </c>
      <c r="CG248" s="27" t="n">
        <f aca="false">IFERROR(N(CG130)/CA152,"")</f>
        <v>0.0478004849324558</v>
      </c>
      <c r="CH248" s="27" t="n">
        <f aca="false">IFERROR(N(CH130)/CB152,"")</f>
        <v>0.0485921586900087</v>
      </c>
      <c r="CI248" s="27" t="n">
        <f aca="false">IFERROR(N(CI130)/CC152,"")</f>
        <v>0.047636684303351</v>
      </c>
      <c r="CJ248" s="27" t="n">
        <f aca="false">IFERROR(N(CJ130)/CD152,"")</f>
        <v>0.0229671011793917</v>
      </c>
      <c r="CK248" s="27" t="n">
        <f aca="false">IFERROR(N(CK130)/CE152,"")</f>
        <v>0.00805972121292198</v>
      </c>
      <c r="CL248" s="27" t="n">
        <f aca="false">IFERROR(N(CL130)/CF152,"")</f>
        <v>0.0153529491159401</v>
      </c>
      <c r="CM248" s="28" t="n">
        <f aca="false">IFERROR(CM130/CG152,0)</f>
        <v>0.00519649236765184</v>
      </c>
      <c r="CN248" s="28" t="n">
        <f aca="false">IFERROR(CN130/CH152,0)</f>
        <v>0.00496185573404453</v>
      </c>
      <c r="CO248" s="28" t="n">
        <f aca="false">IFERROR(CO130/CI152,0)</f>
        <v>0.0100565784740164</v>
      </c>
      <c r="CP248" s="28" t="n">
        <f aca="false">IFERROR(CP130/CO152,0)</f>
        <v>0.0186955371286098</v>
      </c>
      <c r="CQ248" s="28" t="n">
        <f aca="false">IFERROR(CQ130/CP152,0)</f>
        <v>0.0406221282604838</v>
      </c>
      <c r="CR248" s="28" t="n">
        <f aca="false">IFERROR(CR130/CQ152,0)</f>
        <v>0.0424820825148708</v>
      </c>
      <c r="CS248" s="28" t="n">
        <f aca="false">IFERROR(CS130/CR152,0)</f>
        <v>0.0389356703701527</v>
      </c>
      <c r="CT248" s="23"/>
      <c r="CV248" s="7"/>
      <c r="CW248" s="7"/>
      <c r="CX248" s="7"/>
      <c r="CY248" s="7"/>
    </row>
    <row r="249" customFormat="false" ht="15" hidden="false" customHeight="true" outlineLevel="0" collapsed="false">
      <c r="B249" s="26" t="s">
        <v>381</v>
      </c>
      <c r="C249" s="27"/>
      <c r="D249" s="27" t="n">
        <f aca="false">IFERROR(D200/C200-1,"")</f>
        <v>0.270331325301204</v>
      </c>
      <c r="E249" s="27" t="n">
        <f aca="false">IFERROR(E200/D200-1,"")</f>
        <v>0.270895080023711</v>
      </c>
      <c r="F249" s="27" t="n">
        <f aca="false">IFERROR(F200/E200-1,"")</f>
        <v>-0.142723880597015</v>
      </c>
      <c r="G249" s="27" t="n">
        <f aca="false">IFERROR(G200/F200-1,"")</f>
        <v>0.0478781284004359</v>
      </c>
      <c r="H249" s="27" t="n">
        <f aca="false">IFERROR(H200/G200-1,"")</f>
        <v>0.307372793354101</v>
      </c>
      <c r="I249" s="27" t="n">
        <f aca="false">IFERROR(I200/H200-1,"")</f>
        <v>0.0822081016679912</v>
      </c>
      <c r="J249" s="27"/>
      <c r="K249" s="27"/>
      <c r="L249" s="27"/>
      <c r="M249" s="27"/>
      <c r="N249" s="27"/>
      <c r="O249" s="27" t="n">
        <f aca="false">IFERROR(O200/I200-1,"")</f>
        <v>-0.00256880733945053</v>
      </c>
      <c r="P249" s="27" t="str">
        <f aca="false">IFERROR(P200/J200-1,"")</f>
        <v/>
      </c>
      <c r="Q249" s="27" t="str">
        <f aca="false">IFERROR(Q200/K200-1,"")</f>
        <v/>
      </c>
      <c r="R249" s="27" t="str">
        <f aca="false">IFERROR(R200/L200-1,"")</f>
        <v/>
      </c>
      <c r="S249" s="27" t="str">
        <f aca="false">IFERROR(S200/M200-1,"")</f>
        <v/>
      </c>
      <c r="T249" s="27" t="str">
        <f aca="false">IFERROR(T200/N200-1,"")</f>
        <v/>
      </c>
      <c r="U249" s="27" t="n">
        <f aca="false">IFERROR(U200/O200-1,"")</f>
        <v>0.201250919793967</v>
      </c>
      <c r="V249" s="27" t="str">
        <f aca="false">IFERROR(V200/P200-1,"")</f>
        <v/>
      </c>
      <c r="W249" s="27" t="str">
        <f aca="false">IFERROR(W200/Q200-1,"")</f>
        <v/>
      </c>
      <c r="X249" s="27" t="str">
        <f aca="false">IFERROR(X200/R200-1,"")</f>
        <v/>
      </c>
      <c r="Y249" s="27" t="str">
        <f aca="false">IFERROR(Y200/S200-1,"")</f>
        <v/>
      </c>
      <c r="Z249" s="27" t="str">
        <f aca="false">IFERROR(Z200/T200-1,"")</f>
        <v/>
      </c>
      <c r="AA249" s="27" t="n">
        <f aca="false">IFERROR(AA200/U200-1,"")</f>
        <v>-0.0434915773353757</v>
      </c>
      <c r="AB249" s="27" t="str">
        <f aca="false">IFERROR(AB200/V200-1,"")</f>
        <v/>
      </c>
      <c r="AC249" s="27" t="str">
        <f aca="false">IFERROR(AC200/W200-1,"")</f>
        <v/>
      </c>
      <c r="AD249" s="27" t="str">
        <f aca="false">IFERROR(AD200/X200-1,"")</f>
        <v/>
      </c>
      <c r="AE249" s="27" t="str">
        <f aca="false">IFERROR(AE200/Y200-1,"")</f>
        <v/>
      </c>
      <c r="AF249" s="27" t="str">
        <f aca="false">IFERROR(AF200/Z200-1,"")</f>
        <v/>
      </c>
      <c r="AG249" s="27" t="n">
        <f aca="false">IFERROR(AG200/AA200-1,"")</f>
        <v>-0.0906179955171307</v>
      </c>
      <c r="AH249" s="27" t="str">
        <f aca="false">IFERROR(AH200/AB200-1,"")</f>
        <v/>
      </c>
      <c r="AI249" s="27" t="str">
        <f aca="false">IFERROR(AI200/AC200-1,"")</f>
        <v/>
      </c>
      <c r="AJ249" s="27" t="str">
        <f aca="false">IFERROR(AJ200/AD200-1,"")</f>
        <v/>
      </c>
      <c r="AK249" s="27" t="str">
        <f aca="false">IFERROR(AK200/AE200-1,"")</f>
        <v/>
      </c>
      <c r="AL249" s="27" t="str">
        <f aca="false">IFERROR(AL200/AF200-1,"")</f>
        <v/>
      </c>
      <c r="AM249" s="27" t="n">
        <f aca="false">IFERROR(AM200/AG200-1,"")</f>
        <v>0.344366197183099</v>
      </c>
      <c r="AN249" s="27" t="str">
        <f aca="false">IFERROR(AN200/AH200-1,"")</f>
        <v/>
      </c>
      <c r="AO249" s="27" t="str">
        <f aca="false">IFERROR(AO200/AI200-1,"")</f>
        <v/>
      </c>
      <c r="AP249" s="27" t="str">
        <f aca="false">IFERROR(AP200/AJ200-1,"")</f>
        <v/>
      </c>
      <c r="AQ249" s="27" t="str">
        <f aca="false">IFERROR(AQ200/AK200-1,"")</f>
        <v/>
      </c>
      <c r="AR249" s="27" t="str">
        <f aca="false">IFERROR(AR200/AL200-1,"")</f>
        <v/>
      </c>
      <c r="AS249" s="27" t="n">
        <f aca="false">IFERROR(AS200/AM200-1,"")</f>
        <v>0.194604504976427</v>
      </c>
      <c r="AT249" s="27" t="str">
        <f aca="false">IFERROR(AT200/AN200-1,"")</f>
        <v/>
      </c>
      <c r="AU249" s="27" t="str">
        <f aca="false">IFERROR(AU200/AO200-1,"")</f>
        <v/>
      </c>
      <c r="AV249" s="27" t="str">
        <f aca="false">IFERROR(AV200/AP200-1,"")</f>
        <v/>
      </c>
      <c r="AW249" s="27" t="str">
        <f aca="false">IFERROR(AW200/AQ200-1,"")</f>
        <v/>
      </c>
      <c r="AX249" s="27" t="str">
        <f aca="false">IFERROR(AX200/AR200-1,"")</f>
        <v/>
      </c>
      <c r="AY249" s="27" t="n">
        <f aca="false">IFERROR(AY200/AS200-1,"")</f>
        <v>0.158079368559526</v>
      </c>
      <c r="AZ249" s="27" t="str">
        <f aca="false">IFERROR(AZ200/AT200-1,"")</f>
        <v/>
      </c>
      <c r="BA249" s="27" t="str">
        <f aca="false">IFERROR(BA200/AU200-1,"")</f>
        <v/>
      </c>
      <c r="BB249" s="27" t="str">
        <f aca="false">IFERROR(BB200/AV200-1,"")</f>
        <v/>
      </c>
      <c r="BC249" s="27" t="str">
        <f aca="false">IFERROR(BC200/AW200-1,"")</f>
        <v/>
      </c>
      <c r="BD249" s="27" t="str">
        <f aca="false">IFERROR(BD200/AX200-1,"")</f>
        <v/>
      </c>
      <c r="BE249" s="27" t="n">
        <f aca="false">IFERROR(BE200/AY200-1,"")</f>
        <v>-0.0176069670579327</v>
      </c>
      <c r="BF249" s="27" t="n">
        <f aca="false">IFERROR(BF200/AZ200-1,"")</f>
        <v>0.328345070422536</v>
      </c>
      <c r="BG249" s="27" t="n">
        <f aca="false">IFERROR(BG200/BA200-1,"")</f>
        <v>1.1347280334728</v>
      </c>
      <c r="BH249" s="27" t="n">
        <f aca="false">IFERROR(BH200/BB200-1,"")</f>
        <v>0.741741741741742</v>
      </c>
      <c r="BI249" s="27" t="n">
        <f aca="false">IFERROR(BI200/BC200-1,"")</f>
        <v>1.12915407854985</v>
      </c>
      <c r="BJ249" s="27" t="n">
        <f aca="false">IFERROR(BJ200/BD200-1,"")</f>
        <v>0.923728813559323</v>
      </c>
      <c r="BK249" s="27" t="n">
        <f aca="false">IFERROR(BK200/BE200-1,"")</f>
        <v>0.894391983041049</v>
      </c>
      <c r="BL249" s="27" t="n">
        <f aca="false">IFERROR(BL200/BF200-1,"")</f>
        <v>0.836315440689197</v>
      </c>
      <c r="BM249" s="27" t="n">
        <f aca="false">IFERROR(BM200/BG200-1,"")</f>
        <v>0.100744805958448</v>
      </c>
      <c r="BN249" s="27" t="n">
        <f aca="false">IFERROR(BN200/BH200-1,"")</f>
        <v>0.374137931034482</v>
      </c>
      <c r="BO249" s="27" t="n">
        <f aca="false">IFERROR(BO200/BI200-1,"")</f>
        <v>0.0432777580702375</v>
      </c>
      <c r="BP249" s="27" t="n">
        <f aca="false">IFERROR(BP200/BJ200-1,"")</f>
        <v>0.0765842087427993</v>
      </c>
      <c r="BQ249" s="27" t="n">
        <f aca="false">IFERROR(BQ200/BK200-1,"")</f>
        <v>0.189928789420142</v>
      </c>
      <c r="BR249" s="27" t="n">
        <f aca="false">IFERROR(BR200/BL200-1,"")</f>
        <v>0.0544929628293034</v>
      </c>
      <c r="BS249" s="27" t="n">
        <f aca="false">IFERROR(BS200/BM200-1,"")</f>
        <v>0.0876068376068382</v>
      </c>
      <c r="BT249" s="27" t="n">
        <f aca="false">IFERROR(BT200/BN200-1,"")</f>
        <v>0.0711597060405089</v>
      </c>
      <c r="BU249" s="27" t="n">
        <f aca="false">IFERROR(BU200/BO200-1,"")</f>
        <v>0.0853451207072424</v>
      </c>
      <c r="BV249" s="27" t="n">
        <f aca="false">IFERROR(BV200/BP200-1,"")</f>
        <v>0.0169971671388098</v>
      </c>
      <c r="BW249" s="27" t="n">
        <f aca="false">IFERROR(BW200/BQ200-1,"")</f>
        <v>0.0600153885611694</v>
      </c>
      <c r="BX249" s="27" t="n">
        <f aca="false">IFERROR(BX200/BR200-1,"")</f>
        <v>-0.0215605749486656</v>
      </c>
      <c r="BY249" s="27" t="n">
        <f aca="false">IFERROR(BY200/BS200-1,"")</f>
        <v>-0.0271774721676495</v>
      </c>
      <c r="BZ249" s="27" t="n">
        <f aca="false">IFERROR(BZ200/BT200-1,"")</f>
        <v>-0.0244310575635881</v>
      </c>
      <c r="CA249" s="27" t="n">
        <f aca="false">IFERROR(CA200/BU200-1,"")</f>
        <v>0.0156641604010026</v>
      </c>
      <c r="CB249" s="27" t="n">
        <f aca="false">IFERROR(CB200/BV200-1,"")</f>
        <v>0.0547818012999068</v>
      </c>
      <c r="CC249" s="27" t="n">
        <f aca="false">IFERROR(CC200/BW200-1,"")</f>
        <v>0.00653278490200826</v>
      </c>
      <c r="CD249" s="27" t="n">
        <f aca="false">IFERROR(CD200/BX200-1,"")</f>
        <v>0.114725428471494</v>
      </c>
      <c r="CE249" s="27" t="n">
        <f aca="false">IFERROR(CE200/BY200-1,"")</f>
        <v>0.130595759003703</v>
      </c>
      <c r="CF249" s="27" t="n">
        <f aca="false">IFERROR(CF200/BZ200-1,"")</f>
        <v>0.122813036020584</v>
      </c>
      <c r="CG249" s="27" t="n">
        <f aca="false">IFERROR(CG200/CA200-1,"")</f>
        <v>0.0487353485502777</v>
      </c>
      <c r="CH249" s="27" t="n">
        <f aca="false">IFERROR(CH200/CB200-1,"")</f>
        <v>0.130868544600939</v>
      </c>
      <c r="CI249" s="27" t="n">
        <f aca="false">IFERROR(CI200/CC200-1,"")</f>
        <v>0.10576923076923</v>
      </c>
      <c r="CJ249" s="27" t="n">
        <f aca="false">IFERROR(CJ200/CD200-1,"")</f>
        <v>0.104486978349545</v>
      </c>
      <c r="CK249" s="27" t="n">
        <f aca="false">IFERROR(CK200/CE200-1,"")</f>
        <v>0.159273593331349</v>
      </c>
      <c r="CL249" s="27" t="n">
        <f aca="false">IFERROR(CL200/CF200-1,"")</f>
        <v>0.132600061106019</v>
      </c>
      <c r="CM249" s="28" t="n">
        <f aca="false">IFERROR(CM200/CG200-1,"")</f>
        <v>0.104252529037093</v>
      </c>
      <c r="CN249" s="28" t="n">
        <f aca="false">IFERROR(CN200/CH200-1,"")</f>
        <v>0.0168151874634341</v>
      </c>
      <c r="CO249" s="28" t="n">
        <f aca="false">IFERROR(CO200/CI200-1,"")</f>
        <v>0.0932800240007388</v>
      </c>
      <c r="CP249" s="28" t="n">
        <f aca="false">IFERROR(CP200/CO200-1,"")</f>
        <v>0.111834916206647</v>
      </c>
      <c r="CQ249" s="28" t="n">
        <f aca="false">IFERROR(CQ200/CP200-1,"")</f>
        <v>0.10638988690974</v>
      </c>
      <c r="CR249" s="28" t="n">
        <f aca="false">IFERROR(CR200/CQ200-1,"")</f>
        <v>0.101315944078007</v>
      </c>
      <c r="CS249" s="28" t="n">
        <f aca="false">IFERROR(CS200/CR200-1,"")</f>
        <v>0.098655401969781</v>
      </c>
      <c r="CT249" s="23"/>
      <c r="CV249" s="7"/>
      <c r="CW249" s="7"/>
      <c r="CX249" s="7"/>
      <c r="CY249" s="7"/>
    </row>
    <row r="250" customFormat="false" ht="15" hidden="false" customHeight="true" outlineLevel="0" collapsed="false">
      <c r="B250" s="26" t="s">
        <v>382</v>
      </c>
      <c r="C250" s="27"/>
      <c r="D250" s="27" t="n">
        <f aca="false">IFERROR(D160/C160-1,"")</f>
        <v>0.297362110311749</v>
      </c>
      <c r="E250" s="27" t="n">
        <f aca="false">IFERROR(E160/D160-1,"")</f>
        <v>0.22365988909427</v>
      </c>
      <c r="F250" s="27" t="n">
        <f aca="false">IFERROR(F160/E160-1,"")</f>
        <v>-0.136958710976838</v>
      </c>
      <c r="G250" s="27" t="n">
        <f aca="false">IFERROR(G160/F160-1,"")</f>
        <v>0.0414235705951</v>
      </c>
      <c r="H250" s="27" t="n">
        <f aca="false">IFERROR(H160/G160-1,"")</f>
        <v>0.272829131652661</v>
      </c>
      <c r="I250" s="27" t="n">
        <f aca="false">IFERROR(I160/H160-1,"")</f>
        <v>0.0699823943661981</v>
      </c>
      <c r="J250" s="27"/>
      <c r="K250" s="27"/>
      <c r="L250" s="27"/>
      <c r="M250" s="27"/>
      <c r="N250" s="27"/>
      <c r="O250" s="27" t="n">
        <f aca="false">IFERROR(O160/I160-1,"")</f>
        <v>-0.0115178938708362</v>
      </c>
      <c r="P250" s="27" t="n">
        <f aca="false">IFERROR(P160/J160-1,"")</f>
        <v>0.120543293718166</v>
      </c>
      <c r="Q250" s="27" t="n">
        <f aca="false">IFERROR(Q160/K160-1,"")</f>
        <v>0.144838212634824</v>
      </c>
      <c r="R250" s="27" t="n">
        <f aca="false">IFERROR(R160/L160-1,"")</f>
        <v>0.133279483037156</v>
      </c>
      <c r="S250" s="27" t="n">
        <f aca="false">IFERROR(S160/M160-1,"")</f>
        <v>0.40188679245283</v>
      </c>
      <c r="T250" s="27" t="n">
        <f aca="false">IFERROR(T160/N160-1,"")</f>
        <v>0.258267716535431</v>
      </c>
      <c r="U250" s="27" t="n">
        <f aca="false">IFERROR(U160/O160-1,"")</f>
        <v>0.225551394090721</v>
      </c>
      <c r="V250" s="27" t="n">
        <f aca="false">IFERROR(V160/P160-1,"")</f>
        <v>0.0196969696969698</v>
      </c>
      <c r="W250" s="27" t="n">
        <f aca="false">IFERROR(W160/Q160-1,"")</f>
        <v>-0.0726783310901746</v>
      </c>
      <c r="X250" s="27" t="n">
        <f aca="false">IFERROR(X160/R160-1,"")</f>
        <v>-0.0292230933713457</v>
      </c>
      <c r="Y250" s="27" t="n">
        <f aca="false">IFERROR(Y160/S160-1,"")</f>
        <v>-0.0646029609690453</v>
      </c>
      <c r="Z250" s="27" t="n">
        <f aca="false">IFERROR(Z160/T160-1,"")</f>
        <v>-0.0488110137672078</v>
      </c>
      <c r="AA250" s="27" t="n">
        <f aca="false">IFERROR(AA160/U160-1,"")</f>
        <v>-0.0434634974533114</v>
      </c>
      <c r="AB250" s="27" t="n">
        <f aca="false">IFERROR(AB160/V160-1,"")</f>
        <v>-0.0950965824665681</v>
      </c>
      <c r="AC250" s="27" t="n">
        <f aca="false">IFERROR(AC160/W160-1,"")</f>
        <v>-0.222060957910014</v>
      </c>
      <c r="AD250" s="27" t="n">
        <f aca="false">IFERROR(AD160/X160-1,"")</f>
        <v>-0.159324522760647</v>
      </c>
      <c r="AE250" s="27" t="n">
        <f aca="false">IFERROR(AE160/Y160-1,"")</f>
        <v>-0.0100719424460434</v>
      </c>
      <c r="AF250" s="27" t="n">
        <f aca="false">IFERROR(AF160/Z160-1,"")</f>
        <v>-0.0723684210526323</v>
      </c>
      <c r="AG250" s="27" t="n">
        <f aca="false">IFERROR(AG160/AA160-1,"")</f>
        <v>-0.0990415335463254</v>
      </c>
      <c r="AH250" s="27" t="n">
        <f aca="false">IFERROR(AH160/AB160-1,"")</f>
        <v>-0.100164203612479</v>
      </c>
      <c r="AI250" s="27" t="n">
        <f aca="false">IFERROR(AI160/AC160-1,"")</f>
        <v>0.544776119402984</v>
      </c>
      <c r="AJ250" s="27" t="n">
        <f aca="false">IFERROR(AJ160/AD160-1,"")</f>
        <v>0.20174672489083</v>
      </c>
      <c r="AK250" s="27" t="n">
        <f aca="false">IFERROR(AK160/AE160-1,"")</f>
        <v>0.300872093023257</v>
      </c>
      <c r="AL250" s="27" t="n">
        <f aca="false">IFERROR(AL160/AF160-1,"")</f>
        <v>0.341843971631206</v>
      </c>
      <c r="AM250" s="27" t="n">
        <f aca="false">IFERROR(AM160/AG160-1,"")</f>
        <v>0.267533490937747</v>
      </c>
      <c r="AN250" s="27" t="n">
        <f aca="false">IFERROR(AN160/AH160-1,"")</f>
        <v>0.613138686131387</v>
      </c>
      <c r="AO250" s="27" t="n">
        <f aca="false">IFERROR(AO160/AI160-1,"")</f>
        <v>0.346618357487922</v>
      </c>
      <c r="AP250" s="27" t="n">
        <f aca="false">IFERROR(AP160/AJ160-1,"")</f>
        <v>0.452761627906976</v>
      </c>
      <c r="AQ250" s="27" t="n">
        <f aca="false">IFERROR(AQ160/AK160-1,"")</f>
        <v>0.17877094972067</v>
      </c>
      <c r="AR250" s="27" t="n">
        <f aca="false">IFERROR(AR160/AL160-1,"")</f>
        <v>0.175475687103594</v>
      </c>
      <c r="AS250" s="27" t="n">
        <f aca="false">IFERROR(AS160/AM160-1,"")</f>
        <v>0.294995337270749</v>
      </c>
      <c r="AT250" s="27" t="n">
        <f aca="false">IFERROR(AT160/AN160-1,"")</f>
        <v>0.100678733031675</v>
      </c>
      <c r="AU250" s="27" t="n">
        <f aca="false">IFERROR(AU160/AO160-1,"")</f>
        <v>0.182959641255605</v>
      </c>
      <c r="AV250" s="27" t="n">
        <f aca="false">IFERROR(AV160/AP160-1,"")</f>
        <v>0.146573286643323</v>
      </c>
      <c r="AW250" s="27" t="n">
        <f aca="false">IFERROR(AW160/AQ160-1,"")</f>
        <v>0.219905213270143</v>
      </c>
      <c r="AX250" s="27" t="n">
        <f aca="false">IFERROR(AX160/AR160-1,"")</f>
        <v>0.203237410071943</v>
      </c>
      <c r="AY250" s="27" t="n">
        <f aca="false">IFERROR(AY160/AS160-1,"")</f>
        <v>0.180268843014882</v>
      </c>
      <c r="AZ250" s="27" t="n">
        <f aca="false">IFERROR(AZ160/AT160-1,"")</f>
        <v>0.0688591983556004</v>
      </c>
      <c r="BA250" s="27" t="n">
        <f aca="false">IFERROR(BA160/AU160-1,"")</f>
        <v>-0.167551175132677</v>
      </c>
      <c r="BB250" s="27" t="n">
        <f aca="false">IFERROR(BB160/AV160-1,"")</f>
        <v>-0.0671902268760907</v>
      </c>
      <c r="BC250" s="27" t="n">
        <f aca="false">IFERROR(BC160/AW160-1,"")</f>
        <v>-0.0481740481740485</v>
      </c>
      <c r="BD250" s="27" t="n">
        <f aca="false">IFERROR(BD160/AX160-1,"")</f>
        <v>0.0747384155455897</v>
      </c>
      <c r="BE250" s="27" t="n">
        <f aca="false">IFERROR(BE160/AY160-1,"")</f>
        <v>-0.0235916209070572</v>
      </c>
      <c r="BF250" s="27" t="n">
        <f aca="false">IFERROR(BF160/AZ160-1,"")</f>
        <v>0.300000000000001</v>
      </c>
      <c r="BG250" s="27" t="n">
        <f aca="false">IFERROR(BG160/BA160-1,"")</f>
        <v>-0.0491803278688519</v>
      </c>
      <c r="BH250" s="27" t="n">
        <f aca="false">IFERROR(BH160/BB160-1,"")</f>
        <v>0.120673526660431</v>
      </c>
      <c r="BI250" s="27" t="n">
        <f aca="false">IFERROR(BI160/BC160-1,"")</f>
        <v>0.547755102040817</v>
      </c>
      <c r="BJ250" s="27" t="n">
        <f aca="false">IFERROR(BJ160/BD160-1,"")</f>
        <v>0.356745479833102</v>
      </c>
      <c r="BK250" s="27" t="n">
        <f aca="false">IFERROR(BK160/BE160-1,"")</f>
        <v>0.300354092897314</v>
      </c>
      <c r="BL250" s="27" t="n">
        <f aca="false">IFERROR(BL160/BF160-1,"")</f>
        <v>0.653106508875739</v>
      </c>
      <c r="BM250" s="27" t="n">
        <f aca="false">IFERROR(BM160/BG160-1,"")</f>
        <v>1.19827586206897</v>
      </c>
      <c r="BN250" s="27" t="n">
        <f aca="false">IFERROR(BN160/BH160-1,"")</f>
        <v>0.890651085141902</v>
      </c>
      <c r="BO250" s="27" t="n">
        <f aca="false">IFERROR(BO160/BI160-1,"")</f>
        <v>0.293248945147679</v>
      </c>
      <c r="BP250" s="27" t="n">
        <f aca="false">IFERROR(BP160/BJ160-1,"")</f>
        <v>0.403382880574065</v>
      </c>
      <c r="BQ250" s="27" t="n">
        <f aca="false">IFERROR(BQ160/BK160-1,"")</f>
        <v>0.556943777030274</v>
      </c>
      <c r="BR250" s="27" t="n">
        <f aca="false">IFERROR(BR160/BL160-1,"")</f>
        <v>0.0850111856823266</v>
      </c>
      <c r="BS250" s="27" t="n">
        <f aca="false">IFERROR(BS160/BM160-1,"")</f>
        <v>0.115904139433552</v>
      </c>
      <c r="BT250" s="27" t="n">
        <f aca="false">IFERROR(BT160/BN160-1,"")</f>
        <v>0.100662251655629</v>
      </c>
      <c r="BU250" s="27" t="n">
        <f aca="false">IFERROR(BU160/BO160-1,"")</f>
        <v>0.0778955954323002</v>
      </c>
      <c r="BV250" s="27" t="n">
        <f aca="false">IFERROR(BV160/BP160-1,"")</f>
        <v>-0.00840029218407645</v>
      </c>
      <c r="BW250" s="27" t="n">
        <f aca="false">IFERROR(BW160/BQ160-1,"")</f>
        <v>0.0641975308641973</v>
      </c>
      <c r="BX250" s="27" t="n">
        <f aca="false">IFERROR(BX160/BR160-1,"")</f>
        <v>-0.033814432989691</v>
      </c>
      <c r="BY250" s="27" t="n">
        <f aca="false">IFERROR(BY160/BS160-1,"")</f>
        <v>-0.0355329949238585</v>
      </c>
      <c r="BZ250" s="27" t="n">
        <f aca="false">IFERROR(BZ160/BT160-1,"")</f>
        <v>-0.0346971520256725</v>
      </c>
      <c r="CA250" s="27" t="n">
        <f aca="false">IFERROR(CA160/BU160-1,"")</f>
        <v>0.0242149073023081</v>
      </c>
      <c r="CB250" s="27" t="n">
        <f aca="false">IFERROR(CB160/BV160-1,"")</f>
        <v>-0.12670349907919</v>
      </c>
      <c r="CC250" s="27" t="n">
        <f aca="false">IFERROR(CC160/BW160-1,"")</f>
        <v>-0.0437935034802783</v>
      </c>
      <c r="CD250" s="27" t="n">
        <f aca="false">IFERROR(CD160/BX160-1,"")</f>
        <v>0.106700810926164</v>
      </c>
      <c r="CE250" s="27" t="n">
        <f aca="false">IFERROR(CE160/BY160-1,"")</f>
        <v>0.126315789473685</v>
      </c>
      <c r="CF250" s="27" t="n">
        <f aca="false">IFERROR(CF160/BZ160-1,"")</f>
        <v>0.116767089133598</v>
      </c>
      <c r="CG250" s="27" t="n">
        <f aca="false">IFERROR(CG160/CA160-1,"")</f>
        <v>0.0446989287033615</v>
      </c>
      <c r="CH250" s="27" t="n">
        <f aca="false">IFERROR(CH160/CB160-1,"")</f>
        <v>0.389708983551244</v>
      </c>
      <c r="CI250" s="27" t="n">
        <f aca="false">IFERROR(CI160/CC160-1,"")</f>
        <v>0.16247093317157</v>
      </c>
      <c r="CJ250" s="27" t="n">
        <f aca="false">IFERROR(CJ160/CD160-1,"")</f>
        <v>0.134593135364442</v>
      </c>
      <c r="CK250" s="27" t="n">
        <f aca="false">IFERROR(CK160/CE160-1,"")</f>
        <v>0.197699496764918</v>
      </c>
      <c r="CL250" s="27" t="n">
        <f aca="false">IFERROR(CL160/CF160-1,"")</f>
        <v>0.167255813953488</v>
      </c>
      <c r="CM250" s="28" t="n">
        <f aca="false">IFERROR(CM160/CG160-1,"")</f>
        <v>0.127107000963973</v>
      </c>
      <c r="CN250" s="28" t="n">
        <f aca="false">IFERROR(CN160/CH160-1,"")</f>
        <v>0.0172399795095828</v>
      </c>
      <c r="CO250" s="28" t="n">
        <f aca="false">IFERROR(CO160/CI160-1,"")</f>
        <v>0.114390705445311</v>
      </c>
      <c r="CP250" s="28" t="n">
        <f aca="false">IFERROR(CP160/CO160-1,"")</f>
        <v>0.131419121524467</v>
      </c>
      <c r="CQ250" s="28" t="n">
        <f aca="false">IFERROR(CQ160/CP160-1,"")</f>
        <v>0.107499160847055</v>
      </c>
      <c r="CR250" s="28" t="n">
        <f aca="false">IFERROR(CR160/CQ160-1,"")</f>
        <v>0.12629078707944</v>
      </c>
      <c r="CS250" s="28" t="n">
        <f aca="false">IFERROR(CS160/CR160-1,"")</f>
        <v>0.10986963467909</v>
      </c>
      <c r="CT250" s="23"/>
      <c r="CV250" s="7"/>
      <c r="CW250" s="7"/>
      <c r="CX250" s="7"/>
      <c r="CY250" s="7"/>
    </row>
    <row r="251" customFormat="false" ht="15" hidden="false" customHeight="true" outlineLevel="0" collapsed="false">
      <c r="B251" s="26" t="s">
        <v>383</v>
      </c>
      <c r="C251" s="27"/>
      <c r="D251" s="27" t="n">
        <f aca="false">IFERROR(D171/C171-1,"")</f>
        <v>0.226650062266498</v>
      </c>
      <c r="E251" s="27" t="n">
        <f aca="false">IFERROR(E171/D171-1,"")</f>
        <v>0.129949238578681</v>
      </c>
      <c r="F251" s="27" t="n">
        <f aca="false">IFERROR(F171/E171-1,"")</f>
        <v>0.0179694519317166</v>
      </c>
      <c r="G251" s="27" t="n">
        <f aca="false">IFERROR(G171/F171-1,"")</f>
        <v>0.0635481023830551</v>
      </c>
      <c r="H251" s="27" t="n">
        <f aca="false">IFERROR(H171/G171-1,"")</f>
        <v>1.11784232365145</v>
      </c>
      <c r="I251" s="27" t="n">
        <f aca="false">IFERROR(I171/H171-1,"")</f>
        <v>-0.356974921630093</v>
      </c>
      <c r="J251" s="27"/>
      <c r="K251" s="27"/>
      <c r="L251" s="27"/>
      <c r="M251" s="27"/>
      <c r="N251" s="27"/>
      <c r="O251" s="27" t="n">
        <f aca="false">IFERROR(O171/I171-1,"")</f>
        <v>0.127361365021326</v>
      </c>
      <c r="P251" s="27" t="n">
        <f aca="false">IFERROR(P171/J171-1,"")</f>
        <v>0.133663366336633</v>
      </c>
      <c r="Q251" s="27" t="n">
        <f aca="false">IFERROR(Q171/K171-1,"")</f>
        <v>0.30769230769231</v>
      </c>
      <c r="R251" s="27" t="n">
        <f aca="false">IFERROR(R171/L171-1,"")</f>
        <v>0.223289315726289</v>
      </c>
      <c r="S251" s="27" t="n">
        <f aca="false">IFERROR(S171/M171-1,"")</f>
        <v>0.188034188034188</v>
      </c>
      <c r="T251" s="27" t="n">
        <f aca="false">IFERROR(T171/N171-1,"")</f>
        <v>0.0965391621129306</v>
      </c>
      <c r="U251" s="27" t="n">
        <f aca="false">IFERROR(U171/O171-1,"")</f>
        <v>0.176756756756758</v>
      </c>
      <c r="V251" s="27" t="n">
        <f aca="false">IFERROR(V171/P171-1,"")</f>
        <v>-0.0458515283842792</v>
      </c>
      <c r="W251" s="27" t="n">
        <f aca="false">IFERROR(W171/Q171-1,"")</f>
        <v>-0.13903743315508</v>
      </c>
      <c r="X251" s="27" t="n">
        <f aca="false">IFERROR(X171/R171-1,"")</f>
        <v>-0.097154072620214</v>
      </c>
      <c r="Y251" s="27" t="n">
        <f aca="false">IFERROR(Y171/S171-1,"")</f>
        <v>-0.131294964028778</v>
      </c>
      <c r="Z251" s="27" t="n">
        <f aca="false">IFERROR(Z171/T171-1,"")</f>
        <v>-0.0780730897009949</v>
      </c>
      <c r="AA251" s="27" t="n">
        <f aca="false">IFERROR(AA171/U171-1,"")</f>
        <v>-0.100597152044098</v>
      </c>
      <c r="AB251" s="27" t="n">
        <f aca="false">IFERROR(AB171/V171-1,"")</f>
        <v>-0.107551487414188</v>
      </c>
      <c r="AC251" s="27" t="n">
        <f aca="false">IFERROR(AC171/W171-1,"")</f>
        <v>-0.0289855072463772</v>
      </c>
      <c r="AD251" s="27" t="n">
        <f aca="false">IFERROR(AD171/X171-1,"")</f>
        <v>-0.0663043478260883</v>
      </c>
      <c r="AE251" s="27" t="n">
        <f aca="false">IFERROR(AE171/Y171-1,"")</f>
        <v>0.0766045548654242</v>
      </c>
      <c r="AF251" s="27" t="n">
        <f aca="false">IFERROR(AF171/Z171-1,"")</f>
        <v>-0.045045045045046</v>
      </c>
      <c r="AG251" s="27" t="n">
        <f aca="false">IFERROR(AG171/AA171-1,"")</f>
        <v>-0.0250255362614907</v>
      </c>
      <c r="AH251" s="27" t="n">
        <f aca="false">IFERROR(AH171/AB171-1,"")</f>
        <v>-0.217948717948717</v>
      </c>
      <c r="AI251" s="27" t="n">
        <f aca="false">IFERROR(AI171/AC171-1,"")</f>
        <v>0.281449893390192</v>
      </c>
      <c r="AJ251" s="27" t="n">
        <f aca="false">IFERROR(AJ171/AD171-1,"")</f>
        <v>0.0547147846332947</v>
      </c>
      <c r="AK251" s="27" t="n">
        <f aca="false">IFERROR(AK171/AE171-1,"")</f>
        <v>0.326923076923079</v>
      </c>
      <c r="AL251" s="27" t="n">
        <f aca="false">IFERROR(AL171/AF171-1,"")</f>
        <v>0.275471698113208</v>
      </c>
      <c r="AM251" s="27" t="n">
        <f aca="false">IFERROR(AM171/AG171-1,"")</f>
        <v>0.19015191199581</v>
      </c>
      <c r="AN251" s="27" t="n">
        <f aca="false">IFERROR(AN171/AH171-1,"")</f>
        <v>1.18032786885246</v>
      </c>
      <c r="AO251" s="27" t="n">
        <f aca="false">IFERROR(AO171/AI171-1,"")</f>
        <v>0.429284525790348</v>
      </c>
      <c r="AP251" s="27" t="n">
        <f aca="false">IFERROR(AP171/AJ171-1,"")</f>
        <v>0.682119205298011</v>
      </c>
      <c r="AQ251" s="27" t="n">
        <f aca="false">IFERROR(AQ171/AK171-1,"")</f>
        <v>0.308695652173912</v>
      </c>
      <c r="AR251" s="27" t="n">
        <f aca="false">IFERROR(AR171/AL171-1,"")</f>
        <v>0.347633136094674</v>
      </c>
      <c r="AS251" s="27" t="n">
        <f aca="false">IFERROR(AS171/AM171-1,"")</f>
        <v>0.46919014084507</v>
      </c>
      <c r="AT251" s="27" t="n">
        <f aca="false">IFERROR(AT171/AN171-1,"")</f>
        <v>0.13233082706767</v>
      </c>
      <c r="AU251" s="27" t="n">
        <f aca="false">IFERROR(AU171/AO171-1,"")</f>
        <v>0.217694994179278</v>
      </c>
      <c r="AV251" s="27" t="n">
        <f aca="false">IFERROR(AV171/AP171-1,"")</f>
        <v>0.180446194225723</v>
      </c>
      <c r="AW251" s="27" t="n">
        <f aca="false">IFERROR(AW171/AQ171-1,"")</f>
        <v>0.181616832779624</v>
      </c>
      <c r="AX251" s="27" t="n">
        <f aca="false">IFERROR(AX171/AR171-1,"")</f>
        <v>0.270032930845226</v>
      </c>
      <c r="AY251" s="27" t="n">
        <f aca="false">IFERROR(AY171/AS171-1,"")</f>
        <v>0.205212702216896</v>
      </c>
      <c r="AZ251" s="27" t="n">
        <f aca="false">IFERROR(AZ171/AT171-1,"")</f>
        <v>0.0916334661354572</v>
      </c>
      <c r="BA251" s="27" t="n">
        <f aca="false">IFERROR(BA171/AU171-1,"")</f>
        <v>-0.104206500956024</v>
      </c>
      <c r="BB251" s="27" t="n">
        <f aca="false">IFERROR(BB171/AV171-1,"")</f>
        <v>-0.0222345747637575</v>
      </c>
      <c r="BC251" s="27" t="n">
        <f aca="false">IFERROR(BC171/AW171-1,"")</f>
        <v>-0.119962511715089</v>
      </c>
      <c r="BD251" s="27" t="n">
        <f aca="false">IFERROR(BD171/AX171-1,"")</f>
        <v>0.141745894554882</v>
      </c>
      <c r="BE251" s="27" t="n">
        <f aca="false">IFERROR(BE171/AY171-1,"")</f>
        <v>-0.000994282873477581</v>
      </c>
      <c r="BF251" s="27" t="n">
        <f aca="false">IFERROR(BF171/AZ171-1,"")</f>
        <v>0.0304136253041367</v>
      </c>
      <c r="BG251" s="27" t="n">
        <f aca="false">IFERROR(BG171/BA171-1,"")</f>
        <v>-0.309498399146211</v>
      </c>
      <c r="BH251" s="27" t="n">
        <f aca="false">IFERROR(BH171/BB171-1,"")</f>
        <v>-0.150653780557134</v>
      </c>
      <c r="BI251" s="27" t="n">
        <f aca="false">IFERROR(BI171/BC171-1,"")</f>
        <v>0.428115015974441</v>
      </c>
      <c r="BJ251" s="27" t="n">
        <f aca="false">IFERROR(BJ171/BD171-1,"")</f>
        <v>0.224829674489024</v>
      </c>
      <c r="BK251" s="27" t="n">
        <f aca="false">IFERROR(BK171/BE171-1,"")</f>
        <v>0.107987061458075</v>
      </c>
      <c r="BL251" s="27" t="n">
        <f aca="false">IFERROR(BL171/BF171-1,"")</f>
        <v>1.51003541912633</v>
      </c>
      <c r="BM251" s="27" t="n">
        <f aca="false">IFERROR(BM171/BG171-1,"")</f>
        <v>1.64760432766615</v>
      </c>
      <c r="BN251" s="27" t="n">
        <f aca="false">IFERROR(BN171/BH171-1,"")</f>
        <v>1.56961178045515</v>
      </c>
      <c r="BO251" s="27" t="n">
        <f aca="false">IFERROR(BO171/BI171-1,"")</f>
        <v>0.329604772557792</v>
      </c>
      <c r="BP251" s="27" t="n">
        <f aca="false">IFERROR(BP171/BJ171-1,"")</f>
        <v>0.399258343634117</v>
      </c>
      <c r="BQ251" s="27" t="n">
        <f aca="false">IFERROR(BQ171/BK171-1,"")</f>
        <v>0.770940938693015</v>
      </c>
      <c r="BR251" s="27" t="n">
        <f aca="false">IFERROR(BR171/BL171-1,"")</f>
        <v>-0.159454374412041</v>
      </c>
      <c r="BS251" s="27" t="n">
        <f aca="false">IFERROR(BS171/BM171-1,"")</f>
        <v>0.0817279626386462</v>
      </c>
      <c r="BT251" s="27" t="n">
        <f aca="false">IFERROR(BT171/BN171-1,"")</f>
        <v>-0.0518364157332641</v>
      </c>
      <c r="BU251" s="27" t="n">
        <f aca="false">IFERROR(BU171/BO171-1,"")</f>
        <v>0.113853056646102</v>
      </c>
      <c r="BV251" s="27" t="n">
        <f aca="false">IFERROR(BV171/BP171-1,"")</f>
        <v>0.427120141342755</v>
      </c>
      <c r="BW251" s="27" t="n">
        <f aca="false">IFERROR(BW171/BQ171-1,"")</f>
        <v>0.123129596753741</v>
      </c>
      <c r="BX251" s="27" t="n">
        <f aca="false">IFERROR(BX171/BR171-1,"")</f>
        <v>-0.0011191941801908</v>
      </c>
      <c r="BY251" s="27" t="n">
        <f aca="false">IFERROR(BY171/BS171-1,"")</f>
        <v>-0.0275229357798173</v>
      </c>
      <c r="BZ251" s="27" t="n">
        <f aca="false">IFERROR(BZ171/BT171-1,"")</f>
        <v>-0.0145604395604404</v>
      </c>
      <c r="CA251" s="27" t="n">
        <f aca="false">IFERROR(CA171/BU171-1,"")</f>
        <v>0.319234642497483</v>
      </c>
      <c r="CB251" s="27" t="n">
        <f aca="false">IFERROR(CB171/BV171-1,"")</f>
        <v>-0.385639121015166</v>
      </c>
      <c r="CC251" s="27" t="n">
        <f aca="false">IFERROR(CC171/BW171-1,"")</f>
        <v>-0.0750818561589705</v>
      </c>
      <c r="CD251" s="27" t="n">
        <f aca="false">IFERROR(CD171/BX171-1,"")</f>
        <v>0.0565826330532229</v>
      </c>
      <c r="CE251" s="27" t="n">
        <f aca="false">IFERROR(CE171/BY171-1,"")</f>
        <v>0.164816870144285</v>
      </c>
      <c r="CF251" s="27" t="n">
        <f aca="false">IFERROR(CF171/BZ171-1,"")</f>
        <v>0.110956230833567</v>
      </c>
      <c r="CG251" s="27" t="n">
        <f aca="false">IFERROR(CG171/CA171-1,"")</f>
        <v>-0.15763358778626</v>
      </c>
      <c r="CH251" s="27" t="n">
        <f aca="false">IFERROR(CH171/CB171-1,"")</f>
        <v>0.388413098236776</v>
      </c>
      <c r="CI251" s="27" t="n">
        <f aca="false">IFERROR(CI171/CC171-1,"")</f>
        <v>0.09228515625</v>
      </c>
      <c r="CJ251" s="27" t="n">
        <f aca="false">IFERROR(CJ171/CD171-1,"")</f>
        <v>0.202545068928949</v>
      </c>
      <c r="CK251" s="27" t="n">
        <f aca="false">IFERROR(CK171/CE171-1,"")</f>
        <v>0.199142448785136</v>
      </c>
      <c r="CL251" s="27" t="n">
        <f aca="false">IFERROR(CL171/CF171-1,"")</f>
        <v>0.200752823086574</v>
      </c>
      <c r="CM251" s="28" t="n">
        <f aca="false">IFERROR(CM171/CG171-1,"")</f>
        <v>0.0946103307657462</v>
      </c>
      <c r="CN251" s="28" t="n">
        <f aca="false">IFERROR(CN171/CH171-1,"")</f>
        <v>-0.0766264513788101</v>
      </c>
      <c r="CO251" s="28" t="n">
        <f aca="false">IFERROR(CO171/CI171-1,"")</f>
        <v>0.0891397518998658</v>
      </c>
      <c r="CP251" s="28" t="n">
        <f aca="false">IFERROR(CP171/CO171-1,"")</f>
        <v>0.155953789495265</v>
      </c>
      <c r="CQ251" s="28" t="n">
        <f aca="false">IFERROR(CQ171/CP171-1,"")</f>
        <v>0.111460177556224</v>
      </c>
      <c r="CR251" s="28" t="n">
        <f aca="false">IFERROR(CR171/CQ171-1,"")</f>
        <v>0.128004664462459</v>
      </c>
      <c r="CS251" s="28" t="n">
        <f aca="false">IFERROR(CS171/CR171-1,"")</f>
        <v>0.113653601883279</v>
      </c>
      <c r="CT251" s="23"/>
      <c r="CV251" s="7"/>
      <c r="CW251" s="7"/>
      <c r="CX251" s="7"/>
      <c r="CY251" s="7"/>
    </row>
    <row r="252" customFormat="false" ht="15" hidden="false" customHeight="true" outlineLevel="0" collapsed="false">
      <c r="B252" s="26" t="s">
        <v>384</v>
      </c>
      <c r="C252" s="27"/>
      <c r="D252" s="27" t="n">
        <f aca="false">IFERROR(D243/C243-1,"")</f>
        <v>0.180108522577669</v>
      </c>
      <c r="E252" s="27" t="n">
        <f aca="false">IFERROR(E243/D243-1,"")</f>
        <v>0.221670953592069</v>
      </c>
      <c r="F252" s="27" t="n">
        <f aca="false">IFERROR(F243/E243-1,"")</f>
        <v>-0.0186344717471288</v>
      </c>
      <c r="G252" s="27" t="n">
        <f aca="false">IFERROR(G243/F243-1,"")</f>
        <v>0.0322576712258802</v>
      </c>
      <c r="H252" s="27" t="n">
        <f aca="false">IFERROR(H243/G243-1,"")</f>
        <v>0.210360936478792</v>
      </c>
      <c r="I252" s="27" t="n">
        <f aca="false">IFERROR(I243/H243-1,"")</f>
        <v>0.149195435022615</v>
      </c>
      <c r="J252" s="27"/>
      <c r="K252" s="27"/>
      <c r="L252" s="27"/>
      <c r="M252" s="27"/>
      <c r="N252" s="27"/>
      <c r="O252" s="27" t="n">
        <f aca="false">IFERROR(O243/I243-1,"")</f>
        <v>0.135907362243613</v>
      </c>
      <c r="P252" s="27" t="str">
        <f aca="false">IFERROR(P243/J243-1,"")</f>
        <v/>
      </c>
      <c r="Q252" s="27" t="str">
        <f aca="false">IFERROR(Q243/K243-1,"")</f>
        <v/>
      </c>
      <c r="R252" s="27" t="str">
        <f aca="false">IFERROR(R243/L243-1,"")</f>
        <v/>
      </c>
      <c r="S252" s="27" t="str">
        <f aca="false">IFERROR(S243/M243-1,"")</f>
        <v/>
      </c>
      <c r="T252" s="27" t="str">
        <f aca="false">IFERROR(T243/N243-1,"")</f>
        <v/>
      </c>
      <c r="U252" s="27" t="n">
        <f aca="false">IFERROR(U243/O243-1,"")</f>
        <v>0.150987942613195</v>
      </c>
      <c r="V252" s="27" t="str">
        <f aca="false">IFERROR(V243/P243-1,"")</f>
        <v/>
      </c>
      <c r="W252" s="27" t="str">
        <f aca="false">IFERROR(W243/Q243-1,"")</f>
        <v/>
      </c>
      <c r="X252" s="27" t="str">
        <f aca="false">IFERROR(X243/R243-1,"")</f>
        <v/>
      </c>
      <c r="Y252" s="27" t="str">
        <f aca="false">IFERROR(Y243/S243-1,"")</f>
        <v/>
      </c>
      <c r="Z252" s="27" t="str">
        <f aca="false">IFERROR(Z243/T243-1,"")</f>
        <v/>
      </c>
      <c r="AA252" s="27" t="n">
        <f aca="false">IFERROR(AA243/U243-1,"")</f>
        <v>-0.0480293242503201</v>
      </c>
      <c r="AB252" s="27" t="str">
        <f aca="false">IFERROR(AB243/V243-1,"")</f>
        <v/>
      </c>
      <c r="AC252" s="27" t="str">
        <f aca="false">IFERROR(AC243/W243-1,"")</f>
        <v/>
      </c>
      <c r="AD252" s="27" t="str">
        <f aca="false">IFERROR(AD243/X243-1,"")</f>
        <v/>
      </c>
      <c r="AE252" s="27" t="str">
        <f aca="false">IFERROR(AE243/Y243-1,"")</f>
        <v/>
      </c>
      <c r="AF252" s="27" t="str">
        <f aca="false">IFERROR(AF243/Z243-1,"")</f>
        <v/>
      </c>
      <c r="AG252" s="27" t="n">
        <f aca="false">IFERROR(AG243/AA243-1,"")</f>
        <v>-0.00526027937901463</v>
      </c>
      <c r="AH252" s="27" t="str">
        <f aca="false">IFERROR(AH243/AB243-1,"")</f>
        <v/>
      </c>
      <c r="AI252" s="27" t="str">
        <f aca="false">IFERROR(AI243/AC243-1,"")</f>
        <v/>
      </c>
      <c r="AJ252" s="27" t="str">
        <f aca="false">IFERROR(AJ243/AD243-1,"")</f>
        <v/>
      </c>
      <c r="AK252" s="27" t="str">
        <f aca="false">IFERROR(AK243/AE243-1,"")</f>
        <v/>
      </c>
      <c r="AL252" s="27" t="str">
        <f aca="false">IFERROR(AL243/AF243-1,"")</f>
        <v/>
      </c>
      <c r="AM252" s="27" t="n">
        <f aca="false">IFERROR(AM243/AG243-1,"")</f>
        <v>0.251077839899539</v>
      </c>
      <c r="AN252" s="27" t="str">
        <f aca="false">IFERROR(AN243/AH243-1,"")</f>
        <v/>
      </c>
      <c r="AO252" s="27" t="str">
        <f aca="false">IFERROR(AO243/AI243-1,"")</f>
        <v/>
      </c>
      <c r="AP252" s="27" t="str">
        <f aca="false">IFERROR(AP243/AJ243-1,"")</f>
        <v/>
      </c>
      <c r="AQ252" s="27" t="str">
        <f aca="false">IFERROR(AQ243/AK243-1,"")</f>
        <v/>
      </c>
      <c r="AR252" s="27" t="str">
        <f aca="false">IFERROR(AR243/AL243-1,"")</f>
        <v/>
      </c>
      <c r="AS252" s="27" t="n">
        <f aca="false">IFERROR(AS243/AM243-1,"")</f>
        <v>0.311333377559153</v>
      </c>
      <c r="AT252" s="27" t="str">
        <f aca="false">IFERROR(AT243/AN243-1,"")</f>
        <v/>
      </c>
      <c r="AU252" s="27" t="str">
        <f aca="false">IFERROR(AU243/AO243-1,"")</f>
        <v/>
      </c>
      <c r="AV252" s="27" t="str">
        <f aca="false">IFERROR(AV243/AP243-1,"")</f>
        <v/>
      </c>
      <c r="AW252" s="27" t="str">
        <f aca="false">IFERROR(AW243/AQ243-1,"")</f>
        <v/>
      </c>
      <c r="AX252" s="27" t="str">
        <f aca="false">IFERROR(AX243/AR243-1,"")</f>
        <v/>
      </c>
      <c r="AY252" s="27" t="n">
        <f aca="false">IFERROR(AY243/AS243-1,"")</f>
        <v>0.164041060520655</v>
      </c>
      <c r="AZ252" s="27" t="str">
        <f aca="false">IFERROR(AZ243/AT243-1,"")</f>
        <v/>
      </c>
      <c r="BA252" s="27" t="str">
        <f aca="false">IFERROR(BA243/AU243-1,"")</f>
        <v/>
      </c>
      <c r="BB252" s="27" t="str">
        <f aca="false">IFERROR(BB243/AV243-1,"")</f>
        <v/>
      </c>
      <c r="BC252" s="27" t="str">
        <f aca="false">IFERROR(BC243/AW243-1,"")</f>
        <v/>
      </c>
      <c r="BD252" s="27" t="str">
        <f aca="false">IFERROR(BD243/AX243-1,"")</f>
        <v/>
      </c>
      <c r="BE252" s="27" t="n">
        <f aca="false">IFERROR(BE243/AY243-1,"")</f>
        <v>-0.0144324594710563</v>
      </c>
      <c r="BF252" s="27" t="n">
        <f aca="false">IFERROR(BF243/AZ243-1,"")</f>
        <v>0.348174066451044</v>
      </c>
      <c r="BG252" s="27" t="n">
        <f aca="false">IFERROR(BG243/BA243-1,"")</f>
        <v>0.723654479623228</v>
      </c>
      <c r="BH252" s="27" t="n">
        <f aca="false">IFERROR(BH243/BB243-1,"")</f>
        <v>0.553992443666013</v>
      </c>
      <c r="BI252" s="27" t="n">
        <f aca="false">IFERROR(BI243/BC243-1,"")</f>
        <v>0.617696811971373</v>
      </c>
      <c r="BJ252" s="27" t="n">
        <f aca="false">IFERROR(BJ243/BD243-1,"")</f>
        <v>0.241510936783812</v>
      </c>
      <c r="BK252" s="27" t="n">
        <f aca="false">IFERROR(BK243/BE243-1,"")</f>
        <v>0.480527597453542</v>
      </c>
      <c r="BL252" s="27" t="n">
        <f aca="false">IFERROR(BL243/BF243-1,"")</f>
        <v>0.339126617479056</v>
      </c>
      <c r="BM252" s="27" t="n">
        <f aca="false">IFERROR(BM243/BG243-1,"")</f>
        <v>-0.0391146990414804</v>
      </c>
      <c r="BN252" s="27" t="n">
        <f aca="false">IFERROR(BN243/BH243-1,"")</f>
        <v>0.101891475772601</v>
      </c>
      <c r="BO252" s="27" t="n">
        <f aca="false">IFERROR(BO243/BI243-1,"")</f>
        <v>0.0448841698841695</v>
      </c>
      <c r="BP252" s="27" t="n">
        <f aca="false">IFERROR(BP243/BJ243-1,"")</f>
        <v>0.083744558167465</v>
      </c>
      <c r="BQ252" s="27" t="n">
        <f aca="false">IFERROR(BQ243/BK243-1,"")</f>
        <v>0.0790523963058485</v>
      </c>
      <c r="BR252" s="27" t="n">
        <f aca="false">IFERROR(BR243/BL243-1,"")</f>
        <v>0.0607803366708273</v>
      </c>
      <c r="BS252" s="27" t="n">
        <f aca="false">IFERROR(BS243/BM243-1,"")</f>
        <v>0.0542639411852472</v>
      </c>
      <c r="BT252" s="27" t="n">
        <f aca="false">IFERROR(BT243/BN243-1,"")</f>
        <v>0.0574640689297306</v>
      </c>
      <c r="BU252" s="27" t="n">
        <f aca="false">IFERROR(BU243/BO243-1,"")</f>
        <v>0.112655792716736</v>
      </c>
      <c r="BV252" s="27" t="n">
        <f aca="false">IFERROR(BV243/BP243-1,"")</f>
        <v>0.101042603404841</v>
      </c>
      <c r="BW252" s="27" t="n">
        <f aca="false">IFERROR(BW243/BQ243-1,"")</f>
        <v>0.0824629844094995</v>
      </c>
      <c r="BX252" s="27" t="n">
        <f aca="false">IFERROR(BX243/BR243-1,"")</f>
        <v>0.00297057243707721</v>
      </c>
      <c r="BY252" s="27" t="n">
        <f aca="false">IFERROR(BY243/BS243-1,"")</f>
        <v>-0.0203060733985115</v>
      </c>
      <c r="BZ252" s="27" t="n">
        <f aca="false">IFERROR(BZ243/BT243-1,"")</f>
        <v>-0.00884554320707709</v>
      </c>
      <c r="CA252" s="27" t="n">
        <f aca="false">IFERROR(CA243/BU243-1,"")</f>
        <v>0.0101731622540726</v>
      </c>
      <c r="CB252" s="27" t="n">
        <f aca="false">IFERROR(CB243/BV243-1,"")</f>
        <v>0.0142399759772431</v>
      </c>
      <c r="CC252" s="27" t="n">
        <f aca="false">IFERROR(CC243/BW243-1,"")</f>
        <v>0.00192868412073799</v>
      </c>
      <c r="CD252" s="27" t="n">
        <f aca="false">IFERROR(CD243/BX243-1,"")</f>
        <v>0.0877828772980545</v>
      </c>
      <c r="CE252" s="27" t="n">
        <f aca="false">IFERROR(CE243/BY243-1,"")</f>
        <v>0.135704074131954</v>
      </c>
      <c r="CF252" s="27" t="n">
        <f aca="false">IFERROR(CF243/BZ243-1,"")</f>
        <v>0.111851227168055</v>
      </c>
      <c r="CG252" s="27" t="n">
        <f aca="false">IFERROR(CG243/CA243-1,"")</f>
        <v>0.0915305254433219</v>
      </c>
      <c r="CH252" s="27" t="n">
        <f aca="false">IFERROR(CH243/CB243-1,"")</f>
        <v>0.142699488731964</v>
      </c>
      <c r="CI252" s="27" t="n">
        <f aca="false">IFERROR(CI243/CC243-1,"")</f>
        <v>0.114456867861328</v>
      </c>
      <c r="CJ252" s="27" t="n">
        <f aca="false">IFERROR(CJ243/CD243-1,"")</f>
        <v>0.172220395938343</v>
      </c>
      <c r="CK252" s="27" t="n">
        <f aca="false">IFERROR(CK243/CE243-1,"")</f>
        <v>0.207622925913326</v>
      </c>
      <c r="CL252" s="27" t="n">
        <f aca="false">IFERROR(CL243/CF243-1,"")</f>
        <v>0.190375501259773</v>
      </c>
      <c r="CM252" s="28" t="n">
        <f aca="false">IFERROR(CM243/CG243-1,"")</f>
        <v>0.0954631379962199</v>
      </c>
      <c r="CN252" s="28" t="n">
        <f aca="false">IFERROR(CN243/CH243-1,"")</f>
        <v>0.0114412570998548</v>
      </c>
      <c r="CO252" s="28" t="n">
        <f aca="false">IFERROR(CO243/CI243-1,"")</f>
        <v>0.116444401803703</v>
      </c>
      <c r="CP252" s="28" t="n">
        <f aca="false">IFERROR(CP243/CO243-1,"")</f>
        <v>0.127561368807281</v>
      </c>
      <c r="CQ252" s="28" t="n">
        <f aca="false">IFERROR(CQ243/CP243-1,"")</f>
        <v>0.114995810831841</v>
      </c>
      <c r="CR252" s="28" t="n">
        <f aca="false">IFERROR(CR243/CQ243-1,"")</f>
        <v>0.107796840423597</v>
      </c>
      <c r="CS252" s="28" t="n">
        <f aca="false">IFERROR(CS243/CR243-1,"")</f>
        <v>0.106276137165033</v>
      </c>
      <c r="CT252" s="23"/>
      <c r="CV252" s="7"/>
      <c r="CW252" s="7"/>
      <c r="CX252" s="7"/>
      <c r="CY252" s="7"/>
    </row>
    <row r="253" customFormat="false" ht="15" hidden="false" customHeight="true" outlineLevel="0" collapsed="false">
      <c r="B253" s="26" t="s">
        <v>385</v>
      </c>
      <c r="C253" s="40" t="n">
        <f aca="false">IFERROR(C156/C152,"")</f>
        <v>0.288166341054982</v>
      </c>
      <c r="D253" s="40" t="n">
        <f aca="false">IFERROR(D156/D152,"")</f>
        <v>0.299513037046169</v>
      </c>
      <c r="E253" s="40" t="n">
        <f aca="false">IFERROR(E156/E152,"")</f>
        <v>0.299709639953542</v>
      </c>
      <c r="F253" s="40" t="n">
        <f aca="false">IFERROR(F156/F152,"")</f>
        <v>0.287391804370196</v>
      </c>
      <c r="G253" s="40" t="n">
        <f aca="false">IFERROR(G156/G152,"")</f>
        <v>0.301727283785428</v>
      </c>
      <c r="H253" s="40" t="n">
        <f aca="false">IFERROR(H156/H152,"")</f>
        <v>0.335341675678459</v>
      </c>
      <c r="I253" s="40" t="n">
        <f aca="false">IFERROR(I156/I152,"")</f>
        <v>0.351713439571288</v>
      </c>
      <c r="J253" s="40" t="n">
        <f aca="false">IFERROR(J156/J152,"")</f>
        <v>0.35827186512118</v>
      </c>
      <c r="K253" s="40" t="n">
        <f aca="false">IFERROR(K156/K152,"")</f>
        <v>0.361730449251248</v>
      </c>
      <c r="L253" s="40" t="n">
        <f aca="false">IFERROR(L156/L152,"")</f>
        <v>0.360047846889952</v>
      </c>
      <c r="M253" s="40" t="n">
        <f aca="false">IFERROR(M156/M152,"")</f>
        <v>0.35444366689993</v>
      </c>
      <c r="N253" s="40" t="n">
        <f aca="false">IFERROR(N156/N152,"")</f>
        <v>0.359704994971505</v>
      </c>
      <c r="O253" s="40" t="n">
        <f aca="false">IFERROR(O156/O152,"")</f>
        <v>0.358590609766527</v>
      </c>
      <c r="P253" s="40" t="n">
        <f aca="false">IFERROR(P156/P152,"")</f>
        <v>0.386748038360942</v>
      </c>
      <c r="Q253" s="40" t="n">
        <f aca="false">IFERROR(Q156/Q152,"")</f>
        <v>0.383017919946408</v>
      </c>
      <c r="R253" s="40" t="n">
        <f aca="false">IFERROR(R156/R152,"")</f>
        <v>0.384845378438408</v>
      </c>
      <c r="S253" s="40" t="n">
        <f aca="false">IFERROR(S156/S152,"")</f>
        <v>0.37547828980203</v>
      </c>
      <c r="T253" s="40" t="n">
        <f aca="false">IFERROR(T156/T152,"")</f>
        <v>0.370721516953238</v>
      </c>
      <c r="U253" s="40" t="n">
        <f aca="false">IFERROR(U156/U152,"")</f>
        <v>0.378822055137845</v>
      </c>
      <c r="V253" s="40" t="n">
        <f aca="false">IFERROR(V156/V152,"")</f>
        <v>0.387787610619469</v>
      </c>
      <c r="W253" s="40" t="n">
        <f aca="false">IFERROR(W156/W152,"")</f>
        <v>0.380820495066644</v>
      </c>
      <c r="X253" s="40" t="n">
        <f aca="false">IFERROR(X156/X152,"")</f>
        <v>0.384265336483767</v>
      </c>
      <c r="Y253" s="40" t="n">
        <f aca="false">IFERROR(Y156/Y152,"")</f>
        <v>0.377385667987036</v>
      </c>
      <c r="Z253" s="40" t="n">
        <f aca="false">IFERROR(Z156/Z152,"")</f>
        <v>0.369333333333333</v>
      </c>
      <c r="AA253" s="40" t="n">
        <f aca="false">IFERROR(AA156/AA152,"")</f>
        <v>0.378704146903964</v>
      </c>
      <c r="AB253" s="40" t="n">
        <f aca="false">IFERROR(AB156/AB152,"")</f>
        <v>0.387747408105561</v>
      </c>
      <c r="AC253" s="40" t="n">
        <f aca="false">IFERROR(AC156/AC152,"")</f>
        <v>0.377061330368723</v>
      </c>
      <c r="AD253" s="40" t="n">
        <f aca="false">IFERROR(AD156/AD152,"")</f>
        <v>0.382358437675201</v>
      </c>
      <c r="AE253" s="40" t="n">
        <f aca="false">IFERROR(AE156/AE152,"")</f>
        <v>0.398253606681853</v>
      </c>
      <c r="AF253" s="40" t="n">
        <f aca="false">IFERROR(AF156/AF152,"")</f>
        <v>0.385060589618376</v>
      </c>
      <c r="AG253" s="40" t="n">
        <f aca="false">IFERROR(AG156/AG152,"")</f>
        <v>0.38694823015024</v>
      </c>
      <c r="AH253" s="40" t="n">
        <f aca="false">IFERROR(AH156/AH152,"")</f>
        <v>0.369369369369369</v>
      </c>
      <c r="AI253" s="40" t="n">
        <f aca="false">IFERROR(AI156/AI152,"")</f>
        <v>0.372373714796603</v>
      </c>
      <c r="AJ253" s="40" t="n">
        <f aca="false">IFERROR(AJ156/AJ152,"")</f>
        <v>0.370999030067895</v>
      </c>
      <c r="AK253" s="40" t="n">
        <f aca="false">IFERROR(AK156/AK152,"")</f>
        <v>0.382965871337964</v>
      </c>
      <c r="AL253" s="40" t="n">
        <f aca="false">IFERROR(AL156/AL152,"")</f>
        <v>0.379329926178308</v>
      </c>
      <c r="AM253" s="40" t="n">
        <f aca="false">IFERROR(AM156/AM152,"")</f>
        <v>0.376296182502496</v>
      </c>
      <c r="AN253" s="40" t="n">
        <f aca="false">IFERROR(AN156/AN152,"")</f>
        <v>0.370040253018977</v>
      </c>
      <c r="AO253" s="40" t="n">
        <f aca="false">IFERROR(AO156/AO152,"")</f>
        <v>0.389761092150171</v>
      </c>
      <c r="AP253" s="40" t="n">
        <f aca="false">IFERROR(AP156/AP152,"")</f>
        <v>0.380155451298929</v>
      </c>
      <c r="AQ253" s="40" t="n">
        <f aca="false">IFERROR(AQ156/AQ152,"")</f>
        <v>0.384806287053633</v>
      </c>
      <c r="AR253" s="40" t="n">
        <f aca="false">IFERROR(AR156/AR152,"")</f>
        <v>0.385889898450027</v>
      </c>
      <c r="AS253" s="40" t="n">
        <f aca="false">IFERROR(AS156/AS152,"")</f>
        <v>0.38279688469226</v>
      </c>
      <c r="AT253" s="40" t="n">
        <f aca="false">IFERROR(AT156/AT152,"")</f>
        <v>0.377482555018787</v>
      </c>
      <c r="AU253" s="40" t="n">
        <f aca="false">IFERROR(AU156/AU152,"")</f>
        <v>0.407161125319693</v>
      </c>
      <c r="AV253" s="40" t="n">
        <f aca="false">IFERROR(AV156/AV152,"")</f>
        <v>0.392679413305396</v>
      </c>
      <c r="AW253" s="40" t="n">
        <f aca="false">IFERROR(AW156/AW152,"")</f>
        <v>0.392046871104463</v>
      </c>
      <c r="AX253" s="40" t="n">
        <f aca="false">IFERROR(AX156/AX152,"")</f>
        <v>0.394509709901702</v>
      </c>
      <c r="AY253" s="40" t="n">
        <f aca="false">IFERROR(AY156/AY152,"")</f>
        <v>0.393001643697054</v>
      </c>
      <c r="AZ253" s="40" t="n">
        <f aca="false">IFERROR(AZ156/AZ152,"")</f>
        <v>0.37216416008157</v>
      </c>
      <c r="BA253" s="40" t="n">
        <f aca="false">IFERROR(BA156/BA152,"")</f>
        <v>0.380330956545137</v>
      </c>
      <c r="BB253" s="40" t="n">
        <f aca="false">IFERROR(BB156/BB152,"")</f>
        <v>0.376137181752733</v>
      </c>
      <c r="BC253" s="40" t="n">
        <f aca="false">IFERROR(BC156/BC152,"")</f>
        <v>0.38785046728972</v>
      </c>
      <c r="BD253" s="40" t="n">
        <f aca="false">IFERROR(BD156/BD152,"")</f>
        <v>0.390090201408625</v>
      </c>
      <c r="BE253" s="40" t="n">
        <f aca="false">IFERROR(BE156/BE152,"")</f>
        <v>0.382638843885685</v>
      </c>
      <c r="BF253" s="40" t="n">
        <f aca="false">IFERROR(BF156/BF152,"")</f>
        <v>0.388730296636465</v>
      </c>
      <c r="BG253" s="40" t="n">
        <f aca="false">IFERROR(BG156/BG152,"")</f>
        <v>0.408474576271186</v>
      </c>
      <c r="BH253" s="40" t="n">
        <f aca="false">IFERROR(BH156/BH152,"")</f>
        <v>0.400217989308144</v>
      </c>
      <c r="BI253" s="40" t="n">
        <f aca="false">IFERROR(BI156/BI152,"")</f>
        <v>0.399573138196509</v>
      </c>
      <c r="BJ253" s="40" t="n">
        <f aca="false">IFERROR(BJ156/BJ152,"")</f>
        <v>0.396961546848877</v>
      </c>
      <c r="BK253" s="40" t="n">
        <f aca="false">IFERROR(BK156/BK152,"")</f>
        <v>0.399063779988297</v>
      </c>
      <c r="BL253" s="40" t="n">
        <f aca="false">IFERROR(BL156/BL152,"")</f>
        <v>0.430280090840273</v>
      </c>
      <c r="BM253" s="40" t="n">
        <f aca="false">IFERROR(BM156/BM152,"")</f>
        <v>0.418350789201947</v>
      </c>
      <c r="BN253" s="40" t="n">
        <f aca="false">IFERROR(BN156/BN152,"")</f>
        <v>0.424237895995218</v>
      </c>
      <c r="BO253" s="40" t="n">
        <f aca="false">IFERROR(BO156/BO152,"")</f>
        <v>0.42373129950132</v>
      </c>
      <c r="BP253" s="40" t="n">
        <f aca="false">IFERROR(BP156/BP152,"")</f>
        <v>0.434988012974193</v>
      </c>
      <c r="BQ253" s="40" t="n">
        <f aca="false">IFERROR(BQ156/BQ152,"")</f>
        <v>0.426904334444729</v>
      </c>
      <c r="BR253" s="40" t="n">
        <f aca="false">IFERROR(BR156/BR152,"")</f>
        <v>0.428395864960601</v>
      </c>
      <c r="BS253" s="40" t="n">
        <f aca="false">IFERROR(BS156/BS152,"")</f>
        <v>0.434056292552818</v>
      </c>
      <c r="BT253" s="40" t="n">
        <f aca="false">IFERROR(BT156/BT152,"")</f>
        <v>0.431267806267806</v>
      </c>
      <c r="BU253" s="40" t="n">
        <f aca="false">IFERROR(BU156/BU152,"")</f>
        <v>0.431586452762923</v>
      </c>
      <c r="BV253" s="40" t="n">
        <f aca="false">IFERROR(BV156/BV152,"")</f>
        <v>0.437263157894737</v>
      </c>
      <c r="BW253" s="40" t="n">
        <f aca="false">IFERROR(BW156/BW152,"")</f>
        <v>0.432863099991128</v>
      </c>
      <c r="BX253" s="40" t="n">
        <f aca="false">IFERROR(BX156/BX152,"")</f>
        <v>0.429523738982298</v>
      </c>
      <c r="BY253" s="40" t="n">
        <f aca="false">IFERROR(BY156/BY152,"")</f>
        <v>0.431264100138272</v>
      </c>
      <c r="BZ253" s="40" t="n">
        <f aca="false">IFERROR(BZ156/BZ152,"")</f>
        <v>0.430401585786653</v>
      </c>
      <c r="CA253" s="40" t="n">
        <f aca="false">IFERROR(CA156/CA152,"")</f>
        <v>0.42923449948043</v>
      </c>
      <c r="CB253" s="40" t="n">
        <f aca="false">IFERROR(CB156/CB152,"")</f>
        <v>0.427810690274912</v>
      </c>
      <c r="CC253" s="40" t="n">
        <f aca="false">IFERROR(CC156/CC152,"")</f>
        <v>0.42941798941799</v>
      </c>
      <c r="CD253" s="40" t="n">
        <f aca="false">IFERROR(CD156/CD152,"")</f>
        <v>0.42727084626526</v>
      </c>
      <c r="CE253" s="40" t="n">
        <f aca="false">IFERROR(CE156/CE152,"")</f>
        <v>0.425843958512255</v>
      </c>
      <c r="CF253" s="40" t="n">
        <f aca="false">IFERROR(CF156/CF152,"")</f>
        <v>0.426542043460656</v>
      </c>
      <c r="CG253" s="40" t="n">
        <f aca="false">IFERROR(CG156/CG152,"")</f>
        <v>0.428385839558298</v>
      </c>
      <c r="CH253" s="40" t="n">
        <f aca="false">IFERROR(CH156/CH152,"")</f>
        <v>0.428704335421448</v>
      </c>
      <c r="CI253" s="40" t="n">
        <f aca="false">IFERROR(CI156/CI152,"")</f>
        <v>0.427576282826961</v>
      </c>
      <c r="CJ253" s="40" t="n">
        <f aca="false">IFERROR(CJ156/CJ152,"")</f>
        <v>0.431895391321069</v>
      </c>
      <c r="CK253" s="40" t="n">
        <f aca="false">IFERROR(CK156/CK152,"")</f>
        <v>0.44396992481203</v>
      </c>
      <c r="CL253" s="40" t="n">
        <f aca="false">IFERROR(CL156/CL152,"")</f>
        <v>0.438124495748774</v>
      </c>
      <c r="CM253" s="28" t="n">
        <f aca="false">IFERROR(CM156/CM152,"")</f>
        <v>0.439968291846416</v>
      </c>
      <c r="CN253" s="28" t="n">
        <f aca="false">IFERROR(CN156/CN152,"")</f>
        <v>0.440286787709566</v>
      </c>
      <c r="CO253" s="28" t="n">
        <f aca="false">IFERROR(CO156/CO152,"")</f>
        <v>0.439164033358395</v>
      </c>
      <c r="CP253" s="28" t="n">
        <f aca="false">IFERROR(CP156/CP152,"")</f>
        <v>0.436</v>
      </c>
      <c r="CQ253" s="28" t="n">
        <f aca="false">IFERROR(CQ156/CQ152,"")</f>
        <v>0.438</v>
      </c>
      <c r="CR253" s="28" t="n">
        <f aca="false">IFERROR(CR156/CR152,"")</f>
        <v>0.44</v>
      </c>
      <c r="CS253" s="28" t="n">
        <f aca="false">IFERROR(CS156/CS152,"")</f>
        <v>0.442</v>
      </c>
      <c r="CT253" s="23"/>
      <c r="CV253" s="41" t="n">
        <f aca="false">IFERROR(AVERAGE(CO253,CP253,CQ253,CR253,CS253),"n/m")</f>
        <v>0.439032806671679</v>
      </c>
      <c r="CW253" s="41" t="n">
        <f aca="false">IFERROR(AVERAGE(BK253,BQ253,BW253,CC253,CI253),"n/m")</f>
        <v>0.423165097333821</v>
      </c>
      <c r="CX253" s="41" t="n">
        <f aca="false">IFERROR(AVERAGE(AG253,AM253,AS253,AY253,BE253,BK253,BQ253,BW253,CC253,CI253),"n/m")</f>
        <v>0.403750727159684</v>
      </c>
      <c r="CY253" s="41" t="n">
        <f aca="false">IFERROR(AVERAGE(C253,D253,E253,F253,G253,H253,I253,O253,U253,AA253,AG253,AM253,AS253,AY253,BE253,BK253,BQ253,BW253,CC253,CI253),"n/m")</f>
        <v>0.365859365243262</v>
      </c>
    </row>
    <row r="254" customFormat="false" ht="15" hidden="false" customHeight="true" outlineLevel="0" collapsed="false">
      <c r="B254" s="26" t="s">
        <v>386</v>
      </c>
      <c r="C254" s="40" t="n">
        <f aca="false">IFERROR(C200/C152,"")</f>
        <v>0.0926597823053307</v>
      </c>
      <c r="D254" s="40" t="n">
        <f aca="false">IFERROR(D200/D152,"")</f>
        <v>0.103988164950995</v>
      </c>
      <c r="E254" s="40" t="n">
        <f aca="false">IFERROR(E200/E152,"")</f>
        <v>0.124506387921022</v>
      </c>
      <c r="F254" s="40" t="n">
        <f aca="false">IFERROR(F200/F152,"")</f>
        <v>0.111252345499667</v>
      </c>
      <c r="G254" s="40" t="n">
        <f aca="false">IFERROR(G200/G152,"")</f>
        <v>0.117139034180757</v>
      </c>
      <c r="H254" s="40" t="n">
        <f aca="false">IFERROR(H200/H152,"")</f>
        <v>0.129666821154539</v>
      </c>
      <c r="I254" s="40" t="n">
        <f aca="false">IFERROR(I200/I152,"")</f>
        <v>0.128096648333568</v>
      </c>
      <c r="J254" s="40" t="str">
        <f aca="false">IFERROR(J200/J152,"")</f>
        <v/>
      </c>
      <c r="K254" s="40" t="str">
        <f aca="false">IFERROR(K200/K152,"")</f>
        <v/>
      </c>
      <c r="L254" s="40" t="str">
        <f aca="false">IFERROR(L200/L152,"")</f>
        <v/>
      </c>
      <c r="M254" s="40" t="str">
        <f aca="false">IFERROR(M200/M152,"")</f>
        <v/>
      </c>
      <c r="N254" s="40" t="str">
        <f aca="false">IFERROR(N200/N152,"")</f>
        <v/>
      </c>
      <c r="O254" s="40" t="n">
        <f aca="false">IFERROR(O200/O152,"")</f>
        <v>0.116223381510305</v>
      </c>
      <c r="P254" s="40" t="str">
        <f aca="false">IFERROR(P200/P152,"")</f>
        <v/>
      </c>
      <c r="Q254" s="40" t="str">
        <f aca="false">IFERROR(Q200/Q152,"")</f>
        <v/>
      </c>
      <c r="R254" s="40" t="str">
        <f aca="false">IFERROR(R200/R152,"")</f>
        <v/>
      </c>
      <c r="S254" s="40" t="str">
        <f aca="false">IFERROR(S200/S152,"")</f>
        <v/>
      </c>
      <c r="T254" s="40" t="str">
        <f aca="false">IFERROR(T200/T152,"")</f>
        <v/>
      </c>
      <c r="U254" s="40" t="n">
        <f aca="false">IFERROR(U200/U152,"")</f>
        <v>0.136382623224729</v>
      </c>
      <c r="V254" s="40" t="str">
        <f aca="false">IFERROR(V200/V152,"")</f>
        <v/>
      </c>
      <c r="W254" s="40" t="str">
        <f aca="false">IFERROR(W200/W152,"")</f>
        <v/>
      </c>
      <c r="X254" s="40" t="str">
        <f aca="false">IFERROR(X200/X152,"")</f>
        <v/>
      </c>
      <c r="Y254" s="40" t="str">
        <f aca="false">IFERROR(Y200/Y152,"")</f>
        <v/>
      </c>
      <c r="Z254" s="40" t="str">
        <f aca="false">IFERROR(Z200/Z152,"")</f>
        <v/>
      </c>
      <c r="AA254" s="40" t="n">
        <f aca="false">IFERROR(AA200/AA152,"")</f>
        <v>0.135894869674949</v>
      </c>
      <c r="AB254" s="40" t="str">
        <f aca="false">IFERROR(AB200/AB152,"")</f>
        <v/>
      </c>
      <c r="AC254" s="40" t="str">
        <f aca="false">IFERROR(AC200/AC152,"")</f>
        <v/>
      </c>
      <c r="AD254" s="40" t="str">
        <f aca="false">IFERROR(AD200/AD152,"")</f>
        <v/>
      </c>
      <c r="AE254" s="40" t="str">
        <f aca="false">IFERROR(AE200/AE152,"")</f>
        <v/>
      </c>
      <c r="AF254" s="40" t="str">
        <f aca="false">IFERROR(AF200/AF152,"")</f>
        <v/>
      </c>
      <c r="AG254" s="40" t="n">
        <f aca="false">IFERROR(AG200/AG152,"")</f>
        <v>0.132099167403135</v>
      </c>
      <c r="AH254" s="40" t="str">
        <f aca="false">IFERROR(AH200/AH152,"")</f>
        <v/>
      </c>
      <c r="AI254" s="40" t="str">
        <f aca="false">IFERROR(AI200/AI152,"")</f>
        <v/>
      </c>
      <c r="AJ254" s="40" t="str">
        <f aca="false">IFERROR(AJ200/AJ152,"")</f>
        <v/>
      </c>
      <c r="AK254" s="40" t="str">
        <f aca="false">IFERROR(AK200/AK152,"")</f>
        <v/>
      </c>
      <c r="AL254" s="40" t="str">
        <f aca="false">IFERROR(AL200/AL152,"")</f>
        <v/>
      </c>
      <c r="AM254" s="40" t="n">
        <f aca="false">IFERROR(AM200/AM152,"")</f>
        <v>0.146631845763884</v>
      </c>
      <c r="AN254" s="40" t="str">
        <f aca="false">IFERROR(AN200/AN152,"")</f>
        <v/>
      </c>
      <c r="AO254" s="40" t="str">
        <f aca="false">IFERROR(AO200/AO152,"")</f>
        <v/>
      </c>
      <c r="AP254" s="40" t="str">
        <f aca="false">IFERROR(AP200/AP152,"")</f>
        <v/>
      </c>
      <c r="AQ254" s="40" t="str">
        <f aca="false">IFERROR(AQ200/AQ152,"")</f>
        <v/>
      </c>
      <c r="AR254" s="40" t="str">
        <f aca="false">IFERROR(AR200/AR152,"")</f>
        <v/>
      </c>
      <c r="AS254" s="40" t="n">
        <f aca="false">IFERROR(AS200/AS152,"")</f>
        <v>0.1571783031222</v>
      </c>
      <c r="AT254" s="40" t="str">
        <f aca="false">IFERROR(AT200/AT152,"")</f>
        <v/>
      </c>
      <c r="AU254" s="40" t="str">
        <f aca="false">IFERROR(AU200/AU152,"")</f>
        <v/>
      </c>
      <c r="AV254" s="40" t="str">
        <f aca="false">IFERROR(AV200/AV152,"")</f>
        <v/>
      </c>
      <c r="AW254" s="40" t="str">
        <f aca="false">IFERROR(AW200/AW152,"")</f>
        <v/>
      </c>
      <c r="AX254" s="40" t="str">
        <f aca="false">IFERROR(AX200/AX152,"")</f>
        <v/>
      </c>
      <c r="AY254" s="40" t="n">
        <f aca="false">IFERROR(AY200/AY152,"")</f>
        <v>0.166961689214819</v>
      </c>
      <c r="AZ254" s="40" t="n">
        <f aca="false">IFERROR(AZ200/AZ152,"")</f>
        <v>0.144787152689268</v>
      </c>
      <c r="BA254" s="40" t="n">
        <f aca="false">IFERROR(BA200/BA152,"")</f>
        <v>0.160769541235033</v>
      </c>
      <c r="BB254" s="40" t="n">
        <f aca="false">IFERROR(BB200/BB152,"")</f>
        <v>0.152562340467308</v>
      </c>
      <c r="BC254" s="40" t="n">
        <f aca="false">IFERROR(BC200/BC152,"")</f>
        <v>0.176769025367156</v>
      </c>
      <c r="BD254" s="40" t="n">
        <f aca="false">IFERROR(BD200/BD152,"")</f>
        <v>0.189546521685407</v>
      </c>
      <c r="BE254" s="40" t="n">
        <f aca="false">IFERROR(BE200/BE152,"")</f>
        <v>0.168135571252673</v>
      </c>
      <c r="BF254" s="40" t="n">
        <f aca="false">IFERROR(BF200/BF152,"")</f>
        <v>0.187290554797071</v>
      </c>
      <c r="BG254" s="40" t="n">
        <f aca="false">IFERROR(BG200/BG152,"")</f>
        <v>0.227564674397859</v>
      </c>
      <c r="BH254" s="40" t="n">
        <f aca="false">IFERROR(BH200/BH152,"")</f>
        <v>0.210722997872009</v>
      </c>
      <c r="BI254" s="40" t="n">
        <f aca="false">IFERROR(BI200/BI152,"")</f>
        <v>0.214879182864548</v>
      </c>
      <c r="BJ254" s="40" t="n">
        <f aca="false">IFERROR(BJ200/BJ152,"")</f>
        <v>0.214508977247947</v>
      </c>
      <c r="BK254" s="40" t="n">
        <f aca="false">IFERROR(BK200/BK152,"")</f>
        <v>0.213033396181436</v>
      </c>
      <c r="BL254" s="40" t="n">
        <f aca="false">IFERROR(BL200/BL152,"")</f>
        <v>0.209765329295988</v>
      </c>
      <c r="BM254" s="40" t="n">
        <f aca="false">IFERROR(BM200/BM152,"")</f>
        <v>0.207110193243841</v>
      </c>
      <c r="BN254" s="40" t="n">
        <f aca="false">IFERROR(BN200/BN152,"")</f>
        <v>0.20842050209205</v>
      </c>
      <c r="BO254" s="40" t="n">
        <f aca="false">IFERROR(BO200/BO152,"")</f>
        <v>0.215679084775594</v>
      </c>
      <c r="BP254" s="40" t="n">
        <f aca="false">IFERROR(BP200/BP152,"")</f>
        <v>0.224016358764631</v>
      </c>
      <c r="BQ254" s="40" t="n">
        <f aca="false">IFERROR(BQ200/BQ152,"")</f>
        <v>0.214285714285714</v>
      </c>
      <c r="BR254" s="40" t="n">
        <f aca="false">IFERROR(BR200/BR152,"")</f>
        <v>0.21123400563869</v>
      </c>
      <c r="BS254" s="40" t="n">
        <f aca="false">IFERROR(BS200/BS152,"")</f>
        <v>0.214360918088019</v>
      </c>
      <c r="BT254" s="40" t="n">
        <f aca="false">IFERROR(BT200/BT152,"")</f>
        <v>0.212820512820513</v>
      </c>
      <c r="BU254" s="40" t="n">
        <f aca="false">IFERROR(BU200/BU152,"")</f>
        <v>0.227593582887701</v>
      </c>
      <c r="BV254" s="40" t="n">
        <f aca="false">IFERROR(BV200/BV152,"")</f>
        <v>0.226736842105263</v>
      </c>
      <c r="BW254" s="40" t="n">
        <f aca="false">IFERROR(BW200/BW152,"")</f>
        <v>0.220015970188981</v>
      </c>
      <c r="BX254" s="40" t="n">
        <f aca="false">IFERROR(BX200/BX152,"")</f>
        <v>0.211762091696911</v>
      </c>
      <c r="BY254" s="40" t="n">
        <f aca="false">IFERROR(BY200/BY152,"")</f>
        <v>0.216214249326832</v>
      </c>
      <c r="BZ254" s="40" t="n">
        <f aca="false">IFERROR(BZ200/BZ152,"")</f>
        <v>0.214007782101167</v>
      </c>
      <c r="CA254" s="40" t="n">
        <f aca="false">IFERROR(CA200/CA152,"")</f>
        <v>0.224593003117423</v>
      </c>
      <c r="CB254" s="40" t="n">
        <f aca="false">IFERROR(CB200/CB152,"")</f>
        <v>0.226852160021301</v>
      </c>
      <c r="CC254" s="40" t="n">
        <f aca="false">IFERROR(CC200/CC152,"")</f>
        <v>0.22010582010582</v>
      </c>
      <c r="CD254" s="40" t="n">
        <f aca="false">IFERROR(CD200/CD152,"")</f>
        <v>0.219808262638803</v>
      </c>
      <c r="CE254" s="40" t="n">
        <f aca="false">IFERROR(CE200/CE152,"")</f>
        <v>0.221906586509877</v>
      </c>
      <c r="CF254" s="40" t="n">
        <f aca="false">IFERROR(CF200/CF152,"")</f>
        <v>0.220880010797679</v>
      </c>
      <c r="CG254" s="40" t="n">
        <f aca="false">IFERROR(CG200/CG152,"")</f>
        <v>0.220850925625203</v>
      </c>
      <c r="CH254" s="40" t="n">
        <f aca="false">IFERROR(CH200/CH152,"")</f>
        <v>0.239037399987595</v>
      </c>
      <c r="CI254" s="40" t="n">
        <f aca="false">IFERROR(CI200/CI152,"")</f>
        <v>0.225659809660856</v>
      </c>
      <c r="CJ254" s="40" t="n">
        <f aca="false">IFERROR(CJ200/CJ152,"")</f>
        <v>0.225626562399846</v>
      </c>
      <c r="CK254" s="40" t="n">
        <f aca="false">IFERROR(CK200/CK152,"")</f>
        <v>0.234225563909774</v>
      </c>
      <c r="CL254" s="40" t="n">
        <f aca="false">IFERROR(CL200/CL152,"")</f>
        <v>0.230062682306212</v>
      </c>
      <c r="CM254" s="28" t="n">
        <f aca="false">IFERROR(CM200/CM152,"")</f>
        <v>0.222003088976109</v>
      </c>
      <c r="CN254" s="28" t="n">
        <f aca="false">IFERROR(CN200/CN152,"")</f>
        <v>0.221112431187458</v>
      </c>
      <c r="CO254" s="28" t="n">
        <f aca="false">IFERROR(CO200/CO152,"")</f>
        <v>0.225651608378632</v>
      </c>
      <c r="CP254" s="28" t="n">
        <f aca="false">IFERROR(CP200/CP152,"")</f>
        <v>0.233628963721645</v>
      </c>
      <c r="CQ254" s="28" t="n">
        <f aca="false">IFERROR(CQ200/CQ152,"")</f>
        <v>0.23652990542569</v>
      </c>
      <c r="CR254" s="28" t="n">
        <f aca="false">IFERROR(CR200/CR152,"")</f>
        <v>0.238748055526162</v>
      </c>
      <c r="CS254" s="28" t="n">
        <f aca="false">IFERROR(CS200/CS152,"")</f>
        <v>0.241270364889337</v>
      </c>
      <c r="CT254" s="23"/>
      <c r="CV254" s="41" t="n">
        <f aca="false">IFERROR(AVERAGE(CO254,CP254,CQ254,CR254,CS254),"n/m")</f>
        <v>0.235165779588293</v>
      </c>
      <c r="CW254" s="41" t="n">
        <f aca="false">IFERROR(AVERAGE(BK254,BQ254,BW254,CC254,CI254),"n/m")</f>
        <v>0.218620142084561</v>
      </c>
      <c r="CX254" s="41" t="n">
        <f aca="false">IFERROR(AVERAGE(AG254,AM254,AS254,AY254,BE254,BK254,BQ254,BW254,CC254,CI254),"n/m")</f>
        <v>0.186410728717952</v>
      </c>
      <c r="CY254" s="41" t="n">
        <f aca="false">IFERROR(AVERAGE(C254,D254,E254,F254,G254,H254,I254,O254,U254,AA254,AG254,AM254,AS254,AY254,BE254,BK254,BQ254,BW254,CC254,CI254),"n/m")</f>
        <v>0.152995867296769</v>
      </c>
    </row>
    <row r="255" customFormat="false" ht="15" hidden="false" customHeight="true" outlineLevel="0" collapsed="false">
      <c r="B255" s="26" t="s">
        <v>228</v>
      </c>
      <c r="C255" s="40" t="n">
        <f aca="false">IFERROR(C160/C152,"")</f>
        <v>0.0872871895060006</v>
      </c>
      <c r="D255" s="40" t="n">
        <f aca="false">IFERROR(D160/D152,"")</f>
        <v>0.100043148616162</v>
      </c>
      <c r="E255" s="40" t="n">
        <f aca="false">IFERROR(E160/E152,"")</f>
        <v>0.115331010452962</v>
      </c>
      <c r="F255" s="40" t="n">
        <f aca="false">IFERROR(F160/F152,"")</f>
        <v>0.103746746564978</v>
      </c>
      <c r="G255" s="40" t="n">
        <f aca="false">IFERROR(G160/G152,"")</f>
        <v>0.108563435105218</v>
      </c>
      <c r="H255" s="40" t="n">
        <f aca="false">IFERROR(H160/H152,"")</f>
        <v>0.116998815592976</v>
      </c>
      <c r="I255" s="40" t="n">
        <f aca="false">IFERROR(I160/I152,"")</f>
        <v>0.114276312696846</v>
      </c>
      <c r="J255" s="40" t="n">
        <f aca="false">IFERROR(J160/J152,"")</f>
        <v>0.103442219880576</v>
      </c>
      <c r="K255" s="40" t="n">
        <f aca="false">IFERROR(K160/K152,"")</f>
        <v>0.107986688851913</v>
      </c>
      <c r="L255" s="40" t="n">
        <f aca="false">IFERROR(L160/L152,"")</f>
        <v>0.105775803144224</v>
      </c>
      <c r="M255" s="40" t="n">
        <f aca="false">IFERROR(M160/M152,"")</f>
        <v>0.0927221833449965</v>
      </c>
      <c r="N255" s="40" t="n">
        <f aca="false">IFERROR(N160/N152,"")</f>
        <v>0.106436473348978</v>
      </c>
      <c r="O255" s="40" t="n">
        <f aca="false">IFERROR(O160/O152,"")</f>
        <v>0.102753784315402</v>
      </c>
      <c r="P255" s="40" t="n">
        <f aca="false">IFERROR(P160/P152,"")</f>
        <v>0.115082824760244</v>
      </c>
      <c r="Q255" s="40" t="n">
        <f aca="false">IFERROR(Q160/Q152,"")</f>
        <v>0.124434768045554</v>
      </c>
      <c r="R255" s="40" t="n">
        <f aca="false">IFERROR(R160/R152,"")</f>
        <v>0.119853066803349</v>
      </c>
      <c r="S255" s="40" t="n">
        <f aca="false">IFERROR(S160/S152,"")</f>
        <v>0.123606721011479</v>
      </c>
      <c r="T255" s="40" t="n">
        <f aca="false">IFERROR(T160/T152,"")</f>
        <v>0.128394664952595</v>
      </c>
      <c r="U255" s="40" t="n">
        <f aca="false">IFERROR(U160/U152,"")</f>
        <v>0.123015873015873</v>
      </c>
      <c r="V255" s="40" t="n">
        <f aca="false">IFERROR(V160/V152,"")</f>
        <v>0.119115044247788</v>
      </c>
      <c r="W255" s="40" t="n">
        <f aca="false">IFERROR(W160/W152,"")</f>
        <v>0.119266055045872</v>
      </c>
      <c r="X255" s="40" t="n">
        <f aca="false">IFERROR(X160/X152,"")</f>
        <v>0.119191388815962</v>
      </c>
      <c r="Y255" s="40" t="n">
        <f aca="false">IFERROR(Y160/Y152,"")</f>
        <v>0.125135037810587</v>
      </c>
      <c r="Z255" s="40" t="n">
        <f aca="false">IFERROR(Z160/Z152,"")</f>
        <v>0.126666666666667</v>
      </c>
      <c r="AA255" s="40" t="n">
        <f aca="false">IFERROR(AA160/AA152,"")</f>
        <v>0.122579522214003</v>
      </c>
      <c r="AB255" s="40" t="n">
        <f aca="false">IFERROR(AB160/AB152,"")</f>
        <v>0.114797360980207</v>
      </c>
      <c r="AC255" s="40" t="n">
        <f aca="false">IFERROR(AC160/AC152,"")</f>
        <v>0.0993144339447842</v>
      </c>
      <c r="AD255" s="40" t="n">
        <f aca="false">IFERROR(AD160/AD152,"")</f>
        <v>0.106989347785461</v>
      </c>
      <c r="AE255" s="40" t="n">
        <f aca="false">IFERROR(AE160/AE152,"")</f>
        <v>0.130599848139711</v>
      </c>
      <c r="AF255" s="40" t="n">
        <f aca="false">IFERROR(AF160/AF152,"")</f>
        <v>0.127509495387954</v>
      </c>
      <c r="AG255" s="40" t="n">
        <f aca="false">IFERROR(AG160/AG152,"")</f>
        <v>0.118052002418717</v>
      </c>
      <c r="AH255" s="40" t="n">
        <f aca="false">IFERROR(AH160/AH152,"")</f>
        <v>0.0968026850379792</v>
      </c>
      <c r="AI255" s="40" t="n">
        <f aca="false">IFERROR(AI160/AI152,"")</f>
        <v>0.123379526151095</v>
      </c>
      <c r="AJ255" s="40" t="n">
        <f aca="false">IFERROR(AJ160/AJ152,"")</f>
        <v>0.111218881344973</v>
      </c>
      <c r="AK255" s="40" t="n">
        <f aca="false">IFERROR(AK160/AK152,"")</f>
        <v>0.135155542132286</v>
      </c>
      <c r="AL255" s="40" t="n">
        <f aca="false">IFERROR(AL160/AL152,"")</f>
        <v>0.134298693923907</v>
      </c>
      <c r="AM255" s="40" t="n">
        <f aca="false">IFERROR(AM160/AM152,"")</f>
        <v>0.123550195867578</v>
      </c>
      <c r="AN255" s="40" t="n">
        <f aca="false">IFERROR(AN160/AN152,"")</f>
        <v>0.127084531339851</v>
      </c>
      <c r="AO255" s="40" t="n">
        <f aca="false">IFERROR(AO160/AO152,"")</f>
        <v>0.15221843003413</v>
      </c>
      <c r="AP255" s="40" t="n">
        <f aca="false">IFERROR(AP160/AP152,"")</f>
        <v>0.139976192143407</v>
      </c>
      <c r="AQ255" s="40" t="n">
        <f aca="false">IFERROR(AQ160/AQ152,"")</f>
        <v>0.14545705225424</v>
      </c>
      <c r="AR255" s="40" t="n">
        <f aca="false">IFERROR(AR160/AR152,"")</f>
        <v>0.148583645109567</v>
      </c>
      <c r="AS255" s="40" t="n">
        <f aca="false">IFERROR(AS160/AS152,"")</f>
        <v>0.143566062444</v>
      </c>
      <c r="AT255" s="40" t="n">
        <f aca="false">IFERROR(AT160/AT152,"")</f>
        <v>0.130568974771873</v>
      </c>
      <c r="AU255" s="40" t="n">
        <f aca="false">IFERROR(AU160/AU152,"")</f>
        <v>0.168670076726343</v>
      </c>
      <c r="AV255" s="40" t="n">
        <f aca="false">IFERROR(AV160/AV152,"")</f>
        <v>0.150078575170246</v>
      </c>
      <c r="AW255" s="40" t="n">
        <f aca="false">IFERROR(AW160/AW152,"")</f>
        <v>0.160433807030666</v>
      </c>
      <c r="AX255" s="40" t="n">
        <f aca="false">IFERROR(AX160/AX152,"")</f>
        <v>0.160393191081275</v>
      </c>
      <c r="AY255" s="40" t="n">
        <f aca="false">IFERROR(AY160/AY152,"")</f>
        <v>0.155424200278164</v>
      </c>
      <c r="AZ255" s="40" t="n">
        <f aca="false">IFERROR(AZ160/AZ152,"")</f>
        <v>0.132551618659189</v>
      </c>
      <c r="BA255" s="40" t="n">
        <f aca="false">IFERROR(BA160/BA152,"")</f>
        <v>0.1477196286829</v>
      </c>
      <c r="BB255" s="40" t="n">
        <f aca="false">IFERROR(BB160/BB152,"")</f>
        <v>0.13993062373192</v>
      </c>
      <c r="BC255" s="40" t="n">
        <f aca="false">IFERROR(BC160/BC152,"")</f>
        <v>0.163551401869159</v>
      </c>
      <c r="BD255" s="40" t="n">
        <f aca="false">IFERROR(BD160/BD152,"")</f>
        <v>0.177684418633387</v>
      </c>
      <c r="BE255" s="40" t="n">
        <f aca="false">IFERROR(BE160/BE152,"")</f>
        <v>0.1555634761195</v>
      </c>
      <c r="BF255" s="40" t="n">
        <f aca="false">IFERROR(BF160/BF152,"")</f>
        <v>0.167804393694924</v>
      </c>
      <c r="BG255" s="40" t="n">
        <f aca="false">IFERROR(BG160/BG152,"")</f>
        <v>0.0931311329170384</v>
      </c>
      <c r="BH255" s="40" t="n">
        <f aca="false">IFERROR(BH160/BH152,"")</f>
        <v>0.12435771007422</v>
      </c>
      <c r="BI255" s="40" t="n">
        <f aca="false">IFERROR(BI160/BI152,"")</f>
        <v>0.144523210610565</v>
      </c>
      <c r="BJ255" s="40" t="n">
        <f aca="false">IFERROR(BJ160/BJ152,"")</f>
        <v>0.141818710474667</v>
      </c>
      <c r="BK255" s="40" t="n">
        <f aca="false">IFERROR(BK160/BK152,"")</f>
        <v>0.135296794746766</v>
      </c>
      <c r="BL255" s="40" t="n">
        <f aca="false">IFERROR(BL160/BL152,"")</f>
        <v>0.169190007570023</v>
      </c>
      <c r="BM255" s="40" t="n">
        <f aca="false">IFERROR(BM160/BM152,"")</f>
        <v>0.169272754093524</v>
      </c>
      <c r="BN255" s="40" t="n">
        <f aca="false">IFERROR(BN160/BN152,"")</f>
        <v>0.169231918708906</v>
      </c>
      <c r="BO255" s="40" t="n">
        <f aca="false">IFERROR(BO160/BO152,"")</f>
        <v>0.179818128483426</v>
      </c>
      <c r="BP255" s="40" t="n">
        <f aca="false">IFERROR(BP160/BP152,"")</f>
        <v>0.193061627415033</v>
      </c>
      <c r="BQ255" s="40" t="n">
        <f aca="false">IFERROR(BQ160/BQ152,"")</f>
        <v>0.178067636390283</v>
      </c>
      <c r="BR255" s="40" t="n">
        <f aca="false">IFERROR(BR160/BR152,"")</f>
        <v>0.175305429046483</v>
      </c>
      <c r="BS255" s="40" t="n">
        <f aca="false">IFERROR(BS160/BS152,"")</f>
        <v>0.179757141854426</v>
      </c>
      <c r="BT255" s="40" t="n">
        <f aca="false">IFERROR(BT160/BT152,"")</f>
        <v>0.177564102564103</v>
      </c>
      <c r="BU255" s="40" t="n">
        <f aca="false">IFERROR(BU160/BU152,"")</f>
        <v>0.188449197860963</v>
      </c>
      <c r="BV255" s="40" t="n">
        <f aca="false">IFERROR(BV160/BV152,"")</f>
        <v>0.190526315789474</v>
      </c>
      <c r="BW255" s="40" t="n">
        <f aca="false">IFERROR(BW160/BW152,"")</f>
        <v>0.183550705350013</v>
      </c>
      <c r="BX255" s="40" t="n">
        <f aca="false">IFERROR(BX160/BX152,"")</f>
        <v>0.173542700540701</v>
      </c>
      <c r="BY255" s="40" t="n">
        <f aca="false">IFERROR(BY160/BY152,"")</f>
        <v>0.179754020813623</v>
      </c>
      <c r="BZ255" s="40" t="n">
        <f aca="false">IFERROR(BZ160/BZ152,"")</f>
        <v>0.176675721312679</v>
      </c>
      <c r="CA255" s="40" t="n">
        <f aca="false">IFERROR(CA160/CA152,"")</f>
        <v>0.18753030827849</v>
      </c>
      <c r="CB255" s="40" t="n">
        <f aca="false">IFERROR(CB160/CB152,"")</f>
        <v>0.15782466884111</v>
      </c>
      <c r="CC255" s="40" t="n">
        <f aca="false">IFERROR(CC160/CC152,"")</f>
        <v>0.174444444444444</v>
      </c>
      <c r="CD255" s="40" t="n">
        <f aca="false">IFERROR(CD160/CD152,"")</f>
        <v>0.178839919994482</v>
      </c>
      <c r="CE255" s="40" t="n">
        <f aca="false">IFERROR(CE160/CE152,"")</f>
        <v>0.183788068970073</v>
      </c>
      <c r="CF255" s="40" t="n">
        <f aca="false">IFERROR(CF160/CF152,"")</f>
        <v>0.181367256039952</v>
      </c>
      <c r="CG255" s="40" t="n">
        <f aca="false">IFERROR(CG160/CG152,"")</f>
        <v>0.183696005196492</v>
      </c>
      <c r="CH255" s="40" t="n">
        <f aca="false">IFERROR(CH160/CH152,"")</f>
        <v>0.204366433045959</v>
      </c>
      <c r="CI255" s="40" t="n">
        <f aca="false">IFERROR(CI160/CI152,"")</f>
        <v>0.188017137063806</v>
      </c>
      <c r="CJ255" s="40" t="n">
        <f aca="false">IFERROR(CJ160/CJ152,"")</f>
        <v>0.188577655278508</v>
      </c>
      <c r="CK255" s="40" t="n">
        <f aca="false">IFERROR(CK160/CK152,"")</f>
        <v>0.200421052631579</v>
      </c>
      <c r="CL255" s="40" t="n">
        <f aca="false">IFERROR(CL160/CL152,"")</f>
        <v>0.194687519394278</v>
      </c>
      <c r="CM255" s="28" t="n">
        <f aca="false">IFERROR(CM160/CM152,"")</f>
        <v>0.188476084179155</v>
      </c>
      <c r="CN255" s="28" t="n">
        <f aca="false">IFERROR(CN160/CN152,"")</f>
        <v>0.189120350680875</v>
      </c>
      <c r="CO255" s="28" t="n">
        <f aca="false">IFERROR(CO160/CO152,"")</f>
        <v>0.191640687234265</v>
      </c>
      <c r="CP255" s="28" t="n">
        <f aca="false">IFERROR(CP160/CP152,"")</f>
        <v>0.201910625659741</v>
      </c>
      <c r="CQ255" s="28" t="n">
        <f aca="false">IFERROR(CQ160/CQ152,"")</f>
        <v>0.204622675300834</v>
      </c>
      <c r="CR255" s="28" t="n">
        <f aca="false">IFERROR(CR160/CR152,"")</f>
        <v>0.21122540353326</v>
      </c>
      <c r="CS255" s="28" t="n">
        <f aca="false">IFERROR(CS160/CS152,"")</f>
        <v>0.215635748396113</v>
      </c>
      <c r="CT255" s="23"/>
      <c r="CV255" s="41" t="n">
        <f aca="false">IFERROR(AVERAGE(CO255,CP255,CQ255,CR255,CS255),"n/m")</f>
        <v>0.205007028024843</v>
      </c>
      <c r="CW255" s="41" t="n">
        <f aca="false">IFERROR(AVERAGE(BK255,BQ255,BW255,CC255,CI255),"n/m")</f>
        <v>0.171875343599063</v>
      </c>
      <c r="CX255" s="41" t="n">
        <f aca="false">IFERROR(AVERAGE(AG255,AM255,AS255,AY255,BE255,BK255,BQ255,BW255,CC255,CI255),"n/m")</f>
        <v>0.155553265512327</v>
      </c>
      <c r="CY255" s="41" t="n">
        <f aca="false">IFERROR(AVERAGE(C255,D255,E255,F255,G255,H255,I255,O255,U255,AA255,AG255,AM255,AS255,AY255,BE255,BK255,BQ255,BW255,CC255,CI255),"n/m")</f>
        <v>0.132506424660185</v>
      </c>
    </row>
    <row r="256" customFormat="false" ht="15" hidden="false" customHeight="true" outlineLevel="0" collapsed="false">
      <c r="B256" s="26" t="s">
        <v>387</v>
      </c>
      <c r="C256" s="40" t="n">
        <f aca="false">IFERROR(C211/C152,"")</f>
        <v>0.113103544515769</v>
      </c>
      <c r="D256" s="40" t="n">
        <f aca="false">IFERROR(D211/D152,"")</f>
        <v>0.123220119583308</v>
      </c>
      <c r="E256" s="40" t="n">
        <f aca="false">IFERROR(E211/E152,"")</f>
        <v>0.141637630662021</v>
      </c>
      <c r="F256" s="40" t="n">
        <f aca="false">IFERROR(F211/F152,"")</f>
        <v>0.129350523576055</v>
      </c>
      <c r="G256" s="40" t="n">
        <f aca="false">IFERROR(G211/G152,"")</f>
        <v>0.137027125653813</v>
      </c>
      <c r="H256" s="40" t="n">
        <f aca="false">IFERROR(H211/H152,"")</f>
        <v>0.150368196096606</v>
      </c>
      <c r="I256" s="40" t="n">
        <f aca="false">IFERROR(I211/I152,"")</f>
        <v>0.152446763503032</v>
      </c>
      <c r="J256" s="40" t="n">
        <f aca="false">IFERROR(J211/J152,"")</f>
        <v>0.141025641025641</v>
      </c>
      <c r="K256" s="40" t="n">
        <f aca="false">IFERROR(K211/K152,"")</f>
        <v>0.144758735440932</v>
      </c>
      <c r="L256" s="40" t="n">
        <f aca="false">IFERROR(L211/L152,"")</f>
        <v>0.142942583732057</v>
      </c>
      <c r="M256" s="40" t="n">
        <f aca="false">IFERROR(M211/M152,"")</f>
        <v>0.131910426871938</v>
      </c>
      <c r="N256" s="40" t="n">
        <f aca="false">IFERROR(N211/N152,"")</f>
        <v>0.155548105933624</v>
      </c>
      <c r="O256" s="40" t="n">
        <f aca="false">IFERROR(O211/O152,"")</f>
        <v>0.14346190028222</v>
      </c>
      <c r="P256" s="40" t="n">
        <f aca="false">IFERROR(P211/P152,"")</f>
        <v>0.156582388840453</v>
      </c>
      <c r="Q256" s="40" t="n">
        <f aca="false">IFERROR(Q211/Q152,"")</f>
        <v>0.17735722659521</v>
      </c>
      <c r="R256" s="40" t="n">
        <f aca="false">IFERROR(R211/R152,"")</f>
        <v>0.167179224329404</v>
      </c>
      <c r="S256" s="40" t="n">
        <f aca="false">IFERROR(S211/S152,"")</f>
        <v>0.159707203460323</v>
      </c>
      <c r="T256" s="40" t="n">
        <f aca="false">IFERROR(T211/T152,"")</f>
        <v>0.166639884300177</v>
      </c>
      <c r="U256" s="40" t="n">
        <f aca="false">IFERROR(U211/U152,"")</f>
        <v>0.16516290726817</v>
      </c>
      <c r="V256" s="40" t="n">
        <f aca="false">IFERROR(V211/V152,"")</f>
        <v>0.161592920353982</v>
      </c>
      <c r="W256" s="40" t="n">
        <f aca="false">IFERROR(W211/W152,"")</f>
        <v>0.164618314003808</v>
      </c>
      <c r="X256" s="40" t="n">
        <f aca="false">IFERROR(X211/X152,"")</f>
        <v>0.163122429334034</v>
      </c>
      <c r="Y256" s="40" t="n">
        <f aca="false">IFERROR(Y211/Y152,"")</f>
        <v>0.160785019805545</v>
      </c>
      <c r="Z256" s="40" t="n">
        <f aca="false">IFERROR(Z211/Z152,"")</f>
        <v>0.161166666666667</v>
      </c>
      <c r="AA256" s="40" t="n">
        <f aca="false">IFERROR(AA211/AA152,"")</f>
        <v>0.162046908315565</v>
      </c>
      <c r="AB256" s="40" t="n">
        <f aca="false">IFERROR(AB211/AB152,"")</f>
        <v>0.152120640904807</v>
      </c>
      <c r="AC256" s="40" t="n">
        <f aca="false">IFERROR(AC211/AC152,"")</f>
        <v>0.171391513803965</v>
      </c>
      <c r="AD256" s="40" t="n">
        <f aca="false">IFERROR(AD211/AD152,"")</f>
        <v>0.161838908615212</v>
      </c>
      <c r="AE256" s="40" t="n">
        <f aca="false">IFERROR(AE211/AE152,"")</f>
        <v>0.172361427486712</v>
      </c>
      <c r="AF256" s="40" t="n">
        <f aca="false">IFERROR(AF211/AF152,"")</f>
        <v>0.16223548562127</v>
      </c>
      <c r="AG256" s="40" t="n">
        <f aca="false">IFERROR(AG211/AG152,"")</f>
        <v>0.16451927996651</v>
      </c>
      <c r="AH256" s="40" t="n">
        <f aca="false">IFERROR(AH211/AH152,"")</f>
        <v>0.149266913972796</v>
      </c>
      <c r="AI256" s="40" t="n">
        <f aca="false">IFERROR(AI211/AI152,"")</f>
        <v>0.182834152883326</v>
      </c>
      <c r="AJ256" s="40" t="n">
        <f aca="false">IFERROR(AJ211/AJ152,"")</f>
        <v>0.167474943420627</v>
      </c>
      <c r="AK256" s="40" t="n">
        <f aca="false">IFERROR(AK211/AK152,"")</f>
        <v>0.187556629417095</v>
      </c>
      <c r="AL256" s="40" t="n">
        <f aca="false">IFERROR(AL211/AL152,"")</f>
        <v>0.170925610448609</v>
      </c>
      <c r="AM256" s="40" t="n">
        <f aca="false">IFERROR(AM211/AM152,"")</f>
        <v>0.173515631000845</v>
      </c>
      <c r="AN256" s="40" t="n">
        <f aca="false">IFERROR(AN211/AN152,"")</f>
        <v>0.169781483611271</v>
      </c>
      <c r="AO256" s="40" t="n">
        <f aca="false">IFERROR(AO211/AO152,"")</f>
        <v>0.189351535836177</v>
      </c>
      <c r="AP256" s="40" t="n">
        <f aca="false">IFERROR(AP211/AP152,"")</f>
        <v>0.179819340382326</v>
      </c>
      <c r="AQ256" s="40" t="n">
        <f aca="false">IFERROR(AQ211/AQ152,"")</f>
        <v>0.184061767544464</v>
      </c>
      <c r="AR256" s="40" t="n">
        <f aca="false">IFERROR(AR211/AR152,"")</f>
        <v>0.189871726349546</v>
      </c>
      <c r="AS256" s="40" t="n">
        <f aca="false">IFERROR(AS211/AS152,"")</f>
        <v>0.183472327520849</v>
      </c>
      <c r="AT256" s="40" t="n">
        <f aca="false">IFERROR(AT211/AT152,"")</f>
        <v>0.168947933440687</v>
      </c>
      <c r="AU256" s="40" t="n">
        <f aca="false">IFERROR(AU211/AU152,"")</f>
        <v>0.205115089514066</v>
      </c>
      <c r="AV256" s="40" t="n">
        <f aca="false">IFERROR(AV211/AV152,"")</f>
        <v>0.187467260345731</v>
      </c>
      <c r="AW256" s="40" t="n">
        <f aca="false">IFERROR(AW211/AW152,"")</f>
        <v>0.195462478184991</v>
      </c>
      <c r="AX256" s="40" t="n">
        <f aca="false">IFERROR(AX211/AX152,"")</f>
        <v>0.195996163989451</v>
      </c>
      <c r="AY256" s="40" t="n">
        <f aca="false">IFERROR(AY211/AY152,"")</f>
        <v>0.191743583259578</v>
      </c>
      <c r="AZ256" s="40" t="n">
        <f aca="false">IFERROR(AZ211/AZ152,"")</f>
        <v>0.171297476421106</v>
      </c>
      <c r="BA256" s="40" t="n">
        <f aca="false">IFERROR(BA211/BA152,"")</f>
        <v>0.189156464415445</v>
      </c>
      <c r="BB256" s="40" t="n">
        <f aca="false">IFERROR(BB211/BB152,"")</f>
        <v>0.179985601151908</v>
      </c>
      <c r="BC256" s="40" t="n">
        <f aca="false">IFERROR(BC211/BC152,"")</f>
        <v>0.204272363150868</v>
      </c>
      <c r="BD256" s="40" t="n">
        <f aca="false">IFERROR(BD211/BD152,"")</f>
        <v>0.214012109230199</v>
      </c>
      <c r="BE256" s="40" t="n">
        <f aca="false">IFERROR(BE211/BE152,"")</f>
        <v>0.1948026699501</v>
      </c>
      <c r="BF256" s="40" t="n">
        <f aca="false">IFERROR(BF211/BF152,"")</f>
        <v>0.197095693186049</v>
      </c>
      <c r="BG256" s="40" t="n">
        <f aca="false">IFERROR(BG211/BG152,"")</f>
        <v>0.25950044603033</v>
      </c>
      <c r="BH256" s="40" t="n">
        <f aca="false">IFERROR(BH211/BH152,"")</f>
        <v>0.233404266362174</v>
      </c>
      <c r="BI256" s="40" t="n">
        <f aca="false">IFERROR(BI211/BI152,"")</f>
        <v>0.243082552023782</v>
      </c>
      <c r="BJ256" s="40" t="n">
        <f aca="false">IFERROR(BJ211/BJ152,"")</f>
        <v>0.240459402486007</v>
      </c>
      <c r="BK256" s="40" t="n">
        <f aca="false">IFERROR(BK211/BK152,"")</f>
        <v>0.238259324274538</v>
      </c>
      <c r="BL256" s="40" t="n">
        <f aca="false">IFERROR(BL211/BL152,"")</f>
        <v>0.236336109008327</v>
      </c>
      <c r="BM256" s="40" t="n">
        <f aca="false">IFERROR(BM211/BM152,"")</f>
        <v>0.240964744062546</v>
      </c>
      <c r="BN256" s="40" t="n">
        <f aca="false">IFERROR(BN211/BN152,"")</f>
        <v>0.238680514046623</v>
      </c>
      <c r="BO256" s="40" t="n">
        <f aca="false">IFERROR(BO211/BO152,"")</f>
        <v>0.245013200352009</v>
      </c>
      <c r="BP256" s="40" t="n">
        <f aca="false">IFERROR(BP211/BP152,"")</f>
        <v>0.248625017627979</v>
      </c>
      <c r="BQ256" s="40" t="n">
        <f aca="false">IFERROR(BQ211/BQ152,"")</f>
        <v>0.242846151027736</v>
      </c>
      <c r="BR256" s="40" t="n">
        <f aca="false">IFERROR(BR211/BR152,"")</f>
        <v>0.236246656545941</v>
      </c>
      <c r="BS256" s="40" t="n">
        <f aca="false">IFERROR(BS211/BS152,"")</f>
        <v>0.236681406611918</v>
      </c>
      <c r="BT256" s="40" t="n">
        <f aca="false">IFERROR(BT211/BT152,"")</f>
        <v>0.236467236467236</v>
      </c>
      <c r="BU256" s="40" t="n">
        <f aca="false">IFERROR(BU211/BU152,"")</f>
        <v>0.247557932263815</v>
      </c>
      <c r="BV256" s="40" t="n">
        <f aca="false">IFERROR(BV211/BV152,"")</f>
        <v>0.245754385964912</v>
      </c>
      <c r="BW256" s="40" t="n">
        <f aca="false">IFERROR(BW211/BW152,"")</f>
        <v>0.24157572531275</v>
      </c>
      <c r="BX256" s="40" t="n">
        <f aca="false">IFERROR(BX211/BX152,"")</f>
        <v>0.235834382638323</v>
      </c>
      <c r="BY256" s="40" t="n">
        <f aca="false">IFERROR(BY211/BY152,"")</f>
        <v>0.237464522232734</v>
      </c>
      <c r="BZ256" s="40" t="n">
        <f aca="false">IFERROR(BZ211/BZ152,"")</f>
        <v>0.236656633140004</v>
      </c>
      <c r="CA256" s="40" t="n">
        <f aca="false">IFERROR(CA211/CA152,"")</f>
        <v>0.243436092829927</v>
      </c>
      <c r="CB256" s="40" t="n">
        <f aca="false">IFERROR(CB211/CB152,"")</f>
        <v>0.24662184650203</v>
      </c>
      <c r="CC256" s="40" t="n">
        <f aca="false">IFERROR(CC211/CC152,"")</f>
        <v>0.241022927689594</v>
      </c>
      <c r="CD256" s="40" t="n">
        <f aca="false">IFERROR(CD211/CD152,"")</f>
        <v>0.237464652734671</v>
      </c>
      <c r="CE256" s="40" t="n">
        <f aca="false">IFERROR(CE211/CE152,"")</f>
        <v>0.242980775583009</v>
      </c>
      <c r="CF256" s="40" t="n">
        <f aca="false">IFERROR(CF211/CF152,"")</f>
        <v>0.24028208935079</v>
      </c>
      <c r="CG256" s="40" t="n">
        <f aca="false">IFERROR(CG211/CG152,"")</f>
        <v>0.242286456641767</v>
      </c>
      <c r="CH256" s="40" t="n">
        <f aca="false">IFERROR(CH211/CH152,"")</f>
        <v>0.259815170873907</v>
      </c>
      <c r="CI256" s="40" t="n">
        <f aca="false">IFERROR(CI211/CI152,"")</f>
        <v>0.245936488210093</v>
      </c>
      <c r="CJ256" s="40" t="n">
        <f aca="false">IFERROR(CJ211/CJ152,"")</f>
        <v>0.242548554579835</v>
      </c>
      <c r="CK256" s="40" t="n">
        <f aca="false">IFERROR(CK211/CK152,"")</f>
        <v>0.253112781954887</v>
      </c>
      <c r="CL256" s="40" t="n">
        <f aca="false">IFERROR(CL211/CL152,"")</f>
        <v>0.247998510519456</v>
      </c>
      <c r="CM256" s="28" t="n">
        <f aca="false">IFERROR(CM211/CM152,"")</f>
        <v>0.241941773377273</v>
      </c>
      <c r="CN256" s="28" t="n">
        <f aca="false">IFERROR(CN211/CN152,"")</f>
        <v>0.240980731053261</v>
      </c>
      <c r="CO256" s="28" t="n">
        <f aca="false">IFERROR(CO211/CO152,"")</f>
        <v>0.244606287160777</v>
      </c>
      <c r="CP256" s="28" t="n">
        <f aca="false">IFERROR(CP211/CP152,"")</f>
        <v>0.254521722404861</v>
      </c>
      <c r="CQ256" s="28" t="n">
        <f aca="false">IFERROR(CQ211/CQ152,"")</f>
        <v>0.257304367901136</v>
      </c>
      <c r="CR256" s="28" t="n">
        <f aca="false">IFERROR(CR211/CR152,"")</f>
        <v>0.259416125637267</v>
      </c>
      <c r="CS256" s="28" t="n">
        <f aca="false">IFERROR(CS211/CS152,"")</f>
        <v>0.261844778629404</v>
      </c>
      <c r="CT256" s="23"/>
      <c r="CV256" s="41" t="n">
        <f aca="false">IFERROR(AVERAGE(CO256,CP256,CQ256,CR256,CS256),"n/m")</f>
        <v>0.255538656346689</v>
      </c>
      <c r="CW256" s="41" t="n">
        <f aca="false">IFERROR(AVERAGE(BK256,BQ256,BW256,CC256,CI256),"n/m")</f>
        <v>0.241928123302942</v>
      </c>
      <c r="CX256" s="41" t="n">
        <f aca="false">IFERROR(AVERAGE(AG256,AM256,AS256,AY256,BE256,BK256,BQ256,BW256,CC256,CI256),"n/m")</f>
        <v>0.211769410821259</v>
      </c>
      <c r="CY256" s="41" t="n">
        <f aca="false">IFERROR(AVERAGE(C256,D256,E256,F256,G256,H256,I256,O256,U256,AA256,AG256,AM256,AS256,AY256,BE256,BK256,BQ256,BW256,CC256,CI256),"n/m")</f>
        <v>0.176775986383458</v>
      </c>
    </row>
    <row r="257" customFormat="false" ht="15" hidden="false" customHeight="true" outlineLevel="0" collapsed="false">
      <c r="B257" s="26" t="s">
        <v>388</v>
      </c>
      <c r="C257" s="40" t="n">
        <f aca="false">IFERROR(C171/C152,"")</f>
        <v>0.0560284677644432</v>
      </c>
      <c r="D257" s="40" t="n">
        <f aca="false">IFERROR(D171/D152,"")</f>
        <v>0.0607162670282931</v>
      </c>
      <c r="E257" s="40" t="n">
        <f aca="false">IFERROR(E171/E152,"")</f>
        <v>0.0646341463414634</v>
      </c>
      <c r="F257" s="40" t="n">
        <f aca="false">IFERROR(F171/F152,"")</f>
        <v>0.0685793838145391</v>
      </c>
      <c r="G257" s="40" t="n">
        <f aca="false">IFERROR(G171/G152,"")</f>
        <v>0.0732879211774724</v>
      </c>
      <c r="H257" s="40" t="n">
        <f aca="false">IFERROR(H171/H152,"")</f>
        <v>0.131417683711829</v>
      </c>
      <c r="I257" s="40" t="n">
        <f aca="false">IFERROR(I171/I152,"")</f>
        <v>0.0771400366661967</v>
      </c>
      <c r="J257" s="40" t="n">
        <f aca="false">IFERROR(J171/J152,"")</f>
        <v>0.0709518791710573</v>
      </c>
      <c r="K257" s="40" t="n">
        <f aca="false">IFERROR(K171/K152,"")</f>
        <v>0.0713810316139767</v>
      </c>
      <c r="L257" s="40" t="n">
        <f aca="false">IFERROR(L171/L152,"")</f>
        <v>0.0711722488038278</v>
      </c>
      <c r="M257" s="40" t="n">
        <f aca="false">IFERROR(M171/M152,"")</f>
        <v>0.0818754373687894</v>
      </c>
      <c r="N257" s="40" t="n">
        <f aca="false">IFERROR(N171/N152,"")</f>
        <v>0.0920214549111633</v>
      </c>
      <c r="O257" s="40" t="n">
        <f aca="false">IFERROR(O171/O152,"")</f>
        <v>0.079107158128795</v>
      </c>
      <c r="P257" s="40" t="n">
        <f aca="false">IFERROR(P171/P152,"")</f>
        <v>0.0798605056669573</v>
      </c>
      <c r="Q257" s="40" t="n">
        <f aca="false">IFERROR(Q171/Q152,"")</f>
        <v>0.0939541115391058</v>
      </c>
      <c r="R257" s="40" t="n">
        <f aca="false">IFERROR(R171/R152,"")</f>
        <v>0.087049376388177</v>
      </c>
      <c r="S257" s="40" t="n">
        <f aca="false">IFERROR(S171/S152,"")</f>
        <v>0.0924970886707703</v>
      </c>
      <c r="T257" s="40" t="n">
        <f aca="false">IFERROR(T171/T152,"")</f>
        <v>0.0967379077615297</v>
      </c>
      <c r="U257" s="40" t="n">
        <f aca="false">IFERROR(U171/U152,"")</f>
        <v>0.0909356725146199</v>
      </c>
      <c r="V257" s="40" t="n">
        <f aca="false">IFERROR(V171/V152,"")</f>
        <v>0.0773451327433629</v>
      </c>
      <c r="W257" s="40" t="n">
        <f aca="false">IFERROR(W171/W152,"")</f>
        <v>0.0836074086896314</v>
      </c>
      <c r="X257" s="40" t="n">
        <f aca="false">IFERROR(X171/X152,"")</f>
        <v>0.0805110702721626</v>
      </c>
      <c r="Y257" s="40" t="n">
        <f aca="false">IFERROR(Y171/Y152,"")</f>
        <v>0.086964350018005</v>
      </c>
      <c r="Z257" s="40" t="n">
        <f aca="false">IFERROR(Z171/Z152,"")</f>
        <v>0.0925</v>
      </c>
      <c r="AA257" s="40" t="n">
        <f aca="false">IFERROR(AA171/AA152,"")</f>
        <v>0.0852008180670989</v>
      </c>
      <c r="AB257" s="40" t="n">
        <f aca="false">IFERROR(AB171/AB152,"")</f>
        <v>0.0735155513666352</v>
      </c>
      <c r="AC257" s="40" t="n">
        <f aca="false">IFERROR(AC171/AC152,"")</f>
        <v>0.0869001297016862</v>
      </c>
      <c r="AD257" s="40" t="n">
        <f aca="false">IFERROR(AD171/AD152,"")</f>
        <v>0.0802653709586993</v>
      </c>
      <c r="AE257" s="40" t="n">
        <f aca="false">IFERROR(AE171/AE152,"")</f>
        <v>0.0987091875474563</v>
      </c>
      <c r="AF257" s="40" t="n">
        <f aca="false">IFERROR(AF171/AF152,"")</f>
        <v>0.0958582022065473</v>
      </c>
      <c r="AG257" s="40" t="n">
        <f aca="false">IFERROR(AG171/AG152,"")</f>
        <v>0.0887948276664031</v>
      </c>
      <c r="AH257" s="40" t="n">
        <f aca="false">IFERROR(AH171/AH152,"")</f>
        <v>0.0538774068185833</v>
      </c>
      <c r="AI257" s="40" t="n">
        <f aca="false">IFERROR(AI171/AI152,"")</f>
        <v>0.0895544628222322</v>
      </c>
      <c r="AJ257" s="40" t="n">
        <f aca="false">IFERROR(AJ171/AJ152,"")</f>
        <v>0.0732298739088264</v>
      </c>
      <c r="AK257" s="40" t="n">
        <f aca="false">IFERROR(AK171/AK152,"")</f>
        <v>0.104198127453941</v>
      </c>
      <c r="AL257" s="40" t="n">
        <f aca="false">IFERROR(AL171/AL152,"")</f>
        <v>0.0959681998864282</v>
      </c>
      <c r="AM257" s="40" t="n">
        <f aca="false">IFERROR(AM171/AM152,"")</f>
        <v>0.0872570857976804</v>
      </c>
      <c r="AN257" s="40" t="n">
        <f aca="false">IFERROR(AN171/AN152,"")</f>
        <v>0.0956009200690052</v>
      </c>
      <c r="AO257" s="40" t="n">
        <f aca="false">IFERROR(AO171/AO152,"")</f>
        <v>0.117269624573379</v>
      </c>
      <c r="AP257" s="40" t="n">
        <f aca="false">IFERROR(AP171/AP152,"")</f>
        <v>0.106715216021287</v>
      </c>
      <c r="AQ257" s="40" t="n">
        <f aca="false">IFERROR(AQ171/AQ152,"")</f>
        <v>0.124500206810975</v>
      </c>
      <c r="AR257" s="40" t="n">
        <f aca="false">IFERROR(AR171/AR152,"")</f>
        <v>0.121726349545697</v>
      </c>
      <c r="AS257" s="40" t="n">
        <f aca="false">IFERROR(AS171/AS152,"")</f>
        <v>0.115032049072989</v>
      </c>
      <c r="AT257" s="40" t="n">
        <f aca="false">IFERROR(AT171/AT152,"")</f>
        <v>0.101046698872786</v>
      </c>
      <c r="AU257" s="40" t="n">
        <f aca="false">IFERROR(AU171/AU152,"")</f>
        <v>0.133759590792839</v>
      </c>
      <c r="AV257" s="40" t="n">
        <f aca="false">IFERROR(AV171/AV152,"")</f>
        <v>0.117797276060765</v>
      </c>
      <c r="AW257" s="40" t="n">
        <f aca="false">IFERROR(AW171/AW152,"")</f>
        <v>0.133009224632261</v>
      </c>
      <c r="AX257" s="40" t="n">
        <f aca="false">IFERROR(AX171/AX152,"")</f>
        <v>0.13869575641333</v>
      </c>
      <c r="AY257" s="40" t="n">
        <f aca="false">IFERROR(AY171/AY152,"")</f>
        <v>0.127165254773043</v>
      </c>
      <c r="AZ257" s="40" t="n">
        <f aca="false">IFERROR(AZ171/AZ152,"")</f>
        <v>0.104766760132552</v>
      </c>
      <c r="BA257" s="40" t="n">
        <f aca="false">IFERROR(BA171/BA152,"")</f>
        <v>0.12605946454998</v>
      </c>
      <c r="BB257" s="40" t="n">
        <f aca="false">IFERROR(BB171/BB152,"")</f>
        <v>0.115125335427711</v>
      </c>
      <c r="BC257" s="40" t="n">
        <f aca="false">IFERROR(BC171/BC152,"")</f>
        <v>0.125367156208278</v>
      </c>
      <c r="BD257" s="40" t="n">
        <f aca="false">IFERROR(BD171/BD152,"")</f>
        <v>0.163227480538737</v>
      </c>
      <c r="BE257" s="40" t="n">
        <f aca="false">IFERROR(BE171/BE152,"")</f>
        <v>0.130224872010887</v>
      </c>
      <c r="BF257" s="40" t="n">
        <f aca="false">IFERROR(BF171/BF152,"")</f>
        <v>0.105125977410947</v>
      </c>
      <c r="BG257" s="40" t="n">
        <f aca="false">IFERROR(BG171/BG152,"")</f>
        <v>0.0577163247100803</v>
      </c>
      <c r="BH257" s="40" t="n">
        <f aca="false">IFERROR(BH171/BH152,"")</f>
        <v>0.0775419110396015</v>
      </c>
      <c r="BI257" s="40" t="n">
        <f aca="false">IFERROR(BI171/BI152,"")</f>
        <v>0.102218156871713</v>
      </c>
      <c r="BJ257" s="40" t="n">
        <f aca="false">IFERROR(BJ171/BJ152,"")</f>
        <v>0.117612851639166</v>
      </c>
      <c r="BK257" s="40" t="n">
        <f aca="false">IFERROR(BK171/BK152,"")</f>
        <v>0.0965043451877859</v>
      </c>
      <c r="BL257" s="40" t="n">
        <f aca="false">IFERROR(BL171/BL152,"")</f>
        <v>0.160938682816048</v>
      </c>
      <c r="BM257" s="40" t="n">
        <f aca="false">IFERROR(BM171/BM152,"")</f>
        <v>0.126346068741702</v>
      </c>
      <c r="BN257" s="40" t="n">
        <f aca="false">IFERROR(BN171/BN152,"")</f>
        <v>0.143417513448894</v>
      </c>
      <c r="BO257" s="40" t="n">
        <f aca="false">IFERROR(BO171/BO152,"")</f>
        <v>0.130756820181871</v>
      </c>
      <c r="BP257" s="40" t="n">
        <f aca="false">IFERROR(BP171/BP152,"")</f>
        <v>0.159638978987449</v>
      </c>
      <c r="BQ257" s="40" t="n">
        <f aca="false">IFERROR(BQ171/BQ152,"")</f>
        <v>0.144469277836808</v>
      </c>
      <c r="BR257" s="40" t="n">
        <f aca="false">IFERROR(BR171/BR152,"")</f>
        <v>0.129183835755078</v>
      </c>
      <c r="BS257" s="40" t="n">
        <f aca="false">IFERROR(BS171/BS152,"")</f>
        <v>0.130062469291781</v>
      </c>
      <c r="BT257" s="40" t="n">
        <f aca="false">IFERROR(BT171/BT152,"")</f>
        <v>0.12962962962963</v>
      </c>
      <c r="BU257" s="40" t="n">
        <f aca="false">IFERROR(BU171/BU152,"")</f>
        <v>0.141604278074866</v>
      </c>
      <c r="BV257" s="40" t="n">
        <f aca="false">IFERROR(BV171/BV152,"")</f>
        <v>0.226736842105263</v>
      </c>
      <c r="BW257" s="40" t="n">
        <f aca="false">IFERROR(BW171/BW152,"")</f>
        <v>0.157164404223228</v>
      </c>
      <c r="BX257" s="40" t="n">
        <f aca="false">IFERROR(BX171/BX152,"")</f>
        <v>0.132212428708984</v>
      </c>
      <c r="BY257" s="40" t="n">
        <f aca="false">IFERROR(BY171/BY152,"")</f>
        <v>0.131140382796012</v>
      </c>
      <c r="BZ257" s="40" t="n">
        <f aca="false">IFERROR(BZ171/BZ152,"")</f>
        <v>0.131671683429998</v>
      </c>
      <c r="CA257" s="40" t="n">
        <f aca="false">IFERROR(CA171/CA152,"")</f>
        <v>0.181503290613093</v>
      </c>
      <c r="CB257" s="40" t="n">
        <f aca="false">IFERROR(CB171/CB152,"")</f>
        <v>0.132130732876256</v>
      </c>
      <c r="CC257" s="40" t="n">
        <f aca="false">IFERROR(CC171/CC152,"")</f>
        <v>0.144479717813051</v>
      </c>
      <c r="CD257" s="40" t="n">
        <f aca="false">IFERROR(CD171/CD152,"")</f>
        <v>0.130077936409408</v>
      </c>
      <c r="CE257" s="40" t="n">
        <f aca="false">IFERROR(CE171/CE152,"")</f>
        <v>0.138666842835436</v>
      </c>
      <c r="CF257" s="40" t="n">
        <f aca="false">IFERROR(CF171/CF152,"")</f>
        <v>0.134464840059387</v>
      </c>
      <c r="CG257" s="40" t="n">
        <f aca="false">IFERROR(CG171/CG152,"")</f>
        <v>0.143358233192595</v>
      </c>
      <c r="CH257" s="40" t="n">
        <f aca="false">IFERROR(CH171/CH152,"")</f>
        <v>0.170935930037834</v>
      </c>
      <c r="CI257" s="40" t="n">
        <f aca="false">IFERROR(CI171/CI152,"")</f>
        <v>0.146319128756909</v>
      </c>
      <c r="CJ257" s="40" t="n">
        <f aca="false">IFERROR(CJ171/CJ152,"")</f>
        <v>0.145375296455355</v>
      </c>
      <c r="CK257" s="40" t="n">
        <f aca="false">IFERROR(CK171/CK152,"")</f>
        <v>0.151398496240602</v>
      </c>
      <c r="CL257" s="40" t="n">
        <f aca="false">IFERROR(CL171/CL152,"")</f>
        <v>0.148482591696146</v>
      </c>
      <c r="CM257" s="28" t="n">
        <f aca="false">IFERROR(CM171/CM152,"")</f>
        <v>0.142847805685193</v>
      </c>
      <c r="CN257" s="28" t="n">
        <f aca="false">IFERROR(CN171/CN152,"")</f>
        <v>0.143587312759366</v>
      </c>
      <c r="CO257" s="28" t="n">
        <f aca="false">IFERROR(CO171/CO152,"")</f>
        <v>0.145759717832132</v>
      </c>
      <c r="CP257" s="28" t="n">
        <f aca="false">IFERROR(CP171/CP152,"")</f>
        <v>0.156901079873606</v>
      </c>
      <c r="CQ257" s="28" t="n">
        <f aca="false">IFERROR(CQ171/CQ152,"")</f>
        <v>0.159577265119701</v>
      </c>
      <c r="CR257" s="28" t="n">
        <f aca="false">IFERROR(CR171/CR152,"")</f>
        <v>0.164977140417201</v>
      </c>
      <c r="CS257" s="28" t="n">
        <f aca="false">IFERROR(CS171/CS152,"")</f>
        <v>0.168996044647589</v>
      </c>
      <c r="CT257" s="23"/>
      <c r="CV257" s="41" t="n">
        <f aca="false">IFERROR(AVERAGE(CO257,CP257,CQ257,CR257,CS257),"n/m")</f>
        <v>0.159242249578046</v>
      </c>
      <c r="CW257" s="41" t="n">
        <f aca="false">IFERROR(AVERAGE(BK257,BQ257,BW257,CC257,CI257),"n/m")</f>
        <v>0.137787374763556</v>
      </c>
      <c r="CX257" s="41" t="n">
        <f aca="false">IFERROR(AVERAGE(AG257,AM257,AS257,AY257,BE257,BK257,BQ257,BW257,CC257,CI257),"n/m")</f>
        <v>0.123741096313878</v>
      </c>
      <c r="CY257" s="41" t="n">
        <f aca="false">IFERROR(AVERAGE(C257,D257,E257,F257,G257,H257,I257,O257,U257,AA257,AG257,AM257,AS257,AY257,BE257,BK257,BQ257,BW257,CC257,CI257),"n/m")</f>
        <v>0.101222925917677</v>
      </c>
    </row>
    <row r="258" customFormat="false" ht="15" hidden="false" customHeight="true" outlineLevel="0" collapsed="false">
      <c r="B258" s="26" t="s">
        <v>389</v>
      </c>
      <c r="C258" s="40"/>
      <c r="D258" s="40" t="n">
        <f aca="false">IFERROR((D200-C200)/(D152-C152),"")</f>
        <v>0.189846641988365</v>
      </c>
      <c r="E258" s="40" t="n">
        <f aca="false">IFERROR((E200-D200)/(E152-D152),"")</f>
        <v>0.458375125376129</v>
      </c>
      <c r="F258" s="40" t="n">
        <f aca="false">IFERROR((F200-E200)/(F152-E152),"")</f>
        <v>0.437768240343346</v>
      </c>
      <c r="G258" s="40" t="n">
        <f aca="false">IFERROR((G200-F200)/(G152-F152),"")</f>
        <v>-1.11392405063295</v>
      </c>
      <c r="H258" s="40" t="n">
        <f aca="false">IFERROR((H200-G200)/(H152-G152),"")</f>
        <v>0.198857910648303</v>
      </c>
      <c r="I258" s="40" t="n">
        <f aca="false">IFERROR((I200-H200)/(I152-H152),"")</f>
        <v>0.111650485436894</v>
      </c>
      <c r="J258" s="40"/>
      <c r="K258" s="40"/>
      <c r="L258" s="40"/>
      <c r="M258" s="40"/>
      <c r="N258" s="40"/>
      <c r="O258" s="40" t="n">
        <f aca="false">IFERROR((O200-I200)/(O152-I152),"")</f>
        <v>-0.00331282536677839</v>
      </c>
      <c r="P258" s="40" t="str">
        <f aca="false">IFERROR((P200-J200)/(P152-J152),"")</f>
        <v/>
      </c>
      <c r="Q258" s="40" t="str">
        <f aca="false">IFERROR((Q200-K200)/(Q152-K152),"")</f>
        <v/>
      </c>
      <c r="R258" s="40" t="str">
        <f aca="false">IFERROR((R200-L200)/(R152-L152),"")</f>
        <v/>
      </c>
      <c r="S258" s="40" t="str">
        <f aca="false">IFERROR((S200-M200)/(S152-M152),"")</f>
        <v/>
      </c>
      <c r="T258" s="40" t="str">
        <f aca="false">IFERROR((T200-N200)/(T152-N152),"")</f>
        <v/>
      </c>
      <c r="U258" s="40" t="n">
        <f aca="false">IFERROR((U200-O200)/(U152-O152),"")</f>
        <v>0.987364620938629</v>
      </c>
      <c r="V258" s="40" t="str">
        <f aca="false">IFERROR((V200-P200)/(V152-P152),"")</f>
        <v/>
      </c>
      <c r="W258" s="40" t="str">
        <f aca="false">IFERROR((W200-Q200)/(W152-Q152),"")</f>
        <v/>
      </c>
      <c r="X258" s="40" t="str">
        <f aca="false">IFERROR((X200-R200)/(X152-R152),"")</f>
        <v/>
      </c>
      <c r="Y258" s="40" t="str">
        <f aca="false">IFERROR((Y200-S200)/(Y152-S152),"")</f>
        <v/>
      </c>
      <c r="Z258" s="40" t="str">
        <f aca="false">IFERROR((Z200-T200)/(Z152-T152),"")</f>
        <v/>
      </c>
      <c r="AA258" s="40" t="n">
        <f aca="false">IFERROR((AA200-U200)/(AA152-U152),"")</f>
        <v>0.148070907194996</v>
      </c>
      <c r="AB258" s="40" t="str">
        <f aca="false">IFERROR((AB200-V200)/(AB152-V152),"")</f>
        <v/>
      </c>
      <c r="AC258" s="40" t="str">
        <f aca="false">IFERROR((AC200-W200)/(AC152-W152),"")</f>
        <v/>
      </c>
      <c r="AD258" s="40" t="str">
        <f aca="false">IFERROR((AD200-X200)/(AD152-X152),"")</f>
        <v/>
      </c>
      <c r="AE258" s="40" t="str">
        <f aca="false">IFERROR((AE200-Y200)/(AE152-Y152),"")</f>
        <v/>
      </c>
      <c r="AF258" s="40" t="str">
        <f aca="false">IFERROR((AF200-Z200)/(AF152-Z152),"")</f>
        <v/>
      </c>
      <c r="AG258" s="40" t="n">
        <f aca="false">IFERROR((AG200-AA200)/(AG152-AA152),"")</f>
        <v>0.190958164642375</v>
      </c>
      <c r="AH258" s="40" t="str">
        <f aca="false">IFERROR((AH200-AB200)/(AH152-AB152),"")</f>
        <v/>
      </c>
      <c r="AI258" s="40" t="str">
        <f aca="false">IFERROR((AI200-AC200)/(AI152-AC152),"")</f>
        <v/>
      </c>
      <c r="AJ258" s="40" t="str">
        <f aca="false">IFERROR((AJ200-AD200)/(AJ152-AD152),"")</f>
        <v/>
      </c>
      <c r="AK258" s="40" t="str">
        <f aca="false">IFERROR((AK200-AE200)/(AK152-AE152),"")</f>
        <v/>
      </c>
      <c r="AL258" s="40" t="str">
        <f aca="false">IFERROR((AL200-AF200)/(AL152-AF152),"")</f>
        <v/>
      </c>
      <c r="AM258" s="40" t="n">
        <f aca="false">IFERROR((AM200-AG200)/(AM152-AG152),"")</f>
        <v>0.215465961665565</v>
      </c>
      <c r="AN258" s="40" t="str">
        <f aca="false">IFERROR((AN200-AH200)/(AN152-AH152),"")</f>
        <v/>
      </c>
      <c r="AO258" s="40" t="str">
        <f aca="false">IFERROR((AO200-AI200)/(AO152-AI152),"")</f>
        <v/>
      </c>
      <c r="AP258" s="40" t="str">
        <f aca="false">IFERROR((AP200-AJ200)/(AP152-AJ152),"")</f>
        <v/>
      </c>
      <c r="AQ258" s="40" t="str">
        <f aca="false">IFERROR((AQ200-AK200)/(AQ152-AK152),"")</f>
        <v/>
      </c>
      <c r="AR258" s="40" t="str">
        <f aca="false">IFERROR((AR200-AL200)/(AR152-AL152),"")</f>
        <v/>
      </c>
      <c r="AS258" s="40" t="n">
        <f aca="false">IFERROR((AS200-AM200)/(AS152-AM152),"")</f>
        <v>0.249328859060403</v>
      </c>
      <c r="AT258" s="40" t="str">
        <f aca="false">IFERROR((AT200-AN200)/(AT152-AN152),"")</f>
        <v/>
      </c>
      <c r="AU258" s="40" t="str">
        <f aca="false">IFERROR((AU200-AO200)/(AU152-AO152),"")</f>
        <v/>
      </c>
      <c r="AV258" s="40" t="str">
        <f aca="false">IFERROR((AV200-AP200)/(AV152-AP152),"")</f>
        <v/>
      </c>
      <c r="AW258" s="40" t="str">
        <f aca="false">IFERROR((AW200-AQ200)/(AW152-AQ152),"")</f>
        <v/>
      </c>
      <c r="AX258" s="40" t="str">
        <f aca="false">IFERROR((AX200-AR200)/(AX152-AR152),"")</f>
        <v/>
      </c>
      <c r="AY258" s="40" t="n">
        <f aca="false">IFERROR((AY200-AS200)/(AY152-AS152),"")</f>
        <v>0.275401069518716</v>
      </c>
      <c r="AZ258" s="40" t="str">
        <f aca="false">IFERROR((AZ200-AT200)/(AZ152-AT152),"")</f>
        <v/>
      </c>
      <c r="BA258" s="40" t="str">
        <f aca="false">IFERROR((BA200-AU200)/(BA152-AU152),"")</f>
        <v/>
      </c>
      <c r="BB258" s="40" t="str">
        <f aca="false">IFERROR((BB200-AV200)/(BB152-AV152),"")</f>
        <v/>
      </c>
      <c r="BC258" s="40" t="str">
        <f aca="false">IFERROR((BC200-AW200)/(BC152-AW152),"")</f>
        <v/>
      </c>
      <c r="BD258" s="40" t="str">
        <f aca="false">IFERROR((BD200-AX200)/(BD152-AX152),"")</f>
        <v/>
      </c>
      <c r="BE258" s="40" t="n">
        <f aca="false">IFERROR((BE200-AY200)/(BE152-AY152),"")</f>
        <v>0.120155038759691</v>
      </c>
      <c r="BF258" s="40" t="n">
        <f aca="false">IFERROR((BF200-AZ200)/(BF152-AZ152),"")</f>
        <v>1.76777251184834</v>
      </c>
      <c r="BG258" s="40" t="n">
        <f aca="false">IFERROR((BG200-BA200)/(BG152-BA152),"")</f>
        <v>0.359015091342335</v>
      </c>
      <c r="BH258" s="40" t="n">
        <f aca="false">IFERROR((BH200-BB200)/(BH152-BB152),"")</f>
        <v>0.433550651955868</v>
      </c>
      <c r="BI258" s="40" t="n">
        <f aca="false">IFERROR((BI200-BC200)/(BI152-BC152),"")</f>
        <v>0.265588914549654</v>
      </c>
      <c r="BJ258" s="40" t="n">
        <f aca="false">IFERROR((BJ200-BD200)/(BJ152-BD152),"")</f>
        <v>0.250176553672317</v>
      </c>
      <c r="BK258" s="40" t="n">
        <f aca="false">IFERROR((BK200-BE200)/(BK152-BE152),"")</f>
        <v>0.303710490151168</v>
      </c>
      <c r="BL258" s="40" t="n">
        <f aca="false">IFERROR((BL200-BF200)/(BL152-BF152),"")</f>
        <v>0.244905880069862</v>
      </c>
      <c r="BM258" s="40" t="n">
        <f aca="false">IFERROR((BM200-BG200)/(BM152-BG152),"")</f>
        <v>0.109454855195911</v>
      </c>
      <c r="BN258" s="40" t="n">
        <f aca="false">IFERROR((BN200-BH200)/(BN152-BH152),"")</f>
        <v>0.202506332489001</v>
      </c>
      <c r="BO258" s="40" t="n">
        <f aca="false">IFERROR((BO200-BI200)/(BO152-BI152),"")</f>
        <v>0.235976789168278</v>
      </c>
      <c r="BP258" s="40" t="n">
        <f aca="false">IFERROR((BP200-BJ200)/(BP152-BJ152),"")</f>
        <v>0.531764705882355</v>
      </c>
      <c r="BQ258" s="40" t="n">
        <f aca="false">IFERROR((BQ200-BK200)/(BQ152-BK152),"")</f>
        <v>0.221129930119626</v>
      </c>
      <c r="BR258" s="40" t="n">
        <f aca="false">IFERROR((BR200-BL200)/(BR152-BL152),"")</f>
        <v>0.242375601926163</v>
      </c>
      <c r="BS258" s="40" t="n">
        <f aca="false">IFERROR((BS200-BM200)/(BS152-BM152),"")</f>
        <v>0.357039187227868</v>
      </c>
      <c r="BT258" s="40" t="n">
        <f aca="false">IFERROR((BT200-BN200)/(BT152-BN152),"")</f>
        <v>0.302591463414634</v>
      </c>
      <c r="BU258" s="40" t="n">
        <f aca="false">IFERROR((BU200-BO200)/(BU152-BO152),"")</f>
        <v>0.645244215938302</v>
      </c>
      <c r="BV258" s="40" t="n">
        <f aca="false">IFERROR((BV200-BP200)/(BV152-BP152),"")</f>
        <v>0.794117647058817</v>
      </c>
      <c r="BW258" s="40" t="n">
        <f aca="false">IFERROR((BW200-BQ200)/(BW152-BQ152),"")</f>
        <v>0.396834369700396</v>
      </c>
      <c r="BX258" s="40" t="n">
        <f aca="false">IFERROR((BX200-BR200)/(BX152-BR152),"")</f>
        <v>0.18975903614458</v>
      </c>
      <c r="BY258" s="40" t="n">
        <f aca="false">IFERROR((BY200-BS200)/(BY152-BS152),"")</f>
        <v>0.164031620553363</v>
      </c>
      <c r="BZ258" s="40" t="n">
        <f aca="false">IFERROR((BZ200-BT200)/(BZ152-BT152),"")</f>
        <v>0.17422434367542</v>
      </c>
      <c r="CA258" s="40" t="n">
        <f aca="false">IFERROR((CA200-BU200)/(CA152-BU152),"")</f>
        <v>0.121951219512195</v>
      </c>
      <c r="CB258" s="40" t="n">
        <f aca="false">IFERROR((CB200-BV200)/(CB152-BV152),"")</f>
        <v>0.228978007761966</v>
      </c>
      <c r="CC258" s="40" t="n">
        <f aca="false">IFERROR((CC200-BW200)/(CC152-BW152),"")</f>
        <v>0.23478260869565</v>
      </c>
      <c r="CD258" s="40" t="n">
        <f aca="false">IFERROR((CD200-BX200)/(CD152-BX152),"")</f>
        <v>0.32865731462926</v>
      </c>
      <c r="CE258" s="40" t="n">
        <f aca="false">IFERROR((CE200-BY200)/(CE152-BY152),"")</f>
        <v>0.277936962750717</v>
      </c>
      <c r="CF258" s="40" t="n">
        <f aca="false">IFERROR((CF200-BZ200)/(CF152-BZ152),"")</f>
        <v>0.299081035923143</v>
      </c>
      <c r="CG258" s="40" t="n">
        <f aca="false">IFERROR((CG200-CA200)/(CG152-CA152),"")</f>
        <v>0.164583333333333</v>
      </c>
      <c r="CH258" s="40" t="n">
        <f aca="false">IFERROR((CH200-CB200)/(CH152-CB152),"")</f>
        <v>0.405454545454545</v>
      </c>
      <c r="CI258" s="40" t="n">
        <f aca="false">IFERROR((CI200-CC200)/(CI152-CC152),"")</f>
        <v>0.296362819937134</v>
      </c>
      <c r="CJ258" s="40" t="n">
        <f aca="false">IFERROR((CJ200-CD200)/(CJ152-CD152),"")</f>
        <v>0.302177858439201</v>
      </c>
      <c r="CK258" s="40" t="n">
        <f aca="false">IFERROR((CK200-CE200)/(CK152-CE152),"")</f>
        <v>0.359543010752688</v>
      </c>
      <c r="CL258" s="40" t="n">
        <f aca="false">IFERROR((CL200-CF200)/(CL152-CF152),"")</f>
        <v>0.335135135135135</v>
      </c>
      <c r="CM258" s="28" t="n">
        <f aca="false">IFERROR((CM200-CG200)/(CM152-CG152),"")</f>
        <v>0.233697611859432</v>
      </c>
      <c r="CN258" s="28" t="n">
        <f aca="false">IFERROR((CN200-CH200)/(CN152-CH152),"")</f>
        <v>0.0405001353389257</v>
      </c>
      <c r="CO258" s="28" t="n">
        <f aca="false">IFERROR((CO200-CI200)/(CO152-CI152),"")</f>
        <v>0.225563724716052</v>
      </c>
      <c r="CP258" s="28" t="n">
        <f aca="false">IFERROR((CP200-CO200)/(CP152-CO152),"")</f>
        <v>0.34161951543037</v>
      </c>
      <c r="CQ258" s="28" t="n">
        <f aca="false">IFERROR((CQ200-CP200)/(CQ152-CP152),"")</f>
        <v>0.267783158720475</v>
      </c>
      <c r="CR258" s="28" t="n">
        <f aca="false">IFERROR((CR200-CQ200)/(CR152-CQ152),"")</f>
        <v>0.263100882445089</v>
      </c>
      <c r="CS258" s="28" t="n">
        <f aca="false">IFERROR((CS200-CR200)/(CS152-CR152),"")</f>
        <v>0.270205970726747</v>
      </c>
      <c r="CT258" s="23"/>
      <c r="CV258" s="41" t="n">
        <f aca="false">IFERROR(AVERAGE(CO258,CP258,CQ258,CR258,CS258),"n/m")</f>
        <v>0.273654650407746</v>
      </c>
      <c r="CW258" s="41" t="n">
        <f aca="false">IFERROR(AVERAGE(BK258,BQ258,BW258,CC258,CI258),"n/m")</f>
        <v>0.290564043720795</v>
      </c>
      <c r="CX258" s="41" t="n">
        <f aca="false">IFERROR(AVERAGE(AG258,AM258,AS258,AY258,BE258,BK258,BQ258,BW258,CC258,CI258),"n/m")</f>
        <v>0.250412931225072</v>
      </c>
      <c r="CY258" s="41" t="n">
        <f aca="false">IFERROR(AVERAGE(C258,D258,E258,F258,G258,H258,I258,O258,U258,AA258,AG258,AM258,AS258,AY258,BE258,BK258,BQ258,BW258,CC258,CI258),"n/m")</f>
        <v>0.206254019377772</v>
      </c>
    </row>
    <row r="259" customFormat="false" ht="15" hidden="false" customHeight="true" outlineLevel="0" collapsed="false">
      <c r="B259" s="26" t="s">
        <v>390</v>
      </c>
      <c r="C259" s="40" t="n">
        <f aca="false">IFERROR(C157/C152,"")</f>
        <v>0.200879151548981</v>
      </c>
      <c r="D259" s="40" t="n">
        <f aca="false">IFERROR(D157/D152,"")</f>
        <v>0.199469888430007</v>
      </c>
      <c r="E259" s="40" t="n">
        <f aca="false">IFERROR(E157/E152,"")</f>
        <v>0.184378629500581</v>
      </c>
      <c r="F259" s="40" t="n">
        <f aca="false">IFERROR(F157/F152,"")</f>
        <v>0.183645057805218</v>
      </c>
      <c r="G259" s="40" t="n">
        <f aca="false">IFERROR(G157/G152,"")</f>
        <v>0.193163848680209</v>
      </c>
      <c r="H259" s="40" t="n">
        <f aca="false">IFERROR(H157/H152,"")</f>
        <v>0.218342860085483</v>
      </c>
      <c r="I259" s="40" t="n">
        <f aca="false">IFERROR(I157/I152,"")</f>
        <v>0.237437126874442</v>
      </c>
      <c r="J259" s="40" t="n">
        <f aca="false">IFERROR(J157/J152,"")</f>
        <v>0.254829645240604</v>
      </c>
      <c r="K259" s="40" t="n">
        <f aca="false">IFERROR(K157/K152,"")</f>
        <v>0.253743760399334</v>
      </c>
      <c r="L259" s="40" t="n">
        <f aca="false">IFERROR(L157/L152,"")</f>
        <v>0.254272043745728</v>
      </c>
      <c r="M259" s="40" t="n">
        <f aca="false">IFERROR(M157/M152,"")</f>
        <v>0.261721483554934</v>
      </c>
      <c r="N259" s="40" t="n">
        <f aca="false">IFERROR(N157/N152,"")</f>
        <v>0.253268521622528</v>
      </c>
      <c r="O259" s="40" t="n">
        <f aca="false">IFERROR(O157/O152,"")</f>
        <v>0.255836825451125</v>
      </c>
      <c r="P259" s="40" t="n">
        <f aca="false">IFERROR(P157/P152,"")</f>
        <v>0.271665213600698</v>
      </c>
      <c r="Q259" s="40" t="n">
        <f aca="false">IFERROR(Q157/Q152,"")</f>
        <v>0.258583151900854</v>
      </c>
      <c r="R259" s="40" t="n">
        <f aca="false">IFERROR(R157/R152,"")</f>
        <v>0.264992311635059</v>
      </c>
      <c r="S259" s="40" t="n">
        <f aca="false">IFERROR(S157/S152,"")</f>
        <v>0.251871568790551</v>
      </c>
      <c r="T259" s="40" t="n">
        <f aca="false">IFERROR(T157/T152,"")</f>
        <v>0.242326852000643</v>
      </c>
      <c r="U259" s="40" t="n">
        <f aca="false">IFERROR(U157/U152,"")</f>
        <v>0.255806182121972</v>
      </c>
      <c r="V259" s="40" t="n">
        <f aca="false">IFERROR(V157/V152,"")</f>
        <v>0.268672566371681</v>
      </c>
      <c r="W259" s="40" t="n">
        <f aca="false">IFERROR(W157/W152,"")</f>
        <v>0.261554440020772</v>
      </c>
      <c r="X259" s="40" t="n">
        <f aca="false">IFERROR(X157/X152,"")</f>
        <v>0.265073947667804</v>
      </c>
      <c r="Y259" s="40" t="n">
        <f aca="false">IFERROR(Y157/Y152,"")</f>
        <v>0.252250630176449</v>
      </c>
      <c r="Z259" s="40" t="n">
        <f aca="false">IFERROR(Z157/Z152,"")</f>
        <v>0.242666666666667</v>
      </c>
      <c r="AA259" s="40" t="n">
        <f aca="false">IFERROR(AA157/AA152,"")</f>
        <v>0.256124624689961</v>
      </c>
      <c r="AB259" s="40" t="n">
        <f aca="false">IFERROR(AB157/AB152,"")</f>
        <v>0.272950047125354</v>
      </c>
      <c r="AC259" s="40" t="n">
        <f aca="false">IFERROR(AC157/AC152,"")</f>
        <v>0.277746896423939</v>
      </c>
      <c r="AD259" s="40" t="n">
        <f aca="false">IFERROR(AD157/AD152,"")</f>
        <v>0.27536908988974</v>
      </c>
      <c r="AE259" s="40" t="n">
        <f aca="false">IFERROR(AE157/AE152,"")</f>
        <v>0.267653758542141</v>
      </c>
      <c r="AF259" s="40" t="n">
        <f aca="false">IFERROR(AF157/AF152,"")</f>
        <v>0.257551094230421</v>
      </c>
      <c r="AG259" s="40" t="n">
        <f aca="false">IFERROR(AG157/AG152,"")</f>
        <v>0.268896227731522</v>
      </c>
      <c r="AH259" s="40" t="n">
        <f aca="false">IFERROR(AH157/AH152,"")</f>
        <v>0.27256668433139</v>
      </c>
      <c r="AI259" s="40" t="n">
        <f aca="false">IFERROR(AI157/AI152,"")</f>
        <v>0.248994188645507</v>
      </c>
      <c r="AJ259" s="40" t="n">
        <f aca="false">IFERROR(AJ157/AJ152,"")</f>
        <v>0.259780148722923</v>
      </c>
      <c r="AK259" s="40" t="n">
        <f aca="false">IFERROR(AK157/AK152,"")</f>
        <v>0.247810329205678</v>
      </c>
      <c r="AL259" s="40" t="n">
        <f aca="false">IFERROR(AL157/AL152,"")</f>
        <v>0.245031232254401</v>
      </c>
      <c r="AM259" s="40" t="n">
        <f aca="false">IFERROR(AM157/AM152,"")</f>
        <v>0.252745986634918</v>
      </c>
      <c r="AN259" s="40" t="n">
        <f aca="false">IFERROR(AN157/AN152,"")</f>
        <v>0.242955721679126</v>
      </c>
      <c r="AO259" s="40" t="n">
        <f aca="false">IFERROR(AO157/AO152,"")</f>
        <v>0.237542662116041</v>
      </c>
      <c r="AP259" s="40" t="n">
        <f aca="false">IFERROR(AP157/AP152,"")</f>
        <v>0.240179259155521</v>
      </c>
      <c r="AQ259" s="40" t="n">
        <f aca="false">IFERROR(AQ157/AQ152,"")</f>
        <v>0.239349234799393</v>
      </c>
      <c r="AR259" s="40" t="n">
        <f aca="false">IFERROR(AR157/AR152,"")</f>
        <v>0.23730625334046</v>
      </c>
      <c r="AS259" s="40" t="n">
        <f aca="false">IFERROR(AS157/AS152,"")</f>
        <v>0.23923082224826</v>
      </c>
      <c r="AT259" s="40" t="n">
        <f aca="false">IFERROR(AT157/AT152,"")</f>
        <v>0.246913580246914</v>
      </c>
      <c r="AU259" s="40" t="n">
        <f aca="false">IFERROR(AU157/AU152,"")</f>
        <v>0.23849104859335</v>
      </c>
      <c r="AV259" s="40" t="n">
        <f aca="false">IFERROR(AV157/AV152,"")</f>
        <v>0.242600838135149</v>
      </c>
      <c r="AW259" s="40" t="n">
        <f aca="false">IFERROR(AW157/AW152,"")</f>
        <v>0.231613064073797</v>
      </c>
      <c r="AX259" s="40" t="n">
        <f aca="false">IFERROR(AX157/AX152,"")</f>
        <v>0.234116518820427</v>
      </c>
      <c r="AY259" s="40" t="n">
        <f aca="false">IFERROR(AY157/AY152,"")</f>
        <v>0.23757744341889</v>
      </c>
      <c r="AZ259" s="40" t="n">
        <f aca="false">IFERROR(AZ157/AZ152,"")</f>
        <v>0.239612541422381</v>
      </c>
      <c r="BA259" s="40" t="n">
        <f aca="false">IFERROR(BA157/BA152,"")</f>
        <v>0.232611327862236</v>
      </c>
      <c r="BB259" s="40" t="n">
        <f aca="false">IFERROR(BB157/BB152,"")</f>
        <v>0.236206558020813</v>
      </c>
      <c r="BC259" s="40" t="n">
        <f aca="false">IFERROR(BC157/BC152,"")</f>
        <v>0.224299065420561</v>
      </c>
      <c r="BD259" s="40" t="n">
        <f aca="false">IFERROR(BD157/BD152,"")</f>
        <v>0.212405782775238</v>
      </c>
      <c r="BE259" s="40" t="n">
        <f aca="false">IFERROR(BE157/BE152,"")</f>
        <v>0.227075367766185</v>
      </c>
      <c r="BF259" s="40" t="n">
        <f aca="false">IFERROR(BF157/BF152,"")</f>
        <v>0.208762566712176</v>
      </c>
      <c r="BG259" s="40" t="n">
        <f aca="false">IFERROR(BG157/BG152,"")</f>
        <v>0.286083853702052</v>
      </c>
      <c r="BH259" s="40" t="n">
        <f aca="false">IFERROR(BH157/BH152,"")</f>
        <v>0.25374993512223</v>
      </c>
      <c r="BI259" s="40" t="n">
        <f aca="false">IFERROR(BI157/BI152,"")</f>
        <v>0.212897324491196</v>
      </c>
      <c r="BJ259" s="40" t="n">
        <f aca="false">IFERROR(BJ157/BJ152,"")</f>
        <v>0.217780039252744</v>
      </c>
      <c r="BK259" s="40" t="n">
        <f aca="false">IFERROR(BK157/BK152,"")</f>
        <v>0.231411048263008</v>
      </c>
      <c r="BL259" s="40" t="n">
        <f aca="false">IFERROR(BL157/BL152,"")</f>
        <v>0.220514761544285</v>
      </c>
      <c r="BM259" s="40" t="n">
        <f aca="false">IFERROR(BM157/BM152,"")</f>
        <v>0.211240595958106</v>
      </c>
      <c r="BN259" s="40" t="n">
        <f aca="false">IFERROR(BN157/BN152,"")</f>
        <v>0.215817393903168</v>
      </c>
      <c r="BO259" s="40" t="n">
        <f aca="false">IFERROR(BO157/BO152,"")</f>
        <v>0.208052214725726</v>
      </c>
      <c r="BP259" s="40" t="n">
        <f aca="false">IFERROR(BP157/BP152,"")</f>
        <v>0.208151177549006</v>
      </c>
      <c r="BQ259" s="40" t="n">
        <f aca="false">IFERROR(BQ157/BQ152,"")</f>
        <v>0.211885831531895</v>
      </c>
      <c r="BR259" s="40" t="n">
        <f aca="false">IFERROR(BR157/BR152,"")</f>
        <v>0.217161859321911</v>
      </c>
      <c r="BS259" s="40" t="n">
        <f aca="false">IFERROR(BS157/BS152,"")</f>
        <v>0.2196953744648</v>
      </c>
      <c r="BT259" s="40" t="n">
        <f aca="false">IFERROR(BT157/BT152,"")</f>
        <v>0.218447293447293</v>
      </c>
      <c r="BU259" s="40" t="n">
        <f aca="false">IFERROR(BU157/BU152,"")</f>
        <v>0.208128342245989</v>
      </c>
      <c r="BV259" s="40" t="n">
        <f aca="false">IFERROR(BV157/BV152,"")</f>
        <v>0.212631578947368</v>
      </c>
      <c r="BW259" s="40" t="n">
        <f aca="false">IFERROR(BW157/BW152,"")</f>
        <v>0.214408659391358</v>
      </c>
      <c r="BX259" s="40" t="n">
        <f aca="false">IFERROR(BX157/BX152,"")</f>
        <v>0.219391156210651</v>
      </c>
      <c r="BY259" s="40" t="n">
        <f aca="false">IFERROR(BY157/BY152,"")</f>
        <v>0.21577759988356</v>
      </c>
      <c r="BZ259" s="40" t="n">
        <f aca="false">IFERROR(BZ157/BZ152,"")</f>
        <v>0.217568460465458</v>
      </c>
      <c r="CA259" s="40" t="n">
        <f aca="false">IFERROR(CA157/CA152,"")</f>
        <v>0.207204710772428</v>
      </c>
      <c r="CB259" s="40" t="n">
        <f aca="false">IFERROR(CB157/CB152,"")</f>
        <v>0.201956999267789</v>
      </c>
      <c r="CC259" s="40" t="n">
        <f aca="false">IFERROR(CC157/CC152,"")</f>
        <v>0.210793650793651</v>
      </c>
      <c r="CD259" s="40" t="n">
        <f aca="false">IFERROR(CD157/CD152,"")</f>
        <v>0.212566383888544</v>
      </c>
      <c r="CE259" s="40" t="n">
        <f aca="false">IFERROR(CE157/CE152,"")</f>
        <v>0.205985333949924</v>
      </c>
      <c r="CF259" s="40" t="n">
        <f aca="false">IFERROR(CF157/CF152,"")</f>
        <v>0.209205020920502</v>
      </c>
      <c r="CG259" s="40" t="n">
        <f aca="false">IFERROR(CG157/CG152,"")</f>
        <v>0.208898993179604</v>
      </c>
      <c r="CH259" s="40" t="n">
        <f aca="false">IFERROR(CH157/CH152,"")</f>
        <v>0.190287167400608</v>
      </c>
      <c r="CI259" s="40" t="n">
        <f aca="false">IFERROR(CI157/CI152,"")</f>
        <v>0.204140366942473</v>
      </c>
      <c r="CJ259" s="40" t="n">
        <f aca="false">IFERROR(CJ157/CJ152,"")</f>
        <v>0.206397025831677</v>
      </c>
      <c r="CK259" s="40" t="n">
        <f aca="false">IFERROR(CK157/CK152,"")</f>
        <v>0.209864661654135</v>
      </c>
      <c r="CL259" s="40" t="n">
        <f aca="false">IFERROR(CL157/CL152,"")</f>
        <v>0.2081859368212</v>
      </c>
      <c r="CM259" s="28" t="n">
        <f aca="false">IFERROR(CM157/CM152,"")</f>
        <v>0.218260855469928</v>
      </c>
      <c r="CN259" s="28" t="n">
        <f aca="false">IFERROR(CN157/CN152,"")</f>
        <v>0.219456473634159</v>
      </c>
      <c r="CO259" s="28" t="n">
        <f aca="false">IFERROR(CO157/CO152,"")</f>
        <v>0.213721814995603</v>
      </c>
      <c r="CP259" s="28" t="n">
        <f aca="false">IFERROR(CP157/CP152,"")</f>
        <v>0.203067415619964</v>
      </c>
      <c r="CQ259" s="28" t="n">
        <f aca="false">IFERROR(CQ157/CQ152,"")</f>
        <v>0.202107325812033</v>
      </c>
      <c r="CR259" s="28" t="n">
        <f aca="false">IFERROR(CR157/CR152,"")</f>
        <v>0.20183597952939</v>
      </c>
      <c r="CS259" s="28" t="n">
        <f aca="false">IFERROR(CS157/CS152,"")</f>
        <v>0.201266841980697</v>
      </c>
      <c r="CT259" s="23"/>
      <c r="CV259" s="41" t="n">
        <f aca="false">IFERROR(AVERAGE(CO259,CP259,CQ259,CR259,CS259),"n/m")</f>
        <v>0.204399875587537</v>
      </c>
      <c r="CW259" s="41" t="n">
        <f aca="false">IFERROR(AVERAGE(BK259,BQ259,BW259,CC259,CI259),"n/m")</f>
        <v>0.214527911384477</v>
      </c>
      <c r="CX259" s="41" t="n">
        <f aca="false">IFERROR(AVERAGE(AG259,AM259,AS259,AY259,BE259,BK259,BQ259,BW259,CC259,CI259),"n/m")</f>
        <v>0.229816540472216</v>
      </c>
      <c r="CY259" s="41" t="n">
        <f aca="false">IFERROR(AVERAGE(C259,D259,E259,F259,G259,H259,I259,O259,U259,AA259,AG259,AM259,AS259,AY259,BE259,BK259,BQ259,BW259,CC259,CI259),"n/m")</f>
        <v>0.224162479995507</v>
      </c>
    </row>
    <row r="260" customFormat="false" ht="15" hidden="false" customHeight="true" outlineLevel="0" collapsed="false">
      <c r="B260" s="13"/>
      <c r="CM260" s="7"/>
      <c r="CN260" s="7"/>
      <c r="CO260" s="7"/>
      <c r="CP260" s="7"/>
      <c r="CQ260" s="7"/>
      <c r="CR260" s="7"/>
      <c r="CS260" s="7"/>
      <c r="CT260" s="7"/>
    </row>
    <row r="261" customFormat="false" ht="15" hidden="false" customHeight="true" outlineLevel="0" collapsed="false">
      <c r="B261" s="12" t="s">
        <v>391</v>
      </c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  <c r="CN261" s="12"/>
      <c r="CO261" s="12"/>
      <c r="CP261" s="12"/>
      <c r="CQ261" s="12"/>
      <c r="CR261" s="12"/>
      <c r="CS261" s="12"/>
      <c r="CT261" s="12" t="s">
        <v>392</v>
      </c>
    </row>
    <row r="262" customFormat="false" ht="15" hidden="false" customHeight="true" outlineLevel="0" collapsed="false">
      <c r="B262" s="13"/>
      <c r="CM262" s="7"/>
      <c r="CN262" s="7"/>
      <c r="CO262" s="7"/>
      <c r="CP262" s="7"/>
      <c r="CQ262" s="7"/>
      <c r="CR262" s="7"/>
      <c r="CS262" s="7"/>
      <c r="CT262" s="7"/>
    </row>
    <row r="263" customFormat="false" ht="15" hidden="false" customHeight="true" outlineLevel="0" collapsed="false">
      <c r="B263" s="13" t="s">
        <v>393</v>
      </c>
      <c r="C263" s="31" t="n">
        <v>80.3</v>
      </c>
      <c r="D263" s="31" t="n">
        <v>98.5</v>
      </c>
      <c r="E263" s="31" t="n">
        <v>113.6</v>
      </c>
      <c r="F263" s="31" t="n">
        <v>113.8</v>
      </c>
      <c r="G263" s="31" t="n">
        <v>120.6</v>
      </c>
      <c r="H263" s="31" t="n">
        <v>255.2</v>
      </c>
      <c r="I263" s="31" t="n">
        <v>165.1</v>
      </c>
      <c r="J263" s="30"/>
      <c r="K263" s="30"/>
      <c r="L263" s="30"/>
      <c r="M263" s="30"/>
      <c r="N263" s="30"/>
      <c r="O263" s="31" t="n">
        <v>184.5</v>
      </c>
      <c r="P263" s="30"/>
      <c r="Q263" s="30"/>
      <c r="R263" s="30"/>
      <c r="S263" s="30"/>
      <c r="T263" s="30"/>
      <c r="U263" s="31" t="n">
        <v>215.6</v>
      </c>
      <c r="V263" s="30"/>
      <c r="W263" s="30"/>
      <c r="X263" s="30"/>
      <c r="Y263" s="30"/>
      <c r="Z263" s="30"/>
      <c r="AA263" s="31" t="n">
        <v>195.5</v>
      </c>
      <c r="AB263" s="30"/>
      <c r="AC263" s="30"/>
      <c r="AD263" s="30"/>
      <c r="AE263" s="30"/>
      <c r="AF263" s="30"/>
      <c r="AG263" s="31" t="n">
        <v>190.9</v>
      </c>
      <c r="AH263" s="30"/>
      <c r="AI263" s="30"/>
      <c r="AJ263" s="30"/>
      <c r="AK263" s="30"/>
      <c r="AL263" s="30"/>
      <c r="AM263" s="31" t="n">
        <v>227.2</v>
      </c>
      <c r="AN263" s="30"/>
      <c r="AO263" s="30"/>
      <c r="AP263" s="30"/>
      <c r="AQ263" s="30"/>
      <c r="AR263" s="30"/>
      <c r="AS263" s="31" t="n">
        <v>333.8</v>
      </c>
      <c r="AT263" s="30"/>
      <c r="AU263" s="30"/>
      <c r="AV263" s="30"/>
      <c r="AW263" s="30"/>
      <c r="AX263" s="30"/>
      <c r="AY263" s="31" t="n">
        <v>402.3</v>
      </c>
      <c r="AZ263" s="30"/>
      <c r="BA263" s="30"/>
      <c r="BB263" s="30"/>
      <c r="BC263" s="30"/>
      <c r="BD263" s="30"/>
      <c r="BE263" s="31" t="n">
        <v>401.9</v>
      </c>
      <c r="BF263" s="30"/>
      <c r="BG263" s="30"/>
      <c r="BH263" s="30"/>
      <c r="BI263" s="30"/>
      <c r="BJ263" s="30"/>
      <c r="BK263" s="31" t="n">
        <v>445.3</v>
      </c>
      <c r="BL263" s="30"/>
      <c r="BM263" s="30"/>
      <c r="BN263" s="30"/>
      <c r="BO263" s="30"/>
      <c r="BP263" s="30"/>
      <c r="BQ263" s="31" t="n">
        <v>788.9</v>
      </c>
      <c r="BR263" s="30"/>
      <c r="BS263" s="30"/>
      <c r="BT263" s="30"/>
      <c r="BU263" s="30"/>
      <c r="BV263" s="30"/>
      <c r="BW263" s="31" t="n">
        <v>886.6</v>
      </c>
      <c r="BX263" s="30"/>
      <c r="BY263" s="30"/>
      <c r="BZ263" s="30"/>
      <c r="CA263" s="30"/>
      <c r="CB263" s="30"/>
      <c r="CC263" s="31" t="n">
        <v>820.7</v>
      </c>
      <c r="CD263" s="30"/>
      <c r="CE263" s="30"/>
      <c r="CF263" s="30"/>
      <c r="CG263" s="30"/>
      <c r="CH263" s="30"/>
      <c r="CI263" s="31" t="n">
        <v>895.7</v>
      </c>
      <c r="CJ263" s="30"/>
      <c r="CK263" s="30"/>
      <c r="CL263" s="31" t="n">
        <v>478.5</v>
      </c>
      <c r="CM263" s="32"/>
      <c r="CN263" s="32"/>
      <c r="CO263" s="32" t="n">
        <f aca="false">CO169</f>
        <v>974.56225</v>
      </c>
      <c r="CP263" s="32" t="n">
        <f aca="false">CP169</f>
        <v>1126.54892598653</v>
      </c>
      <c r="CQ263" s="32" t="n">
        <f aca="false">CQ169</f>
        <v>1252.11426930276</v>
      </c>
      <c r="CR263" s="32" t="n">
        <f aca="false">CR169</f>
        <v>1412.39073621352</v>
      </c>
      <c r="CS263" s="32" t="n">
        <f aca="false">CS169</f>
        <v>1572.91403065076</v>
      </c>
      <c r="CT263" s="23"/>
      <c r="CV263" s="7"/>
      <c r="CW263" s="7"/>
      <c r="CX263" s="7"/>
      <c r="CY263" s="7"/>
    </row>
    <row r="264" customFormat="false" ht="15" hidden="false" customHeight="true" outlineLevel="0" collapsed="false">
      <c r="B264" s="13" t="s">
        <v>394</v>
      </c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  <c r="BA264" s="30"/>
      <c r="BB264" s="30"/>
      <c r="BC264" s="30"/>
      <c r="BD264" s="30"/>
      <c r="BE264" s="30"/>
      <c r="BF264" s="30"/>
      <c r="BG264" s="30"/>
      <c r="BH264" s="30"/>
      <c r="BI264" s="30"/>
      <c r="BJ264" s="30"/>
      <c r="BK264" s="30"/>
      <c r="BL264" s="30"/>
      <c r="BM264" s="30"/>
      <c r="BN264" s="30"/>
      <c r="BO264" s="30"/>
      <c r="BP264" s="30"/>
      <c r="BQ264" s="30"/>
      <c r="BR264" s="30"/>
      <c r="BS264" s="30"/>
      <c r="BT264" s="30"/>
      <c r="BU264" s="30"/>
      <c r="BV264" s="30"/>
      <c r="BW264" s="30"/>
      <c r="BX264" s="30"/>
      <c r="BY264" s="30"/>
      <c r="BZ264" s="30"/>
      <c r="CA264" s="30"/>
      <c r="CB264" s="30"/>
      <c r="CC264" s="30"/>
      <c r="CD264" s="30"/>
      <c r="CE264" s="30"/>
      <c r="CF264" s="30"/>
      <c r="CG264" s="30"/>
      <c r="CH264" s="30"/>
      <c r="CI264" s="30"/>
      <c r="CJ264" s="30"/>
      <c r="CK264" s="30"/>
      <c r="CL264" s="30"/>
      <c r="CM264" s="32"/>
      <c r="CN264" s="32"/>
      <c r="CO264" s="32"/>
      <c r="CP264" s="32"/>
      <c r="CQ264" s="32"/>
      <c r="CR264" s="32"/>
      <c r="CS264" s="32"/>
      <c r="CT264" s="23"/>
      <c r="CV264" s="7"/>
      <c r="CW264" s="7"/>
      <c r="CX264" s="7"/>
      <c r="CY264" s="7"/>
    </row>
    <row r="265" customFormat="false" ht="15" hidden="false" customHeight="true" outlineLevel="0" collapsed="false">
      <c r="B265" s="13" t="s">
        <v>395</v>
      </c>
      <c r="C265" s="31" t="n">
        <v>32</v>
      </c>
      <c r="D265" s="31" t="n">
        <v>34.7</v>
      </c>
      <c r="E265" s="31" t="n">
        <v>45</v>
      </c>
      <c r="F265" s="31" t="n">
        <v>42.5</v>
      </c>
      <c r="G265" s="31" t="n">
        <v>45.2</v>
      </c>
      <c r="H265" s="31" t="n">
        <v>64.2</v>
      </c>
      <c r="I265" s="31" t="n">
        <v>78.3</v>
      </c>
      <c r="J265" s="30"/>
      <c r="K265" s="30"/>
      <c r="L265" s="30"/>
      <c r="M265" s="30"/>
      <c r="N265" s="30"/>
      <c r="O265" s="31" t="n">
        <v>91.1</v>
      </c>
      <c r="P265" s="30"/>
      <c r="Q265" s="30"/>
      <c r="R265" s="30"/>
      <c r="S265" s="30"/>
      <c r="T265" s="30"/>
      <c r="U265" s="31" t="n">
        <v>94.3</v>
      </c>
      <c r="V265" s="30"/>
      <c r="W265" s="30"/>
      <c r="X265" s="30"/>
      <c r="Y265" s="30"/>
      <c r="Z265" s="30"/>
      <c r="AA265" s="31" t="n">
        <v>90.3</v>
      </c>
      <c r="AB265" s="30"/>
      <c r="AC265" s="30"/>
      <c r="AD265" s="30"/>
      <c r="AE265" s="30"/>
      <c r="AF265" s="30"/>
      <c r="AG265" s="31" t="n">
        <v>87.3</v>
      </c>
      <c r="AH265" s="30"/>
      <c r="AI265" s="30"/>
      <c r="AJ265" s="30"/>
      <c r="AK265" s="30"/>
      <c r="AL265" s="30"/>
      <c r="AM265" s="31" t="n">
        <v>113</v>
      </c>
      <c r="AN265" s="30"/>
      <c r="AO265" s="30"/>
      <c r="AP265" s="30"/>
      <c r="AQ265" s="30"/>
      <c r="AR265" s="30"/>
      <c r="AS265" s="31" t="n">
        <v>113</v>
      </c>
      <c r="AT265" s="30"/>
      <c r="AU265" s="30"/>
      <c r="AV265" s="30"/>
      <c r="AW265" s="30"/>
      <c r="AX265" s="30"/>
      <c r="AY265" s="31" t="n">
        <v>111.9</v>
      </c>
      <c r="AZ265" s="30"/>
      <c r="BA265" s="30"/>
      <c r="BB265" s="30"/>
      <c r="BC265" s="30"/>
      <c r="BD265" s="30"/>
      <c r="BE265" s="31" t="n">
        <v>116.2</v>
      </c>
      <c r="BF265" s="30"/>
      <c r="BG265" s="30"/>
      <c r="BH265" s="30"/>
      <c r="BI265" s="30"/>
      <c r="BJ265" s="30"/>
      <c r="BK265" s="31" t="n">
        <v>371.8</v>
      </c>
      <c r="BL265" s="30"/>
      <c r="BM265" s="30"/>
      <c r="BN265" s="30"/>
      <c r="BO265" s="30"/>
      <c r="BP265" s="30"/>
      <c r="BQ265" s="31" t="n">
        <v>332.2</v>
      </c>
      <c r="BR265" s="30"/>
      <c r="BS265" s="30"/>
      <c r="BT265" s="30"/>
      <c r="BU265" s="30"/>
      <c r="BV265" s="30"/>
      <c r="BW265" s="31" t="n">
        <v>316.4</v>
      </c>
      <c r="BX265" s="30"/>
      <c r="BY265" s="30"/>
      <c r="BZ265" s="30"/>
      <c r="CA265" s="30"/>
      <c r="CB265" s="30"/>
      <c r="CC265" s="31" t="n">
        <v>309.9</v>
      </c>
      <c r="CD265" s="30"/>
      <c r="CE265" s="30"/>
      <c r="CF265" s="30"/>
      <c r="CG265" s="30"/>
      <c r="CH265" s="30"/>
      <c r="CI265" s="31" t="n">
        <v>336.3</v>
      </c>
      <c r="CJ265" s="30"/>
      <c r="CK265" s="30"/>
      <c r="CL265" s="31" t="n">
        <v>172.9</v>
      </c>
      <c r="CM265" s="32"/>
      <c r="CN265" s="32"/>
      <c r="CO265" s="32" t="n">
        <f aca="false">CO174</f>
        <v>349.032643810607</v>
      </c>
      <c r="CP265" s="32" t="n">
        <f aca="false">CP174</f>
        <v>362.747397155799</v>
      </c>
      <c r="CQ265" s="32" t="n">
        <f aca="false">CQ174</f>
        <v>398.36401514577</v>
      </c>
      <c r="CR265" s="32" t="n">
        <f aca="false">CR174</f>
        <v>397.567033826719</v>
      </c>
      <c r="CS265" s="32" t="n">
        <f aca="false">CS174</f>
        <v>415.085994901688</v>
      </c>
      <c r="CT265" s="23"/>
      <c r="CV265" s="7"/>
      <c r="CW265" s="7"/>
      <c r="CX265" s="7"/>
      <c r="CY265" s="7"/>
    </row>
    <row r="266" customFormat="false" ht="15" hidden="false" customHeight="true" outlineLevel="0" collapsed="false">
      <c r="B266" s="13" t="s">
        <v>396</v>
      </c>
      <c r="C266" s="31" t="n">
        <v>5.9</v>
      </c>
      <c r="D266" s="31" t="n">
        <v>6.8</v>
      </c>
      <c r="E266" s="31" t="n">
        <v>7.5</v>
      </c>
      <c r="F266" s="31" t="n">
        <v>5.4</v>
      </c>
      <c r="G266" s="31" t="n">
        <v>4.9</v>
      </c>
      <c r="H266" s="31" t="n">
        <v>5.8</v>
      </c>
      <c r="I266" s="31" t="n">
        <v>8</v>
      </c>
      <c r="J266" s="30"/>
      <c r="K266" s="30"/>
      <c r="L266" s="30"/>
      <c r="M266" s="30"/>
      <c r="N266" s="30"/>
      <c r="O266" s="31" t="n">
        <v>10.7</v>
      </c>
      <c r="P266" s="30"/>
      <c r="Q266" s="30"/>
      <c r="R266" s="30"/>
      <c r="S266" s="30"/>
      <c r="T266" s="30"/>
      <c r="U266" s="31" t="n">
        <v>14</v>
      </c>
      <c r="V266" s="30"/>
      <c r="W266" s="30"/>
      <c r="X266" s="30"/>
      <c r="Y266" s="30"/>
      <c r="Z266" s="30"/>
      <c r="AA266" s="31" t="n">
        <v>12.2</v>
      </c>
      <c r="AB266" s="30"/>
      <c r="AC266" s="30"/>
      <c r="AD266" s="30"/>
      <c r="AE266" s="30"/>
      <c r="AF266" s="30"/>
      <c r="AG266" s="31" t="n">
        <v>16.2</v>
      </c>
      <c r="AH266" s="30"/>
      <c r="AI266" s="30"/>
      <c r="AJ266" s="30"/>
      <c r="AK266" s="30"/>
      <c r="AL266" s="30"/>
      <c r="AM266" s="31" t="n">
        <v>18.8</v>
      </c>
      <c r="AN266" s="30"/>
      <c r="AO266" s="30"/>
      <c r="AP266" s="30"/>
      <c r="AQ266" s="30"/>
      <c r="AR266" s="30"/>
      <c r="AS266" s="31" t="n">
        <v>25.1</v>
      </c>
      <c r="AT266" s="30"/>
      <c r="AU266" s="30"/>
      <c r="AV266" s="30"/>
      <c r="AW266" s="30"/>
      <c r="AX266" s="30"/>
      <c r="AY266" s="31" t="n">
        <v>30.7</v>
      </c>
      <c r="AZ266" s="30"/>
      <c r="BA266" s="30"/>
      <c r="BB266" s="30"/>
      <c r="BC266" s="30"/>
      <c r="BD266" s="30"/>
      <c r="BE266" s="31" t="n">
        <v>30</v>
      </c>
      <c r="BF266" s="30"/>
      <c r="BG266" s="30"/>
      <c r="BH266" s="30"/>
      <c r="BI266" s="30"/>
      <c r="BJ266" s="30"/>
      <c r="BK266" s="31" t="n">
        <v>33.9</v>
      </c>
      <c r="BL266" s="30"/>
      <c r="BM266" s="30"/>
      <c r="BN266" s="30"/>
      <c r="BO266" s="30"/>
      <c r="BP266" s="30"/>
      <c r="BQ266" s="31" t="n">
        <v>31.5</v>
      </c>
      <c r="BR266" s="30"/>
      <c r="BS266" s="30"/>
      <c r="BT266" s="30"/>
      <c r="BU266" s="30"/>
      <c r="BV266" s="30"/>
      <c r="BW266" s="31" t="n">
        <v>32.3</v>
      </c>
      <c r="BX266" s="30"/>
      <c r="BY266" s="30"/>
      <c r="BZ266" s="30"/>
      <c r="CA266" s="30"/>
      <c r="CB266" s="30"/>
      <c r="CC266" s="31" t="n">
        <v>37.7</v>
      </c>
      <c r="CD266" s="30"/>
      <c r="CE266" s="30"/>
      <c r="CF266" s="30"/>
      <c r="CG266" s="30"/>
      <c r="CH266" s="30"/>
      <c r="CI266" s="31" t="n">
        <v>39.6</v>
      </c>
      <c r="CJ266" s="30"/>
      <c r="CK266" s="30"/>
      <c r="CL266" s="31" t="n">
        <v>19.5</v>
      </c>
      <c r="CM266" s="32"/>
      <c r="CN266" s="32"/>
      <c r="CO266" s="32" t="n">
        <f aca="false">CO175</f>
        <v>40.4576147437916</v>
      </c>
      <c r="CP266" s="32" t="n">
        <f aca="false">CP175</f>
        <v>46.6699657185996</v>
      </c>
      <c r="CQ266" s="32" t="n">
        <f aca="false">CQ175</f>
        <v>51.0018939374789</v>
      </c>
      <c r="CR266" s="32" t="n">
        <f aca="false">CR175</f>
        <v>55.6473446089063</v>
      </c>
      <c r="CS266" s="32" t="n">
        <f aca="false">CS175</f>
        <v>60.4981094116738</v>
      </c>
      <c r="CT266" s="23"/>
      <c r="CV266" s="7"/>
      <c r="CW266" s="7"/>
      <c r="CX266" s="7"/>
      <c r="CY266" s="7"/>
    </row>
    <row r="267" customFormat="false" ht="15" hidden="false" customHeight="true" outlineLevel="0" collapsed="false">
      <c r="B267" s="13" t="s">
        <v>397</v>
      </c>
      <c r="C267" s="31" t="n">
        <v>-12.1</v>
      </c>
      <c r="D267" s="31" t="n">
        <v>-21.3</v>
      </c>
      <c r="E267" s="31" t="n">
        <v>-40.7</v>
      </c>
      <c r="F267" s="31" t="n">
        <v>59.5</v>
      </c>
      <c r="G267" s="31" t="n">
        <v>17.1</v>
      </c>
      <c r="H267" s="31" t="n">
        <v>28.1</v>
      </c>
      <c r="I267" s="31" t="n">
        <v>-17.9</v>
      </c>
      <c r="J267" s="30"/>
      <c r="K267" s="30"/>
      <c r="L267" s="30"/>
      <c r="M267" s="30"/>
      <c r="N267" s="30"/>
      <c r="O267" s="31" t="n">
        <v>17.4</v>
      </c>
      <c r="P267" s="30"/>
      <c r="Q267" s="30"/>
      <c r="R267" s="30"/>
      <c r="S267" s="30"/>
      <c r="T267" s="30"/>
      <c r="U267" s="31" t="n">
        <v>-57</v>
      </c>
      <c r="V267" s="30"/>
      <c r="W267" s="30"/>
      <c r="X267" s="30"/>
      <c r="Y267" s="30"/>
      <c r="Z267" s="30"/>
      <c r="AA267" s="31" t="n">
        <v>-7.9</v>
      </c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  <c r="AZ267" s="30"/>
      <c r="BA267" s="30"/>
      <c r="BB267" s="30"/>
      <c r="BC267" s="30"/>
      <c r="BD267" s="30"/>
      <c r="BE267" s="30"/>
      <c r="BF267" s="30"/>
      <c r="BG267" s="30"/>
      <c r="BH267" s="30"/>
      <c r="BI267" s="30"/>
      <c r="BJ267" s="30"/>
      <c r="BK267" s="30"/>
      <c r="BL267" s="30"/>
      <c r="BM267" s="30"/>
      <c r="BN267" s="30"/>
      <c r="BO267" s="30"/>
      <c r="BP267" s="30"/>
      <c r="BQ267" s="30"/>
      <c r="BR267" s="30"/>
      <c r="BS267" s="30"/>
      <c r="BT267" s="30"/>
      <c r="BU267" s="30"/>
      <c r="BV267" s="30"/>
      <c r="BW267" s="30"/>
      <c r="BX267" s="30"/>
      <c r="BY267" s="30"/>
      <c r="BZ267" s="30"/>
      <c r="CA267" s="30"/>
      <c r="CB267" s="30"/>
      <c r="CC267" s="30"/>
      <c r="CD267" s="30"/>
      <c r="CE267" s="30"/>
      <c r="CF267" s="30"/>
      <c r="CG267" s="30"/>
      <c r="CH267" s="30"/>
      <c r="CI267" s="30"/>
      <c r="CJ267" s="30"/>
      <c r="CK267" s="30"/>
      <c r="CL267" s="30"/>
      <c r="CM267" s="32"/>
      <c r="CN267" s="32"/>
      <c r="CO267" s="33" t="n">
        <v>-20</v>
      </c>
      <c r="CP267" s="33" t="n">
        <v>-20</v>
      </c>
      <c r="CQ267" s="33" t="n">
        <v>-20</v>
      </c>
      <c r="CR267" s="33" t="n">
        <v>-20</v>
      </c>
      <c r="CS267" s="33" t="n">
        <v>-20</v>
      </c>
      <c r="CT267" s="23" t="s">
        <v>398</v>
      </c>
      <c r="CV267" s="7"/>
      <c r="CW267" s="7"/>
      <c r="CX267" s="7"/>
      <c r="CY267" s="7"/>
    </row>
    <row r="268" customFormat="false" ht="15" hidden="false" customHeight="true" outlineLevel="0" collapsed="false">
      <c r="B268" s="13" t="s">
        <v>399</v>
      </c>
      <c r="C268" s="31" t="n">
        <v>-1.6</v>
      </c>
      <c r="D268" s="31" t="n">
        <v>17</v>
      </c>
      <c r="E268" s="31" t="n">
        <v>32.4</v>
      </c>
      <c r="F268" s="31" t="n">
        <v>-117.4</v>
      </c>
      <c r="G268" s="31" t="n">
        <v>-39.9</v>
      </c>
      <c r="H268" s="31" t="n">
        <v>-64.5</v>
      </c>
      <c r="I268" s="31" t="n">
        <v>-58.6</v>
      </c>
      <c r="J268" s="30"/>
      <c r="K268" s="30"/>
      <c r="L268" s="30"/>
      <c r="M268" s="30"/>
      <c r="N268" s="30"/>
      <c r="O268" s="31" t="n">
        <v>-78.2</v>
      </c>
      <c r="P268" s="30"/>
      <c r="Q268" s="30"/>
      <c r="R268" s="30"/>
      <c r="S268" s="30"/>
      <c r="T268" s="30"/>
      <c r="U268" s="31" t="n">
        <v>45.6</v>
      </c>
      <c r="V268" s="30"/>
      <c r="W268" s="30"/>
      <c r="X268" s="30"/>
      <c r="Y268" s="30"/>
      <c r="Z268" s="30"/>
      <c r="AA268" s="31" t="n">
        <v>1.3</v>
      </c>
      <c r="AB268" s="30"/>
      <c r="AC268" s="30"/>
      <c r="AD268" s="30"/>
      <c r="AE268" s="30"/>
      <c r="AF268" s="30"/>
      <c r="AG268" s="31" t="n">
        <v>3.1</v>
      </c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  <c r="BA268" s="30"/>
      <c r="BB268" s="30"/>
      <c r="BC268" s="30"/>
      <c r="BD268" s="30"/>
      <c r="BE268" s="30"/>
      <c r="BF268" s="30"/>
      <c r="BG268" s="30"/>
      <c r="BH268" s="30"/>
      <c r="BI268" s="30"/>
      <c r="BJ268" s="30"/>
      <c r="BK268" s="30"/>
      <c r="BL268" s="30"/>
      <c r="BM268" s="30"/>
      <c r="BN268" s="30"/>
      <c r="BO268" s="30"/>
      <c r="BP268" s="30"/>
      <c r="BQ268" s="30"/>
      <c r="BR268" s="30"/>
      <c r="BS268" s="30"/>
      <c r="BT268" s="30"/>
      <c r="BU268" s="30"/>
      <c r="BV268" s="30"/>
      <c r="BW268" s="30"/>
      <c r="BX268" s="30"/>
      <c r="BY268" s="30"/>
      <c r="BZ268" s="30"/>
      <c r="CA268" s="30"/>
      <c r="CB268" s="30"/>
      <c r="CC268" s="30"/>
      <c r="CD268" s="30"/>
      <c r="CE268" s="30"/>
      <c r="CF268" s="30"/>
      <c r="CG268" s="30"/>
      <c r="CH268" s="30"/>
      <c r="CI268" s="30"/>
      <c r="CJ268" s="30"/>
      <c r="CK268" s="30"/>
      <c r="CL268" s="30"/>
      <c r="CM268" s="32"/>
      <c r="CN268" s="32"/>
      <c r="CO268" s="32" t="n">
        <f aca="false">-CO162</f>
        <v>-10.5</v>
      </c>
      <c r="CP268" s="32" t="n">
        <f aca="false">-CP162</f>
        <v>-10</v>
      </c>
      <c r="CQ268" s="32" t="n">
        <f aca="false">-CQ162</f>
        <v>-10</v>
      </c>
      <c r="CR268" s="32" t="n">
        <f aca="false">-CR162</f>
        <v>-10</v>
      </c>
      <c r="CS268" s="32" t="n">
        <f aca="false">-CS162</f>
        <v>-10</v>
      </c>
      <c r="CT268" s="23" t="s">
        <v>400</v>
      </c>
      <c r="CV268" s="7"/>
      <c r="CW268" s="7"/>
      <c r="CX268" s="7"/>
      <c r="CY268" s="7"/>
    </row>
    <row r="269" customFormat="false" ht="15" hidden="false" customHeight="true" outlineLevel="0" collapsed="false">
      <c r="B269" s="13" t="s">
        <v>401</v>
      </c>
      <c r="C269" s="31" t="n">
        <v>-7.4</v>
      </c>
      <c r="D269" s="31" t="n">
        <v>0.3</v>
      </c>
      <c r="E269" s="31" t="n">
        <v>-9.1</v>
      </c>
      <c r="F269" s="31" t="n">
        <v>3.5</v>
      </c>
      <c r="G269" s="31" t="n">
        <v>1</v>
      </c>
      <c r="H269" s="31" t="n">
        <v>-114.7</v>
      </c>
      <c r="I269" s="31" t="n">
        <v>-6.9</v>
      </c>
      <c r="J269" s="30"/>
      <c r="K269" s="30"/>
      <c r="L269" s="30"/>
      <c r="M269" s="30"/>
      <c r="N269" s="30"/>
      <c r="O269" s="31" t="n">
        <v>-5.4</v>
      </c>
      <c r="P269" s="30"/>
      <c r="Q269" s="30"/>
      <c r="R269" s="30"/>
      <c r="S269" s="30"/>
      <c r="T269" s="30"/>
      <c r="U269" s="31" t="n">
        <v>-8.3</v>
      </c>
      <c r="V269" s="30"/>
      <c r="W269" s="30"/>
      <c r="X269" s="30"/>
      <c r="Y269" s="30"/>
      <c r="Z269" s="30"/>
      <c r="AA269" s="31" t="n">
        <v>0</v>
      </c>
      <c r="AB269" s="30"/>
      <c r="AC269" s="30"/>
      <c r="AD269" s="30"/>
      <c r="AE269" s="30"/>
      <c r="AF269" s="30"/>
      <c r="AG269" s="31" t="n">
        <v>-12.4</v>
      </c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1" t="n">
        <v>0</v>
      </c>
      <c r="AZ269" s="30"/>
      <c r="BA269" s="30"/>
      <c r="BB269" s="30"/>
      <c r="BC269" s="30"/>
      <c r="BD269" s="30"/>
      <c r="BE269" s="31" t="n">
        <v>0</v>
      </c>
      <c r="BF269" s="30"/>
      <c r="BG269" s="30"/>
      <c r="BH269" s="30"/>
      <c r="BI269" s="30"/>
      <c r="BJ269" s="30"/>
      <c r="BK269" s="31" t="n">
        <v>30.5</v>
      </c>
      <c r="BL269" s="30"/>
      <c r="BM269" s="30"/>
      <c r="BN269" s="30"/>
      <c r="BO269" s="30"/>
      <c r="BP269" s="30"/>
      <c r="BQ269" s="31" t="n">
        <v>-10.2</v>
      </c>
      <c r="BR269" s="30"/>
      <c r="BS269" s="30"/>
      <c r="BT269" s="30"/>
      <c r="BU269" s="30"/>
      <c r="BV269" s="30"/>
      <c r="BW269" s="31" t="n">
        <v>-1.6</v>
      </c>
      <c r="BX269" s="30"/>
      <c r="BY269" s="30"/>
      <c r="BZ269" s="30"/>
      <c r="CA269" s="30"/>
      <c r="CB269" s="30"/>
      <c r="CC269" s="31" t="n">
        <v>52.5</v>
      </c>
      <c r="CD269" s="30"/>
      <c r="CE269" s="30"/>
      <c r="CF269" s="30"/>
      <c r="CG269" s="30"/>
      <c r="CH269" s="30"/>
      <c r="CI269" s="31" t="n">
        <v>-15</v>
      </c>
      <c r="CJ269" s="30"/>
      <c r="CK269" s="30"/>
      <c r="CL269" s="30"/>
      <c r="CM269" s="32"/>
      <c r="CN269" s="32"/>
      <c r="CO269" s="33" t="n">
        <v>0</v>
      </c>
      <c r="CP269" s="32"/>
      <c r="CQ269" s="32"/>
      <c r="CR269" s="32"/>
      <c r="CS269" s="32"/>
      <c r="CT269" s="23"/>
      <c r="CV269" s="7"/>
      <c r="CW269" s="7"/>
      <c r="CX269" s="7"/>
      <c r="CY269" s="7"/>
    </row>
    <row r="270" customFormat="false" ht="15" hidden="false" customHeight="true" outlineLevel="0" collapsed="false">
      <c r="B270" s="13" t="s">
        <v>402</v>
      </c>
      <c r="C270" s="31" t="n">
        <v>-18.7</v>
      </c>
      <c r="D270" s="31" t="n">
        <v>30.7</v>
      </c>
      <c r="E270" s="31" t="n">
        <v>-28.5</v>
      </c>
      <c r="F270" s="31" t="n">
        <v>53.1</v>
      </c>
      <c r="G270" s="31" t="n">
        <v>-21.8</v>
      </c>
      <c r="H270" s="31" t="n">
        <v>45.4</v>
      </c>
      <c r="I270" s="31" t="n">
        <v>21.2</v>
      </c>
      <c r="J270" s="30"/>
      <c r="K270" s="30"/>
      <c r="L270" s="30"/>
      <c r="M270" s="30"/>
      <c r="N270" s="30"/>
      <c r="O270" s="31" t="n">
        <v>-16.8</v>
      </c>
      <c r="P270" s="30"/>
      <c r="Q270" s="30"/>
      <c r="R270" s="30"/>
      <c r="S270" s="30"/>
      <c r="T270" s="30"/>
      <c r="U270" s="31" t="n">
        <v>-16.3</v>
      </c>
      <c r="V270" s="30"/>
      <c r="W270" s="30"/>
      <c r="X270" s="30"/>
      <c r="Y270" s="30"/>
      <c r="Z270" s="30"/>
      <c r="AA270" s="31" t="n">
        <v>-81.2</v>
      </c>
      <c r="AB270" s="30"/>
      <c r="AC270" s="30"/>
      <c r="AD270" s="30"/>
      <c r="AE270" s="30"/>
      <c r="AF270" s="30"/>
      <c r="AG270" s="31" t="n">
        <v>31.9</v>
      </c>
      <c r="AH270" s="30"/>
      <c r="AI270" s="30"/>
      <c r="AJ270" s="30"/>
      <c r="AK270" s="30"/>
      <c r="AL270" s="30"/>
      <c r="AM270" s="31" t="n">
        <v>15.7</v>
      </c>
      <c r="AN270" s="30"/>
      <c r="AO270" s="30"/>
      <c r="AP270" s="30"/>
      <c r="AQ270" s="30"/>
      <c r="AR270" s="30"/>
      <c r="AS270" s="31" t="n">
        <v>-25</v>
      </c>
      <c r="AT270" s="30"/>
      <c r="AU270" s="30"/>
      <c r="AV270" s="30"/>
      <c r="AW270" s="30"/>
      <c r="AX270" s="30"/>
      <c r="AY270" s="31" t="n">
        <v>-62.8</v>
      </c>
      <c r="AZ270" s="30"/>
      <c r="BA270" s="30"/>
      <c r="BB270" s="30"/>
      <c r="BC270" s="30"/>
      <c r="BD270" s="30"/>
      <c r="BE270" s="31" t="n">
        <v>70.8</v>
      </c>
      <c r="BF270" s="30"/>
      <c r="BG270" s="30"/>
      <c r="BH270" s="30"/>
      <c r="BI270" s="30"/>
      <c r="BJ270" s="30"/>
      <c r="BK270" s="31" t="n">
        <v>-56.9</v>
      </c>
      <c r="BL270" s="30"/>
      <c r="BM270" s="30"/>
      <c r="BN270" s="30"/>
      <c r="BO270" s="30"/>
      <c r="BP270" s="30"/>
      <c r="BQ270" s="31" t="n">
        <v>-655.6</v>
      </c>
      <c r="BR270" s="30"/>
      <c r="BS270" s="30"/>
      <c r="BT270" s="30"/>
      <c r="BU270" s="30"/>
      <c r="BV270" s="30"/>
      <c r="BW270" s="31" t="n">
        <v>-397.6</v>
      </c>
      <c r="BX270" s="30"/>
      <c r="BY270" s="30"/>
      <c r="BZ270" s="30"/>
      <c r="CA270" s="30"/>
      <c r="CB270" s="30"/>
      <c r="CC270" s="31" t="n">
        <v>-28.9</v>
      </c>
      <c r="CD270" s="30"/>
      <c r="CE270" s="30"/>
      <c r="CF270" s="30"/>
      <c r="CG270" s="30"/>
      <c r="CH270" s="30"/>
      <c r="CI270" s="31" t="n">
        <v>-65.3</v>
      </c>
      <c r="CJ270" s="30"/>
      <c r="CK270" s="30"/>
      <c r="CL270" s="31" t="n">
        <v>-121.7</v>
      </c>
      <c r="CM270" s="32"/>
      <c r="CN270" s="32"/>
      <c r="CO270" s="32" t="n">
        <f aca="false">-(CO316-CI316)-(CO317-CI317)-(CO318-CI318)-(CO319-CI319)+(CO330-CI330)+(CO331-CI331)+(CO332-CI332)+(CO334-CI334)+(CO338-CI338)+(CO340-CI340)</f>
        <v>-97.3509791081394</v>
      </c>
      <c r="CP270" s="32" t="n">
        <f aca="false">-(CP316-CO316)-(CP317-CO317)-(CP318-CO318)-(CP319-CO319)+(CP330-CO330)+(CP331-CO331)+(CP332-CO332)+(CP334-CO334)+(CP338-CO338)+(CP340-CO340)</f>
        <v>-62.7541959140696</v>
      </c>
      <c r="CQ270" s="32" t="n">
        <f aca="false">-(CQ316-CP316)-(CQ317-CP317)-(CQ318-CP318)-(CQ319-CP319)+(CQ330-CP330)+(CQ331-CP331)+(CQ332-CP332)+(CQ334-CP334)+(CQ338-CP338)+(CQ340-CP340)</f>
        <v>-80.966950294402</v>
      </c>
      <c r="CR270" s="32" t="n">
        <f aca="false">-(CR316-CQ316)-(CR317-CQ317)-(CR318-CQ318)-(CR319-CQ319)+(CR330-CQ330)+(CR331-CQ331)+(CR332-CQ332)+(CR334-CQ334)+(CR338-CQ338)+(CR340-CQ340)</f>
        <v>-84.0784305735027</v>
      </c>
      <c r="CS270" s="32" t="n">
        <f aca="false">-(CS316-CR316)-(CS317-CR317)-(CS318-CR318)-(CS319-CR319)+(CS330-CR330)+(CS331-CR331)+(CS332-CR332)+(CS334-CR334)+(CS338-CR338)+(CS340-CR340)</f>
        <v>-98.4543669962367</v>
      </c>
      <c r="CT270" s="23" t="s">
        <v>403</v>
      </c>
      <c r="CV270" s="7"/>
      <c r="CW270" s="7"/>
      <c r="CX270" s="7"/>
      <c r="CY270" s="7"/>
    </row>
    <row r="271" customFormat="false" ht="15" hidden="false" customHeight="true" outlineLevel="0" collapsed="false">
      <c r="B271" s="19" t="s">
        <v>404</v>
      </c>
      <c r="C271" s="21" t="n">
        <v>78.4</v>
      </c>
      <c r="D271" s="21" t="n">
        <v>166.7</v>
      </c>
      <c r="E271" s="21" t="n">
        <v>120.4</v>
      </c>
      <c r="F271" s="21" t="n">
        <v>154.9</v>
      </c>
      <c r="G271" s="21" t="n">
        <v>141.8</v>
      </c>
      <c r="H271" s="21" t="n">
        <v>216.6</v>
      </c>
      <c r="I271" s="21" t="n">
        <v>189.2</v>
      </c>
      <c r="J271" s="20"/>
      <c r="K271" s="20"/>
      <c r="L271" s="20"/>
      <c r="M271" s="20"/>
      <c r="N271" s="20"/>
      <c r="O271" s="21" t="n">
        <v>203.3</v>
      </c>
      <c r="P271" s="20"/>
      <c r="Q271" s="20"/>
      <c r="R271" s="20"/>
      <c r="S271" s="20"/>
      <c r="T271" s="20"/>
      <c r="U271" s="21" t="n">
        <v>287.9</v>
      </c>
      <c r="V271" s="20"/>
      <c r="W271" s="20"/>
      <c r="X271" s="20"/>
      <c r="Y271" s="20"/>
      <c r="Z271" s="20"/>
      <c r="AA271" s="21" t="n">
        <v>210.2</v>
      </c>
      <c r="AB271" s="20"/>
      <c r="AC271" s="20"/>
      <c r="AD271" s="20"/>
      <c r="AE271" s="20"/>
      <c r="AF271" s="20"/>
      <c r="AG271" s="21" t="n">
        <v>317</v>
      </c>
      <c r="AH271" s="20"/>
      <c r="AI271" s="20"/>
      <c r="AJ271" s="20"/>
      <c r="AK271" s="20"/>
      <c r="AL271" s="20"/>
      <c r="AM271" s="21" t="n">
        <v>374.7</v>
      </c>
      <c r="AN271" s="20"/>
      <c r="AO271" s="20"/>
      <c r="AP271" s="20"/>
      <c r="AQ271" s="20"/>
      <c r="AR271" s="20"/>
      <c r="AS271" s="21" t="n">
        <v>446.9</v>
      </c>
      <c r="AT271" s="20"/>
      <c r="AU271" s="20"/>
      <c r="AV271" s="20"/>
      <c r="AW271" s="20"/>
      <c r="AX271" s="20"/>
      <c r="AY271" s="21" t="n">
        <v>482.1</v>
      </c>
      <c r="AZ271" s="20"/>
      <c r="BA271" s="20"/>
      <c r="BB271" s="20"/>
      <c r="BC271" s="20"/>
      <c r="BD271" s="20"/>
      <c r="BE271" s="21" t="n">
        <v>618.9</v>
      </c>
      <c r="BF271" s="20"/>
      <c r="BG271" s="20"/>
      <c r="BH271" s="20"/>
      <c r="BI271" s="20"/>
      <c r="BJ271" s="20"/>
      <c r="BK271" s="21" t="n">
        <v>824.6</v>
      </c>
      <c r="BL271" s="20"/>
      <c r="BM271" s="20"/>
      <c r="BN271" s="20"/>
      <c r="BO271" s="20"/>
      <c r="BP271" s="20"/>
      <c r="BQ271" s="21" t="n">
        <v>486.8</v>
      </c>
      <c r="BR271" s="20"/>
      <c r="BS271" s="20"/>
      <c r="BT271" s="20"/>
      <c r="BU271" s="20"/>
      <c r="BV271" s="20"/>
      <c r="BW271" s="21" t="n">
        <v>836.1</v>
      </c>
      <c r="BX271" s="20"/>
      <c r="BY271" s="20"/>
      <c r="BZ271" s="20"/>
      <c r="CA271" s="20"/>
      <c r="CB271" s="20"/>
      <c r="CC271" s="21" t="n">
        <v>1191.9</v>
      </c>
      <c r="CD271" s="20"/>
      <c r="CE271" s="20"/>
      <c r="CF271" s="20"/>
      <c r="CG271" s="20"/>
      <c r="CH271" s="20"/>
      <c r="CI271" s="21" t="n">
        <v>1191.3</v>
      </c>
      <c r="CJ271" s="20"/>
      <c r="CK271" s="20"/>
      <c r="CL271" s="21" t="n">
        <v>549.2</v>
      </c>
      <c r="CM271" s="22"/>
      <c r="CN271" s="22"/>
      <c r="CO271" s="22" t="n">
        <f aca="false">SUM(CO263:CO270)</f>
        <v>1236.20152944626</v>
      </c>
      <c r="CP271" s="22" t="n">
        <f aca="false">SUM(CP263:CP270)</f>
        <v>1443.21209294686</v>
      </c>
      <c r="CQ271" s="22" t="n">
        <f aca="false">SUM(CQ263:CQ270)</f>
        <v>1590.51322809161</v>
      </c>
      <c r="CR271" s="22" t="n">
        <f aca="false">SUM(CR263:CR270)</f>
        <v>1751.52668407564</v>
      </c>
      <c r="CS271" s="22" t="n">
        <f aca="false">SUM(CS263:CS270)</f>
        <v>1920.04376796789</v>
      </c>
      <c r="CT271" s="23"/>
      <c r="CV271" s="24" t="n">
        <f aca="false">IFERROR((CS271/CI271)^(1/5)-1,"n/m")</f>
        <v>0.100165438084922</v>
      </c>
      <c r="CW271" s="24" t="n">
        <f aca="false">IFERROR((CI271/BE271)^(1/5)-1,"n/m")</f>
        <v>0.139935114421001</v>
      </c>
      <c r="CX271" s="24" t="n">
        <f aca="false">IFERROR((CI271/AA271)^(1/10)-1,"n/m")</f>
        <v>0.189429876373706</v>
      </c>
      <c r="CY271" s="24" t="n">
        <f aca="false">IFERROR((CI271/C271)^(1/19)-1,"n/m")</f>
        <v>0.153971290405154</v>
      </c>
    </row>
    <row r="272" customFormat="false" ht="15" hidden="false" customHeight="true" outlineLevel="0" collapsed="false">
      <c r="B272" s="13" t="s">
        <v>405</v>
      </c>
      <c r="C272" s="31" t="n">
        <v>-26.4</v>
      </c>
      <c r="D272" s="31" t="n">
        <v>-40.3</v>
      </c>
      <c r="E272" s="31" t="n">
        <v>-38.2</v>
      </c>
      <c r="F272" s="31" t="n">
        <v>-33.5</v>
      </c>
      <c r="G272" s="31" t="n">
        <v>-31</v>
      </c>
      <c r="H272" s="31" t="n">
        <v>-41.7</v>
      </c>
      <c r="I272" s="31" t="n">
        <v>-65.3</v>
      </c>
      <c r="J272" s="30"/>
      <c r="K272" s="30"/>
      <c r="L272" s="30"/>
      <c r="M272" s="30"/>
      <c r="N272" s="30"/>
      <c r="O272" s="31" t="n">
        <v>-72.6</v>
      </c>
      <c r="P272" s="30"/>
      <c r="Q272" s="30"/>
      <c r="R272" s="30"/>
      <c r="S272" s="30"/>
      <c r="T272" s="30"/>
      <c r="U272" s="31" t="n">
        <v>-43.5</v>
      </c>
      <c r="V272" s="30"/>
      <c r="W272" s="30"/>
      <c r="X272" s="30"/>
      <c r="Y272" s="30"/>
      <c r="Z272" s="30"/>
      <c r="AA272" s="31" t="n">
        <v>-47</v>
      </c>
      <c r="AB272" s="30"/>
      <c r="AC272" s="30"/>
      <c r="AD272" s="30"/>
      <c r="AE272" s="30"/>
      <c r="AF272" s="30"/>
      <c r="AG272" s="31" t="n">
        <v>-87.6</v>
      </c>
      <c r="AH272" s="30"/>
      <c r="AI272" s="30"/>
      <c r="AJ272" s="30"/>
      <c r="AK272" s="30"/>
      <c r="AL272" s="30"/>
      <c r="AM272" s="31" t="n">
        <v>-58.5</v>
      </c>
      <c r="AN272" s="30"/>
      <c r="AO272" s="30"/>
      <c r="AP272" s="30"/>
      <c r="AQ272" s="30"/>
      <c r="AR272" s="30"/>
      <c r="AS272" s="31" t="n">
        <v>-86.8</v>
      </c>
      <c r="AT272" s="30"/>
      <c r="AU272" s="30"/>
      <c r="AV272" s="30"/>
      <c r="AW272" s="30"/>
      <c r="AX272" s="30"/>
      <c r="AY272" s="31" t="n">
        <v>-88.4</v>
      </c>
      <c r="AZ272" s="30"/>
      <c r="BA272" s="30"/>
      <c r="BB272" s="30"/>
      <c r="BC272" s="30"/>
      <c r="BD272" s="30"/>
      <c r="BE272" s="31" t="n">
        <v>-71.4</v>
      </c>
      <c r="BF272" s="30"/>
      <c r="BG272" s="30"/>
      <c r="BH272" s="30"/>
      <c r="BI272" s="30"/>
      <c r="BJ272" s="30"/>
      <c r="BK272" s="31" t="n">
        <v>-101.6</v>
      </c>
      <c r="BL272" s="30"/>
      <c r="BM272" s="30"/>
      <c r="BN272" s="30"/>
      <c r="BO272" s="30"/>
      <c r="BP272" s="30"/>
      <c r="BQ272" s="31" t="n">
        <v>-92.6</v>
      </c>
      <c r="BR272" s="30"/>
      <c r="BS272" s="30"/>
      <c r="BT272" s="30"/>
      <c r="BU272" s="30"/>
      <c r="BV272" s="30"/>
      <c r="BW272" s="31" t="n">
        <v>-114.9</v>
      </c>
      <c r="BX272" s="30"/>
      <c r="BY272" s="30"/>
      <c r="BZ272" s="30"/>
      <c r="CA272" s="30"/>
      <c r="CB272" s="30"/>
      <c r="CC272" s="31" t="n">
        <v>-83.7</v>
      </c>
      <c r="CD272" s="30"/>
      <c r="CE272" s="30"/>
      <c r="CF272" s="30"/>
      <c r="CG272" s="30"/>
      <c r="CH272" s="30"/>
      <c r="CI272" s="31" t="n">
        <v>-117.3</v>
      </c>
      <c r="CJ272" s="30"/>
      <c r="CK272" s="30"/>
      <c r="CL272" s="31" t="n">
        <v>-60.2</v>
      </c>
      <c r="CM272" s="32"/>
      <c r="CN272" s="32"/>
      <c r="CO272" s="32" t="n">
        <f aca="false">-$DD$17</f>
        <v>-125</v>
      </c>
      <c r="CP272" s="32" t="n">
        <f aca="false">-CP152*CP298</f>
        <v>-143.599894518768</v>
      </c>
      <c r="CQ272" s="32" t="n">
        <f aca="false">-CQ152*CQ298</f>
        <v>-156.928904423012</v>
      </c>
      <c r="CR272" s="32" t="n">
        <f aca="false">-CR152*CR298</f>
        <v>-171.222598796635</v>
      </c>
      <c r="CS272" s="32" t="n">
        <f aca="false">-CS152*CS298</f>
        <v>-186.148028958996</v>
      </c>
      <c r="CT272" s="23" t="s">
        <v>406</v>
      </c>
      <c r="CV272" s="7"/>
      <c r="CW272" s="7"/>
      <c r="CX272" s="7"/>
      <c r="CY272" s="7"/>
    </row>
    <row r="273" customFormat="false" ht="15" hidden="false" customHeight="true" outlineLevel="0" collapsed="false">
      <c r="B273" s="13" t="s">
        <v>407</v>
      </c>
      <c r="C273" s="31" t="n">
        <v>-252</v>
      </c>
      <c r="D273" s="31" t="n">
        <v>-48.1</v>
      </c>
      <c r="E273" s="31" t="n">
        <v>-284.9</v>
      </c>
      <c r="F273" s="31" t="n">
        <v>-27.1</v>
      </c>
      <c r="G273" s="31" t="n">
        <v>-67.9</v>
      </c>
      <c r="H273" s="31" t="n">
        <v>-366.7</v>
      </c>
      <c r="I273" s="31" t="n">
        <v>-389.2</v>
      </c>
      <c r="J273" s="30"/>
      <c r="K273" s="30"/>
      <c r="L273" s="30"/>
      <c r="M273" s="30"/>
      <c r="N273" s="30"/>
      <c r="O273" s="31" t="n">
        <v>-128.2</v>
      </c>
      <c r="P273" s="30"/>
      <c r="Q273" s="30"/>
      <c r="R273" s="30"/>
      <c r="S273" s="30"/>
      <c r="T273" s="30"/>
      <c r="U273" s="31" t="n">
        <v>-195.8</v>
      </c>
      <c r="V273" s="30"/>
      <c r="W273" s="30"/>
      <c r="X273" s="30"/>
      <c r="Y273" s="30"/>
      <c r="Z273" s="30"/>
      <c r="AA273" s="31" t="n">
        <v>-66.7</v>
      </c>
      <c r="AB273" s="30"/>
      <c r="AC273" s="30"/>
      <c r="AD273" s="30"/>
      <c r="AE273" s="30"/>
      <c r="AF273" s="30"/>
      <c r="AG273" s="31" t="n">
        <v>-93.4</v>
      </c>
      <c r="AH273" s="30"/>
      <c r="AI273" s="30"/>
      <c r="AJ273" s="30"/>
      <c r="AK273" s="30"/>
      <c r="AL273" s="30"/>
      <c r="AM273" s="31" t="n">
        <v>-774.1</v>
      </c>
      <c r="AN273" s="30"/>
      <c r="AO273" s="30"/>
      <c r="AP273" s="30"/>
      <c r="AQ273" s="30"/>
      <c r="AR273" s="30"/>
      <c r="AS273" s="31" t="n">
        <v>-3.1</v>
      </c>
      <c r="AT273" s="30"/>
      <c r="AU273" s="30"/>
      <c r="AV273" s="30"/>
      <c r="AW273" s="30"/>
      <c r="AX273" s="30"/>
      <c r="AY273" s="31" t="n">
        <v>-484</v>
      </c>
      <c r="AZ273" s="30"/>
      <c r="BA273" s="30"/>
      <c r="BB273" s="30"/>
      <c r="BC273" s="30"/>
      <c r="BD273" s="30"/>
      <c r="BE273" s="31" t="n">
        <v>-29</v>
      </c>
      <c r="BF273" s="30"/>
      <c r="BG273" s="30"/>
      <c r="BH273" s="30"/>
      <c r="BI273" s="30"/>
      <c r="BJ273" s="30"/>
      <c r="BK273" s="31" t="n">
        <v>-3723.3</v>
      </c>
      <c r="BL273" s="30"/>
      <c r="BM273" s="30"/>
      <c r="BN273" s="30"/>
      <c r="BO273" s="30"/>
      <c r="BP273" s="30"/>
      <c r="BQ273" s="31" t="n">
        <v>-99.6</v>
      </c>
      <c r="BR273" s="30"/>
      <c r="BS273" s="30"/>
      <c r="BT273" s="30"/>
      <c r="BU273" s="30"/>
      <c r="BV273" s="30"/>
      <c r="BW273" s="31" t="n">
        <v>-77.7</v>
      </c>
      <c r="BX273" s="30"/>
      <c r="BY273" s="30"/>
      <c r="BZ273" s="30"/>
      <c r="CA273" s="30"/>
      <c r="CB273" s="30"/>
      <c r="CC273" s="31" t="n">
        <v>-123.7</v>
      </c>
      <c r="CD273" s="30"/>
      <c r="CE273" s="30"/>
      <c r="CF273" s="30"/>
      <c r="CG273" s="30"/>
      <c r="CH273" s="30"/>
      <c r="CI273" s="31" t="n">
        <v>-821.4</v>
      </c>
      <c r="CJ273" s="30"/>
      <c r="CK273" s="30"/>
      <c r="CL273" s="31" t="n">
        <v>-53.4</v>
      </c>
      <c r="CM273" s="32"/>
      <c r="CN273" s="32"/>
      <c r="CO273" s="32" t="n">
        <f aca="false">CL273</f>
        <v>-53.4</v>
      </c>
      <c r="CP273" s="32" t="n">
        <f aca="false">-CP106</f>
        <v>-750</v>
      </c>
      <c r="CQ273" s="32" t="n">
        <f aca="false">-CQ106</f>
        <v>-1000</v>
      </c>
      <c r="CR273" s="32" t="n">
        <f aca="false">-CR106</f>
        <v>-1000</v>
      </c>
      <c r="CS273" s="32" t="n">
        <f aca="false">-CS106</f>
        <v>-1000</v>
      </c>
      <c r="CT273" s="23" t="s">
        <v>408</v>
      </c>
      <c r="CV273" s="7"/>
      <c r="CW273" s="7"/>
      <c r="CX273" s="7"/>
      <c r="CY273" s="7"/>
    </row>
    <row r="274" customFormat="false" ht="15" hidden="false" customHeight="true" outlineLevel="0" collapsed="false">
      <c r="B274" s="13" t="s">
        <v>409</v>
      </c>
      <c r="C274" s="31" t="n">
        <v>0.7</v>
      </c>
      <c r="D274" s="31" t="n">
        <v>0.8</v>
      </c>
      <c r="E274" s="31" t="n">
        <v>0.4</v>
      </c>
      <c r="F274" s="30"/>
      <c r="G274" s="31" t="n">
        <v>0</v>
      </c>
      <c r="H274" s="31" t="n">
        <v>137</v>
      </c>
      <c r="I274" s="31" t="n">
        <v>1.1</v>
      </c>
      <c r="J274" s="30"/>
      <c r="K274" s="30"/>
      <c r="L274" s="30"/>
      <c r="M274" s="30"/>
      <c r="N274" s="30"/>
      <c r="O274" s="31" t="n">
        <v>5.8</v>
      </c>
      <c r="P274" s="30"/>
      <c r="Q274" s="30"/>
      <c r="R274" s="30"/>
      <c r="S274" s="30"/>
      <c r="T274" s="30"/>
      <c r="U274" s="31" t="n">
        <v>0.6</v>
      </c>
      <c r="V274" s="30"/>
      <c r="W274" s="30"/>
      <c r="X274" s="30"/>
      <c r="Y274" s="30"/>
      <c r="Z274" s="30"/>
      <c r="AA274" s="31" t="n">
        <v>3.8</v>
      </c>
      <c r="AB274" s="30"/>
      <c r="AC274" s="30"/>
      <c r="AD274" s="30"/>
      <c r="AE274" s="30"/>
      <c r="AF274" s="30"/>
      <c r="AG274" s="31" t="n">
        <v>30</v>
      </c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F274" s="30"/>
      <c r="BG274" s="30"/>
      <c r="BH274" s="30"/>
      <c r="BI274" s="30"/>
      <c r="BJ274" s="30"/>
      <c r="BK274" s="30"/>
      <c r="BL274" s="30"/>
      <c r="BM274" s="30"/>
      <c r="BN274" s="30"/>
      <c r="BO274" s="30"/>
      <c r="BP274" s="30"/>
      <c r="BQ274" s="30"/>
      <c r="BR274" s="30"/>
      <c r="BS274" s="30"/>
      <c r="BT274" s="30"/>
      <c r="BU274" s="30"/>
      <c r="BV274" s="30"/>
      <c r="BW274" s="30"/>
      <c r="BX274" s="30"/>
      <c r="BY274" s="30"/>
      <c r="BZ274" s="30"/>
      <c r="CA274" s="30"/>
      <c r="CB274" s="30"/>
      <c r="CC274" s="30"/>
      <c r="CD274" s="30"/>
      <c r="CE274" s="30"/>
      <c r="CF274" s="30"/>
      <c r="CG274" s="30"/>
      <c r="CH274" s="30"/>
      <c r="CI274" s="30"/>
      <c r="CJ274" s="30"/>
      <c r="CK274" s="30"/>
      <c r="CL274" s="30"/>
      <c r="CM274" s="32"/>
      <c r="CN274" s="32"/>
      <c r="CO274" s="32" t="n">
        <f aca="false">CL274</f>
        <v>0</v>
      </c>
      <c r="CP274" s="32"/>
      <c r="CQ274" s="32"/>
      <c r="CR274" s="32"/>
      <c r="CS274" s="32"/>
      <c r="CT274" s="23"/>
      <c r="CV274" s="7"/>
      <c r="CW274" s="7"/>
      <c r="CX274" s="7"/>
      <c r="CY274" s="7"/>
    </row>
    <row r="275" customFormat="false" ht="15" hidden="false" customHeight="true" outlineLevel="0" collapsed="false">
      <c r="B275" s="13" t="s">
        <v>410</v>
      </c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1" t="n">
        <v>0</v>
      </c>
      <c r="V275" s="30"/>
      <c r="W275" s="30"/>
      <c r="X275" s="30"/>
      <c r="Y275" s="30"/>
      <c r="Z275" s="30"/>
      <c r="AA275" s="31" t="n">
        <v>0</v>
      </c>
      <c r="AB275" s="30"/>
      <c r="AC275" s="30"/>
      <c r="AD275" s="30"/>
      <c r="AE275" s="30"/>
      <c r="AF275" s="30"/>
      <c r="AG275" s="31" t="n">
        <v>0</v>
      </c>
      <c r="AH275" s="30"/>
      <c r="AI275" s="30"/>
      <c r="AJ275" s="30"/>
      <c r="AK275" s="30"/>
      <c r="AL275" s="30"/>
      <c r="AM275" s="31" t="n">
        <v>1.4</v>
      </c>
      <c r="AN275" s="30"/>
      <c r="AO275" s="30"/>
      <c r="AP275" s="30"/>
      <c r="AQ275" s="30"/>
      <c r="AR275" s="30"/>
      <c r="AS275" s="31" t="n">
        <v>1.3</v>
      </c>
      <c r="AT275" s="30"/>
      <c r="AU275" s="30"/>
      <c r="AV275" s="30"/>
      <c r="AW275" s="30"/>
      <c r="AX275" s="30"/>
      <c r="AY275" s="31" t="n">
        <v>0.5</v>
      </c>
      <c r="AZ275" s="30"/>
      <c r="BA275" s="30"/>
      <c r="BB275" s="30"/>
      <c r="BC275" s="30"/>
      <c r="BD275" s="30"/>
      <c r="BE275" s="31" t="n">
        <v>1</v>
      </c>
      <c r="BF275" s="30"/>
      <c r="BG275" s="30"/>
      <c r="BH275" s="30"/>
      <c r="BI275" s="30"/>
      <c r="BJ275" s="30"/>
      <c r="BK275" s="31" t="n">
        <v>0.6</v>
      </c>
      <c r="BL275" s="30"/>
      <c r="BM275" s="30"/>
      <c r="BN275" s="30"/>
      <c r="BO275" s="30"/>
      <c r="BP275" s="30"/>
      <c r="BQ275" s="31" t="n">
        <v>16.8</v>
      </c>
      <c r="BR275" s="30"/>
      <c r="BS275" s="30"/>
      <c r="BT275" s="30"/>
      <c r="BU275" s="30"/>
      <c r="BV275" s="30"/>
      <c r="BW275" s="31" t="n">
        <v>2.3</v>
      </c>
      <c r="BX275" s="30"/>
      <c r="BY275" s="30"/>
      <c r="BZ275" s="30"/>
      <c r="CA275" s="30"/>
      <c r="CB275" s="30"/>
      <c r="CC275" s="31" t="n">
        <v>0.2</v>
      </c>
      <c r="CD275" s="30"/>
      <c r="CE275" s="30"/>
      <c r="CF275" s="30"/>
      <c r="CG275" s="30"/>
      <c r="CH275" s="30"/>
      <c r="CI275" s="31" t="n">
        <v>0.8</v>
      </c>
      <c r="CJ275" s="30"/>
      <c r="CK275" s="30"/>
      <c r="CL275" s="31" t="n">
        <v>-5.2</v>
      </c>
      <c r="CM275" s="32"/>
      <c r="CN275" s="32"/>
      <c r="CO275" s="32" t="n">
        <f aca="false">CL275</f>
        <v>-5.2</v>
      </c>
      <c r="CP275" s="32"/>
      <c r="CQ275" s="32"/>
      <c r="CR275" s="32"/>
      <c r="CS275" s="32"/>
      <c r="CT275" s="23"/>
      <c r="CV275" s="7"/>
      <c r="CW275" s="7"/>
      <c r="CX275" s="7"/>
      <c r="CY275" s="7"/>
    </row>
    <row r="276" customFormat="false" ht="15" hidden="false" customHeight="true" outlineLevel="0" collapsed="false">
      <c r="B276" s="19" t="s">
        <v>411</v>
      </c>
      <c r="C276" s="21" t="n">
        <v>-277.7</v>
      </c>
      <c r="D276" s="21" t="n">
        <v>-87.6</v>
      </c>
      <c r="E276" s="21" t="n">
        <v>-326.6</v>
      </c>
      <c r="F276" s="21" t="n">
        <v>-68.7</v>
      </c>
      <c r="G276" s="21" t="n">
        <v>-101.2</v>
      </c>
      <c r="H276" s="21" t="n">
        <v>-271.9</v>
      </c>
      <c r="I276" s="21" t="n">
        <v>-453.4</v>
      </c>
      <c r="J276" s="20"/>
      <c r="K276" s="20"/>
      <c r="L276" s="20"/>
      <c r="M276" s="20"/>
      <c r="N276" s="20"/>
      <c r="O276" s="21" t="n">
        <v>-195</v>
      </c>
      <c r="P276" s="20"/>
      <c r="Q276" s="20"/>
      <c r="R276" s="20"/>
      <c r="S276" s="20"/>
      <c r="T276" s="20"/>
      <c r="U276" s="21" t="n">
        <v>-238.7</v>
      </c>
      <c r="V276" s="20"/>
      <c r="W276" s="20"/>
      <c r="X276" s="20"/>
      <c r="Y276" s="20"/>
      <c r="Z276" s="20"/>
      <c r="AA276" s="21" t="n">
        <v>-109.9</v>
      </c>
      <c r="AB276" s="20"/>
      <c r="AC276" s="20"/>
      <c r="AD276" s="20"/>
      <c r="AE276" s="20"/>
      <c r="AF276" s="20"/>
      <c r="AG276" s="21" t="n">
        <v>-151</v>
      </c>
      <c r="AH276" s="20"/>
      <c r="AI276" s="20"/>
      <c r="AJ276" s="20"/>
      <c r="AK276" s="20"/>
      <c r="AL276" s="20"/>
      <c r="AM276" s="21" t="n">
        <v>-831.2</v>
      </c>
      <c r="AN276" s="20"/>
      <c r="AO276" s="20"/>
      <c r="AP276" s="20"/>
      <c r="AQ276" s="20"/>
      <c r="AR276" s="20"/>
      <c r="AS276" s="21" t="n">
        <v>-88.6</v>
      </c>
      <c r="AT276" s="20"/>
      <c r="AU276" s="20"/>
      <c r="AV276" s="20"/>
      <c r="AW276" s="20"/>
      <c r="AX276" s="20"/>
      <c r="AY276" s="21" t="n">
        <v>-571.9</v>
      </c>
      <c r="AZ276" s="20"/>
      <c r="BA276" s="20"/>
      <c r="BB276" s="20"/>
      <c r="BC276" s="20"/>
      <c r="BD276" s="20"/>
      <c r="BE276" s="21" t="n">
        <v>-99.4</v>
      </c>
      <c r="BF276" s="20"/>
      <c r="BG276" s="20"/>
      <c r="BH276" s="20"/>
      <c r="BI276" s="20"/>
      <c r="BJ276" s="20"/>
      <c r="BK276" s="21" t="n">
        <v>-3824.3</v>
      </c>
      <c r="BL276" s="20"/>
      <c r="BM276" s="20"/>
      <c r="BN276" s="20"/>
      <c r="BO276" s="20"/>
      <c r="BP276" s="20"/>
      <c r="BQ276" s="21" t="n">
        <v>-175.4</v>
      </c>
      <c r="BR276" s="20"/>
      <c r="BS276" s="20"/>
      <c r="BT276" s="20"/>
      <c r="BU276" s="20"/>
      <c r="BV276" s="20"/>
      <c r="BW276" s="21" t="n">
        <v>-190.3</v>
      </c>
      <c r="BX276" s="20"/>
      <c r="BY276" s="20"/>
      <c r="BZ276" s="20"/>
      <c r="CA276" s="20"/>
      <c r="CB276" s="20"/>
      <c r="CC276" s="21" t="n">
        <v>-207.2</v>
      </c>
      <c r="CD276" s="20"/>
      <c r="CE276" s="20"/>
      <c r="CF276" s="20"/>
      <c r="CG276" s="20"/>
      <c r="CH276" s="20"/>
      <c r="CI276" s="21" t="n">
        <v>-937.9</v>
      </c>
      <c r="CJ276" s="20"/>
      <c r="CK276" s="20"/>
      <c r="CL276" s="21" t="n">
        <v>-118.8</v>
      </c>
      <c r="CM276" s="22"/>
      <c r="CN276" s="22"/>
      <c r="CO276" s="22" t="n">
        <f aca="false">SUM(CO272:CO275)</f>
        <v>-183.6</v>
      </c>
      <c r="CP276" s="22" t="n">
        <f aca="false">SUM(CP272:CP275)</f>
        <v>-893.599894518768</v>
      </c>
      <c r="CQ276" s="22" t="n">
        <f aca="false">SUM(CQ272:CQ275)</f>
        <v>-1156.92890442301</v>
      </c>
      <c r="CR276" s="22" t="n">
        <f aca="false">SUM(CR272:CR275)</f>
        <v>-1171.22259879663</v>
      </c>
      <c r="CS276" s="22" t="n">
        <f aca="false">SUM(CS272:CS275)</f>
        <v>-1186.148028959</v>
      </c>
      <c r="CT276" s="23"/>
      <c r="CV276" s="7"/>
      <c r="CW276" s="7"/>
      <c r="CX276" s="7"/>
      <c r="CY276" s="7"/>
    </row>
    <row r="277" customFormat="false" ht="15" hidden="false" customHeight="true" outlineLevel="0" collapsed="false">
      <c r="B277" s="13"/>
      <c r="CM277" s="7"/>
      <c r="CN277" s="7"/>
      <c r="CO277" s="7"/>
      <c r="CP277" s="7"/>
      <c r="CQ277" s="7"/>
      <c r="CR277" s="7"/>
      <c r="CS277" s="7"/>
      <c r="CT277" s="7"/>
    </row>
    <row r="278" customFormat="false" ht="15" hidden="false" customHeight="true" outlineLevel="0" collapsed="false">
      <c r="B278" s="13" t="s">
        <v>412</v>
      </c>
      <c r="C278" s="31" t="n">
        <v>182.1</v>
      </c>
      <c r="D278" s="31" t="n">
        <v>-88.8</v>
      </c>
      <c r="E278" s="31" t="n">
        <v>189.9</v>
      </c>
      <c r="F278" s="31" t="n">
        <v>-81.6</v>
      </c>
      <c r="G278" s="31" t="n">
        <v>3.6</v>
      </c>
      <c r="H278" s="31" t="n">
        <v>46.6</v>
      </c>
      <c r="I278" s="31" t="n">
        <v>229.2</v>
      </c>
      <c r="J278" s="30"/>
      <c r="K278" s="30"/>
      <c r="L278" s="30"/>
      <c r="M278" s="30"/>
      <c r="N278" s="30"/>
      <c r="O278" s="31" t="n">
        <v>0</v>
      </c>
      <c r="P278" s="30"/>
      <c r="Q278" s="30"/>
      <c r="R278" s="30"/>
      <c r="S278" s="30"/>
      <c r="T278" s="30"/>
      <c r="U278" s="31" t="n">
        <v>154.5</v>
      </c>
      <c r="V278" s="30"/>
      <c r="W278" s="30"/>
      <c r="X278" s="30"/>
      <c r="Y278" s="30"/>
      <c r="Z278" s="30"/>
      <c r="AA278" s="31" t="n">
        <v>180.2</v>
      </c>
      <c r="AB278" s="30"/>
      <c r="AC278" s="30"/>
      <c r="AD278" s="30"/>
      <c r="AE278" s="30"/>
      <c r="AF278" s="30"/>
      <c r="AG278" s="31" t="n">
        <v>-140.9</v>
      </c>
      <c r="AH278" s="30"/>
      <c r="AI278" s="30"/>
      <c r="AJ278" s="30"/>
      <c r="AK278" s="30"/>
      <c r="AL278" s="30"/>
      <c r="AM278" s="31" t="n">
        <v>533</v>
      </c>
      <c r="AN278" s="30"/>
      <c r="AO278" s="30"/>
      <c r="AP278" s="30"/>
      <c r="AQ278" s="30"/>
      <c r="AR278" s="30"/>
      <c r="AS278" s="31" t="n">
        <v>-124.5</v>
      </c>
      <c r="AT278" s="30"/>
      <c r="AU278" s="30"/>
      <c r="AV278" s="30"/>
      <c r="AW278" s="30"/>
      <c r="AX278" s="30"/>
      <c r="AY278" s="31" t="n">
        <v>246</v>
      </c>
      <c r="AZ278" s="30"/>
      <c r="BA278" s="30"/>
      <c r="BB278" s="30"/>
      <c r="BC278" s="30"/>
      <c r="BD278" s="30"/>
      <c r="BE278" s="31" t="n">
        <v>2.7</v>
      </c>
      <c r="BF278" s="30"/>
      <c r="BG278" s="30"/>
      <c r="BH278" s="30"/>
      <c r="BI278" s="30"/>
      <c r="BJ278" s="30"/>
      <c r="BK278" s="31" t="n">
        <v>3975.9</v>
      </c>
      <c r="BL278" s="30"/>
      <c r="BM278" s="30"/>
      <c r="BN278" s="30"/>
      <c r="BO278" s="30"/>
      <c r="BP278" s="30"/>
      <c r="BQ278" s="31" t="n">
        <v>0</v>
      </c>
      <c r="BR278" s="30"/>
      <c r="BS278" s="30"/>
      <c r="BT278" s="30"/>
      <c r="BU278" s="30"/>
      <c r="BV278" s="30"/>
      <c r="BW278" s="31" t="n">
        <v>-125</v>
      </c>
      <c r="BX278" s="30"/>
      <c r="BY278" s="30"/>
      <c r="BZ278" s="30"/>
      <c r="CA278" s="30"/>
      <c r="CB278" s="30"/>
      <c r="CC278" s="31" t="n">
        <v>0</v>
      </c>
      <c r="CD278" s="30"/>
      <c r="CE278" s="30"/>
      <c r="CF278" s="30"/>
      <c r="CG278" s="30"/>
      <c r="CH278" s="30"/>
      <c r="CI278" s="31" t="n">
        <v>0</v>
      </c>
      <c r="CJ278" s="30"/>
      <c r="CK278" s="30"/>
      <c r="CL278" s="30"/>
      <c r="CM278" s="32"/>
      <c r="CN278" s="32"/>
      <c r="CO278" s="32" t="n">
        <f aca="false">MAX(0,CO376-CI376)</f>
        <v>0</v>
      </c>
      <c r="CP278" s="32" t="n">
        <f aca="false">MAX(0,CP376-CO376)</f>
        <v>0</v>
      </c>
      <c r="CQ278" s="32" t="n">
        <f aca="false">MAX(0,CQ376-CP376)</f>
        <v>0</v>
      </c>
      <c r="CR278" s="32" t="n">
        <f aca="false">MAX(0,CR376-CQ376)</f>
        <v>0</v>
      </c>
      <c r="CS278" s="32" t="n">
        <f aca="false">MAX(0,CS376-CR376)</f>
        <v>0</v>
      </c>
      <c r="CT278" s="23"/>
      <c r="CV278" s="7"/>
      <c r="CW278" s="7"/>
      <c r="CX278" s="7"/>
      <c r="CY278" s="7"/>
    </row>
    <row r="279" customFormat="false" ht="15" hidden="false" customHeight="true" outlineLevel="0" collapsed="false">
      <c r="B279" s="13" t="s">
        <v>413</v>
      </c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1" t="n">
        <v>-5</v>
      </c>
      <c r="P279" s="30"/>
      <c r="Q279" s="30"/>
      <c r="R279" s="30"/>
      <c r="S279" s="30"/>
      <c r="T279" s="30"/>
      <c r="U279" s="31" t="n">
        <v>0</v>
      </c>
      <c r="V279" s="30"/>
      <c r="W279" s="30"/>
      <c r="X279" s="30"/>
      <c r="Y279" s="30"/>
      <c r="Z279" s="30"/>
      <c r="AA279" s="31" t="n">
        <v>-102.8</v>
      </c>
      <c r="AB279" s="30"/>
      <c r="AC279" s="30"/>
      <c r="AD279" s="30"/>
      <c r="AE279" s="30"/>
      <c r="AF279" s="30"/>
      <c r="AG279" s="31" t="n">
        <v>-22.2</v>
      </c>
      <c r="AH279" s="30"/>
      <c r="AI279" s="30"/>
      <c r="AJ279" s="30"/>
      <c r="AK279" s="30"/>
      <c r="AL279" s="30"/>
      <c r="AM279" s="31" t="n">
        <v>-139.3</v>
      </c>
      <c r="AN279" s="30"/>
      <c r="AO279" s="30"/>
      <c r="AP279" s="30"/>
      <c r="AQ279" s="30"/>
      <c r="AR279" s="30"/>
      <c r="AS279" s="31" t="n">
        <v>-182</v>
      </c>
      <c r="AT279" s="30"/>
      <c r="AU279" s="30"/>
      <c r="AV279" s="30"/>
      <c r="AW279" s="30"/>
      <c r="AX279" s="30"/>
      <c r="AY279" s="31" t="n">
        <v>-137.2</v>
      </c>
      <c r="AZ279" s="30"/>
      <c r="BA279" s="30"/>
      <c r="BB279" s="30"/>
      <c r="BC279" s="30"/>
      <c r="BD279" s="30"/>
      <c r="BE279" s="31" t="n">
        <v>-100.8</v>
      </c>
      <c r="BF279" s="30"/>
      <c r="BG279" s="30"/>
      <c r="BH279" s="30"/>
      <c r="BI279" s="30"/>
      <c r="BJ279" s="30"/>
      <c r="BK279" s="31" t="n">
        <v>-1141.7</v>
      </c>
      <c r="BL279" s="30"/>
      <c r="BM279" s="30"/>
      <c r="BN279" s="30"/>
      <c r="BO279" s="30"/>
      <c r="BP279" s="30"/>
      <c r="BQ279" s="31" t="n">
        <v>-174.8</v>
      </c>
      <c r="BR279" s="30"/>
      <c r="BS279" s="30"/>
      <c r="BT279" s="30"/>
      <c r="BU279" s="30"/>
      <c r="BV279" s="30"/>
      <c r="BW279" s="31" t="n">
        <v>-553.9</v>
      </c>
      <c r="BX279" s="30"/>
      <c r="BY279" s="30"/>
      <c r="BZ279" s="30"/>
      <c r="CA279" s="30"/>
      <c r="CB279" s="30"/>
      <c r="CC279" s="31" t="n">
        <v>-600.6</v>
      </c>
      <c r="CD279" s="30"/>
      <c r="CE279" s="30"/>
      <c r="CF279" s="30"/>
      <c r="CG279" s="30"/>
      <c r="CH279" s="30"/>
      <c r="CI279" s="31" t="n">
        <v>-163.8</v>
      </c>
      <c r="CJ279" s="30"/>
      <c r="CK279" s="30"/>
      <c r="CL279" s="31" t="n">
        <v>-450.6</v>
      </c>
      <c r="CM279" s="32"/>
      <c r="CN279" s="32"/>
      <c r="CO279" s="32" t="n">
        <f aca="false">MIN(0,CO376-CI376)</f>
        <v>-450.1</v>
      </c>
      <c r="CP279" s="32" t="n">
        <f aca="false">MIN(0,CP376-CO376)</f>
        <v>0</v>
      </c>
      <c r="CQ279" s="32" t="n">
        <f aca="false">MIN(0,CQ376-CP376)</f>
        <v>-700</v>
      </c>
      <c r="CR279" s="32" t="n">
        <f aca="false">MIN(0,CR376-CQ376)</f>
        <v>0</v>
      </c>
      <c r="CS279" s="32" t="n">
        <f aca="false">MIN(0,CS376-CR376)</f>
        <v>-427.3</v>
      </c>
      <c r="CT279" s="23" t="s">
        <v>414</v>
      </c>
      <c r="CV279" s="7"/>
      <c r="CW279" s="7"/>
      <c r="CX279" s="7"/>
      <c r="CY279" s="7"/>
    </row>
    <row r="280" customFormat="false" ht="15" hidden="false" customHeight="true" outlineLevel="0" collapsed="false">
      <c r="B280" s="13" t="s">
        <v>415</v>
      </c>
      <c r="C280" s="30"/>
      <c r="D280" s="30"/>
      <c r="E280" s="30"/>
      <c r="F280" s="31" t="n">
        <v>-0.8</v>
      </c>
      <c r="G280" s="30"/>
      <c r="H280" s="31" t="n">
        <v>-34.9</v>
      </c>
      <c r="I280" s="30"/>
      <c r="J280" s="30"/>
      <c r="K280" s="30"/>
      <c r="L280" s="30"/>
      <c r="M280" s="30"/>
      <c r="N280" s="30"/>
      <c r="O280" s="31" t="n">
        <v>0</v>
      </c>
      <c r="P280" s="30"/>
      <c r="Q280" s="30"/>
      <c r="R280" s="30"/>
      <c r="S280" s="30"/>
      <c r="T280" s="30"/>
      <c r="U280" s="31" t="n">
        <v>-146.6</v>
      </c>
      <c r="V280" s="30"/>
      <c r="W280" s="30"/>
      <c r="X280" s="30"/>
      <c r="Y280" s="30"/>
      <c r="Z280" s="30"/>
      <c r="AA280" s="31" t="n">
        <v>-243.8</v>
      </c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  <c r="BA280" s="30"/>
      <c r="BB280" s="30"/>
      <c r="BC280" s="30"/>
      <c r="BD280" s="30"/>
      <c r="BE280" s="30"/>
      <c r="BF280" s="30"/>
      <c r="BG280" s="30"/>
      <c r="BH280" s="30"/>
      <c r="BI280" s="30"/>
      <c r="BJ280" s="30"/>
      <c r="BK280" s="30"/>
      <c r="BL280" s="30"/>
      <c r="BM280" s="30"/>
      <c r="BN280" s="30"/>
      <c r="BO280" s="30"/>
      <c r="BP280" s="30"/>
      <c r="BQ280" s="31" t="n">
        <v>0</v>
      </c>
      <c r="BR280" s="30"/>
      <c r="BS280" s="30"/>
      <c r="BT280" s="30"/>
      <c r="BU280" s="30"/>
      <c r="BV280" s="30"/>
      <c r="BW280" s="31" t="n">
        <v>0</v>
      </c>
      <c r="BX280" s="30"/>
      <c r="BY280" s="30"/>
      <c r="BZ280" s="30"/>
      <c r="CA280" s="30"/>
      <c r="CB280" s="30"/>
      <c r="CC280" s="31" t="n">
        <v>-354</v>
      </c>
      <c r="CD280" s="30"/>
      <c r="CE280" s="30"/>
      <c r="CF280" s="30"/>
      <c r="CG280" s="30"/>
      <c r="CH280" s="30"/>
      <c r="CI280" s="31" t="n">
        <v>-402.9</v>
      </c>
      <c r="CJ280" s="30"/>
      <c r="CK280" s="30"/>
      <c r="CL280" s="31" t="n">
        <v>-2.9</v>
      </c>
      <c r="CM280" s="32"/>
      <c r="CN280" s="32"/>
      <c r="CO280" s="32" t="n">
        <f aca="false">CL280-CHOOSE(MATCH($CT$2,{"Bull","Base","Bear"},0),$DC$75,$DD$75,$DE$75)</f>
        <v>-2.9</v>
      </c>
      <c r="CP280" s="32" t="n">
        <f aca="false">-CHOOSE(MATCH($CT$2,{"Bull","Base","Bear"},0),$DC$76,$DD$76,$DE$76)</f>
        <v>-250</v>
      </c>
      <c r="CQ280" s="32" t="n">
        <f aca="false">-CHOOSE(MATCH($CT$2,{"Bull","Base","Bear"},0),$DC$77,$DD$77,$DE$77)</f>
        <v>-250</v>
      </c>
      <c r="CR280" s="32" t="n">
        <f aca="false">-CHOOSE(MATCH($CT$2,{"Bull","Base","Bear"},0),$DC$78,$DD$78,$DE$78)</f>
        <v>-250</v>
      </c>
      <c r="CS280" s="32" t="n">
        <f aca="false">-CHOOSE(MATCH($CT$2,{"Bull","Base","Bear"},0),$DC$79,$DD$79,$DE$79)</f>
        <v>-250</v>
      </c>
      <c r="CT280" s="23" t="s">
        <v>416</v>
      </c>
      <c r="CV280" s="7"/>
      <c r="CW280" s="7"/>
      <c r="CX280" s="7"/>
      <c r="CY280" s="7"/>
    </row>
    <row r="281" customFormat="false" ht="15" hidden="false" customHeight="true" outlineLevel="0" collapsed="false">
      <c r="B281" s="13" t="s">
        <v>417</v>
      </c>
      <c r="C281" s="31" t="n">
        <v>12.3</v>
      </c>
      <c r="D281" s="31" t="n">
        <v>6.5</v>
      </c>
      <c r="E281" s="31" t="n">
        <v>13</v>
      </c>
      <c r="F281" s="31" t="n">
        <v>1.1</v>
      </c>
      <c r="G281" s="31" t="n">
        <v>3.9</v>
      </c>
      <c r="H281" s="31" t="n">
        <v>14.8</v>
      </c>
      <c r="I281" s="31" t="n">
        <v>19.9</v>
      </c>
      <c r="J281" s="30"/>
      <c r="K281" s="30"/>
      <c r="L281" s="30"/>
      <c r="M281" s="30"/>
      <c r="N281" s="30"/>
      <c r="O281" s="31" t="n">
        <v>12.1</v>
      </c>
      <c r="P281" s="30"/>
      <c r="Q281" s="30"/>
      <c r="R281" s="30"/>
      <c r="S281" s="30"/>
      <c r="T281" s="30"/>
      <c r="U281" s="31" t="n">
        <v>18.3</v>
      </c>
      <c r="V281" s="30"/>
      <c r="W281" s="30"/>
      <c r="X281" s="30"/>
      <c r="Y281" s="30"/>
      <c r="Z281" s="30"/>
      <c r="AA281" s="31" t="n">
        <v>19</v>
      </c>
      <c r="AB281" s="30"/>
      <c r="AC281" s="30"/>
      <c r="AD281" s="30"/>
      <c r="AE281" s="30"/>
      <c r="AF281" s="30"/>
      <c r="AG281" s="31" t="n">
        <v>36.1</v>
      </c>
      <c r="AH281" s="30"/>
      <c r="AI281" s="30"/>
      <c r="AJ281" s="30"/>
      <c r="AK281" s="30"/>
      <c r="AL281" s="30"/>
      <c r="AM281" s="31" t="n">
        <v>24.9</v>
      </c>
      <c r="AN281" s="30"/>
      <c r="AO281" s="30"/>
      <c r="AP281" s="30"/>
      <c r="AQ281" s="30"/>
      <c r="AR281" s="30"/>
      <c r="AS281" s="31" t="n">
        <v>37.2</v>
      </c>
      <c r="AT281" s="30"/>
      <c r="AU281" s="30"/>
      <c r="AV281" s="30"/>
      <c r="AW281" s="30"/>
      <c r="AX281" s="30"/>
      <c r="AY281" s="31" t="n">
        <v>34.6</v>
      </c>
      <c r="AZ281" s="30"/>
      <c r="BA281" s="30"/>
      <c r="BB281" s="30"/>
      <c r="BC281" s="30"/>
      <c r="BD281" s="30"/>
      <c r="BE281" s="31" t="n">
        <v>36.3</v>
      </c>
      <c r="BF281" s="30"/>
      <c r="BG281" s="30"/>
      <c r="BH281" s="30"/>
      <c r="BI281" s="30"/>
      <c r="BJ281" s="30"/>
      <c r="BK281" s="31" t="n">
        <v>25.4</v>
      </c>
      <c r="BL281" s="30"/>
      <c r="BM281" s="30"/>
      <c r="BN281" s="30"/>
      <c r="BO281" s="30"/>
      <c r="BP281" s="30"/>
      <c r="BQ281" s="31" t="n">
        <v>23.6</v>
      </c>
      <c r="BR281" s="30"/>
      <c r="BS281" s="30"/>
      <c r="BT281" s="30"/>
      <c r="BU281" s="30"/>
      <c r="BV281" s="30"/>
      <c r="BW281" s="31" t="n">
        <v>45.4</v>
      </c>
      <c r="BX281" s="30"/>
      <c r="BY281" s="30"/>
      <c r="BZ281" s="30"/>
      <c r="CA281" s="30"/>
      <c r="CB281" s="30"/>
      <c r="CC281" s="31" t="n">
        <v>37.9</v>
      </c>
      <c r="CD281" s="30"/>
      <c r="CE281" s="30"/>
      <c r="CF281" s="30"/>
      <c r="CG281" s="30"/>
      <c r="CH281" s="30"/>
      <c r="CI281" s="31" t="n">
        <v>48.8</v>
      </c>
      <c r="CJ281" s="30"/>
      <c r="CK281" s="30"/>
      <c r="CL281" s="31" t="n">
        <v>32.2</v>
      </c>
      <c r="CM281" s="32"/>
      <c r="CN281" s="32"/>
      <c r="CO281" s="33" t="n">
        <v>50</v>
      </c>
      <c r="CP281" s="33" t="n">
        <v>40</v>
      </c>
      <c r="CQ281" s="33" t="n">
        <v>40</v>
      </c>
      <c r="CR281" s="33" t="n">
        <v>40</v>
      </c>
      <c r="CS281" s="33" t="n">
        <v>40</v>
      </c>
      <c r="CT281" s="23"/>
      <c r="CV281" s="7"/>
      <c r="CW281" s="7"/>
      <c r="CX281" s="7"/>
      <c r="CY281" s="7"/>
    </row>
    <row r="282" customFormat="false" ht="15" hidden="false" customHeight="true" outlineLevel="0" collapsed="false">
      <c r="B282" s="13" t="s">
        <v>418</v>
      </c>
      <c r="C282" s="31" t="n">
        <v>8.6</v>
      </c>
      <c r="D282" s="31" t="n">
        <v>3.6</v>
      </c>
      <c r="E282" s="31" t="n">
        <v>10.3</v>
      </c>
      <c r="F282" s="31" t="n">
        <v>0.8</v>
      </c>
      <c r="G282" s="31" t="n">
        <v>0.9</v>
      </c>
      <c r="H282" s="31" t="n">
        <v>3.1</v>
      </c>
      <c r="I282" s="31" t="n">
        <v>11.2</v>
      </c>
      <c r="J282" s="30"/>
      <c r="K282" s="30"/>
      <c r="L282" s="30"/>
      <c r="M282" s="30"/>
      <c r="N282" s="30"/>
      <c r="O282" s="31" t="n">
        <v>4</v>
      </c>
      <c r="P282" s="30"/>
      <c r="Q282" s="30"/>
      <c r="R282" s="30"/>
      <c r="S282" s="30"/>
      <c r="T282" s="30"/>
      <c r="U282" s="31" t="n">
        <v>4.2</v>
      </c>
      <c r="V282" s="30"/>
      <c r="W282" s="30"/>
      <c r="X282" s="30"/>
      <c r="Y282" s="30"/>
      <c r="Z282" s="30"/>
      <c r="AA282" s="31" t="n">
        <v>2.4</v>
      </c>
      <c r="AB282" s="30"/>
      <c r="AC282" s="30"/>
      <c r="AD282" s="30"/>
      <c r="AE282" s="30"/>
      <c r="AF282" s="30"/>
      <c r="AG282" s="31" t="n">
        <v>-18</v>
      </c>
      <c r="AH282" s="30"/>
      <c r="AI282" s="30"/>
      <c r="AJ282" s="30"/>
      <c r="AK282" s="30"/>
      <c r="AL282" s="30"/>
      <c r="AM282" s="31" t="n">
        <v>-4.5</v>
      </c>
      <c r="AN282" s="30"/>
      <c r="AO282" s="30"/>
      <c r="AP282" s="30"/>
      <c r="AQ282" s="30"/>
      <c r="AR282" s="30"/>
      <c r="AS282" s="31" t="n">
        <v>-2</v>
      </c>
      <c r="AT282" s="30"/>
      <c r="AU282" s="30"/>
      <c r="AV282" s="30"/>
      <c r="AW282" s="30"/>
      <c r="AX282" s="30"/>
      <c r="AY282" s="31" t="n">
        <v>-1.7</v>
      </c>
      <c r="AZ282" s="30"/>
      <c r="BA282" s="30"/>
      <c r="BB282" s="30"/>
      <c r="BC282" s="30"/>
      <c r="BD282" s="30"/>
      <c r="BE282" s="31" t="n">
        <v>0</v>
      </c>
      <c r="BF282" s="30"/>
      <c r="BG282" s="30"/>
      <c r="BH282" s="30"/>
      <c r="BI282" s="30"/>
      <c r="BJ282" s="30"/>
      <c r="BK282" s="31" t="n">
        <v>-52.5</v>
      </c>
      <c r="BL282" s="30"/>
      <c r="BM282" s="30"/>
      <c r="BN282" s="30"/>
      <c r="BO282" s="30"/>
      <c r="BP282" s="30"/>
      <c r="BQ282" s="31" t="n">
        <v>41.2</v>
      </c>
      <c r="BR282" s="30"/>
      <c r="BS282" s="30"/>
      <c r="BT282" s="30"/>
      <c r="BU282" s="30"/>
      <c r="BV282" s="30"/>
      <c r="BW282" s="31" t="n">
        <v>-18</v>
      </c>
      <c r="BX282" s="30"/>
      <c r="BY282" s="30"/>
      <c r="BZ282" s="30"/>
      <c r="CA282" s="30"/>
      <c r="CB282" s="30"/>
      <c r="CC282" s="31" t="n">
        <v>-29.1</v>
      </c>
      <c r="CD282" s="30"/>
      <c r="CE282" s="30"/>
      <c r="CF282" s="30"/>
      <c r="CG282" s="30"/>
      <c r="CH282" s="30"/>
      <c r="CI282" s="31" t="n">
        <v>-37.3</v>
      </c>
      <c r="CJ282" s="30"/>
      <c r="CK282" s="30"/>
      <c r="CL282" s="31" t="n">
        <v>-15.4</v>
      </c>
      <c r="CM282" s="32"/>
      <c r="CN282" s="32"/>
      <c r="CO282" s="33" t="n">
        <v>0</v>
      </c>
      <c r="CP282" s="32"/>
      <c r="CQ282" s="32"/>
      <c r="CR282" s="32"/>
      <c r="CS282" s="32"/>
      <c r="CT282" s="23"/>
      <c r="CV282" s="7"/>
      <c r="CW282" s="7"/>
      <c r="CX282" s="7"/>
      <c r="CY282" s="7"/>
    </row>
    <row r="283" customFormat="false" ht="15" hidden="false" customHeight="true" outlineLevel="0" collapsed="false">
      <c r="B283" s="19" t="s">
        <v>419</v>
      </c>
      <c r="C283" s="21" t="n">
        <v>203</v>
      </c>
      <c r="D283" s="21" t="n">
        <v>-78.7</v>
      </c>
      <c r="E283" s="21" t="n">
        <v>213.2</v>
      </c>
      <c r="F283" s="21" t="n">
        <v>-80.5</v>
      </c>
      <c r="G283" s="21" t="n">
        <v>8.4</v>
      </c>
      <c r="H283" s="21" t="n">
        <v>29.6</v>
      </c>
      <c r="I283" s="21" t="n">
        <v>260.3</v>
      </c>
      <c r="J283" s="20"/>
      <c r="K283" s="20"/>
      <c r="L283" s="20"/>
      <c r="M283" s="20"/>
      <c r="N283" s="20"/>
      <c r="O283" s="21" t="n">
        <v>11.1</v>
      </c>
      <c r="P283" s="20"/>
      <c r="Q283" s="20"/>
      <c r="R283" s="20"/>
      <c r="S283" s="20"/>
      <c r="T283" s="20"/>
      <c r="U283" s="21" t="n">
        <v>30.4</v>
      </c>
      <c r="V283" s="20"/>
      <c r="W283" s="20"/>
      <c r="X283" s="20"/>
      <c r="Y283" s="20"/>
      <c r="Z283" s="20"/>
      <c r="AA283" s="21" t="n">
        <v>-145</v>
      </c>
      <c r="AB283" s="20"/>
      <c r="AC283" s="20"/>
      <c r="AD283" s="20"/>
      <c r="AE283" s="20"/>
      <c r="AF283" s="20"/>
      <c r="AG283" s="21" t="n">
        <v>-145</v>
      </c>
      <c r="AH283" s="20"/>
      <c r="AI283" s="20"/>
      <c r="AJ283" s="20"/>
      <c r="AK283" s="20"/>
      <c r="AL283" s="20"/>
      <c r="AM283" s="21" t="n">
        <v>414.1</v>
      </c>
      <c r="AN283" s="20"/>
      <c r="AO283" s="20"/>
      <c r="AP283" s="20"/>
      <c r="AQ283" s="20"/>
      <c r="AR283" s="20"/>
      <c r="AS283" s="21" t="n">
        <v>-271.3</v>
      </c>
      <c r="AT283" s="20"/>
      <c r="AU283" s="20"/>
      <c r="AV283" s="20"/>
      <c r="AW283" s="20"/>
      <c r="AX283" s="20"/>
      <c r="AY283" s="21" t="n">
        <v>141.7</v>
      </c>
      <c r="AZ283" s="20"/>
      <c r="BA283" s="20"/>
      <c r="BB283" s="20"/>
      <c r="BC283" s="20"/>
      <c r="BD283" s="20"/>
      <c r="BE283" s="21" t="n">
        <v>-61.8</v>
      </c>
      <c r="BF283" s="20"/>
      <c r="BG283" s="20"/>
      <c r="BH283" s="20"/>
      <c r="BI283" s="20"/>
      <c r="BJ283" s="20"/>
      <c r="BK283" s="21" t="n">
        <v>2807.1</v>
      </c>
      <c r="BL283" s="20"/>
      <c r="BM283" s="20"/>
      <c r="BN283" s="20"/>
      <c r="BO283" s="20"/>
      <c r="BP283" s="20"/>
      <c r="BQ283" s="21" t="n">
        <v>-110</v>
      </c>
      <c r="BR283" s="20"/>
      <c r="BS283" s="20"/>
      <c r="BT283" s="20"/>
      <c r="BU283" s="20"/>
      <c r="BV283" s="20"/>
      <c r="BW283" s="21" t="n">
        <v>-651.5</v>
      </c>
      <c r="BX283" s="20"/>
      <c r="BY283" s="20"/>
      <c r="BZ283" s="20"/>
      <c r="CA283" s="20"/>
      <c r="CB283" s="20"/>
      <c r="CC283" s="21" t="n">
        <v>-945.8</v>
      </c>
      <c r="CD283" s="20"/>
      <c r="CE283" s="20"/>
      <c r="CF283" s="20"/>
      <c r="CG283" s="20"/>
      <c r="CH283" s="20"/>
      <c r="CI283" s="21" t="n">
        <v>-555.2</v>
      </c>
      <c r="CJ283" s="20"/>
      <c r="CK283" s="20"/>
      <c r="CL283" s="21" t="n">
        <v>-436.7</v>
      </c>
      <c r="CM283" s="22"/>
      <c r="CN283" s="22"/>
      <c r="CO283" s="22" t="n">
        <f aca="false">SUM(CO278:CO282)</f>
        <v>-403</v>
      </c>
      <c r="CP283" s="22" t="n">
        <f aca="false">SUM(CP278:CP282)</f>
        <v>-210</v>
      </c>
      <c r="CQ283" s="22" t="n">
        <f aca="false">SUM(CQ278:CQ282)</f>
        <v>-910</v>
      </c>
      <c r="CR283" s="22" t="n">
        <f aca="false">SUM(CR278:CR282)</f>
        <v>-210</v>
      </c>
      <c r="CS283" s="22" t="n">
        <f aca="false">SUM(CS278:CS282)</f>
        <v>-637.3</v>
      </c>
      <c r="CT283" s="23"/>
      <c r="CV283" s="7"/>
      <c r="CW283" s="7"/>
      <c r="CX283" s="7"/>
      <c r="CY283" s="7"/>
    </row>
    <row r="284" customFormat="false" ht="15" hidden="false" customHeight="true" outlineLevel="0" collapsed="false">
      <c r="B284" s="13" t="s">
        <v>420</v>
      </c>
      <c r="C284" s="30"/>
      <c r="D284" s="30"/>
      <c r="E284" s="30"/>
      <c r="F284" s="30"/>
      <c r="G284" s="30"/>
      <c r="H284" s="30"/>
      <c r="I284" s="31" t="n">
        <v>0.3</v>
      </c>
      <c r="J284" s="30"/>
      <c r="K284" s="30"/>
      <c r="L284" s="30"/>
      <c r="M284" s="30"/>
      <c r="N284" s="30"/>
      <c r="O284" s="31" t="n">
        <v>0.8</v>
      </c>
      <c r="P284" s="30"/>
      <c r="Q284" s="30"/>
      <c r="R284" s="30"/>
      <c r="S284" s="30"/>
      <c r="T284" s="30"/>
      <c r="U284" s="31" t="n">
        <v>-4.2</v>
      </c>
      <c r="V284" s="30"/>
      <c r="W284" s="30"/>
      <c r="X284" s="30"/>
      <c r="Y284" s="30"/>
      <c r="Z284" s="30"/>
      <c r="AA284" s="31" t="n">
        <v>-11.6</v>
      </c>
      <c r="AB284" s="30"/>
      <c r="AC284" s="30"/>
      <c r="AD284" s="30"/>
      <c r="AE284" s="30"/>
      <c r="AF284" s="30"/>
      <c r="AG284" s="31" t="n">
        <v>-7.5</v>
      </c>
      <c r="AH284" s="30"/>
      <c r="AI284" s="30"/>
      <c r="AJ284" s="30"/>
      <c r="AK284" s="30"/>
      <c r="AL284" s="30"/>
      <c r="AM284" s="31" t="n">
        <v>14.7</v>
      </c>
      <c r="AN284" s="30"/>
      <c r="AO284" s="30"/>
      <c r="AP284" s="30"/>
      <c r="AQ284" s="30"/>
      <c r="AR284" s="30"/>
      <c r="AS284" s="31" t="n">
        <v>-15.4</v>
      </c>
      <c r="AT284" s="30"/>
      <c r="AU284" s="30"/>
      <c r="AV284" s="30"/>
      <c r="AW284" s="30"/>
      <c r="AX284" s="30"/>
      <c r="AY284" s="31" t="n">
        <v>5.1</v>
      </c>
      <c r="AZ284" s="30"/>
      <c r="BA284" s="30"/>
      <c r="BB284" s="30"/>
      <c r="BC284" s="30"/>
      <c r="BD284" s="30"/>
      <c r="BE284" s="31" t="n">
        <v>15.9</v>
      </c>
      <c r="BF284" s="30"/>
      <c r="BG284" s="30"/>
      <c r="BH284" s="30"/>
      <c r="BI284" s="30"/>
      <c r="BJ284" s="30"/>
      <c r="BK284" s="31" t="n">
        <v>-5.8</v>
      </c>
      <c r="BL284" s="30"/>
      <c r="BM284" s="30"/>
      <c r="BN284" s="30"/>
      <c r="BO284" s="30"/>
      <c r="BP284" s="30"/>
      <c r="BQ284" s="31" t="n">
        <v>-38</v>
      </c>
      <c r="BR284" s="30"/>
      <c r="BS284" s="30"/>
      <c r="BT284" s="30"/>
      <c r="BU284" s="30"/>
      <c r="BV284" s="30"/>
      <c r="BW284" s="31" t="n">
        <v>15.9</v>
      </c>
      <c r="BX284" s="30"/>
      <c r="BY284" s="30"/>
      <c r="BZ284" s="30"/>
      <c r="CA284" s="30"/>
      <c r="CB284" s="30"/>
      <c r="CC284" s="31" t="n">
        <v>-37.4</v>
      </c>
      <c r="CD284" s="30"/>
      <c r="CE284" s="30"/>
      <c r="CF284" s="30"/>
      <c r="CG284" s="30"/>
      <c r="CH284" s="30"/>
      <c r="CI284" s="31" t="n">
        <v>4.4</v>
      </c>
      <c r="CJ284" s="30"/>
      <c r="CK284" s="30"/>
      <c r="CL284" s="31" t="n">
        <v>-6</v>
      </c>
      <c r="CM284" s="32"/>
      <c r="CN284" s="32"/>
      <c r="CO284" s="33" t="n">
        <v>0</v>
      </c>
      <c r="CP284" s="32"/>
      <c r="CQ284" s="32"/>
      <c r="CR284" s="32"/>
      <c r="CS284" s="32"/>
      <c r="CT284" s="23"/>
      <c r="CV284" s="7"/>
      <c r="CW284" s="7"/>
      <c r="CX284" s="7"/>
      <c r="CY284" s="7"/>
    </row>
    <row r="285" customFormat="false" ht="15" hidden="false" customHeight="true" outlineLevel="0" collapsed="false">
      <c r="B285" s="19" t="s">
        <v>421</v>
      </c>
      <c r="C285" s="21" t="n">
        <v>3.7</v>
      </c>
      <c r="D285" s="21" t="n">
        <v>0.4</v>
      </c>
      <c r="E285" s="21" t="n">
        <v>7</v>
      </c>
      <c r="F285" s="21" t="n">
        <v>5.7</v>
      </c>
      <c r="G285" s="21" t="n">
        <v>49</v>
      </c>
      <c r="H285" s="21" t="n">
        <v>-25.7</v>
      </c>
      <c r="I285" s="21" t="n">
        <v>-3.6</v>
      </c>
      <c r="J285" s="20"/>
      <c r="K285" s="20"/>
      <c r="L285" s="20"/>
      <c r="M285" s="20"/>
      <c r="N285" s="20"/>
      <c r="O285" s="21" t="n">
        <v>20.2</v>
      </c>
      <c r="P285" s="20"/>
      <c r="Q285" s="20"/>
      <c r="R285" s="20"/>
      <c r="S285" s="20"/>
      <c r="T285" s="20"/>
      <c r="U285" s="21" t="n">
        <v>75.4</v>
      </c>
      <c r="V285" s="20"/>
      <c r="W285" s="20"/>
      <c r="X285" s="20"/>
      <c r="Y285" s="20"/>
      <c r="Z285" s="20"/>
      <c r="AA285" s="21" t="n">
        <v>-56.3</v>
      </c>
      <c r="AB285" s="20"/>
      <c r="AC285" s="20"/>
      <c r="AD285" s="20"/>
      <c r="AE285" s="20"/>
      <c r="AF285" s="20"/>
      <c r="AG285" s="21" t="n">
        <v>13.5</v>
      </c>
      <c r="AH285" s="20"/>
      <c r="AI285" s="20"/>
      <c r="AJ285" s="20"/>
      <c r="AK285" s="20"/>
      <c r="AL285" s="20"/>
      <c r="AM285" s="21" t="n">
        <v>-27.7</v>
      </c>
      <c r="AN285" s="20"/>
      <c r="AO285" s="20"/>
      <c r="AP285" s="20"/>
      <c r="AQ285" s="20"/>
      <c r="AR285" s="20"/>
      <c r="AS285" s="21" t="n">
        <v>71.6</v>
      </c>
      <c r="AT285" s="20"/>
      <c r="AU285" s="20"/>
      <c r="AV285" s="20"/>
      <c r="AW285" s="20"/>
      <c r="AX285" s="20"/>
      <c r="AY285" s="21" t="n">
        <v>57</v>
      </c>
      <c r="AZ285" s="20"/>
      <c r="BA285" s="20"/>
      <c r="BB285" s="20"/>
      <c r="BC285" s="20"/>
      <c r="BD285" s="20"/>
      <c r="BE285" s="21" t="n">
        <v>473.6</v>
      </c>
      <c r="BF285" s="20"/>
      <c r="BG285" s="20"/>
      <c r="BH285" s="20"/>
      <c r="BI285" s="20"/>
      <c r="BJ285" s="20"/>
      <c r="BK285" s="21" t="n">
        <v>-198.4</v>
      </c>
      <c r="BL285" s="20"/>
      <c r="BM285" s="20"/>
      <c r="BN285" s="20"/>
      <c r="BO285" s="20"/>
      <c r="BP285" s="20"/>
      <c r="BQ285" s="21" t="n">
        <v>163.4</v>
      </c>
      <c r="BR285" s="20"/>
      <c r="BS285" s="20"/>
      <c r="BT285" s="20"/>
      <c r="BU285" s="20"/>
      <c r="BV285" s="20"/>
      <c r="BW285" s="21" t="n">
        <v>10.2</v>
      </c>
      <c r="BX285" s="20"/>
      <c r="BY285" s="20"/>
      <c r="BZ285" s="20"/>
      <c r="CA285" s="20"/>
      <c r="CB285" s="20"/>
      <c r="CC285" s="21" t="n">
        <v>1.5</v>
      </c>
      <c r="CD285" s="20"/>
      <c r="CE285" s="20"/>
      <c r="CF285" s="20"/>
      <c r="CG285" s="20"/>
      <c r="CH285" s="20"/>
      <c r="CI285" s="21" t="n">
        <v>-297.4</v>
      </c>
      <c r="CJ285" s="20"/>
      <c r="CK285" s="20"/>
      <c r="CL285" s="21" t="n">
        <v>-12.3</v>
      </c>
      <c r="CM285" s="22"/>
      <c r="CN285" s="22"/>
      <c r="CO285" s="22" t="n">
        <f aca="false">CO271+CO276+CO283+CO284</f>
        <v>649.60152944626</v>
      </c>
      <c r="CP285" s="22" t="n">
        <f aca="false">CP271+CP276+CP283+CP284</f>
        <v>339.612198428092</v>
      </c>
      <c r="CQ285" s="22" t="n">
        <f aca="false">CQ271+CQ276+CQ283+CQ284</f>
        <v>-476.415676331401</v>
      </c>
      <c r="CR285" s="22" t="n">
        <f aca="false">CR271+CR276+CR283+CR284</f>
        <v>370.304085279008</v>
      </c>
      <c r="CS285" s="22" t="n">
        <f aca="false">CS271+CS276+CS283+CS284</f>
        <v>96.5957390088931</v>
      </c>
      <c r="CT285" s="23"/>
      <c r="CV285" s="7"/>
      <c r="CW285" s="7"/>
      <c r="CX285" s="7"/>
      <c r="CY285" s="7"/>
    </row>
    <row r="286" customFormat="false" ht="15" hidden="false" customHeight="true" outlineLevel="0" collapsed="false">
      <c r="B286" s="13" t="s">
        <v>422</v>
      </c>
      <c r="C286" s="31" t="n">
        <v>9.3</v>
      </c>
      <c r="D286" s="31" t="n">
        <v>13</v>
      </c>
      <c r="E286" s="31" t="n">
        <v>13.4</v>
      </c>
      <c r="F286" s="31" t="n">
        <v>20.4</v>
      </c>
      <c r="G286" s="31" t="n">
        <v>26.1</v>
      </c>
      <c r="H286" s="31" t="n">
        <v>75.1</v>
      </c>
      <c r="I286" s="31" t="n">
        <v>49.4</v>
      </c>
      <c r="J286" s="30"/>
      <c r="K286" s="30"/>
      <c r="L286" s="30"/>
      <c r="M286" s="30"/>
      <c r="N286" s="30"/>
      <c r="O286" s="31" t="n">
        <v>45.8</v>
      </c>
      <c r="P286" s="30"/>
      <c r="Q286" s="30"/>
      <c r="R286" s="30"/>
      <c r="S286" s="30"/>
      <c r="T286" s="30"/>
      <c r="U286" s="31" t="n">
        <v>66</v>
      </c>
      <c r="V286" s="30"/>
      <c r="W286" s="30"/>
      <c r="X286" s="30"/>
      <c r="Y286" s="30"/>
      <c r="Z286" s="30"/>
      <c r="AA286" s="31" t="n">
        <v>141.4</v>
      </c>
      <c r="AB286" s="30"/>
      <c r="AC286" s="30"/>
      <c r="AD286" s="30"/>
      <c r="AE286" s="30"/>
      <c r="AF286" s="30"/>
      <c r="AG286" s="31" t="n">
        <v>85.1</v>
      </c>
      <c r="AH286" s="30"/>
      <c r="AI286" s="30"/>
      <c r="AJ286" s="30"/>
      <c r="AK286" s="30"/>
      <c r="AL286" s="30"/>
      <c r="AM286" s="31" t="n">
        <v>98.6</v>
      </c>
      <c r="AN286" s="30"/>
      <c r="AO286" s="30"/>
      <c r="AP286" s="30"/>
      <c r="AQ286" s="30"/>
      <c r="AR286" s="30"/>
      <c r="AS286" s="31" t="n">
        <v>70.9</v>
      </c>
      <c r="AT286" s="30"/>
      <c r="AU286" s="30"/>
      <c r="AV286" s="30"/>
      <c r="AW286" s="30"/>
      <c r="AX286" s="30"/>
      <c r="AY286" s="31" t="n">
        <v>142.5</v>
      </c>
      <c r="AZ286" s="30"/>
      <c r="BA286" s="30"/>
      <c r="BB286" s="30"/>
      <c r="BC286" s="30"/>
      <c r="BD286" s="30"/>
      <c r="BE286" s="31" t="n">
        <v>199.5</v>
      </c>
      <c r="BF286" s="30"/>
      <c r="BG286" s="30"/>
      <c r="BH286" s="30"/>
      <c r="BI286" s="30"/>
      <c r="BJ286" s="30"/>
      <c r="BK286" s="31" t="n">
        <v>673.1</v>
      </c>
      <c r="BL286" s="30"/>
      <c r="BM286" s="30"/>
      <c r="BN286" s="30"/>
      <c r="BO286" s="30"/>
      <c r="BP286" s="30"/>
      <c r="BQ286" s="31" t="n">
        <v>474.7</v>
      </c>
      <c r="BR286" s="30"/>
      <c r="BS286" s="30"/>
      <c r="BT286" s="30"/>
      <c r="BU286" s="30"/>
      <c r="BV286" s="30"/>
      <c r="BW286" s="31" t="n">
        <v>638.1</v>
      </c>
      <c r="BX286" s="30"/>
      <c r="BY286" s="30"/>
      <c r="BZ286" s="30"/>
      <c r="CA286" s="30"/>
      <c r="CB286" s="30"/>
      <c r="CC286" s="31" t="n">
        <v>648.3</v>
      </c>
      <c r="CD286" s="30"/>
      <c r="CE286" s="30"/>
      <c r="CF286" s="30"/>
      <c r="CG286" s="30"/>
      <c r="CH286" s="30"/>
      <c r="CI286" s="31" t="n">
        <v>649.8</v>
      </c>
      <c r="CJ286" s="30"/>
      <c r="CK286" s="30"/>
      <c r="CL286" s="31" t="n">
        <v>352.4</v>
      </c>
      <c r="CM286" s="32"/>
      <c r="CN286" s="32"/>
      <c r="CO286" s="32" t="n">
        <f aca="false">CI287</f>
        <v>352.4</v>
      </c>
      <c r="CP286" s="32" t="n">
        <f aca="false">CO287</f>
        <v>1002.00152944626</v>
      </c>
      <c r="CQ286" s="32" t="n">
        <f aca="false">CP287</f>
        <v>1341.61372787435</v>
      </c>
      <c r="CR286" s="32" t="n">
        <f aca="false">CQ287</f>
        <v>865.198051542951</v>
      </c>
      <c r="CS286" s="32" t="n">
        <f aca="false">CR287</f>
        <v>1235.50213682196</v>
      </c>
      <c r="CT286" s="23"/>
      <c r="CV286" s="7"/>
      <c r="CW286" s="7"/>
      <c r="CX286" s="7"/>
      <c r="CY286" s="7"/>
    </row>
    <row r="287" customFormat="false" ht="15" hidden="false" customHeight="true" outlineLevel="0" collapsed="false">
      <c r="B287" s="19" t="s">
        <v>423</v>
      </c>
      <c r="C287" s="21" t="n">
        <v>13</v>
      </c>
      <c r="D287" s="21" t="n">
        <v>13.4</v>
      </c>
      <c r="E287" s="21" t="n">
        <v>20.4</v>
      </c>
      <c r="F287" s="21" t="n">
        <v>26.1</v>
      </c>
      <c r="G287" s="21" t="n">
        <v>75.1</v>
      </c>
      <c r="H287" s="21" t="n">
        <v>49.4</v>
      </c>
      <c r="I287" s="21" t="n">
        <v>45.8</v>
      </c>
      <c r="J287" s="20"/>
      <c r="K287" s="20"/>
      <c r="L287" s="20"/>
      <c r="M287" s="20"/>
      <c r="N287" s="20"/>
      <c r="O287" s="21" t="n">
        <v>66</v>
      </c>
      <c r="P287" s="20"/>
      <c r="Q287" s="20"/>
      <c r="R287" s="20"/>
      <c r="S287" s="20"/>
      <c r="T287" s="20"/>
      <c r="U287" s="21" t="n">
        <v>141.4</v>
      </c>
      <c r="V287" s="20"/>
      <c r="W287" s="20"/>
      <c r="X287" s="20"/>
      <c r="Y287" s="20"/>
      <c r="Z287" s="20"/>
      <c r="AA287" s="21" t="n">
        <v>85.1</v>
      </c>
      <c r="AB287" s="20"/>
      <c r="AC287" s="20"/>
      <c r="AD287" s="20"/>
      <c r="AE287" s="20"/>
      <c r="AF287" s="20"/>
      <c r="AG287" s="21" t="n">
        <v>98.6</v>
      </c>
      <c r="AH287" s="20"/>
      <c r="AI287" s="20"/>
      <c r="AJ287" s="20"/>
      <c r="AK287" s="20"/>
      <c r="AL287" s="20"/>
      <c r="AM287" s="21" t="n">
        <v>70.9</v>
      </c>
      <c r="AN287" s="20"/>
      <c r="AO287" s="20"/>
      <c r="AP287" s="20"/>
      <c r="AQ287" s="20"/>
      <c r="AR287" s="20"/>
      <c r="AS287" s="21" t="n">
        <v>142.5</v>
      </c>
      <c r="AT287" s="20"/>
      <c r="AU287" s="20"/>
      <c r="AV287" s="20"/>
      <c r="AW287" s="20"/>
      <c r="AX287" s="20"/>
      <c r="AY287" s="21" t="n">
        <v>199.5</v>
      </c>
      <c r="AZ287" s="20"/>
      <c r="BA287" s="20"/>
      <c r="BB287" s="20"/>
      <c r="BC287" s="20"/>
      <c r="BD287" s="20"/>
      <c r="BE287" s="21" t="n">
        <v>673.1</v>
      </c>
      <c r="BF287" s="20"/>
      <c r="BG287" s="20"/>
      <c r="BH287" s="20"/>
      <c r="BI287" s="20"/>
      <c r="BJ287" s="20"/>
      <c r="BK287" s="21" t="n">
        <v>474.7</v>
      </c>
      <c r="BL287" s="20"/>
      <c r="BM287" s="20"/>
      <c r="BN287" s="20"/>
      <c r="BO287" s="20"/>
      <c r="BP287" s="20"/>
      <c r="BQ287" s="21" t="n">
        <v>638.1</v>
      </c>
      <c r="BR287" s="20"/>
      <c r="BS287" s="20"/>
      <c r="BT287" s="20"/>
      <c r="BU287" s="20"/>
      <c r="BV287" s="20"/>
      <c r="BW287" s="21" t="n">
        <v>648.3</v>
      </c>
      <c r="BX287" s="20"/>
      <c r="BY287" s="20"/>
      <c r="BZ287" s="20"/>
      <c r="CA287" s="20"/>
      <c r="CB287" s="20"/>
      <c r="CC287" s="21" t="n">
        <v>649.8</v>
      </c>
      <c r="CD287" s="20"/>
      <c r="CE287" s="20"/>
      <c r="CF287" s="20"/>
      <c r="CG287" s="20"/>
      <c r="CH287" s="20"/>
      <c r="CI287" s="21" t="n">
        <v>352.4</v>
      </c>
      <c r="CJ287" s="20"/>
      <c r="CK287" s="20"/>
      <c r="CL287" s="21" t="n">
        <v>340.1</v>
      </c>
      <c r="CM287" s="22"/>
      <c r="CN287" s="22"/>
      <c r="CO287" s="22" t="n">
        <f aca="false">CO286+CO285</f>
        <v>1002.00152944626</v>
      </c>
      <c r="CP287" s="22" t="n">
        <f aca="false">CP286+CP285</f>
        <v>1341.61372787435</v>
      </c>
      <c r="CQ287" s="22" t="n">
        <f aca="false">CQ286+CQ285</f>
        <v>865.198051542951</v>
      </c>
      <c r="CR287" s="22" t="n">
        <f aca="false">CR286+CR285</f>
        <v>1235.50213682196</v>
      </c>
      <c r="CS287" s="22" t="n">
        <f aca="false">CS286+CS285</f>
        <v>1332.09787583085</v>
      </c>
      <c r="CT287" s="23"/>
      <c r="CV287" s="7"/>
      <c r="CW287" s="7"/>
      <c r="CX287" s="7"/>
      <c r="CY287" s="7"/>
    </row>
    <row r="288" customFormat="false" ht="15" hidden="false" customHeight="true" outlineLevel="0" collapsed="false">
      <c r="B288" s="39" t="s">
        <v>424</v>
      </c>
      <c r="C288" s="30" t="n">
        <f aca="false">IF(ISNUMBER(C271),ROUND(C271+C276+C283+N(C284)+N(C289)-C285,1),"")</f>
        <v>0</v>
      </c>
      <c r="D288" s="30" t="n">
        <f aca="false">IF(ISNUMBER(D271),ROUND(D271+D276+D283+N(D284)+N(D289)-D285,1),"")</f>
        <v>-0</v>
      </c>
      <c r="E288" s="30" t="n">
        <f aca="false">IF(ISNUMBER(E271),ROUND(E271+E276+E283+N(E284)+N(E289)-E285,1),"")</f>
        <v>-0</v>
      </c>
      <c r="F288" s="30" t="n">
        <f aca="false">IF(ISNUMBER(F271),ROUND(F271+F276+F283+N(F284)+N(F289)-F285,1),"")</f>
        <v>0</v>
      </c>
      <c r="G288" s="30" t="n">
        <f aca="false">IF(ISNUMBER(G271),ROUND(G271+G276+G283+N(G284)+N(G289)-G285,1),"")</f>
        <v>0</v>
      </c>
      <c r="H288" s="30" t="n">
        <f aca="false">IF(ISNUMBER(H271),ROUND(H271+H276+H283+N(H284)+N(H289)-H285,1),"")</f>
        <v>0</v>
      </c>
      <c r="I288" s="30" t="n">
        <f aca="false">IF(ISNUMBER(I271),ROUND(I271+I276+I283+N(I284)+N(I289)-I285,1),"")</f>
        <v>0</v>
      </c>
      <c r="J288" s="30"/>
      <c r="K288" s="30"/>
      <c r="L288" s="30"/>
      <c r="M288" s="30"/>
      <c r="N288" s="30"/>
      <c r="O288" s="30" t="n">
        <f aca="false">IF(ISNUMBER(O271),ROUND(O271+O276+O283+N(O284)+N(O289)-O285,1),"")</f>
        <v>0</v>
      </c>
      <c r="P288" s="30"/>
      <c r="Q288" s="30"/>
      <c r="R288" s="30"/>
      <c r="S288" s="30"/>
      <c r="T288" s="30"/>
      <c r="U288" s="30" t="n">
        <f aca="false">IF(ISNUMBER(U271),ROUND(U271+U276+U283+N(U284)+N(U289)-U285,1),"")</f>
        <v>0</v>
      </c>
      <c r="V288" s="30"/>
      <c r="W288" s="30"/>
      <c r="X288" s="30"/>
      <c r="Y288" s="30"/>
      <c r="Z288" s="30"/>
      <c r="AA288" s="30" t="n">
        <f aca="false">IF(ISNUMBER(AA271),ROUND(AA271+AA276+AA283+N(AA284)+N(AA289)-AA285,1),"")</f>
        <v>0</v>
      </c>
      <c r="AB288" s="30"/>
      <c r="AC288" s="30"/>
      <c r="AD288" s="30"/>
      <c r="AE288" s="30"/>
      <c r="AF288" s="30"/>
      <c r="AG288" s="30" t="n">
        <f aca="false">IF(ISNUMBER(AG271),ROUND(AG271+AG276+AG283+N(AG284)+N(AG289)-AG285,1),"")</f>
        <v>0</v>
      </c>
      <c r="AH288" s="30"/>
      <c r="AI288" s="30"/>
      <c r="AJ288" s="30"/>
      <c r="AK288" s="30"/>
      <c r="AL288" s="30"/>
      <c r="AM288" s="30" t="n">
        <f aca="false">IF(ISNUMBER(AM271),ROUND(AM271+AM276+AM283+N(AM284)+N(AM289)-AM285,1),"")</f>
        <v>0</v>
      </c>
      <c r="AN288" s="30"/>
      <c r="AO288" s="30"/>
      <c r="AP288" s="30"/>
      <c r="AQ288" s="30"/>
      <c r="AR288" s="30"/>
      <c r="AS288" s="30" t="n">
        <f aca="false">IF(ISNUMBER(AS271),ROUND(AS271+AS276+AS283+N(AS284)+N(AS289)-AS285,1),"")</f>
        <v>0</v>
      </c>
      <c r="AT288" s="30"/>
      <c r="AU288" s="30"/>
      <c r="AV288" s="30"/>
      <c r="AW288" s="30"/>
      <c r="AX288" s="30"/>
      <c r="AY288" s="30" t="n">
        <f aca="false">IF(ISNUMBER(AY271),ROUND(AY271+AY276+AY283+N(AY284)+N(AY289)-AY285,1),"")</f>
        <v>0</v>
      </c>
      <c r="AZ288" s="30"/>
      <c r="BA288" s="30"/>
      <c r="BB288" s="30"/>
      <c r="BC288" s="30"/>
      <c r="BD288" s="30"/>
      <c r="BE288" s="30" t="n">
        <f aca="false">IF(ISNUMBER(BE271),ROUND(BE271+BE276+BE283+N(BE284)+N(BE289)-BE285,1),"")</f>
        <v>0</v>
      </c>
      <c r="BF288" s="30"/>
      <c r="BG288" s="30"/>
      <c r="BH288" s="30"/>
      <c r="BI288" s="30"/>
      <c r="BJ288" s="30"/>
      <c r="BK288" s="30" t="n">
        <f aca="false">IF(ISNUMBER(BK271),ROUND(BK271+BK276+BK283+N(BK284)+N(BK289)-BK285,1),"")</f>
        <v>0</v>
      </c>
      <c r="BL288" s="30"/>
      <c r="BM288" s="30"/>
      <c r="BN288" s="30"/>
      <c r="BO288" s="30"/>
      <c r="BP288" s="30"/>
      <c r="BQ288" s="30" t="n">
        <f aca="false">IF(ISNUMBER(BQ271),ROUND(BQ271+BQ276+BQ283+N(BQ284)+N(BQ289)-BQ285,1),"")</f>
        <v>0</v>
      </c>
      <c r="BR288" s="30"/>
      <c r="BS288" s="30"/>
      <c r="BT288" s="30"/>
      <c r="BU288" s="30"/>
      <c r="BV288" s="30"/>
      <c r="BW288" s="30" t="n">
        <f aca="false">IF(ISNUMBER(BW271),ROUND(BW271+BW276+BW283+N(BW284)+N(BW289)-BW285,1),"")</f>
        <v>-0</v>
      </c>
      <c r="BX288" s="30"/>
      <c r="BY288" s="30"/>
      <c r="BZ288" s="30"/>
      <c r="CA288" s="30"/>
      <c r="CB288" s="30"/>
      <c r="CC288" s="30" t="n">
        <f aca="false">IF(ISNUMBER(CC271),ROUND(CC271+CC276+CC283+N(CC284)+N(CC289)-CC285,1),"")</f>
        <v>0</v>
      </c>
      <c r="CD288" s="30"/>
      <c r="CE288" s="30"/>
      <c r="CF288" s="30"/>
      <c r="CG288" s="30"/>
      <c r="CH288" s="30"/>
      <c r="CI288" s="30" t="n">
        <f aca="false">IF(ISNUMBER(CI271),ROUND(CI271+CI276+CI283+N(CI284)+N(CI289)-CI285,1),"")</f>
        <v>0</v>
      </c>
      <c r="CJ288" s="30"/>
      <c r="CK288" s="30"/>
      <c r="CL288" s="30" t="n">
        <f aca="false">IF(ISNUMBER(CL271),ROUND(CL271+CL276+CL283+N(CL284)+N(CL289)-CL285,1),"")</f>
        <v>0</v>
      </c>
      <c r="CM288" s="32"/>
      <c r="CN288" s="32"/>
      <c r="CO288" s="32"/>
      <c r="CP288" s="32"/>
      <c r="CQ288" s="32"/>
      <c r="CR288" s="32"/>
      <c r="CS288" s="32"/>
      <c r="CT288" s="23"/>
      <c r="CV288" s="7"/>
      <c r="CW288" s="7"/>
      <c r="CX288" s="7"/>
      <c r="CY288" s="7"/>
    </row>
    <row r="289" customFormat="false" ht="15" hidden="false" customHeight="true" outlineLevel="0" collapsed="false">
      <c r="B289" s="37" t="s">
        <v>425</v>
      </c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30"/>
      <c r="BD289" s="30"/>
      <c r="BE289" s="30"/>
      <c r="BF289" s="30"/>
      <c r="BG289" s="30"/>
      <c r="BH289" s="30"/>
      <c r="BI289" s="30"/>
      <c r="BJ289" s="30"/>
      <c r="BK289" s="30"/>
      <c r="BL289" s="30"/>
      <c r="BM289" s="30"/>
      <c r="BN289" s="30"/>
      <c r="BO289" s="30"/>
      <c r="BP289" s="30"/>
      <c r="BQ289" s="30"/>
      <c r="BR289" s="30"/>
      <c r="BS289" s="30"/>
      <c r="BT289" s="30"/>
      <c r="BU289" s="30"/>
      <c r="BV289" s="30"/>
      <c r="BW289" s="30"/>
      <c r="BX289" s="30"/>
      <c r="BY289" s="30"/>
      <c r="BZ289" s="30"/>
      <c r="CA289" s="30"/>
      <c r="CB289" s="30"/>
      <c r="CC289" s="30"/>
      <c r="CD289" s="30"/>
      <c r="CE289" s="30"/>
      <c r="CF289" s="30"/>
      <c r="CG289" s="30"/>
      <c r="CH289" s="30"/>
      <c r="CI289" s="30"/>
      <c r="CJ289" s="30"/>
      <c r="CK289" s="30"/>
      <c r="CL289" s="30"/>
      <c r="CM289" s="32"/>
      <c r="CN289" s="32"/>
      <c r="CO289" s="32"/>
      <c r="CP289" s="32"/>
      <c r="CQ289" s="32"/>
      <c r="CR289" s="32"/>
      <c r="CS289" s="32"/>
      <c r="CT289" s="23"/>
      <c r="CV289" s="7"/>
      <c r="CW289" s="7"/>
      <c r="CX289" s="7"/>
      <c r="CY289" s="7"/>
    </row>
    <row r="290" customFormat="false" ht="15" hidden="false" customHeight="true" outlineLevel="0" collapsed="false">
      <c r="B290" s="13" t="s">
        <v>426</v>
      </c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/>
      <c r="BB290" s="30"/>
      <c r="BC290" s="30"/>
      <c r="BD290" s="30"/>
      <c r="BE290" s="30"/>
      <c r="BF290" s="30"/>
      <c r="BG290" s="30"/>
      <c r="BH290" s="30"/>
      <c r="BI290" s="30"/>
      <c r="BJ290" s="30"/>
      <c r="BK290" s="30"/>
      <c r="BL290" s="30"/>
      <c r="BM290" s="30"/>
      <c r="BN290" s="30"/>
      <c r="BO290" s="30"/>
      <c r="BP290" s="30"/>
      <c r="BQ290" s="30"/>
      <c r="BR290" s="30"/>
      <c r="BS290" s="30"/>
      <c r="BT290" s="30"/>
      <c r="BU290" s="30"/>
      <c r="BV290" s="30"/>
      <c r="BW290" s="30"/>
      <c r="BX290" s="30"/>
      <c r="BY290" s="30"/>
      <c r="BZ290" s="30"/>
      <c r="CA290" s="30"/>
      <c r="CB290" s="30"/>
      <c r="CC290" s="30"/>
      <c r="CD290" s="30"/>
      <c r="CE290" s="30"/>
      <c r="CF290" s="30"/>
      <c r="CG290" s="30"/>
      <c r="CH290" s="30"/>
      <c r="CI290" s="30"/>
      <c r="CJ290" s="30"/>
      <c r="CK290" s="30"/>
      <c r="CL290" s="30"/>
      <c r="CM290" s="32"/>
      <c r="CN290" s="32"/>
      <c r="CO290" s="32"/>
      <c r="CP290" s="32"/>
      <c r="CQ290" s="32"/>
      <c r="CR290" s="32"/>
      <c r="CS290" s="32"/>
      <c r="CT290" s="23"/>
      <c r="CV290" s="7"/>
      <c r="CW290" s="7"/>
      <c r="CX290" s="7"/>
      <c r="CY290" s="7"/>
    </row>
    <row r="291" customFormat="false" ht="15" hidden="false" customHeight="true" outlineLevel="0" collapsed="false">
      <c r="B291" s="34" t="s">
        <v>427</v>
      </c>
      <c r="C291" s="35" t="n">
        <f aca="false">IF(ISNUMBER(C271),C271+N(C272),"")</f>
        <v>52</v>
      </c>
      <c r="D291" s="35" t="n">
        <f aca="false">IF(ISNUMBER(D271),D271+N(D272),"")</f>
        <v>126.4</v>
      </c>
      <c r="E291" s="35" t="n">
        <f aca="false">IF(ISNUMBER(E271),E271+N(E272),"")</f>
        <v>82.2</v>
      </c>
      <c r="F291" s="35" t="n">
        <f aca="false">IF(ISNUMBER(F271),F271+N(F272),"")</f>
        <v>121.4</v>
      </c>
      <c r="G291" s="35" t="n">
        <f aca="false">IF(ISNUMBER(G271),G271+N(G272),"")</f>
        <v>110.8</v>
      </c>
      <c r="H291" s="35" t="n">
        <f aca="false">IF(ISNUMBER(H271),H271+N(H272),"")</f>
        <v>174.9</v>
      </c>
      <c r="I291" s="35" t="n">
        <f aca="false">IF(ISNUMBER(I271),I271+N(I272),"")</f>
        <v>123.9</v>
      </c>
      <c r="J291" s="20"/>
      <c r="K291" s="20"/>
      <c r="L291" s="20"/>
      <c r="M291" s="20"/>
      <c r="N291" s="20"/>
      <c r="O291" s="35" t="n">
        <f aca="false">IF(ISNUMBER(O271),O271+N(O272),"")</f>
        <v>130.7</v>
      </c>
      <c r="P291" s="20"/>
      <c r="Q291" s="20"/>
      <c r="R291" s="20"/>
      <c r="S291" s="20"/>
      <c r="T291" s="20"/>
      <c r="U291" s="35" t="n">
        <f aca="false">IF(ISNUMBER(U271),U271+N(U272),"")</f>
        <v>244.4</v>
      </c>
      <c r="V291" s="20"/>
      <c r="W291" s="20"/>
      <c r="X291" s="20"/>
      <c r="Y291" s="20"/>
      <c r="Z291" s="20"/>
      <c r="AA291" s="35" t="n">
        <f aca="false">IF(ISNUMBER(AA271),AA271+N(AA272),"")</f>
        <v>163.2</v>
      </c>
      <c r="AB291" s="20"/>
      <c r="AC291" s="20"/>
      <c r="AD291" s="20"/>
      <c r="AE291" s="20"/>
      <c r="AF291" s="20"/>
      <c r="AG291" s="35" t="n">
        <f aca="false">IF(ISNUMBER(AG271),AG271+N(AG272),"")</f>
        <v>229.4</v>
      </c>
      <c r="AH291" s="20"/>
      <c r="AI291" s="20"/>
      <c r="AJ291" s="20"/>
      <c r="AK291" s="20"/>
      <c r="AL291" s="20"/>
      <c r="AM291" s="35" t="n">
        <f aca="false">IF(ISNUMBER(AM271),AM271+N(AM272),"")</f>
        <v>316.2</v>
      </c>
      <c r="AN291" s="20"/>
      <c r="AO291" s="20"/>
      <c r="AP291" s="20"/>
      <c r="AQ291" s="20"/>
      <c r="AR291" s="20"/>
      <c r="AS291" s="35" t="n">
        <f aca="false">IF(ISNUMBER(AS271),AS271+N(AS272),"")</f>
        <v>360.1</v>
      </c>
      <c r="AT291" s="20"/>
      <c r="AU291" s="20"/>
      <c r="AV291" s="20"/>
      <c r="AW291" s="20"/>
      <c r="AX291" s="20"/>
      <c r="AY291" s="35" t="n">
        <f aca="false">IF(ISNUMBER(AY271),AY271+N(AY272),"")</f>
        <v>393.7</v>
      </c>
      <c r="AZ291" s="20"/>
      <c r="BA291" s="20"/>
      <c r="BB291" s="20"/>
      <c r="BC291" s="20"/>
      <c r="BD291" s="20"/>
      <c r="BE291" s="35" t="n">
        <f aca="false">IF(ISNUMBER(BE271),BE271+N(BE272),"")</f>
        <v>547.5</v>
      </c>
      <c r="BF291" s="20"/>
      <c r="BG291" s="20"/>
      <c r="BH291" s="20"/>
      <c r="BI291" s="20"/>
      <c r="BJ291" s="20"/>
      <c r="BK291" s="35" t="n">
        <f aca="false">IF(ISNUMBER(BK271),BK271+N(BK272),"")</f>
        <v>723</v>
      </c>
      <c r="BL291" s="20"/>
      <c r="BM291" s="20"/>
      <c r="BN291" s="20"/>
      <c r="BO291" s="20"/>
      <c r="BP291" s="20"/>
      <c r="BQ291" s="35" t="n">
        <f aca="false">IF(ISNUMBER(BQ271),BQ271+N(BQ272),"")</f>
        <v>394.2</v>
      </c>
      <c r="BR291" s="20"/>
      <c r="BS291" s="20"/>
      <c r="BT291" s="20"/>
      <c r="BU291" s="20"/>
      <c r="BV291" s="20"/>
      <c r="BW291" s="35" t="n">
        <f aca="false">IF(ISNUMBER(BW271),BW271+N(BW272),"")</f>
        <v>721.2</v>
      </c>
      <c r="BX291" s="20"/>
      <c r="BY291" s="20"/>
      <c r="BZ291" s="20"/>
      <c r="CA291" s="20"/>
      <c r="CB291" s="20"/>
      <c r="CC291" s="35" t="n">
        <f aca="false">IF(ISNUMBER(CC271),CC271+N(CC272),"")</f>
        <v>1108.2</v>
      </c>
      <c r="CD291" s="20"/>
      <c r="CE291" s="20"/>
      <c r="CF291" s="20"/>
      <c r="CG291" s="20"/>
      <c r="CH291" s="20"/>
      <c r="CI291" s="35" t="n">
        <f aca="false">IF(ISNUMBER(CI271),CI271+N(CI272),"")</f>
        <v>1074</v>
      </c>
      <c r="CJ291" s="20"/>
      <c r="CK291" s="20"/>
      <c r="CL291" s="20" t="n">
        <f aca="false">IF(ISNUMBER(CL271),CL271+N(CL272),"")</f>
        <v>489</v>
      </c>
      <c r="CM291" s="35"/>
      <c r="CN291" s="35"/>
      <c r="CO291" s="35" t="n">
        <f aca="false">CO271+CO272</f>
        <v>1111.20152944626</v>
      </c>
      <c r="CP291" s="35" t="n">
        <f aca="false">CP271+CP272</f>
        <v>1299.61219842809</v>
      </c>
      <c r="CQ291" s="35" t="n">
        <f aca="false">CQ271+CQ272</f>
        <v>1433.5843236686</v>
      </c>
      <c r="CR291" s="35" t="n">
        <f aca="false">CR271+CR272</f>
        <v>1580.30408527901</v>
      </c>
      <c r="CS291" s="35" t="n">
        <f aca="false">CS271+CS272</f>
        <v>1733.89573900889</v>
      </c>
      <c r="CT291" s="23" t="s">
        <v>428</v>
      </c>
      <c r="CV291" s="24" t="n">
        <f aca="false">IFERROR((CS291/CI291)^(1/5)-1,"n/m")</f>
        <v>0.100534697792458</v>
      </c>
      <c r="CW291" s="24" t="n">
        <f aca="false">IFERROR((CI291/BE291)^(1/5)-1,"n/m")</f>
        <v>0.144258195289753</v>
      </c>
      <c r="CX291" s="24" t="n">
        <f aca="false">IFERROR((CI291/AA291)^(1/10)-1,"n/m")</f>
        <v>0.207336728915743</v>
      </c>
      <c r="CY291" s="24" t="n">
        <f aca="false">IFERROR((CI291/C291)^(1/19)-1,"n/m")</f>
        <v>0.172763863850088</v>
      </c>
    </row>
    <row r="292" customFormat="false" ht="15" hidden="false" customHeight="true" outlineLevel="0" collapsed="false">
      <c r="B292" s="37" t="s">
        <v>429</v>
      </c>
      <c r="C292" s="31" t="n">
        <v>52</v>
      </c>
      <c r="D292" s="31" t="n">
        <v>126.4</v>
      </c>
      <c r="E292" s="31" t="n">
        <v>78.5</v>
      </c>
      <c r="F292" s="31" t="n">
        <v>118.7</v>
      </c>
      <c r="G292" s="31" t="n">
        <v>96.1</v>
      </c>
      <c r="H292" s="31" t="n">
        <v>177.8</v>
      </c>
      <c r="I292" s="31" t="n">
        <v>124.2</v>
      </c>
      <c r="J292" s="30"/>
      <c r="K292" s="30"/>
      <c r="L292" s="30"/>
      <c r="M292" s="30"/>
      <c r="N292" s="30"/>
      <c r="O292" s="31" t="n">
        <v>131.5</v>
      </c>
      <c r="P292" s="30"/>
      <c r="Q292" s="30"/>
      <c r="R292" s="30"/>
      <c r="S292" s="30"/>
      <c r="T292" s="30"/>
      <c r="U292" s="31" t="n">
        <v>244.4</v>
      </c>
      <c r="V292" s="30"/>
      <c r="W292" s="30"/>
      <c r="X292" s="30"/>
      <c r="Y292" s="30"/>
      <c r="Z292" s="30"/>
      <c r="AA292" s="31" t="n">
        <v>163.2</v>
      </c>
      <c r="AB292" s="30"/>
      <c r="AC292" s="30"/>
      <c r="AD292" s="30"/>
      <c r="AE292" s="30"/>
      <c r="AF292" s="30"/>
      <c r="AG292" s="31" t="n">
        <v>229.4</v>
      </c>
      <c r="AH292" s="30"/>
      <c r="AI292" s="30"/>
      <c r="AJ292" s="30"/>
      <c r="AK292" s="30"/>
      <c r="AL292" s="30"/>
      <c r="AM292" s="31" t="n">
        <v>316.2</v>
      </c>
      <c r="AN292" s="30"/>
      <c r="AO292" s="30"/>
      <c r="AP292" s="30"/>
      <c r="AQ292" s="30"/>
      <c r="AR292" s="30"/>
      <c r="AS292" s="31" t="n">
        <v>360.1</v>
      </c>
      <c r="AT292" s="30"/>
      <c r="AU292" s="30"/>
      <c r="AV292" s="30"/>
      <c r="AW292" s="30"/>
      <c r="AX292" s="30"/>
      <c r="AY292" s="31" t="n">
        <v>393.7</v>
      </c>
      <c r="AZ292" s="30"/>
      <c r="BA292" s="30"/>
      <c r="BB292" s="30"/>
      <c r="BC292" s="30"/>
      <c r="BD292" s="30"/>
      <c r="BE292" s="31" t="n">
        <v>547.5</v>
      </c>
      <c r="BF292" s="30"/>
      <c r="BG292" s="30"/>
      <c r="BH292" s="30"/>
      <c r="BI292" s="30"/>
      <c r="BJ292" s="30"/>
      <c r="BK292" s="31" t="n">
        <v>723</v>
      </c>
      <c r="BL292" s="30"/>
      <c r="BM292" s="30"/>
      <c r="BN292" s="30"/>
      <c r="BO292" s="30"/>
      <c r="BP292" s="30"/>
      <c r="BQ292" s="31" t="n">
        <v>394.2</v>
      </c>
      <c r="BR292" s="30"/>
      <c r="BS292" s="30"/>
      <c r="BT292" s="30"/>
      <c r="BU292" s="30"/>
      <c r="BV292" s="30"/>
      <c r="BW292" s="31" t="n">
        <v>721.2</v>
      </c>
      <c r="BX292" s="30"/>
      <c r="BY292" s="30"/>
      <c r="BZ292" s="30"/>
      <c r="CA292" s="30"/>
      <c r="CB292" s="30"/>
      <c r="CC292" s="31" t="n">
        <v>1108.2</v>
      </c>
      <c r="CD292" s="30"/>
      <c r="CE292" s="30"/>
      <c r="CF292" s="30"/>
      <c r="CG292" s="30"/>
      <c r="CH292" s="30"/>
      <c r="CI292" s="31" t="n">
        <v>1074</v>
      </c>
      <c r="CJ292" s="30"/>
      <c r="CK292" s="30"/>
      <c r="CL292" s="30"/>
      <c r="CM292" s="32"/>
      <c r="CN292" s="32"/>
      <c r="CO292" s="32"/>
      <c r="CP292" s="32"/>
      <c r="CQ292" s="32"/>
      <c r="CR292" s="32"/>
      <c r="CS292" s="32"/>
      <c r="CT292" s="23"/>
      <c r="CV292" s="7"/>
      <c r="CW292" s="7"/>
      <c r="CX292" s="7"/>
      <c r="CY292" s="7"/>
    </row>
    <row r="293" customFormat="false" ht="15" hidden="false" customHeight="true" outlineLevel="0" collapsed="false">
      <c r="B293" s="26" t="s">
        <v>430</v>
      </c>
      <c r="C293" s="27"/>
      <c r="D293" s="27" t="n">
        <f aca="false">IFERROR(D291/C291-1,"")</f>
        <v>1.43076923076923</v>
      </c>
      <c r="E293" s="27" t="n">
        <f aca="false">IFERROR(E291/D291-1,"")</f>
        <v>-0.349683544303797</v>
      </c>
      <c r="F293" s="27" t="n">
        <f aca="false">IFERROR(F291/E291-1,"")</f>
        <v>0.476885644768857</v>
      </c>
      <c r="G293" s="27" t="n">
        <f aca="false">IFERROR(G291/F291-1,"")</f>
        <v>-0.0873146622734761</v>
      </c>
      <c r="H293" s="27" t="n">
        <f aca="false">IFERROR(H291/G291-1,"")</f>
        <v>0.578519855595667</v>
      </c>
      <c r="I293" s="27" t="n">
        <f aca="false">IFERROR(I291/H291-1,"")</f>
        <v>-0.291595197255575</v>
      </c>
      <c r="J293" s="27"/>
      <c r="K293" s="27"/>
      <c r="L293" s="27"/>
      <c r="M293" s="27"/>
      <c r="N293" s="27"/>
      <c r="O293" s="27" t="n">
        <f aca="false">IFERROR(O291/I291-1,"")</f>
        <v>0.0548829701372076</v>
      </c>
      <c r="P293" s="27"/>
      <c r="Q293" s="27"/>
      <c r="R293" s="27"/>
      <c r="S293" s="27"/>
      <c r="T293" s="27"/>
      <c r="U293" s="27" t="n">
        <f aca="false">IFERROR(U291/O291-1,"")</f>
        <v>0.869931140015302</v>
      </c>
      <c r="V293" s="27"/>
      <c r="W293" s="27"/>
      <c r="X293" s="27"/>
      <c r="Y293" s="27"/>
      <c r="Z293" s="27"/>
      <c r="AA293" s="27" t="n">
        <f aca="false">IFERROR(AA291/U291-1,"")</f>
        <v>-0.332242225859247</v>
      </c>
      <c r="AB293" s="27"/>
      <c r="AC293" s="27"/>
      <c r="AD293" s="27"/>
      <c r="AE293" s="27"/>
      <c r="AF293" s="27"/>
      <c r="AG293" s="27" t="n">
        <f aca="false">IFERROR(AG291/AA291-1,"")</f>
        <v>0.405637254901961</v>
      </c>
      <c r="AH293" s="27"/>
      <c r="AI293" s="27"/>
      <c r="AJ293" s="27"/>
      <c r="AK293" s="27"/>
      <c r="AL293" s="27"/>
      <c r="AM293" s="27" t="n">
        <f aca="false">IFERROR(AM291/AG291-1,"")</f>
        <v>0.378378378378378</v>
      </c>
      <c r="AN293" s="27"/>
      <c r="AO293" s="27"/>
      <c r="AP293" s="27"/>
      <c r="AQ293" s="27"/>
      <c r="AR293" s="27"/>
      <c r="AS293" s="27" t="n">
        <f aca="false">IFERROR(AS291/AM291-1,"")</f>
        <v>0.138836179633143</v>
      </c>
      <c r="AT293" s="27"/>
      <c r="AU293" s="27"/>
      <c r="AV293" s="27"/>
      <c r="AW293" s="27"/>
      <c r="AX293" s="27"/>
      <c r="AY293" s="27" t="n">
        <f aca="false">IFERROR(AY291/AS291-1,"")</f>
        <v>0.0933074146070538</v>
      </c>
      <c r="AZ293" s="27"/>
      <c r="BA293" s="27"/>
      <c r="BB293" s="27"/>
      <c r="BC293" s="27"/>
      <c r="BD293" s="27"/>
      <c r="BE293" s="27" t="n">
        <f aca="false">IFERROR(BE291/AY291-1,"")</f>
        <v>0.390652781305562</v>
      </c>
      <c r="BF293" s="27"/>
      <c r="BG293" s="27"/>
      <c r="BH293" s="27"/>
      <c r="BI293" s="27"/>
      <c r="BJ293" s="27"/>
      <c r="BK293" s="27" t="n">
        <f aca="false">IFERROR(BK291/BE291-1,"")</f>
        <v>0.320547945205479</v>
      </c>
      <c r="BL293" s="27"/>
      <c r="BM293" s="27"/>
      <c r="BN293" s="27"/>
      <c r="BO293" s="27"/>
      <c r="BP293" s="27"/>
      <c r="BQ293" s="27" t="n">
        <f aca="false">IFERROR(BQ291/BK291-1,"")</f>
        <v>-0.454771784232365</v>
      </c>
      <c r="BR293" s="27"/>
      <c r="BS293" s="27"/>
      <c r="BT293" s="27"/>
      <c r="BU293" s="27"/>
      <c r="BV293" s="27"/>
      <c r="BW293" s="27" t="n">
        <f aca="false">IFERROR(BW291/BQ291-1,"")</f>
        <v>0.829528158295282</v>
      </c>
      <c r="BX293" s="27"/>
      <c r="BY293" s="27"/>
      <c r="BZ293" s="27"/>
      <c r="CA293" s="27"/>
      <c r="CB293" s="27"/>
      <c r="CC293" s="27" t="n">
        <f aca="false">IFERROR(CC291/BW291-1,"")</f>
        <v>0.536605657237937</v>
      </c>
      <c r="CD293" s="27"/>
      <c r="CE293" s="27"/>
      <c r="CF293" s="27"/>
      <c r="CG293" s="27"/>
      <c r="CH293" s="27"/>
      <c r="CI293" s="27" t="n">
        <f aca="false">IFERROR(CI291/CC291-1,"")</f>
        <v>-0.0308608554412562</v>
      </c>
      <c r="CJ293" s="27"/>
      <c r="CK293" s="27"/>
      <c r="CL293" s="27"/>
      <c r="CM293" s="28"/>
      <c r="CN293" s="28"/>
      <c r="CO293" s="28" t="n">
        <f aca="false">IFERROR(CO291/CI291-1,"")</f>
        <v>0.0346382955737985</v>
      </c>
      <c r="CP293" s="28" t="n">
        <f aca="false">IFERROR(CP291/CO291-1,"")</f>
        <v>0.16955580422547</v>
      </c>
      <c r="CQ293" s="28" t="n">
        <f aca="false">IFERROR(CQ291/CP291-1,"")</f>
        <v>0.103086232495008</v>
      </c>
      <c r="CR293" s="28" t="n">
        <f aca="false">IFERROR(CR291/CQ291-1,"")</f>
        <v>0.102344702845905</v>
      </c>
      <c r="CS293" s="28" t="n">
        <f aca="false">IFERROR(CS291/CR291-1,"")</f>
        <v>0.0971912020987831</v>
      </c>
      <c r="CT293" s="23"/>
      <c r="CV293" s="7"/>
      <c r="CW293" s="7"/>
      <c r="CX293" s="7"/>
      <c r="CY293" s="7"/>
    </row>
    <row r="294" customFormat="false" ht="15" hidden="false" customHeight="true" outlineLevel="0" collapsed="false">
      <c r="B294" s="26" t="s">
        <v>431</v>
      </c>
      <c r="C294" s="40" t="n">
        <f aca="false">IFERROR(C291/C152,"")</f>
        <v>0.0362824448785934</v>
      </c>
      <c r="D294" s="40" t="n">
        <f aca="false">IFERROR(D291/D152,"")</f>
        <v>0.0779140726129569</v>
      </c>
      <c r="E294" s="40" t="n">
        <f aca="false">IFERROR(E291/E152,"")</f>
        <v>0.0477351916376307</v>
      </c>
      <c r="F294" s="40" t="n">
        <f aca="false">IFERROR(F291/F152,"")</f>
        <v>0.0734822347315538</v>
      </c>
      <c r="G294" s="40" t="n">
        <f aca="false">IFERROR(G291/G152,"")</f>
        <v>0.0673883955723148</v>
      </c>
      <c r="H294" s="40" t="n">
        <f aca="false">IFERROR(H291/H152,"")</f>
        <v>0.0900664297852619</v>
      </c>
      <c r="I294" s="40" t="n">
        <f aca="false">IFERROR(I291/I152,"")</f>
        <v>0.0582428430404738</v>
      </c>
      <c r="J294" s="40"/>
      <c r="K294" s="40"/>
      <c r="L294" s="40"/>
      <c r="M294" s="40"/>
      <c r="N294" s="40"/>
      <c r="O294" s="40" t="n">
        <f aca="false">IFERROR(O291/O152,"")</f>
        <v>0.0558881382023433</v>
      </c>
      <c r="P294" s="40"/>
      <c r="Q294" s="40"/>
      <c r="R294" s="40"/>
      <c r="S294" s="40"/>
      <c r="T294" s="40"/>
      <c r="U294" s="40" t="n">
        <f aca="false">IFERROR(U291/U152,"")</f>
        <v>0.102088554720134</v>
      </c>
      <c r="V294" s="40"/>
      <c r="W294" s="40"/>
      <c r="X294" s="40"/>
      <c r="Y294" s="40"/>
      <c r="Z294" s="40"/>
      <c r="AA294" s="40" t="n">
        <f aca="false">IFERROR(AA291/AA152,"")</f>
        <v>0.0710151864583787</v>
      </c>
      <c r="AB294" s="40"/>
      <c r="AC294" s="40"/>
      <c r="AD294" s="40"/>
      <c r="AE294" s="40"/>
      <c r="AF294" s="40"/>
      <c r="AG294" s="40" t="n">
        <f aca="false">IFERROR(AG291/AG152,"")</f>
        <v>0.106702637331969</v>
      </c>
      <c r="AH294" s="40"/>
      <c r="AI294" s="40"/>
      <c r="AJ294" s="40"/>
      <c r="AK294" s="40"/>
      <c r="AL294" s="40"/>
      <c r="AM294" s="40" t="n">
        <f aca="false">IFERROR(AM291/AM152,"")</f>
        <v>0.121437898456103</v>
      </c>
      <c r="AN294" s="40"/>
      <c r="AO294" s="40"/>
      <c r="AP294" s="40"/>
      <c r="AQ294" s="40"/>
      <c r="AR294" s="40"/>
      <c r="AS294" s="40" t="n">
        <f aca="false">IFERROR(AS291/AS152,"")</f>
        <v>0.124095389068854</v>
      </c>
      <c r="AT294" s="40"/>
      <c r="AU294" s="40"/>
      <c r="AV294" s="40"/>
      <c r="AW294" s="40"/>
      <c r="AX294" s="40"/>
      <c r="AY294" s="40" t="n">
        <f aca="false">IFERROR(AY291/AY152,"")</f>
        <v>0.124446832722215</v>
      </c>
      <c r="AZ294" s="40"/>
      <c r="BA294" s="40"/>
      <c r="BB294" s="40"/>
      <c r="BC294" s="40"/>
      <c r="BD294" s="40"/>
      <c r="BE294" s="40" t="n">
        <f aca="false">IFERROR(BE291/BE152,"")</f>
        <v>0.177402631067332</v>
      </c>
      <c r="BF294" s="40"/>
      <c r="BG294" s="40"/>
      <c r="BH294" s="40"/>
      <c r="BI294" s="40"/>
      <c r="BJ294" s="40"/>
      <c r="BK294" s="40" t="n">
        <f aca="false">IFERROR(BK291/BK152,"")</f>
        <v>0.15668682140303</v>
      </c>
      <c r="BL294" s="40"/>
      <c r="BM294" s="40"/>
      <c r="BN294" s="40"/>
      <c r="BO294" s="40"/>
      <c r="BP294" s="40"/>
      <c r="BQ294" s="40" t="n">
        <f aca="false">IFERROR(BQ291/BQ152,"")</f>
        <v>0.072216319202726</v>
      </c>
      <c r="BR294" s="40"/>
      <c r="BS294" s="40"/>
      <c r="BT294" s="40"/>
      <c r="BU294" s="40"/>
      <c r="BV294" s="40"/>
      <c r="BW294" s="40" t="n">
        <f aca="false">IFERROR(BW291/BW152,"")</f>
        <v>0.127974447697631</v>
      </c>
      <c r="BX294" s="40"/>
      <c r="BY294" s="40"/>
      <c r="BZ294" s="40"/>
      <c r="CA294" s="40"/>
      <c r="CB294" s="40"/>
      <c r="CC294" s="40" t="n">
        <f aca="false">IFERROR(CC291/CC152,"")</f>
        <v>0.195449735449735</v>
      </c>
      <c r="CD294" s="40"/>
      <c r="CE294" s="40"/>
      <c r="CF294" s="40"/>
      <c r="CG294" s="40"/>
      <c r="CH294" s="40"/>
      <c r="CI294" s="40" t="n">
        <f aca="false">IFERROR(CI291/CI152,"")</f>
        <v>0.175622199692579</v>
      </c>
      <c r="CJ294" s="40"/>
      <c r="CK294" s="40"/>
      <c r="CL294" s="40"/>
      <c r="CM294" s="28"/>
      <c r="CN294" s="28"/>
      <c r="CO294" s="28" t="n">
        <f aca="false">IFERROR(CO291/CO152,"")</f>
        <v>0.166196075609044</v>
      </c>
      <c r="CP294" s="28" t="n">
        <f aca="false">IFERROR(CP291/CP152,"")</f>
        <v>0.181004617417492</v>
      </c>
      <c r="CQ294" s="28" t="n">
        <f aca="false">IFERROR(CQ291/CQ152,"")</f>
        <v>0.182704942590344</v>
      </c>
      <c r="CR294" s="28" t="n">
        <f aca="false">IFERROR(CR291/CR152,"")</f>
        <v>0.184590596847087</v>
      </c>
      <c r="CS294" s="28" t="n">
        <f aca="false">IFERROR(CS291/CS152,"")</f>
        <v>0.186292140583538</v>
      </c>
      <c r="CT294" s="23"/>
      <c r="CV294" s="41" t="n">
        <f aca="false">IFERROR(AVERAGE(CO294,CP294,CQ294,CR294,CS294),"n/m")</f>
        <v>0.180157674609501</v>
      </c>
      <c r="CW294" s="41" t="n">
        <f aca="false">IFERROR(AVERAGE(BK294,BQ294,BW294,CC294,CI294),"n/m")</f>
        <v>0.14558990468914</v>
      </c>
      <c r="CX294" s="41" t="n">
        <f aca="false">IFERROR(AVERAGE(AG294,AM294,AS294,AY294,BE294,BK294,BQ294,BW294,CC294,CI294),"n/m")</f>
        <v>0.138203491209217</v>
      </c>
      <c r="CY294" s="41" t="n">
        <f aca="false">IFERROR(AVERAGE(C294,D294,E294,F294,G294,H294,I294,O294,U294,AA294,AG294,AM294,AS294,AY294,BE294,BK294,BQ294,BW294,CC294,CI294),"n/m")</f>
        <v>0.103106920186591</v>
      </c>
    </row>
    <row r="295" customFormat="false" ht="15" hidden="false" customHeight="true" outlineLevel="0" collapsed="false">
      <c r="B295" s="26" t="s">
        <v>432</v>
      </c>
      <c r="C295" s="40" t="n">
        <f aca="false">IFERROR(C291/C242,"")</f>
        <v>0.608885351594932</v>
      </c>
      <c r="D295" s="40" t="n">
        <f aca="false">IFERROR(D291/D242,"")</f>
        <v>1.22992064670419</v>
      </c>
      <c r="E295" s="40" t="n">
        <f aca="false">IFERROR(E291/E242,"")</f>
        <v>0.649326748298909</v>
      </c>
      <c r="F295" s="40" t="n">
        <f aca="false">IFERROR(F291/F242,"")</f>
        <v>0.974520867263058</v>
      </c>
      <c r="G295" s="40" t="n">
        <f aca="false">IFERROR(G291/G242,"")</f>
        <v>0.854631344349933</v>
      </c>
      <c r="H295" s="40" t="n">
        <f aca="false">IFERROR(H291/H242,"")</f>
        <v>1.10263430900113</v>
      </c>
      <c r="I295" s="40" t="n">
        <f aca="false">IFERROR(I291/I242,"")</f>
        <v>0.67788548680527</v>
      </c>
      <c r="J295" s="40"/>
      <c r="K295" s="40"/>
      <c r="L295" s="40"/>
      <c r="M295" s="40"/>
      <c r="N295" s="40"/>
      <c r="O295" s="40" t="n">
        <f aca="false">IFERROR(O291/O242,"")</f>
        <v>0.61959186696789</v>
      </c>
      <c r="P295" s="40"/>
      <c r="Q295" s="40"/>
      <c r="R295" s="40"/>
      <c r="S295" s="40"/>
      <c r="T295" s="40"/>
      <c r="U295" s="40" t="n">
        <f aca="false">IFERROR(U291/U242,"")</f>
        <v>1.00926435431826</v>
      </c>
      <c r="V295" s="40"/>
      <c r="W295" s="40"/>
      <c r="X295" s="40"/>
      <c r="Y295" s="40"/>
      <c r="Z295" s="40"/>
      <c r="AA295" s="40" t="n">
        <f aca="false">IFERROR(AA291/AA242,"")</f>
        <v>0.745310133775845</v>
      </c>
      <c r="AB295" s="40"/>
      <c r="AC295" s="40"/>
      <c r="AD295" s="40"/>
      <c r="AE295" s="40"/>
      <c r="AF295" s="40"/>
      <c r="AG295" s="40" t="n">
        <f aca="false">IFERROR(AG291/AG242,"")</f>
        <v>1.06800914925616</v>
      </c>
      <c r="AH295" s="40"/>
      <c r="AI295" s="40"/>
      <c r="AJ295" s="40"/>
      <c r="AK295" s="40"/>
      <c r="AL295" s="40"/>
      <c r="AM295" s="40" t="n">
        <f aca="false">IFERROR(AM291/AM242,"")</f>
        <v>1.15074957089121</v>
      </c>
      <c r="AN295" s="40"/>
      <c r="AO295" s="40"/>
      <c r="AP295" s="40"/>
      <c r="AQ295" s="40"/>
      <c r="AR295" s="40"/>
      <c r="AS295" s="40" t="n">
        <f aca="false">IFERROR(AS291/AS242,"")</f>
        <v>0.980468990851663</v>
      </c>
      <c r="AT295" s="40"/>
      <c r="AU295" s="40"/>
      <c r="AV295" s="40"/>
      <c r="AW295" s="40"/>
      <c r="AX295" s="40"/>
      <c r="AY295" s="40" t="n">
        <f aca="false">IFERROR(AY291/AY242,"")</f>
        <v>0.908611674560809</v>
      </c>
      <c r="AZ295" s="40"/>
      <c r="BA295" s="40"/>
      <c r="BB295" s="40"/>
      <c r="BC295" s="40"/>
      <c r="BD295" s="40"/>
      <c r="BE295" s="40" t="n">
        <f aca="false">IFERROR(BE291/BE242,"")</f>
        <v>1.26853568118628</v>
      </c>
      <c r="BF295" s="40"/>
      <c r="BG295" s="40"/>
      <c r="BH295" s="40"/>
      <c r="BI295" s="40"/>
      <c r="BJ295" s="40"/>
      <c r="BK295" s="40" t="n">
        <f aca="false">IFERROR(BK291/BK242,"")</f>
        <v>0.968001071093854</v>
      </c>
      <c r="BL295" s="40"/>
      <c r="BM295" s="40"/>
      <c r="BN295" s="40"/>
      <c r="BO295" s="40"/>
      <c r="BP295" s="40"/>
      <c r="BQ295" s="40" t="n">
        <f aca="false">IFERROR(BQ291/BQ242,"")</f>
        <v>0.45425213182761</v>
      </c>
      <c r="BR295" s="40"/>
      <c r="BS295" s="40"/>
      <c r="BT295" s="40"/>
      <c r="BU295" s="40"/>
      <c r="BV295" s="40"/>
      <c r="BW295" s="40" t="n">
        <f aca="false">IFERROR(BW291/BW242,"")</f>
        <v>0.764549984098378</v>
      </c>
      <c r="BX295" s="40"/>
      <c r="BY295" s="40"/>
      <c r="BZ295" s="40"/>
      <c r="CA295" s="40"/>
      <c r="CB295" s="40"/>
      <c r="CC295" s="40" t="n">
        <f aca="false">IFERROR(CC291/CC242,"")</f>
        <v>1.17994037478705</v>
      </c>
      <c r="CD295" s="40"/>
      <c r="CE295" s="40"/>
      <c r="CF295" s="40"/>
      <c r="CG295" s="40"/>
      <c r="CH295" s="40"/>
      <c r="CI295" s="40" t="n">
        <f aca="false">IFERROR(CI291/CI242,"")</f>
        <v>1.03041350858678</v>
      </c>
      <c r="CJ295" s="40"/>
      <c r="CK295" s="40"/>
      <c r="CL295" s="40"/>
      <c r="CM295" s="28"/>
      <c r="CN295" s="28"/>
      <c r="CO295" s="28" t="n">
        <f aca="false">IFERROR(CO291/CO242,"")</f>
        <v>0.965606217034089</v>
      </c>
      <c r="CP295" s="28" t="n">
        <f aca="false">IFERROR(CP291/CP242,"")</f>
        <v>0.999111359629396</v>
      </c>
      <c r="CQ295" s="28" t="n">
        <f aca="false">IFERROR(CQ291/CQ242,"")</f>
        <v>0.993035603185782</v>
      </c>
      <c r="CR295" s="28" t="n">
        <f aca="false">IFERROR(CR291/CR242,"")</f>
        <v>0.992252018021713</v>
      </c>
      <c r="CS295" s="28" t="n">
        <f aca="false">IFERROR(CS291/CS242,"")</f>
        <v>0.987729026523099</v>
      </c>
      <c r="CT295" s="23"/>
      <c r="CV295" s="41" t="n">
        <f aca="false">IFERROR(AVERAGE(CO295,CP295,CQ295,CR295,CS295),"n/m")</f>
        <v>0.987546844878816</v>
      </c>
      <c r="CW295" s="41" t="n">
        <f aca="false">IFERROR(AVERAGE(BK295,BQ295,BW295,CC295,CI295),"n/m")</f>
        <v>0.879431414078735</v>
      </c>
      <c r="CX295" s="41" t="n">
        <f aca="false">IFERROR(AVERAGE(AG295,AM295,AS295,AY295,BE295,BK295,BQ295,BW295,CC295,CI295),"n/m")</f>
        <v>0.97735321371398</v>
      </c>
      <c r="CY295" s="41" t="n">
        <f aca="false">IFERROR(AVERAGE(C295,D295,E295,F295,G295,H295,I295,O295,U295,AA295,AG295,AM295,AS295,AY295,BE295,BK295,BQ295,BW295,CC295,CI295),"n/m")</f>
        <v>0.912275162310961</v>
      </c>
    </row>
    <row r="296" customFormat="false" ht="15" hidden="false" customHeight="true" outlineLevel="0" collapsed="false">
      <c r="B296" s="26" t="s">
        <v>433</v>
      </c>
      <c r="C296" s="60" t="n">
        <f aca="false">IFERROR(C291/C179,"")</f>
        <v>1.46478873239437</v>
      </c>
      <c r="D296" s="60" t="n">
        <f aca="false">IFERROR(D291/D179,"")</f>
        <v>3.49171270718232</v>
      </c>
      <c r="E296" s="60" t="n">
        <f aca="false">IFERROR(E291/E179,"")</f>
        <v>2.25205479452055</v>
      </c>
      <c r="F296" s="60" t="n">
        <f aca="false">IFERROR(F291/F179,"")</f>
        <v>3.31693989071038</v>
      </c>
      <c r="G296" s="60" t="n">
        <f aca="false">IFERROR(G291/G179,"")</f>
        <v>3.00271002710027</v>
      </c>
      <c r="H296" s="60" t="n">
        <f aca="false">IFERROR(H291/H179,"")</f>
        <v>4.68900804289544</v>
      </c>
      <c r="I296" s="60" t="n">
        <f aca="false">IFERROR(I291/I179,"")</f>
        <v>3.31283422459893</v>
      </c>
      <c r="J296" s="60"/>
      <c r="K296" s="60"/>
      <c r="L296" s="60"/>
      <c r="M296" s="60"/>
      <c r="N296" s="60"/>
      <c r="O296" s="60" t="n">
        <f aca="false">IFERROR(O291/O179,"")</f>
        <v>3.43947368421053</v>
      </c>
      <c r="P296" s="60"/>
      <c r="Q296" s="60"/>
      <c r="R296" s="60"/>
      <c r="S296" s="60"/>
      <c r="T296" s="60"/>
      <c r="U296" s="60" t="n">
        <f aca="false">IFERROR(U291/U179,"")</f>
        <v>6.44854881266491</v>
      </c>
      <c r="V296" s="60"/>
      <c r="W296" s="60"/>
      <c r="X296" s="60"/>
      <c r="Y296" s="60"/>
      <c r="Z296" s="60"/>
      <c r="AA296" s="60" t="n">
        <f aca="false">IFERROR(AA291/AA179,"")</f>
        <v>4.53333333333333</v>
      </c>
      <c r="AB296" s="60"/>
      <c r="AC296" s="60"/>
      <c r="AD296" s="60"/>
      <c r="AE296" s="60"/>
      <c r="AF296" s="60"/>
      <c r="AG296" s="60" t="n">
        <f aca="false">IFERROR(AG291/AG179,"")</f>
        <v>6.46197183098592</v>
      </c>
      <c r="AH296" s="60"/>
      <c r="AI296" s="60"/>
      <c r="AJ296" s="60"/>
      <c r="AK296" s="60"/>
      <c r="AL296" s="60"/>
      <c r="AM296" s="60" t="n">
        <f aca="false">IFERROR(AM291/AM179,"")</f>
        <v>8.71074380165289</v>
      </c>
      <c r="AN296" s="60"/>
      <c r="AO296" s="60"/>
      <c r="AP296" s="60"/>
      <c r="AQ296" s="60"/>
      <c r="AR296" s="60"/>
      <c r="AS296" s="60" t="n">
        <f aca="false">IFERROR(AS291/AS179,"")</f>
        <v>9.73243243243243</v>
      </c>
      <c r="AT296" s="60"/>
      <c r="AU296" s="60"/>
      <c r="AV296" s="60"/>
      <c r="AW296" s="60"/>
      <c r="AX296" s="60"/>
      <c r="AY296" s="60" t="n">
        <f aca="false">IFERROR(AY291/AY179,"")</f>
        <v>10.4986666666667</v>
      </c>
      <c r="AZ296" s="60"/>
      <c r="BA296" s="60"/>
      <c r="BB296" s="60"/>
      <c r="BC296" s="60"/>
      <c r="BD296" s="60"/>
      <c r="BE296" s="60" t="n">
        <f aca="false">IFERROR(BE291/BE179,"")</f>
        <v>14.4459102902375</v>
      </c>
      <c r="BF296" s="60"/>
      <c r="BG296" s="60"/>
      <c r="BH296" s="60"/>
      <c r="BI296" s="60"/>
      <c r="BJ296" s="60"/>
      <c r="BK296" s="60" t="n">
        <f aca="false">IFERROR(BK291/BK179,"")</f>
        <v>16.3205417607224</v>
      </c>
      <c r="BL296" s="60"/>
      <c r="BM296" s="60"/>
      <c r="BN296" s="60"/>
      <c r="BO296" s="60"/>
      <c r="BP296" s="60"/>
      <c r="BQ296" s="60" t="n">
        <f aca="false">IFERROR(BQ291/BQ179,"")</f>
        <v>8.26415094339623</v>
      </c>
      <c r="BR296" s="60"/>
      <c r="BS296" s="60"/>
      <c r="BT296" s="60"/>
      <c r="BU296" s="60"/>
      <c r="BV296" s="60"/>
      <c r="BW296" s="60" t="n">
        <f aca="false">IFERROR(BW291/BW179,"")</f>
        <v>15.0563674321503</v>
      </c>
      <c r="BX296" s="60"/>
      <c r="BY296" s="60"/>
      <c r="BZ296" s="60"/>
      <c r="CA296" s="60"/>
      <c r="CB296" s="60"/>
      <c r="CC296" s="60" t="n">
        <f aca="false">IFERROR(CC291/CC179,"")</f>
        <v>23.281512605042</v>
      </c>
      <c r="CD296" s="60"/>
      <c r="CE296" s="60"/>
      <c r="CF296" s="60"/>
      <c r="CG296" s="60"/>
      <c r="CH296" s="60"/>
      <c r="CI296" s="60" t="n">
        <f aca="false">IFERROR(CI291/CI179,"")</f>
        <v>22.6582278481013</v>
      </c>
      <c r="CJ296" s="60"/>
      <c r="CK296" s="60"/>
      <c r="CL296" s="60"/>
      <c r="CM296" s="61"/>
      <c r="CN296" s="61"/>
      <c r="CO296" s="61" t="n">
        <f aca="false">IFERROR(CO291/CO179,"")</f>
        <v>23.7056326281869</v>
      </c>
      <c r="CP296" s="61" t="n">
        <f aca="false">IFERROR(CP291/CP179,"")</f>
        <v>27.657032588851</v>
      </c>
      <c r="CQ296" s="61" t="n">
        <f aca="false">IFERROR(CQ291/CQ179,"")</f>
        <v>30.6499478416498</v>
      </c>
      <c r="CR296" s="61" t="n">
        <f aca="false">IFERROR(CR291/CR179,"")</f>
        <v>33.9271230010296</v>
      </c>
      <c r="CS296" s="61" t="n">
        <f aca="false">IFERROR(CS291/CS179,"")</f>
        <v>37.3616806236506</v>
      </c>
      <c r="CT296" s="23"/>
      <c r="CV296" s="24" t="n">
        <f aca="false">IFERROR((CS296/CI296)^(1/5)-1,"n/m")</f>
        <v>0.105198006269307</v>
      </c>
      <c r="CW296" s="24" t="n">
        <f aca="false">IFERROR((CI296/BE296)^(1/5)-1,"n/m")</f>
        <v>0.094198727123912</v>
      </c>
      <c r="CX296" s="24" t="n">
        <f aca="false">IFERROR((CI296/AA296)^(1/10)-1,"n/m")</f>
        <v>0.174575204600316</v>
      </c>
      <c r="CY296" s="24" t="n">
        <f aca="false">IFERROR((CI296/C296)^(1/19)-1,"n/m")</f>
        <v>0.155055045497182</v>
      </c>
    </row>
    <row r="297" customFormat="false" ht="15" hidden="false" customHeight="true" outlineLevel="0" collapsed="false">
      <c r="B297" s="13" t="s">
        <v>434</v>
      </c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30"/>
      <c r="BI297" s="30"/>
      <c r="BJ297" s="30"/>
      <c r="BK297" s="30"/>
      <c r="BL297" s="30"/>
      <c r="BM297" s="30"/>
      <c r="BN297" s="30"/>
      <c r="BO297" s="30"/>
      <c r="BP297" s="30"/>
      <c r="BQ297" s="30"/>
      <c r="BR297" s="30"/>
      <c r="BS297" s="30"/>
      <c r="BT297" s="30"/>
      <c r="BU297" s="30"/>
      <c r="BV297" s="30"/>
      <c r="BW297" s="30"/>
      <c r="BX297" s="30"/>
      <c r="BY297" s="30"/>
      <c r="BZ297" s="30"/>
      <c r="CA297" s="30"/>
      <c r="CB297" s="30"/>
      <c r="CC297" s="30"/>
      <c r="CD297" s="30"/>
      <c r="CE297" s="30"/>
      <c r="CF297" s="30"/>
      <c r="CG297" s="30"/>
      <c r="CH297" s="30"/>
      <c r="CI297" s="30"/>
      <c r="CJ297" s="30"/>
      <c r="CK297" s="30"/>
      <c r="CL297" s="30"/>
      <c r="CM297" s="32"/>
      <c r="CN297" s="32"/>
      <c r="CO297" s="32"/>
      <c r="CP297" s="32"/>
      <c r="CQ297" s="32"/>
      <c r="CR297" s="32"/>
      <c r="CS297" s="32"/>
      <c r="CT297" s="23"/>
      <c r="CV297" s="7"/>
      <c r="CW297" s="7"/>
      <c r="CX297" s="7"/>
      <c r="CY297" s="7"/>
    </row>
    <row r="298" customFormat="false" ht="15" hidden="false" customHeight="true" outlineLevel="0" collapsed="false">
      <c r="B298" s="26" t="s">
        <v>435</v>
      </c>
      <c r="C298" s="40" t="n">
        <f aca="false">IFERROR(-N(C272)/C152,"")</f>
        <v>0.018420318169132</v>
      </c>
      <c r="D298" s="40" t="n">
        <f aca="false">IFERROR(-N(D272)/D152,"")</f>
        <v>0.0248412747334032</v>
      </c>
      <c r="E298" s="40" t="n">
        <f aca="false">IFERROR(-N(E272)/E152,"")</f>
        <v>0.0221835075493612</v>
      </c>
      <c r="F298" s="40" t="n">
        <f aca="false">IFERROR(-N(F272)/F152,"")</f>
        <v>0.0202772229283942</v>
      </c>
      <c r="G298" s="40" t="n">
        <f aca="false">IFERROR(-N(G272)/G152,"")</f>
        <v>0.0188541539958643</v>
      </c>
      <c r="H298" s="40" t="n">
        <f aca="false">IFERROR(-N(H272)/H152,"")</f>
        <v>0.021473814305577</v>
      </c>
      <c r="I298" s="40" t="n">
        <f aca="false">IFERROR(-N(I272)/I152,"")</f>
        <v>0.0306961876557138</v>
      </c>
      <c r="J298" s="40"/>
      <c r="K298" s="40"/>
      <c r="L298" s="40"/>
      <c r="M298" s="40"/>
      <c r="N298" s="40"/>
      <c r="O298" s="40" t="n">
        <f aca="false">IFERROR(-N(O272)/O152,"")</f>
        <v>0.0310442144873001</v>
      </c>
      <c r="P298" s="40"/>
      <c r="Q298" s="40"/>
      <c r="R298" s="40"/>
      <c r="S298" s="40"/>
      <c r="T298" s="40"/>
      <c r="U298" s="40" t="n">
        <f aca="false">IFERROR(-N(U272)/U152,"")</f>
        <v>0.0181704260651629</v>
      </c>
      <c r="V298" s="40"/>
      <c r="W298" s="40"/>
      <c r="X298" s="40"/>
      <c r="Y298" s="40"/>
      <c r="Z298" s="40"/>
      <c r="AA298" s="40" t="n">
        <f aca="false">IFERROR(-N(AA272)/AA152,"")</f>
        <v>0.0204516774726948</v>
      </c>
      <c r="AB298" s="40"/>
      <c r="AC298" s="40"/>
      <c r="AD298" s="40"/>
      <c r="AE298" s="40"/>
      <c r="AF298" s="40"/>
      <c r="AG298" s="40" t="n">
        <f aca="false">IFERROR(-N(AG272)/AG152,"")</f>
        <v>0.0407460812130797</v>
      </c>
      <c r="AH298" s="40"/>
      <c r="AI298" s="40"/>
      <c r="AJ298" s="40"/>
      <c r="AK298" s="40"/>
      <c r="AL298" s="40"/>
      <c r="AM298" s="40" t="n">
        <f aca="false">IFERROR(-N(AM272)/AM152,"")</f>
        <v>0.0224671633766034</v>
      </c>
      <c r="AN298" s="40"/>
      <c r="AO298" s="40"/>
      <c r="AP298" s="40"/>
      <c r="AQ298" s="40"/>
      <c r="AR298" s="40"/>
      <c r="AS298" s="40" t="n">
        <f aca="false">IFERROR(-N(AS272)/AS152,"")</f>
        <v>0.0299124681232339</v>
      </c>
      <c r="AT298" s="40"/>
      <c r="AU298" s="40"/>
      <c r="AV298" s="40"/>
      <c r="AW298" s="40"/>
      <c r="AX298" s="40"/>
      <c r="AY298" s="40" t="n">
        <f aca="false">IFERROR(-N(AY272)/AY152,"")</f>
        <v>0.0279428499178152</v>
      </c>
      <c r="AZ298" s="40"/>
      <c r="BA298" s="40"/>
      <c r="BB298" s="40"/>
      <c r="BC298" s="40"/>
      <c r="BD298" s="40"/>
      <c r="BE298" s="40" t="n">
        <f aca="false">IFERROR(-N(BE272)/BE152,"")</f>
        <v>0.0231352472296028</v>
      </c>
      <c r="BF298" s="40"/>
      <c r="BG298" s="40"/>
      <c r="BH298" s="40"/>
      <c r="BI298" s="40"/>
      <c r="BJ298" s="40"/>
      <c r="BK298" s="40" t="n">
        <f aca="false">IFERROR(-N(BK272)/BK152,"")</f>
        <v>0.0220185076826388</v>
      </c>
      <c r="BL298" s="40"/>
      <c r="BM298" s="40"/>
      <c r="BN298" s="40"/>
      <c r="BO298" s="40"/>
      <c r="BP298" s="40"/>
      <c r="BQ298" s="40" t="n">
        <f aca="false">IFERROR(-N(BQ272)/BQ152,"")</f>
        <v>0.0169640567178397</v>
      </c>
      <c r="BR298" s="40"/>
      <c r="BS298" s="40"/>
      <c r="BT298" s="40"/>
      <c r="BU298" s="40"/>
      <c r="BV298" s="40"/>
      <c r="BW298" s="40" t="n">
        <f aca="false">IFERROR(-N(BW272)/BW152,"")</f>
        <v>0.0203886079318605</v>
      </c>
      <c r="BX298" s="40"/>
      <c r="BY298" s="40"/>
      <c r="BZ298" s="40"/>
      <c r="CA298" s="40"/>
      <c r="CB298" s="40"/>
      <c r="CC298" s="40" t="n">
        <f aca="false">IFERROR(-N(CC272)/CC152,"")</f>
        <v>0.0147619047619048</v>
      </c>
      <c r="CD298" s="40"/>
      <c r="CE298" s="40"/>
      <c r="CF298" s="40"/>
      <c r="CG298" s="40"/>
      <c r="CH298" s="40"/>
      <c r="CI298" s="40" t="n">
        <f aca="false">IFERROR(-N(CI272)/CI152,"")</f>
        <v>0.0191810838211728</v>
      </c>
      <c r="CJ298" s="40"/>
      <c r="CK298" s="40"/>
      <c r="CL298" s="40" t="n">
        <f aca="false">IFERROR(-N(CL272)/CL152,"")</f>
        <v>0.0186805684850742</v>
      </c>
      <c r="CM298" s="28"/>
      <c r="CN298" s="28"/>
      <c r="CO298" s="28" t="n">
        <f aca="false">IFERROR(-CO272/CO152,"")</f>
        <v>0.0186955371286098</v>
      </c>
      <c r="CP298" s="46" t="n">
        <v>0.02</v>
      </c>
      <c r="CQ298" s="46" t="n">
        <v>0.02</v>
      </c>
      <c r="CR298" s="46" t="n">
        <v>0.02</v>
      </c>
      <c r="CS298" s="46" t="n">
        <v>0.02</v>
      </c>
      <c r="CT298" s="23"/>
      <c r="CV298" s="41" t="n">
        <f aca="false">IFERROR(AVERAGE(CO298,CP298,CQ298,CR298,CS298),"n/m")</f>
        <v>0.019739107425722</v>
      </c>
      <c r="CW298" s="41" t="n">
        <f aca="false">IFERROR(AVERAGE(BK298,BQ298,BW298,CC298,CI298),"n/m")</f>
        <v>0.0186628321830833</v>
      </c>
      <c r="CX298" s="41" t="n">
        <f aca="false">IFERROR(AVERAGE(AG298,AM298,AS298,AY298,BE298,BK298,BQ298,BW298,CC298,CI298),"n/m")</f>
        <v>0.0237517970775751</v>
      </c>
      <c r="CY298" s="41" t="n">
        <f aca="false">IFERROR(AVERAGE(C298,D298,E298,F298,G298,H298,I298,O298,U298,AA298,AG298,AM298,AS298,AY298,BE298,BK298,BQ298,BW298,CC298,CI298),"n/m")</f>
        <v>0.0231965384069177</v>
      </c>
    </row>
    <row r="299" customFormat="false" ht="15" hidden="false" customHeight="true" outlineLevel="0" collapsed="false">
      <c r="B299" s="26" t="s">
        <v>436</v>
      </c>
      <c r="C299" s="48" t="n">
        <f aca="false">IFERROR(-N(C272)/C140,"")</f>
        <v>1.08641975308642</v>
      </c>
      <c r="D299" s="48" t="n">
        <f aca="false">IFERROR(-N(D272)/D140,"")</f>
        <v>1.42402826855124</v>
      </c>
      <c r="E299" s="48" t="n">
        <f aca="false">IFERROR(-N(E272)/E140,"")</f>
        <v>1.30821917808219</v>
      </c>
      <c r="F299" s="48" t="n">
        <f aca="false">IFERROR(-N(F272)/F140,"")</f>
        <v>1.11295681063123</v>
      </c>
      <c r="G299" s="48" t="n">
        <f aca="false">IFERROR(-N(G272)/G140,"")</f>
        <v>0.996784565916399</v>
      </c>
      <c r="H299" s="48" t="n">
        <f aca="false">IFERROR(-N(H272)/H140,"")</f>
        <v>1.0530303030303</v>
      </c>
      <c r="I299" s="48" t="n">
        <f aca="false">IFERROR(-N(I272)/I140,"")</f>
        <v>1.33537832310838</v>
      </c>
      <c r="J299" s="48"/>
      <c r="K299" s="48"/>
      <c r="L299" s="48"/>
      <c r="M299" s="48"/>
      <c r="N299" s="48"/>
      <c r="O299" s="48" t="n">
        <f aca="false">IFERROR(-N(O272)/O140,"")</f>
        <v>1.21812080536913</v>
      </c>
      <c r="P299" s="48"/>
      <c r="Q299" s="48"/>
      <c r="R299" s="48"/>
      <c r="S299" s="48"/>
      <c r="T299" s="48"/>
      <c r="U299" s="48" t="n">
        <f aca="false">IFERROR(-N(U272)/U140,"")</f>
        <v>0.698234349919743</v>
      </c>
      <c r="V299" s="48"/>
      <c r="W299" s="48"/>
      <c r="X299" s="48"/>
      <c r="Y299" s="48"/>
      <c r="Z299" s="48"/>
      <c r="AA299" s="48" t="n">
        <f aca="false">IFERROR(-N(AA272)/AA140,"")</f>
        <v>0.787269681742044</v>
      </c>
      <c r="AB299" s="48"/>
      <c r="AC299" s="48"/>
      <c r="AD299" s="48"/>
      <c r="AE299" s="48"/>
      <c r="AF299" s="48"/>
      <c r="AG299" s="48" t="n">
        <f aca="false">IFERROR(-N(AG272)/AG140,"")</f>
        <v>1.48474576271186</v>
      </c>
      <c r="AH299" s="48"/>
      <c r="AI299" s="48"/>
      <c r="AJ299" s="48"/>
      <c r="AK299" s="48"/>
      <c r="AL299" s="48"/>
      <c r="AM299" s="48" t="n">
        <f aca="false">IFERROR(-N(AM272)/AM140,"")</f>
        <v>0.817039106145251</v>
      </c>
      <c r="AN299" s="48"/>
      <c r="AO299" s="48"/>
      <c r="AP299" s="48"/>
      <c r="AQ299" s="48"/>
      <c r="AR299" s="48"/>
      <c r="AS299" s="48" t="n">
        <f aca="false">IFERROR(-N(AS272)/AS140,"")</f>
        <v>1.18095238095238</v>
      </c>
      <c r="AT299" s="48"/>
      <c r="AU299" s="48"/>
      <c r="AV299" s="48"/>
      <c r="AW299" s="48"/>
      <c r="AX299" s="48"/>
      <c r="AY299" s="48" t="n">
        <f aca="false">IFERROR(-N(AY272)/AY140,"")</f>
        <v>1.17241379310345</v>
      </c>
      <c r="AZ299" s="48"/>
      <c r="BA299" s="48"/>
      <c r="BB299" s="48"/>
      <c r="BC299" s="48"/>
      <c r="BD299" s="48"/>
      <c r="BE299" s="48" t="n">
        <f aca="false">IFERROR(-N(BE272)/BE140,"")</f>
        <v>0.922480620155039</v>
      </c>
      <c r="BF299" s="48"/>
      <c r="BG299" s="48"/>
      <c r="BH299" s="48"/>
      <c r="BI299" s="48"/>
      <c r="BJ299" s="48"/>
      <c r="BK299" s="48" t="n">
        <f aca="false">IFERROR(-N(BK272)/BK140,"")</f>
        <v>0.87510766580534</v>
      </c>
      <c r="BL299" s="48"/>
      <c r="BM299" s="48"/>
      <c r="BN299" s="48"/>
      <c r="BO299" s="48"/>
      <c r="BP299" s="48"/>
      <c r="BQ299" s="48" t="n">
        <f aca="false">IFERROR(-N(BQ272)/BQ140,"")</f>
        <v>0.709578544061303</v>
      </c>
      <c r="BR299" s="48"/>
      <c r="BS299" s="48"/>
      <c r="BT299" s="48"/>
      <c r="BU299" s="48"/>
      <c r="BV299" s="48"/>
      <c r="BW299" s="48" t="n">
        <f aca="false">IFERROR(-N(BW272)/BW140,"")</f>
        <v>0.959899749373434</v>
      </c>
      <c r="BX299" s="48"/>
      <c r="BY299" s="48"/>
      <c r="BZ299" s="48"/>
      <c r="CA299" s="48"/>
      <c r="CB299" s="48"/>
      <c r="CC299" s="48" t="n">
        <f aca="false">IFERROR(-N(CC272)/CC140,"")</f>
        <v>0.74798927613941</v>
      </c>
      <c r="CD299" s="48"/>
      <c r="CE299" s="48"/>
      <c r="CF299" s="48"/>
      <c r="CG299" s="48"/>
      <c r="CH299" s="48"/>
      <c r="CI299" s="48" t="n">
        <f aca="false">IFERROR(-N(CI272)/CI140,"")</f>
        <v>0.979949874686717</v>
      </c>
      <c r="CJ299" s="48"/>
      <c r="CK299" s="48"/>
      <c r="CL299" s="48" t="n">
        <f aca="false">IFERROR(-N(CL272)/CL140,"")</f>
        <v>1.01517706576729</v>
      </c>
      <c r="CM299" s="49"/>
      <c r="CN299" s="49"/>
      <c r="CO299" s="49" t="n">
        <f aca="false">IFERROR(-CO272/CO140,"")</f>
        <v>1.01599052193352</v>
      </c>
      <c r="CP299" s="49" t="n">
        <f aca="false">IFERROR(-CP272/CP140,"")</f>
        <v>1.02564102564103</v>
      </c>
      <c r="CQ299" s="49" t="n">
        <f aca="false">IFERROR(-CQ272/CQ140,"")</f>
        <v>1.02564102564103</v>
      </c>
      <c r="CR299" s="49" t="n">
        <f aca="false">IFERROR(-CR272/CR140,"")</f>
        <v>1.02564102564103</v>
      </c>
      <c r="CS299" s="49" t="n">
        <f aca="false">IFERROR(-CS272/CS140,"")</f>
        <v>1.02564102564103</v>
      </c>
      <c r="CT299" s="23"/>
      <c r="CV299" s="7"/>
      <c r="CW299" s="7"/>
      <c r="CX299" s="7"/>
      <c r="CY299" s="7"/>
    </row>
    <row r="300" customFormat="false" ht="15" hidden="false" customHeight="true" outlineLevel="0" collapsed="false">
      <c r="B300" s="13"/>
      <c r="CM300" s="7"/>
      <c r="CN300" s="7"/>
      <c r="CO300" s="7"/>
      <c r="CP300" s="7"/>
      <c r="CQ300" s="7"/>
      <c r="CR300" s="7"/>
      <c r="CS300" s="7"/>
      <c r="CT300" s="7"/>
    </row>
    <row r="301" customFormat="false" ht="15" hidden="false" customHeight="true" outlineLevel="0" collapsed="false">
      <c r="B301" s="12" t="s">
        <v>437</v>
      </c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</row>
    <row r="302" customFormat="false" ht="15" hidden="false" customHeight="true" outlineLevel="0" collapsed="false">
      <c r="B302" s="13" t="s">
        <v>438</v>
      </c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  <c r="AJ302" s="60"/>
      <c r="AK302" s="60"/>
      <c r="AL302" s="60"/>
      <c r="AM302" s="60"/>
      <c r="AN302" s="60"/>
      <c r="AO302" s="60"/>
      <c r="AP302" s="60"/>
      <c r="AQ302" s="60"/>
      <c r="AR302" s="60"/>
      <c r="AS302" s="60"/>
      <c r="AT302" s="60"/>
      <c r="AU302" s="60"/>
      <c r="AV302" s="60"/>
      <c r="AW302" s="60"/>
      <c r="AX302" s="60"/>
      <c r="AY302" s="60"/>
      <c r="AZ302" s="60"/>
      <c r="BA302" s="60"/>
      <c r="BB302" s="60"/>
      <c r="BC302" s="60"/>
      <c r="BD302" s="60"/>
      <c r="BE302" s="60"/>
      <c r="BF302" s="60"/>
      <c r="BG302" s="60"/>
      <c r="BH302" s="60"/>
      <c r="BI302" s="60"/>
      <c r="BJ302" s="60"/>
      <c r="BK302" s="60"/>
      <c r="BL302" s="60"/>
      <c r="BM302" s="60"/>
      <c r="BN302" s="60"/>
      <c r="BO302" s="60"/>
      <c r="BP302" s="60"/>
      <c r="BQ302" s="60"/>
      <c r="BR302" s="60"/>
      <c r="BS302" s="60"/>
      <c r="BT302" s="60"/>
      <c r="BU302" s="60"/>
      <c r="BV302" s="60"/>
      <c r="BW302" s="60"/>
      <c r="BX302" s="60"/>
      <c r="BY302" s="60"/>
      <c r="BZ302" s="60"/>
      <c r="CA302" s="60"/>
      <c r="CB302" s="60"/>
      <c r="CC302" s="60"/>
      <c r="CD302" s="60"/>
      <c r="CE302" s="60"/>
      <c r="CF302" s="60"/>
      <c r="CG302" s="60"/>
      <c r="CH302" s="60"/>
      <c r="CI302" s="60"/>
      <c r="CJ302" s="60"/>
      <c r="CK302" s="60"/>
      <c r="CL302" s="60"/>
      <c r="CM302" s="61"/>
      <c r="CN302" s="61"/>
      <c r="CO302" s="61" t="n">
        <f aca="false">CO422</f>
        <v>615</v>
      </c>
      <c r="CP302" s="61" t="n">
        <f aca="false">CO302*(1+CP374)</f>
        <v>658.05</v>
      </c>
      <c r="CQ302" s="61" t="n">
        <f aca="false">CP302*(1+CQ374)</f>
        <v>704.1135</v>
      </c>
      <c r="CR302" s="61" t="n">
        <f aca="false">CQ302*(1+CR374)</f>
        <v>753.401445</v>
      </c>
      <c r="CS302" s="61" t="n">
        <f aca="false">CR302*(1+CS374)</f>
        <v>806.13954615</v>
      </c>
      <c r="CT302" s="23" t="s">
        <v>439</v>
      </c>
      <c r="CV302" s="7"/>
      <c r="CW302" s="7"/>
      <c r="CX302" s="7"/>
      <c r="CY302" s="7"/>
    </row>
    <row r="303" customFormat="false" ht="15" hidden="false" customHeight="true" outlineLevel="0" collapsed="false">
      <c r="B303" s="13" t="s">
        <v>440</v>
      </c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30"/>
      <c r="BD303" s="30"/>
      <c r="BE303" s="30"/>
      <c r="BF303" s="30"/>
      <c r="BG303" s="30"/>
      <c r="BH303" s="30"/>
      <c r="BI303" s="30"/>
      <c r="BJ303" s="30"/>
      <c r="BK303" s="30"/>
      <c r="BL303" s="30"/>
      <c r="BM303" s="30"/>
      <c r="BN303" s="30"/>
      <c r="BO303" s="30"/>
      <c r="BP303" s="30"/>
      <c r="BQ303" s="30"/>
      <c r="BR303" s="30"/>
      <c r="BS303" s="30"/>
      <c r="BT303" s="30"/>
      <c r="BU303" s="30"/>
      <c r="BV303" s="30"/>
      <c r="BW303" s="30"/>
      <c r="BX303" s="30"/>
      <c r="BY303" s="30"/>
      <c r="BZ303" s="30"/>
      <c r="CA303" s="30"/>
      <c r="CB303" s="30"/>
      <c r="CC303" s="30"/>
      <c r="CD303" s="30"/>
      <c r="CE303" s="30"/>
      <c r="CF303" s="30"/>
      <c r="CG303" s="30"/>
      <c r="CH303" s="30"/>
      <c r="CI303" s="30"/>
      <c r="CJ303" s="30"/>
      <c r="CK303" s="30"/>
      <c r="CL303" s="30"/>
      <c r="CM303" s="32"/>
      <c r="CN303" s="32"/>
      <c r="CO303" s="32" t="n">
        <f aca="false">-(CO280-CL280)</f>
        <v>-0</v>
      </c>
      <c r="CP303" s="32" t="n">
        <f aca="false">-CP280</f>
        <v>250</v>
      </c>
      <c r="CQ303" s="32" t="n">
        <f aca="false">-CQ280</f>
        <v>250</v>
      </c>
      <c r="CR303" s="32" t="n">
        <f aca="false">-CR280</f>
        <v>250</v>
      </c>
      <c r="CS303" s="32" t="n">
        <f aca="false">-CS280</f>
        <v>250</v>
      </c>
      <c r="CT303" s="23" t="s">
        <v>441</v>
      </c>
      <c r="CV303" s="7"/>
      <c r="CW303" s="7"/>
      <c r="CX303" s="7"/>
      <c r="CY303" s="7"/>
    </row>
    <row r="304" customFormat="false" ht="15" hidden="false" customHeight="true" outlineLevel="0" collapsed="false">
      <c r="B304" s="13" t="s">
        <v>442</v>
      </c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I304" s="52"/>
      <c r="AJ304" s="52"/>
      <c r="AK304" s="52"/>
      <c r="AL304" s="52"/>
      <c r="AM304" s="52"/>
      <c r="AN304" s="52"/>
      <c r="AO304" s="52"/>
      <c r="AP304" s="52"/>
      <c r="AQ304" s="52"/>
      <c r="AR304" s="52"/>
      <c r="AS304" s="52"/>
      <c r="AT304" s="52"/>
      <c r="AU304" s="52"/>
      <c r="AV304" s="52"/>
      <c r="AW304" s="52"/>
      <c r="AX304" s="52"/>
      <c r="AY304" s="52"/>
      <c r="AZ304" s="52"/>
      <c r="BA304" s="52"/>
      <c r="BB304" s="52"/>
      <c r="BC304" s="52"/>
      <c r="BD304" s="52"/>
      <c r="BE304" s="52"/>
      <c r="BF304" s="52"/>
      <c r="BG304" s="52"/>
      <c r="BH304" s="52"/>
      <c r="BI304" s="52"/>
      <c r="BJ304" s="52"/>
      <c r="BK304" s="52"/>
      <c r="BL304" s="52"/>
      <c r="BM304" s="52"/>
      <c r="BN304" s="52"/>
      <c r="BO304" s="52"/>
      <c r="BP304" s="52"/>
      <c r="BQ304" s="52"/>
      <c r="BR304" s="52"/>
      <c r="BS304" s="52"/>
      <c r="BT304" s="52"/>
      <c r="BU304" s="52"/>
      <c r="BV304" s="52"/>
      <c r="BW304" s="52"/>
      <c r="BX304" s="52"/>
      <c r="BY304" s="52"/>
      <c r="BZ304" s="52"/>
      <c r="CA304" s="52"/>
      <c r="CB304" s="52"/>
      <c r="CC304" s="52"/>
      <c r="CD304" s="52"/>
      <c r="CE304" s="52"/>
      <c r="CF304" s="52"/>
      <c r="CG304" s="52"/>
      <c r="CH304" s="52"/>
      <c r="CI304" s="52"/>
      <c r="CJ304" s="52"/>
      <c r="CK304" s="52"/>
      <c r="CL304" s="52"/>
      <c r="CM304" s="53"/>
      <c r="CN304" s="53"/>
      <c r="CO304" s="53" t="n">
        <f aca="false">IFERROR(CO303/CO302,0)</f>
        <v>-0</v>
      </c>
      <c r="CP304" s="53" t="n">
        <f aca="false">IFERROR(CP303/CP302,0)</f>
        <v>0.379910341159486</v>
      </c>
      <c r="CQ304" s="53" t="n">
        <f aca="false">IFERROR(CQ303/CQ302,0)</f>
        <v>0.355056393606997</v>
      </c>
      <c r="CR304" s="53" t="n">
        <f aca="false">IFERROR(CR303/CR302,0)</f>
        <v>0.331828405240184</v>
      </c>
      <c r="CS304" s="53" t="n">
        <f aca="false">IFERROR(CS303/CS302,0)</f>
        <v>0.310120004897368</v>
      </c>
      <c r="CT304" s="23"/>
      <c r="CV304" s="7"/>
      <c r="CW304" s="7"/>
      <c r="CX304" s="7"/>
      <c r="CY304" s="7"/>
    </row>
    <row r="305" customFormat="false" ht="15" hidden="false" customHeight="true" outlineLevel="0" collapsed="false">
      <c r="B305" s="13" t="s">
        <v>443</v>
      </c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52"/>
      <c r="AJ305" s="52"/>
      <c r="AK305" s="52"/>
      <c r="AL305" s="52"/>
      <c r="AM305" s="52"/>
      <c r="AN305" s="52"/>
      <c r="AO305" s="52"/>
      <c r="AP305" s="52"/>
      <c r="AQ305" s="52"/>
      <c r="AR305" s="52"/>
      <c r="AS305" s="52"/>
      <c r="AT305" s="52"/>
      <c r="AU305" s="52"/>
      <c r="AV305" s="52"/>
      <c r="AW305" s="52"/>
      <c r="AX305" s="52"/>
      <c r="AY305" s="52"/>
      <c r="AZ305" s="52"/>
      <c r="BA305" s="52"/>
      <c r="BB305" s="52"/>
      <c r="BC305" s="52"/>
      <c r="BD305" s="52"/>
      <c r="BE305" s="52"/>
      <c r="BF305" s="52"/>
      <c r="BG305" s="52"/>
      <c r="BH305" s="52"/>
      <c r="BI305" s="52"/>
      <c r="BJ305" s="52"/>
      <c r="BK305" s="52"/>
      <c r="BL305" s="52"/>
      <c r="BM305" s="52"/>
      <c r="BN305" s="52"/>
      <c r="BO305" s="52"/>
      <c r="BP305" s="52"/>
      <c r="BQ305" s="52"/>
      <c r="BR305" s="52"/>
      <c r="BS305" s="52"/>
      <c r="BT305" s="52"/>
      <c r="BU305" s="52"/>
      <c r="BV305" s="52"/>
      <c r="BW305" s="52"/>
      <c r="BX305" s="52"/>
      <c r="BY305" s="52"/>
      <c r="BZ305" s="52"/>
      <c r="CA305" s="52"/>
      <c r="CB305" s="52"/>
      <c r="CC305" s="52"/>
      <c r="CD305" s="52"/>
      <c r="CE305" s="52"/>
      <c r="CF305" s="52"/>
      <c r="CG305" s="52"/>
      <c r="CH305" s="52"/>
      <c r="CI305" s="52"/>
      <c r="CJ305" s="52"/>
      <c r="CK305" s="52"/>
      <c r="CL305" s="52"/>
      <c r="CM305" s="53"/>
      <c r="CN305" s="53"/>
      <c r="CO305" s="54" t="n">
        <v>0.15</v>
      </c>
      <c r="CP305" s="54" t="n">
        <v>0.15</v>
      </c>
      <c r="CQ305" s="54" t="n">
        <v>0.15</v>
      </c>
      <c r="CR305" s="54" t="n">
        <v>0.15</v>
      </c>
      <c r="CS305" s="54" t="n">
        <v>0.15</v>
      </c>
      <c r="CT305" s="23"/>
      <c r="CV305" s="7"/>
      <c r="CW305" s="7"/>
      <c r="CX305" s="7"/>
      <c r="CY305" s="7"/>
    </row>
    <row r="306" customFormat="false" ht="15" hidden="false" customHeight="true" outlineLevel="0" collapsed="false">
      <c r="B306" s="13" t="s">
        <v>444</v>
      </c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  <c r="AG306" s="52"/>
      <c r="AH306" s="52"/>
      <c r="AI306" s="52"/>
      <c r="AJ306" s="52"/>
      <c r="AK306" s="52"/>
      <c r="AL306" s="52"/>
      <c r="AM306" s="52"/>
      <c r="AN306" s="52"/>
      <c r="AO306" s="52"/>
      <c r="AP306" s="52"/>
      <c r="AQ306" s="52"/>
      <c r="AR306" s="52"/>
      <c r="AS306" s="52"/>
      <c r="AT306" s="52"/>
      <c r="AU306" s="52"/>
      <c r="AV306" s="52"/>
      <c r="AW306" s="52"/>
      <c r="AX306" s="52"/>
      <c r="AY306" s="52"/>
      <c r="AZ306" s="52"/>
      <c r="BA306" s="52"/>
      <c r="BB306" s="52"/>
      <c r="BC306" s="52"/>
      <c r="BD306" s="52"/>
      <c r="BE306" s="52"/>
      <c r="BF306" s="52"/>
      <c r="BG306" s="52"/>
      <c r="BH306" s="52"/>
      <c r="BI306" s="52"/>
      <c r="BJ306" s="52"/>
      <c r="BK306" s="52"/>
      <c r="BL306" s="52"/>
      <c r="BM306" s="52"/>
      <c r="BN306" s="52"/>
      <c r="BO306" s="52"/>
      <c r="BP306" s="52"/>
      <c r="BQ306" s="52"/>
      <c r="BR306" s="52"/>
      <c r="BS306" s="52"/>
      <c r="BT306" s="52"/>
      <c r="BU306" s="52"/>
      <c r="BV306" s="52"/>
      <c r="BW306" s="52"/>
      <c r="BX306" s="52"/>
      <c r="BY306" s="52"/>
      <c r="BZ306" s="52"/>
      <c r="CA306" s="52"/>
      <c r="CB306" s="52"/>
      <c r="CC306" s="52"/>
      <c r="CD306" s="52"/>
      <c r="CE306" s="52"/>
      <c r="CF306" s="52"/>
      <c r="CG306" s="52"/>
      <c r="CH306" s="52"/>
      <c r="CI306" s="52"/>
      <c r="CJ306" s="52"/>
      <c r="CK306" s="52"/>
      <c r="CL306" s="52"/>
      <c r="CM306" s="53"/>
      <c r="CN306" s="53"/>
      <c r="CO306" s="53" t="n">
        <f aca="false">CL357</f>
        <v>46.355253</v>
      </c>
      <c r="CP306" s="53" t="n">
        <f aca="false">CO307</f>
        <v>46.505253</v>
      </c>
      <c r="CQ306" s="53" t="n">
        <f aca="false">CP307</f>
        <v>46.2753426588405</v>
      </c>
      <c r="CR306" s="53" t="n">
        <f aca="false">CQ307</f>
        <v>46.0702862652335</v>
      </c>
      <c r="CS306" s="53" t="n">
        <f aca="false">CR307</f>
        <v>45.8884578599933</v>
      </c>
      <c r="CT306" s="23"/>
      <c r="CV306" s="7"/>
      <c r="CW306" s="7"/>
      <c r="CX306" s="7"/>
      <c r="CY306" s="7"/>
    </row>
    <row r="307" customFormat="false" ht="15" hidden="false" customHeight="true" outlineLevel="0" collapsed="false">
      <c r="B307" s="13" t="s">
        <v>445</v>
      </c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2"/>
      <c r="AI307" s="52"/>
      <c r="AJ307" s="52"/>
      <c r="AK307" s="52"/>
      <c r="AL307" s="52"/>
      <c r="AM307" s="52"/>
      <c r="AN307" s="52"/>
      <c r="AO307" s="52"/>
      <c r="AP307" s="52"/>
      <c r="AQ307" s="52"/>
      <c r="AR307" s="52"/>
      <c r="AS307" s="52"/>
      <c r="AT307" s="52"/>
      <c r="AU307" s="52"/>
      <c r="AV307" s="52"/>
      <c r="AW307" s="52"/>
      <c r="AX307" s="52"/>
      <c r="AY307" s="52"/>
      <c r="AZ307" s="52"/>
      <c r="BA307" s="52"/>
      <c r="BB307" s="52"/>
      <c r="BC307" s="52"/>
      <c r="BD307" s="52"/>
      <c r="BE307" s="52"/>
      <c r="BF307" s="52"/>
      <c r="BG307" s="52"/>
      <c r="BH307" s="52"/>
      <c r="BI307" s="52"/>
      <c r="BJ307" s="52"/>
      <c r="BK307" s="52"/>
      <c r="BL307" s="52"/>
      <c r="BM307" s="52"/>
      <c r="BN307" s="52"/>
      <c r="BO307" s="52"/>
      <c r="BP307" s="52"/>
      <c r="BQ307" s="52"/>
      <c r="BR307" s="52"/>
      <c r="BS307" s="52"/>
      <c r="BT307" s="52"/>
      <c r="BU307" s="52"/>
      <c r="BV307" s="52"/>
      <c r="BW307" s="52"/>
      <c r="BX307" s="52"/>
      <c r="BY307" s="52"/>
      <c r="BZ307" s="52"/>
      <c r="CA307" s="52"/>
      <c r="CB307" s="52"/>
      <c r="CC307" s="52"/>
      <c r="CD307" s="52"/>
      <c r="CE307" s="52"/>
      <c r="CF307" s="52"/>
      <c r="CG307" s="52"/>
      <c r="CH307" s="52"/>
      <c r="CI307" s="52"/>
      <c r="CJ307" s="52"/>
      <c r="CK307" s="52"/>
      <c r="CL307" s="52"/>
      <c r="CM307" s="53"/>
      <c r="CN307" s="53"/>
      <c r="CO307" s="53" t="n">
        <f aca="false">CO306-CO304+CO305</f>
        <v>46.505253</v>
      </c>
      <c r="CP307" s="53" t="n">
        <f aca="false">CP306-CP304+CP305</f>
        <v>46.2753426588405</v>
      </c>
      <c r="CQ307" s="53" t="n">
        <f aca="false">CQ306-CQ304+CQ305</f>
        <v>46.0702862652335</v>
      </c>
      <c r="CR307" s="53" t="n">
        <f aca="false">CR306-CR304+CR305</f>
        <v>45.8884578599933</v>
      </c>
      <c r="CS307" s="53" t="n">
        <f aca="false">CS306-CS304+CS305</f>
        <v>45.728337855096</v>
      </c>
      <c r="CT307" s="23"/>
      <c r="CV307" s="7"/>
      <c r="CW307" s="7"/>
      <c r="CX307" s="7"/>
      <c r="CY307" s="7"/>
    </row>
    <row r="308" customFormat="false" ht="15" hidden="false" customHeight="true" outlineLevel="0" collapsed="false">
      <c r="B308" s="26" t="s">
        <v>446</v>
      </c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40"/>
      <c r="BC308" s="40"/>
      <c r="BD308" s="40"/>
      <c r="BE308" s="40"/>
      <c r="BF308" s="40"/>
      <c r="BG308" s="40"/>
      <c r="BH308" s="40"/>
      <c r="BI308" s="40"/>
      <c r="BJ308" s="40"/>
      <c r="BK308" s="40"/>
      <c r="BL308" s="40"/>
      <c r="BM308" s="40"/>
      <c r="BN308" s="40"/>
      <c r="BO308" s="40"/>
      <c r="BP308" s="40"/>
      <c r="BQ308" s="40"/>
      <c r="BR308" s="40"/>
      <c r="BS308" s="40"/>
      <c r="BT308" s="40"/>
      <c r="BU308" s="40"/>
      <c r="BV308" s="40"/>
      <c r="BW308" s="40"/>
      <c r="BX308" s="40"/>
      <c r="BY308" s="40"/>
      <c r="BZ308" s="40"/>
      <c r="CA308" s="40"/>
      <c r="CB308" s="40"/>
      <c r="CC308" s="40"/>
      <c r="CD308" s="40"/>
      <c r="CE308" s="40"/>
      <c r="CF308" s="40"/>
      <c r="CG308" s="40"/>
      <c r="CH308" s="40"/>
      <c r="CI308" s="40"/>
      <c r="CJ308" s="40"/>
      <c r="CK308" s="40"/>
      <c r="CL308" s="40"/>
      <c r="CM308" s="28"/>
      <c r="CN308" s="28"/>
      <c r="CO308" s="28" t="n">
        <f aca="false">IFERROR(CO304/CO306,"")</f>
        <v>-0</v>
      </c>
      <c r="CP308" s="28" t="n">
        <f aca="false">IFERROR(CP304/CP306,"")</f>
        <v>0.00816919200847023</v>
      </c>
      <c r="CQ308" s="28" t="n">
        <f aca="false">IFERROR(CQ304/CQ306,"")</f>
        <v>0.00767269075076565</v>
      </c>
      <c r="CR308" s="28" t="n">
        <f aca="false">IFERROR(CR304/CR306,"")</f>
        <v>0.00720265559735831</v>
      </c>
      <c r="CS308" s="28" t="n">
        <f aca="false">IFERROR(CS304/CS306,"")</f>
        <v>0.00675812653899921</v>
      </c>
      <c r="CT308" s="23"/>
      <c r="CV308" s="7"/>
      <c r="CW308" s="7"/>
      <c r="CX308" s="7"/>
      <c r="CY308" s="7"/>
    </row>
    <row r="309" customFormat="false" ht="15" hidden="false" customHeight="true" outlineLevel="0" collapsed="false">
      <c r="B309" s="37" t="s">
        <v>447</v>
      </c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  <c r="AH309" s="52"/>
      <c r="AI309" s="52"/>
      <c r="AJ309" s="52"/>
      <c r="AK309" s="52"/>
      <c r="AL309" s="52"/>
      <c r="AM309" s="52"/>
      <c r="AN309" s="52"/>
      <c r="AO309" s="52"/>
      <c r="AP309" s="52"/>
      <c r="AQ309" s="52"/>
      <c r="AR309" s="52"/>
      <c r="AS309" s="52"/>
      <c r="AT309" s="52"/>
      <c r="AU309" s="52"/>
      <c r="AV309" s="52"/>
      <c r="AW309" s="52"/>
      <c r="AX309" s="52"/>
      <c r="AY309" s="52"/>
      <c r="AZ309" s="52"/>
      <c r="BA309" s="52"/>
      <c r="BB309" s="52"/>
      <c r="BC309" s="52"/>
      <c r="BD309" s="52"/>
      <c r="BE309" s="52"/>
      <c r="BF309" s="52"/>
      <c r="BG309" s="52"/>
      <c r="BH309" s="52"/>
      <c r="BI309" s="52"/>
      <c r="BJ309" s="52"/>
      <c r="BK309" s="52"/>
      <c r="BL309" s="52"/>
      <c r="BM309" s="52"/>
      <c r="BN309" s="52"/>
      <c r="BO309" s="52"/>
      <c r="BP309" s="52"/>
      <c r="BQ309" s="52"/>
      <c r="BR309" s="52"/>
      <c r="BS309" s="52"/>
      <c r="BT309" s="52"/>
      <c r="BU309" s="52"/>
      <c r="BV309" s="52"/>
      <c r="BW309" s="52"/>
      <c r="BX309" s="52"/>
      <c r="BY309" s="52"/>
      <c r="BZ309" s="52"/>
      <c r="CA309" s="52"/>
      <c r="CB309" s="52"/>
      <c r="CC309" s="52"/>
      <c r="CD309" s="52"/>
      <c r="CE309" s="52"/>
      <c r="CF309" s="52"/>
      <c r="CG309" s="52"/>
      <c r="CH309" s="52"/>
      <c r="CI309" s="52"/>
      <c r="CJ309" s="52"/>
      <c r="CK309" s="52"/>
      <c r="CL309" s="52"/>
      <c r="CM309" s="53"/>
      <c r="CN309" s="53"/>
      <c r="CO309" s="53" t="n">
        <f aca="false">CO304</f>
        <v>-0</v>
      </c>
      <c r="CP309" s="53" t="n">
        <f aca="false">CO309+CP304</f>
        <v>0.379910341159486</v>
      </c>
      <c r="CQ309" s="53" t="n">
        <f aca="false">CP309+CQ304</f>
        <v>0.734966734766483</v>
      </c>
      <c r="CR309" s="53" t="n">
        <f aca="false">CQ309+CR304</f>
        <v>1.06679514000667</v>
      </c>
      <c r="CS309" s="53" t="n">
        <f aca="false">CR309+CS304</f>
        <v>1.37691514490403</v>
      </c>
      <c r="CT309" s="23"/>
      <c r="CV309" s="7"/>
      <c r="CW309" s="7"/>
      <c r="CX309" s="7"/>
      <c r="CY309" s="7"/>
    </row>
    <row r="310" customFormat="false" ht="15" hidden="false" customHeight="true" outlineLevel="0" collapsed="false">
      <c r="B310" s="13"/>
      <c r="CM310" s="7"/>
      <c r="CN310" s="7"/>
      <c r="CO310" s="7"/>
      <c r="CP310" s="7"/>
      <c r="CQ310" s="7"/>
      <c r="CR310" s="7"/>
      <c r="CS310" s="7"/>
      <c r="CT310" s="7"/>
    </row>
    <row r="311" customFormat="false" ht="15" hidden="false" customHeight="true" outlineLevel="0" collapsed="false">
      <c r="B311" s="12" t="s">
        <v>448</v>
      </c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 t="s">
        <v>449</v>
      </c>
    </row>
    <row r="312" customFormat="false" ht="15" hidden="false" customHeight="true" outlineLevel="0" collapsed="false">
      <c r="B312" s="13"/>
      <c r="CM312" s="7"/>
      <c r="CN312" s="7"/>
      <c r="CO312" s="7"/>
      <c r="CP312" s="7"/>
      <c r="CQ312" s="7"/>
      <c r="CR312" s="7"/>
      <c r="CS312" s="7"/>
      <c r="CT312" s="7"/>
    </row>
    <row r="313" customFormat="false" ht="15" hidden="false" customHeight="true" outlineLevel="0" collapsed="false">
      <c r="B313" s="13" t="s">
        <v>450</v>
      </c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30"/>
      <c r="BD313" s="30"/>
      <c r="BE313" s="30"/>
      <c r="BF313" s="30"/>
      <c r="BG313" s="30"/>
      <c r="BH313" s="30"/>
      <c r="BI313" s="30"/>
      <c r="BJ313" s="30"/>
      <c r="BK313" s="30"/>
      <c r="BL313" s="30"/>
      <c r="BM313" s="30"/>
      <c r="BN313" s="30"/>
      <c r="BO313" s="30"/>
      <c r="BP313" s="30"/>
      <c r="BQ313" s="30"/>
      <c r="BR313" s="30"/>
      <c r="BS313" s="30"/>
      <c r="BT313" s="30"/>
      <c r="BU313" s="30"/>
      <c r="BV313" s="30"/>
      <c r="BW313" s="30"/>
      <c r="BX313" s="30"/>
      <c r="BY313" s="30"/>
      <c r="BZ313" s="30"/>
      <c r="CA313" s="30"/>
      <c r="CB313" s="30"/>
      <c r="CC313" s="30"/>
      <c r="CD313" s="30"/>
      <c r="CE313" s="30"/>
      <c r="CF313" s="30"/>
      <c r="CG313" s="30"/>
      <c r="CH313" s="30"/>
      <c r="CI313" s="30"/>
      <c r="CJ313" s="30"/>
      <c r="CK313" s="30"/>
      <c r="CL313" s="30"/>
      <c r="CM313" s="32"/>
      <c r="CN313" s="32"/>
      <c r="CO313" s="32"/>
      <c r="CP313" s="32"/>
      <c r="CQ313" s="32"/>
      <c r="CR313" s="32"/>
      <c r="CS313" s="32"/>
      <c r="CT313" s="23"/>
      <c r="CV313" s="7"/>
      <c r="CW313" s="7"/>
      <c r="CX313" s="7"/>
      <c r="CY313" s="7"/>
    </row>
    <row r="314" customFormat="false" ht="15" hidden="false" customHeight="true" outlineLevel="0" collapsed="false">
      <c r="B314" s="13" t="s">
        <v>451</v>
      </c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  <c r="BC314" s="30"/>
      <c r="BD314" s="30"/>
      <c r="BE314" s="30"/>
      <c r="BF314" s="30"/>
      <c r="BG314" s="30"/>
      <c r="BH314" s="30"/>
      <c r="BI314" s="30"/>
      <c r="BJ314" s="30"/>
      <c r="BK314" s="30"/>
      <c r="BL314" s="30"/>
      <c r="BM314" s="30"/>
      <c r="BN314" s="30"/>
      <c r="BO314" s="30"/>
      <c r="BP314" s="30"/>
      <c r="BQ314" s="30"/>
      <c r="BR314" s="30"/>
      <c r="BS314" s="30"/>
      <c r="BT314" s="30"/>
      <c r="BU314" s="30"/>
      <c r="BV314" s="30"/>
      <c r="BW314" s="30"/>
      <c r="BX314" s="30"/>
      <c r="BY314" s="30"/>
      <c r="BZ314" s="30"/>
      <c r="CA314" s="30"/>
      <c r="CB314" s="30"/>
      <c r="CC314" s="30"/>
      <c r="CD314" s="30"/>
      <c r="CE314" s="30"/>
      <c r="CF314" s="30"/>
      <c r="CG314" s="30"/>
      <c r="CH314" s="30"/>
      <c r="CI314" s="30"/>
      <c r="CJ314" s="30"/>
      <c r="CK314" s="30"/>
      <c r="CL314" s="30"/>
      <c r="CM314" s="32"/>
      <c r="CN314" s="32"/>
      <c r="CO314" s="32"/>
      <c r="CP314" s="32"/>
      <c r="CQ314" s="32"/>
      <c r="CR314" s="32"/>
      <c r="CS314" s="32"/>
      <c r="CT314" s="23"/>
      <c r="CV314" s="7"/>
      <c r="CW314" s="7"/>
      <c r="CX314" s="7"/>
      <c r="CY314" s="7"/>
    </row>
    <row r="315" customFormat="false" ht="15" hidden="false" customHeight="true" outlineLevel="0" collapsed="false">
      <c r="B315" s="13" t="s">
        <v>452</v>
      </c>
      <c r="C315" s="31" t="n">
        <v>13</v>
      </c>
      <c r="D315" s="31" t="n">
        <v>13.4</v>
      </c>
      <c r="E315" s="31" t="n">
        <v>20.4</v>
      </c>
      <c r="F315" s="31" t="n">
        <v>26.1</v>
      </c>
      <c r="G315" s="31" t="n">
        <v>75.1</v>
      </c>
      <c r="H315" s="31" t="n">
        <v>49.4</v>
      </c>
      <c r="I315" s="31" t="n">
        <v>45.8</v>
      </c>
      <c r="J315" s="30"/>
      <c r="K315" s="30"/>
      <c r="L315" s="30"/>
      <c r="M315" s="30"/>
      <c r="N315" s="30"/>
      <c r="O315" s="31" t="n">
        <v>66</v>
      </c>
      <c r="P315" s="30"/>
      <c r="Q315" s="30"/>
      <c r="R315" s="30"/>
      <c r="S315" s="30"/>
      <c r="T315" s="30"/>
      <c r="U315" s="31" t="n">
        <v>141.4</v>
      </c>
      <c r="V315" s="30"/>
      <c r="W315" s="30"/>
      <c r="X315" s="30"/>
      <c r="Y315" s="30"/>
      <c r="Z315" s="30"/>
      <c r="AA315" s="31" t="n">
        <v>85.1</v>
      </c>
      <c r="AB315" s="30"/>
      <c r="AC315" s="30"/>
      <c r="AD315" s="30"/>
      <c r="AE315" s="30"/>
      <c r="AF315" s="30"/>
      <c r="AG315" s="31" t="n">
        <v>98.6</v>
      </c>
      <c r="AH315" s="30"/>
      <c r="AI315" s="30"/>
      <c r="AJ315" s="30"/>
      <c r="AK315" s="30"/>
      <c r="AL315" s="30"/>
      <c r="AM315" s="31" t="n">
        <v>70.9</v>
      </c>
      <c r="AN315" s="30"/>
      <c r="AO315" s="30"/>
      <c r="AP315" s="30"/>
      <c r="AQ315" s="30"/>
      <c r="AR315" s="30"/>
      <c r="AS315" s="31" t="n">
        <v>142.5</v>
      </c>
      <c r="AT315" s="30"/>
      <c r="AU315" s="30"/>
      <c r="AV315" s="30"/>
      <c r="AW315" s="30"/>
      <c r="AX315" s="30"/>
      <c r="AY315" s="31" t="n">
        <v>199.5</v>
      </c>
      <c r="AZ315" s="30"/>
      <c r="BA315" s="30"/>
      <c r="BB315" s="30"/>
      <c r="BC315" s="30"/>
      <c r="BD315" s="30"/>
      <c r="BE315" s="31" t="n">
        <v>673.1</v>
      </c>
      <c r="BF315" s="30"/>
      <c r="BG315" s="30"/>
      <c r="BH315" s="30"/>
      <c r="BI315" s="30"/>
      <c r="BJ315" s="30"/>
      <c r="BK315" s="31" t="n">
        <v>474.7</v>
      </c>
      <c r="BL315" s="30"/>
      <c r="BM315" s="30"/>
      <c r="BN315" s="30"/>
      <c r="BO315" s="30"/>
      <c r="BP315" s="30"/>
      <c r="BQ315" s="31" t="n">
        <v>638.1</v>
      </c>
      <c r="BR315" s="30"/>
      <c r="BS315" s="30"/>
      <c r="BT315" s="30"/>
      <c r="BU315" s="30"/>
      <c r="BV315" s="30"/>
      <c r="BW315" s="31" t="n">
        <v>648.3</v>
      </c>
      <c r="BX315" s="30"/>
      <c r="BY315" s="30"/>
      <c r="BZ315" s="30"/>
      <c r="CA315" s="30"/>
      <c r="CB315" s="30"/>
      <c r="CC315" s="31" t="n">
        <v>649.8</v>
      </c>
      <c r="CD315" s="30"/>
      <c r="CE315" s="30"/>
      <c r="CF315" s="30"/>
      <c r="CG315" s="30"/>
      <c r="CH315" s="30"/>
      <c r="CI315" s="31" t="n">
        <v>352.4</v>
      </c>
      <c r="CJ315" s="30"/>
      <c r="CK315" s="30"/>
      <c r="CL315" s="31" t="n">
        <v>340.1</v>
      </c>
      <c r="CM315" s="32"/>
      <c r="CN315" s="32"/>
      <c r="CO315" s="32" t="n">
        <f aca="false">CO287</f>
        <v>1002.00152944626</v>
      </c>
      <c r="CP315" s="32" t="n">
        <f aca="false">CP287</f>
        <v>1341.61372787435</v>
      </c>
      <c r="CQ315" s="32" t="n">
        <f aca="false">CQ287</f>
        <v>865.198051542951</v>
      </c>
      <c r="CR315" s="32" t="n">
        <f aca="false">CR287</f>
        <v>1235.50213682196</v>
      </c>
      <c r="CS315" s="32" t="n">
        <f aca="false">CS287</f>
        <v>1332.09787583085</v>
      </c>
      <c r="CT315" s="23"/>
      <c r="CV315" s="7"/>
      <c r="CW315" s="7"/>
      <c r="CX315" s="7"/>
      <c r="CY315" s="7"/>
    </row>
    <row r="316" customFormat="false" ht="15" hidden="false" customHeight="true" outlineLevel="0" collapsed="false">
      <c r="B316" s="13" t="s">
        <v>453</v>
      </c>
      <c r="C316" s="31" t="n">
        <v>226.1</v>
      </c>
      <c r="D316" s="31" t="n">
        <v>241.1</v>
      </c>
      <c r="E316" s="31" t="n">
        <v>281.4</v>
      </c>
      <c r="F316" s="31" t="n">
        <v>228.7</v>
      </c>
      <c r="G316" s="31" t="n">
        <v>254.8</v>
      </c>
      <c r="H316" s="31" t="n">
        <v>270</v>
      </c>
      <c r="I316" s="31" t="n">
        <v>350.3</v>
      </c>
      <c r="J316" s="30"/>
      <c r="K316" s="30"/>
      <c r="L316" s="30"/>
      <c r="M316" s="30"/>
      <c r="N316" s="30"/>
      <c r="O316" s="31" t="n">
        <v>378</v>
      </c>
      <c r="P316" s="30"/>
      <c r="Q316" s="30"/>
      <c r="R316" s="30"/>
      <c r="S316" s="30"/>
      <c r="T316" s="30"/>
      <c r="U316" s="31" t="n">
        <v>400.7</v>
      </c>
      <c r="V316" s="30"/>
      <c r="W316" s="30"/>
      <c r="X316" s="30"/>
      <c r="Y316" s="30"/>
      <c r="Z316" s="30"/>
      <c r="AA316" s="31" t="n">
        <v>373</v>
      </c>
      <c r="AB316" s="30"/>
      <c r="AC316" s="30"/>
      <c r="AD316" s="30"/>
      <c r="AE316" s="30"/>
      <c r="AF316" s="30"/>
      <c r="AG316" s="31" t="n">
        <v>383.7</v>
      </c>
      <c r="AH316" s="30"/>
      <c r="AI316" s="30"/>
      <c r="AJ316" s="30"/>
      <c r="AK316" s="30"/>
      <c r="AL316" s="30"/>
      <c r="AM316" s="31" t="n">
        <v>388.3</v>
      </c>
      <c r="AN316" s="30"/>
      <c r="AO316" s="30"/>
      <c r="AP316" s="30"/>
      <c r="AQ316" s="30"/>
      <c r="AR316" s="30"/>
      <c r="AS316" s="31" t="n">
        <v>416.5</v>
      </c>
      <c r="AT316" s="30"/>
      <c r="AU316" s="30"/>
      <c r="AV316" s="30"/>
      <c r="AW316" s="30"/>
      <c r="AX316" s="30"/>
      <c r="AY316" s="31" t="n">
        <v>460.4</v>
      </c>
      <c r="AZ316" s="30"/>
      <c r="BA316" s="30"/>
      <c r="BB316" s="30"/>
      <c r="BC316" s="30"/>
      <c r="BD316" s="30"/>
      <c r="BE316" s="31" t="n">
        <v>402</v>
      </c>
      <c r="BF316" s="30"/>
      <c r="BG316" s="30"/>
      <c r="BH316" s="30"/>
      <c r="BI316" s="30"/>
      <c r="BJ316" s="30"/>
      <c r="BK316" s="31" t="n">
        <v>767.7</v>
      </c>
      <c r="BL316" s="30"/>
      <c r="BM316" s="30"/>
      <c r="BN316" s="30"/>
      <c r="BO316" s="30"/>
      <c r="BP316" s="30"/>
      <c r="BQ316" s="31" t="n">
        <v>883.7</v>
      </c>
      <c r="BR316" s="30"/>
      <c r="BS316" s="30"/>
      <c r="BT316" s="30"/>
      <c r="BU316" s="30"/>
      <c r="BV316" s="30"/>
      <c r="BW316" s="31" t="n">
        <v>899.7</v>
      </c>
      <c r="BX316" s="30"/>
      <c r="BY316" s="30"/>
      <c r="BZ316" s="30"/>
      <c r="CA316" s="30"/>
      <c r="CB316" s="30"/>
      <c r="CC316" s="31" t="n">
        <v>901.1</v>
      </c>
      <c r="CD316" s="30"/>
      <c r="CE316" s="30"/>
      <c r="CF316" s="30"/>
      <c r="CG316" s="30"/>
      <c r="CH316" s="30"/>
      <c r="CI316" s="31" t="n">
        <v>992.4</v>
      </c>
      <c r="CJ316" s="30"/>
      <c r="CK316" s="30"/>
      <c r="CL316" s="31" t="n">
        <v>937.7</v>
      </c>
      <c r="CM316" s="32"/>
      <c r="CN316" s="32"/>
      <c r="CO316" s="32" t="n">
        <f aca="false">CO152*CO359/365</f>
        <v>1062.44680545892</v>
      </c>
      <c r="CP316" s="32" t="n">
        <f aca="false">CP152*CP359/365</f>
        <v>1140.93066877925</v>
      </c>
      <c r="CQ316" s="32" t="n">
        <f aca="false">CQ152*CQ359/365</f>
        <v>1246.83239130612</v>
      </c>
      <c r="CR316" s="32" t="n">
        <f aca="false">CR152*CR359/365</f>
        <v>1360.39873016504</v>
      </c>
      <c r="CS316" s="32" t="n">
        <f aca="false">CS152*CS359/365</f>
        <v>1478.98433967422</v>
      </c>
      <c r="CT316" s="23" t="s">
        <v>454</v>
      </c>
      <c r="CV316" s="7"/>
      <c r="CW316" s="7"/>
      <c r="CX316" s="7"/>
      <c r="CY316" s="7"/>
    </row>
    <row r="317" customFormat="false" ht="15" hidden="false" customHeight="true" outlineLevel="0" collapsed="false">
      <c r="B317" s="13" t="s">
        <v>455</v>
      </c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1" t="n">
        <v>89.8</v>
      </c>
      <c r="AN317" s="30"/>
      <c r="AO317" s="30"/>
      <c r="AP317" s="30"/>
      <c r="AQ317" s="30"/>
      <c r="AR317" s="30"/>
      <c r="AS317" s="31" t="n">
        <v>145.3</v>
      </c>
      <c r="AT317" s="30"/>
      <c r="AU317" s="30"/>
      <c r="AV317" s="30"/>
      <c r="AW317" s="30"/>
      <c r="AX317" s="30"/>
      <c r="AY317" s="31" t="n">
        <v>200.5</v>
      </c>
      <c r="AZ317" s="30"/>
      <c r="BA317" s="30"/>
      <c r="BB317" s="30"/>
      <c r="BC317" s="30"/>
      <c r="BD317" s="30"/>
      <c r="BE317" s="31" t="n">
        <v>222.1</v>
      </c>
      <c r="BF317" s="30"/>
      <c r="BG317" s="30"/>
      <c r="BH317" s="30"/>
      <c r="BI317" s="30"/>
      <c r="BJ317" s="30"/>
      <c r="BK317" s="31" t="n">
        <v>316.1</v>
      </c>
      <c r="BL317" s="30"/>
      <c r="BM317" s="30"/>
      <c r="BN317" s="30"/>
      <c r="BO317" s="30"/>
      <c r="BP317" s="30"/>
      <c r="BQ317" s="31" t="n">
        <v>274.7</v>
      </c>
      <c r="BR317" s="30"/>
      <c r="BS317" s="30"/>
      <c r="BT317" s="30"/>
      <c r="BU317" s="30"/>
      <c r="BV317" s="30"/>
      <c r="BW317" s="31" t="n">
        <v>302.4</v>
      </c>
      <c r="BX317" s="30"/>
      <c r="BY317" s="30"/>
      <c r="BZ317" s="30"/>
      <c r="CA317" s="30"/>
      <c r="CB317" s="30"/>
      <c r="CC317" s="31" t="n">
        <v>312.1</v>
      </c>
      <c r="CD317" s="30"/>
      <c r="CE317" s="30"/>
      <c r="CF317" s="30"/>
      <c r="CG317" s="30"/>
      <c r="CH317" s="30"/>
      <c r="CI317" s="31" t="n">
        <v>374.6</v>
      </c>
      <c r="CJ317" s="30"/>
      <c r="CK317" s="30"/>
      <c r="CL317" s="31" t="n">
        <v>425.8</v>
      </c>
      <c r="CM317" s="32"/>
      <c r="CN317" s="32"/>
      <c r="CO317" s="32" t="n">
        <f aca="false">CO152*CO360</f>
        <v>434.59569757781</v>
      </c>
      <c r="CP317" s="32" t="n">
        <f aca="false">CP152*CP360</f>
        <v>466.699657185996</v>
      </c>
      <c r="CQ317" s="32" t="n">
        <f aca="false">CQ152*CQ360</f>
        <v>510.018939374789</v>
      </c>
      <c r="CR317" s="32" t="n">
        <f aca="false">CR152*CR360</f>
        <v>556.473446089063</v>
      </c>
      <c r="CS317" s="32" t="n">
        <f aca="false">CS152*CS360</f>
        <v>604.981094116738</v>
      </c>
      <c r="CT317" s="23"/>
      <c r="CV317" s="7"/>
      <c r="CW317" s="7"/>
      <c r="CX317" s="7"/>
      <c r="CY317" s="7"/>
    </row>
    <row r="318" customFormat="false" ht="15" hidden="false" customHeight="true" outlineLevel="0" collapsed="false">
      <c r="B318" s="13" t="s">
        <v>456</v>
      </c>
      <c r="C318" s="31" t="n">
        <v>155.8</v>
      </c>
      <c r="D318" s="31" t="n">
        <v>174.6</v>
      </c>
      <c r="E318" s="31" t="n">
        <v>207</v>
      </c>
      <c r="F318" s="31" t="n">
        <v>164.8</v>
      </c>
      <c r="G318" s="31" t="n">
        <v>172.3</v>
      </c>
      <c r="H318" s="31" t="n">
        <v>219.4</v>
      </c>
      <c r="I318" s="31" t="n">
        <v>281.2</v>
      </c>
      <c r="J318" s="30"/>
      <c r="K318" s="30"/>
      <c r="L318" s="30"/>
      <c r="M318" s="30"/>
      <c r="N318" s="30"/>
      <c r="O318" s="31" t="n">
        <v>294.3</v>
      </c>
      <c r="P318" s="30"/>
      <c r="Q318" s="30"/>
      <c r="R318" s="30"/>
      <c r="S318" s="30"/>
      <c r="T318" s="30"/>
      <c r="U318" s="31" t="n">
        <v>311.8</v>
      </c>
      <c r="V318" s="30"/>
      <c r="W318" s="30"/>
      <c r="X318" s="30"/>
      <c r="Y318" s="30"/>
      <c r="Z318" s="30"/>
      <c r="AA318" s="31" t="n">
        <v>309.2</v>
      </c>
      <c r="AB318" s="30"/>
      <c r="AC318" s="30"/>
      <c r="AD318" s="30"/>
      <c r="AE318" s="30"/>
      <c r="AF318" s="30"/>
      <c r="AG318" s="31" t="n">
        <v>314.2</v>
      </c>
      <c r="AH318" s="30"/>
      <c r="AI318" s="30"/>
      <c r="AJ318" s="30"/>
      <c r="AK318" s="30"/>
      <c r="AL318" s="30"/>
      <c r="AM318" s="31" t="n">
        <v>400.2</v>
      </c>
      <c r="AN318" s="30"/>
      <c r="AO318" s="30"/>
      <c r="AP318" s="30"/>
      <c r="AQ318" s="30"/>
      <c r="AR318" s="30"/>
      <c r="AS318" s="31" t="n">
        <v>364.3</v>
      </c>
      <c r="AT318" s="30"/>
      <c r="AU318" s="30"/>
      <c r="AV318" s="30"/>
      <c r="AW318" s="30"/>
      <c r="AX318" s="30"/>
      <c r="AY318" s="31" t="n">
        <v>393.4</v>
      </c>
      <c r="AZ318" s="30"/>
      <c r="BA318" s="30"/>
      <c r="BB318" s="30"/>
      <c r="BC318" s="30"/>
      <c r="BD318" s="30"/>
      <c r="BE318" s="31" t="n">
        <v>347.3</v>
      </c>
      <c r="BF318" s="30"/>
      <c r="BG318" s="30"/>
      <c r="BH318" s="30"/>
      <c r="BI318" s="30"/>
      <c r="BJ318" s="30"/>
      <c r="BK318" s="31" t="n">
        <v>752.9</v>
      </c>
      <c r="BL318" s="30"/>
      <c r="BM318" s="30"/>
      <c r="BN318" s="30"/>
      <c r="BO318" s="30"/>
      <c r="BP318" s="30"/>
      <c r="BQ318" s="31" t="n">
        <v>890.7</v>
      </c>
      <c r="BR318" s="30"/>
      <c r="BS318" s="30"/>
      <c r="BT318" s="30"/>
      <c r="BU318" s="30"/>
      <c r="BV318" s="30"/>
      <c r="BW318" s="31" t="n">
        <v>917.7</v>
      </c>
      <c r="BX318" s="30"/>
      <c r="BY318" s="30"/>
      <c r="BZ318" s="30"/>
      <c r="CA318" s="30"/>
      <c r="CB318" s="30"/>
      <c r="CC318" s="31" t="n">
        <v>914.4</v>
      </c>
      <c r="CD318" s="30"/>
      <c r="CE318" s="30"/>
      <c r="CF318" s="30"/>
      <c r="CG318" s="30"/>
      <c r="CH318" s="30"/>
      <c r="CI318" s="31" t="n">
        <v>1043.3</v>
      </c>
      <c r="CJ318" s="30"/>
      <c r="CK318" s="30"/>
      <c r="CL318" s="31" t="n">
        <v>1166.4</v>
      </c>
      <c r="CM318" s="32"/>
      <c r="CN318" s="32"/>
      <c r="CO318" s="32" t="n">
        <f aca="false">CO155*CO361/365</f>
        <v>1150.62308083142</v>
      </c>
      <c r="CP318" s="32" t="n">
        <f aca="false">CP155*CP361/365</f>
        <v>1220.40239122526</v>
      </c>
      <c r="CQ318" s="32" t="n">
        <f aca="false">CQ155*CQ361/365</f>
        <v>1304.78860039166</v>
      </c>
      <c r="CR318" s="32" t="n">
        <f aca="false">CR155*CR361/365</f>
        <v>1392.29773487236</v>
      </c>
      <c r="CS318" s="32" t="n">
        <f aca="false">CS155*CS361/365</f>
        <v>1494.0291803709</v>
      </c>
      <c r="CT318" s="23"/>
      <c r="CV318" s="7"/>
      <c r="CW318" s="7"/>
      <c r="CX318" s="7"/>
      <c r="CY318" s="7"/>
    </row>
    <row r="319" customFormat="false" ht="15" hidden="false" customHeight="true" outlineLevel="0" collapsed="false">
      <c r="B319" s="13" t="s">
        <v>457</v>
      </c>
      <c r="C319" s="31" t="n">
        <v>51.9</v>
      </c>
      <c r="D319" s="31" t="n">
        <v>47.6</v>
      </c>
      <c r="E319" s="31" t="n">
        <v>84.2</v>
      </c>
      <c r="F319" s="31" t="n">
        <v>149</v>
      </c>
      <c r="G319" s="31" t="n">
        <v>145.8</v>
      </c>
      <c r="H319" s="31" t="n">
        <v>63.9</v>
      </c>
      <c r="I319" s="31" t="n">
        <v>67.5</v>
      </c>
      <c r="J319" s="30"/>
      <c r="K319" s="30"/>
      <c r="L319" s="30"/>
      <c r="M319" s="30"/>
      <c r="N319" s="30"/>
      <c r="O319" s="31" t="n">
        <v>28.9</v>
      </c>
      <c r="P319" s="30"/>
      <c r="Q319" s="30"/>
      <c r="R319" s="30"/>
      <c r="S319" s="30"/>
      <c r="T319" s="30"/>
      <c r="U319" s="31" t="n">
        <v>45</v>
      </c>
      <c r="V319" s="30"/>
      <c r="W319" s="30"/>
      <c r="X319" s="30"/>
      <c r="Y319" s="30"/>
      <c r="Z319" s="30"/>
      <c r="AA319" s="31" t="n">
        <v>59.5</v>
      </c>
      <c r="AB319" s="30"/>
      <c r="AC319" s="30"/>
      <c r="AD319" s="30"/>
      <c r="AE319" s="30"/>
      <c r="AF319" s="30"/>
      <c r="AG319" s="31" t="n">
        <v>49.7</v>
      </c>
      <c r="AH319" s="30"/>
      <c r="AI319" s="30"/>
      <c r="AJ319" s="30"/>
      <c r="AK319" s="30"/>
      <c r="AL319" s="30"/>
      <c r="AM319" s="31" t="n">
        <v>62.7</v>
      </c>
      <c r="AN319" s="30"/>
      <c r="AO319" s="30"/>
      <c r="AP319" s="30"/>
      <c r="AQ319" s="30"/>
      <c r="AR319" s="30"/>
      <c r="AS319" s="31" t="n">
        <v>45.8</v>
      </c>
      <c r="AT319" s="30"/>
      <c r="AU319" s="30"/>
      <c r="AV319" s="30"/>
      <c r="AW319" s="30"/>
      <c r="AX319" s="30"/>
      <c r="AY319" s="31" t="n">
        <v>59.9</v>
      </c>
      <c r="AZ319" s="30"/>
      <c r="BA319" s="30"/>
      <c r="BB319" s="30"/>
      <c r="BC319" s="30"/>
      <c r="BD319" s="30"/>
      <c r="BE319" s="31" t="n">
        <v>78.1</v>
      </c>
      <c r="BF319" s="30"/>
      <c r="BG319" s="30"/>
      <c r="BH319" s="30"/>
      <c r="BI319" s="30"/>
      <c r="BJ319" s="30"/>
      <c r="BK319" s="31" t="n">
        <v>118</v>
      </c>
      <c r="BL319" s="30"/>
      <c r="BM319" s="30"/>
      <c r="BN319" s="30"/>
      <c r="BO319" s="30"/>
      <c r="BP319" s="30"/>
      <c r="BQ319" s="31" t="n">
        <v>130.7</v>
      </c>
      <c r="BR319" s="30"/>
      <c r="BS319" s="30"/>
      <c r="BT319" s="30"/>
      <c r="BU319" s="30"/>
      <c r="BV319" s="30"/>
      <c r="BW319" s="31" t="n">
        <v>213.3</v>
      </c>
      <c r="BX319" s="30"/>
      <c r="BY319" s="30"/>
      <c r="BZ319" s="30"/>
      <c r="CA319" s="30"/>
      <c r="CB319" s="30"/>
      <c r="CC319" s="31" t="n">
        <v>167.2</v>
      </c>
      <c r="CD319" s="30"/>
      <c r="CE319" s="30"/>
      <c r="CF319" s="30"/>
      <c r="CG319" s="30"/>
      <c r="CH319" s="30"/>
      <c r="CI319" s="31" t="n">
        <v>292.9</v>
      </c>
      <c r="CJ319" s="30"/>
      <c r="CK319" s="30"/>
      <c r="CL319" s="31" t="n">
        <v>330.6</v>
      </c>
      <c r="CM319" s="32"/>
      <c r="CN319" s="32"/>
      <c r="CO319" s="32" t="n">
        <f aca="false">CI319</f>
        <v>292.9</v>
      </c>
      <c r="CP319" s="32" t="n">
        <f aca="false">CO319</f>
        <v>292.9</v>
      </c>
      <c r="CQ319" s="32" t="n">
        <f aca="false">CP319</f>
        <v>292.9</v>
      </c>
      <c r="CR319" s="32" t="n">
        <f aca="false">CQ319</f>
        <v>292.9</v>
      </c>
      <c r="CS319" s="32" t="n">
        <f aca="false">CR319</f>
        <v>292.9</v>
      </c>
      <c r="CT319" s="23"/>
      <c r="CV319" s="7"/>
      <c r="CW319" s="7"/>
      <c r="CX319" s="7"/>
      <c r="CY319" s="7"/>
    </row>
    <row r="320" customFormat="false" ht="15" hidden="false" customHeight="true" outlineLevel="0" collapsed="false">
      <c r="B320" s="19" t="s">
        <v>458</v>
      </c>
      <c r="C320" s="20" t="n">
        <f aca="false">IF(ISNUMBER(C315),SUM(C315:C319),"")</f>
        <v>446.8</v>
      </c>
      <c r="D320" s="20" t="n">
        <f aca="false">IF(ISNUMBER(D315),SUM(D315:D319),"")</f>
        <v>476.7</v>
      </c>
      <c r="E320" s="20" t="n">
        <f aca="false">IF(ISNUMBER(E315),SUM(E315:E319),"")</f>
        <v>593</v>
      </c>
      <c r="F320" s="20" t="n">
        <f aca="false">IF(ISNUMBER(F315),SUM(F315:F319),"")</f>
        <v>568.6</v>
      </c>
      <c r="G320" s="20" t="n">
        <f aca="false">IF(ISNUMBER(G315),SUM(G315:G319),"")</f>
        <v>648</v>
      </c>
      <c r="H320" s="20" t="n">
        <f aca="false">IF(ISNUMBER(H315),SUM(H315:H319),"")</f>
        <v>602.7</v>
      </c>
      <c r="I320" s="20" t="n">
        <f aca="false">IF(ISNUMBER(I315),SUM(I315:I319),"")</f>
        <v>744.8</v>
      </c>
      <c r="J320" s="20"/>
      <c r="K320" s="20"/>
      <c r="L320" s="20"/>
      <c r="M320" s="20"/>
      <c r="N320" s="20"/>
      <c r="O320" s="20" t="n">
        <f aca="false">IF(ISNUMBER(O315),SUM(O315:O319),"")</f>
        <v>767.2</v>
      </c>
      <c r="P320" s="20"/>
      <c r="Q320" s="20"/>
      <c r="R320" s="20"/>
      <c r="S320" s="20"/>
      <c r="T320" s="20"/>
      <c r="U320" s="20" t="n">
        <f aca="false">IF(ISNUMBER(U315),SUM(U315:U319),"")</f>
        <v>898.9</v>
      </c>
      <c r="V320" s="20"/>
      <c r="W320" s="20"/>
      <c r="X320" s="20"/>
      <c r="Y320" s="20"/>
      <c r="Z320" s="20"/>
      <c r="AA320" s="20" t="n">
        <f aca="false">IF(ISNUMBER(AA315),SUM(AA315:AA319),"")</f>
        <v>826.8</v>
      </c>
      <c r="AB320" s="20"/>
      <c r="AC320" s="20"/>
      <c r="AD320" s="20"/>
      <c r="AE320" s="20"/>
      <c r="AF320" s="20"/>
      <c r="AG320" s="20" t="n">
        <f aca="false">IF(ISNUMBER(AG315),SUM(AG315:AG319),"")</f>
        <v>846.2</v>
      </c>
      <c r="AH320" s="20"/>
      <c r="AI320" s="20"/>
      <c r="AJ320" s="20"/>
      <c r="AK320" s="20"/>
      <c r="AL320" s="20"/>
      <c r="AM320" s="20" t="n">
        <f aca="false">IF(ISNUMBER(AM315),SUM(AM315:AM319),"")</f>
        <v>1011.9</v>
      </c>
      <c r="AN320" s="20"/>
      <c r="AO320" s="20"/>
      <c r="AP320" s="20"/>
      <c r="AQ320" s="20"/>
      <c r="AR320" s="20"/>
      <c r="AS320" s="20" t="n">
        <f aca="false">IF(ISNUMBER(AS315),SUM(AS315:AS319),"")</f>
        <v>1114.4</v>
      </c>
      <c r="AT320" s="20"/>
      <c r="AU320" s="20"/>
      <c r="AV320" s="20"/>
      <c r="AW320" s="20"/>
      <c r="AX320" s="20"/>
      <c r="AY320" s="20" t="n">
        <f aca="false">IF(ISNUMBER(AY315),SUM(AY315:AY319),"")</f>
        <v>1313.7</v>
      </c>
      <c r="AZ320" s="20"/>
      <c r="BA320" s="20"/>
      <c r="BB320" s="20"/>
      <c r="BC320" s="20"/>
      <c r="BD320" s="20"/>
      <c r="BE320" s="20" t="n">
        <f aca="false">IF(ISNUMBER(BE315),SUM(BE315:BE319),"")</f>
        <v>1722.6</v>
      </c>
      <c r="BF320" s="20"/>
      <c r="BG320" s="20"/>
      <c r="BH320" s="20"/>
      <c r="BI320" s="20"/>
      <c r="BJ320" s="20"/>
      <c r="BK320" s="20" t="n">
        <f aca="false">IF(ISNUMBER(BK315),SUM(BK315:BK319),"")</f>
        <v>2429.4</v>
      </c>
      <c r="BL320" s="20"/>
      <c r="BM320" s="20"/>
      <c r="BN320" s="20"/>
      <c r="BO320" s="20"/>
      <c r="BP320" s="20"/>
      <c r="BQ320" s="20" t="n">
        <f aca="false">IF(ISNUMBER(BQ315),SUM(BQ315:BQ319),"")</f>
        <v>2817.9</v>
      </c>
      <c r="BR320" s="20"/>
      <c r="BS320" s="20"/>
      <c r="BT320" s="20"/>
      <c r="BU320" s="20"/>
      <c r="BV320" s="20"/>
      <c r="BW320" s="20" t="n">
        <f aca="false">IF(ISNUMBER(BW315),SUM(BW315:BW319),"")</f>
        <v>2981.4</v>
      </c>
      <c r="BX320" s="20"/>
      <c r="BY320" s="20"/>
      <c r="BZ320" s="20"/>
      <c r="CA320" s="20"/>
      <c r="CB320" s="20"/>
      <c r="CC320" s="20" t="n">
        <f aca="false">IF(ISNUMBER(CC315),SUM(CC315:CC319),"")</f>
        <v>2944.6</v>
      </c>
      <c r="CD320" s="20"/>
      <c r="CE320" s="20"/>
      <c r="CF320" s="20"/>
      <c r="CG320" s="20"/>
      <c r="CH320" s="20"/>
      <c r="CI320" s="20" t="n">
        <f aca="false">IF(ISNUMBER(CI315),SUM(CI315:CI319),"")</f>
        <v>3055.6</v>
      </c>
      <c r="CJ320" s="20"/>
      <c r="CK320" s="20"/>
      <c r="CL320" s="20" t="n">
        <f aca="false">IF(ISNUMBER(CL315),SUM(CL315:CL319),"")</f>
        <v>3200.6</v>
      </c>
      <c r="CM320" s="22"/>
      <c r="CN320" s="22"/>
      <c r="CO320" s="22" t="n">
        <f aca="false">SUM(CO315:CO319)</f>
        <v>3942.56711331441</v>
      </c>
      <c r="CP320" s="22" t="n">
        <f aca="false">SUM(CP315:CP319)</f>
        <v>4462.54644506486</v>
      </c>
      <c r="CQ320" s="22" t="n">
        <f aca="false">SUM(CQ315:CQ319)</f>
        <v>4219.73798261553</v>
      </c>
      <c r="CR320" s="22" t="n">
        <f aca="false">SUM(CR315:CR319)</f>
        <v>4837.57204794843</v>
      </c>
      <c r="CS320" s="22" t="n">
        <f aca="false">SUM(CS315:CS319)</f>
        <v>5202.99248999271</v>
      </c>
      <c r="CT320" s="23"/>
      <c r="CV320" s="7"/>
      <c r="CW320" s="7"/>
      <c r="CX320" s="7"/>
      <c r="CY320" s="7"/>
    </row>
    <row r="321" customFormat="false" ht="15" hidden="false" customHeight="true" outlineLevel="0" collapsed="false">
      <c r="B321" s="13" t="s">
        <v>459</v>
      </c>
      <c r="C321" s="31" t="n">
        <v>164.8</v>
      </c>
      <c r="D321" s="31" t="n">
        <v>177.2</v>
      </c>
      <c r="E321" s="31" t="n">
        <v>202.6</v>
      </c>
      <c r="F321" s="31" t="n">
        <v>187.9</v>
      </c>
      <c r="G321" s="31" t="n">
        <v>203.4</v>
      </c>
      <c r="H321" s="31" t="n">
        <v>254.6</v>
      </c>
      <c r="I321" s="31" t="n">
        <v>349.5</v>
      </c>
      <c r="J321" s="30"/>
      <c r="K321" s="30"/>
      <c r="L321" s="30"/>
      <c r="M321" s="30"/>
      <c r="N321" s="30"/>
      <c r="O321" s="31" t="n">
        <v>357.7</v>
      </c>
      <c r="P321" s="30"/>
      <c r="Q321" s="30"/>
      <c r="R321" s="30"/>
      <c r="S321" s="30"/>
      <c r="T321" s="30"/>
      <c r="U321" s="31" t="n">
        <v>336.5</v>
      </c>
      <c r="V321" s="30"/>
      <c r="W321" s="30"/>
      <c r="X321" s="30"/>
      <c r="Y321" s="30"/>
      <c r="Z321" s="30"/>
      <c r="AA321" s="31" t="n">
        <v>321.3</v>
      </c>
      <c r="AB321" s="30"/>
      <c r="AC321" s="30"/>
      <c r="AD321" s="30"/>
      <c r="AE321" s="30"/>
      <c r="AF321" s="30"/>
      <c r="AG321" s="31" t="n">
        <v>340.8</v>
      </c>
      <c r="AH321" s="30"/>
      <c r="AI321" s="30"/>
      <c r="AJ321" s="30"/>
      <c r="AK321" s="30"/>
      <c r="AL321" s="30"/>
      <c r="AM321" s="31" t="n">
        <v>442.8</v>
      </c>
      <c r="AN321" s="30"/>
      <c r="AO321" s="30"/>
      <c r="AP321" s="30"/>
      <c r="AQ321" s="30"/>
      <c r="AR321" s="30"/>
      <c r="AS321" s="31" t="n">
        <v>442.6</v>
      </c>
      <c r="AT321" s="30"/>
      <c r="AU321" s="30"/>
      <c r="AV321" s="30"/>
      <c r="AW321" s="30"/>
      <c r="AX321" s="30"/>
      <c r="AY321" s="31" t="n">
        <v>487.9</v>
      </c>
      <c r="AZ321" s="30"/>
      <c r="BA321" s="30"/>
      <c r="BB321" s="30"/>
      <c r="BC321" s="30"/>
      <c r="BD321" s="30"/>
      <c r="BE321" s="31" t="n">
        <v>489.3</v>
      </c>
      <c r="BF321" s="30"/>
      <c r="BG321" s="30"/>
      <c r="BH321" s="30"/>
      <c r="BI321" s="30"/>
      <c r="BJ321" s="30"/>
      <c r="BK321" s="31" t="n">
        <v>827.5</v>
      </c>
      <c r="BL321" s="30"/>
      <c r="BM321" s="30"/>
      <c r="BN321" s="30"/>
      <c r="BO321" s="30"/>
      <c r="BP321" s="30"/>
      <c r="BQ321" s="31" t="n">
        <v>769.8</v>
      </c>
      <c r="BR321" s="30"/>
      <c r="BS321" s="30"/>
      <c r="BT321" s="30"/>
      <c r="BU321" s="30"/>
      <c r="BV321" s="30"/>
      <c r="BW321" s="31" t="n">
        <v>777</v>
      </c>
      <c r="BX321" s="30"/>
      <c r="BY321" s="30"/>
      <c r="BZ321" s="30"/>
      <c r="CA321" s="30"/>
      <c r="CB321" s="30"/>
      <c r="CC321" s="31" t="n">
        <v>745.2</v>
      </c>
      <c r="CD321" s="30"/>
      <c r="CE321" s="30"/>
      <c r="CF321" s="30"/>
      <c r="CG321" s="30"/>
      <c r="CH321" s="30"/>
      <c r="CI321" s="31" t="n">
        <v>839.1</v>
      </c>
      <c r="CJ321" s="30"/>
      <c r="CK321" s="30"/>
      <c r="CL321" s="31" t="n">
        <v>833.8</v>
      </c>
      <c r="CM321" s="32"/>
      <c r="CN321" s="32"/>
      <c r="CO321" s="32" t="n">
        <f aca="false">CI321-CO272-CO140-CO274-CO275</f>
        <v>846.267356189393</v>
      </c>
      <c r="CP321" s="32" t="n">
        <f aca="false">CO321-CP272-CP140-CP274-CP275</f>
        <v>849.857353552362</v>
      </c>
      <c r="CQ321" s="32" t="n">
        <f aca="false">CP321-CQ272-CQ140-CQ274-CQ275</f>
        <v>853.780576162937</v>
      </c>
      <c r="CR321" s="32" t="n">
        <f aca="false">CQ321-CR272-CR140-CR274-CR275</f>
        <v>858.061141132853</v>
      </c>
      <c r="CS321" s="32" t="n">
        <f aca="false">CR321-CS272-CS140-CS274-CS275</f>
        <v>862.714841856828</v>
      </c>
      <c r="CT321" s="23" t="s">
        <v>460</v>
      </c>
      <c r="CV321" s="7"/>
      <c r="CW321" s="7"/>
      <c r="CX321" s="7"/>
      <c r="CY321" s="7"/>
    </row>
    <row r="322" customFormat="false" ht="15" hidden="false" customHeight="true" outlineLevel="0" collapsed="false">
      <c r="B322" s="13" t="s">
        <v>461</v>
      </c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1" t="n">
        <v>0</v>
      </c>
      <c r="AT322" s="30"/>
      <c r="AU322" s="30"/>
      <c r="AV322" s="30"/>
      <c r="AW322" s="30"/>
      <c r="AX322" s="30"/>
      <c r="AY322" s="31" t="n">
        <v>127.1</v>
      </c>
      <c r="AZ322" s="30"/>
      <c r="BA322" s="30"/>
      <c r="BB322" s="30"/>
      <c r="BC322" s="30"/>
      <c r="BD322" s="30"/>
      <c r="BE322" s="31" t="n">
        <v>123.4</v>
      </c>
      <c r="BF322" s="30"/>
      <c r="BG322" s="30"/>
      <c r="BH322" s="30"/>
      <c r="BI322" s="30"/>
      <c r="BJ322" s="30"/>
      <c r="BK322" s="31" t="n">
        <v>144.5</v>
      </c>
      <c r="BL322" s="30"/>
      <c r="BM322" s="30"/>
      <c r="BN322" s="30"/>
      <c r="BO322" s="30"/>
      <c r="BP322" s="30"/>
      <c r="BQ322" s="31" t="n">
        <v>142.1</v>
      </c>
      <c r="BR322" s="30"/>
      <c r="BS322" s="30"/>
      <c r="BT322" s="30"/>
      <c r="BU322" s="30"/>
      <c r="BV322" s="30"/>
      <c r="BW322" s="31" t="n">
        <v>141.7</v>
      </c>
      <c r="BX322" s="30"/>
      <c r="BY322" s="30"/>
      <c r="BZ322" s="30"/>
      <c r="CA322" s="30"/>
      <c r="CB322" s="30"/>
      <c r="CC322" s="31" t="n">
        <v>128.6</v>
      </c>
      <c r="CD322" s="30"/>
      <c r="CE322" s="30"/>
      <c r="CF322" s="30"/>
      <c r="CG322" s="30"/>
      <c r="CH322" s="30"/>
      <c r="CI322" s="31" t="n">
        <v>156.1</v>
      </c>
      <c r="CJ322" s="30"/>
      <c r="CK322" s="30"/>
      <c r="CL322" s="30"/>
      <c r="CM322" s="32"/>
      <c r="CN322" s="32"/>
      <c r="CO322" s="32" t="n">
        <f aca="false">CI322</f>
        <v>156.1</v>
      </c>
      <c r="CP322" s="32" t="n">
        <f aca="false">CO322</f>
        <v>156.1</v>
      </c>
      <c r="CQ322" s="32" t="n">
        <f aca="false">CP322</f>
        <v>156.1</v>
      </c>
      <c r="CR322" s="32" t="n">
        <f aca="false">CQ322</f>
        <v>156.1</v>
      </c>
      <c r="CS322" s="32" t="n">
        <f aca="false">CR322</f>
        <v>156.1</v>
      </c>
      <c r="CT322" s="23"/>
      <c r="CV322" s="7"/>
      <c r="CW322" s="7"/>
      <c r="CX322" s="7"/>
      <c r="CY322" s="7"/>
    </row>
    <row r="323" customFormat="false" ht="15" hidden="false" customHeight="true" outlineLevel="0" collapsed="false">
      <c r="B323" s="13" t="s">
        <v>462</v>
      </c>
      <c r="C323" s="31" t="n">
        <v>313.6</v>
      </c>
      <c r="D323" s="31" t="n">
        <v>351.6</v>
      </c>
      <c r="E323" s="31" t="n">
        <v>502.5</v>
      </c>
      <c r="F323" s="31" t="n">
        <v>501.5</v>
      </c>
      <c r="G323" s="31" t="n">
        <v>546.3</v>
      </c>
      <c r="H323" s="31" t="n">
        <v>717.8</v>
      </c>
      <c r="I323" s="31" t="n">
        <v>990.2</v>
      </c>
      <c r="J323" s="30"/>
      <c r="K323" s="30"/>
      <c r="L323" s="30"/>
      <c r="M323" s="30"/>
      <c r="N323" s="30"/>
      <c r="O323" s="31" t="n">
        <v>1037.8</v>
      </c>
      <c r="P323" s="30"/>
      <c r="Q323" s="30"/>
      <c r="R323" s="30"/>
      <c r="S323" s="30"/>
      <c r="T323" s="30"/>
      <c r="U323" s="31" t="n">
        <v>1150.6</v>
      </c>
      <c r="V323" s="30"/>
      <c r="W323" s="30"/>
      <c r="X323" s="30"/>
      <c r="Y323" s="30"/>
      <c r="Z323" s="30"/>
      <c r="AA323" s="31" t="n">
        <v>1140.2</v>
      </c>
      <c r="AB323" s="30"/>
      <c r="AC323" s="30"/>
      <c r="AD323" s="30"/>
      <c r="AE323" s="30"/>
      <c r="AF323" s="30"/>
      <c r="AG323" s="31" t="n">
        <v>1193.5</v>
      </c>
      <c r="AH323" s="30"/>
      <c r="AI323" s="30"/>
      <c r="AJ323" s="30"/>
      <c r="AK323" s="30"/>
      <c r="AL323" s="30"/>
      <c r="AM323" s="31" t="n">
        <v>1776.7</v>
      </c>
      <c r="AN323" s="30"/>
      <c r="AO323" s="30"/>
      <c r="AP323" s="30"/>
      <c r="AQ323" s="30"/>
      <c r="AR323" s="30"/>
      <c r="AS323" s="31" t="n">
        <v>1735.2</v>
      </c>
      <c r="AT323" s="30"/>
      <c r="AU323" s="30"/>
      <c r="AV323" s="30"/>
      <c r="AW323" s="30"/>
      <c r="AX323" s="30"/>
      <c r="AY323" s="31" t="n">
        <v>2050.5</v>
      </c>
      <c r="AZ323" s="30"/>
      <c r="BA323" s="30"/>
      <c r="BB323" s="30"/>
      <c r="BC323" s="30"/>
      <c r="BD323" s="30"/>
      <c r="BE323" s="31" t="n">
        <v>2150</v>
      </c>
      <c r="BF323" s="30"/>
      <c r="BG323" s="30"/>
      <c r="BH323" s="30"/>
      <c r="BI323" s="30"/>
      <c r="BJ323" s="30"/>
      <c r="BK323" s="31" t="n">
        <v>7986.7</v>
      </c>
      <c r="BL323" s="30"/>
      <c r="BM323" s="30"/>
      <c r="BN323" s="30"/>
      <c r="BO323" s="30"/>
      <c r="BP323" s="30"/>
      <c r="BQ323" s="31" t="n">
        <v>7873</v>
      </c>
      <c r="BR323" s="30"/>
      <c r="BS323" s="30"/>
      <c r="BT323" s="30"/>
      <c r="BU323" s="30"/>
      <c r="BV323" s="30"/>
      <c r="BW323" s="31" t="n">
        <v>8002.8</v>
      </c>
      <c r="BX323" s="30"/>
      <c r="BY323" s="30"/>
      <c r="BZ323" s="30"/>
      <c r="CA323" s="30"/>
      <c r="CB323" s="30"/>
      <c r="CC323" s="31" t="n">
        <v>7990.5</v>
      </c>
      <c r="CD323" s="30"/>
      <c r="CE323" s="30"/>
      <c r="CF323" s="30"/>
      <c r="CG323" s="30"/>
      <c r="CH323" s="30"/>
      <c r="CI323" s="31" t="n">
        <v>8687.6</v>
      </c>
      <c r="CJ323" s="30"/>
      <c r="CK323" s="30"/>
      <c r="CL323" s="31" t="n">
        <v>8661.9</v>
      </c>
      <c r="CM323" s="32"/>
      <c r="CN323" s="32"/>
      <c r="CO323" s="32" t="n">
        <f aca="false">CI323-CO273*(1-CO372)</f>
        <v>8724.98</v>
      </c>
      <c r="CP323" s="32" t="n">
        <f aca="false">CO323+CP106*(1-CP114)</f>
        <v>9212.48</v>
      </c>
      <c r="CQ323" s="32" t="n">
        <f aca="false">CP323+CQ106*(1-CQ114)</f>
        <v>9862.48</v>
      </c>
      <c r="CR323" s="32" t="n">
        <f aca="false">CQ323+CR106*(1-CR114)</f>
        <v>10512.48</v>
      </c>
      <c r="CS323" s="32" t="n">
        <f aca="false">CR323+CS106*(1-CS114)</f>
        <v>11162.48</v>
      </c>
      <c r="CT323" s="23" t="s">
        <v>463</v>
      </c>
      <c r="CV323" s="7"/>
      <c r="CW323" s="7"/>
      <c r="CX323" s="7"/>
      <c r="CY323" s="7"/>
    </row>
    <row r="324" customFormat="false" ht="15" hidden="false" customHeight="true" outlineLevel="0" collapsed="false">
      <c r="B324" s="13" t="s">
        <v>464</v>
      </c>
      <c r="C324" s="31" t="n">
        <v>69.4</v>
      </c>
      <c r="D324" s="31" t="n">
        <v>61.7</v>
      </c>
      <c r="E324" s="31" t="n">
        <v>117</v>
      </c>
      <c r="F324" s="31" t="n">
        <v>109.6</v>
      </c>
      <c r="G324" s="31" t="n">
        <v>113.9</v>
      </c>
      <c r="H324" s="31" t="n">
        <v>181.4</v>
      </c>
      <c r="I324" s="31" t="n">
        <v>265.7</v>
      </c>
      <c r="J324" s="30"/>
      <c r="K324" s="30"/>
      <c r="L324" s="30"/>
      <c r="M324" s="30"/>
      <c r="N324" s="30"/>
      <c r="O324" s="31" t="n">
        <v>270.9</v>
      </c>
      <c r="P324" s="30"/>
      <c r="Q324" s="30"/>
      <c r="R324" s="30"/>
      <c r="S324" s="30"/>
      <c r="T324" s="30"/>
      <c r="U324" s="31" t="n">
        <v>277.6</v>
      </c>
      <c r="V324" s="30"/>
      <c r="W324" s="30"/>
      <c r="X324" s="30"/>
      <c r="Y324" s="30"/>
      <c r="Z324" s="30"/>
      <c r="AA324" s="31" t="n">
        <v>243.3</v>
      </c>
      <c r="AB324" s="30"/>
      <c r="AC324" s="30"/>
      <c r="AD324" s="30"/>
      <c r="AE324" s="30"/>
      <c r="AF324" s="30"/>
      <c r="AG324" s="31" t="n">
        <v>234.6</v>
      </c>
      <c r="AH324" s="30"/>
      <c r="AI324" s="30"/>
      <c r="AJ324" s="30"/>
      <c r="AK324" s="30"/>
      <c r="AL324" s="30"/>
      <c r="AM324" s="31" t="n">
        <v>398.9</v>
      </c>
      <c r="AN324" s="30"/>
      <c r="AO324" s="30"/>
      <c r="AP324" s="30"/>
      <c r="AQ324" s="30"/>
      <c r="AR324" s="30"/>
      <c r="AS324" s="31" t="n">
        <v>344.3</v>
      </c>
      <c r="AT324" s="30"/>
      <c r="AU324" s="30"/>
      <c r="AV324" s="30"/>
      <c r="AW324" s="30"/>
      <c r="AX324" s="30"/>
      <c r="AY324" s="31" t="n">
        <v>430.8</v>
      </c>
      <c r="AZ324" s="30"/>
      <c r="BA324" s="30"/>
      <c r="BB324" s="30"/>
      <c r="BC324" s="30"/>
      <c r="BD324" s="30"/>
      <c r="BE324" s="31" t="n">
        <v>409.7</v>
      </c>
      <c r="BF324" s="30"/>
      <c r="BG324" s="30"/>
      <c r="BH324" s="30"/>
      <c r="BI324" s="30"/>
      <c r="BJ324" s="30"/>
      <c r="BK324" s="31" t="n">
        <v>2741.6</v>
      </c>
      <c r="BL324" s="30"/>
      <c r="BM324" s="30"/>
      <c r="BN324" s="30"/>
      <c r="BO324" s="30"/>
      <c r="BP324" s="30"/>
      <c r="BQ324" s="31" t="n">
        <v>2440.6</v>
      </c>
      <c r="BR324" s="30"/>
      <c r="BS324" s="30"/>
      <c r="BT324" s="30"/>
      <c r="BU324" s="30"/>
      <c r="BV324" s="30"/>
      <c r="BW324" s="31" t="n">
        <v>2278.1</v>
      </c>
      <c r="BX324" s="30"/>
      <c r="BY324" s="30"/>
      <c r="BZ324" s="30"/>
      <c r="CA324" s="30"/>
      <c r="CB324" s="30"/>
      <c r="CC324" s="31" t="n">
        <v>2012.9</v>
      </c>
      <c r="CD324" s="30"/>
      <c r="CE324" s="30"/>
      <c r="CF324" s="30"/>
      <c r="CG324" s="30"/>
      <c r="CH324" s="30"/>
      <c r="CI324" s="31" t="n">
        <v>2100.1</v>
      </c>
      <c r="CJ324" s="30"/>
      <c r="CK324" s="30"/>
      <c r="CL324" s="31" t="n">
        <v>1984.2</v>
      </c>
      <c r="CM324" s="32"/>
      <c r="CN324" s="32"/>
      <c r="CO324" s="32" t="n">
        <f aca="false">CI324-CO273*CO372-CO125</f>
        <v>1890.12</v>
      </c>
      <c r="CP324" s="32" t="n">
        <f aca="false">CO324+CP106*CP114-CP125</f>
        <v>1929.8825</v>
      </c>
      <c r="CQ324" s="32" t="n">
        <f aca="false">CP324+CQ106*CQ114-CQ125</f>
        <v>2034.52416666667</v>
      </c>
      <c r="CR324" s="32" t="n">
        <f aca="false">CQ324+CR106*CR114-CR125</f>
        <v>2153.89916666667</v>
      </c>
      <c r="CS324" s="32" t="n">
        <f aca="false">CR324+CS106*CS114-CS125</f>
        <v>2270.3075</v>
      </c>
      <c r="CT324" s="23" t="s">
        <v>465</v>
      </c>
      <c r="CV324" s="7"/>
      <c r="CW324" s="7"/>
      <c r="CX324" s="7"/>
      <c r="CY324" s="7"/>
    </row>
    <row r="325" customFormat="false" ht="15" hidden="false" customHeight="true" outlineLevel="0" collapsed="false">
      <c r="B325" s="13" t="s">
        <v>466</v>
      </c>
      <c r="C325" s="31" t="n">
        <v>66.8</v>
      </c>
      <c r="D325" s="31" t="n">
        <v>92.2</v>
      </c>
      <c r="E325" s="31" t="n">
        <v>119.4</v>
      </c>
      <c r="F325" s="31" t="n">
        <v>53.9</v>
      </c>
      <c r="G325" s="31" t="n">
        <v>46.2</v>
      </c>
      <c r="H325" s="31" t="n">
        <v>69.6</v>
      </c>
      <c r="I325" s="31" t="n">
        <v>56.2</v>
      </c>
      <c r="J325" s="30"/>
      <c r="K325" s="30"/>
      <c r="L325" s="30"/>
      <c r="M325" s="30"/>
      <c r="N325" s="30"/>
      <c r="O325" s="31" t="n">
        <v>317.5</v>
      </c>
      <c r="P325" s="30"/>
      <c r="Q325" s="30"/>
      <c r="R325" s="30"/>
      <c r="S325" s="30"/>
      <c r="T325" s="30"/>
      <c r="U325" s="31" t="n">
        <v>198.6</v>
      </c>
      <c r="V325" s="30"/>
      <c r="W325" s="30"/>
      <c r="X325" s="30"/>
      <c r="Y325" s="30"/>
      <c r="Z325" s="30"/>
      <c r="AA325" s="31" t="n">
        <v>185.5</v>
      </c>
      <c r="AB325" s="30"/>
      <c r="AC325" s="30"/>
      <c r="AD325" s="30"/>
      <c r="AE325" s="30"/>
      <c r="AF325" s="30"/>
      <c r="AG325" s="31" t="n">
        <v>159.3</v>
      </c>
      <c r="AH325" s="30"/>
      <c r="AI325" s="30"/>
      <c r="AJ325" s="30"/>
      <c r="AK325" s="30"/>
      <c r="AL325" s="30"/>
      <c r="AM325" s="31" t="n">
        <v>216.1</v>
      </c>
      <c r="AN325" s="30"/>
      <c r="AO325" s="30"/>
      <c r="AP325" s="30"/>
      <c r="AQ325" s="30"/>
      <c r="AR325" s="30"/>
      <c r="AS325" s="31" t="n">
        <v>172.8</v>
      </c>
      <c r="AT325" s="30"/>
      <c r="AU325" s="30"/>
      <c r="AV325" s="30"/>
      <c r="AW325" s="30"/>
      <c r="AX325" s="30"/>
      <c r="AY325" s="31" t="n">
        <v>169.8</v>
      </c>
      <c r="AZ325" s="30"/>
      <c r="BA325" s="30"/>
      <c r="BB325" s="30"/>
      <c r="BC325" s="30"/>
      <c r="BD325" s="30"/>
      <c r="BE325" s="31" t="n">
        <v>189.8</v>
      </c>
      <c r="BF325" s="30"/>
      <c r="BG325" s="30"/>
      <c r="BH325" s="30"/>
      <c r="BI325" s="30"/>
      <c r="BJ325" s="30"/>
      <c r="BK325" s="31" t="n">
        <v>300.6</v>
      </c>
      <c r="BL325" s="30"/>
      <c r="BM325" s="30"/>
      <c r="BN325" s="30"/>
      <c r="BO325" s="30"/>
      <c r="BP325" s="30"/>
      <c r="BQ325" s="31" t="n">
        <v>310.6</v>
      </c>
      <c r="BR325" s="30"/>
      <c r="BS325" s="30"/>
      <c r="BT325" s="30"/>
      <c r="BU325" s="30"/>
      <c r="BV325" s="30"/>
      <c r="BW325" s="31" t="n">
        <v>346.9</v>
      </c>
      <c r="BX325" s="30"/>
      <c r="BY325" s="30"/>
      <c r="BZ325" s="30"/>
      <c r="CA325" s="30"/>
      <c r="CB325" s="30"/>
      <c r="CC325" s="31" t="n">
        <v>378.7</v>
      </c>
      <c r="CD325" s="30"/>
      <c r="CE325" s="30"/>
      <c r="CF325" s="30"/>
      <c r="CG325" s="30"/>
      <c r="CH325" s="30"/>
      <c r="CI325" s="31" t="n">
        <v>446.8</v>
      </c>
      <c r="CJ325" s="30"/>
      <c r="CK325" s="30"/>
      <c r="CL325" s="31" t="n">
        <v>599.9</v>
      </c>
      <c r="CM325" s="32"/>
      <c r="CN325" s="32"/>
      <c r="CO325" s="32" t="n">
        <f aca="false">CI325-CO268</f>
        <v>457.3</v>
      </c>
      <c r="CP325" s="32" t="n">
        <f aca="false">CO325-CP268</f>
        <v>467.3</v>
      </c>
      <c r="CQ325" s="32" t="n">
        <f aca="false">CP325-CQ268</f>
        <v>477.3</v>
      </c>
      <c r="CR325" s="32" t="n">
        <f aca="false">CQ325-CR268</f>
        <v>487.3</v>
      </c>
      <c r="CS325" s="32" t="n">
        <f aca="false">CR325-CS268</f>
        <v>497.3</v>
      </c>
      <c r="CT325" s="23" t="s">
        <v>467</v>
      </c>
      <c r="CV325" s="7"/>
      <c r="CW325" s="7"/>
      <c r="CX325" s="7"/>
      <c r="CY325" s="7"/>
    </row>
    <row r="326" customFormat="false" ht="15" hidden="false" customHeight="true" outlineLevel="0" collapsed="false">
      <c r="B326" s="34" t="s">
        <v>468</v>
      </c>
      <c r="C326" s="35" t="n">
        <f aca="false">IF(ISNUMBER(C315),C320+SUM(C321:C325),"")</f>
        <v>1061.4</v>
      </c>
      <c r="D326" s="35" t="n">
        <f aca="false">IF(ISNUMBER(D315),D320+SUM(D321:D325),"")</f>
        <v>1159.4</v>
      </c>
      <c r="E326" s="35" t="n">
        <f aca="false">IF(ISNUMBER(E315),E320+SUM(E321:E325),"")</f>
        <v>1534.5</v>
      </c>
      <c r="F326" s="35" t="n">
        <f aca="false">IF(ISNUMBER(F315),F320+SUM(F321:F325),"")</f>
        <v>1421.5</v>
      </c>
      <c r="G326" s="35" t="n">
        <f aca="false">IF(ISNUMBER(G315),G320+SUM(G321:G325),"")</f>
        <v>1557.8</v>
      </c>
      <c r="H326" s="35" t="n">
        <f aca="false">IF(ISNUMBER(H315),H320+SUM(H321:H325),"")</f>
        <v>1826.1</v>
      </c>
      <c r="I326" s="35" t="n">
        <f aca="false">IF(ISNUMBER(I315),I320+SUM(I321:I325),"")</f>
        <v>2406.4</v>
      </c>
      <c r="J326" s="20"/>
      <c r="K326" s="20"/>
      <c r="L326" s="20"/>
      <c r="M326" s="20"/>
      <c r="N326" s="20"/>
      <c r="O326" s="35" t="n">
        <f aca="false">IF(ISNUMBER(O315),O320+SUM(O321:O325),"")</f>
        <v>2751.1</v>
      </c>
      <c r="P326" s="20"/>
      <c r="Q326" s="20"/>
      <c r="R326" s="20"/>
      <c r="S326" s="20"/>
      <c r="T326" s="20"/>
      <c r="U326" s="35" t="n">
        <f aca="false">IF(ISNUMBER(U315),U320+SUM(U321:U325),"")</f>
        <v>2862.2</v>
      </c>
      <c r="V326" s="20"/>
      <c r="W326" s="20"/>
      <c r="X326" s="20"/>
      <c r="Y326" s="20"/>
      <c r="Z326" s="20"/>
      <c r="AA326" s="35" t="n">
        <f aca="false">IF(ISNUMBER(AA315),AA320+SUM(AA321:AA325),"")</f>
        <v>2717.1</v>
      </c>
      <c r="AB326" s="20"/>
      <c r="AC326" s="20"/>
      <c r="AD326" s="20"/>
      <c r="AE326" s="20"/>
      <c r="AF326" s="20"/>
      <c r="AG326" s="35" t="n">
        <f aca="false">IF(ISNUMBER(AG315),AG320+SUM(AG321:AG325),"")</f>
        <v>2774.4</v>
      </c>
      <c r="AH326" s="20"/>
      <c r="AI326" s="20"/>
      <c r="AJ326" s="20"/>
      <c r="AK326" s="20"/>
      <c r="AL326" s="20"/>
      <c r="AM326" s="35" t="n">
        <f aca="false">IF(ISNUMBER(AM315),AM320+SUM(AM321:AM325),"")</f>
        <v>3846.4</v>
      </c>
      <c r="AN326" s="20"/>
      <c r="AO326" s="20"/>
      <c r="AP326" s="20"/>
      <c r="AQ326" s="20"/>
      <c r="AR326" s="20"/>
      <c r="AS326" s="35" t="n">
        <f aca="false">IF(ISNUMBER(AS315),AS320+SUM(AS321:AS325),"")</f>
        <v>3809.3</v>
      </c>
      <c r="AT326" s="20"/>
      <c r="AU326" s="20"/>
      <c r="AV326" s="20"/>
      <c r="AW326" s="20"/>
      <c r="AX326" s="20"/>
      <c r="AY326" s="35" t="n">
        <f aca="false">IF(ISNUMBER(AY315),AY320+SUM(AY321:AY325),"")</f>
        <v>4579.8</v>
      </c>
      <c r="AZ326" s="20"/>
      <c r="BA326" s="20"/>
      <c r="BB326" s="20"/>
      <c r="BC326" s="20"/>
      <c r="BD326" s="20"/>
      <c r="BE326" s="35" t="n">
        <f aca="false">IF(ISNUMBER(BE315),BE320+SUM(BE321:BE325),"")</f>
        <v>5084.8</v>
      </c>
      <c r="BF326" s="20"/>
      <c r="BG326" s="20"/>
      <c r="BH326" s="20"/>
      <c r="BI326" s="20"/>
      <c r="BJ326" s="20"/>
      <c r="BK326" s="35" t="n">
        <f aca="false">IF(ISNUMBER(BK315),BK320+SUM(BK321:BK325),"")</f>
        <v>14430.3</v>
      </c>
      <c r="BL326" s="20"/>
      <c r="BM326" s="20"/>
      <c r="BN326" s="20"/>
      <c r="BO326" s="20"/>
      <c r="BP326" s="20"/>
      <c r="BQ326" s="35" t="n">
        <f aca="false">IF(ISNUMBER(BQ315),BQ320+SUM(BQ321:BQ325),"")</f>
        <v>14354</v>
      </c>
      <c r="BR326" s="20"/>
      <c r="BS326" s="20"/>
      <c r="BT326" s="20"/>
      <c r="BU326" s="20"/>
      <c r="BV326" s="20"/>
      <c r="BW326" s="35" t="n">
        <f aca="false">IF(ISNUMBER(BW315),BW320+SUM(BW321:BW325),"")</f>
        <v>14527.9</v>
      </c>
      <c r="BX326" s="20"/>
      <c r="BY326" s="20"/>
      <c r="BZ326" s="20"/>
      <c r="CA326" s="20"/>
      <c r="CB326" s="20"/>
      <c r="CC326" s="35" t="n">
        <f aca="false">IF(ISNUMBER(CC315),CC320+SUM(CC321:CC325),"")</f>
        <v>14200.5</v>
      </c>
      <c r="CD326" s="20"/>
      <c r="CE326" s="20"/>
      <c r="CF326" s="20"/>
      <c r="CG326" s="20"/>
      <c r="CH326" s="20"/>
      <c r="CI326" s="35" t="n">
        <f aca="false">IF(ISNUMBER(CI315),CI320+SUM(CI321:CI325),"")</f>
        <v>15285.3</v>
      </c>
      <c r="CJ326" s="20"/>
      <c r="CK326" s="20"/>
      <c r="CL326" s="20" t="n">
        <f aca="false">IF(ISNUMBER(CL315),CL320+SUM(CL321:CL325),"")</f>
        <v>15280.4</v>
      </c>
      <c r="CM326" s="35"/>
      <c r="CN326" s="35"/>
      <c r="CO326" s="35" t="n">
        <f aca="false">CO320+SUM(CO321:CO325)</f>
        <v>16017.3344695038</v>
      </c>
      <c r="CP326" s="35" t="n">
        <f aca="false">CP320+SUM(CP321:CP325)</f>
        <v>17078.1662986172</v>
      </c>
      <c r="CQ326" s="35" t="n">
        <f aca="false">CQ320+SUM(CQ321:CQ325)</f>
        <v>17603.9227254451</v>
      </c>
      <c r="CR326" s="35" t="n">
        <f aca="false">CR320+SUM(CR321:CR325)</f>
        <v>19005.4123557479</v>
      </c>
      <c r="CS326" s="35" t="n">
        <f aca="false">CS320+SUM(CS321:CS325)</f>
        <v>20151.8948318495</v>
      </c>
      <c r="CT326" s="23"/>
      <c r="CV326" s="7"/>
      <c r="CW326" s="7"/>
      <c r="CX326" s="7"/>
      <c r="CY326" s="7"/>
    </row>
    <row r="327" customFormat="false" ht="15" hidden="false" customHeight="true" outlineLevel="0" collapsed="false">
      <c r="B327" s="13"/>
      <c r="CM327" s="7"/>
      <c r="CN327" s="7"/>
      <c r="CO327" s="7"/>
      <c r="CP327" s="7"/>
      <c r="CQ327" s="7"/>
      <c r="CR327" s="7"/>
      <c r="CS327" s="7"/>
      <c r="CT327" s="7"/>
    </row>
    <row r="328" customFormat="false" ht="15" hidden="false" customHeight="true" outlineLevel="0" collapsed="false">
      <c r="B328" s="13" t="s">
        <v>469</v>
      </c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  <c r="BB328" s="30"/>
      <c r="BC328" s="30"/>
      <c r="BD328" s="30"/>
      <c r="BE328" s="30"/>
      <c r="BF328" s="30"/>
      <c r="BG328" s="30"/>
      <c r="BH328" s="30"/>
      <c r="BI328" s="30"/>
      <c r="BJ328" s="30"/>
      <c r="BK328" s="30"/>
      <c r="BL328" s="30"/>
      <c r="BM328" s="30"/>
      <c r="BN328" s="30"/>
      <c r="BO328" s="30"/>
      <c r="BP328" s="30"/>
      <c r="BQ328" s="30"/>
      <c r="BR328" s="30"/>
      <c r="BS328" s="30"/>
      <c r="BT328" s="30"/>
      <c r="BU328" s="30"/>
      <c r="BV328" s="30"/>
      <c r="BW328" s="30"/>
      <c r="BX328" s="30"/>
      <c r="BY328" s="30"/>
      <c r="BZ328" s="30"/>
      <c r="CA328" s="30"/>
      <c r="CB328" s="30"/>
      <c r="CC328" s="30"/>
      <c r="CD328" s="30"/>
      <c r="CE328" s="30"/>
      <c r="CF328" s="30"/>
      <c r="CG328" s="30"/>
      <c r="CH328" s="30"/>
      <c r="CI328" s="30"/>
      <c r="CJ328" s="30"/>
      <c r="CK328" s="30"/>
      <c r="CL328" s="30"/>
      <c r="CM328" s="32"/>
      <c r="CN328" s="32"/>
      <c r="CO328" s="32"/>
      <c r="CP328" s="32"/>
      <c r="CQ328" s="32"/>
      <c r="CR328" s="32"/>
      <c r="CS328" s="32"/>
      <c r="CT328" s="23"/>
      <c r="CV328" s="7"/>
      <c r="CW328" s="7"/>
      <c r="CX328" s="7"/>
      <c r="CY328" s="7"/>
    </row>
    <row r="329" customFormat="false" ht="15" hidden="false" customHeight="true" outlineLevel="0" collapsed="false">
      <c r="B329" s="13" t="s">
        <v>470</v>
      </c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  <c r="BA329" s="30"/>
      <c r="BB329" s="30"/>
      <c r="BC329" s="30"/>
      <c r="BD329" s="30"/>
      <c r="BE329" s="30"/>
      <c r="BF329" s="30"/>
      <c r="BG329" s="30"/>
      <c r="BH329" s="30"/>
      <c r="BI329" s="30"/>
      <c r="BJ329" s="30"/>
      <c r="BK329" s="30"/>
      <c r="BL329" s="30"/>
      <c r="BM329" s="30"/>
      <c r="BN329" s="30"/>
      <c r="BO329" s="30"/>
      <c r="BP329" s="30"/>
      <c r="BQ329" s="30"/>
      <c r="BR329" s="30"/>
      <c r="BS329" s="30"/>
      <c r="BT329" s="30"/>
      <c r="BU329" s="30"/>
      <c r="BV329" s="30"/>
      <c r="BW329" s="30"/>
      <c r="BX329" s="30"/>
      <c r="BY329" s="30"/>
      <c r="BZ329" s="30"/>
      <c r="CA329" s="30"/>
      <c r="CB329" s="30"/>
      <c r="CC329" s="30"/>
      <c r="CD329" s="30"/>
      <c r="CE329" s="30"/>
      <c r="CF329" s="30"/>
      <c r="CG329" s="30"/>
      <c r="CH329" s="30"/>
      <c r="CI329" s="30"/>
      <c r="CJ329" s="30"/>
      <c r="CK329" s="30"/>
      <c r="CL329" s="30"/>
      <c r="CM329" s="32"/>
      <c r="CN329" s="32"/>
      <c r="CO329" s="32"/>
      <c r="CP329" s="32"/>
      <c r="CQ329" s="32"/>
      <c r="CR329" s="32"/>
      <c r="CS329" s="32"/>
      <c r="CT329" s="23"/>
      <c r="CV329" s="7"/>
      <c r="CW329" s="7"/>
      <c r="CX329" s="7"/>
      <c r="CY329" s="7"/>
    </row>
    <row r="330" customFormat="false" ht="15" hidden="false" customHeight="true" outlineLevel="0" collapsed="false">
      <c r="B330" s="13" t="s">
        <v>471</v>
      </c>
      <c r="C330" s="31" t="n">
        <v>94.1</v>
      </c>
      <c r="D330" s="31" t="n">
        <v>105.1</v>
      </c>
      <c r="E330" s="31" t="n">
        <v>108.2</v>
      </c>
      <c r="F330" s="31" t="n">
        <v>96.7</v>
      </c>
      <c r="G330" s="31" t="n">
        <v>100.6</v>
      </c>
      <c r="H330" s="31" t="n">
        <v>102</v>
      </c>
      <c r="I330" s="31" t="n">
        <v>148.6</v>
      </c>
      <c r="J330" s="30"/>
      <c r="K330" s="30"/>
      <c r="L330" s="30"/>
      <c r="M330" s="30"/>
      <c r="N330" s="30"/>
      <c r="O330" s="31" t="n">
        <v>147.5</v>
      </c>
      <c r="P330" s="30"/>
      <c r="Q330" s="30"/>
      <c r="R330" s="30"/>
      <c r="S330" s="30"/>
      <c r="T330" s="30"/>
      <c r="U330" s="31" t="n">
        <v>162.5</v>
      </c>
      <c r="V330" s="30"/>
      <c r="W330" s="30"/>
      <c r="X330" s="30"/>
      <c r="Y330" s="30"/>
      <c r="Z330" s="30"/>
      <c r="AA330" s="31" t="n">
        <v>136.5</v>
      </c>
      <c r="AB330" s="30"/>
      <c r="AC330" s="30"/>
      <c r="AD330" s="30"/>
      <c r="AE330" s="30"/>
      <c r="AF330" s="30"/>
      <c r="AG330" s="31" t="n">
        <v>138.8</v>
      </c>
      <c r="AH330" s="30"/>
      <c r="AI330" s="30"/>
      <c r="AJ330" s="30"/>
      <c r="AK330" s="30"/>
      <c r="AL330" s="30"/>
      <c r="AM330" s="31" t="n">
        <v>191.7</v>
      </c>
      <c r="AN330" s="30"/>
      <c r="AO330" s="30"/>
      <c r="AP330" s="30"/>
      <c r="AQ330" s="30"/>
      <c r="AR330" s="30"/>
      <c r="AS330" s="31" t="n">
        <v>227.8</v>
      </c>
      <c r="AT330" s="30"/>
      <c r="AU330" s="30"/>
      <c r="AV330" s="30"/>
      <c r="AW330" s="30"/>
      <c r="AX330" s="30"/>
      <c r="AY330" s="31" t="n">
        <v>271.1</v>
      </c>
      <c r="AZ330" s="30"/>
      <c r="BA330" s="30"/>
      <c r="BB330" s="30"/>
      <c r="BC330" s="30"/>
      <c r="BD330" s="30"/>
      <c r="BE330" s="31" t="n">
        <v>229.1</v>
      </c>
      <c r="BF330" s="30"/>
      <c r="BG330" s="30"/>
      <c r="BH330" s="30"/>
      <c r="BI330" s="30"/>
      <c r="BJ330" s="30"/>
      <c r="BK330" s="31" t="n">
        <v>469.5</v>
      </c>
      <c r="BL330" s="30"/>
      <c r="BM330" s="30"/>
      <c r="BN330" s="30"/>
      <c r="BO330" s="30"/>
      <c r="BP330" s="30"/>
      <c r="BQ330" s="31" t="n">
        <v>505.7</v>
      </c>
      <c r="BR330" s="30"/>
      <c r="BS330" s="30"/>
      <c r="BT330" s="30"/>
      <c r="BU330" s="30"/>
      <c r="BV330" s="30"/>
      <c r="BW330" s="31" t="n">
        <v>384.7</v>
      </c>
      <c r="BX330" s="30"/>
      <c r="BY330" s="30"/>
      <c r="BZ330" s="30"/>
      <c r="CA330" s="30"/>
      <c r="CB330" s="30"/>
      <c r="CC330" s="31" t="n">
        <v>416.4</v>
      </c>
      <c r="CD330" s="30"/>
      <c r="CE330" s="30"/>
      <c r="CF330" s="30"/>
      <c r="CG330" s="30"/>
      <c r="CH330" s="30"/>
      <c r="CI330" s="31" t="n">
        <v>486.6</v>
      </c>
      <c r="CJ330" s="30"/>
      <c r="CK330" s="30"/>
      <c r="CL330" s="31" t="n">
        <v>492.3</v>
      </c>
      <c r="CM330" s="32"/>
      <c r="CN330" s="32"/>
      <c r="CO330" s="32" t="n">
        <f aca="false">CO155*CO362/365</f>
        <v>513.671018228311</v>
      </c>
      <c r="CP330" s="32" t="n">
        <f aca="false">CP155*CP362/365</f>
        <v>554.728359647844</v>
      </c>
      <c r="CQ330" s="32" t="n">
        <f aca="false">CQ155*CQ362/365</f>
        <v>604.068796477622</v>
      </c>
      <c r="CR330" s="32" t="n">
        <f aca="false">CR155*CR362/365</f>
        <v>656.744214562435</v>
      </c>
      <c r="CS330" s="32" t="n">
        <f aca="false">CS155*CS362/365</f>
        <v>711.442466843287</v>
      </c>
      <c r="CT330" s="23"/>
      <c r="CV330" s="7"/>
      <c r="CW330" s="7"/>
      <c r="CX330" s="7"/>
      <c r="CY330" s="7"/>
    </row>
    <row r="331" customFormat="false" ht="15" hidden="false" customHeight="true" outlineLevel="0" collapsed="false">
      <c r="B331" s="13" t="s">
        <v>472</v>
      </c>
      <c r="C331" s="31" t="n">
        <v>135.1</v>
      </c>
      <c r="D331" s="31" t="n">
        <v>157.1</v>
      </c>
      <c r="E331" s="31" t="n">
        <v>202.4</v>
      </c>
      <c r="F331" s="31" t="n">
        <v>164.3</v>
      </c>
      <c r="G331" s="31" t="n">
        <v>177.3</v>
      </c>
      <c r="H331" s="31" t="n">
        <v>230.8</v>
      </c>
      <c r="I331" s="31" t="n">
        <v>256.7</v>
      </c>
      <c r="J331" s="30"/>
      <c r="K331" s="30"/>
      <c r="L331" s="30"/>
      <c r="M331" s="30"/>
      <c r="N331" s="30"/>
      <c r="O331" s="31" t="n">
        <v>211.5</v>
      </c>
      <c r="P331" s="30"/>
      <c r="Q331" s="30"/>
      <c r="R331" s="30"/>
      <c r="S331" s="30"/>
      <c r="T331" s="30"/>
      <c r="U331" s="31" t="n">
        <v>242.4</v>
      </c>
      <c r="V331" s="30"/>
      <c r="W331" s="30"/>
      <c r="X331" s="30"/>
      <c r="Y331" s="30"/>
      <c r="Z331" s="30"/>
      <c r="AA331" s="31" t="n">
        <v>200.4</v>
      </c>
      <c r="AB331" s="30"/>
      <c r="AC331" s="30"/>
      <c r="AD331" s="30"/>
      <c r="AE331" s="30"/>
      <c r="AF331" s="30"/>
      <c r="AG331" s="31" t="n">
        <v>261</v>
      </c>
      <c r="AH331" s="30"/>
      <c r="AI331" s="30"/>
      <c r="AJ331" s="30"/>
      <c r="AK331" s="30"/>
      <c r="AL331" s="30"/>
      <c r="AM331" s="31" t="n">
        <v>345.3</v>
      </c>
      <c r="AN331" s="30"/>
      <c r="AO331" s="30"/>
      <c r="AP331" s="30"/>
      <c r="AQ331" s="30"/>
      <c r="AR331" s="30"/>
      <c r="AS331" s="31" t="n">
        <v>244.1</v>
      </c>
      <c r="AT331" s="30"/>
      <c r="AU331" s="30"/>
      <c r="AV331" s="30"/>
      <c r="AW331" s="30"/>
      <c r="AX331" s="30"/>
      <c r="AY331" s="31" t="n">
        <v>264.7</v>
      </c>
      <c r="AZ331" s="30"/>
      <c r="BA331" s="30"/>
      <c r="BB331" s="30"/>
      <c r="BC331" s="30"/>
      <c r="BD331" s="30"/>
      <c r="BE331" s="31" t="n">
        <v>274.1</v>
      </c>
      <c r="BF331" s="30"/>
      <c r="BG331" s="30"/>
      <c r="BH331" s="30"/>
      <c r="BI331" s="30"/>
      <c r="BJ331" s="30"/>
      <c r="BK331" s="31" t="n">
        <v>842.9</v>
      </c>
      <c r="BL331" s="30"/>
      <c r="BM331" s="30"/>
      <c r="BN331" s="30"/>
      <c r="BO331" s="30"/>
      <c r="BP331" s="30"/>
      <c r="BQ331" s="31" t="n">
        <v>530</v>
      </c>
      <c r="BR331" s="30"/>
      <c r="BS331" s="30"/>
      <c r="BT331" s="30"/>
      <c r="BU331" s="30"/>
      <c r="BV331" s="30"/>
      <c r="BW331" s="31" t="n">
        <v>540.2</v>
      </c>
      <c r="BX331" s="30"/>
      <c r="BY331" s="30"/>
      <c r="BZ331" s="30"/>
      <c r="CA331" s="30"/>
      <c r="CB331" s="30"/>
      <c r="CC331" s="31" t="n">
        <v>532.3</v>
      </c>
      <c r="CD331" s="30"/>
      <c r="CE331" s="30"/>
      <c r="CF331" s="30"/>
      <c r="CG331" s="30"/>
      <c r="CH331" s="30"/>
      <c r="CI331" s="31" t="n">
        <v>553.8</v>
      </c>
      <c r="CJ331" s="30"/>
      <c r="CK331" s="30"/>
      <c r="CL331" s="31" t="n">
        <v>546.1</v>
      </c>
      <c r="CM331" s="32"/>
      <c r="CN331" s="32"/>
      <c r="CO331" s="32" t="n">
        <f aca="false">CO152*CO363</f>
        <v>601.74788895389</v>
      </c>
      <c r="CP331" s="32" t="n">
        <f aca="false">CP152*CP363</f>
        <v>646.199525334456</v>
      </c>
      <c r="CQ331" s="32" t="n">
        <f aca="false">CQ152*CQ363</f>
        <v>706.180069903555</v>
      </c>
      <c r="CR331" s="32" t="n">
        <f aca="false">CR152*CR363</f>
        <v>770.501694584856</v>
      </c>
      <c r="CS331" s="32" t="n">
        <f aca="false">CS152*CS363</f>
        <v>837.666130315483</v>
      </c>
      <c r="CT331" s="23"/>
      <c r="CV331" s="7"/>
      <c r="CW331" s="7"/>
      <c r="CX331" s="7"/>
      <c r="CY331" s="7"/>
    </row>
    <row r="332" customFormat="false" ht="15" hidden="false" customHeight="true" outlineLevel="0" collapsed="false">
      <c r="B332" s="13" t="s">
        <v>473</v>
      </c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1" t="n">
        <v>55.6</v>
      </c>
      <c r="P332" s="30"/>
      <c r="Q332" s="30"/>
      <c r="R332" s="30"/>
      <c r="S332" s="30"/>
      <c r="T332" s="30"/>
      <c r="U332" s="31" t="n">
        <v>47.9</v>
      </c>
      <c r="V332" s="30"/>
      <c r="W332" s="30"/>
      <c r="X332" s="30"/>
      <c r="Y332" s="30"/>
      <c r="Z332" s="30"/>
      <c r="AA332" s="31" t="n">
        <v>37.6</v>
      </c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1" t="n">
        <v>111.5</v>
      </c>
      <c r="AT332" s="30"/>
      <c r="AU332" s="30"/>
      <c r="AV332" s="30"/>
      <c r="AW332" s="30"/>
      <c r="AX332" s="30"/>
      <c r="AY332" s="31" t="n">
        <v>126.8</v>
      </c>
      <c r="AZ332" s="30"/>
      <c r="BA332" s="30"/>
      <c r="BB332" s="30"/>
      <c r="BC332" s="30"/>
      <c r="BD332" s="30"/>
      <c r="BE332" s="31" t="n">
        <v>160.1</v>
      </c>
      <c r="BF332" s="30"/>
      <c r="BG332" s="30"/>
      <c r="BH332" s="30"/>
      <c r="BI332" s="30"/>
      <c r="BJ332" s="30"/>
      <c r="BK332" s="31" t="n">
        <v>186</v>
      </c>
      <c r="BL332" s="30"/>
      <c r="BM332" s="30"/>
      <c r="BN332" s="30"/>
      <c r="BO332" s="30"/>
      <c r="BP332" s="30"/>
      <c r="BQ332" s="31" t="n">
        <v>187.6</v>
      </c>
      <c r="BR332" s="30"/>
      <c r="BS332" s="30"/>
      <c r="BT332" s="30"/>
      <c r="BU332" s="30"/>
      <c r="BV332" s="30"/>
      <c r="BW332" s="31" t="n">
        <v>241.1</v>
      </c>
      <c r="BX332" s="30"/>
      <c r="BY332" s="30"/>
      <c r="BZ332" s="30"/>
      <c r="CA332" s="30"/>
      <c r="CB332" s="30"/>
      <c r="CC332" s="31" t="n">
        <v>312.6</v>
      </c>
      <c r="CD332" s="30"/>
      <c r="CE332" s="30"/>
      <c r="CF332" s="30"/>
      <c r="CG332" s="30"/>
      <c r="CH332" s="30"/>
      <c r="CI332" s="31" t="n">
        <v>369.6</v>
      </c>
      <c r="CJ332" s="30"/>
      <c r="CK332" s="30"/>
      <c r="CL332" s="31" t="n">
        <v>428.9</v>
      </c>
      <c r="CM332" s="32"/>
      <c r="CN332" s="32"/>
      <c r="CO332" s="32" t="n">
        <f aca="false">CO152*CO364</f>
        <v>434.59569757781</v>
      </c>
      <c r="CP332" s="32" t="n">
        <f aca="false">CP152*CP364</f>
        <v>466.699657185996</v>
      </c>
      <c r="CQ332" s="32" t="n">
        <f aca="false">CQ152*CQ364</f>
        <v>510.018939374789</v>
      </c>
      <c r="CR332" s="32" t="n">
        <f aca="false">CR152*CR364</f>
        <v>556.473446089063</v>
      </c>
      <c r="CS332" s="32" t="n">
        <f aca="false">CS152*CS364</f>
        <v>604.981094116738</v>
      </c>
      <c r="CT332" s="23"/>
      <c r="CV332" s="7"/>
      <c r="CW332" s="7"/>
      <c r="CX332" s="7"/>
      <c r="CY332" s="7"/>
    </row>
    <row r="333" customFormat="false" ht="15" hidden="false" customHeight="true" outlineLevel="0" collapsed="false">
      <c r="B333" s="13" t="s">
        <v>474</v>
      </c>
      <c r="C333" s="31" t="n">
        <v>1.2</v>
      </c>
      <c r="D333" s="31" t="n">
        <v>0.8</v>
      </c>
      <c r="E333" s="31" t="n">
        <v>1.1</v>
      </c>
      <c r="F333" s="31" t="n">
        <v>0.5</v>
      </c>
      <c r="G333" s="31" t="n">
        <v>2</v>
      </c>
      <c r="H333" s="31" t="n">
        <v>1.4</v>
      </c>
      <c r="I333" s="31" t="n">
        <v>2</v>
      </c>
      <c r="J333" s="30"/>
      <c r="K333" s="30"/>
      <c r="L333" s="30"/>
      <c r="M333" s="30"/>
      <c r="N333" s="30"/>
      <c r="O333" s="31" t="n">
        <v>3.5</v>
      </c>
      <c r="P333" s="30"/>
      <c r="Q333" s="30"/>
      <c r="R333" s="30"/>
      <c r="S333" s="30"/>
      <c r="T333" s="30"/>
      <c r="U333" s="31" t="n">
        <v>86.2</v>
      </c>
      <c r="V333" s="30"/>
      <c r="W333" s="30"/>
      <c r="X333" s="30"/>
      <c r="Y333" s="30"/>
      <c r="Z333" s="30"/>
      <c r="AA333" s="31" t="n">
        <v>19.1</v>
      </c>
      <c r="AB333" s="30"/>
      <c r="AC333" s="30"/>
      <c r="AD333" s="30"/>
      <c r="AE333" s="30"/>
      <c r="AF333" s="30"/>
      <c r="AG333" s="31" t="n">
        <v>102</v>
      </c>
      <c r="AH333" s="30"/>
      <c r="AI333" s="30"/>
      <c r="AJ333" s="30"/>
      <c r="AK333" s="30"/>
      <c r="AL333" s="30"/>
      <c r="AM333" s="31" t="n">
        <v>3.6</v>
      </c>
      <c r="AN333" s="30"/>
      <c r="AO333" s="30"/>
      <c r="AP333" s="30"/>
      <c r="AQ333" s="30"/>
      <c r="AR333" s="30"/>
      <c r="AS333" s="31" t="n">
        <v>137.4</v>
      </c>
      <c r="AT333" s="30"/>
      <c r="AU333" s="30"/>
      <c r="AV333" s="30"/>
      <c r="AW333" s="30"/>
      <c r="AX333" s="30"/>
      <c r="AY333" s="31" t="n">
        <v>100.6</v>
      </c>
      <c r="AZ333" s="30"/>
      <c r="BA333" s="30"/>
      <c r="BB333" s="30"/>
      <c r="BC333" s="30"/>
      <c r="BD333" s="30"/>
      <c r="BE333" s="31" t="n">
        <v>97.6</v>
      </c>
      <c r="BF333" s="30"/>
      <c r="BG333" s="30"/>
      <c r="BH333" s="30"/>
      <c r="BI333" s="30"/>
      <c r="BJ333" s="30"/>
      <c r="BK333" s="31" t="n">
        <v>0</v>
      </c>
      <c r="BL333" s="30"/>
      <c r="BM333" s="30"/>
      <c r="BN333" s="30"/>
      <c r="BO333" s="30"/>
      <c r="BP333" s="30"/>
      <c r="BQ333" s="31" t="n">
        <v>300.1</v>
      </c>
      <c r="BR333" s="30"/>
      <c r="BS333" s="30"/>
      <c r="BT333" s="30"/>
      <c r="BU333" s="30"/>
      <c r="BV333" s="30"/>
      <c r="BW333" s="31" t="n">
        <v>600.1</v>
      </c>
      <c r="BX333" s="30"/>
      <c r="BY333" s="30"/>
      <c r="BZ333" s="30"/>
      <c r="CA333" s="30"/>
      <c r="CB333" s="30"/>
      <c r="CC333" s="31" t="n">
        <v>0.3</v>
      </c>
      <c r="CD333" s="30"/>
      <c r="CE333" s="30"/>
      <c r="CF333" s="30"/>
      <c r="CG333" s="30"/>
      <c r="CH333" s="30"/>
      <c r="CI333" s="31" t="n">
        <v>450.1</v>
      </c>
      <c r="CJ333" s="30"/>
      <c r="CK333" s="30"/>
      <c r="CL333" s="31" t="n">
        <v>0.1</v>
      </c>
      <c r="CM333" s="32"/>
      <c r="CN333" s="32"/>
      <c r="CO333" s="32" t="n">
        <f aca="false">MIN(CI333,CO376)</f>
        <v>450.1</v>
      </c>
      <c r="CP333" s="32" t="n">
        <f aca="false">MIN(CO333,CP376)</f>
        <v>450.1</v>
      </c>
      <c r="CQ333" s="32" t="n">
        <f aca="false">MIN(CP333,CQ376)</f>
        <v>450.1</v>
      </c>
      <c r="CR333" s="32" t="n">
        <f aca="false">MIN(CQ333,CR376)</f>
        <v>450.1</v>
      </c>
      <c r="CS333" s="32" t="n">
        <f aca="false">MIN(CR333,CS376)</f>
        <v>450.1</v>
      </c>
      <c r="CT333" s="23"/>
      <c r="CV333" s="7"/>
      <c r="CW333" s="7"/>
      <c r="CX333" s="7"/>
      <c r="CY333" s="7"/>
    </row>
    <row r="334" customFormat="false" ht="15" hidden="false" customHeight="true" outlineLevel="0" collapsed="false">
      <c r="B334" s="13" t="s">
        <v>475</v>
      </c>
      <c r="C334" s="30"/>
      <c r="D334" s="30"/>
      <c r="E334" s="30"/>
      <c r="F334" s="31" t="n">
        <v>64.5</v>
      </c>
      <c r="G334" s="31" t="n">
        <v>61.3</v>
      </c>
      <c r="H334" s="31" t="n">
        <v>0</v>
      </c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  <c r="BB334" s="30"/>
      <c r="BC334" s="30"/>
      <c r="BD334" s="30"/>
      <c r="BE334" s="30"/>
      <c r="BF334" s="30"/>
      <c r="BG334" s="30"/>
      <c r="BH334" s="30"/>
      <c r="BI334" s="30"/>
      <c r="BJ334" s="30"/>
      <c r="BK334" s="30"/>
      <c r="BL334" s="30"/>
      <c r="BM334" s="30"/>
      <c r="BN334" s="30"/>
      <c r="BO334" s="30"/>
      <c r="BP334" s="30"/>
      <c r="BQ334" s="30"/>
      <c r="BR334" s="30"/>
      <c r="BS334" s="30"/>
      <c r="BT334" s="30"/>
      <c r="BU334" s="30"/>
      <c r="BV334" s="30"/>
      <c r="BW334" s="30"/>
      <c r="BX334" s="30"/>
      <c r="BY334" s="30"/>
      <c r="BZ334" s="30"/>
      <c r="CA334" s="30"/>
      <c r="CB334" s="30"/>
      <c r="CC334" s="30"/>
      <c r="CD334" s="30"/>
      <c r="CE334" s="30"/>
      <c r="CF334" s="30"/>
      <c r="CG334" s="30"/>
      <c r="CH334" s="30"/>
      <c r="CI334" s="30"/>
      <c r="CJ334" s="30"/>
      <c r="CK334" s="30"/>
      <c r="CL334" s="30"/>
      <c r="CM334" s="32"/>
      <c r="CN334" s="32"/>
      <c r="CO334" s="32" t="n">
        <f aca="false">CI334</f>
        <v>0</v>
      </c>
      <c r="CP334" s="32" t="n">
        <f aca="false">CO334</f>
        <v>0</v>
      </c>
      <c r="CQ334" s="32" t="n">
        <f aca="false">CP334</f>
        <v>0</v>
      </c>
      <c r="CR334" s="32" t="n">
        <f aca="false">CQ334</f>
        <v>0</v>
      </c>
      <c r="CS334" s="32" t="n">
        <f aca="false">CR334</f>
        <v>0</v>
      </c>
      <c r="CT334" s="23"/>
      <c r="CV334" s="7"/>
      <c r="CW334" s="7"/>
      <c r="CX334" s="7"/>
      <c r="CY334" s="7"/>
    </row>
    <row r="335" customFormat="false" ht="15" hidden="false" customHeight="true" outlineLevel="0" collapsed="false">
      <c r="B335" s="19" t="s">
        <v>476</v>
      </c>
      <c r="C335" s="20" t="n">
        <f aca="false">IF(ISNUMBER(C330),SUM(C330:C334),"")</f>
        <v>230.4</v>
      </c>
      <c r="D335" s="20" t="n">
        <f aca="false">IF(ISNUMBER(D330),SUM(D330:D334),"")</f>
        <v>263</v>
      </c>
      <c r="E335" s="20" t="n">
        <f aca="false">IF(ISNUMBER(E330),SUM(E330:E334),"")</f>
        <v>311.7</v>
      </c>
      <c r="F335" s="20" t="n">
        <f aca="false">IF(ISNUMBER(F330),SUM(F330:F334),"")</f>
        <v>326</v>
      </c>
      <c r="G335" s="20" t="n">
        <f aca="false">IF(ISNUMBER(G330),SUM(G330:G334),"")</f>
        <v>341.2</v>
      </c>
      <c r="H335" s="20" t="n">
        <f aca="false">IF(ISNUMBER(H330),SUM(H330:H334),"")</f>
        <v>334.2</v>
      </c>
      <c r="I335" s="20" t="n">
        <f aca="false">IF(ISNUMBER(I330),SUM(I330:I334),"")</f>
        <v>407.3</v>
      </c>
      <c r="J335" s="20"/>
      <c r="K335" s="20"/>
      <c r="L335" s="20"/>
      <c r="M335" s="20"/>
      <c r="N335" s="20"/>
      <c r="O335" s="20" t="n">
        <f aca="false">IF(ISNUMBER(O330),SUM(O330:O334),"")</f>
        <v>418.1</v>
      </c>
      <c r="P335" s="20"/>
      <c r="Q335" s="20"/>
      <c r="R335" s="20"/>
      <c r="S335" s="20"/>
      <c r="T335" s="20"/>
      <c r="U335" s="20" t="n">
        <f aca="false">IF(ISNUMBER(U330),SUM(U330:U334),"")</f>
        <v>539</v>
      </c>
      <c r="V335" s="20"/>
      <c r="W335" s="20"/>
      <c r="X335" s="20"/>
      <c r="Y335" s="20"/>
      <c r="Z335" s="20"/>
      <c r="AA335" s="20" t="n">
        <f aca="false">IF(ISNUMBER(AA330),SUM(AA330:AA334),"")</f>
        <v>393.6</v>
      </c>
      <c r="AB335" s="20"/>
      <c r="AC335" s="20"/>
      <c r="AD335" s="20"/>
      <c r="AE335" s="20"/>
      <c r="AF335" s="20"/>
      <c r="AG335" s="20" t="n">
        <f aca="false">IF(ISNUMBER(AG330),SUM(AG330:AG334),"")</f>
        <v>501.8</v>
      </c>
      <c r="AH335" s="20"/>
      <c r="AI335" s="20"/>
      <c r="AJ335" s="20"/>
      <c r="AK335" s="20"/>
      <c r="AL335" s="20"/>
      <c r="AM335" s="20" t="n">
        <f aca="false">IF(ISNUMBER(AM330),SUM(AM330:AM334),"")</f>
        <v>540.6</v>
      </c>
      <c r="AN335" s="20"/>
      <c r="AO335" s="20"/>
      <c r="AP335" s="20"/>
      <c r="AQ335" s="20"/>
      <c r="AR335" s="20"/>
      <c r="AS335" s="20" t="n">
        <f aca="false">IF(ISNUMBER(AS330),SUM(AS330:AS334),"")</f>
        <v>720.8</v>
      </c>
      <c r="AT335" s="20"/>
      <c r="AU335" s="20"/>
      <c r="AV335" s="20"/>
      <c r="AW335" s="20"/>
      <c r="AX335" s="20"/>
      <c r="AY335" s="20" t="n">
        <f aca="false">IF(ISNUMBER(AY330),SUM(AY330:AY334),"")</f>
        <v>763.2</v>
      </c>
      <c r="AZ335" s="20"/>
      <c r="BA335" s="20"/>
      <c r="BB335" s="20"/>
      <c r="BC335" s="20"/>
      <c r="BD335" s="20"/>
      <c r="BE335" s="20" t="n">
        <f aca="false">IF(ISNUMBER(BE330),SUM(BE330:BE334),"")</f>
        <v>760.9</v>
      </c>
      <c r="BF335" s="20"/>
      <c r="BG335" s="20"/>
      <c r="BH335" s="20"/>
      <c r="BI335" s="20"/>
      <c r="BJ335" s="20"/>
      <c r="BK335" s="20" t="n">
        <f aca="false">IF(ISNUMBER(BK330),SUM(BK330:BK334),"")</f>
        <v>1498.4</v>
      </c>
      <c r="BL335" s="20"/>
      <c r="BM335" s="20"/>
      <c r="BN335" s="20"/>
      <c r="BO335" s="20"/>
      <c r="BP335" s="20"/>
      <c r="BQ335" s="20" t="n">
        <f aca="false">IF(ISNUMBER(BQ330),SUM(BQ330:BQ334),"")</f>
        <v>1523.4</v>
      </c>
      <c r="BR335" s="20"/>
      <c r="BS335" s="20"/>
      <c r="BT335" s="20"/>
      <c r="BU335" s="20"/>
      <c r="BV335" s="20"/>
      <c r="BW335" s="20" t="n">
        <f aca="false">IF(ISNUMBER(BW330),SUM(BW330:BW334),"")</f>
        <v>1766.1</v>
      </c>
      <c r="BX335" s="20"/>
      <c r="BY335" s="20"/>
      <c r="BZ335" s="20"/>
      <c r="CA335" s="20"/>
      <c r="CB335" s="20"/>
      <c r="CC335" s="20" t="n">
        <f aca="false">IF(ISNUMBER(CC330),SUM(CC330:CC334),"")</f>
        <v>1261.6</v>
      </c>
      <c r="CD335" s="20"/>
      <c r="CE335" s="20"/>
      <c r="CF335" s="20"/>
      <c r="CG335" s="20"/>
      <c r="CH335" s="20"/>
      <c r="CI335" s="20" t="n">
        <f aca="false">IF(ISNUMBER(CI330),SUM(CI330:CI334),"")</f>
        <v>1860.1</v>
      </c>
      <c r="CJ335" s="20"/>
      <c r="CK335" s="20"/>
      <c r="CL335" s="20" t="n">
        <f aca="false">IF(ISNUMBER(CL330),SUM(CL330:CL334),"")</f>
        <v>1467.4</v>
      </c>
      <c r="CM335" s="22"/>
      <c r="CN335" s="22"/>
      <c r="CO335" s="22" t="n">
        <f aca="false">SUM(CO330:CO334)</f>
        <v>2000.11460476001</v>
      </c>
      <c r="CP335" s="22" t="n">
        <f aca="false">SUM(CP330:CP334)</f>
        <v>2117.7275421683</v>
      </c>
      <c r="CQ335" s="22" t="n">
        <f aca="false">SUM(CQ330:CQ334)</f>
        <v>2270.36780575597</v>
      </c>
      <c r="CR335" s="22" t="n">
        <f aca="false">SUM(CR330:CR334)</f>
        <v>2433.81935523635</v>
      </c>
      <c r="CS335" s="22" t="n">
        <f aca="false">SUM(CS330:CS334)</f>
        <v>2604.18969127551</v>
      </c>
      <c r="CT335" s="23"/>
      <c r="CV335" s="7"/>
      <c r="CW335" s="7"/>
      <c r="CX335" s="7"/>
      <c r="CY335" s="7"/>
    </row>
    <row r="336" customFormat="false" ht="15" hidden="false" customHeight="true" outlineLevel="0" collapsed="false">
      <c r="B336" s="13" t="s">
        <v>477</v>
      </c>
      <c r="C336" s="31" t="n">
        <v>230.7</v>
      </c>
      <c r="D336" s="31" t="n">
        <v>142.4</v>
      </c>
      <c r="E336" s="31" t="n">
        <v>332.1</v>
      </c>
      <c r="F336" s="31" t="n">
        <v>251.6</v>
      </c>
      <c r="G336" s="31" t="n">
        <v>265.3</v>
      </c>
      <c r="H336" s="31" t="n">
        <v>311.4</v>
      </c>
      <c r="I336" s="31" t="n">
        <v>556.2</v>
      </c>
      <c r="J336" s="30"/>
      <c r="K336" s="30"/>
      <c r="L336" s="30"/>
      <c r="M336" s="30"/>
      <c r="N336" s="30"/>
      <c r="O336" s="31" t="n">
        <v>549</v>
      </c>
      <c r="P336" s="30"/>
      <c r="Q336" s="30"/>
      <c r="R336" s="30"/>
      <c r="S336" s="30"/>
      <c r="T336" s="30"/>
      <c r="U336" s="31" t="n">
        <v>618.9</v>
      </c>
      <c r="V336" s="30"/>
      <c r="W336" s="30"/>
      <c r="X336" s="30"/>
      <c r="Y336" s="30"/>
      <c r="Z336" s="30"/>
      <c r="AA336" s="31" t="n">
        <v>761.5</v>
      </c>
      <c r="AB336" s="30"/>
      <c r="AC336" s="30"/>
      <c r="AD336" s="30"/>
      <c r="AE336" s="30"/>
      <c r="AF336" s="30"/>
      <c r="AG336" s="31" t="n">
        <v>515.8</v>
      </c>
      <c r="AH336" s="30"/>
      <c r="AI336" s="30"/>
      <c r="AJ336" s="30"/>
      <c r="AK336" s="30"/>
      <c r="AL336" s="30"/>
      <c r="AM336" s="31" t="n">
        <v>1069.3</v>
      </c>
      <c r="AN336" s="30"/>
      <c r="AO336" s="30"/>
      <c r="AP336" s="30"/>
      <c r="AQ336" s="30"/>
      <c r="AR336" s="30"/>
      <c r="AS336" s="31" t="n">
        <v>610.1</v>
      </c>
      <c r="AT336" s="30"/>
      <c r="AU336" s="30"/>
      <c r="AV336" s="30"/>
      <c r="AW336" s="30"/>
      <c r="AX336" s="30"/>
      <c r="AY336" s="31" t="n">
        <v>750</v>
      </c>
      <c r="AZ336" s="30"/>
      <c r="BA336" s="30"/>
      <c r="BB336" s="30"/>
      <c r="BC336" s="30"/>
      <c r="BD336" s="30"/>
      <c r="BE336" s="31" t="n">
        <v>680.9</v>
      </c>
      <c r="BF336" s="30"/>
      <c r="BG336" s="30"/>
      <c r="BH336" s="30"/>
      <c r="BI336" s="30"/>
      <c r="BJ336" s="30"/>
      <c r="BK336" s="31" t="n">
        <v>4099.4</v>
      </c>
      <c r="BL336" s="30"/>
      <c r="BM336" s="30"/>
      <c r="BN336" s="30"/>
      <c r="BO336" s="30"/>
      <c r="BP336" s="30"/>
      <c r="BQ336" s="31" t="n">
        <v>3620.5</v>
      </c>
      <c r="BR336" s="30"/>
      <c r="BS336" s="30"/>
      <c r="BT336" s="30"/>
      <c r="BU336" s="30"/>
      <c r="BV336" s="30"/>
      <c r="BW336" s="31" t="n">
        <v>2644.8</v>
      </c>
      <c r="BX336" s="30"/>
      <c r="BY336" s="30"/>
      <c r="BZ336" s="30"/>
      <c r="CA336" s="30"/>
      <c r="CB336" s="30"/>
      <c r="CC336" s="31" t="n">
        <v>2648.7</v>
      </c>
      <c r="CD336" s="30"/>
      <c r="CE336" s="30"/>
      <c r="CF336" s="30"/>
      <c r="CG336" s="30"/>
      <c r="CH336" s="30"/>
      <c r="CI336" s="31" t="n">
        <v>2025.3</v>
      </c>
      <c r="CJ336" s="30"/>
      <c r="CK336" s="30"/>
      <c r="CL336" s="31" t="n">
        <v>2026.9</v>
      </c>
      <c r="CM336" s="32"/>
      <c r="CN336" s="32"/>
      <c r="CO336" s="32" t="n">
        <f aca="false">CO376-CO333</f>
        <v>1575.2</v>
      </c>
      <c r="CP336" s="32" t="n">
        <f aca="false">CP376-CP333</f>
        <v>1575.2</v>
      </c>
      <c r="CQ336" s="32" t="n">
        <f aca="false">CQ376-CQ333</f>
        <v>875.2</v>
      </c>
      <c r="CR336" s="32" t="n">
        <f aca="false">CR376-CR333</f>
        <v>875.2</v>
      </c>
      <c r="CS336" s="32" t="n">
        <f aca="false">CS376-CS333</f>
        <v>447.9</v>
      </c>
      <c r="CT336" s="23"/>
      <c r="CV336" s="7"/>
      <c r="CW336" s="7"/>
      <c r="CX336" s="7"/>
      <c r="CY336" s="7"/>
    </row>
    <row r="337" customFormat="false" ht="15" hidden="false" customHeight="true" outlineLevel="0" collapsed="false">
      <c r="B337" s="13" t="s">
        <v>478</v>
      </c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1" t="n">
        <v>0</v>
      </c>
      <c r="AT337" s="30"/>
      <c r="AU337" s="30"/>
      <c r="AV337" s="30"/>
      <c r="AW337" s="30"/>
      <c r="AX337" s="30"/>
      <c r="AY337" s="31" t="n">
        <v>119.3</v>
      </c>
      <c r="AZ337" s="30"/>
      <c r="BA337" s="30"/>
      <c r="BB337" s="30"/>
      <c r="BC337" s="30"/>
      <c r="BD337" s="30"/>
      <c r="BE337" s="31" t="n">
        <v>116.5</v>
      </c>
      <c r="BF337" s="30"/>
      <c r="BG337" s="30"/>
      <c r="BH337" s="30"/>
      <c r="BI337" s="30"/>
      <c r="BJ337" s="30"/>
      <c r="BK337" s="31" t="n">
        <v>138</v>
      </c>
      <c r="BL337" s="30"/>
      <c r="BM337" s="30"/>
      <c r="BN337" s="30"/>
      <c r="BO337" s="30"/>
      <c r="BP337" s="30"/>
      <c r="BQ337" s="31" t="n">
        <v>125.9</v>
      </c>
      <c r="BR337" s="30"/>
      <c r="BS337" s="30"/>
      <c r="BT337" s="30"/>
      <c r="BU337" s="30"/>
      <c r="BV337" s="30"/>
      <c r="BW337" s="31" t="n">
        <v>123.4</v>
      </c>
      <c r="BX337" s="30"/>
      <c r="BY337" s="30"/>
      <c r="BZ337" s="30"/>
      <c r="CA337" s="30"/>
      <c r="CB337" s="30"/>
      <c r="CC337" s="31" t="n">
        <v>109.6</v>
      </c>
      <c r="CD337" s="30"/>
      <c r="CE337" s="30"/>
      <c r="CF337" s="30"/>
      <c r="CG337" s="30"/>
      <c r="CH337" s="30"/>
      <c r="CI337" s="31" t="n">
        <v>134.7</v>
      </c>
      <c r="CJ337" s="30"/>
      <c r="CK337" s="30"/>
      <c r="CL337" s="30"/>
      <c r="CM337" s="32"/>
      <c r="CN337" s="32"/>
      <c r="CO337" s="32" t="n">
        <f aca="false">CI337</f>
        <v>134.7</v>
      </c>
      <c r="CP337" s="32" t="n">
        <f aca="false">CO337</f>
        <v>134.7</v>
      </c>
      <c r="CQ337" s="32" t="n">
        <f aca="false">CP337</f>
        <v>134.7</v>
      </c>
      <c r="CR337" s="32" t="n">
        <f aca="false">CQ337</f>
        <v>134.7</v>
      </c>
      <c r="CS337" s="32" t="n">
        <f aca="false">CR337</f>
        <v>134.7</v>
      </c>
      <c r="CT337" s="23"/>
      <c r="CV337" s="7"/>
      <c r="CW337" s="7"/>
      <c r="CX337" s="7"/>
      <c r="CY337" s="7"/>
    </row>
    <row r="338" customFormat="false" ht="15" hidden="false" customHeight="true" outlineLevel="0" collapsed="false">
      <c r="B338" s="13" t="s">
        <v>479</v>
      </c>
      <c r="C338" s="31" t="n">
        <v>62.8</v>
      </c>
      <c r="D338" s="31" t="n">
        <v>97.2</v>
      </c>
      <c r="E338" s="31" t="n">
        <v>244.6</v>
      </c>
      <c r="F338" s="31" t="n">
        <v>95.5</v>
      </c>
      <c r="G338" s="31" t="n">
        <v>78.6</v>
      </c>
      <c r="H338" s="31" t="n">
        <v>79.2</v>
      </c>
      <c r="I338" s="31" t="n">
        <v>69.8</v>
      </c>
      <c r="J338" s="30"/>
      <c r="K338" s="30"/>
      <c r="L338" s="30"/>
      <c r="M338" s="30"/>
      <c r="N338" s="30"/>
      <c r="O338" s="31" t="n">
        <v>21.9</v>
      </c>
      <c r="P338" s="30"/>
      <c r="Q338" s="30"/>
      <c r="R338" s="30"/>
      <c r="S338" s="30"/>
      <c r="T338" s="30"/>
      <c r="U338" s="31" t="n">
        <v>31</v>
      </c>
      <c r="V338" s="30"/>
      <c r="W338" s="30"/>
      <c r="X338" s="30"/>
      <c r="Y338" s="30"/>
      <c r="Z338" s="30"/>
      <c r="AA338" s="31" t="n">
        <v>61.2</v>
      </c>
      <c r="AB338" s="30"/>
      <c r="AC338" s="30"/>
      <c r="AD338" s="30"/>
      <c r="AE338" s="30"/>
      <c r="AF338" s="30"/>
      <c r="AG338" s="31" t="n">
        <v>57.7</v>
      </c>
      <c r="AH338" s="30"/>
      <c r="AI338" s="30"/>
      <c r="AJ338" s="30"/>
      <c r="AK338" s="30"/>
      <c r="AL338" s="30"/>
      <c r="AM338" s="31" t="n">
        <v>60.7</v>
      </c>
      <c r="AN338" s="30"/>
      <c r="AO338" s="30"/>
      <c r="AP338" s="30"/>
      <c r="AQ338" s="30"/>
      <c r="AR338" s="30"/>
      <c r="AS338" s="31" t="n">
        <v>53.3</v>
      </c>
      <c r="AT338" s="30"/>
      <c r="AU338" s="30"/>
      <c r="AV338" s="30"/>
      <c r="AW338" s="30"/>
      <c r="AX338" s="30"/>
      <c r="AY338" s="31" t="n">
        <v>58</v>
      </c>
      <c r="AZ338" s="30"/>
      <c r="BA338" s="30"/>
      <c r="BB338" s="30"/>
      <c r="BC338" s="30"/>
      <c r="BD338" s="30"/>
      <c r="BE338" s="31" t="n">
        <v>80.2</v>
      </c>
      <c r="BF338" s="30"/>
      <c r="BG338" s="30"/>
      <c r="BH338" s="30"/>
      <c r="BI338" s="30"/>
      <c r="BJ338" s="30"/>
      <c r="BK338" s="31" t="n">
        <v>67.2</v>
      </c>
      <c r="BL338" s="30"/>
      <c r="BM338" s="30"/>
      <c r="BN338" s="30"/>
      <c r="BO338" s="30"/>
      <c r="BP338" s="30"/>
      <c r="BQ338" s="31" t="n">
        <v>50.2</v>
      </c>
      <c r="BR338" s="30"/>
      <c r="BS338" s="30"/>
      <c r="BT338" s="30"/>
      <c r="BU338" s="30"/>
      <c r="BV338" s="30"/>
      <c r="BW338" s="31" t="n">
        <v>57.8</v>
      </c>
      <c r="BX338" s="30"/>
      <c r="BY338" s="30"/>
      <c r="BZ338" s="30"/>
      <c r="CA338" s="30"/>
      <c r="CB338" s="30"/>
      <c r="CC338" s="31" t="n">
        <v>58.8</v>
      </c>
      <c r="CD338" s="30"/>
      <c r="CE338" s="30"/>
      <c r="CF338" s="30"/>
      <c r="CG338" s="30"/>
      <c r="CH338" s="30"/>
      <c r="CI338" s="31" t="n">
        <v>60</v>
      </c>
      <c r="CJ338" s="30"/>
      <c r="CK338" s="30"/>
      <c r="CL338" s="30"/>
      <c r="CM338" s="32"/>
      <c r="CN338" s="32"/>
      <c r="CO338" s="32" t="n">
        <f aca="false">CI338</f>
        <v>60</v>
      </c>
      <c r="CP338" s="32" t="n">
        <f aca="false">CO338</f>
        <v>60</v>
      </c>
      <c r="CQ338" s="32" t="n">
        <f aca="false">CP338</f>
        <v>60</v>
      </c>
      <c r="CR338" s="32" t="n">
        <f aca="false">CQ338</f>
        <v>60</v>
      </c>
      <c r="CS338" s="32" t="n">
        <f aca="false">CR338</f>
        <v>60</v>
      </c>
      <c r="CT338" s="23"/>
      <c r="CV338" s="7"/>
      <c r="CW338" s="7"/>
      <c r="CX338" s="7"/>
      <c r="CY338" s="7"/>
    </row>
    <row r="339" customFormat="false" ht="15" hidden="false" customHeight="true" outlineLevel="0" collapsed="false">
      <c r="B339" s="13" t="s">
        <v>397</v>
      </c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1" t="n">
        <v>112.3</v>
      </c>
      <c r="P339" s="30"/>
      <c r="Q339" s="30"/>
      <c r="R339" s="30"/>
      <c r="S339" s="30"/>
      <c r="T339" s="30"/>
      <c r="U339" s="31" t="n">
        <v>77.3</v>
      </c>
      <c r="V339" s="30"/>
      <c r="W339" s="30"/>
      <c r="X339" s="30"/>
      <c r="Y339" s="30"/>
      <c r="Z339" s="30"/>
      <c r="AA339" s="31" t="n">
        <v>37.9</v>
      </c>
      <c r="AB339" s="30"/>
      <c r="AC339" s="30"/>
      <c r="AD339" s="30"/>
      <c r="AE339" s="30"/>
      <c r="AF339" s="30"/>
      <c r="AG339" s="31" t="n">
        <v>26.8</v>
      </c>
      <c r="AH339" s="30"/>
      <c r="AI339" s="30"/>
      <c r="AJ339" s="30"/>
      <c r="AK339" s="30"/>
      <c r="AL339" s="30"/>
      <c r="AM339" s="31" t="n">
        <v>61.8</v>
      </c>
      <c r="AN339" s="30"/>
      <c r="AO339" s="30"/>
      <c r="AP339" s="30"/>
      <c r="AQ339" s="30"/>
      <c r="AR339" s="30"/>
      <c r="AS339" s="31" t="n">
        <v>51.2</v>
      </c>
      <c r="AT339" s="30"/>
      <c r="AU339" s="30"/>
      <c r="AV339" s="30"/>
      <c r="AW339" s="30"/>
      <c r="AX339" s="30"/>
      <c r="AY339" s="31" t="n">
        <v>34</v>
      </c>
      <c r="AZ339" s="30"/>
      <c r="BA339" s="30"/>
      <c r="BB339" s="30"/>
      <c r="BC339" s="30"/>
      <c r="BD339" s="30"/>
      <c r="BE339" s="31" t="n">
        <v>39</v>
      </c>
      <c r="BF339" s="30"/>
      <c r="BG339" s="30"/>
      <c r="BH339" s="30"/>
      <c r="BI339" s="30"/>
      <c r="BJ339" s="30"/>
      <c r="BK339" s="31" t="n">
        <v>625.5</v>
      </c>
      <c r="BL339" s="30"/>
      <c r="BM339" s="30"/>
      <c r="BN339" s="30"/>
      <c r="BO339" s="30"/>
      <c r="BP339" s="30"/>
      <c r="BQ339" s="31" t="n">
        <v>490</v>
      </c>
      <c r="BR339" s="30"/>
      <c r="BS339" s="30"/>
      <c r="BT339" s="30"/>
      <c r="BU339" s="30"/>
      <c r="BV339" s="30"/>
      <c r="BW339" s="31" t="n">
        <v>415.4</v>
      </c>
      <c r="BX339" s="30"/>
      <c r="BY339" s="30"/>
      <c r="BZ339" s="30"/>
      <c r="CA339" s="30"/>
      <c r="CB339" s="30"/>
      <c r="CC339" s="31" t="n">
        <v>354</v>
      </c>
      <c r="CD339" s="30"/>
      <c r="CE339" s="30"/>
      <c r="CF339" s="30"/>
      <c r="CG339" s="30"/>
      <c r="CH339" s="30"/>
      <c r="CI339" s="31" t="n">
        <v>369.6</v>
      </c>
      <c r="CJ339" s="30"/>
      <c r="CK339" s="30"/>
      <c r="CL339" s="31" t="n">
        <v>378.2</v>
      </c>
      <c r="CM339" s="32"/>
      <c r="CN339" s="32"/>
      <c r="CO339" s="32" t="n">
        <f aca="false">CI339+CO267</f>
        <v>349.6</v>
      </c>
      <c r="CP339" s="32" t="n">
        <f aca="false">CO339+CP267</f>
        <v>329.6</v>
      </c>
      <c r="CQ339" s="32" t="n">
        <f aca="false">CP339+CQ267</f>
        <v>309.6</v>
      </c>
      <c r="CR339" s="32" t="n">
        <f aca="false">CQ339+CR267</f>
        <v>289.6</v>
      </c>
      <c r="CS339" s="32" t="n">
        <f aca="false">CR339+CS267</f>
        <v>269.6</v>
      </c>
      <c r="CT339" s="23"/>
      <c r="CV339" s="7"/>
      <c r="CW339" s="7"/>
      <c r="CX339" s="7"/>
      <c r="CY339" s="7"/>
    </row>
    <row r="340" customFormat="false" ht="15" hidden="false" customHeight="true" outlineLevel="0" collapsed="false">
      <c r="B340" s="13" t="s">
        <v>480</v>
      </c>
      <c r="C340" s="31" t="n">
        <v>105.7</v>
      </c>
      <c r="D340" s="31" t="n">
        <v>126.6</v>
      </c>
      <c r="E340" s="31" t="n">
        <v>110.9</v>
      </c>
      <c r="F340" s="31" t="n">
        <v>81</v>
      </c>
      <c r="G340" s="31" t="n">
        <v>85.7</v>
      </c>
      <c r="H340" s="31" t="n">
        <v>117.2</v>
      </c>
      <c r="I340" s="31" t="n">
        <v>169.7</v>
      </c>
      <c r="J340" s="30"/>
      <c r="K340" s="30"/>
      <c r="L340" s="30"/>
      <c r="M340" s="30"/>
      <c r="N340" s="30"/>
      <c r="O340" s="31" t="n">
        <v>131.1</v>
      </c>
      <c r="P340" s="30"/>
      <c r="Q340" s="30"/>
      <c r="R340" s="30"/>
      <c r="S340" s="30"/>
      <c r="T340" s="30"/>
      <c r="U340" s="31" t="n">
        <v>127.5</v>
      </c>
      <c r="V340" s="30"/>
      <c r="W340" s="30"/>
      <c r="X340" s="30"/>
      <c r="Y340" s="30"/>
      <c r="Z340" s="30"/>
      <c r="AA340" s="31" t="n">
        <v>118.8</v>
      </c>
      <c r="AB340" s="30"/>
      <c r="AC340" s="30"/>
      <c r="AD340" s="30"/>
      <c r="AE340" s="30"/>
      <c r="AF340" s="30"/>
      <c r="AG340" s="31" t="n">
        <v>117.9</v>
      </c>
      <c r="AH340" s="30"/>
      <c r="AI340" s="30"/>
      <c r="AJ340" s="30"/>
      <c r="AK340" s="30"/>
      <c r="AL340" s="30"/>
      <c r="AM340" s="31" t="n">
        <v>166.7</v>
      </c>
      <c r="AN340" s="30"/>
      <c r="AO340" s="30"/>
      <c r="AP340" s="30"/>
      <c r="AQ340" s="30"/>
      <c r="AR340" s="30"/>
      <c r="AS340" s="31" t="n">
        <v>144.2</v>
      </c>
      <c r="AT340" s="30"/>
      <c r="AU340" s="30"/>
      <c r="AV340" s="30"/>
      <c r="AW340" s="30"/>
      <c r="AX340" s="30"/>
      <c r="AY340" s="31" t="n">
        <v>140.6</v>
      </c>
      <c r="AZ340" s="30"/>
      <c r="BA340" s="30"/>
      <c r="BB340" s="30"/>
      <c r="BC340" s="30"/>
      <c r="BD340" s="30"/>
      <c r="BE340" s="31" t="n">
        <v>178.7</v>
      </c>
      <c r="BF340" s="30"/>
      <c r="BG340" s="30"/>
      <c r="BH340" s="30"/>
      <c r="BI340" s="30"/>
      <c r="BJ340" s="30"/>
      <c r="BK340" s="31" t="n">
        <v>379.8</v>
      </c>
      <c r="BL340" s="30"/>
      <c r="BM340" s="30"/>
      <c r="BN340" s="30"/>
      <c r="BO340" s="30"/>
      <c r="BP340" s="30"/>
      <c r="BQ340" s="31" t="n">
        <v>371.1</v>
      </c>
      <c r="BR340" s="30"/>
      <c r="BS340" s="30"/>
      <c r="BT340" s="30"/>
      <c r="BU340" s="30"/>
      <c r="BV340" s="30"/>
      <c r="BW340" s="31" t="n">
        <v>294.6</v>
      </c>
      <c r="BX340" s="30"/>
      <c r="BY340" s="30"/>
      <c r="BZ340" s="30"/>
      <c r="CA340" s="30"/>
      <c r="CB340" s="30"/>
      <c r="CC340" s="31" t="n">
        <v>212.4</v>
      </c>
      <c r="CD340" s="30"/>
      <c r="CE340" s="30"/>
      <c r="CF340" s="30"/>
      <c r="CG340" s="30"/>
      <c r="CH340" s="30"/>
      <c r="CI340" s="31" t="n">
        <v>321.7</v>
      </c>
      <c r="CJ340" s="30"/>
      <c r="CK340" s="30"/>
      <c r="CL340" s="31" t="n">
        <v>489.4</v>
      </c>
      <c r="CM340" s="32"/>
      <c r="CN340" s="32"/>
      <c r="CO340" s="32" t="n">
        <f aca="false">CI340</f>
        <v>321.7</v>
      </c>
      <c r="CP340" s="32" t="n">
        <f aca="false">CO340</f>
        <v>321.7</v>
      </c>
      <c r="CQ340" s="32" t="n">
        <f aca="false">CP340</f>
        <v>321.7</v>
      </c>
      <c r="CR340" s="32" t="n">
        <f aca="false">CQ340</f>
        <v>321.7</v>
      </c>
      <c r="CS340" s="32" t="n">
        <f aca="false">CR340</f>
        <v>321.7</v>
      </c>
      <c r="CT340" s="23"/>
      <c r="CV340" s="7"/>
      <c r="CW340" s="7"/>
      <c r="CX340" s="7"/>
      <c r="CY340" s="7"/>
    </row>
    <row r="341" customFormat="false" ht="15" hidden="false" customHeight="true" outlineLevel="0" collapsed="false">
      <c r="B341" s="34" t="s">
        <v>481</v>
      </c>
      <c r="C341" s="35" t="n">
        <f aca="false">IF(ISNUMBER(C330),C335+SUM(C336:C340),"")</f>
        <v>629.6</v>
      </c>
      <c r="D341" s="35" t="n">
        <f aca="false">IF(ISNUMBER(D330),D335+SUM(D336:D340),"")</f>
        <v>629.2</v>
      </c>
      <c r="E341" s="35" t="n">
        <f aca="false">IF(ISNUMBER(E330),E335+SUM(E336:E340),"")</f>
        <v>999.3</v>
      </c>
      <c r="F341" s="35" t="n">
        <f aca="false">IF(ISNUMBER(F330),F335+SUM(F336:F340),"")</f>
        <v>754.1</v>
      </c>
      <c r="G341" s="35" t="n">
        <f aca="false">IF(ISNUMBER(G330),G335+SUM(G336:G340),"")</f>
        <v>770.8</v>
      </c>
      <c r="H341" s="35" t="n">
        <f aca="false">IF(ISNUMBER(H330),H335+SUM(H336:H340),"")</f>
        <v>842</v>
      </c>
      <c r="I341" s="35" t="n">
        <f aca="false">IF(ISNUMBER(I330),I335+SUM(I336:I340),"")</f>
        <v>1203</v>
      </c>
      <c r="J341" s="20"/>
      <c r="K341" s="20"/>
      <c r="L341" s="20"/>
      <c r="M341" s="20"/>
      <c r="N341" s="20"/>
      <c r="O341" s="35" t="n">
        <f aca="false">IF(ISNUMBER(O330),O335+SUM(O336:O340),"")</f>
        <v>1232.4</v>
      </c>
      <c r="P341" s="20"/>
      <c r="Q341" s="20"/>
      <c r="R341" s="20"/>
      <c r="S341" s="20"/>
      <c r="T341" s="20"/>
      <c r="U341" s="35" t="n">
        <f aca="false">IF(ISNUMBER(U330),U335+SUM(U336:U340),"")</f>
        <v>1393.7</v>
      </c>
      <c r="V341" s="20"/>
      <c r="W341" s="20"/>
      <c r="X341" s="20"/>
      <c r="Y341" s="20"/>
      <c r="Z341" s="20"/>
      <c r="AA341" s="35" t="n">
        <f aca="false">IF(ISNUMBER(AA330),AA335+SUM(AA336:AA340),"")</f>
        <v>1373</v>
      </c>
      <c r="AB341" s="20"/>
      <c r="AC341" s="20"/>
      <c r="AD341" s="20"/>
      <c r="AE341" s="20"/>
      <c r="AF341" s="20"/>
      <c r="AG341" s="35" t="n">
        <f aca="false">IF(ISNUMBER(AG330),AG335+SUM(AG336:AG340),"")</f>
        <v>1220</v>
      </c>
      <c r="AH341" s="20"/>
      <c r="AI341" s="20"/>
      <c r="AJ341" s="20"/>
      <c r="AK341" s="20"/>
      <c r="AL341" s="20"/>
      <c r="AM341" s="35" t="n">
        <f aca="false">IF(ISNUMBER(AM330),AM335+SUM(AM336:AM340),"")</f>
        <v>1899.1</v>
      </c>
      <c r="AN341" s="20"/>
      <c r="AO341" s="20"/>
      <c r="AP341" s="20"/>
      <c r="AQ341" s="20"/>
      <c r="AR341" s="20"/>
      <c r="AS341" s="35" t="n">
        <f aca="false">IF(ISNUMBER(AS330),AS335+SUM(AS336:AS340),"")</f>
        <v>1579.6</v>
      </c>
      <c r="AT341" s="20"/>
      <c r="AU341" s="20"/>
      <c r="AV341" s="20"/>
      <c r="AW341" s="20"/>
      <c r="AX341" s="20"/>
      <c r="AY341" s="35" t="n">
        <f aca="false">IF(ISNUMBER(AY330),AY335+SUM(AY336:AY340),"")</f>
        <v>1865.1</v>
      </c>
      <c r="AZ341" s="20"/>
      <c r="BA341" s="20"/>
      <c r="BB341" s="20"/>
      <c r="BC341" s="20"/>
      <c r="BD341" s="20"/>
      <c r="BE341" s="35" t="n">
        <f aca="false">IF(ISNUMBER(BE330),BE335+SUM(BE336:BE340),"")</f>
        <v>1856.2</v>
      </c>
      <c r="BF341" s="20"/>
      <c r="BG341" s="20"/>
      <c r="BH341" s="20"/>
      <c r="BI341" s="20"/>
      <c r="BJ341" s="20"/>
      <c r="BK341" s="35" t="n">
        <f aca="false">IF(ISNUMBER(BK330),BK335+SUM(BK336:BK340),"")</f>
        <v>6808.3</v>
      </c>
      <c r="BL341" s="20"/>
      <c r="BM341" s="20"/>
      <c r="BN341" s="20"/>
      <c r="BO341" s="20"/>
      <c r="BP341" s="20"/>
      <c r="BQ341" s="35" t="n">
        <f aca="false">IF(ISNUMBER(BQ330),BQ335+SUM(BQ336:BQ340),"")</f>
        <v>6181.1</v>
      </c>
      <c r="BR341" s="20"/>
      <c r="BS341" s="20"/>
      <c r="BT341" s="20"/>
      <c r="BU341" s="20"/>
      <c r="BV341" s="20"/>
      <c r="BW341" s="35" t="n">
        <f aca="false">IF(ISNUMBER(BW330),BW335+SUM(BW336:BW340),"")</f>
        <v>5302.1</v>
      </c>
      <c r="BX341" s="20"/>
      <c r="BY341" s="20"/>
      <c r="BZ341" s="20"/>
      <c r="CA341" s="20"/>
      <c r="CB341" s="20"/>
      <c r="CC341" s="35" t="n">
        <f aca="false">IF(ISNUMBER(CC330),CC335+SUM(CC336:CC340),"")</f>
        <v>4645.1</v>
      </c>
      <c r="CD341" s="20"/>
      <c r="CE341" s="20"/>
      <c r="CF341" s="20"/>
      <c r="CG341" s="20"/>
      <c r="CH341" s="20"/>
      <c r="CI341" s="35" t="n">
        <f aca="false">IF(ISNUMBER(CI330),CI335+SUM(CI336:CI340),"")</f>
        <v>4771.4</v>
      </c>
      <c r="CJ341" s="20"/>
      <c r="CK341" s="20"/>
      <c r="CL341" s="20" t="n">
        <f aca="false">IF(ISNUMBER(CL330),CL335+SUM(CL336:CL340),"")</f>
        <v>4361.9</v>
      </c>
      <c r="CM341" s="35"/>
      <c r="CN341" s="35"/>
      <c r="CO341" s="35" t="n">
        <f aca="false">CO335+SUM(CO336:CO340)</f>
        <v>4441.31460476001</v>
      </c>
      <c r="CP341" s="35" t="n">
        <f aca="false">CP335+SUM(CP336:CP340)</f>
        <v>4538.9275421683</v>
      </c>
      <c r="CQ341" s="35" t="n">
        <f aca="false">CQ335+SUM(CQ336:CQ340)</f>
        <v>3971.56780575597</v>
      </c>
      <c r="CR341" s="35" t="n">
        <f aca="false">CR335+SUM(CR336:CR340)</f>
        <v>4115.01935523635</v>
      </c>
      <c r="CS341" s="35" t="n">
        <f aca="false">CS335+SUM(CS336:CS340)</f>
        <v>3838.08969127551</v>
      </c>
      <c r="CT341" s="23"/>
      <c r="CV341" s="7"/>
      <c r="CW341" s="7"/>
      <c r="CX341" s="7"/>
      <c r="CY341" s="7"/>
    </row>
    <row r="342" customFormat="false" ht="15" hidden="false" customHeight="true" outlineLevel="0" collapsed="false">
      <c r="B342" s="13" t="s">
        <v>482</v>
      </c>
      <c r="C342" s="30"/>
      <c r="D342" s="30"/>
      <c r="E342" s="31" t="n">
        <v>28.3</v>
      </c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  <c r="BE342" s="30"/>
      <c r="BF342" s="30"/>
      <c r="BG342" s="30"/>
      <c r="BH342" s="30"/>
      <c r="BI342" s="30"/>
      <c r="BJ342" s="30"/>
      <c r="BK342" s="31" t="n">
        <v>0</v>
      </c>
      <c r="BL342" s="30"/>
      <c r="BM342" s="30"/>
      <c r="BN342" s="30"/>
      <c r="BO342" s="30"/>
      <c r="BP342" s="30"/>
      <c r="BQ342" s="31" t="n">
        <v>3.7</v>
      </c>
      <c r="BR342" s="30"/>
      <c r="BS342" s="30"/>
      <c r="BT342" s="30"/>
      <c r="BU342" s="30"/>
      <c r="BV342" s="30"/>
      <c r="BW342" s="31" t="n">
        <v>4.6</v>
      </c>
      <c r="BX342" s="30"/>
      <c r="BY342" s="30"/>
      <c r="BZ342" s="30"/>
      <c r="CA342" s="30"/>
      <c r="CB342" s="30"/>
      <c r="CC342" s="31" t="n">
        <v>6</v>
      </c>
      <c r="CD342" s="30"/>
      <c r="CE342" s="30"/>
      <c r="CF342" s="30"/>
      <c r="CG342" s="30"/>
      <c r="CH342" s="30"/>
      <c r="CI342" s="31" t="n">
        <v>0</v>
      </c>
      <c r="CJ342" s="30"/>
      <c r="CK342" s="30"/>
      <c r="CL342" s="31" t="n">
        <v>0</v>
      </c>
      <c r="CM342" s="32"/>
      <c r="CN342" s="32"/>
      <c r="CO342" s="32" t="n">
        <f aca="false">CI342</f>
        <v>0</v>
      </c>
      <c r="CP342" s="32" t="n">
        <f aca="false">CO342</f>
        <v>0</v>
      </c>
      <c r="CQ342" s="32" t="n">
        <f aca="false">CP342</f>
        <v>0</v>
      </c>
      <c r="CR342" s="32" t="n">
        <f aca="false">CQ342</f>
        <v>0</v>
      </c>
      <c r="CS342" s="32" t="n">
        <f aca="false">CR342</f>
        <v>0</v>
      </c>
      <c r="CT342" s="23"/>
      <c r="CV342" s="7"/>
      <c r="CW342" s="7"/>
      <c r="CX342" s="7"/>
      <c r="CY342" s="7"/>
    </row>
    <row r="343" customFormat="false" ht="15" hidden="false" customHeight="true" outlineLevel="0" collapsed="false">
      <c r="B343" s="13" t="s">
        <v>483</v>
      </c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  <c r="BD343" s="30"/>
      <c r="BE343" s="30"/>
      <c r="BF343" s="30"/>
      <c r="BG343" s="30"/>
      <c r="BH343" s="30"/>
      <c r="BI343" s="30"/>
      <c r="BJ343" s="30"/>
      <c r="BK343" s="30"/>
      <c r="BL343" s="30"/>
      <c r="BM343" s="30"/>
      <c r="BN343" s="30"/>
      <c r="BO343" s="30"/>
      <c r="BP343" s="30"/>
      <c r="BQ343" s="30"/>
      <c r="BR343" s="30"/>
      <c r="BS343" s="30"/>
      <c r="BT343" s="30"/>
      <c r="BU343" s="30"/>
      <c r="BV343" s="30"/>
      <c r="BW343" s="30"/>
      <c r="BX343" s="30"/>
      <c r="BY343" s="30"/>
      <c r="BZ343" s="30"/>
      <c r="CA343" s="30"/>
      <c r="CB343" s="30"/>
      <c r="CC343" s="30"/>
      <c r="CD343" s="30"/>
      <c r="CE343" s="30"/>
      <c r="CF343" s="30"/>
      <c r="CG343" s="30"/>
      <c r="CH343" s="30"/>
      <c r="CI343" s="30"/>
      <c r="CJ343" s="30"/>
      <c r="CK343" s="30"/>
      <c r="CL343" s="30"/>
      <c r="CM343" s="32"/>
      <c r="CN343" s="32"/>
      <c r="CO343" s="32"/>
      <c r="CP343" s="32"/>
      <c r="CQ343" s="32"/>
      <c r="CR343" s="32"/>
      <c r="CS343" s="32"/>
      <c r="CT343" s="23"/>
      <c r="CV343" s="7"/>
      <c r="CW343" s="7"/>
      <c r="CX343" s="7"/>
      <c r="CY343" s="7"/>
    </row>
    <row r="344" customFormat="false" ht="15" hidden="false" customHeight="true" outlineLevel="0" collapsed="false">
      <c r="B344" s="13" t="s">
        <v>484</v>
      </c>
      <c r="C344" s="31" t="n">
        <v>188.3</v>
      </c>
      <c r="D344" s="31" t="n">
        <v>207.3</v>
      </c>
      <c r="E344" s="31" t="n">
        <v>240.4</v>
      </c>
      <c r="F344" s="31" t="n">
        <v>255.1</v>
      </c>
      <c r="G344" s="31" t="n">
        <v>267.9</v>
      </c>
      <c r="H344" s="31" t="n">
        <v>292.1</v>
      </c>
      <c r="I344" s="31" t="n">
        <v>298.2</v>
      </c>
      <c r="J344" s="30"/>
      <c r="K344" s="30"/>
      <c r="L344" s="30"/>
      <c r="M344" s="30"/>
      <c r="N344" s="30"/>
      <c r="O344" s="31" t="n">
        <v>329.2</v>
      </c>
      <c r="P344" s="30"/>
      <c r="Q344" s="30"/>
      <c r="R344" s="30"/>
      <c r="S344" s="30"/>
      <c r="T344" s="30"/>
      <c r="U344" s="31" t="n">
        <v>326.9</v>
      </c>
      <c r="V344" s="30"/>
      <c r="W344" s="30"/>
      <c r="X344" s="30"/>
      <c r="Y344" s="30"/>
      <c r="Z344" s="30"/>
      <c r="AA344" s="31" t="n">
        <v>345.7</v>
      </c>
      <c r="AB344" s="30"/>
      <c r="AC344" s="30"/>
      <c r="AD344" s="30"/>
      <c r="AE344" s="30"/>
      <c r="AF344" s="30"/>
      <c r="AG344" s="31" t="n">
        <v>336.1</v>
      </c>
      <c r="AH344" s="30"/>
      <c r="AI344" s="30"/>
      <c r="AJ344" s="30"/>
      <c r="AK344" s="30"/>
      <c r="AL344" s="30"/>
      <c r="AM344" s="31" t="n">
        <v>337.7</v>
      </c>
      <c r="AN344" s="30"/>
      <c r="AO344" s="30"/>
      <c r="AP344" s="30"/>
      <c r="AQ344" s="30"/>
      <c r="AR344" s="30"/>
      <c r="AS344" s="31" t="n">
        <v>344.1</v>
      </c>
      <c r="AT344" s="30"/>
      <c r="AU344" s="30"/>
      <c r="AV344" s="30"/>
      <c r="AW344" s="30"/>
      <c r="AX344" s="30"/>
      <c r="AY344" s="31" t="n">
        <v>360.9</v>
      </c>
      <c r="AZ344" s="30"/>
      <c r="BA344" s="30"/>
      <c r="BB344" s="30"/>
      <c r="BC344" s="30"/>
      <c r="BD344" s="30"/>
      <c r="BE344" s="31" t="n">
        <v>390.3</v>
      </c>
      <c r="BF344" s="30"/>
      <c r="BG344" s="30"/>
      <c r="BH344" s="30"/>
      <c r="BI344" s="30"/>
      <c r="BJ344" s="30"/>
      <c r="BK344" s="31" t="n">
        <v>4317.6</v>
      </c>
      <c r="BL344" s="30"/>
      <c r="BM344" s="30"/>
      <c r="BN344" s="30"/>
      <c r="BO344" s="30"/>
      <c r="BP344" s="30"/>
      <c r="BQ344" s="31" t="n">
        <v>4353.9</v>
      </c>
      <c r="BR344" s="30"/>
      <c r="BS344" s="30"/>
      <c r="BT344" s="30"/>
      <c r="BU344" s="30"/>
      <c r="BV344" s="30"/>
      <c r="BW344" s="31" t="n">
        <v>4407.8</v>
      </c>
      <c r="BX344" s="30"/>
      <c r="BY344" s="30"/>
      <c r="BZ344" s="30"/>
      <c r="CA344" s="30"/>
      <c r="CB344" s="30"/>
      <c r="CC344" s="31" t="n">
        <v>4415</v>
      </c>
      <c r="CD344" s="30"/>
      <c r="CE344" s="30"/>
      <c r="CF344" s="30"/>
      <c r="CG344" s="30"/>
      <c r="CH344" s="30"/>
      <c r="CI344" s="31" t="n">
        <v>4383.7</v>
      </c>
      <c r="CJ344" s="30"/>
      <c r="CK344" s="30"/>
      <c r="CL344" s="31" t="n">
        <v>4353.4</v>
      </c>
      <c r="CM344" s="32"/>
      <c r="CN344" s="32"/>
      <c r="CO344" s="32" t="n">
        <f aca="false">CI344+CO266+CO281</f>
        <v>4474.15761474379</v>
      </c>
      <c r="CP344" s="32" t="n">
        <f aca="false">CO344+CP266+CP281</f>
        <v>4560.82758046239</v>
      </c>
      <c r="CQ344" s="32" t="n">
        <f aca="false">CP344+CQ266+CQ281</f>
        <v>4651.82947439987</v>
      </c>
      <c r="CR344" s="32" t="n">
        <f aca="false">CQ344+CR266+CR281</f>
        <v>4747.47681900878</v>
      </c>
      <c r="CS344" s="32" t="n">
        <f aca="false">CR344+CS266+CS281</f>
        <v>4847.97492842045</v>
      </c>
      <c r="CT344" s="23" t="s">
        <v>485</v>
      </c>
      <c r="CV344" s="7"/>
      <c r="CW344" s="7"/>
      <c r="CX344" s="7"/>
      <c r="CY344" s="7"/>
    </row>
    <row r="345" customFormat="false" ht="15" hidden="false" customHeight="true" outlineLevel="0" collapsed="false">
      <c r="B345" s="13" t="s">
        <v>486</v>
      </c>
      <c r="C345" s="31" t="n">
        <v>285.8</v>
      </c>
      <c r="D345" s="31" t="n">
        <v>384.1</v>
      </c>
      <c r="E345" s="31" t="n">
        <v>471.2</v>
      </c>
      <c r="F345" s="31" t="n">
        <v>583.2</v>
      </c>
      <c r="G345" s="31" t="n">
        <v>703.7</v>
      </c>
      <c r="H345" s="31" t="n">
        <v>958.9</v>
      </c>
      <c r="I345" s="31" t="n">
        <v>1123</v>
      </c>
      <c r="J345" s="30"/>
      <c r="K345" s="30"/>
      <c r="L345" s="30"/>
      <c r="M345" s="30"/>
      <c r="N345" s="30"/>
      <c r="O345" s="31" t="n">
        <v>1308</v>
      </c>
      <c r="P345" s="30"/>
      <c r="Q345" s="30"/>
      <c r="R345" s="30"/>
      <c r="S345" s="30"/>
      <c r="T345" s="30"/>
      <c r="U345" s="31" t="n">
        <v>1525.7</v>
      </c>
      <c r="V345" s="30"/>
      <c r="W345" s="30"/>
      <c r="X345" s="30"/>
      <c r="Y345" s="30"/>
      <c r="Z345" s="30"/>
      <c r="AA345" s="31" t="n">
        <v>1721.5</v>
      </c>
      <c r="AB345" s="30"/>
      <c r="AC345" s="30"/>
      <c r="AD345" s="30"/>
      <c r="AE345" s="30"/>
      <c r="AF345" s="30"/>
      <c r="AG345" s="31" t="n">
        <v>1912.4</v>
      </c>
      <c r="AH345" s="30"/>
      <c r="AI345" s="30"/>
      <c r="AJ345" s="30"/>
      <c r="AK345" s="30"/>
      <c r="AL345" s="30"/>
      <c r="AM345" s="31" t="n">
        <v>2139.6</v>
      </c>
      <c r="AN345" s="30"/>
      <c r="AO345" s="30"/>
      <c r="AP345" s="30"/>
      <c r="AQ345" s="30"/>
      <c r="AR345" s="30"/>
      <c r="AS345" s="31" t="n">
        <v>2523.7</v>
      </c>
      <c r="AT345" s="30"/>
      <c r="AU345" s="30"/>
      <c r="AV345" s="30"/>
      <c r="AW345" s="30"/>
      <c r="AX345" s="30"/>
      <c r="AY345" s="31" t="n">
        <v>2926</v>
      </c>
      <c r="AZ345" s="30"/>
      <c r="BA345" s="30"/>
      <c r="BB345" s="30"/>
      <c r="BC345" s="30"/>
      <c r="BD345" s="30"/>
      <c r="BE345" s="31" t="n">
        <v>3327.9</v>
      </c>
      <c r="BF345" s="30"/>
      <c r="BG345" s="30"/>
      <c r="BH345" s="30"/>
      <c r="BI345" s="30"/>
      <c r="BJ345" s="30"/>
      <c r="BK345" s="31" t="n">
        <v>3773.2</v>
      </c>
      <c r="BL345" s="30"/>
      <c r="BM345" s="30"/>
      <c r="BN345" s="30"/>
      <c r="BO345" s="30"/>
      <c r="BP345" s="30"/>
      <c r="BQ345" s="31" t="n">
        <v>4561.8</v>
      </c>
      <c r="BR345" s="30"/>
      <c r="BS345" s="30"/>
      <c r="BT345" s="30"/>
      <c r="BU345" s="30"/>
      <c r="BV345" s="30"/>
      <c r="BW345" s="31" t="n">
        <v>5447.5</v>
      </c>
      <c r="BX345" s="30"/>
      <c r="BY345" s="30"/>
      <c r="BZ345" s="30"/>
      <c r="CA345" s="30"/>
      <c r="CB345" s="30"/>
      <c r="CC345" s="31" t="n">
        <v>6266.7</v>
      </c>
      <c r="CD345" s="30"/>
      <c r="CE345" s="30"/>
      <c r="CF345" s="30"/>
      <c r="CG345" s="30"/>
      <c r="CH345" s="30"/>
      <c r="CI345" s="31" t="n">
        <v>7140.8</v>
      </c>
      <c r="CJ345" s="30"/>
      <c r="CK345" s="30"/>
      <c r="CL345" s="31" t="n">
        <v>7619.3</v>
      </c>
      <c r="CM345" s="32"/>
      <c r="CN345" s="32"/>
      <c r="CO345" s="32" t="n">
        <f aca="false">CI345+CO171</f>
        <v>8115.36225</v>
      </c>
      <c r="CP345" s="32" t="n">
        <f aca="false">CO345+CP171</f>
        <v>9241.91117598653</v>
      </c>
      <c r="CQ345" s="32" t="n">
        <f aca="false">CP345+CQ171</f>
        <v>10494.0254452893</v>
      </c>
      <c r="CR345" s="32" t="n">
        <f aca="false">CQ345+CR171</f>
        <v>11906.4161815028</v>
      </c>
      <c r="CS345" s="32" t="n">
        <f aca="false">CR345+CS171</f>
        <v>13479.3302121536</v>
      </c>
      <c r="CT345" s="23" t="s">
        <v>487</v>
      </c>
      <c r="CV345" s="7"/>
      <c r="CW345" s="7"/>
      <c r="CX345" s="7"/>
      <c r="CY345" s="7"/>
    </row>
    <row r="346" customFormat="false" ht="15" hidden="false" customHeight="true" outlineLevel="0" collapsed="false">
      <c r="B346" s="13" t="s">
        <v>488</v>
      </c>
      <c r="C346" s="30"/>
      <c r="D346" s="30"/>
      <c r="E346" s="31" t="n">
        <v>0</v>
      </c>
      <c r="F346" s="30"/>
      <c r="G346" s="31" t="n">
        <v>0</v>
      </c>
      <c r="H346" s="31" t="n">
        <v>-30.6</v>
      </c>
      <c r="I346" s="31" t="n">
        <v>0</v>
      </c>
      <c r="J346" s="30"/>
      <c r="K346" s="30"/>
      <c r="L346" s="30"/>
      <c r="M346" s="30"/>
      <c r="N346" s="30"/>
      <c r="O346" s="31" t="n">
        <v>0</v>
      </c>
      <c r="P346" s="30"/>
      <c r="Q346" s="30"/>
      <c r="R346" s="30"/>
      <c r="S346" s="30"/>
      <c r="T346" s="30"/>
      <c r="U346" s="31" t="n">
        <v>-102.1</v>
      </c>
      <c r="V346" s="30"/>
      <c r="W346" s="30"/>
      <c r="X346" s="30"/>
      <c r="Y346" s="30"/>
      <c r="Z346" s="30"/>
      <c r="AA346" s="31" t="n">
        <v>-309.9</v>
      </c>
      <c r="AB346" s="30"/>
      <c r="AC346" s="30"/>
      <c r="AD346" s="30"/>
      <c r="AE346" s="30"/>
      <c r="AF346" s="30"/>
      <c r="AG346" s="31" t="n">
        <v>-242.9</v>
      </c>
      <c r="AH346" s="30"/>
      <c r="AI346" s="30"/>
      <c r="AJ346" s="30"/>
      <c r="AK346" s="30"/>
      <c r="AL346" s="30"/>
      <c r="AM346" s="31" t="n">
        <v>-200.7</v>
      </c>
      <c r="AN346" s="30"/>
      <c r="AO346" s="30"/>
      <c r="AP346" s="30"/>
      <c r="AQ346" s="30"/>
      <c r="AR346" s="30"/>
      <c r="AS346" s="31" t="n">
        <v>-144.9</v>
      </c>
      <c r="AT346" s="30"/>
      <c r="AU346" s="30"/>
      <c r="AV346" s="30"/>
      <c r="AW346" s="30"/>
      <c r="AX346" s="30"/>
      <c r="AY346" s="31" t="n">
        <v>-96.4</v>
      </c>
      <c r="AZ346" s="30"/>
      <c r="BA346" s="30"/>
      <c r="BB346" s="30"/>
      <c r="BC346" s="30"/>
      <c r="BD346" s="30"/>
      <c r="BE346" s="31" t="n">
        <v>-59.5</v>
      </c>
      <c r="BF346" s="30"/>
      <c r="BG346" s="30"/>
      <c r="BH346" s="30"/>
      <c r="BI346" s="30"/>
      <c r="BJ346" s="30"/>
      <c r="BK346" s="31" t="n">
        <v>-38.8</v>
      </c>
      <c r="BL346" s="30"/>
      <c r="BM346" s="30"/>
      <c r="BN346" s="30"/>
      <c r="BO346" s="30"/>
      <c r="BP346" s="30"/>
      <c r="BQ346" s="31" t="n">
        <v>-20</v>
      </c>
      <c r="BR346" s="30"/>
      <c r="BS346" s="30"/>
      <c r="BT346" s="30"/>
      <c r="BU346" s="30"/>
      <c r="BV346" s="30"/>
      <c r="BW346" s="31" t="n">
        <v>0</v>
      </c>
      <c r="BX346" s="30"/>
      <c r="BY346" s="30"/>
      <c r="BZ346" s="30"/>
      <c r="CA346" s="30"/>
      <c r="CB346" s="30"/>
      <c r="CC346" s="31" t="n">
        <v>-292.4</v>
      </c>
      <c r="CD346" s="30"/>
      <c r="CE346" s="30"/>
      <c r="CF346" s="30"/>
      <c r="CG346" s="30"/>
      <c r="CH346" s="30"/>
      <c r="CI346" s="31" t="n">
        <v>-585.2</v>
      </c>
      <c r="CJ346" s="30"/>
      <c r="CK346" s="30"/>
      <c r="CL346" s="31" t="n">
        <v>-519.1</v>
      </c>
      <c r="CM346" s="32"/>
      <c r="CN346" s="32"/>
      <c r="CO346" s="32" t="n">
        <f aca="false">CI346+CO280</f>
        <v>-588.1</v>
      </c>
      <c r="CP346" s="32" t="n">
        <f aca="false">CO346+CP280</f>
        <v>-838.1</v>
      </c>
      <c r="CQ346" s="32" t="n">
        <f aca="false">CP346+CQ280</f>
        <v>-1088.1</v>
      </c>
      <c r="CR346" s="32" t="n">
        <f aca="false">CQ346+CR280</f>
        <v>-1338.1</v>
      </c>
      <c r="CS346" s="32" t="n">
        <f aca="false">CR346+CS280</f>
        <v>-1588.1</v>
      </c>
      <c r="CT346" s="23" t="s">
        <v>489</v>
      </c>
      <c r="CV346" s="7"/>
      <c r="CW346" s="7"/>
      <c r="CX346" s="7"/>
      <c r="CY346" s="7"/>
    </row>
    <row r="347" customFormat="false" ht="15" hidden="false" customHeight="true" outlineLevel="0" collapsed="false">
      <c r="B347" s="13" t="s">
        <v>490</v>
      </c>
      <c r="C347" s="31" t="n">
        <v>-42.3</v>
      </c>
      <c r="D347" s="31" t="n">
        <v>-61.2</v>
      </c>
      <c r="E347" s="31" t="n">
        <v>-205.8</v>
      </c>
      <c r="F347" s="31" t="n">
        <v>-171.8</v>
      </c>
      <c r="G347" s="31" t="n">
        <v>-185.6</v>
      </c>
      <c r="H347" s="31" t="n">
        <v>-241.1</v>
      </c>
      <c r="I347" s="31" t="n">
        <v>-273.4</v>
      </c>
      <c r="J347" s="30"/>
      <c r="K347" s="30"/>
      <c r="L347" s="30"/>
      <c r="M347" s="30"/>
      <c r="N347" s="30"/>
      <c r="O347" s="31" t="n">
        <v>-165.5</v>
      </c>
      <c r="P347" s="30"/>
      <c r="Q347" s="30"/>
      <c r="R347" s="30"/>
      <c r="S347" s="30"/>
      <c r="T347" s="30"/>
      <c r="U347" s="31" t="n">
        <v>-323.2</v>
      </c>
      <c r="V347" s="30"/>
      <c r="W347" s="30"/>
      <c r="X347" s="30"/>
      <c r="Y347" s="30"/>
      <c r="Z347" s="30"/>
      <c r="AA347" s="31" t="n">
        <v>-413.2</v>
      </c>
      <c r="AB347" s="30"/>
      <c r="AC347" s="30"/>
      <c r="AD347" s="30"/>
      <c r="AE347" s="30"/>
      <c r="AF347" s="30"/>
      <c r="AG347" s="31" t="n">
        <v>-451.2</v>
      </c>
      <c r="AH347" s="30"/>
      <c r="AI347" s="30"/>
      <c r="AJ347" s="30"/>
      <c r="AK347" s="30"/>
      <c r="AL347" s="30"/>
      <c r="AM347" s="31" t="n">
        <v>-329.3</v>
      </c>
      <c r="AN347" s="30"/>
      <c r="AO347" s="30"/>
      <c r="AP347" s="30"/>
      <c r="AQ347" s="30"/>
      <c r="AR347" s="30"/>
      <c r="AS347" s="31" t="n">
        <v>-493.2</v>
      </c>
      <c r="AT347" s="30"/>
      <c r="AU347" s="30"/>
      <c r="AV347" s="30"/>
      <c r="AW347" s="30"/>
      <c r="AX347" s="30"/>
      <c r="AY347" s="31" t="n">
        <v>-475.8</v>
      </c>
      <c r="AZ347" s="30"/>
      <c r="BA347" s="30"/>
      <c r="BB347" s="30"/>
      <c r="BC347" s="30"/>
      <c r="BD347" s="30"/>
      <c r="BE347" s="31" t="n">
        <v>-430.1</v>
      </c>
      <c r="BF347" s="30"/>
      <c r="BG347" s="30"/>
      <c r="BH347" s="30"/>
      <c r="BI347" s="30"/>
      <c r="BJ347" s="30"/>
      <c r="BK347" s="31" t="n">
        <v>-430</v>
      </c>
      <c r="BL347" s="30"/>
      <c r="BM347" s="30"/>
      <c r="BN347" s="30"/>
      <c r="BO347" s="30"/>
      <c r="BP347" s="30"/>
      <c r="BQ347" s="31" t="n">
        <v>-726.5</v>
      </c>
      <c r="BR347" s="30"/>
      <c r="BS347" s="30"/>
      <c r="BT347" s="30"/>
      <c r="BU347" s="30"/>
      <c r="BV347" s="30"/>
      <c r="BW347" s="31" t="n">
        <v>-634.1</v>
      </c>
      <c r="BX347" s="30"/>
      <c r="BY347" s="30"/>
      <c r="BZ347" s="30"/>
      <c r="CA347" s="30"/>
      <c r="CB347" s="30"/>
      <c r="CC347" s="31" t="n">
        <v>-839.9</v>
      </c>
      <c r="CD347" s="30"/>
      <c r="CE347" s="30"/>
      <c r="CF347" s="30"/>
      <c r="CG347" s="30"/>
      <c r="CH347" s="30"/>
      <c r="CI347" s="31" t="n">
        <v>-425.4</v>
      </c>
      <c r="CJ347" s="30"/>
      <c r="CK347" s="30"/>
      <c r="CL347" s="31" t="n">
        <v>-535.1</v>
      </c>
      <c r="CM347" s="32"/>
      <c r="CN347" s="32"/>
      <c r="CO347" s="32" t="n">
        <f aca="false">CI347</f>
        <v>-425.4</v>
      </c>
      <c r="CP347" s="32" t="n">
        <f aca="false">CO347</f>
        <v>-425.4</v>
      </c>
      <c r="CQ347" s="32" t="n">
        <f aca="false">CP347</f>
        <v>-425.4</v>
      </c>
      <c r="CR347" s="32" t="n">
        <f aca="false">CQ347</f>
        <v>-425.4</v>
      </c>
      <c r="CS347" s="32" t="n">
        <f aca="false">CR347</f>
        <v>-425.4</v>
      </c>
      <c r="CT347" s="23"/>
      <c r="CV347" s="7"/>
      <c r="CW347" s="7"/>
      <c r="CX347" s="7"/>
      <c r="CY347" s="7"/>
    </row>
    <row r="348" customFormat="false" ht="15" hidden="false" customHeight="true" outlineLevel="0" collapsed="false">
      <c r="B348" s="19" t="s">
        <v>491</v>
      </c>
      <c r="C348" s="20" t="n">
        <f aca="false">IF(ISNUMBER(C344),SUM(C344:C347),"")</f>
        <v>431.8</v>
      </c>
      <c r="D348" s="20" t="n">
        <f aca="false">IF(ISNUMBER(D344),SUM(D344:D347),"")</f>
        <v>530.2</v>
      </c>
      <c r="E348" s="20" t="n">
        <f aca="false">IF(ISNUMBER(E344),SUM(E344:E347),"")</f>
        <v>505.8</v>
      </c>
      <c r="F348" s="20" t="n">
        <f aca="false">IF(ISNUMBER(F344),SUM(F344:F347),"")</f>
        <v>666.5</v>
      </c>
      <c r="G348" s="20" t="n">
        <f aca="false">IF(ISNUMBER(G344),SUM(G344:G347),"")</f>
        <v>786</v>
      </c>
      <c r="H348" s="20" t="n">
        <f aca="false">IF(ISNUMBER(H344),SUM(H344:H347),"")</f>
        <v>979.3</v>
      </c>
      <c r="I348" s="20" t="n">
        <f aca="false">IF(ISNUMBER(I344),SUM(I344:I347),"")</f>
        <v>1147.8</v>
      </c>
      <c r="J348" s="20"/>
      <c r="K348" s="20"/>
      <c r="L348" s="20"/>
      <c r="M348" s="20"/>
      <c r="N348" s="20"/>
      <c r="O348" s="20" t="n">
        <f aca="false">IF(ISNUMBER(O344),SUM(O344:O347),"")</f>
        <v>1471.7</v>
      </c>
      <c r="P348" s="20"/>
      <c r="Q348" s="20"/>
      <c r="R348" s="20"/>
      <c r="S348" s="20"/>
      <c r="T348" s="20"/>
      <c r="U348" s="20" t="n">
        <f aca="false">IF(ISNUMBER(U344),SUM(U344:U347),"")</f>
        <v>1427.3</v>
      </c>
      <c r="V348" s="20"/>
      <c r="W348" s="20"/>
      <c r="X348" s="20"/>
      <c r="Y348" s="20"/>
      <c r="Z348" s="20"/>
      <c r="AA348" s="20" t="n">
        <f aca="false">IF(ISNUMBER(AA344),SUM(AA344:AA347),"")</f>
        <v>1344.1</v>
      </c>
      <c r="AB348" s="20"/>
      <c r="AC348" s="20"/>
      <c r="AD348" s="20"/>
      <c r="AE348" s="20"/>
      <c r="AF348" s="20"/>
      <c r="AG348" s="20" t="n">
        <f aca="false">IF(ISNUMBER(AG344),SUM(AG344:AG347),"")</f>
        <v>1554.4</v>
      </c>
      <c r="AH348" s="20"/>
      <c r="AI348" s="20"/>
      <c r="AJ348" s="20"/>
      <c r="AK348" s="20"/>
      <c r="AL348" s="20"/>
      <c r="AM348" s="20" t="n">
        <f aca="false">IF(ISNUMBER(AM344),SUM(AM344:AM347),"")</f>
        <v>1947.3</v>
      </c>
      <c r="AN348" s="20"/>
      <c r="AO348" s="20"/>
      <c r="AP348" s="20"/>
      <c r="AQ348" s="20"/>
      <c r="AR348" s="20"/>
      <c r="AS348" s="20" t="n">
        <f aca="false">IF(ISNUMBER(AS344),SUM(AS344:AS347),"")</f>
        <v>2229.7</v>
      </c>
      <c r="AT348" s="20"/>
      <c r="AU348" s="20"/>
      <c r="AV348" s="20"/>
      <c r="AW348" s="20"/>
      <c r="AX348" s="20"/>
      <c r="AY348" s="20" t="n">
        <f aca="false">IF(ISNUMBER(AY344),SUM(AY344:AY347),"")</f>
        <v>2714.7</v>
      </c>
      <c r="AZ348" s="20"/>
      <c r="BA348" s="20"/>
      <c r="BB348" s="20"/>
      <c r="BC348" s="20"/>
      <c r="BD348" s="20"/>
      <c r="BE348" s="20" t="n">
        <f aca="false">IF(ISNUMBER(BE344),SUM(BE344:BE347),"")</f>
        <v>3228.6</v>
      </c>
      <c r="BF348" s="20"/>
      <c r="BG348" s="20"/>
      <c r="BH348" s="20"/>
      <c r="BI348" s="20"/>
      <c r="BJ348" s="20"/>
      <c r="BK348" s="20" t="n">
        <f aca="false">IF(ISNUMBER(BK344),SUM(BK344:BK347),"")</f>
        <v>7622</v>
      </c>
      <c r="BL348" s="20"/>
      <c r="BM348" s="20"/>
      <c r="BN348" s="20"/>
      <c r="BO348" s="20"/>
      <c r="BP348" s="20"/>
      <c r="BQ348" s="20" t="n">
        <f aca="false">IF(ISNUMBER(BQ344),SUM(BQ344:BQ347),"")</f>
        <v>8169.2</v>
      </c>
      <c r="BR348" s="20"/>
      <c r="BS348" s="20"/>
      <c r="BT348" s="20"/>
      <c r="BU348" s="20"/>
      <c r="BV348" s="20"/>
      <c r="BW348" s="20" t="n">
        <f aca="false">IF(ISNUMBER(BW344),SUM(BW344:BW347),"")</f>
        <v>9221.2</v>
      </c>
      <c r="BX348" s="20"/>
      <c r="BY348" s="20"/>
      <c r="BZ348" s="20"/>
      <c r="CA348" s="20"/>
      <c r="CB348" s="20"/>
      <c r="CC348" s="20" t="n">
        <f aca="false">IF(ISNUMBER(CC344),SUM(CC344:CC347),"")</f>
        <v>9549.4</v>
      </c>
      <c r="CD348" s="20"/>
      <c r="CE348" s="20"/>
      <c r="CF348" s="20"/>
      <c r="CG348" s="20"/>
      <c r="CH348" s="20"/>
      <c r="CI348" s="20" t="n">
        <f aca="false">IF(ISNUMBER(CI344),SUM(CI344:CI347),"")</f>
        <v>10513.9</v>
      </c>
      <c r="CJ348" s="20"/>
      <c r="CK348" s="20"/>
      <c r="CL348" s="20" t="n">
        <f aca="false">IF(ISNUMBER(CL344),SUM(CL344:CL347),"")</f>
        <v>10918.5</v>
      </c>
      <c r="CM348" s="22"/>
      <c r="CN348" s="22"/>
      <c r="CO348" s="22" t="n">
        <f aca="false">SUM(CO344:CO347)</f>
        <v>11576.0198647438</v>
      </c>
      <c r="CP348" s="22" t="n">
        <f aca="false">SUM(CP344:CP347)</f>
        <v>12539.2387564489</v>
      </c>
      <c r="CQ348" s="22" t="n">
        <f aca="false">SUM(CQ344:CQ347)</f>
        <v>13632.3549196892</v>
      </c>
      <c r="CR348" s="22" t="n">
        <f aca="false">SUM(CR344:CR347)</f>
        <v>14890.3930005116</v>
      </c>
      <c r="CS348" s="22" t="n">
        <f aca="false">SUM(CS344:CS347)</f>
        <v>16313.805140574</v>
      </c>
      <c r="CT348" s="23"/>
      <c r="CV348" s="7"/>
      <c r="CW348" s="7"/>
      <c r="CX348" s="7"/>
      <c r="CY348" s="7"/>
    </row>
    <row r="349" customFormat="false" ht="15" hidden="false" customHeight="true" outlineLevel="0" collapsed="false">
      <c r="B349" s="13" t="s">
        <v>492</v>
      </c>
      <c r="C349" s="30"/>
      <c r="D349" s="30"/>
      <c r="E349" s="31" t="n">
        <v>1.1</v>
      </c>
      <c r="F349" s="31" t="n">
        <v>0.9</v>
      </c>
      <c r="G349" s="31" t="n">
        <v>1</v>
      </c>
      <c r="H349" s="31" t="n">
        <v>4.8</v>
      </c>
      <c r="I349" s="31" t="n">
        <v>55.6</v>
      </c>
      <c r="J349" s="30"/>
      <c r="K349" s="30"/>
      <c r="L349" s="30"/>
      <c r="M349" s="30"/>
      <c r="N349" s="30"/>
      <c r="O349" s="31" t="n">
        <v>47</v>
      </c>
      <c r="P349" s="30"/>
      <c r="Q349" s="30"/>
      <c r="R349" s="30"/>
      <c r="S349" s="30"/>
      <c r="T349" s="30"/>
      <c r="U349" s="31" t="n">
        <v>41.2</v>
      </c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30"/>
      <c r="BD349" s="30"/>
      <c r="BE349" s="30"/>
      <c r="BF349" s="30"/>
      <c r="BG349" s="30"/>
      <c r="BH349" s="30"/>
      <c r="BI349" s="30"/>
      <c r="BJ349" s="30"/>
      <c r="BK349" s="30"/>
      <c r="BL349" s="30"/>
      <c r="BM349" s="30"/>
      <c r="BN349" s="30"/>
      <c r="BO349" s="30"/>
      <c r="BP349" s="30"/>
      <c r="BQ349" s="30"/>
      <c r="BR349" s="30"/>
      <c r="BS349" s="30"/>
      <c r="BT349" s="30"/>
      <c r="BU349" s="30"/>
      <c r="BV349" s="30"/>
      <c r="BW349" s="30"/>
      <c r="BX349" s="30"/>
      <c r="BY349" s="30"/>
      <c r="BZ349" s="30"/>
      <c r="CA349" s="30"/>
      <c r="CB349" s="30"/>
      <c r="CC349" s="30"/>
      <c r="CD349" s="30"/>
      <c r="CE349" s="30"/>
      <c r="CF349" s="30"/>
      <c r="CG349" s="30"/>
      <c r="CH349" s="30"/>
      <c r="CI349" s="30"/>
      <c r="CJ349" s="30"/>
      <c r="CK349" s="30"/>
      <c r="CL349" s="30"/>
      <c r="CM349" s="32"/>
      <c r="CN349" s="32"/>
      <c r="CO349" s="32" t="n">
        <f aca="false">CI349+CO170</f>
        <v>0</v>
      </c>
      <c r="CP349" s="32" t="n">
        <f aca="false">CO349+CP170</f>
        <v>0</v>
      </c>
      <c r="CQ349" s="32" t="n">
        <f aca="false">CP349+CQ170</f>
        <v>0</v>
      </c>
      <c r="CR349" s="32" t="n">
        <f aca="false">CQ349+CR170</f>
        <v>0</v>
      </c>
      <c r="CS349" s="32" t="n">
        <f aca="false">CR349+CS170</f>
        <v>0</v>
      </c>
      <c r="CT349" s="23"/>
      <c r="CV349" s="7"/>
      <c r="CW349" s="7"/>
      <c r="CX349" s="7"/>
      <c r="CY349" s="7"/>
    </row>
    <row r="350" customFormat="false" ht="15" hidden="false" customHeight="true" outlineLevel="0" collapsed="false">
      <c r="B350" s="34" t="s">
        <v>493</v>
      </c>
      <c r="C350" s="35" t="n">
        <f aca="false">IF(ISNUMBER(C348),C348+N(C349),"")</f>
        <v>431.8</v>
      </c>
      <c r="D350" s="35" t="n">
        <f aca="false">IF(ISNUMBER(D348),D348+N(D349),"")</f>
        <v>530.2</v>
      </c>
      <c r="E350" s="35" t="n">
        <f aca="false">IF(ISNUMBER(E348),E348+N(E349),"")</f>
        <v>506.9</v>
      </c>
      <c r="F350" s="35" t="n">
        <f aca="false">IF(ISNUMBER(F348),F348+N(F349),"")</f>
        <v>667.4</v>
      </c>
      <c r="G350" s="35" t="n">
        <f aca="false">IF(ISNUMBER(G348),G348+N(G349),"")</f>
        <v>787</v>
      </c>
      <c r="H350" s="35" t="n">
        <f aca="false">IF(ISNUMBER(H348),H348+N(H349),"")</f>
        <v>984.1</v>
      </c>
      <c r="I350" s="35" t="n">
        <f aca="false">IF(ISNUMBER(I348),I348+N(I349),"")</f>
        <v>1203.4</v>
      </c>
      <c r="J350" s="20"/>
      <c r="K350" s="20"/>
      <c r="L350" s="20"/>
      <c r="M350" s="20"/>
      <c r="N350" s="20"/>
      <c r="O350" s="35" t="n">
        <f aca="false">IF(ISNUMBER(O348),O348+N(O349),"")</f>
        <v>1518.7</v>
      </c>
      <c r="P350" s="20"/>
      <c r="Q350" s="20"/>
      <c r="R350" s="20"/>
      <c r="S350" s="20"/>
      <c r="T350" s="20"/>
      <c r="U350" s="35" t="n">
        <f aca="false">IF(ISNUMBER(U348),U348+N(U349),"")</f>
        <v>1468.5</v>
      </c>
      <c r="V350" s="20"/>
      <c r="W350" s="20"/>
      <c r="X350" s="20"/>
      <c r="Y350" s="20"/>
      <c r="Z350" s="20"/>
      <c r="AA350" s="35" t="n">
        <f aca="false">IF(ISNUMBER(AA348),AA348+N(AA349),"")</f>
        <v>1344.1</v>
      </c>
      <c r="AB350" s="20"/>
      <c r="AC350" s="20"/>
      <c r="AD350" s="20"/>
      <c r="AE350" s="20"/>
      <c r="AF350" s="20"/>
      <c r="AG350" s="35" t="n">
        <f aca="false">IF(ISNUMBER(AG348),AG348+N(AG349),"")</f>
        <v>1554.4</v>
      </c>
      <c r="AH350" s="20"/>
      <c r="AI350" s="20"/>
      <c r="AJ350" s="20"/>
      <c r="AK350" s="20"/>
      <c r="AL350" s="20"/>
      <c r="AM350" s="35" t="n">
        <f aca="false">IF(ISNUMBER(AM348),AM348+N(AM349),"")</f>
        <v>1947.3</v>
      </c>
      <c r="AN350" s="20"/>
      <c r="AO350" s="20"/>
      <c r="AP350" s="20"/>
      <c r="AQ350" s="20"/>
      <c r="AR350" s="20"/>
      <c r="AS350" s="35" t="n">
        <f aca="false">IF(ISNUMBER(AS348),AS348+N(AS349),"")</f>
        <v>2229.7</v>
      </c>
      <c r="AT350" s="20"/>
      <c r="AU350" s="20"/>
      <c r="AV350" s="20"/>
      <c r="AW350" s="20"/>
      <c r="AX350" s="20"/>
      <c r="AY350" s="35" t="n">
        <f aca="false">IF(ISNUMBER(AY348),AY348+N(AY349),"")</f>
        <v>2714.7</v>
      </c>
      <c r="AZ350" s="20"/>
      <c r="BA350" s="20"/>
      <c r="BB350" s="20"/>
      <c r="BC350" s="20"/>
      <c r="BD350" s="20"/>
      <c r="BE350" s="35" t="n">
        <f aca="false">IF(ISNUMBER(BE348),BE348+N(BE349),"")</f>
        <v>3228.6</v>
      </c>
      <c r="BF350" s="20"/>
      <c r="BG350" s="20"/>
      <c r="BH350" s="20"/>
      <c r="BI350" s="20"/>
      <c r="BJ350" s="20"/>
      <c r="BK350" s="35" t="n">
        <f aca="false">IF(ISNUMBER(BK348),BK348+N(BK349),"")</f>
        <v>7622</v>
      </c>
      <c r="BL350" s="20"/>
      <c r="BM350" s="20"/>
      <c r="BN350" s="20"/>
      <c r="BO350" s="20"/>
      <c r="BP350" s="20"/>
      <c r="BQ350" s="35" t="n">
        <f aca="false">IF(ISNUMBER(BQ348),BQ348+N(BQ349),"")</f>
        <v>8169.2</v>
      </c>
      <c r="BR350" s="20"/>
      <c r="BS350" s="20"/>
      <c r="BT350" s="20"/>
      <c r="BU350" s="20"/>
      <c r="BV350" s="20"/>
      <c r="BW350" s="35" t="n">
        <f aca="false">IF(ISNUMBER(BW348),BW348+N(BW349),"")</f>
        <v>9221.2</v>
      </c>
      <c r="BX350" s="20"/>
      <c r="BY350" s="20"/>
      <c r="BZ350" s="20"/>
      <c r="CA350" s="20"/>
      <c r="CB350" s="20"/>
      <c r="CC350" s="35" t="n">
        <f aca="false">IF(ISNUMBER(CC348),CC348+N(CC349),"")</f>
        <v>9549.4</v>
      </c>
      <c r="CD350" s="20"/>
      <c r="CE350" s="20"/>
      <c r="CF350" s="20"/>
      <c r="CG350" s="20"/>
      <c r="CH350" s="20"/>
      <c r="CI350" s="35" t="n">
        <f aca="false">IF(ISNUMBER(CI348),CI348+N(CI349),"")</f>
        <v>10513.9</v>
      </c>
      <c r="CJ350" s="20"/>
      <c r="CK350" s="20"/>
      <c r="CL350" s="20" t="n">
        <f aca="false">IF(ISNUMBER(CL348),CL348+N(CL349),"")</f>
        <v>10918.5</v>
      </c>
      <c r="CM350" s="35"/>
      <c r="CN350" s="35"/>
      <c r="CO350" s="35" t="n">
        <f aca="false">CO348+CO349</f>
        <v>11576.0198647438</v>
      </c>
      <c r="CP350" s="35" t="n">
        <f aca="false">CP348+CP349</f>
        <v>12539.2387564489</v>
      </c>
      <c r="CQ350" s="35" t="n">
        <f aca="false">CQ348+CQ349</f>
        <v>13632.3549196892</v>
      </c>
      <c r="CR350" s="35" t="n">
        <f aca="false">CR348+CR349</f>
        <v>14890.3930005116</v>
      </c>
      <c r="CS350" s="35" t="n">
        <f aca="false">CS348+CS349</f>
        <v>16313.805140574</v>
      </c>
      <c r="CT350" s="23"/>
      <c r="CV350" s="7"/>
      <c r="CW350" s="7"/>
      <c r="CX350" s="7"/>
      <c r="CY350" s="7"/>
    </row>
    <row r="351" customFormat="false" ht="15" hidden="false" customHeight="true" outlineLevel="0" collapsed="false">
      <c r="B351" s="34" t="s">
        <v>494</v>
      </c>
      <c r="C351" s="35" t="n">
        <f aca="false">IF(ISNUMBER(C341),C341+N(C342)+C350,"")</f>
        <v>1061.4</v>
      </c>
      <c r="D351" s="35" t="n">
        <f aca="false">IF(ISNUMBER(D341),D341+N(D342)+D350,"")</f>
        <v>1159.4</v>
      </c>
      <c r="E351" s="35" t="n">
        <f aca="false">IF(ISNUMBER(E341),E341+N(E342)+E350,"")</f>
        <v>1534.5</v>
      </c>
      <c r="F351" s="35" t="n">
        <f aca="false">IF(ISNUMBER(F341),F341+N(F342)+F350,"")</f>
        <v>1421.5</v>
      </c>
      <c r="G351" s="35" t="n">
        <f aca="false">IF(ISNUMBER(G341),G341+N(G342)+G350,"")</f>
        <v>1557.8</v>
      </c>
      <c r="H351" s="35" t="n">
        <f aca="false">IF(ISNUMBER(H341),H341+N(H342)+H350,"")</f>
        <v>1826.1</v>
      </c>
      <c r="I351" s="35" t="n">
        <f aca="false">IF(ISNUMBER(I341),I341+N(I342)+I350,"")</f>
        <v>2406.4</v>
      </c>
      <c r="J351" s="20"/>
      <c r="K351" s="20"/>
      <c r="L351" s="20"/>
      <c r="M351" s="20"/>
      <c r="N351" s="20"/>
      <c r="O351" s="35" t="n">
        <f aca="false">IF(ISNUMBER(O341),O341+N(O342)+O350,"")</f>
        <v>2751.1</v>
      </c>
      <c r="P351" s="20"/>
      <c r="Q351" s="20"/>
      <c r="R351" s="20"/>
      <c r="S351" s="20"/>
      <c r="T351" s="20"/>
      <c r="U351" s="35" t="n">
        <f aca="false">IF(ISNUMBER(U341),U341+N(U342)+U350,"")</f>
        <v>2862.2</v>
      </c>
      <c r="V351" s="20"/>
      <c r="W351" s="20"/>
      <c r="X351" s="20"/>
      <c r="Y351" s="20"/>
      <c r="Z351" s="20"/>
      <c r="AA351" s="35" t="n">
        <f aca="false">IF(ISNUMBER(AA341),AA341+N(AA342)+AA350,"")</f>
        <v>2717.1</v>
      </c>
      <c r="AB351" s="20"/>
      <c r="AC351" s="20"/>
      <c r="AD351" s="20"/>
      <c r="AE351" s="20"/>
      <c r="AF351" s="20"/>
      <c r="AG351" s="35" t="n">
        <f aca="false">IF(ISNUMBER(AG341),AG341+N(AG342)+AG350,"")</f>
        <v>2774.4</v>
      </c>
      <c r="AH351" s="20"/>
      <c r="AI351" s="20"/>
      <c r="AJ351" s="20"/>
      <c r="AK351" s="20"/>
      <c r="AL351" s="20"/>
      <c r="AM351" s="35" t="n">
        <f aca="false">IF(ISNUMBER(AM341),AM341+N(AM342)+AM350,"")</f>
        <v>3846.4</v>
      </c>
      <c r="AN351" s="20"/>
      <c r="AO351" s="20"/>
      <c r="AP351" s="20"/>
      <c r="AQ351" s="20"/>
      <c r="AR351" s="20"/>
      <c r="AS351" s="35" t="n">
        <f aca="false">IF(ISNUMBER(AS341),AS341+N(AS342)+AS350,"")</f>
        <v>3809.3</v>
      </c>
      <c r="AT351" s="20"/>
      <c r="AU351" s="20"/>
      <c r="AV351" s="20"/>
      <c r="AW351" s="20"/>
      <c r="AX351" s="20"/>
      <c r="AY351" s="35" t="n">
        <f aca="false">IF(ISNUMBER(AY341),AY341+N(AY342)+AY350,"")</f>
        <v>4579.8</v>
      </c>
      <c r="AZ351" s="20"/>
      <c r="BA351" s="20"/>
      <c r="BB351" s="20"/>
      <c r="BC351" s="20"/>
      <c r="BD351" s="20"/>
      <c r="BE351" s="35" t="n">
        <f aca="false">IF(ISNUMBER(BE341),BE341+N(BE342)+BE350,"")</f>
        <v>5084.8</v>
      </c>
      <c r="BF351" s="20"/>
      <c r="BG351" s="20"/>
      <c r="BH351" s="20"/>
      <c r="BI351" s="20"/>
      <c r="BJ351" s="20"/>
      <c r="BK351" s="35" t="n">
        <f aca="false">IF(ISNUMBER(BK341),BK341+N(BK342)+BK350,"")</f>
        <v>14430.3</v>
      </c>
      <c r="BL351" s="20"/>
      <c r="BM351" s="20"/>
      <c r="BN351" s="20"/>
      <c r="BO351" s="20"/>
      <c r="BP351" s="20"/>
      <c r="BQ351" s="35" t="n">
        <f aca="false">IF(ISNUMBER(BQ341),BQ341+N(BQ342)+BQ350,"")</f>
        <v>14354</v>
      </c>
      <c r="BR351" s="20"/>
      <c r="BS351" s="20"/>
      <c r="BT351" s="20"/>
      <c r="BU351" s="20"/>
      <c r="BV351" s="20"/>
      <c r="BW351" s="35" t="n">
        <f aca="false">IF(ISNUMBER(BW341),BW341+N(BW342)+BW350,"")</f>
        <v>14527.9</v>
      </c>
      <c r="BX351" s="20"/>
      <c r="BY351" s="20"/>
      <c r="BZ351" s="20"/>
      <c r="CA351" s="20"/>
      <c r="CB351" s="20"/>
      <c r="CC351" s="35" t="n">
        <f aca="false">IF(ISNUMBER(CC341),CC341+N(CC342)+CC350,"")</f>
        <v>14200.5</v>
      </c>
      <c r="CD351" s="20"/>
      <c r="CE351" s="20"/>
      <c r="CF351" s="20"/>
      <c r="CG351" s="20"/>
      <c r="CH351" s="20"/>
      <c r="CI351" s="35" t="n">
        <f aca="false">IF(ISNUMBER(CI341),CI341+N(CI342)+CI350,"")</f>
        <v>15285.3</v>
      </c>
      <c r="CJ351" s="20"/>
      <c r="CK351" s="20"/>
      <c r="CL351" s="20" t="n">
        <f aca="false">IF(ISNUMBER(CL341),CL341+N(CL342)+CL350,"")</f>
        <v>15280.4</v>
      </c>
      <c r="CM351" s="35"/>
      <c r="CN351" s="35"/>
      <c r="CO351" s="35" t="n">
        <f aca="false">CO341+CO342+CO350</f>
        <v>16017.3344695038</v>
      </c>
      <c r="CP351" s="35" t="n">
        <f aca="false">CP341+CP342+CP350</f>
        <v>17078.1662986172</v>
      </c>
      <c r="CQ351" s="35" t="n">
        <f aca="false">CQ341+CQ342+CQ350</f>
        <v>17603.9227254451</v>
      </c>
      <c r="CR351" s="35" t="n">
        <f aca="false">CR341+CR342+CR350</f>
        <v>19005.4123557479</v>
      </c>
      <c r="CS351" s="35" t="n">
        <f aca="false">CS341+CS342+CS350</f>
        <v>20151.8948318495</v>
      </c>
      <c r="CT351" s="23"/>
      <c r="CV351" s="7"/>
      <c r="CW351" s="7"/>
      <c r="CX351" s="7"/>
      <c r="CY351" s="7"/>
    </row>
    <row r="352" customFormat="false" ht="15" hidden="false" customHeight="true" outlineLevel="0" collapsed="false">
      <c r="B352" s="13"/>
      <c r="CM352" s="7"/>
      <c r="CN352" s="7"/>
      <c r="CO352" s="7"/>
      <c r="CP352" s="7"/>
      <c r="CQ352" s="7"/>
      <c r="CR352" s="7"/>
      <c r="CS352" s="7"/>
      <c r="CT352" s="7"/>
    </row>
    <row r="353" customFormat="false" ht="15" hidden="false" customHeight="true" outlineLevel="0" collapsed="false">
      <c r="B353" s="39" t="s">
        <v>495</v>
      </c>
      <c r="C353" s="30" t="n">
        <f aca="false">IF(ISNUMBER(C326),ROUND(C326-C351,1),"")</f>
        <v>0</v>
      </c>
      <c r="D353" s="30" t="n">
        <f aca="false">IF(ISNUMBER(D326),ROUND(D326-D351,1),"")</f>
        <v>0</v>
      </c>
      <c r="E353" s="30" t="n">
        <f aca="false">IF(ISNUMBER(E326),ROUND(E326-E351,1),"")</f>
        <v>0</v>
      </c>
      <c r="F353" s="30" t="n">
        <f aca="false">IF(ISNUMBER(F326),ROUND(F326-F351,1),"")</f>
        <v>0</v>
      </c>
      <c r="G353" s="30" t="n">
        <f aca="false">IF(ISNUMBER(G326),ROUND(G326-G351,1),"")</f>
        <v>0</v>
      </c>
      <c r="H353" s="30" t="n">
        <f aca="false">IF(ISNUMBER(H326),ROUND(H326-H351,1),"")</f>
        <v>0</v>
      </c>
      <c r="I353" s="30" t="n">
        <f aca="false">IF(ISNUMBER(I326),ROUND(I326-I351,1),"")</f>
        <v>0</v>
      </c>
      <c r="J353" s="30"/>
      <c r="K353" s="30"/>
      <c r="L353" s="30"/>
      <c r="M353" s="30"/>
      <c r="N353" s="30"/>
      <c r="O353" s="30" t="n">
        <f aca="false">IF(ISNUMBER(O326),ROUND(O326-O351,1),"")</f>
        <v>0</v>
      </c>
      <c r="P353" s="30"/>
      <c r="Q353" s="30"/>
      <c r="R353" s="30"/>
      <c r="S353" s="30"/>
      <c r="T353" s="30"/>
      <c r="U353" s="30" t="n">
        <f aca="false">IF(ISNUMBER(U326),ROUND(U326-U351,1),"")</f>
        <v>0</v>
      </c>
      <c r="V353" s="30"/>
      <c r="W353" s="30"/>
      <c r="X353" s="30"/>
      <c r="Y353" s="30"/>
      <c r="Z353" s="30"/>
      <c r="AA353" s="30" t="n">
        <f aca="false">IF(ISNUMBER(AA326),ROUND(AA326-AA351,1),"")</f>
        <v>0</v>
      </c>
      <c r="AB353" s="30"/>
      <c r="AC353" s="30"/>
      <c r="AD353" s="30"/>
      <c r="AE353" s="30"/>
      <c r="AF353" s="30"/>
      <c r="AG353" s="30" t="n">
        <f aca="false">IF(ISNUMBER(AG326),ROUND(AG326-AG351,1),"")</f>
        <v>0</v>
      </c>
      <c r="AH353" s="30"/>
      <c r="AI353" s="30"/>
      <c r="AJ353" s="30"/>
      <c r="AK353" s="30"/>
      <c r="AL353" s="30"/>
      <c r="AM353" s="30" t="n">
        <f aca="false">IF(ISNUMBER(AM326),ROUND(AM326-AM351,1),"")</f>
        <v>0</v>
      </c>
      <c r="AN353" s="30"/>
      <c r="AO353" s="30"/>
      <c r="AP353" s="30"/>
      <c r="AQ353" s="30"/>
      <c r="AR353" s="30"/>
      <c r="AS353" s="30" t="n">
        <f aca="false">IF(ISNUMBER(AS326),ROUND(AS326-AS351,1),"")</f>
        <v>0</v>
      </c>
      <c r="AT353" s="30"/>
      <c r="AU353" s="30"/>
      <c r="AV353" s="30"/>
      <c r="AW353" s="30"/>
      <c r="AX353" s="30"/>
      <c r="AY353" s="30" t="n">
        <f aca="false">IF(ISNUMBER(AY326),ROUND(AY326-AY351,1),"")</f>
        <v>0</v>
      </c>
      <c r="AZ353" s="30"/>
      <c r="BA353" s="30"/>
      <c r="BB353" s="30"/>
      <c r="BC353" s="30"/>
      <c r="BD353" s="30"/>
      <c r="BE353" s="30" t="n">
        <f aca="false">IF(ISNUMBER(BE326),ROUND(BE326-BE351,1),"")</f>
        <v>0</v>
      </c>
      <c r="BF353" s="30"/>
      <c r="BG353" s="30"/>
      <c r="BH353" s="30"/>
      <c r="BI353" s="30"/>
      <c r="BJ353" s="30"/>
      <c r="BK353" s="30" t="n">
        <f aca="false">IF(ISNUMBER(BK326),ROUND(BK326-BK351,1),"")</f>
        <v>0</v>
      </c>
      <c r="BL353" s="30"/>
      <c r="BM353" s="30"/>
      <c r="BN353" s="30"/>
      <c r="BO353" s="30"/>
      <c r="BP353" s="30"/>
      <c r="BQ353" s="30" t="n">
        <f aca="false">IF(ISNUMBER(BQ326),ROUND(BQ326-BQ351,1),"")</f>
        <v>0</v>
      </c>
      <c r="BR353" s="30"/>
      <c r="BS353" s="30"/>
      <c r="BT353" s="30"/>
      <c r="BU353" s="30"/>
      <c r="BV353" s="30"/>
      <c r="BW353" s="30" t="n">
        <f aca="false">IF(ISNUMBER(BW326),ROUND(BW326-BW351,1),"")</f>
        <v>0</v>
      </c>
      <c r="BX353" s="30"/>
      <c r="BY353" s="30"/>
      <c r="BZ353" s="30"/>
      <c r="CA353" s="30"/>
      <c r="CB353" s="30"/>
      <c r="CC353" s="30" t="n">
        <f aca="false">IF(ISNUMBER(CC326),ROUND(CC326-CC351,1),"")</f>
        <v>0</v>
      </c>
      <c r="CD353" s="30"/>
      <c r="CE353" s="30"/>
      <c r="CF353" s="30"/>
      <c r="CG353" s="30"/>
      <c r="CH353" s="30"/>
      <c r="CI353" s="30" t="n">
        <f aca="false">IF(ISNUMBER(CI326),ROUND(CI326-CI351,1),"")</f>
        <v>0</v>
      </c>
      <c r="CJ353" s="30"/>
      <c r="CK353" s="30"/>
      <c r="CL353" s="30" t="n">
        <f aca="false">IF(ISNUMBER(CL326),ROUND(CL326-CL351,1),"")</f>
        <v>0</v>
      </c>
      <c r="CM353" s="32"/>
      <c r="CN353" s="32"/>
      <c r="CO353" s="32" t="n">
        <f aca="false">ROUND(CO326-CO351,1)</f>
        <v>0</v>
      </c>
      <c r="CP353" s="32" t="n">
        <f aca="false">ROUND(CP326-CP351,1)</f>
        <v>0</v>
      </c>
      <c r="CQ353" s="32" t="n">
        <f aca="false">ROUND(CQ326-CQ351,1)</f>
        <v>0</v>
      </c>
      <c r="CR353" s="32" t="n">
        <f aca="false">ROUND(CR326-CR351,1)</f>
        <v>0</v>
      </c>
      <c r="CS353" s="32" t="n">
        <f aca="false">ROUND(CS326-CS351,1)</f>
        <v>0</v>
      </c>
      <c r="CT353" s="23"/>
      <c r="CV353" s="7"/>
      <c r="CW353" s="7"/>
      <c r="CX353" s="7"/>
      <c r="CY353" s="7"/>
    </row>
    <row r="354" customFormat="false" ht="15" hidden="false" customHeight="true" outlineLevel="0" collapsed="false">
      <c r="B354" s="39" t="s">
        <v>496</v>
      </c>
      <c r="C354" s="30" t="n">
        <f aca="false">IF(ISNUMBER(C355),ROUND(C326-C355,1),"")</f>
        <v>0</v>
      </c>
      <c r="D354" s="30" t="n">
        <f aca="false">IF(ISNUMBER(D355),ROUND(D326-D355,1),"")</f>
        <v>0</v>
      </c>
      <c r="E354" s="30" t="n">
        <f aca="false">IF(ISNUMBER(E355),ROUND(E326-E355,1),"")</f>
        <v>0</v>
      </c>
      <c r="F354" s="30" t="n">
        <f aca="false">IF(ISNUMBER(F355),ROUND(F326-F355,1),"")</f>
        <v>0</v>
      </c>
      <c r="G354" s="30" t="n">
        <f aca="false">IF(ISNUMBER(G355),ROUND(G326-G355,1),"")</f>
        <v>0</v>
      </c>
      <c r="H354" s="30" t="n">
        <f aca="false">IF(ISNUMBER(H355),ROUND(H326-H355,1),"")</f>
        <v>0</v>
      </c>
      <c r="I354" s="30" t="n">
        <f aca="false">IF(ISNUMBER(I355),ROUND(I326-I355,1),"")</f>
        <v>0</v>
      </c>
      <c r="J354" s="30"/>
      <c r="K354" s="30"/>
      <c r="L354" s="30"/>
      <c r="M354" s="30"/>
      <c r="N354" s="30"/>
      <c r="O354" s="30" t="n">
        <f aca="false">IF(ISNUMBER(O355),ROUND(O326-O355,1),"")</f>
        <v>0</v>
      </c>
      <c r="P354" s="30"/>
      <c r="Q354" s="30"/>
      <c r="R354" s="30"/>
      <c r="S354" s="30"/>
      <c r="T354" s="30"/>
      <c r="U354" s="30" t="n">
        <f aca="false">IF(ISNUMBER(U355),ROUND(U326-U355,1),"")</f>
        <v>0</v>
      </c>
      <c r="V354" s="30"/>
      <c r="W354" s="30"/>
      <c r="X354" s="30"/>
      <c r="Y354" s="30"/>
      <c r="Z354" s="30"/>
      <c r="AA354" s="30" t="n">
        <f aca="false">IF(ISNUMBER(AA355),ROUND(AA326-AA355,1),"")</f>
        <v>0</v>
      </c>
      <c r="AB354" s="30"/>
      <c r="AC354" s="30"/>
      <c r="AD354" s="30"/>
      <c r="AE354" s="30"/>
      <c r="AF354" s="30"/>
      <c r="AG354" s="30" t="n">
        <f aca="false">IF(ISNUMBER(AG355),ROUND(AG326-AG355,1),"")</f>
        <v>0</v>
      </c>
      <c r="AH354" s="30"/>
      <c r="AI354" s="30"/>
      <c r="AJ354" s="30"/>
      <c r="AK354" s="30"/>
      <c r="AL354" s="30"/>
      <c r="AM354" s="30" t="n">
        <f aca="false">IF(ISNUMBER(AM355),ROUND(AM326-AM355,1),"")</f>
        <v>0</v>
      </c>
      <c r="AN354" s="30"/>
      <c r="AO354" s="30"/>
      <c r="AP354" s="30"/>
      <c r="AQ354" s="30"/>
      <c r="AR354" s="30"/>
      <c r="AS354" s="30" t="n">
        <f aca="false">IF(ISNUMBER(AS355),ROUND(AS326-AS355,1),"")</f>
        <v>0</v>
      </c>
      <c r="AT354" s="30"/>
      <c r="AU354" s="30"/>
      <c r="AV354" s="30"/>
      <c r="AW354" s="30"/>
      <c r="AX354" s="30"/>
      <c r="AY354" s="30" t="n">
        <f aca="false">IF(ISNUMBER(AY355),ROUND(AY326-AY355,1),"")</f>
        <v>0</v>
      </c>
      <c r="AZ354" s="30"/>
      <c r="BA354" s="30"/>
      <c r="BB354" s="30"/>
      <c r="BC354" s="30"/>
      <c r="BD354" s="30"/>
      <c r="BE354" s="30" t="n">
        <f aca="false">IF(ISNUMBER(BE355),ROUND(BE326-BE355,1),"")</f>
        <v>0</v>
      </c>
      <c r="BF354" s="30"/>
      <c r="BG354" s="30"/>
      <c r="BH354" s="30"/>
      <c r="BI354" s="30"/>
      <c r="BJ354" s="30"/>
      <c r="BK354" s="30" t="n">
        <f aca="false">IF(ISNUMBER(BK355),ROUND(BK326-BK355,1),"")</f>
        <v>0</v>
      </c>
      <c r="BL354" s="30"/>
      <c r="BM354" s="30"/>
      <c r="BN354" s="30"/>
      <c r="BO354" s="30"/>
      <c r="BP354" s="30"/>
      <c r="BQ354" s="30" t="n">
        <f aca="false">IF(ISNUMBER(BQ355),ROUND(BQ326-BQ355,1),"")</f>
        <v>0</v>
      </c>
      <c r="BR354" s="30"/>
      <c r="BS354" s="30"/>
      <c r="BT354" s="30"/>
      <c r="BU354" s="30"/>
      <c r="BV354" s="30"/>
      <c r="BW354" s="30" t="n">
        <f aca="false">IF(ISNUMBER(BW355),ROUND(BW326-BW355,1),"")</f>
        <v>0</v>
      </c>
      <c r="BX354" s="30"/>
      <c r="BY354" s="30"/>
      <c r="BZ354" s="30"/>
      <c r="CA354" s="30"/>
      <c r="CB354" s="30"/>
      <c r="CC354" s="30" t="n">
        <f aca="false">IF(ISNUMBER(CC355),ROUND(CC326-CC355,1),"")</f>
        <v>0</v>
      </c>
      <c r="CD354" s="30"/>
      <c r="CE354" s="30"/>
      <c r="CF354" s="30"/>
      <c r="CG354" s="30"/>
      <c r="CH354" s="30"/>
      <c r="CI354" s="30" t="n">
        <f aca="false">IF(ISNUMBER(CI355),ROUND(CI326-CI355,1),"")</f>
        <v>0</v>
      </c>
      <c r="CJ354" s="30"/>
      <c r="CK354" s="30"/>
      <c r="CL354" s="30" t="n">
        <f aca="false">IF(ISNUMBER(CL355),ROUND(CL326-CL355,1),"")</f>
        <v>0</v>
      </c>
      <c r="CM354" s="32"/>
      <c r="CN354" s="32"/>
      <c r="CO354" s="32"/>
      <c r="CP354" s="32"/>
      <c r="CQ354" s="32"/>
      <c r="CR354" s="32"/>
      <c r="CS354" s="32"/>
      <c r="CT354" s="23"/>
      <c r="CV354" s="7"/>
      <c r="CW354" s="7"/>
      <c r="CX354" s="7"/>
      <c r="CY354" s="7"/>
    </row>
    <row r="355" customFormat="false" ht="15" hidden="false" customHeight="true" outlineLevel="0" collapsed="false">
      <c r="B355" s="37" t="s">
        <v>497</v>
      </c>
      <c r="C355" s="31" t="n">
        <v>1061.4</v>
      </c>
      <c r="D355" s="31" t="n">
        <v>1159.4</v>
      </c>
      <c r="E355" s="31" t="n">
        <v>1534.5</v>
      </c>
      <c r="F355" s="31" t="n">
        <v>1421.5</v>
      </c>
      <c r="G355" s="31" t="n">
        <v>1557.8</v>
      </c>
      <c r="H355" s="31" t="n">
        <v>1826.1</v>
      </c>
      <c r="I355" s="31" t="n">
        <v>2406.4</v>
      </c>
      <c r="J355" s="30"/>
      <c r="K355" s="30"/>
      <c r="L355" s="30"/>
      <c r="M355" s="30"/>
      <c r="N355" s="30"/>
      <c r="O355" s="31" t="n">
        <v>2751.1</v>
      </c>
      <c r="P355" s="30"/>
      <c r="Q355" s="30"/>
      <c r="R355" s="30"/>
      <c r="S355" s="30"/>
      <c r="T355" s="30"/>
      <c r="U355" s="31" t="n">
        <v>2862.2</v>
      </c>
      <c r="V355" s="30"/>
      <c r="W355" s="30"/>
      <c r="X355" s="30"/>
      <c r="Y355" s="30"/>
      <c r="Z355" s="30"/>
      <c r="AA355" s="31" t="n">
        <v>2717.1</v>
      </c>
      <c r="AB355" s="30"/>
      <c r="AC355" s="30"/>
      <c r="AD355" s="30"/>
      <c r="AE355" s="30"/>
      <c r="AF355" s="30"/>
      <c r="AG355" s="31" t="n">
        <v>2774.4</v>
      </c>
      <c r="AH355" s="30"/>
      <c r="AI355" s="30"/>
      <c r="AJ355" s="30"/>
      <c r="AK355" s="30"/>
      <c r="AL355" s="30"/>
      <c r="AM355" s="31" t="n">
        <v>3846.4</v>
      </c>
      <c r="AN355" s="30"/>
      <c r="AO355" s="30"/>
      <c r="AP355" s="30"/>
      <c r="AQ355" s="30"/>
      <c r="AR355" s="30"/>
      <c r="AS355" s="31" t="n">
        <v>3809.3</v>
      </c>
      <c r="AT355" s="30"/>
      <c r="AU355" s="30"/>
      <c r="AV355" s="30"/>
      <c r="AW355" s="30"/>
      <c r="AX355" s="30"/>
      <c r="AY355" s="31" t="n">
        <v>4579.8</v>
      </c>
      <c r="AZ355" s="30"/>
      <c r="BA355" s="30"/>
      <c r="BB355" s="30"/>
      <c r="BC355" s="30"/>
      <c r="BD355" s="30"/>
      <c r="BE355" s="31" t="n">
        <v>5084.8</v>
      </c>
      <c r="BF355" s="30"/>
      <c r="BG355" s="30"/>
      <c r="BH355" s="30"/>
      <c r="BI355" s="30"/>
      <c r="BJ355" s="30"/>
      <c r="BK355" s="31" t="n">
        <v>14430.3</v>
      </c>
      <c r="BL355" s="30"/>
      <c r="BM355" s="30"/>
      <c r="BN355" s="30"/>
      <c r="BO355" s="30"/>
      <c r="BP355" s="30"/>
      <c r="BQ355" s="31" t="n">
        <v>14354</v>
      </c>
      <c r="BR355" s="30"/>
      <c r="BS355" s="30"/>
      <c r="BT355" s="30"/>
      <c r="BU355" s="30"/>
      <c r="BV355" s="30"/>
      <c r="BW355" s="31" t="n">
        <v>14527.9</v>
      </c>
      <c r="BX355" s="30"/>
      <c r="BY355" s="30"/>
      <c r="BZ355" s="30"/>
      <c r="CA355" s="30"/>
      <c r="CB355" s="30"/>
      <c r="CC355" s="31" t="n">
        <v>14200.5</v>
      </c>
      <c r="CD355" s="30"/>
      <c r="CE355" s="30"/>
      <c r="CF355" s="30"/>
      <c r="CG355" s="30"/>
      <c r="CH355" s="30"/>
      <c r="CI355" s="31" t="n">
        <v>15285.3</v>
      </c>
      <c r="CJ355" s="30"/>
      <c r="CK355" s="30"/>
      <c r="CL355" s="31" t="n">
        <v>15280.4</v>
      </c>
      <c r="CM355" s="32"/>
      <c r="CN355" s="32"/>
      <c r="CO355" s="32"/>
      <c r="CP355" s="32"/>
      <c r="CQ355" s="32"/>
      <c r="CR355" s="32"/>
      <c r="CS355" s="32"/>
      <c r="CT355" s="23"/>
      <c r="CV355" s="7"/>
      <c r="CW355" s="7"/>
      <c r="CX355" s="7"/>
      <c r="CY355" s="7"/>
    </row>
    <row r="356" customFormat="false" ht="15" hidden="false" customHeight="true" outlineLevel="0" collapsed="false">
      <c r="B356" s="39" t="s">
        <v>498</v>
      </c>
      <c r="C356" s="30" t="n">
        <f aca="false">IF(AND(ISNUMBER(C315),ISNUMBER(C287)),ROUND(C315-C287,1),"")</f>
        <v>0</v>
      </c>
      <c r="D356" s="30" t="n">
        <f aca="false">IF(AND(ISNUMBER(D315),ISNUMBER(D287)),ROUND(D315-D287,1),"")</f>
        <v>0</v>
      </c>
      <c r="E356" s="30" t="n">
        <f aca="false">IF(AND(ISNUMBER(E315),ISNUMBER(E287)),ROUND(E315-E287,1),"")</f>
        <v>0</v>
      </c>
      <c r="F356" s="30" t="n">
        <f aca="false">IF(AND(ISNUMBER(F315),ISNUMBER(F287)),ROUND(F315-F287,1),"")</f>
        <v>0</v>
      </c>
      <c r="G356" s="30" t="n">
        <f aca="false">IF(AND(ISNUMBER(G315),ISNUMBER(G287)),ROUND(G315-G287,1),"")</f>
        <v>0</v>
      </c>
      <c r="H356" s="30" t="n">
        <f aca="false">IF(AND(ISNUMBER(H315),ISNUMBER(H287)),ROUND(H315-H287,1),"")</f>
        <v>0</v>
      </c>
      <c r="I356" s="30" t="n">
        <f aca="false">IF(AND(ISNUMBER(I315),ISNUMBER(I287)),ROUND(I315-I287,1),"")</f>
        <v>0</v>
      </c>
      <c r="J356" s="30"/>
      <c r="K356" s="30"/>
      <c r="L356" s="30"/>
      <c r="M356" s="30"/>
      <c r="N356" s="30"/>
      <c r="O356" s="30" t="n">
        <f aca="false">IF(AND(ISNUMBER(O315),ISNUMBER(O287)),ROUND(O315-O287,1),"")</f>
        <v>0</v>
      </c>
      <c r="P356" s="30"/>
      <c r="Q356" s="30"/>
      <c r="R356" s="30"/>
      <c r="S356" s="30"/>
      <c r="T356" s="30"/>
      <c r="U356" s="30" t="n">
        <f aca="false">IF(AND(ISNUMBER(U315),ISNUMBER(U287)),ROUND(U315-U287,1),"")</f>
        <v>0</v>
      </c>
      <c r="V356" s="30"/>
      <c r="W356" s="30"/>
      <c r="X356" s="30"/>
      <c r="Y356" s="30"/>
      <c r="Z356" s="30"/>
      <c r="AA356" s="30" t="n">
        <f aca="false">IF(AND(ISNUMBER(AA315),ISNUMBER(AA287)),ROUND(AA315-AA287,1),"")</f>
        <v>0</v>
      </c>
      <c r="AB356" s="30"/>
      <c r="AC356" s="30"/>
      <c r="AD356" s="30"/>
      <c r="AE356" s="30"/>
      <c r="AF356" s="30"/>
      <c r="AG356" s="30" t="n">
        <f aca="false">IF(AND(ISNUMBER(AG315),ISNUMBER(AG287)),ROUND(AG315-AG287,1),"")</f>
        <v>0</v>
      </c>
      <c r="AH356" s="30"/>
      <c r="AI356" s="30"/>
      <c r="AJ356" s="30"/>
      <c r="AK356" s="30"/>
      <c r="AL356" s="30"/>
      <c r="AM356" s="30" t="n">
        <f aca="false">IF(AND(ISNUMBER(AM315),ISNUMBER(AM287)),ROUND(AM315-AM287,1),"")</f>
        <v>0</v>
      </c>
      <c r="AN356" s="30"/>
      <c r="AO356" s="30"/>
      <c r="AP356" s="30"/>
      <c r="AQ356" s="30"/>
      <c r="AR356" s="30"/>
      <c r="AS356" s="30" t="n">
        <f aca="false">IF(AND(ISNUMBER(AS315),ISNUMBER(AS287)),ROUND(AS315-AS287,1),"")</f>
        <v>0</v>
      </c>
      <c r="AT356" s="30"/>
      <c r="AU356" s="30"/>
      <c r="AV356" s="30"/>
      <c r="AW356" s="30"/>
      <c r="AX356" s="30"/>
      <c r="AY356" s="30" t="n">
        <f aca="false">IF(AND(ISNUMBER(AY315),ISNUMBER(AY287)),ROUND(AY315-AY287,1),"")</f>
        <v>0</v>
      </c>
      <c r="AZ356" s="30"/>
      <c r="BA356" s="30"/>
      <c r="BB356" s="30"/>
      <c r="BC356" s="30"/>
      <c r="BD356" s="30"/>
      <c r="BE356" s="30" t="n">
        <f aca="false">IF(AND(ISNUMBER(BE315),ISNUMBER(BE287)),ROUND(BE315-BE287,1),"")</f>
        <v>0</v>
      </c>
      <c r="BF356" s="30"/>
      <c r="BG356" s="30"/>
      <c r="BH356" s="30"/>
      <c r="BI356" s="30"/>
      <c r="BJ356" s="30"/>
      <c r="BK356" s="30" t="n">
        <f aca="false">IF(AND(ISNUMBER(BK315),ISNUMBER(BK287)),ROUND(BK315-BK287,1),"")</f>
        <v>0</v>
      </c>
      <c r="BL356" s="30"/>
      <c r="BM356" s="30"/>
      <c r="BN356" s="30"/>
      <c r="BO356" s="30"/>
      <c r="BP356" s="30"/>
      <c r="BQ356" s="30" t="n">
        <f aca="false">IF(AND(ISNUMBER(BQ315),ISNUMBER(BQ287)),ROUND(BQ315-BQ287,1),"")</f>
        <v>0</v>
      </c>
      <c r="BR356" s="30"/>
      <c r="BS356" s="30"/>
      <c r="BT356" s="30"/>
      <c r="BU356" s="30"/>
      <c r="BV356" s="30"/>
      <c r="BW356" s="30" t="n">
        <f aca="false">IF(AND(ISNUMBER(BW315),ISNUMBER(BW287)),ROUND(BW315-BW287,1),"")</f>
        <v>0</v>
      </c>
      <c r="BX356" s="30"/>
      <c r="BY356" s="30"/>
      <c r="BZ356" s="30"/>
      <c r="CA356" s="30"/>
      <c r="CB356" s="30"/>
      <c r="CC356" s="30" t="n">
        <f aca="false">IF(AND(ISNUMBER(CC315),ISNUMBER(CC287)),ROUND(CC315-CC287,1),"")</f>
        <v>0</v>
      </c>
      <c r="CD356" s="30"/>
      <c r="CE356" s="30"/>
      <c r="CF356" s="30"/>
      <c r="CG356" s="30"/>
      <c r="CH356" s="30"/>
      <c r="CI356" s="30" t="n">
        <f aca="false">IF(AND(ISNUMBER(CI315),ISNUMBER(CI287)),ROUND(CI315-CI287,1),"")</f>
        <v>0</v>
      </c>
      <c r="CJ356" s="30"/>
      <c r="CK356" s="30"/>
      <c r="CL356" s="30" t="n">
        <f aca="false">IF(AND(ISNUMBER(CL315),ISNUMBER(CL287)),ROUND(CL315-CL287,1),"")</f>
        <v>0</v>
      </c>
      <c r="CM356" s="32"/>
      <c r="CN356" s="32"/>
      <c r="CO356" s="32"/>
      <c r="CP356" s="32"/>
      <c r="CQ356" s="32"/>
      <c r="CR356" s="32"/>
      <c r="CS356" s="32"/>
      <c r="CT356" s="23"/>
      <c r="CV356" s="7"/>
      <c r="CW356" s="7"/>
      <c r="CX356" s="7"/>
      <c r="CY356" s="7"/>
    </row>
    <row r="357" customFormat="false" ht="15" hidden="false" customHeight="true" outlineLevel="0" collapsed="false">
      <c r="B357" s="37" t="s">
        <v>499</v>
      </c>
      <c r="C357" s="56" t="n">
        <v>34.7197</v>
      </c>
      <c r="D357" s="56" t="n">
        <v>35.150117</v>
      </c>
      <c r="E357" s="56" t="n">
        <v>35.926224</v>
      </c>
      <c r="F357" s="56" t="n">
        <v>36.078269</v>
      </c>
      <c r="G357" s="56" t="n">
        <v>36.363372</v>
      </c>
      <c r="H357" s="56" t="n">
        <v>36.449092</v>
      </c>
      <c r="I357" s="56" t="n">
        <v>37.162697</v>
      </c>
      <c r="J357" s="52"/>
      <c r="K357" s="52"/>
      <c r="L357" s="52"/>
      <c r="M357" s="52"/>
      <c r="N357" s="52"/>
      <c r="O357" s="56" t="n">
        <v>37.571182</v>
      </c>
      <c r="P357" s="52"/>
      <c r="Q357" s="52"/>
      <c r="R357" s="52"/>
      <c r="S357" s="52"/>
      <c r="T357" s="52"/>
      <c r="U357" s="56" t="n">
        <v>36.655584</v>
      </c>
      <c r="V357" s="52"/>
      <c r="W357" s="52"/>
      <c r="X357" s="52"/>
      <c r="Y357" s="52"/>
      <c r="Z357" s="52"/>
      <c r="AA357" s="56" t="n">
        <v>34.514599</v>
      </c>
      <c r="AB357" s="52"/>
      <c r="AC357" s="52"/>
      <c r="AD357" s="52"/>
      <c r="AE357" s="52"/>
      <c r="AF357" s="52"/>
      <c r="AG357" s="56" t="n">
        <v>35.110762</v>
      </c>
      <c r="AH357" s="52"/>
      <c r="AI357" s="52"/>
      <c r="AJ357" s="52"/>
      <c r="AK357" s="52"/>
      <c r="AL357" s="52"/>
      <c r="AM357" s="56" t="n">
        <v>35.540233</v>
      </c>
      <c r="AN357" s="52"/>
      <c r="AO357" s="52"/>
      <c r="AP357" s="52"/>
      <c r="AQ357" s="52"/>
      <c r="AR357" s="52"/>
      <c r="AS357" s="56" t="n">
        <v>36.087297</v>
      </c>
      <c r="AT357" s="52"/>
      <c r="AU357" s="52"/>
      <c r="AV357" s="52"/>
      <c r="AW357" s="52"/>
      <c r="AX357" s="52"/>
      <c r="AY357" s="56" t="n">
        <v>36.547966</v>
      </c>
      <c r="AZ357" s="52"/>
      <c r="BA357" s="52"/>
      <c r="BB357" s="52"/>
      <c r="BC357" s="52"/>
      <c r="BD357" s="52"/>
      <c r="BE357" s="56" t="n">
        <v>36.951607</v>
      </c>
      <c r="BF357" s="52"/>
      <c r="BG357" s="52"/>
      <c r="BH357" s="52"/>
      <c r="BI357" s="52"/>
      <c r="BJ357" s="52"/>
      <c r="BK357" s="56" t="n">
        <v>46.692296</v>
      </c>
      <c r="BL357" s="52"/>
      <c r="BM357" s="52"/>
      <c r="BN357" s="52"/>
      <c r="BO357" s="52"/>
      <c r="BP357" s="52"/>
      <c r="BQ357" s="56" t="n">
        <v>46.912635</v>
      </c>
      <c r="BR357" s="52"/>
      <c r="BS357" s="52"/>
      <c r="BT357" s="52"/>
      <c r="BU357" s="52"/>
      <c r="BV357" s="52"/>
      <c r="BW357" s="56" t="n">
        <v>47.331845</v>
      </c>
      <c r="BX357" s="52"/>
      <c r="BY357" s="52"/>
      <c r="BZ357" s="52"/>
      <c r="CA357" s="52"/>
      <c r="CB357" s="52"/>
      <c r="CC357" s="56" t="n">
        <v>46.706612</v>
      </c>
      <c r="CD357" s="52"/>
      <c r="CE357" s="52"/>
      <c r="CF357" s="52"/>
      <c r="CG357" s="52"/>
      <c r="CH357" s="52"/>
      <c r="CI357" s="56" t="n">
        <v>46.185578</v>
      </c>
      <c r="CJ357" s="52"/>
      <c r="CK357" s="52"/>
      <c r="CL357" s="56" t="n">
        <v>46.355253</v>
      </c>
      <c r="CM357" s="53"/>
      <c r="CN357" s="53"/>
      <c r="CO357" s="53" t="n">
        <f aca="false">CO307</f>
        <v>46.505253</v>
      </c>
      <c r="CP357" s="53" t="n">
        <f aca="false">CP307</f>
        <v>46.2753426588405</v>
      </c>
      <c r="CQ357" s="53" t="n">
        <f aca="false">CQ307</f>
        <v>46.0702862652335</v>
      </c>
      <c r="CR357" s="53" t="n">
        <f aca="false">CR307</f>
        <v>45.8884578599933</v>
      </c>
      <c r="CS357" s="53" t="n">
        <f aca="false">CS307</f>
        <v>45.728337855096</v>
      </c>
      <c r="CT357" s="23"/>
      <c r="CV357" s="7"/>
      <c r="CW357" s="7"/>
      <c r="CX357" s="7"/>
      <c r="CY357" s="7"/>
    </row>
    <row r="358" customFormat="false" ht="15" hidden="false" customHeight="true" outlineLevel="0" collapsed="false">
      <c r="B358" s="12" t="s">
        <v>500</v>
      </c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/>
      <c r="CH358" s="12"/>
      <c r="CI358" s="12"/>
      <c r="CJ358" s="12"/>
      <c r="CK358" s="12"/>
      <c r="CL358" s="12"/>
      <c r="CM358" s="12"/>
      <c r="CN358" s="12"/>
      <c r="CO358" s="12"/>
      <c r="CP358" s="12"/>
      <c r="CQ358" s="12"/>
      <c r="CR358" s="12"/>
      <c r="CS358" s="12"/>
      <c r="CT358" s="12" t="s">
        <v>501</v>
      </c>
    </row>
    <row r="359" customFormat="false" ht="15" hidden="false" customHeight="true" outlineLevel="0" collapsed="false">
      <c r="B359" s="26" t="s">
        <v>502</v>
      </c>
      <c r="C359" s="65" t="n">
        <f aca="false">IFERROR(C316/C152*365*IF(LEFT("2006",2)="1H",0.5,1),"n/a")</f>
        <v>57.5819843706391</v>
      </c>
      <c r="D359" s="65" t="n">
        <f aca="false">IFERROR(D316/D152*365*IF(LEFT("2007",2)="1H",0.5,1),"n/a")</f>
        <v>54.2448992171608</v>
      </c>
      <c r="E359" s="65" t="n">
        <f aca="false">IFERROR(E316/E152*365*IF(LEFT("2008",2)="1H",0.5,1),"n/a")</f>
        <v>59.6463414634146</v>
      </c>
      <c r="F359" s="65" t="n">
        <f aca="false">IFERROR(F316/F152*365*IF(LEFT("2009",2)="1H",0.5,1),"n/a")</f>
        <v>50.5269051510199</v>
      </c>
      <c r="G359" s="65" t="n">
        <f aca="false">IFERROR(G316/G152*365*IF(LEFT("2010",2)="1H",0.5,1),"n/a")</f>
        <v>56.5636783846247</v>
      </c>
      <c r="H359" s="65" t="n">
        <f aca="false">IFERROR(H316/H152*365*IF(LEFT("2011",2)="1H",0.5,1),"n/a")</f>
        <v>50.7492661826047</v>
      </c>
      <c r="I359" s="65" t="n">
        <f aca="false">IFERROR(I316/I152*365*IF(LEFT("2012",2)="1H",0.5,1),"n/a")</f>
        <v>60.1041225967188</v>
      </c>
      <c r="J359" s="65"/>
      <c r="K359" s="65"/>
      <c r="L359" s="65"/>
      <c r="M359" s="65"/>
      <c r="N359" s="65"/>
      <c r="O359" s="65" t="n">
        <f aca="false">IFERROR(O316/O152*365*IF(LEFT("2013",2)="1H",0.5,1),"n/a")</f>
        <v>58.9968357136749</v>
      </c>
      <c r="P359" s="65"/>
      <c r="Q359" s="65"/>
      <c r="R359" s="65"/>
      <c r="S359" s="65"/>
      <c r="T359" s="65"/>
      <c r="U359" s="65" t="n">
        <f aca="false">IFERROR(U316/U152*365*IF(LEFT("2014",2)="1H",0.5,1),"n/a")</f>
        <v>61.0925229741019</v>
      </c>
      <c r="V359" s="65"/>
      <c r="W359" s="65"/>
      <c r="X359" s="65"/>
      <c r="Y359" s="65"/>
      <c r="Z359" s="65"/>
      <c r="AA359" s="65" t="n">
        <f aca="false">IFERROR(AA316/AA152*365*IF(LEFT("2015",2)="1H",0.5,1),"n/a")</f>
        <v>59.2424176493625</v>
      </c>
      <c r="AB359" s="65"/>
      <c r="AC359" s="65"/>
      <c r="AD359" s="65"/>
      <c r="AE359" s="65"/>
      <c r="AF359" s="65"/>
      <c r="AG359" s="65" t="n">
        <f aca="false">IFERROR(AG316/AG152*365*IF(LEFT("2016",2)="1H",0.5,1),"n/a")</f>
        <v>65.1427973394111</v>
      </c>
      <c r="AH359" s="65"/>
      <c r="AI359" s="65"/>
      <c r="AJ359" s="65"/>
      <c r="AK359" s="65"/>
      <c r="AL359" s="65"/>
      <c r="AM359" s="65" t="n">
        <f aca="false">IFERROR(AM316/AM152*365*IF(LEFT("2017",2)="1H",0.5,1),"n/a")</f>
        <v>54.4317919963131</v>
      </c>
      <c r="AN359" s="65"/>
      <c r="AO359" s="65"/>
      <c r="AP359" s="65"/>
      <c r="AQ359" s="65"/>
      <c r="AR359" s="65"/>
      <c r="AS359" s="65" t="n">
        <f aca="false">IFERROR(AS316/AS152*365*IF(LEFT("2018",2)="1H",0.5,1),"n/a")</f>
        <v>52.3890343924461</v>
      </c>
      <c r="AT359" s="65"/>
      <c r="AU359" s="65"/>
      <c r="AV359" s="65"/>
      <c r="AW359" s="65"/>
      <c r="AX359" s="65"/>
      <c r="AY359" s="65" t="n">
        <f aca="false">IFERROR(AY316/AY152*365*IF(LEFT("2019",2)="1H",0.5,1),"n/a")</f>
        <v>53.1185990643571</v>
      </c>
      <c r="AZ359" s="65"/>
      <c r="BA359" s="65"/>
      <c r="BB359" s="65"/>
      <c r="BC359" s="65"/>
      <c r="BD359" s="65"/>
      <c r="BE359" s="65" t="n">
        <f aca="false">IFERROR(BE316/BE152*365*IF(LEFT("2020",2)="1H",0.5,1),"n/a")</f>
        <v>47.543905126045</v>
      </c>
      <c r="BF359" s="65"/>
      <c r="BG359" s="65"/>
      <c r="BH359" s="65"/>
      <c r="BI359" s="65"/>
      <c r="BJ359" s="65"/>
      <c r="BK359" s="65" t="n">
        <f aca="false">IFERROR(BK316/BK152*365*IF(LEFT("2021",2)="1H",0.5,1),"n/a")</f>
        <v>60.7265457382485</v>
      </c>
      <c r="BL359" s="65"/>
      <c r="BM359" s="65"/>
      <c r="BN359" s="65"/>
      <c r="BO359" s="65"/>
      <c r="BP359" s="65"/>
      <c r="BQ359" s="65" t="n">
        <f aca="false">IFERROR(BQ316/BQ152*365*IF(LEFT("2022",2)="1H",0.5,1),"n/a")</f>
        <v>59.0903345180083</v>
      </c>
      <c r="BR359" s="65"/>
      <c r="BS359" s="65"/>
      <c r="BT359" s="65"/>
      <c r="BU359" s="65"/>
      <c r="BV359" s="65"/>
      <c r="BW359" s="65" t="n">
        <f aca="false">IFERROR(BW316/BW152*365*IF(LEFT("2023",2)="1H",0.5,1),"n/a")</f>
        <v>58.271759382486</v>
      </c>
      <c r="BX359" s="65"/>
      <c r="BY359" s="65"/>
      <c r="BZ359" s="65"/>
      <c r="CA359" s="65"/>
      <c r="CB359" s="65"/>
      <c r="CC359" s="65" t="n">
        <f aca="false">IFERROR(CC316/CC152*365*IF(LEFT("2024",2)="1H",0.5,1),"n/a")</f>
        <v>58.0073192239859</v>
      </c>
      <c r="CD359" s="65"/>
      <c r="CE359" s="65"/>
      <c r="CF359" s="65"/>
      <c r="CG359" s="65"/>
      <c r="CH359" s="65"/>
      <c r="CI359" s="65" t="n">
        <f aca="false">IFERROR(CI316/CI152*365*IF(LEFT("2025",2)="1H",0.5,1),"n/a")</f>
        <v>59.2317755175459</v>
      </c>
      <c r="CJ359" s="65"/>
      <c r="CK359" s="65"/>
      <c r="CL359" s="65" t="n">
        <f aca="false">IFERROR(CL316/CL152*365*IF(LEFT("1H/26",2)="1H",0.5,1),"n/a")</f>
        <v>53.1031620430708</v>
      </c>
      <c r="CM359" s="66"/>
      <c r="CN359" s="66"/>
      <c r="CO359" s="67" t="n">
        <v>58</v>
      </c>
      <c r="CP359" s="67" t="n">
        <v>58</v>
      </c>
      <c r="CQ359" s="67" t="n">
        <v>58</v>
      </c>
      <c r="CR359" s="67" t="n">
        <v>58</v>
      </c>
      <c r="CS359" s="67" t="n">
        <v>58</v>
      </c>
      <c r="CT359" s="23"/>
      <c r="CV359" s="7"/>
      <c r="CW359" s="7"/>
      <c r="CX359" s="7"/>
      <c r="CY359" s="7"/>
    </row>
    <row r="360" customFormat="false" ht="15" hidden="false" customHeight="true" outlineLevel="0" collapsed="false">
      <c r="B360" s="26" t="s">
        <v>503</v>
      </c>
      <c r="C360" s="40" t="n">
        <f aca="false">IFERROR(C317/C152*IF(LEFT("2006",2)="1H",0.5,1),"n/a")</f>
        <v>0</v>
      </c>
      <c r="D360" s="40" t="n">
        <f aca="false">IFERROR(D317/D152*IF(LEFT("2007",2)="1H",0.5,1),"n/a")</f>
        <v>0</v>
      </c>
      <c r="E360" s="40" t="n">
        <f aca="false">IFERROR(E317/E152*IF(LEFT("2008",2)="1H",0.5,1),"n/a")</f>
        <v>0</v>
      </c>
      <c r="F360" s="40" t="n">
        <f aca="false">IFERROR(F317/F152*IF(LEFT("2009",2)="1H",0.5,1),"n/a")</f>
        <v>0</v>
      </c>
      <c r="G360" s="40" t="n">
        <f aca="false">IFERROR(G317/G152*IF(LEFT("2010",2)="1H",0.5,1),"n/a")</f>
        <v>0</v>
      </c>
      <c r="H360" s="40" t="n">
        <f aca="false">IFERROR(H317/H152*IF(LEFT("2011",2)="1H",0.5,1),"n/a")</f>
        <v>0</v>
      </c>
      <c r="I360" s="40" t="n">
        <f aca="false">IFERROR(I317/I152*IF(LEFT("2012",2)="1H",0.5,1),"n/a")</f>
        <v>0</v>
      </c>
      <c r="J360" s="40"/>
      <c r="K360" s="40"/>
      <c r="L360" s="40"/>
      <c r="M360" s="40"/>
      <c r="N360" s="40"/>
      <c r="O360" s="40" t="n">
        <f aca="false">IFERROR(O317/O152*IF(LEFT("2013",2)="1H",0.5,1),"n/a")</f>
        <v>0</v>
      </c>
      <c r="P360" s="40"/>
      <c r="Q360" s="40"/>
      <c r="R360" s="40"/>
      <c r="S360" s="40"/>
      <c r="T360" s="40"/>
      <c r="U360" s="40" t="n">
        <f aca="false">IFERROR(U317/U152*IF(LEFT("2014",2)="1H",0.5,1),"n/a")</f>
        <v>0</v>
      </c>
      <c r="V360" s="40"/>
      <c r="W360" s="40"/>
      <c r="X360" s="40"/>
      <c r="Y360" s="40"/>
      <c r="Z360" s="40"/>
      <c r="AA360" s="40" t="n">
        <f aca="false">IFERROR(AA317/AA152*IF(LEFT("2015",2)="1H",0.5,1),"n/a")</f>
        <v>0</v>
      </c>
      <c r="AB360" s="40"/>
      <c r="AC360" s="40"/>
      <c r="AD360" s="40"/>
      <c r="AE360" s="40"/>
      <c r="AF360" s="40"/>
      <c r="AG360" s="40" t="n">
        <f aca="false">IFERROR(AG317/AG152*IF(LEFT("2016",2)="1H",0.5,1),"n/a")</f>
        <v>0</v>
      </c>
      <c r="AH360" s="40"/>
      <c r="AI360" s="40"/>
      <c r="AJ360" s="40"/>
      <c r="AK360" s="40"/>
      <c r="AL360" s="40"/>
      <c r="AM360" s="40" t="n">
        <f aca="false">IFERROR(AM317/AM152*IF(LEFT("2017",2)="1H",0.5,1),"n/a")</f>
        <v>0.0344880559182733</v>
      </c>
      <c r="AN360" s="40"/>
      <c r="AO360" s="40"/>
      <c r="AP360" s="40"/>
      <c r="AQ360" s="40"/>
      <c r="AR360" s="40"/>
      <c r="AS360" s="40" t="n">
        <f aca="false">IFERROR(AS317/AS152*IF(LEFT("2018",2)="1H",0.5,1),"n/a")</f>
        <v>0.0500723688744917</v>
      </c>
      <c r="AT360" s="40"/>
      <c r="AU360" s="40"/>
      <c r="AV360" s="40"/>
      <c r="AW360" s="40"/>
      <c r="AX360" s="40"/>
      <c r="AY360" s="40" t="n">
        <f aca="false">IFERROR(AY317/AY152*IF(LEFT("2019",2)="1H",0.5,1),"n/a")</f>
        <v>0.0633771652547731</v>
      </c>
      <c r="AZ360" s="40"/>
      <c r="BA360" s="40"/>
      <c r="BB360" s="40"/>
      <c r="BC360" s="40"/>
      <c r="BD360" s="40"/>
      <c r="BE360" s="40" t="n">
        <f aca="false">IFERROR(BE317/BE152*IF(LEFT("2020",2)="1H",0.5,1),"n/a")</f>
        <v>0.0719655239453049</v>
      </c>
      <c r="BF360" s="40"/>
      <c r="BG360" s="40"/>
      <c r="BH360" s="40"/>
      <c r="BI360" s="40"/>
      <c r="BJ360" s="40"/>
      <c r="BK360" s="40" t="n">
        <f aca="false">IFERROR(BK317/BK152*IF(LEFT("2021",2)="1H",0.5,1),"n/a")</f>
        <v>0.0685044318748239</v>
      </c>
      <c r="BL360" s="40"/>
      <c r="BM360" s="40"/>
      <c r="BN360" s="40"/>
      <c r="BO360" s="40"/>
      <c r="BP360" s="40"/>
      <c r="BQ360" s="40" t="n">
        <f aca="false">IFERROR(BQ317/BQ152*IF(LEFT("2022",2)="1H",0.5,1),"n/a")</f>
        <v>0.0503242589675008</v>
      </c>
      <c r="BR360" s="40"/>
      <c r="BS360" s="40"/>
      <c r="BT360" s="40"/>
      <c r="BU360" s="40"/>
      <c r="BV360" s="40"/>
      <c r="BW360" s="40" t="n">
        <f aca="false">IFERROR(BW317/BW152*IF(LEFT("2023",2)="1H",0.5,1),"n/a")</f>
        <v>0.0536598349747139</v>
      </c>
      <c r="BX360" s="40"/>
      <c r="BY360" s="40"/>
      <c r="BZ360" s="40"/>
      <c r="CA360" s="40"/>
      <c r="CB360" s="40"/>
      <c r="CC360" s="40" t="n">
        <f aca="false">IFERROR(CC317/CC152*IF(LEFT("2024",2)="1H",0.5,1),"n/a")</f>
        <v>0.0550440917107584</v>
      </c>
      <c r="CD360" s="40"/>
      <c r="CE360" s="40"/>
      <c r="CF360" s="40"/>
      <c r="CG360" s="40"/>
      <c r="CH360" s="40"/>
      <c r="CI360" s="40" t="n">
        <f aca="false">IFERROR(CI317/CI152*IF(LEFT("2025",2)="1H",0.5,1),"n/a")</f>
        <v>0.0612551918108382</v>
      </c>
      <c r="CJ360" s="40"/>
      <c r="CK360" s="40"/>
      <c r="CL360" s="40" t="n">
        <f aca="false">IFERROR(CL317/CL152*IF(LEFT("1H/26",2)="1H",0.5,1),"n/a")</f>
        <v>0.0660646682802706</v>
      </c>
      <c r="CM360" s="28"/>
      <c r="CN360" s="28"/>
      <c r="CO360" s="46" t="n">
        <v>0.065</v>
      </c>
      <c r="CP360" s="46" t="n">
        <v>0.065</v>
      </c>
      <c r="CQ360" s="46" t="n">
        <v>0.065</v>
      </c>
      <c r="CR360" s="46" t="n">
        <v>0.065</v>
      </c>
      <c r="CS360" s="46" t="n">
        <v>0.065</v>
      </c>
      <c r="CT360" s="23"/>
      <c r="CV360" s="7"/>
      <c r="CW360" s="7"/>
      <c r="CX360" s="7"/>
      <c r="CY360" s="7"/>
    </row>
    <row r="361" customFormat="false" ht="15" hidden="false" customHeight="true" outlineLevel="0" collapsed="false">
      <c r="B361" s="26" t="s">
        <v>504</v>
      </c>
      <c r="C361" s="65" t="n">
        <f aca="false">IFERROR(C318/C155*365*IF(LEFT("2006",2)="1H",0.5,1),"n/a")</f>
        <v>55.7410311703588</v>
      </c>
      <c r="D361" s="65" t="n">
        <f aca="false">IFERROR(D318/D155*365*IF(LEFT("2007",2)="1H",0.5,1),"n/a")</f>
        <v>56.0797254487856</v>
      </c>
      <c r="E361" s="65" t="n">
        <f aca="false">IFERROR(E318/E155*365*IF(LEFT("2008",2)="1H",0.5,1),"n/a")</f>
        <v>62.6544489592835</v>
      </c>
      <c r="F361" s="65" t="n">
        <f aca="false">IFERROR(F318/F155*365*IF(LEFT("2009",2)="1H",0.5,1),"n/a")</f>
        <v>51.0931793085875</v>
      </c>
      <c r="G361" s="65" t="n">
        <f aca="false">IFERROR(G318/G155*365*IF(LEFT("2010",2)="1H",0.5,1),"n/a")</f>
        <v>54.7770229074123</v>
      </c>
      <c r="H361" s="65" t="n">
        <f aca="false">IFERROR(H318/H155*365*IF(LEFT("2011",2)="1H",0.5,1),"n/a")</f>
        <v>62.0446269466181</v>
      </c>
      <c r="I361" s="65" t="n">
        <f aca="false">IFERROR(I318/I155*365*IF(LEFT("2012",2)="1H",0.5,1),"n/a")</f>
        <v>74.4238996446958</v>
      </c>
      <c r="J361" s="65"/>
      <c r="K361" s="65"/>
      <c r="L361" s="65"/>
      <c r="M361" s="65"/>
      <c r="N361" s="65"/>
      <c r="O361" s="65" t="n">
        <f aca="false">IFERROR(O318/O155*365*IF(LEFT("2013",2)="1H",0.5,1),"n/a")</f>
        <v>71.613</v>
      </c>
      <c r="P361" s="65"/>
      <c r="Q361" s="65"/>
      <c r="R361" s="65"/>
      <c r="S361" s="65"/>
      <c r="T361" s="65"/>
      <c r="U361" s="65" t="n">
        <f aca="false">IFERROR(U318/U155*365*IF(LEFT("2014",2)="1H",0.5,1),"n/a")</f>
        <v>76.5294869208527</v>
      </c>
      <c r="V361" s="65"/>
      <c r="W361" s="65"/>
      <c r="X361" s="65"/>
      <c r="Y361" s="65"/>
      <c r="Z361" s="65"/>
      <c r="AA361" s="65" t="n">
        <f aca="false">IFERROR(AA318/AA155*365*IF(LEFT("2015",2)="1H",0.5,1),"n/a")</f>
        <v>79.0432833730214</v>
      </c>
      <c r="AB361" s="65"/>
      <c r="AC361" s="65"/>
      <c r="AD361" s="65"/>
      <c r="AE361" s="65"/>
      <c r="AF361" s="65"/>
      <c r="AG361" s="65" t="n">
        <f aca="false">IFERROR(AG318/AG155*365*IF(LEFT("2016",2)="1H",0.5,1),"n/a")</f>
        <v>87.0128983308043</v>
      </c>
      <c r="AH361" s="65"/>
      <c r="AI361" s="65"/>
      <c r="AJ361" s="65"/>
      <c r="AK361" s="65"/>
      <c r="AL361" s="65"/>
      <c r="AM361" s="65" t="n">
        <f aca="false">IFERROR(AM318/AM155*365*IF(LEFT("2017",2)="1H",0.5,1),"n/a")</f>
        <v>89.9464285714286</v>
      </c>
      <c r="AN361" s="65"/>
      <c r="AO361" s="65"/>
      <c r="AP361" s="65"/>
      <c r="AQ361" s="65"/>
      <c r="AR361" s="65"/>
      <c r="AS361" s="65" t="n">
        <f aca="false">IFERROR(AS318/AS155*365*IF(LEFT("2018",2)="1H",0.5,1),"n/a")</f>
        <v>74.2431602456728</v>
      </c>
      <c r="AT361" s="65"/>
      <c r="AU361" s="65"/>
      <c r="AV361" s="65"/>
      <c r="AW361" s="65"/>
      <c r="AX361" s="65"/>
      <c r="AY361" s="65" t="n">
        <f aca="false">IFERROR(AY318/AY155*365*IF(LEFT("2019",2)="1H",0.5,1),"n/a")</f>
        <v>74.7752955267406</v>
      </c>
      <c r="AZ361" s="65"/>
      <c r="BA361" s="65"/>
      <c r="BB361" s="65"/>
      <c r="BC361" s="65"/>
      <c r="BD361" s="65"/>
      <c r="BE361" s="65" t="n">
        <f aca="false">IFERROR(BE318/BE155*365*IF(LEFT("2020",2)="1H",0.5,1),"n/a")</f>
        <v>66.5325670498084</v>
      </c>
      <c r="BF361" s="65"/>
      <c r="BG361" s="65"/>
      <c r="BH361" s="65"/>
      <c r="BI361" s="65"/>
      <c r="BJ361" s="65"/>
      <c r="BK361" s="65" t="n">
        <f aca="false">IFERROR(BK318/BK155*365*IF(LEFT("2021",2)="1H",0.5,1),"n/a")</f>
        <v>99.1050885354683</v>
      </c>
      <c r="BL361" s="65"/>
      <c r="BM361" s="65"/>
      <c r="BN361" s="65"/>
      <c r="BO361" s="65"/>
      <c r="BP361" s="65"/>
      <c r="BQ361" s="65" t="n">
        <f aca="false">IFERROR(BQ318/BQ155*365*IF(LEFT("2022",2)="1H",0.5,1),"n/a")</f>
        <v>103.924016238852</v>
      </c>
      <c r="BR361" s="65"/>
      <c r="BS361" s="65"/>
      <c r="BT361" s="65"/>
      <c r="BU361" s="65"/>
      <c r="BV361" s="65"/>
      <c r="BW361" s="65" t="n">
        <f aca="false">IFERROR(BW318/BW155*365*IF(LEFT("2023",2)="1H",0.5,1),"n/a")</f>
        <v>104.802884765808</v>
      </c>
      <c r="BX361" s="65"/>
      <c r="BY361" s="65"/>
      <c r="BZ361" s="65"/>
      <c r="CA361" s="65"/>
      <c r="CB361" s="65"/>
      <c r="CC361" s="65" t="n">
        <f aca="false">IFERROR(CC318/CC155*365*IF(LEFT("2024",2)="1H",0.5,1),"n/a")</f>
        <v>103.163946587537</v>
      </c>
      <c r="CD361" s="65"/>
      <c r="CE361" s="65"/>
      <c r="CF361" s="65"/>
      <c r="CG361" s="65"/>
      <c r="CH361" s="65"/>
      <c r="CI361" s="65" t="n">
        <f aca="false">IFERROR(CI318/CI155*365*IF(LEFT("2025",2)="1H",0.5,1),"n/a")</f>
        <v>108.782637262184</v>
      </c>
      <c r="CJ361" s="65"/>
      <c r="CK361" s="65"/>
      <c r="CL361" s="65" t="n">
        <f aca="false">IFERROR(CL318/CL155*365*IF(LEFT("1H/26",2)="1H",0.5,1),"n/a")</f>
        <v>117.561164190645</v>
      </c>
      <c r="CM361" s="66"/>
      <c r="CN361" s="66"/>
      <c r="CO361" s="67" t="n">
        <v>112</v>
      </c>
      <c r="CP361" s="67" t="n">
        <v>110</v>
      </c>
      <c r="CQ361" s="67" t="n">
        <v>108</v>
      </c>
      <c r="CR361" s="67" t="n">
        <v>106</v>
      </c>
      <c r="CS361" s="67" t="n">
        <v>105</v>
      </c>
      <c r="CT361" s="23"/>
      <c r="CV361" s="7"/>
      <c r="CW361" s="7"/>
      <c r="CX361" s="7"/>
      <c r="CY361" s="7"/>
    </row>
    <row r="362" customFormat="false" ht="15" hidden="false" customHeight="true" outlineLevel="0" collapsed="false">
      <c r="B362" s="26" t="s">
        <v>505</v>
      </c>
      <c r="C362" s="65" t="n">
        <f aca="false">IFERROR(C330/C155*365*IF(LEFT("2006",2)="1H",0.5,1),"n/a")</f>
        <v>33.6664379533425</v>
      </c>
      <c r="D362" s="65" t="n">
        <f aca="false">IFERROR(D330/D155*365*IF(LEFT("2007",2)="1H",0.5,1),"n/a")</f>
        <v>33.7570397747272</v>
      </c>
      <c r="E362" s="65" t="n">
        <f aca="false">IFERROR(E330/E155*365*IF(LEFT("2008",2)="1H",0.5,1),"n/a")</f>
        <v>32.7498134173646</v>
      </c>
      <c r="F362" s="65" t="n">
        <f aca="false">IFERROR(F330/F155*365*IF(LEFT("2009",2)="1H",0.5,1),"n/a")</f>
        <v>29.9800390724539</v>
      </c>
      <c r="G362" s="65" t="n">
        <f aca="false">IFERROR(G330/G155*365*IF(LEFT("2010",2)="1H",0.5,1),"n/a")</f>
        <v>31.982405713788</v>
      </c>
      <c r="H362" s="65" t="n">
        <f aca="false">IFERROR(H330/H155*365*IF(LEFT("2011",2)="1H",0.5,1),"n/a")</f>
        <v>28.844812892229</v>
      </c>
      <c r="I362" s="65" t="n">
        <f aca="false">IFERROR(I330/I155*365*IF(LEFT("2012",2)="1H",0.5,1),"n/a")</f>
        <v>39.3292727140889</v>
      </c>
      <c r="J362" s="65"/>
      <c r="K362" s="65"/>
      <c r="L362" s="65"/>
      <c r="M362" s="65"/>
      <c r="N362" s="65"/>
      <c r="O362" s="65" t="n">
        <f aca="false">IFERROR(O330/O155*365*IF(LEFT("2013",2)="1H",0.5,1),"n/a")</f>
        <v>35.8916666666667</v>
      </c>
      <c r="P362" s="65"/>
      <c r="Q362" s="65"/>
      <c r="R362" s="65"/>
      <c r="S362" s="65"/>
      <c r="T362" s="65"/>
      <c r="U362" s="65" t="n">
        <f aca="false">IFERROR(U330/U155*365*IF(LEFT("2014",2)="1H",0.5,1),"n/a")</f>
        <v>39.8846748705534</v>
      </c>
      <c r="V362" s="65"/>
      <c r="W362" s="65"/>
      <c r="X362" s="65"/>
      <c r="Y362" s="65"/>
      <c r="Z362" s="65"/>
      <c r="AA362" s="65" t="n">
        <f aca="false">IFERROR(AA330/AA155*365*IF(LEFT("2015",2)="1H",0.5,1),"n/a")</f>
        <v>34.8945930802633</v>
      </c>
      <c r="AB362" s="65"/>
      <c r="AC362" s="65"/>
      <c r="AD362" s="65"/>
      <c r="AE362" s="65"/>
      <c r="AF362" s="65"/>
      <c r="AG362" s="65" t="n">
        <f aca="false">IFERROR(AG330/AG155*365*IF(LEFT("2016",2)="1H",0.5,1),"n/a")</f>
        <v>38.4385432473445</v>
      </c>
      <c r="AH362" s="65"/>
      <c r="AI362" s="65"/>
      <c r="AJ362" s="65"/>
      <c r="AK362" s="65"/>
      <c r="AL362" s="65"/>
      <c r="AM362" s="65" t="n">
        <f aca="false">IFERROR(AM330/AM155*365*IF(LEFT("2017",2)="1H",0.5,1),"n/a")</f>
        <v>43.0852832512315</v>
      </c>
      <c r="AN362" s="65"/>
      <c r="AO362" s="65"/>
      <c r="AP362" s="65"/>
      <c r="AQ362" s="65"/>
      <c r="AR362" s="65"/>
      <c r="AS362" s="65" t="n">
        <f aca="false">IFERROR(AS330/AS155*365*IF(LEFT("2018",2)="1H",0.5,1),"n/a")</f>
        <v>46.4249022892239</v>
      </c>
      <c r="AT362" s="65"/>
      <c r="AU362" s="65"/>
      <c r="AV362" s="65"/>
      <c r="AW362" s="65"/>
      <c r="AX362" s="65"/>
      <c r="AY362" s="65" t="n">
        <f aca="false">IFERROR(AY330/AY155*365*IF(LEFT("2019",2)="1H",0.5,1),"n/a")</f>
        <v>51.5291881476853</v>
      </c>
      <c r="AZ362" s="65"/>
      <c r="BA362" s="65"/>
      <c r="BB362" s="65"/>
      <c r="BC362" s="65"/>
      <c r="BD362" s="65"/>
      <c r="BE362" s="65" t="n">
        <f aca="false">IFERROR(BE330/BE155*365*IF(LEFT("2020",2)="1H",0.5,1),"n/a")</f>
        <v>43.8888888888889</v>
      </c>
      <c r="BF362" s="65"/>
      <c r="BG362" s="65"/>
      <c r="BH362" s="65"/>
      <c r="BI362" s="65"/>
      <c r="BJ362" s="65"/>
      <c r="BK362" s="65" t="n">
        <f aca="false">IFERROR(BK330/BK155*365*IF(LEFT("2021",2)="1H",0.5,1),"n/a")</f>
        <v>61.8008222438602</v>
      </c>
      <c r="BL362" s="65"/>
      <c r="BM362" s="65"/>
      <c r="BN362" s="65"/>
      <c r="BO362" s="65"/>
      <c r="BP362" s="65"/>
      <c r="BQ362" s="65" t="n">
        <f aca="false">IFERROR(BQ330/BQ155*365*IF(LEFT("2022",2)="1H",0.5,1),"n/a")</f>
        <v>59.0034523543138</v>
      </c>
      <c r="BR362" s="65"/>
      <c r="BS362" s="65"/>
      <c r="BT362" s="65"/>
      <c r="BU362" s="65"/>
      <c r="BV362" s="65"/>
      <c r="BW362" s="65" t="n">
        <f aca="false">IFERROR(BW330/BW155*365*IF(LEFT("2023",2)="1H",0.5,1),"n/a")</f>
        <v>43.9333875660962</v>
      </c>
      <c r="BX362" s="65"/>
      <c r="BY362" s="65"/>
      <c r="BZ362" s="65"/>
      <c r="CA362" s="65"/>
      <c r="CB362" s="65"/>
      <c r="CC362" s="65" t="n">
        <f aca="false">IFERROR(CC330/CC155*365*IF(LEFT("2024",2)="1H",0.5,1),"n/a")</f>
        <v>46.9788575667656</v>
      </c>
      <c r="CD362" s="65"/>
      <c r="CE362" s="65"/>
      <c r="CF362" s="65"/>
      <c r="CG362" s="65"/>
      <c r="CH362" s="65"/>
      <c r="CI362" s="65" t="n">
        <f aca="false">IFERROR(CI330/CI155*365*IF(LEFT("2025",2)="1H",0.5,1),"n/a")</f>
        <v>50.7367308461407</v>
      </c>
      <c r="CJ362" s="65"/>
      <c r="CK362" s="65"/>
      <c r="CL362" s="65" t="n">
        <f aca="false">IFERROR(CL330/CL155*365*IF(LEFT("1H/26",2)="1H",0.5,1),"n/a")</f>
        <v>49.6187938366378</v>
      </c>
      <c r="CM362" s="66"/>
      <c r="CN362" s="66"/>
      <c r="CO362" s="67" t="n">
        <v>50</v>
      </c>
      <c r="CP362" s="67" t="n">
        <v>50</v>
      </c>
      <c r="CQ362" s="67" t="n">
        <v>50</v>
      </c>
      <c r="CR362" s="67" t="n">
        <v>50</v>
      </c>
      <c r="CS362" s="67" t="n">
        <v>50</v>
      </c>
      <c r="CT362" s="23"/>
      <c r="CV362" s="7"/>
      <c r="CW362" s="7"/>
      <c r="CX362" s="7"/>
      <c r="CY362" s="7"/>
    </row>
    <row r="363" customFormat="false" ht="15" hidden="false" customHeight="true" outlineLevel="0" collapsed="false">
      <c r="B363" s="26" t="s">
        <v>506</v>
      </c>
      <c r="C363" s="40" t="n">
        <f aca="false">IFERROR(C331/C152*IF(LEFT("2006",2)="1H",0.5,1),"n/a")</f>
        <v>0.0942645827518839</v>
      </c>
      <c r="D363" s="40" t="n">
        <f aca="false">IFERROR(D331/D152*IF(LEFT("2007",2)="1H",0.5,1),"n/a")</f>
        <v>0.0968378228441102</v>
      </c>
      <c r="E363" s="40" t="n">
        <f aca="false">IFERROR(E331/E152*IF(LEFT("2008",2)="1H",0.5,1),"n/a")</f>
        <v>0.11753774680604</v>
      </c>
      <c r="F363" s="40" t="n">
        <f aca="false">IFERROR(F331/F152*IF(LEFT("2009",2)="1H",0.5,1),"n/a")</f>
        <v>0.0994491858846317</v>
      </c>
      <c r="G363" s="40" t="n">
        <f aca="false">IFERROR(G331/G152*IF(LEFT("2010",2)="1H",0.5,1),"n/a")</f>
        <v>0.107833596886024</v>
      </c>
      <c r="H363" s="40" t="n">
        <f aca="false">IFERROR(H331/H152*IF(LEFT("2011",2)="1H",0.5,1),"n/a")</f>
        <v>0.1188526700654</v>
      </c>
      <c r="I363" s="40" t="n">
        <f aca="false">IFERROR(I331/I152*IF(LEFT("2012",2)="1H",0.5,1),"n/a")</f>
        <v>0.120669393127439</v>
      </c>
      <c r="J363" s="40"/>
      <c r="K363" s="40"/>
      <c r="L363" s="40"/>
      <c r="M363" s="40"/>
      <c r="N363" s="40"/>
      <c r="O363" s="40" t="n">
        <f aca="false">IFERROR(O331/O152*IF(LEFT("2013",2)="1H",0.5,1),"n/a")</f>
        <v>0.0904387240229197</v>
      </c>
      <c r="P363" s="40"/>
      <c r="Q363" s="40"/>
      <c r="R363" s="40"/>
      <c r="S363" s="40"/>
      <c r="T363" s="40"/>
      <c r="U363" s="40" t="n">
        <f aca="false">IFERROR(U331/U152*IF(LEFT("2014",2)="1H",0.5,1),"n/a")</f>
        <v>0.10125313283208</v>
      </c>
      <c r="V363" s="40"/>
      <c r="W363" s="40"/>
      <c r="X363" s="40"/>
      <c r="Y363" s="40"/>
      <c r="Z363" s="40"/>
      <c r="AA363" s="40" t="n">
        <f aca="false">IFERROR(AA331/AA152*IF(LEFT("2015",2)="1H",0.5,1),"n/a")</f>
        <v>0.0872024716069797</v>
      </c>
      <c r="AB363" s="40"/>
      <c r="AC363" s="40"/>
      <c r="AD363" s="40"/>
      <c r="AE363" s="40"/>
      <c r="AF363" s="40"/>
      <c r="AG363" s="40" t="n">
        <f aca="false">IFERROR(AG331/AG152*IF(LEFT("2016",2)="1H",0.5,1),"n/a")</f>
        <v>0.121400995395135</v>
      </c>
      <c r="AH363" s="40"/>
      <c r="AI363" s="40"/>
      <c r="AJ363" s="40"/>
      <c r="AK363" s="40"/>
      <c r="AL363" s="40"/>
      <c r="AM363" s="40" t="n">
        <f aca="false">IFERROR(AM331/AM152*IF(LEFT("2017",2)="1H",0.5,1),"n/a")</f>
        <v>0.132613872033182</v>
      </c>
      <c r="AN363" s="40"/>
      <c r="AO363" s="40"/>
      <c r="AP363" s="40"/>
      <c r="AQ363" s="40"/>
      <c r="AR363" s="40"/>
      <c r="AS363" s="40" t="n">
        <f aca="false">IFERROR(AS331/AS152*IF(LEFT("2018",2)="1H",0.5,1),"n/a")</f>
        <v>0.0841202012543938</v>
      </c>
      <c r="AT363" s="40"/>
      <c r="AU363" s="40"/>
      <c r="AV363" s="40"/>
      <c r="AW363" s="40"/>
      <c r="AX363" s="40"/>
      <c r="AY363" s="40" t="n">
        <f aca="false">IFERROR(AY331/AY152*IF(LEFT("2019",2)="1H",0.5,1),"n/a")</f>
        <v>0.0836705019597926</v>
      </c>
      <c r="AZ363" s="40"/>
      <c r="BA363" s="40"/>
      <c r="BB363" s="40"/>
      <c r="BC363" s="40"/>
      <c r="BD363" s="40"/>
      <c r="BE363" s="40" t="n">
        <f aca="false">IFERROR(BE331/BE152*IF(LEFT("2020",2)="1H",0.5,1),"n/a")</f>
        <v>0.0888147236083209</v>
      </c>
      <c r="BF363" s="40"/>
      <c r="BG363" s="40"/>
      <c r="BH363" s="40"/>
      <c r="BI363" s="40"/>
      <c r="BJ363" s="40"/>
      <c r="BK363" s="40" t="n">
        <f aca="false">IFERROR(BK331/BK152*IF(LEFT("2021",2)="1H",0.5,1),"n/a")</f>
        <v>0.182671261079687</v>
      </c>
      <c r="BL363" s="40"/>
      <c r="BM363" s="40"/>
      <c r="BN363" s="40"/>
      <c r="BO363" s="40"/>
      <c r="BP363" s="40"/>
      <c r="BQ363" s="40" t="n">
        <f aca="false">IFERROR(BQ331/BQ152*IF(LEFT("2022",2)="1H",0.5,1),"n/a")</f>
        <v>0.0970944930934672</v>
      </c>
      <c r="BR363" s="40"/>
      <c r="BS363" s="40"/>
      <c r="BT363" s="40"/>
      <c r="BU363" s="40"/>
      <c r="BV363" s="40"/>
      <c r="BW363" s="40" t="n">
        <f aca="false">IFERROR(BW331/BW152*IF(LEFT("2023",2)="1H",0.5,1),"n/a")</f>
        <v>0.0958566231922633</v>
      </c>
      <c r="BX363" s="40"/>
      <c r="BY363" s="40"/>
      <c r="BZ363" s="40"/>
      <c r="CA363" s="40"/>
      <c r="CB363" s="40"/>
      <c r="CC363" s="40" t="n">
        <f aca="false">IFERROR(CC331/CC152*IF(LEFT("2024",2)="1H",0.5,1),"n/a")</f>
        <v>0.0938800705467372</v>
      </c>
      <c r="CD363" s="40"/>
      <c r="CE363" s="40"/>
      <c r="CF363" s="40"/>
      <c r="CG363" s="40"/>
      <c r="CH363" s="40"/>
      <c r="CI363" s="40" t="n">
        <f aca="false">IFERROR(CI331/CI152*IF(LEFT("2025",2)="1H",0.5,1),"n/a")</f>
        <v>0.0905582627465088</v>
      </c>
      <c r="CJ363" s="40"/>
      <c r="CK363" s="40"/>
      <c r="CL363" s="40" t="n">
        <f aca="false">IFERROR(CL331/CL152*IF(LEFT("1H/26",2)="1H",0.5,1),"n/a")</f>
        <v>0.084729721343015</v>
      </c>
      <c r="CM363" s="28"/>
      <c r="CN363" s="28"/>
      <c r="CO363" s="46" t="n">
        <v>0.09</v>
      </c>
      <c r="CP363" s="46" t="n">
        <v>0.09</v>
      </c>
      <c r="CQ363" s="46" t="n">
        <v>0.09</v>
      </c>
      <c r="CR363" s="46" t="n">
        <v>0.09</v>
      </c>
      <c r="CS363" s="46" t="n">
        <v>0.09</v>
      </c>
      <c r="CT363" s="23"/>
      <c r="CV363" s="7"/>
      <c r="CW363" s="7"/>
      <c r="CX363" s="7"/>
      <c r="CY363" s="7"/>
    </row>
    <row r="364" customFormat="false" ht="15" hidden="false" customHeight="true" outlineLevel="0" collapsed="false">
      <c r="B364" s="26" t="s">
        <v>507</v>
      </c>
      <c r="C364" s="40" t="n">
        <f aca="false">IFERROR(N(C332)/C152*IF(LEFT("2006",2)="1H",0.5,1),"n/a")</f>
        <v>0</v>
      </c>
      <c r="D364" s="40" t="n">
        <f aca="false">IFERROR(N(D332)/D152*IF(LEFT("2007",2)="1H",0.5,1),"n/a")</f>
        <v>0</v>
      </c>
      <c r="E364" s="40" t="n">
        <f aca="false">IFERROR(N(E332)/E152*IF(LEFT("2008",2)="1H",0.5,1),"n/a")</f>
        <v>0</v>
      </c>
      <c r="F364" s="40" t="n">
        <f aca="false">IFERROR(N(F332)/F152*IF(LEFT("2009",2)="1H",0.5,1),"n/a")</f>
        <v>0</v>
      </c>
      <c r="G364" s="40" t="n">
        <f aca="false">IFERROR(N(G332)/G152*IF(LEFT("2010",2)="1H",0.5,1),"n/a")</f>
        <v>0</v>
      </c>
      <c r="H364" s="40" t="n">
        <f aca="false">IFERROR(N(H332)/H152*IF(LEFT("2011",2)="1H",0.5,1),"n/a")</f>
        <v>0</v>
      </c>
      <c r="I364" s="40" t="n">
        <f aca="false">IFERROR(N(I332)/I152*IF(LEFT("2012",2)="1H",0.5,1),"n/a")</f>
        <v>0</v>
      </c>
      <c r="J364" s="40"/>
      <c r="K364" s="40"/>
      <c r="L364" s="40"/>
      <c r="M364" s="40"/>
      <c r="N364" s="40"/>
      <c r="O364" s="40" t="n">
        <f aca="false">IFERROR(N(O332)/O152*IF(LEFT("2013",2)="1H",0.5,1),"n/a")</f>
        <v>0.0237749080646541</v>
      </c>
      <c r="P364" s="40"/>
      <c r="Q364" s="40"/>
      <c r="R364" s="40"/>
      <c r="S364" s="40"/>
      <c r="T364" s="40"/>
      <c r="U364" s="40" t="n">
        <f aca="false">IFERROR(N(U332)/U152*IF(LEFT("2014",2)="1H",0.5,1),"n/a")</f>
        <v>0.0200083542188805</v>
      </c>
      <c r="V364" s="40"/>
      <c r="W364" s="40"/>
      <c r="X364" s="40"/>
      <c r="Y364" s="40"/>
      <c r="Z364" s="40"/>
      <c r="AA364" s="40" t="n">
        <f aca="false">IFERROR(N(AA332)/AA152*IF(LEFT("2015",2)="1H",0.5,1),"n/a")</f>
        <v>0.0163613419781559</v>
      </c>
      <c r="AB364" s="40"/>
      <c r="AC364" s="40"/>
      <c r="AD364" s="40"/>
      <c r="AE364" s="40"/>
      <c r="AF364" s="40"/>
      <c r="AG364" s="40" t="n">
        <f aca="false">IFERROR(N(AG332)/AG152*IF(LEFT("2016",2)="1H",0.5,1),"n/a")</f>
        <v>0</v>
      </c>
      <c r="AH364" s="40"/>
      <c r="AI364" s="40"/>
      <c r="AJ364" s="40"/>
      <c r="AK364" s="40"/>
      <c r="AL364" s="40"/>
      <c r="AM364" s="40" t="n">
        <f aca="false">IFERROR(N(AM332)/AM152*IF(LEFT("2017",2)="1H",0.5,1),"n/a")</f>
        <v>0</v>
      </c>
      <c r="AN364" s="40"/>
      <c r="AO364" s="40"/>
      <c r="AP364" s="40"/>
      <c r="AQ364" s="40"/>
      <c r="AR364" s="40"/>
      <c r="AS364" s="40" t="n">
        <f aca="false">IFERROR(N(AS332)/AS152*IF(LEFT("2018",2)="1H",0.5,1),"n/a")</f>
        <v>0.0384244262182094</v>
      </c>
      <c r="AT364" s="40"/>
      <c r="AU364" s="40"/>
      <c r="AV364" s="40"/>
      <c r="AW364" s="40"/>
      <c r="AX364" s="40"/>
      <c r="AY364" s="40" t="n">
        <f aca="false">IFERROR(N(AY332)/AY152*IF(LEFT("2019",2)="1H",0.5,1),"n/a")</f>
        <v>0.0400809204703502</v>
      </c>
      <c r="AZ364" s="40"/>
      <c r="BA364" s="40"/>
      <c r="BB364" s="40"/>
      <c r="BC364" s="40"/>
      <c r="BD364" s="40"/>
      <c r="BE364" s="40" t="n">
        <f aca="false">IFERROR(N(BE332)/BE152*IF(LEFT("2020",2)="1H",0.5,1),"n/a")</f>
        <v>0.0518760935778627</v>
      </c>
      <c r="BF364" s="40"/>
      <c r="BG364" s="40"/>
      <c r="BH364" s="40"/>
      <c r="BI364" s="40"/>
      <c r="BJ364" s="40"/>
      <c r="BK364" s="40" t="n">
        <f aca="false">IFERROR(N(BK332)/BK152*IF(LEFT("2021",2)="1H",0.5,1),"n/a")</f>
        <v>0.0403094727260906</v>
      </c>
      <c r="BL364" s="40"/>
      <c r="BM364" s="40"/>
      <c r="BN364" s="40"/>
      <c r="BO364" s="40"/>
      <c r="BP364" s="40"/>
      <c r="BQ364" s="40" t="n">
        <f aca="false">IFERROR(N(BQ332)/BQ152*IF(LEFT("2022",2)="1H",0.5,1),"n/a")</f>
        <v>0.0343677866119518</v>
      </c>
      <c r="BR364" s="40"/>
      <c r="BS364" s="40"/>
      <c r="BT364" s="40"/>
      <c r="BU364" s="40"/>
      <c r="BV364" s="40"/>
      <c r="BW364" s="40" t="n">
        <f aca="false">IFERROR(N(BW332)/BW152*IF(LEFT("2023",2)="1H",0.5,1),"n/a")</f>
        <v>0.0427823618135037</v>
      </c>
      <c r="BX364" s="40"/>
      <c r="BY364" s="40"/>
      <c r="BZ364" s="40"/>
      <c r="CA364" s="40"/>
      <c r="CB364" s="40"/>
      <c r="CC364" s="40" t="n">
        <f aca="false">IFERROR(N(CC332)/CC152*IF(LEFT("2024",2)="1H",0.5,1),"n/a")</f>
        <v>0.0551322751322751</v>
      </c>
      <c r="CD364" s="40"/>
      <c r="CE364" s="40"/>
      <c r="CF364" s="40"/>
      <c r="CG364" s="40"/>
      <c r="CH364" s="40"/>
      <c r="CI364" s="40" t="n">
        <f aca="false">IFERROR(N(CI332)/CI152*IF(LEFT("2025",2)="1H",0.5,1),"n/a")</f>
        <v>0.0604375838048206</v>
      </c>
      <c r="CJ364" s="40"/>
      <c r="CK364" s="40"/>
      <c r="CL364" s="40" t="n">
        <f aca="false">IFERROR(N(CL332)/CL152*IF(LEFT("1H/26",2)="1H",0.5,1),"n/a")</f>
        <v>0.0665456463724943</v>
      </c>
      <c r="CM364" s="28"/>
      <c r="CN364" s="28"/>
      <c r="CO364" s="46" t="n">
        <v>0.065</v>
      </c>
      <c r="CP364" s="46" t="n">
        <v>0.065</v>
      </c>
      <c r="CQ364" s="46" t="n">
        <v>0.065</v>
      </c>
      <c r="CR364" s="46" t="n">
        <v>0.065</v>
      </c>
      <c r="CS364" s="46" t="n">
        <v>0.065</v>
      </c>
      <c r="CT364" s="23"/>
      <c r="CV364" s="7"/>
      <c r="CW364" s="7"/>
      <c r="CX364" s="7"/>
      <c r="CY364" s="7"/>
    </row>
    <row r="365" customFormat="false" ht="15" hidden="false" customHeight="true" outlineLevel="0" collapsed="false">
      <c r="B365" s="13" t="s">
        <v>508</v>
      </c>
      <c r="C365" s="30" t="n">
        <f aca="false">IF(ISNUMBER(C316),C316+N(C317)+C318-C330-C331-N(C332),"n/a")</f>
        <v>152.7</v>
      </c>
      <c r="D365" s="30" t="n">
        <f aca="false">IF(ISNUMBER(D316),D316+N(D317)+D318-D330-D331-N(D332),"n/a")</f>
        <v>153.5</v>
      </c>
      <c r="E365" s="30" t="n">
        <f aca="false">IF(ISNUMBER(E316),E316+N(E317)+E318-E330-E331-N(E332),"n/a")</f>
        <v>177.8</v>
      </c>
      <c r="F365" s="30" t="n">
        <f aca="false">IF(ISNUMBER(F316),F316+N(F317)+F318-F330-F331-N(F332),"n/a")</f>
        <v>132.5</v>
      </c>
      <c r="G365" s="30" t="n">
        <f aca="false">IF(ISNUMBER(G316),G316+N(G317)+G318-G330-G331-N(G332),"n/a")</f>
        <v>149.2</v>
      </c>
      <c r="H365" s="30" t="n">
        <f aca="false">IF(ISNUMBER(H316),H316+N(H317)+H318-H330-H331-N(H332),"n/a")</f>
        <v>156.6</v>
      </c>
      <c r="I365" s="30" t="n">
        <f aca="false">IF(ISNUMBER(I316),I316+N(I317)+I318-I330-I331-N(I332),"n/a")</f>
        <v>226.2</v>
      </c>
      <c r="J365" s="30"/>
      <c r="K365" s="30"/>
      <c r="L365" s="30"/>
      <c r="M365" s="30"/>
      <c r="N365" s="30"/>
      <c r="O365" s="30" t="n">
        <f aca="false">IF(ISNUMBER(O316),O316+N(O317)+O318-O330-O331-N(O332),"n/a")</f>
        <v>257.7</v>
      </c>
      <c r="P365" s="30"/>
      <c r="Q365" s="30"/>
      <c r="R365" s="30"/>
      <c r="S365" s="30"/>
      <c r="T365" s="30"/>
      <c r="U365" s="30" t="n">
        <f aca="false">IF(ISNUMBER(U316),U316+N(U317)+U318-U330-U331-N(U332),"n/a")</f>
        <v>259.7</v>
      </c>
      <c r="V365" s="30"/>
      <c r="W365" s="30"/>
      <c r="X365" s="30"/>
      <c r="Y365" s="30"/>
      <c r="Z365" s="30"/>
      <c r="AA365" s="30" t="n">
        <f aca="false">IF(ISNUMBER(AA316),AA316+N(AA317)+AA318-AA330-AA331-N(AA332),"n/a")</f>
        <v>307.7</v>
      </c>
      <c r="AB365" s="30"/>
      <c r="AC365" s="30"/>
      <c r="AD365" s="30"/>
      <c r="AE365" s="30"/>
      <c r="AF365" s="30"/>
      <c r="AG365" s="30" t="n">
        <f aca="false">IF(ISNUMBER(AG316),AG316+N(AG317)+AG318-AG330-AG331-N(AG332),"n/a")</f>
        <v>298.1</v>
      </c>
      <c r="AH365" s="30"/>
      <c r="AI365" s="30"/>
      <c r="AJ365" s="30"/>
      <c r="AK365" s="30"/>
      <c r="AL365" s="30"/>
      <c r="AM365" s="30" t="n">
        <f aca="false">IF(ISNUMBER(AM316),AM316+N(AM317)+AM318-AM330-AM331-N(AM332),"n/a")</f>
        <v>341.3</v>
      </c>
      <c r="AN365" s="30"/>
      <c r="AO365" s="30"/>
      <c r="AP365" s="30"/>
      <c r="AQ365" s="30"/>
      <c r="AR365" s="30"/>
      <c r="AS365" s="30" t="n">
        <f aca="false">IF(ISNUMBER(AS316),AS316+N(AS317)+AS318-AS330-AS331-N(AS332),"n/a")</f>
        <v>342.7</v>
      </c>
      <c r="AT365" s="30"/>
      <c r="AU365" s="30"/>
      <c r="AV365" s="30"/>
      <c r="AW365" s="30"/>
      <c r="AX365" s="30"/>
      <c r="AY365" s="30" t="n">
        <f aca="false">IF(ISNUMBER(AY316),AY316+N(AY317)+AY318-AY330-AY331-N(AY332),"n/a")</f>
        <v>391.7</v>
      </c>
      <c r="AZ365" s="30"/>
      <c r="BA365" s="30"/>
      <c r="BB365" s="30"/>
      <c r="BC365" s="30"/>
      <c r="BD365" s="30"/>
      <c r="BE365" s="30" t="n">
        <f aca="false">IF(ISNUMBER(BE316),BE316+N(BE317)+BE318-BE330-BE331-N(BE332),"n/a")</f>
        <v>308.1</v>
      </c>
      <c r="BF365" s="30"/>
      <c r="BG365" s="30"/>
      <c r="BH365" s="30"/>
      <c r="BI365" s="30"/>
      <c r="BJ365" s="30"/>
      <c r="BK365" s="30" t="n">
        <f aca="false">IF(ISNUMBER(BK316),BK316+N(BK317)+BK318-BK330-BK331-N(BK332),"n/a")</f>
        <v>338.3</v>
      </c>
      <c r="BL365" s="30"/>
      <c r="BM365" s="30"/>
      <c r="BN365" s="30"/>
      <c r="BO365" s="30"/>
      <c r="BP365" s="30"/>
      <c r="BQ365" s="30" t="n">
        <f aca="false">IF(ISNUMBER(BQ316),BQ316+N(BQ317)+BQ318-BQ330-BQ331-N(BQ332),"n/a")</f>
        <v>825.8</v>
      </c>
      <c r="BR365" s="30"/>
      <c r="BS365" s="30"/>
      <c r="BT365" s="30"/>
      <c r="BU365" s="30"/>
      <c r="BV365" s="30"/>
      <c r="BW365" s="30" t="n">
        <f aca="false">IF(ISNUMBER(BW316),BW316+N(BW317)+BW318-BW330-BW331-N(BW332),"n/a")</f>
        <v>953.8</v>
      </c>
      <c r="BX365" s="30"/>
      <c r="BY365" s="30"/>
      <c r="BZ365" s="30"/>
      <c r="CA365" s="30"/>
      <c r="CB365" s="30"/>
      <c r="CC365" s="30" t="n">
        <f aca="false">IF(ISNUMBER(CC316),CC316+N(CC317)+CC318-CC330-CC331-N(CC332),"n/a")</f>
        <v>866.3</v>
      </c>
      <c r="CD365" s="30"/>
      <c r="CE365" s="30"/>
      <c r="CF365" s="30"/>
      <c r="CG365" s="30"/>
      <c r="CH365" s="30"/>
      <c r="CI365" s="30" t="n">
        <f aca="false">IF(ISNUMBER(CI316),CI316+N(CI317)+CI318-CI330-CI331-N(CI332),"n/a")</f>
        <v>1000.3</v>
      </c>
      <c r="CJ365" s="30"/>
      <c r="CK365" s="30"/>
      <c r="CL365" s="30" t="n">
        <f aca="false">IF(ISNUMBER(CL316),CL316+N(CL317)+CL318-CL330-CL331-N(CL332),"n/a")</f>
        <v>1062.6</v>
      </c>
      <c r="CM365" s="32"/>
      <c r="CN365" s="32"/>
      <c r="CO365" s="32" t="n">
        <f aca="false">CO316+N(CO317)+CO318-CO330-CO331-N(CO332)</f>
        <v>1097.65097910814</v>
      </c>
      <c r="CP365" s="32" t="n">
        <f aca="false">CP316+N(CP317)+CP318-CP330-CP331-N(CP332)</f>
        <v>1160.40517502221</v>
      </c>
      <c r="CQ365" s="32" t="n">
        <f aca="false">CQ316+N(CQ317)+CQ318-CQ330-CQ331-N(CQ332)</f>
        <v>1241.37212531661</v>
      </c>
      <c r="CR365" s="32" t="n">
        <f aca="false">CR316+N(CR317)+CR318-CR330-CR331-N(CR332)</f>
        <v>1325.45055589011</v>
      </c>
      <c r="CS365" s="32" t="n">
        <f aca="false">CS316+N(CS317)+CS318-CS330-CS331-N(CS332)</f>
        <v>1423.90492288635</v>
      </c>
      <c r="CT365" s="23"/>
      <c r="CV365" s="7"/>
      <c r="CW365" s="7"/>
      <c r="CX365" s="7"/>
      <c r="CY365" s="7"/>
    </row>
    <row r="366" customFormat="false" ht="15" hidden="false" customHeight="true" outlineLevel="0" collapsed="false">
      <c r="B366" s="26" t="s">
        <v>509</v>
      </c>
      <c r="C366" s="40" t="n">
        <f aca="false">IFERROR(C365/C152,"n/a")</f>
        <v>0.106544794864639</v>
      </c>
      <c r="D366" s="40" t="n">
        <f aca="false">IFERROR(D365/D152,"n/a")</f>
        <v>0.0946187511557665</v>
      </c>
      <c r="E366" s="40" t="n">
        <f aca="false">IFERROR(E365/E152,"n/a")</f>
        <v>0.103252032520325</v>
      </c>
      <c r="F366" s="40" t="n">
        <f aca="false">IFERROR(F365/F152,"n/a")</f>
        <v>0.0802009563585739</v>
      </c>
      <c r="G366" s="40" t="n">
        <f aca="false">IFERROR(G365/G152,"n/a")</f>
        <v>0.0907432185865467</v>
      </c>
      <c r="H366" s="40" t="n">
        <f aca="false">IFERROR(H365/H152,"n/a")</f>
        <v>0.0806426695504403</v>
      </c>
      <c r="I366" s="40" t="n">
        <f aca="false">IFERROR(I365/I152,"n/a")</f>
        <v>0.106331970102947</v>
      </c>
      <c r="J366" s="40"/>
      <c r="K366" s="40"/>
      <c r="L366" s="40"/>
      <c r="M366" s="40"/>
      <c r="N366" s="40"/>
      <c r="O366" s="40" t="n">
        <f aca="false">IFERROR(O365/O152,"n/a")</f>
        <v>0.110194133242111</v>
      </c>
      <c r="P366" s="40"/>
      <c r="Q366" s="40"/>
      <c r="R366" s="40"/>
      <c r="S366" s="40"/>
      <c r="T366" s="40"/>
      <c r="U366" s="40" t="n">
        <f aca="false">IFERROR(U365/U152,"n/a")</f>
        <v>0.108479532163743</v>
      </c>
      <c r="V366" s="40"/>
      <c r="W366" s="40"/>
      <c r="X366" s="40"/>
      <c r="Y366" s="40"/>
      <c r="Z366" s="40"/>
      <c r="AA366" s="40" t="n">
        <f aca="false">IFERROR(AA365/AA152,"n/a")</f>
        <v>0.133893216135068</v>
      </c>
      <c r="AB366" s="40"/>
      <c r="AC366" s="40"/>
      <c r="AD366" s="40"/>
      <c r="AE366" s="40"/>
      <c r="AF366" s="40"/>
      <c r="AG366" s="40" t="n">
        <f aca="false">IFERROR(AG365/AG152,"n/a")</f>
        <v>0.138657611981953</v>
      </c>
      <c r="AH366" s="40"/>
      <c r="AI366" s="40"/>
      <c r="AJ366" s="40"/>
      <c r="AK366" s="40"/>
      <c r="AL366" s="40"/>
      <c r="AM366" s="40" t="n">
        <f aca="false">IFERROR(AM365/AM152,"n/a")</f>
        <v>0.131077655733927</v>
      </c>
      <c r="AN366" s="40"/>
      <c r="AO366" s="40"/>
      <c r="AP366" s="40"/>
      <c r="AQ366" s="40"/>
      <c r="AR366" s="40"/>
      <c r="AS366" s="40" t="n">
        <f aca="false">IFERROR(AS365/AS152,"n/a")</f>
        <v>0.118099110896685</v>
      </c>
      <c r="AT366" s="40"/>
      <c r="AU366" s="40"/>
      <c r="AV366" s="40"/>
      <c r="AW366" s="40"/>
      <c r="AX366" s="40"/>
      <c r="AY366" s="40" t="n">
        <f aca="false">IFERROR(AY365/AY152,"n/a")</f>
        <v>0.123814641547604</v>
      </c>
      <c r="AZ366" s="40"/>
      <c r="BA366" s="40"/>
      <c r="BB366" s="40"/>
      <c r="BC366" s="40"/>
      <c r="BD366" s="40"/>
      <c r="BE366" s="40" t="n">
        <f aca="false">IFERROR(BE365/BE152,"n/a")</f>
        <v>0.0998315080033699</v>
      </c>
      <c r="BF366" s="40"/>
      <c r="BG366" s="40"/>
      <c r="BH366" s="40"/>
      <c r="BI366" s="40"/>
      <c r="BJ366" s="40"/>
      <c r="BK366" s="40" t="n">
        <f aca="false">IFERROR(BK365/BK152,"n/a")</f>
        <v>0.0733155624905187</v>
      </c>
      <c r="BL366" s="40"/>
      <c r="BM366" s="40"/>
      <c r="BN366" s="40"/>
      <c r="BO366" s="40"/>
      <c r="BP366" s="40"/>
      <c r="BQ366" s="40" t="n">
        <f aca="false">IFERROR(BQ365/BQ152,"n/a")</f>
        <v>0.151284212069029</v>
      </c>
      <c r="BR366" s="40"/>
      <c r="BS366" s="40"/>
      <c r="BT366" s="40"/>
      <c r="BU366" s="40"/>
      <c r="BV366" s="40"/>
      <c r="BW366" s="40" t="n">
        <f aca="false">IFERROR(BW365/BW152,"n/a")</f>
        <v>0.169248513885192</v>
      </c>
      <c r="BX366" s="40"/>
      <c r="BY366" s="40"/>
      <c r="BZ366" s="40"/>
      <c r="CA366" s="40"/>
      <c r="CB366" s="40"/>
      <c r="CC366" s="40" t="n">
        <f aca="false">IFERROR(CC365/CC152,"n/a")</f>
        <v>0.152786596119929</v>
      </c>
      <c r="CD366" s="40"/>
      <c r="CE366" s="40"/>
      <c r="CF366" s="40"/>
      <c r="CG366" s="40"/>
      <c r="CH366" s="40"/>
      <c r="CI366" s="40" t="n">
        <f aca="false">IFERROR(CI365/CI152,"n/a")</f>
        <v>0.16357065768388</v>
      </c>
      <c r="CJ366" s="40"/>
      <c r="CK366" s="40"/>
      <c r="CL366" s="40"/>
      <c r="CM366" s="28"/>
      <c r="CN366" s="28"/>
      <c r="CO366" s="28" t="n">
        <f aca="false">IFERROR(CO365/CO152,"n/a")</f>
        <v>0.164169397073369</v>
      </c>
      <c r="CP366" s="28" t="n">
        <f aca="false">IFERROR(CP365/CP152,"n/a")</f>
        <v>0.161616438356164</v>
      </c>
      <c r="CQ366" s="28" t="n">
        <f aca="false">IFERROR(CQ365/CQ152,"n/a")</f>
        <v>0.158208219178082</v>
      </c>
      <c r="CR366" s="28" t="n">
        <f aca="false">IFERROR(CR365/CR152,"n/a")</f>
        <v>0.154821917808219</v>
      </c>
      <c r="CS366" s="28" t="n">
        <f aca="false">IFERROR(CS365/CS152,"n/a")</f>
        <v>0.152986301369863</v>
      </c>
      <c r="CT366" s="23"/>
      <c r="CV366" s="41" t="n">
        <f aca="false">IFERROR(AVERAGE(CO366,CP366,CQ366,CR366,CS366),"n/m")</f>
        <v>0.158360454757139</v>
      </c>
      <c r="CW366" s="41" t="n">
        <f aca="false">IFERROR(AVERAGE(BK366,BQ366,BW366,CC366,CI366),"n/m")</f>
        <v>0.14204110844971</v>
      </c>
      <c r="CX366" s="41" t="n">
        <f aca="false">IFERROR(AVERAGE(AG366,AM366,AS366,AY366,BE366,BK366,BQ366,BW366,CC366,CI366),"n/m")</f>
        <v>0.132168607041209</v>
      </c>
      <c r="CY366" s="41" t="n">
        <f aca="false">IFERROR(AVERAGE(C366,D366,E366,F366,G366,H366,I366,O366,U366,AA366,AG366,AM366,AS366,AY366,BE366,BK366,BQ366,BW366,CC366,CI366),"n/m")</f>
        <v>0.116829367254612</v>
      </c>
    </row>
    <row r="367" customFormat="false" ht="15" hidden="false" customHeight="true" outlineLevel="0" collapsed="false">
      <c r="B367" s="13" t="s">
        <v>510</v>
      </c>
      <c r="C367" s="30"/>
      <c r="D367" s="30" t="n">
        <f aca="false">IFERROR(D365-C365,"n/a")</f>
        <v>0.800000000000068</v>
      </c>
      <c r="E367" s="30" t="n">
        <f aca="false">IFERROR(E365-D365,"n/a")</f>
        <v>24.3</v>
      </c>
      <c r="F367" s="30" t="n">
        <f aca="false">IFERROR(F365-E365,"n/a")</f>
        <v>-45.3</v>
      </c>
      <c r="G367" s="30" t="n">
        <f aca="false">IFERROR(G365-F365,"n/a")</f>
        <v>16.7</v>
      </c>
      <c r="H367" s="30" t="n">
        <f aca="false">IFERROR(H365-G365,"n/a")</f>
        <v>7.39999999999998</v>
      </c>
      <c r="I367" s="30" t="n">
        <f aca="false">IFERROR(I365-H365,"n/a")</f>
        <v>69.6</v>
      </c>
      <c r="J367" s="30"/>
      <c r="K367" s="30"/>
      <c r="L367" s="30"/>
      <c r="M367" s="30"/>
      <c r="N367" s="30"/>
      <c r="O367" s="30" t="n">
        <f aca="false">IFERROR(O365-I365,"n/a")</f>
        <v>31.4999999999999</v>
      </c>
      <c r="P367" s="30"/>
      <c r="Q367" s="30"/>
      <c r="R367" s="30"/>
      <c r="S367" s="30"/>
      <c r="T367" s="30"/>
      <c r="U367" s="30" t="n">
        <f aca="false">IFERROR(U365-O365,"n/a")</f>
        <v>2.00000000000011</v>
      </c>
      <c r="V367" s="30"/>
      <c r="W367" s="30"/>
      <c r="X367" s="30"/>
      <c r="Y367" s="30"/>
      <c r="Z367" s="30"/>
      <c r="AA367" s="30" t="n">
        <f aca="false">IFERROR(AA365-U365,"n/a")</f>
        <v>48</v>
      </c>
      <c r="AB367" s="30"/>
      <c r="AC367" s="30"/>
      <c r="AD367" s="30"/>
      <c r="AE367" s="30"/>
      <c r="AF367" s="30"/>
      <c r="AG367" s="30" t="n">
        <f aca="false">IFERROR(AG365-AA365,"n/a")</f>
        <v>-9.60000000000014</v>
      </c>
      <c r="AH367" s="30"/>
      <c r="AI367" s="30"/>
      <c r="AJ367" s="30"/>
      <c r="AK367" s="30"/>
      <c r="AL367" s="30"/>
      <c r="AM367" s="30" t="n">
        <f aca="false">IFERROR(AM365-AG365,"n/a")</f>
        <v>43.2</v>
      </c>
      <c r="AN367" s="30"/>
      <c r="AO367" s="30"/>
      <c r="AP367" s="30"/>
      <c r="AQ367" s="30"/>
      <c r="AR367" s="30"/>
      <c r="AS367" s="30" t="n">
        <f aca="false">IFERROR(AS365-AM365,"n/a")</f>
        <v>1.40000000000003</v>
      </c>
      <c r="AT367" s="30"/>
      <c r="AU367" s="30"/>
      <c r="AV367" s="30"/>
      <c r="AW367" s="30"/>
      <c r="AX367" s="30"/>
      <c r="AY367" s="30" t="n">
        <f aca="false">IFERROR(AY365-AS365,"n/a")</f>
        <v>49.0000000000001</v>
      </c>
      <c r="AZ367" s="30"/>
      <c r="BA367" s="30"/>
      <c r="BB367" s="30"/>
      <c r="BC367" s="30"/>
      <c r="BD367" s="30"/>
      <c r="BE367" s="30" t="n">
        <f aca="false">IFERROR(BE365-AY365,"n/a")</f>
        <v>-83.6</v>
      </c>
      <c r="BF367" s="30"/>
      <c r="BG367" s="30"/>
      <c r="BH367" s="30"/>
      <c r="BI367" s="30"/>
      <c r="BJ367" s="30"/>
      <c r="BK367" s="30" t="n">
        <f aca="false">IFERROR(BK365-BE365,"n/a")</f>
        <v>30.2000000000003</v>
      </c>
      <c r="BL367" s="30"/>
      <c r="BM367" s="30"/>
      <c r="BN367" s="30"/>
      <c r="BO367" s="30"/>
      <c r="BP367" s="30"/>
      <c r="BQ367" s="30" t="n">
        <f aca="false">IFERROR(BQ365-BK365,"n/a")</f>
        <v>487.5</v>
      </c>
      <c r="BR367" s="30"/>
      <c r="BS367" s="30"/>
      <c r="BT367" s="30"/>
      <c r="BU367" s="30"/>
      <c r="BV367" s="30"/>
      <c r="BW367" s="30" t="n">
        <f aca="false">IFERROR(BW365-BQ365,"n/a")</f>
        <v>128</v>
      </c>
      <c r="BX367" s="30"/>
      <c r="BY367" s="30"/>
      <c r="BZ367" s="30"/>
      <c r="CA367" s="30"/>
      <c r="CB367" s="30"/>
      <c r="CC367" s="30" t="n">
        <f aca="false">IFERROR(CC365-BW365,"n/a")</f>
        <v>-87.5000000000002</v>
      </c>
      <c r="CD367" s="30"/>
      <c r="CE367" s="30"/>
      <c r="CF367" s="30"/>
      <c r="CG367" s="30"/>
      <c r="CH367" s="30"/>
      <c r="CI367" s="30" t="n">
        <f aca="false">IFERROR(CI365-CC365,"n/a")</f>
        <v>134</v>
      </c>
      <c r="CJ367" s="30"/>
      <c r="CK367" s="30"/>
      <c r="CL367" s="30"/>
      <c r="CM367" s="32"/>
      <c r="CN367" s="32"/>
      <c r="CO367" s="32" t="n">
        <f aca="false">IFERROR(CO365-CI365,"n/a")</f>
        <v>97.3509791081391</v>
      </c>
      <c r="CP367" s="32" t="n">
        <f aca="false">IFERROR(CP365-CO365,"n/a")</f>
        <v>62.7541959140692</v>
      </c>
      <c r="CQ367" s="32" t="n">
        <f aca="false">IFERROR(CQ365-CP365,"n/a")</f>
        <v>80.9669502944021</v>
      </c>
      <c r="CR367" s="32" t="n">
        <f aca="false">IFERROR(CR365-CQ365,"n/a")</f>
        <v>84.0784305735031</v>
      </c>
      <c r="CS367" s="32" t="n">
        <f aca="false">IFERROR(CS365-CR365,"n/a")</f>
        <v>98.4543669962368</v>
      </c>
      <c r="CT367" s="23"/>
      <c r="CV367" s="7"/>
      <c r="CW367" s="7"/>
      <c r="CX367" s="7"/>
      <c r="CY367" s="7"/>
    </row>
    <row r="368" customFormat="false" ht="15" hidden="false" customHeight="true" outlineLevel="0" collapsed="false">
      <c r="B368" s="13"/>
      <c r="CM368" s="7"/>
      <c r="CN368" s="7"/>
      <c r="CO368" s="7"/>
      <c r="CP368" s="7"/>
      <c r="CQ368" s="7"/>
      <c r="CR368" s="7"/>
      <c r="CS368" s="7"/>
      <c r="CT368" s="7"/>
    </row>
    <row r="369" customFormat="false" ht="15" hidden="false" customHeight="true" outlineLevel="0" collapsed="false">
      <c r="B369" s="12" t="s">
        <v>511</v>
      </c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/>
      <c r="CH369" s="12"/>
      <c r="CI369" s="12"/>
      <c r="CJ369" s="12"/>
      <c r="CK369" s="12"/>
      <c r="CL369" s="12"/>
      <c r="CM369" s="12"/>
      <c r="CN369" s="12"/>
      <c r="CO369" s="12"/>
      <c r="CP369" s="12"/>
      <c r="CQ369" s="12"/>
      <c r="CR369" s="12"/>
      <c r="CS369" s="12"/>
      <c r="CT369" s="12" t="s">
        <v>512</v>
      </c>
    </row>
    <row r="370" customFormat="false" ht="15" hidden="false" customHeight="true" outlineLevel="0" collapsed="false">
      <c r="B370" s="17" t="s">
        <v>513</v>
      </c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7"/>
      <c r="CD370" s="17"/>
      <c r="CE370" s="17"/>
      <c r="CF370" s="17"/>
      <c r="CG370" s="17"/>
      <c r="CH370" s="17"/>
      <c r="CI370" s="17"/>
      <c r="CJ370" s="17"/>
      <c r="CK370" s="17"/>
      <c r="CL370" s="17"/>
      <c r="CM370" s="17"/>
      <c r="CN370" s="17"/>
      <c r="CO370" s="17"/>
      <c r="CP370" s="17"/>
      <c r="CQ370" s="17"/>
      <c r="CR370" s="17"/>
      <c r="CS370" s="17"/>
      <c r="CT370" s="17"/>
    </row>
    <row r="371" customFormat="false" ht="15" hidden="false" customHeight="true" outlineLevel="0" collapsed="false">
      <c r="B371" s="47" t="s">
        <v>514</v>
      </c>
      <c r="C371" s="30" t="n">
        <f aca="false">N(C125)</f>
        <v>7.7</v>
      </c>
      <c r="D371" s="30" t="n">
        <f aca="false">N(D125)</f>
        <v>6.4</v>
      </c>
      <c r="E371" s="30" t="n">
        <f aca="false">N(E125)</f>
        <v>15.8</v>
      </c>
      <c r="F371" s="30" t="n">
        <f aca="false">N(F125)</f>
        <v>12.4</v>
      </c>
      <c r="G371" s="30" t="n">
        <f aca="false">N(G125)</f>
        <v>14.1</v>
      </c>
      <c r="H371" s="30" t="n">
        <f aca="false">N(H125)</f>
        <v>24.6</v>
      </c>
      <c r="I371" s="30" t="n">
        <f aca="false">N(I125)</f>
        <v>29.4</v>
      </c>
      <c r="J371" s="30"/>
      <c r="K371" s="30"/>
      <c r="L371" s="30"/>
      <c r="M371" s="30"/>
      <c r="N371" s="30"/>
      <c r="O371" s="30" t="n">
        <f aca="false">N(O125)</f>
        <v>31.5</v>
      </c>
      <c r="P371" s="30"/>
      <c r="Q371" s="30"/>
      <c r="R371" s="30"/>
      <c r="S371" s="30"/>
      <c r="T371" s="30"/>
      <c r="U371" s="30" t="n">
        <f aca="false">N(U125)</f>
        <v>32</v>
      </c>
      <c r="V371" s="30"/>
      <c r="W371" s="30"/>
      <c r="X371" s="30"/>
      <c r="Y371" s="30"/>
      <c r="Z371" s="30"/>
      <c r="AA371" s="30" t="n">
        <f aca="false">N(AA125)</f>
        <v>30.6</v>
      </c>
      <c r="AB371" s="30"/>
      <c r="AC371" s="30"/>
      <c r="AD371" s="30"/>
      <c r="AE371" s="30"/>
      <c r="AF371" s="30"/>
      <c r="AG371" s="30" t="n">
        <f aca="false">N(AG125)</f>
        <v>28.3</v>
      </c>
      <c r="AH371" s="30"/>
      <c r="AI371" s="30"/>
      <c r="AJ371" s="30"/>
      <c r="AK371" s="30"/>
      <c r="AL371" s="30"/>
      <c r="AM371" s="30" t="n">
        <f aca="false">N(AM125)</f>
        <v>41.4</v>
      </c>
      <c r="AN371" s="30"/>
      <c r="AO371" s="30"/>
      <c r="AP371" s="30"/>
      <c r="AQ371" s="30"/>
      <c r="AR371" s="30"/>
      <c r="AS371" s="30" t="n">
        <f aca="false">N(AS125)</f>
        <v>39.5</v>
      </c>
      <c r="AT371" s="30"/>
      <c r="AU371" s="30"/>
      <c r="AV371" s="30"/>
      <c r="AW371" s="30"/>
      <c r="AX371" s="30"/>
      <c r="AY371" s="30" t="n">
        <f aca="false">N(AY125)</f>
        <v>36.5</v>
      </c>
      <c r="AZ371" s="30"/>
      <c r="BA371" s="30"/>
      <c r="BB371" s="30"/>
      <c r="BC371" s="30"/>
      <c r="BD371" s="30"/>
      <c r="BE371" s="30" t="n">
        <f aca="false">N(BE125)</f>
        <v>38.8</v>
      </c>
      <c r="BF371" s="30"/>
      <c r="BG371" s="30"/>
      <c r="BH371" s="30"/>
      <c r="BI371" s="30"/>
      <c r="BJ371" s="30"/>
      <c r="BK371" s="30" t="n">
        <f aca="false">N(BK125)</f>
        <v>149.3</v>
      </c>
      <c r="BL371" s="30"/>
      <c r="BM371" s="30"/>
      <c r="BN371" s="30"/>
      <c r="BO371" s="30"/>
      <c r="BP371" s="30"/>
      <c r="BQ371" s="30" t="n">
        <f aca="false">N(BQ125)</f>
        <v>201.7</v>
      </c>
      <c r="BR371" s="30"/>
      <c r="BS371" s="30"/>
      <c r="BT371" s="30"/>
      <c r="BU371" s="30"/>
      <c r="BV371" s="30"/>
      <c r="BW371" s="30" t="n">
        <f aca="false">N(BW125)</f>
        <v>196.7</v>
      </c>
      <c r="BX371" s="30"/>
      <c r="BY371" s="30"/>
      <c r="BZ371" s="30"/>
      <c r="CA371" s="30"/>
      <c r="CB371" s="30"/>
      <c r="CC371" s="30" t="n">
        <f aca="false">N(CC125)</f>
        <v>198</v>
      </c>
      <c r="CD371" s="30"/>
      <c r="CE371" s="30"/>
      <c r="CF371" s="30"/>
      <c r="CG371" s="30"/>
      <c r="CH371" s="30"/>
      <c r="CI371" s="30" t="n">
        <f aca="false">N(CI125)</f>
        <v>216.6</v>
      </c>
      <c r="CJ371" s="30"/>
      <c r="CK371" s="30"/>
      <c r="CL371" s="30" t="n">
        <f aca="false">N(CL125)</f>
        <v>113.6</v>
      </c>
      <c r="CM371" s="32"/>
      <c r="CN371" s="32"/>
      <c r="CO371" s="33" t="n">
        <v>226</v>
      </c>
      <c r="CP371" s="33" t="n">
        <v>211.8</v>
      </c>
      <c r="CQ371" s="33" t="n">
        <v>208.9</v>
      </c>
      <c r="CR371" s="33" t="n">
        <v>165</v>
      </c>
      <c r="CS371" s="33" t="n">
        <v>138.8</v>
      </c>
      <c r="CT371" s="23" t="s">
        <v>515</v>
      </c>
      <c r="CV371" s="7"/>
      <c r="CW371" s="7"/>
      <c r="CX371" s="7"/>
      <c r="CY371" s="7"/>
    </row>
    <row r="372" customFormat="false" ht="15" hidden="false" customHeight="true" outlineLevel="0" collapsed="false">
      <c r="B372" s="47" t="s">
        <v>516</v>
      </c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  <c r="BC372" s="40"/>
      <c r="BD372" s="40"/>
      <c r="BE372" s="40"/>
      <c r="BF372" s="40"/>
      <c r="BG372" s="40"/>
      <c r="BH372" s="40"/>
      <c r="BI372" s="40"/>
      <c r="BJ372" s="40"/>
      <c r="BK372" s="40"/>
      <c r="BL372" s="40"/>
      <c r="BM372" s="40"/>
      <c r="BN372" s="40"/>
      <c r="BO372" s="40"/>
      <c r="BP372" s="40"/>
      <c r="BQ372" s="40"/>
      <c r="BR372" s="40"/>
      <c r="BS372" s="40"/>
      <c r="BT372" s="40"/>
      <c r="BU372" s="40"/>
      <c r="BV372" s="40"/>
      <c r="BW372" s="40"/>
      <c r="BX372" s="40"/>
      <c r="BY372" s="40"/>
      <c r="BZ372" s="40"/>
      <c r="CA372" s="40"/>
      <c r="CB372" s="40"/>
      <c r="CC372" s="40"/>
      <c r="CD372" s="40"/>
      <c r="CE372" s="40"/>
      <c r="CF372" s="40"/>
      <c r="CG372" s="40"/>
      <c r="CH372" s="40"/>
      <c r="CI372" s="40"/>
      <c r="CJ372" s="40"/>
      <c r="CK372" s="40"/>
      <c r="CL372" s="40"/>
      <c r="CM372" s="28"/>
      <c r="CN372" s="28"/>
      <c r="CO372" s="46" t="n">
        <v>0.3</v>
      </c>
      <c r="CP372" s="28"/>
      <c r="CQ372" s="28"/>
      <c r="CR372" s="28"/>
      <c r="CS372" s="28"/>
      <c r="CT372" s="23" t="s">
        <v>517</v>
      </c>
      <c r="CV372" s="7"/>
      <c r="CW372" s="7"/>
      <c r="CX372" s="7"/>
      <c r="CY372" s="7"/>
    </row>
    <row r="373" customFormat="false" ht="15" hidden="false" customHeight="true" outlineLevel="0" collapsed="false">
      <c r="B373" s="47" t="s">
        <v>518</v>
      </c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52"/>
      <c r="AG373" s="52"/>
      <c r="AH373" s="52"/>
      <c r="AI373" s="52"/>
      <c r="AJ373" s="52"/>
      <c r="AK373" s="52"/>
      <c r="AL373" s="52"/>
      <c r="AM373" s="52"/>
      <c r="AN373" s="52"/>
      <c r="AO373" s="52"/>
      <c r="AP373" s="52"/>
      <c r="AQ373" s="52"/>
      <c r="AR373" s="52"/>
      <c r="AS373" s="52"/>
      <c r="AT373" s="52"/>
      <c r="AU373" s="52"/>
      <c r="AV373" s="52"/>
      <c r="AW373" s="52"/>
      <c r="AX373" s="52"/>
      <c r="AY373" s="52"/>
      <c r="AZ373" s="52"/>
      <c r="BA373" s="52"/>
      <c r="BB373" s="52"/>
      <c r="BC373" s="52"/>
      <c r="BD373" s="52"/>
      <c r="BE373" s="52"/>
      <c r="BF373" s="52"/>
      <c r="BG373" s="52"/>
      <c r="BH373" s="52"/>
      <c r="BI373" s="52"/>
      <c r="BJ373" s="52"/>
      <c r="BK373" s="52"/>
      <c r="BL373" s="52"/>
      <c r="BM373" s="52"/>
      <c r="BN373" s="52"/>
      <c r="BO373" s="52"/>
      <c r="BP373" s="52"/>
      <c r="BQ373" s="52"/>
      <c r="BR373" s="52"/>
      <c r="BS373" s="52"/>
      <c r="BT373" s="52"/>
      <c r="BU373" s="52"/>
      <c r="BV373" s="52"/>
      <c r="BW373" s="52"/>
      <c r="BX373" s="52"/>
      <c r="BY373" s="52"/>
      <c r="BZ373" s="52"/>
      <c r="CA373" s="52"/>
      <c r="CB373" s="52"/>
      <c r="CC373" s="52"/>
      <c r="CD373" s="52"/>
      <c r="CE373" s="52"/>
      <c r="CF373" s="52"/>
      <c r="CG373" s="52"/>
      <c r="CH373" s="52"/>
      <c r="CI373" s="52"/>
      <c r="CJ373" s="52"/>
      <c r="CK373" s="52"/>
      <c r="CL373" s="52"/>
      <c r="CM373" s="53"/>
      <c r="CN373" s="53"/>
      <c r="CO373" s="54" t="n">
        <v>0.6</v>
      </c>
      <c r="CP373" s="54" t="n">
        <v>0.6</v>
      </c>
      <c r="CQ373" s="54" t="n">
        <v>0.6</v>
      </c>
      <c r="CR373" s="54" t="n">
        <v>0.6</v>
      </c>
      <c r="CS373" s="54" t="n">
        <v>0.6</v>
      </c>
      <c r="CT373" s="23"/>
      <c r="CV373" s="7"/>
      <c r="CW373" s="7"/>
      <c r="CX373" s="7"/>
      <c r="CY373" s="7"/>
    </row>
    <row r="374" customFormat="false" ht="15" hidden="false" customHeight="true" outlineLevel="0" collapsed="false">
      <c r="B374" s="47" t="s">
        <v>519</v>
      </c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40"/>
      <c r="BC374" s="40"/>
      <c r="BD374" s="40"/>
      <c r="BE374" s="40"/>
      <c r="BF374" s="40"/>
      <c r="BG374" s="40"/>
      <c r="BH374" s="40"/>
      <c r="BI374" s="40"/>
      <c r="BJ374" s="40"/>
      <c r="BK374" s="40"/>
      <c r="BL374" s="40"/>
      <c r="BM374" s="40"/>
      <c r="BN374" s="40"/>
      <c r="BO374" s="40"/>
      <c r="BP374" s="40"/>
      <c r="BQ374" s="40"/>
      <c r="BR374" s="40"/>
      <c r="BS374" s="40"/>
      <c r="BT374" s="40"/>
      <c r="BU374" s="40"/>
      <c r="BV374" s="40"/>
      <c r="BW374" s="40"/>
      <c r="BX374" s="40"/>
      <c r="BY374" s="40"/>
      <c r="BZ374" s="40"/>
      <c r="CA374" s="40"/>
      <c r="CB374" s="40"/>
      <c r="CC374" s="40"/>
      <c r="CD374" s="40"/>
      <c r="CE374" s="40"/>
      <c r="CF374" s="40"/>
      <c r="CG374" s="40"/>
      <c r="CH374" s="40"/>
      <c r="CI374" s="40"/>
      <c r="CJ374" s="40"/>
      <c r="CK374" s="40"/>
      <c r="CL374" s="40"/>
      <c r="CM374" s="28"/>
      <c r="CN374" s="28"/>
      <c r="CO374" s="28"/>
      <c r="CP374" s="46" t="n">
        <v>0.07</v>
      </c>
      <c r="CQ374" s="46" t="n">
        <v>0.07</v>
      </c>
      <c r="CR374" s="46" t="n">
        <v>0.07</v>
      </c>
      <c r="CS374" s="46" t="n">
        <v>0.07</v>
      </c>
      <c r="CT374" s="23"/>
      <c r="CV374" s="7"/>
      <c r="CW374" s="7"/>
      <c r="CX374" s="7"/>
      <c r="CY374" s="7"/>
    </row>
    <row r="375" customFormat="false" ht="15" hidden="false" customHeight="true" outlineLevel="0" collapsed="false">
      <c r="B375" s="17" t="s">
        <v>520</v>
      </c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  <c r="BO375" s="17"/>
      <c r="BP375" s="17"/>
      <c r="BQ375" s="17"/>
      <c r="BR375" s="17"/>
      <c r="BS375" s="17"/>
      <c r="BT375" s="17"/>
      <c r="BU375" s="17"/>
      <c r="BV375" s="17"/>
      <c r="BW375" s="17"/>
      <c r="BX375" s="17"/>
      <c r="BY375" s="17"/>
      <c r="BZ375" s="17"/>
      <c r="CA375" s="17"/>
      <c r="CB375" s="17"/>
      <c r="CC375" s="17"/>
      <c r="CD375" s="17"/>
      <c r="CE375" s="17"/>
      <c r="CF375" s="17"/>
      <c r="CG375" s="17"/>
      <c r="CH375" s="17"/>
      <c r="CI375" s="17"/>
      <c r="CJ375" s="17"/>
      <c r="CK375" s="17"/>
      <c r="CL375" s="17"/>
      <c r="CM375" s="17"/>
      <c r="CN375" s="17"/>
      <c r="CO375" s="17"/>
      <c r="CP375" s="17"/>
      <c r="CQ375" s="17"/>
      <c r="CR375" s="17"/>
      <c r="CS375" s="17"/>
      <c r="CT375" s="17"/>
    </row>
    <row r="376" customFormat="false" ht="15" hidden="false" customHeight="true" outlineLevel="0" collapsed="false">
      <c r="B376" s="47" t="s">
        <v>521</v>
      </c>
      <c r="C376" s="30" t="n">
        <f aca="false">IF(ISNUMBER(C336),N(C333)+C336,"")</f>
        <v>231.9</v>
      </c>
      <c r="D376" s="30" t="n">
        <f aca="false">IF(ISNUMBER(D336),N(D333)+D336,"")</f>
        <v>143.2</v>
      </c>
      <c r="E376" s="30" t="n">
        <f aca="false">IF(ISNUMBER(E336),N(E333)+E336,"")</f>
        <v>333.2</v>
      </c>
      <c r="F376" s="30" t="n">
        <f aca="false">IF(ISNUMBER(F336),N(F333)+F336,"")</f>
        <v>252.1</v>
      </c>
      <c r="G376" s="30" t="n">
        <f aca="false">IF(ISNUMBER(G336),N(G333)+G336,"")</f>
        <v>267.3</v>
      </c>
      <c r="H376" s="30" t="n">
        <f aca="false">IF(ISNUMBER(H336),N(H333)+H336,"")</f>
        <v>312.8</v>
      </c>
      <c r="I376" s="30" t="n">
        <f aca="false">IF(ISNUMBER(I336),N(I333)+I336,"")</f>
        <v>558.2</v>
      </c>
      <c r="J376" s="30"/>
      <c r="K376" s="30"/>
      <c r="L376" s="30"/>
      <c r="M376" s="30"/>
      <c r="N376" s="30"/>
      <c r="O376" s="30" t="n">
        <f aca="false">IF(ISNUMBER(O336),N(O333)+O336,"")</f>
        <v>552.5</v>
      </c>
      <c r="P376" s="30"/>
      <c r="Q376" s="30"/>
      <c r="R376" s="30"/>
      <c r="S376" s="30"/>
      <c r="T376" s="30"/>
      <c r="U376" s="30" t="n">
        <f aca="false">IF(ISNUMBER(U336),N(U333)+U336,"")</f>
        <v>705.1</v>
      </c>
      <c r="V376" s="30"/>
      <c r="W376" s="30"/>
      <c r="X376" s="30"/>
      <c r="Y376" s="30"/>
      <c r="Z376" s="30"/>
      <c r="AA376" s="30" t="n">
        <f aca="false">IF(ISNUMBER(AA336),N(AA333)+AA336,"")</f>
        <v>780.6</v>
      </c>
      <c r="AB376" s="30"/>
      <c r="AC376" s="30"/>
      <c r="AD376" s="30"/>
      <c r="AE376" s="30"/>
      <c r="AF376" s="30"/>
      <c r="AG376" s="30" t="n">
        <f aca="false">IF(ISNUMBER(AG336),N(AG333)+AG336,"")</f>
        <v>617.8</v>
      </c>
      <c r="AH376" s="30"/>
      <c r="AI376" s="30"/>
      <c r="AJ376" s="30"/>
      <c r="AK376" s="30"/>
      <c r="AL376" s="30"/>
      <c r="AM376" s="30" t="n">
        <f aca="false">IF(ISNUMBER(AM336),N(AM333)+AM336,"")</f>
        <v>1072.9</v>
      </c>
      <c r="AN376" s="30"/>
      <c r="AO376" s="30"/>
      <c r="AP376" s="30"/>
      <c r="AQ376" s="30"/>
      <c r="AR376" s="30"/>
      <c r="AS376" s="30" t="n">
        <f aca="false">IF(ISNUMBER(AS336),N(AS333)+AS336,"")</f>
        <v>747.5</v>
      </c>
      <c r="AT376" s="30"/>
      <c r="AU376" s="30"/>
      <c r="AV376" s="30"/>
      <c r="AW376" s="30"/>
      <c r="AX376" s="30"/>
      <c r="AY376" s="30" t="n">
        <f aca="false">IF(ISNUMBER(AY336),N(AY333)+AY336,"")</f>
        <v>850.6</v>
      </c>
      <c r="AZ376" s="30"/>
      <c r="BA376" s="30"/>
      <c r="BB376" s="30"/>
      <c r="BC376" s="30"/>
      <c r="BD376" s="30"/>
      <c r="BE376" s="30" t="n">
        <f aca="false">IF(ISNUMBER(BE336),N(BE333)+BE336,"")</f>
        <v>778.5</v>
      </c>
      <c r="BF376" s="30"/>
      <c r="BG376" s="30"/>
      <c r="BH376" s="30"/>
      <c r="BI376" s="30"/>
      <c r="BJ376" s="30"/>
      <c r="BK376" s="30" t="n">
        <f aca="false">IF(ISNUMBER(BK336),N(BK333)+BK336,"")</f>
        <v>4099.4</v>
      </c>
      <c r="BL376" s="30"/>
      <c r="BM376" s="30"/>
      <c r="BN376" s="30"/>
      <c r="BO376" s="30"/>
      <c r="BP376" s="30"/>
      <c r="BQ376" s="30" t="n">
        <f aca="false">IF(ISNUMBER(BQ336),N(BQ333)+BQ336,"")</f>
        <v>3920.6</v>
      </c>
      <c r="BR376" s="30"/>
      <c r="BS376" s="30"/>
      <c r="BT376" s="30"/>
      <c r="BU376" s="30"/>
      <c r="BV376" s="30"/>
      <c r="BW376" s="30" t="n">
        <f aca="false">IF(ISNUMBER(BW336),N(BW333)+BW336,"")</f>
        <v>3244.9</v>
      </c>
      <c r="BX376" s="30"/>
      <c r="BY376" s="30"/>
      <c r="BZ376" s="30"/>
      <c r="CA376" s="30"/>
      <c r="CB376" s="30"/>
      <c r="CC376" s="30" t="n">
        <f aca="false">IF(ISNUMBER(CC336),N(CC333)+CC336,"")</f>
        <v>2649</v>
      </c>
      <c r="CD376" s="30"/>
      <c r="CE376" s="30"/>
      <c r="CF376" s="30"/>
      <c r="CG376" s="30"/>
      <c r="CH376" s="30"/>
      <c r="CI376" s="30" t="n">
        <f aca="false">IF(ISNUMBER(CI336),N(CI333)+CI336,"")</f>
        <v>2475.4</v>
      </c>
      <c r="CJ376" s="30"/>
      <c r="CK376" s="30"/>
      <c r="CL376" s="30" t="n">
        <f aca="false">IF(ISNUMBER(CL336),N(CL333)+CL336,"")</f>
        <v>2027</v>
      </c>
      <c r="CM376" s="32"/>
      <c r="CN376" s="32"/>
      <c r="CO376" s="32" t="n">
        <f aca="false">CI376+CO377+CO380</f>
        <v>2025.3</v>
      </c>
      <c r="CP376" s="32" t="n">
        <f aca="false">CO376+CP377+CP380-CO380</f>
        <v>2025.3</v>
      </c>
      <c r="CQ376" s="32" t="n">
        <f aca="false">CP376+CQ377+CQ380-CP380</f>
        <v>1325.3</v>
      </c>
      <c r="CR376" s="32" t="n">
        <f aca="false">CQ376+CR377+CR380-CQ380</f>
        <v>1325.3</v>
      </c>
      <c r="CS376" s="32" t="n">
        <f aca="false">CR376+CS377+CS380-CR380</f>
        <v>898</v>
      </c>
      <c r="CT376" s="23" t="s">
        <v>522</v>
      </c>
      <c r="CV376" s="7"/>
      <c r="CW376" s="7"/>
      <c r="CX376" s="7"/>
      <c r="CY376" s="7"/>
    </row>
    <row r="377" customFormat="false" ht="15" hidden="false" customHeight="true" outlineLevel="0" collapsed="false">
      <c r="B377" s="47" t="s">
        <v>523</v>
      </c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  <c r="AW377" s="30"/>
      <c r="AX377" s="30"/>
      <c r="AY377" s="30"/>
      <c r="AZ377" s="30"/>
      <c r="BA377" s="30"/>
      <c r="BB377" s="30"/>
      <c r="BC377" s="30"/>
      <c r="BD377" s="30"/>
      <c r="BE377" s="30"/>
      <c r="BF377" s="30"/>
      <c r="BG377" s="30"/>
      <c r="BH377" s="30"/>
      <c r="BI377" s="30"/>
      <c r="BJ377" s="30"/>
      <c r="BK377" s="30"/>
      <c r="BL377" s="30"/>
      <c r="BM377" s="30"/>
      <c r="BN377" s="30"/>
      <c r="BO377" s="30"/>
      <c r="BP377" s="30"/>
      <c r="BQ377" s="30"/>
      <c r="BR377" s="30"/>
      <c r="BS377" s="30"/>
      <c r="BT377" s="30"/>
      <c r="BU377" s="30"/>
      <c r="BV377" s="30"/>
      <c r="BW377" s="30"/>
      <c r="BX377" s="30"/>
      <c r="BY377" s="30"/>
      <c r="BZ377" s="30"/>
      <c r="CA377" s="30"/>
      <c r="CB377" s="30"/>
      <c r="CC377" s="30"/>
      <c r="CD377" s="30"/>
      <c r="CE377" s="30"/>
      <c r="CF377" s="30"/>
      <c r="CG377" s="30"/>
      <c r="CH377" s="30"/>
      <c r="CI377" s="30"/>
      <c r="CJ377" s="30"/>
      <c r="CK377" s="30"/>
      <c r="CL377" s="30"/>
      <c r="CM377" s="32"/>
      <c r="CN377" s="32"/>
      <c r="CO377" s="33" t="n">
        <v>-450.1</v>
      </c>
      <c r="CP377" s="33" t="n">
        <v>0</v>
      </c>
      <c r="CQ377" s="33" t="n">
        <v>-700</v>
      </c>
      <c r="CR377" s="33" t="n">
        <v>0</v>
      </c>
      <c r="CS377" s="33" t="n">
        <v>-427.3</v>
      </c>
      <c r="CT377" s="23" t="s">
        <v>524</v>
      </c>
      <c r="CV377" s="7"/>
      <c r="CW377" s="7"/>
      <c r="CX377" s="7"/>
      <c r="CY377" s="7"/>
    </row>
    <row r="378" customFormat="false" ht="15" hidden="false" customHeight="true" outlineLevel="0" collapsed="false">
      <c r="B378" s="13" t="s">
        <v>525</v>
      </c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30"/>
      <c r="BD378" s="30"/>
      <c r="BE378" s="30"/>
      <c r="BF378" s="30"/>
      <c r="BG378" s="30"/>
      <c r="BH378" s="30"/>
      <c r="BI378" s="30"/>
      <c r="BJ378" s="30"/>
      <c r="BK378" s="30"/>
      <c r="BL378" s="30"/>
      <c r="BM378" s="30"/>
      <c r="BN378" s="30"/>
      <c r="BO378" s="30"/>
      <c r="BP378" s="30"/>
      <c r="BQ378" s="30"/>
      <c r="BR378" s="30"/>
      <c r="BS378" s="30"/>
      <c r="BT378" s="30"/>
      <c r="BU378" s="30"/>
      <c r="BV378" s="30"/>
      <c r="BW378" s="30"/>
      <c r="BX378" s="30"/>
      <c r="BY378" s="30"/>
      <c r="BZ378" s="30"/>
      <c r="CA378" s="30"/>
      <c r="CB378" s="30"/>
      <c r="CC378" s="30"/>
      <c r="CD378" s="30"/>
      <c r="CE378" s="30"/>
      <c r="CF378" s="30"/>
      <c r="CG378" s="30"/>
      <c r="CH378" s="30"/>
      <c r="CI378" s="30"/>
      <c r="CJ378" s="30"/>
      <c r="CK378" s="30"/>
      <c r="CL378" s="30"/>
      <c r="CM378" s="32"/>
      <c r="CN378" s="32"/>
      <c r="CO378" s="32" t="n">
        <f aca="false">CI315+CO271+CO276+CO280+CO281+CO282+CO284+CO377</f>
        <v>1002.00152944626</v>
      </c>
      <c r="CP378" s="32" t="n">
        <f aca="false">CO315+CP271+CP276+CP280+CP281+CP282+CP284+CP377</f>
        <v>1341.61372787435</v>
      </c>
      <c r="CQ378" s="32" t="n">
        <f aca="false">CP315+CQ271+CQ276+CQ280+CQ281+CQ282+CQ284+CQ377</f>
        <v>865.198051542951</v>
      </c>
      <c r="CR378" s="32" t="n">
        <f aca="false">CQ315+CR271+CR276+CR280+CR281+CR282+CR284+CR377</f>
        <v>1235.50213682196</v>
      </c>
      <c r="CS378" s="32" t="n">
        <f aca="false">CR315+CS271+CS276+CS280+CS281+CS282+CS284+CS377</f>
        <v>1332.09787583085</v>
      </c>
      <c r="CT378" s="23"/>
      <c r="CV378" s="7"/>
      <c r="CW378" s="7"/>
      <c r="CX378" s="7"/>
      <c r="CY378" s="7"/>
    </row>
    <row r="379" customFormat="false" ht="15" hidden="false" customHeight="true" outlineLevel="0" collapsed="false">
      <c r="B379" s="47" t="s">
        <v>526</v>
      </c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  <c r="BA379" s="30"/>
      <c r="BB379" s="30"/>
      <c r="BC379" s="30"/>
      <c r="BD379" s="30"/>
      <c r="BE379" s="30"/>
      <c r="BF379" s="30"/>
      <c r="BG379" s="30"/>
      <c r="BH379" s="30"/>
      <c r="BI379" s="30"/>
      <c r="BJ379" s="30"/>
      <c r="BK379" s="30"/>
      <c r="BL379" s="30"/>
      <c r="BM379" s="30"/>
      <c r="BN379" s="30"/>
      <c r="BO379" s="30"/>
      <c r="BP379" s="30"/>
      <c r="BQ379" s="30"/>
      <c r="BR379" s="30"/>
      <c r="BS379" s="30"/>
      <c r="BT379" s="30"/>
      <c r="BU379" s="30"/>
      <c r="BV379" s="30"/>
      <c r="BW379" s="30"/>
      <c r="BX379" s="30"/>
      <c r="BY379" s="30"/>
      <c r="BZ379" s="30"/>
      <c r="CA379" s="30"/>
      <c r="CB379" s="30"/>
      <c r="CC379" s="30"/>
      <c r="CD379" s="30"/>
      <c r="CE379" s="30"/>
      <c r="CF379" s="30"/>
      <c r="CG379" s="30"/>
      <c r="CH379" s="30"/>
      <c r="CI379" s="30"/>
      <c r="CJ379" s="30"/>
      <c r="CK379" s="30"/>
      <c r="CL379" s="30"/>
      <c r="CM379" s="32"/>
      <c r="CN379" s="32"/>
      <c r="CO379" s="33" t="n">
        <v>300</v>
      </c>
      <c r="CP379" s="33" t="n">
        <v>300</v>
      </c>
      <c r="CQ379" s="33" t="n">
        <v>300</v>
      </c>
      <c r="CR379" s="33" t="n">
        <v>300</v>
      </c>
      <c r="CS379" s="33" t="n">
        <v>300</v>
      </c>
      <c r="CT379" s="23"/>
      <c r="CV379" s="7"/>
      <c r="CW379" s="7"/>
      <c r="CX379" s="7"/>
      <c r="CY379" s="7"/>
    </row>
    <row r="380" customFormat="false" ht="15" hidden="false" customHeight="true" outlineLevel="0" collapsed="false">
      <c r="B380" s="13" t="s">
        <v>527</v>
      </c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0"/>
      <c r="BD380" s="30"/>
      <c r="BE380" s="30"/>
      <c r="BF380" s="30"/>
      <c r="BG380" s="30"/>
      <c r="BH380" s="30"/>
      <c r="BI380" s="30"/>
      <c r="BJ380" s="30"/>
      <c r="BK380" s="30"/>
      <c r="BL380" s="30"/>
      <c r="BM380" s="30"/>
      <c r="BN380" s="30"/>
      <c r="BO380" s="30"/>
      <c r="BP380" s="30"/>
      <c r="BQ380" s="30"/>
      <c r="BR380" s="30"/>
      <c r="BS380" s="30"/>
      <c r="BT380" s="30"/>
      <c r="BU380" s="30"/>
      <c r="BV380" s="30"/>
      <c r="BW380" s="30"/>
      <c r="BX380" s="30"/>
      <c r="BY380" s="30"/>
      <c r="BZ380" s="30"/>
      <c r="CA380" s="30"/>
      <c r="CB380" s="30"/>
      <c r="CC380" s="30"/>
      <c r="CD380" s="30"/>
      <c r="CE380" s="30"/>
      <c r="CF380" s="30"/>
      <c r="CG380" s="30"/>
      <c r="CH380" s="30"/>
      <c r="CI380" s="30"/>
      <c r="CJ380" s="30"/>
      <c r="CK380" s="30"/>
      <c r="CL380" s="30"/>
      <c r="CM380" s="32"/>
      <c r="CN380" s="32"/>
      <c r="CO380" s="32" t="n">
        <f aca="false">MAX(0,CO379-CO378)</f>
        <v>0</v>
      </c>
      <c r="CP380" s="32" t="n">
        <f aca="false">MAX(0,CO380+CP379-CP378)</f>
        <v>0</v>
      </c>
      <c r="CQ380" s="32" t="n">
        <f aca="false">MAX(0,CP380+CQ379-CQ378)</f>
        <v>0</v>
      </c>
      <c r="CR380" s="32" t="n">
        <f aca="false">MAX(0,CQ380+CR379-CR378)</f>
        <v>0</v>
      </c>
      <c r="CS380" s="32" t="n">
        <f aca="false">MAX(0,CR380+CS379-CS378)</f>
        <v>0</v>
      </c>
      <c r="CT380" s="23" t="s">
        <v>528</v>
      </c>
      <c r="CV380" s="7"/>
      <c r="CW380" s="7"/>
      <c r="CX380" s="7"/>
      <c r="CY380" s="7"/>
    </row>
    <row r="381" customFormat="false" ht="15" hidden="false" customHeight="true" outlineLevel="0" collapsed="false">
      <c r="B381" s="13" t="s">
        <v>529</v>
      </c>
      <c r="C381" s="30"/>
      <c r="D381" s="30" t="n">
        <f aca="false">IFERROR(D376-C376,"")</f>
        <v>-88.7</v>
      </c>
      <c r="E381" s="30" t="n">
        <f aca="false">IFERROR(E376-D376,"")</f>
        <v>190</v>
      </c>
      <c r="F381" s="30" t="n">
        <f aca="false">IFERROR(F376-E376,"")</f>
        <v>-81.1000000000001</v>
      </c>
      <c r="G381" s="30" t="n">
        <f aca="false">IFERROR(G376-F376,"")</f>
        <v>15.2</v>
      </c>
      <c r="H381" s="30" t="n">
        <f aca="false">IFERROR(H376-G376,"")</f>
        <v>45.4999999999999</v>
      </c>
      <c r="I381" s="30" t="n">
        <f aca="false">IFERROR(I376-H376,"")</f>
        <v>245.4</v>
      </c>
      <c r="J381" s="30"/>
      <c r="K381" s="30"/>
      <c r="L381" s="30"/>
      <c r="M381" s="30"/>
      <c r="N381" s="30"/>
      <c r="O381" s="30" t="n">
        <f aca="false">IFERROR(O376-I376,"")</f>
        <v>-5.70000000000005</v>
      </c>
      <c r="P381" s="30"/>
      <c r="Q381" s="30"/>
      <c r="R381" s="30"/>
      <c r="S381" s="30"/>
      <c r="T381" s="30"/>
      <c r="U381" s="30" t="n">
        <f aca="false">IFERROR(U376-O376,"")</f>
        <v>152.6</v>
      </c>
      <c r="V381" s="30"/>
      <c r="W381" s="30"/>
      <c r="X381" s="30"/>
      <c r="Y381" s="30"/>
      <c r="Z381" s="30"/>
      <c r="AA381" s="30" t="n">
        <f aca="false">IFERROR(AA376-U376,"")</f>
        <v>75.5</v>
      </c>
      <c r="AB381" s="30"/>
      <c r="AC381" s="30"/>
      <c r="AD381" s="30"/>
      <c r="AE381" s="30"/>
      <c r="AF381" s="30"/>
      <c r="AG381" s="30" t="n">
        <f aca="false">IFERROR(AG376-AA376,"")</f>
        <v>-162.8</v>
      </c>
      <c r="AH381" s="30"/>
      <c r="AI381" s="30"/>
      <c r="AJ381" s="30"/>
      <c r="AK381" s="30"/>
      <c r="AL381" s="30"/>
      <c r="AM381" s="30" t="n">
        <f aca="false">IFERROR(AM376-AG376,"")</f>
        <v>455.1</v>
      </c>
      <c r="AN381" s="30"/>
      <c r="AO381" s="30"/>
      <c r="AP381" s="30"/>
      <c r="AQ381" s="30"/>
      <c r="AR381" s="30"/>
      <c r="AS381" s="30" t="n">
        <f aca="false">IFERROR(AS376-AM376,"")</f>
        <v>-325.4</v>
      </c>
      <c r="AT381" s="30"/>
      <c r="AU381" s="30"/>
      <c r="AV381" s="30"/>
      <c r="AW381" s="30"/>
      <c r="AX381" s="30"/>
      <c r="AY381" s="30" t="n">
        <f aca="false">IFERROR(AY376-AS376,"")</f>
        <v>103.1</v>
      </c>
      <c r="AZ381" s="30"/>
      <c r="BA381" s="30"/>
      <c r="BB381" s="30"/>
      <c r="BC381" s="30"/>
      <c r="BD381" s="30"/>
      <c r="BE381" s="30" t="n">
        <f aca="false">IFERROR(BE376-AY376,"")</f>
        <v>-72.1</v>
      </c>
      <c r="BF381" s="30"/>
      <c r="BG381" s="30"/>
      <c r="BH381" s="30"/>
      <c r="BI381" s="30"/>
      <c r="BJ381" s="30"/>
      <c r="BK381" s="30" t="n">
        <f aca="false">IFERROR(BK376-BE376,"")</f>
        <v>3320.9</v>
      </c>
      <c r="BL381" s="30"/>
      <c r="BM381" s="30"/>
      <c r="BN381" s="30"/>
      <c r="BO381" s="30"/>
      <c r="BP381" s="30"/>
      <c r="BQ381" s="30" t="n">
        <f aca="false">IFERROR(BQ376-BK376,"")</f>
        <v>-178.8</v>
      </c>
      <c r="BR381" s="30"/>
      <c r="BS381" s="30"/>
      <c r="BT381" s="30"/>
      <c r="BU381" s="30"/>
      <c r="BV381" s="30"/>
      <c r="BW381" s="30" t="n">
        <f aca="false">IFERROR(BW376-BQ376,"")</f>
        <v>-675.7</v>
      </c>
      <c r="BX381" s="30"/>
      <c r="BY381" s="30"/>
      <c r="BZ381" s="30"/>
      <c r="CA381" s="30"/>
      <c r="CB381" s="30"/>
      <c r="CC381" s="30" t="n">
        <f aca="false">IFERROR(CC376-BW376,"")</f>
        <v>-595.9</v>
      </c>
      <c r="CD381" s="30"/>
      <c r="CE381" s="30"/>
      <c r="CF381" s="30"/>
      <c r="CG381" s="30"/>
      <c r="CH381" s="30"/>
      <c r="CI381" s="30" t="n">
        <f aca="false">IFERROR(CI376-CC376,"")</f>
        <v>-173.6</v>
      </c>
      <c r="CJ381" s="30"/>
      <c r="CK381" s="30"/>
      <c r="CL381" s="30"/>
      <c r="CM381" s="32"/>
      <c r="CN381" s="32"/>
      <c r="CO381" s="32" t="n">
        <f aca="false">CO376-CI376</f>
        <v>-450.1</v>
      </c>
      <c r="CP381" s="32" t="n">
        <f aca="false">CP376-CO376</f>
        <v>0</v>
      </c>
      <c r="CQ381" s="32" t="n">
        <f aca="false">CQ376-CP376</f>
        <v>-700</v>
      </c>
      <c r="CR381" s="32" t="n">
        <f aca="false">CR376-CQ376</f>
        <v>0</v>
      </c>
      <c r="CS381" s="32" t="n">
        <f aca="false">CS376-CR376</f>
        <v>-427.3</v>
      </c>
      <c r="CT381" s="23"/>
      <c r="CV381" s="7"/>
      <c r="CW381" s="7"/>
      <c r="CX381" s="7"/>
      <c r="CY381" s="7"/>
    </row>
    <row r="382" customFormat="false" ht="15" hidden="false" customHeight="true" outlineLevel="0" collapsed="false">
      <c r="B382" s="47" t="s">
        <v>530</v>
      </c>
      <c r="C382" s="40"/>
      <c r="D382" s="40" t="n">
        <f aca="false">IFERROR(D161/C376,"")</f>
        <v>0.0539025442000863</v>
      </c>
      <c r="E382" s="40" t="n">
        <f aca="false">IFERROR(E161/D376,"")</f>
        <v>0.0761173184357542</v>
      </c>
      <c r="F382" s="40" t="n">
        <f aca="false">IFERROR(F161/E376,"")</f>
        <v>0.014405762304922</v>
      </c>
      <c r="G382" s="40" t="n">
        <f aca="false">IFERROR(G161/F376,"")</f>
        <v>0.0257834192780643</v>
      </c>
      <c r="H382" s="40" t="n">
        <f aca="false">IFERROR(H161/G376,"")</f>
        <v>0.0606060606060606</v>
      </c>
      <c r="I382" s="40" t="n">
        <f aca="false">IFERROR(I161/H376,"")</f>
        <v>0.0569053708439898</v>
      </c>
      <c r="J382" s="40"/>
      <c r="K382" s="40"/>
      <c r="L382" s="40"/>
      <c r="M382" s="40"/>
      <c r="N382" s="40"/>
      <c r="O382" s="40" t="n">
        <f aca="false">IFERROR(O161/I376,"")</f>
        <v>0.0365460408455751</v>
      </c>
      <c r="P382" s="40"/>
      <c r="Q382" s="40"/>
      <c r="R382" s="40"/>
      <c r="S382" s="40"/>
      <c r="T382" s="40"/>
      <c r="U382" s="40" t="n">
        <f aca="false">IFERROR(U161/O376,"")</f>
        <v>0.0343891402714932</v>
      </c>
      <c r="V382" s="40"/>
      <c r="W382" s="40"/>
      <c r="X382" s="40"/>
      <c r="Y382" s="40"/>
      <c r="Z382" s="40"/>
      <c r="AA382" s="40" t="n">
        <f aca="false">IFERROR(AA161/U376,"")</f>
        <v>0.0338959012905971</v>
      </c>
      <c r="AB382" s="40"/>
      <c r="AC382" s="40"/>
      <c r="AD382" s="40"/>
      <c r="AE382" s="40"/>
      <c r="AF382" s="40"/>
      <c r="AG382" s="40" t="n">
        <f aca="false">IFERROR(AG161/AA376,"")</f>
        <v>0.029720727645401</v>
      </c>
      <c r="AH382" s="40"/>
      <c r="AI382" s="40"/>
      <c r="AJ382" s="40"/>
      <c r="AK382" s="40"/>
      <c r="AL382" s="40"/>
      <c r="AM382" s="40" t="n">
        <f aca="false">IFERROR(AM161/AG376,"")</f>
        <v>0.0535772094528974</v>
      </c>
      <c r="AN382" s="40"/>
      <c r="AO382" s="40"/>
      <c r="AP382" s="40"/>
      <c r="AQ382" s="40"/>
      <c r="AR382" s="40"/>
      <c r="AS382" s="40" t="n">
        <f aca="false">IFERROR(AS161/AM376,"")</f>
        <v>0.023767359492963</v>
      </c>
      <c r="AT382" s="40"/>
      <c r="AU382" s="40"/>
      <c r="AV382" s="40"/>
      <c r="AW382" s="40"/>
      <c r="AX382" s="40"/>
      <c r="AY382" s="40" t="n">
        <f aca="false">IFERROR(AY161/AS376,"")</f>
        <v>0.0280936454849498</v>
      </c>
      <c r="AZ382" s="40"/>
      <c r="BA382" s="40"/>
      <c r="BB382" s="40"/>
      <c r="BC382" s="40"/>
      <c r="BD382" s="40"/>
      <c r="BE382" s="40" t="n">
        <f aca="false">IFERROR(BE161/AY376,"")</f>
        <v>0.0179873030801787</v>
      </c>
      <c r="BF382" s="40"/>
      <c r="BG382" s="40"/>
      <c r="BH382" s="40"/>
      <c r="BI382" s="40"/>
      <c r="BJ382" s="40"/>
      <c r="BK382" s="40" t="n">
        <f aca="false">IFERROR(BK161/BE376,"")</f>
        <v>0.116634553628773</v>
      </c>
      <c r="BL382" s="40"/>
      <c r="BM382" s="40"/>
      <c r="BN382" s="40"/>
      <c r="BO382" s="40"/>
      <c r="BP382" s="40"/>
      <c r="BQ382" s="40" t="n">
        <f aca="false">IFERROR(BQ161/BK376,"")</f>
        <v>0.0217836756598527</v>
      </c>
      <c r="BR382" s="40"/>
      <c r="BS382" s="40"/>
      <c r="BT382" s="40"/>
      <c r="BU382" s="40"/>
      <c r="BV382" s="40"/>
      <c r="BW382" s="40" t="n">
        <f aca="false">IFERROR(BW161/BQ376,"")</f>
        <v>0.019716369943376</v>
      </c>
      <c r="BX382" s="40"/>
      <c r="BY382" s="40"/>
      <c r="BZ382" s="40"/>
      <c r="CA382" s="40"/>
      <c r="CB382" s="40"/>
      <c r="CC382" s="40" t="n">
        <f aca="false">IFERROR(CC161/BW376,"")</f>
        <v>0.0178433850041604</v>
      </c>
      <c r="CD382" s="40"/>
      <c r="CE382" s="40"/>
      <c r="CF382" s="40"/>
      <c r="CG382" s="40"/>
      <c r="CH382" s="40"/>
      <c r="CI382" s="40" t="n">
        <f aca="false">IFERROR(CI161/CC376,"")</f>
        <v>0.0224990562476406</v>
      </c>
      <c r="CJ382" s="40"/>
      <c r="CK382" s="40"/>
      <c r="CL382" s="40"/>
      <c r="CM382" s="28"/>
      <c r="CN382" s="28"/>
      <c r="CO382" s="28" t="n">
        <f aca="false">IFERROR(CO161/CI376,"")</f>
        <v>0.0214510786135574</v>
      </c>
      <c r="CP382" s="46" t="n">
        <v>0.027</v>
      </c>
      <c r="CQ382" s="46" t="n">
        <v>0.03</v>
      </c>
      <c r="CR382" s="46" t="n">
        <v>0.034</v>
      </c>
      <c r="CS382" s="46" t="n">
        <v>0.038</v>
      </c>
      <c r="CT382" s="23" t="s">
        <v>531</v>
      </c>
      <c r="CV382" s="7"/>
      <c r="CW382" s="7"/>
      <c r="CX382" s="7"/>
      <c r="CY382" s="7"/>
    </row>
    <row r="383" customFormat="false" ht="15" hidden="false" customHeight="true" outlineLevel="0" collapsed="false">
      <c r="B383" s="47" t="s">
        <v>532</v>
      </c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  <c r="BB383" s="40"/>
      <c r="BC383" s="40"/>
      <c r="BD383" s="40"/>
      <c r="BE383" s="40"/>
      <c r="BF383" s="40"/>
      <c r="BG383" s="40"/>
      <c r="BH383" s="40"/>
      <c r="BI383" s="40"/>
      <c r="BJ383" s="40"/>
      <c r="BK383" s="40"/>
      <c r="BL383" s="40"/>
      <c r="BM383" s="40"/>
      <c r="BN383" s="40"/>
      <c r="BO383" s="40"/>
      <c r="BP383" s="40"/>
      <c r="BQ383" s="40"/>
      <c r="BR383" s="40"/>
      <c r="BS383" s="40"/>
      <c r="BT383" s="40"/>
      <c r="BU383" s="40"/>
      <c r="BV383" s="40"/>
      <c r="BW383" s="40"/>
      <c r="BX383" s="40"/>
      <c r="BY383" s="40"/>
      <c r="BZ383" s="40"/>
      <c r="CA383" s="40"/>
      <c r="CB383" s="40"/>
      <c r="CC383" s="40"/>
      <c r="CD383" s="40"/>
      <c r="CE383" s="40"/>
      <c r="CF383" s="40"/>
      <c r="CG383" s="40"/>
      <c r="CH383" s="40"/>
      <c r="CI383" s="40"/>
      <c r="CJ383" s="40"/>
      <c r="CK383" s="40"/>
      <c r="CL383" s="40"/>
      <c r="CM383" s="28"/>
      <c r="CN383" s="28"/>
      <c r="CO383" s="28"/>
      <c r="CP383" s="46" t="n">
        <v>0.03</v>
      </c>
      <c r="CQ383" s="46" t="n">
        <v>0.03</v>
      </c>
      <c r="CR383" s="46" t="n">
        <v>0.03</v>
      </c>
      <c r="CS383" s="46" t="n">
        <v>0.03</v>
      </c>
      <c r="CT383" s="23" t="s">
        <v>533</v>
      </c>
      <c r="CV383" s="7"/>
      <c r="CW383" s="7"/>
      <c r="CX383" s="7"/>
      <c r="CY383" s="7"/>
    </row>
    <row r="384" customFormat="false" ht="15" hidden="false" customHeight="true" outlineLevel="0" collapsed="false">
      <c r="B384" s="17" t="s">
        <v>534</v>
      </c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  <c r="BO384" s="17"/>
      <c r="BP384" s="17"/>
      <c r="BQ384" s="17"/>
      <c r="BR384" s="17"/>
      <c r="BS384" s="17"/>
      <c r="BT384" s="17"/>
      <c r="BU384" s="17"/>
      <c r="BV384" s="17"/>
      <c r="BW384" s="17"/>
      <c r="BX384" s="17"/>
      <c r="BY384" s="17"/>
      <c r="BZ384" s="17"/>
      <c r="CA384" s="17"/>
      <c r="CB384" s="17"/>
      <c r="CC384" s="17"/>
      <c r="CD384" s="17"/>
      <c r="CE384" s="17"/>
      <c r="CF384" s="17"/>
      <c r="CG384" s="17"/>
      <c r="CH384" s="17"/>
      <c r="CI384" s="17"/>
      <c r="CJ384" s="17"/>
      <c r="CK384" s="17"/>
      <c r="CL384" s="17"/>
      <c r="CM384" s="17"/>
      <c r="CN384" s="17"/>
      <c r="CO384" s="17"/>
      <c r="CP384" s="17"/>
      <c r="CQ384" s="17"/>
      <c r="CR384" s="17"/>
      <c r="CS384" s="17"/>
      <c r="CT384" s="17"/>
    </row>
    <row r="385" customFormat="false" ht="15" hidden="false" customHeight="true" outlineLevel="0" collapsed="false">
      <c r="B385" s="26" t="s">
        <v>535</v>
      </c>
      <c r="C385" s="40" t="n">
        <f aca="false">IFERROR(C174/C152,"")</f>
        <v>0.0223276583868267</v>
      </c>
      <c r="D385" s="40" t="n">
        <f aca="false">IFERROR(D174/D152,"")</f>
        <v>0.0213893854404241</v>
      </c>
      <c r="E385" s="40" t="n">
        <f aca="false">IFERROR(E174/E152,"")</f>
        <v>0.0261324041811847</v>
      </c>
      <c r="F385" s="40" t="n">
        <f aca="false">IFERROR(F174/F152,"")</f>
        <v>0.0257248350584105</v>
      </c>
      <c r="G385" s="40" t="n">
        <f aca="false">IFERROR(G174/G152,"")</f>
        <v>0.0274905729230021</v>
      </c>
      <c r="H385" s="40" t="n">
        <f aca="false">IFERROR(H174/H152,"")</f>
        <v>0.0330604047582265</v>
      </c>
      <c r="I385" s="40" t="n">
        <f aca="false">IFERROR(I174/I152,"")</f>
        <v>0.036807220420251</v>
      </c>
      <c r="J385" s="40"/>
      <c r="K385" s="40"/>
      <c r="L385" s="40"/>
      <c r="M385" s="40"/>
      <c r="N385" s="40"/>
      <c r="O385" s="40" t="n">
        <f aca="false">IFERROR(O174/O152,"")</f>
        <v>0.0389549303001796</v>
      </c>
      <c r="P385" s="40"/>
      <c r="Q385" s="40"/>
      <c r="R385" s="40"/>
      <c r="S385" s="40"/>
      <c r="T385" s="40"/>
      <c r="U385" s="40" t="n">
        <f aca="false">IFERROR(U174/U152,"")</f>
        <v>0.039390142021721</v>
      </c>
      <c r="V385" s="40"/>
      <c r="W385" s="40"/>
      <c r="X385" s="40"/>
      <c r="Y385" s="40"/>
      <c r="Z385" s="40"/>
      <c r="AA385" s="40" t="n">
        <f aca="false">IFERROR(AA174/AA152,"")</f>
        <v>0.0392933292720073</v>
      </c>
      <c r="AB385" s="40"/>
      <c r="AC385" s="40"/>
      <c r="AD385" s="40"/>
      <c r="AE385" s="40"/>
      <c r="AF385" s="40"/>
      <c r="AG385" s="40" t="n">
        <f aca="false">IFERROR(AG174/AG152,"")</f>
        <v>0.0406065398390623</v>
      </c>
      <c r="AH385" s="40"/>
      <c r="AI385" s="40"/>
      <c r="AJ385" s="40"/>
      <c r="AK385" s="40"/>
      <c r="AL385" s="40"/>
      <c r="AM385" s="40" t="n">
        <f aca="false">IFERROR(AM174/AM152,"")</f>
        <v>0.0433981104539519</v>
      </c>
      <c r="AN385" s="40"/>
      <c r="AO385" s="40"/>
      <c r="AP385" s="40"/>
      <c r="AQ385" s="40"/>
      <c r="AR385" s="40"/>
      <c r="AS385" s="40" t="n">
        <f aca="false">IFERROR(AS174/AS152,"")</f>
        <v>0.0389413467502929</v>
      </c>
      <c r="AT385" s="40"/>
      <c r="AU385" s="40"/>
      <c r="AV385" s="40"/>
      <c r="AW385" s="40"/>
      <c r="AX385" s="40"/>
      <c r="AY385" s="40" t="n">
        <f aca="false">IFERROR(AY174/AY152,"")</f>
        <v>0.0353710962194968</v>
      </c>
      <c r="AZ385" s="40"/>
      <c r="BA385" s="40"/>
      <c r="BB385" s="40"/>
      <c r="BC385" s="40"/>
      <c r="BD385" s="40"/>
      <c r="BE385" s="40" t="n">
        <f aca="false">IFERROR(BE174/BE152,"")</f>
        <v>0.0376514807854319</v>
      </c>
      <c r="BF385" s="40"/>
      <c r="BG385" s="40"/>
      <c r="BH385" s="40"/>
      <c r="BI385" s="40"/>
      <c r="BJ385" s="40"/>
      <c r="BK385" s="40" t="n">
        <f aca="false">IFERROR(BK174/BK152,"")</f>
        <v>0.0575168497930347</v>
      </c>
      <c r="BL385" s="40"/>
      <c r="BM385" s="40"/>
      <c r="BN385" s="40"/>
      <c r="BO385" s="40"/>
      <c r="BP385" s="40"/>
      <c r="BQ385" s="40" t="n">
        <f aca="false">IFERROR(BQ174/BQ152,"")</f>
        <v>0.0608580954823581</v>
      </c>
      <c r="BR385" s="40"/>
      <c r="BS385" s="40"/>
      <c r="BT385" s="40"/>
      <c r="BU385" s="40"/>
      <c r="BV385" s="40"/>
      <c r="BW385" s="40" t="n">
        <f aca="false">IFERROR(BW174/BW152,"")</f>
        <v>0.0561440865939136</v>
      </c>
      <c r="BX385" s="40"/>
      <c r="BY385" s="40"/>
      <c r="BZ385" s="40"/>
      <c r="CA385" s="40"/>
      <c r="CB385" s="40"/>
      <c r="CC385" s="40" t="n">
        <f aca="false">IFERROR(CC174/CC152,"")</f>
        <v>0.0546560846560847</v>
      </c>
      <c r="CD385" s="40"/>
      <c r="CE385" s="40"/>
      <c r="CF385" s="40"/>
      <c r="CG385" s="40"/>
      <c r="CH385" s="40"/>
      <c r="CI385" s="40" t="n">
        <f aca="false">IFERROR(CI174/CI152,"")</f>
        <v>0.0549923144847434</v>
      </c>
      <c r="CJ385" s="40"/>
      <c r="CK385" s="40"/>
      <c r="CL385" s="40"/>
      <c r="CM385" s="28"/>
      <c r="CN385" s="28"/>
      <c r="CO385" s="28" t="n">
        <f aca="false">IFERROR(CO174/CO152,"")</f>
        <v>0.0522028220116643</v>
      </c>
      <c r="CP385" s="28" t="n">
        <f aca="false">IFERROR(CP174/CP152,"")</f>
        <v>0.0505219587202954</v>
      </c>
      <c r="CQ385" s="28" t="n">
        <f aca="false">IFERROR(CQ174/CQ152,"")</f>
        <v>0.0507699988871335</v>
      </c>
      <c r="CR385" s="28" t="n">
        <f aca="false">IFERROR(CR174/CR152,"")</f>
        <v>0.0464386169373494</v>
      </c>
      <c r="CS385" s="28" t="n">
        <f aca="false">IFERROR(CS174/CS152,"")</f>
        <v>0.0445974096231898</v>
      </c>
      <c r="CT385" s="23"/>
      <c r="CV385" s="41" t="n">
        <f aca="false">IFERROR(AVERAGE(CO385,CP385,CQ385,CR385,CS385),"n/m")</f>
        <v>0.0489061612359265</v>
      </c>
      <c r="CW385" s="41" t="n">
        <f aca="false">IFERROR(AVERAGE(BK385,BQ385,BW385,CC385,CI385),"n/m")</f>
        <v>0.0568334862020269</v>
      </c>
      <c r="CX385" s="41" t="n">
        <f aca="false">IFERROR(AVERAGE(AG385,AM385,AS385,AY385,BE385,BK385,BQ385,BW385,CC385,CI385),"n/m")</f>
        <v>0.048013600505837</v>
      </c>
      <c r="CY385" s="41" t="n">
        <f aca="false">IFERROR(AVERAGE(C385,D385,E385,F385,G385,H385,I385,O385,U385,AA385,AG385,AM385,AS385,AY385,BE385,BK385,BQ385,BW385,CC385,CI385),"n/m")</f>
        <v>0.0395353443910302</v>
      </c>
    </row>
    <row r="386" customFormat="false" ht="15" hidden="false" customHeight="true" outlineLevel="0" collapsed="false">
      <c r="B386" s="26" t="s">
        <v>536</v>
      </c>
      <c r="C386" s="40" t="n">
        <f aca="false">IFERROR(C125/C152,"")</f>
        <v>0.00537259279933017</v>
      </c>
      <c r="D386" s="40" t="n">
        <f aca="false">IFERROR(D125/D152,"")</f>
        <v>0.00394501633483326</v>
      </c>
      <c r="E386" s="40" t="n">
        <f aca="false">IFERROR(E125/E152,"")</f>
        <v>0.00917537746806039</v>
      </c>
      <c r="F386" s="40" t="n">
        <f aca="false">IFERROR(F125/F152,"")</f>
        <v>0.00750559893468918</v>
      </c>
      <c r="G386" s="40" t="n">
        <f aca="false">IFERROR(G125/G152,"")</f>
        <v>0.00857559907553826</v>
      </c>
      <c r="H386" s="40" t="n">
        <f aca="false">IFERROR(H125/H152,"")</f>
        <v>0.0126680055615634</v>
      </c>
      <c r="I386" s="40" t="n">
        <f aca="false">IFERROR(I125/I152,"")</f>
        <v>0.0138203356367226</v>
      </c>
      <c r="J386" s="40"/>
      <c r="K386" s="40"/>
      <c r="L386" s="40"/>
      <c r="M386" s="40"/>
      <c r="N386" s="40"/>
      <c r="O386" s="40" t="n">
        <f aca="false">IFERROR(O125/O152,"")</f>
        <v>0.0134695971949029</v>
      </c>
      <c r="P386" s="40"/>
      <c r="Q386" s="40"/>
      <c r="R386" s="40"/>
      <c r="S386" s="40"/>
      <c r="T386" s="40"/>
      <c r="U386" s="40" t="n">
        <f aca="false">IFERROR(U125/U152,"")</f>
        <v>0.0133667502088555</v>
      </c>
      <c r="V386" s="40"/>
      <c r="W386" s="40"/>
      <c r="X386" s="40"/>
      <c r="Y386" s="40"/>
      <c r="Z386" s="40"/>
      <c r="AA386" s="40" t="n">
        <f aca="false">IFERROR(AA125/AA152,"")</f>
        <v>0.013315347460946</v>
      </c>
      <c r="AB386" s="40"/>
      <c r="AC386" s="40"/>
      <c r="AD386" s="40"/>
      <c r="AE386" s="40"/>
      <c r="AF386" s="40"/>
      <c r="AG386" s="40" t="n">
        <f aca="false">IFERROR(AG125/AG152,"")</f>
        <v>0.0131634029489744</v>
      </c>
      <c r="AH386" s="40"/>
      <c r="AI386" s="40"/>
      <c r="AJ386" s="40"/>
      <c r="AK386" s="40"/>
      <c r="AL386" s="40"/>
      <c r="AM386" s="40" t="n">
        <f aca="false">IFERROR(AM125/AM152,"")</f>
        <v>0.0158998386972886</v>
      </c>
      <c r="AN386" s="40"/>
      <c r="AO386" s="40"/>
      <c r="AP386" s="40"/>
      <c r="AQ386" s="40"/>
      <c r="AR386" s="40"/>
      <c r="AS386" s="40" t="n">
        <f aca="false">IFERROR(AS125/AS152,"")</f>
        <v>0.0136122406781997</v>
      </c>
      <c r="AT386" s="40"/>
      <c r="AU386" s="40"/>
      <c r="AV386" s="40"/>
      <c r="AW386" s="40"/>
      <c r="AX386" s="40"/>
      <c r="AY386" s="40" t="n">
        <f aca="false">IFERROR(AY125/AY152,"")</f>
        <v>0.0115374889366544</v>
      </c>
      <c r="AZ386" s="40"/>
      <c r="BA386" s="40"/>
      <c r="BB386" s="40"/>
      <c r="BC386" s="40"/>
      <c r="BD386" s="40"/>
      <c r="BE386" s="40" t="n">
        <f aca="false">IFERROR(BE125/BE152,"")</f>
        <v>0.0125720951331735</v>
      </c>
      <c r="BF386" s="40"/>
      <c r="BG386" s="40"/>
      <c r="BH386" s="40"/>
      <c r="BI386" s="40"/>
      <c r="BJ386" s="40"/>
      <c r="BK386" s="40" t="n">
        <f aca="false">IFERROR(BK125/BK152,"")</f>
        <v>0.0323559369785233</v>
      </c>
      <c r="BL386" s="40"/>
      <c r="BM386" s="40"/>
      <c r="BN386" s="40"/>
      <c r="BO386" s="40"/>
      <c r="BP386" s="40"/>
      <c r="BQ386" s="40" t="n">
        <f aca="false">IFERROR(BQ125/BQ152,"")</f>
        <v>0.0369508665225516</v>
      </c>
      <c r="BR386" s="40"/>
      <c r="BS386" s="40"/>
      <c r="BT386" s="40"/>
      <c r="BU386" s="40"/>
      <c r="BV386" s="40"/>
      <c r="BW386" s="40" t="n">
        <f aca="false">IFERROR(BW125/BW152,"")</f>
        <v>0.034903735249756</v>
      </c>
      <c r="BX386" s="40"/>
      <c r="BY386" s="40"/>
      <c r="BZ386" s="40"/>
      <c r="CA386" s="40"/>
      <c r="CB386" s="40"/>
      <c r="CC386" s="40" t="n">
        <f aca="false">IFERROR(CC125/CC152,"")</f>
        <v>0.0349206349206349</v>
      </c>
      <c r="CD386" s="40"/>
      <c r="CE386" s="40"/>
      <c r="CF386" s="40"/>
      <c r="CG386" s="40"/>
      <c r="CH386" s="40"/>
      <c r="CI386" s="40" t="n">
        <f aca="false">IFERROR(CI125/CI152,"")</f>
        <v>0.0354187788206822</v>
      </c>
      <c r="CJ386" s="40"/>
      <c r="CK386" s="40"/>
      <c r="CL386" s="40"/>
      <c r="CM386" s="28"/>
      <c r="CN386" s="28"/>
      <c r="CO386" s="28" t="n">
        <f aca="false">IFERROR(CO125/CO152,"")</f>
        <v>0.0338015311285264</v>
      </c>
      <c r="CP386" s="28" t="n">
        <f aca="false">IFERROR(CP125/CP152,"")</f>
        <v>0.0310219587202954</v>
      </c>
      <c r="CQ386" s="28" t="n">
        <f aca="false">IFERROR(CQ125/CQ152,"")</f>
        <v>0.0312699988871335</v>
      </c>
      <c r="CR386" s="28" t="n">
        <f aca="false">IFERROR(CR125/CR152,"")</f>
        <v>0.0269386169373494</v>
      </c>
      <c r="CS386" s="28" t="n">
        <f aca="false">IFERROR(CS125/CS152,"")</f>
        <v>0.0250974096231898</v>
      </c>
      <c r="CT386" s="23"/>
      <c r="CV386" s="41" t="n">
        <f aca="false">IFERROR(AVERAGE(CO386,CP386,CQ386,CR386,CS386),"n/m")</f>
        <v>0.0296259030592989</v>
      </c>
      <c r="CW386" s="41" t="n">
        <f aca="false">IFERROR(AVERAGE(BK386,BQ386,BW386,CC386,CI386),"n/m")</f>
        <v>0.0349099904984296</v>
      </c>
      <c r="CX386" s="41" t="n">
        <f aca="false">IFERROR(AVERAGE(AG386,AM386,AS386,AY386,BE386,BK386,BQ386,BW386,CC386,CI386),"n/m")</f>
        <v>0.0241335018886439</v>
      </c>
      <c r="CY386" s="41" t="n">
        <f aca="false">IFERROR(AVERAGE(C386,D386,E386,F386,G386,H386,I386,O386,U386,AA386,AG386,AM386,AS386,AY386,BE386,BK386,BQ386,BW386,CC386,CI386),"n/m")</f>
        <v>0.017127461978094</v>
      </c>
    </row>
    <row r="387" customFormat="false" ht="15" hidden="false" customHeight="true" outlineLevel="0" collapsed="false">
      <c r="B387" s="13"/>
      <c r="CM387" s="7"/>
      <c r="CN387" s="7"/>
      <c r="CO387" s="7"/>
      <c r="CP387" s="7"/>
      <c r="CQ387" s="7"/>
      <c r="CR387" s="7"/>
      <c r="CS387" s="7"/>
      <c r="CT387" s="7"/>
    </row>
    <row r="388" customFormat="false" ht="15" hidden="false" customHeight="true" outlineLevel="0" collapsed="false">
      <c r="B388" s="12" t="s">
        <v>537</v>
      </c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  <c r="CF388" s="12"/>
      <c r="CG388" s="12"/>
      <c r="CH388" s="12"/>
      <c r="CI388" s="12"/>
      <c r="CJ388" s="12"/>
      <c r="CK388" s="12"/>
      <c r="CL388" s="12"/>
      <c r="CM388" s="12"/>
      <c r="CN388" s="12"/>
      <c r="CO388" s="12"/>
      <c r="CP388" s="12"/>
      <c r="CQ388" s="12"/>
      <c r="CR388" s="12"/>
      <c r="CS388" s="12"/>
      <c r="CT388" s="12"/>
    </row>
    <row r="389" customFormat="false" ht="15" hidden="false" customHeight="true" outlineLevel="0" collapsed="false">
      <c r="B389" s="17" t="s">
        <v>538</v>
      </c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  <c r="BO389" s="17"/>
      <c r="BP389" s="17"/>
      <c r="BQ389" s="17"/>
      <c r="BR389" s="17"/>
      <c r="BS389" s="17"/>
      <c r="BT389" s="17"/>
      <c r="BU389" s="17"/>
      <c r="BV389" s="17"/>
      <c r="BW389" s="17"/>
      <c r="BX389" s="17"/>
      <c r="BY389" s="17"/>
      <c r="BZ389" s="17"/>
      <c r="CA389" s="17"/>
      <c r="CB389" s="17"/>
      <c r="CC389" s="17"/>
      <c r="CD389" s="17"/>
      <c r="CE389" s="17"/>
      <c r="CF389" s="17"/>
      <c r="CG389" s="17"/>
      <c r="CH389" s="17"/>
      <c r="CI389" s="17"/>
      <c r="CJ389" s="17"/>
      <c r="CK389" s="17"/>
      <c r="CL389" s="17"/>
      <c r="CM389" s="17"/>
      <c r="CN389" s="17"/>
      <c r="CO389" s="17"/>
      <c r="CP389" s="17"/>
      <c r="CQ389" s="17"/>
      <c r="CR389" s="17"/>
      <c r="CS389" s="17"/>
      <c r="CT389" s="17"/>
    </row>
    <row r="390" customFormat="false" ht="15" hidden="false" customHeight="true" outlineLevel="0" collapsed="false">
      <c r="B390" s="13" t="s">
        <v>539</v>
      </c>
      <c r="C390" s="30" t="n">
        <f aca="false">C200</f>
        <v>132.8</v>
      </c>
      <c r="D390" s="30" t="n">
        <f aca="false">D200</f>
        <v>168.7</v>
      </c>
      <c r="E390" s="30" t="n">
        <f aca="false">E200</f>
        <v>214.4</v>
      </c>
      <c r="F390" s="30" t="n">
        <f aca="false">F200</f>
        <v>183.8</v>
      </c>
      <c r="G390" s="30" t="n">
        <f aca="false">G200</f>
        <v>192.6</v>
      </c>
      <c r="H390" s="30" t="n">
        <f aca="false">H200</f>
        <v>251.8</v>
      </c>
      <c r="I390" s="30" t="n">
        <f aca="false">I200</f>
        <v>272.5</v>
      </c>
      <c r="J390" s="30"/>
      <c r="K390" s="30"/>
      <c r="L390" s="30"/>
      <c r="M390" s="30"/>
      <c r="N390" s="30"/>
      <c r="O390" s="30" t="n">
        <f aca="false">O200</f>
        <v>271.8</v>
      </c>
      <c r="P390" s="30"/>
      <c r="Q390" s="30"/>
      <c r="R390" s="30"/>
      <c r="S390" s="30"/>
      <c r="T390" s="30"/>
      <c r="U390" s="30" t="n">
        <f aca="false">U200</f>
        <v>326.5</v>
      </c>
      <c r="V390" s="30"/>
      <c r="W390" s="30"/>
      <c r="X390" s="30"/>
      <c r="Y390" s="30"/>
      <c r="Z390" s="30"/>
      <c r="AA390" s="30" t="n">
        <f aca="false">AA200</f>
        <v>312.3</v>
      </c>
      <c r="AB390" s="30"/>
      <c r="AC390" s="30"/>
      <c r="AD390" s="30"/>
      <c r="AE390" s="30"/>
      <c r="AF390" s="30"/>
      <c r="AG390" s="30" t="n">
        <f aca="false">AG200</f>
        <v>284</v>
      </c>
      <c r="AH390" s="30"/>
      <c r="AI390" s="30"/>
      <c r="AJ390" s="30"/>
      <c r="AK390" s="30"/>
      <c r="AL390" s="30"/>
      <c r="AM390" s="30" t="n">
        <f aca="false">AM200</f>
        <v>381.8</v>
      </c>
      <c r="AN390" s="30"/>
      <c r="AO390" s="30"/>
      <c r="AP390" s="30"/>
      <c r="AQ390" s="30"/>
      <c r="AR390" s="30"/>
      <c r="AS390" s="30" t="n">
        <f aca="false">AS200</f>
        <v>456.1</v>
      </c>
      <c r="AT390" s="30"/>
      <c r="AU390" s="30"/>
      <c r="AV390" s="30"/>
      <c r="AW390" s="30"/>
      <c r="AX390" s="30"/>
      <c r="AY390" s="30" t="n">
        <f aca="false">AY200</f>
        <v>528.2</v>
      </c>
      <c r="AZ390" s="30"/>
      <c r="BA390" s="30"/>
      <c r="BB390" s="30"/>
      <c r="BC390" s="30"/>
      <c r="BD390" s="30"/>
      <c r="BE390" s="30" t="n">
        <f aca="false">BE200</f>
        <v>518.9</v>
      </c>
      <c r="BF390" s="30"/>
      <c r="BG390" s="30"/>
      <c r="BH390" s="30"/>
      <c r="BI390" s="30"/>
      <c r="BJ390" s="30"/>
      <c r="BK390" s="30" t="n">
        <f aca="false">BK200</f>
        <v>983</v>
      </c>
      <c r="BL390" s="30"/>
      <c r="BM390" s="30"/>
      <c r="BN390" s="30"/>
      <c r="BO390" s="30"/>
      <c r="BP390" s="30"/>
      <c r="BQ390" s="30" t="n">
        <f aca="false">BQ200</f>
        <v>1169.7</v>
      </c>
      <c r="BR390" s="30"/>
      <c r="BS390" s="30"/>
      <c r="BT390" s="30"/>
      <c r="BU390" s="30"/>
      <c r="BV390" s="30"/>
      <c r="BW390" s="30" t="n">
        <f aca="false">BW200</f>
        <v>1239.9</v>
      </c>
      <c r="BX390" s="30"/>
      <c r="BY390" s="30"/>
      <c r="BZ390" s="30"/>
      <c r="CA390" s="30"/>
      <c r="CB390" s="30"/>
      <c r="CC390" s="30" t="n">
        <f aca="false">CC200</f>
        <v>1248</v>
      </c>
      <c r="CD390" s="30"/>
      <c r="CE390" s="30"/>
      <c r="CF390" s="30"/>
      <c r="CG390" s="30"/>
      <c r="CH390" s="30"/>
      <c r="CI390" s="30" t="n">
        <f aca="false">CI200</f>
        <v>1380</v>
      </c>
      <c r="CJ390" s="30"/>
      <c r="CK390" s="30"/>
      <c r="CL390" s="30"/>
      <c r="CM390" s="32"/>
      <c r="CN390" s="32"/>
      <c r="CO390" s="32" t="n">
        <f aca="false">CO200</f>
        <v>1508.72643312102</v>
      </c>
      <c r="CP390" s="32" t="n">
        <f aca="false">CP200</f>
        <v>1677.45472734786</v>
      </c>
      <c r="CQ390" s="32" t="n">
        <f aca="false">CQ200</f>
        <v>1855.91894608661</v>
      </c>
      <c r="CR390" s="32" t="n">
        <f aca="false">CR200</f>
        <v>2043.95312624164</v>
      </c>
      <c r="CS390" s="32" t="n">
        <f aca="false">CS200</f>
        <v>2245.6001435184</v>
      </c>
      <c r="CT390" s="23"/>
      <c r="CV390" s="7"/>
      <c r="CW390" s="7"/>
      <c r="CX390" s="7"/>
      <c r="CY390" s="7"/>
    </row>
    <row r="391" customFormat="false" ht="15" hidden="false" customHeight="true" outlineLevel="0" collapsed="false">
      <c r="B391" s="13" t="s">
        <v>540</v>
      </c>
      <c r="C391" s="40" t="n">
        <f aca="false">C166</f>
        <v>0.337408312958435</v>
      </c>
      <c r="D391" s="40" t="n">
        <f aca="false">D166</f>
        <v>0.33267845448592</v>
      </c>
      <c r="E391" s="40" t="n">
        <f aca="false">E166</f>
        <v>0.367553191489362</v>
      </c>
      <c r="F391" s="40" t="n">
        <f aca="false">F166</f>
        <v>0.300480769230769</v>
      </c>
      <c r="G391" s="40" t="n">
        <f aca="false">G166</f>
        <v>0.308755760368663</v>
      </c>
      <c r="H391" s="40" t="n">
        <f aca="false">H166</f>
        <v>0.328449905482042</v>
      </c>
      <c r="I391" s="40" t="n">
        <f aca="false">I166</f>
        <v>0.286590709903593</v>
      </c>
      <c r="J391" s="40"/>
      <c r="K391" s="40"/>
      <c r="L391" s="40"/>
      <c r="M391" s="40"/>
      <c r="N391" s="40"/>
      <c r="O391" s="40" t="n">
        <f aca="false">O166</f>
        <v>0.176339285714286</v>
      </c>
      <c r="P391" s="40"/>
      <c r="Q391" s="40"/>
      <c r="R391" s="40"/>
      <c r="S391" s="40"/>
      <c r="T391" s="40"/>
      <c r="U391" s="40" t="n">
        <f aca="false">U166</f>
        <v>0.235732009925558</v>
      </c>
      <c r="V391" s="40"/>
      <c r="W391" s="40"/>
      <c r="X391" s="40"/>
      <c r="Y391" s="40"/>
      <c r="Z391" s="40"/>
      <c r="AA391" s="40" t="n">
        <f aca="false">AA166</f>
        <v>0.2428350116189</v>
      </c>
      <c r="AB391" s="40"/>
      <c r="AC391" s="40"/>
      <c r="AD391" s="40"/>
      <c r="AE391" s="40"/>
      <c r="AF391" s="40"/>
      <c r="AG391" s="40" t="n">
        <f aca="false">AG166</f>
        <v>0.208868628263572</v>
      </c>
      <c r="AH391" s="40"/>
      <c r="AI391" s="40"/>
      <c r="AJ391" s="40"/>
      <c r="AK391" s="40"/>
      <c r="AL391" s="40"/>
      <c r="AM391" s="40" t="n">
        <f aca="false">AM166</f>
        <v>0.208362369337979</v>
      </c>
      <c r="AN391" s="40"/>
      <c r="AO391" s="40"/>
      <c r="AP391" s="40"/>
      <c r="AQ391" s="40"/>
      <c r="AR391" s="40"/>
      <c r="AS391" s="40" t="n">
        <f aca="false">AS166</f>
        <v>0.152576796141153</v>
      </c>
      <c r="AT391" s="40"/>
      <c r="AU391" s="40"/>
      <c r="AV391" s="40"/>
      <c r="AW391" s="40"/>
      <c r="AX391" s="40"/>
      <c r="AY391" s="40" t="n">
        <f aca="false">AY166</f>
        <v>0.150728309056365</v>
      </c>
      <c r="AZ391" s="40"/>
      <c r="BA391" s="40"/>
      <c r="BB391" s="40"/>
      <c r="BC391" s="40"/>
      <c r="BD391" s="40"/>
      <c r="BE391" s="40" t="n">
        <f aca="false">BE166</f>
        <v>0.144347455822866</v>
      </c>
      <c r="BF391" s="40"/>
      <c r="BG391" s="40"/>
      <c r="BH391" s="40"/>
      <c r="BI391" s="40"/>
      <c r="BJ391" s="40"/>
      <c r="BK391" s="40" t="n">
        <f aca="false">BK166</f>
        <v>0.16579243162233</v>
      </c>
      <c r="BL391" s="40"/>
      <c r="BM391" s="40"/>
      <c r="BN391" s="40"/>
      <c r="BO391" s="40"/>
      <c r="BP391" s="40"/>
      <c r="BQ391" s="40" t="n">
        <f aca="false">BQ166</f>
        <v>0.131263076753661</v>
      </c>
      <c r="BR391" s="40"/>
      <c r="BS391" s="40"/>
      <c r="BT391" s="40"/>
      <c r="BU391" s="40"/>
      <c r="BV391" s="40"/>
      <c r="BW391" s="40" t="n">
        <f aca="false">BW166</f>
        <v>0.075398894566691</v>
      </c>
      <c r="BX391" s="40"/>
      <c r="BY391" s="40"/>
      <c r="BZ391" s="40"/>
      <c r="CA391" s="40"/>
      <c r="CB391" s="40"/>
      <c r="CC391" s="40" t="n">
        <f aca="false">CC166</f>
        <v>0.124960017059388</v>
      </c>
      <c r="CD391" s="40"/>
      <c r="CE391" s="40"/>
      <c r="CF391" s="40"/>
      <c r="CG391" s="40"/>
      <c r="CH391" s="40"/>
      <c r="CI391" s="40" t="n">
        <f aca="false">CI166</f>
        <v>0.181635449977159</v>
      </c>
      <c r="CJ391" s="40"/>
      <c r="CK391" s="40"/>
      <c r="CL391" s="40"/>
      <c r="CM391" s="28"/>
      <c r="CN391" s="28"/>
      <c r="CO391" s="28" t="n">
        <f aca="false">CO166</f>
        <v>0.208911974125761</v>
      </c>
      <c r="CP391" s="28" t="n">
        <f aca="false">CP166</f>
        <v>0.215</v>
      </c>
      <c r="CQ391" s="28" t="n">
        <f aca="false">CQ166</f>
        <v>0.215</v>
      </c>
      <c r="CR391" s="28" t="n">
        <f aca="false">CR166</f>
        <v>0.215</v>
      </c>
      <c r="CS391" s="28" t="n">
        <f aca="false">CS166</f>
        <v>0.215</v>
      </c>
      <c r="CT391" s="23"/>
      <c r="CV391" s="7"/>
      <c r="CW391" s="7"/>
      <c r="CX391" s="7"/>
      <c r="CY391" s="7"/>
    </row>
    <row r="392" customFormat="false" ht="15" hidden="false" customHeight="true" outlineLevel="0" collapsed="false">
      <c r="B392" s="13" t="s">
        <v>541</v>
      </c>
      <c r="C392" s="30" t="n">
        <f aca="false">IFERROR(C390*(1-C391),"n/a")</f>
        <v>87.9921760391198</v>
      </c>
      <c r="D392" s="30" t="n">
        <f aca="false">IFERROR(D390*(1-D391),"n/a")</f>
        <v>112.577144728225</v>
      </c>
      <c r="E392" s="30" t="n">
        <f aca="false">IFERROR(E390*(1-E391),"n/a")</f>
        <v>135.596595744681</v>
      </c>
      <c r="F392" s="30" t="n">
        <f aca="false">IFERROR(F390*(1-F391),"n/a")</f>
        <v>128.571634615385</v>
      </c>
      <c r="G392" s="30" t="n">
        <f aca="false">IFERROR(G390*(1-G391),"n/a")</f>
        <v>133.133640552996</v>
      </c>
      <c r="H392" s="30" t="n">
        <f aca="false">IFERROR(H390*(1-H391),"n/a")</f>
        <v>169.096313799622</v>
      </c>
      <c r="I392" s="30" t="n">
        <f aca="false">IFERROR(I390*(1-I391),"n/a")</f>
        <v>194.404031551271</v>
      </c>
      <c r="J392" s="30"/>
      <c r="K392" s="30"/>
      <c r="L392" s="30"/>
      <c r="M392" s="30"/>
      <c r="N392" s="30"/>
      <c r="O392" s="30" t="n">
        <f aca="false">IFERROR(O390*(1-O391),"n/a")</f>
        <v>223.870982142857</v>
      </c>
      <c r="P392" s="30"/>
      <c r="Q392" s="30"/>
      <c r="R392" s="30"/>
      <c r="S392" s="30"/>
      <c r="T392" s="30"/>
      <c r="U392" s="30" t="n">
        <f aca="false">IFERROR(U390*(1-U391),"n/a")</f>
        <v>249.533498759305</v>
      </c>
      <c r="V392" s="30"/>
      <c r="W392" s="30"/>
      <c r="X392" s="30"/>
      <c r="Y392" s="30"/>
      <c r="Z392" s="30"/>
      <c r="AA392" s="30" t="n">
        <f aca="false">IFERROR(AA390*(1-AA391),"n/a")</f>
        <v>236.462625871417</v>
      </c>
      <c r="AB392" s="30"/>
      <c r="AC392" s="30"/>
      <c r="AD392" s="30"/>
      <c r="AE392" s="30"/>
      <c r="AF392" s="30"/>
      <c r="AG392" s="30" t="n">
        <f aca="false">IFERROR(AG390*(1-AG391),"n/a")</f>
        <v>224.681309573146</v>
      </c>
      <c r="AH392" s="30"/>
      <c r="AI392" s="30"/>
      <c r="AJ392" s="30"/>
      <c r="AK392" s="30"/>
      <c r="AL392" s="30"/>
      <c r="AM392" s="30" t="n">
        <f aca="false">IFERROR(AM390*(1-AM391),"n/a")</f>
        <v>302.24724738676</v>
      </c>
      <c r="AN392" s="30"/>
      <c r="AO392" s="30"/>
      <c r="AP392" s="30"/>
      <c r="AQ392" s="30"/>
      <c r="AR392" s="30"/>
      <c r="AS392" s="30" t="n">
        <f aca="false">IFERROR(AS390*(1-AS391),"n/a")</f>
        <v>386.50972328002</v>
      </c>
      <c r="AT392" s="30"/>
      <c r="AU392" s="30"/>
      <c r="AV392" s="30"/>
      <c r="AW392" s="30"/>
      <c r="AX392" s="30"/>
      <c r="AY392" s="30" t="n">
        <f aca="false">IFERROR(AY390*(1-AY391),"n/a")</f>
        <v>448.585307156428</v>
      </c>
      <c r="AZ392" s="30"/>
      <c r="BA392" s="30"/>
      <c r="BB392" s="30"/>
      <c r="BC392" s="30"/>
      <c r="BD392" s="30"/>
      <c r="BE392" s="30" t="n">
        <f aca="false">IFERROR(BE390*(1-BE391),"n/a")</f>
        <v>443.998105173515</v>
      </c>
      <c r="BF392" s="30"/>
      <c r="BG392" s="30"/>
      <c r="BH392" s="30"/>
      <c r="BI392" s="30"/>
      <c r="BJ392" s="30"/>
      <c r="BK392" s="30" t="n">
        <f aca="false">IFERROR(BK390*(1-BK391),"n/a")</f>
        <v>820.02603971525</v>
      </c>
      <c r="BL392" s="30"/>
      <c r="BM392" s="30"/>
      <c r="BN392" s="30"/>
      <c r="BO392" s="30"/>
      <c r="BP392" s="30"/>
      <c r="BQ392" s="30" t="n">
        <f aca="false">IFERROR(BQ390*(1-BQ391),"n/a")</f>
        <v>1016.16157912124</v>
      </c>
      <c r="BR392" s="30"/>
      <c r="BS392" s="30"/>
      <c r="BT392" s="30"/>
      <c r="BU392" s="30"/>
      <c r="BV392" s="30"/>
      <c r="BW392" s="30" t="n">
        <f aca="false">IFERROR(BW390*(1-BW391),"n/a")</f>
        <v>1146.41291062676</v>
      </c>
      <c r="BX392" s="30"/>
      <c r="BY392" s="30"/>
      <c r="BZ392" s="30"/>
      <c r="CA392" s="30"/>
      <c r="CB392" s="30"/>
      <c r="CC392" s="30" t="n">
        <f aca="false">IFERROR(CC390*(1-CC391),"n/a")</f>
        <v>1092.04989870988</v>
      </c>
      <c r="CD392" s="30"/>
      <c r="CE392" s="30"/>
      <c r="CF392" s="30"/>
      <c r="CG392" s="30"/>
      <c r="CH392" s="30"/>
      <c r="CI392" s="30" t="n">
        <f aca="false">IFERROR(CI390*(1-CI391),"n/a")</f>
        <v>1129.34307903152</v>
      </c>
      <c r="CJ392" s="30"/>
      <c r="CK392" s="30"/>
      <c r="CL392" s="30"/>
      <c r="CM392" s="32"/>
      <c r="CN392" s="32"/>
      <c r="CO392" s="32" t="n">
        <f aca="false">IFERROR(CO390*(1-CO391),"n/a")</f>
        <v>1193.53541556199</v>
      </c>
      <c r="CP392" s="32" t="n">
        <f aca="false">IFERROR(CP390*(1-CP391),"n/a")</f>
        <v>1316.80196096807</v>
      </c>
      <c r="CQ392" s="32" t="n">
        <f aca="false">IFERROR(CQ390*(1-CQ391),"n/a")</f>
        <v>1456.89637267799</v>
      </c>
      <c r="CR392" s="32" t="n">
        <f aca="false">IFERROR(CR390*(1-CR391),"n/a")</f>
        <v>1604.50320409968</v>
      </c>
      <c r="CS392" s="32" t="n">
        <f aca="false">IFERROR(CS390*(1-CS391),"n/a")</f>
        <v>1762.79611266194</v>
      </c>
      <c r="CT392" s="23"/>
      <c r="CV392" s="7"/>
      <c r="CW392" s="7"/>
      <c r="CX392" s="7"/>
      <c r="CY392" s="7"/>
    </row>
    <row r="393" customFormat="false" ht="15" hidden="false" customHeight="true" outlineLevel="0" collapsed="false">
      <c r="B393" s="13" t="s">
        <v>542</v>
      </c>
      <c r="C393" s="30" t="n">
        <f aca="false">IFERROR(C394+C395,"n/a")</f>
        <v>650.7</v>
      </c>
      <c r="D393" s="30" t="n">
        <f aca="false">IFERROR(D394+D395,"n/a")</f>
        <v>660</v>
      </c>
      <c r="E393" s="30" t="n">
        <f aca="false">IFERROR(E394+E395,"n/a")</f>
        <v>848</v>
      </c>
      <c r="F393" s="30" t="n">
        <f aca="false">IFERROR(F394+F395,"n/a")</f>
        <v>893.4</v>
      </c>
      <c r="G393" s="30" t="n">
        <f aca="false">IFERROR(G394+G395,"n/a")</f>
        <v>979.2</v>
      </c>
      <c r="H393" s="30" t="n">
        <f aca="false">IFERROR(H394+H395,"n/a")</f>
        <v>1247.5</v>
      </c>
      <c r="I393" s="30" t="n">
        <f aca="false">IFERROR(I394+I395,"n/a")</f>
        <v>1715.8</v>
      </c>
      <c r="J393" s="30"/>
      <c r="K393" s="30"/>
      <c r="L393" s="30"/>
      <c r="M393" s="30"/>
      <c r="N393" s="30"/>
      <c r="O393" s="30" t="n">
        <f aca="false">IFERROR(O394+O395,"n/a")</f>
        <v>2005.2</v>
      </c>
      <c r="P393" s="30"/>
      <c r="Q393" s="30"/>
      <c r="R393" s="30"/>
      <c r="S393" s="30"/>
      <c r="T393" s="30"/>
      <c r="U393" s="30" t="n">
        <f aca="false">IFERROR(U394+U395,"n/a")</f>
        <v>2032.2</v>
      </c>
      <c r="V393" s="30"/>
      <c r="W393" s="30"/>
      <c r="X393" s="30"/>
      <c r="Y393" s="30"/>
      <c r="Z393" s="30"/>
      <c r="AA393" s="30" t="n">
        <f aca="false">IFERROR(AA394+AA395,"n/a")</f>
        <v>2039.6</v>
      </c>
      <c r="AB393" s="30"/>
      <c r="AC393" s="30"/>
      <c r="AD393" s="30"/>
      <c r="AE393" s="30"/>
      <c r="AF393" s="30"/>
      <c r="AG393" s="30" t="n">
        <f aca="false">IFERROR(AG394+AG395,"n/a")</f>
        <v>2073.6</v>
      </c>
      <c r="AH393" s="30"/>
      <c r="AI393" s="30"/>
      <c r="AJ393" s="30"/>
      <c r="AK393" s="30"/>
      <c r="AL393" s="30"/>
      <c r="AM393" s="30" t="n">
        <f aca="false">IFERROR(AM394+AM395,"n/a")</f>
        <v>2949.3</v>
      </c>
      <c r="AN393" s="30"/>
      <c r="AO393" s="30"/>
      <c r="AP393" s="30"/>
      <c r="AQ393" s="30"/>
      <c r="AR393" s="30"/>
      <c r="AS393" s="30" t="n">
        <f aca="false">IFERROR(AS394+AS395,"n/a")</f>
        <v>2834.7</v>
      </c>
      <c r="AT393" s="30"/>
      <c r="AU393" s="30"/>
      <c r="AV393" s="30"/>
      <c r="AW393" s="30"/>
      <c r="AX393" s="30"/>
      <c r="AY393" s="30" t="n">
        <f aca="false">IFERROR(AY394+AY395,"n/a")</f>
        <v>3365.8</v>
      </c>
      <c r="AZ393" s="30"/>
      <c r="BA393" s="30"/>
      <c r="BB393" s="30"/>
      <c r="BC393" s="30"/>
      <c r="BD393" s="30"/>
      <c r="BE393" s="30" t="n">
        <f aca="false">IFERROR(BE394+BE395,"n/a")</f>
        <v>3334</v>
      </c>
      <c r="BF393" s="30"/>
      <c r="BG393" s="30"/>
      <c r="BH393" s="30"/>
      <c r="BI393" s="30"/>
      <c r="BJ393" s="30"/>
      <c r="BK393" s="30" t="n">
        <f aca="false">IFERROR(BK394+BK395,"n/a")</f>
        <v>11246.7</v>
      </c>
      <c r="BL393" s="30"/>
      <c r="BM393" s="30"/>
      <c r="BN393" s="30"/>
      <c r="BO393" s="30"/>
      <c r="BP393" s="30"/>
      <c r="BQ393" s="30" t="n">
        <f aca="false">IFERROR(BQ394+BQ395,"n/a")</f>
        <v>11455.4</v>
      </c>
      <c r="BR393" s="30"/>
      <c r="BS393" s="30"/>
      <c r="BT393" s="30"/>
      <c r="BU393" s="30"/>
      <c r="BV393" s="30"/>
      <c r="BW393" s="30" t="n">
        <f aca="false">IFERROR(BW394+BW395,"n/a")</f>
        <v>11822.4</v>
      </c>
      <c r="BX393" s="30"/>
      <c r="BY393" s="30"/>
      <c r="BZ393" s="30"/>
      <c r="CA393" s="30"/>
      <c r="CB393" s="30"/>
      <c r="CC393" s="30" t="n">
        <f aca="false">IFERROR(CC394+CC395,"n/a")</f>
        <v>11554.6</v>
      </c>
      <c r="CD393" s="30"/>
      <c r="CE393" s="30"/>
      <c r="CF393" s="30"/>
      <c r="CG393" s="30"/>
      <c r="CH393" s="30"/>
      <c r="CI393" s="30" t="n">
        <f aca="false">IFERROR(CI394+CI395,"n/a")</f>
        <v>12636.9</v>
      </c>
      <c r="CJ393" s="30"/>
      <c r="CK393" s="30"/>
      <c r="CL393" s="30"/>
      <c r="CM393" s="32"/>
      <c r="CN393" s="32"/>
      <c r="CO393" s="32" t="n">
        <f aca="false">IFERROR(CO394+CO395,"n/a")</f>
        <v>12599.3183352975</v>
      </c>
      <c r="CP393" s="32" t="n">
        <f aca="false">IFERROR(CP394+CP395,"n/a")</f>
        <v>13222.9250285746</v>
      </c>
      <c r="CQ393" s="32" t="n">
        <f aca="false">IFERROR(CQ394+CQ395,"n/a")</f>
        <v>14092.4568681462</v>
      </c>
      <c r="CR393" s="32" t="n">
        <f aca="false">IFERROR(CR394+CR395,"n/a")</f>
        <v>14980.1908636896</v>
      </c>
      <c r="CS393" s="32" t="n">
        <f aca="false">IFERROR(CS394+CS395,"n/a")</f>
        <v>15879.7072647432</v>
      </c>
      <c r="CT393" s="23"/>
      <c r="CV393" s="7"/>
      <c r="CW393" s="7"/>
      <c r="CX393" s="7"/>
      <c r="CY393" s="7"/>
    </row>
    <row r="394" customFormat="false" ht="15" hidden="false" customHeight="true" outlineLevel="0" collapsed="false">
      <c r="B394" s="13" t="s">
        <v>543</v>
      </c>
      <c r="C394" s="30" t="n">
        <f aca="false">C350+N(C342)</f>
        <v>431.8</v>
      </c>
      <c r="D394" s="30" t="n">
        <f aca="false">D350+N(D342)</f>
        <v>530.2</v>
      </c>
      <c r="E394" s="30" t="n">
        <f aca="false">E350+N(E342)</f>
        <v>535.2</v>
      </c>
      <c r="F394" s="30" t="n">
        <f aca="false">F350+N(F342)</f>
        <v>667.4</v>
      </c>
      <c r="G394" s="30" t="n">
        <f aca="false">G350+N(G342)</f>
        <v>787</v>
      </c>
      <c r="H394" s="30" t="n">
        <f aca="false">H350+N(H342)</f>
        <v>984.1</v>
      </c>
      <c r="I394" s="30" t="n">
        <f aca="false">I350+N(I342)</f>
        <v>1203.4</v>
      </c>
      <c r="J394" s="30"/>
      <c r="K394" s="30"/>
      <c r="L394" s="30"/>
      <c r="M394" s="30"/>
      <c r="N394" s="30"/>
      <c r="O394" s="30" t="n">
        <f aca="false">O350+N(O342)</f>
        <v>1518.7</v>
      </c>
      <c r="P394" s="30"/>
      <c r="Q394" s="30"/>
      <c r="R394" s="30"/>
      <c r="S394" s="30"/>
      <c r="T394" s="30"/>
      <c r="U394" s="30" t="n">
        <f aca="false">U350+N(U342)</f>
        <v>1468.5</v>
      </c>
      <c r="V394" s="30"/>
      <c r="W394" s="30"/>
      <c r="X394" s="30"/>
      <c r="Y394" s="30"/>
      <c r="Z394" s="30"/>
      <c r="AA394" s="30" t="n">
        <f aca="false">AA350+N(AA342)</f>
        <v>1344.1</v>
      </c>
      <c r="AB394" s="30"/>
      <c r="AC394" s="30"/>
      <c r="AD394" s="30"/>
      <c r="AE394" s="30"/>
      <c r="AF394" s="30"/>
      <c r="AG394" s="30" t="n">
        <f aca="false">AG350+N(AG342)</f>
        <v>1554.4</v>
      </c>
      <c r="AH394" s="30"/>
      <c r="AI394" s="30"/>
      <c r="AJ394" s="30"/>
      <c r="AK394" s="30"/>
      <c r="AL394" s="30"/>
      <c r="AM394" s="30" t="n">
        <f aca="false">AM350+N(AM342)</f>
        <v>1947.3</v>
      </c>
      <c r="AN394" s="30"/>
      <c r="AO394" s="30"/>
      <c r="AP394" s="30"/>
      <c r="AQ394" s="30"/>
      <c r="AR394" s="30"/>
      <c r="AS394" s="30" t="n">
        <f aca="false">AS350+N(AS342)</f>
        <v>2229.7</v>
      </c>
      <c r="AT394" s="30"/>
      <c r="AU394" s="30"/>
      <c r="AV394" s="30"/>
      <c r="AW394" s="30"/>
      <c r="AX394" s="30"/>
      <c r="AY394" s="30" t="n">
        <f aca="false">AY350+N(AY342)</f>
        <v>2714.7</v>
      </c>
      <c r="AZ394" s="30"/>
      <c r="BA394" s="30"/>
      <c r="BB394" s="30"/>
      <c r="BC394" s="30"/>
      <c r="BD394" s="30"/>
      <c r="BE394" s="30" t="n">
        <f aca="false">BE350+N(BE342)</f>
        <v>3228.6</v>
      </c>
      <c r="BF394" s="30"/>
      <c r="BG394" s="30"/>
      <c r="BH394" s="30"/>
      <c r="BI394" s="30"/>
      <c r="BJ394" s="30"/>
      <c r="BK394" s="30" t="n">
        <f aca="false">BK350+N(BK342)</f>
        <v>7622</v>
      </c>
      <c r="BL394" s="30"/>
      <c r="BM394" s="30"/>
      <c r="BN394" s="30"/>
      <c r="BO394" s="30"/>
      <c r="BP394" s="30"/>
      <c r="BQ394" s="30" t="n">
        <f aca="false">BQ350+N(BQ342)</f>
        <v>8172.9</v>
      </c>
      <c r="BR394" s="30"/>
      <c r="BS394" s="30"/>
      <c r="BT394" s="30"/>
      <c r="BU394" s="30"/>
      <c r="BV394" s="30"/>
      <c r="BW394" s="30" t="n">
        <f aca="false">BW350+N(BW342)</f>
        <v>9225.8</v>
      </c>
      <c r="BX394" s="30"/>
      <c r="BY394" s="30"/>
      <c r="BZ394" s="30"/>
      <c r="CA394" s="30"/>
      <c r="CB394" s="30"/>
      <c r="CC394" s="30" t="n">
        <f aca="false">CC350+N(CC342)</f>
        <v>9555.4</v>
      </c>
      <c r="CD394" s="30"/>
      <c r="CE394" s="30"/>
      <c r="CF394" s="30"/>
      <c r="CG394" s="30"/>
      <c r="CH394" s="30"/>
      <c r="CI394" s="30" t="n">
        <f aca="false">CI350+N(CI342)</f>
        <v>10513.9</v>
      </c>
      <c r="CJ394" s="30"/>
      <c r="CK394" s="30"/>
      <c r="CL394" s="30"/>
      <c r="CM394" s="32"/>
      <c r="CN394" s="32"/>
      <c r="CO394" s="32" t="n">
        <f aca="false">CO350+N(CO342)</f>
        <v>11576.0198647438</v>
      </c>
      <c r="CP394" s="32" t="n">
        <f aca="false">CP350+N(CP342)</f>
        <v>12539.2387564489</v>
      </c>
      <c r="CQ394" s="32" t="n">
        <f aca="false">CQ350+N(CQ342)</f>
        <v>13632.3549196892</v>
      </c>
      <c r="CR394" s="32" t="n">
        <f aca="false">CR350+N(CR342)</f>
        <v>14890.3930005116</v>
      </c>
      <c r="CS394" s="32" t="n">
        <f aca="false">CS350+N(CS342)</f>
        <v>16313.805140574</v>
      </c>
      <c r="CT394" s="23"/>
      <c r="CV394" s="7"/>
      <c r="CW394" s="7"/>
      <c r="CX394" s="7"/>
      <c r="CY394" s="7"/>
    </row>
    <row r="395" customFormat="false" ht="15" hidden="false" customHeight="true" outlineLevel="0" collapsed="false">
      <c r="B395" s="13" t="s">
        <v>544</v>
      </c>
      <c r="C395" s="30" t="n">
        <f aca="false">C376-C315</f>
        <v>218.9</v>
      </c>
      <c r="D395" s="30" t="n">
        <f aca="false">D376-D315</f>
        <v>129.8</v>
      </c>
      <c r="E395" s="30" t="n">
        <f aca="false">E376-E315</f>
        <v>312.8</v>
      </c>
      <c r="F395" s="30" t="n">
        <f aca="false">F376-F315</f>
        <v>226</v>
      </c>
      <c r="G395" s="30" t="n">
        <f aca="false">G376-G315</f>
        <v>192.2</v>
      </c>
      <c r="H395" s="30" t="n">
        <f aca="false">H376-H315</f>
        <v>263.4</v>
      </c>
      <c r="I395" s="30" t="n">
        <f aca="false">I376-I315</f>
        <v>512.4</v>
      </c>
      <c r="J395" s="30"/>
      <c r="K395" s="30"/>
      <c r="L395" s="30"/>
      <c r="M395" s="30"/>
      <c r="N395" s="30"/>
      <c r="O395" s="30" t="n">
        <f aca="false">O376-O315</f>
        <v>486.5</v>
      </c>
      <c r="P395" s="30"/>
      <c r="Q395" s="30"/>
      <c r="R395" s="30"/>
      <c r="S395" s="30"/>
      <c r="T395" s="30"/>
      <c r="U395" s="30" t="n">
        <f aca="false">U376-U315</f>
        <v>563.7</v>
      </c>
      <c r="V395" s="30"/>
      <c r="W395" s="30"/>
      <c r="X395" s="30"/>
      <c r="Y395" s="30"/>
      <c r="Z395" s="30"/>
      <c r="AA395" s="30" t="n">
        <f aca="false">AA376-AA315</f>
        <v>695.5</v>
      </c>
      <c r="AB395" s="30"/>
      <c r="AC395" s="30"/>
      <c r="AD395" s="30"/>
      <c r="AE395" s="30"/>
      <c r="AF395" s="30"/>
      <c r="AG395" s="30" t="n">
        <f aca="false">AG376-AG315</f>
        <v>519.2</v>
      </c>
      <c r="AH395" s="30"/>
      <c r="AI395" s="30"/>
      <c r="AJ395" s="30"/>
      <c r="AK395" s="30"/>
      <c r="AL395" s="30"/>
      <c r="AM395" s="30" t="n">
        <f aca="false">AM376-AM315</f>
        <v>1002</v>
      </c>
      <c r="AN395" s="30"/>
      <c r="AO395" s="30"/>
      <c r="AP395" s="30"/>
      <c r="AQ395" s="30"/>
      <c r="AR395" s="30"/>
      <c r="AS395" s="30" t="n">
        <f aca="false">AS376-AS315</f>
        <v>605</v>
      </c>
      <c r="AT395" s="30"/>
      <c r="AU395" s="30"/>
      <c r="AV395" s="30"/>
      <c r="AW395" s="30"/>
      <c r="AX395" s="30"/>
      <c r="AY395" s="30" t="n">
        <f aca="false">AY376-AY315</f>
        <v>651.1</v>
      </c>
      <c r="AZ395" s="30"/>
      <c r="BA395" s="30"/>
      <c r="BB395" s="30"/>
      <c r="BC395" s="30"/>
      <c r="BD395" s="30"/>
      <c r="BE395" s="30" t="n">
        <f aca="false">BE376-BE315</f>
        <v>105.4</v>
      </c>
      <c r="BF395" s="30"/>
      <c r="BG395" s="30"/>
      <c r="BH395" s="30"/>
      <c r="BI395" s="30"/>
      <c r="BJ395" s="30"/>
      <c r="BK395" s="30" t="n">
        <f aca="false">BK376-BK315</f>
        <v>3624.7</v>
      </c>
      <c r="BL395" s="30"/>
      <c r="BM395" s="30"/>
      <c r="BN395" s="30"/>
      <c r="BO395" s="30"/>
      <c r="BP395" s="30"/>
      <c r="BQ395" s="30" t="n">
        <f aca="false">BQ376-BQ315</f>
        <v>3282.5</v>
      </c>
      <c r="BR395" s="30"/>
      <c r="BS395" s="30"/>
      <c r="BT395" s="30"/>
      <c r="BU395" s="30"/>
      <c r="BV395" s="30"/>
      <c r="BW395" s="30" t="n">
        <f aca="false">BW376-BW315</f>
        <v>2596.6</v>
      </c>
      <c r="BX395" s="30"/>
      <c r="BY395" s="30"/>
      <c r="BZ395" s="30"/>
      <c r="CA395" s="30"/>
      <c r="CB395" s="30"/>
      <c r="CC395" s="30" t="n">
        <f aca="false">CC376-CC315</f>
        <v>1999.2</v>
      </c>
      <c r="CD395" s="30"/>
      <c r="CE395" s="30"/>
      <c r="CF395" s="30"/>
      <c r="CG395" s="30"/>
      <c r="CH395" s="30"/>
      <c r="CI395" s="30" t="n">
        <f aca="false">CI376-CI315</f>
        <v>2123</v>
      </c>
      <c r="CJ395" s="30"/>
      <c r="CK395" s="30"/>
      <c r="CL395" s="30"/>
      <c r="CM395" s="32"/>
      <c r="CN395" s="32"/>
      <c r="CO395" s="32" t="n">
        <f aca="false">CO376-CO315</f>
        <v>1023.29847055374</v>
      </c>
      <c r="CP395" s="32" t="n">
        <f aca="false">CP376-CP315</f>
        <v>683.686272125648</v>
      </c>
      <c r="CQ395" s="32" t="n">
        <f aca="false">CQ376-CQ315</f>
        <v>460.10194845705</v>
      </c>
      <c r="CR395" s="32" t="n">
        <f aca="false">CR376-CR315</f>
        <v>89.7978631780411</v>
      </c>
      <c r="CS395" s="32" t="n">
        <f aca="false">CS376-CS315</f>
        <v>-434.097875830852</v>
      </c>
      <c r="CT395" s="23"/>
      <c r="CV395" s="7"/>
      <c r="CW395" s="7"/>
      <c r="CX395" s="7"/>
      <c r="CY395" s="7"/>
    </row>
    <row r="396" customFormat="false" ht="15" hidden="false" customHeight="true" outlineLevel="0" collapsed="false">
      <c r="B396" s="34" t="s">
        <v>545</v>
      </c>
      <c r="C396" s="68" t="n">
        <f aca="false">IFERROR(C392/C393,"n/a")</f>
        <v>0.135226949499185</v>
      </c>
      <c r="D396" s="68" t="n">
        <f aca="false">IFERROR(D392/D393,"n/a")</f>
        <v>0.170571431406402</v>
      </c>
      <c r="E396" s="68" t="n">
        <f aca="false">IFERROR(E392/E393,"n/a")</f>
        <v>0.159901645925331</v>
      </c>
      <c r="F396" s="68" t="n">
        <f aca="false">IFERROR(F392/F393,"n/a")</f>
        <v>0.143912731828279</v>
      </c>
      <c r="G396" s="68" t="n">
        <f aca="false">IFERROR(G392/G393,"n/a")</f>
        <v>0.135961642721605</v>
      </c>
      <c r="H396" s="68" t="n">
        <f aca="false">IFERROR(H392/H393,"n/a")</f>
        <v>0.135548147334366</v>
      </c>
      <c r="I396" s="68" t="n">
        <f aca="false">IFERROR(I392/I393,"n/a")</f>
        <v>0.113302268068115</v>
      </c>
      <c r="J396" s="69"/>
      <c r="K396" s="69"/>
      <c r="L396" s="69"/>
      <c r="M396" s="69"/>
      <c r="N396" s="69"/>
      <c r="O396" s="68" t="n">
        <f aca="false">IFERROR(O392/O393,"n/a")</f>
        <v>0.111645213516286</v>
      </c>
      <c r="P396" s="69"/>
      <c r="Q396" s="69"/>
      <c r="R396" s="69"/>
      <c r="S396" s="69"/>
      <c r="T396" s="69"/>
      <c r="U396" s="68" t="n">
        <f aca="false">IFERROR(U392/U393,"n/a")</f>
        <v>0.12278983306727</v>
      </c>
      <c r="V396" s="69"/>
      <c r="W396" s="69"/>
      <c r="X396" s="69"/>
      <c r="Y396" s="69"/>
      <c r="Z396" s="69"/>
      <c r="AA396" s="68" t="n">
        <f aca="false">IFERROR(AA392/AA393,"n/a")</f>
        <v>0.1159357844045</v>
      </c>
      <c r="AB396" s="69"/>
      <c r="AC396" s="69"/>
      <c r="AD396" s="69"/>
      <c r="AE396" s="69"/>
      <c r="AF396" s="69"/>
      <c r="AG396" s="68" t="n">
        <f aca="false">IFERROR(AG392/AG393,"n/a")</f>
        <v>0.108353255002481</v>
      </c>
      <c r="AH396" s="69"/>
      <c r="AI396" s="69"/>
      <c r="AJ396" s="69"/>
      <c r="AK396" s="69"/>
      <c r="AL396" s="69"/>
      <c r="AM396" s="68" t="n">
        <f aca="false">IFERROR(AM392/AM393,"n/a")</f>
        <v>0.102481011557576</v>
      </c>
      <c r="AN396" s="69"/>
      <c r="AO396" s="69"/>
      <c r="AP396" s="69"/>
      <c r="AQ396" s="69"/>
      <c r="AR396" s="69"/>
      <c r="AS396" s="68" t="n">
        <f aca="false">IFERROR(AS392/AS393,"n/a")</f>
        <v>0.136349427904195</v>
      </c>
      <c r="AT396" s="69"/>
      <c r="AU396" s="69"/>
      <c r="AV396" s="69"/>
      <c r="AW396" s="69"/>
      <c r="AX396" s="69"/>
      <c r="AY396" s="68" t="n">
        <f aca="false">IFERROR(AY392/AY393,"n/a")</f>
        <v>0.133277469593092</v>
      </c>
      <c r="AZ396" s="69"/>
      <c r="BA396" s="69"/>
      <c r="BB396" s="69"/>
      <c r="BC396" s="69"/>
      <c r="BD396" s="69"/>
      <c r="BE396" s="68" t="n">
        <f aca="false">IFERROR(BE392/BE393,"n/a")</f>
        <v>0.133172796992656</v>
      </c>
      <c r="BF396" s="69"/>
      <c r="BG396" s="69"/>
      <c r="BH396" s="69"/>
      <c r="BI396" s="69"/>
      <c r="BJ396" s="69"/>
      <c r="BK396" s="68" t="n">
        <f aca="false">IFERROR(BK392/BK393,"n/a")</f>
        <v>0.07291259122367</v>
      </c>
      <c r="BL396" s="69"/>
      <c r="BM396" s="69"/>
      <c r="BN396" s="69"/>
      <c r="BO396" s="69"/>
      <c r="BP396" s="69"/>
      <c r="BQ396" s="68" t="n">
        <f aca="false">IFERROR(BQ392/BQ393,"n/a")</f>
        <v>0.0887059010703461</v>
      </c>
      <c r="BR396" s="69"/>
      <c r="BS396" s="69"/>
      <c r="BT396" s="69"/>
      <c r="BU396" s="69"/>
      <c r="BV396" s="69"/>
      <c r="BW396" s="68" t="n">
        <f aca="false">IFERROR(BW392/BW393,"n/a")</f>
        <v>0.0969695586874712</v>
      </c>
      <c r="BX396" s="69"/>
      <c r="BY396" s="69"/>
      <c r="BZ396" s="69"/>
      <c r="CA396" s="69"/>
      <c r="CB396" s="69"/>
      <c r="CC396" s="68" t="n">
        <f aca="false">IFERROR(CC392/CC393,"n/a")</f>
        <v>0.0945121335840171</v>
      </c>
      <c r="CD396" s="69"/>
      <c r="CE396" s="69"/>
      <c r="CF396" s="69"/>
      <c r="CG396" s="69"/>
      <c r="CH396" s="69"/>
      <c r="CI396" s="68" t="n">
        <f aca="false">IFERROR(CI392/CI393,"n/a")</f>
        <v>0.0893686805333207</v>
      </c>
      <c r="CJ396" s="69"/>
      <c r="CK396" s="69"/>
      <c r="CL396" s="69"/>
      <c r="CM396" s="68"/>
      <c r="CN396" s="68"/>
      <c r="CO396" s="68" t="n">
        <f aca="false">IFERROR(CO392/CO393,"n/a")</f>
        <v>0.094730157918008</v>
      </c>
      <c r="CP396" s="68" t="n">
        <f aca="false">IFERROR(CP392/CP393,"n/a")</f>
        <v>0.0995847710035775</v>
      </c>
      <c r="CQ396" s="68" t="n">
        <f aca="false">IFERROR(CQ392/CQ393,"n/a")</f>
        <v>0.103381290168862</v>
      </c>
      <c r="CR396" s="68" t="n">
        <f aca="false">IFERROR(CR392/CR393,"n/a")</f>
        <v>0.107108328505268</v>
      </c>
      <c r="CS396" s="68" t="n">
        <f aca="false">IFERROR(CS392/CS393,"n/a")</f>
        <v>0.111009358250311</v>
      </c>
      <c r="CT396" s="23"/>
      <c r="CV396" s="41" t="n">
        <f aca="false">IFERROR(AVERAGE(CO396,CP396,CQ396,CR396,CS396),"n/m")</f>
        <v>0.103162781169205</v>
      </c>
      <c r="CW396" s="41" t="n">
        <f aca="false">IFERROR(AVERAGE(BK396,BQ396,BW396,CC396,CI396),"n/m")</f>
        <v>0.088493773019765</v>
      </c>
      <c r="CX396" s="41" t="n">
        <f aca="false">IFERROR(AVERAGE(AG396,AM396,AS396,AY396,BE396,BK396,BQ396,BW396,CC396,CI396),"n/m")</f>
        <v>0.105610282614883</v>
      </c>
      <c r="CY396" s="41" t="n">
        <f aca="false">IFERROR(AVERAGE(C396,D396,E396,F396,G396,H396,I396,O396,U396,AA396,AG396,AM396,AS396,AY396,BE396,BK396,BQ396,BW396,CC396,CI396),"n/m")</f>
        <v>0.120044923696008</v>
      </c>
    </row>
    <row r="397" customFormat="false" ht="15" hidden="false" customHeight="true" outlineLevel="0" collapsed="false">
      <c r="B397" s="13" t="s">
        <v>546</v>
      </c>
      <c r="C397" s="40" t="n">
        <f aca="false">IFERROR(C390/C152,"n/a")</f>
        <v>0.0926597823053307</v>
      </c>
      <c r="D397" s="40" t="n">
        <f aca="false">IFERROR(D390/D152,"n/a")</f>
        <v>0.103988164950995</v>
      </c>
      <c r="E397" s="40" t="n">
        <f aca="false">IFERROR(E390/E152,"n/a")</f>
        <v>0.124506387921022</v>
      </c>
      <c r="F397" s="40" t="n">
        <f aca="false">IFERROR(F390/F152,"n/a")</f>
        <v>0.111252345499667</v>
      </c>
      <c r="G397" s="40" t="n">
        <f aca="false">IFERROR(G390/G152,"n/a")</f>
        <v>0.117139034180757</v>
      </c>
      <c r="H397" s="40" t="n">
        <f aca="false">IFERROR(H390/H152,"n/a")</f>
        <v>0.129666821154539</v>
      </c>
      <c r="I397" s="40" t="n">
        <f aca="false">IFERROR(I390/I152,"n/a")</f>
        <v>0.128096648333568</v>
      </c>
      <c r="J397" s="40"/>
      <c r="K397" s="40"/>
      <c r="L397" s="40"/>
      <c r="M397" s="40"/>
      <c r="N397" s="40"/>
      <c r="O397" s="40" t="n">
        <f aca="false">IFERROR(O390/O152,"n/a")</f>
        <v>0.116223381510305</v>
      </c>
      <c r="P397" s="40"/>
      <c r="Q397" s="40"/>
      <c r="R397" s="40"/>
      <c r="S397" s="40"/>
      <c r="T397" s="40"/>
      <c r="U397" s="40" t="n">
        <f aca="false">IFERROR(U390/U152,"n/a")</f>
        <v>0.136382623224729</v>
      </c>
      <c r="V397" s="40"/>
      <c r="W397" s="40"/>
      <c r="X397" s="40"/>
      <c r="Y397" s="40"/>
      <c r="Z397" s="40"/>
      <c r="AA397" s="40" t="n">
        <f aca="false">IFERROR(AA390/AA152,"n/a")</f>
        <v>0.135894869674949</v>
      </c>
      <c r="AB397" s="40"/>
      <c r="AC397" s="40"/>
      <c r="AD397" s="40"/>
      <c r="AE397" s="40"/>
      <c r="AF397" s="40"/>
      <c r="AG397" s="40" t="n">
        <f aca="false">IFERROR(AG390/AG152,"n/a")</f>
        <v>0.132099167403135</v>
      </c>
      <c r="AH397" s="40"/>
      <c r="AI397" s="40"/>
      <c r="AJ397" s="40"/>
      <c r="AK397" s="40"/>
      <c r="AL397" s="40"/>
      <c r="AM397" s="40" t="n">
        <f aca="false">IFERROR(AM390/AM152,"n/a")</f>
        <v>0.146631845763884</v>
      </c>
      <c r="AN397" s="40"/>
      <c r="AO397" s="40"/>
      <c r="AP397" s="40"/>
      <c r="AQ397" s="40"/>
      <c r="AR397" s="40"/>
      <c r="AS397" s="40" t="n">
        <f aca="false">IFERROR(AS390/AS152,"n/a")</f>
        <v>0.1571783031222</v>
      </c>
      <c r="AT397" s="40"/>
      <c r="AU397" s="40"/>
      <c r="AV397" s="40"/>
      <c r="AW397" s="40"/>
      <c r="AX397" s="40"/>
      <c r="AY397" s="40" t="n">
        <f aca="false">IFERROR(AY390/AY152,"n/a")</f>
        <v>0.166961689214819</v>
      </c>
      <c r="AZ397" s="40"/>
      <c r="BA397" s="40"/>
      <c r="BB397" s="40"/>
      <c r="BC397" s="40"/>
      <c r="BD397" s="40"/>
      <c r="BE397" s="40" t="n">
        <f aca="false">IFERROR(BE390/BE152,"n/a")</f>
        <v>0.168135571252673</v>
      </c>
      <c r="BF397" s="40"/>
      <c r="BG397" s="40"/>
      <c r="BH397" s="40"/>
      <c r="BI397" s="40"/>
      <c r="BJ397" s="40"/>
      <c r="BK397" s="40" t="n">
        <f aca="false">IFERROR(BK390/BK152,"n/a")</f>
        <v>0.213033396181436</v>
      </c>
      <c r="BL397" s="40"/>
      <c r="BM397" s="40"/>
      <c r="BN397" s="40"/>
      <c r="BO397" s="40"/>
      <c r="BP397" s="40"/>
      <c r="BQ397" s="40" t="n">
        <f aca="false">IFERROR(BQ390/BQ152,"n/a")</f>
        <v>0.214285714285714</v>
      </c>
      <c r="BR397" s="40"/>
      <c r="BS397" s="40"/>
      <c r="BT397" s="40"/>
      <c r="BU397" s="40"/>
      <c r="BV397" s="40"/>
      <c r="BW397" s="40" t="n">
        <f aca="false">IFERROR(BW390/BW152,"n/a")</f>
        <v>0.220015970188981</v>
      </c>
      <c r="BX397" s="40"/>
      <c r="BY397" s="40"/>
      <c r="BZ397" s="40"/>
      <c r="CA397" s="40"/>
      <c r="CB397" s="40"/>
      <c r="CC397" s="40" t="n">
        <f aca="false">IFERROR(CC390/CC152,"n/a")</f>
        <v>0.22010582010582</v>
      </c>
      <c r="CD397" s="40"/>
      <c r="CE397" s="40"/>
      <c r="CF397" s="40"/>
      <c r="CG397" s="40"/>
      <c r="CH397" s="40"/>
      <c r="CI397" s="40" t="n">
        <f aca="false">IFERROR(CI390/CI152,"n/a")</f>
        <v>0.225659809660856</v>
      </c>
      <c r="CJ397" s="40"/>
      <c r="CK397" s="40"/>
      <c r="CL397" s="40"/>
      <c r="CM397" s="28"/>
      <c r="CN397" s="28"/>
      <c r="CO397" s="28" t="n">
        <f aca="false">IFERROR(CO390/CO152,"n/a")</f>
        <v>0.225651608378632</v>
      </c>
      <c r="CP397" s="28" t="n">
        <f aca="false">IFERROR(CP390/CP152,"n/a")</f>
        <v>0.233628963721645</v>
      </c>
      <c r="CQ397" s="28" t="n">
        <f aca="false">IFERROR(CQ390/CQ152,"n/a")</f>
        <v>0.23652990542569</v>
      </c>
      <c r="CR397" s="28" t="n">
        <f aca="false">IFERROR(CR390/CR152,"n/a")</f>
        <v>0.238748055526162</v>
      </c>
      <c r="CS397" s="28" t="n">
        <f aca="false">IFERROR(CS390/CS152,"n/a")</f>
        <v>0.241270364889337</v>
      </c>
      <c r="CT397" s="23"/>
      <c r="CV397" s="7"/>
      <c r="CW397" s="7"/>
      <c r="CX397" s="7"/>
      <c r="CY397" s="7"/>
    </row>
    <row r="398" customFormat="false" ht="15" hidden="false" customHeight="true" outlineLevel="0" collapsed="false">
      <c r="B398" s="13" t="s">
        <v>547</v>
      </c>
      <c r="C398" s="48" t="n">
        <f aca="false">IFERROR(C152/C393,"n/a")</f>
        <v>2.20255109881666</v>
      </c>
      <c r="D398" s="48" t="n">
        <f aca="false">IFERROR(D152/D393,"n/a")</f>
        <v>2.4580303030303</v>
      </c>
      <c r="E398" s="48" t="n">
        <f aca="false">IFERROR(E152/E393,"n/a")</f>
        <v>2.03066037735849</v>
      </c>
      <c r="F398" s="48" t="n">
        <f aca="false">IFERROR(F152/F393,"n/a")</f>
        <v>1.8492276695769</v>
      </c>
      <c r="G398" s="48" t="n">
        <f aca="false">IFERROR(G152/G393,"n/a")</f>
        <v>1.67912581699346</v>
      </c>
      <c r="H398" s="48" t="n">
        <f aca="false">IFERROR(H152/H393,"n/a")</f>
        <v>1.55663326653307</v>
      </c>
      <c r="I398" s="48" t="n">
        <f aca="false">IFERROR(I152/I393,"n/a")</f>
        <v>1.23982981699499</v>
      </c>
      <c r="J398" s="48"/>
      <c r="K398" s="48"/>
      <c r="L398" s="48"/>
      <c r="M398" s="48"/>
      <c r="N398" s="48"/>
      <c r="O398" s="48" t="n">
        <f aca="false">IFERROR(O152/O393,"n/a")</f>
        <v>1.16626770396968</v>
      </c>
      <c r="P398" s="48"/>
      <c r="Q398" s="48"/>
      <c r="R398" s="48"/>
      <c r="S398" s="48"/>
      <c r="T398" s="48"/>
      <c r="U398" s="48" t="n">
        <f aca="false">IFERROR(U152/U393,"n/a")</f>
        <v>1.17803365810452</v>
      </c>
      <c r="V398" s="48"/>
      <c r="W398" s="48"/>
      <c r="X398" s="48"/>
      <c r="Y398" s="48"/>
      <c r="Z398" s="48"/>
      <c r="AA398" s="48" t="n">
        <f aca="false">IFERROR(AA152/AA393,"n/a")</f>
        <v>1.12674053736027</v>
      </c>
      <c r="AB398" s="48"/>
      <c r="AC398" s="48"/>
      <c r="AD398" s="48"/>
      <c r="AE398" s="48"/>
      <c r="AF398" s="48"/>
      <c r="AG398" s="48" t="n">
        <f aca="false">IFERROR(AG152/AG393,"n/a")</f>
        <v>1.03679591049383</v>
      </c>
      <c r="AH398" s="48"/>
      <c r="AI398" s="48"/>
      <c r="AJ398" s="48"/>
      <c r="AK398" s="48"/>
      <c r="AL398" s="48"/>
      <c r="AM398" s="48" t="n">
        <f aca="false">IFERROR(AM152/AM393,"n/a")</f>
        <v>0.882853558471502</v>
      </c>
      <c r="AN398" s="48"/>
      <c r="AO398" s="48"/>
      <c r="AP398" s="48"/>
      <c r="AQ398" s="48"/>
      <c r="AR398" s="48"/>
      <c r="AS398" s="48" t="n">
        <f aca="false">IFERROR(AS152/AS393,"n/a")</f>
        <v>1.02367093519596</v>
      </c>
      <c r="AT398" s="48"/>
      <c r="AU398" s="48"/>
      <c r="AV398" s="48"/>
      <c r="AW398" s="48"/>
      <c r="AX398" s="48"/>
      <c r="AY398" s="48" t="n">
        <f aca="false">IFERROR(AY152/AY393,"n/a")</f>
        <v>0.939925129241191</v>
      </c>
      <c r="AZ398" s="48"/>
      <c r="BA398" s="48"/>
      <c r="BB398" s="48"/>
      <c r="BC398" s="48"/>
      <c r="BD398" s="48"/>
      <c r="BE398" s="48" t="n">
        <f aca="false">IFERROR(BE152/BE393,"n/a")</f>
        <v>0.925674865026995</v>
      </c>
      <c r="BF398" s="48"/>
      <c r="BG398" s="48"/>
      <c r="BH398" s="48"/>
      <c r="BI398" s="48"/>
      <c r="BJ398" s="48"/>
      <c r="BK398" s="48" t="n">
        <f aca="false">IFERROR(BK152/BK393,"n/a")</f>
        <v>0.410280348902345</v>
      </c>
      <c r="BL398" s="48"/>
      <c r="BM398" s="48"/>
      <c r="BN398" s="48"/>
      <c r="BO398" s="48"/>
      <c r="BP398" s="48"/>
      <c r="BQ398" s="48" t="n">
        <f aca="false">IFERROR(BQ152/BQ393,"n/a")</f>
        <v>0.476508895368123</v>
      </c>
      <c r="BR398" s="48"/>
      <c r="BS398" s="48"/>
      <c r="BT398" s="48"/>
      <c r="BU398" s="48"/>
      <c r="BV398" s="48"/>
      <c r="BW398" s="48" t="n">
        <f aca="false">IFERROR(BW152/BW393,"n/a")</f>
        <v>0.476679861956963</v>
      </c>
      <c r="BX398" s="48"/>
      <c r="BY398" s="48"/>
      <c r="BZ398" s="48"/>
      <c r="CA398" s="48"/>
      <c r="CB398" s="48"/>
      <c r="CC398" s="48" t="n">
        <f aca="false">IFERROR(CC152/CC393,"n/a")</f>
        <v>0.490713655167639</v>
      </c>
      <c r="CD398" s="48"/>
      <c r="CE398" s="48"/>
      <c r="CF398" s="48"/>
      <c r="CG398" s="48"/>
      <c r="CH398" s="48"/>
      <c r="CI398" s="48" t="n">
        <f aca="false">IFERROR(CI152/CI393,"n/a")</f>
        <v>0.483931976988027</v>
      </c>
      <c r="CJ398" s="48"/>
      <c r="CK398" s="48"/>
      <c r="CL398" s="48"/>
      <c r="CM398" s="49"/>
      <c r="CN398" s="49"/>
      <c r="CO398" s="49" t="n">
        <f aca="false">IFERROR(CO152/CO393,"n/a")</f>
        <v>0.530670586861185</v>
      </c>
      <c r="CP398" s="49" t="n">
        <f aca="false">IFERROR(CP152/CP393,"n/a")</f>
        <v>0.542995949112812</v>
      </c>
      <c r="CQ398" s="49" t="n">
        <f aca="false">IFERROR(CQ152/CQ393,"n/a")</f>
        <v>0.556783341227481</v>
      </c>
      <c r="CR398" s="49" t="n">
        <f aca="false">IFERROR(CR152/CR393,"n/a")</f>
        <v>0.57149671975028</v>
      </c>
      <c r="CS398" s="49" t="n">
        <f aca="false">IFERROR(CS152/CS393,"n/a")</f>
        <v>0.586119208167931</v>
      </c>
      <c r="CT398" s="23"/>
      <c r="CV398" s="7"/>
      <c r="CW398" s="7"/>
      <c r="CX398" s="7"/>
      <c r="CY398" s="7"/>
    </row>
    <row r="399" customFormat="false" ht="15" hidden="false" customHeight="true" outlineLevel="0" collapsed="false">
      <c r="B399" s="13" t="s">
        <v>548</v>
      </c>
      <c r="C399" s="40" t="n">
        <f aca="false">IFERROR(1-C391,"n/a")</f>
        <v>0.662591687041565</v>
      </c>
      <c r="D399" s="40" t="n">
        <f aca="false">IFERROR(1-D391,"n/a")</f>
        <v>0.66732154551408</v>
      </c>
      <c r="E399" s="40" t="n">
        <f aca="false">IFERROR(1-E391,"n/a")</f>
        <v>0.632446808510638</v>
      </c>
      <c r="F399" s="40" t="n">
        <f aca="false">IFERROR(1-F391,"n/a")</f>
        <v>0.699519230769231</v>
      </c>
      <c r="G399" s="40" t="n">
        <f aca="false">IFERROR(1-G391,"n/a")</f>
        <v>0.691244239631337</v>
      </c>
      <c r="H399" s="40" t="n">
        <f aca="false">IFERROR(1-H391,"n/a")</f>
        <v>0.671550094517958</v>
      </c>
      <c r="I399" s="40" t="n">
        <f aca="false">IFERROR(1-I391,"n/a")</f>
        <v>0.713409290096407</v>
      </c>
      <c r="J399" s="40"/>
      <c r="K399" s="40"/>
      <c r="L399" s="40"/>
      <c r="M399" s="40"/>
      <c r="N399" s="40"/>
      <c r="O399" s="40" t="n">
        <f aca="false">IFERROR(1-O391,"n/a")</f>
        <v>0.823660714285714</v>
      </c>
      <c r="P399" s="40"/>
      <c r="Q399" s="40"/>
      <c r="R399" s="40"/>
      <c r="S399" s="40"/>
      <c r="T399" s="40"/>
      <c r="U399" s="40" t="n">
        <f aca="false">IFERROR(1-U391,"n/a")</f>
        <v>0.764267990074442</v>
      </c>
      <c r="V399" s="40"/>
      <c r="W399" s="40"/>
      <c r="X399" s="40"/>
      <c r="Y399" s="40"/>
      <c r="Z399" s="40"/>
      <c r="AA399" s="40" t="n">
        <f aca="false">IFERROR(1-AA391,"n/a")</f>
        <v>0.7571649883811</v>
      </c>
      <c r="AB399" s="40"/>
      <c r="AC399" s="40"/>
      <c r="AD399" s="40"/>
      <c r="AE399" s="40"/>
      <c r="AF399" s="40"/>
      <c r="AG399" s="40" t="n">
        <f aca="false">IFERROR(1-AG391,"n/a")</f>
        <v>0.791131371736428</v>
      </c>
      <c r="AH399" s="40"/>
      <c r="AI399" s="40"/>
      <c r="AJ399" s="40"/>
      <c r="AK399" s="40"/>
      <c r="AL399" s="40"/>
      <c r="AM399" s="40" t="n">
        <f aca="false">IFERROR(1-AM391,"n/a")</f>
        <v>0.791637630662021</v>
      </c>
      <c r="AN399" s="40"/>
      <c r="AO399" s="40"/>
      <c r="AP399" s="40"/>
      <c r="AQ399" s="40"/>
      <c r="AR399" s="40"/>
      <c r="AS399" s="40" t="n">
        <f aca="false">IFERROR(1-AS391,"n/a")</f>
        <v>0.847423203858848</v>
      </c>
      <c r="AT399" s="40"/>
      <c r="AU399" s="40"/>
      <c r="AV399" s="40"/>
      <c r="AW399" s="40"/>
      <c r="AX399" s="40"/>
      <c r="AY399" s="40" t="n">
        <f aca="false">IFERROR(1-AY391,"n/a")</f>
        <v>0.849271690943635</v>
      </c>
      <c r="AZ399" s="40"/>
      <c r="BA399" s="40"/>
      <c r="BB399" s="40"/>
      <c r="BC399" s="40"/>
      <c r="BD399" s="40"/>
      <c r="BE399" s="40" t="n">
        <f aca="false">IFERROR(1-BE391,"n/a")</f>
        <v>0.855652544177134</v>
      </c>
      <c r="BF399" s="40"/>
      <c r="BG399" s="40"/>
      <c r="BH399" s="40"/>
      <c r="BI399" s="40"/>
      <c r="BJ399" s="40"/>
      <c r="BK399" s="40" t="n">
        <f aca="false">IFERROR(1-BK391,"n/a")</f>
        <v>0.83420756837767</v>
      </c>
      <c r="BL399" s="40"/>
      <c r="BM399" s="40"/>
      <c r="BN399" s="40"/>
      <c r="BO399" s="40"/>
      <c r="BP399" s="40"/>
      <c r="BQ399" s="40" t="n">
        <f aca="false">IFERROR(1-BQ391,"n/a")</f>
        <v>0.868736923246339</v>
      </c>
      <c r="BR399" s="40"/>
      <c r="BS399" s="40"/>
      <c r="BT399" s="40"/>
      <c r="BU399" s="40"/>
      <c r="BV399" s="40"/>
      <c r="BW399" s="40" t="n">
        <f aca="false">IFERROR(1-BW391,"n/a")</f>
        <v>0.924601105433309</v>
      </c>
      <c r="BX399" s="40"/>
      <c r="BY399" s="40"/>
      <c r="BZ399" s="40"/>
      <c r="CA399" s="40"/>
      <c r="CB399" s="40"/>
      <c r="CC399" s="40" t="n">
        <f aca="false">IFERROR(1-CC391,"n/a")</f>
        <v>0.875039982940612</v>
      </c>
      <c r="CD399" s="40"/>
      <c r="CE399" s="40"/>
      <c r="CF399" s="40"/>
      <c r="CG399" s="40"/>
      <c r="CH399" s="40"/>
      <c r="CI399" s="40" t="n">
        <f aca="false">IFERROR(1-CI391,"n/a")</f>
        <v>0.818364550022842</v>
      </c>
      <c r="CJ399" s="40"/>
      <c r="CK399" s="40"/>
      <c r="CL399" s="40"/>
      <c r="CM399" s="28"/>
      <c r="CN399" s="28"/>
      <c r="CO399" s="28" t="n">
        <f aca="false">IFERROR(1-CO391,"n/a")</f>
        <v>0.791088025874239</v>
      </c>
      <c r="CP399" s="28" t="n">
        <f aca="false">IFERROR(1-CP391,"n/a")</f>
        <v>0.785</v>
      </c>
      <c r="CQ399" s="28" t="n">
        <f aca="false">IFERROR(1-CQ391,"n/a")</f>
        <v>0.785</v>
      </c>
      <c r="CR399" s="28" t="n">
        <f aca="false">IFERROR(1-CR391,"n/a")</f>
        <v>0.785</v>
      </c>
      <c r="CS399" s="28" t="n">
        <f aca="false">IFERROR(1-CS391,"n/a")</f>
        <v>0.785</v>
      </c>
      <c r="CT399" s="23"/>
      <c r="CV399" s="7"/>
      <c r="CW399" s="7"/>
      <c r="CX399" s="7"/>
      <c r="CY399" s="7"/>
    </row>
    <row r="400" customFormat="false" ht="15" hidden="false" customHeight="true" outlineLevel="0" collapsed="false">
      <c r="B400" s="13" t="s">
        <v>549</v>
      </c>
      <c r="C400" s="40" t="n">
        <f aca="false">IFERROR(C397*C398*C399,"n/a")</f>
        <v>0.135226949499185</v>
      </c>
      <c r="D400" s="40" t="n">
        <f aca="false">IFERROR(D397*D398*D399,"n/a")</f>
        <v>0.170571431406402</v>
      </c>
      <c r="E400" s="40" t="n">
        <f aca="false">IFERROR(E397*E398*E399,"n/a")</f>
        <v>0.159901645925331</v>
      </c>
      <c r="F400" s="40" t="n">
        <f aca="false">IFERROR(F397*F398*F399,"n/a")</f>
        <v>0.143912731828279</v>
      </c>
      <c r="G400" s="40" t="n">
        <f aca="false">IFERROR(G397*G398*G399,"n/a")</f>
        <v>0.135961642721605</v>
      </c>
      <c r="H400" s="40" t="n">
        <f aca="false">IFERROR(H397*H398*H399,"n/a")</f>
        <v>0.135548147334366</v>
      </c>
      <c r="I400" s="40" t="n">
        <f aca="false">IFERROR(I397*I398*I399,"n/a")</f>
        <v>0.113302268068115</v>
      </c>
      <c r="J400" s="40"/>
      <c r="K400" s="40"/>
      <c r="L400" s="40"/>
      <c r="M400" s="40"/>
      <c r="N400" s="40"/>
      <c r="O400" s="40" t="n">
        <f aca="false">IFERROR(O397*O398*O399,"n/a")</f>
        <v>0.111645213516286</v>
      </c>
      <c r="P400" s="40"/>
      <c r="Q400" s="40"/>
      <c r="R400" s="40"/>
      <c r="S400" s="40"/>
      <c r="T400" s="40"/>
      <c r="U400" s="40" t="n">
        <f aca="false">IFERROR(U397*U398*U399,"n/a")</f>
        <v>0.12278983306727</v>
      </c>
      <c r="V400" s="40"/>
      <c r="W400" s="40"/>
      <c r="X400" s="40"/>
      <c r="Y400" s="40"/>
      <c r="Z400" s="40"/>
      <c r="AA400" s="40" t="n">
        <f aca="false">IFERROR(AA397*AA398*AA399,"n/a")</f>
        <v>0.1159357844045</v>
      </c>
      <c r="AB400" s="40"/>
      <c r="AC400" s="40"/>
      <c r="AD400" s="40"/>
      <c r="AE400" s="40"/>
      <c r="AF400" s="40"/>
      <c r="AG400" s="40" t="n">
        <f aca="false">IFERROR(AG397*AG398*AG399,"n/a")</f>
        <v>0.108353255002481</v>
      </c>
      <c r="AH400" s="40"/>
      <c r="AI400" s="40"/>
      <c r="AJ400" s="40"/>
      <c r="AK400" s="40"/>
      <c r="AL400" s="40"/>
      <c r="AM400" s="40" t="n">
        <f aca="false">IFERROR(AM397*AM398*AM399,"n/a")</f>
        <v>0.102481011557576</v>
      </c>
      <c r="AN400" s="40"/>
      <c r="AO400" s="40"/>
      <c r="AP400" s="40"/>
      <c r="AQ400" s="40"/>
      <c r="AR400" s="40"/>
      <c r="AS400" s="40" t="n">
        <f aca="false">IFERROR(AS397*AS398*AS399,"n/a")</f>
        <v>0.136349427904195</v>
      </c>
      <c r="AT400" s="40"/>
      <c r="AU400" s="40"/>
      <c r="AV400" s="40"/>
      <c r="AW400" s="40"/>
      <c r="AX400" s="40"/>
      <c r="AY400" s="40" t="n">
        <f aca="false">IFERROR(AY397*AY398*AY399,"n/a")</f>
        <v>0.133277469593092</v>
      </c>
      <c r="AZ400" s="40"/>
      <c r="BA400" s="40"/>
      <c r="BB400" s="40"/>
      <c r="BC400" s="40"/>
      <c r="BD400" s="40"/>
      <c r="BE400" s="40" t="n">
        <f aca="false">IFERROR(BE397*BE398*BE399,"n/a")</f>
        <v>0.133172796992656</v>
      </c>
      <c r="BF400" s="40"/>
      <c r="BG400" s="40"/>
      <c r="BH400" s="40"/>
      <c r="BI400" s="40"/>
      <c r="BJ400" s="40"/>
      <c r="BK400" s="40" t="n">
        <f aca="false">IFERROR(BK397*BK398*BK399,"n/a")</f>
        <v>0.07291259122367</v>
      </c>
      <c r="BL400" s="40"/>
      <c r="BM400" s="40"/>
      <c r="BN400" s="40"/>
      <c r="BO400" s="40"/>
      <c r="BP400" s="40"/>
      <c r="BQ400" s="40" t="n">
        <f aca="false">IFERROR(BQ397*BQ398*BQ399,"n/a")</f>
        <v>0.0887059010703461</v>
      </c>
      <c r="BR400" s="40"/>
      <c r="BS400" s="40"/>
      <c r="BT400" s="40"/>
      <c r="BU400" s="40"/>
      <c r="BV400" s="40"/>
      <c r="BW400" s="40" t="n">
        <f aca="false">IFERROR(BW397*BW398*BW399,"n/a")</f>
        <v>0.0969695586874712</v>
      </c>
      <c r="BX400" s="40"/>
      <c r="BY400" s="40"/>
      <c r="BZ400" s="40"/>
      <c r="CA400" s="40"/>
      <c r="CB400" s="40"/>
      <c r="CC400" s="40" t="n">
        <f aca="false">IFERROR(CC397*CC398*CC399,"n/a")</f>
        <v>0.0945121335840171</v>
      </c>
      <c r="CD400" s="40"/>
      <c r="CE400" s="40"/>
      <c r="CF400" s="40"/>
      <c r="CG400" s="40"/>
      <c r="CH400" s="40"/>
      <c r="CI400" s="40" t="n">
        <f aca="false">IFERROR(CI397*CI398*CI399,"n/a")</f>
        <v>0.0893686805333207</v>
      </c>
      <c r="CJ400" s="40"/>
      <c r="CK400" s="40"/>
      <c r="CL400" s="40"/>
      <c r="CM400" s="28"/>
      <c r="CN400" s="28"/>
      <c r="CO400" s="28" t="n">
        <f aca="false">IFERROR(CO397*CO398*CO399,"n/a")</f>
        <v>0.094730157918008</v>
      </c>
      <c r="CP400" s="28" t="n">
        <f aca="false">IFERROR(CP397*CP398*CP399,"n/a")</f>
        <v>0.0995847710035775</v>
      </c>
      <c r="CQ400" s="28" t="n">
        <f aca="false">IFERROR(CQ397*CQ398*CQ399,"n/a")</f>
        <v>0.103381290168862</v>
      </c>
      <c r="CR400" s="28" t="n">
        <f aca="false">IFERROR(CR397*CR398*CR399,"n/a")</f>
        <v>0.107108328505268</v>
      </c>
      <c r="CS400" s="28" t="n">
        <f aca="false">IFERROR(CS397*CS398*CS399,"n/a")</f>
        <v>0.111009358250311</v>
      </c>
      <c r="CT400" s="23"/>
      <c r="CV400" s="7"/>
      <c r="CW400" s="7"/>
      <c r="CX400" s="7"/>
      <c r="CY400" s="7"/>
    </row>
    <row r="401" customFormat="false" ht="15" hidden="false" customHeight="true" outlineLevel="0" collapsed="false">
      <c r="B401" s="13"/>
      <c r="CM401" s="7"/>
      <c r="CN401" s="7"/>
      <c r="CO401" s="7"/>
      <c r="CP401" s="7"/>
      <c r="CQ401" s="7"/>
      <c r="CR401" s="7"/>
      <c r="CS401" s="7"/>
      <c r="CT401" s="7"/>
    </row>
    <row r="402" customFormat="false" ht="15" hidden="false" customHeight="true" outlineLevel="0" collapsed="false">
      <c r="B402" s="17" t="s">
        <v>550</v>
      </c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  <c r="BO402" s="17"/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  <c r="CA402" s="17"/>
      <c r="CB402" s="17"/>
      <c r="CC402" s="17"/>
      <c r="CD402" s="17"/>
      <c r="CE402" s="17"/>
      <c r="CF402" s="17"/>
      <c r="CG402" s="17"/>
      <c r="CH402" s="17"/>
      <c r="CI402" s="17"/>
      <c r="CJ402" s="17"/>
      <c r="CK402" s="17"/>
      <c r="CL402" s="17"/>
      <c r="CM402" s="17"/>
      <c r="CN402" s="17"/>
      <c r="CO402" s="17"/>
      <c r="CP402" s="17"/>
      <c r="CQ402" s="17"/>
      <c r="CR402" s="17"/>
      <c r="CS402" s="17"/>
      <c r="CT402" s="17"/>
    </row>
    <row r="403" customFormat="false" ht="15" hidden="false" customHeight="true" outlineLevel="0" collapsed="false">
      <c r="B403" s="13" t="s">
        <v>541</v>
      </c>
      <c r="C403" s="30" t="n">
        <f aca="false">C392</f>
        <v>87.9921760391198</v>
      </c>
      <c r="D403" s="30" t="n">
        <f aca="false">D392</f>
        <v>112.577144728225</v>
      </c>
      <c r="E403" s="30" t="n">
        <f aca="false">E392</f>
        <v>135.596595744681</v>
      </c>
      <c r="F403" s="30" t="n">
        <f aca="false">F392</f>
        <v>128.571634615385</v>
      </c>
      <c r="G403" s="30" t="n">
        <f aca="false">G392</f>
        <v>133.133640552996</v>
      </c>
      <c r="H403" s="30" t="n">
        <f aca="false">H392</f>
        <v>169.096313799622</v>
      </c>
      <c r="I403" s="30" t="n">
        <f aca="false">I392</f>
        <v>194.404031551271</v>
      </c>
      <c r="J403" s="30"/>
      <c r="K403" s="30"/>
      <c r="L403" s="30"/>
      <c r="M403" s="30"/>
      <c r="N403" s="30"/>
      <c r="O403" s="30" t="n">
        <f aca="false">O392</f>
        <v>223.870982142857</v>
      </c>
      <c r="P403" s="30"/>
      <c r="Q403" s="30"/>
      <c r="R403" s="30"/>
      <c r="S403" s="30"/>
      <c r="T403" s="30"/>
      <c r="U403" s="30" t="n">
        <f aca="false">U392</f>
        <v>249.533498759305</v>
      </c>
      <c r="V403" s="30"/>
      <c r="W403" s="30"/>
      <c r="X403" s="30"/>
      <c r="Y403" s="30"/>
      <c r="Z403" s="30"/>
      <c r="AA403" s="30" t="n">
        <f aca="false">AA392</f>
        <v>236.462625871417</v>
      </c>
      <c r="AB403" s="30"/>
      <c r="AC403" s="30"/>
      <c r="AD403" s="30"/>
      <c r="AE403" s="30"/>
      <c r="AF403" s="30"/>
      <c r="AG403" s="30" t="n">
        <f aca="false">AG392</f>
        <v>224.681309573146</v>
      </c>
      <c r="AH403" s="30"/>
      <c r="AI403" s="30"/>
      <c r="AJ403" s="30"/>
      <c r="AK403" s="30"/>
      <c r="AL403" s="30"/>
      <c r="AM403" s="30" t="n">
        <f aca="false">AM392</f>
        <v>302.24724738676</v>
      </c>
      <c r="AN403" s="30"/>
      <c r="AO403" s="30"/>
      <c r="AP403" s="30"/>
      <c r="AQ403" s="30"/>
      <c r="AR403" s="30"/>
      <c r="AS403" s="30" t="n">
        <f aca="false">AS392</f>
        <v>386.50972328002</v>
      </c>
      <c r="AT403" s="30"/>
      <c r="AU403" s="30"/>
      <c r="AV403" s="30"/>
      <c r="AW403" s="30"/>
      <c r="AX403" s="30"/>
      <c r="AY403" s="30" t="n">
        <f aca="false">AY392</f>
        <v>448.585307156428</v>
      </c>
      <c r="AZ403" s="30"/>
      <c r="BA403" s="30"/>
      <c r="BB403" s="30"/>
      <c r="BC403" s="30"/>
      <c r="BD403" s="30"/>
      <c r="BE403" s="30" t="n">
        <f aca="false">BE392</f>
        <v>443.998105173515</v>
      </c>
      <c r="BF403" s="30"/>
      <c r="BG403" s="30"/>
      <c r="BH403" s="30"/>
      <c r="BI403" s="30"/>
      <c r="BJ403" s="30"/>
      <c r="BK403" s="30" t="n">
        <f aca="false">BK392</f>
        <v>820.02603971525</v>
      </c>
      <c r="BL403" s="30"/>
      <c r="BM403" s="30"/>
      <c r="BN403" s="30"/>
      <c r="BO403" s="30"/>
      <c r="BP403" s="30"/>
      <c r="BQ403" s="30" t="n">
        <f aca="false">BQ392</f>
        <v>1016.16157912124</v>
      </c>
      <c r="BR403" s="30"/>
      <c r="BS403" s="30"/>
      <c r="BT403" s="30"/>
      <c r="BU403" s="30"/>
      <c r="BV403" s="30"/>
      <c r="BW403" s="30" t="n">
        <f aca="false">BW392</f>
        <v>1146.41291062676</v>
      </c>
      <c r="BX403" s="30"/>
      <c r="BY403" s="30"/>
      <c r="BZ403" s="30"/>
      <c r="CA403" s="30"/>
      <c r="CB403" s="30"/>
      <c r="CC403" s="30" t="n">
        <f aca="false">CC392</f>
        <v>1092.04989870988</v>
      </c>
      <c r="CD403" s="30"/>
      <c r="CE403" s="30"/>
      <c r="CF403" s="30"/>
      <c r="CG403" s="30"/>
      <c r="CH403" s="30"/>
      <c r="CI403" s="30" t="n">
        <f aca="false">CI392</f>
        <v>1129.34307903152</v>
      </c>
      <c r="CJ403" s="30"/>
      <c r="CK403" s="30"/>
      <c r="CL403" s="30"/>
      <c r="CM403" s="32"/>
      <c r="CN403" s="32"/>
      <c r="CO403" s="32" t="n">
        <f aca="false">CO392</f>
        <v>1193.53541556199</v>
      </c>
      <c r="CP403" s="32" t="n">
        <f aca="false">CP392</f>
        <v>1316.80196096807</v>
      </c>
      <c r="CQ403" s="32" t="n">
        <f aca="false">CQ392</f>
        <v>1456.89637267799</v>
      </c>
      <c r="CR403" s="32" t="n">
        <f aca="false">CR392</f>
        <v>1604.50320409968</v>
      </c>
      <c r="CS403" s="32" t="n">
        <f aca="false">CS392</f>
        <v>1762.79611266194</v>
      </c>
      <c r="CT403" s="23"/>
      <c r="CV403" s="7"/>
      <c r="CW403" s="7"/>
      <c r="CX403" s="7"/>
      <c r="CY403" s="7"/>
    </row>
    <row r="404" customFormat="false" ht="15" hidden="false" customHeight="true" outlineLevel="0" collapsed="false">
      <c r="B404" s="13" t="s">
        <v>551</v>
      </c>
      <c r="C404" s="30" t="n">
        <f aca="false">C326</f>
        <v>1061.4</v>
      </c>
      <c r="D404" s="30" t="n">
        <f aca="false">D326</f>
        <v>1159.4</v>
      </c>
      <c r="E404" s="30" t="n">
        <f aca="false">E326</f>
        <v>1534.5</v>
      </c>
      <c r="F404" s="30" t="n">
        <f aca="false">F326</f>
        <v>1421.5</v>
      </c>
      <c r="G404" s="30" t="n">
        <f aca="false">G326</f>
        <v>1557.8</v>
      </c>
      <c r="H404" s="30" t="n">
        <f aca="false">H326</f>
        <v>1826.1</v>
      </c>
      <c r="I404" s="30" t="n">
        <f aca="false">I326</f>
        <v>2406.4</v>
      </c>
      <c r="J404" s="30"/>
      <c r="K404" s="30"/>
      <c r="L404" s="30"/>
      <c r="M404" s="30"/>
      <c r="N404" s="30"/>
      <c r="O404" s="30" t="n">
        <f aca="false">O326</f>
        <v>2751.1</v>
      </c>
      <c r="P404" s="30"/>
      <c r="Q404" s="30"/>
      <c r="R404" s="30"/>
      <c r="S404" s="30"/>
      <c r="T404" s="30"/>
      <c r="U404" s="30" t="n">
        <f aca="false">U326</f>
        <v>2862.2</v>
      </c>
      <c r="V404" s="30"/>
      <c r="W404" s="30"/>
      <c r="X404" s="30"/>
      <c r="Y404" s="30"/>
      <c r="Z404" s="30"/>
      <c r="AA404" s="30" t="n">
        <f aca="false">AA326</f>
        <v>2717.1</v>
      </c>
      <c r="AB404" s="30"/>
      <c r="AC404" s="30"/>
      <c r="AD404" s="30"/>
      <c r="AE404" s="30"/>
      <c r="AF404" s="30"/>
      <c r="AG404" s="30" t="n">
        <f aca="false">AG326</f>
        <v>2774.4</v>
      </c>
      <c r="AH404" s="30"/>
      <c r="AI404" s="30"/>
      <c r="AJ404" s="30"/>
      <c r="AK404" s="30"/>
      <c r="AL404" s="30"/>
      <c r="AM404" s="30" t="n">
        <f aca="false">AM326</f>
        <v>3846.4</v>
      </c>
      <c r="AN404" s="30"/>
      <c r="AO404" s="30"/>
      <c r="AP404" s="30"/>
      <c r="AQ404" s="30"/>
      <c r="AR404" s="30"/>
      <c r="AS404" s="30" t="n">
        <f aca="false">AS326</f>
        <v>3809.3</v>
      </c>
      <c r="AT404" s="30"/>
      <c r="AU404" s="30"/>
      <c r="AV404" s="30"/>
      <c r="AW404" s="30"/>
      <c r="AX404" s="30"/>
      <c r="AY404" s="30" t="n">
        <f aca="false">AY326</f>
        <v>4579.8</v>
      </c>
      <c r="AZ404" s="30"/>
      <c r="BA404" s="30"/>
      <c r="BB404" s="30"/>
      <c r="BC404" s="30"/>
      <c r="BD404" s="30"/>
      <c r="BE404" s="30" t="n">
        <f aca="false">BE326</f>
        <v>5084.8</v>
      </c>
      <c r="BF404" s="30"/>
      <c r="BG404" s="30"/>
      <c r="BH404" s="30"/>
      <c r="BI404" s="30"/>
      <c r="BJ404" s="30"/>
      <c r="BK404" s="30" t="n">
        <f aca="false">BK326</f>
        <v>14430.3</v>
      </c>
      <c r="BL404" s="30"/>
      <c r="BM404" s="30"/>
      <c r="BN404" s="30"/>
      <c r="BO404" s="30"/>
      <c r="BP404" s="30"/>
      <c r="BQ404" s="30" t="n">
        <f aca="false">BQ326</f>
        <v>14354</v>
      </c>
      <c r="BR404" s="30"/>
      <c r="BS404" s="30"/>
      <c r="BT404" s="30"/>
      <c r="BU404" s="30"/>
      <c r="BV404" s="30"/>
      <c r="BW404" s="30" t="n">
        <f aca="false">BW326</f>
        <v>14527.9</v>
      </c>
      <c r="BX404" s="30"/>
      <c r="BY404" s="30"/>
      <c r="BZ404" s="30"/>
      <c r="CA404" s="30"/>
      <c r="CB404" s="30"/>
      <c r="CC404" s="30" t="n">
        <f aca="false">CC326</f>
        <v>14200.5</v>
      </c>
      <c r="CD404" s="30"/>
      <c r="CE404" s="30"/>
      <c r="CF404" s="30"/>
      <c r="CG404" s="30"/>
      <c r="CH404" s="30"/>
      <c r="CI404" s="30" t="n">
        <f aca="false">CI326</f>
        <v>15285.3</v>
      </c>
      <c r="CJ404" s="30"/>
      <c r="CK404" s="30"/>
      <c r="CL404" s="30"/>
      <c r="CM404" s="32"/>
      <c r="CN404" s="32"/>
      <c r="CO404" s="32" t="n">
        <f aca="false">CO326</f>
        <v>16017.3344695038</v>
      </c>
      <c r="CP404" s="32" t="n">
        <f aca="false">CP326</f>
        <v>17078.1662986172</v>
      </c>
      <c r="CQ404" s="32" t="n">
        <f aca="false">CQ326</f>
        <v>17603.9227254451</v>
      </c>
      <c r="CR404" s="32" t="n">
        <f aca="false">CR326</f>
        <v>19005.4123557479</v>
      </c>
      <c r="CS404" s="32" t="n">
        <f aca="false">CS326</f>
        <v>20151.8948318495</v>
      </c>
      <c r="CT404" s="23"/>
      <c r="CV404" s="7"/>
      <c r="CW404" s="7"/>
      <c r="CX404" s="7"/>
      <c r="CY404" s="7"/>
    </row>
    <row r="405" customFormat="false" ht="15" hidden="false" customHeight="true" outlineLevel="0" collapsed="false">
      <c r="B405" s="13" t="s">
        <v>552</v>
      </c>
      <c r="C405" s="30" t="n">
        <f aca="false">-(C323+C324)</f>
        <v>-383</v>
      </c>
      <c r="D405" s="30" t="n">
        <f aca="false">-(D323+D324)</f>
        <v>-413.3</v>
      </c>
      <c r="E405" s="30" t="n">
        <f aca="false">-(E323+E324)</f>
        <v>-619.5</v>
      </c>
      <c r="F405" s="30" t="n">
        <f aca="false">-(F323+F324)</f>
        <v>-611.1</v>
      </c>
      <c r="G405" s="30" t="n">
        <f aca="false">-(G323+G324)</f>
        <v>-660.2</v>
      </c>
      <c r="H405" s="30" t="n">
        <f aca="false">-(H323+H324)</f>
        <v>-899.2</v>
      </c>
      <c r="I405" s="30" t="n">
        <f aca="false">-(I323+I324)</f>
        <v>-1255.9</v>
      </c>
      <c r="J405" s="30"/>
      <c r="K405" s="30"/>
      <c r="L405" s="30"/>
      <c r="M405" s="30"/>
      <c r="N405" s="30"/>
      <c r="O405" s="30" t="n">
        <f aca="false">-(O323+O324)</f>
        <v>-1308.7</v>
      </c>
      <c r="P405" s="30"/>
      <c r="Q405" s="30"/>
      <c r="R405" s="30"/>
      <c r="S405" s="30"/>
      <c r="T405" s="30"/>
      <c r="U405" s="30" t="n">
        <f aca="false">-(U323+U324)</f>
        <v>-1428.2</v>
      </c>
      <c r="V405" s="30"/>
      <c r="W405" s="30"/>
      <c r="X405" s="30"/>
      <c r="Y405" s="30"/>
      <c r="Z405" s="30"/>
      <c r="AA405" s="30" t="n">
        <f aca="false">-(AA323+AA324)</f>
        <v>-1383.5</v>
      </c>
      <c r="AB405" s="30"/>
      <c r="AC405" s="30"/>
      <c r="AD405" s="30"/>
      <c r="AE405" s="30"/>
      <c r="AF405" s="30"/>
      <c r="AG405" s="30" t="n">
        <f aca="false">-(AG323+AG324)</f>
        <v>-1428.1</v>
      </c>
      <c r="AH405" s="30"/>
      <c r="AI405" s="30"/>
      <c r="AJ405" s="30"/>
      <c r="AK405" s="30"/>
      <c r="AL405" s="30"/>
      <c r="AM405" s="30" t="n">
        <f aca="false">-(AM323+AM324)</f>
        <v>-2175.6</v>
      </c>
      <c r="AN405" s="30"/>
      <c r="AO405" s="30"/>
      <c r="AP405" s="30"/>
      <c r="AQ405" s="30"/>
      <c r="AR405" s="30"/>
      <c r="AS405" s="30" t="n">
        <f aca="false">-(AS323+AS324)</f>
        <v>-2079.5</v>
      </c>
      <c r="AT405" s="30"/>
      <c r="AU405" s="30"/>
      <c r="AV405" s="30"/>
      <c r="AW405" s="30"/>
      <c r="AX405" s="30"/>
      <c r="AY405" s="30" t="n">
        <f aca="false">-(AY323+AY324)</f>
        <v>-2481.3</v>
      </c>
      <c r="AZ405" s="30"/>
      <c r="BA405" s="30"/>
      <c r="BB405" s="30"/>
      <c r="BC405" s="30"/>
      <c r="BD405" s="30"/>
      <c r="BE405" s="30" t="n">
        <f aca="false">-(BE323+BE324)</f>
        <v>-2559.7</v>
      </c>
      <c r="BF405" s="30"/>
      <c r="BG405" s="30"/>
      <c r="BH405" s="30"/>
      <c r="BI405" s="30"/>
      <c r="BJ405" s="30"/>
      <c r="BK405" s="30" t="n">
        <f aca="false">-(BK323+BK324)</f>
        <v>-10728.3</v>
      </c>
      <c r="BL405" s="30"/>
      <c r="BM405" s="30"/>
      <c r="BN405" s="30"/>
      <c r="BO405" s="30"/>
      <c r="BP405" s="30"/>
      <c r="BQ405" s="30" t="n">
        <f aca="false">-(BQ323+BQ324)</f>
        <v>-10313.6</v>
      </c>
      <c r="BR405" s="30"/>
      <c r="BS405" s="30"/>
      <c r="BT405" s="30"/>
      <c r="BU405" s="30"/>
      <c r="BV405" s="30"/>
      <c r="BW405" s="30" t="n">
        <f aca="false">-(BW323+BW324)</f>
        <v>-10280.9</v>
      </c>
      <c r="BX405" s="30"/>
      <c r="BY405" s="30"/>
      <c r="BZ405" s="30"/>
      <c r="CA405" s="30"/>
      <c r="CB405" s="30"/>
      <c r="CC405" s="30" t="n">
        <f aca="false">-(CC323+CC324)</f>
        <v>-10003.4</v>
      </c>
      <c r="CD405" s="30"/>
      <c r="CE405" s="30"/>
      <c r="CF405" s="30"/>
      <c r="CG405" s="30"/>
      <c r="CH405" s="30"/>
      <c r="CI405" s="30" t="n">
        <f aca="false">-(CI323+CI324)</f>
        <v>-10787.7</v>
      </c>
      <c r="CJ405" s="30"/>
      <c r="CK405" s="30"/>
      <c r="CL405" s="30"/>
      <c r="CM405" s="32"/>
      <c r="CN405" s="32"/>
      <c r="CO405" s="32" t="n">
        <f aca="false">-(CO323+CO324)</f>
        <v>-10615.1</v>
      </c>
      <c r="CP405" s="32" t="n">
        <f aca="false">-(CP323+CP324)</f>
        <v>-11142.3625</v>
      </c>
      <c r="CQ405" s="32" t="n">
        <f aca="false">-(CQ323+CQ324)</f>
        <v>-11897.0041666667</v>
      </c>
      <c r="CR405" s="32" t="n">
        <f aca="false">-(CR323+CR324)</f>
        <v>-12666.3791666667</v>
      </c>
      <c r="CS405" s="32" t="n">
        <f aca="false">-(CS323+CS324)</f>
        <v>-13432.7875</v>
      </c>
      <c r="CT405" s="23"/>
      <c r="CV405" s="7"/>
      <c r="CW405" s="7"/>
      <c r="CX405" s="7"/>
      <c r="CY405" s="7"/>
    </row>
    <row r="406" customFormat="false" ht="15" hidden="false" customHeight="true" outlineLevel="0" collapsed="false">
      <c r="B406" s="13" t="s">
        <v>553</v>
      </c>
      <c r="C406" s="30" t="n">
        <f aca="false">-(C335-N(C333))</f>
        <v>-229.2</v>
      </c>
      <c r="D406" s="30" t="n">
        <f aca="false">-(D335-N(D333))</f>
        <v>-262.2</v>
      </c>
      <c r="E406" s="30" t="n">
        <f aca="false">-(E335-N(E333))</f>
        <v>-310.6</v>
      </c>
      <c r="F406" s="30" t="n">
        <f aca="false">-(F335-N(F333))</f>
        <v>-325.5</v>
      </c>
      <c r="G406" s="30" t="n">
        <f aca="false">-(G335-N(G333))</f>
        <v>-339.2</v>
      </c>
      <c r="H406" s="30" t="n">
        <f aca="false">-(H335-N(H333))</f>
        <v>-332.8</v>
      </c>
      <c r="I406" s="30" t="n">
        <f aca="false">-(I335-N(I333))</f>
        <v>-405.3</v>
      </c>
      <c r="J406" s="30"/>
      <c r="K406" s="30"/>
      <c r="L406" s="30"/>
      <c r="M406" s="30"/>
      <c r="N406" s="30"/>
      <c r="O406" s="30" t="n">
        <f aca="false">-(O335-N(O333))</f>
        <v>-414.6</v>
      </c>
      <c r="P406" s="30"/>
      <c r="Q406" s="30"/>
      <c r="R406" s="30"/>
      <c r="S406" s="30"/>
      <c r="T406" s="30"/>
      <c r="U406" s="30" t="n">
        <f aca="false">-(U335-N(U333))</f>
        <v>-452.8</v>
      </c>
      <c r="V406" s="30"/>
      <c r="W406" s="30"/>
      <c r="X406" s="30"/>
      <c r="Y406" s="30"/>
      <c r="Z406" s="30"/>
      <c r="AA406" s="30" t="n">
        <f aca="false">-(AA335-N(AA333))</f>
        <v>-374.5</v>
      </c>
      <c r="AB406" s="30"/>
      <c r="AC406" s="30"/>
      <c r="AD406" s="30"/>
      <c r="AE406" s="30"/>
      <c r="AF406" s="30"/>
      <c r="AG406" s="30" t="n">
        <f aca="false">-(AG335-N(AG333))</f>
        <v>-399.8</v>
      </c>
      <c r="AH406" s="30"/>
      <c r="AI406" s="30"/>
      <c r="AJ406" s="30"/>
      <c r="AK406" s="30"/>
      <c r="AL406" s="30"/>
      <c r="AM406" s="30" t="n">
        <f aca="false">-(AM335-N(AM333))</f>
        <v>-537</v>
      </c>
      <c r="AN406" s="30"/>
      <c r="AO406" s="30"/>
      <c r="AP406" s="30"/>
      <c r="AQ406" s="30"/>
      <c r="AR406" s="30"/>
      <c r="AS406" s="30" t="n">
        <f aca="false">-(AS335-N(AS333))</f>
        <v>-583.4</v>
      </c>
      <c r="AT406" s="30"/>
      <c r="AU406" s="30"/>
      <c r="AV406" s="30"/>
      <c r="AW406" s="30"/>
      <c r="AX406" s="30"/>
      <c r="AY406" s="30" t="n">
        <f aca="false">-(AY335-N(AY333))</f>
        <v>-662.6</v>
      </c>
      <c r="AZ406" s="30"/>
      <c r="BA406" s="30"/>
      <c r="BB406" s="30"/>
      <c r="BC406" s="30"/>
      <c r="BD406" s="30"/>
      <c r="BE406" s="30" t="n">
        <f aca="false">-(BE335-N(BE333))</f>
        <v>-663.3</v>
      </c>
      <c r="BF406" s="30"/>
      <c r="BG406" s="30"/>
      <c r="BH406" s="30"/>
      <c r="BI406" s="30"/>
      <c r="BJ406" s="30"/>
      <c r="BK406" s="30" t="n">
        <f aca="false">-(BK335-N(BK333))</f>
        <v>-1498.4</v>
      </c>
      <c r="BL406" s="30"/>
      <c r="BM406" s="30"/>
      <c r="BN406" s="30"/>
      <c r="BO406" s="30"/>
      <c r="BP406" s="30"/>
      <c r="BQ406" s="30" t="n">
        <f aca="false">-(BQ335-N(BQ333))</f>
        <v>-1223.3</v>
      </c>
      <c r="BR406" s="30"/>
      <c r="BS406" s="30"/>
      <c r="BT406" s="30"/>
      <c r="BU406" s="30"/>
      <c r="BV406" s="30"/>
      <c r="BW406" s="30" t="n">
        <f aca="false">-(BW335-N(BW333))</f>
        <v>-1166</v>
      </c>
      <c r="BX406" s="30"/>
      <c r="BY406" s="30"/>
      <c r="BZ406" s="30"/>
      <c r="CA406" s="30"/>
      <c r="CB406" s="30"/>
      <c r="CC406" s="30" t="n">
        <f aca="false">-(CC335-N(CC333))</f>
        <v>-1261.3</v>
      </c>
      <c r="CD406" s="30"/>
      <c r="CE406" s="30"/>
      <c r="CF406" s="30"/>
      <c r="CG406" s="30"/>
      <c r="CH406" s="30"/>
      <c r="CI406" s="30" t="n">
        <f aca="false">-(CI335-N(CI333))</f>
        <v>-1410</v>
      </c>
      <c r="CJ406" s="30"/>
      <c r="CK406" s="30"/>
      <c r="CL406" s="30"/>
      <c r="CM406" s="32"/>
      <c r="CN406" s="32"/>
      <c r="CO406" s="32" t="n">
        <f aca="false">-(CO335-N(CO333))</f>
        <v>-1550.01460476001</v>
      </c>
      <c r="CP406" s="32" t="n">
        <f aca="false">-(CP335-N(CP333))</f>
        <v>-1667.6275421683</v>
      </c>
      <c r="CQ406" s="32" t="n">
        <f aca="false">-(CQ335-N(CQ333))</f>
        <v>-1820.26780575597</v>
      </c>
      <c r="CR406" s="32" t="n">
        <f aca="false">-(CR335-N(CR333))</f>
        <v>-1983.71935523635</v>
      </c>
      <c r="CS406" s="32" t="n">
        <f aca="false">-(CS335-N(CS333))</f>
        <v>-2154.08969127551</v>
      </c>
      <c r="CT406" s="23"/>
      <c r="CV406" s="7"/>
      <c r="CW406" s="7"/>
      <c r="CX406" s="7"/>
      <c r="CY406" s="7"/>
    </row>
    <row r="407" customFormat="false" ht="15" hidden="false" customHeight="true" outlineLevel="0" collapsed="false">
      <c r="B407" s="13" t="s">
        <v>554</v>
      </c>
      <c r="C407" s="30" t="n">
        <f aca="false">SUM(C404:C406)</f>
        <v>449.2</v>
      </c>
      <c r="D407" s="30" t="n">
        <f aca="false">SUM(D404:D406)</f>
        <v>483.9</v>
      </c>
      <c r="E407" s="30" t="n">
        <f aca="false">SUM(E404:E406)</f>
        <v>604.4</v>
      </c>
      <c r="F407" s="30" t="n">
        <f aca="false">SUM(F404:F406)</f>
        <v>484.9</v>
      </c>
      <c r="G407" s="30" t="n">
        <f aca="false">SUM(G404:G406)</f>
        <v>558.4</v>
      </c>
      <c r="H407" s="30" t="n">
        <f aca="false">SUM(H404:H406)</f>
        <v>594.1</v>
      </c>
      <c r="I407" s="30" t="n">
        <f aca="false">SUM(I404:I406)</f>
        <v>745.2</v>
      </c>
      <c r="J407" s="30"/>
      <c r="K407" s="30"/>
      <c r="L407" s="30"/>
      <c r="M407" s="30"/>
      <c r="N407" s="30"/>
      <c r="O407" s="30" t="n">
        <f aca="false">SUM(O404:O406)</f>
        <v>1027.8</v>
      </c>
      <c r="P407" s="30"/>
      <c r="Q407" s="30"/>
      <c r="R407" s="30"/>
      <c r="S407" s="30"/>
      <c r="T407" s="30"/>
      <c r="U407" s="30" t="n">
        <f aca="false">SUM(U404:U406)</f>
        <v>981.2</v>
      </c>
      <c r="V407" s="30"/>
      <c r="W407" s="30"/>
      <c r="X407" s="30"/>
      <c r="Y407" s="30"/>
      <c r="Z407" s="30"/>
      <c r="AA407" s="30" t="n">
        <f aca="false">SUM(AA404:AA406)</f>
        <v>959.1</v>
      </c>
      <c r="AB407" s="30"/>
      <c r="AC407" s="30"/>
      <c r="AD407" s="30"/>
      <c r="AE407" s="30"/>
      <c r="AF407" s="30"/>
      <c r="AG407" s="30" t="n">
        <f aca="false">SUM(AG404:AG406)</f>
        <v>946.5</v>
      </c>
      <c r="AH407" s="30"/>
      <c r="AI407" s="30"/>
      <c r="AJ407" s="30"/>
      <c r="AK407" s="30"/>
      <c r="AL407" s="30"/>
      <c r="AM407" s="30" t="n">
        <f aca="false">SUM(AM404:AM406)</f>
        <v>1133.8</v>
      </c>
      <c r="AN407" s="30"/>
      <c r="AO407" s="30"/>
      <c r="AP407" s="30"/>
      <c r="AQ407" s="30"/>
      <c r="AR407" s="30"/>
      <c r="AS407" s="30" t="n">
        <f aca="false">SUM(AS404:AS406)</f>
        <v>1146.4</v>
      </c>
      <c r="AT407" s="30"/>
      <c r="AU407" s="30"/>
      <c r="AV407" s="30"/>
      <c r="AW407" s="30"/>
      <c r="AX407" s="30"/>
      <c r="AY407" s="30" t="n">
        <f aca="false">SUM(AY404:AY406)</f>
        <v>1435.9</v>
      </c>
      <c r="AZ407" s="30"/>
      <c r="BA407" s="30"/>
      <c r="BB407" s="30"/>
      <c r="BC407" s="30"/>
      <c r="BD407" s="30"/>
      <c r="BE407" s="30" t="n">
        <f aca="false">SUM(BE404:BE406)</f>
        <v>1861.8</v>
      </c>
      <c r="BF407" s="30"/>
      <c r="BG407" s="30"/>
      <c r="BH407" s="30"/>
      <c r="BI407" s="30"/>
      <c r="BJ407" s="30"/>
      <c r="BK407" s="30" t="n">
        <f aca="false">SUM(BK404:BK406)</f>
        <v>2203.6</v>
      </c>
      <c r="BL407" s="30"/>
      <c r="BM407" s="30"/>
      <c r="BN407" s="30"/>
      <c r="BO407" s="30"/>
      <c r="BP407" s="30"/>
      <c r="BQ407" s="30" t="n">
        <f aca="false">SUM(BQ404:BQ406)</f>
        <v>2817.1</v>
      </c>
      <c r="BR407" s="30"/>
      <c r="BS407" s="30"/>
      <c r="BT407" s="30"/>
      <c r="BU407" s="30"/>
      <c r="BV407" s="30"/>
      <c r="BW407" s="30" t="n">
        <f aca="false">SUM(BW404:BW406)</f>
        <v>3081</v>
      </c>
      <c r="BX407" s="30"/>
      <c r="BY407" s="30"/>
      <c r="BZ407" s="30"/>
      <c r="CA407" s="30"/>
      <c r="CB407" s="30"/>
      <c r="CC407" s="30" t="n">
        <f aca="false">SUM(CC404:CC406)</f>
        <v>2935.8</v>
      </c>
      <c r="CD407" s="30"/>
      <c r="CE407" s="30"/>
      <c r="CF407" s="30"/>
      <c r="CG407" s="30"/>
      <c r="CH407" s="30"/>
      <c r="CI407" s="30" t="n">
        <f aca="false">SUM(CI404:CI406)</f>
        <v>3087.6</v>
      </c>
      <c r="CJ407" s="30"/>
      <c r="CK407" s="30"/>
      <c r="CL407" s="30"/>
      <c r="CM407" s="32"/>
      <c r="CN407" s="32"/>
      <c r="CO407" s="32" t="n">
        <f aca="false">SUM(CO404:CO406)</f>
        <v>3852.21986474379</v>
      </c>
      <c r="CP407" s="32" t="n">
        <f aca="false">SUM(CP404:CP406)</f>
        <v>4268.17625644892</v>
      </c>
      <c r="CQ407" s="32" t="n">
        <f aca="false">SUM(CQ404:CQ406)</f>
        <v>3886.6507530225</v>
      </c>
      <c r="CR407" s="32" t="n">
        <f aca="false">SUM(CR404:CR406)</f>
        <v>4355.31383384492</v>
      </c>
      <c r="CS407" s="32" t="n">
        <f aca="false">SUM(CS404:CS406)</f>
        <v>4565.01764057403</v>
      </c>
      <c r="CT407" s="23"/>
      <c r="CV407" s="7"/>
      <c r="CW407" s="7"/>
      <c r="CX407" s="7"/>
      <c r="CY407" s="7"/>
    </row>
    <row r="408" customFormat="false" ht="15" hidden="false" customHeight="true" outlineLevel="0" collapsed="false">
      <c r="B408" s="34" t="s">
        <v>555</v>
      </c>
      <c r="C408" s="68" t="n">
        <f aca="false">IFERROR(C403/C407,"n/a")</f>
        <v>0.195886411485129</v>
      </c>
      <c r="D408" s="68" t="n">
        <f aca="false">IFERROR(D403/D407,"n/a")</f>
        <v>0.232645473709909</v>
      </c>
      <c r="E408" s="68" t="n">
        <f aca="false">IFERROR(E403/E407,"n/a")</f>
        <v>0.224349099511384</v>
      </c>
      <c r="F408" s="68" t="n">
        <f aca="false">IFERROR(F403/F407,"n/a")</f>
        <v>0.265150824119168</v>
      </c>
      <c r="G408" s="68" t="n">
        <f aca="false">IFERROR(G403/G407,"n/a")</f>
        <v>0.238419843397198</v>
      </c>
      <c r="H408" s="68" t="n">
        <f aca="false">IFERROR(H403/H407,"n/a")</f>
        <v>0.284626012118536</v>
      </c>
      <c r="I408" s="68" t="n">
        <f aca="false">IFERROR(I403/I407,"n/a")</f>
        <v>0.260874975243252</v>
      </c>
      <c r="J408" s="69"/>
      <c r="K408" s="69"/>
      <c r="L408" s="69"/>
      <c r="M408" s="69"/>
      <c r="N408" s="69"/>
      <c r="O408" s="68" t="n">
        <f aca="false">IFERROR(O403/O407,"n/a")</f>
        <v>0.217815705529147</v>
      </c>
      <c r="P408" s="69"/>
      <c r="Q408" s="69"/>
      <c r="R408" s="69"/>
      <c r="S408" s="69"/>
      <c r="T408" s="69"/>
      <c r="U408" s="68" t="n">
        <f aca="false">IFERROR(U403/U407,"n/a")</f>
        <v>0.254314613492973</v>
      </c>
      <c r="V408" s="69"/>
      <c r="W408" s="69"/>
      <c r="X408" s="69"/>
      <c r="Y408" s="69"/>
      <c r="Z408" s="69"/>
      <c r="AA408" s="68" t="n">
        <f aca="false">IFERROR(AA403/AA407,"n/a")</f>
        <v>0.246546372506952</v>
      </c>
      <c r="AB408" s="69"/>
      <c r="AC408" s="69"/>
      <c r="AD408" s="69"/>
      <c r="AE408" s="69"/>
      <c r="AF408" s="69"/>
      <c r="AG408" s="68" t="n">
        <f aca="false">IFERROR(AG403/AG407,"n/a")</f>
        <v>0.237381203986419</v>
      </c>
      <c r="AH408" s="69"/>
      <c r="AI408" s="69"/>
      <c r="AJ408" s="69"/>
      <c r="AK408" s="69"/>
      <c r="AL408" s="69"/>
      <c r="AM408" s="68" t="n">
        <f aca="false">IFERROR(AM403/AM407,"n/a")</f>
        <v>0.266578979878955</v>
      </c>
      <c r="AN408" s="69"/>
      <c r="AO408" s="69"/>
      <c r="AP408" s="69"/>
      <c r="AQ408" s="69"/>
      <c r="AR408" s="69"/>
      <c r="AS408" s="68" t="n">
        <f aca="false">IFERROR(AS403/AS407,"n/a")</f>
        <v>0.337150840265196</v>
      </c>
      <c r="AT408" s="69"/>
      <c r="AU408" s="69"/>
      <c r="AV408" s="69"/>
      <c r="AW408" s="69"/>
      <c r="AX408" s="69"/>
      <c r="AY408" s="68" t="n">
        <f aca="false">IFERROR(AY403/AY407,"n/a")</f>
        <v>0.312407066757036</v>
      </c>
      <c r="AZ408" s="69"/>
      <c r="BA408" s="69"/>
      <c r="BB408" s="69"/>
      <c r="BC408" s="69"/>
      <c r="BD408" s="69"/>
      <c r="BE408" s="68" t="n">
        <f aca="false">IFERROR(BE403/BE407,"n/a")</f>
        <v>0.238477873656416</v>
      </c>
      <c r="BF408" s="69"/>
      <c r="BG408" s="69"/>
      <c r="BH408" s="69"/>
      <c r="BI408" s="69"/>
      <c r="BJ408" s="69"/>
      <c r="BK408" s="68" t="n">
        <f aca="false">IFERROR(BK403/BK407,"n/a")</f>
        <v>0.372130168685446</v>
      </c>
      <c r="BL408" s="69"/>
      <c r="BM408" s="69"/>
      <c r="BN408" s="69"/>
      <c r="BO408" s="69"/>
      <c r="BP408" s="69"/>
      <c r="BQ408" s="68" t="n">
        <f aca="false">IFERROR(BQ403/BQ407,"n/a")</f>
        <v>0.360711930396948</v>
      </c>
      <c r="BR408" s="69"/>
      <c r="BS408" s="69"/>
      <c r="BT408" s="69"/>
      <c r="BU408" s="69"/>
      <c r="BV408" s="69"/>
      <c r="BW408" s="68" t="n">
        <f aca="false">IFERROR(BW403/BW407,"n/a")</f>
        <v>0.372091175146628</v>
      </c>
      <c r="BX408" s="69"/>
      <c r="BY408" s="69"/>
      <c r="BZ408" s="69"/>
      <c r="CA408" s="69"/>
      <c r="CB408" s="69"/>
      <c r="CC408" s="68" t="n">
        <f aca="false">IFERROR(CC403/CC407,"n/a")</f>
        <v>0.371976939406596</v>
      </c>
      <c r="CD408" s="69"/>
      <c r="CE408" s="69"/>
      <c r="CF408" s="69"/>
      <c r="CG408" s="69"/>
      <c r="CH408" s="69"/>
      <c r="CI408" s="68" t="n">
        <f aca="false">IFERROR(CI403/CI407,"n/a")</f>
        <v>0.365767288195207</v>
      </c>
      <c r="CJ408" s="69"/>
      <c r="CK408" s="69"/>
      <c r="CL408" s="69"/>
      <c r="CM408" s="68"/>
      <c r="CN408" s="68"/>
      <c r="CO408" s="68" t="n">
        <f aca="false">IFERROR(CO403/CO407,"n/a")</f>
        <v>0.309830554191737</v>
      </c>
      <c r="CP408" s="68" t="n">
        <f aca="false">IFERROR(CP403/CP407,"n/a")</f>
        <v>0.308516303416119</v>
      </c>
      <c r="CQ408" s="68" t="n">
        <f aca="false">IFERROR(CQ403/CQ407,"n/a")</f>
        <v>0.374846227576537</v>
      </c>
      <c r="CR408" s="68" t="n">
        <f aca="false">IFERROR(CR403/CR407,"n/a")</f>
        <v>0.368401282964082</v>
      </c>
      <c r="CS408" s="68" t="n">
        <f aca="false">IFERROR(CS403/CS407,"n/a")</f>
        <v>0.386153187447547</v>
      </c>
      <c r="CT408" s="23"/>
      <c r="CV408" s="41" t="n">
        <f aca="false">IFERROR(AVERAGE(CO408,CP408,CQ408,CR408,CS408),"n/m")</f>
        <v>0.349549511119204</v>
      </c>
      <c r="CW408" s="41" t="n">
        <f aca="false">IFERROR(AVERAGE(BK408,BQ408,BW408,CC408,CI408),"n/m")</f>
        <v>0.368535500366165</v>
      </c>
      <c r="CX408" s="41" t="n">
        <f aca="false">IFERROR(AVERAGE(AG408,AM408,AS408,AY408,BE408,BK408,BQ408,BW408,CC408,CI408),"n/m")</f>
        <v>0.323467346637485</v>
      </c>
      <c r="CY408" s="41" t="n">
        <f aca="false">IFERROR(AVERAGE(C408,D408,E408,F408,G408,H408,I408,O408,U408,AA408,AG408,AM408,AS408,AY408,BE408,BK408,BQ408,BW408,CC408,CI408),"n/m")</f>
        <v>0.282765139874425</v>
      </c>
    </row>
    <row r="409" customFormat="false" ht="15" hidden="false" customHeight="true" outlineLevel="0" collapsed="false">
      <c r="B409" s="13"/>
      <c r="CM409" s="7"/>
      <c r="CN409" s="7"/>
      <c r="CO409" s="7"/>
      <c r="CP409" s="7"/>
      <c r="CQ409" s="7"/>
      <c r="CR409" s="7"/>
      <c r="CS409" s="7"/>
      <c r="CT409" s="7"/>
    </row>
    <row r="410" customFormat="false" ht="15" hidden="false" customHeight="true" outlineLevel="0" collapsed="false">
      <c r="B410" s="17" t="s">
        <v>556</v>
      </c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  <c r="BO410" s="17"/>
      <c r="BP410" s="17"/>
      <c r="BQ410" s="17"/>
      <c r="BR410" s="17"/>
      <c r="BS410" s="17"/>
      <c r="BT410" s="17"/>
      <c r="BU410" s="17"/>
      <c r="BV410" s="17"/>
      <c r="BW410" s="17"/>
      <c r="BX410" s="17"/>
      <c r="BY410" s="17"/>
      <c r="BZ410" s="17"/>
      <c r="CA410" s="17"/>
      <c r="CB410" s="17"/>
      <c r="CC410" s="17"/>
      <c r="CD410" s="17"/>
      <c r="CE410" s="17"/>
      <c r="CF410" s="17"/>
      <c r="CG410" s="17"/>
      <c r="CH410" s="17"/>
      <c r="CI410" s="17"/>
      <c r="CJ410" s="17"/>
      <c r="CK410" s="17"/>
      <c r="CL410" s="17"/>
      <c r="CM410" s="17"/>
      <c r="CN410" s="17"/>
      <c r="CO410" s="17"/>
      <c r="CP410" s="17"/>
      <c r="CQ410" s="17"/>
      <c r="CR410" s="17"/>
      <c r="CS410" s="17"/>
      <c r="CT410" s="17"/>
    </row>
    <row r="411" customFormat="false" ht="15" hidden="false" customHeight="true" outlineLevel="0" collapsed="false">
      <c r="B411" s="13" t="s">
        <v>278</v>
      </c>
      <c r="C411" s="30" t="n">
        <f aca="false">C171</f>
        <v>80.3</v>
      </c>
      <c r="D411" s="30" t="n">
        <f aca="false">D171</f>
        <v>98.4999999999998</v>
      </c>
      <c r="E411" s="30" t="n">
        <f aca="false">E171</f>
        <v>111.3</v>
      </c>
      <c r="F411" s="30" t="n">
        <f aca="false">F171</f>
        <v>113.3</v>
      </c>
      <c r="G411" s="30" t="n">
        <f aca="false">G171</f>
        <v>120.5</v>
      </c>
      <c r="H411" s="30" t="n">
        <f aca="false">H171</f>
        <v>255.2</v>
      </c>
      <c r="I411" s="30" t="n">
        <f aca="false">I171</f>
        <v>164.1</v>
      </c>
      <c r="J411" s="30"/>
      <c r="K411" s="30"/>
      <c r="L411" s="30"/>
      <c r="M411" s="30"/>
      <c r="N411" s="30"/>
      <c r="O411" s="30" t="n">
        <f aca="false">O171</f>
        <v>185</v>
      </c>
      <c r="P411" s="30"/>
      <c r="Q411" s="30"/>
      <c r="R411" s="30"/>
      <c r="S411" s="30"/>
      <c r="T411" s="30"/>
      <c r="U411" s="30" t="n">
        <f aca="false">U171</f>
        <v>217.7</v>
      </c>
      <c r="V411" s="30"/>
      <c r="W411" s="30"/>
      <c r="X411" s="30"/>
      <c r="Y411" s="30"/>
      <c r="Z411" s="30"/>
      <c r="AA411" s="30" t="n">
        <f aca="false">AA171</f>
        <v>195.8</v>
      </c>
      <c r="AB411" s="30"/>
      <c r="AC411" s="30"/>
      <c r="AD411" s="30"/>
      <c r="AE411" s="30"/>
      <c r="AF411" s="30"/>
      <c r="AG411" s="30" t="n">
        <f aca="false">AG171</f>
        <v>190.9</v>
      </c>
      <c r="AH411" s="30"/>
      <c r="AI411" s="30"/>
      <c r="AJ411" s="30"/>
      <c r="AK411" s="30"/>
      <c r="AL411" s="30"/>
      <c r="AM411" s="30" t="n">
        <f aca="false">AM171</f>
        <v>227.2</v>
      </c>
      <c r="AN411" s="30"/>
      <c r="AO411" s="30"/>
      <c r="AP411" s="30"/>
      <c r="AQ411" s="30"/>
      <c r="AR411" s="30"/>
      <c r="AS411" s="30" t="n">
        <f aca="false">AS171</f>
        <v>333.8</v>
      </c>
      <c r="AT411" s="30"/>
      <c r="AU411" s="30"/>
      <c r="AV411" s="30"/>
      <c r="AW411" s="30"/>
      <c r="AX411" s="30"/>
      <c r="AY411" s="30" t="n">
        <f aca="false">AY171</f>
        <v>402.3</v>
      </c>
      <c r="AZ411" s="30"/>
      <c r="BA411" s="30"/>
      <c r="BB411" s="30"/>
      <c r="BC411" s="30"/>
      <c r="BD411" s="30"/>
      <c r="BE411" s="30" t="n">
        <f aca="false">BE171</f>
        <v>401.9</v>
      </c>
      <c r="BF411" s="30"/>
      <c r="BG411" s="30"/>
      <c r="BH411" s="30"/>
      <c r="BI411" s="30"/>
      <c r="BJ411" s="30"/>
      <c r="BK411" s="30" t="n">
        <f aca="false">BK171</f>
        <v>445.3</v>
      </c>
      <c r="BL411" s="30"/>
      <c r="BM411" s="30"/>
      <c r="BN411" s="30"/>
      <c r="BO411" s="30"/>
      <c r="BP411" s="30"/>
      <c r="BQ411" s="30" t="n">
        <f aca="false">BQ171</f>
        <v>788.6</v>
      </c>
      <c r="BR411" s="30"/>
      <c r="BS411" s="30"/>
      <c r="BT411" s="30"/>
      <c r="BU411" s="30"/>
      <c r="BV411" s="30"/>
      <c r="BW411" s="30" t="n">
        <f aca="false">BW171</f>
        <v>885.7</v>
      </c>
      <c r="BX411" s="30"/>
      <c r="BY411" s="30"/>
      <c r="BZ411" s="30"/>
      <c r="CA411" s="30"/>
      <c r="CB411" s="30"/>
      <c r="CC411" s="30" t="n">
        <f aca="false">CC171</f>
        <v>819.2</v>
      </c>
      <c r="CD411" s="30"/>
      <c r="CE411" s="30"/>
      <c r="CF411" s="30"/>
      <c r="CG411" s="30"/>
      <c r="CH411" s="30"/>
      <c r="CI411" s="30" t="n">
        <f aca="false">CI171</f>
        <v>894.8</v>
      </c>
      <c r="CJ411" s="30"/>
      <c r="CK411" s="30"/>
      <c r="CL411" s="30"/>
      <c r="CM411" s="32"/>
      <c r="CN411" s="32"/>
      <c r="CO411" s="32" t="n">
        <f aca="false">CO171</f>
        <v>974.56225</v>
      </c>
      <c r="CP411" s="32" t="n">
        <f aca="false">CP171</f>
        <v>1126.54892598653</v>
      </c>
      <c r="CQ411" s="32" t="n">
        <f aca="false">CQ171</f>
        <v>1252.11426930276</v>
      </c>
      <c r="CR411" s="32" t="n">
        <f aca="false">CR171</f>
        <v>1412.39073621352</v>
      </c>
      <c r="CS411" s="32" t="n">
        <f aca="false">CS171</f>
        <v>1572.91403065076</v>
      </c>
      <c r="CT411" s="23"/>
      <c r="CV411" s="7"/>
      <c r="CW411" s="7"/>
      <c r="CX411" s="7"/>
      <c r="CY411" s="7"/>
    </row>
    <row r="412" customFormat="false" ht="15" hidden="false" customHeight="true" outlineLevel="0" collapsed="false">
      <c r="B412" s="13" t="s">
        <v>557</v>
      </c>
      <c r="C412" s="30" t="n">
        <f aca="false">C348</f>
        <v>431.8</v>
      </c>
      <c r="D412" s="30" t="n">
        <f aca="false">D348</f>
        <v>530.2</v>
      </c>
      <c r="E412" s="30" t="n">
        <f aca="false">E348</f>
        <v>505.8</v>
      </c>
      <c r="F412" s="30" t="n">
        <f aca="false">F348</f>
        <v>666.5</v>
      </c>
      <c r="G412" s="30" t="n">
        <f aca="false">G348</f>
        <v>786</v>
      </c>
      <c r="H412" s="30" t="n">
        <f aca="false">H348</f>
        <v>979.3</v>
      </c>
      <c r="I412" s="30" t="n">
        <f aca="false">I348</f>
        <v>1147.8</v>
      </c>
      <c r="J412" s="30"/>
      <c r="K412" s="30"/>
      <c r="L412" s="30"/>
      <c r="M412" s="30"/>
      <c r="N412" s="30"/>
      <c r="O412" s="30" t="n">
        <f aca="false">O348</f>
        <v>1471.7</v>
      </c>
      <c r="P412" s="30"/>
      <c r="Q412" s="30"/>
      <c r="R412" s="30"/>
      <c r="S412" s="30"/>
      <c r="T412" s="30"/>
      <c r="U412" s="30" t="n">
        <f aca="false">U348</f>
        <v>1427.3</v>
      </c>
      <c r="V412" s="30"/>
      <c r="W412" s="30"/>
      <c r="X412" s="30"/>
      <c r="Y412" s="30"/>
      <c r="Z412" s="30"/>
      <c r="AA412" s="30" t="n">
        <f aca="false">AA348</f>
        <v>1344.1</v>
      </c>
      <c r="AB412" s="30"/>
      <c r="AC412" s="30"/>
      <c r="AD412" s="30"/>
      <c r="AE412" s="30"/>
      <c r="AF412" s="30"/>
      <c r="AG412" s="30" t="n">
        <f aca="false">AG348</f>
        <v>1554.4</v>
      </c>
      <c r="AH412" s="30"/>
      <c r="AI412" s="30"/>
      <c r="AJ412" s="30"/>
      <c r="AK412" s="30"/>
      <c r="AL412" s="30"/>
      <c r="AM412" s="30" t="n">
        <f aca="false">AM348</f>
        <v>1947.3</v>
      </c>
      <c r="AN412" s="30"/>
      <c r="AO412" s="30"/>
      <c r="AP412" s="30"/>
      <c r="AQ412" s="30"/>
      <c r="AR412" s="30"/>
      <c r="AS412" s="30" t="n">
        <f aca="false">AS348</f>
        <v>2229.7</v>
      </c>
      <c r="AT412" s="30"/>
      <c r="AU412" s="30"/>
      <c r="AV412" s="30"/>
      <c r="AW412" s="30"/>
      <c r="AX412" s="30"/>
      <c r="AY412" s="30" t="n">
        <f aca="false">AY348</f>
        <v>2714.7</v>
      </c>
      <c r="AZ412" s="30"/>
      <c r="BA412" s="30"/>
      <c r="BB412" s="30"/>
      <c r="BC412" s="30"/>
      <c r="BD412" s="30"/>
      <c r="BE412" s="30" t="n">
        <f aca="false">BE348</f>
        <v>3228.6</v>
      </c>
      <c r="BF412" s="30"/>
      <c r="BG412" s="30"/>
      <c r="BH412" s="30"/>
      <c r="BI412" s="30"/>
      <c r="BJ412" s="30"/>
      <c r="BK412" s="30" t="n">
        <f aca="false">BK348</f>
        <v>7622</v>
      </c>
      <c r="BL412" s="30"/>
      <c r="BM412" s="30"/>
      <c r="BN412" s="30"/>
      <c r="BO412" s="30"/>
      <c r="BP412" s="30"/>
      <c r="BQ412" s="30" t="n">
        <f aca="false">BQ348</f>
        <v>8169.2</v>
      </c>
      <c r="BR412" s="30"/>
      <c r="BS412" s="30"/>
      <c r="BT412" s="30"/>
      <c r="BU412" s="30"/>
      <c r="BV412" s="30"/>
      <c r="BW412" s="30" t="n">
        <f aca="false">BW348</f>
        <v>9221.2</v>
      </c>
      <c r="BX412" s="30"/>
      <c r="BY412" s="30"/>
      <c r="BZ412" s="30"/>
      <c r="CA412" s="30"/>
      <c r="CB412" s="30"/>
      <c r="CC412" s="30" t="n">
        <f aca="false">CC348</f>
        <v>9549.4</v>
      </c>
      <c r="CD412" s="30"/>
      <c r="CE412" s="30"/>
      <c r="CF412" s="30"/>
      <c r="CG412" s="30"/>
      <c r="CH412" s="30"/>
      <c r="CI412" s="30" t="n">
        <f aca="false">CI348</f>
        <v>10513.9</v>
      </c>
      <c r="CJ412" s="30"/>
      <c r="CK412" s="30"/>
      <c r="CL412" s="30"/>
      <c r="CM412" s="32"/>
      <c r="CN412" s="32"/>
      <c r="CO412" s="32" t="n">
        <f aca="false">CO348</f>
        <v>11576.0198647438</v>
      </c>
      <c r="CP412" s="32" t="n">
        <f aca="false">CP348</f>
        <v>12539.2387564489</v>
      </c>
      <c r="CQ412" s="32" t="n">
        <f aca="false">CQ348</f>
        <v>13632.3549196892</v>
      </c>
      <c r="CR412" s="32" t="n">
        <f aca="false">CR348</f>
        <v>14890.3930005116</v>
      </c>
      <c r="CS412" s="32" t="n">
        <f aca="false">CS348</f>
        <v>16313.805140574</v>
      </c>
      <c r="CT412" s="23"/>
      <c r="CV412" s="7"/>
      <c r="CW412" s="7"/>
      <c r="CX412" s="7"/>
      <c r="CY412" s="7"/>
    </row>
    <row r="413" customFormat="false" ht="15" hidden="false" customHeight="true" outlineLevel="0" collapsed="false">
      <c r="B413" s="34" t="s">
        <v>558</v>
      </c>
      <c r="C413" s="68" t="n">
        <f aca="false">IFERROR(C411/C412,"n/a")</f>
        <v>0.185965724872626</v>
      </c>
      <c r="D413" s="68" t="n">
        <f aca="false">IFERROR(D411/D412,"n/a")</f>
        <v>0.185778951339117</v>
      </c>
      <c r="E413" s="68" t="n">
        <f aca="false">IFERROR(E411/E412,"n/a")</f>
        <v>0.220047449584816</v>
      </c>
      <c r="F413" s="68" t="n">
        <f aca="false">IFERROR(F411/F412,"n/a")</f>
        <v>0.169992498124531</v>
      </c>
      <c r="G413" s="68" t="n">
        <f aca="false">IFERROR(G411/G412,"n/a")</f>
        <v>0.153307888040713</v>
      </c>
      <c r="H413" s="68" t="n">
        <f aca="false">IFERROR(H411/H412,"n/a")</f>
        <v>0.260594302052487</v>
      </c>
      <c r="I413" s="68" t="n">
        <f aca="false">IFERROR(I411/I412,"n/a")</f>
        <v>0.142969158389964</v>
      </c>
      <c r="J413" s="69"/>
      <c r="K413" s="69"/>
      <c r="L413" s="69"/>
      <c r="M413" s="69"/>
      <c r="N413" s="69"/>
      <c r="O413" s="68" t="n">
        <f aca="false">IFERROR(O411/O412,"n/a")</f>
        <v>0.125704967044914</v>
      </c>
      <c r="P413" s="69"/>
      <c r="Q413" s="69"/>
      <c r="R413" s="69"/>
      <c r="S413" s="69"/>
      <c r="T413" s="69"/>
      <c r="U413" s="68" t="n">
        <f aca="false">IFERROR(U411/U412,"n/a")</f>
        <v>0.152525747915645</v>
      </c>
      <c r="V413" s="69"/>
      <c r="W413" s="69"/>
      <c r="X413" s="69"/>
      <c r="Y413" s="69"/>
      <c r="Z413" s="69"/>
      <c r="AA413" s="68" t="n">
        <f aca="false">IFERROR(AA411/AA412,"n/a")</f>
        <v>0.145673684993676</v>
      </c>
      <c r="AB413" s="69"/>
      <c r="AC413" s="69"/>
      <c r="AD413" s="69"/>
      <c r="AE413" s="69"/>
      <c r="AF413" s="69"/>
      <c r="AG413" s="68" t="n">
        <f aca="false">IFERROR(AG411/AG412,"n/a")</f>
        <v>0.122812660833762</v>
      </c>
      <c r="AH413" s="69"/>
      <c r="AI413" s="69"/>
      <c r="AJ413" s="69"/>
      <c r="AK413" s="69"/>
      <c r="AL413" s="69"/>
      <c r="AM413" s="68" t="n">
        <f aca="false">IFERROR(AM411/AM412,"n/a")</f>
        <v>0.116674369640014</v>
      </c>
      <c r="AN413" s="69"/>
      <c r="AO413" s="69"/>
      <c r="AP413" s="69"/>
      <c r="AQ413" s="69"/>
      <c r="AR413" s="69"/>
      <c r="AS413" s="68" t="n">
        <f aca="false">IFERROR(AS411/AS412,"n/a")</f>
        <v>0.149706238507423</v>
      </c>
      <c r="AT413" s="69"/>
      <c r="AU413" s="69"/>
      <c r="AV413" s="69"/>
      <c r="AW413" s="69"/>
      <c r="AX413" s="69"/>
      <c r="AY413" s="68" t="n">
        <f aca="false">IFERROR(AY411/AY412,"n/a")</f>
        <v>0.148193170516079</v>
      </c>
      <c r="AZ413" s="69"/>
      <c r="BA413" s="69"/>
      <c r="BB413" s="69"/>
      <c r="BC413" s="69"/>
      <c r="BD413" s="69"/>
      <c r="BE413" s="68" t="n">
        <f aca="false">IFERROR(BE411/BE412,"n/a")</f>
        <v>0.124481199281422</v>
      </c>
      <c r="BF413" s="69"/>
      <c r="BG413" s="69"/>
      <c r="BH413" s="69"/>
      <c r="BI413" s="69"/>
      <c r="BJ413" s="69"/>
      <c r="BK413" s="68" t="n">
        <f aca="false">IFERROR(BK411/BK412,"n/a")</f>
        <v>0.0584229860928891</v>
      </c>
      <c r="BL413" s="69"/>
      <c r="BM413" s="69"/>
      <c r="BN413" s="69"/>
      <c r="BO413" s="69"/>
      <c r="BP413" s="69"/>
      <c r="BQ413" s="68" t="n">
        <f aca="false">IFERROR(BQ411/BQ412,"n/a")</f>
        <v>0.0965333202761593</v>
      </c>
      <c r="BR413" s="69"/>
      <c r="BS413" s="69"/>
      <c r="BT413" s="69"/>
      <c r="BU413" s="69"/>
      <c r="BV413" s="69"/>
      <c r="BW413" s="68" t="n">
        <f aca="false">IFERROR(BW411/BW412,"n/a")</f>
        <v>0.0960504055871253</v>
      </c>
      <c r="BX413" s="69"/>
      <c r="BY413" s="69"/>
      <c r="BZ413" s="69"/>
      <c r="CA413" s="69"/>
      <c r="CB413" s="69"/>
      <c r="CC413" s="68" t="n">
        <f aca="false">IFERROR(CC411/CC412,"n/a")</f>
        <v>0.0857854943766101</v>
      </c>
      <c r="CD413" s="69"/>
      <c r="CE413" s="69"/>
      <c r="CF413" s="69"/>
      <c r="CG413" s="69"/>
      <c r="CH413" s="69"/>
      <c r="CI413" s="68" t="n">
        <f aca="false">IFERROR(CI411/CI412,"n/a")</f>
        <v>0.0851063829787234</v>
      </c>
      <c r="CJ413" s="69"/>
      <c r="CK413" s="69"/>
      <c r="CL413" s="69"/>
      <c r="CM413" s="68"/>
      <c r="CN413" s="68"/>
      <c r="CO413" s="68" t="n">
        <f aca="false">IFERROR(CO411/CO412,"n/a")</f>
        <v>0.0841880250195623</v>
      </c>
      <c r="CP413" s="68" t="n">
        <f aca="false">IFERROR(CP411/CP412,"n/a")</f>
        <v>0.0898418913514305</v>
      </c>
      <c r="CQ413" s="68" t="n">
        <f aca="false">IFERROR(CQ411/CQ412,"n/a")</f>
        <v>0.0918487140834588</v>
      </c>
      <c r="CR413" s="68" t="n">
        <f aca="false">IFERROR(CR411/CR412,"n/a")</f>
        <v>0.094852482145031</v>
      </c>
      <c r="CS413" s="68" t="n">
        <f aca="false">IFERROR(CS411/CS412,"n/a")</f>
        <v>0.0964161345006367</v>
      </c>
      <c r="CT413" s="23"/>
      <c r="CV413" s="41" t="n">
        <f aca="false">IFERROR(AVERAGE(CO413,CP413,CQ413,CR413,CS413),"n/m")</f>
        <v>0.0914294494200239</v>
      </c>
      <c r="CW413" s="41" t="n">
        <f aca="false">IFERROR(AVERAGE(BK413,BQ413,BW413,CC413,CI413),"n/m")</f>
        <v>0.0843797178623014</v>
      </c>
      <c r="CX413" s="41" t="n">
        <f aca="false">IFERROR(AVERAGE(AG413,AM413,AS413,AY413,BE413,BK413,BQ413,BW413,CC413,CI413),"n/m")</f>
        <v>0.108376622809021</v>
      </c>
      <c r="CY413" s="41" t="n">
        <f aca="false">IFERROR(AVERAGE(C413,D413,E413,F413,G413,H413,I413,O413,U413,AA413,AG413,AM413,AS413,AY413,BE413,BK413,BQ413,BW413,CC413,CI413),"n/m")</f>
        <v>0.141316330022435</v>
      </c>
    </row>
    <row r="414" customFormat="false" ht="15" hidden="false" customHeight="true" outlineLevel="0" collapsed="false">
      <c r="B414" s="13"/>
      <c r="CM414" s="7"/>
      <c r="CN414" s="7"/>
      <c r="CO414" s="7"/>
      <c r="CP414" s="7"/>
      <c r="CQ414" s="7"/>
      <c r="CR414" s="7"/>
      <c r="CS414" s="7"/>
      <c r="CT414" s="7"/>
    </row>
    <row r="415" customFormat="false" ht="15" hidden="false" customHeight="true" outlineLevel="0" collapsed="false">
      <c r="B415" s="17" t="s">
        <v>559</v>
      </c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  <c r="BO415" s="17"/>
      <c r="BP415" s="17"/>
      <c r="BQ415" s="17"/>
      <c r="BR415" s="17"/>
      <c r="BS415" s="17"/>
      <c r="BT415" s="17"/>
      <c r="BU415" s="17"/>
      <c r="BV415" s="17"/>
      <c r="BW415" s="17"/>
      <c r="BX415" s="17"/>
      <c r="BY415" s="17"/>
      <c r="BZ415" s="17"/>
      <c r="CA415" s="17"/>
      <c r="CB415" s="17"/>
      <c r="CC415" s="17"/>
      <c r="CD415" s="17"/>
      <c r="CE415" s="17"/>
      <c r="CF415" s="17"/>
      <c r="CG415" s="17"/>
      <c r="CH415" s="17"/>
      <c r="CI415" s="17"/>
      <c r="CJ415" s="17"/>
      <c r="CK415" s="17"/>
      <c r="CL415" s="17"/>
      <c r="CM415" s="17"/>
      <c r="CN415" s="17"/>
      <c r="CO415" s="17"/>
      <c r="CP415" s="17"/>
      <c r="CQ415" s="17"/>
      <c r="CR415" s="17"/>
      <c r="CS415" s="17"/>
      <c r="CT415" s="17"/>
    </row>
    <row r="416" customFormat="false" ht="15" hidden="false" customHeight="true" outlineLevel="0" collapsed="false">
      <c r="B416" s="13" t="s">
        <v>560</v>
      </c>
      <c r="C416" s="30" t="n">
        <f aca="false">C395</f>
        <v>218.9</v>
      </c>
      <c r="D416" s="30" t="n">
        <f aca="false">D395</f>
        <v>129.8</v>
      </c>
      <c r="E416" s="30" t="n">
        <f aca="false">E395</f>
        <v>312.8</v>
      </c>
      <c r="F416" s="30" t="n">
        <f aca="false">F395</f>
        <v>226</v>
      </c>
      <c r="G416" s="30" t="n">
        <f aca="false">G395</f>
        <v>192.2</v>
      </c>
      <c r="H416" s="30" t="n">
        <f aca="false">H395</f>
        <v>263.4</v>
      </c>
      <c r="I416" s="30" t="n">
        <f aca="false">I395</f>
        <v>512.4</v>
      </c>
      <c r="J416" s="30"/>
      <c r="K416" s="30"/>
      <c r="L416" s="30"/>
      <c r="M416" s="30"/>
      <c r="N416" s="30"/>
      <c r="O416" s="30" t="n">
        <f aca="false">O395</f>
        <v>486.5</v>
      </c>
      <c r="P416" s="30"/>
      <c r="Q416" s="30"/>
      <c r="R416" s="30"/>
      <c r="S416" s="30"/>
      <c r="T416" s="30"/>
      <c r="U416" s="30" t="n">
        <f aca="false">U395</f>
        <v>563.7</v>
      </c>
      <c r="V416" s="30"/>
      <c r="W416" s="30"/>
      <c r="X416" s="30"/>
      <c r="Y416" s="30"/>
      <c r="Z416" s="30"/>
      <c r="AA416" s="30" t="n">
        <f aca="false">AA395</f>
        <v>695.5</v>
      </c>
      <c r="AB416" s="30"/>
      <c r="AC416" s="30"/>
      <c r="AD416" s="30"/>
      <c r="AE416" s="30"/>
      <c r="AF416" s="30"/>
      <c r="AG416" s="30" t="n">
        <f aca="false">AG395</f>
        <v>519.2</v>
      </c>
      <c r="AH416" s="30"/>
      <c r="AI416" s="30"/>
      <c r="AJ416" s="30"/>
      <c r="AK416" s="30"/>
      <c r="AL416" s="30"/>
      <c r="AM416" s="30" t="n">
        <f aca="false">AM395</f>
        <v>1002</v>
      </c>
      <c r="AN416" s="30"/>
      <c r="AO416" s="30"/>
      <c r="AP416" s="30"/>
      <c r="AQ416" s="30"/>
      <c r="AR416" s="30"/>
      <c r="AS416" s="30" t="n">
        <f aca="false">AS395</f>
        <v>605</v>
      </c>
      <c r="AT416" s="30"/>
      <c r="AU416" s="30"/>
      <c r="AV416" s="30"/>
      <c r="AW416" s="30"/>
      <c r="AX416" s="30"/>
      <c r="AY416" s="30" t="n">
        <f aca="false">AY395</f>
        <v>651.1</v>
      </c>
      <c r="AZ416" s="30"/>
      <c r="BA416" s="30"/>
      <c r="BB416" s="30"/>
      <c r="BC416" s="30"/>
      <c r="BD416" s="30"/>
      <c r="BE416" s="30" t="n">
        <f aca="false">BE395</f>
        <v>105.4</v>
      </c>
      <c r="BF416" s="30"/>
      <c r="BG416" s="30"/>
      <c r="BH416" s="30"/>
      <c r="BI416" s="30"/>
      <c r="BJ416" s="30"/>
      <c r="BK416" s="30" t="n">
        <f aca="false">BK395</f>
        <v>3624.7</v>
      </c>
      <c r="BL416" s="30"/>
      <c r="BM416" s="30"/>
      <c r="BN416" s="30"/>
      <c r="BO416" s="30"/>
      <c r="BP416" s="30"/>
      <c r="BQ416" s="30" t="n">
        <f aca="false">BQ395</f>
        <v>3282.5</v>
      </c>
      <c r="BR416" s="30"/>
      <c r="BS416" s="30"/>
      <c r="BT416" s="30"/>
      <c r="BU416" s="30"/>
      <c r="BV416" s="30"/>
      <c r="BW416" s="30" t="n">
        <f aca="false">BW395</f>
        <v>2596.6</v>
      </c>
      <c r="BX416" s="30"/>
      <c r="BY416" s="30"/>
      <c r="BZ416" s="30"/>
      <c r="CA416" s="30"/>
      <c r="CB416" s="30"/>
      <c r="CC416" s="30" t="n">
        <f aca="false">CC395</f>
        <v>1999.2</v>
      </c>
      <c r="CD416" s="30"/>
      <c r="CE416" s="30"/>
      <c r="CF416" s="30"/>
      <c r="CG416" s="30"/>
      <c r="CH416" s="30"/>
      <c r="CI416" s="30" t="n">
        <f aca="false">CI395</f>
        <v>2123</v>
      </c>
      <c r="CJ416" s="30"/>
      <c r="CK416" s="30"/>
      <c r="CL416" s="30"/>
      <c r="CM416" s="32"/>
      <c r="CN416" s="32"/>
      <c r="CO416" s="32" t="n">
        <f aca="false">CO395</f>
        <v>1023.29847055374</v>
      </c>
      <c r="CP416" s="32" t="n">
        <f aca="false">CP395</f>
        <v>683.686272125648</v>
      </c>
      <c r="CQ416" s="32" t="n">
        <f aca="false">CQ395</f>
        <v>460.10194845705</v>
      </c>
      <c r="CR416" s="32" t="n">
        <f aca="false">CR395</f>
        <v>89.7978631780411</v>
      </c>
      <c r="CS416" s="32" t="n">
        <f aca="false">CS395</f>
        <v>-434.097875830852</v>
      </c>
      <c r="CT416" s="23"/>
      <c r="CV416" s="7"/>
      <c r="CW416" s="7"/>
      <c r="CX416" s="7"/>
      <c r="CY416" s="7"/>
    </row>
    <row r="417" customFormat="false" ht="15" hidden="false" customHeight="true" outlineLevel="0" collapsed="false">
      <c r="B417" s="13" t="s">
        <v>561</v>
      </c>
      <c r="C417" s="30" t="n">
        <f aca="false">C211</f>
        <v>162.1</v>
      </c>
      <c r="D417" s="30" t="n">
        <f aca="false">D211</f>
        <v>199.9</v>
      </c>
      <c r="E417" s="30" t="n">
        <f aca="false">E211</f>
        <v>243.9</v>
      </c>
      <c r="F417" s="30" t="n">
        <f aca="false">F211</f>
        <v>213.7</v>
      </c>
      <c r="G417" s="30" t="n">
        <f aca="false">G211</f>
        <v>225.3</v>
      </c>
      <c r="H417" s="30" t="n">
        <f aca="false">H211</f>
        <v>292</v>
      </c>
      <c r="I417" s="30" t="n">
        <f aca="false">I211</f>
        <v>324.3</v>
      </c>
      <c r="J417" s="30"/>
      <c r="K417" s="30"/>
      <c r="L417" s="30"/>
      <c r="M417" s="30"/>
      <c r="N417" s="30"/>
      <c r="O417" s="30" t="n">
        <f aca="false">O211</f>
        <v>335.5</v>
      </c>
      <c r="P417" s="30"/>
      <c r="Q417" s="30"/>
      <c r="R417" s="30"/>
      <c r="S417" s="30"/>
      <c r="T417" s="30"/>
      <c r="U417" s="30" t="n">
        <f aca="false">U211</f>
        <v>395.4</v>
      </c>
      <c r="V417" s="30"/>
      <c r="W417" s="30"/>
      <c r="X417" s="30"/>
      <c r="Y417" s="30"/>
      <c r="Z417" s="30"/>
      <c r="AA417" s="30" t="n">
        <f aca="false">AA211</f>
        <v>372.4</v>
      </c>
      <c r="AB417" s="30"/>
      <c r="AC417" s="30"/>
      <c r="AD417" s="30"/>
      <c r="AE417" s="30"/>
      <c r="AF417" s="30"/>
      <c r="AG417" s="30" t="n">
        <f aca="false">AG211</f>
        <v>353.7</v>
      </c>
      <c r="AH417" s="30"/>
      <c r="AI417" s="30"/>
      <c r="AJ417" s="30"/>
      <c r="AK417" s="30"/>
      <c r="AL417" s="30"/>
      <c r="AM417" s="30" t="n">
        <f aca="false">AM211</f>
        <v>451.8</v>
      </c>
      <c r="AN417" s="30"/>
      <c r="AO417" s="30"/>
      <c r="AP417" s="30"/>
      <c r="AQ417" s="30"/>
      <c r="AR417" s="30"/>
      <c r="AS417" s="30" t="n">
        <f aca="false">AS211</f>
        <v>532.4</v>
      </c>
      <c r="AT417" s="30"/>
      <c r="AU417" s="30"/>
      <c r="AV417" s="30"/>
      <c r="AW417" s="30"/>
      <c r="AX417" s="30"/>
      <c r="AY417" s="30" t="n">
        <f aca="false">AY211</f>
        <v>606.6</v>
      </c>
      <c r="AZ417" s="30"/>
      <c r="BA417" s="30"/>
      <c r="BB417" s="30"/>
      <c r="BC417" s="30"/>
      <c r="BD417" s="30"/>
      <c r="BE417" s="30" t="n">
        <f aca="false">BE211</f>
        <v>601.2</v>
      </c>
      <c r="BF417" s="30"/>
      <c r="BG417" s="30"/>
      <c r="BH417" s="30"/>
      <c r="BI417" s="30"/>
      <c r="BJ417" s="30"/>
      <c r="BK417" s="30" t="n">
        <f aca="false">BK211</f>
        <v>1099.4</v>
      </c>
      <c r="BL417" s="30"/>
      <c r="BM417" s="30"/>
      <c r="BN417" s="30"/>
      <c r="BO417" s="30"/>
      <c r="BP417" s="30"/>
      <c r="BQ417" s="30" t="n">
        <f aca="false">BQ211</f>
        <v>1325.6</v>
      </c>
      <c r="BR417" s="30"/>
      <c r="BS417" s="30"/>
      <c r="BT417" s="30"/>
      <c r="BU417" s="30"/>
      <c r="BV417" s="30"/>
      <c r="BW417" s="30" t="n">
        <f aca="false">BW211</f>
        <v>1361.4</v>
      </c>
      <c r="BX417" s="30"/>
      <c r="BY417" s="30"/>
      <c r="BZ417" s="30"/>
      <c r="CA417" s="30"/>
      <c r="CB417" s="30"/>
      <c r="CC417" s="30" t="n">
        <f aca="false">CC211</f>
        <v>1366.6</v>
      </c>
      <c r="CD417" s="30"/>
      <c r="CE417" s="30"/>
      <c r="CF417" s="30"/>
      <c r="CG417" s="30"/>
      <c r="CH417" s="30"/>
      <c r="CI417" s="30" t="n">
        <f aca="false">CI211</f>
        <v>1504</v>
      </c>
      <c r="CJ417" s="30"/>
      <c r="CK417" s="30"/>
      <c r="CL417" s="30"/>
      <c r="CM417" s="32"/>
      <c r="CN417" s="32"/>
      <c r="CO417" s="32" t="n">
        <f aca="false">CO211</f>
        <v>1635.45907693163</v>
      </c>
      <c r="CP417" s="32" t="n">
        <f aca="false">CP211</f>
        <v>1827.46462450366</v>
      </c>
      <c r="CQ417" s="32" t="n">
        <f aca="false">CQ211</f>
        <v>2018.92462789905</v>
      </c>
      <c r="CR417" s="32" t="n">
        <f aca="false">CR211</f>
        <v>2220.89516006836</v>
      </c>
      <c r="CS417" s="32" t="n">
        <f aca="false">CS211</f>
        <v>2437.09447175342</v>
      </c>
      <c r="CT417" s="23"/>
      <c r="CV417" s="7"/>
      <c r="CW417" s="7"/>
      <c r="CX417" s="7"/>
      <c r="CY417" s="7"/>
    </row>
    <row r="418" customFormat="false" ht="15" hidden="false" customHeight="true" outlineLevel="0" collapsed="false">
      <c r="B418" s="34" t="s">
        <v>562</v>
      </c>
      <c r="C418" s="70" t="n">
        <f aca="false">IFERROR(C416/C417,"n/a")</f>
        <v>1.35040098704503</v>
      </c>
      <c r="D418" s="70" t="n">
        <f aca="false">IFERROR(D416/D417,"n/a")</f>
        <v>0.649324662331166</v>
      </c>
      <c r="E418" s="70" t="n">
        <f aca="false">IFERROR(E416/E417,"n/a")</f>
        <v>1.28249282492825</v>
      </c>
      <c r="F418" s="70" t="n">
        <f aca="false">IFERROR(F416/F417,"n/a")</f>
        <v>1.05755732335049</v>
      </c>
      <c r="G418" s="70" t="n">
        <f aca="false">IFERROR(G416/G417,"n/a")</f>
        <v>0.853084775854416</v>
      </c>
      <c r="H418" s="70" t="n">
        <f aca="false">IFERROR(H416/H417,"n/a")</f>
        <v>0.902054794520548</v>
      </c>
      <c r="I418" s="70" t="n">
        <f aca="false">IFERROR(I416/I417,"n/a")</f>
        <v>1.5800185013876</v>
      </c>
      <c r="J418" s="71"/>
      <c r="K418" s="71"/>
      <c r="L418" s="71"/>
      <c r="M418" s="71"/>
      <c r="N418" s="71"/>
      <c r="O418" s="70" t="n">
        <f aca="false">IFERROR(O416/O417,"n/a")</f>
        <v>1.45007451564829</v>
      </c>
      <c r="P418" s="71"/>
      <c r="Q418" s="71"/>
      <c r="R418" s="71"/>
      <c r="S418" s="71"/>
      <c r="T418" s="71"/>
      <c r="U418" s="70" t="n">
        <f aca="false">IFERROR(U416/U417,"n/a")</f>
        <v>1.42564491654021</v>
      </c>
      <c r="V418" s="71"/>
      <c r="W418" s="71"/>
      <c r="X418" s="71"/>
      <c r="Y418" s="71"/>
      <c r="Z418" s="71"/>
      <c r="AA418" s="70" t="n">
        <f aca="false">IFERROR(AA416/AA417,"n/a")</f>
        <v>1.86761546723953</v>
      </c>
      <c r="AB418" s="71"/>
      <c r="AC418" s="71"/>
      <c r="AD418" s="71"/>
      <c r="AE418" s="71"/>
      <c r="AF418" s="71"/>
      <c r="AG418" s="70" t="n">
        <f aca="false">IFERROR(AG416/AG417,"n/a")</f>
        <v>1.46791065875035</v>
      </c>
      <c r="AH418" s="71"/>
      <c r="AI418" s="71"/>
      <c r="AJ418" s="71"/>
      <c r="AK418" s="71"/>
      <c r="AL418" s="71"/>
      <c r="AM418" s="70" t="n">
        <f aca="false">IFERROR(AM416/AM417,"n/a")</f>
        <v>2.21779548472776</v>
      </c>
      <c r="AN418" s="71"/>
      <c r="AO418" s="71"/>
      <c r="AP418" s="71"/>
      <c r="AQ418" s="71"/>
      <c r="AR418" s="71"/>
      <c r="AS418" s="70" t="n">
        <f aca="false">IFERROR(AS416/AS417,"n/a")</f>
        <v>1.13636363636364</v>
      </c>
      <c r="AT418" s="71"/>
      <c r="AU418" s="71"/>
      <c r="AV418" s="71"/>
      <c r="AW418" s="71"/>
      <c r="AX418" s="71"/>
      <c r="AY418" s="70" t="n">
        <f aca="false">IFERROR(AY416/AY417,"n/a")</f>
        <v>1.07335970985823</v>
      </c>
      <c r="AZ418" s="71"/>
      <c r="BA418" s="71"/>
      <c r="BB418" s="71"/>
      <c r="BC418" s="71"/>
      <c r="BD418" s="71"/>
      <c r="BE418" s="70" t="n">
        <f aca="false">IFERROR(BE416/BE417,"n/a")</f>
        <v>0.175316034597472</v>
      </c>
      <c r="BF418" s="71"/>
      <c r="BG418" s="71"/>
      <c r="BH418" s="71"/>
      <c r="BI418" s="71"/>
      <c r="BJ418" s="71"/>
      <c r="BK418" s="70" t="n">
        <f aca="false">IFERROR(BK416/BK417,"n/a")</f>
        <v>3.29698017100236</v>
      </c>
      <c r="BL418" s="71"/>
      <c r="BM418" s="71"/>
      <c r="BN418" s="71"/>
      <c r="BO418" s="71"/>
      <c r="BP418" s="71"/>
      <c r="BQ418" s="70" t="n">
        <f aca="false">IFERROR(BQ416/BQ417,"n/a")</f>
        <v>2.47623717561859</v>
      </c>
      <c r="BR418" s="71"/>
      <c r="BS418" s="71"/>
      <c r="BT418" s="71"/>
      <c r="BU418" s="71"/>
      <c r="BV418" s="71"/>
      <c r="BW418" s="70" t="n">
        <f aca="false">IFERROR(BW416/BW417,"n/a")</f>
        <v>1.9073013074776</v>
      </c>
      <c r="BX418" s="71"/>
      <c r="BY418" s="71"/>
      <c r="BZ418" s="71"/>
      <c r="CA418" s="71"/>
      <c r="CB418" s="71"/>
      <c r="CC418" s="70" t="n">
        <f aca="false">IFERROR(CC416/CC417,"n/a")</f>
        <v>1.46290062929899</v>
      </c>
      <c r="CD418" s="71"/>
      <c r="CE418" s="71"/>
      <c r="CF418" s="71"/>
      <c r="CG418" s="71"/>
      <c r="CH418" s="71"/>
      <c r="CI418" s="70" t="n">
        <f aca="false">IFERROR(CI416/CI417,"n/a")</f>
        <v>1.41156914893617</v>
      </c>
      <c r="CJ418" s="71"/>
      <c r="CK418" s="71"/>
      <c r="CL418" s="71"/>
      <c r="CM418" s="70"/>
      <c r="CN418" s="70"/>
      <c r="CO418" s="70" t="n">
        <f aca="false">IFERROR(CO416/CO417,"n/a")</f>
        <v>0.625694940941969</v>
      </c>
      <c r="CP418" s="70" t="n">
        <f aca="false">IFERROR(CP416/CP417,"n/a")</f>
        <v>0.374117377134639</v>
      </c>
      <c r="CQ418" s="70" t="n">
        <f aca="false">IFERROR(CQ416/CQ417,"n/a")</f>
        <v>0.2278945643136</v>
      </c>
      <c r="CR418" s="70" t="n">
        <f aca="false">IFERROR(CR416/CR417,"n/a")</f>
        <v>0.040433184236971</v>
      </c>
      <c r="CS418" s="70" t="n">
        <f aca="false">IFERROR(CS416/CS417,"n/a")</f>
        <v>-0.178121070341</v>
      </c>
      <c r="CT418" s="23"/>
      <c r="CV418" s="7"/>
      <c r="CW418" s="7"/>
      <c r="CX418" s="7"/>
      <c r="CY418" s="7"/>
    </row>
    <row r="419" customFormat="false" ht="15" hidden="false" customHeight="true" outlineLevel="0" collapsed="false">
      <c r="B419" s="37" t="s">
        <v>563</v>
      </c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  <c r="AH419" s="48"/>
      <c r="AI419" s="48"/>
      <c r="AJ419" s="48"/>
      <c r="AK419" s="48"/>
      <c r="AL419" s="48"/>
      <c r="AM419" s="48"/>
      <c r="AN419" s="48"/>
      <c r="AO419" s="48"/>
      <c r="AP419" s="48"/>
      <c r="AQ419" s="48"/>
      <c r="AR419" s="48"/>
      <c r="AS419" s="48"/>
      <c r="AT419" s="48"/>
      <c r="AU419" s="48"/>
      <c r="AV419" s="48"/>
      <c r="AW419" s="48"/>
      <c r="AX419" s="48"/>
      <c r="AY419" s="48"/>
      <c r="AZ419" s="48"/>
      <c r="BA419" s="48"/>
      <c r="BB419" s="48"/>
      <c r="BC419" s="48"/>
      <c r="BD419" s="48"/>
      <c r="BE419" s="48"/>
      <c r="BF419" s="48"/>
      <c r="BG419" s="48"/>
      <c r="BH419" s="48"/>
      <c r="BI419" s="48"/>
      <c r="BJ419" s="48"/>
      <c r="BK419" s="72" t="n">
        <v>2.9</v>
      </c>
      <c r="BL419" s="48"/>
      <c r="BM419" s="48"/>
      <c r="BN419" s="48"/>
      <c r="BO419" s="48"/>
      <c r="BP419" s="48"/>
      <c r="BQ419" s="72" t="n">
        <v>2.4</v>
      </c>
      <c r="BR419" s="48"/>
      <c r="BS419" s="48"/>
      <c r="BT419" s="48"/>
      <c r="BU419" s="48"/>
      <c r="BV419" s="48"/>
      <c r="BW419" s="72" t="n">
        <v>1.9</v>
      </c>
      <c r="BX419" s="48"/>
      <c r="BY419" s="48"/>
      <c r="BZ419" s="48"/>
      <c r="CA419" s="48"/>
      <c r="CB419" s="48"/>
      <c r="CC419" s="72" t="n">
        <v>1.5</v>
      </c>
      <c r="CD419" s="48"/>
      <c r="CE419" s="48"/>
      <c r="CF419" s="48"/>
      <c r="CG419" s="48"/>
      <c r="CH419" s="48"/>
      <c r="CI419" s="72" t="n">
        <v>1.4</v>
      </c>
      <c r="CJ419" s="48"/>
      <c r="CK419" s="48"/>
      <c r="CL419" s="72" t="n">
        <v>1.1</v>
      </c>
      <c r="CM419" s="49"/>
      <c r="CN419" s="49"/>
      <c r="CO419" s="49"/>
      <c r="CP419" s="49"/>
      <c r="CQ419" s="49"/>
      <c r="CR419" s="49"/>
      <c r="CS419" s="49"/>
      <c r="CT419" s="23"/>
      <c r="CV419" s="7"/>
      <c r="CW419" s="7"/>
      <c r="CX419" s="7"/>
      <c r="CY419" s="7"/>
    </row>
    <row r="420" customFormat="false" ht="15" hidden="false" customHeight="true" outlineLevel="0" collapsed="false">
      <c r="B420" s="13"/>
      <c r="CM420" s="7"/>
      <c r="CN420" s="7"/>
      <c r="CO420" s="7"/>
      <c r="CP420" s="7"/>
      <c r="CQ420" s="7"/>
      <c r="CR420" s="7"/>
      <c r="CS420" s="7"/>
      <c r="CT420" s="7"/>
    </row>
    <row r="421" customFormat="false" ht="15" hidden="false" customHeight="true" outlineLevel="0" collapsed="false">
      <c r="B421" s="12" t="s">
        <v>564</v>
      </c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  <c r="BZ421" s="12"/>
      <c r="CA421" s="12"/>
      <c r="CB421" s="12"/>
      <c r="CC421" s="12"/>
      <c r="CD421" s="12"/>
      <c r="CE421" s="12"/>
      <c r="CF421" s="12"/>
      <c r="CG421" s="12"/>
      <c r="CH421" s="12"/>
      <c r="CI421" s="12"/>
      <c r="CJ421" s="12"/>
      <c r="CK421" s="12"/>
      <c r="CL421" s="12"/>
      <c r="CM421" s="12"/>
      <c r="CN421" s="12"/>
      <c r="CO421" s="12"/>
      <c r="CP421" s="12"/>
      <c r="CQ421" s="12"/>
      <c r="CR421" s="12"/>
      <c r="CS421" s="12"/>
      <c r="CT421" s="12" t="s">
        <v>565</v>
      </c>
    </row>
    <row r="422" customFormat="false" ht="15" hidden="false" customHeight="true" outlineLevel="0" collapsed="false">
      <c r="B422" s="47" t="s">
        <v>566</v>
      </c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  <c r="AJ422" s="60"/>
      <c r="AK422" s="60"/>
      <c r="AL422" s="60"/>
      <c r="AM422" s="60"/>
      <c r="AN422" s="60"/>
      <c r="AO422" s="60"/>
      <c r="AP422" s="60"/>
      <c r="AQ422" s="60"/>
      <c r="AR422" s="60"/>
      <c r="AS422" s="60"/>
      <c r="AT422" s="60"/>
      <c r="AU422" s="60"/>
      <c r="AV422" s="60"/>
      <c r="AW422" s="60"/>
      <c r="AX422" s="60"/>
      <c r="AY422" s="60"/>
      <c r="AZ422" s="60"/>
      <c r="BA422" s="60"/>
      <c r="BB422" s="60"/>
      <c r="BC422" s="60"/>
      <c r="BD422" s="60"/>
      <c r="BE422" s="60"/>
      <c r="BF422" s="60"/>
      <c r="BG422" s="60"/>
      <c r="BH422" s="60"/>
      <c r="BI422" s="60"/>
      <c r="BJ422" s="60"/>
      <c r="BK422" s="60"/>
      <c r="BL422" s="60"/>
      <c r="BM422" s="60"/>
      <c r="BN422" s="60"/>
      <c r="BO422" s="60"/>
      <c r="BP422" s="60"/>
      <c r="BQ422" s="60"/>
      <c r="BR422" s="60"/>
      <c r="BS422" s="60"/>
      <c r="BT422" s="60"/>
      <c r="BU422" s="60"/>
      <c r="BV422" s="60"/>
      <c r="BW422" s="60"/>
      <c r="BX422" s="60"/>
      <c r="BY422" s="60"/>
      <c r="BZ422" s="60"/>
      <c r="CA422" s="60"/>
      <c r="CB422" s="60"/>
      <c r="CC422" s="60"/>
      <c r="CD422" s="60"/>
      <c r="CE422" s="60"/>
      <c r="CF422" s="60"/>
      <c r="CG422" s="60"/>
      <c r="CH422" s="60"/>
      <c r="CI422" s="60"/>
      <c r="CJ422" s="60"/>
      <c r="CK422" s="60"/>
      <c r="CL422" s="60"/>
      <c r="CM422" s="61"/>
      <c r="CN422" s="61"/>
      <c r="CO422" s="73" t="n">
        <v>615</v>
      </c>
      <c r="CP422" s="61" t="n">
        <f aca="false">CO422</f>
        <v>615</v>
      </c>
      <c r="CQ422" s="61" t="n">
        <f aca="false">CP422</f>
        <v>615</v>
      </c>
      <c r="CR422" s="61" t="n">
        <f aca="false">CQ422</f>
        <v>615</v>
      </c>
      <c r="CS422" s="61" t="n">
        <f aca="false">CR422</f>
        <v>615</v>
      </c>
      <c r="CT422" s="23"/>
      <c r="CV422" s="7"/>
      <c r="CW422" s="7"/>
      <c r="CX422" s="7"/>
      <c r="CY422" s="7"/>
    </row>
    <row r="423" customFormat="false" ht="15" hidden="false" customHeight="true" outlineLevel="0" collapsed="false">
      <c r="B423" s="13" t="s">
        <v>567</v>
      </c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  <c r="AH423" s="52"/>
      <c r="AI423" s="52"/>
      <c r="AJ423" s="52"/>
      <c r="AK423" s="52"/>
      <c r="AL423" s="52"/>
      <c r="AM423" s="52"/>
      <c r="AN423" s="52"/>
      <c r="AO423" s="52"/>
      <c r="AP423" s="52"/>
      <c r="AQ423" s="52"/>
      <c r="AR423" s="52"/>
      <c r="AS423" s="52"/>
      <c r="AT423" s="52"/>
      <c r="AU423" s="52"/>
      <c r="AV423" s="52"/>
      <c r="AW423" s="52"/>
      <c r="AX423" s="52"/>
      <c r="AY423" s="52"/>
      <c r="AZ423" s="52"/>
      <c r="BA423" s="52"/>
      <c r="BB423" s="52"/>
      <c r="BC423" s="52"/>
      <c r="BD423" s="52"/>
      <c r="BE423" s="52"/>
      <c r="BF423" s="52"/>
      <c r="BG423" s="52"/>
      <c r="BH423" s="52"/>
      <c r="BI423" s="52"/>
      <c r="BJ423" s="52"/>
      <c r="BK423" s="52"/>
      <c r="BL423" s="52"/>
      <c r="BM423" s="52"/>
      <c r="BN423" s="52"/>
      <c r="BO423" s="52"/>
      <c r="BP423" s="52"/>
      <c r="BQ423" s="52"/>
      <c r="BR423" s="52"/>
      <c r="BS423" s="52"/>
      <c r="BT423" s="52"/>
      <c r="BU423" s="52"/>
      <c r="BV423" s="52"/>
      <c r="BW423" s="52"/>
      <c r="BX423" s="52"/>
      <c r="BY423" s="52"/>
      <c r="BZ423" s="52"/>
      <c r="CA423" s="52"/>
      <c r="CB423" s="52"/>
      <c r="CC423" s="52"/>
      <c r="CD423" s="52"/>
      <c r="CE423" s="52"/>
      <c r="CF423" s="52"/>
      <c r="CG423" s="52"/>
      <c r="CH423" s="52"/>
      <c r="CI423" s="52"/>
      <c r="CJ423" s="52"/>
      <c r="CK423" s="52"/>
      <c r="CL423" s="52"/>
      <c r="CM423" s="53"/>
      <c r="CN423" s="53"/>
      <c r="CO423" s="53" t="n">
        <f aca="false">CO179</f>
        <v>46.875</v>
      </c>
      <c r="CP423" s="53" t="n">
        <f aca="false">CP179</f>
        <v>46.9902978294203</v>
      </c>
      <c r="CQ423" s="53" t="n">
        <f aca="false">CQ179</f>
        <v>46.772814462037</v>
      </c>
      <c r="CR423" s="53" t="n">
        <f aca="false">CR179</f>
        <v>46.5793720626134</v>
      </c>
      <c r="CS423" s="53" t="n">
        <f aca="false">CS179</f>
        <v>46.4083978575447</v>
      </c>
      <c r="CT423" s="23"/>
      <c r="CV423" s="7"/>
      <c r="CW423" s="7"/>
      <c r="CX423" s="7"/>
      <c r="CY423" s="7"/>
    </row>
    <row r="424" customFormat="false" ht="15" hidden="false" customHeight="true" outlineLevel="0" collapsed="false">
      <c r="B424" s="13" t="s">
        <v>568</v>
      </c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  <c r="AX424" s="30"/>
      <c r="AY424" s="30"/>
      <c r="AZ424" s="30"/>
      <c r="BA424" s="30"/>
      <c r="BB424" s="30"/>
      <c r="BC424" s="30"/>
      <c r="BD424" s="30"/>
      <c r="BE424" s="30"/>
      <c r="BF424" s="30"/>
      <c r="BG424" s="30"/>
      <c r="BH424" s="30"/>
      <c r="BI424" s="30"/>
      <c r="BJ424" s="30"/>
      <c r="BK424" s="30"/>
      <c r="BL424" s="30"/>
      <c r="BM424" s="30"/>
      <c r="BN424" s="30"/>
      <c r="BO424" s="30"/>
      <c r="BP424" s="30"/>
      <c r="BQ424" s="30"/>
      <c r="BR424" s="30"/>
      <c r="BS424" s="30"/>
      <c r="BT424" s="30"/>
      <c r="BU424" s="30"/>
      <c r="BV424" s="30"/>
      <c r="BW424" s="30"/>
      <c r="BX424" s="30"/>
      <c r="BY424" s="30"/>
      <c r="BZ424" s="30"/>
      <c r="CA424" s="30"/>
      <c r="CB424" s="30"/>
      <c r="CC424" s="30"/>
      <c r="CD424" s="30"/>
      <c r="CE424" s="30"/>
      <c r="CF424" s="30"/>
      <c r="CG424" s="30"/>
      <c r="CH424" s="30"/>
      <c r="CI424" s="30"/>
      <c r="CJ424" s="30"/>
      <c r="CK424" s="30"/>
      <c r="CL424" s="30"/>
      <c r="CM424" s="32"/>
      <c r="CN424" s="32"/>
      <c r="CO424" s="32" t="n">
        <f aca="false">IFERROR(CO422*CO423,"n/a")</f>
        <v>28828.125</v>
      </c>
      <c r="CP424" s="32" t="n">
        <f aca="false">IFERROR(CP422*CP423,"n/a")</f>
        <v>28899.0331650935</v>
      </c>
      <c r="CQ424" s="32" t="n">
        <f aca="false">IFERROR(CQ422*CQ423,"n/a")</f>
        <v>28765.2808941528</v>
      </c>
      <c r="CR424" s="32" t="n">
        <f aca="false">IFERROR(CR422*CR423,"n/a")</f>
        <v>28646.3138185073</v>
      </c>
      <c r="CS424" s="32" t="n">
        <f aca="false">IFERROR(CS422*CS423,"n/a")</f>
        <v>28541.16468239</v>
      </c>
      <c r="CT424" s="23"/>
      <c r="CV424" s="7"/>
      <c r="CW424" s="7"/>
      <c r="CX424" s="7"/>
      <c r="CY424" s="7"/>
    </row>
    <row r="425" customFormat="false" ht="15" hidden="false" customHeight="true" outlineLevel="0" collapsed="false">
      <c r="B425" s="13" t="s">
        <v>569</v>
      </c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0"/>
      <c r="AW425" s="30"/>
      <c r="AX425" s="30"/>
      <c r="AY425" s="30"/>
      <c r="AZ425" s="30"/>
      <c r="BA425" s="30"/>
      <c r="BB425" s="30"/>
      <c r="BC425" s="30"/>
      <c r="BD425" s="30"/>
      <c r="BE425" s="30"/>
      <c r="BF425" s="30"/>
      <c r="BG425" s="30"/>
      <c r="BH425" s="30"/>
      <c r="BI425" s="30"/>
      <c r="BJ425" s="30"/>
      <c r="BK425" s="30"/>
      <c r="BL425" s="30"/>
      <c r="BM425" s="30"/>
      <c r="BN425" s="30"/>
      <c r="BO425" s="30"/>
      <c r="BP425" s="30"/>
      <c r="BQ425" s="30"/>
      <c r="BR425" s="30"/>
      <c r="BS425" s="30"/>
      <c r="BT425" s="30"/>
      <c r="BU425" s="30"/>
      <c r="BV425" s="30"/>
      <c r="BW425" s="30"/>
      <c r="BX425" s="30"/>
      <c r="BY425" s="30"/>
      <c r="BZ425" s="30"/>
      <c r="CA425" s="30"/>
      <c r="CB425" s="30"/>
      <c r="CC425" s="30"/>
      <c r="CD425" s="30"/>
      <c r="CE425" s="30"/>
      <c r="CF425" s="30"/>
      <c r="CG425" s="30"/>
      <c r="CH425" s="30"/>
      <c r="CI425" s="30"/>
      <c r="CJ425" s="30"/>
      <c r="CK425" s="30"/>
      <c r="CL425" s="30"/>
      <c r="CM425" s="32"/>
      <c r="CN425" s="32"/>
      <c r="CO425" s="32" t="n">
        <f aca="false">CO416</f>
        <v>1023.29847055374</v>
      </c>
      <c r="CP425" s="32" t="n">
        <f aca="false">CP416</f>
        <v>683.686272125648</v>
      </c>
      <c r="CQ425" s="32" t="n">
        <f aca="false">CQ416</f>
        <v>460.10194845705</v>
      </c>
      <c r="CR425" s="32" t="n">
        <f aca="false">CR416</f>
        <v>89.7978631780411</v>
      </c>
      <c r="CS425" s="32" t="n">
        <f aca="false">CS416</f>
        <v>-434.097875830852</v>
      </c>
      <c r="CT425" s="23"/>
      <c r="CV425" s="7"/>
      <c r="CW425" s="7"/>
      <c r="CX425" s="7"/>
      <c r="CY425" s="7"/>
    </row>
    <row r="426" customFormat="false" ht="15" hidden="false" customHeight="true" outlineLevel="0" collapsed="false">
      <c r="B426" s="13" t="s">
        <v>570</v>
      </c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  <c r="AX426" s="30"/>
      <c r="AY426" s="30"/>
      <c r="AZ426" s="30"/>
      <c r="BA426" s="30"/>
      <c r="BB426" s="30"/>
      <c r="BC426" s="30"/>
      <c r="BD426" s="30"/>
      <c r="BE426" s="30"/>
      <c r="BF426" s="30"/>
      <c r="BG426" s="30"/>
      <c r="BH426" s="30"/>
      <c r="BI426" s="30"/>
      <c r="BJ426" s="30"/>
      <c r="BK426" s="30"/>
      <c r="BL426" s="30"/>
      <c r="BM426" s="30"/>
      <c r="BN426" s="30"/>
      <c r="BO426" s="30"/>
      <c r="BP426" s="30"/>
      <c r="BQ426" s="30"/>
      <c r="BR426" s="30"/>
      <c r="BS426" s="30"/>
      <c r="BT426" s="30"/>
      <c r="BU426" s="30"/>
      <c r="BV426" s="30"/>
      <c r="BW426" s="30"/>
      <c r="BX426" s="30"/>
      <c r="BY426" s="30"/>
      <c r="BZ426" s="30"/>
      <c r="CA426" s="30"/>
      <c r="CB426" s="30"/>
      <c r="CC426" s="30"/>
      <c r="CD426" s="30"/>
      <c r="CE426" s="30"/>
      <c r="CF426" s="30"/>
      <c r="CG426" s="30"/>
      <c r="CH426" s="30"/>
      <c r="CI426" s="30"/>
      <c r="CJ426" s="30"/>
      <c r="CK426" s="30"/>
      <c r="CL426" s="30"/>
      <c r="CM426" s="32"/>
      <c r="CN426" s="32"/>
      <c r="CO426" s="32" t="n">
        <f aca="false">CO342+CO349</f>
        <v>0</v>
      </c>
      <c r="CP426" s="32" t="n">
        <f aca="false">CP342+CP349</f>
        <v>0</v>
      </c>
      <c r="CQ426" s="32" t="n">
        <f aca="false">CQ342+CQ349</f>
        <v>0</v>
      </c>
      <c r="CR426" s="32" t="n">
        <f aca="false">CR342+CR349</f>
        <v>0</v>
      </c>
      <c r="CS426" s="32" t="n">
        <f aca="false">CS342+CS349</f>
        <v>0</v>
      </c>
      <c r="CT426" s="23"/>
      <c r="CV426" s="7"/>
      <c r="CW426" s="7"/>
      <c r="CX426" s="7"/>
      <c r="CY426" s="7"/>
    </row>
    <row r="427" customFormat="false" ht="15" hidden="false" customHeight="true" outlineLevel="0" collapsed="false">
      <c r="B427" s="19" t="s">
        <v>571</v>
      </c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  <c r="BK427" s="20"/>
      <c r="BL427" s="20"/>
      <c r="BM427" s="20"/>
      <c r="BN427" s="20"/>
      <c r="BO427" s="20"/>
      <c r="BP427" s="20"/>
      <c r="BQ427" s="20"/>
      <c r="BR427" s="20"/>
      <c r="BS427" s="20"/>
      <c r="BT427" s="20"/>
      <c r="BU427" s="20"/>
      <c r="BV427" s="20"/>
      <c r="BW427" s="20"/>
      <c r="BX427" s="20"/>
      <c r="BY427" s="20"/>
      <c r="BZ427" s="20"/>
      <c r="CA427" s="20"/>
      <c r="CB427" s="20"/>
      <c r="CC427" s="20"/>
      <c r="CD427" s="20"/>
      <c r="CE427" s="20"/>
      <c r="CF427" s="20"/>
      <c r="CG427" s="20"/>
      <c r="CH427" s="20"/>
      <c r="CI427" s="20"/>
      <c r="CJ427" s="20"/>
      <c r="CK427" s="20"/>
      <c r="CL427" s="20"/>
      <c r="CM427" s="22"/>
      <c r="CN427" s="22"/>
      <c r="CO427" s="22" t="n">
        <f aca="false">IFERROR(CO424+CO425+CO426,"n/a")</f>
        <v>29851.4234705537</v>
      </c>
      <c r="CP427" s="22" t="n">
        <f aca="false">IFERROR(CP424+CP425+CP426,"n/a")</f>
        <v>29582.7194372191</v>
      </c>
      <c r="CQ427" s="22" t="n">
        <f aca="false">IFERROR(CQ424+CQ425+CQ426,"n/a")</f>
        <v>29225.3828426098</v>
      </c>
      <c r="CR427" s="22" t="n">
        <f aca="false">IFERROR(CR424+CR425+CR426,"n/a")</f>
        <v>28736.1116816853</v>
      </c>
      <c r="CS427" s="22" t="n">
        <f aca="false">IFERROR(CS424+CS425+CS426,"n/a")</f>
        <v>28107.0668065591</v>
      </c>
      <c r="CT427" s="23"/>
      <c r="CV427" s="7"/>
      <c r="CW427" s="7"/>
      <c r="CX427" s="7"/>
      <c r="CY427" s="7"/>
    </row>
    <row r="428" customFormat="false" ht="15" hidden="false" customHeight="true" outlineLevel="0" collapsed="false">
      <c r="B428" s="17" t="s">
        <v>572</v>
      </c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  <c r="BO428" s="17"/>
      <c r="BP428" s="17"/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7"/>
      <c r="CD428" s="17"/>
      <c r="CE428" s="17"/>
      <c r="CF428" s="17"/>
      <c r="CG428" s="17"/>
      <c r="CH428" s="17"/>
      <c r="CI428" s="17"/>
      <c r="CJ428" s="17"/>
      <c r="CK428" s="17"/>
      <c r="CL428" s="17"/>
      <c r="CM428" s="17"/>
      <c r="CN428" s="17"/>
      <c r="CO428" s="17"/>
      <c r="CP428" s="17"/>
      <c r="CQ428" s="17"/>
      <c r="CR428" s="17"/>
      <c r="CS428" s="17"/>
      <c r="CT428" s="17"/>
    </row>
    <row r="429" customFormat="false" ht="15" hidden="false" customHeight="true" outlineLevel="0" collapsed="false">
      <c r="B429" s="13" t="s">
        <v>573</v>
      </c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  <c r="AH429" s="48"/>
      <c r="AI429" s="48"/>
      <c r="AJ429" s="48"/>
      <c r="AK429" s="48"/>
      <c r="AL429" s="48"/>
      <c r="AM429" s="48"/>
      <c r="AN429" s="48"/>
      <c r="AO429" s="48"/>
      <c r="AP429" s="48"/>
      <c r="AQ429" s="48"/>
      <c r="AR429" s="48"/>
      <c r="AS429" s="48"/>
      <c r="AT429" s="48"/>
      <c r="AU429" s="48"/>
      <c r="AV429" s="48"/>
      <c r="AW429" s="48"/>
      <c r="AX429" s="48"/>
      <c r="AY429" s="48"/>
      <c r="AZ429" s="48"/>
      <c r="BA429" s="48"/>
      <c r="BB429" s="48"/>
      <c r="BC429" s="48"/>
      <c r="BD429" s="48"/>
      <c r="BE429" s="48"/>
      <c r="BF429" s="48"/>
      <c r="BG429" s="48"/>
      <c r="BH429" s="48"/>
      <c r="BI429" s="48"/>
      <c r="BJ429" s="48"/>
      <c r="BK429" s="48"/>
      <c r="BL429" s="48"/>
      <c r="BM429" s="48"/>
      <c r="BN429" s="48"/>
      <c r="BO429" s="48"/>
      <c r="BP429" s="48"/>
      <c r="BQ429" s="48"/>
      <c r="BR429" s="48"/>
      <c r="BS429" s="48"/>
      <c r="BT429" s="48"/>
      <c r="BU429" s="48"/>
      <c r="BV429" s="48"/>
      <c r="BW429" s="48"/>
      <c r="BX429" s="48"/>
      <c r="BY429" s="48"/>
      <c r="BZ429" s="48"/>
      <c r="CA429" s="48"/>
      <c r="CB429" s="48"/>
      <c r="CC429" s="48"/>
      <c r="CD429" s="48"/>
      <c r="CE429" s="48"/>
      <c r="CF429" s="48"/>
      <c r="CG429" s="48"/>
      <c r="CH429" s="48"/>
      <c r="CI429" s="48"/>
      <c r="CJ429" s="48"/>
      <c r="CK429" s="48"/>
      <c r="CL429" s="48"/>
      <c r="CM429" s="49"/>
      <c r="CN429" s="49"/>
      <c r="CO429" s="49" t="n">
        <f aca="false">IFERROR(CO427/CO152,"n/a")</f>
        <v>4.46470716668472</v>
      </c>
      <c r="CP429" s="49" t="n">
        <f aca="false">IFERROR(CP427/CP152,"n/a")</f>
        <v>4.1201589369347</v>
      </c>
      <c r="CQ429" s="49" t="n">
        <f aca="false">IFERROR(CQ427/CQ152,"n/a")</f>
        <v>3.72466537634531</v>
      </c>
      <c r="CR429" s="49" t="n">
        <f aca="false">IFERROR(CR427/CR152,"n/a")</f>
        <v>3.35657931647398</v>
      </c>
      <c r="CS429" s="49" t="n">
        <f aca="false">IFERROR(CS427/CS152,"n/a")</f>
        <v>3.0198618769958</v>
      </c>
      <c r="CT429" s="23"/>
      <c r="CV429" s="7"/>
      <c r="CW429" s="7"/>
      <c r="CX429" s="7"/>
      <c r="CY429" s="7"/>
    </row>
    <row r="430" customFormat="false" ht="15" hidden="false" customHeight="true" outlineLevel="0" collapsed="false">
      <c r="B430" s="13" t="s">
        <v>574</v>
      </c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  <c r="AH430" s="48"/>
      <c r="AI430" s="48"/>
      <c r="AJ430" s="48"/>
      <c r="AK430" s="48"/>
      <c r="AL430" s="48"/>
      <c r="AM430" s="48"/>
      <c r="AN430" s="48"/>
      <c r="AO430" s="48"/>
      <c r="AP430" s="48"/>
      <c r="AQ430" s="48"/>
      <c r="AR430" s="48"/>
      <c r="AS430" s="48"/>
      <c r="AT430" s="48"/>
      <c r="AU430" s="48"/>
      <c r="AV430" s="48"/>
      <c r="AW430" s="48"/>
      <c r="AX430" s="48"/>
      <c r="AY430" s="48"/>
      <c r="AZ430" s="48"/>
      <c r="BA430" s="48"/>
      <c r="BB430" s="48"/>
      <c r="BC430" s="48"/>
      <c r="BD430" s="48"/>
      <c r="BE430" s="48"/>
      <c r="BF430" s="48"/>
      <c r="BG430" s="48"/>
      <c r="BH430" s="48"/>
      <c r="BI430" s="48"/>
      <c r="BJ430" s="48"/>
      <c r="BK430" s="48"/>
      <c r="BL430" s="48"/>
      <c r="BM430" s="48"/>
      <c r="BN430" s="48"/>
      <c r="BO430" s="48"/>
      <c r="BP430" s="48"/>
      <c r="BQ430" s="48"/>
      <c r="BR430" s="48"/>
      <c r="BS430" s="48"/>
      <c r="BT430" s="48"/>
      <c r="BU430" s="48"/>
      <c r="BV430" s="48"/>
      <c r="BW430" s="48"/>
      <c r="BX430" s="48"/>
      <c r="BY430" s="48"/>
      <c r="BZ430" s="48"/>
      <c r="CA430" s="48"/>
      <c r="CB430" s="48"/>
      <c r="CC430" s="48"/>
      <c r="CD430" s="48"/>
      <c r="CE430" s="48"/>
      <c r="CF430" s="48"/>
      <c r="CG430" s="48"/>
      <c r="CH430" s="48"/>
      <c r="CI430" s="48"/>
      <c r="CJ430" s="48"/>
      <c r="CK430" s="48"/>
      <c r="CL430" s="48"/>
      <c r="CM430" s="49"/>
      <c r="CN430" s="49"/>
      <c r="CO430" s="49" t="n">
        <f aca="false">IFERROR(CO427/CO211,"n/a")</f>
        <v>18.2526263674904</v>
      </c>
      <c r="CP430" s="49" t="n">
        <f aca="false">IFERROR(CP427/CP211,"n/a")</f>
        <v>16.1878479290694</v>
      </c>
      <c r="CQ430" s="49" t="n">
        <f aca="false">IFERROR(CQ427/CQ211,"n/a")</f>
        <v>14.4757176363848</v>
      </c>
      <c r="CR430" s="49" t="n">
        <f aca="false">IFERROR(CR427/CR211,"n/a")</f>
        <v>12.9389771288442</v>
      </c>
      <c r="CS430" s="49" t="n">
        <f aca="false">IFERROR(CS427/CS211,"n/a")</f>
        <v>11.5330230864366</v>
      </c>
      <c r="CT430" s="23"/>
      <c r="CV430" s="7"/>
      <c r="CW430" s="7"/>
      <c r="CX430" s="7"/>
      <c r="CY430" s="7"/>
    </row>
    <row r="431" customFormat="false" ht="15" hidden="false" customHeight="true" outlineLevel="0" collapsed="false">
      <c r="B431" s="13" t="s">
        <v>575</v>
      </c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  <c r="AH431" s="48"/>
      <c r="AI431" s="48"/>
      <c r="AJ431" s="48"/>
      <c r="AK431" s="48"/>
      <c r="AL431" s="48"/>
      <c r="AM431" s="48"/>
      <c r="AN431" s="48"/>
      <c r="AO431" s="48"/>
      <c r="AP431" s="48"/>
      <c r="AQ431" s="48"/>
      <c r="AR431" s="48"/>
      <c r="AS431" s="48"/>
      <c r="AT431" s="48"/>
      <c r="AU431" s="48"/>
      <c r="AV431" s="48"/>
      <c r="AW431" s="48"/>
      <c r="AX431" s="48"/>
      <c r="AY431" s="48"/>
      <c r="AZ431" s="48"/>
      <c r="BA431" s="48"/>
      <c r="BB431" s="48"/>
      <c r="BC431" s="48"/>
      <c r="BD431" s="48"/>
      <c r="BE431" s="48"/>
      <c r="BF431" s="48"/>
      <c r="BG431" s="48"/>
      <c r="BH431" s="48"/>
      <c r="BI431" s="48"/>
      <c r="BJ431" s="48"/>
      <c r="BK431" s="48"/>
      <c r="BL431" s="48"/>
      <c r="BM431" s="48"/>
      <c r="BN431" s="48"/>
      <c r="BO431" s="48"/>
      <c r="BP431" s="48"/>
      <c r="BQ431" s="48"/>
      <c r="BR431" s="48"/>
      <c r="BS431" s="48"/>
      <c r="BT431" s="48"/>
      <c r="BU431" s="48"/>
      <c r="BV431" s="48"/>
      <c r="BW431" s="48"/>
      <c r="BX431" s="48"/>
      <c r="BY431" s="48"/>
      <c r="BZ431" s="48"/>
      <c r="CA431" s="48"/>
      <c r="CB431" s="48"/>
      <c r="CC431" s="48"/>
      <c r="CD431" s="48"/>
      <c r="CE431" s="48"/>
      <c r="CF431" s="48"/>
      <c r="CG431" s="48"/>
      <c r="CH431" s="48"/>
      <c r="CI431" s="48"/>
      <c r="CJ431" s="48"/>
      <c r="CK431" s="48"/>
      <c r="CL431" s="48"/>
      <c r="CM431" s="49"/>
      <c r="CN431" s="49"/>
      <c r="CO431" s="49" t="n">
        <f aca="false">IFERROR(CO427/CO200,"n/a")</f>
        <v>19.7858424265834</v>
      </c>
      <c r="CP431" s="49" t="n">
        <f aca="false">IFERROR(CP427/CP200,"n/a")</f>
        <v>17.6354800847537</v>
      </c>
      <c r="CQ431" s="49" t="n">
        <f aca="false">IFERROR(CQ427/CQ200,"n/a")</f>
        <v>15.7471224183763</v>
      </c>
      <c r="CR431" s="49" t="n">
        <f aca="false">IFERROR(CR427/CR200,"n/a")</f>
        <v>14.0590854617711</v>
      </c>
      <c r="CS431" s="49" t="n">
        <f aca="false">IFERROR(CS427/CS200,"n/a")</f>
        <v>12.5165056155194</v>
      </c>
      <c r="CT431" s="23"/>
      <c r="CV431" s="7"/>
      <c r="CW431" s="7"/>
      <c r="CX431" s="7"/>
      <c r="CY431" s="7"/>
    </row>
    <row r="432" customFormat="false" ht="15" hidden="false" customHeight="true" outlineLevel="0" collapsed="false">
      <c r="B432" s="13" t="s">
        <v>576</v>
      </c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  <c r="AH432" s="48"/>
      <c r="AI432" s="48"/>
      <c r="AJ432" s="48"/>
      <c r="AK432" s="48"/>
      <c r="AL432" s="48"/>
      <c r="AM432" s="48"/>
      <c r="AN432" s="48"/>
      <c r="AO432" s="48"/>
      <c r="AP432" s="48"/>
      <c r="AQ432" s="48"/>
      <c r="AR432" s="48"/>
      <c r="AS432" s="48"/>
      <c r="AT432" s="48"/>
      <c r="AU432" s="48"/>
      <c r="AV432" s="48"/>
      <c r="AW432" s="48"/>
      <c r="AX432" s="48"/>
      <c r="AY432" s="48"/>
      <c r="AZ432" s="48"/>
      <c r="BA432" s="48"/>
      <c r="BB432" s="48"/>
      <c r="BC432" s="48"/>
      <c r="BD432" s="48"/>
      <c r="BE432" s="48"/>
      <c r="BF432" s="48"/>
      <c r="BG432" s="48"/>
      <c r="BH432" s="48"/>
      <c r="BI432" s="48"/>
      <c r="BJ432" s="48"/>
      <c r="BK432" s="48"/>
      <c r="BL432" s="48"/>
      <c r="BM432" s="48"/>
      <c r="BN432" s="48"/>
      <c r="BO432" s="48"/>
      <c r="BP432" s="48"/>
      <c r="BQ432" s="48"/>
      <c r="BR432" s="48"/>
      <c r="BS432" s="48"/>
      <c r="BT432" s="48"/>
      <c r="BU432" s="48"/>
      <c r="BV432" s="48"/>
      <c r="BW432" s="48"/>
      <c r="BX432" s="48"/>
      <c r="BY432" s="48"/>
      <c r="BZ432" s="48"/>
      <c r="CA432" s="48"/>
      <c r="CB432" s="48"/>
      <c r="CC432" s="48"/>
      <c r="CD432" s="48"/>
      <c r="CE432" s="48"/>
      <c r="CF432" s="48"/>
      <c r="CG432" s="48"/>
      <c r="CH432" s="48"/>
      <c r="CI432" s="48"/>
      <c r="CJ432" s="48"/>
      <c r="CK432" s="48"/>
      <c r="CL432" s="48"/>
      <c r="CM432" s="49"/>
      <c r="CN432" s="49"/>
      <c r="CO432" s="49" t="n">
        <f aca="false">IFERROR(CO427/CO393,"n/a")</f>
        <v>2.36928877230792</v>
      </c>
      <c r="CP432" s="49" t="n">
        <f aca="false">IFERROR(CP427/CP393,"n/a")</f>
        <v>2.23722961245649</v>
      </c>
      <c r="CQ432" s="49" t="n">
        <f aca="false">IFERROR(CQ427/CQ393,"n/a")</f>
        <v>2.07383163319586</v>
      </c>
      <c r="CR432" s="49" t="n">
        <f aca="false">IFERROR(CR427/CR393,"n/a")</f>
        <v>1.91827406894651</v>
      </c>
      <c r="CS432" s="49" t="n">
        <f aca="false">IFERROR(CS427/CS393,"n/a")</f>
        <v>1.7699990521213</v>
      </c>
      <c r="CT432" s="23"/>
      <c r="CV432" s="7"/>
      <c r="CW432" s="7"/>
      <c r="CX432" s="7"/>
      <c r="CY432" s="7"/>
    </row>
    <row r="433" customFormat="false" ht="15" hidden="false" customHeight="true" outlineLevel="0" collapsed="false">
      <c r="B433" s="13" t="s">
        <v>577</v>
      </c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  <c r="AH433" s="48"/>
      <c r="AI433" s="48"/>
      <c r="AJ433" s="48"/>
      <c r="AK433" s="48"/>
      <c r="AL433" s="48"/>
      <c r="AM433" s="48"/>
      <c r="AN433" s="48"/>
      <c r="AO433" s="48"/>
      <c r="AP433" s="48"/>
      <c r="AQ433" s="48"/>
      <c r="AR433" s="48"/>
      <c r="AS433" s="48"/>
      <c r="AT433" s="48"/>
      <c r="AU433" s="48"/>
      <c r="AV433" s="48"/>
      <c r="AW433" s="48"/>
      <c r="AX433" s="48"/>
      <c r="AY433" s="48"/>
      <c r="AZ433" s="48"/>
      <c r="BA433" s="48"/>
      <c r="BB433" s="48"/>
      <c r="BC433" s="48"/>
      <c r="BD433" s="48"/>
      <c r="BE433" s="48"/>
      <c r="BF433" s="48"/>
      <c r="BG433" s="48"/>
      <c r="BH433" s="48"/>
      <c r="BI433" s="48"/>
      <c r="BJ433" s="48"/>
      <c r="BK433" s="48"/>
      <c r="BL433" s="48"/>
      <c r="BM433" s="48"/>
      <c r="BN433" s="48"/>
      <c r="BO433" s="48"/>
      <c r="BP433" s="48"/>
      <c r="BQ433" s="48"/>
      <c r="BR433" s="48"/>
      <c r="BS433" s="48"/>
      <c r="BT433" s="48"/>
      <c r="BU433" s="48"/>
      <c r="BV433" s="48"/>
      <c r="BW433" s="48"/>
      <c r="BX433" s="48"/>
      <c r="BY433" s="48"/>
      <c r="BZ433" s="48"/>
      <c r="CA433" s="48"/>
      <c r="CB433" s="48"/>
      <c r="CC433" s="48"/>
      <c r="CD433" s="48"/>
      <c r="CE433" s="48"/>
      <c r="CF433" s="48"/>
      <c r="CG433" s="48"/>
      <c r="CH433" s="48"/>
      <c r="CI433" s="48"/>
      <c r="CJ433" s="48"/>
      <c r="CK433" s="48"/>
      <c r="CL433" s="48"/>
      <c r="CM433" s="49"/>
      <c r="CN433" s="49"/>
      <c r="CO433" s="49" t="n">
        <f aca="false">IFERROR(CO422/CO181,"n/a")</f>
        <v>29.5805886181206</v>
      </c>
      <c r="CP433" s="49" t="n">
        <f aca="false">IFERROR(CP422/CP181,"n/a")</f>
        <v>25.6527102360745</v>
      </c>
      <c r="CQ433" s="49" t="n">
        <f aca="false">IFERROR(CQ422/CQ181,"n/a")</f>
        <v>22.9733672072683</v>
      </c>
      <c r="CR433" s="49" t="n">
        <f aca="false">IFERROR(CR422/CR181,"n/a")</f>
        <v>20.2821450778594</v>
      </c>
      <c r="CS433" s="49" t="n">
        <f aca="false">IFERROR(CS422/CS181,"n/a")</f>
        <v>18.1454066313984</v>
      </c>
      <c r="CT433" s="23"/>
      <c r="CV433" s="7"/>
      <c r="CW433" s="7"/>
      <c r="CX433" s="7"/>
      <c r="CY433" s="7"/>
    </row>
    <row r="434" customFormat="false" ht="15" hidden="false" customHeight="true" outlineLevel="0" collapsed="false">
      <c r="B434" s="13" t="s">
        <v>578</v>
      </c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  <c r="AH434" s="48"/>
      <c r="AI434" s="48"/>
      <c r="AJ434" s="48"/>
      <c r="AK434" s="48"/>
      <c r="AL434" s="48"/>
      <c r="AM434" s="48"/>
      <c r="AN434" s="48"/>
      <c r="AO434" s="48"/>
      <c r="AP434" s="48"/>
      <c r="AQ434" s="48"/>
      <c r="AR434" s="48"/>
      <c r="AS434" s="48"/>
      <c r="AT434" s="48"/>
      <c r="AU434" s="48"/>
      <c r="AV434" s="48"/>
      <c r="AW434" s="48"/>
      <c r="AX434" s="48"/>
      <c r="AY434" s="48"/>
      <c r="AZ434" s="48"/>
      <c r="BA434" s="48"/>
      <c r="BB434" s="48"/>
      <c r="BC434" s="48"/>
      <c r="BD434" s="48"/>
      <c r="BE434" s="48"/>
      <c r="BF434" s="48"/>
      <c r="BG434" s="48"/>
      <c r="BH434" s="48"/>
      <c r="BI434" s="48"/>
      <c r="BJ434" s="48"/>
      <c r="BK434" s="48"/>
      <c r="BL434" s="48"/>
      <c r="BM434" s="48"/>
      <c r="BN434" s="48"/>
      <c r="BO434" s="48"/>
      <c r="BP434" s="48"/>
      <c r="BQ434" s="48"/>
      <c r="BR434" s="48"/>
      <c r="BS434" s="48"/>
      <c r="BT434" s="48"/>
      <c r="BU434" s="48"/>
      <c r="BV434" s="48"/>
      <c r="BW434" s="48"/>
      <c r="BX434" s="48"/>
      <c r="BY434" s="48"/>
      <c r="BZ434" s="48"/>
      <c r="CA434" s="48"/>
      <c r="CB434" s="48"/>
      <c r="CC434" s="48"/>
      <c r="CD434" s="48"/>
      <c r="CE434" s="48"/>
      <c r="CF434" s="48"/>
      <c r="CG434" s="48"/>
      <c r="CH434" s="48"/>
      <c r="CI434" s="48"/>
      <c r="CJ434" s="48"/>
      <c r="CK434" s="48"/>
      <c r="CL434" s="48"/>
      <c r="CM434" s="49"/>
      <c r="CN434" s="49"/>
      <c r="CO434" s="49" t="n">
        <f aca="false">IFERROR(CO422/CO243,"n/a")</f>
        <v>25.050916496945</v>
      </c>
      <c r="CP434" s="49" t="n">
        <f aca="false">IFERROR(CP422/CP243,"n/a")</f>
        <v>22.2168985120903</v>
      </c>
      <c r="CQ434" s="49" t="n">
        <f aca="false">IFERROR(CQ422/CQ243,"n/a")</f>
        <v>19.9255443798622</v>
      </c>
      <c r="CR434" s="49" t="n">
        <f aca="false">IFERROR(CR422/CR243,"n/a")</f>
        <v>17.9866412800412</v>
      </c>
      <c r="CS434" s="49" t="n">
        <f aca="false">IFERROR(CS422/CS243,"n/a")</f>
        <v>16.2587266196793</v>
      </c>
      <c r="CT434" s="23"/>
      <c r="CV434" s="7"/>
      <c r="CW434" s="7"/>
      <c r="CX434" s="7"/>
      <c r="CY434" s="7"/>
    </row>
    <row r="435" customFormat="false" ht="15" hidden="false" customHeight="true" outlineLevel="0" collapsed="false">
      <c r="B435" s="13" t="s">
        <v>579</v>
      </c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40"/>
      <c r="BC435" s="40"/>
      <c r="BD435" s="40"/>
      <c r="BE435" s="40"/>
      <c r="BF435" s="40"/>
      <c r="BG435" s="40"/>
      <c r="BH435" s="40"/>
      <c r="BI435" s="40"/>
      <c r="BJ435" s="40"/>
      <c r="BK435" s="40"/>
      <c r="BL435" s="40"/>
      <c r="BM435" s="40"/>
      <c r="BN435" s="40"/>
      <c r="BO435" s="40"/>
      <c r="BP435" s="40"/>
      <c r="BQ435" s="40"/>
      <c r="BR435" s="40"/>
      <c r="BS435" s="40"/>
      <c r="BT435" s="40"/>
      <c r="BU435" s="40"/>
      <c r="BV435" s="40"/>
      <c r="BW435" s="40"/>
      <c r="BX435" s="40"/>
      <c r="BY435" s="40"/>
      <c r="BZ435" s="40"/>
      <c r="CA435" s="40"/>
      <c r="CB435" s="40"/>
      <c r="CC435" s="40"/>
      <c r="CD435" s="40"/>
      <c r="CE435" s="40"/>
      <c r="CF435" s="40"/>
      <c r="CG435" s="40"/>
      <c r="CH435" s="40"/>
      <c r="CI435" s="40"/>
      <c r="CJ435" s="40"/>
      <c r="CK435" s="40"/>
      <c r="CL435" s="40"/>
      <c r="CM435" s="28"/>
      <c r="CN435" s="28"/>
      <c r="CO435" s="28" t="n">
        <f aca="false">IFERROR(CO291/CO424,"n/a")</f>
        <v>0.038545744110873</v>
      </c>
      <c r="CP435" s="28" t="n">
        <f aca="false">IFERROR(CP291/CP424,"n/a")</f>
        <v>0.0449707846973188</v>
      </c>
      <c r="CQ435" s="28" t="n">
        <f aca="false">IFERROR(CQ291/CQ424,"n/a")</f>
        <v>0.0498373135636582</v>
      </c>
      <c r="CR435" s="28" t="n">
        <f aca="false">IFERROR(CR291/CR424,"n/a")</f>
        <v>0.0551660536602108</v>
      </c>
      <c r="CS435" s="28" t="n">
        <f aca="false">IFERROR(CS291/CS424,"n/a")</f>
        <v>0.0607507002010579</v>
      </c>
      <c r="CT435" s="23"/>
      <c r="CV435" s="7"/>
      <c r="CW435" s="7"/>
      <c r="CX435" s="7"/>
      <c r="CY435" s="7"/>
    </row>
  </sheetData>
  <dataValidations count="1">
    <dataValidation allowBlank="false" errorStyle="stop" operator="between" showDropDown="false" showErrorMessage="false" showInputMessage="false" sqref="CT2" type="list">
      <formula1>"Bull,Base,Bear"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J47"/>
  <sheetViews>
    <sheetView showFormulas="false" showGridLines="fals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3" min="3" style="1" width="13"/>
    <col collapsed="false" customWidth="true" hidden="false" outlineLevel="0" max="9" min="9" style="1" width="13.6"/>
    <col collapsed="false" customWidth="true" hidden="false" outlineLevel="0" max="10" min="10" style="1" width="12.6"/>
    <col collapsed="false" customWidth="true" hidden="false" outlineLevel="0" max="14" min="14" style="1" width="41.4"/>
    <col collapsed="false" customWidth="true" hidden="false" outlineLevel="0" max="15" min="15" style="1" width="11.5"/>
    <col collapsed="false" customWidth="true" hidden="false" outlineLevel="0" max="26" min="26" style="1" width="41.4"/>
    <col collapsed="false" customWidth="true" hidden="false" outlineLevel="0" max="27" min="27" style="1" width="11.75"/>
  </cols>
  <sheetData>
    <row r="2" customFormat="false" ht="19.5" hidden="false" customHeight="true" outlineLevel="0" collapsed="false">
      <c r="B2" s="74" t="s">
        <v>580</v>
      </c>
      <c r="J2" s="12" t="s">
        <v>581</v>
      </c>
      <c r="K2" s="75" t="n">
        <f aca="false">Model!$CO$422</f>
        <v>615</v>
      </c>
    </row>
    <row r="3" customFormat="false" ht="15" hidden="false" customHeight="true" outlineLevel="0" collapsed="false">
      <c r="B3" s="5" t="s">
        <v>582</v>
      </c>
      <c r="J3" s="12" t="s">
        <v>583</v>
      </c>
      <c r="K3" s="76" t="n">
        <f aca="true">TODAY()</f>
        <v>46299</v>
      </c>
    </row>
    <row r="5" customFormat="false" ht="15" hidden="false" customHeight="true" outlineLevel="0" collapsed="false">
      <c r="B5" s="12" t="s">
        <v>584</v>
      </c>
      <c r="C5" s="77" t="str">
        <f aca="false">Model!CT2</f>
        <v>Base</v>
      </c>
      <c r="N5" s="78" t="s">
        <v>584</v>
      </c>
      <c r="O5" s="79" t="s">
        <v>94</v>
      </c>
      <c r="P5" s="5" t="s">
        <v>585</v>
      </c>
      <c r="Z5" s="78" t="s">
        <v>584</v>
      </c>
      <c r="AA5" s="79" t="s">
        <v>95</v>
      </c>
      <c r="AB5" s="5" t="s">
        <v>586</v>
      </c>
    </row>
    <row r="7" customFormat="false" ht="15" hidden="false" customHeight="true" outlineLevel="0" collapsed="false">
      <c r="B7" s="80" t="s">
        <v>587</v>
      </c>
      <c r="C7" s="81" t="s">
        <v>588</v>
      </c>
      <c r="D7" s="81" t="s">
        <v>78</v>
      </c>
      <c r="E7" s="81" t="s">
        <v>79</v>
      </c>
      <c r="F7" s="81" t="s">
        <v>80</v>
      </c>
      <c r="G7" s="81" t="s">
        <v>81</v>
      </c>
      <c r="H7" s="81" t="s">
        <v>82</v>
      </c>
      <c r="I7" s="81" t="s">
        <v>589</v>
      </c>
      <c r="J7" s="82" t="s">
        <v>590</v>
      </c>
      <c r="K7" s="82" t="s">
        <v>591</v>
      </c>
      <c r="L7" s="82" t="s">
        <v>592</v>
      </c>
      <c r="N7" s="80" t="s">
        <v>587</v>
      </c>
      <c r="O7" s="81" t="s">
        <v>588</v>
      </c>
      <c r="P7" s="81" t="s">
        <v>78</v>
      </c>
      <c r="Q7" s="81" t="s">
        <v>79</v>
      </c>
      <c r="R7" s="81" t="s">
        <v>80</v>
      </c>
      <c r="S7" s="81" t="s">
        <v>81</v>
      </c>
      <c r="T7" s="81" t="s">
        <v>82</v>
      </c>
      <c r="U7" s="81" t="s">
        <v>589</v>
      </c>
      <c r="V7" s="82" t="s">
        <v>590</v>
      </c>
      <c r="W7" s="82" t="s">
        <v>591</v>
      </c>
      <c r="X7" s="82" t="s">
        <v>592</v>
      </c>
      <c r="Z7" s="80" t="s">
        <v>587</v>
      </c>
      <c r="AA7" s="81" t="s">
        <v>588</v>
      </c>
      <c r="AB7" s="81" t="s">
        <v>78</v>
      </c>
      <c r="AC7" s="81" t="s">
        <v>79</v>
      </c>
      <c r="AD7" s="81" t="s">
        <v>80</v>
      </c>
      <c r="AE7" s="81" t="s">
        <v>81</v>
      </c>
      <c r="AF7" s="81" t="s">
        <v>82</v>
      </c>
      <c r="AG7" s="81" t="s">
        <v>589</v>
      </c>
      <c r="AH7" s="82" t="s">
        <v>590</v>
      </c>
      <c r="AI7" s="82" t="s">
        <v>591</v>
      </c>
      <c r="AJ7" s="82" t="s">
        <v>592</v>
      </c>
    </row>
    <row r="9" customFormat="false" ht="15" hidden="false" customHeight="true" outlineLevel="0" collapsed="false">
      <c r="B9" s="83" t="s">
        <v>593</v>
      </c>
      <c r="C9" s="84" t="n">
        <f aca="false">Model!CI152</f>
        <v>6115.4</v>
      </c>
      <c r="D9" s="85" t="n">
        <f aca="false">Model!CO152</f>
        <v>6686.08765504323</v>
      </c>
      <c r="E9" s="85" t="n">
        <f aca="false">Model!CP152</f>
        <v>7179.9947259384</v>
      </c>
      <c r="F9" s="85" t="n">
        <f aca="false">Model!CQ152</f>
        <v>7846.44522115061</v>
      </c>
      <c r="G9" s="85" t="n">
        <f aca="false">Model!CR152</f>
        <v>8561.12993983174</v>
      </c>
      <c r="H9" s="85" t="n">
        <f aca="false">Model!CS152</f>
        <v>9307.40144794982</v>
      </c>
      <c r="I9" s="86" t="n">
        <f aca="false">IFERROR((H9/C9)^(1/5)-1,"n/m")</f>
        <v>0.0876288412402981</v>
      </c>
      <c r="N9" s="83" t="s">
        <v>593</v>
      </c>
      <c r="O9" s="87" t="n">
        <v>6115.4</v>
      </c>
      <c r="P9" s="87" t="n">
        <v>6686.08765504323</v>
      </c>
      <c r="Q9" s="87" t="n">
        <v>7490.21331097599</v>
      </c>
      <c r="R9" s="87" t="n">
        <v>8627.17996655521</v>
      </c>
      <c r="S9" s="87" t="n">
        <v>9848.47479301483</v>
      </c>
      <c r="T9" s="87" t="n">
        <v>11140.306332757</v>
      </c>
      <c r="U9" s="86" t="n">
        <v>0.127442632158041</v>
      </c>
      <c r="Z9" s="83" t="s">
        <v>593</v>
      </c>
      <c r="AA9" s="87" t="n">
        <v>6115.4</v>
      </c>
      <c r="AB9" s="87" t="n">
        <v>6686.08765504323</v>
      </c>
      <c r="AC9" s="87" t="n">
        <v>6844.58193101705</v>
      </c>
      <c r="AD9" s="87" t="n">
        <v>7068.0499022005</v>
      </c>
      <c r="AE9" s="87" t="n">
        <v>7317.13855191015</v>
      </c>
      <c r="AF9" s="87" t="n">
        <v>7574.14080128837</v>
      </c>
      <c r="AG9" s="86" t="n">
        <v>0.0437144616599041</v>
      </c>
    </row>
    <row r="10" customFormat="false" ht="15" hidden="false" customHeight="true" outlineLevel="0" collapsed="false">
      <c r="B10" s="88" t="s">
        <v>594</v>
      </c>
      <c r="C10" s="89"/>
      <c r="D10" s="90" t="n">
        <f aca="false">IFERROR(D9/C9-1,"")</f>
        <v>0.0933197591397501</v>
      </c>
      <c r="E10" s="90" t="n">
        <f aca="false">IFERROR(E9/D9-1,"")</f>
        <v>0.073870863856029</v>
      </c>
      <c r="F10" s="90" t="n">
        <f aca="false">IFERROR(F9/E9-1,"")</f>
        <v>0.092820471414079</v>
      </c>
      <c r="G10" s="90" t="n">
        <f aca="false">IFERROR(G9/F9-1,"")</f>
        <v>0.0910838855733869</v>
      </c>
      <c r="H10" s="90" t="n">
        <f aca="false">IFERROR(H9/G9-1,"")</f>
        <v>0.0871697443401669</v>
      </c>
      <c r="N10" s="88" t="s">
        <v>594</v>
      </c>
      <c r="O10" s="91"/>
      <c r="P10" s="91" t="n">
        <v>0.0933197591397501</v>
      </c>
      <c r="Q10" s="91" t="n">
        <v>0.120268488452469</v>
      </c>
      <c r="R10" s="91" t="n">
        <v>0.15179362834876</v>
      </c>
      <c r="S10" s="91" t="n">
        <v>0.1415636200003</v>
      </c>
      <c r="T10" s="91" t="n">
        <v>0.131170721039807</v>
      </c>
      <c r="Z10" s="88" t="s">
        <v>594</v>
      </c>
      <c r="AA10" s="91"/>
      <c r="AB10" s="91" t="n">
        <v>0.0933197591397501</v>
      </c>
      <c r="AC10" s="91" t="n">
        <v>0.0237050849691258</v>
      </c>
      <c r="AD10" s="91" t="n">
        <v>0.0326488854155977</v>
      </c>
      <c r="AE10" s="91" t="n">
        <v>0.0352414956255627</v>
      </c>
      <c r="AF10" s="91" t="n">
        <v>0.0351233269064077</v>
      </c>
    </row>
    <row r="11" customFormat="false" ht="15" hidden="false" customHeight="true" outlineLevel="0" collapsed="false">
      <c r="B11" s="83" t="s">
        <v>595</v>
      </c>
      <c r="C11" s="92" t="n">
        <f aca="false">Model!CI247</f>
        <v>0.0309171075837741</v>
      </c>
      <c r="D11" s="93" t="n">
        <f aca="false">Model!CO247</f>
        <v>0.0832631806657337</v>
      </c>
      <c r="E11" s="93" t="n">
        <f aca="false">Model!CP247</f>
        <v>0.0551753267274193</v>
      </c>
      <c r="F11" s="93" t="n">
        <f aca="false">Model!CQ247</f>
        <v>0.0521983431535953</v>
      </c>
      <c r="G11" s="93" t="n">
        <f aca="false">Model!CR247</f>
        <v>0.0486018030585161</v>
      </c>
      <c r="H11" s="93" t="n">
        <f aca="false">Model!CS247</f>
        <v>0.0482340739700142</v>
      </c>
      <c r="N11" s="83" t="s">
        <v>595</v>
      </c>
      <c r="O11" s="94" t="n">
        <v>0.0309171075837741</v>
      </c>
      <c r="P11" s="94" t="n">
        <v>0.0832631806657337</v>
      </c>
      <c r="Q11" s="94" t="n">
        <v>0.0828774141952492</v>
      </c>
      <c r="R11" s="94" t="n">
        <v>0.0794770407993877</v>
      </c>
      <c r="S11" s="94" t="n">
        <v>0.0739478596249828</v>
      </c>
      <c r="T11" s="94" t="n">
        <v>0.0719398913333568</v>
      </c>
      <c r="Z11" s="83" t="s">
        <v>595</v>
      </c>
      <c r="AA11" s="94" t="n">
        <v>0.0309171075837741</v>
      </c>
      <c r="AB11" s="94" t="n">
        <v>0.0832631806657337</v>
      </c>
      <c r="AC11" s="94" t="n">
        <v>0.0174732392595892</v>
      </c>
      <c r="AD11" s="94" t="n">
        <v>0.0143862652497776</v>
      </c>
      <c r="AE11" s="94" t="n">
        <v>0.0116612055918465</v>
      </c>
      <c r="AF11" s="94" t="n">
        <v>0.0123457526559983</v>
      </c>
    </row>
    <row r="12" customFormat="false" ht="15" hidden="false" customHeight="true" outlineLevel="0" collapsed="false">
      <c r="B12" s="83" t="s">
        <v>596</v>
      </c>
      <c r="C12" s="84" t="n">
        <f aca="false">Model!CI200</f>
        <v>1380</v>
      </c>
      <c r="D12" s="85" t="n">
        <f aca="false">Model!CO200</f>
        <v>1508.72643312102</v>
      </c>
      <c r="E12" s="85" t="n">
        <f aca="false">Model!CP200</f>
        <v>1677.45472734786</v>
      </c>
      <c r="F12" s="85" t="n">
        <f aca="false">Model!CQ200</f>
        <v>1855.91894608661</v>
      </c>
      <c r="G12" s="85" t="n">
        <f aca="false">Model!CR200</f>
        <v>2043.95312624164</v>
      </c>
      <c r="H12" s="85" t="n">
        <f aca="false">Model!CS200</f>
        <v>2245.6001435184</v>
      </c>
      <c r="I12" s="86" t="n">
        <f aca="false">IFERROR((H12/C12)^(1/5)-1,"n/m")</f>
        <v>0.102276803635044</v>
      </c>
      <c r="N12" s="83" t="s">
        <v>596</v>
      </c>
      <c r="O12" s="87" t="n">
        <v>1380</v>
      </c>
      <c r="P12" s="87" t="n">
        <v>1509.91099114494</v>
      </c>
      <c r="Q12" s="87" t="n">
        <v>1816.23759359469</v>
      </c>
      <c r="R12" s="87" t="n">
        <v>2099.91848151672</v>
      </c>
      <c r="S12" s="87" t="n">
        <v>2403.4505689281</v>
      </c>
      <c r="T12" s="87" t="n">
        <v>2732.56158508074</v>
      </c>
      <c r="U12" s="86" t="n">
        <v>0.146405271614391</v>
      </c>
      <c r="Z12" s="83" t="s">
        <v>596</v>
      </c>
      <c r="AA12" s="87" t="n">
        <v>1380</v>
      </c>
      <c r="AB12" s="87" t="n">
        <v>1502.7550955414</v>
      </c>
      <c r="AC12" s="87" t="n">
        <v>1467.11681873029</v>
      </c>
      <c r="AD12" s="87" t="n">
        <v>1545.87947160371</v>
      </c>
      <c r="AE12" s="87" t="n">
        <v>1627.12854899325</v>
      </c>
      <c r="AF12" s="87" t="n">
        <v>1713.44978166063</v>
      </c>
      <c r="AG12" s="86" t="n">
        <v>0.0442355128640106</v>
      </c>
    </row>
    <row r="13" customFormat="false" ht="15" hidden="false" customHeight="true" outlineLevel="0" collapsed="false">
      <c r="B13" s="88" t="s">
        <v>597</v>
      </c>
      <c r="C13" s="95" t="n">
        <f aca="false">IFERROR(C12/C9,"")</f>
        <v>0.225659809660856</v>
      </c>
      <c r="D13" s="96" t="n">
        <f aca="false">IFERROR(D12/D9,"")</f>
        <v>0.225651608378632</v>
      </c>
      <c r="E13" s="96" t="n">
        <f aca="false">IFERROR(E12/E9,"")</f>
        <v>0.233628963721645</v>
      </c>
      <c r="F13" s="96" t="n">
        <f aca="false">IFERROR(F12/F9,"")</f>
        <v>0.23652990542569</v>
      </c>
      <c r="G13" s="96" t="n">
        <f aca="false">IFERROR(G12/G9,"")</f>
        <v>0.238748055526162</v>
      </c>
      <c r="H13" s="96" t="n">
        <f aca="false">IFERROR(H12/H9,"")</f>
        <v>0.241270364889337</v>
      </c>
      <c r="J13" s="97" t="n">
        <f aca="false">IFERROR(AVERAGE(Model!C201,Model!D201,Model!E201,Model!F201,Model!G201,Model!H201,Model!I201,Model!O201,Model!U201,Model!AA201,Model!AG201,Model!AM201,Model!AS201,Model!AY201,Model!BE201,Model!BK201,Model!BQ201,Model!BW201,Model!CC201,Model!CI201),"")</f>
        <v>0.152995867296769</v>
      </c>
      <c r="K13" s="97" t="n">
        <f aca="false">IFERROR(MIN(Model!C201,Model!D201,Model!E201,Model!F201,Model!G201,Model!H201,Model!I201,Model!O201,Model!U201,Model!AA201,Model!AG201,Model!AM201,Model!AS201,Model!AY201,Model!BE201,Model!BK201,Model!BQ201,Model!BW201,Model!CC201,Model!CI201),"")</f>
        <v>0.0926597823053307</v>
      </c>
      <c r="L13" s="97" t="n">
        <f aca="false">IFERROR(MAX(Model!C201,Model!D201,Model!E201,Model!F201,Model!G201,Model!H201,Model!I201,Model!O201,Model!U201,Model!AA201,Model!AG201,Model!AM201,Model!AS201,Model!AY201,Model!BE201,Model!BK201,Model!BQ201,Model!BW201,Model!CC201,Model!CI201),"")</f>
        <v>0.225659809660856</v>
      </c>
      <c r="N13" s="88" t="s">
        <v>597</v>
      </c>
      <c r="O13" s="98" t="n">
        <v>0.225659809660856</v>
      </c>
      <c r="P13" s="98" t="n">
        <v>0.22582877596677</v>
      </c>
      <c r="Q13" s="98" t="n">
        <v>0.242481424518741</v>
      </c>
      <c r="R13" s="98" t="n">
        <v>0.243407288321031</v>
      </c>
      <c r="S13" s="98" t="n">
        <v>0.244042922324661</v>
      </c>
      <c r="T13" s="98" t="n">
        <v>0.245286036439224</v>
      </c>
      <c r="V13" s="97" t="n">
        <v>0.152995867296769</v>
      </c>
      <c r="W13" s="97" t="n">
        <v>0.0926597823053307</v>
      </c>
      <c r="X13" s="97" t="n">
        <v>0.225659809660856</v>
      </c>
      <c r="Z13" s="88" t="s">
        <v>597</v>
      </c>
      <c r="AA13" s="98" t="n">
        <v>0.225659809660856</v>
      </c>
      <c r="AB13" s="98" t="n">
        <v>0.224758509471214</v>
      </c>
      <c r="AC13" s="98" t="n">
        <v>0.214347177594861</v>
      </c>
      <c r="AD13" s="98" t="n">
        <v>0.2187137177855</v>
      </c>
      <c r="AE13" s="98" t="n">
        <v>0.222372248037927</v>
      </c>
      <c r="AF13" s="98" t="n">
        <v>0.226223650525373</v>
      </c>
      <c r="AH13" s="97" t="n">
        <v>0.152995867296769</v>
      </c>
      <c r="AI13" s="97" t="n">
        <v>0.0926597823053307</v>
      </c>
      <c r="AJ13" s="97" t="n">
        <v>0.225659809660856</v>
      </c>
    </row>
    <row r="15" customFormat="false" ht="15" hidden="false" customHeight="true" outlineLevel="0" collapsed="false">
      <c r="B15" s="83" t="s">
        <v>598</v>
      </c>
      <c r="C15" s="84" t="n">
        <f aca="false">Model!CI160</f>
        <v>1149.8</v>
      </c>
      <c r="D15" s="85" t="n">
        <f aca="false">Model!CO160</f>
        <v>1281.32643312102</v>
      </c>
      <c r="E15" s="85" t="n">
        <f aca="false">Model!CP160</f>
        <v>1449.71722734786</v>
      </c>
      <c r="F15" s="85" t="n">
        <f aca="false">Model!CQ160</f>
        <v>1605.56061275328</v>
      </c>
      <c r="G15" s="85" t="n">
        <f aca="false">Model!CR160</f>
        <v>1808.32812624164</v>
      </c>
      <c r="H15" s="85" t="n">
        <f aca="false">Model!CS160</f>
        <v>2007.00847685173</v>
      </c>
      <c r="I15" s="86" t="n">
        <f aca="false">IFERROR((H15/C15)^(1/5)-1,"n/m")</f>
        <v>0.117854760121879</v>
      </c>
      <c r="N15" s="83" t="s">
        <v>598</v>
      </c>
      <c r="O15" s="87" t="n">
        <v>1149.8</v>
      </c>
      <c r="P15" s="87" t="n">
        <v>1282.51099114494</v>
      </c>
      <c r="Q15" s="87" t="n">
        <v>1577.56259359469</v>
      </c>
      <c r="R15" s="87" t="n">
        <v>1816.74764818339</v>
      </c>
      <c r="S15" s="87" t="n">
        <v>2113.1380689281</v>
      </c>
      <c r="T15" s="87" t="n">
        <v>2417.40741841407</v>
      </c>
      <c r="U15" s="86" t="n">
        <v>0.160233789400307</v>
      </c>
      <c r="Z15" s="83" t="s">
        <v>598</v>
      </c>
      <c r="AA15" s="87" t="n">
        <v>1149.8</v>
      </c>
      <c r="AB15" s="87" t="n">
        <v>1275.3550955414</v>
      </c>
      <c r="AC15" s="87" t="n">
        <v>1246.67098539695</v>
      </c>
      <c r="AD15" s="87" t="n">
        <v>1317.39613827038</v>
      </c>
      <c r="AE15" s="87" t="n">
        <v>1427.96188232658</v>
      </c>
      <c r="AF15" s="87" t="n">
        <v>1525.89978166063</v>
      </c>
      <c r="AG15" s="86" t="n">
        <v>0.0582316375164493</v>
      </c>
    </row>
    <row r="16" customFormat="false" ht="15" hidden="false" customHeight="true" outlineLevel="0" collapsed="false">
      <c r="B16" s="88" t="s">
        <v>599</v>
      </c>
      <c r="C16" s="89"/>
      <c r="D16" s="90" t="n">
        <f aca="false">IFERROR(D15/C15-1,"")</f>
        <v>0.114390705445311</v>
      </c>
      <c r="E16" s="90" t="n">
        <f aca="false">IFERROR(E15/D15-1,"")</f>
        <v>0.131419121524467</v>
      </c>
      <c r="F16" s="90" t="n">
        <f aca="false">IFERROR(F15/E15-1,"")</f>
        <v>0.107499160847055</v>
      </c>
      <c r="G16" s="90" t="n">
        <f aca="false">IFERROR(G15/F15-1,"")</f>
        <v>0.12629078707944</v>
      </c>
      <c r="H16" s="90" t="n">
        <f aca="false">IFERROR(H15/G15-1,"")</f>
        <v>0.10986963467909</v>
      </c>
      <c r="N16" s="88" t="s">
        <v>599</v>
      </c>
      <c r="O16" s="91"/>
      <c r="P16" s="91" t="n">
        <v>0.115420935071268</v>
      </c>
      <c r="Q16" s="91" t="n">
        <v>0.230057757389157</v>
      </c>
      <c r="R16" s="91" t="n">
        <v>0.151616839521834</v>
      </c>
      <c r="S16" s="91" t="n">
        <v>0.16314341787704</v>
      </c>
      <c r="T16" s="91" t="n">
        <v>0.143989336977072</v>
      </c>
      <c r="Z16" s="88" t="s">
        <v>599</v>
      </c>
      <c r="AA16" s="91"/>
      <c r="AB16" s="91" t="n">
        <v>0.109197334789878</v>
      </c>
      <c r="AC16" s="91" t="n">
        <v>-0.0224910773828608</v>
      </c>
      <c r="AD16" s="91" t="n">
        <v>0.056731209518686</v>
      </c>
      <c r="AE16" s="91" t="n">
        <v>0.083927484561604</v>
      </c>
      <c r="AF16" s="91" t="n">
        <v>0.0685857938830137</v>
      </c>
    </row>
    <row r="17" customFormat="false" ht="15" hidden="false" customHeight="true" outlineLevel="0" collapsed="false">
      <c r="B17" s="88" t="s">
        <v>600</v>
      </c>
      <c r="C17" s="95" t="n">
        <f aca="false">IFERROR(C15/C9,"")</f>
        <v>0.188017137063806</v>
      </c>
      <c r="D17" s="96" t="n">
        <f aca="false">IFERROR(D15/D9,"")</f>
        <v>0.191640687234265</v>
      </c>
      <c r="E17" s="96" t="n">
        <f aca="false">IFERROR(E15/E9,"")</f>
        <v>0.201910625659741</v>
      </c>
      <c r="F17" s="96" t="n">
        <f aca="false">IFERROR(F15/F9,"")</f>
        <v>0.204622675300834</v>
      </c>
      <c r="G17" s="96" t="n">
        <f aca="false">IFERROR(G15/G9,"")</f>
        <v>0.21122540353326</v>
      </c>
      <c r="H17" s="96" t="n">
        <f aca="false">IFERROR(H15/H9,"")</f>
        <v>0.215635748396113</v>
      </c>
      <c r="J17" s="97" t="n">
        <f aca="false">IFERROR(AVERAGE(Model!C255,Model!D255,Model!E255,Model!F255,Model!G255,Model!H255,Model!I255,Model!O255,Model!U255,Model!AA255,Model!AG255,Model!AM255,Model!AS255,Model!AY255,Model!BE255,Model!BK255,Model!BQ255,Model!BW255,Model!CC255,Model!CI255),"")</f>
        <v>0.132506424660185</v>
      </c>
      <c r="K17" s="97" t="n">
        <f aca="false">IFERROR(MIN(Model!C255,Model!D255,Model!E255,Model!F255,Model!G255,Model!H255,Model!I255,Model!O255,Model!U255,Model!AA255,Model!AG255,Model!AM255,Model!AS255,Model!AY255,Model!BE255,Model!BK255,Model!BQ255,Model!BW255,Model!CC255,Model!CI255),"")</f>
        <v>0.0872871895060006</v>
      </c>
      <c r="L17" s="97" t="n">
        <f aca="false">IFERROR(MAX(Model!C255,Model!D255,Model!E255,Model!F255,Model!G255,Model!H255,Model!I255,Model!O255,Model!U255,Model!AA255,Model!AG255,Model!AM255,Model!AS255,Model!AY255,Model!BE255,Model!BK255,Model!BQ255,Model!BW255,Model!CC255,Model!CI255),"")</f>
        <v>0.188017137063806</v>
      </c>
      <c r="N17" s="88" t="s">
        <v>600</v>
      </c>
      <c r="O17" s="98" t="n">
        <v>0.188017137063806</v>
      </c>
      <c r="P17" s="98" t="n">
        <v>0.191817854822403</v>
      </c>
      <c r="Q17" s="98" t="n">
        <v>0.210616510918717</v>
      </c>
      <c r="R17" s="98" t="n">
        <v>0.210584183386267</v>
      </c>
      <c r="S17" s="98" t="n">
        <v>0.214565007611826</v>
      </c>
      <c r="T17" s="98" t="n">
        <v>0.216996494190283</v>
      </c>
      <c r="V17" s="97" t="n">
        <v>0.132506424660185</v>
      </c>
      <c r="W17" s="97" t="n">
        <v>0.0872871895060006</v>
      </c>
      <c r="X17" s="97" t="n">
        <v>0.188017137063806</v>
      </c>
      <c r="Z17" s="88" t="s">
        <v>600</v>
      </c>
      <c r="AA17" s="98" t="n">
        <v>0.188017137063806</v>
      </c>
      <c r="AB17" s="98" t="n">
        <v>0.190747588326847</v>
      </c>
      <c r="AC17" s="98" t="n">
        <v>0.182139829424426</v>
      </c>
      <c r="AD17" s="98" t="n">
        <v>0.186387498178278</v>
      </c>
      <c r="AE17" s="98" t="n">
        <v>0.195153046808688</v>
      </c>
      <c r="AF17" s="98" t="n">
        <v>0.201461765986853</v>
      </c>
      <c r="AH17" s="97" t="n">
        <v>0.132506424660185</v>
      </c>
      <c r="AI17" s="97" t="n">
        <v>0.0872871895060006</v>
      </c>
      <c r="AJ17" s="97" t="n">
        <v>0.188017137063806</v>
      </c>
    </row>
    <row r="19" customFormat="false" ht="15" hidden="false" customHeight="true" outlineLevel="0" collapsed="false">
      <c r="B19" s="83" t="s">
        <v>601</v>
      </c>
      <c r="C19" s="84" t="n">
        <f aca="false">Model!CI242</f>
        <v>1042.3</v>
      </c>
      <c r="D19" s="85" t="n">
        <f aca="false">Model!CO242</f>
        <v>1150.78125</v>
      </c>
      <c r="E19" s="85" t="n">
        <f aca="false">Model!CP242</f>
        <v>1300.76811348653</v>
      </c>
      <c r="F19" s="85" t="n">
        <f aca="false">Model!CQ242</f>
        <v>1443.63839430276</v>
      </c>
      <c r="G19" s="85" t="n">
        <f aca="false">Model!CR242</f>
        <v>1592.64386121352</v>
      </c>
      <c r="H19" s="85" t="n">
        <f aca="false">Model!CS242</f>
        <v>1755.43665565076</v>
      </c>
      <c r="I19" s="86" t="n">
        <f aca="false">IFERROR((H19/C19)^(1/5)-1,"n/m")</f>
        <v>0.109886285487085</v>
      </c>
      <c r="N19" s="83" t="s">
        <v>601</v>
      </c>
      <c r="O19" s="87" t="n">
        <v>1042.3</v>
      </c>
      <c r="P19" s="87" t="n">
        <v>1151.71112804878</v>
      </c>
      <c r="Q19" s="87" t="n">
        <v>1403.62831211834</v>
      </c>
      <c r="R19" s="87" t="n">
        <v>1606.45218790913</v>
      </c>
      <c r="S19" s="87" t="n">
        <v>1819.74588186322</v>
      </c>
      <c r="T19" s="87" t="n">
        <v>2054.99516362119</v>
      </c>
      <c r="U19" s="86" t="n">
        <v>0.145416970332068</v>
      </c>
      <c r="Z19" s="83" t="s">
        <v>601</v>
      </c>
      <c r="AA19" s="87" t="n">
        <v>1042.3</v>
      </c>
      <c r="AB19" s="87" t="n">
        <v>1146.09375</v>
      </c>
      <c r="AC19" s="87" t="n">
        <v>1135.68829793007</v>
      </c>
      <c r="AD19" s="87" t="n">
        <v>1215.54824242964</v>
      </c>
      <c r="AE19" s="87" t="n">
        <v>1294.70254272246</v>
      </c>
      <c r="AF19" s="87" t="n">
        <v>1379.16021375984</v>
      </c>
      <c r="AG19" s="86" t="n">
        <v>0.0576071944203305</v>
      </c>
    </row>
    <row r="21" customFormat="false" ht="15" hidden="false" customHeight="true" outlineLevel="0" collapsed="false">
      <c r="B21" s="83" t="s">
        <v>602</v>
      </c>
      <c r="C21" s="99" t="n">
        <f aca="false">Model!CI179</f>
        <v>47.4</v>
      </c>
      <c r="D21" s="100" t="n">
        <f aca="false">Model!CO179</f>
        <v>46.875</v>
      </c>
      <c r="E21" s="100" t="n">
        <f aca="false">Model!CP179</f>
        <v>46.9902978294203</v>
      </c>
      <c r="F21" s="100" t="n">
        <f aca="false">Model!CQ179</f>
        <v>46.772814462037</v>
      </c>
      <c r="G21" s="100" t="n">
        <f aca="false">Model!CR179</f>
        <v>46.5793720626134</v>
      </c>
      <c r="H21" s="100" t="n">
        <f aca="false">Model!CS179</f>
        <v>46.4083978575447</v>
      </c>
      <c r="I21" s="86" t="n">
        <f aca="false">IFERROR((H21/C21)^(1/5)-1,"n/m")</f>
        <v>-0.00421943258167001</v>
      </c>
      <c r="N21" s="83" t="s">
        <v>602</v>
      </c>
      <c r="O21" s="101" t="n">
        <v>47.4</v>
      </c>
      <c r="P21" s="101" t="n">
        <v>46.7225609756098</v>
      </c>
      <c r="Q21" s="101" t="n">
        <v>46.3938385937999</v>
      </c>
      <c r="R21" s="101" t="n">
        <v>45.8088718590334</v>
      </c>
      <c r="S21" s="101" t="n">
        <v>45.2719870601862</v>
      </c>
      <c r="T21" s="101" t="n">
        <v>44.7800386500486</v>
      </c>
      <c r="U21" s="86" t="n">
        <v>-0.011307534661377</v>
      </c>
      <c r="Z21" s="83" t="s">
        <v>602</v>
      </c>
      <c r="AA21" s="101" t="n">
        <v>47.4</v>
      </c>
      <c r="AB21" s="101" t="n">
        <v>46.875</v>
      </c>
      <c r="AC21" s="101" t="n">
        <v>47.180253</v>
      </c>
      <c r="AD21" s="101" t="n">
        <v>47.330253</v>
      </c>
      <c r="AE21" s="101" t="n">
        <v>47.480253</v>
      </c>
      <c r="AF21" s="101" t="n">
        <v>47.630253</v>
      </c>
      <c r="AG21" s="86" t="n">
        <v>0.000969649381472149</v>
      </c>
    </row>
    <row r="23" customFormat="false" ht="15" hidden="false" customHeight="true" outlineLevel="0" collapsed="false">
      <c r="B23" s="83" t="s">
        <v>603</v>
      </c>
      <c r="C23" s="102" t="n">
        <f aca="false">Model!CI243</f>
        <v>21.9894514767933</v>
      </c>
      <c r="D23" s="103" t="n">
        <f aca="false">Model!CO243</f>
        <v>24.55</v>
      </c>
      <c r="E23" s="103" t="n">
        <f aca="false">Model!CP243</f>
        <v>27.6816316042187</v>
      </c>
      <c r="F23" s="103" t="n">
        <f aca="false">Model!CQ243</f>
        <v>30.8649032756942</v>
      </c>
      <c r="G23" s="103" t="n">
        <f aca="false">Model!CR243</f>
        <v>34.192042328794</v>
      </c>
      <c r="H23" s="103" t="n">
        <f aca="false">Model!CS243</f>
        <v>37.8258405092815</v>
      </c>
      <c r="I23" s="86" t="n">
        <f aca="false">IFERROR((H23/C23)^(1/5)-1,"n/m")</f>
        <v>0.114589219555254</v>
      </c>
      <c r="N23" s="83" t="s">
        <v>603</v>
      </c>
      <c r="O23" s="104" t="n">
        <v>21.9894514767933</v>
      </c>
      <c r="P23" s="104" t="n">
        <v>24.65</v>
      </c>
      <c r="Q23" s="104" t="n">
        <v>30.254627654499</v>
      </c>
      <c r="R23" s="104" t="n">
        <v>35.0685821919524</v>
      </c>
      <c r="S23" s="104" t="n">
        <v>40.1958473668052</v>
      </c>
      <c r="T23" s="104" t="n">
        <v>45.8908751660704</v>
      </c>
      <c r="U23" s="86" t="n">
        <v>0.158516940795911</v>
      </c>
      <c r="Z23" s="83" t="s">
        <v>603</v>
      </c>
      <c r="AA23" s="104" t="n">
        <v>21.9894514767933</v>
      </c>
      <c r="AB23" s="104" t="n">
        <v>24.45</v>
      </c>
      <c r="AC23" s="104" t="n">
        <v>24.0712634145914</v>
      </c>
      <c r="AD23" s="104" t="n">
        <v>25.6822680079407</v>
      </c>
      <c r="AE23" s="104" t="n">
        <v>27.268231757789</v>
      </c>
      <c r="AF23" s="104" t="n">
        <v>28.9555508714144</v>
      </c>
      <c r="AG23" s="86" t="n">
        <v>0.0565826796785061</v>
      </c>
    </row>
    <row r="24" customFormat="false" ht="15" hidden="false" customHeight="true" outlineLevel="0" collapsed="false">
      <c r="B24" s="88" t="s">
        <v>604</v>
      </c>
      <c r="C24" s="89"/>
      <c r="D24" s="90" t="n">
        <f aca="false">IFERROR(D23/C23-1,"")</f>
        <v>0.116444401803703</v>
      </c>
      <c r="E24" s="90" t="n">
        <f aca="false">IFERROR(E23/D23-1,"")</f>
        <v>0.127561368807281</v>
      </c>
      <c r="F24" s="90" t="n">
        <f aca="false">IFERROR(F23/E23-1,"")</f>
        <v>0.114995810831841</v>
      </c>
      <c r="G24" s="90" t="n">
        <f aca="false">IFERROR(G23/F23-1,"")</f>
        <v>0.107796840423597</v>
      </c>
      <c r="H24" s="90" t="n">
        <f aca="false">IFERROR(H23/G23-1,"")</f>
        <v>0.106276137165033</v>
      </c>
      <c r="N24" s="88" t="s">
        <v>604</v>
      </c>
      <c r="O24" s="91"/>
      <c r="P24" s="91" t="n">
        <v>0.1209920368416</v>
      </c>
      <c r="Q24" s="91" t="n">
        <v>0.227368261845803</v>
      </c>
      <c r="R24" s="91" t="n">
        <v>0.159114651564302</v>
      </c>
      <c r="S24" s="91" t="n">
        <v>0.146206799772746</v>
      </c>
      <c r="T24" s="91" t="n">
        <v>0.141681993846169</v>
      </c>
      <c r="Z24" s="88" t="s">
        <v>604</v>
      </c>
      <c r="AA24" s="91"/>
      <c r="AB24" s="91" t="n">
        <v>0.111896766765806</v>
      </c>
      <c r="AC24" s="91" t="n">
        <v>-0.0154902488919653</v>
      </c>
      <c r="AD24" s="91" t="n">
        <v>0.0669264660355422</v>
      </c>
      <c r="AE24" s="91" t="n">
        <v>0.0617532590718986</v>
      </c>
      <c r="AF24" s="91" t="n">
        <v>0.0618785672871309</v>
      </c>
    </row>
    <row r="26" customFormat="false" ht="15" hidden="false" customHeight="true" outlineLevel="0" collapsed="false">
      <c r="B26" s="88" t="s">
        <v>605</v>
      </c>
      <c r="E26" s="105" t="n">
        <v>25</v>
      </c>
      <c r="F26" s="105" t="n">
        <f aca="false">E26</f>
        <v>25</v>
      </c>
      <c r="G26" s="105" t="n">
        <f aca="false">F26</f>
        <v>25</v>
      </c>
      <c r="H26" s="105" t="n">
        <f aca="false">G26</f>
        <v>25</v>
      </c>
      <c r="N26" s="88" t="s">
        <v>605</v>
      </c>
      <c r="Q26" s="105" t="n">
        <v>28</v>
      </c>
      <c r="R26" s="105" t="n">
        <f aca="false">Q26</f>
        <v>28</v>
      </c>
      <c r="S26" s="105" t="n">
        <f aca="false">R26</f>
        <v>28</v>
      </c>
      <c r="T26" s="105" t="n">
        <f aca="false">S26</f>
        <v>28</v>
      </c>
      <c r="Z26" s="88" t="s">
        <v>605</v>
      </c>
      <c r="AC26" s="105" t="n">
        <v>21</v>
      </c>
      <c r="AD26" s="105" t="n">
        <f aca="false">AC26</f>
        <v>21</v>
      </c>
      <c r="AE26" s="105" t="n">
        <f aca="false">AD26</f>
        <v>21</v>
      </c>
      <c r="AF26" s="105" t="n">
        <f aca="false">AE26</f>
        <v>21</v>
      </c>
    </row>
    <row r="27" customFormat="false" ht="15" hidden="false" customHeight="true" outlineLevel="0" collapsed="false">
      <c r="B27" s="12" t="s">
        <v>606</v>
      </c>
      <c r="E27" s="106" t="n">
        <f aca="false">E26*E23</f>
        <v>692.040790105469</v>
      </c>
      <c r="F27" s="106" t="n">
        <f aca="false">F26*F23</f>
        <v>771.622581892355</v>
      </c>
      <c r="G27" s="106" t="n">
        <f aca="false">G26*G23</f>
        <v>854.801058219849</v>
      </c>
      <c r="H27" s="106" t="n">
        <f aca="false">H26*H23</f>
        <v>945.646012732037</v>
      </c>
      <c r="N27" s="12" t="s">
        <v>606</v>
      </c>
      <c r="Q27" s="106" t="n">
        <f aca="false">Q26*Q23</f>
        <v>847.129574325972</v>
      </c>
      <c r="R27" s="106" t="n">
        <f aca="false">R26*R23</f>
        <v>981.920301374667</v>
      </c>
      <c r="S27" s="106" t="n">
        <f aca="false">S26*S23</f>
        <v>1125.48372627055</v>
      </c>
      <c r="T27" s="106" t="n">
        <f aca="false">T26*T23</f>
        <v>1284.94450464997</v>
      </c>
      <c r="Z27" s="12" t="s">
        <v>606</v>
      </c>
      <c r="AC27" s="106" t="n">
        <f aca="false">AC26*AC23</f>
        <v>505.496531706419</v>
      </c>
      <c r="AD27" s="106" t="n">
        <f aca="false">AD26*AD23</f>
        <v>539.327628166755</v>
      </c>
      <c r="AE27" s="106" t="n">
        <f aca="false">AE26*AE23</f>
        <v>572.632866913569</v>
      </c>
      <c r="AF27" s="106" t="n">
        <f aca="false">AF26*AF23</f>
        <v>608.066568299702</v>
      </c>
    </row>
    <row r="28" customFormat="false" ht="15" hidden="false" customHeight="true" outlineLevel="0" collapsed="false">
      <c r="B28" s="1" t="s">
        <v>607</v>
      </c>
      <c r="E28" s="91" t="n">
        <f aca="false">IFERROR(E27/$K$2-1,"")</f>
        <v>0.125269577407266</v>
      </c>
      <c r="F28" s="91" t="n">
        <f aca="false">IFERROR(F27/$K$2-1,"")</f>
        <v>0.254670864865618</v>
      </c>
      <c r="G28" s="91" t="n">
        <f aca="false">IFERROR(G27/$K$2-1,"")</f>
        <v>0.389920419869673</v>
      </c>
      <c r="H28" s="91" t="n">
        <f aca="false">IFERROR(H27/$K$2-1,"")</f>
        <v>0.537635793060223</v>
      </c>
      <c r="N28" s="1" t="s">
        <v>607</v>
      </c>
      <c r="Q28" s="91" t="n">
        <f aca="false">IFERROR(Q27/$K$2-1,"")</f>
        <v>0.377446462318654</v>
      </c>
      <c r="R28" s="91" t="n">
        <f aca="false">IFERROR(R27/$K$2-1,"")</f>
        <v>0.596618376218971</v>
      </c>
      <c r="S28" s="91" t="n">
        <f aca="false">IFERROR(S27/$K$2-1,"")</f>
        <v>0.830054839464302</v>
      </c>
      <c r="T28" s="91" t="n">
        <f aca="false">IFERROR(T27/$K$2-1,"")</f>
        <v>1.08934065796743</v>
      </c>
      <c r="Z28" s="1" t="s">
        <v>607</v>
      </c>
      <c r="AC28" s="91" t="n">
        <f aca="false">IFERROR(AC27/$K$2-1,"")</f>
        <v>-0.178054419989562</v>
      </c>
      <c r="AD28" s="91" t="n">
        <f aca="false">IFERROR(AD27/$K$2-1,"")</f>
        <v>-0.123044507045927</v>
      </c>
      <c r="AE28" s="91" t="n">
        <f aca="false">IFERROR(AE27/$K$2-1,"")</f>
        <v>-0.0688896472950097</v>
      </c>
      <c r="AF28" s="91" t="n">
        <f aca="false">IFERROR(AF27/$K$2-1,"")</f>
        <v>-0.0112738726834108</v>
      </c>
    </row>
    <row r="29" customFormat="false" ht="15" hidden="false" customHeight="true" outlineLevel="0" collapsed="false">
      <c r="B29" s="77" t="s">
        <v>608</v>
      </c>
      <c r="F29" s="107" t="n">
        <f aca="false">IFERROR((F27/$K$2)^(1/((DATE(2028-1,12,31)-$K$3)/365.25))-1,"")</f>
        <v>0.200725517167543</v>
      </c>
      <c r="G29" s="107" t="n">
        <f aca="false">IFERROR((G27/$K$2)^(1/((DATE(2029-1,12,31)-$K$3)/365.25))-1,"")</f>
        <v>0.158162025667741</v>
      </c>
      <c r="H29" s="107" t="n">
        <f aca="false">IFERROR((H27/$K$2)^(1/((DATE(2030-1,12,31)-$K$3)/365.25))-1,"")</f>
        <v>0.141936853671135</v>
      </c>
      <c r="N29" s="77" t="s">
        <v>608</v>
      </c>
      <c r="R29" s="107" t="n">
        <f aca="false">IFERROR((R27/$K$2)^(1/((DATE(2028-1,12,31)-$K$3)/365.25))-1,"")</f>
        <v>0.458274616941985</v>
      </c>
      <c r="S29" s="107" t="n">
        <f aca="false">IFERROR((S27/$K$2)^(1/((DATE(2029-1,12,31)-$K$3)/365.25))-1,"")</f>
        <v>0.309336573502346</v>
      </c>
      <c r="T29" s="107" t="n">
        <f aca="false">IFERROR((T27/$K$2)^(1/((DATE(2030-1,12,31)-$K$3)/365.25))-1,"")</f>
        <v>0.255217748521122</v>
      </c>
      <c r="Z29" s="77" t="s">
        <v>608</v>
      </c>
      <c r="AD29" s="107" t="n">
        <f aca="false">IFERROR((AD27/$K$2)^(1/((DATE(2028-1,12,31)-$K$3)/365.25))-1,"")</f>
        <v>-0.100454176170128</v>
      </c>
      <c r="AE29" s="107" t="n">
        <f aca="false">IFERROR((AE27/$K$2)^(1/((DATE(2029-1,12,31)-$K$3)/365.25))-1,"")</f>
        <v>-0.031330950153508</v>
      </c>
      <c r="AF29" s="107" t="n">
        <f aca="false">IFERROR((AF27/$K$2)^(1/((DATE(2030-1,12,31)-$K$3)/365.25))-1,"")</f>
        <v>-0.00349149996371401</v>
      </c>
    </row>
    <row r="31" customFormat="false" ht="15" hidden="false" customHeight="true" outlineLevel="0" collapsed="false">
      <c r="B31" s="83" t="s">
        <v>609</v>
      </c>
      <c r="C31" s="84" t="n">
        <f aca="false">Model!CI291</f>
        <v>1074</v>
      </c>
      <c r="D31" s="85" t="n">
        <f aca="false">Model!CO291</f>
        <v>1111.20152944626</v>
      </c>
      <c r="E31" s="85" t="n">
        <f aca="false">Model!CP291</f>
        <v>1299.61219842809</v>
      </c>
      <c r="F31" s="85" t="n">
        <f aca="false">Model!CQ291</f>
        <v>1433.5843236686</v>
      </c>
      <c r="G31" s="85" t="n">
        <f aca="false">Model!CR291</f>
        <v>1580.30408527901</v>
      </c>
      <c r="H31" s="85" t="n">
        <f aca="false">Model!CS291</f>
        <v>1733.89573900889</v>
      </c>
      <c r="I31" s="86" t="n">
        <f aca="false">IFERROR((H31/C31)^(1/5)-1,"n/m")</f>
        <v>0.100534697792458</v>
      </c>
      <c r="N31" s="83" t="s">
        <v>609</v>
      </c>
      <c r="O31" s="87" t="n">
        <v>1074</v>
      </c>
      <c r="P31" s="87" t="n">
        <v>1112.13140749504</v>
      </c>
      <c r="Q31" s="87" t="n">
        <v>1356.76759824447</v>
      </c>
      <c r="R31" s="87" t="n">
        <v>1535.41123235214</v>
      </c>
      <c r="S31" s="87" t="n">
        <v>1752.19119221838</v>
      </c>
      <c r="T31" s="87" t="n">
        <v>1981.34372374911</v>
      </c>
      <c r="U31" s="86" t="n">
        <v>0.130293183345715</v>
      </c>
      <c r="Z31" s="83" t="s">
        <v>609</v>
      </c>
      <c r="AA31" s="87" t="n">
        <v>1074</v>
      </c>
      <c r="AB31" s="87" t="n">
        <v>1106.51402944626</v>
      </c>
      <c r="AC31" s="87" t="n">
        <v>1185.01458572971</v>
      </c>
      <c r="AD31" s="87" t="n">
        <v>1264.62349081515</v>
      </c>
      <c r="AE31" s="87" t="n">
        <v>1335.77970531436</v>
      </c>
      <c r="AF31" s="87" t="n">
        <v>1407.79294479908</v>
      </c>
      <c r="AG31" s="86" t="n">
        <v>0.0556182760459216</v>
      </c>
    </row>
    <row r="32" customFormat="false" ht="15" hidden="false" customHeight="true" outlineLevel="0" collapsed="false">
      <c r="B32" s="88" t="s">
        <v>610</v>
      </c>
      <c r="C32" s="95" t="n">
        <f aca="false">IFERROR(C31/C9,"")</f>
        <v>0.175622199692579</v>
      </c>
      <c r="D32" s="96" t="n">
        <f aca="false">IFERROR(D31/D9,"")</f>
        <v>0.166196075609044</v>
      </c>
      <c r="E32" s="96" t="n">
        <f aca="false">IFERROR(E31/E9,"")</f>
        <v>0.181004617417492</v>
      </c>
      <c r="F32" s="96" t="n">
        <f aca="false">IFERROR(F31/F9,"")</f>
        <v>0.182704942590344</v>
      </c>
      <c r="G32" s="96" t="n">
        <f aca="false">IFERROR(G31/G9,"")</f>
        <v>0.184590596847087</v>
      </c>
      <c r="H32" s="96" t="n">
        <f aca="false">IFERROR(H31/H9,"")</f>
        <v>0.186292140583538</v>
      </c>
      <c r="J32" s="97" t="n">
        <f aca="false">IFERROR(AVERAGE(Model!C294,Model!D294,Model!E294,Model!F294,Model!G294,Model!H294,Model!I294,Model!O294,Model!U294,Model!AA294,Model!AG294,Model!AM294,Model!AS294,Model!AY294,Model!BE294,Model!BK294,Model!BQ294,Model!BW294,Model!CC294,Model!CI294),"")</f>
        <v>0.103106920186591</v>
      </c>
      <c r="K32" s="97" t="n">
        <f aca="false">IFERROR(MIN(Model!C294,Model!D294,Model!E294,Model!F294,Model!G294,Model!H294,Model!I294,Model!O294,Model!U294,Model!AA294,Model!AG294,Model!AM294,Model!AS294,Model!AY294,Model!BE294,Model!BK294,Model!BQ294,Model!BW294,Model!CC294,Model!CI294),"")</f>
        <v>0.0362824448785934</v>
      </c>
      <c r="L32" s="97" t="n">
        <f aca="false">IFERROR(MAX(Model!C294,Model!D294,Model!E294,Model!F294,Model!G294,Model!H294,Model!I294,Model!O294,Model!U294,Model!AA294,Model!AG294,Model!AM294,Model!AS294,Model!AY294,Model!BE294,Model!BK294,Model!BQ294,Model!BW294,Model!CC294,Model!CI294),"")</f>
        <v>0.195449735449735</v>
      </c>
      <c r="N32" s="88" t="s">
        <v>610</v>
      </c>
      <c r="O32" s="98" t="n">
        <v>0.175622199692579</v>
      </c>
      <c r="P32" s="98" t="n">
        <v>0.166335152165732</v>
      </c>
      <c r="Q32" s="98" t="n">
        <v>0.181138712866333</v>
      </c>
      <c r="R32" s="98" t="n">
        <v>0.17797371079593</v>
      </c>
      <c r="S32" s="98" t="n">
        <v>0.177914979633308</v>
      </c>
      <c r="T32" s="98" t="n">
        <v>0.177853612330495</v>
      </c>
      <c r="V32" s="97" t="n">
        <v>0.103106920186591</v>
      </c>
      <c r="W32" s="97" t="n">
        <v>0.0362824448785934</v>
      </c>
      <c r="X32" s="97" t="n">
        <v>0.195449735449735</v>
      </c>
      <c r="Z32" s="88" t="s">
        <v>610</v>
      </c>
      <c r="AA32" s="98" t="n">
        <v>0.175622199692579</v>
      </c>
      <c r="AB32" s="98" t="n">
        <v>0.165494992966721</v>
      </c>
      <c r="AC32" s="98" t="n">
        <v>0.173131770161107</v>
      </c>
      <c r="AD32" s="98" t="n">
        <v>0.178921132181231</v>
      </c>
      <c r="AE32" s="98" t="n">
        <v>0.182554928519926</v>
      </c>
      <c r="AF32" s="98" t="n">
        <v>0.185868335661202</v>
      </c>
      <c r="AH32" s="97" t="n">
        <v>0.103106920186591</v>
      </c>
      <c r="AI32" s="97" t="n">
        <v>0.0362824448785934</v>
      </c>
      <c r="AJ32" s="97" t="n">
        <v>0.195449735449735</v>
      </c>
    </row>
    <row r="33" customFormat="false" ht="15" hidden="false" customHeight="true" outlineLevel="0" collapsed="false">
      <c r="B33" s="88" t="s">
        <v>611</v>
      </c>
      <c r="C33" s="108" t="n">
        <f aca="false">IFERROR(C31/C21,"")</f>
        <v>22.6582278481013</v>
      </c>
      <c r="D33" s="109" t="n">
        <f aca="false">IFERROR(D31/D21,"")</f>
        <v>23.7056326281869</v>
      </c>
      <c r="E33" s="109" t="n">
        <f aca="false">IFERROR(E31/E21,"")</f>
        <v>27.657032588851</v>
      </c>
      <c r="F33" s="109" t="n">
        <f aca="false">IFERROR(F31/F21,"")</f>
        <v>30.6499478416498</v>
      </c>
      <c r="G33" s="109" t="n">
        <f aca="false">IFERROR(G31/G21,"")</f>
        <v>33.9271230010296</v>
      </c>
      <c r="H33" s="109" t="n">
        <f aca="false">IFERROR(H31/H21,"")</f>
        <v>37.3616806236506</v>
      </c>
      <c r="N33" s="88" t="s">
        <v>611</v>
      </c>
      <c r="O33" s="110" t="n">
        <v>22.6582278481013</v>
      </c>
      <c r="P33" s="110" t="n">
        <v>23.8028777591108</v>
      </c>
      <c r="Q33" s="110" t="n">
        <v>29.2445643509607</v>
      </c>
      <c r="R33" s="110" t="n">
        <v>33.5177700310329</v>
      </c>
      <c r="S33" s="110" t="n">
        <v>38.7036511096576</v>
      </c>
      <c r="T33" s="110" t="n">
        <v>44.2461369726165</v>
      </c>
      <c r="Z33" s="88" t="s">
        <v>611</v>
      </c>
      <c r="AA33" s="110" t="n">
        <v>22.6582278481013</v>
      </c>
      <c r="AB33" s="110" t="n">
        <v>23.6056326281869</v>
      </c>
      <c r="AC33" s="110" t="n">
        <v>25.1167492834282</v>
      </c>
      <c r="AD33" s="110" t="n">
        <v>26.719136506943</v>
      </c>
      <c r="AE33" s="110" t="n">
        <v>28.1333737904546</v>
      </c>
      <c r="AF33" s="110" t="n">
        <v>29.5566967657945</v>
      </c>
    </row>
    <row r="34" customFormat="false" ht="15" hidden="false" customHeight="true" outlineLevel="0" collapsed="false">
      <c r="B34" s="88" t="s">
        <v>612</v>
      </c>
      <c r="E34" s="98" t="n">
        <f aca="false">IFERROR(E33/E$27,"")</f>
        <v>0.0399644543851758</v>
      </c>
      <c r="F34" s="98" t="n">
        <f aca="false">IFERROR(F33/F$27,"")</f>
        <v>0.0397214241274313</v>
      </c>
      <c r="G34" s="98" t="n">
        <f aca="false">IFERROR(G33/G$27,"")</f>
        <v>0.0396900807208685</v>
      </c>
      <c r="H34" s="98" t="n">
        <f aca="false">IFERROR(H33/H$27,"")</f>
        <v>0.0395091610609239</v>
      </c>
      <c r="N34" s="88" t="s">
        <v>612</v>
      </c>
      <c r="Q34" s="98" t="n">
        <f aca="false">IFERROR(Q33/Q$27,"")</f>
        <v>0.0345219494600097</v>
      </c>
      <c r="R34" s="98" t="n">
        <f aca="false">IFERROR(R33/R$27,"")</f>
        <v>0.0341349190806105</v>
      </c>
      <c r="S34" s="98" t="n">
        <f aca="false">IFERROR(S33/S$27,"")</f>
        <v>0.0343884591187363</v>
      </c>
      <c r="T34" s="98" t="n">
        <f aca="false">IFERROR(T33/T$27,"")</f>
        <v>0.0344342785330402</v>
      </c>
      <c r="Z34" s="88" t="s">
        <v>612</v>
      </c>
      <c r="AC34" s="98" t="n">
        <f aca="false">IFERROR(AC33/AC$27,"")</f>
        <v>0.0496872831127859</v>
      </c>
      <c r="AD34" s="98" t="n">
        <f aca="false">IFERROR(AD33/AD$27,"")</f>
        <v>0.049541568262996</v>
      </c>
      <c r="AE34" s="98" t="n">
        <f aca="false">IFERROR(AE33/AE$27,"")</f>
        <v>0.0491298621088421</v>
      </c>
      <c r="AF34" s="98" t="n">
        <f aca="false">IFERROR(AF33/AF$27,"")</f>
        <v>0.0486076661778035</v>
      </c>
    </row>
    <row r="35" customFormat="false" ht="15" hidden="false" customHeight="true" outlineLevel="0" collapsed="false">
      <c r="B35" s="83" t="s">
        <v>561</v>
      </c>
      <c r="C35" s="84" t="n">
        <f aca="false">Model!CI211</f>
        <v>1504</v>
      </c>
      <c r="D35" s="85" t="n">
        <f aca="false">Model!CO211</f>
        <v>1635.45907693163</v>
      </c>
      <c r="E35" s="85" t="n">
        <f aca="false">Model!CP211</f>
        <v>1827.46462450366</v>
      </c>
      <c r="F35" s="85" t="n">
        <f aca="false">Model!CQ211</f>
        <v>2018.92462789905</v>
      </c>
      <c r="G35" s="85" t="n">
        <f aca="false">Model!CR211</f>
        <v>2220.89516006836</v>
      </c>
      <c r="H35" s="85" t="n">
        <f aca="false">Model!CS211</f>
        <v>2437.09447175342</v>
      </c>
      <c r="I35" s="86" t="n">
        <f aca="false">IFERROR((H35/C35)^(1/5)-1,"n/m")</f>
        <v>0.101348857618312</v>
      </c>
      <c r="N35" s="83" t="s">
        <v>561</v>
      </c>
      <c r="O35" s="87" t="n">
        <v>1504</v>
      </c>
      <c r="P35" s="87" t="n">
        <v>1636.64363495555</v>
      </c>
      <c r="Q35" s="87" t="n">
        <v>1972.29675315872</v>
      </c>
      <c r="R35" s="87" t="n">
        <v>2278.14849086455</v>
      </c>
      <c r="S35" s="87" t="n">
        <v>2605.49582739189</v>
      </c>
      <c r="T35" s="87" t="n">
        <v>2959.7975585695</v>
      </c>
      <c r="U35" s="86" t="n">
        <v>0.144993007062843</v>
      </c>
      <c r="Z35" s="83" t="s">
        <v>561</v>
      </c>
      <c r="AA35" s="87" t="n">
        <v>1504</v>
      </c>
      <c r="AB35" s="87" t="n">
        <v>1629.48773935201</v>
      </c>
      <c r="AC35" s="87" t="n">
        <v>1610.58616638512</v>
      </c>
      <c r="AD35" s="87" t="n">
        <v>1693.70644469662</v>
      </c>
      <c r="AE35" s="87" t="n">
        <v>1779.81275075549</v>
      </c>
      <c r="AF35" s="87" t="n">
        <v>1871.14552728575</v>
      </c>
      <c r="AG35" s="86" t="n">
        <v>0.0446527356897632</v>
      </c>
    </row>
    <row r="36" customFormat="false" ht="15" hidden="false" customHeight="true" outlineLevel="0" collapsed="false">
      <c r="B36" s="88" t="s">
        <v>613</v>
      </c>
      <c r="C36" s="95" t="n">
        <f aca="false">IFERROR(C35/C9,"")</f>
        <v>0.245936488210093</v>
      </c>
      <c r="D36" s="96" t="n">
        <f aca="false">IFERROR(D35/D9,"")</f>
        <v>0.244606287160777</v>
      </c>
      <c r="E36" s="96" t="n">
        <f aca="false">IFERROR(E35/E9,"")</f>
        <v>0.254521722404861</v>
      </c>
      <c r="F36" s="96" t="n">
        <f aca="false">IFERROR(F35/F9,"")</f>
        <v>0.257304367901136</v>
      </c>
      <c r="G36" s="96" t="n">
        <f aca="false">IFERROR(G35/G9,"")</f>
        <v>0.259416125637267</v>
      </c>
      <c r="H36" s="96" t="n">
        <f aca="false">IFERROR(H35/H9,"")</f>
        <v>0.261844778629404</v>
      </c>
      <c r="J36" s="97" t="n">
        <f aca="false">IFERROR(AVERAGE(Model!C256,Model!D256,Model!E256,Model!F256,Model!G256,Model!H256,Model!I256,Model!O256,Model!U256,Model!AA256,Model!AG256,Model!AM256,Model!AS256,Model!AY256,Model!BE256,Model!BK256,Model!BQ256,Model!BW256,Model!CC256,Model!CI256),"")</f>
        <v>0.176775986383458</v>
      </c>
      <c r="K36" s="97" t="n">
        <f aca="false">IFERROR(MIN(Model!C256,Model!D256,Model!E256,Model!F256,Model!G256,Model!H256,Model!I256,Model!O256,Model!U256,Model!AA256,Model!AG256,Model!AM256,Model!AS256,Model!AY256,Model!BE256,Model!BK256,Model!BQ256,Model!BW256,Model!CC256,Model!CI256),"")</f>
        <v>0.113103544515769</v>
      </c>
      <c r="L36" s="97" t="n">
        <f aca="false">IFERROR(MAX(Model!C256,Model!D256,Model!E256,Model!F256,Model!G256,Model!H256,Model!I256,Model!O256,Model!U256,Model!AA256,Model!AG256,Model!AM256,Model!AS256,Model!AY256,Model!BE256,Model!BK256,Model!BQ256,Model!BW256,Model!CC256,Model!CI256),"")</f>
        <v>0.245936488210093</v>
      </c>
      <c r="N36" s="88" t="s">
        <v>613</v>
      </c>
      <c r="O36" s="98" t="n">
        <v>0.245936488210093</v>
      </c>
      <c r="P36" s="98" t="n">
        <v>0.244783454748915</v>
      </c>
      <c r="Q36" s="98" t="n">
        <v>0.263316499981191</v>
      </c>
      <c r="R36" s="98" t="n">
        <v>0.26406641564175</v>
      </c>
      <c r="S36" s="98" t="n">
        <v>0.264558307976772</v>
      </c>
      <c r="T36" s="98" t="n">
        <v>0.265683677823698</v>
      </c>
      <c r="V36" s="97" t="n">
        <v>0.176775986383458</v>
      </c>
      <c r="W36" s="97" t="n">
        <v>0.113103544515769</v>
      </c>
      <c r="X36" s="97" t="n">
        <v>0.245936488210093</v>
      </c>
      <c r="Z36" s="88" t="s">
        <v>613</v>
      </c>
      <c r="AA36" s="98" t="n">
        <v>0.245936488210093</v>
      </c>
      <c r="AB36" s="98" t="n">
        <v>0.243713188253359</v>
      </c>
      <c r="AC36" s="98" t="n">
        <v>0.235308187208127</v>
      </c>
      <c r="AD36" s="98" t="n">
        <v>0.239628535187523</v>
      </c>
      <c r="AE36" s="98" t="n">
        <v>0.243238902492952</v>
      </c>
      <c r="AF36" s="98" t="n">
        <v>0.24704393229229</v>
      </c>
      <c r="AH36" s="97" t="n">
        <v>0.176775986383458</v>
      </c>
      <c r="AI36" s="97" t="n">
        <v>0.113103544515769</v>
      </c>
      <c r="AJ36" s="97" t="n">
        <v>0.245936488210093</v>
      </c>
    </row>
    <row r="38" customFormat="false" ht="15" hidden="false" customHeight="true" outlineLevel="0" collapsed="false">
      <c r="B38" s="83" t="s">
        <v>614</v>
      </c>
      <c r="C38" s="84" t="n">
        <f aca="false">Model!CI416</f>
        <v>2123</v>
      </c>
      <c r="D38" s="85" t="n">
        <f aca="false">Model!CO416</f>
        <v>1023.29847055374</v>
      </c>
      <c r="E38" s="85" t="n">
        <f aca="false">Model!CP416</f>
        <v>683.686272125648</v>
      </c>
      <c r="F38" s="85" t="n">
        <f aca="false">Model!CQ416</f>
        <v>460.10194845705</v>
      </c>
      <c r="G38" s="85" t="n">
        <f aca="false">Model!CR416</f>
        <v>89.7978631780411</v>
      </c>
      <c r="H38" s="85" t="n">
        <f aca="false">Model!CS416</f>
        <v>-434.097875830852</v>
      </c>
      <c r="N38" s="83" t="s">
        <v>614</v>
      </c>
      <c r="O38" s="87" t="n">
        <v>2123</v>
      </c>
      <c r="P38" s="87" t="n">
        <v>1272.36859250496</v>
      </c>
      <c r="Q38" s="87" t="n">
        <v>1875.60099426049</v>
      </c>
      <c r="R38" s="87" t="n">
        <v>2550.18976190836</v>
      </c>
      <c r="S38" s="87" t="n">
        <v>3007.99856968998</v>
      </c>
      <c r="T38" s="87" t="n">
        <v>3236.65484594087</v>
      </c>
      <c r="Z38" s="83" t="s">
        <v>614</v>
      </c>
      <c r="AA38" s="87" t="n">
        <v>2123</v>
      </c>
      <c r="AB38" s="87" t="n">
        <v>1027.98597055374</v>
      </c>
      <c r="AC38" s="87" t="n">
        <v>52.9713848240308</v>
      </c>
      <c r="AD38" s="87" t="n">
        <v>-751.652105991119</v>
      </c>
      <c r="AE38" s="87" t="n">
        <v>-1627.43181130548</v>
      </c>
      <c r="AF38" s="87" t="n">
        <v>-2575.22475610455</v>
      </c>
    </row>
    <row r="39" customFormat="false" ht="15" hidden="false" customHeight="true" outlineLevel="0" collapsed="false">
      <c r="B39" s="88" t="s">
        <v>615</v>
      </c>
      <c r="C39" s="111" t="n">
        <f aca="false">IFERROR(C38/C35,"")</f>
        <v>1.41156914893617</v>
      </c>
      <c r="D39" s="112" t="n">
        <f aca="false">IFERROR(D38/D35,"")</f>
        <v>0.625694940941969</v>
      </c>
      <c r="E39" s="112" t="n">
        <f aca="false">IFERROR(E38/E35,"")</f>
        <v>0.374117377134639</v>
      </c>
      <c r="F39" s="112" t="n">
        <f aca="false">IFERROR(F38/F35,"")</f>
        <v>0.2278945643136</v>
      </c>
      <c r="G39" s="112" t="n">
        <f aca="false">IFERROR(G38/G35,"")</f>
        <v>0.040433184236971</v>
      </c>
      <c r="H39" s="112" t="n">
        <f aca="false">IFERROR(H38/H35,"")</f>
        <v>-0.178121070341</v>
      </c>
      <c r="N39" s="88" t="s">
        <v>615</v>
      </c>
      <c r="O39" s="113" t="n">
        <v>1.41156914893617</v>
      </c>
      <c r="P39" s="113" t="n">
        <v>0.777425558826382</v>
      </c>
      <c r="Q39" s="113" t="n">
        <v>0.950973017248359</v>
      </c>
      <c r="R39" s="113" t="n">
        <v>1.11941331837442</v>
      </c>
      <c r="S39" s="113" t="n">
        <v>1.15448220567714</v>
      </c>
      <c r="T39" s="113" t="n">
        <v>1.09353926472768</v>
      </c>
      <c r="Z39" s="88" t="s">
        <v>615</v>
      </c>
      <c r="AA39" s="113" t="n">
        <v>1.41156914893617</v>
      </c>
      <c r="AB39" s="113" t="n">
        <v>0.630864501602532</v>
      </c>
      <c r="AC39" s="113" t="n">
        <v>0.0328895068948235</v>
      </c>
      <c r="AD39" s="113" t="n">
        <v>-0.443791253404457</v>
      </c>
      <c r="AE39" s="113" t="n">
        <v>-0.914383724138769</v>
      </c>
      <c r="AF39" s="113" t="n">
        <v>-1.37628245294214</v>
      </c>
    </row>
    <row r="41" customFormat="false" ht="15" hidden="false" customHeight="true" outlineLevel="0" collapsed="false">
      <c r="B41" s="83" t="s">
        <v>616</v>
      </c>
      <c r="C41" s="92" t="n">
        <f aca="false">Model!CI396</f>
        <v>0.0893686805333207</v>
      </c>
      <c r="D41" s="93" t="n">
        <f aca="false">Model!CO396</f>
        <v>0.094730157918008</v>
      </c>
      <c r="E41" s="93" t="n">
        <f aca="false">Model!CP396</f>
        <v>0.0995847710035775</v>
      </c>
      <c r="F41" s="93" t="n">
        <f aca="false">Model!CQ396</f>
        <v>0.103381290168862</v>
      </c>
      <c r="G41" s="93" t="n">
        <f aca="false">Model!CR396</f>
        <v>0.107108328505268</v>
      </c>
      <c r="H41" s="93" t="n">
        <f aca="false">Model!CS396</f>
        <v>0.111009358250311</v>
      </c>
      <c r="J41" s="97" t="n">
        <f aca="false">IFERROR(AVERAGE(Model!C396,Model!D396,Model!E396,Model!F396,Model!G396,Model!H396,Model!I396,Model!O396,Model!U396,Model!AA396,Model!AG396,Model!AM396,Model!AS396,Model!AY396,Model!BE396,Model!BK396,Model!BQ396,Model!BW396,Model!CC396,Model!CI396),"")</f>
        <v>0.120044923696008</v>
      </c>
      <c r="K41" s="97" t="n">
        <f aca="false">IFERROR(MIN(Model!C396,Model!D396,Model!E396,Model!F396,Model!G396,Model!H396,Model!I396,Model!O396,Model!U396,Model!AA396,Model!AG396,Model!AM396,Model!AS396,Model!AY396,Model!BE396,Model!BK396,Model!BQ396,Model!BW396,Model!CC396,Model!CI396),"")</f>
        <v>0.07291259122367</v>
      </c>
      <c r="L41" s="97" t="n">
        <f aca="false">IFERROR(MAX(Model!C396,Model!D396,Model!E396,Model!F396,Model!G396,Model!H396,Model!I396,Model!O396,Model!U396,Model!AA396,Model!AG396,Model!AM396,Model!AS396,Model!AY396,Model!BE396,Model!BK396,Model!BQ396,Model!BW396,Model!CC396,Model!CI396),"")</f>
        <v>0.170571431406402</v>
      </c>
      <c r="N41" s="83" t="s">
        <v>616</v>
      </c>
      <c r="O41" s="94" t="n">
        <v>0.0893686805333207</v>
      </c>
      <c r="P41" s="94" t="n">
        <v>0.0948038332717729</v>
      </c>
      <c r="Q41" s="94" t="n">
        <v>0.10174979421951</v>
      </c>
      <c r="R41" s="94" t="n">
        <v>0.105178338160175</v>
      </c>
      <c r="S41" s="94" t="n">
        <v>0.108855371360699</v>
      </c>
      <c r="T41" s="94" t="n">
        <v>0.112973915883392</v>
      </c>
      <c r="V41" s="97" t="n">
        <v>0.120044923696008</v>
      </c>
      <c r="W41" s="97" t="n">
        <v>0.07291259122367</v>
      </c>
      <c r="X41" s="97" t="n">
        <v>0.170571431406402</v>
      </c>
      <c r="Z41" s="83" t="s">
        <v>616</v>
      </c>
      <c r="AA41" s="94" t="n">
        <v>0.0893686805333207</v>
      </c>
      <c r="AB41" s="94" t="n">
        <v>0.094358765448017</v>
      </c>
      <c r="AC41" s="94" t="n">
        <v>0.0908568294461086</v>
      </c>
      <c r="AD41" s="94" t="n">
        <v>0.093362288981735</v>
      </c>
      <c r="AE41" s="94" t="n">
        <v>0.0956629793706904</v>
      </c>
      <c r="AF41" s="94" t="n">
        <v>0.0979708706622119</v>
      </c>
      <c r="AH41" s="97" t="n">
        <v>0.120044923696008</v>
      </c>
      <c r="AI41" s="97" t="n">
        <v>0.07291259122367</v>
      </c>
      <c r="AJ41" s="97" t="n">
        <v>0.170571431406402</v>
      </c>
    </row>
    <row r="42" customFormat="false" ht="15" hidden="false" customHeight="true" outlineLevel="0" collapsed="false">
      <c r="B42" s="83" t="s">
        <v>617</v>
      </c>
      <c r="C42" s="92" t="n">
        <f aca="false">Model!CI408</f>
        <v>0.365767288195207</v>
      </c>
      <c r="D42" s="93" t="n">
        <f aca="false">Model!CO408</f>
        <v>0.309830554191737</v>
      </c>
      <c r="E42" s="93" t="n">
        <f aca="false">Model!CP408</f>
        <v>0.308516303416119</v>
      </c>
      <c r="F42" s="93" t="n">
        <f aca="false">Model!CQ408</f>
        <v>0.374846227576537</v>
      </c>
      <c r="G42" s="93" t="n">
        <f aca="false">Model!CR408</f>
        <v>0.368401282964082</v>
      </c>
      <c r="H42" s="93" t="n">
        <f aca="false">Model!CS408</f>
        <v>0.386153187447547</v>
      </c>
      <c r="J42" s="97" t="n">
        <f aca="false">IFERROR(AVERAGE(Model!C408,Model!D408,Model!E408,Model!F408,Model!G408,Model!H408,Model!I408,Model!O408,Model!U408,Model!AA408,Model!AG408,Model!AM408,Model!AS408,Model!AY408,Model!BE408,Model!BK408,Model!BQ408,Model!BW408,Model!CC408,Model!CI408),"")</f>
        <v>0.282765139874425</v>
      </c>
      <c r="K42" s="97" t="n">
        <f aca="false">IFERROR(MIN(Model!C408,Model!D408,Model!E408,Model!F408,Model!G408,Model!H408,Model!I408,Model!O408,Model!U408,Model!AA408,Model!AG408,Model!AM408,Model!AS408,Model!AY408,Model!BE408,Model!BK408,Model!BQ408,Model!BW408,Model!CC408,Model!CI408),"")</f>
        <v>0.195886411485129</v>
      </c>
      <c r="L42" s="97" t="n">
        <f aca="false">IFERROR(MAX(Model!C408,Model!D408,Model!E408,Model!F408,Model!G408,Model!H408,Model!I408,Model!O408,Model!U408,Model!AA408,Model!AG408,Model!AM408,Model!AS408,Model!AY408,Model!BE408,Model!BK408,Model!BQ408,Model!BW408,Model!CC408,Model!CI408),"")</f>
        <v>0.372130168685446</v>
      </c>
      <c r="N42" s="83" t="s">
        <v>617</v>
      </c>
      <c r="O42" s="94" t="n">
        <v>0.365767288195207</v>
      </c>
      <c r="P42" s="94" t="n">
        <v>0.331505421662488</v>
      </c>
      <c r="Q42" s="94" t="n">
        <v>0.435096127128231</v>
      </c>
      <c r="R42" s="94" t="n">
        <v>0.47842924252906</v>
      </c>
      <c r="S42" s="94" t="n">
        <v>0.521145612688127</v>
      </c>
      <c r="T42" s="94" t="n">
        <v>0.562206146856906</v>
      </c>
      <c r="V42" s="97" t="n">
        <v>0.282765139874425</v>
      </c>
      <c r="W42" s="97" t="n">
        <v>0.195886411485129</v>
      </c>
      <c r="X42" s="97" t="n">
        <v>0.372130168685446</v>
      </c>
      <c r="Z42" s="83" t="s">
        <v>617</v>
      </c>
      <c r="AA42" s="94" t="n">
        <v>0.365767288195207</v>
      </c>
      <c r="AB42" s="94" t="n">
        <v>0.308991844876763</v>
      </c>
      <c r="AC42" s="94" t="n">
        <v>0.237730020722324</v>
      </c>
      <c r="AD42" s="94" t="n">
        <v>0.243937431366686</v>
      </c>
      <c r="AE42" s="94" t="n">
        <v>0.217272738909799</v>
      </c>
      <c r="AF42" s="94" t="n">
        <v>0.208894532676678</v>
      </c>
      <c r="AH42" s="97" t="n">
        <v>0.282765139874425</v>
      </c>
      <c r="AI42" s="97" t="n">
        <v>0.195886411485129</v>
      </c>
      <c r="AJ42" s="97" t="n">
        <v>0.372130168685446</v>
      </c>
    </row>
    <row r="44" customFormat="false" ht="15" hidden="false" customHeight="true" outlineLevel="0" collapsed="false">
      <c r="B44" s="88" t="s">
        <v>618</v>
      </c>
      <c r="E44" s="114" t="n">
        <f aca="false">E27*E21</f>
        <v>32519.2028371633</v>
      </c>
      <c r="F44" s="114" t="n">
        <f aca="false">F27*F21</f>
        <v>36090.9598575691</v>
      </c>
      <c r="G44" s="114" t="n">
        <f aca="false">G27*G21</f>
        <v>39816.096530338</v>
      </c>
      <c r="H44" s="114" t="n">
        <f aca="false">H27*H21</f>
        <v>43885.9163912691</v>
      </c>
      <c r="N44" s="88" t="s">
        <v>618</v>
      </c>
      <c r="Q44" s="114" t="n">
        <f aca="false">Q27*Q21</f>
        <v>39301.5927393136</v>
      </c>
      <c r="R44" s="114" t="n">
        <f aca="false">R27*R21</f>
        <v>44980.6612614556</v>
      </c>
      <c r="S44" s="114" t="n">
        <f aca="false">S27*S21</f>
        <v>50952.8846921703</v>
      </c>
      <c r="T44" s="114" t="n">
        <f aca="false">T27*T21</f>
        <v>57539.8645813933</v>
      </c>
      <c r="Z44" s="88" t="s">
        <v>618</v>
      </c>
      <c r="AC44" s="114" t="n">
        <f aca="false">AC27*AC21</f>
        <v>23849.4542565314</v>
      </c>
      <c r="AD44" s="114" t="n">
        <f aca="false">AD27*AD21</f>
        <v>25526.5130910224</v>
      </c>
      <c r="AE44" s="114" t="n">
        <f aca="false">AE27*AE21</f>
        <v>27188.7533971716</v>
      </c>
      <c r="AF44" s="114" t="n">
        <f aca="false">AF27*AF21</f>
        <v>28962.3644889566</v>
      </c>
    </row>
    <row r="45" customFormat="false" ht="15" hidden="false" customHeight="true" outlineLevel="0" collapsed="false">
      <c r="B45" s="88" t="s">
        <v>619</v>
      </c>
      <c r="E45" s="114" t="n">
        <f aca="false">E38+Model!CP426</f>
        <v>683.686272125648</v>
      </c>
      <c r="F45" s="114" t="n">
        <f aca="false">F38+Model!CQ426</f>
        <v>460.10194845705</v>
      </c>
      <c r="G45" s="114" t="n">
        <f aca="false">G38+Model!CR426</f>
        <v>89.7978631780411</v>
      </c>
      <c r="H45" s="114" t="n">
        <f aca="false">H38+Model!CS426</f>
        <v>-434.097875830852</v>
      </c>
      <c r="N45" s="88" t="s">
        <v>619</v>
      </c>
      <c r="Q45" s="114" t="n">
        <f aca="false">Q38+Model!CP426</f>
        <v>1875.60099426049</v>
      </c>
      <c r="R45" s="114" t="n">
        <f aca="false">R38+Model!CQ426</f>
        <v>2550.18976190836</v>
      </c>
      <c r="S45" s="114" t="n">
        <f aca="false">S38+Model!CR426</f>
        <v>3007.99856968998</v>
      </c>
      <c r="T45" s="114" t="n">
        <f aca="false">T38+Model!CS426</f>
        <v>3236.65484594087</v>
      </c>
      <c r="Z45" s="88" t="s">
        <v>619</v>
      </c>
      <c r="AC45" s="114" t="n">
        <f aca="false">AC38+Model!CP426</f>
        <v>52.9713848240308</v>
      </c>
      <c r="AD45" s="114" t="n">
        <f aca="false">AD38+Model!CQ426</f>
        <v>-751.652105991119</v>
      </c>
      <c r="AE45" s="114" t="n">
        <f aca="false">AE38+Model!CR426</f>
        <v>-1627.43181130548</v>
      </c>
      <c r="AF45" s="114" t="n">
        <f aca="false">AF38+Model!CS426</f>
        <v>-2575.22475610455</v>
      </c>
    </row>
    <row r="46" customFormat="false" ht="15" hidden="false" customHeight="true" outlineLevel="0" collapsed="false">
      <c r="B46" s="88" t="s">
        <v>620</v>
      </c>
      <c r="E46" s="114" t="n">
        <f aca="false">E44+E45</f>
        <v>33202.8891092889</v>
      </c>
      <c r="F46" s="114" t="n">
        <f aca="false">F44+F45</f>
        <v>36551.0618060261</v>
      </c>
      <c r="G46" s="114" t="n">
        <f aca="false">G44+G45</f>
        <v>39905.8943935161</v>
      </c>
      <c r="H46" s="114" t="n">
        <f aca="false">H44+H45</f>
        <v>43451.8185154383</v>
      </c>
      <c r="N46" s="88" t="s">
        <v>620</v>
      </c>
      <c r="Q46" s="114" t="n">
        <f aca="false">Q44+Q45</f>
        <v>41177.1937335741</v>
      </c>
      <c r="R46" s="114" t="n">
        <f aca="false">R44+R45</f>
        <v>47530.851023364</v>
      </c>
      <c r="S46" s="114" t="n">
        <f aca="false">S44+S45</f>
        <v>53960.8832618603</v>
      </c>
      <c r="T46" s="114" t="n">
        <f aca="false">T44+T45</f>
        <v>60776.5194273342</v>
      </c>
      <c r="Z46" s="88" t="s">
        <v>620</v>
      </c>
      <c r="AC46" s="114" t="n">
        <f aca="false">AC44+AC45</f>
        <v>23902.4256413554</v>
      </c>
      <c r="AD46" s="114" t="n">
        <f aca="false">AD44+AD45</f>
        <v>24774.8609850313</v>
      </c>
      <c r="AE46" s="114" t="n">
        <f aca="false">AE44+AE45</f>
        <v>25561.3215858661</v>
      </c>
      <c r="AF46" s="114" t="n">
        <f aca="false">AF44+AF45</f>
        <v>26387.1397328521</v>
      </c>
    </row>
    <row r="47" customFormat="false" ht="15" hidden="false" customHeight="true" outlineLevel="0" collapsed="false">
      <c r="B47" s="88" t="s">
        <v>621</v>
      </c>
      <c r="E47" s="113" t="n">
        <f aca="false">IFERROR(E46/E35,"")</f>
        <v>18.1688272725426</v>
      </c>
      <c r="F47" s="113" t="n">
        <f aca="false">IFERROR(F46/F35,"")</f>
        <v>18.1042230606015</v>
      </c>
      <c r="G47" s="113" t="n">
        <f aca="false">IFERROR(G46/G35,"")</f>
        <v>17.9683827994329</v>
      </c>
      <c r="H47" s="113" t="n">
        <f aca="false">IFERROR(H46/H35,"")</f>
        <v>17.8293533628083</v>
      </c>
      <c r="N47" s="88" t="s">
        <v>621</v>
      </c>
      <c r="Q47" s="113" t="n">
        <f aca="false">IFERROR(Q46/Q35,"")</f>
        <v>20.877788125761</v>
      </c>
      <c r="R47" s="113" t="n">
        <f aca="false">IFERROR(R46/R35,"")</f>
        <v>20.8638072601344</v>
      </c>
      <c r="S47" s="113" t="n">
        <f aca="false">IFERROR(S46/S35,"")</f>
        <v>20.7104086272421</v>
      </c>
      <c r="T47" s="113" t="n">
        <f aca="false">IFERROR(T46/T35,"")</f>
        <v>20.5340122845118</v>
      </c>
      <c r="Z47" s="88" t="s">
        <v>621</v>
      </c>
      <c r="AC47" s="113" t="n">
        <f aca="false">IFERROR(AC46/AC35,"")</f>
        <v>14.8408238815333</v>
      </c>
      <c r="AD47" s="113" t="n">
        <f aca="false">IFERROR(AD46/AD35,"")</f>
        <v>14.6276003510567</v>
      </c>
      <c r="AE47" s="113" t="n">
        <f aca="false">IFERROR(AE46/AE35,"")</f>
        <v>14.3618038330245</v>
      </c>
      <c r="AF47" s="113" t="n">
        <f aca="false">IFERROR(AF46/AF35,"")</f>
        <v>14.1021312068275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04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0.6"/>
    <col collapsed="false" customWidth="true" hidden="false" outlineLevel="0" max="2" min="2" style="1" width="50"/>
    <col collapsed="false" customWidth="true" hidden="false" outlineLevel="0" max="14" min="3" style="1" width="12.6"/>
  </cols>
  <sheetData>
    <row r="2" customFormat="false" ht="17.25" hidden="false" customHeight="true" outlineLevel="0" collapsed="false">
      <c r="B2" s="115" t="s">
        <v>622</v>
      </c>
    </row>
    <row r="4" customFormat="false" ht="15" hidden="false" customHeight="true" outlineLevel="0" collapsed="false">
      <c r="B4" s="18" t="s">
        <v>623</v>
      </c>
    </row>
    <row r="5" customFormat="false" ht="15" hidden="false" customHeight="true" outlineLevel="0" collapsed="false">
      <c r="B5" s="13" t="s">
        <v>624</v>
      </c>
      <c r="C5" s="116" t="n">
        <v>0.0425</v>
      </c>
      <c r="D5" s="5" t="s">
        <v>625</v>
      </c>
    </row>
    <row r="6" customFormat="false" ht="15" hidden="false" customHeight="true" outlineLevel="0" collapsed="false">
      <c r="B6" s="13" t="s">
        <v>626</v>
      </c>
      <c r="C6" s="116" t="n">
        <v>0.05</v>
      </c>
      <c r="D6" s="5" t="s">
        <v>627</v>
      </c>
    </row>
    <row r="7" customFormat="false" ht="15" hidden="false" customHeight="true" outlineLevel="0" collapsed="false">
      <c r="B7" s="13" t="s">
        <v>628</v>
      </c>
      <c r="C7" s="117" t="n">
        <v>1</v>
      </c>
      <c r="D7" s="5" t="s">
        <v>629</v>
      </c>
    </row>
    <row r="8" customFormat="false" ht="15" hidden="false" customHeight="true" outlineLevel="0" collapsed="false">
      <c r="B8" s="13" t="s">
        <v>630</v>
      </c>
      <c r="C8" s="118" t="n">
        <f aca="false">C5+C7*C6</f>
        <v>0.0925</v>
      </c>
    </row>
    <row r="9" customFormat="false" ht="15" hidden="false" customHeight="true" outlineLevel="0" collapsed="false">
      <c r="B9" s="13" t="s">
        <v>631</v>
      </c>
      <c r="C9" s="116" t="n">
        <v>0.0475</v>
      </c>
      <c r="D9" s="5" t="s">
        <v>632</v>
      </c>
    </row>
    <row r="10" customFormat="false" ht="15" hidden="false" customHeight="true" outlineLevel="0" collapsed="false">
      <c r="B10" s="13" t="s">
        <v>633</v>
      </c>
      <c r="C10" s="116" t="n">
        <v>0.215</v>
      </c>
      <c r="D10" s="5" t="s">
        <v>634</v>
      </c>
    </row>
    <row r="11" customFormat="false" ht="15" hidden="false" customHeight="true" outlineLevel="0" collapsed="false">
      <c r="B11" s="13" t="s">
        <v>635</v>
      </c>
      <c r="C11" s="118" t="n">
        <f aca="false">C9*(1-C10)</f>
        <v>0.0372875</v>
      </c>
    </row>
    <row r="12" customFormat="false" ht="15" hidden="false" customHeight="true" outlineLevel="0" collapsed="false">
      <c r="B12" s="13" t="s">
        <v>636</v>
      </c>
      <c r="C12" s="116" t="n">
        <v>0.1</v>
      </c>
      <c r="D12" s="5" t="s">
        <v>637</v>
      </c>
    </row>
    <row r="13" customFormat="false" ht="15" hidden="false" customHeight="true" outlineLevel="0" collapsed="false">
      <c r="B13" s="78" t="s">
        <v>638</v>
      </c>
      <c r="C13" s="119" t="n">
        <f aca="false">C8*(1-C12)+C11*C12</f>
        <v>0.08697875</v>
      </c>
    </row>
    <row r="15" customFormat="false" ht="15" hidden="false" customHeight="true" outlineLevel="0" collapsed="false">
      <c r="B15" s="1" t="s">
        <v>639</v>
      </c>
      <c r="C15" s="76" t="n">
        <f aca="true">TODAY()</f>
        <v>46299</v>
      </c>
      <c r="D15" s="5" t="s">
        <v>640</v>
      </c>
    </row>
    <row r="16" customFormat="false" ht="15" hidden="false" customHeight="true" outlineLevel="0" collapsed="false">
      <c r="B16" s="18" t="s">
        <v>641</v>
      </c>
    </row>
    <row r="17" customFormat="false" ht="15" hidden="false" customHeight="true" outlineLevel="0" collapsed="false">
      <c r="D17" s="12" t="s">
        <v>78</v>
      </c>
      <c r="E17" s="12" t="s">
        <v>79</v>
      </c>
      <c r="F17" s="12" t="s">
        <v>80</v>
      </c>
      <c r="G17" s="12" t="s">
        <v>81</v>
      </c>
      <c r="H17" s="12" t="s">
        <v>82</v>
      </c>
      <c r="I17" s="12" t="s">
        <v>642</v>
      </c>
      <c r="J17" s="12" t="s">
        <v>643</v>
      </c>
      <c r="K17" s="12" t="s">
        <v>644</v>
      </c>
      <c r="L17" s="12" t="s">
        <v>645</v>
      </c>
      <c r="M17" s="12" t="s">
        <v>646</v>
      </c>
      <c r="N17" s="12" t="s">
        <v>647</v>
      </c>
    </row>
    <row r="18" customFormat="false" ht="15" hidden="false" customHeight="true" outlineLevel="0" collapsed="false">
      <c r="B18" s="1" t="s">
        <v>648</v>
      </c>
      <c r="D18" s="120" t="n">
        <f aca="false">Model!CO200</f>
        <v>1508.72643312102</v>
      </c>
      <c r="E18" s="120" t="n">
        <f aca="false">Model!CP200</f>
        <v>1677.45472734786</v>
      </c>
      <c r="F18" s="120" t="n">
        <f aca="false">Model!CQ200</f>
        <v>1855.91894608661</v>
      </c>
      <c r="G18" s="120" t="n">
        <f aca="false">Model!CR200</f>
        <v>2043.95312624164</v>
      </c>
      <c r="H18" s="120" t="n">
        <f aca="false">Model!CS200</f>
        <v>2245.6001435184</v>
      </c>
      <c r="I18" s="121" t="n">
        <f aca="false">H18*(1+I$29)</f>
        <v>2380.3361521295</v>
      </c>
      <c r="J18" s="121" t="n">
        <f aca="false">I18*(1+J$29)</f>
        <v>2511.25464049662</v>
      </c>
      <c r="K18" s="121" t="n">
        <f aca="false">J18*(1+K$29)</f>
        <v>2636.81737252145</v>
      </c>
      <c r="L18" s="121" t="n">
        <f aca="false">K18*(1+L$29)</f>
        <v>2755.47415428492</v>
      </c>
      <c r="M18" s="121" t="n">
        <f aca="false">L18*(1+M$29)</f>
        <v>2865.69312045632</v>
      </c>
    </row>
    <row r="19" customFormat="false" ht="15" hidden="false" customHeight="true" outlineLevel="0" collapsed="false">
      <c r="B19" s="1" t="s">
        <v>649</v>
      </c>
      <c r="D19" s="120" t="n">
        <f aca="false">-Model!CO98</f>
        <v>-1.4</v>
      </c>
      <c r="E19" s="120" t="n">
        <f aca="false">-Model!CP98</f>
        <v>-5</v>
      </c>
      <c r="F19" s="120" t="n">
        <f aca="false">-Model!CQ98</f>
        <v>-5</v>
      </c>
      <c r="G19" s="120" t="n">
        <f aca="false">-Model!CR98</f>
        <v>-5</v>
      </c>
      <c r="H19" s="120" t="n">
        <f aca="false">-Model!CS98</f>
        <v>-5</v>
      </c>
      <c r="I19" s="121" t="n">
        <f aca="false">H19*(1+I$29)</f>
        <v>-5.3</v>
      </c>
      <c r="J19" s="121" t="n">
        <f aca="false">I19*(1+J$29)</f>
        <v>-5.5915</v>
      </c>
      <c r="K19" s="121" t="n">
        <f aca="false">J19*(1+K$29)</f>
        <v>-5.871075</v>
      </c>
      <c r="L19" s="121" t="n">
        <f aca="false">K19*(1+L$29)</f>
        <v>-6.135273375</v>
      </c>
      <c r="M19" s="121" t="n">
        <f aca="false">L19*(1+M$29)</f>
        <v>-6.38068431</v>
      </c>
    </row>
    <row r="20" customFormat="false" ht="15" hidden="false" customHeight="true" outlineLevel="0" collapsed="false">
      <c r="B20" s="1" t="s">
        <v>650</v>
      </c>
      <c r="D20" s="122" t="n">
        <f aca="false">1-$C$10</f>
        <v>0.785</v>
      </c>
      <c r="E20" s="122" t="n">
        <f aca="false">1-$C$10</f>
        <v>0.785</v>
      </c>
      <c r="F20" s="122" t="n">
        <f aca="false">1-$C$10</f>
        <v>0.785</v>
      </c>
      <c r="G20" s="122" t="n">
        <f aca="false">1-$C$10</f>
        <v>0.785</v>
      </c>
      <c r="H20" s="122" t="n">
        <f aca="false">1-$C$10</f>
        <v>0.785</v>
      </c>
      <c r="I20" s="122" t="n">
        <f aca="false">1-$C$10</f>
        <v>0.785</v>
      </c>
      <c r="J20" s="122" t="n">
        <f aca="false">1-$C$10</f>
        <v>0.785</v>
      </c>
      <c r="K20" s="122" t="n">
        <f aca="false">1-$C$10</f>
        <v>0.785</v>
      </c>
      <c r="L20" s="122" t="n">
        <f aca="false">1-$C$10</f>
        <v>0.785</v>
      </c>
      <c r="M20" s="122" t="n">
        <f aca="false">1-$C$10</f>
        <v>0.785</v>
      </c>
    </row>
    <row r="21" customFormat="false" ht="15" hidden="false" customHeight="true" outlineLevel="0" collapsed="false">
      <c r="B21" s="1" t="s">
        <v>651</v>
      </c>
      <c r="D21" s="121" t="n">
        <f aca="false">(D18+D19)*D20</f>
        <v>1183.25125</v>
      </c>
      <c r="E21" s="121" t="n">
        <f aca="false">(E18+E19)*E20</f>
        <v>1312.87696096807</v>
      </c>
      <c r="F21" s="121" t="n">
        <f aca="false">(F18+F19)*F20</f>
        <v>1452.97137267799</v>
      </c>
      <c r="G21" s="121" t="n">
        <f aca="false">(G18+G19)*G20</f>
        <v>1600.57820409968</v>
      </c>
      <c r="H21" s="121" t="n">
        <f aca="false">(H18+H19)*H20</f>
        <v>1758.87111266194</v>
      </c>
      <c r="I21" s="121" t="n">
        <f aca="false">(I18+I19)*I20</f>
        <v>1864.40337942166</v>
      </c>
      <c r="J21" s="121" t="n">
        <f aca="false">(J18+J19)*J20</f>
        <v>1966.94556528985</v>
      </c>
      <c r="K21" s="121" t="n">
        <f aca="false">(K18+K19)*K20</f>
        <v>2065.29284355434</v>
      </c>
      <c r="L21" s="121" t="n">
        <f aca="false">(L18+L19)*L20</f>
        <v>2158.23102151429</v>
      </c>
      <c r="M21" s="121" t="n">
        <f aca="false">(M18+M19)*M20</f>
        <v>2244.56026237486</v>
      </c>
    </row>
    <row r="22" customFormat="false" ht="15" hidden="false" customHeight="true" outlineLevel="0" collapsed="false">
      <c r="B22" s="1" t="s">
        <v>652</v>
      </c>
      <c r="D22" s="120" t="n">
        <f aca="false">Model!CO140</f>
        <v>123.032643810607</v>
      </c>
      <c r="E22" s="120" t="n">
        <f aca="false">Model!CP140</f>
        <v>140.009897155799</v>
      </c>
      <c r="F22" s="120" t="n">
        <f aca="false">Model!CQ140</f>
        <v>153.005681812437</v>
      </c>
      <c r="G22" s="120" t="n">
        <f aca="false">Model!CR140</f>
        <v>166.942033826719</v>
      </c>
      <c r="H22" s="120" t="n">
        <f aca="false">Model!CS140</f>
        <v>181.494328235021</v>
      </c>
      <c r="I22" s="121" t="n">
        <f aca="false">H22*(1+I$29)</f>
        <v>192.383987929123</v>
      </c>
      <c r="J22" s="121" t="n">
        <f aca="false">I22*(1+J$29)</f>
        <v>202.965107265224</v>
      </c>
      <c r="K22" s="121" t="n">
        <f aca="false">J22*(1+K$29)</f>
        <v>213.113362628486</v>
      </c>
      <c r="L22" s="121" t="n">
        <f aca="false">K22*(1+L$29)</f>
        <v>222.703463946768</v>
      </c>
      <c r="M22" s="121" t="n">
        <f aca="false">L22*(1+M$29)</f>
        <v>231.611602504638</v>
      </c>
    </row>
    <row r="23" customFormat="false" ht="15" hidden="false" customHeight="true" outlineLevel="0" collapsed="false">
      <c r="B23" s="1" t="s">
        <v>653</v>
      </c>
      <c r="D23" s="120" t="n">
        <f aca="false">D27</f>
        <v>-125</v>
      </c>
      <c r="E23" s="120" t="n">
        <f aca="false">E27+Model!CP273</f>
        <v>-893.599894518768</v>
      </c>
      <c r="F23" s="120" t="n">
        <f aca="false">F27+Model!CQ273</f>
        <v>-1156.92890442301</v>
      </c>
      <c r="G23" s="120" t="n">
        <f aca="false">G27+Model!CR273</f>
        <v>-1171.22259879663</v>
      </c>
      <c r="H23" s="120" t="n">
        <f aca="false">H27+Model!CS273</f>
        <v>-1186.148028959</v>
      </c>
      <c r="I23" s="121" t="n">
        <f aca="false">I27</f>
        <v>-197.316910696536</v>
      </c>
      <c r="J23" s="121" t="n">
        <f aca="false">J27</f>
        <v>-208.169340784846</v>
      </c>
      <c r="K23" s="121" t="n">
        <f aca="false">K27</f>
        <v>-218.577807824088</v>
      </c>
      <c r="L23" s="121" t="n">
        <f aca="false">L27</f>
        <v>-228.413809176172</v>
      </c>
      <c r="M23" s="121" t="n">
        <f aca="false">M27</f>
        <v>-237.550361543219</v>
      </c>
    </row>
    <row r="24" customFormat="false" ht="15" hidden="false" customHeight="true" outlineLevel="0" collapsed="false">
      <c r="B24" s="1" t="s">
        <v>654</v>
      </c>
      <c r="D24" s="120" t="n">
        <f aca="false">Model!CO270</f>
        <v>-97.3509791081394</v>
      </c>
      <c r="E24" s="120" t="n">
        <f aca="false">Model!CP270</f>
        <v>-62.7541959140696</v>
      </c>
      <c r="F24" s="120" t="n">
        <f aca="false">Model!CQ270</f>
        <v>-80.966950294402</v>
      </c>
      <c r="G24" s="120" t="n">
        <f aca="false">Model!CR270</f>
        <v>-84.0784305735027</v>
      </c>
      <c r="H24" s="120" t="n">
        <f aca="false">Model!CS270</f>
        <v>-98.4543669962367</v>
      </c>
      <c r="I24" s="121" t="n">
        <f aca="false">H24*(1+I$29)</f>
        <v>-104.361629016011</v>
      </c>
      <c r="J24" s="121" t="n">
        <f aca="false">I24*(1+J$29)</f>
        <v>-110.101518611891</v>
      </c>
      <c r="K24" s="121" t="n">
        <f aca="false">J24*(1+K$29)</f>
        <v>-115.606594542486</v>
      </c>
      <c r="L24" s="121" t="n">
        <f aca="false">K24*(1+L$29)</f>
        <v>-120.808891296898</v>
      </c>
      <c r="M24" s="121" t="n">
        <f aca="false">L24*(1+M$29)</f>
        <v>-125.641246948774</v>
      </c>
    </row>
    <row r="25" customFormat="false" ht="15" hidden="false" customHeight="true" outlineLevel="0" collapsed="false">
      <c r="B25" s="123" t="s">
        <v>655</v>
      </c>
      <c r="D25" s="124" t="n">
        <f aca="false">D21+D22+D23+D24</f>
        <v>1083.93291470247</v>
      </c>
      <c r="E25" s="124" t="n">
        <f aca="false">E21+E22+E23+E24</f>
        <v>496.532767691033</v>
      </c>
      <c r="F25" s="124" t="n">
        <f aca="false">F21+F22+F23+F24</f>
        <v>368.081199773012</v>
      </c>
      <c r="G25" s="124" t="n">
        <f aca="false">G21+G22+G23+G24</f>
        <v>512.219208556266</v>
      </c>
      <c r="H25" s="124" t="n">
        <f aca="false">H21+H22+H23+H24</f>
        <v>655.763044941729</v>
      </c>
      <c r="I25" s="124" t="n">
        <f aca="false">I21+I22+I23+I24</f>
        <v>1755.10882763823</v>
      </c>
      <c r="J25" s="124" t="n">
        <f aca="false">J21+J22+J23+J24</f>
        <v>1851.63981315834</v>
      </c>
      <c r="K25" s="124" t="n">
        <f aca="false">K21+K22+K23+K24</f>
        <v>1944.22180381625</v>
      </c>
      <c r="L25" s="124" t="n">
        <f aca="false">L21+L22+L23+L24</f>
        <v>2031.71178498798</v>
      </c>
      <c r="M25" s="124" t="n">
        <f aca="false">M21+M22+M23+M24</f>
        <v>2112.9802563875</v>
      </c>
      <c r="N25" s="124" t="n">
        <f aca="false">M25*(1+$C$30)</f>
        <v>2176.36966407913</v>
      </c>
    </row>
    <row r="26" customFormat="false" ht="15" hidden="false" customHeight="true" outlineLevel="0" collapsed="false">
      <c r="B26" s="1" t="s">
        <v>656</v>
      </c>
      <c r="N26" s="124" t="n">
        <f aca="false">N25/($C$13-$C$30)</f>
        <v>38196.1637290942</v>
      </c>
    </row>
    <row r="27" customFormat="false" ht="15" hidden="false" customHeight="true" outlineLevel="0" collapsed="false">
      <c r="B27" s="5" t="s">
        <v>657</v>
      </c>
      <c r="D27" s="120" t="n">
        <f aca="false">Model!CO272</f>
        <v>-125</v>
      </c>
      <c r="E27" s="120" t="n">
        <f aca="false">Model!CP272</f>
        <v>-143.599894518768</v>
      </c>
      <c r="F27" s="120" t="n">
        <f aca="false">Model!CQ272</f>
        <v>-156.928904423012</v>
      </c>
      <c r="G27" s="120" t="n">
        <f aca="false">Model!CR272</f>
        <v>-171.222598796635</v>
      </c>
      <c r="H27" s="120" t="n">
        <f aca="false">Model!CS272</f>
        <v>-186.148028958996</v>
      </c>
      <c r="I27" s="121" t="n">
        <f aca="false">H27*(1+I$29)</f>
        <v>-197.316910696536</v>
      </c>
      <c r="J27" s="121" t="n">
        <f aca="false">I27*(1+J$29)</f>
        <v>-208.169340784846</v>
      </c>
      <c r="K27" s="121" t="n">
        <f aca="false">J27*(1+K$29)</f>
        <v>-218.577807824088</v>
      </c>
      <c r="L27" s="121" t="n">
        <f aca="false">K27*(1+L$29)</f>
        <v>-228.413809176172</v>
      </c>
      <c r="M27" s="121" t="n">
        <f aca="false">L27*(1+M$29)</f>
        <v>-237.550361543219</v>
      </c>
    </row>
    <row r="29" customFormat="false" ht="15" hidden="false" customHeight="true" outlineLevel="0" collapsed="false">
      <c r="B29" s="1" t="s">
        <v>658</v>
      </c>
      <c r="I29" s="125" t="n">
        <v>0.06</v>
      </c>
      <c r="J29" s="125" t="n">
        <v>0.055</v>
      </c>
      <c r="K29" s="125" t="n">
        <v>0.05</v>
      </c>
      <c r="L29" s="125" t="n">
        <v>0.045</v>
      </c>
      <c r="M29" s="125" t="n">
        <v>0.04</v>
      </c>
    </row>
    <row r="30" customFormat="false" ht="15" hidden="false" customHeight="true" outlineLevel="0" collapsed="false">
      <c r="B30" s="1" t="s">
        <v>659</v>
      </c>
      <c r="C30" s="126" t="n">
        <v>0.03</v>
      </c>
    </row>
    <row r="32" customFormat="false" ht="15" hidden="false" customHeight="true" outlineLevel="0" collapsed="false">
      <c r="B32" s="1" t="s">
        <v>660</v>
      </c>
      <c r="D32" s="127" t="n">
        <f aca="false">(DATE(2026,12,31)-$C$15)/365.25</f>
        <v>0.240930869267625</v>
      </c>
      <c r="E32" s="127" t="n">
        <f aca="false">(DATE(2027,12,31)-$C$15)/365.25</f>
        <v>1.24024640657084</v>
      </c>
      <c r="F32" s="127" t="n">
        <f aca="false">(DATE(2028,12,31)-$C$15)/365.25</f>
        <v>2.24229979466119</v>
      </c>
      <c r="G32" s="127" t="n">
        <f aca="false">(DATE(2029,12,31)-$C$15)/365.25</f>
        <v>3.24161533196441</v>
      </c>
      <c r="H32" s="127" t="n">
        <f aca="false">(DATE(2030,12,31)-$C$15)/365.25</f>
        <v>4.24093086926763</v>
      </c>
      <c r="I32" s="127" t="n">
        <f aca="false">(DATE(2031,12,31)-$C$15)/365.25</f>
        <v>5.24024640657084</v>
      </c>
      <c r="J32" s="127" t="n">
        <f aca="false">(DATE(2032,12,31)-$C$15)/365.25</f>
        <v>6.24229979466119</v>
      </c>
      <c r="K32" s="127" t="n">
        <f aca="false">(DATE(2033,12,31)-$C$15)/365.25</f>
        <v>7.24161533196441</v>
      </c>
      <c r="L32" s="127" t="n">
        <f aca="false">(DATE(2034,12,31)-$C$15)/365.25</f>
        <v>8.24093086926763</v>
      </c>
      <c r="M32" s="127" t="n">
        <f aca="false">(DATE(2035,12,31)-$C$15)/365.25</f>
        <v>9.24024640657084</v>
      </c>
      <c r="N32" s="127" t="n">
        <f aca="false">M32</f>
        <v>9.24024640657084</v>
      </c>
    </row>
    <row r="33" customFormat="false" ht="15" hidden="false" customHeight="true" outlineLevel="0" collapsed="false">
      <c r="B33" s="1" t="s">
        <v>661</v>
      </c>
      <c r="D33" s="128" t="n">
        <f aca="false">1/(1+$C$13)^D32</f>
        <v>0.980106411049604</v>
      </c>
      <c r="E33" s="128" t="n">
        <f aca="false">1/(1+$C$13)^E32</f>
        <v>0.901730933201055</v>
      </c>
      <c r="F33" s="128" t="n">
        <f aca="false">1/(1+$C$13)^F32</f>
        <v>0.829433435451168</v>
      </c>
      <c r="G33" s="128" t="n">
        <f aca="false">1/(1+$C$13)^G32</f>
        <v>0.763106717133478</v>
      </c>
      <c r="H33" s="128" t="n">
        <f aca="false">1/(1+$C$13)^H32</f>
        <v>0.702083900702021</v>
      </c>
      <c r="I33" s="128" t="n">
        <f aca="false">1/(1+$C$13)^I32</f>
        <v>0.645940852776882</v>
      </c>
      <c r="J33" s="128" t="n">
        <f aca="false">1/(1+$C$13)^J32</f>
        <v>0.594151670848281</v>
      </c>
      <c r="K33" s="128" t="n">
        <f aca="false">1/(1+$C$13)^K32</f>
        <v>0.546639563395194</v>
      </c>
      <c r="L33" s="128" t="n">
        <f aca="false">1/(1+$C$13)^L32</f>
        <v>0.502926823116167</v>
      </c>
      <c r="M33" s="128" t="n">
        <f aca="false">1/(1+$C$13)^M32</f>
        <v>0.462709628697073</v>
      </c>
      <c r="N33" s="128" t="n">
        <f aca="false">1/(1+$C$13)^N32</f>
        <v>0.462709628697073</v>
      </c>
    </row>
    <row r="34" customFormat="false" ht="15" hidden="false" customHeight="true" outlineLevel="0" collapsed="false">
      <c r="B34" s="1" t="s">
        <v>662</v>
      </c>
      <c r="D34" s="121" t="n">
        <f aca="false">D25*D33</f>
        <v>1062.36959884757</v>
      </c>
      <c r="E34" s="121" t="n">
        <f aca="false">E25*E33</f>
        <v>447.738955974938</v>
      </c>
      <c r="F34" s="121" t="n">
        <f aca="false">F25*F33</f>
        <v>305.298854052717</v>
      </c>
      <c r="G34" s="121" t="n">
        <f aca="false">G25*G33</f>
        <v>390.877918694081</v>
      </c>
      <c r="H34" s="121" t="n">
        <f aca="false">H25*H33</f>
        <v>460.400676528924</v>
      </c>
      <c r="I34" s="121" t="n">
        <f aca="false">I25*I33</f>
        <v>1133.69649284087</v>
      </c>
      <c r="J34" s="121" t="n">
        <f aca="false">J25*J33</f>
        <v>1100.15488879722</v>
      </c>
      <c r="K34" s="121" t="n">
        <f aca="false">K25*K33</f>
        <v>1062.78855798153</v>
      </c>
      <c r="L34" s="121" t="n">
        <f aca="false">L25*L33</f>
        <v>1021.80235351168</v>
      </c>
      <c r="M34" s="121" t="n">
        <f aca="false">M25*M33</f>
        <v>977.696309877308</v>
      </c>
      <c r="N34" s="121" t="n">
        <f aca="false">N26*N33</f>
        <v>17673.7327367418</v>
      </c>
    </row>
    <row r="35" customFormat="false" ht="15" hidden="false" customHeight="true" outlineLevel="0" collapsed="false">
      <c r="D35" s="5" t="s">
        <v>663</v>
      </c>
    </row>
    <row r="37" customFormat="false" ht="15" hidden="false" customHeight="true" outlineLevel="0" collapsed="false">
      <c r="B37" s="18" t="s">
        <v>664</v>
      </c>
    </row>
    <row r="38" customFormat="false" ht="15" hidden="false" customHeight="true" outlineLevel="0" collapsed="false">
      <c r="B38" s="13" t="s">
        <v>665</v>
      </c>
      <c r="C38" s="121" t="n">
        <f aca="false">SUM(D34:M34)</f>
        <v>7962.82460710685</v>
      </c>
    </row>
    <row r="39" customFormat="false" ht="15" hidden="false" customHeight="true" outlineLevel="0" collapsed="false">
      <c r="B39" s="13" t="s">
        <v>666</v>
      </c>
      <c r="C39" s="121" t="n">
        <f aca="false">N34</f>
        <v>17673.7327367418</v>
      </c>
    </row>
    <row r="40" customFormat="false" ht="15" hidden="false" customHeight="true" outlineLevel="0" collapsed="false">
      <c r="B40" s="78" t="s">
        <v>667</v>
      </c>
      <c r="C40" s="124" t="n">
        <f aca="false">C38+C39</f>
        <v>25636.5573438487</v>
      </c>
    </row>
    <row r="41" customFormat="false" ht="15" hidden="false" customHeight="true" outlineLevel="0" collapsed="false">
      <c r="B41" s="13" t="s">
        <v>668</v>
      </c>
      <c r="C41" s="121" t="n">
        <f aca="false">Model!CO416</f>
        <v>1023.29847055374</v>
      </c>
    </row>
    <row r="42" customFormat="false" ht="15" hidden="false" customHeight="true" outlineLevel="0" collapsed="false">
      <c r="B42" s="13" t="s">
        <v>669</v>
      </c>
      <c r="C42" s="121" t="n">
        <f aca="false">Model!CO426</f>
        <v>0</v>
      </c>
    </row>
    <row r="43" customFormat="false" ht="15" hidden="false" customHeight="true" outlineLevel="0" collapsed="false">
      <c r="B43" s="78" t="s">
        <v>670</v>
      </c>
      <c r="C43" s="124" t="n">
        <f aca="false">C40-C41-C42</f>
        <v>24613.2588732949</v>
      </c>
    </row>
    <row r="44" customFormat="false" ht="15" hidden="false" customHeight="true" outlineLevel="0" collapsed="false">
      <c r="B44" s="13" t="s">
        <v>671</v>
      </c>
      <c r="C44" s="129" t="n">
        <f aca="false">Model!CO179</f>
        <v>46.875</v>
      </c>
    </row>
    <row r="45" customFormat="false" ht="15" hidden="false" customHeight="true" outlineLevel="0" collapsed="false">
      <c r="B45" s="78" t="s">
        <v>672</v>
      </c>
      <c r="C45" s="130" t="n">
        <f aca="false">C43/C44</f>
        <v>525.082855963625</v>
      </c>
    </row>
    <row r="46" customFormat="false" ht="15" hidden="false" customHeight="true" outlineLevel="0" collapsed="false">
      <c r="B46" s="13" t="s">
        <v>673</v>
      </c>
      <c r="C46" s="131" t="n">
        <f aca="false">Model!CO422</f>
        <v>615</v>
      </c>
    </row>
    <row r="47" customFormat="false" ht="15" hidden="false" customHeight="true" outlineLevel="0" collapsed="false">
      <c r="B47" s="13" t="s">
        <v>674</v>
      </c>
      <c r="C47" s="132" t="n">
        <f aca="false">C45/C46-1</f>
        <v>-0.146206738270528</v>
      </c>
    </row>
    <row r="50" customFormat="false" ht="15" hidden="false" customHeight="true" outlineLevel="0" collapsed="false">
      <c r="B50" s="18" t="s">
        <v>675</v>
      </c>
    </row>
    <row r="52" customFormat="false" ht="15" hidden="false" customHeight="true" outlineLevel="0" collapsed="false">
      <c r="B52" s="1" t="s">
        <v>676</v>
      </c>
    </row>
    <row r="53" customFormat="false" ht="15" hidden="false" customHeight="true" outlineLevel="0" collapsed="false">
      <c r="B53" s="1" t="s">
        <v>677</v>
      </c>
      <c r="D53" s="133" t="n">
        <v>0.07</v>
      </c>
      <c r="E53" s="133" t="n">
        <v>0.075</v>
      </c>
      <c r="F53" s="133" t="n">
        <v>0.08</v>
      </c>
      <c r="G53" s="133" t="n">
        <v>0.085</v>
      </c>
      <c r="H53" s="133" t="n">
        <v>0.09</v>
      </c>
    </row>
    <row r="54" customFormat="false" ht="15" hidden="false" customHeight="true" outlineLevel="0" collapsed="false">
      <c r="B54" s="133" t="n">
        <v>0.02</v>
      </c>
      <c r="D54" s="134" t="n">
        <f aca="false">IFERROR((SUMPRODUCT($D$25:$M$25/(1+D$53)^$D$32:$M$32)+($M$25*(1+$B54)/(D$53-$B54))/(1+D$53)^$M$32-$C$41-$C$42)/$C$44,"")</f>
        <v>655.313798562228</v>
      </c>
      <c r="E54" s="134" t="n">
        <f aca="false">IFERROR((SUMPRODUCT($D$25:$M$25/(1+E$53)^$D$32:$M$32)+($M$25*(1+$B54)/(E$53-$B54))/(1+E$53)^$M$32-$C$41-$C$42)/$C$44,"")</f>
        <v>587.050723246495</v>
      </c>
      <c r="F54" s="134" t="n">
        <f aca="false">IFERROR((SUMPRODUCT($D$25:$M$25/(1+F$53)^$D$32:$M$32)+($M$25*(1+$B54)/(F$53-$B54))/(1+F$53)^$M$32-$C$41-$C$42)/$C$44,"")</f>
        <v>530.362575507543</v>
      </c>
      <c r="G54" s="134" t="n">
        <f aca="false">IFERROR((SUMPRODUCT($D$25:$M$25/(1+G$53)^$D$32:$M$32)+($M$25*(1+$B54)/(G$53-$B54))/(1+G$53)^$M$32-$C$41-$C$42)/$C$44,"")</f>
        <v>482.572495871273</v>
      </c>
      <c r="H54" s="134" t="n">
        <f aca="false">IFERROR((SUMPRODUCT($D$25:$M$25/(1+H$53)^$D$32:$M$32)+($M$25*(1+$B54)/(H$53-$B54))/(1+H$53)^$M$32-$C$41-$C$42)/$C$44,"")</f>
        <v>441.768636121219</v>
      </c>
    </row>
    <row r="55" customFormat="false" ht="15" hidden="false" customHeight="true" outlineLevel="0" collapsed="false">
      <c r="B55" s="133" t="n">
        <v>0.025</v>
      </c>
      <c r="D55" s="134" t="n">
        <f aca="false">IFERROR((SUMPRODUCT($D$25:$M$25/(1+D$53)^$D$32:$M$32)+($M$25*(1+$B55)/(D$53-$B55))/(1+D$53)^$M$32-$C$41-$C$42)/$C$44,"")</f>
        <v>712.674185994271</v>
      </c>
      <c r="E55" s="134" t="n">
        <f aca="false">IFERROR((SUMPRODUCT($D$25:$M$25/(1+E$53)^$D$32:$M$32)+($M$25*(1+$B55)/(E$53-$B55))/(1+E$53)^$M$32-$C$41-$C$42)/$C$44,"")</f>
        <v>632.213224239355</v>
      </c>
      <c r="F55" s="134" t="n">
        <f aca="false">IFERROR((SUMPRODUCT($D$25:$M$25/(1+F$53)^$D$32:$M$32)+($M$25*(1+$B55)/(F$53-$B55))/(1+F$53)^$M$32-$C$41-$C$42)/$C$44,"")</f>
        <v>566.586061424444</v>
      </c>
      <c r="G55" s="134" t="n">
        <f aca="false">IFERROR((SUMPRODUCT($D$25:$M$25/(1+G$53)^$D$32:$M$32)+($M$25*(1+$B55)/(G$53-$B55))/(1+G$53)^$M$32-$C$41-$C$42)/$C$44,"")</f>
        <v>512.078458149214</v>
      </c>
      <c r="H55" s="134" t="n">
        <f aca="false">IFERROR((SUMPRODUCT($D$25:$M$25/(1+H$53)^$D$32:$M$32)+($M$25*(1+$B55)/(H$53-$B55))/(1+H$53)^$M$32-$C$41-$C$42)/$C$44,"")</f>
        <v>466.11920999832</v>
      </c>
    </row>
    <row r="56" customFormat="false" ht="15" hidden="false" customHeight="true" outlineLevel="0" collapsed="false">
      <c r="B56" s="133" t="n">
        <v>0.03</v>
      </c>
      <c r="D56" s="134" t="n">
        <f aca="false">IFERROR((SUMPRODUCT($D$25:$M$25/(1+D$53)^$D$32:$M$32)+($M$25*(1+$B56)/(D$53-$B56))/(1+D$53)^$M$32-$C$41-$C$42)/$C$44,"")</f>
        <v>784.374670284326</v>
      </c>
      <c r="E56" s="134" t="n">
        <f aca="false">IFERROR((SUMPRODUCT($D$25:$M$25/(1+E$53)^$D$32:$M$32)+($M$25*(1+$B56)/(E$53-$B56))/(1+E$53)^$M$32-$C$41-$C$42)/$C$44,"")</f>
        <v>687.411836563961</v>
      </c>
      <c r="F56" s="134" t="n">
        <f aca="false">IFERROR((SUMPRODUCT($D$25:$M$25/(1+F$53)^$D$32:$M$32)+($M$25*(1+$B56)/(F$53-$B56))/(1+F$53)^$M$32-$C$41-$C$42)/$C$44,"")</f>
        <v>610.054244524727</v>
      </c>
      <c r="G56" s="134" t="n">
        <f aca="false">IFERROR((SUMPRODUCT($D$25:$M$25/(1+G$53)^$D$32:$M$32)+($M$25*(1+$B56)/(G$53-$B56))/(1+G$53)^$M$32-$C$41-$C$42)/$C$44,"")</f>
        <v>546.949140841326</v>
      </c>
      <c r="H56" s="134" t="n">
        <f aca="false">IFERROR((SUMPRODUCT($D$25:$M$25/(1+H$53)^$D$32:$M$32)+($M$25*(1+$B56)/(H$53-$B56))/(1+H$53)^$M$32-$C$41-$C$42)/$C$44,"")</f>
        <v>494.528212854939</v>
      </c>
    </row>
    <row r="57" customFormat="false" ht="15" hidden="false" customHeight="true" outlineLevel="0" collapsed="false">
      <c r="B57" s="133" t="n">
        <v>0.035</v>
      </c>
      <c r="D57" s="134" t="n">
        <f aca="false">IFERROR((SUMPRODUCT($D$25:$M$25/(1+D$53)^$D$32:$M$32)+($M$25*(1+$B57)/(D$53-$B57))/(1+D$53)^$M$32-$C$41-$C$42)/$C$44,"")</f>
        <v>876.561007228681</v>
      </c>
      <c r="E57" s="134" t="n">
        <f aca="false">IFERROR((SUMPRODUCT($D$25:$M$25/(1+E$53)^$D$32:$M$32)+($M$25*(1+$B57)/(E$53-$B57))/(1+E$53)^$M$32-$C$41-$C$42)/$C$44,"")</f>
        <v>756.410101969719</v>
      </c>
      <c r="F57" s="134" t="n">
        <f aca="false">IFERROR((SUMPRODUCT($D$25:$M$25/(1+F$53)^$D$32:$M$32)+($M$25*(1+$B57)/(F$53-$B57))/(1+F$53)^$M$32-$C$41-$C$42)/$C$44,"")</f>
        <v>663.182023869516</v>
      </c>
      <c r="G57" s="134" t="n">
        <f aca="false">IFERROR((SUMPRODUCT($D$25:$M$25/(1+G$53)^$D$32:$M$32)+($M$25*(1+$B57)/(G$53-$B57))/(1+G$53)^$M$32-$C$41-$C$42)/$C$44,"")</f>
        <v>588.793960071862</v>
      </c>
      <c r="H57" s="134" t="n">
        <f aca="false">IFERROR((SUMPRODUCT($D$25:$M$25/(1+H$53)^$D$32:$M$32)+($M$25*(1+$B57)/(H$53-$B57))/(1+H$53)^$M$32-$C$41-$C$42)/$C$44,"")</f>
        <v>528.102488958215</v>
      </c>
    </row>
    <row r="58" customFormat="false" ht="15" hidden="false" customHeight="true" outlineLevel="0" collapsed="false">
      <c r="B58" s="133" t="n">
        <v>0.04</v>
      </c>
      <c r="D58" s="134" t="n">
        <f aca="false">IFERROR((SUMPRODUCT($D$25:$M$25/(1+D$53)^$D$32:$M$32)+($M$25*(1+$B58)/(D$53-$B58))/(1+D$53)^$M$32-$C$41-$C$42)/$C$44,"")</f>
        <v>999.476123154489</v>
      </c>
      <c r="E58" s="134" t="n">
        <f aca="false">IFERROR((SUMPRODUCT($D$25:$M$25/(1+E$53)^$D$32:$M$32)+($M$25*(1+$B58)/(E$53-$B58))/(1+E$53)^$M$32-$C$41-$C$42)/$C$44,"")</f>
        <v>845.122157491408</v>
      </c>
      <c r="F58" s="134" t="n">
        <f aca="false">IFERROR((SUMPRODUCT($D$25:$M$25/(1+F$53)^$D$32:$M$32)+($M$25*(1+$B58)/(F$53-$B58))/(1+F$53)^$M$32-$C$41-$C$42)/$C$44,"")</f>
        <v>729.591748050503</v>
      </c>
      <c r="G58" s="134" t="n">
        <f aca="false">IFERROR((SUMPRODUCT($D$25:$M$25/(1+G$53)^$D$32:$M$32)+($M$25*(1+$B58)/(G$53-$B58))/(1+G$53)^$M$32-$C$41-$C$42)/$C$44,"")</f>
        <v>639.937628020293</v>
      </c>
      <c r="H58" s="134" t="n">
        <f aca="false">IFERROR((SUMPRODUCT($D$25:$M$25/(1+H$53)^$D$32:$M$32)+($M$25*(1+$B58)/(H$53-$B58))/(1+H$53)^$M$32-$C$41-$C$42)/$C$44,"")</f>
        <v>568.391620282147</v>
      </c>
    </row>
    <row r="61" customFormat="false" ht="15" hidden="false" customHeight="true" outlineLevel="0" collapsed="false">
      <c r="B61" s="18" t="s">
        <v>678</v>
      </c>
    </row>
    <row r="62" customFormat="false" ht="15" hidden="false" customHeight="true" outlineLevel="0" collapsed="false">
      <c r="B62" s="5" t="s">
        <v>679</v>
      </c>
    </row>
    <row r="64" customFormat="false" ht="15" hidden="false" customHeight="true" outlineLevel="0" collapsed="false">
      <c r="B64" s="18" t="s">
        <v>680</v>
      </c>
    </row>
    <row r="65" customFormat="false" ht="15" hidden="false" customHeight="true" outlineLevel="0" collapsed="false">
      <c r="B65" s="5" t="s">
        <v>681</v>
      </c>
    </row>
    <row r="66" customFormat="false" ht="15" hidden="false" customHeight="true" outlineLevel="0" collapsed="false">
      <c r="B66" s="5" t="s">
        <v>682</v>
      </c>
    </row>
    <row r="68" customFormat="false" ht="15" hidden="false" customHeight="true" outlineLevel="0" collapsed="false">
      <c r="B68" s="18" t="s">
        <v>683</v>
      </c>
      <c r="C68" s="18" t="s">
        <v>684</v>
      </c>
      <c r="D68" s="18" t="s">
        <v>685</v>
      </c>
    </row>
    <row r="69" customFormat="false" ht="15" hidden="false" customHeight="true" outlineLevel="0" collapsed="false">
      <c r="B69" s="1" t="s">
        <v>686</v>
      </c>
      <c r="C69" s="135" t="n">
        <f aca="false">$C$13</f>
        <v>0.08697875</v>
      </c>
      <c r="D69" s="5" t="s">
        <v>687</v>
      </c>
    </row>
    <row r="70" customFormat="false" ht="15" hidden="false" customHeight="true" outlineLevel="0" collapsed="false">
      <c r="B70" s="1" t="s">
        <v>688</v>
      </c>
      <c r="C70" s="116" t="n">
        <v>0.08</v>
      </c>
      <c r="D70" s="5" t="s">
        <v>689</v>
      </c>
    </row>
    <row r="71" customFormat="false" ht="15" hidden="false" customHeight="true" outlineLevel="0" collapsed="false">
      <c r="B71" s="1" t="s">
        <v>690</v>
      </c>
      <c r="C71" s="116" t="n">
        <v>0.15</v>
      </c>
      <c r="D71" s="5" t="s">
        <v>691</v>
      </c>
    </row>
    <row r="72" customFormat="false" ht="15" hidden="false" customHeight="true" outlineLevel="0" collapsed="false">
      <c r="B72" s="1" t="s">
        <v>692</v>
      </c>
      <c r="C72" s="136" t="n">
        <v>15</v>
      </c>
      <c r="D72" s="5" t="s">
        <v>693</v>
      </c>
    </row>
    <row r="74" customFormat="false" ht="15" hidden="false" customHeight="true" outlineLevel="0" collapsed="false">
      <c r="B74" s="18" t="s">
        <v>694</v>
      </c>
      <c r="C74" s="18" t="s">
        <v>684</v>
      </c>
    </row>
    <row r="75" customFormat="false" ht="15" hidden="false" customHeight="true" outlineLevel="0" collapsed="false">
      <c r="B75" s="1" t="s">
        <v>695</v>
      </c>
      <c r="C75" s="127" t="n">
        <f aca="false">1/C69</f>
        <v>11.4970610637656</v>
      </c>
    </row>
    <row r="76" customFormat="false" ht="15" hidden="false" customHeight="true" outlineLevel="0" collapsed="false">
      <c r="B76" s="1" t="s">
        <v>696</v>
      </c>
      <c r="C76" s="127" t="n">
        <f aca="false">1-C69/C71</f>
        <v>0.420141666666667</v>
      </c>
    </row>
    <row r="77" customFormat="false" ht="15" hidden="false" customHeight="true" outlineLevel="0" collapsed="false">
      <c r="B77" s="1" t="s">
        <v>697</v>
      </c>
      <c r="C77" s="127" t="n">
        <f aca="false">C70*C76/(C69*(C69-C70))</f>
        <v>55.3726027967634</v>
      </c>
    </row>
    <row r="78" customFormat="false" ht="15" hidden="false" customHeight="true" outlineLevel="0" collapsed="false">
      <c r="B78" s="1" t="s">
        <v>698</v>
      </c>
      <c r="C78" s="127" t="n">
        <f aca="false">1-((1+C70)/(1+C69))^C72</f>
        <v>0.0920947571374018</v>
      </c>
    </row>
    <row r="79" customFormat="false" ht="15" hidden="false" customHeight="true" outlineLevel="0" collapsed="false">
      <c r="B79" s="1" t="s">
        <v>699</v>
      </c>
      <c r="C79" s="127" t="n">
        <f aca="false">C77*C78</f>
        <v>5.09952640663374</v>
      </c>
    </row>
    <row r="80" customFormat="false" ht="15" hidden="false" customHeight="true" outlineLevel="0" collapsed="false">
      <c r="B80" s="12" t="s">
        <v>700</v>
      </c>
      <c r="C80" s="137" t="n">
        <f aca="false">C75+C79</f>
        <v>16.5965874703993</v>
      </c>
    </row>
    <row r="82" customFormat="false" ht="15" hidden="false" customHeight="true" outlineLevel="0" collapsed="false">
      <c r="B82" s="18" t="s">
        <v>701</v>
      </c>
      <c r="C82" s="18" t="s">
        <v>702</v>
      </c>
    </row>
    <row r="83" customFormat="false" ht="15" hidden="false" customHeight="true" outlineLevel="0" collapsed="false">
      <c r="B83" s="1" t="s">
        <v>703</v>
      </c>
      <c r="C83" s="121" t="n">
        <f aca="false">Model!CQ200</f>
        <v>1855.91894608661</v>
      </c>
    </row>
    <row r="84" customFormat="false" ht="15" hidden="false" customHeight="true" outlineLevel="0" collapsed="false">
      <c r="B84" s="1" t="s">
        <v>704</v>
      </c>
      <c r="C84" s="121" t="n">
        <f aca="false">-Model!CQ98</f>
        <v>-5</v>
      </c>
    </row>
    <row r="85" customFormat="false" ht="15" hidden="false" customHeight="true" outlineLevel="0" collapsed="false">
      <c r="B85" s="1" t="s">
        <v>705</v>
      </c>
      <c r="C85" s="132" t="n">
        <f aca="false">$C$10</f>
        <v>0.215</v>
      </c>
    </row>
    <row r="86" customFormat="false" ht="15" hidden="false" customHeight="true" outlineLevel="0" collapsed="false">
      <c r="B86" s="1" t="s">
        <v>706</v>
      </c>
      <c r="C86" s="121" t="n">
        <f aca="false">(C83+C84)*(1-C85)</f>
        <v>1452.97137267799</v>
      </c>
    </row>
    <row r="87" customFormat="false" ht="15" hidden="false" customHeight="true" outlineLevel="0" collapsed="false">
      <c r="B87" s="1" t="s">
        <v>707</v>
      </c>
      <c r="C87" s="138" t="n">
        <f aca="false">C80</f>
        <v>16.5965874703993</v>
      </c>
    </row>
    <row r="88" customFormat="false" ht="15" hidden="false" customHeight="true" outlineLevel="0" collapsed="false">
      <c r="B88" s="1" t="s">
        <v>708</v>
      </c>
      <c r="C88" s="121" t="n">
        <f aca="false">C86*C87</f>
        <v>24114.3664786364</v>
      </c>
    </row>
    <row r="89" customFormat="false" ht="15" hidden="false" customHeight="true" outlineLevel="0" collapsed="false">
      <c r="B89" s="1" t="s">
        <v>709</v>
      </c>
      <c r="C89" s="121" t="n">
        <f aca="false">Model!CP416+Model!CP426</f>
        <v>683.686272125648</v>
      </c>
    </row>
    <row r="90" customFormat="false" ht="15" hidden="false" customHeight="true" outlineLevel="0" collapsed="false">
      <c r="B90" s="1" t="s">
        <v>710</v>
      </c>
      <c r="C90" s="121" t="n">
        <f aca="false">C88-C89</f>
        <v>23430.6802065108</v>
      </c>
    </row>
    <row r="91" customFormat="false" ht="15" hidden="false" customHeight="true" outlineLevel="0" collapsed="false">
      <c r="B91" s="1" t="s">
        <v>711</v>
      </c>
      <c r="C91" s="121" t="n">
        <f aca="false">Model!CQ179</f>
        <v>46.772814462037</v>
      </c>
    </row>
    <row r="92" customFormat="false" ht="15" hidden="false" customHeight="true" outlineLevel="0" collapsed="false">
      <c r="B92" s="1" t="s">
        <v>712</v>
      </c>
      <c r="C92" s="131" t="n">
        <f aca="false">C90/C91</f>
        <v>500.946553591044</v>
      </c>
    </row>
    <row r="94" customFormat="false" ht="15" hidden="false" customHeight="true" outlineLevel="0" collapsed="false">
      <c r="B94" s="1" t="s">
        <v>673</v>
      </c>
      <c r="C94" s="131" t="n">
        <f aca="false">C46</f>
        <v>615</v>
      </c>
    </row>
    <row r="95" customFormat="false" ht="15" hidden="false" customHeight="true" outlineLevel="0" collapsed="false">
      <c r="B95" s="1" t="s">
        <v>674</v>
      </c>
      <c r="C95" s="132" t="n">
        <f aca="false">C92/C94-1</f>
        <v>-0.185452758388547</v>
      </c>
    </row>
    <row r="97" customFormat="false" ht="15" hidden="false" customHeight="true" outlineLevel="0" collapsed="false">
      <c r="B97" s="18" t="s">
        <v>713</v>
      </c>
      <c r="C97" s="18" t="s">
        <v>702</v>
      </c>
    </row>
    <row r="98" customFormat="false" ht="15" hidden="false" customHeight="true" outlineLevel="0" collapsed="false">
      <c r="B98" s="1" t="s">
        <v>714</v>
      </c>
      <c r="C98" s="121" t="n">
        <f aca="false">C46*C44</f>
        <v>28828.125</v>
      </c>
    </row>
    <row r="99" customFormat="false" ht="15" hidden="false" customHeight="true" outlineLevel="0" collapsed="false">
      <c r="B99" s="1" t="s">
        <v>715</v>
      </c>
      <c r="C99" s="121" t="n">
        <f aca="false">C41+C42</f>
        <v>1023.29847055374</v>
      </c>
    </row>
    <row r="100" customFormat="false" ht="15" hidden="false" customHeight="true" outlineLevel="0" collapsed="false">
      <c r="B100" s="1" t="s">
        <v>716</v>
      </c>
      <c r="C100" s="121" t="n">
        <f aca="false">C98+C99</f>
        <v>29851.4234705537</v>
      </c>
    </row>
    <row r="101" customFormat="false" ht="15" hidden="false" customHeight="true" outlineLevel="0" collapsed="false">
      <c r="B101" s="1" t="s">
        <v>717</v>
      </c>
      <c r="C101" s="138" t="n">
        <f aca="false">C100/C86</f>
        <v>20.5450871447895</v>
      </c>
    </row>
    <row r="103" customFormat="false" ht="15" hidden="false" customHeight="true" outlineLevel="0" collapsed="false">
      <c r="B103" s="1" t="s">
        <v>718</v>
      </c>
      <c r="C103" s="138" t="n">
        <f aca="false">C80-C101</f>
        <v>-3.94849967439021</v>
      </c>
    </row>
    <row r="104" customFormat="false" ht="15" hidden="false" customHeight="true" outlineLevel="0" collapsed="false">
      <c r="B104" s="1" t="s">
        <v>719</v>
      </c>
      <c r="C104" s="132" t="n">
        <f aca="false">C80/C101-1</f>
        <v>-0.192187049223181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V21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30"/>
  </cols>
  <sheetData>
    <row r="2" customFormat="false" ht="17.25" hidden="false" customHeight="true" outlineLevel="0" collapsed="false">
      <c r="B2" s="139" t="s">
        <v>720</v>
      </c>
    </row>
    <row r="3" customFormat="false" ht="15" hidden="false" customHeight="true" outlineLevel="0" collapsed="false">
      <c r="B3" s="5" t="s">
        <v>721</v>
      </c>
    </row>
    <row r="7" customFormat="false" ht="15" hidden="false" customHeight="true" outlineLevel="0" collapsed="false">
      <c r="C7" s="12" t="n">
        <v>2006</v>
      </c>
      <c r="D7" s="12" t="n">
        <v>2007</v>
      </c>
      <c r="E7" s="12" t="n">
        <v>2008</v>
      </c>
      <c r="F7" s="12" t="n">
        <v>2009</v>
      </c>
      <c r="G7" s="12" t="n">
        <v>2010</v>
      </c>
      <c r="H7" s="12" t="n">
        <v>2011</v>
      </c>
      <c r="I7" s="12" t="n">
        <v>2012</v>
      </c>
      <c r="J7" s="12" t="n">
        <v>2013</v>
      </c>
      <c r="K7" s="12" t="n">
        <v>2014</v>
      </c>
      <c r="L7" s="12" t="n">
        <v>2015</v>
      </c>
      <c r="M7" s="12" t="n">
        <v>2016</v>
      </c>
      <c r="N7" s="12" t="n">
        <v>2017</v>
      </c>
      <c r="O7" s="12" t="n">
        <v>2018</v>
      </c>
      <c r="P7" s="12" t="n">
        <v>2019</v>
      </c>
      <c r="Q7" s="12" t="n">
        <v>2020</v>
      </c>
      <c r="R7" s="12" t="n">
        <v>2021</v>
      </c>
      <c r="S7" s="12" t="n">
        <v>2022</v>
      </c>
      <c r="T7" s="12" t="n">
        <v>2023</v>
      </c>
      <c r="U7" s="12" t="n">
        <v>2024</v>
      </c>
      <c r="V7" s="12" t="n">
        <v>2025</v>
      </c>
    </row>
    <row r="8" customFormat="false" ht="15" hidden="false" customHeight="true" outlineLevel="0" collapsed="false">
      <c r="B8" s="1" t="s">
        <v>722</v>
      </c>
      <c r="C8" s="140" t="n">
        <f aca="false">IFERROR(Model!C247+0,0)</f>
        <v>0</v>
      </c>
      <c r="D8" s="140" t="n">
        <f aca="false">IFERROR(Model!D247+0,0)</f>
        <v>0.0192576053586379</v>
      </c>
      <c r="E8" s="140" t="n">
        <f aca="false">IFERROR(Model!E247+0,0)</f>
        <v>-0.0266288602601245</v>
      </c>
      <c r="F8" s="140" t="n">
        <f aca="false">IFERROR(Model!F247+0,0)</f>
        <v>-0.0637630662020907</v>
      </c>
      <c r="G8" s="140" t="n">
        <f aca="false">IFERROR(Model!G247+0,0)</f>
        <v>-0.0200956358573936</v>
      </c>
      <c r="H8" s="140" t="n">
        <f aca="false">IFERROR(Model!H247+0,0)</f>
        <v>0.0292543486193893</v>
      </c>
      <c r="I8" s="140" t="n">
        <f aca="false">IFERROR(Model!I247+0,0)</f>
        <v>0.00242031000566463</v>
      </c>
      <c r="J8" s="140" t="n">
        <f aca="false">IFERROR(Model!O247+0,0)</f>
        <v>0.0184741221266393</v>
      </c>
      <c r="K8" s="140" t="n">
        <f aca="false">IFERROR(Model!U247+0,0)</f>
        <v>0.000684170016248993</v>
      </c>
      <c r="L8" s="140" t="n">
        <f aca="false">IFERROR(Model!AA247+0,0)</f>
        <v>-0.0563074352548037</v>
      </c>
      <c r="M8" s="140" t="n">
        <f aca="false">IFERROR(Model!AG247+0,0)</f>
        <v>-0.0754536356120273</v>
      </c>
      <c r="N8" s="140" t="n">
        <f aca="false">IFERROR(Model!AM247+0,0)</f>
        <v>0.0725150006977068</v>
      </c>
      <c r="O8" s="140" t="n">
        <f aca="false">IFERROR(Model!AS247+0,0)</f>
        <v>0.0702434902834319</v>
      </c>
      <c r="P8" s="140" t="n">
        <f aca="false">IFERROR(Model!AY247+0,0)</f>
        <v>0.0443517816527671</v>
      </c>
      <c r="Q8" s="140" t="n">
        <f aca="false">IFERROR(Model!BE247+0,0)</f>
        <v>-0.0462447844228095</v>
      </c>
      <c r="R8" s="140" t="n">
        <f aca="false">IFERROR(Model!BK247+0,0)</f>
        <v>0.0824638714276459</v>
      </c>
      <c r="S8" s="140" t="n">
        <f aca="false">IFERROR(Model!BQ247+0,0)</f>
        <v>0.0543094293825716</v>
      </c>
      <c r="T8" s="140" t="n">
        <f aca="false">IFERROR(Model!BW247+0,0)</f>
        <v>0.0141245007877477</v>
      </c>
      <c r="U8" s="140" t="n">
        <f aca="false">IFERROR(Model!CC247+0,0)</f>
        <v>-0.00264395350900542</v>
      </c>
      <c r="V8" s="140" t="n">
        <f aca="false">IFERROR(Model!CI247+0,0)</f>
        <v>0.0309171075837741</v>
      </c>
    </row>
    <row r="9" customFormat="false" ht="15" hidden="false" customHeight="true" outlineLevel="0" collapsed="false">
      <c r="B9" s="1" t="s">
        <v>723</v>
      </c>
      <c r="C9" s="140" t="n">
        <f aca="false">IFERROR(Model!C248+0,0)</f>
        <v>0</v>
      </c>
      <c r="D9" s="140" t="n">
        <f aca="false">IFERROR(Model!D248+0,0)</f>
        <v>0.112684900921016</v>
      </c>
      <c r="E9" s="140" t="n">
        <f aca="false">IFERROR(Model!E248+0,0)</f>
        <v>0.0880848178511989</v>
      </c>
      <c r="F9" s="140" t="n">
        <f aca="false">IFERROR(Model!F248+0,0)</f>
        <v>0.0231707317073171</v>
      </c>
      <c r="G9" s="140" t="n">
        <f aca="false">IFERROR(Model!G248+0,0)</f>
        <v>0.0153138429877126</v>
      </c>
      <c r="H9" s="140" t="n">
        <f aca="false">IFERROR(Model!H248+0,0)</f>
        <v>0.151806349592507</v>
      </c>
      <c r="I9" s="140" t="n">
        <f aca="false">IFERROR(Model!I248+0,0)</f>
        <v>0.0930531953241671</v>
      </c>
      <c r="J9" s="140" t="n">
        <f aca="false">IFERROR(Model!O248+0,0)</f>
        <v>0.0808536642692615</v>
      </c>
      <c r="K9" s="140" t="n">
        <f aca="false">IFERROR(Model!U248+0,0)</f>
        <v>0.0230052167963739</v>
      </c>
      <c r="L9" s="140" t="n">
        <f aca="false">IFERROR(Model!AA248+0,0)</f>
        <v>0.0162489557226399</v>
      </c>
      <c r="M9" s="140" t="n">
        <f aca="false">IFERROR(Model!AG248+0,0)</f>
        <v>0.0109655802619555</v>
      </c>
      <c r="N9" s="140" t="n">
        <f aca="false">IFERROR(Model!AM248+0,0)</f>
        <v>0.138611098190614</v>
      </c>
      <c r="O9" s="140" t="n">
        <f aca="false">IFERROR(Model!AS248+0,0)</f>
        <v>0.0442046240110608</v>
      </c>
      <c r="P9" s="140" t="n">
        <f aca="false">IFERROR(Model!AY248+0,0)</f>
        <v>0.0458680818802123</v>
      </c>
      <c r="Q9" s="140" t="n">
        <f aca="false">IFERROR(Model!BE248+0,0)</f>
        <v>0.0217789859653559</v>
      </c>
      <c r="R9" s="140" t="n">
        <f aca="false">IFERROR(Model!BK248+0,0)</f>
        <v>0.412675782515715</v>
      </c>
      <c r="S9" s="140" t="n">
        <f aca="false">IFERROR(Model!BQ248+0,0)</f>
        <v>0.128665236330538</v>
      </c>
      <c r="T9" s="140" t="n">
        <f aca="false">IFERROR(Model!BW248+0,0)</f>
        <v>0.0182830762466567</v>
      </c>
      <c r="U9" s="140" t="n">
        <f aca="false">IFERROR(Model!CC248+0,0)</f>
        <v>0.00876585928489043</v>
      </c>
      <c r="V9" s="140" t="n">
        <f aca="false">IFERROR(Model!CI248+0,0)</f>
        <v>0.047636684303351</v>
      </c>
    </row>
    <row r="11" customFormat="false" ht="15" hidden="false" customHeight="true" outlineLevel="0" collapsed="false">
      <c r="C11" s="12" t="n">
        <f aca="false">C7</f>
        <v>2006</v>
      </c>
      <c r="D11" s="12" t="n">
        <f aca="false">D7</f>
        <v>2007</v>
      </c>
      <c r="E11" s="12" t="n">
        <f aca="false">E7</f>
        <v>2008</v>
      </c>
      <c r="F11" s="12" t="n">
        <f aca="false">F7</f>
        <v>2009</v>
      </c>
      <c r="G11" s="12" t="n">
        <f aca="false">G7</f>
        <v>2010</v>
      </c>
      <c r="H11" s="12" t="n">
        <f aca="false">H7</f>
        <v>2011</v>
      </c>
      <c r="I11" s="12" t="n">
        <f aca="false">I7</f>
        <v>2012</v>
      </c>
      <c r="J11" s="12" t="n">
        <f aca="false">J7</f>
        <v>2013</v>
      </c>
      <c r="K11" s="12" t="n">
        <f aca="false">K7</f>
        <v>2014</v>
      </c>
      <c r="L11" s="12" t="n">
        <f aca="false">L7</f>
        <v>2015</v>
      </c>
      <c r="M11" s="12" t="n">
        <f aca="false">M7</f>
        <v>2016</v>
      </c>
      <c r="N11" s="12" t="n">
        <f aca="false">N7</f>
        <v>2017</v>
      </c>
      <c r="O11" s="12" t="n">
        <f aca="false">O7</f>
        <v>2018</v>
      </c>
      <c r="P11" s="12" t="n">
        <f aca="false">P7</f>
        <v>2019</v>
      </c>
      <c r="Q11" s="12" t="n">
        <f aca="false">Q7</f>
        <v>2020</v>
      </c>
      <c r="R11" s="12" t="n">
        <f aca="false">R7</f>
        <v>2021</v>
      </c>
      <c r="S11" s="12" t="n">
        <f aca="false">S7</f>
        <v>2022</v>
      </c>
      <c r="T11" s="12" t="n">
        <f aca="false">T7</f>
        <v>2023</v>
      </c>
      <c r="U11" s="12" t="n">
        <f aca="false">U7</f>
        <v>2024</v>
      </c>
      <c r="V11" s="12" t="n">
        <f aca="false">V7</f>
        <v>2025</v>
      </c>
    </row>
    <row r="12" customFormat="false" ht="15" hidden="false" customHeight="true" outlineLevel="0" collapsed="false">
      <c r="B12" s="1" t="s">
        <v>596</v>
      </c>
      <c r="C12" s="120" t="n">
        <f aca="false">Model!C200</f>
        <v>132.8</v>
      </c>
      <c r="D12" s="120" t="n">
        <f aca="false">Model!D200</f>
        <v>168.7</v>
      </c>
      <c r="E12" s="120" t="n">
        <f aca="false">Model!E200</f>
        <v>214.4</v>
      </c>
      <c r="F12" s="120" t="n">
        <f aca="false">Model!F200</f>
        <v>183.8</v>
      </c>
      <c r="G12" s="120" t="n">
        <f aca="false">Model!G200</f>
        <v>192.6</v>
      </c>
      <c r="H12" s="120" t="n">
        <f aca="false">Model!H200</f>
        <v>251.8</v>
      </c>
      <c r="I12" s="120" t="n">
        <f aca="false">Model!I200</f>
        <v>272.5</v>
      </c>
      <c r="J12" s="120" t="n">
        <f aca="false">Model!O200</f>
        <v>271.8</v>
      </c>
      <c r="K12" s="120" t="n">
        <f aca="false">Model!U200</f>
        <v>326.5</v>
      </c>
      <c r="L12" s="120" t="n">
        <f aca="false">Model!AA200</f>
        <v>312.3</v>
      </c>
      <c r="M12" s="120" t="n">
        <f aca="false">Model!AG200</f>
        <v>284</v>
      </c>
      <c r="N12" s="120" t="n">
        <f aca="false">Model!AM200</f>
        <v>381.8</v>
      </c>
      <c r="O12" s="120" t="n">
        <f aca="false">Model!AS200</f>
        <v>456.1</v>
      </c>
      <c r="P12" s="120" t="n">
        <f aca="false">Model!AY200</f>
        <v>528.2</v>
      </c>
      <c r="Q12" s="120" t="n">
        <f aca="false">Model!BE200</f>
        <v>518.9</v>
      </c>
      <c r="R12" s="120" t="n">
        <f aca="false">Model!BK200</f>
        <v>983</v>
      </c>
      <c r="S12" s="120" t="n">
        <f aca="false">Model!BQ200</f>
        <v>1169.7</v>
      </c>
      <c r="T12" s="120" t="n">
        <f aca="false">Model!BW200</f>
        <v>1239.9</v>
      </c>
      <c r="U12" s="120" t="n">
        <f aca="false">Model!CC200</f>
        <v>1248</v>
      </c>
      <c r="V12" s="120" t="n">
        <f aca="false">Model!CI200</f>
        <v>1380</v>
      </c>
    </row>
    <row r="13" customFormat="false" ht="15" hidden="false" customHeight="true" outlineLevel="0" collapsed="false">
      <c r="B13" s="1" t="s">
        <v>598</v>
      </c>
      <c r="C13" s="120" t="n">
        <f aca="false">Model!C160</f>
        <v>125.1</v>
      </c>
      <c r="D13" s="120" t="n">
        <f aca="false">Model!D160</f>
        <v>162.3</v>
      </c>
      <c r="E13" s="120" t="n">
        <f aca="false">Model!E160</f>
        <v>198.6</v>
      </c>
      <c r="F13" s="120" t="n">
        <f aca="false">Model!F160</f>
        <v>171.4</v>
      </c>
      <c r="G13" s="120" t="n">
        <f aca="false">Model!G160</f>
        <v>178.5</v>
      </c>
      <c r="H13" s="120" t="n">
        <f aca="false">Model!H160</f>
        <v>227.2</v>
      </c>
      <c r="I13" s="120" t="n">
        <f aca="false">Model!I160</f>
        <v>243.1</v>
      </c>
      <c r="J13" s="120" t="n">
        <f aca="false">Model!O160</f>
        <v>240.3</v>
      </c>
      <c r="K13" s="120" t="n">
        <f aca="false">Model!U160</f>
        <v>294.5</v>
      </c>
      <c r="L13" s="120" t="n">
        <f aca="false">Model!AA160</f>
        <v>281.7</v>
      </c>
      <c r="M13" s="120" t="n">
        <f aca="false">Model!AG160</f>
        <v>253.8</v>
      </c>
      <c r="N13" s="120" t="n">
        <f aca="false">Model!AM160</f>
        <v>321.7</v>
      </c>
      <c r="O13" s="120" t="n">
        <f aca="false">Model!AS160</f>
        <v>416.6</v>
      </c>
      <c r="P13" s="120" t="n">
        <f aca="false">Model!AY160</f>
        <v>491.7</v>
      </c>
      <c r="Q13" s="120" t="n">
        <f aca="false">Model!BE160</f>
        <v>480.1</v>
      </c>
      <c r="R13" s="120" t="n">
        <f aca="false">Model!BK160</f>
        <v>624.3</v>
      </c>
      <c r="S13" s="120" t="n">
        <f aca="false">Model!BQ160</f>
        <v>972</v>
      </c>
      <c r="T13" s="120" t="n">
        <f aca="false">Model!BW160</f>
        <v>1034.4</v>
      </c>
      <c r="U13" s="120" t="n">
        <f aca="false">Model!CC160</f>
        <v>989.1</v>
      </c>
      <c r="V13" s="120" t="n">
        <f aca="false">Model!CI160</f>
        <v>1149.8</v>
      </c>
    </row>
    <row r="14" customFormat="false" ht="15" hidden="false" customHeight="true" outlineLevel="0" collapsed="false">
      <c r="B14" s="1" t="s">
        <v>724</v>
      </c>
      <c r="C14" s="140" t="n">
        <f aca="false">Model!C254</f>
        <v>0.0926597823053307</v>
      </c>
      <c r="D14" s="140" t="n">
        <f aca="false">Model!D254</f>
        <v>0.103988164950995</v>
      </c>
      <c r="E14" s="140" t="n">
        <f aca="false">Model!E254</f>
        <v>0.124506387921022</v>
      </c>
      <c r="F14" s="140" t="n">
        <f aca="false">Model!F254</f>
        <v>0.111252345499667</v>
      </c>
      <c r="G14" s="140" t="n">
        <f aca="false">Model!G254</f>
        <v>0.117139034180757</v>
      </c>
      <c r="H14" s="140" t="n">
        <f aca="false">Model!H254</f>
        <v>0.129666821154539</v>
      </c>
      <c r="I14" s="140" t="n">
        <f aca="false">Model!I254</f>
        <v>0.128096648333568</v>
      </c>
      <c r="J14" s="140" t="n">
        <f aca="false">Model!O254</f>
        <v>0.116223381510305</v>
      </c>
      <c r="K14" s="140" t="n">
        <f aca="false">Model!U254</f>
        <v>0.136382623224729</v>
      </c>
      <c r="L14" s="140" t="n">
        <f aca="false">Model!AA254</f>
        <v>0.135894869674949</v>
      </c>
      <c r="M14" s="140" t="n">
        <f aca="false">Model!AG254</f>
        <v>0.132099167403135</v>
      </c>
      <c r="N14" s="140" t="n">
        <f aca="false">Model!AM254</f>
        <v>0.146631845763884</v>
      </c>
      <c r="O14" s="140" t="n">
        <f aca="false">Model!AS254</f>
        <v>0.1571783031222</v>
      </c>
      <c r="P14" s="140" t="n">
        <f aca="false">Model!AY254</f>
        <v>0.166961689214819</v>
      </c>
      <c r="Q14" s="140" t="n">
        <f aca="false">Model!BE254</f>
        <v>0.168135571252673</v>
      </c>
      <c r="R14" s="140" t="n">
        <f aca="false">Model!BK254</f>
        <v>0.213033396181436</v>
      </c>
      <c r="S14" s="140" t="n">
        <f aca="false">Model!BQ254</f>
        <v>0.214285714285714</v>
      </c>
      <c r="T14" s="140" t="n">
        <f aca="false">Model!BW254</f>
        <v>0.220015970188981</v>
      </c>
      <c r="U14" s="140" t="n">
        <f aca="false">Model!CC254</f>
        <v>0.22010582010582</v>
      </c>
      <c r="V14" s="140" t="n">
        <f aca="false">Model!CI254</f>
        <v>0.225659809660856</v>
      </c>
    </row>
    <row r="15" customFormat="false" ht="15" hidden="false" customHeight="true" outlineLevel="0" collapsed="false">
      <c r="B15" s="1" t="s">
        <v>725</v>
      </c>
      <c r="C15" s="140" t="n">
        <f aca="false">Model!C255</f>
        <v>0.0872871895060006</v>
      </c>
      <c r="D15" s="140" t="n">
        <f aca="false">Model!D255</f>
        <v>0.100043148616162</v>
      </c>
      <c r="E15" s="140" t="n">
        <f aca="false">Model!E255</f>
        <v>0.115331010452962</v>
      </c>
      <c r="F15" s="140" t="n">
        <f aca="false">Model!F255</f>
        <v>0.103746746564978</v>
      </c>
      <c r="G15" s="140" t="n">
        <f aca="false">Model!G255</f>
        <v>0.108563435105218</v>
      </c>
      <c r="H15" s="140" t="n">
        <f aca="false">Model!H255</f>
        <v>0.116998815592976</v>
      </c>
      <c r="I15" s="140" t="n">
        <f aca="false">Model!I255</f>
        <v>0.114276312696846</v>
      </c>
      <c r="J15" s="140" t="n">
        <f aca="false">Model!O255</f>
        <v>0.102753784315402</v>
      </c>
      <c r="K15" s="140" t="n">
        <f aca="false">Model!U255</f>
        <v>0.123015873015873</v>
      </c>
      <c r="L15" s="140" t="n">
        <f aca="false">Model!AA255</f>
        <v>0.122579522214003</v>
      </c>
      <c r="M15" s="140" t="n">
        <f aca="false">Model!AG255</f>
        <v>0.118052002418717</v>
      </c>
      <c r="N15" s="140" t="n">
        <f aca="false">Model!AM255</f>
        <v>0.123550195867578</v>
      </c>
      <c r="O15" s="140" t="n">
        <f aca="false">Model!AS255</f>
        <v>0.143566062444</v>
      </c>
      <c r="P15" s="140" t="n">
        <f aca="false">Model!AY255</f>
        <v>0.155424200278164</v>
      </c>
      <c r="Q15" s="140" t="n">
        <f aca="false">Model!BE255</f>
        <v>0.1555634761195</v>
      </c>
      <c r="R15" s="140" t="n">
        <f aca="false">Model!BK255</f>
        <v>0.135296794746766</v>
      </c>
      <c r="S15" s="140" t="n">
        <f aca="false">Model!BQ255</f>
        <v>0.178067636390283</v>
      </c>
      <c r="T15" s="140" t="n">
        <f aca="false">Model!BW255</f>
        <v>0.183550705350013</v>
      </c>
      <c r="U15" s="140" t="n">
        <f aca="false">Model!CC255</f>
        <v>0.174444444444444</v>
      </c>
      <c r="V15" s="140" t="n">
        <f aca="false">Model!CI255</f>
        <v>0.188017137063806</v>
      </c>
    </row>
    <row r="17" customFormat="false" ht="15" hidden="false" customHeight="true" outlineLevel="0" collapsed="false">
      <c r="C17" s="12" t="n">
        <f aca="false">C7</f>
        <v>2006</v>
      </c>
      <c r="D17" s="12" t="n">
        <f aca="false">D7</f>
        <v>2007</v>
      </c>
      <c r="E17" s="12" t="n">
        <f aca="false">E7</f>
        <v>2008</v>
      </c>
      <c r="F17" s="12" t="n">
        <f aca="false">F7</f>
        <v>2009</v>
      </c>
      <c r="G17" s="12" t="n">
        <f aca="false">G7</f>
        <v>2010</v>
      </c>
      <c r="H17" s="12" t="n">
        <f aca="false">H7</f>
        <v>2011</v>
      </c>
      <c r="I17" s="12" t="n">
        <f aca="false">I7</f>
        <v>2012</v>
      </c>
      <c r="J17" s="12" t="n">
        <f aca="false">J7</f>
        <v>2013</v>
      </c>
      <c r="K17" s="12" t="n">
        <f aca="false">K7</f>
        <v>2014</v>
      </c>
      <c r="L17" s="12" t="n">
        <f aca="false">L7</f>
        <v>2015</v>
      </c>
      <c r="M17" s="12" t="n">
        <f aca="false">M7</f>
        <v>2016</v>
      </c>
      <c r="N17" s="12" t="n">
        <f aca="false">N7</f>
        <v>2017</v>
      </c>
      <c r="O17" s="12" t="n">
        <f aca="false">O7</f>
        <v>2018</v>
      </c>
      <c r="P17" s="12" t="n">
        <f aca="false">P7</f>
        <v>2019</v>
      </c>
      <c r="Q17" s="12" t="n">
        <f aca="false">Q7</f>
        <v>2020</v>
      </c>
      <c r="R17" s="12" t="n">
        <f aca="false">R7</f>
        <v>2021</v>
      </c>
      <c r="S17" s="12" t="n">
        <f aca="false">S7</f>
        <v>2022</v>
      </c>
      <c r="T17" s="12" t="n">
        <f aca="false">T7</f>
        <v>2023</v>
      </c>
      <c r="U17" s="12" t="n">
        <f aca="false">U7</f>
        <v>2024</v>
      </c>
      <c r="V17" s="12" t="n">
        <f aca="false">V7</f>
        <v>2025</v>
      </c>
    </row>
    <row r="18" customFormat="false" ht="15" hidden="false" customHeight="true" outlineLevel="0" collapsed="false">
      <c r="B18" s="1" t="s">
        <v>616</v>
      </c>
      <c r="C18" s="140" t="n">
        <f aca="false">IFERROR(Model!C396+0,NA())</f>
        <v>0.135226949499185</v>
      </c>
      <c r="D18" s="140" t="n">
        <f aca="false">IFERROR(Model!D396+0,NA())</f>
        <v>0.170571431406402</v>
      </c>
      <c r="E18" s="140" t="n">
        <f aca="false">IFERROR(Model!E396+0,NA())</f>
        <v>0.159901645925331</v>
      </c>
      <c r="F18" s="140" t="n">
        <f aca="false">IFERROR(Model!F396+0,NA())</f>
        <v>0.143912731828279</v>
      </c>
      <c r="G18" s="140" t="n">
        <f aca="false">IFERROR(Model!G396+0,NA())</f>
        <v>0.135961642721605</v>
      </c>
      <c r="H18" s="140" t="n">
        <f aca="false">IFERROR(Model!H396+0,NA())</f>
        <v>0.135548147334366</v>
      </c>
      <c r="I18" s="140" t="n">
        <f aca="false">IFERROR(Model!I396+0,NA())</f>
        <v>0.113302268068115</v>
      </c>
      <c r="J18" s="140" t="n">
        <f aca="false">IFERROR(Model!O396+0,NA())</f>
        <v>0.111645213516286</v>
      </c>
      <c r="K18" s="140" t="n">
        <f aca="false">IFERROR(Model!U396+0,NA())</f>
        <v>0.12278983306727</v>
      </c>
      <c r="L18" s="140" t="n">
        <f aca="false">IFERROR(Model!AA396+0,NA())</f>
        <v>0.1159357844045</v>
      </c>
      <c r="M18" s="140" t="n">
        <f aca="false">IFERROR(Model!AG396+0,NA())</f>
        <v>0.108353255002481</v>
      </c>
      <c r="N18" s="140" t="n">
        <f aca="false">IFERROR(Model!AM396+0,NA())</f>
        <v>0.102481011557576</v>
      </c>
      <c r="O18" s="140" t="n">
        <f aca="false">IFERROR(Model!AS396+0,NA())</f>
        <v>0.136349427904195</v>
      </c>
      <c r="P18" s="140" t="n">
        <f aca="false">IFERROR(Model!AY396+0,NA())</f>
        <v>0.133277469593092</v>
      </c>
      <c r="Q18" s="140" t="n">
        <f aca="false">IFERROR(Model!BE396+0,NA())</f>
        <v>0.133172796992656</v>
      </c>
      <c r="R18" s="140" t="n">
        <f aca="false">IFERROR(Model!BK396+0,NA())</f>
        <v>0.07291259122367</v>
      </c>
      <c r="S18" s="140" t="n">
        <f aca="false">IFERROR(Model!BQ396+0,NA())</f>
        <v>0.0887059010703461</v>
      </c>
      <c r="T18" s="140" t="n">
        <f aca="false">IFERROR(Model!BW396+0,NA())</f>
        <v>0.0969695586874712</v>
      </c>
      <c r="U18" s="140" t="n">
        <f aca="false">IFERROR(Model!CC396+0,NA())</f>
        <v>0.0945121335840171</v>
      </c>
      <c r="V18" s="140" t="n">
        <f aca="false">IFERROR(Model!CI396+0,NA())</f>
        <v>0.0893686805333207</v>
      </c>
    </row>
    <row r="19" customFormat="false" ht="15" hidden="false" customHeight="true" outlineLevel="0" collapsed="false">
      <c r="B19" s="1" t="s">
        <v>617</v>
      </c>
      <c r="C19" s="140" t="n">
        <f aca="false">IFERROR(Model!C408+0,NA())</f>
        <v>0.195886411485129</v>
      </c>
      <c r="D19" s="140" t="n">
        <f aca="false">IFERROR(Model!D408+0,NA())</f>
        <v>0.232645473709909</v>
      </c>
      <c r="E19" s="140" t="n">
        <f aca="false">IFERROR(Model!E408+0,NA())</f>
        <v>0.224349099511384</v>
      </c>
      <c r="F19" s="140" t="n">
        <f aca="false">IFERROR(Model!F408+0,NA())</f>
        <v>0.265150824119168</v>
      </c>
      <c r="G19" s="140" t="n">
        <f aca="false">IFERROR(Model!G408+0,NA())</f>
        <v>0.238419843397198</v>
      </c>
      <c r="H19" s="140" t="n">
        <f aca="false">IFERROR(Model!H408+0,NA())</f>
        <v>0.284626012118536</v>
      </c>
      <c r="I19" s="140" t="n">
        <f aca="false">IFERROR(Model!I408+0,NA())</f>
        <v>0.260874975243252</v>
      </c>
      <c r="J19" s="140" t="n">
        <f aca="false">IFERROR(Model!O408+0,NA())</f>
        <v>0.217815705529147</v>
      </c>
      <c r="K19" s="140" t="n">
        <f aca="false">IFERROR(Model!U408+0,NA())</f>
        <v>0.254314613492973</v>
      </c>
      <c r="L19" s="140" t="n">
        <f aca="false">IFERROR(Model!AA408+0,NA())</f>
        <v>0.246546372506952</v>
      </c>
      <c r="M19" s="140" t="n">
        <f aca="false">IFERROR(Model!AG408+0,NA())</f>
        <v>0.237381203986419</v>
      </c>
      <c r="N19" s="140" t="n">
        <f aca="false">IFERROR(Model!AM408+0,NA())</f>
        <v>0.266578979878955</v>
      </c>
      <c r="O19" s="140" t="n">
        <f aca="false">IFERROR(Model!AS408+0,NA())</f>
        <v>0.337150840265196</v>
      </c>
      <c r="P19" s="140" t="n">
        <f aca="false">IFERROR(Model!AY408+0,NA())</f>
        <v>0.312407066757036</v>
      </c>
      <c r="Q19" s="140" t="n">
        <f aca="false">IFERROR(Model!BE408+0,NA())</f>
        <v>0.238477873656416</v>
      </c>
      <c r="R19" s="140" t="n">
        <f aca="false">IFERROR(Model!BK408+0,NA())</f>
        <v>0.372130168685446</v>
      </c>
      <c r="S19" s="140" t="n">
        <f aca="false">IFERROR(Model!BQ408+0,NA())</f>
        <v>0.360711930396948</v>
      </c>
      <c r="T19" s="140" t="n">
        <f aca="false">IFERROR(Model!BW408+0,NA())</f>
        <v>0.372091175146628</v>
      </c>
      <c r="U19" s="140" t="n">
        <f aca="false">IFERROR(Model!CC408+0,NA())</f>
        <v>0.371976939406596</v>
      </c>
      <c r="V19" s="140" t="n">
        <f aca="false">IFERROR(Model!CI408+0,NA())</f>
        <v>0.365767288195207</v>
      </c>
    </row>
    <row r="20" customFormat="false" ht="15" hidden="false" customHeight="true" outlineLevel="0" collapsed="false">
      <c r="B20" s="1" t="s">
        <v>726</v>
      </c>
      <c r="C20" s="140" t="n">
        <f aca="false">IFERROR(Model!C254+0,NA())</f>
        <v>0.0926597823053307</v>
      </c>
      <c r="D20" s="140" t="n">
        <f aca="false">IFERROR(Model!D254+0,NA())</f>
        <v>0.103988164950995</v>
      </c>
      <c r="E20" s="140" t="n">
        <f aca="false">IFERROR(Model!E254+0,NA())</f>
        <v>0.124506387921022</v>
      </c>
      <c r="F20" s="140" t="n">
        <f aca="false">IFERROR(Model!F254+0,NA())</f>
        <v>0.111252345499667</v>
      </c>
      <c r="G20" s="140" t="n">
        <f aca="false">IFERROR(Model!G254+0,NA())</f>
        <v>0.117139034180757</v>
      </c>
      <c r="H20" s="140" t="n">
        <f aca="false">IFERROR(Model!H254+0,NA())</f>
        <v>0.129666821154539</v>
      </c>
      <c r="I20" s="140" t="n">
        <f aca="false">IFERROR(Model!I254+0,NA())</f>
        <v>0.128096648333568</v>
      </c>
      <c r="J20" s="140" t="n">
        <f aca="false">IFERROR(Model!O254+0,NA())</f>
        <v>0.116223381510305</v>
      </c>
      <c r="K20" s="140" t="n">
        <f aca="false">IFERROR(Model!U254+0,NA())</f>
        <v>0.136382623224729</v>
      </c>
      <c r="L20" s="140" t="n">
        <f aca="false">IFERROR(Model!AA254+0,NA())</f>
        <v>0.135894869674949</v>
      </c>
      <c r="M20" s="140" t="n">
        <f aca="false">IFERROR(Model!AG254+0,NA())</f>
        <v>0.132099167403135</v>
      </c>
      <c r="N20" s="140" t="n">
        <f aca="false">IFERROR(Model!AM254+0,NA())</f>
        <v>0.146631845763884</v>
      </c>
      <c r="O20" s="140" t="n">
        <f aca="false">IFERROR(Model!AS254+0,NA())</f>
        <v>0.1571783031222</v>
      </c>
      <c r="P20" s="140" t="n">
        <f aca="false">IFERROR(Model!AY254+0,NA())</f>
        <v>0.166961689214819</v>
      </c>
      <c r="Q20" s="140" t="n">
        <f aca="false">IFERROR(Model!BE254+0,NA())</f>
        <v>0.168135571252673</v>
      </c>
      <c r="R20" s="140" t="n">
        <f aca="false">IFERROR(Model!BK254+0,NA())</f>
        <v>0.213033396181436</v>
      </c>
      <c r="S20" s="140" t="n">
        <f aca="false">IFERROR(Model!BQ254+0,NA())</f>
        <v>0.214285714285714</v>
      </c>
      <c r="T20" s="140" t="n">
        <f aca="false">IFERROR(Model!BW254+0,NA())</f>
        <v>0.220015970188981</v>
      </c>
      <c r="U20" s="140" t="n">
        <f aca="false">IFERROR(Model!CC254+0,NA())</f>
        <v>0.22010582010582</v>
      </c>
      <c r="V20" s="140" t="n">
        <f aca="false">IFERROR(Model!CI254+0,NA())</f>
        <v>0.225659809660856</v>
      </c>
    </row>
    <row r="21" customFormat="false" ht="15" hidden="false" customHeight="true" outlineLevel="0" collapsed="false">
      <c r="B21" s="1" t="s">
        <v>727</v>
      </c>
      <c r="C21" s="140" t="n">
        <f aca="false">IFERROR(Model!C294+0,NA())</f>
        <v>0.0362824448785934</v>
      </c>
      <c r="D21" s="140" t="n">
        <f aca="false">IFERROR(Model!D294+0,NA())</f>
        <v>0.0779140726129569</v>
      </c>
      <c r="E21" s="140" t="n">
        <f aca="false">IFERROR(Model!E294+0,NA())</f>
        <v>0.0477351916376307</v>
      </c>
      <c r="F21" s="140" t="n">
        <f aca="false">IFERROR(Model!F294+0,NA())</f>
        <v>0.0734822347315538</v>
      </c>
      <c r="G21" s="140" t="n">
        <f aca="false">IFERROR(Model!G294+0,NA())</f>
        <v>0.0673883955723148</v>
      </c>
      <c r="H21" s="140" t="n">
        <f aca="false">IFERROR(Model!H294+0,NA())</f>
        <v>0.0900664297852619</v>
      </c>
      <c r="I21" s="140" t="n">
        <f aca="false">IFERROR(Model!I294+0,NA())</f>
        <v>0.0582428430404738</v>
      </c>
      <c r="J21" s="140" t="n">
        <f aca="false">IFERROR(Model!O294+0,NA())</f>
        <v>0.0558881382023433</v>
      </c>
      <c r="K21" s="140" t="n">
        <f aca="false">IFERROR(Model!U294+0,NA())</f>
        <v>0.102088554720134</v>
      </c>
      <c r="L21" s="140" t="n">
        <f aca="false">IFERROR(Model!AA294+0,NA())</f>
        <v>0.0710151864583787</v>
      </c>
      <c r="M21" s="140" t="n">
        <f aca="false">IFERROR(Model!AG294+0,NA())</f>
        <v>0.106702637331969</v>
      </c>
      <c r="N21" s="140" t="n">
        <f aca="false">IFERROR(Model!AM294+0,NA())</f>
        <v>0.121437898456103</v>
      </c>
      <c r="O21" s="140" t="n">
        <f aca="false">IFERROR(Model!AS294+0,NA())</f>
        <v>0.124095389068854</v>
      </c>
      <c r="P21" s="140" t="n">
        <f aca="false">IFERROR(Model!AY294+0,NA())</f>
        <v>0.124446832722215</v>
      </c>
      <c r="Q21" s="140" t="n">
        <f aca="false">IFERROR(Model!BE294+0,NA())</f>
        <v>0.177402631067332</v>
      </c>
      <c r="R21" s="140" t="n">
        <f aca="false">IFERROR(Model!BK294+0,NA())</f>
        <v>0.15668682140303</v>
      </c>
      <c r="S21" s="140" t="n">
        <f aca="false">IFERROR(Model!BQ294+0,NA())</f>
        <v>0.072216319202726</v>
      </c>
      <c r="T21" s="140" t="n">
        <f aca="false">IFERROR(Model!BW294+0,NA())</f>
        <v>0.127974447697631</v>
      </c>
      <c r="U21" s="140" t="n">
        <f aca="false">IFERROR(Model!CC294+0,NA())</f>
        <v>0.195449735449735</v>
      </c>
      <c r="V21" s="140" t="n">
        <f aca="false">IFERROR(Model!CI294+0,NA())</f>
        <v>0.175622199692579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2026-10-04T02:35:31Z</dcterms:created>
  <dc:creator>openpyxl</dc:creator>
  <dc:description/>
  <dc:language>en-US</dc:language>
  <cp:lastModifiedBy/>
  <dcterms:modified xsi:type="dcterms:W3CDTF">2026-10-04T02:35:49Z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