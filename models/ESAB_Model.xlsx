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2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</numFmts>
  <fonts count="56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harset val="1"/>
      <family val="2"/>
      <color rgb="FF000000"/>
      <sz val="11"/>
    </font>
  </fonts>
  <fills count="19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DE7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7" fontId="9" fillId="18" borderId="2" applyAlignment="1" pivotButton="0" quotePrefix="0" xfId="0">
      <alignment horizontal="right"/>
    </xf>
    <xf numFmtId="166" fontId="15" fillId="18" borderId="0" applyAlignment="1" pivotButton="0" quotePrefix="0" xfId="0">
      <alignment horizontal="right"/>
    </xf>
    <xf numFmtId="166" fontId="17" fillId="18" borderId="0" applyAlignment="1" pivotButton="0" quotePrefix="0" xfId="0">
      <alignment horizontal="right"/>
    </xf>
    <xf numFmtId="168" fontId="17" fillId="0" borderId="0" pivotButton="0" quotePrefix="0" xfId="0"/>
    <xf numFmtId="167" fontId="15" fillId="18" borderId="0" applyAlignment="1" pivotButton="0" quotePrefix="0" xfId="0">
      <alignment horizontal="right"/>
    </xf>
    <xf numFmtId="167" fontId="17" fillId="18" borderId="0" applyAlignment="1" pivotButton="0" quotePrefix="0" xfId="0">
      <alignment horizontal="right"/>
    </xf>
    <xf numFmtId="173" fontId="17" fillId="0" borderId="0" pivotButton="0" quotePrefix="0" xfId="0"/>
    <xf numFmtId="166" fontId="3" fillId="8" borderId="0" applyAlignment="1" pivotButton="0" quotePrefix="0" xfId="0">
      <alignment horizontal="center"/>
    </xf>
    <xf numFmtId="167" fontId="3" fillId="8" borderId="0" applyAlignment="1" pivotButton="0" quotePrefix="0" xfId="0">
      <alignment horizontal="center"/>
    </xf>
    <xf numFmtId="170" fontId="17" fillId="0" borderId="0" applyAlignment="1" pivotButton="0" quotePrefix="0" xfId="0">
      <alignment horizontal="right"/>
    </xf>
    <xf numFmtId="170" fontId="15" fillId="18" borderId="0" applyAlignment="1" pivotButton="0" quotePrefix="0" xfId="0">
      <alignment horizontal="right"/>
    </xf>
    <xf numFmtId="170" fontId="17" fillId="18" borderId="0" applyAlignment="1" pivotButton="0" quotePrefix="0" xfId="0">
      <alignment horizontal="right"/>
    </xf>
    <xf numFmtId="167" fontId="3" fillId="18" borderId="2" applyAlignment="1" pivotButton="0" quotePrefix="0" xfId="0">
      <alignment horizontal="right"/>
    </xf>
    <xf numFmtId="164" fontId="15" fillId="18" borderId="0" applyAlignment="1" pivotButton="0" quotePrefix="0" xfId="0">
      <alignment horizontal="right"/>
    </xf>
    <xf numFmtId="164" fontId="17" fillId="18" borderId="0" applyAlignment="1" pivotButton="0" quotePrefix="0" xfId="0">
      <alignment horizontal="right"/>
    </xf>
    <xf numFmtId="167" fontId="55" fillId="18" borderId="0" applyAlignment="1" pivotButton="0" quotePrefix="0" xfId="0">
      <alignment horizontal="right"/>
    </xf>
    <xf numFmtId="167" fontId="27" fillId="18" borderId="0" applyAlignment="1" pivotButton="0" quotePrefix="0" xfId="0">
      <alignment horizontal="right"/>
    </xf>
    <xf numFmtId="168" fontId="15" fillId="18" borderId="0" applyAlignment="1" pivotButton="0" quotePrefix="0" xfId="0">
      <alignment horizontal="right"/>
    </xf>
    <xf numFmtId="167" fontId="27" fillId="0" borderId="0" applyAlignment="1" pivotButton="0" quotePrefix="0" xfId="0">
      <alignment horizontal="right"/>
    </xf>
    <xf numFmtId="168" fontId="9" fillId="18" borderId="2" applyAlignment="1" pivotButton="0" quotePrefix="0" xfId="0">
      <alignment horizontal="right"/>
    </xf>
    <xf numFmtId="168" fontId="27" fillId="18" borderId="0" applyAlignment="1" pivotButton="0" quotePrefix="0" xfId="0">
      <alignment horizontal="right"/>
    </xf>
    <xf numFmtId="0" fontId="27" fillId="0" borderId="0" applyAlignment="1" pivotButton="0" quotePrefix="0" xfId="0">
      <alignment horizontal="right"/>
    </xf>
    <xf numFmtId="0" fontId="55" fillId="0" borderId="0" applyAlignment="1" pivotButton="0" quotePrefix="0" xfId="0">
      <alignment horizontal="right"/>
    </xf>
    <xf numFmtId="0" fontId="27" fillId="18" borderId="0" applyAlignment="1" pivotButton="0" quotePrefix="0" xfId="0">
      <alignment horizontal="right"/>
    </xf>
    <xf numFmtId="173" fontId="17" fillId="0" borderId="0" applyAlignment="1" pivotButton="0" quotePrefix="0" xfId="0">
      <alignment horizontal="right"/>
    </xf>
    <xf numFmtId="173" fontId="15" fillId="18" borderId="0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4" fontId="9" fillId="18" borderId="2" applyAlignment="1" pivotButton="0" quotePrefix="0" xfId="0">
      <alignment horizontal="right"/>
    </xf>
    <xf numFmtId="174" fontId="17" fillId="0" borderId="0" applyAlignment="1" pivotButton="0" quotePrefix="0" xfId="0">
      <alignment horizontal="right"/>
    </xf>
    <xf numFmtId="174" fontId="15" fillId="18" borderId="0" applyAlignment="1" pivotButton="0" quotePrefix="0" xfId="0">
      <alignment horizontal="right"/>
    </xf>
    <xf numFmtId="174" fontId="17" fillId="18" borderId="0" applyAlignment="1" pivotButton="0" quotePrefix="0" xfId="0">
      <alignment horizontal="right"/>
    </xf>
    <xf numFmtId="174" fontId="12" fillId="6" borderId="0" pivotButton="0" quotePrefix="0" xfId="0"/>
    <xf numFmtId="166" fontId="27" fillId="18" borderId="0" applyAlignment="1" pivotButton="0" quotePrefix="0" xfId="0">
      <alignment horizontal="right"/>
    </xf>
    <xf numFmtId="166" fontId="55" fillId="18" borderId="0" applyAlignment="1" pivotButton="0" quotePrefix="0" xfId="0">
      <alignment horizontal="right"/>
    </xf>
    <xf numFmtId="168" fontId="27" fillId="0" borderId="0" applyAlignment="1" pivotButton="0" quotePrefix="0" xfId="0">
      <alignment horizontal="right"/>
    </xf>
    <xf numFmtId="168" fontId="17" fillId="18" borderId="0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66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Drivers: Organic vs. Acquisitions vs. FX, y/y %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'Charts'!B8</f>
            </strRef>
          </tx>
          <spPr>
            <a:solidFill xmlns:a="http://schemas.openxmlformats.org/drawingml/2006/main">
              <a:srgbClr val="2F3E46"/>
            </a:solidFill>
            <a:ln xmlns:a="http://schemas.openxmlformats.org/drawingml/2006/main">
              <a:prstDash val="solid"/>
            </a:ln>
          </spPr>
          <cat>
            <numRef>
              <f>'Charts'!$C$7:$P$7</f>
            </numRef>
          </cat>
          <val>
            <numRef>
              <f>'Charts'!$C$8:$P$8</f>
            </numRef>
          </val>
        </ser>
        <ser>
          <idx val="1"/>
          <order val="1"/>
          <tx>
            <strRef>
              <f>'Charts'!B9</f>
            </strRef>
          </tx>
          <spPr>
            <a:solidFill xmlns:a="http://schemas.openxmlformats.org/drawingml/2006/main">
              <a:srgbClr val="84A98C"/>
            </a:solidFill>
            <a:ln xmlns:a="http://schemas.openxmlformats.org/drawingml/2006/main">
              <a:prstDash val="solid"/>
            </a:ln>
          </spPr>
          <cat>
            <numRef>
              <f>'Charts'!$C$7:$P$7</f>
            </numRef>
          </cat>
          <val>
            <numRef>
              <f>'Charts'!$C$9:$P$9</f>
            </numRef>
          </val>
        </ser>
        <ser>
          <idx val="2"/>
          <order val="2"/>
          <tx>
            <strRef>
              <f>'Charts'!B10</f>
            </strRef>
          </tx>
          <spPr>
            <a:solidFill xmlns:a="http://schemas.openxmlformats.org/drawingml/2006/main">
              <a:srgbClr val="A8C5D6"/>
            </a:solidFill>
            <a:ln xmlns:a="http://schemas.openxmlformats.org/drawingml/2006/main">
              <a:prstDash val="solid"/>
            </a:ln>
          </spPr>
          <cat>
            <numRef>
              <f>'Charts'!$C$7:$P$7</f>
            </numRef>
          </cat>
          <val>
            <numRef>
              <f>'Charts'!$C$10:$P$10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Adjusted EBITDA &amp; Operating Income (USDm)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'Charts'!B12</f>
            </strRef>
          </tx>
          <spPr>
            <a:solidFill xmlns:a="http://schemas.openxmlformats.org/drawingml/2006/main">
              <a:srgbClr val="A8C5D6"/>
            </a:solidFill>
            <a:ln xmlns:a="http://schemas.openxmlformats.org/drawingml/2006/main">
              <a:prstDash val="solid"/>
            </a:ln>
          </spPr>
          <cat>
            <numRef>
              <f>'Charts'!$C$7:$P$7</f>
            </numRef>
          </cat>
          <val>
            <numRef>
              <f>'Charts'!$C$12:$P$12</f>
            </numRef>
          </val>
        </ser>
        <ser>
          <idx val="1"/>
          <order val="1"/>
          <tx>
            <strRef>
              <f>'Charts'!B13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'Charts'!$C$7:$P$7</f>
            </numRef>
          </cat>
          <val>
            <numRef>
              <f>'Charts'!$C$13:$P$13</f>
            </numRef>
          </val>
        </ser>
        <ser>
          <idx val="2"/>
          <order val="2"/>
          <tx>
            <strRef>
              <f>'Charts'!B16</f>
            </strRef>
          </tx>
          <spPr>
            <a:solidFill xmlns:a="http://schemas.openxmlformats.org/drawingml/2006/main">
              <a:srgbClr val="878787"/>
            </a:solidFill>
            <a:ln xmlns:a="http://schemas.openxmlformats.org/drawingml/2006/main">
              <a:prstDash val="solid"/>
            </a:ln>
          </spPr>
          <cat>
            <numRef>
              <f>'Charts'!$C$7:$P$7</f>
            </numRef>
          </cat>
          <val>
            <numRef>
              <f>'Charts'!$C$16:$P$16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strRef>
              <f>'Charts'!B14</f>
            </strRef>
          </tx>
          <spPr>
            <a:ln xmlns:a="http://schemas.openxmlformats.org/drawingml/2006/main">
              <a:solidFill>
                <a:srgbClr val="2F3E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'Charts'!$C$14:$P$14</f>
            </numRef>
          </val>
        </ser>
        <ser>
          <idx val="4"/>
          <order val="4"/>
          <tx>
            <strRef>
              <f>'Charts'!B15</f>
            </strRef>
          </tx>
          <spPr>
            <a:ln xmlns:a="http://schemas.openxmlformats.org/drawingml/2006/main">
              <a:solidFill>
                <a:srgbClr val="C855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'Charts'!$C$15:$P$15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Returns Profile: ROIC, RONTA, Adjusted EBITDA Margin &amp; FCF Margin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'Charts'!B18</f>
            </strRef>
          </tx>
          <spPr>
            <a:ln xmlns:a="http://schemas.openxmlformats.org/drawingml/2006/main">
              <a:solidFill>
                <a:srgbClr val="2F3E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'Charts'!$C$7:$P$7</f>
            </numRef>
          </cat>
          <val>
            <numRef>
              <f>'Charts'!$C$18:$P$18</f>
            </numRef>
          </val>
        </ser>
        <ser>
          <idx val="1"/>
          <order val="1"/>
          <tx>
            <strRef>
              <f>'Charts'!B19</f>
            </strRef>
          </tx>
          <spPr>
            <a:ln xmlns:a="http://schemas.openxmlformats.org/drawingml/2006/main">
              <a:solidFill>
                <a:srgbClr val="84A9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'Charts'!$C$7:$P$7</f>
            </numRef>
          </cat>
          <val>
            <numRef>
              <f>'Charts'!$C$19:$P$19</f>
            </numRef>
          </val>
        </ser>
        <ser>
          <idx val="2"/>
          <order val="2"/>
          <tx>
            <strRef>
              <f>'Charts'!B20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'Charts'!$C$7:$P$7</f>
            </numRef>
          </cat>
          <val>
            <numRef>
              <f>'Charts'!$C$20:$P$20</f>
            </numRef>
          </val>
        </ser>
        <ser>
          <idx val="3"/>
          <order val="3"/>
          <tx>
            <strRef>
              <f>'Charts'!B21</f>
            </strRef>
          </tx>
          <spPr>
            <a:ln xmlns:a="http://schemas.openxmlformats.org/drawingml/2006/main">
              <a:solidFill>
                <a:srgbClr val="C855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'Charts'!$C$7:$P$7</f>
            </numRef>
          </cat>
          <val>
            <numRef>
              <f>'Charts'!$C$21:$P$21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Aggregates Revenue Drivers: Shipment Volume vs. Price (ASP), y/y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Charts!$B$8</f>
              <strCache>
                <ptCount val="1"/>
                <pt idx="0">
                  <v>Aggregates volume %</v>
                </pt>
              </strCache>
            </strRef>
          </tx>
          <spPr>
            <a:solidFill xmlns:a="http://schemas.openxmlformats.org/drawingml/2006/main">
              <a:srgbClr val="2F3E4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Charts!$C$8:$V$8</f>
              <numCache>
                <formatCode>0.0%;\(0.0%\);\-</formatCode>
                <ptCount val="20"/>
                <pt idx="0">
                  <v>0</v>
                </pt>
                <pt idx="1">
                  <v>-0.08143483298906751</v>
                </pt>
                <pt idx="2">
                  <v>-0.125988613801652</v>
                </pt>
                <pt idx="3">
                  <v>-0.2256220388440903</v>
                </pt>
                <pt idx="4">
                  <v>0.05353279146846468</v>
                </pt>
                <pt idx="5">
                  <v>-0.03794411070173154</v>
                </pt>
                <pt idx="6">
                  <v>0.02604058397428721</v>
                </pt>
                <pt idx="7">
                  <v>0.0007948196460714207</v>
                </pt>
                <pt idx="8">
                  <v>0.1371687961816668</v>
                </pt>
                <pt idx="9">
                  <v>0.0710167750770283</v>
                </pt>
                <pt idx="10">
                  <v>0.01409008962933611</v>
                </pt>
                <pt idx="11">
                  <v>-0.005850238926783713</v>
                </pt>
                <pt idx="12">
                  <v>0.08331113901254295</v>
                </pt>
                <pt idx="13">
                  <v>0.1187688777541034</v>
                </pt>
                <pt idx="14">
                  <v>-0.02420392829860929</v>
                </pt>
                <pt idx="15">
                  <v>0.07882037533512065</v>
                </pt>
                <pt idx="16">
                  <v>0.03230616302186884</v>
                </pt>
                <pt idx="17">
                  <v>-0.04285026480500709</v>
                </pt>
                <pt idx="18">
                  <v>-0.03873239436619724</v>
                </pt>
                <pt idx="19">
                  <v>0.0387231815803244</v>
                </pt>
              </numCache>
            </numRef>
          </val>
        </ser>
        <ser>
          <idx val="1"/>
          <order val="1"/>
          <tx>
            <strRef>
              <f>Charts!$B$9</f>
              <strCache>
                <ptCount val="1"/>
                <pt idx="0">
                  <v>Aggregates price (ASP) %</v>
                </pt>
              </strCache>
            </strRef>
          </tx>
          <spPr>
            <a:solidFill xmlns:a="http://schemas.openxmlformats.org/drawingml/2006/main">
              <a:srgbClr val="84A98C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Charts!$C$9:$V$9</f>
              <numCache>
                <formatCode>0.0%;\(0.0%\);\-</formatCode>
                <ptCount val="20"/>
                <pt idx="0">
                  <v>0</v>
                </pt>
                <pt idx="1">
                  <v>0.104</v>
                </pt>
                <pt idx="2">
                  <v>0.06900000000000001</v>
                </pt>
                <pt idx="3">
                  <v>0.021</v>
                </pt>
                <pt idx="4">
                  <v>-0.034</v>
                </pt>
                <pt idx="5">
                  <v>0.027</v>
                </pt>
                <pt idx="6">
                  <v>0.008</v>
                </pt>
                <pt idx="7">
                  <v>0.02904162633107465</v>
                </pt>
                <pt idx="8">
                  <v>0.045</v>
                </pt>
                <pt idx="9">
                  <v>0.08</v>
                </pt>
                <pt idx="10">
                  <v>0.073</v>
                </pt>
                <pt idx="11">
                  <v>0.04503105590062106</v>
                </pt>
                <pt idx="12">
                  <v>0.01857355126300142</v>
                </pt>
                <pt idx="13">
                  <v>0.04522246535375629</v>
                </pt>
                <pt idx="14">
                  <v>0.03070481507327272</v>
                </pt>
                <pt idx="15">
                  <v>0.02098849018280302</v>
                </pt>
                <pt idx="16">
                  <v>0.1061007957559681</v>
                </pt>
                <pt idx="17">
                  <v>0.1894484412470023</v>
                </pt>
                <pt idx="18">
                  <v>0.09879032258064524</v>
                </pt>
                <pt idx="19">
                  <v>0.0688073394495412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044735"/>
        <axId val="65342648"/>
      </barChart>
      <catAx>
        <axId val="2004473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5342648"/>
        <crosses val="autoZero"/>
        <auto val="1"/>
        <lblAlgn val="ctr"/>
        <lblOffset val="100"/>
        <noMultiLvlLbl val="0"/>
      </catAx>
      <valAx>
        <axId val="653426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004473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Earnings from Operations (USDm)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Charts!$B$12</f>
              <strCache>
                <ptCount val="1"/>
                <pt idx="0">
                  <v>Adjusted EBITDA</v>
                </pt>
              </strCache>
            </strRef>
          </tx>
          <spPr>
            <a:solidFill xmlns:a="http://schemas.openxmlformats.org/drawingml/2006/main">
              <a:srgbClr val="A8C5D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Charts!$C$12:$V$12</f>
              <numCache>
                <formatCode>#,##0;\(#,##0\);\-</formatCode>
                <ptCount val="20"/>
                <pt idx="0">
                  <v>535</v>
                </pt>
                <pt idx="1">
                  <v>590.5999999999999</v>
                </pt>
                <pt idx="2">
                  <v>497.6999999999999</v>
                </pt>
                <pt idx="3">
                  <v>364.1</v>
                </pt>
                <pt idx="4">
                  <v>374.7</v>
                </pt>
                <pt idx="5">
                  <v>335.9</v>
                </pt>
                <pt idx="6">
                  <v>329.9</v>
                </pt>
                <pt idx="7">
                  <v>390.2</v>
                </pt>
                <pt idx="8">
                  <v>537.0000000000002</v>
                </pt>
                <pt idx="9">
                  <v>766.6999999999998</v>
                </pt>
                <pt idx="10">
                  <v>971.5999999999998</v>
                </pt>
                <pt idx="11">
                  <v>1004.4</v>
                </pt>
                <pt idx="12">
                  <v>1103.765</v>
                </pt>
                <pt idx="13">
                  <v>1254.549</v>
                </pt>
                <pt idx="14">
                  <v>1392.8</v>
                </pt>
                <pt idx="15">
                  <v>1528.5</v>
                </pt>
                <pt idx="16">
                  <v>1600.3</v>
                </pt>
                <pt idx="17">
                  <v>2127.699999999999</v>
                </pt>
                <pt idx="18">
                  <v>2066</v>
                </pt>
                <pt idx="19">
                  <v>2065</v>
                </pt>
              </numCache>
            </numRef>
          </val>
        </ser>
        <ser>
          <idx val="1"/>
          <order val="1"/>
          <tx>
            <strRef>
              <f>Charts!$B$13</f>
              <strCache>
                <ptCount val="1"/>
                <pt idx="0">
                  <v>Earnings from Operations (GAAP)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Charts!$C$13:$V$13</f>
              <numCache>
                <formatCode>#,##0;\(#,##0\);\-</formatCode>
                <ptCount val="20"/>
                <pt idx="0">
                  <v>388</v>
                </pt>
                <pt idx="1">
                  <v>433</v>
                </pt>
                <pt idx="2">
                  <v>323.2999999999999</v>
                </pt>
                <pt idx="3">
                  <v>187.5999999999998</v>
                </pt>
                <pt idx="4">
                  <v>196.4</v>
                </pt>
                <pt idx="5">
                  <v>161</v>
                </pt>
                <pt idx="6">
                  <v>154.9999999999999</v>
                </pt>
                <pt idx="7">
                  <v>218</v>
                </pt>
                <pt idx="8">
                  <v>314.9000000000001</v>
                </pt>
                <pt idx="9">
                  <v>479.3999999999997</v>
                </pt>
                <pt idx="10">
                  <v>667.3</v>
                </pt>
                <pt idx="11">
                  <v>700.4000000000001</v>
                </pt>
                <pt idx="12">
                  <v>690.7370000000002</v>
                </pt>
                <pt idx="13">
                  <v>884.9340000000002</v>
                </pt>
                <pt idx="14">
                  <v>1005.4</v>
                </pt>
                <pt idx="15">
                  <v>973.8000000000001</v>
                </pt>
                <pt idx="16">
                  <v>1206.7</v>
                </pt>
                <pt idx="17">
                  <v>1596</v>
                </pt>
                <pt idx="18">
                  <v>2707</v>
                </pt>
                <pt idx="19">
                  <v>1437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2608424"/>
        <axId val="81960370"/>
      </barChart>
      <lineChart>
        <grouping val="standard"/>
        <varyColors val="0"/>
        <ser>
          <idx val="2"/>
          <order val="2"/>
          <tx>
            <strRef>
              <f>Charts!$B$14</f>
              <strCache>
                <ptCount val="1"/>
                <pt idx="0">
                  <v>Adj. EBITDA Margin %</v>
                </pt>
              </strCache>
            </strRef>
          </tx>
          <spPr>
            <a:ln xmlns:a="http://schemas.openxmlformats.org/drawingml/2006/main" w="28440">
              <a:solidFill>
                <a:srgbClr val="2F3E4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Charts!$C$14:$V$14</f>
              <numCache>
                <formatCode>0.0%;\(0.0%\);\-</formatCode>
                <ptCount val="20"/>
                <pt idx="0">
                  <v>0.2424764321972444</v>
                </pt>
                <pt idx="1">
                  <v>0.2675909564587015</v>
                </pt>
                <pt idx="2">
                  <v>0.2347530776850148</v>
                </pt>
                <pt idx="3">
                  <v>0.2138494067896159</v>
                </pt>
                <pt idx="4">
                  <v>0.2101632172303551</v>
                </pt>
                <pt idx="5">
                  <v>0.1959857634634459</v>
                </pt>
                <pt idx="6">
                  <v>0.1619061641146447</v>
                </pt>
                <pt idx="7">
                  <v>0.1810252841568082</v>
                </pt>
                <pt idx="8">
                  <v>0.1815415821501015</v>
                </pt>
                <pt idx="9">
                  <v>0.2166063962029607</v>
                </pt>
                <pt idx="10">
                  <v>0.2544254739708808</v>
                </pt>
                <pt idx="11">
                  <v>0.253278192455114</v>
                </pt>
                <pt idx="12">
                  <v>0.2600603402473691</v>
                </pt>
                <pt idx="13">
                  <v>0.2647231603988776</v>
                </pt>
                <pt idx="14">
                  <v>0.2944671134696293</v>
                </pt>
                <pt idx="15">
                  <v>0.282323605467307</v>
                </pt>
                <pt idx="16">
                  <v>0.2597594429204474</v>
                </pt>
                <pt idx="17">
                  <v>0.3139497137460898</v>
                </pt>
                <pt idx="18">
                  <v>0.3160954712362301</v>
                </pt>
                <pt idx="19">
                  <v>0.3357723577235772</v>
                </pt>
              </numCache>
            </numRef>
          </val>
          <smooth val="1"/>
        </ser>
        <ser>
          <idx val="3"/>
          <order val="3"/>
          <tx>
            <strRef>
              <f>Charts!$B$15</f>
              <strCache>
                <ptCount val="1"/>
                <pt idx="0">
                  <v>GAAP Op. Margin %</v>
                </pt>
              </strCache>
            </strRef>
          </tx>
          <spPr>
            <a:ln xmlns:a="http://schemas.openxmlformats.org/drawingml/2006/main" w="28440">
              <a:solidFill>
                <a:srgbClr val="C8553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Charts!$C$15:$V$15</f>
              <numCache>
                <formatCode>0.0%;\(0.0%\);\-</formatCode>
                <ptCount val="20"/>
                <pt idx="0">
                  <v>0.1758520667150109</v>
                </pt>
                <pt idx="1">
                  <v>0.1961850391916995</v>
                </pt>
                <pt idx="2">
                  <v>0.1524928069430687</v>
                </pt>
                <pt idx="3">
                  <v>0.1101844238223892</v>
                </pt>
                <pt idx="4">
                  <v>0.1101576083908239</v>
                </pt>
                <pt idx="5">
                  <v>0.09393780267226792</v>
                </pt>
                <pt idx="6">
                  <v>0.07606988614055746</v>
                </pt>
                <pt idx="7">
                  <v>0.1011366272326606</v>
                </pt>
                <pt idx="8">
                  <v>0.1064570655848547</v>
                </pt>
                <pt idx="9">
                  <v>0.1354390326590575</v>
                </pt>
                <pt idx="10">
                  <v>0.1747407562585105</v>
                </pt>
                <pt idx="11">
                  <v>0.1766189227355255</v>
                </pt>
                <pt idx="12">
                  <v>0.1627459642600074</v>
                </pt>
                <pt idx="13">
                  <v>0.1867304706507441</v>
                </pt>
                <pt idx="14">
                  <v>0.2125626334594811</v>
                </pt>
                <pt idx="15">
                  <v>0.1798670114517917</v>
                </pt>
                <pt idx="16">
                  <v>0.1958705991202299</v>
                </pt>
                <pt idx="17">
                  <v>0.2354954848610045</v>
                </pt>
                <pt idx="18">
                  <v>0.4141676866585067</v>
                </pt>
                <pt idx="19">
                  <v>0.2336585365853659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99874911"/>
        <axId val="65694817"/>
      </lineChart>
      <catAx>
        <axId val="2260842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1960370"/>
        <crosses val="autoZero"/>
        <auto val="1"/>
        <lblAlgn val="ctr"/>
        <lblOffset val="100"/>
        <noMultiLvlLbl val="0"/>
      </catAx>
      <valAx>
        <axId val="8196037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2608424"/>
        <crosses val="autoZero"/>
        <crossBetween val="between"/>
      </valAx>
      <catAx>
        <axId val="9987491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5694817"/>
        <crosses val="autoZero"/>
        <auto val="1"/>
        <lblAlgn val="ctr"/>
        <lblOffset val="100"/>
        <noMultiLvlLbl val="0"/>
      </catAx>
      <valAx>
        <axId val="65694817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9874911"/>
        <crosses val="max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Charts!$B$18</f>
              <strCache>
                <ptCount val="1"/>
                <pt idx="0">
                  <v>ROIC</v>
                </pt>
              </strCache>
            </strRef>
          </tx>
          <spPr>
            <a:ln xmlns:a="http://schemas.openxmlformats.org/drawingml/2006/main" w="28440">
              <a:solidFill>
                <a:srgbClr val="2F3E4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Charts!$C$18:$V$18</f>
              <numCache>
                <formatCode>0.0%;\(0.0%\);\-</formatCode>
                <ptCount val="20"/>
                <pt idx="0">
                  <v>0.1421089225457171</v>
                </pt>
                <pt idx="1">
                  <v>0.1488839162911565</v>
                </pt>
                <pt idx="2">
                  <v>0.09654253471653466</v>
                </pt>
                <pt idx="3">
                  <v>0.05939721120548978</v>
                </pt>
                <pt idx="4">
                  <v>0.06186732051446051</v>
                </pt>
                <pt idx="5">
                  <v>0.05229496682671207</v>
                </pt>
                <pt idx="6">
                  <v>0.05218524215971639</v>
                </pt>
                <pt idx="7">
                  <v>0.06234019585176093</v>
                </pt>
                <pt idx="8">
                  <v>0.03361714998529663</v>
                </pt>
                <pt idx="9">
                  <v>0.0646463765753955</v>
                </pt>
                <pt idx="10">
                  <v>0.08352291583717089</v>
                </pt>
                <pt idx="11">
                  <v>0.1307408341694765</v>
                </pt>
                <pt idx="12">
                  <v>0.0777092734611203</v>
                </pt>
                <pt idx="13">
                  <v>0.08849387925332362</v>
                </pt>
                <pt idx="14">
                  <v>0.09821895870236456</v>
                </pt>
                <pt idx="15">
                  <v>0.07834119966021579</v>
                </pt>
                <pt idx="16">
                  <v>0.07764537720685044</v>
                </pt>
                <pt idx="17">
                  <v>0.1174640506857074</v>
                </pt>
                <pt idx="18">
                  <v>0.081333230459273</v>
                </pt>
                <pt idx="19">
                  <v>0.07837384252467521</v>
                </pt>
              </numCache>
            </numRef>
          </val>
          <smooth val="1"/>
        </ser>
        <ser>
          <idx val="1"/>
          <order val="1"/>
          <tx>
            <strRef>
              <f>Charts!$B$19</f>
              <strCache>
                <ptCount val="1"/>
                <pt idx="0">
                  <v>RONTA</v>
                </pt>
              </strCache>
            </strRef>
          </tx>
          <spPr>
            <a:ln xmlns:a="http://schemas.openxmlformats.org/drawingml/2006/main" w="28440">
              <a:solidFill>
                <a:srgbClr val="84A98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Charts!$C$19:$V$19</f>
              <numCache>
                <formatCode>0.0%;\(0.0%\);\-</formatCode>
                <ptCount val="20"/>
                <pt idx="0">
                  <v>0.1577568610178595</v>
                </pt>
                <pt idx="1">
                  <v>0.1633039512879359</v>
                </pt>
                <pt idx="2">
                  <v>0.1023004050311182</v>
                </pt>
                <pt idx="3">
                  <v>0.05787971493524694</v>
                </pt>
                <pt idx="4">
                  <v>0.06550310498758558</v>
                </pt>
                <pt idx="5">
                  <v>0.05619788235350321</v>
                </pt>
                <pt idx="6">
                  <v>0.05546296065288805</v>
                </pt>
                <pt idx="7">
                  <v>0.06668273687234359</v>
                </pt>
                <pt idx="8">
                  <v>0.03985122445855536</v>
                </pt>
                <pt idx="9">
                  <v>0.07885989924730435</v>
                </pt>
                <pt idx="10">
                  <v>0.1025641604800029</v>
                </pt>
                <pt idx="11">
                  <v>0.1285374606744599</v>
                </pt>
                <pt idx="12">
                  <v>0.09970994362684617</v>
                </pt>
                <pt idx="13">
                  <v>0.1062778777449464</v>
                </pt>
                <pt idx="14">
                  <v>0.114027004810715</v>
                </pt>
                <pt idx="15">
                  <v>0.09817452396578083</v>
                </pt>
                <pt idx="16">
                  <v>0.09570403775469982</v>
                </pt>
                <pt idx="17">
                  <v>0.1270960776721298</v>
                </pt>
                <pt idx="18">
                  <v>0.09034975272189151</v>
                </pt>
                <pt idx="19">
                  <v>0.08700617528514368</v>
                </pt>
              </numCache>
            </numRef>
          </val>
          <smooth val="1"/>
        </ser>
        <ser>
          <idx val="2"/>
          <order val="2"/>
          <tx>
            <strRef>
              <f>Charts!$B$20</f>
              <strCache>
                <ptCount val="1"/>
                <pt idx="0">
                  <v>Adj. EBITDA margin %</v>
                </pt>
              </strCache>
            </strRef>
          </tx>
          <spPr>
            <a:ln xmlns:a="http://schemas.openxmlformats.org/drawingml/2006/main" w="28440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Charts!$C$20:$V$20</f>
              <numCache>
                <formatCode>0.0%;\(0.0%\);\-</formatCode>
                <ptCount val="20"/>
                <pt idx="0">
                  <v>0.2424764321972444</v>
                </pt>
                <pt idx="1">
                  <v>0.2675909564587015</v>
                </pt>
                <pt idx="2">
                  <v>0.2347530776850148</v>
                </pt>
                <pt idx="3">
                  <v>0.2138494067896159</v>
                </pt>
                <pt idx="4">
                  <v>0.2101632172303551</v>
                </pt>
                <pt idx="5">
                  <v>0.1959857634634459</v>
                </pt>
                <pt idx="6">
                  <v>0.1619061641146447</v>
                </pt>
                <pt idx="7">
                  <v>0.1810252841568082</v>
                </pt>
                <pt idx="8">
                  <v>0.1815415821501015</v>
                </pt>
                <pt idx="9">
                  <v>0.2166063962029607</v>
                </pt>
                <pt idx="10">
                  <v>0.2544254739708808</v>
                </pt>
                <pt idx="11">
                  <v>0.253278192455114</v>
                </pt>
                <pt idx="12">
                  <v>0.2600603402473691</v>
                </pt>
                <pt idx="13">
                  <v>0.2647231603988776</v>
                </pt>
                <pt idx="14">
                  <v>0.2944671134696293</v>
                </pt>
                <pt idx="15">
                  <v>0.282323605467307</v>
                </pt>
                <pt idx="16">
                  <v>0.2597594429204474</v>
                </pt>
                <pt idx="17">
                  <v>0.3139497137460898</v>
                </pt>
                <pt idx="18">
                  <v>0.3160954712362301</v>
                </pt>
                <pt idx="19">
                  <v>0.3357723577235772</v>
                </pt>
              </numCache>
            </numRef>
          </val>
          <smooth val="1"/>
        </ser>
        <ser>
          <idx val="3"/>
          <order val="3"/>
          <tx>
            <strRef>
              <f>Charts!$B$21</f>
              <strCache>
                <ptCount val="1"/>
                <pt idx="0">
                  <v>FCF margin %</v>
                </pt>
              </strCache>
            </strRef>
          </tx>
          <spPr>
            <a:ln xmlns:a="http://schemas.openxmlformats.org/drawingml/2006/main" w="28440">
              <a:solidFill>
                <a:srgbClr val="C8553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Charts!$C$7:$V$7</f>
              <numCache>
                <formatCode>General</formatCode>
                <ptCount val="20"/>
                <pt idx="0">
                  <v>2006</v>
                </pt>
                <pt idx="1">
                  <v>2007</v>
                </pt>
                <pt idx="2">
                  <v>2008</v>
                </pt>
                <pt idx="3">
                  <v>2009</v>
                </pt>
                <pt idx="4">
                  <v>2010</v>
                </pt>
                <pt idx="5">
                  <v>2011</v>
                </pt>
                <pt idx="6">
                  <v>2012</v>
                </pt>
                <pt idx="7">
                  <v>2013</v>
                </pt>
                <pt idx="8">
                  <v>2014</v>
                </pt>
                <pt idx="9">
                  <v>2015</v>
                </pt>
                <pt idx="10">
                  <v>2016</v>
                </pt>
                <pt idx="11">
                  <v>2017</v>
                </pt>
                <pt idx="12">
                  <v>2018</v>
                </pt>
                <pt idx="13">
                  <v>2019</v>
                </pt>
                <pt idx="14">
                  <v>2020</v>
                </pt>
                <pt idx="15">
                  <v>2021</v>
                </pt>
                <pt idx="16">
                  <v>2022</v>
                </pt>
                <pt idx="17">
                  <v>2023</v>
                </pt>
                <pt idx="18">
                  <v>2024</v>
                </pt>
                <pt idx="19">
                  <v>2025</v>
                </pt>
              </numCache>
            </numRef>
          </cat>
          <val>
            <numRef>
              <f>Charts!$C$21:$V$21</f>
              <numCache>
                <formatCode>0.0%;\(0.0%\);\-</formatCode>
                <ptCount val="20"/>
                <pt idx="0">
                  <v>0.03273023930384337</v>
                </pt>
                <pt idx="1">
                  <v>0.05919305876489511</v>
                </pt>
                <pt idx="2">
                  <v>0.04121881043347014</v>
                </pt>
                <pt idx="3">
                  <v>0.1052143780101022</v>
                </pt>
                <pt idx="4">
                  <v>0.0750978742498177</v>
                </pt>
                <pt idx="5">
                  <v>0.06052336775774549</v>
                </pt>
                <pt idx="6">
                  <v>0.03517177071063997</v>
                </pt>
                <pt idx="7">
                  <v>0.07131431222454188</v>
                </pt>
                <pt idx="8">
                  <v>0.05053245436105477</v>
                </pt>
                <pt idx="9">
                  <v>0.07201915470674651</v>
                </pt>
                <pt idx="10">
                  <v>0.07630328899130616</v>
                </pt>
                <pt idx="11">
                  <v>0.06242510591083318</v>
                </pt>
                <pt idx="12">
                  <v>0.07756207494112644</v>
                </pt>
                <pt idx="13">
                  <v>0.120824680139554</v>
                </pt>
                <pt idx="14">
                  <v>0.1459650309731707</v>
                </pt>
                <pt idx="15">
                  <v>0.1319911340967861</v>
                </pt>
                <pt idx="16">
                  <v>0.08268540912558639</v>
                </pt>
                <pt idx="17">
                  <v>0.1295667827421354</v>
                </pt>
                <pt idx="18">
                  <v>0.09241126070991432</v>
                </pt>
                <pt idx="19">
                  <v>0.1590243902439024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27004353"/>
        <axId val="61682655"/>
      </lineChart>
      <catAx>
        <axId val="2700435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1682655"/>
        <crosses val="autoZero"/>
        <auto val="1"/>
        <lblAlgn val="ctr"/>
        <lblOffset val="100"/>
        <noMultiLvlLbl val="0"/>
      </catAx>
      <valAx>
        <axId val="6168265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700435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Model</author>
  </authors>
  <commentList>
    <comment ref="AT2" authorId="0" shapeId="0">
      <text>
        <t>Scenario toggle. Choose Bull / Base / Bear. Drives the FY26 outlook end-points used in the Q3/Q4-26E calibration and every scenario lever in the table to the right (columns BB–BF).</t>
      </text>
    </comment>
    <comment ref="B11" authorId="0" shapeId="0">
      <text>
        <t>Source: ESAB earnings releases (Form 8-K Ex. 99.1) segment adjusted-EBITDA reconciliation and 10-K / 10-Q segment notes; 2019–21 from the Form 10 (carve-out) and 2022 comparatives.</t>
      </text>
    </comment>
    <comment ref="B13" authorId="0" shapeId="0">
      <text>
        <t>Source: earnings-release "Change in Net Sales" table (existing businesses / acquisitions / foreign currency translation).</t>
      </text>
    </comment>
    <comment ref="B20" authorId="0" shapeId="0">
      <text>
        <t>Segment adjusted EBITDA = segment operating income + restructuring + acquisition-amortization &amp; other + depreciation &amp; other amortization (+ performance option awards from 2026).</t>
      </text>
    </comment>
    <comment ref="B33" authorId="0" shapeId="0">
      <text>
        <t>Source: ESAB earnings releases (Form 8-K Ex. 99.1) segment adjusted-EBITDA reconciliation and 10-K / 10-Q segment notes; 2019–21 from the Form 10 (carve-out) and 2022 comparatives.</t>
      </text>
    </comment>
    <comment ref="B35" authorId="0" shapeId="0">
      <text>
        <t>Source: earnings-release "Change in Net Sales" table (existing businesses / acquisitions / foreign currency translation).</t>
      </text>
    </comment>
    <comment ref="B42" authorId="0" shapeId="0">
      <text>
        <t>Segment adjusted EBITDA = segment operating income + restructuring + acquisition-amortization &amp; other + depreciation &amp; other amortization (+ performance option awards from 2026).</t>
      </text>
    </comment>
    <comment ref="B136" authorId="0" shapeId="0">
      <text>
        <t>Source: ESAB Forms 10-K / 10-Q, Form 10 (10-12B/A, 17-Mar-2022; carve-out combined financial statements 2019–2021) and Form 8-K earnings releases (Ex. 99.1); SEC EDGAR CIK 0001877322.</t>
      </text>
    </comment>
    <comment ref="B251" authorId="0" shapeId="0">
      <text>
        <t>Source: Forms 10-K / 10-Q / Form 10 statements of cash flows (year-to-date); discrete quarters derived.</t>
      </text>
    </comment>
  </commentList>
</comments>
</file>

<file path=xl/comments/comment2.xml><?xml version="1.0" encoding="utf-8"?>
<comments xmlns="http://schemas.openxmlformats.org/spreadsheetml/2006/main">
  <authors>
    <author>Unknown Author</author>
    <author>User</author>
  </authors>
  <commentList>
    <comment ref="N26" authorId="0" shapeId="0">
      <text>
        <t>P/E on adjusted EPS (continuing operations). MLM has traded at ~25–35x NTM EPS over 2019–26 (≈28x 2027E adjusted EPS at $518.70). Base 26x, Bull 30x, Bear 21x applied to 2028E–2030E.</t>
      </text>
    </comment>
    <comment ref="P40" authorId="1" shapeId="0">
      <text>
        <t>User:
Snapshot (values) of Model rows 290–292 (Share Buyback Schedule) with Model!CF2 = Bull, captured 6-Oct-2026.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oneCellAnchor>
    <from>
      <col>1</col>
      <colOff>0</colOff>
      <row>22</row>
      <rowOff>0</rowOff>
    </from>
    <ext cx="86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43</row>
      <rowOff>0</rowOff>
    </from>
    <ext cx="86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64</row>
      <rowOff>0</rowOff>
    </from>
    <ext cx="86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F434"/>
  <sheetViews>
    <sheetView showGridLines="0" zoomScale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style="251" min="1" max="1"/>
    <col width="62" customWidth="1" style="251" min="2" max="2"/>
    <col width="14.140625" customWidth="1" style="251" min="3" max="3"/>
    <col width="14.140625" customWidth="1" style="251" min="4" max="4"/>
    <col width="14.140625" customWidth="1" style="251" min="5" max="5"/>
    <col width="14.140625" customWidth="1" style="251" min="6" max="6"/>
    <col width="14.140625" customWidth="1" style="251" min="7" max="7"/>
    <col width="14.140625" customWidth="1" style="251" min="8" max="8"/>
    <col width="14.140625" customWidth="1" style="251" min="9" max="9"/>
    <col width="14.140625" customWidth="1" style="251" min="10" max="10"/>
    <col width="14.140625" customWidth="1" style="251" min="11" max="11"/>
    <col hidden="1" outlineLevel="1" width="9.5703125" customWidth="1" style="251" min="12" max="15"/>
    <col width="14.140625" customWidth="1" style="251" min="16" max="16"/>
    <col hidden="1" outlineLevel="1" width="9.5703125" customWidth="1" style="251" min="17" max="20"/>
    <col width="14.140625" customWidth="1" style="251" min="21" max="21"/>
    <col hidden="1" outlineLevel="1" width="9.5703125" customWidth="1" style="251" min="22" max="25"/>
    <col width="14.140625" customWidth="1" style="251" min="26" max="26"/>
    <col hidden="1" outlineLevel="1" width="9.5703125" customWidth="1" style="251" min="27" max="30"/>
    <col width="14.140625" customWidth="1" style="251" min="31" max="31"/>
    <col hidden="1" outlineLevel="1" width="9.5703125" customWidth="1" style="251" min="32" max="35"/>
    <col width="14.140625" customWidth="1" style="251" min="36" max="36"/>
    <col hidden="1" outlineLevel="1" width="9.5703125" customWidth="1" style="251" min="37" max="40"/>
    <col width="14.140625" customWidth="1" style="251" min="41" max="41"/>
    <col width="14.140625" customWidth="1" style="251" min="42" max="42"/>
    <col width="14.140625" customWidth="1" style="251" min="43" max="43"/>
    <col width="14.140625" customWidth="1" style="251" min="44" max="44"/>
    <col width="14.140625" customWidth="1" style="251" min="45" max="45"/>
    <col width="86.85546875" customWidth="1" style="251" min="46" max="46"/>
    <col width="2" customWidth="1" style="251" min="47" max="47"/>
    <col width="14.14" customWidth="1" style="251" min="48" max="48"/>
    <col width="12.43" customWidth="1" style="251" min="49" max="49"/>
    <col width="13.43" customWidth="1" style="251" min="50" max="50"/>
    <col width="13.43" customWidth="1" style="251" min="51" max="51"/>
    <col width="2" customWidth="1" style="251" min="52" max="52"/>
    <col width="6" customWidth="1" style="251" min="53" max="53"/>
    <col width="46" customWidth="1" style="251" min="54" max="54"/>
    <col width="11.57" customWidth="1" style="251" min="55" max="55"/>
    <col width="11.57" customWidth="1" style="251" min="56" max="56"/>
    <col width="11.57" customWidth="1" style="251" min="57" max="57"/>
    <col width="60" customWidth="1" style="251" min="58" max="58"/>
  </cols>
  <sheetData>
    <row r="1">
      <c r="AT1" s="1" t="inlineStr">
        <is>
          <t>SCENARIO SWITCH ▼ (Bull / Base / Bear) — drives all scenario-linked forecast drivers</t>
        </is>
      </c>
    </row>
    <row r="2">
      <c r="B2" s="2" t="inlineStr">
        <is>
          <t>ESAB Corporation (NYSE: ESAB) — 3-Statement Financial Model</t>
        </is>
      </c>
      <c r="AT2" s="3" t="inlineStr">
        <is>
          <t>Base</t>
        </is>
      </c>
    </row>
    <row r="3">
      <c r="B3" s="4" t="inlineStr">
        <is>
          <t>US GAAP as reported · USD millions (per-share data in USD; shares in millions) · Source: ESAB Forms 10-K / 10-Q, Form 10 information statement (10-12B/A, 17-Mar-2022; carve-out combined financial statements 2019–2021), Form 8-K earnings releases (Ex. 99.1) and Eddyfi deal 8-Ks / 8-K/A (Ex. 99.1–99.3), SEC EDGAR CIK 0001877322; pre-spin Colfax 10-K "Fabrication Technology" segment data 2012–2021 (CIK 0001420800) as memo</t>
        </is>
      </c>
    </row>
    <row r="4">
      <c r="B4" s="5" t="inlineStr">
        <is>
          <t>Basis notes: calendar fiscal year (fiscal quarters end on the Friday nearest quarter end). Spun off from Colfax on 4-Apr-2022: 2019–Q1/22 carve-out (combined) basis, 2012–2018 Colfax segment memo only. Two reportable segments (Americas; EMEA &amp; APAC). "Core" = excluding Russia (from Q2/22). Adjusted EBITDA / adjusted EPS = company definitions (restructuring, acquisition-amortization &amp; other, separation costs 2022–23, pension settlements, performance option awards; MCPS if-converted). Eddyfi Technologies acquired 1-Jun-2026 ($1.45bn) — inside the segments in Q2/26 actuals, modelled separately from Q3/26E; FY26 outlook (6-Aug-2026) includes Eddyfi. Asbestos activity of divested Colfax businesses reported in discontinued operations.</t>
        </is>
      </c>
    </row>
    <row r="5">
      <c r="AV5" s="6" t="inlineStr">
        <is>
          <t>Forecast</t>
        </is>
      </c>
      <c r="AW5" s="6" t="inlineStr">
        <is>
          <t>Historical</t>
        </is>
      </c>
      <c r="AX5" s="6" t="inlineStr">
        <is>
          <t>Historical</t>
        </is>
      </c>
      <c r="AY5" s="6" t="inlineStr">
        <is>
          <t>Historical</t>
        </is>
      </c>
    </row>
    <row r="6">
      <c r="B6" s="7" t="inlineStr">
        <is>
          <t>(USDm)</t>
        </is>
      </c>
      <c r="C6" s="8" t="n">
        <v>2012</v>
      </c>
      <c r="D6" s="8" t="n">
        <v>2013</v>
      </c>
      <c r="E6" s="8" t="n">
        <v>2014</v>
      </c>
      <c r="F6" s="8" t="n">
        <v>2015</v>
      </c>
      <c r="G6" s="8" t="n">
        <v>2016</v>
      </c>
      <c r="H6" s="8" t="n">
        <v>2017</v>
      </c>
      <c r="I6" s="8" t="n">
        <v>2018</v>
      </c>
      <c r="J6" s="8" t="n">
        <v>2019</v>
      </c>
      <c r="K6" s="8" t="n">
        <v>2020</v>
      </c>
      <c r="L6" s="8" t="inlineStr">
        <is>
          <t>Q1/21</t>
        </is>
      </c>
      <c r="M6" s="8" t="inlineStr">
        <is>
          <t>Q2/21</t>
        </is>
      </c>
      <c r="N6" s="8" t="inlineStr">
        <is>
          <t>Q3/21</t>
        </is>
      </c>
      <c r="O6" s="8" t="inlineStr">
        <is>
          <t>Q4/21</t>
        </is>
      </c>
      <c r="P6" s="8" t="n">
        <v>2021</v>
      </c>
      <c r="Q6" s="8" t="inlineStr">
        <is>
          <t>Q1/22</t>
        </is>
      </c>
      <c r="R6" s="8" t="inlineStr">
        <is>
          <t>Q2/22</t>
        </is>
      </c>
      <c r="S6" s="8" t="inlineStr">
        <is>
          <t>Q3/22</t>
        </is>
      </c>
      <c r="T6" s="8" t="inlineStr">
        <is>
          <t>Q4/22</t>
        </is>
      </c>
      <c r="U6" s="8" t="n">
        <v>2022</v>
      </c>
      <c r="V6" s="8" t="inlineStr">
        <is>
          <t>Q1/23</t>
        </is>
      </c>
      <c r="W6" s="8" t="inlineStr">
        <is>
          <t>Q2/23</t>
        </is>
      </c>
      <c r="X6" s="8" t="inlineStr">
        <is>
          <t>Q3/23</t>
        </is>
      </c>
      <c r="Y6" s="8" t="inlineStr">
        <is>
          <t>Q4/23</t>
        </is>
      </c>
      <c r="Z6" s="8" t="n">
        <v>2023</v>
      </c>
      <c r="AA6" s="8" t="inlineStr">
        <is>
          <t>Q1/24</t>
        </is>
      </c>
      <c r="AB6" s="8" t="inlineStr">
        <is>
          <t>Q2/24</t>
        </is>
      </c>
      <c r="AC6" s="8" t="inlineStr">
        <is>
          <t>Q3/24</t>
        </is>
      </c>
      <c r="AD6" s="8" t="inlineStr">
        <is>
          <t>Q4/24</t>
        </is>
      </c>
      <c r="AE6" s="8" t="n">
        <v>2024</v>
      </c>
      <c r="AF6" s="8" t="inlineStr">
        <is>
          <t>Q1/25</t>
        </is>
      </c>
      <c r="AG6" s="8" t="inlineStr">
        <is>
          <t>Q2/25</t>
        </is>
      </c>
      <c r="AH6" s="8" t="inlineStr">
        <is>
          <t>Q3/25</t>
        </is>
      </c>
      <c r="AI6" s="8" t="inlineStr">
        <is>
          <t>Q4/25</t>
        </is>
      </c>
      <c r="AJ6" s="8" t="n">
        <v>2025</v>
      </c>
      <c r="AK6" s="8" t="inlineStr">
        <is>
          <t>Q1/26</t>
        </is>
      </c>
      <c r="AL6" s="8" t="inlineStr">
        <is>
          <t>Q2/26</t>
        </is>
      </c>
      <c r="AM6" s="8" t="inlineStr">
        <is>
          <t>Q3/26E</t>
        </is>
      </c>
      <c r="AN6" s="8" t="inlineStr">
        <is>
          <t>Q4/26E</t>
        </is>
      </c>
      <c r="AO6" s="8" t="inlineStr">
        <is>
          <t>2026E</t>
        </is>
      </c>
      <c r="AP6" s="8" t="inlineStr">
        <is>
          <t>2027E</t>
        </is>
      </c>
      <c r="AQ6" s="8" t="inlineStr">
        <is>
          <t>2028E</t>
        </is>
      </c>
      <c r="AR6" s="8" t="inlineStr">
        <is>
          <t>2029E</t>
        </is>
      </c>
      <c r="AS6" s="8" t="inlineStr">
        <is>
          <t>2030E</t>
        </is>
      </c>
      <c r="AT6" s="8" t="inlineStr">
        <is>
          <t>Modelling Notes</t>
        </is>
      </c>
      <c r="AV6" s="6" t="inlineStr">
        <is>
          <t>5Y CAGR</t>
        </is>
      </c>
      <c r="AW6" s="6" t="inlineStr">
        <is>
          <t>5Y CAGR</t>
        </is>
      </c>
      <c r="AX6" s="6" t="inlineStr">
        <is>
          <t>10Y CAGR</t>
        </is>
      </c>
      <c r="AY6" s="6" t="inlineStr">
        <is>
          <t>13Y CAGR</t>
        </is>
      </c>
    </row>
    <row r="7">
      <c r="AV7" s="9" t="inlineStr">
        <is>
          <t>25-'30</t>
        </is>
      </c>
      <c r="AW7" s="9" t="inlineStr">
        <is>
          <t>20-'25</t>
        </is>
      </c>
      <c r="AX7" s="9" t="inlineStr">
        <is>
          <t>15-'25</t>
        </is>
      </c>
      <c r="AY7" s="9" t="inlineStr">
        <is>
          <t>12-'25</t>
        </is>
      </c>
    </row>
    <row r="8">
      <c r="B8" s="10" t="inlineStr">
        <is>
          <t>SEGMENT P&amp;L — AMERICAS · EMEA &amp; APAC (organic × acquisitions × FX build) · EDDYFI (acquired 1-Jun-2026)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inlineStr">
        <is>
          <t>SEGMENT BUILD — modelling logic (prior-year net sales × (1 + organic + acquisitions + FX) → segment adjusted EBITDA; Eddyfi modelled separately from Q3/26E)</t>
        </is>
      </c>
    </row>
    <row r="9">
      <c r="AT9" s="19" t="n"/>
      <c r="BB9" s="11" t="inlineStr">
        <is>
          <t>SCENARIO INPUT TABLE — driver assumptions per Bull / Base / Bear</t>
        </is>
      </c>
      <c r="BC9" s="12" t="inlineStr">
        <is>
          <t>Bull</t>
        </is>
      </c>
      <c r="BD9" s="12" t="inlineStr">
        <is>
          <t>Base</t>
        </is>
      </c>
      <c r="BE9" s="12" t="inlineStr">
        <is>
          <t>Bear</t>
        </is>
      </c>
      <c r="BF9" s="13" t="inlineStr">
        <is>
          <t>Bull / Bear = Base + Δ (Δ inputs on each lever header). Outlook block = high / mid / low end of the FY26 ranges.</t>
        </is>
      </c>
    </row>
    <row r="10">
      <c r="B10" s="14" t="inlineStr">
        <is>
          <t>Americas (welding &amp; cutting equipment, consumables, gas control, automation — North &amp; South America)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5" t="inlineStr">
        <is>
          <t>AMERICAS — modelling logic</t>
        </is>
      </c>
    </row>
    <row r="11">
      <c r="B11" s="16" t="inlineStr">
        <is>
          <t xml:space="preserve">  Net sales</t>
        </is>
      </c>
      <c r="C11" s="43" t="n"/>
      <c r="D11" s="43" t="n"/>
      <c r="E11" s="43" t="n"/>
      <c r="F11" s="43" t="n"/>
      <c r="G11" s="43" t="n"/>
      <c r="H11" s="43" t="n"/>
      <c r="I11" s="43" t="n"/>
      <c r="J11" s="31" t="n">
        <v>939.673</v>
      </c>
      <c r="K11" s="31" t="n">
        <v>767.414</v>
      </c>
      <c r="L11" s="31" t="n">
        <v>226.2</v>
      </c>
      <c r="M11" s="31" t="n">
        <v>253.6</v>
      </c>
      <c r="N11" s="31" t="n">
        <v>260</v>
      </c>
      <c r="O11" s="31" t="n">
        <v>264.4</v>
      </c>
      <c r="P11" s="31" t="n">
        <v>1004.2</v>
      </c>
      <c r="Q11" s="31" t="n">
        <v>272.3</v>
      </c>
      <c r="R11" s="31" t="n">
        <v>291.1</v>
      </c>
      <c r="S11" s="31" t="n">
        <v>281.4</v>
      </c>
      <c r="T11" s="31" t="n">
        <v>283.6</v>
      </c>
      <c r="U11" s="31" t="n">
        <v>1128.4</v>
      </c>
      <c r="V11" s="31" t="n">
        <v>291.6</v>
      </c>
      <c r="W11" s="31" t="n">
        <v>310.3</v>
      </c>
      <c r="X11" s="31" t="n">
        <v>305.8</v>
      </c>
      <c r="Y11" s="31" t="n">
        <v>307.3</v>
      </c>
      <c r="Z11" s="31" t="n">
        <v>1215</v>
      </c>
      <c r="AA11" s="31" t="n">
        <v>296</v>
      </c>
      <c r="AB11" s="31" t="n">
        <v>309.8</v>
      </c>
      <c r="AC11" s="31" t="n">
        <v>288.8</v>
      </c>
      <c r="AD11" s="31" t="n">
        <v>282.1</v>
      </c>
      <c r="AE11" s="31" t="n">
        <v>1176.7</v>
      </c>
      <c r="AF11" s="31" t="n">
        <v>280.7</v>
      </c>
      <c r="AG11" s="31" t="n">
        <v>282.7</v>
      </c>
      <c r="AH11" s="31" t="n">
        <v>292.7</v>
      </c>
      <c r="AI11" s="31" t="n">
        <v>274.2</v>
      </c>
      <c r="AJ11" s="31" t="n">
        <v>1130.3</v>
      </c>
      <c r="AK11" s="31" t="n">
        <v>288.4</v>
      </c>
      <c r="AL11" s="31" t="n">
        <v>315.9</v>
      </c>
      <c r="AM11" s="253">
        <f>AH11*(1+AM12)</f>
        <v>305.614698386478</v>
      </c>
      <c r="AN11" s="253">
        <f>AI11*(1+AN12)</f>
        <v>286.298429441654</v>
      </c>
      <c r="AO11" s="253">
        <f>SUM(AK11,AL11,AM11,AN11)</f>
        <v>1196.21312782813</v>
      </c>
      <c r="AP11" s="253">
        <f>(AO11-N(AO19))*(1+AP12)</f>
        <v>1234.07765294126</v>
      </c>
      <c r="AQ11" s="253">
        <f>(AP11-N(AP19))*(1+AQ12)</f>
        <v>1283.44075905891</v>
      </c>
      <c r="AR11" s="253">
        <f>(AQ11-N(AQ19))*(1+AR12)</f>
        <v>1328.36118562597</v>
      </c>
      <c r="AS11" s="253">
        <f>(AR11-N(AR19))*(1+AS12)</f>
        <v>1374.85382712288</v>
      </c>
      <c r="AT11" s="19" t="inlineStr">
        <is>
          <t>Historical: as reported (Q2/26 includes one month of Eddyfi). Q3/Q4-26E: legacy business only = prior-year quarter × (1 + organic + acquisitions + FX); Eddyfi in its own block. 2027E+: legacy 2026E (ex-Eddyfi June) × (1 + organic lever + FX).</t>
        </is>
      </c>
      <c r="AV11" s="20">
        <f>IFERROR((AS11/AJ11)^(1/5)-1,"n/m")</f>
        <v>0.0399502409218293</v>
      </c>
      <c r="AW11" s="20">
        <f>IFERROR((AJ11/K11)^(1/5)-1,"n/m")</f>
        <v>0.0805199802087493</v>
      </c>
      <c r="AX11" s="20" t="str">
        <f>IFERROR((AJ11/F11)^(1/10)-1,"n/m")</f>
        <v>n/m</v>
      </c>
      <c r="AY11" s="20" t="str">
        <f>IFERROR((AJ11/C11)^(1/13)-1,"n/m")</f>
        <v>n/m</v>
      </c>
      <c r="BB11" s="15" t="inlineStr">
        <is>
          <t>FY26 outlook — Q2-26 release (6-Aug-26); includes Eddyfi from 1-Jun-26</t>
        </is>
      </c>
      <c r="BC11" s="21" t="inlineStr">
        <is>
          <t>High</t>
        </is>
      </c>
      <c r="BD11" s="21" t="inlineStr">
        <is>
          <t>Mid</t>
        </is>
      </c>
      <c r="BE11" s="21" t="inlineStr">
        <is>
          <t>Low</t>
        </is>
      </c>
      <c r="BF11" s="13" t="inlineStr">
        <is>
          <t>Updated outlook: total core sales growth 11.0–14.0% (core organic 2–4%, M&amp;A ~9%, FX 0–1%); core adjusted EBITDA $615–625m; core adjusted EPS $5.40–5.50.</t>
        </is>
      </c>
    </row>
    <row r="12">
      <c r="B12" s="22" t="inlineStr">
        <is>
          <t xml:space="preserve">  Net sales y/y %</t>
        </is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>
        <f>IF(AND(ISNUMBER(K11),ISNUMBER(J11)),IFERROR(K11/J11-1,""),"")</f>
        <v>-0.183318026590101</v>
      </c>
      <c r="L12" s="23" t="n"/>
      <c r="M12" s="23" t="n"/>
      <c r="N12" s="23" t="n"/>
      <c r="O12" s="23" t="n"/>
      <c r="P12" s="23">
        <f>IF(AND(ISNUMBER(P11),ISNUMBER(K11)),IFERROR(P11/K11-1,""),"")</f>
        <v>0.308550534652743</v>
      </c>
      <c r="Q12" s="23">
        <f>IF(AND(ISNUMBER(Q11),ISNUMBER(L11)),IFERROR(Q11/L11-1,""),"")</f>
        <v>0.203801945181256</v>
      </c>
      <c r="R12" s="23">
        <f>IF(AND(ISNUMBER(R11),ISNUMBER(M11)),IFERROR(R11/M11-1,""),"")</f>
        <v>0.147870662460568</v>
      </c>
      <c r="S12" s="23">
        <f>IF(AND(ISNUMBER(S11),ISNUMBER(N11)),IFERROR(S11/N11-1,""),"")</f>
        <v>0.0823076923076922</v>
      </c>
      <c r="T12" s="23">
        <f>IF(AND(ISNUMBER(T11),ISNUMBER(O11)),IFERROR(T11/O11-1,""),"")</f>
        <v>0.0726172465960668</v>
      </c>
      <c r="U12" s="23">
        <f>IF(AND(ISNUMBER(U11),ISNUMBER(P11)),IFERROR(U11/P11-1,""),"")</f>
        <v>0.123680541724756</v>
      </c>
      <c r="V12" s="23">
        <f>IF(AND(ISNUMBER(V11),ISNUMBER(Q11)),IFERROR(V11/Q11-1,""),"")</f>
        <v>0.0708777084098422</v>
      </c>
      <c r="W12" s="23">
        <f>IF(AND(ISNUMBER(W11),ISNUMBER(R11)),IFERROR(W11/R11-1,""),"")</f>
        <v>0.0659567159051873</v>
      </c>
      <c r="X12" s="23">
        <f>IF(AND(ISNUMBER(X11),ISNUMBER(S11)),IFERROR(X11/S11-1,""),"")</f>
        <v>0.0867093105899077</v>
      </c>
      <c r="Y12" s="23">
        <f>IF(AND(ISNUMBER(Y11),ISNUMBER(T11)),IFERROR(Y11/T11-1,""),"")</f>
        <v>0.0835684062059239</v>
      </c>
      <c r="Z12" s="23">
        <f>IF(AND(ISNUMBER(Z11),ISNUMBER(U11)),IFERROR(Z11/U11-1,""),"")</f>
        <v>0.0767458348103509</v>
      </c>
      <c r="AA12" s="23">
        <f>IF(AND(ISNUMBER(AA11),ISNUMBER(V11)),IFERROR(AA11/V11-1,""),"")</f>
        <v>0.0150891632373114</v>
      </c>
      <c r="AB12" s="23">
        <f>IF(AND(ISNUMBER(AB11),ISNUMBER(W11)),IFERROR(AB11/W11-1,""),"")</f>
        <v>-0.00161134386077988</v>
      </c>
      <c r="AC12" s="23">
        <f>IF(AND(ISNUMBER(AC11),ISNUMBER(X11)),IFERROR(AC11/X11-1,""),"")</f>
        <v>-0.0555918901242642</v>
      </c>
      <c r="AD12" s="23">
        <f>IF(AND(ISNUMBER(AD11),ISNUMBER(Y11)),IFERROR(AD11/Y11-1,""),"")</f>
        <v>-0.082004555808656</v>
      </c>
      <c r="AE12" s="23">
        <f>IF(AND(ISNUMBER(AE11),ISNUMBER(Z11)),IFERROR(AE11/Z11-1,""),"")</f>
        <v>-0.031522633744856</v>
      </c>
      <c r="AF12" s="23">
        <f>IF(AND(ISNUMBER(AF11),ISNUMBER(AA11)),IFERROR(AF11/AA11-1,""),"")</f>
        <v>-0.0516891891891892</v>
      </c>
      <c r="AG12" s="23">
        <f>IF(AND(ISNUMBER(AG11),ISNUMBER(AB11)),IFERROR(AG11/AB11-1,""),"")</f>
        <v>-0.0874757908327954</v>
      </c>
      <c r="AH12" s="23">
        <f>IF(AND(ISNUMBER(AH11),ISNUMBER(AC11)),IFERROR(AH11/AC11-1,""),"")</f>
        <v>0.0135041551246538</v>
      </c>
      <c r="AI12" s="23">
        <f>IF(AND(ISNUMBER(AI11),ISNUMBER(AD11)),IFERROR(AI11/AD11-1,""),"")</f>
        <v>-0.0280042538107056</v>
      </c>
      <c r="AJ12" s="23">
        <f>IF(AND(ISNUMBER(AJ11),ISNUMBER(AE11)),IFERROR(AJ11/AE11-1,""),"")</f>
        <v>-0.0394323106994137</v>
      </c>
      <c r="AK12" s="23">
        <f>IF(AND(ISNUMBER(AK11),ISNUMBER(AF11)),IFERROR(AK11/AF11-1,""),"")</f>
        <v>0.027431421446384</v>
      </c>
      <c r="AL12" s="23">
        <f>IF(AND(ISNUMBER(AL11),ISNUMBER(AG11)),IFERROR(AL11/AG11-1,""),"")</f>
        <v>0.117438981252211</v>
      </c>
      <c r="AM12" s="254">
        <f>AM13+AM14+AM15</f>
        <v>0.0441226456661347</v>
      </c>
      <c r="AN12" s="254">
        <f>AN13+AN14+AN15</f>
        <v>0.0441226456661347</v>
      </c>
      <c r="AO12" s="254">
        <f>IFERROR(AO11/AJ11-1,"")</f>
        <v>0.058314719833789</v>
      </c>
      <c r="AP12" s="254">
        <f>AP13+AP14+AP15</f>
        <v>0.04</v>
      </c>
      <c r="AQ12" s="254">
        <f>AQ13+AQ14+AQ15</f>
        <v>0.04</v>
      </c>
      <c r="AR12" s="254">
        <f>AR13+AR14+AR15</f>
        <v>0.035</v>
      </c>
      <c r="AS12" s="254">
        <f>AS13+AS14+AS15</f>
        <v>0.035</v>
      </c>
      <c r="AT12" s="19" t="n"/>
      <c r="BB12" s="25" t="inlineStr">
        <is>
          <t xml:space="preserve">  FY26 core sales growth (ex-Russia)</t>
        </is>
      </c>
      <c r="BC12" s="42" t="n">
        <v>0.14</v>
      </c>
      <c r="BD12" s="42" t="n">
        <v>0.125</v>
      </c>
      <c r="BE12" s="42" t="n">
        <v>0.11</v>
      </c>
      <c r="BF12" s="13" t="inlineStr">
        <is>
          <t>Raised from 6–9% (M&amp;A contribution ~9% from ~4% after the Eddyfi close). Drives the Q3/Q4-26E organic calibration.</t>
        </is>
      </c>
    </row>
    <row r="13">
      <c r="B13" s="25" t="inlineStr">
        <is>
          <t xml:space="preserve">  Organic growth % (company; price, mix &amp; volume)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40" t="n">
        <v>0.211</v>
      </c>
      <c r="R13" s="40" t="n">
        <v>0.15</v>
      </c>
      <c r="S13" s="40" t="n">
        <v>0.104</v>
      </c>
      <c r="T13" s="40" t="n">
        <v>0.052</v>
      </c>
      <c r="U13" s="40" t="n">
        <v>0.127</v>
      </c>
      <c r="V13" s="40" t="n">
        <v>0.045</v>
      </c>
      <c r="W13" s="40" t="n">
        <v>0.041</v>
      </c>
      <c r="X13" s="40" t="n">
        <v>0.04</v>
      </c>
      <c r="Y13" s="40" t="n">
        <v>0.08799999999999999</v>
      </c>
      <c r="Z13" s="40" t="n">
        <v>0.054</v>
      </c>
      <c r="AA13" s="40" t="n">
        <v>0.031</v>
      </c>
      <c r="AB13" s="40" t="n">
        <v>0.04</v>
      </c>
      <c r="AC13" s="40" t="n">
        <v>0.02</v>
      </c>
      <c r="AD13" s="40" t="n">
        <v>-0.015</v>
      </c>
      <c r="AE13" s="40" t="n">
        <v>0.019</v>
      </c>
      <c r="AF13" s="40" t="n">
        <v>-0.024</v>
      </c>
      <c r="AG13" s="40" t="n">
        <v>-0.07199999999999999</v>
      </c>
      <c r="AH13" s="40" t="n">
        <v>0.001</v>
      </c>
      <c r="AI13" s="40" t="n">
        <v>-0.049</v>
      </c>
      <c r="AJ13" s="40" t="n">
        <v>-0.037</v>
      </c>
      <c r="AK13" s="40" t="n">
        <v>-0.007</v>
      </c>
      <c r="AL13" s="40" t="n">
        <v>0.049</v>
      </c>
      <c r="AM13" s="254">
        <f>$AL$13+AM118</f>
        <v>0.0441226456661347</v>
      </c>
      <c r="AN13" s="254">
        <f>$AL$13+AN118</f>
        <v>0.0441226456661347</v>
      </c>
      <c r="AO13" s="254">
        <f>IFERROR(AO16/AJ11,"")</f>
        <v>0.0325693425003377</v>
      </c>
      <c r="AP13" s="254">
        <f>CHOOSE(MATCH($AT$2,{"Bull","Base","Bear"},0),$BC$21,$BD$21,$BE$21)</f>
        <v>0.04</v>
      </c>
      <c r="AQ13" s="254">
        <f>CHOOSE(MATCH($AT$2,{"Bull","Base","Bear"},0),$BC$22,$BD$22,$BE$22)</f>
        <v>0.04</v>
      </c>
      <c r="AR13" s="254">
        <f>CHOOSE(MATCH($AT$2,{"Bull","Base","Bear"},0),$BC$23,$BD$23,$BE$23)</f>
        <v>0.035</v>
      </c>
      <c r="AS13" s="254">
        <f>CHOOSE(MATCH($AT$2,{"Bull","Base","Bear"},0),$BC$24,$BD$24,$BE$24)</f>
        <v>0.035</v>
      </c>
      <c r="AT13" s="19" t="inlineStr">
        <is>
          <t>Q3/Q4-26E: Q2/26 y/y organic + outlook calibration Δ. 2027E+: scenario lever. ESAB does not split organic growth into price and volume.</t>
        </is>
      </c>
      <c r="BB13" s="25" t="inlineStr">
        <is>
          <t xml:space="preserve">  FY26 core adjusted EBITDA ($m)</t>
        </is>
      </c>
      <c r="BC13" s="26" t="n">
        <v>625</v>
      </c>
      <c r="BD13" s="26" t="n">
        <v>620</v>
      </c>
      <c r="BE13" s="26" t="n">
        <v>615</v>
      </c>
      <c r="BF13" s="13" t="inlineStr">
        <is>
          <t>Raised to $615–625m (from $575–595m). Drives the Q3/Q4-26E margin calibration.</t>
        </is>
      </c>
    </row>
    <row r="14">
      <c r="B14" s="25" t="inlineStr">
        <is>
          <t xml:space="preserve">  Acquisitions % (excl. Eddyfi in forecast)</t>
        </is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40" t="n">
        <v>0</v>
      </c>
      <c r="R14" s="40" t="n">
        <v>0</v>
      </c>
      <c r="S14" s="40" t="n">
        <v>0</v>
      </c>
      <c r="T14" s="40" t="n">
        <v>0.04</v>
      </c>
      <c r="U14" s="40" t="n">
        <v>0.011</v>
      </c>
      <c r="V14" s="40" t="n">
        <v>0.048</v>
      </c>
      <c r="W14" s="40" t="n">
        <v>0.047</v>
      </c>
      <c r="X14" s="40" t="n">
        <v>0.052</v>
      </c>
      <c r="Y14" s="40" t="n">
        <v>0.008</v>
      </c>
      <c r="Z14" s="40" t="n">
        <v>0.039</v>
      </c>
      <c r="AA14" s="40" t="n">
        <v>0.003</v>
      </c>
      <c r="AB14" s="40" t="n">
        <v>0.008999999999999999</v>
      </c>
      <c r="AC14" s="40" t="n">
        <v>0.008999999999999999</v>
      </c>
      <c r="AD14" s="40" t="n">
        <v>0.026</v>
      </c>
      <c r="AE14" s="40" t="n">
        <v>0.012</v>
      </c>
      <c r="AF14" s="40" t="n">
        <v>0.032</v>
      </c>
      <c r="AG14" s="40" t="n">
        <v>0.026</v>
      </c>
      <c r="AH14" s="40" t="n">
        <v>0.026</v>
      </c>
      <c r="AI14" s="40" t="n">
        <v>0.008999999999999999</v>
      </c>
      <c r="AJ14" s="40" t="n">
        <v>0.024</v>
      </c>
      <c r="AK14" s="40" t="n">
        <v>0</v>
      </c>
      <c r="AL14" s="40" t="n">
        <v>0.034</v>
      </c>
      <c r="AM14" s="255" t="n">
        <v>0</v>
      </c>
      <c r="AN14" s="255" t="n">
        <v>0</v>
      </c>
      <c r="AO14" s="254">
        <f>IFERROR(AO17/AJ11,"")</f>
        <v>0.00849332035742723</v>
      </c>
      <c r="AP14" s="255" t="n">
        <v>0</v>
      </c>
      <c r="AQ14" s="255" t="n">
        <v>0</v>
      </c>
      <c r="AR14" s="255" t="n">
        <v>0</v>
      </c>
      <c r="AS14" s="255" t="n">
        <v>0</v>
      </c>
      <c r="AT14" s="19" t="inlineStr">
        <is>
          <t>Eddyfi (Americas share) modelled in the Eddyfi block from Q3/26E; no other Americas deals to anniversary.</t>
        </is>
      </c>
      <c r="BB14" s="25" t="inlineStr">
        <is>
          <t xml:space="preserve">  FY26 core adjusted EPS ($; memo)</t>
        </is>
      </c>
      <c r="BC14" s="256" t="n">
        <v>5.5</v>
      </c>
      <c r="BD14" s="256" t="n">
        <v>5.45</v>
      </c>
      <c r="BE14" s="256" t="n">
        <v>5.4</v>
      </c>
      <c r="BF14" s="13" t="inlineStr">
        <is>
          <t>$5.40–5.50 (memo; compare with model core adjusted EPS).</t>
        </is>
      </c>
    </row>
    <row r="15">
      <c r="B15" s="25" t="inlineStr">
        <is>
          <t xml:space="preserve">  Foreign currency translation %</t>
        </is>
      </c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40" t="n">
        <v>-0.007</v>
      </c>
      <c r="R15" s="40" t="n">
        <v>-0.002</v>
      </c>
      <c r="S15" s="40" t="n">
        <v>-0.022</v>
      </c>
      <c r="T15" s="40" t="n">
        <v>-0.02</v>
      </c>
      <c r="U15" s="40" t="n">
        <v>-0.014</v>
      </c>
      <c r="V15" s="40" t="n">
        <v>-0.022</v>
      </c>
      <c r="W15" s="40" t="n">
        <v>-0.022</v>
      </c>
      <c r="X15" s="40" t="n">
        <v>-0.005</v>
      </c>
      <c r="Y15" s="40" t="n">
        <v>-0.012</v>
      </c>
      <c r="Z15" s="40" t="n">
        <v>-0.015</v>
      </c>
      <c r="AA15" s="40" t="n">
        <v>-0.018</v>
      </c>
      <c r="AB15" s="40" t="n">
        <v>-0.051</v>
      </c>
      <c r="AC15" s="40" t="n">
        <v>-0.08500000000000001</v>
      </c>
      <c r="AD15" s="40" t="n">
        <v>-0.093</v>
      </c>
      <c r="AE15" s="40" t="n">
        <v>-0.062</v>
      </c>
      <c r="AF15" s="40" t="n">
        <v>-0.061</v>
      </c>
      <c r="AG15" s="40" t="n">
        <v>-0.042</v>
      </c>
      <c r="AH15" s="40" t="n">
        <v>-0.014</v>
      </c>
      <c r="AI15" s="40" t="n">
        <v>0.012</v>
      </c>
      <c r="AJ15" s="40" t="n">
        <v>-0.027</v>
      </c>
      <c r="AK15" s="40" t="n">
        <v>0.035</v>
      </c>
      <c r="AL15" s="40" t="n">
        <v>0.034</v>
      </c>
      <c r="AM15" s="255" t="n">
        <v>0</v>
      </c>
      <c r="AN15" s="255" t="n">
        <v>0</v>
      </c>
      <c r="AO15" s="254">
        <f>IFERROR(AO18/AJ11,"")</f>
        <v>0.0172520569760241</v>
      </c>
      <c r="AP15" s="255" t="n">
        <v>0</v>
      </c>
      <c r="AQ15" s="255" t="n">
        <v>0</v>
      </c>
      <c r="AR15" s="255" t="n">
        <v>0</v>
      </c>
      <c r="AS15" s="255" t="n">
        <v>0</v>
      </c>
      <c r="AT15" s="19" t="inlineStr">
        <is>
          <t>Q3/Q4-26E: FX input (spot vs prior-year rates). 2027E+: EMEA &amp; APAC FX lever; Americas 0%.</t>
        </is>
      </c>
      <c r="BB15" s="15" t="inlineStr">
        <is>
          <t>FY26 point estimates / capital returns</t>
        </is>
      </c>
      <c r="BC15" s="21" t="inlineStr">
        <is>
          <t>Bull</t>
        </is>
      </c>
      <c r="BD15" s="21" t="inlineStr">
        <is>
          <t>Base</t>
        </is>
      </c>
      <c r="BE15" s="21" t="inlineStr">
        <is>
          <t>Bear</t>
        </is>
      </c>
      <c r="BF15" s="13" t="n"/>
    </row>
    <row r="16" outlineLevel="2" s="251">
      <c r="B16" s="25" t="inlineStr">
        <is>
          <t xml:space="preserve">  Δ Net sales — organic ($)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>
        <v>47.7</v>
      </c>
      <c r="R16" s="34" t="n">
        <v>38.1</v>
      </c>
      <c r="S16" s="34" t="n">
        <v>27.1</v>
      </c>
      <c r="T16" s="34" t="n">
        <v>13.8</v>
      </c>
      <c r="U16" s="34" t="n">
        <v>127.3</v>
      </c>
      <c r="V16" s="34" t="n">
        <v>12.2</v>
      </c>
      <c r="W16" s="34" t="n">
        <v>11.9</v>
      </c>
      <c r="X16" s="34" t="n">
        <v>11.3</v>
      </c>
      <c r="Y16" s="34" t="n">
        <v>25.1</v>
      </c>
      <c r="Z16" s="34" t="n">
        <v>60.5</v>
      </c>
      <c r="AA16" s="34" t="n">
        <v>8.9</v>
      </c>
      <c r="AB16" s="34" t="n">
        <v>12.5</v>
      </c>
      <c r="AC16" s="34" t="n">
        <v>6.2</v>
      </c>
      <c r="AD16" s="34" t="n">
        <v>-4.6</v>
      </c>
      <c r="AE16" s="34" t="n">
        <v>23</v>
      </c>
      <c r="AF16" s="34" t="n">
        <v>-7</v>
      </c>
      <c r="AG16" s="34" t="n">
        <v>-22.4</v>
      </c>
      <c r="AH16" s="34" t="n">
        <v>0.4</v>
      </c>
      <c r="AI16" s="34" t="n">
        <v>-13.9</v>
      </c>
      <c r="AJ16" s="34" t="n">
        <v>-43</v>
      </c>
      <c r="AK16" s="34" t="n">
        <v>-2.1</v>
      </c>
      <c r="AL16" s="34" t="n">
        <v>13.9</v>
      </c>
      <c r="AM16" s="257">
        <f>AH11*AM13</f>
        <v>12.9146983864776</v>
      </c>
      <c r="AN16" s="257">
        <f>AI11*AN13</f>
        <v>12.0984294416541</v>
      </c>
      <c r="AO16" s="257">
        <f>SUM(AK16,AL16,AM16,AN16)</f>
        <v>36.8131278281318</v>
      </c>
      <c r="AP16" s="257">
        <f>(AO11-N(AO19))*AP13</f>
        <v>47.4645251131253</v>
      </c>
      <c r="AQ16" s="257">
        <f>(AP11-N(AP19))*AQ13</f>
        <v>49.3631061176503</v>
      </c>
      <c r="AR16" s="257">
        <f>(AQ11-N(AQ19))*AR13</f>
        <v>44.9204265670618</v>
      </c>
      <c r="AS16" s="257">
        <f>(AR11-N(AR19))*AS13</f>
        <v>46.4926414969089</v>
      </c>
      <c r="AT16" s="19" t="n"/>
      <c r="BB16" s="25" t="inlineStr">
        <is>
          <t xml:space="preserve">  FY26 capital expenditures ($m)</t>
        </is>
      </c>
      <c r="BC16" s="26" t="n">
        <v>75</v>
      </c>
      <c r="BD16" s="26" t="n">
        <v>70</v>
      </c>
      <c r="BE16" s="26" t="n">
        <v>65</v>
      </c>
      <c r="BF16" s="13" t="inlineStr">
        <is>
          <t>No explicit FY26 capex guidance; 1H/26 $31.4m, FY25 $47.3m. Eddyfi adds capitalized development / equipment.</t>
        </is>
      </c>
    </row>
    <row r="17" outlineLevel="2" s="251">
      <c r="B17" s="25" t="inlineStr">
        <is>
          <t xml:space="preserve">  Δ Net sales — acquisitions ($)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>
        <v>0</v>
      </c>
      <c r="R17" s="34" t="n">
        <v>0</v>
      </c>
      <c r="S17" s="34" t="n">
        <v>0</v>
      </c>
      <c r="T17" s="34" t="n">
        <v>10.7</v>
      </c>
      <c r="U17" s="34" t="n">
        <v>10.7</v>
      </c>
      <c r="V17" s="34" t="n">
        <v>13</v>
      </c>
      <c r="W17" s="34" t="n">
        <v>13.8</v>
      </c>
      <c r="X17" s="34" t="n">
        <v>14.6</v>
      </c>
      <c r="Y17" s="34" t="n">
        <v>2.2</v>
      </c>
      <c r="Z17" s="34" t="n">
        <v>43.7</v>
      </c>
      <c r="AA17" s="34" t="n">
        <v>0.9</v>
      </c>
      <c r="AB17" s="34" t="n">
        <v>2.7</v>
      </c>
      <c r="AC17" s="34" t="n">
        <v>2.8</v>
      </c>
      <c r="AD17" s="34" t="n">
        <v>7.9</v>
      </c>
      <c r="AE17" s="34" t="n">
        <v>14.3</v>
      </c>
      <c r="AF17" s="34" t="n">
        <v>9.6</v>
      </c>
      <c r="AG17" s="34" t="n">
        <v>8.199999999999999</v>
      </c>
      <c r="AH17" s="34" t="n">
        <v>7.4</v>
      </c>
      <c r="AI17" s="34" t="n">
        <v>2.7</v>
      </c>
      <c r="AJ17" s="34" t="n">
        <v>27.9</v>
      </c>
      <c r="AK17" s="34" t="n">
        <v>0</v>
      </c>
      <c r="AL17" s="34" t="n">
        <v>9.6</v>
      </c>
      <c r="AM17" s="257">
        <f>AH11*AM14</f>
        <v>0</v>
      </c>
      <c r="AN17" s="257">
        <f>AI11*AN14</f>
        <v>0</v>
      </c>
      <c r="AO17" s="257">
        <f>SUM(AK17,AL17,AM17,AN17)</f>
        <v>9.6</v>
      </c>
      <c r="AP17" s="258" t="n">
        <v>0</v>
      </c>
      <c r="AQ17" s="258" t="n">
        <v>0</v>
      </c>
      <c r="AR17" s="258" t="n">
        <v>0</v>
      </c>
      <c r="AS17" s="258" t="n">
        <v>0</v>
      </c>
      <c r="AT17" s="19" t="n"/>
      <c r="BB17" s="25" t="inlineStr">
        <is>
          <t xml:space="preserve">  2H/26 effective tax rate</t>
        </is>
      </c>
      <c r="BC17" s="42" t="n">
        <v>0.22</v>
      </c>
      <c r="BD17" s="42" t="n">
        <v>0.23</v>
      </c>
      <c r="BE17" s="42" t="n">
        <v>0.24</v>
      </c>
      <c r="BF17" s="13" t="inlineStr">
        <is>
          <t>ESAB adjusted tax rate ~22–23%.</t>
        </is>
      </c>
    </row>
    <row r="18" outlineLevel="2" s="251">
      <c r="B18" s="25" t="inlineStr">
        <is>
          <t xml:space="preserve">  Δ Net sales — FX ($)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>
        <v>-1.6</v>
      </c>
      <c r="R18" s="34" t="n">
        <v>-0.6</v>
      </c>
      <c r="S18" s="34" t="n">
        <v>-5.7</v>
      </c>
      <c r="T18" s="34" t="n">
        <v>-5.3</v>
      </c>
      <c r="U18" s="34" t="n">
        <v>-13.8</v>
      </c>
      <c r="V18" s="34" t="n">
        <v>-5.9</v>
      </c>
      <c r="W18" s="34" t="n">
        <v>-6.5</v>
      </c>
      <c r="X18" s="34" t="n">
        <v>-1.5</v>
      </c>
      <c r="Y18" s="34" t="n">
        <v>-3.5</v>
      </c>
      <c r="Z18" s="34" t="n">
        <v>-17.5</v>
      </c>
      <c r="AA18" s="34" t="n">
        <v>-5.3</v>
      </c>
      <c r="AB18" s="34" t="n">
        <v>-15.7</v>
      </c>
      <c r="AC18" s="34" t="n">
        <v>-26</v>
      </c>
      <c r="AD18" s="34" t="n">
        <v>-28.5</v>
      </c>
      <c r="AE18" s="34" t="n">
        <v>-75.5</v>
      </c>
      <c r="AF18" s="34" t="n">
        <v>-17.9</v>
      </c>
      <c r="AG18" s="34" t="n">
        <v>-12.9</v>
      </c>
      <c r="AH18" s="34" t="n">
        <v>-3.9</v>
      </c>
      <c r="AI18" s="34" t="n">
        <v>3.4</v>
      </c>
      <c r="AJ18" s="34" t="n">
        <v>-31.3</v>
      </c>
      <c r="AK18" s="34" t="n">
        <v>9.800000000000001</v>
      </c>
      <c r="AL18" s="34" t="n">
        <v>9.699999999999999</v>
      </c>
      <c r="AM18" s="257">
        <f>AH11*AM15</f>
        <v>0</v>
      </c>
      <c r="AN18" s="257">
        <f>AI11*AN15</f>
        <v>0</v>
      </c>
      <c r="AO18" s="257">
        <f>SUM(AK18,AL18,AM18,AN18)</f>
        <v>19.5</v>
      </c>
      <c r="AP18" s="257">
        <f>(AO11-N(AO19))*AP15</f>
        <v>0</v>
      </c>
      <c r="AQ18" s="257">
        <f>(AP11-N(AP19))*AQ15</f>
        <v>0</v>
      </c>
      <c r="AR18" s="257">
        <f>(AQ11-N(AQ19))*AR15</f>
        <v>0</v>
      </c>
      <c r="AS18" s="257">
        <f>(AR11-N(AR19))*AS15</f>
        <v>0</v>
      </c>
      <c r="AT18" s="19" t="n"/>
      <c r="BB18" s="25" t="inlineStr">
        <is>
          <t xml:space="preserve">  2H/26 share repurchases ($m)</t>
        </is>
      </c>
      <c r="BC18" s="26" t="n">
        <v>0</v>
      </c>
      <c r="BD18" s="26" t="n">
        <v>0</v>
      </c>
      <c r="BE18" s="26" t="n">
        <v>0</v>
      </c>
      <c r="BF18" s="13" t="inlineStr">
        <is>
          <t>Post-Eddyfi deleveraging: no 2H buybacks in Base.</t>
        </is>
      </c>
    </row>
    <row r="19" outlineLevel="2" s="251">
      <c r="B19" s="25" t="inlineStr">
        <is>
          <t xml:space="preserve">  Memo: Eddyfi net sales included in the segment (from 1-Jun-2026)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>
        <v>9.6</v>
      </c>
      <c r="AM19" s="258" t="n">
        <v>0</v>
      </c>
      <c r="AN19" s="258" t="n">
        <v>0</v>
      </c>
      <c r="AO19" s="257">
        <f>SUM(AK19,AL19,AM19,AN19)</f>
        <v>9.6</v>
      </c>
      <c r="AP19" s="258" t="n">
        <v>0</v>
      </c>
      <c r="AQ19" s="258" t="n">
        <v>0</v>
      </c>
      <c r="AR19" s="258" t="n">
        <v>0</v>
      </c>
      <c r="AS19" s="258" t="n">
        <v>0</v>
      </c>
      <c r="AT19" s="19" t="inlineStr">
        <is>
          <t>Q2/26: Eddyfi sales since closing $21.4m (10-Q Note 3) — Americas $9.6m (MD&amp;A), EMEA &amp; APAC $11.8m (derived). Removed from the 2026E base when growing the legacy segments in 2027E.</t>
        </is>
      </c>
      <c r="BB19" s="25" t="inlineStr">
        <is>
          <t xml:space="preserve">  Minimum net debt / Adjusted EBITDA (x) — buyback floor 2027E+</t>
        </is>
      </c>
      <c r="BC19" s="259" t="n">
        <v>2.5</v>
      </c>
      <c r="BD19" s="259" t="n">
        <v>2</v>
      </c>
      <c r="BE19" s="259" t="n">
        <v>1.75</v>
      </c>
      <c r="BF19" s="13" t="inlineStr">
        <is>
          <t>ESAB targets net leverage &lt; 3.0x by YE2026 after Eddyfi and ~2x over time; buybacks resume once leverage reaches the floor.</t>
        </is>
      </c>
    </row>
    <row r="20">
      <c r="B20" s="16" t="inlineStr">
        <is>
          <t xml:space="preserve">  Adjusted EBITDA (segment, company definition)</t>
        </is>
      </c>
      <c r="C20" s="43" t="n"/>
      <c r="D20" s="43" t="n"/>
      <c r="E20" s="43" t="n"/>
      <c r="F20" s="43" t="n"/>
      <c r="G20" s="43" t="n"/>
      <c r="H20" s="43" t="n"/>
      <c r="I20" s="43" t="n"/>
      <c r="J20" s="43" t="n"/>
      <c r="K20" s="31" t="n">
        <v>111.588</v>
      </c>
      <c r="L20" s="31" t="n">
        <v>33.3</v>
      </c>
      <c r="M20" s="31" t="n">
        <v>38</v>
      </c>
      <c r="N20" s="31" t="n">
        <v>42.6</v>
      </c>
      <c r="O20" s="31" t="n">
        <v>45.7</v>
      </c>
      <c r="P20" s="31" t="n">
        <v>159.6</v>
      </c>
      <c r="Q20" s="31" t="n">
        <v>44</v>
      </c>
      <c r="R20" s="31" t="n">
        <v>48.6</v>
      </c>
      <c r="S20" s="31" t="n">
        <v>46.4</v>
      </c>
      <c r="T20" s="31" t="n">
        <v>49.6</v>
      </c>
      <c r="U20" s="31" t="n">
        <v>188.6</v>
      </c>
      <c r="V20" s="31" t="n">
        <v>49.4</v>
      </c>
      <c r="W20" s="31" t="n">
        <v>58.3</v>
      </c>
      <c r="X20" s="31" t="n">
        <v>57.2</v>
      </c>
      <c r="Y20" s="31" t="n">
        <v>59.8</v>
      </c>
      <c r="Z20" s="31" t="n">
        <v>224.7</v>
      </c>
      <c r="AA20" s="31" t="n">
        <v>54.1</v>
      </c>
      <c r="AB20" s="31" t="n">
        <v>64.7</v>
      </c>
      <c r="AC20" s="31" t="n">
        <v>59.4</v>
      </c>
      <c r="AD20" s="31" t="n">
        <v>61</v>
      </c>
      <c r="AE20" s="31" t="n">
        <v>239.2</v>
      </c>
      <c r="AF20" s="31" t="n">
        <v>54.5</v>
      </c>
      <c r="AG20" s="31" t="n">
        <v>56.8</v>
      </c>
      <c r="AH20" s="31" t="n">
        <v>57.3</v>
      </c>
      <c r="AI20" s="31" t="n">
        <v>56.8</v>
      </c>
      <c r="AJ20" s="31" t="n">
        <v>225.4</v>
      </c>
      <c r="AK20" s="31" t="n">
        <v>56</v>
      </c>
      <c r="AL20" s="31" t="n">
        <v>64</v>
      </c>
      <c r="AM20" s="253">
        <f>AM11*AM23</f>
        <v>65.4819834991173</v>
      </c>
      <c r="AN20" s="253">
        <f>AN11*AN23</f>
        <v>64.6025785336628</v>
      </c>
      <c r="AO20" s="253">
        <f>SUM(AK20,AL20,AM20,AN20)</f>
        <v>250.08456203278</v>
      </c>
      <c r="AP20" s="253">
        <f>AO20-N(AO21)+AP26</f>
        <v>261.479439566718</v>
      </c>
      <c r="AQ20" s="253">
        <f>AP20-N(AP21)+AQ26</f>
        <v>276.288371402013</v>
      </c>
      <c r="AR20" s="253">
        <f>AQ20-N(AQ21)+AR26</f>
        <v>289.764499372131</v>
      </c>
      <c r="AS20" s="253">
        <f>AR20-N(AR21)+AS26</f>
        <v>303.712291821204</v>
      </c>
      <c r="AT20" s="19" t="inlineStr">
        <is>
          <t>2027E+: legacy prior-year adjusted EBITDA + Δ bridge (organic $ × incremental margin + FX $ × prior margin).</t>
        </is>
      </c>
      <c r="AV20" s="20">
        <f>IFERROR((AS20/AJ20)^(1/5)-1,"n/m")</f>
        <v>0.0614552549783212</v>
      </c>
      <c r="AW20" s="20">
        <f>IFERROR((AJ20/K20)^(1/5)-1,"n/m")</f>
        <v>0.150978691877627</v>
      </c>
      <c r="AX20" s="20" t="str">
        <f>IFERROR((AJ20/F20)^(1/10)-1,"n/m")</f>
        <v>n/m</v>
      </c>
      <c r="AY20" s="20" t="str">
        <f>IFERROR((AJ20/C20)^(1/13)-1,"n/m")</f>
        <v>n/m</v>
      </c>
      <c r="BB20" s="15" t="inlineStr">
        <is>
          <t>AM_org (Americas organic growth y/y)</t>
        </is>
      </c>
      <c r="BC20" s="260" t="n">
        <v>0.02</v>
      </c>
      <c r="BD20" s="21" t="inlineStr">
        <is>
          <t>Δ →</t>
        </is>
      </c>
      <c r="BE20" s="260" t="n">
        <v>-0.02</v>
      </c>
      <c r="BF20" s="13" t="inlineStr">
        <is>
          <t>US equipment &amp; automation demand, tariff-driven pricing, Latin America; 2025 −4%, Q2/26 +4.9%. Company organic outlook 2–4% (2026).</t>
        </is>
      </c>
    </row>
    <row r="21" outlineLevel="2" s="251">
      <c r="B21" s="25" t="inlineStr">
        <is>
          <t xml:space="preserve">  Memo: Eddyfi adjusted EBITDA included in the segment (estimate)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>
        <v>2.84448</v>
      </c>
      <c r="AM21" s="258" t="n">
        <v>0</v>
      </c>
      <c r="AN21" s="258" t="n">
        <v>0</v>
      </c>
      <c r="AO21" s="257">
        <f>SUM(AK21,AL21,AM21,AN21)</f>
        <v>2.84448</v>
      </c>
      <c r="AP21" s="258" t="n">
        <v>0</v>
      </c>
      <c r="AQ21" s="258" t="n">
        <v>0</v>
      </c>
      <c r="AR21" s="258" t="n">
        <v>0</v>
      </c>
      <c r="AS21" s="258" t="n">
        <v>0</v>
      </c>
      <c r="AT21" s="19" t="inlineStr">
        <is>
          <t>June 2026 Eddyfi sales × 2026E standalone margin (not separately disclosed).</t>
        </is>
      </c>
      <c r="BB21" s="25" t="inlineStr">
        <is>
          <t xml:space="preserve">  2027E</t>
        </is>
      </c>
      <c r="BC21" s="33">
        <f>BD21+$BC$20</f>
        <v>0.06</v>
      </c>
      <c r="BD21" s="42" t="n">
        <v>0.04</v>
      </c>
      <c r="BE21" s="33">
        <f>BD21+$BE$20</f>
        <v>0.02</v>
      </c>
    </row>
    <row r="22">
      <c r="B22" s="25" t="inlineStr">
        <is>
          <t xml:space="preserve">  Adjusted EBITDA margin before outlook calibration % (Q3/Q4-26E helper)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254">
        <f>AH23+($AK$20+$AL$20-$AL$21)/($AK$11+$AL$11-$AL$19)-($AF$20+$AG$20)/($AF$11+$AG$11)</f>
        <v>0.195212355750671</v>
      </c>
      <c r="AN22" s="254">
        <f>AI23+($AK$20+$AL$20-$AL$21)/($AK$11+$AL$11-$AL$19)-($AF$20+$AG$20)/($AF$11+$AG$11)</f>
        <v>0.206596842397168</v>
      </c>
      <c r="AO22" s="254" t="n"/>
      <c r="AP22" s="254" t="n"/>
      <c r="AQ22" s="254" t="n"/>
      <c r="AR22" s="254" t="n"/>
      <c r="AS22" s="254" t="n"/>
      <c r="AT22" s="19" t="inlineStr">
        <is>
          <t>Prior-year quarter margin + (1H/26 legacy − 1H/25 margin drift).</t>
        </is>
      </c>
      <c r="BB22" s="25" t="inlineStr">
        <is>
          <t xml:space="preserve">  2028E</t>
        </is>
      </c>
      <c r="BC22" s="33">
        <f>BD22+$BC$20</f>
        <v>0.06</v>
      </c>
      <c r="BD22" s="42" t="n">
        <v>0.04</v>
      </c>
      <c r="BE22" s="33">
        <f>BD22+$BE$20</f>
        <v>0.02</v>
      </c>
    </row>
    <row r="23">
      <c r="B23" s="25" t="inlineStr">
        <is>
          <t xml:space="preserve">  Adjusted EBITDA margin %</t>
        </is>
      </c>
      <c r="C23" s="36" t="n"/>
      <c r="D23" s="36" t="n"/>
      <c r="E23" s="36" t="n"/>
      <c r="F23" s="36" t="n"/>
      <c r="G23" s="36" t="n"/>
      <c r="H23" s="36" t="n"/>
      <c r="I23" s="36" t="n"/>
      <c r="J23" s="36">
        <f>IF(AND(ISNUMBER(J20),ISNUMBER(J11)),IFERROR(J20/J11,""),"")</f>
      </c>
      <c r="K23" s="36">
        <f>IF(AND(ISNUMBER(K20),ISNUMBER(K11)),IFERROR(K20/K11,""),"")</f>
        <v>0.145407824199194</v>
      </c>
      <c r="L23" s="36">
        <f>IF(AND(ISNUMBER(L20),ISNUMBER(L11)),IFERROR(L20/L11,""),"")</f>
        <v>0.147214854111406</v>
      </c>
      <c r="M23" s="36">
        <f>IF(AND(ISNUMBER(M20),ISNUMBER(M11)),IFERROR(M20/M11,""),"")</f>
        <v>0.149842271293375</v>
      </c>
      <c r="N23" s="36">
        <f>IF(AND(ISNUMBER(N20),ISNUMBER(N11)),IFERROR(N20/N11,""),"")</f>
        <v>0.163846153846154</v>
      </c>
      <c r="O23" s="36">
        <f>IF(AND(ISNUMBER(O20),ISNUMBER(O11)),IFERROR(O20/O11,""),"")</f>
        <v>0.172844175491679</v>
      </c>
      <c r="P23" s="36">
        <f>IF(AND(ISNUMBER(P20),ISNUMBER(P11)),IFERROR(P20/P11,""),"")</f>
        <v>0.15893248356901</v>
      </c>
      <c r="Q23" s="36">
        <f>IF(AND(ISNUMBER(Q20),ISNUMBER(Q11)),IFERROR(Q20/Q11,""),"")</f>
        <v>0.161586485493941</v>
      </c>
      <c r="R23" s="36">
        <f>IF(AND(ISNUMBER(R20),ISNUMBER(R11)),IFERROR(R20/R11,""),"")</f>
        <v>0.166952937135005</v>
      </c>
      <c r="S23" s="36">
        <f>IF(AND(ISNUMBER(S20),ISNUMBER(S11)),IFERROR(S20/S11,""),"")</f>
        <v>0.164889836531628</v>
      </c>
      <c r="T23" s="36">
        <f>IF(AND(ISNUMBER(T20),ISNUMBER(T11)),IFERROR(T20/T11,""),"")</f>
        <v>0.174894217207334</v>
      </c>
      <c r="U23" s="36">
        <f>IF(AND(ISNUMBER(U20),ISNUMBER(U11)),IFERROR(U20/U11,""),"")</f>
        <v>0.167139312300603</v>
      </c>
      <c r="V23" s="36">
        <f>IF(AND(ISNUMBER(V20),ISNUMBER(V11)),IFERROR(V20/V11,""),"")</f>
        <v>0.169410150891632</v>
      </c>
      <c r="W23" s="36">
        <f>IF(AND(ISNUMBER(W20),ISNUMBER(W11)),IFERROR(W20/W11,""),"")</f>
        <v>0.187882694166935</v>
      </c>
      <c r="X23" s="36">
        <f>IF(AND(ISNUMBER(X20),ISNUMBER(X11)),IFERROR(X20/X11,""),"")</f>
        <v>0.18705035971223</v>
      </c>
      <c r="Y23" s="36">
        <f>IF(AND(ISNUMBER(Y20),ISNUMBER(Y11)),IFERROR(Y20/Y11,""),"")</f>
        <v>0.194598112593557</v>
      </c>
      <c r="Z23" s="36">
        <f>IF(AND(ISNUMBER(Z20),ISNUMBER(Z11)),IFERROR(Z20/Z11,""),"")</f>
        <v>0.184938271604938</v>
      </c>
      <c r="AA23" s="36">
        <f>IF(AND(ISNUMBER(AA20),ISNUMBER(AA11)),IFERROR(AA20/AA11,""),"")</f>
        <v>0.18277027027027</v>
      </c>
      <c r="AB23" s="36">
        <f>IF(AND(ISNUMBER(AB20),ISNUMBER(AB11)),IFERROR(AB20/AB11,""),"")</f>
        <v>0.208844415752098</v>
      </c>
      <c r="AC23" s="36">
        <f>IF(AND(ISNUMBER(AC20),ISNUMBER(AC11)),IFERROR(AC20/AC11,""),"")</f>
        <v>0.205678670360111</v>
      </c>
      <c r="AD23" s="36">
        <f>IF(AND(ISNUMBER(AD20),ISNUMBER(AD11)),IFERROR(AD20/AD11,""),"")</f>
        <v>0.2162353775257</v>
      </c>
      <c r="AE23" s="36">
        <f>IF(AND(ISNUMBER(AE20),ISNUMBER(AE11)),IFERROR(AE20/AE11,""),"")</f>
        <v>0.203280360329736</v>
      </c>
      <c r="AF23" s="36">
        <f>IF(AND(ISNUMBER(AF20),ISNUMBER(AF11)),IFERROR(AF20/AF11,""),"")</f>
        <v>0.194157463484147</v>
      </c>
      <c r="AG23" s="36">
        <f>IF(AND(ISNUMBER(AG20),ISNUMBER(AG11)),IFERROR(AG20/AG11,""),"")</f>
        <v>0.200919702865228</v>
      </c>
      <c r="AH23" s="36">
        <f>IF(AND(ISNUMBER(AH20),ISNUMBER(AH11)),IFERROR(AH20/AH11,""),"")</f>
        <v>0.195763580457807</v>
      </c>
      <c r="AI23" s="36">
        <f>IF(AND(ISNUMBER(AI20),ISNUMBER(AI11)),IFERROR(AI20/AI11,""),"")</f>
        <v>0.207148067104303</v>
      </c>
      <c r="AJ23" s="36">
        <f>IF(AND(ISNUMBER(AJ20),ISNUMBER(AJ11)),IFERROR(AJ20/AJ11,""),"")</f>
        <v>0.199416084225427</v>
      </c>
      <c r="AK23" s="36">
        <f>IF(AND(ISNUMBER(AK20),ISNUMBER(AK11)),IFERROR(AK20/AK11,""),"")</f>
        <v>0.194174757281553</v>
      </c>
      <c r="AL23" s="36">
        <f>IF(AND(ISNUMBER(AL20),ISNUMBER(AL11)),IFERROR(AL20/AL11,""),"")</f>
        <v>0.202595758151314</v>
      </c>
      <c r="AM23" s="254">
        <f>AM22+AM122</f>
        <v>0.214263200836988</v>
      </c>
      <c r="AN23" s="254">
        <f>AN22+AN122</f>
        <v>0.225647687483485</v>
      </c>
      <c r="AO23" s="254">
        <f>IFERROR(AO20/AO11,"")</f>
        <v>0.209063549140978</v>
      </c>
      <c r="AP23" s="254">
        <f>IFERROR(AP20/AP11,"")</f>
        <v>0.21188248482056</v>
      </c>
      <c r="AQ23" s="254">
        <f>IFERROR(AQ20/AQ11,"")</f>
        <v>0.215271620019769</v>
      </c>
      <c r="AR23" s="254">
        <f>IFERROR(AR20/AR11,"")</f>
        <v>0.218136830936975</v>
      </c>
      <c r="AS23" s="254">
        <f>IFERROR(AS20/AS11,"")</f>
        <v>0.220905150663744</v>
      </c>
      <c r="AT23" s="19" t="n"/>
      <c r="AV23" s="20">
        <f>IFERROR(AVERAGE(AO23,AP23,AQ23,AR23,AS23),"n/m")</f>
        <v>0.215051927116405</v>
      </c>
      <c r="AW23" s="20">
        <f>IFERROR(AVERAGE(K23,P23,U23,Z23,AE23,AJ23),"n/m")</f>
        <v>0.176519056038151</v>
      </c>
      <c r="AX23" s="20">
        <f>IFERROR(AVERAGE(F23,G23,H23,I23,J23,K23,P23,U23,Z23,AE23,AJ23),"n/m")</f>
        <v>0.176519056038151</v>
      </c>
      <c r="AY23" s="20">
        <f>IFERROR(AVERAGE(C23,D23,E23,F23,G23,H23,I23,J23,K23,P23,U23,Z23,AE23,AJ23),"n/m")</f>
        <v>0.176519056038151</v>
      </c>
      <c r="BB23" s="25" t="inlineStr">
        <is>
          <t xml:space="preserve">  2029E</t>
        </is>
      </c>
      <c r="BC23" s="33">
        <f>BD23+$BC$20</f>
        <v>0.055</v>
      </c>
      <c r="BD23" s="42" t="n">
        <v>0.035</v>
      </c>
      <c r="BE23" s="33">
        <f>BD23+$BE$20</f>
        <v>0.015</v>
      </c>
    </row>
    <row r="24" outlineLevel="2" s="251">
      <c r="B24" s="22" t="inlineStr">
        <is>
          <t xml:space="preserve">  Incremental adjusted EBITDA margin (Δ adj. EBITDA / Δ net sales)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>
        <f>IFERROR((K20-J20)/(K11-J11),"")</f>
        <v>-0.647791987646509</v>
      </c>
      <c r="L24" s="23" t="n"/>
      <c r="M24" s="23" t="n"/>
      <c r="N24" s="23" t="n"/>
      <c r="O24" s="23" t="n"/>
      <c r="P24" s="23">
        <f>IFERROR((P20-K20)/(P11-K11),"")</f>
        <v>0.202765366195637</v>
      </c>
      <c r="Q24" s="23">
        <f>IFERROR((Q20-L20)/(Q11-L11),"")</f>
        <v>0.232104121475054</v>
      </c>
      <c r="R24" s="23">
        <f>IFERROR((R20-M20)/(R11-M11),"")</f>
        <v>0.282666666666667</v>
      </c>
      <c r="S24" s="23">
        <f>IFERROR((S20-N20)/(S11-N11),"")</f>
        <v>0.177570093457944</v>
      </c>
      <c r="T24" s="23">
        <f>IFERROR((T20-O20)/(T11-O11),"")</f>
        <v>0.203124999999999</v>
      </c>
      <c r="U24" s="23">
        <f>IFERROR((U20-P20)/(U11-P11),"")</f>
        <v>0.233494363929146</v>
      </c>
      <c r="V24" s="23">
        <f>IFERROR((V20-Q20)/(V11-Q11),"")</f>
        <v>0.279792746113989</v>
      </c>
      <c r="W24" s="23">
        <f>IFERROR((W20-R20)/(W11-R11),"")</f>
        <v>0.505208333333333</v>
      </c>
      <c r="X24" s="23">
        <f>IFERROR((X20-S20)/(X11-S11),"")</f>
        <v>0.442622950819672</v>
      </c>
      <c r="Y24" s="23">
        <f>IFERROR((Y20-T20)/(Y11-T11),"")</f>
        <v>0.430379746835443</v>
      </c>
      <c r="Z24" s="23">
        <f>IFERROR((Z20-U20)/(Z11-U11),"")</f>
        <v>0.416859122401848</v>
      </c>
      <c r="AA24" s="23">
        <f>IFERROR((AA20-V20)/(AA11-V11),"")</f>
        <v>1.06818181818182</v>
      </c>
      <c r="AB24" s="23">
        <f>IFERROR((AB20-W20)/(AB11-W11),"")</f>
        <v>-12.8</v>
      </c>
      <c r="AC24" s="23">
        <f>IFERROR((AC20-X20)/(AC11-X11),"")</f>
        <v>-0.129411764705882</v>
      </c>
      <c r="AD24" s="23">
        <f>IFERROR((AD20-Y20)/(AD11-Y11),"")</f>
        <v>-0.0476190476190478</v>
      </c>
      <c r="AE24" s="23">
        <f>IFERROR((AE20-Z20)/(AE11-Z11),"")</f>
        <v>-0.378590078328982</v>
      </c>
      <c r="AF24" s="23">
        <f>IFERROR((AF20-AA20)/(AF11-AA11),"")</f>
        <v>-0.0261437908496731</v>
      </c>
      <c r="AG24" s="23">
        <f>IFERROR((AG20-AB20)/(AG11-AB11),"")</f>
        <v>0.291512915129151</v>
      </c>
      <c r="AH24" s="23">
        <f>IFERROR((AH20-AC20)/(AH11-AC11),"")</f>
        <v>-0.538461538461542</v>
      </c>
      <c r="AI24" s="23">
        <f>IFERROR((AI20-AD20)/(AI11-AD11),"")</f>
        <v>0.531645569620251</v>
      </c>
      <c r="AJ24" s="23">
        <f>IFERROR((AJ20-AE20)/(AJ11-AE11),"")</f>
        <v>0.297413793103447</v>
      </c>
      <c r="AK24" s="23">
        <f>IFERROR((AK20-AF20)/(AK11-AF11),"")</f>
        <v>0.194805194805195</v>
      </c>
      <c r="AL24" s="23">
        <f>IFERROR((AL20-AG20)/(AL11-AG11),"")</f>
        <v>0.216867469879518</v>
      </c>
      <c r="AM24" s="254">
        <f>IFERROR((AM20-AH20)/(AM11-AH11),"")</f>
        <v>0.633540424581983</v>
      </c>
      <c r="AN24" s="254">
        <f>IFERROR((AN20-AI20)/(AN11-AI11),"")</f>
        <v>0.644924911228479</v>
      </c>
      <c r="AO24" s="254">
        <f>IFERROR((AO20-AJ20)/(AO11-AJ11),"")</f>
        <v>0.374501451321579</v>
      </c>
      <c r="AP24" s="254">
        <f>IFERROR((AP20-AO20)/(AP11-AO11),"")</f>
        <v>0.300938081222301</v>
      </c>
      <c r="AQ24" s="254">
        <f>IFERROR((AQ20-AP20)/(AQ11-AP11),"")</f>
        <v>0.299999999999999</v>
      </c>
      <c r="AR24" s="254">
        <f>IFERROR((AR20-AQ20)/(AR11-AQ11),"")</f>
        <v>0.3</v>
      </c>
      <c r="AS24" s="254">
        <f>IFERROR((AS20-AR20)/(AS11-AR11),"")</f>
        <v>0.3</v>
      </c>
      <c r="AT24" s="19" t="n"/>
      <c r="BB24" s="25" t="inlineStr">
        <is>
          <t xml:space="preserve">  2030E</t>
        </is>
      </c>
      <c r="BC24" s="33">
        <f>BD24+$BC$20</f>
        <v>0.055</v>
      </c>
      <c r="BD24" s="42" t="n">
        <v>0.035</v>
      </c>
      <c r="BE24" s="33">
        <f>BD24+$BE$20</f>
        <v>0.015</v>
      </c>
    </row>
    <row r="25" outlineLevel="2" s="251">
      <c r="B25" s="22" t="inlineStr">
        <is>
          <t xml:space="preserve">  Organic incremental adjusted EBITDA margin % (input)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54" t="n"/>
      <c r="AN25" s="254" t="n"/>
      <c r="AO25" s="254" t="n"/>
      <c r="AP25" s="255" t="n">
        <v>0.3</v>
      </c>
      <c r="AQ25" s="255" t="n">
        <v>0.3</v>
      </c>
      <c r="AR25" s="255" t="n">
        <v>0.3</v>
      </c>
      <c r="AS25" s="255" t="n">
        <v>0.3</v>
      </c>
      <c r="AT25" s="19" t="inlineStr">
        <is>
          <t>Input: incremental margin on organic sales growth (EBXai productivity; ESAB delivered ~30–35% organic incrementals in 2023–25).</t>
        </is>
      </c>
      <c r="BB25" s="15" t="inlineStr">
        <is>
          <t>EA_org (EMEA &amp; APAC organic growth y/y)</t>
        </is>
      </c>
      <c r="BC25" s="260" t="n">
        <v>0.02</v>
      </c>
      <c r="BD25" s="21" t="inlineStr">
        <is>
          <t>Δ →</t>
        </is>
      </c>
      <c r="BE25" s="260" t="n">
        <v>-0.02</v>
      </c>
      <c r="BF25" s="13" t="inlineStr">
        <is>
          <t>Europe resilient, India/Asia growth, Middle East disruption in 2026; 2025 ~0%, 1H/26 −0.8%.</t>
        </is>
      </c>
    </row>
    <row r="26" outlineLevel="2" s="251">
      <c r="B26" s="25" t="inlineStr">
        <is>
          <t xml:space="preserve">  Δ Adjusted EBITDA (organic × incremental + FX × prior margin)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257" t="n"/>
      <c r="AN26" s="257" t="n"/>
      <c r="AO26" s="257" t="n"/>
      <c r="AP26" s="257">
        <f>AP16*AP25+AP18*AO23</f>
        <v>14.2393575339376</v>
      </c>
      <c r="AQ26" s="257">
        <f>AQ16*AQ25+AQ18*AP23</f>
        <v>14.8089318352951</v>
      </c>
      <c r="AR26" s="257">
        <f>AR16*AR25+AR18*AQ23</f>
        <v>13.4761279701185</v>
      </c>
      <c r="AS26" s="257">
        <f>AS16*AS25+AS18*AR23</f>
        <v>13.9477924490727</v>
      </c>
      <c r="AT26" s="19" t="n"/>
      <c r="BB26" s="25" t="inlineStr">
        <is>
          <t xml:space="preserve">  2027E</t>
        </is>
      </c>
      <c r="BC26" s="33">
        <f>BD26+$BC$25</f>
        <v>0.05</v>
      </c>
      <c r="BD26" s="42" t="n">
        <v>0.03</v>
      </c>
      <c r="BE26" s="33">
        <f>BD26+$BE$25</f>
        <v>0.01</v>
      </c>
    </row>
    <row r="27" outlineLevel="2" s="251">
      <c r="B27" s="25" t="inlineStr">
        <is>
          <t xml:space="preserve">  Operating income (GAAP, segment)</t>
        </is>
      </c>
      <c r="C27" s="34" t="n"/>
      <c r="D27" s="34" t="n"/>
      <c r="E27" s="34" t="n"/>
      <c r="F27" s="34" t="n"/>
      <c r="G27" s="34" t="n"/>
      <c r="H27" s="34" t="n"/>
      <c r="I27" s="34" t="n"/>
      <c r="J27" s="34" t="n">
        <v>95.2</v>
      </c>
      <c r="K27" s="34" t="n">
        <v>61.5</v>
      </c>
      <c r="L27" s="34" t="n">
        <v>22.4</v>
      </c>
      <c r="M27" s="34" t="n">
        <v>27.1</v>
      </c>
      <c r="N27" s="34" t="n">
        <v>31.6</v>
      </c>
      <c r="O27" s="34" t="n">
        <v>30.1</v>
      </c>
      <c r="P27" s="34" t="n">
        <v>111.2</v>
      </c>
      <c r="Q27" s="34" t="n">
        <v>30.2</v>
      </c>
      <c r="R27" s="34" t="n">
        <v>35.8</v>
      </c>
      <c r="S27" s="34" t="n">
        <v>36.6</v>
      </c>
      <c r="T27" s="34" t="n">
        <v>33.7</v>
      </c>
      <c r="U27" s="34" t="n">
        <v>136.2</v>
      </c>
      <c r="V27" s="34" t="n">
        <v>39.9</v>
      </c>
      <c r="W27" s="34" t="n">
        <v>46.1</v>
      </c>
      <c r="X27" s="34" t="n">
        <v>46.5</v>
      </c>
      <c r="Y27" s="34" t="n">
        <v>50.1</v>
      </c>
      <c r="Z27" s="34" t="n">
        <v>182.5</v>
      </c>
      <c r="AA27" s="34" t="n">
        <v>46</v>
      </c>
      <c r="AB27" s="34" t="n">
        <v>55.9</v>
      </c>
      <c r="AC27" s="34" t="n">
        <v>49.9</v>
      </c>
      <c r="AD27" s="34" t="n">
        <v>51.5</v>
      </c>
      <c r="AE27" s="34" t="n">
        <v>203.2</v>
      </c>
      <c r="AF27" s="34" t="n">
        <v>43.2</v>
      </c>
      <c r="AG27" s="34" t="n">
        <v>42.4</v>
      </c>
      <c r="AH27" s="34" t="n">
        <v>45.3</v>
      </c>
      <c r="AI27" s="34" t="n">
        <v>36.8</v>
      </c>
      <c r="AJ27" s="34" t="n">
        <v>167.8</v>
      </c>
      <c r="AK27" s="34" t="n">
        <v>35.2</v>
      </c>
      <c r="AL27" s="34" t="n">
        <v>22.5</v>
      </c>
      <c r="AM27" s="257" t="n"/>
      <c r="AN27" s="257" t="n"/>
      <c r="AO27" s="257" t="n"/>
      <c r="AP27" s="257" t="n"/>
      <c r="AQ27" s="257" t="n"/>
      <c r="AR27" s="257" t="n"/>
      <c r="AS27" s="257" t="n"/>
      <c r="AT27" s="19" t="inlineStr">
        <is>
          <t>Historical disclosure only.</t>
        </is>
      </c>
      <c r="BB27" s="25" t="inlineStr">
        <is>
          <t xml:space="preserve">  2028E</t>
        </is>
      </c>
      <c r="BC27" s="33">
        <f>BD27+$BC$25</f>
        <v>0.05</v>
      </c>
      <c r="BD27" s="42" t="n">
        <v>0.03</v>
      </c>
      <c r="BE27" s="33">
        <f>BD27+$BE$25</f>
        <v>0.01</v>
      </c>
    </row>
    <row r="28" outlineLevel="2" s="251">
      <c r="B28" s="25" t="inlineStr">
        <is>
          <t xml:space="preserve">  Restructuring &amp; other related charges (segment)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>
        <v>13.8</v>
      </c>
      <c r="K28" s="34" t="n">
        <v>12.4</v>
      </c>
      <c r="L28" s="34" t="n">
        <v>2.4</v>
      </c>
      <c r="M28" s="34" t="n">
        <v>2.1</v>
      </c>
      <c r="N28" s="34" t="n">
        <v>1.8</v>
      </c>
      <c r="O28" s="34" t="n">
        <v>5.3</v>
      </c>
      <c r="P28" s="34" t="n">
        <v>11.6</v>
      </c>
      <c r="Q28" s="34" t="n">
        <v>3.6</v>
      </c>
      <c r="R28" s="34" t="n">
        <v>3.6</v>
      </c>
      <c r="S28" s="34" t="n">
        <v>1.9</v>
      </c>
      <c r="T28" s="34" t="n">
        <v>2.3</v>
      </c>
      <c r="U28" s="34" t="n">
        <v>11.4</v>
      </c>
      <c r="V28" s="34" t="n">
        <v>0.9</v>
      </c>
      <c r="W28" s="34" t="n">
        <v>3</v>
      </c>
      <c r="X28" s="34" t="n">
        <v>1.6</v>
      </c>
      <c r="Y28" s="34" t="n">
        <v>1.1</v>
      </c>
      <c r="Z28" s="34" t="n">
        <v>6.5</v>
      </c>
      <c r="AA28" s="34" t="n">
        <v>0.2</v>
      </c>
      <c r="AB28" s="34" t="n">
        <v>0.8</v>
      </c>
      <c r="AC28" s="34" t="n">
        <v>0.9</v>
      </c>
      <c r="AD28" s="34" t="n">
        <v>1</v>
      </c>
      <c r="AE28" s="34" t="n">
        <v>3</v>
      </c>
      <c r="AF28" s="34" t="n">
        <v>1.7</v>
      </c>
      <c r="AG28" s="34" t="n">
        <v>0.5</v>
      </c>
      <c r="AH28" s="34" t="n">
        <v>2.2</v>
      </c>
      <c r="AI28" s="34" t="n">
        <v>7.2</v>
      </c>
      <c r="AJ28" s="34" t="n">
        <v>11.6</v>
      </c>
      <c r="AK28" s="34" t="n">
        <v>9</v>
      </c>
      <c r="AL28" s="34" t="n">
        <v>18.3</v>
      </c>
      <c r="AM28" s="257" t="n"/>
      <c r="AN28" s="257" t="n"/>
      <c r="AO28" s="257" t="n"/>
      <c r="AP28" s="257" t="n"/>
      <c r="AQ28" s="257" t="n"/>
      <c r="AR28" s="257" t="n"/>
      <c r="AS28" s="257" t="n"/>
      <c r="AT28" s="19" t="n"/>
      <c r="BB28" s="25" t="inlineStr">
        <is>
          <t xml:space="preserve">  2029E</t>
        </is>
      </c>
      <c r="BC28" s="33">
        <f>BD28+$BC$25</f>
        <v>0.05</v>
      </c>
      <c r="BD28" s="42" t="n">
        <v>0.03</v>
      </c>
      <c r="BE28" s="33">
        <f>BD28+$BE$25</f>
        <v>0.01</v>
      </c>
    </row>
    <row r="29" outlineLevel="2" s="251">
      <c r="B29" s="25" t="inlineStr">
        <is>
          <t xml:space="preserve">  Acquisition-amortization &amp; other related charges (segment)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>
        <v>20.1</v>
      </c>
      <c r="K29" s="34" t="n">
        <v>19.4</v>
      </c>
      <c r="L29" s="34" t="n">
        <v>4.7</v>
      </c>
      <c r="M29" s="34" t="n">
        <v>4.7</v>
      </c>
      <c r="N29" s="34" t="n">
        <v>4.6</v>
      </c>
      <c r="O29" s="34" t="n">
        <v>4.5</v>
      </c>
      <c r="P29" s="34" t="n">
        <v>18.5</v>
      </c>
      <c r="Q29" s="34" t="n">
        <v>4.1</v>
      </c>
      <c r="R29" s="34" t="n">
        <v>4.2</v>
      </c>
      <c r="S29" s="34" t="n">
        <v>4</v>
      </c>
      <c r="T29" s="34" t="n">
        <v>7.8</v>
      </c>
      <c r="U29" s="34" t="n">
        <v>20.1</v>
      </c>
      <c r="V29" s="34" t="n">
        <v>5.3</v>
      </c>
      <c r="W29" s="34" t="n">
        <v>5.4</v>
      </c>
      <c r="X29" s="34" t="n">
        <v>5.2</v>
      </c>
      <c r="Y29" s="34" t="n">
        <v>5</v>
      </c>
      <c r="Z29" s="34" t="n">
        <v>20.9</v>
      </c>
      <c r="AA29" s="34" t="n">
        <v>4.4</v>
      </c>
      <c r="AB29" s="34" t="n">
        <v>4.3</v>
      </c>
      <c r="AC29" s="34" t="n">
        <v>4.8</v>
      </c>
      <c r="AD29" s="34" t="n">
        <v>5</v>
      </c>
      <c r="AE29" s="34" t="n">
        <v>18.6</v>
      </c>
      <c r="AF29" s="34" t="n">
        <v>5.6</v>
      </c>
      <c r="AG29" s="34" t="n">
        <v>10</v>
      </c>
      <c r="AH29" s="34" t="n">
        <v>5.8</v>
      </c>
      <c r="AI29" s="34" t="n">
        <v>7.7</v>
      </c>
      <c r="AJ29" s="34" t="n">
        <v>29.2</v>
      </c>
      <c r="AK29" s="34" t="n">
        <v>7.7</v>
      </c>
      <c r="AL29" s="34" t="n">
        <v>18.2</v>
      </c>
      <c r="AM29" s="257" t="n"/>
      <c r="AN29" s="257" t="n"/>
      <c r="AO29" s="257" t="n"/>
      <c r="AP29" s="257" t="n"/>
      <c r="AQ29" s="257" t="n"/>
      <c r="AR29" s="257" t="n"/>
      <c r="AS29" s="257" t="n"/>
      <c r="AT29" s="19" t="n"/>
      <c r="BB29" s="25" t="inlineStr">
        <is>
          <t xml:space="preserve">  2030E</t>
        </is>
      </c>
      <c r="BC29" s="33">
        <f>BD29+$BC$25</f>
        <v>0.05</v>
      </c>
      <c r="BD29" s="42" t="n">
        <v>0.03</v>
      </c>
      <c r="BE29" s="33">
        <f>BD29+$BE$25</f>
        <v>0.01</v>
      </c>
    </row>
    <row r="30" outlineLevel="2" s="251">
      <c r="B30" s="25" t="inlineStr">
        <is>
          <t xml:space="preserve">  Depreciation &amp; other amortization (segment)</t>
        </is>
      </c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>
        <v>3.5</v>
      </c>
      <c r="M30" s="34" t="n">
        <v>3.7</v>
      </c>
      <c r="N30" s="34" t="n">
        <v>3.9</v>
      </c>
      <c r="O30" s="34" t="n">
        <v>3.8</v>
      </c>
      <c r="P30" s="34" t="n">
        <v>15</v>
      </c>
      <c r="Q30" s="34" t="n">
        <v>3.5</v>
      </c>
      <c r="R30" s="34" t="n">
        <v>3.4</v>
      </c>
      <c r="S30" s="34" t="n">
        <v>3.2</v>
      </c>
      <c r="T30" s="34" t="n">
        <v>3.3</v>
      </c>
      <c r="U30" s="34" t="n">
        <v>13.4</v>
      </c>
      <c r="V30" s="34" t="n">
        <v>3.3</v>
      </c>
      <c r="W30" s="34" t="n">
        <v>3.8</v>
      </c>
      <c r="X30" s="34" t="n">
        <v>3.9</v>
      </c>
      <c r="Y30" s="34" t="n">
        <v>3.7</v>
      </c>
      <c r="Z30" s="34" t="n">
        <v>14.8</v>
      </c>
      <c r="AA30" s="34" t="n">
        <v>3.5</v>
      </c>
      <c r="AB30" s="34" t="n">
        <v>3.7</v>
      </c>
      <c r="AC30" s="34" t="n">
        <v>3.8</v>
      </c>
      <c r="AD30" s="34" t="n">
        <v>3.5</v>
      </c>
      <c r="AE30" s="34" t="n">
        <v>14.5</v>
      </c>
      <c r="AF30" s="34" t="n">
        <v>3.9</v>
      </c>
      <c r="AG30" s="34" t="n">
        <v>3.8</v>
      </c>
      <c r="AH30" s="34" t="n">
        <v>3.9</v>
      </c>
      <c r="AI30" s="34" t="n">
        <v>5</v>
      </c>
      <c r="AJ30" s="34" t="n">
        <v>16.7</v>
      </c>
      <c r="AK30" s="34" t="n">
        <v>4.2</v>
      </c>
      <c r="AL30" s="34" t="n">
        <v>4.7</v>
      </c>
      <c r="AM30" s="257" t="n"/>
      <c r="AN30" s="257" t="n"/>
      <c r="AO30" s="257" t="n"/>
      <c r="AP30" s="257" t="n"/>
      <c r="AQ30" s="257" t="n"/>
      <c r="AR30" s="257" t="n"/>
      <c r="AS30" s="257" t="n"/>
      <c r="AT30" s="19" t="n"/>
      <c r="BB30" s="15" t="inlineStr">
        <is>
          <t>EA_fx (EMEA &amp; APAC FX translation y/y)</t>
        </is>
      </c>
      <c r="BC30" s="260" t="n">
        <v>0.01</v>
      </c>
      <c r="BD30" s="21" t="inlineStr">
        <is>
          <t>Δ →</t>
        </is>
      </c>
      <c r="BE30" s="260" t="n">
        <v>-0.01</v>
      </c>
      <c r="BF30" s="13" t="inlineStr">
        <is>
          <t>Base 0% (constant currency); Bull weaker USD, Bear stronger USD.</t>
        </is>
      </c>
    </row>
    <row r="31">
      <c r="AT31" s="19" t="n"/>
      <c r="BB31" s="25" t="inlineStr">
        <is>
          <t xml:space="preserve">  2027E</t>
        </is>
      </c>
      <c r="BC31" s="33">
        <f>BD31+$BC$30</f>
        <v>0.01</v>
      </c>
      <c r="BD31" s="42" t="n">
        <v>0</v>
      </c>
      <c r="BE31" s="33">
        <f>BD31+$BE$30</f>
        <v>-0.01</v>
      </c>
    </row>
    <row r="32">
      <c r="B32" s="14" t="inlineStr">
        <is>
          <t>EMEA &amp; APAC (Europe, Middle East, Africa, Asia Pacific; includes Russia)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5" t="inlineStr">
        <is>
          <t>EMEA &amp; APAC — modelling logic</t>
        </is>
      </c>
      <c r="BB32" s="25" t="inlineStr">
        <is>
          <t xml:space="preserve">  2028E</t>
        </is>
      </c>
      <c r="BC32" s="33">
        <f>BD32+$BC$30</f>
        <v>0.01</v>
      </c>
      <c r="BD32" s="42" t="n">
        <v>0</v>
      </c>
      <c r="BE32" s="33">
        <f>BD32+$BE$30</f>
        <v>-0.01</v>
      </c>
    </row>
    <row r="33">
      <c r="B33" s="16" t="inlineStr">
        <is>
          <t xml:space="preserve">  Net sales</t>
        </is>
      </c>
      <c r="C33" s="43" t="n"/>
      <c r="D33" s="43" t="n"/>
      <c r="E33" s="43" t="n"/>
      <c r="F33" s="43" t="n"/>
      <c r="G33" s="43" t="n"/>
      <c r="H33" s="43" t="n"/>
      <c r="I33" s="43" t="n"/>
      <c r="J33" s="31" t="n">
        <v>1307.353</v>
      </c>
      <c r="K33" s="31" t="n">
        <v>1182.655</v>
      </c>
      <c r="L33" s="31" t="n">
        <v>342</v>
      </c>
      <c r="M33" s="31" t="n">
        <v>376.2</v>
      </c>
      <c r="N33" s="31" t="n">
        <v>346</v>
      </c>
      <c r="O33" s="31" t="n">
        <v>359.8</v>
      </c>
      <c r="P33" s="31" t="n">
        <v>1423.9</v>
      </c>
      <c r="Q33" s="31" t="n">
        <v>375.6</v>
      </c>
      <c r="R33" s="31" t="n">
        <v>370.1</v>
      </c>
      <c r="S33" s="31" t="n">
        <v>338.9</v>
      </c>
      <c r="T33" s="31" t="n">
        <v>380.5</v>
      </c>
      <c r="U33" s="31" t="n">
        <v>1465.1</v>
      </c>
      <c r="V33" s="31" t="n">
        <v>392.4</v>
      </c>
      <c r="W33" s="31" t="n">
        <v>410.1</v>
      </c>
      <c r="X33" s="31" t="n">
        <v>375.2</v>
      </c>
      <c r="Y33" s="31" t="n">
        <v>382</v>
      </c>
      <c r="Z33" s="31" t="n">
        <v>1559.8</v>
      </c>
      <c r="AA33" s="31" t="n">
        <v>393.7</v>
      </c>
      <c r="AB33" s="31" t="n">
        <v>397.3</v>
      </c>
      <c r="AC33" s="31" t="n">
        <v>384.4</v>
      </c>
      <c r="AD33" s="31" t="n">
        <v>388.6</v>
      </c>
      <c r="AE33" s="31" t="n">
        <v>1564.1</v>
      </c>
      <c r="AF33" s="31" t="n">
        <v>397.5</v>
      </c>
      <c r="AG33" s="31" t="n">
        <v>432.9</v>
      </c>
      <c r="AH33" s="31" t="n">
        <v>435.1</v>
      </c>
      <c r="AI33" s="31" t="n">
        <v>446.8</v>
      </c>
      <c r="AJ33" s="31" t="n">
        <v>1712.2</v>
      </c>
      <c r="AK33" s="31" t="n">
        <v>457.2</v>
      </c>
      <c r="AL33" s="31" t="n">
        <v>491.7</v>
      </c>
      <c r="AM33" s="253">
        <f>AH33*(1+AM34)</f>
        <v>455.167963129335</v>
      </c>
      <c r="AN33" s="253">
        <f>AI33*(1+AN34)</f>
        <v>448.641998083629</v>
      </c>
      <c r="AO33" s="253">
        <f>SUM(AK33,AL33,AM33,AN33)</f>
        <v>1852.70996121296</v>
      </c>
      <c r="AP33" s="253">
        <f>(AO33-N(AO41))*(1+AP34)</f>
        <v>1896.13726004935</v>
      </c>
      <c r="AQ33" s="253">
        <f>(AP33-N(AP41))*(1+AQ34)</f>
        <v>1953.02137785083</v>
      </c>
      <c r="AR33" s="253">
        <f>(AQ33-N(AQ41))*(1+AR34)</f>
        <v>2011.61201918636</v>
      </c>
      <c r="AS33" s="253">
        <f>(AR33-N(AR41))*(1+AS34)</f>
        <v>2071.96037976195</v>
      </c>
      <c r="AT33" s="19" t="inlineStr">
        <is>
          <t>Historical: as reported (Q2/26 includes one month of Eddyfi). Q3/Q4-26E: legacy business only = prior-year quarter × (1 + organic + acquisitions + FX); Eddyfi in its own block. 2027E+: legacy 2026E (ex-Eddyfi June) × (1 + organic lever + FX).</t>
        </is>
      </c>
      <c r="AV33" s="20">
        <f>IFERROR((AS33/AJ33)^(1/5)-1,"n/m")</f>
        <v>0.0388800125208846</v>
      </c>
      <c r="AW33" s="20">
        <f>IFERROR((AJ33/K33)^(1/5)-1,"n/m")</f>
        <v>0.0768105059078579</v>
      </c>
      <c r="AX33" s="20" t="str">
        <f>IFERROR((AJ33/F33)^(1/10)-1,"n/m")</f>
        <v>n/m</v>
      </c>
      <c r="AY33" s="20" t="str">
        <f>IFERROR((AJ33/C33)^(1/13)-1,"n/m")</f>
        <v>n/m</v>
      </c>
      <c r="BB33" s="25" t="inlineStr">
        <is>
          <t xml:space="preserve">  2029E</t>
        </is>
      </c>
      <c r="BC33" s="33">
        <f>BD33+$BC$30</f>
        <v>0.01</v>
      </c>
      <c r="BD33" s="42" t="n">
        <v>0</v>
      </c>
      <c r="BE33" s="33">
        <f>BD33+$BE$30</f>
        <v>-0.01</v>
      </c>
    </row>
    <row r="34">
      <c r="B34" s="22" t="inlineStr">
        <is>
          <t xml:space="preserve">  Net sales y/y %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>
        <f>IF(AND(ISNUMBER(K33),ISNUMBER(J33)),IFERROR(K33/J33-1,""),"")</f>
        <v>-0.0953820429524391</v>
      </c>
      <c r="L34" s="23" t="n"/>
      <c r="M34" s="23" t="n"/>
      <c r="N34" s="23" t="n"/>
      <c r="O34" s="23" t="n"/>
      <c r="P34" s="23">
        <f>IF(AND(ISNUMBER(P33),ISNUMBER(K33)),IFERROR(P33/K33-1,""),"")</f>
        <v>0.203985946873771</v>
      </c>
      <c r="Q34" s="23">
        <f>IF(AND(ISNUMBER(Q33),ISNUMBER(L33)),IFERROR(Q33/L33-1,""),"")</f>
        <v>0.0982456140350878</v>
      </c>
      <c r="R34" s="23">
        <f>IF(AND(ISNUMBER(R33),ISNUMBER(M33)),IFERROR(R33/M33-1,""),"")</f>
        <v>-0.016214779372674</v>
      </c>
      <c r="S34" s="23">
        <f>IF(AND(ISNUMBER(S33),ISNUMBER(N33)),IFERROR(S33/N33-1,""),"")</f>
        <v>-0.0205202312138729</v>
      </c>
      <c r="T34" s="23">
        <f>IF(AND(ISNUMBER(T33),ISNUMBER(O33)),IFERROR(T33/O33-1,""),"")</f>
        <v>0.0575319622012229</v>
      </c>
      <c r="U34" s="23">
        <f>IF(AND(ISNUMBER(U33),ISNUMBER(P33)),IFERROR(U33/P33-1,""),"")</f>
        <v>0.0289346161949573</v>
      </c>
      <c r="V34" s="23">
        <f>IF(AND(ISNUMBER(V33),ISNUMBER(Q33)),IFERROR(V33/Q33-1,""),"")</f>
        <v>0.0447284345047923</v>
      </c>
      <c r="W34" s="23">
        <f>IF(AND(ISNUMBER(W33),ISNUMBER(R33)),IFERROR(W33/R33-1,""),"")</f>
        <v>0.108078897595244</v>
      </c>
      <c r="X34" s="23">
        <f>IF(AND(ISNUMBER(X33),ISNUMBER(S33)),IFERROR(X33/S33-1,""),"")</f>
        <v>0.107111242254352</v>
      </c>
      <c r="Y34" s="23">
        <f>IF(AND(ISNUMBER(Y33),ISNUMBER(T33)),IFERROR(Y33/T33-1,""),"")</f>
        <v>0.00394218134034174</v>
      </c>
      <c r="Z34" s="23">
        <f>IF(AND(ISNUMBER(Z33),ISNUMBER(U33)),IFERROR(Z33/U33-1,""),"")</f>
        <v>0.0646372261279093</v>
      </c>
      <c r="AA34" s="23">
        <f>IF(AND(ISNUMBER(AA33),ISNUMBER(V33)),IFERROR(AA33/V33-1,""),"")</f>
        <v>0.00331294597349641</v>
      </c>
      <c r="AB34" s="23">
        <f>IF(AND(ISNUMBER(AB33),ISNUMBER(W33)),IFERROR(AB33/W33-1,""),"")</f>
        <v>-0.0312118995366983</v>
      </c>
      <c r="AC34" s="23">
        <f>IF(AND(ISNUMBER(AC33),ISNUMBER(X33)),IFERROR(AC33/X33-1,""),"")</f>
        <v>0.0245202558635393</v>
      </c>
      <c r="AD34" s="23">
        <f>IF(AND(ISNUMBER(AD33),ISNUMBER(Y33)),IFERROR(AD33/Y33-1,""),"")</f>
        <v>0.0172774869109948</v>
      </c>
      <c r="AE34" s="23">
        <f>IF(AND(ISNUMBER(AE33),ISNUMBER(Z33)),IFERROR(AE33/Z33-1,""),"")</f>
        <v>0.00275676368765221</v>
      </c>
      <c r="AF34" s="23">
        <f>IF(AND(ISNUMBER(AF33),ISNUMBER(AA33)),IFERROR(AF33/AA33-1,""),"")</f>
        <v>0.00965201930403858</v>
      </c>
      <c r="AG34" s="23">
        <f>IF(AND(ISNUMBER(AG33),ISNUMBER(AB33)),IFERROR(AG33/AB33-1,""),"")</f>
        <v>0.0896048326201862</v>
      </c>
      <c r="AH34" s="23">
        <f>IF(AND(ISNUMBER(AH33),ISNUMBER(AC33)),IFERROR(AH33/AC33-1,""),"")</f>
        <v>0.131893860561915</v>
      </c>
      <c r="AI34" s="23">
        <f>IF(AND(ISNUMBER(AI33),ISNUMBER(AD33)),IFERROR(AI33/AD33-1,""),"")</f>
        <v>0.149768399382398</v>
      </c>
      <c r="AJ34" s="23">
        <f>IF(AND(ISNUMBER(AJ33),ISNUMBER(AE33)),IFERROR(AJ33/AE33-1,""),"")</f>
        <v>0.0946870404705582</v>
      </c>
      <c r="AK34" s="23">
        <f>IF(AND(ISNUMBER(AK33),ISNUMBER(AF33)),IFERROR(AK33/AF33-1,""),"")</f>
        <v>0.150188679245283</v>
      </c>
      <c r="AL34" s="23">
        <f>IF(AND(ISNUMBER(AL33),ISNUMBER(AG33)),IFERROR(AL33/AG33-1,""),"")</f>
        <v>0.135828135828136</v>
      </c>
      <c r="AM34" s="254">
        <f>AM35+AM36+AM37</f>
        <v>0.0461226456661347</v>
      </c>
      <c r="AN34" s="254">
        <f>AN35+AN36+AN37</f>
        <v>0.00412264566613468</v>
      </c>
      <c r="AO34" s="254">
        <f>IFERROR(AO33/AJ33-1,"")</f>
        <v>0.0820639885603107</v>
      </c>
      <c r="AP34" s="254">
        <f>AP35+AP36+AP37</f>
        <v>0.03</v>
      </c>
      <c r="AQ34" s="254">
        <f>AQ35+AQ36+AQ37</f>
        <v>0.03</v>
      </c>
      <c r="AR34" s="254">
        <f>AR35+AR36+AR37</f>
        <v>0.03</v>
      </c>
      <c r="AS34" s="254">
        <f>AS35+AS36+AS37</f>
        <v>0.03</v>
      </c>
      <c r="AT34" s="19" t="n"/>
      <c r="BB34" s="25" t="inlineStr">
        <is>
          <t xml:space="preserve">  2030E</t>
        </is>
      </c>
      <c r="BC34" s="33">
        <f>BD34+$BC$30</f>
        <v>0.01</v>
      </c>
      <c r="BD34" s="42" t="n">
        <v>0</v>
      </c>
      <c r="BE34" s="33">
        <f>BD34+$BE$30</f>
        <v>-0.01</v>
      </c>
    </row>
    <row r="35">
      <c r="B35" s="25" t="inlineStr">
        <is>
          <t xml:space="preserve">  Organic growth % (company; price, mix &amp; volume)</t>
        </is>
      </c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40" t="n">
        <v>0.156</v>
      </c>
      <c r="R35" s="40" t="n">
        <v>0.044</v>
      </c>
      <c r="S35" s="40" t="n">
        <v>0.048</v>
      </c>
      <c r="T35" s="40" t="n">
        <v>0.113</v>
      </c>
      <c r="U35" s="40" t="n">
        <v>0.089</v>
      </c>
      <c r="V35" s="40" t="n">
        <v>0.049</v>
      </c>
      <c r="W35" s="40" t="n">
        <v>0.111</v>
      </c>
      <c r="X35" s="40" t="n">
        <v>0.106</v>
      </c>
      <c r="Y35" s="40" t="n">
        <v>0.015</v>
      </c>
      <c r="Z35" s="40" t="n">
        <v>0.06900000000000001</v>
      </c>
      <c r="AA35" s="40" t="n">
        <v>0.02</v>
      </c>
      <c r="AB35" s="40" t="n">
        <v>-0.01</v>
      </c>
      <c r="AC35" s="40" t="n">
        <v>0.001</v>
      </c>
      <c r="AD35" s="40" t="n">
        <v>0.014</v>
      </c>
      <c r="AE35" s="40" t="n">
        <v>0.006</v>
      </c>
      <c r="AF35" s="40" t="n">
        <v>0.015</v>
      </c>
      <c r="AG35" s="40" t="n">
        <v>0.017</v>
      </c>
      <c r="AH35" s="40" t="n">
        <v>0.028</v>
      </c>
      <c r="AI35" s="40" t="n">
        <v>-0.03</v>
      </c>
      <c r="AJ35" s="40" t="n">
        <v>0.007</v>
      </c>
      <c r="AK35" s="40" t="n">
        <v>-0.027</v>
      </c>
      <c r="AL35" s="40" t="n">
        <v>0.008999999999999999</v>
      </c>
      <c r="AM35" s="254">
        <f>$AL$35+AM118</f>
        <v>0.00412264566613468</v>
      </c>
      <c r="AN35" s="254">
        <f>$AL$35+AN118</f>
        <v>0.00412264566613468</v>
      </c>
      <c r="AO35" s="254">
        <f>IFERROR(AO38/AJ33,"")</f>
        <v>-0.00167284124929087</v>
      </c>
      <c r="AP35" s="254">
        <f>CHOOSE(MATCH($AT$2,{"Bull","Base","Bear"},0),$BC$26,$BD$26,$BE$26)</f>
        <v>0.03</v>
      </c>
      <c r="AQ35" s="254">
        <f>CHOOSE(MATCH($AT$2,{"Bull","Base","Bear"},0),$BC$27,$BD$27,$BE$27)</f>
        <v>0.03</v>
      </c>
      <c r="AR35" s="254">
        <f>CHOOSE(MATCH($AT$2,{"Bull","Base","Bear"},0),$BC$28,$BD$28,$BE$28)</f>
        <v>0.03</v>
      </c>
      <c r="AS35" s="254">
        <f>CHOOSE(MATCH($AT$2,{"Bull","Base","Bear"},0),$BC$29,$BD$29,$BE$29)</f>
        <v>0.03</v>
      </c>
      <c r="AT35" s="19" t="inlineStr">
        <is>
          <t>Q3/Q4-26E: Q2/26 y/y organic + outlook calibration Δ. 2027E+: scenario lever. ESAB does not split organic growth into price and volume.</t>
        </is>
      </c>
      <c r="BB35" s="15" t="inlineStr">
        <is>
          <t>EDD_g (Eddyfi sales growth y/y)</t>
        </is>
      </c>
      <c r="BC35" s="260" t="n">
        <v>0.03</v>
      </c>
      <c r="BD35" s="21" t="inlineStr">
        <is>
          <t>Δ →</t>
        </is>
      </c>
      <c r="BE35" s="260" t="n">
        <v>-0.03</v>
      </c>
      <c r="BF35" s="13" t="inlineStr">
        <is>
          <t>Company: high-single-digit organic growth (aerospace &amp; defense, nuclear, energy, civil infrastructure inspection).</t>
        </is>
      </c>
    </row>
    <row r="36">
      <c r="B36" s="25" t="inlineStr">
        <is>
          <t xml:space="preserve">  Acquisitions % (excl. Eddyfi in forecast)</t>
        </is>
      </c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40" t="n">
        <v>0</v>
      </c>
      <c r="R36" s="40" t="n">
        <v>0</v>
      </c>
      <c r="S36" s="40" t="n">
        <v>0</v>
      </c>
      <c r="T36" s="40" t="n">
        <v>0.008</v>
      </c>
      <c r="U36" s="40" t="n">
        <v>0.002</v>
      </c>
      <c r="V36" s="40" t="n">
        <v>0.017</v>
      </c>
      <c r="W36" s="40" t="n">
        <v>0.014</v>
      </c>
      <c r="X36" s="40" t="n">
        <v>0.02</v>
      </c>
      <c r="Y36" s="40" t="n">
        <v>0.006</v>
      </c>
      <c r="Z36" s="40" t="n">
        <v>0.014</v>
      </c>
      <c r="AA36" s="40" t="n">
        <v>0</v>
      </c>
      <c r="AB36" s="40" t="n">
        <v>0</v>
      </c>
      <c r="AC36" s="40" t="n">
        <v>0.01</v>
      </c>
      <c r="AD36" s="40" t="n">
        <v>0.014</v>
      </c>
      <c r="AE36" s="40" t="n">
        <v>0.006</v>
      </c>
      <c r="AF36" s="40" t="n">
        <v>0.013</v>
      </c>
      <c r="AG36" s="40" t="n">
        <v>0.032</v>
      </c>
      <c r="AH36" s="40" t="n">
        <v>0.06900000000000001</v>
      </c>
      <c r="AI36" s="40" t="n">
        <v>0.112</v>
      </c>
      <c r="AJ36" s="40" t="n">
        <v>0.056</v>
      </c>
      <c r="AK36" s="40" t="n">
        <v>0.108</v>
      </c>
      <c r="AL36" s="40" t="n">
        <v>0.106</v>
      </c>
      <c r="AM36" s="255" t="n">
        <v>0.042</v>
      </c>
      <c r="AN36" s="255" t="n">
        <v>0</v>
      </c>
      <c r="AO36" s="254">
        <f>IFERROR(AO39/AJ33,"")</f>
        <v>0.0625360355098703</v>
      </c>
      <c r="AP36" s="255" t="n">
        <v>0</v>
      </c>
      <c r="AQ36" s="255" t="n">
        <v>0</v>
      </c>
      <c r="AR36" s="255" t="n">
        <v>0</v>
      </c>
      <c r="AS36" s="255" t="n">
        <v>0</v>
      </c>
      <c r="AT36" s="19" t="inlineStr">
        <is>
          <t>EWM GmbH (acquired 22-Aug-2025) anniversaries in Q3/26: Q3/26E = 49 of 91 days of the Q2/26 non-Eddyfi acquisition contribution ($46.0m − $11.8m Eddyfi = $34.2m) ÷ Q3/25 EMEA &amp; APAC sales = 4.2%; Q4/26E 0%.</t>
        </is>
      </c>
      <c r="BB36" s="25" t="inlineStr">
        <is>
          <t xml:space="preserve">  2027E</t>
        </is>
      </c>
      <c r="BC36" s="33">
        <f>BD36+$BC$35</f>
        <v>0.11</v>
      </c>
      <c r="BD36" s="42" t="n">
        <v>0.08</v>
      </c>
      <c r="BE36" s="33">
        <f>BD36+$BE$35</f>
        <v>0.05</v>
      </c>
    </row>
    <row r="37">
      <c r="B37" s="25" t="inlineStr">
        <is>
          <t xml:space="preserve">  Foreign currency translation %</t>
        </is>
      </c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40" t="n">
        <v>-0.058</v>
      </c>
      <c r="R37" s="40" t="n">
        <v>-0.06</v>
      </c>
      <c r="S37" s="40" t="n">
        <v>-0.06900000000000001</v>
      </c>
      <c r="T37" s="40" t="n">
        <v>-0.063</v>
      </c>
      <c r="U37" s="40" t="n">
        <v>-0.062</v>
      </c>
      <c r="V37" s="40" t="n">
        <v>-0.021</v>
      </c>
      <c r="W37" s="40" t="n">
        <v>-0.017</v>
      </c>
      <c r="X37" s="40" t="n">
        <v>-0.019</v>
      </c>
      <c r="Y37" s="40" t="n">
        <v>-0.016</v>
      </c>
      <c r="Z37" s="40" t="n">
        <v>-0.018</v>
      </c>
      <c r="AA37" s="40" t="n">
        <v>-0.017</v>
      </c>
      <c r="AB37" s="40" t="n">
        <v>-0.021</v>
      </c>
      <c r="AC37" s="40" t="n">
        <v>0.014</v>
      </c>
      <c r="AD37" s="40" t="n">
        <v>-0.01</v>
      </c>
      <c r="AE37" s="40" t="n">
        <v>-0.008999999999999999</v>
      </c>
      <c r="AF37" s="40" t="n">
        <v>-0.019</v>
      </c>
      <c r="AG37" s="40" t="n">
        <v>0.041</v>
      </c>
      <c r="AH37" s="40" t="n">
        <v>0.036</v>
      </c>
      <c r="AI37" s="40" t="n">
        <v>0.067</v>
      </c>
      <c r="AJ37" s="40" t="n">
        <v>0.031</v>
      </c>
      <c r="AK37" s="40" t="n">
        <v>0.06900000000000001</v>
      </c>
      <c r="AL37" s="40" t="n">
        <v>0.021</v>
      </c>
      <c r="AM37" s="255" t="n">
        <v>0</v>
      </c>
      <c r="AN37" s="255" t="n">
        <v>0</v>
      </c>
      <c r="AO37" s="254">
        <f>IFERROR(AO40/AJ33,"")</f>
        <v>0.0212591986917416</v>
      </c>
      <c r="AP37" s="254">
        <f>CHOOSE(MATCH($AT$2,{"Bull","Base","Bear"},0),$BC$31,$BD$31,$BE$31)</f>
        <v>0</v>
      </c>
      <c r="AQ37" s="254">
        <f>CHOOSE(MATCH($AT$2,{"Bull","Base","Bear"},0),$BC$32,$BD$32,$BE$32)</f>
        <v>0</v>
      </c>
      <c r="AR37" s="254">
        <f>CHOOSE(MATCH($AT$2,{"Bull","Base","Bear"},0),$BC$33,$BD$33,$BE$33)</f>
        <v>0</v>
      </c>
      <c r="AS37" s="254">
        <f>CHOOSE(MATCH($AT$2,{"Bull","Base","Bear"},0),$BC$34,$BD$34,$BE$34)</f>
        <v>0</v>
      </c>
      <c r="AT37" s="19" t="inlineStr">
        <is>
          <t>Q3/Q4-26E: FX input (spot vs prior-year rates). 2027E+: EMEA &amp; APAC FX lever; Americas 0%.</t>
        </is>
      </c>
      <c r="BB37" s="25" t="inlineStr">
        <is>
          <t xml:space="preserve">  2028E</t>
        </is>
      </c>
      <c r="BC37" s="33">
        <f>BD37+$BC$35</f>
        <v>0.11</v>
      </c>
      <c r="BD37" s="42" t="n">
        <v>0.08</v>
      </c>
      <c r="BE37" s="33">
        <f>BD37+$BE$35</f>
        <v>0.05</v>
      </c>
    </row>
    <row r="38" outlineLevel="2" s="251">
      <c r="B38" s="25" t="inlineStr">
        <is>
          <t xml:space="preserve">  Δ Net sales — organic ($)</t>
        </is>
      </c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>
        <v>53.5</v>
      </c>
      <c r="R38" s="34" t="n">
        <v>16.5</v>
      </c>
      <c r="S38" s="34" t="n">
        <v>16.7</v>
      </c>
      <c r="T38" s="34" t="n">
        <v>40.6</v>
      </c>
      <c r="U38" s="34" t="n">
        <v>126.9</v>
      </c>
      <c r="V38" s="34" t="n">
        <v>18.3</v>
      </c>
      <c r="W38" s="34" t="n">
        <v>41.2</v>
      </c>
      <c r="X38" s="34" t="n">
        <v>36</v>
      </c>
      <c r="Y38" s="34" t="n">
        <v>5.6</v>
      </c>
      <c r="Z38" s="34" t="n">
        <v>101.1</v>
      </c>
      <c r="AA38" s="34" t="n">
        <v>7.7</v>
      </c>
      <c r="AB38" s="34" t="n">
        <v>-4.1</v>
      </c>
      <c r="AC38" s="34" t="n">
        <v>0.4</v>
      </c>
      <c r="AD38" s="34" t="n">
        <v>5.3</v>
      </c>
      <c r="AE38" s="34" t="n">
        <v>9.300000000000001</v>
      </c>
      <c r="AF38" s="34" t="n">
        <v>5.9</v>
      </c>
      <c r="AG38" s="34" t="n">
        <v>6.8</v>
      </c>
      <c r="AH38" s="34" t="n">
        <v>10.6</v>
      </c>
      <c r="AI38" s="34" t="n">
        <v>-11.7</v>
      </c>
      <c r="AJ38" s="34" t="n">
        <v>11.6</v>
      </c>
      <c r="AK38" s="34" t="n">
        <v>-10.5</v>
      </c>
      <c r="AL38" s="34" t="n">
        <v>4</v>
      </c>
      <c r="AM38" s="257">
        <f>AH33*AM35</f>
        <v>1.7937631293352</v>
      </c>
      <c r="AN38" s="257">
        <f>AI33*AN35</f>
        <v>1.84199808362898</v>
      </c>
      <c r="AO38" s="257">
        <f>SUM(AK38,AL38,AM38,AN38)</f>
        <v>-2.86423878703582</v>
      </c>
      <c r="AP38" s="257">
        <f>(AO33-N(AO41))*AP35</f>
        <v>55.2272988363889</v>
      </c>
      <c r="AQ38" s="257">
        <f>(AP33-N(AP41))*AQ35</f>
        <v>56.8841178014806</v>
      </c>
      <c r="AR38" s="257">
        <f>(AQ33-N(AQ41))*AR35</f>
        <v>58.590641335525</v>
      </c>
      <c r="AS38" s="257">
        <f>(AR33-N(AR41))*AS35</f>
        <v>60.3483605755908</v>
      </c>
      <c r="AT38" s="19" t="n"/>
      <c r="BB38" s="25" t="inlineStr">
        <is>
          <t xml:space="preserve">  2029E</t>
        </is>
      </c>
      <c r="BC38" s="33">
        <f>BD38+$BC$35</f>
        <v>0.11</v>
      </c>
      <c r="BD38" s="42" t="n">
        <v>0.08</v>
      </c>
      <c r="BE38" s="33">
        <f>BD38+$BE$35</f>
        <v>0.05</v>
      </c>
    </row>
    <row r="39" outlineLevel="2" s="251">
      <c r="B39" s="25" t="inlineStr">
        <is>
          <t xml:space="preserve">  Δ Net sales — acquisitions ($)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>
        <v>0</v>
      </c>
      <c r="R39" s="34" t="n">
        <v>0</v>
      </c>
      <c r="S39" s="34" t="n">
        <v>0</v>
      </c>
      <c r="T39" s="34" t="n">
        <v>2.8</v>
      </c>
      <c r="U39" s="34" t="n">
        <v>2.8</v>
      </c>
      <c r="V39" s="34" t="n">
        <v>6.3</v>
      </c>
      <c r="W39" s="34" t="n">
        <v>5.2</v>
      </c>
      <c r="X39" s="34" t="n">
        <v>6.7</v>
      </c>
      <c r="Y39" s="34" t="n">
        <v>2.1</v>
      </c>
      <c r="Z39" s="34" t="n">
        <v>20.2</v>
      </c>
      <c r="AA39" s="34" t="n">
        <v>0.1</v>
      </c>
      <c r="AB39" s="34" t="n">
        <v>0</v>
      </c>
      <c r="AC39" s="34" t="n">
        <v>3.8</v>
      </c>
      <c r="AD39" s="34" t="n">
        <v>5.3</v>
      </c>
      <c r="AE39" s="34" t="n">
        <v>9.199999999999999</v>
      </c>
      <c r="AF39" s="34" t="n">
        <v>5.2</v>
      </c>
      <c r="AG39" s="34" t="n">
        <v>12.7</v>
      </c>
      <c r="AH39" s="34" t="n">
        <v>26.4</v>
      </c>
      <c r="AI39" s="34" t="n">
        <v>43.7</v>
      </c>
      <c r="AJ39" s="34" t="n">
        <v>88</v>
      </c>
      <c r="AK39" s="34" t="n">
        <v>42.8</v>
      </c>
      <c r="AL39" s="34" t="n">
        <v>46</v>
      </c>
      <c r="AM39" s="257">
        <f>AH33*AM36</f>
        <v>18.2742</v>
      </c>
      <c r="AN39" s="257">
        <f>AI33*AN36</f>
        <v>0</v>
      </c>
      <c r="AO39" s="257">
        <f>SUM(AK39,AL39,AM39,AN39)</f>
        <v>107.0742</v>
      </c>
      <c r="AP39" s="258" t="n">
        <v>0</v>
      </c>
      <c r="AQ39" s="258" t="n">
        <v>0</v>
      </c>
      <c r="AR39" s="258" t="n">
        <v>0</v>
      </c>
      <c r="AS39" s="258" t="n">
        <v>0</v>
      </c>
      <c r="AT39" s="19" t="n"/>
      <c r="BB39" s="25" t="inlineStr">
        <is>
          <t xml:space="preserve">  2030E</t>
        </is>
      </c>
      <c r="BC39" s="33">
        <f>BD39+$BC$35</f>
        <v>0.11</v>
      </c>
      <c r="BD39" s="42" t="n">
        <v>0.08</v>
      </c>
      <c r="BE39" s="33">
        <f>BD39+$BE$35</f>
        <v>0.05</v>
      </c>
    </row>
    <row r="40" outlineLevel="2" s="251">
      <c r="B40" s="25" t="inlineStr">
        <is>
          <t xml:space="preserve">  Δ Net sales — FX ($)</t>
        </is>
      </c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>
        <v>-19.9</v>
      </c>
      <c r="R40" s="34" t="n">
        <v>-22.6</v>
      </c>
      <c r="S40" s="34" t="n">
        <v>-23.8</v>
      </c>
      <c r="T40" s="34" t="n">
        <v>-22.7</v>
      </c>
      <c r="U40" s="34" t="n">
        <v>-88.5</v>
      </c>
      <c r="V40" s="34" t="n">
        <v>-7.8</v>
      </c>
      <c r="W40" s="34" t="n">
        <v>-6.4</v>
      </c>
      <c r="X40" s="34" t="n">
        <v>-6.4</v>
      </c>
      <c r="Y40" s="34" t="n">
        <v>-6.2</v>
      </c>
      <c r="Z40" s="34" t="n">
        <v>-26.7</v>
      </c>
      <c r="AA40" s="34" t="n">
        <v>-6.6</v>
      </c>
      <c r="AB40" s="34" t="n">
        <v>-8.800000000000001</v>
      </c>
      <c r="AC40" s="34" t="n">
        <v>5.1</v>
      </c>
      <c r="AD40" s="34" t="n">
        <v>-4</v>
      </c>
      <c r="AE40" s="34" t="n">
        <v>-14.2</v>
      </c>
      <c r="AF40" s="34" t="n">
        <v>-7.4</v>
      </c>
      <c r="AG40" s="34" t="n">
        <v>16.1</v>
      </c>
      <c r="AH40" s="34" t="n">
        <v>13.7</v>
      </c>
      <c r="AI40" s="34" t="n">
        <v>26.2</v>
      </c>
      <c r="AJ40" s="34" t="n">
        <v>48.5</v>
      </c>
      <c r="AK40" s="34" t="n">
        <v>27.5</v>
      </c>
      <c r="AL40" s="34" t="n">
        <v>8.9</v>
      </c>
      <c r="AM40" s="257">
        <f>AH33*AM37</f>
        <v>0</v>
      </c>
      <c r="AN40" s="257">
        <f>AI33*AN37</f>
        <v>0</v>
      </c>
      <c r="AO40" s="257">
        <f>SUM(AK40,AL40,AM40,AN40)</f>
        <v>36.4</v>
      </c>
      <c r="AP40" s="257">
        <f>(AO33-N(AO41))*AP37</f>
        <v>0</v>
      </c>
      <c r="AQ40" s="257">
        <f>(AP33-N(AP41))*AQ37</f>
        <v>0</v>
      </c>
      <c r="AR40" s="257">
        <f>(AQ33-N(AQ41))*AR37</f>
        <v>0</v>
      </c>
      <c r="AS40" s="257">
        <f>(AR33-N(AR41))*AS37</f>
        <v>0</v>
      </c>
      <c r="AT40" s="19" t="n"/>
      <c r="BB40" s="15" t="inlineStr">
        <is>
          <t>EDD_m (Eddyfi adjusted EBITDA margin before synergies)</t>
        </is>
      </c>
      <c r="BC40" s="260" t="n">
        <v>0.02</v>
      </c>
      <c r="BD40" s="21" t="inlineStr">
        <is>
          <t>Δ →</t>
        </is>
      </c>
      <c r="BE40" s="260" t="n">
        <v>-0.02</v>
      </c>
      <c r="BF40" s="13" t="inlineStr">
        <is>
          <t>Deal metrics: ~$80m adj. EBITDA on ~$270m 2026E revenue (29.6%); gross margin &gt; 65%.</t>
        </is>
      </c>
    </row>
    <row r="41" outlineLevel="2" s="251">
      <c r="B41" s="25" t="inlineStr">
        <is>
          <t xml:space="preserve">  Memo: Eddyfi net sales included in the segment (from 1-Jun-2026)</t>
        </is>
      </c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4" t="n"/>
      <c r="AC41" s="34" t="n"/>
      <c r="AD41" s="34" t="n"/>
      <c r="AE41" s="34" t="n"/>
      <c r="AF41" s="34" t="n"/>
      <c r="AG41" s="34" t="n"/>
      <c r="AH41" s="34" t="n"/>
      <c r="AI41" s="34" t="n"/>
      <c r="AJ41" s="34" t="n"/>
      <c r="AK41" s="34" t="n"/>
      <c r="AL41" s="34" t="n">
        <v>11.8</v>
      </c>
      <c r="AM41" s="258" t="n">
        <v>0</v>
      </c>
      <c r="AN41" s="258" t="n">
        <v>0</v>
      </c>
      <c r="AO41" s="257">
        <f>SUM(AK41,AL41,AM41,AN41)</f>
        <v>11.8</v>
      </c>
      <c r="AP41" s="258" t="n">
        <v>0</v>
      </c>
      <c r="AQ41" s="258" t="n">
        <v>0</v>
      </c>
      <c r="AR41" s="258" t="n">
        <v>0</v>
      </c>
      <c r="AS41" s="258" t="n">
        <v>0</v>
      </c>
      <c r="AT41" s="19" t="inlineStr">
        <is>
          <t>Q2/26: Eddyfi sales since closing $21.4m (10-Q Note 3) — Americas $9.6m (MD&amp;A), EMEA &amp; APAC $11.8m (derived). Removed from the 2026E base when growing the legacy segments in 2027E.</t>
        </is>
      </c>
      <c r="BB41" s="25" t="inlineStr">
        <is>
          <t xml:space="preserve">  2027E</t>
        </is>
      </c>
      <c r="BC41" s="33">
        <f>BD41+$BC$40</f>
        <v>0.32</v>
      </c>
      <c r="BD41" s="42" t="n">
        <v>0.3</v>
      </c>
      <c r="BE41" s="33">
        <f>BD41+$BE$40</f>
        <v>0.28</v>
      </c>
    </row>
    <row r="42">
      <c r="B42" s="16" t="inlineStr">
        <is>
          <t xml:space="preserve">  Adjusted EBITDA (segment, company definition)</t>
        </is>
      </c>
      <c r="C42" s="43" t="n"/>
      <c r="D42" s="43" t="n"/>
      <c r="E42" s="43" t="n"/>
      <c r="F42" s="43" t="n"/>
      <c r="G42" s="43" t="n"/>
      <c r="H42" s="43" t="n"/>
      <c r="I42" s="43" t="n"/>
      <c r="J42" s="43" t="n"/>
      <c r="K42" s="31" t="n">
        <v>189.558</v>
      </c>
      <c r="L42" s="31" t="n">
        <v>61</v>
      </c>
      <c r="M42" s="31" t="n">
        <v>66.7</v>
      </c>
      <c r="N42" s="31" t="n">
        <v>59.9</v>
      </c>
      <c r="O42" s="31" t="n">
        <v>56.9</v>
      </c>
      <c r="P42" s="31" t="n">
        <v>244.6</v>
      </c>
      <c r="Q42" s="31" t="n">
        <v>65.3</v>
      </c>
      <c r="R42" s="31" t="n">
        <v>61.9</v>
      </c>
      <c r="S42" s="31" t="n">
        <v>58.6</v>
      </c>
      <c r="T42" s="31" t="n">
        <v>62.3</v>
      </c>
      <c r="U42" s="31" t="n">
        <v>248.2</v>
      </c>
      <c r="V42" s="31" t="n">
        <v>68.59999999999999</v>
      </c>
      <c r="W42" s="31" t="n">
        <v>73.8</v>
      </c>
      <c r="X42" s="31" t="n">
        <v>65.3</v>
      </c>
      <c r="Y42" s="31" t="n">
        <v>68.59999999999999</v>
      </c>
      <c r="Z42" s="31" t="n">
        <v>276.4</v>
      </c>
      <c r="AA42" s="31" t="n">
        <v>75</v>
      </c>
      <c r="AB42" s="31" t="n">
        <v>76.2</v>
      </c>
      <c r="AC42" s="31" t="n">
        <v>68.09999999999999</v>
      </c>
      <c r="AD42" s="31" t="n">
        <v>70.2</v>
      </c>
      <c r="AE42" s="31" t="n">
        <v>289.6</v>
      </c>
      <c r="AF42" s="31" t="n">
        <v>79.40000000000001</v>
      </c>
      <c r="AG42" s="31" t="n">
        <v>86.7</v>
      </c>
      <c r="AH42" s="31" t="n">
        <v>82.2</v>
      </c>
      <c r="AI42" s="31" t="n">
        <v>86</v>
      </c>
      <c r="AJ42" s="31" t="n">
        <v>334.3</v>
      </c>
      <c r="AK42" s="31" t="n">
        <v>80.59999999999999</v>
      </c>
      <c r="AL42" s="31" t="n">
        <v>87.3</v>
      </c>
      <c r="AM42" s="253">
        <f>AM33*AM45</f>
        <v>83.4721626558241</v>
      </c>
      <c r="AN42" s="253">
        <f>AN33*AN45</f>
        <v>83.8715465442724</v>
      </c>
      <c r="AO42" s="253">
        <f>SUM(AK42,AL42,AM42,AN42)</f>
        <v>335.243709200097</v>
      </c>
      <c r="AP42" s="253">
        <f>AO42-N(AO43)+AP48</f>
        <v>348.315558851013</v>
      </c>
      <c r="AQ42" s="253">
        <f>AP42-N(AP43)+AQ48</f>
        <v>365.380794191457</v>
      </c>
      <c r="AR42" s="253">
        <f>AQ42-N(AQ43)+AR48</f>
        <v>382.957986592115</v>
      </c>
      <c r="AS42" s="253">
        <f>AR42-N(AR43)+AS48</f>
        <v>401.062494764792</v>
      </c>
      <c r="AT42" s="19" t="inlineStr">
        <is>
          <t>2027E+: legacy prior-year adjusted EBITDA + Δ bridge (organic $ × incremental margin + FX $ × prior margin).</t>
        </is>
      </c>
      <c r="AV42" s="20">
        <f>IFERROR((AS42/AJ42)^(1/5)-1,"n/m")</f>
        <v>0.0370868674857126</v>
      </c>
      <c r="AW42" s="20">
        <f>IFERROR((AJ42/K42)^(1/5)-1,"n/m")</f>
        <v>0.120156882800166</v>
      </c>
      <c r="AX42" s="20" t="str">
        <f>IFERROR((AJ42/F42)^(1/10)-1,"n/m")</f>
        <v>n/m</v>
      </c>
      <c r="AY42" s="20" t="str">
        <f>IFERROR((AJ42/C42)^(1/13)-1,"n/m")</f>
        <v>n/m</v>
      </c>
      <c r="BB42" s="25" t="inlineStr">
        <is>
          <t xml:space="preserve">  2028E</t>
        </is>
      </c>
      <c r="BC42" s="33">
        <f>BD42+$BC$40</f>
        <v>0.33</v>
      </c>
      <c r="BD42" s="42" t="n">
        <v>0.31</v>
      </c>
      <c r="BE42" s="33">
        <f>BD42+$BE$40</f>
        <v>0.29</v>
      </c>
    </row>
    <row r="43" outlineLevel="2" s="251">
      <c r="B43" s="25" t="inlineStr">
        <is>
          <t xml:space="preserve">  Memo: Eddyfi adjusted EBITDA included in the segment (estimate)</t>
        </is>
      </c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  <c r="AA43" s="34" t="n"/>
      <c r="AB43" s="34" t="n"/>
      <c r="AC43" s="34" t="n"/>
      <c r="AD43" s="34" t="n"/>
      <c r="AE43" s="34" t="n"/>
      <c r="AF43" s="34" t="n"/>
      <c r="AG43" s="34" t="n"/>
      <c r="AH43" s="34" t="n"/>
      <c r="AI43" s="34" t="n"/>
      <c r="AJ43" s="34" t="n"/>
      <c r="AK43" s="34" t="n"/>
      <c r="AL43" s="34" t="n">
        <v>3.49634</v>
      </c>
      <c r="AM43" s="258" t="n">
        <v>0</v>
      </c>
      <c r="AN43" s="258" t="n">
        <v>0</v>
      </c>
      <c r="AO43" s="257">
        <f>SUM(AK43,AL43,AM43,AN43)</f>
        <v>3.49634</v>
      </c>
      <c r="AP43" s="258" t="n">
        <v>0</v>
      </c>
      <c r="AQ43" s="258" t="n">
        <v>0</v>
      </c>
      <c r="AR43" s="258" t="n">
        <v>0</v>
      </c>
      <c r="AS43" s="258" t="n">
        <v>0</v>
      </c>
      <c r="AT43" s="19" t="inlineStr">
        <is>
          <t>June 2026 Eddyfi sales × 2026E standalone margin (not separately disclosed).</t>
        </is>
      </c>
      <c r="BB43" s="25" t="inlineStr">
        <is>
          <t xml:space="preserve">  2029E</t>
        </is>
      </c>
      <c r="BC43" s="33">
        <f>BD43+$BC$40</f>
        <v>0.34</v>
      </c>
      <c r="BD43" s="42" t="n">
        <v>0.32</v>
      </c>
      <c r="BE43" s="33">
        <f>BD43+$BE$40</f>
        <v>0.3</v>
      </c>
    </row>
    <row r="44">
      <c r="B44" s="25" t="inlineStr">
        <is>
          <t xml:space="preserve">  Adjusted EBITDA margin before outlook calibration % (Q3/Q4-26E helper)</t>
        </is>
      </c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254">
        <f>AH45+($AK$42+$AL$42-$AL$43)/($AK$33+$AL$33-$AL$41)-($AF$42+$AG$42)/($AF$33+$AG$33)</f>
        <v>0.164336759968185</v>
      </c>
      <c r="AN44" s="254">
        <f>AI45+($AK$42+$AL$42-$AL$43)/($AK$33+$AL$33-$AL$41)-($AF$42+$AG$42)/($AF$33+$AG$33)</f>
        <v>0.167894529850781</v>
      </c>
      <c r="AO44" s="254" t="n"/>
      <c r="AP44" s="254" t="n"/>
      <c r="AQ44" s="254" t="n"/>
      <c r="AR44" s="254" t="n"/>
      <c r="AS44" s="254" t="n"/>
      <c r="AT44" s="19" t="inlineStr">
        <is>
          <t>Prior-year quarter margin + (1H/26 legacy − 1H/25 margin drift).</t>
        </is>
      </c>
      <c r="BB44" s="25" t="inlineStr">
        <is>
          <t xml:space="preserve">  2030E</t>
        </is>
      </c>
      <c r="BC44" s="33">
        <f>BD44+$BC$40</f>
        <v>0.34</v>
      </c>
      <c r="BD44" s="42" t="n">
        <v>0.32</v>
      </c>
      <c r="BE44" s="33">
        <f>BD44+$BE$40</f>
        <v>0.3</v>
      </c>
    </row>
    <row r="45">
      <c r="B45" s="25" t="inlineStr">
        <is>
          <t xml:space="preserve">  Adjusted EBITDA margin %</t>
        </is>
      </c>
      <c r="C45" s="36" t="n"/>
      <c r="D45" s="36" t="n"/>
      <c r="E45" s="36" t="n"/>
      <c r="F45" s="36" t="n"/>
      <c r="G45" s="36" t="n"/>
      <c r="H45" s="36" t="n"/>
      <c r="I45" s="36" t="n"/>
      <c r="J45" s="36">
        <f>IF(AND(ISNUMBER(J42),ISNUMBER(J33)),IFERROR(J42/J33,""),"")</f>
      </c>
      <c r="K45" s="36">
        <f>IF(AND(ISNUMBER(K42),ISNUMBER(K33)),IFERROR(K42/K33,""),"")</f>
        <v>0.160281738968676</v>
      </c>
      <c r="L45" s="36">
        <f>IF(AND(ISNUMBER(L42),ISNUMBER(L33)),IFERROR(L42/L33,""),"")</f>
        <v>0.178362573099415</v>
      </c>
      <c r="M45" s="36">
        <f>IF(AND(ISNUMBER(M42),ISNUMBER(M33)),IFERROR(M42/M33,""),"")</f>
        <v>0.177299308878256</v>
      </c>
      <c r="N45" s="36">
        <f>IF(AND(ISNUMBER(N42),ISNUMBER(N33)),IFERROR(N42/N33,""),"")</f>
        <v>0.173121387283237</v>
      </c>
      <c r="O45" s="36">
        <f>IF(AND(ISNUMBER(O42),ISNUMBER(O33)),IFERROR(O42/O33,""),"")</f>
        <v>0.158143413007226</v>
      </c>
      <c r="P45" s="36">
        <f>IF(AND(ISNUMBER(P42),ISNUMBER(P33)),IFERROR(P42/P33,""),"")</f>
        <v>0.171781726244821</v>
      </c>
      <c r="Q45" s="36">
        <f>IF(AND(ISNUMBER(Q42),ISNUMBER(Q33)),IFERROR(Q42/Q33,""),"")</f>
        <v>0.173855165069223</v>
      </c>
      <c r="R45" s="36">
        <f>IF(AND(ISNUMBER(R42),ISNUMBER(R33)),IFERROR(R42/R33,""),"")</f>
        <v>0.167252094028641</v>
      </c>
      <c r="S45" s="36">
        <f>IF(AND(ISNUMBER(S42),ISNUMBER(S33)),IFERROR(S42/S33,""),"")</f>
        <v>0.172912363529065</v>
      </c>
      <c r="T45" s="36">
        <f>IF(AND(ISNUMBER(T42),ISNUMBER(T33)),IFERROR(T42/T33,""),"")</f>
        <v>0.163731931668857</v>
      </c>
      <c r="U45" s="36">
        <f>IF(AND(ISNUMBER(U42),ISNUMBER(U33)),IFERROR(U42/U33,""),"")</f>
        <v>0.169408231520033</v>
      </c>
      <c r="V45" s="36">
        <f>IF(AND(ISNUMBER(V42),ISNUMBER(V33)),IFERROR(V42/V33,""),"")</f>
        <v>0.174821610601427</v>
      </c>
      <c r="W45" s="36">
        <f>IF(AND(ISNUMBER(W42),ISNUMBER(W33)),IFERROR(W42/W33,""),"")</f>
        <v>0.179956108266277</v>
      </c>
      <c r="X45" s="36">
        <f>IF(AND(ISNUMBER(X42),ISNUMBER(X33)),IFERROR(X42/X33,""),"")</f>
        <v>0.174040511727079</v>
      </c>
      <c r="Y45" s="36">
        <f>IF(AND(ISNUMBER(Y42),ISNUMBER(Y33)),IFERROR(Y42/Y33,""),"")</f>
        <v>0.179581151832461</v>
      </c>
      <c r="Z45" s="36">
        <f>IF(AND(ISNUMBER(Z42),ISNUMBER(Z33)),IFERROR(Z42/Z33,""),"")</f>
        <v>0.17720220541095</v>
      </c>
      <c r="AA45" s="36">
        <f>IF(AND(ISNUMBER(AA42),ISNUMBER(AA33)),IFERROR(AA42/AA33,""),"")</f>
        <v>0.190500381000762</v>
      </c>
      <c r="AB45" s="36">
        <f>IF(AND(ISNUMBER(AB42),ISNUMBER(AB33)),IFERROR(AB42/AB33,""),"")</f>
        <v>0.191794613642084</v>
      </c>
      <c r="AC45" s="36">
        <f>IF(AND(ISNUMBER(AC42),ISNUMBER(AC33)),IFERROR(AC42/AC33,""),"")</f>
        <v>0.177159209157128</v>
      </c>
      <c r="AD45" s="36">
        <f>IF(AND(ISNUMBER(AD42),ISNUMBER(AD33)),IFERROR(AD42/AD33,""),"")</f>
        <v>0.180648481729285</v>
      </c>
      <c r="AE45" s="36">
        <f>IF(AND(ISNUMBER(AE42),ISNUMBER(AE33)),IFERROR(AE42/AE33,""),"")</f>
        <v>0.185154401892462</v>
      </c>
      <c r="AF45" s="36">
        <f>IF(AND(ISNUMBER(AF42),ISNUMBER(AF33)),IFERROR(AF42/AF33,""),"")</f>
        <v>0.199748427672956</v>
      </c>
      <c r="AG45" s="36">
        <f>IF(AND(ISNUMBER(AG42),ISNUMBER(AG33)),IFERROR(AG42/AG33,""),"")</f>
        <v>0.2002772002772</v>
      </c>
      <c r="AH45" s="36">
        <f>IF(AND(ISNUMBER(AH42),ISNUMBER(AH33)),IFERROR(AH42/AH33,""),"")</f>
        <v>0.18892208687658</v>
      </c>
      <c r="AI45" s="36">
        <f>IF(AND(ISNUMBER(AI42),ISNUMBER(AI33)),IFERROR(AI42/AI33,""),"")</f>
        <v>0.192479856759176</v>
      </c>
      <c r="AJ45" s="36">
        <f>IF(AND(ISNUMBER(AJ42),ISNUMBER(AJ33)),IFERROR(AJ42/AJ33,""),"")</f>
        <v>0.195245882490363</v>
      </c>
      <c r="AK45" s="36">
        <f>IF(AND(ISNUMBER(AK42),ISNUMBER(AK33)),IFERROR(AK42/AK33,""),"")</f>
        <v>0.176290463692039</v>
      </c>
      <c r="AL45" s="36">
        <f>IF(AND(ISNUMBER(AL42),ISNUMBER(AL33)),IFERROR(AL42/AL33,""),"")</f>
        <v>0.177547284929835</v>
      </c>
      <c r="AM45" s="254">
        <f>AM44+AM122</f>
        <v>0.183387605054501</v>
      </c>
      <c r="AN45" s="254">
        <f>AN44+AN122</f>
        <v>0.186945374937097</v>
      </c>
      <c r="AO45" s="254">
        <f>IFERROR(AO42/AO33,"")</f>
        <v>0.180947755568073</v>
      </c>
      <c r="AP45" s="254">
        <f>IFERROR(AP42/AP33,"")</f>
        <v>0.183697439098869</v>
      </c>
      <c r="AQ45" s="254">
        <f>IFERROR(AQ42/AQ33,"")</f>
        <v>0.187084892328999</v>
      </c>
      <c r="AR45" s="254">
        <f>IFERROR(AR42/AR33,"")</f>
        <v>0.190373681872815</v>
      </c>
      <c r="AS45" s="254">
        <f>IFERROR(AS42/AS33,"")</f>
        <v>0.193566681429917</v>
      </c>
      <c r="AT45" s="19" t="n"/>
      <c r="AV45" s="20">
        <f>IFERROR(AVERAGE(AO45,AP45,AQ45,AR45,AS45),"n/m")</f>
        <v>0.187134090059735</v>
      </c>
      <c r="AW45" s="20">
        <f>IFERROR(AVERAGE(K45,P45,U45,Z45,AE45,AJ45),"n/m")</f>
        <v>0.176512364421218</v>
      </c>
      <c r="AX45" s="20">
        <f>IFERROR(AVERAGE(F45,G45,H45,I45,J45,K45,P45,U45,Z45,AE45,AJ45),"n/m")</f>
        <v>0.176512364421218</v>
      </c>
      <c r="AY45" s="20">
        <f>IFERROR(AVERAGE(C45,D45,E45,F45,G45,H45,I45,J45,K45,P45,U45,Z45,AE45,AJ45),"n/m")</f>
        <v>0.176512364421218</v>
      </c>
      <c r="BB45" s="15" t="inlineStr">
        <is>
          <t>EDD_syn (synergy realisation % of $20m run-rate)</t>
        </is>
      </c>
      <c r="BC45" s="260" t="n">
        <v>0.25</v>
      </c>
      <c r="BD45" s="21" t="inlineStr">
        <is>
          <t>Δ →</t>
        </is>
      </c>
      <c r="BE45" s="260" t="n">
        <v>-0.25</v>
      </c>
      <c r="BF45" s="13" t="inlineStr">
        <is>
          <t>Company: $20m annualized run-rate synergies.</t>
        </is>
      </c>
    </row>
    <row r="46" outlineLevel="2" s="251">
      <c r="B46" s="22" t="inlineStr">
        <is>
          <t xml:space="preserve">  Incremental adjusted EBITDA margin (Δ adj. EBITDA / Δ net sales)</t>
        </is>
      </c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>
        <f>IFERROR((K42-J42)/(K33-J33),"")</f>
        <v>-1.52013665014675</v>
      </c>
      <c r="L46" s="23" t="n"/>
      <c r="M46" s="23" t="n"/>
      <c r="N46" s="23" t="n"/>
      <c r="O46" s="23" t="n"/>
      <c r="P46" s="23">
        <f>IFERROR((P42-K42)/(P33-K33),"")</f>
        <v>0.228158096540861</v>
      </c>
      <c r="Q46" s="23">
        <f>IFERROR((Q42-L42)/(Q33-L33),"")</f>
        <v>0.12797619047619</v>
      </c>
      <c r="R46" s="23">
        <f>IFERROR((R42-M42)/(R33-M33),"")</f>
        <v>0.786885245901644</v>
      </c>
      <c r="S46" s="23">
        <f>IFERROR((S42-N42)/(S33-N33),"")</f>
        <v>0.183098591549295</v>
      </c>
      <c r="T46" s="23">
        <f>IFERROR((T42-O42)/(T33-O33),"")</f>
        <v>0.260869565217391</v>
      </c>
      <c r="U46" s="23">
        <f>IFERROR((U42-P42)/(U33-P33),"")</f>
        <v>0.0873786407766993</v>
      </c>
      <c r="V46" s="23">
        <f>IFERROR((V42-Q42)/(V33-Q33),"")</f>
        <v>0.196428571428572</v>
      </c>
      <c r="W46" s="23">
        <f>IFERROR((W42-R42)/(W33-R33),"")</f>
        <v>0.2975</v>
      </c>
      <c r="X46" s="23">
        <f>IFERROR((X42-S42)/(X33-S33),"")</f>
        <v>0.184573002754821</v>
      </c>
      <c r="Y46" s="23">
        <f>IFERROR((Y42-T42)/(Y33-T33),"")</f>
        <v>4.2</v>
      </c>
      <c r="Z46" s="23">
        <f>IFERROR((Z42-U42)/(Z33-U33),"")</f>
        <v>0.297782470960929</v>
      </c>
      <c r="AA46" s="23">
        <f>IFERROR((AA42-V42)/(AA33-V33),"")</f>
        <v>4.92307692307688</v>
      </c>
      <c r="AB46" s="23">
        <f>IFERROR((AB42-W42)/(AB33-W33),"")</f>
        <v>-0.1875</v>
      </c>
      <c r="AC46" s="23">
        <f>IFERROR((AC42-X42)/(AC33-X33),"")</f>
        <v>0.304347826086957</v>
      </c>
      <c r="AD46" s="23">
        <f>IFERROR((AD42-Y42)/(AD33-Y33),"")</f>
        <v>0.242424242424243</v>
      </c>
      <c r="AE46" s="23">
        <f>IFERROR((AE42-Z42)/(AE33-Z33),"")</f>
        <v>3.06976744186051</v>
      </c>
      <c r="AF46" s="23">
        <f>IFERROR((AF42-AA42)/(AF33-AA33),"")</f>
        <v>1.1578947368421</v>
      </c>
      <c r="AG46" s="23">
        <f>IFERROR((AG42-AB42)/(AG33-AB33),"")</f>
        <v>0.294943820224719</v>
      </c>
      <c r="AH46" s="23">
        <f>IFERROR((AH42-AC42)/(AH33-AC33),"")</f>
        <v>0.27810650887574</v>
      </c>
      <c r="AI46" s="23">
        <f>IFERROR((AI42-AD42)/(AI33-AD33),"")</f>
        <v>0.271477663230241</v>
      </c>
      <c r="AJ46" s="23">
        <f>IFERROR((AJ42-AE42)/(AJ33-AE33),"")</f>
        <v>0.301823092505064</v>
      </c>
      <c r="AK46" s="23">
        <f>IFERROR((AK42-AF42)/(AK33-AF33),"")</f>
        <v>0.0201005025125626</v>
      </c>
      <c r="AL46" s="23">
        <f>IFERROR((AL42-AG42)/(AL33-AG33),"")</f>
        <v>0.010204081632653</v>
      </c>
      <c r="AM46" s="254">
        <f>IFERROR((AM42-AH42)/(AM33-AH33),"")</f>
        <v>0.0633927144287251</v>
      </c>
      <c r="AN46" s="254">
        <f>IFERROR((AN42-AI42)/(AN33-AI33),"")</f>
        <v>-1.15551339311614</v>
      </c>
      <c r="AO46" s="254">
        <f>IFERROR((AO42-AJ42)/(AO33-AJ33),"")</f>
        <v>0.00671631528433907</v>
      </c>
      <c r="AP46" s="254">
        <f>IFERROR((AP42-AO42)/(AP33-AO33),"")</f>
        <v>0.301005358407495</v>
      </c>
      <c r="AQ46" s="254">
        <f>IFERROR((AQ42-AP42)/(AQ33-AP33),"")</f>
        <v>0.3</v>
      </c>
      <c r="AR46" s="254">
        <f>IFERROR((AR42-AQ42)/(AR33-AQ33),"")</f>
        <v>0.3</v>
      </c>
      <c r="AS46" s="254">
        <f>IFERROR((AS42-AR42)/(AS33-AR33),"")</f>
        <v>0.3</v>
      </c>
      <c r="AT46" s="19" t="n"/>
      <c r="BB46" s="25" t="inlineStr">
        <is>
          <t xml:space="preserve">  2027E</t>
        </is>
      </c>
      <c r="BC46" s="33">
        <f>BD46+$BC$45</f>
        <v>0.75</v>
      </c>
      <c r="BD46" s="42" t="n">
        <v>0.5</v>
      </c>
      <c r="BE46" s="33">
        <f>BD46+$BE$45</f>
        <v>0.25</v>
      </c>
    </row>
    <row r="47" outlineLevel="2" s="251">
      <c r="B47" s="22" t="inlineStr">
        <is>
          <t xml:space="preserve">  Organic incremental adjusted EBITDA margin % (input)</t>
        </is>
      </c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54" t="n"/>
      <c r="AN47" s="254" t="n"/>
      <c r="AO47" s="254" t="n"/>
      <c r="AP47" s="255" t="n">
        <v>0.3</v>
      </c>
      <c r="AQ47" s="255" t="n">
        <v>0.3</v>
      </c>
      <c r="AR47" s="255" t="n">
        <v>0.3</v>
      </c>
      <c r="AS47" s="255" t="n">
        <v>0.3</v>
      </c>
      <c r="AT47" s="19" t="inlineStr">
        <is>
          <t>Input: incremental margin on organic sales growth (EBXai productivity; ESAB delivered ~30–35% organic incrementals in 2023–25).</t>
        </is>
      </c>
      <c r="BB47" s="25" t="inlineStr">
        <is>
          <t xml:space="preserve">  2028E</t>
        </is>
      </c>
      <c r="BC47" s="33">
        <f>BD47+$BC$45</f>
        <v>1.25</v>
      </c>
      <c r="BD47" s="42" t="n">
        <v>1</v>
      </c>
      <c r="BE47" s="33">
        <f>BD47+$BE$45</f>
        <v>0.75</v>
      </c>
    </row>
    <row r="48" outlineLevel="2" s="251">
      <c r="B48" s="25" t="inlineStr">
        <is>
          <t xml:space="preserve">  Δ Adjusted EBITDA (organic × incremental + FX × prior margin)</t>
        </is>
      </c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  <c r="AB48" s="34" t="n"/>
      <c r="AC48" s="34" t="n"/>
      <c r="AD48" s="34" t="n"/>
      <c r="AE48" s="34" t="n"/>
      <c r="AF48" s="34" t="n"/>
      <c r="AG48" s="34" t="n"/>
      <c r="AH48" s="34" t="n"/>
      <c r="AI48" s="34" t="n"/>
      <c r="AJ48" s="34" t="n"/>
      <c r="AK48" s="34" t="n"/>
      <c r="AL48" s="34" t="n"/>
      <c r="AM48" s="257" t="n"/>
      <c r="AN48" s="257" t="n"/>
      <c r="AO48" s="257" t="n"/>
      <c r="AP48" s="257">
        <f>AP38*AP47+AP40*AO45</f>
        <v>16.5681896509167</v>
      </c>
      <c r="AQ48" s="257">
        <f>AQ38*AQ47+AQ40*AP45</f>
        <v>17.0652353404442</v>
      </c>
      <c r="AR48" s="257">
        <f>AR38*AR47+AR40*AQ45</f>
        <v>17.5771924006575</v>
      </c>
      <c r="AS48" s="257">
        <f>AS38*AS47+AS40*AR45</f>
        <v>18.1045081726772</v>
      </c>
      <c r="AT48" s="19" t="n"/>
      <c r="BB48" s="25" t="inlineStr">
        <is>
          <t xml:space="preserve">  2029E</t>
        </is>
      </c>
      <c r="BC48" s="33">
        <f>BD48+$BC$45</f>
        <v>1.25</v>
      </c>
      <c r="BD48" s="42" t="n">
        <v>1</v>
      </c>
      <c r="BE48" s="33">
        <f>BD48+$BE$45</f>
        <v>0.75</v>
      </c>
    </row>
    <row r="49" outlineLevel="2" s="251">
      <c r="B49" s="25" t="inlineStr">
        <is>
          <t xml:space="preserve">  Operating income (GAAP, segment)</t>
        </is>
      </c>
      <c r="C49" s="34" t="n"/>
      <c r="D49" s="34" t="n"/>
      <c r="E49" s="34" t="n"/>
      <c r="F49" s="34" t="n"/>
      <c r="G49" s="34" t="n"/>
      <c r="H49" s="34" t="n"/>
      <c r="I49" s="34" t="n"/>
      <c r="J49" s="34" t="n">
        <v>160.9</v>
      </c>
      <c r="K49" s="34" t="n">
        <v>140.6</v>
      </c>
      <c r="L49" s="34" t="n">
        <v>49.9</v>
      </c>
      <c r="M49" s="34" t="n">
        <v>55.1</v>
      </c>
      <c r="N49" s="34" t="n">
        <v>47</v>
      </c>
      <c r="O49" s="34" t="n">
        <v>42.9</v>
      </c>
      <c r="P49" s="34" t="n">
        <v>195</v>
      </c>
      <c r="Q49" s="34" t="n">
        <v>53.4</v>
      </c>
      <c r="R49" s="34" t="n">
        <v>50</v>
      </c>
      <c r="S49" s="34" t="n">
        <v>44.4</v>
      </c>
      <c r="T49" s="34" t="n">
        <v>44.9</v>
      </c>
      <c r="U49" s="34" t="n">
        <v>192.8</v>
      </c>
      <c r="V49" s="34" t="n">
        <v>50.8</v>
      </c>
      <c r="W49" s="34" t="n">
        <v>62.6</v>
      </c>
      <c r="X49" s="34" t="n">
        <v>54.7</v>
      </c>
      <c r="Y49" s="34" t="n">
        <v>53.6</v>
      </c>
      <c r="Z49" s="34" t="n">
        <v>221.7</v>
      </c>
      <c r="AA49" s="34" t="n">
        <v>64.7</v>
      </c>
      <c r="AB49" s="34" t="n">
        <v>63.4</v>
      </c>
      <c r="AC49" s="34" t="n">
        <v>56.1</v>
      </c>
      <c r="AD49" s="34" t="n">
        <v>60</v>
      </c>
      <c r="AE49" s="34" t="n">
        <v>244.2</v>
      </c>
      <c r="AF49" s="34" t="n">
        <v>66.59999999999999</v>
      </c>
      <c r="AG49" s="34" t="n">
        <v>66.7</v>
      </c>
      <c r="AH49" s="34" t="n">
        <v>61.3</v>
      </c>
      <c r="AI49" s="34" t="n">
        <v>49.8</v>
      </c>
      <c r="AJ49" s="34" t="n">
        <v>244.3</v>
      </c>
      <c r="AK49" s="34" t="n">
        <v>55.3</v>
      </c>
      <c r="AL49" s="34" t="n">
        <v>56.2</v>
      </c>
      <c r="AM49" s="257" t="n"/>
      <c r="AN49" s="257" t="n"/>
      <c r="AO49" s="257" t="n"/>
      <c r="AP49" s="257" t="n"/>
      <c r="AQ49" s="257" t="n"/>
      <c r="AR49" s="257" t="n"/>
      <c r="AS49" s="257" t="n"/>
      <c r="AT49" s="19" t="inlineStr">
        <is>
          <t>Historical disclosure only.</t>
        </is>
      </c>
      <c r="BB49" s="25" t="inlineStr">
        <is>
          <t xml:space="preserve">  2030E</t>
        </is>
      </c>
      <c r="BC49" s="33">
        <f>BD49+$BC$45</f>
        <v>1.25</v>
      </c>
      <c r="BD49" s="42" t="n">
        <v>1</v>
      </c>
      <c r="BE49" s="33">
        <f>BD49+$BE$45</f>
        <v>0.75</v>
      </c>
    </row>
    <row r="50" outlineLevel="2" s="251">
      <c r="B50" s="25" t="inlineStr">
        <is>
          <t xml:space="preserve">  Restructuring &amp; other related charges (segment)</t>
        </is>
      </c>
      <c r="C50" s="34" t="n"/>
      <c r="D50" s="34" t="n"/>
      <c r="E50" s="34" t="n"/>
      <c r="F50" s="34" t="n"/>
      <c r="G50" s="34" t="n"/>
      <c r="H50" s="34" t="n"/>
      <c r="I50" s="34" t="n"/>
      <c r="J50" s="34" t="n">
        <v>9.300000000000001</v>
      </c>
      <c r="K50" s="34" t="n">
        <v>9.199999999999999</v>
      </c>
      <c r="L50" s="34" t="n">
        <v>0.7</v>
      </c>
      <c r="M50" s="34" t="n">
        <v>1.4</v>
      </c>
      <c r="N50" s="34" t="n">
        <v>2.4</v>
      </c>
      <c r="O50" s="34" t="n">
        <v>2.9</v>
      </c>
      <c r="P50" s="34" t="n">
        <v>7.4</v>
      </c>
      <c r="Q50" s="34" t="n">
        <v>1.7</v>
      </c>
      <c r="R50" s="34" t="n">
        <v>1.1</v>
      </c>
      <c r="S50" s="34" t="n">
        <v>4.8</v>
      </c>
      <c r="T50" s="34" t="n">
        <v>4.1</v>
      </c>
      <c r="U50" s="34" t="n">
        <v>11.7</v>
      </c>
      <c r="V50" s="34" t="n">
        <v>8.5</v>
      </c>
      <c r="W50" s="34" t="n">
        <v>2.2</v>
      </c>
      <c r="X50" s="34" t="n">
        <v>1.6</v>
      </c>
      <c r="Y50" s="34" t="n">
        <v>5.3</v>
      </c>
      <c r="Z50" s="34" t="n">
        <v>17.6</v>
      </c>
      <c r="AA50" s="34" t="n">
        <v>1.7</v>
      </c>
      <c r="AB50" s="34" t="n">
        <v>4</v>
      </c>
      <c r="AC50" s="34" t="n">
        <v>1</v>
      </c>
      <c r="AD50" s="34" t="n">
        <v>0.7</v>
      </c>
      <c r="AE50" s="34" t="n">
        <v>7.2</v>
      </c>
      <c r="AF50" s="34" t="n">
        <v>2.8</v>
      </c>
      <c r="AG50" s="34" t="n">
        <v>0.9</v>
      </c>
      <c r="AH50" s="34" t="n">
        <v>2.1</v>
      </c>
      <c r="AI50" s="34" t="n">
        <v>10.3</v>
      </c>
      <c r="AJ50" s="34" t="n">
        <v>16.1</v>
      </c>
      <c r="AK50" s="34" t="n">
        <v>1.2</v>
      </c>
      <c r="AL50" s="34" t="n">
        <v>0</v>
      </c>
      <c r="AM50" s="257" t="n"/>
      <c r="AN50" s="257" t="n"/>
      <c r="AO50" s="257" t="n"/>
      <c r="AP50" s="257" t="n"/>
      <c r="AQ50" s="257" t="n"/>
      <c r="AR50" s="257" t="n"/>
      <c r="AS50" s="257" t="n"/>
      <c r="AT50" s="19" t="n"/>
      <c r="BB50" s="15" t="inlineStr">
        <is>
          <t>MA_spend (bolt-on acquisitions, $m)</t>
        </is>
      </c>
      <c r="BC50" s="261" t="n">
        <v>100</v>
      </c>
      <c r="BD50" s="21" t="inlineStr">
        <is>
          <t>Δ →</t>
        </is>
      </c>
      <c r="BE50" s="261" t="n">
        <v>-100</v>
      </c>
      <c r="BF50" s="13" t="inlineStr">
        <is>
          <t>Base: deleveraging pause in 2027E after Eddyfi; bolt-ons resume 2028E.</t>
        </is>
      </c>
    </row>
    <row r="51" outlineLevel="2" s="251">
      <c r="B51" s="25" t="inlineStr">
        <is>
          <t xml:space="preserve">  Acquisition-amortization &amp; other related charges (segment)</t>
        </is>
      </c>
      <c r="C51" s="34" t="n"/>
      <c r="D51" s="34" t="n"/>
      <c r="E51" s="34" t="n"/>
      <c r="F51" s="34" t="n"/>
      <c r="G51" s="34" t="n"/>
      <c r="H51" s="34" t="n"/>
      <c r="I51" s="34" t="n"/>
      <c r="J51" s="34" t="n">
        <v>15.6</v>
      </c>
      <c r="K51" s="34" t="n">
        <v>17</v>
      </c>
      <c r="L51" s="34" t="n">
        <v>4.4</v>
      </c>
      <c r="M51" s="34" t="n">
        <v>4.4</v>
      </c>
      <c r="N51" s="34" t="n">
        <v>4.3</v>
      </c>
      <c r="O51" s="34" t="n">
        <v>4.3</v>
      </c>
      <c r="P51" s="34" t="n">
        <v>17.4</v>
      </c>
      <c r="Q51" s="34" t="n">
        <v>3.6</v>
      </c>
      <c r="R51" s="34" t="n">
        <v>3.4</v>
      </c>
      <c r="S51" s="34" t="n">
        <v>3.3</v>
      </c>
      <c r="T51" s="34" t="n">
        <v>3.9</v>
      </c>
      <c r="U51" s="34" t="n">
        <v>14.1</v>
      </c>
      <c r="V51" s="34" t="n">
        <v>4</v>
      </c>
      <c r="W51" s="34" t="n">
        <v>3.8</v>
      </c>
      <c r="X51" s="34" t="n">
        <v>4</v>
      </c>
      <c r="Y51" s="34" t="n">
        <v>4</v>
      </c>
      <c r="Z51" s="34" t="n">
        <v>15.9</v>
      </c>
      <c r="AA51" s="34" t="n">
        <v>3.3</v>
      </c>
      <c r="AB51" s="34" t="n">
        <v>3.3</v>
      </c>
      <c r="AC51" s="34" t="n">
        <v>5.2</v>
      </c>
      <c r="AD51" s="34" t="n">
        <v>3.9</v>
      </c>
      <c r="AE51" s="34" t="n">
        <v>15.9</v>
      </c>
      <c r="AF51" s="34" t="n">
        <v>4</v>
      </c>
      <c r="AG51" s="34" t="n">
        <v>11.5</v>
      </c>
      <c r="AH51" s="34" t="n">
        <v>10.7</v>
      </c>
      <c r="AI51" s="34" t="n">
        <v>16.6</v>
      </c>
      <c r="AJ51" s="34" t="n">
        <v>42.9</v>
      </c>
      <c r="AK51" s="34" t="n">
        <v>15.1</v>
      </c>
      <c r="AL51" s="34" t="n">
        <v>23.1</v>
      </c>
      <c r="AM51" s="257" t="n"/>
      <c r="AN51" s="257" t="n"/>
      <c r="AO51" s="257" t="n"/>
      <c r="AP51" s="257" t="n"/>
      <c r="AQ51" s="257" t="n"/>
      <c r="AR51" s="257" t="n"/>
      <c r="AS51" s="257" t="n"/>
      <c r="AT51" s="19" t="n"/>
      <c r="BB51" s="25" t="inlineStr">
        <is>
          <t xml:space="preserve">  2027E</t>
        </is>
      </c>
      <c r="BC51" s="51">
        <f>BD51+$BC$50</f>
        <v>100</v>
      </c>
      <c r="BD51" s="26" t="n">
        <v>0</v>
      </c>
      <c r="BE51" s="51">
        <f>BD51+$BE$50</f>
        <v>-100</v>
      </c>
    </row>
    <row r="52" outlineLevel="2" s="251">
      <c r="B52" s="25" t="inlineStr">
        <is>
          <t xml:space="preserve">  Depreciation &amp; other amortization (segment)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>
        <v>6.1</v>
      </c>
      <c r="M52" s="34" t="n">
        <v>5.9</v>
      </c>
      <c r="N52" s="34" t="n">
        <v>5.8</v>
      </c>
      <c r="O52" s="34" t="n">
        <v>5.7</v>
      </c>
      <c r="P52" s="34" t="n">
        <v>23.5</v>
      </c>
      <c r="Q52" s="34" t="n">
        <v>5.5</v>
      </c>
      <c r="R52" s="34" t="n">
        <v>5.5</v>
      </c>
      <c r="S52" s="34" t="n">
        <v>5.1</v>
      </c>
      <c r="T52" s="34" t="n">
        <v>5.4</v>
      </c>
      <c r="U52" s="34" t="n">
        <v>21.5</v>
      </c>
      <c r="V52" s="34" t="n">
        <v>5.3</v>
      </c>
      <c r="W52" s="34" t="n">
        <v>5.2</v>
      </c>
      <c r="X52" s="34" t="n">
        <v>5</v>
      </c>
      <c r="Y52" s="34" t="n">
        <v>5.7</v>
      </c>
      <c r="Z52" s="34" t="n">
        <v>21.2</v>
      </c>
      <c r="AA52" s="34" t="n">
        <v>5.3</v>
      </c>
      <c r="AB52" s="34" t="n">
        <v>5.5</v>
      </c>
      <c r="AC52" s="34" t="n">
        <v>5.7</v>
      </c>
      <c r="AD52" s="34" t="n">
        <v>5.7</v>
      </c>
      <c r="AE52" s="34" t="n">
        <v>22.2</v>
      </c>
      <c r="AF52" s="34" t="n">
        <v>6</v>
      </c>
      <c r="AG52" s="34" t="n">
        <v>7.6</v>
      </c>
      <c r="AH52" s="34" t="n">
        <v>8.1</v>
      </c>
      <c r="AI52" s="34" t="n">
        <v>9.300000000000001</v>
      </c>
      <c r="AJ52" s="34" t="n">
        <v>31</v>
      </c>
      <c r="AK52" s="34" t="n">
        <v>8.9</v>
      </c>
      <c r="AL52" s="34" t="n">
        <v>7.6</v>
      </c>
      <c r="AM52" s="257" t="n"/>
      <c r="AN52" s="257" t="n"/>
      <c r="AO52" s="257" t="n"/>
      <c r="AP52" s="257" t="n"/>
      <c r="AQ52" s="257" t="n"/>
      <c r="AR52" s="257" t="n"/>
      <c r="AS52" s="257" t="n"/>
      <c r="AT52" s="19" t="n"/>
      <c r="BB52" s="25" t="inlineStr">
        <is>
          <t xml:space="preserve">  2028E</t>
        </is>
      </c>
      <c r="BC52" s="51">
        <f>BD52+$BC$50</f>
        <v>250</v>
      </c>
      <c r="BD52" s="26" t="n">
        <v>150</v>
      </c>
      <c r="BE52" s="51">
        <f>BD52+$BE$50</f>
        <v>50</v>
      </c>
    </row>
    <row r="53">
      <c r="B53" s="25" t="inlineStr">
        <is>
          <t xml:space="preserve">  Memo: Russia net sales (excluded from "core")</t>
        </is>
      </c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>
        <v>44</v>
      </c>
      <c r="N53" s="34" t="n">
        <v>44.2</v>
      </c>
      <c r="O53" s="34" t="n">
        <v>48.8</v>
      </c>
      <c r="P53" s="34" t="n">
        <v>137</v>
      </c>
      <c r="Q53" s="34" t="n">
        <v>40.9</v>
      </c>
      <c r="R53" s="34" t="n">
        <v>29.5</v>
      </c>
      <c r="S53" s="34" t="n">
        <v>43.3</v>
      </c>
      <c r="T53" s="34" t="n">
        <v>49.9</v>
      </c>
      <c r="U53" s="34" t="n">
        <v>122.6</v>
      </c>
      <c r="V53" s="34" t="n">
        <v>37.1</v>
      </c>
      <c r="W53" s="34" t="n">
        <v>40.3</v>
      </c>
      <c r="X53" s="34" t="n">
        <v>36.9</v>
      </c>
      <c r="Y53" s="34" t="n">
        <v>39.4</v>
      </c>
      <c r="Z53" s="34" t="n">
        <v>153.8</v>
      </c>
      <c r="AA53" s="34" t="n">
        <v>33.6</v>
      </c>
      <c r="AB53" s="34" t="n">
        <v>40.7</v>
      </c>
      <c r="AC53" s="34" t="n">
        <v>37.7</v>
      </c>
      <c r="AD53" s="34" t="n">
        <v>37.6</v>
      </c>
      <c r="AE53" s="34" t="n">
        <v>149.6</v>
      </c>
      <c r="AF53" s="34" t="n">
        <v>31.3</v>
      </c>
      <c r="AG53" s="34" t="n">
        <v>37.1</v>
      </c>
      <c r="AH53" s="34" t="n">
        <v>40.4</v>
      </c>
      <c r="AI53" s="34" t="n">
        <v>33.3</v>
      </c>
      <c r="AJ53" s="34" t="n">
        <v>142.2</v>
      </c>
      <c r="AK53" s="34" t="n">
        <v>31.1</v>
      </c>
      <c r="AL53" s="34" t="n">
        <v>41.4</v>
      </c>
      <c r="AM53" s="257">
        <f>($AK$53+$AL$53)/2</f>
        <v>36.25</v>
      </c>
      <c r="AN53" s="257">
        <f>($AK$53+$AL$53)/2</f>
        <v>36.25</v>
      </c>
      <c r="AO53" s="257">
        <f>SUM(AK53,AL53,AM53,AN53)</f>
        <v>145</v>
      </c>
      <c r="AP53" s="257">
        <f>AO53*(1+CHOOSE(MATCH($AT$2,{"Bull","Base","Bear"},0),$BC$31,$BD$31,$BE$31))</f>
        <v>145</v>
      </c>
      <c r="AQ53" s="257">
        <f>AP53*(1+CHOOSE(MATCH($AT$2,{"Bull","Base","Bear"},0),$BC$32,$BD$32,$BE$32))</f>
        <v>145</v>
      </c>
      <c r="AR53" s="257">
        <f>AQ53*(1+CHOOSE(MATCH($AT$2,{"Bull","Base","Bear"},0),$BC$33,$BD$33,$BE$33))</f>
        <v>145</v>
      </c>
      <c r="AS53" s="257">
        <f>AR53*(1+CHOOSE(MATCH($AT$2,{"Bull","Base","Bear"},0),$BC$34,$BD$34,$BE$34))</f>
        <v>145</v>
      </c>
      <c r="AT53" s="19" t="inlineStr">
        <is>
          <t>ESAB continues to operate in Russia (in-country for in-country); excluded from "core" metrics. Forecast: 1H/26 run-rate, then flat (FX only).</t>
        </is>
      </c>
      <c r="BB53" s="25" t="inlineStr">
        <is>
          <t xml:space="preserve">  2029E</t>
        </is>
      </c>
      <c r="BC53" s="51">
        <f>BD53+$BC$50</f>
        <v>300</v>
      </c>
      <c r="BD53" s="26" t="n">
        <v>200</v>
      </c>
      <c r="BE53" s="51">
        <f>BD53+$BE$50</f>
        <v>100</v>
      </c>
    </row>
    <row r="54">
      <c r="B54" s="25" t="inlineStr">
        <is>
          <t xml:space="preserve">  Memo: Russia adjusted EBITDA</t>
        </is>
      </c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>
        <v>11.9</v>
      </c>
      <c r="N54" s="34" t="n">
        <v>11.2</v>
      </c>
      <c r="O54" s="34" t="n">
        <v>4.9</v>
      </c>
      <c r="P54" s="34" t="n">
        <v>28</v>
      </c>
      <c r="Q54" s="34" t="n">
        <v>8.4</v>
      </c>
      <c r="R54" s="34" t="n">
        <v>5.5</v>
      </c>
      <c r="S54" s="34" t="n">
        <v>9.5</v>
      </c>
      <c r="T54" s="34" t="n">
        <v>5</v>
      </c>
      <c r="U54" s="34" t="n">
        <v>20</v>
      </c>
      <c r="V54" s="34" t="n">
        <v>5.3</v>
      </c>
      <c r="W54" s="34" t="n">
        <v>5.6</v>
      </c>
      <c r="X54" s="34" t="n">
        <v>4.7</v>
      </c>
      <c r="Y54" s="34" t="n">
        <v>2.7</v>
      </c>
      <c r="Z54" s="34" t="n">
        <v>18.4</v>
      </c>
      <c r="AA54" s="34" t="n">
        <v>5.9</v>
      </c>
      <c r="AB54" s="34" t="n">
        <v>6.9</v>
      </c>
      <c r="AC54" s="34" t="n">
        <v>2.6</v>
      </c>
      <c r="AD54" s="34" t="n">
        <v>2.6</v>
      </c>
      <c r="AE54" s="34" t="n">
        <v>18.1</v>
      </c>
      <c r="AF54" s="34" t="n">
        <v>6</v>
      </c>
      <c r="AG54" s="34" t="n">
        <v>5</v>
      </c>
      <c r="AH54" s="34" t="n">
        <v>6.1</v>
      </c>
      <c r="AI54" s="34" t="n">
        <v>2.5</v>
      </c>
      <c r="AJ54" s="34" t="n">
        <v>19.7</v>
      </c>
      <c r="AK54" s="34" t="n">
        <v>0.7</v>
      </c>
      <c r="AL54" s="34" t="n">
        <v>1.8</v>
      </c>
      <c r="AM54" s="257">
        <f>($AK$54+$AL$54)/2</f>
        <v>1.25</v>
      </c>
      <c r="AN54" s="257">
        <f>($AK$54+$AL$54)/2</f>
        <v>1.25</v>
      </c>
      <c r="AO54" s="257">
        <f>SUM(AK54,AL54,AM54,AN54)</f>
        <v>5</v>
      </c>
      <c r="AP54" s="257">
        <f>AP53*AO54/AO53</f>
        <v>5</v>
      </c>
      <c r="AQ54" s="257">
        <f>AQ53*AP54/AP53</f>
        <v>5</v>
      </c>
      <c r="AR54" s="257">
        <f>AR53*AQ54/AQ53</f>
        <v>5</v>
      </c>
      <c r="AS54" s="257">
        <f>AS53*AR54/AR53</f>
        <v>5</v>
      </c>
      <c r="AT54" s="19" t="n"/>
      <c r="BB54" s="25" t="inlineStr">
        <is>
          <t xml:space="preserve">  2030E</t>
        </is>
      </c>
      <c r="BC54" s="51">
        <f>BD54+$BC$50</f>
        <v>300</v>
      </c>
      <c r="BD54" s="26" t="n">
        <v>200</v>
      </c>
      <c r="BE54" s="51">
        <f>BD54+$BE$50</f>
        <v>100</v>
      </c>
    </row>
    <row r="55">
      <c r="AT55" s="19" t="n"/>
    </row>
    <row r="56">
      <c r="B56" s="14" t="inlineStr">
        <is>
          <t>Product lines (memo; revenue disaggregation — 10-K / 10-Q)</t>
        </is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5" t="inlineStr">
        <is>
          <t>PRODUCT LINES — historical disclosure only</t>
        </is>
      </c>
    </row>
    <row r="57">
      <c r="B57" s="25" t="inlineStr">
        <is>
          <t xml:space="preserve">  Equipment net sales</t>
        </is>
      </c>
      <c r="C57" s="34" t="n"/>
      <c r="D57" s="34" t="n"/>
      <c r="E57" s="34" t="n"/>
      <c r="F57" s="34" t="n"/>
      <c r="G57" s="34" t="n"/>
      <c r="H57" s="34" t="n"/>
      <c r="I57" s="34" t="n"/>
      <c r="J57" s="34" t="n">
        <v>703.024</v>
      </c>
      <c r="K57" s="34" t="n">
        <v>607.504</v>
      </c>
      <c r="L57" s="34" t="n">
        <v>173.75</v>
      </c>
      <c r="M57" s="34" t="n">
        <v>198.856</v>
      </c>
      <c r="N57" s="34" t="n">
        <v>192.365</v>
      </c>
      <c r="O57" s="34" t="n">
        <v>193.296</v>
      </c>
      <c r="P57" s="34" t="n">
        <v>758.2670000000001</v>
      </c>
      <c r="Q57" s="34" t="n">
        <v>188.348</v>
      </c>
      <c r="R57" s="34" t="n">
        <v>190.574</v>
      </c>
      <c r="S57" s="34" t="n">
        <v>168.633</v>
      </c>
      <c r="T57" s="34" t="n">
        <v>193.269</v>
      </c>
      <c r="U57" s="34" t="n">
        <v>740.824</v>
      </c>
      <c r="V57" s="34" t="n">
        <v>200.219</v>
      </c>
      <c r="W57" s="34" t="n">
        <v>226.049</v>
      </c>
      <c r="X57" s="34" t="n">
        <v>209.037</v>
      </c>
      <c r="Y57" s="34" t="n">
        <v>219.644</v>
      </c>
      <c r="Z57" s="34" t="n">
        <v>854.949</v>
      </c>
      <c r="AA57" s="34" t="n">
        <v>214.86</v>
      </c>
      <c r="AB57" s="34" t="n">
        <v>231.659</v>
      </c>
      <c r="AC57" s="34" t="n">
        <v>219.415</v>
      </c>
      <c r="AD57" s="34" t="n">
        <v>227.379</v>
      </c>
      <c r="AE57" s="34" t="n">
        <v>893.313</v>
      </c>
      <c r="AF57" s="34" t="n">
        <v>232.488</v>
      </c>
      <c r="AG57" s="34" t="n">
        <v>231.939</v>
      </c>
      <c r="AH57" s="34" t="n">
        <v>249.948</v>
      </c>
      <c r="AI57" s="34" t="n">
        <v>257.619</v>
      </c>
      <c r="AJ57" s="34" t="n">
        <v>971.994</v>
      </c>
      <c r="AK57" s="34" t="n">
        <v>264.733</v>
      </c>
      <c r="AL57" s="34" t="n">
        <v>313.015</v>
      </c>
      <c r="AM57" s="257" t="n"/>
      <c r="AN57" s="257" t="n"/>
      <c r="AO57" s="257" t="n"/>
      <c r="AP57" s="257" t="n"/>
      <c r="AQ57" s="257" t="n"/>
      <c r="AR57" s="257" t="n"/>
      <c r="AS57" s="257" t="n"/>
      <c r="AT57" s="19" t="n"/>
      <c r="AV57" s="20">
        <f>IFERROR((AS57/AJ57)^(1/5)-1,"n/m")</f>
        <v>-1</v>
      </c>
      <c r="AW57" s="20">
        <f>IFERROR((AJ57/K57)^(1/5)-1,"n/m")</f>
        <v>0.098557740398596</v>
      </c>
      <c r="AX57" s="20" t="str">
        <f>IFERROR((AJ57/F57)^(1/10)-1,"n/m")</f>
        <v>n/m</v>
      </c>
      <c r="AY57" s="20" t="str">
        <f>IFERROR((AJ57/C57)^(1/13)-1,"n/m")</f>
        <v>n/m</v>
      </c>
    </row>
    <row r="58">
      <c r="B58" s="25" t="inlineStr">
        <is>
          <t xml:space="preserve">  Consumables net sales</t>
        </is>
      </c>
      <c r="C58" s="34" t="n"/>
      <c r="D58" s="34" t="n"/>
      <c r="E58" s="34" t="n"/>
      <c r="F58" s="34" t="n"/>
      <c r="G58" s="34" t="n"/>
      <c r="H58" s="34" t="n"/>
      <c r="I58" s="34" t="n"/>
      <c r="J58" s="34" t="n">
        <v>1544.002</v>
      </c>
      <c r="K58" s="34" t="n">
        <v>1342.565</v>
      </c>
      <c r="L58" s="34" t="n">
        <v>394.378</v>
      </c>
      <c r="M58" s="34" t="n">
        <v>430.948</v>
      </c>
      <c r="N58" s="34" t="n">
        <v>413.603</v>
      </c>
      <c r="O58" s="34" t="n">
        <v>430.919</v>
      </c>
      <c r="P58" s="34" t="n">
        <v>1669.848</v>
      </c>
      <c r="Q58" s="34" t="n">
        <v>459.563</v>
      </c>
      <c r="R58" s="34" t="n">
        <v>470.603</v>
      </c>
      <c r="S58" s="34" t="n">
        <v>451.632</v>
      </c>
      <c r="T58" s="34" t="n">
        <v>470.858</v>
      </c>
      <c r="U58" s="34" t="n">
        <v>1852.656</v>
      </c>
      <c r="V58" s="34" t="n">
        <v>483.781</v>
      </c>
      <c r="W58" s="34" t="n">
        <v>494.373</v>
      </c>
      <c r="X58" s="34" t="n">
        <v>471.959</v>
      </c>
      <c r="Y58" s="34" t="n">
        <v>469.704</v>
      </c>
      <c r="Z58" s="34" t="n">
        <v>1919.817</v>
      </c>
      <c r="AA58" s="34" t="n">
        <v>474.884</v>
      </c>
      <c r="AB58" s="34" t="n">
        <v>475.394</v>
      </c>
      <c r="AC58" s="34" t="n">
        <v>453.835</v>
      </c>
      <c r="AD58" s="34" t="n">
        <v>443.377</v>
      </c>
      <c r="AE58" s="34" t="n">
        <v>1847.49</v>
      </c>
      <c r="AF58" s="34" t="n">
        <v>445.65</v>
      </c>
      <c r="AG58" s="34" t="n">
        <v>483.647</v>
      </c>
      <c r="AH58" s="34" t="n">
        <v>477.897</v>
      </c>
      <c r="AI58" s="34" t="n">
        <v>463.367</v>
      </c>
      <c r="AJ58" s="34" t="n">
        <v>1870.561</v>
      </c>
      <c r="AK58" s="34" t="n">
        <v>480.864</v>
      </c>
      <c r="AL58" s="34" t="n">
        <v>494.612</v>
      </c>
      <c r="AM58" s="257" t="n"/>
      <c r="AN58" s="257" t="n"/>
      <c r="AO58" s="257" t="n"/>
      <c r="AP58" s="257" t="n"/>
      <c r="AQ58" s="257" t="n"/>
      <c r="AR58" s="257" t="n"/>
      <c r="AS58" s="257" t="n"/>
      <c r="AT58" s="19" t="n"/>
      <c r="AV58" s="20">
        <f>IFERROR((AS58/AJ58)^(1/5)-1,"n/m")</f>
        <v>-1</v>
      </c>
      <c r="AW58" s="20">
        <f>IFERROR((AJ58/K58)^(1/5)-1,"n/m")</f>
        <v>0.068580662748073</v>
      </c>
      <c r="AX58" s="20" t="str">
        <f>IFERROR((AJ58/F58)^(1/10)-1,"n/m")</f>
        <v>n/m</v>
      </c>
      <c r="AY58" s="20" t="str">
        <f>IFERROR((AJ58/C58)^(1/13)-1,"n/m")</f>
        <v>n/m</v>
      </c>
    </row>
    <row r="59">
      <c r="B59" s="25" t="inlineStr">
        <is>
          <t xml:space="preserve">  Equipment % of net sales</t>
        </is>
      </c>
      <c r="C59" s="36" t="n"/>
      <c r="D59" s="36" t="n"/>
      <c r="E59" s="36" t="n"/>
      <c r="F59" s="36" t="n"/>
      <c r="G59" s="36" t="n"/>
      <c r="H59" s="36" t="n"/>
      <c r="I59" s="36" t="n"/>
      <c r="J59" s="36">
        <f>IFERROR(J57/(J57+J58),"")</f>
        <v>0.312868653945259</v>
      </c>
      <c r="K59" s="36">
        <f>IFERROR(K57/(K57+K58),"")</f>
        <v>0.311529489469347</v>
      </c>
      <c r="L59" s="36">
        <f>IFERROR(L57/(L57+L58),"")</f>
        <v>0.30582896811986</v>
      </c>
      <c r="M59" s="36">
        <f>IFERROR(M57/(M57+M58),"")</f>
        <v>0.315742675499044</v>
      </c>
      <c r="N59" s="36">
        <f>IFERROR(N57/(N57+N58),"")</f>
        <v>0.317450756475589</v>
      </c>
      <c r="O59" s="36">
        <f>IFERROR(O57/(O57+O58),"")</f>
        <v>0.309662536145399</v>
      </c>
      <c r="P59" s="36">
        <f>IFERROR(P57/(P57+P58),"")</f>
        <v>0.312286279686094</v>
      </c>
      <c r="Q59" s="36">
        <f>IFERROR(Q57/(Q57+Q58),"")</f>
        <v>0.290700420273772</v>
      </c>
      <c r="R59" s="36">
        <f>IFERROR(R57/(R57+R58),"")</f>
        <v>0.288234466716174</v>
      </c>
      <c r="S59" s="36">
        <f>IFERROR(S57/(S57+S58),"")</f>
        <v>0.271872506106261</v>
      </c>
      <c r="T59" s="36">
        <f>IFERROR(T57/(T57+T58),"")</f>
        <v>0.291012110635466</v>
      </c>
      <c r="U59" s="36">
        <f>IFERROR(U57/(U57+U58),"")</f>
        <v>0.285648626555825</v>
      </c>
      <c r="V59" s="36">
        <f>IFERROR(V57/(V57+V58),"")</f>
        <v>0.29271783625731</v>
      </c>
      <c r="W59" s="36">
        <f>IFERROR(W57/(W57+W58),"")</f>
        <v>0.313773038580166</v>
      </c>
      <c r="X59" s="36">
        <f>IFERROR(X57/(X57+X58),"")</f>
        <v>0.306957750118943</v>
      </c>
      <c r="Y59" s="36">
        <f>IFERROR(Y57/(Y57+Y58),"")</f>
        <v>0.318625715893859</v>
      </c>
      <c r="Z59" s="36">
        <f>IFERROR(Z57/(Z57+Z58),"")</f>
        <v>0.308115711378905</v>
      </c>
      <c r="AA59" s="36">
        <f>IFERROR(AA57/(AA57+AA58),"")</f>
        <v>0.311506877914125</v>
      </c>
      <c r="AB59" s="36">
        <f>IFERROR(AB57/(AB57+AB58),"")</f>
        <v>0.327640219332921</v>
      </c>
      <c r="AC59" s="36">
        <f>IFERROR(AC57/(AC57+AC58),"")</f>
        <v>0.325904196063869</v>
      </c>
      <c r="AD59" s="36">
        <f>IFERROR(AD57/(AD57+AD58),"")</f>
        <v>0.338989140611489</v>
      </c>
      <c r="AE59" s="36">
        <f>IFERROR(AE57/(AE57+AE58),"")</f>
        <v>0.325931123105163</v>
      </c>
      <c r="AF59" s="36">
        <f>IFERROR(AF57/(AF57+AF58),"")</f>
        <v>0.342832874724614</v>
      </c>
      <c r="AG59" s="36">
        <f>IFERROR(AG57/(AG57+AG58),"")</f>
        <v>0.324124563644342</v>
      </c>
      <c r="AH59" s="36">
        <f>IFERROR(AH57/(AH57+AH58),"")</f>
        <v>0.343408280609196</v>
      </c>
      <c r="AI59" s="36">
        <f>IFERROR(AI57/(AI57+AI58),"")</f>
        <v>0.357314843838854</v>
      </c>
      <c r="AJ59" s="36">
        <f>IFERROR(AJ57/(AJ57+AJ58),"")</f>
        <v>0.341943779451937</v>
      </c>
      <c r="AK59" s="36">
        <f>IFERROR(AK57/(AK57+AK58),"")</f>
        <v>0.355061782705671</v>
      </c>
      <c r="AL59" s="36">
        <f>IFERROR(AL57/(AL57+AL58),"")</f>
        <v>0.38757371905595</v>
      </c>
      <c r="AM59" s="254" t="n"/>
      <c r="AN59" s="254" t="n"/>
      <c r="AO59" s="254" t="n"/>
      <c r="AP59" s="254" t="n"/>
      <c r="AQ59" s="254" t="n"/>
      <c r="AR59" s="254" t="n"/>
      <c r="AS59" s="254" t="n"/>
      <c r="AT59" s="19" t="n"/>
    </row>
    <row r="60">
      <c r="AT60" s="19" t="n"/>
    </row>
    <row r="61">
      <c r="B61" s="14" t="inlineStr">
        <is>
          <t>Pre-spin history (memo): Colfax "Fabrication Technology" segment as reported by Colfax (2012–2021; Colfax 10-K filings)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5" t="inlineStr">
        <is>
          <t>COLFAX FABRICATION TECHNOLOGY — ESAB under Colfax ownership (not the carve-out basis); for long-run context only</t>
        </is>
      </c>
    </row>
    <row r="62" outlineLevel="2" s="251">
      <c r="B62" s="25" t="inlineStr">
        <is>
          <t xml:space="preserve">  Fabrication Technology — net sales</t>
        </is>
      </c>
      <c r="C62" s="34" t="n">
        <v>2012.724</v>
      </c>
      <c r="D62" s="34" t="n">
        <v>2103.161</v>
      </c>
      <c r="E62" s="34" t="n">
        <v>2294.878</v>
      </c>
      <c r="F62" s="34" t="n">
        <v>1985.237</v>
      </c>
      <c r="G62" s="34" t="n">
        <v>1800.492</v>
      </c>
      <c r="H62" s="34" t="n">
        <v>1937.282</v>
      </c>
      <c r="I62" s="34" t="n">
        <v>2193.083</v>
      </c>
      <c r="J62" s="34" t="n">
        <v>2247.026</v>
      </c>
      <c r="K62" s="34" t="n">
        <v>1950.069</v>
      </c>
      <c r="L62" s="34" t="n"/>
      <c r="M62" s="34" t="n"/>
      <c r="N62" s="34" t="n"/>
      <c r="O62" s="34" t="n"/>
      <c r="P62" s="34" t="n">
        <v>2428.115</v>
      </c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  <c r="AA62" s="34" t="n"/>
      <c r="AB62" s="34" t="n"/>
      <c r="AC62" s="34" t="n"/>
      <c r="AD62" s="34" t="n"/>
      <c r="AE62" s="34" t="n"/>
      <c r="AF62" s="34" t="n"/>
      <c r="AG62" s="34" t="n"/>
      <c r="AH62" s="34" t="n"/>
      <c r="AI62" s="34" t="n"/>
      <c r="AJ62" s="34" t="n"/>
      <c r="AK62" s="34" t="n"/>
      <c r="AL62" s="34" t="n"/>
      <c r="AM62" s="257" t="n"/>
      <c r="AN62" s="257" t="n"/>
      <c r="AO62" s="257" t="n"/>
      <c r="AP62" s="257" t="n"/>
      <c r="AQ62" s="257" t="n"/>
      <c r="AR62" s="257" t="n"/>
      <c r="AS62" s="257" t="n"/>
      <c r="AT62" s="19" t="n"/>
      <c r="AV62" s="20" t="str">
        <f>IFERROR((AS62/AJ62)^(1/5)-1,"n/m")</f>
        <v>n/m</v>
      </c>
      <c r="AW62" s="20">
        <f>IFERROR((AJ62/K62)^(1/5)-1,"n/m")</f>
        <v>-1</v>
      </c>
      <c r="AX62" s="20">
        <f>IFERROR((AJ62/F62)^(1/10)-1,"n/m")</f>
        <v>-1</v>
      </c>
      <c r="AY62" s="20">
        <f>IFERROR((AJ62/C62)^(1/13)-1,"n/m")</f>
        <v>-1</v>
      </c>
    </row>
    <row r="63" outlineLevel="2" s="251">
      <c r="B63" s="25" t="inlineStr">
        <is>
          <t xml:space="preserve">  Fabrication Technology — segment operating income (before restructuring &amp; certain other charges)</t>
        </is>
      </c>
      <c r="C63" s="34" t="n">
        <v>140.184</v>
      </c>
      <c r="D63" s="34" t="n">
        <v>219.634</v>
      </c>
      <c r="E63" s="34" t="n">
        <v>265.813</v>
      </c>
      <c r="F63" s="34" t="n">
        <v>198.337</v>
      </c>
      <c r="G63" s="34" t="n">
        <v>195.197</v>
      </c>
      <c r="H63" s="34" t="n">
        <v>224.362</v>
      </c>
      <c r="I63" s="34" t="n">
        <v>249.934</v>
      </c>
      <c r="J63" s="34" t="n">
        <v>302.601</v>
      </c>
      <c r="K63" s="34" t="n">
        <v>246.011</v>
      </c>
      <c r="L63" s="34" t="n"/>
      <c r="M63" s="34" t="n"/>
      <c r="N63" s="34" t="n"/>
      <c r="O63" s="34" t="n"/>
      <c r="P63" s="34" t="n">
        <v>356.315</v>
      </c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  <c r="AD63" s="34" t="n"/>
      <c r="AE63" s="34" t="n"/>
      <c r="AF63" s="34" t="n"/>
      <c r="AG63" s="34" t="n"/>
      <c r="AH63" s="34" t="n"/>
      <c r="AI63" s="34" t="n"/>
      <c r="AJ63" s="34" t="n"/>
      <c r="AK63" s="34" t="n"/>
      <c r="AL63" s="34" t="n"/>
      <c r="AM63" s="257" t="n"/>
      <c r="AN63" s="257" t="n"/>
      <c r="AO63" s="257" t="n"/>
      <c r="AP63" s="257" t="n"/>
      <c r="AQ63" s="257" t="n"/>
      <c r="AR63" s="257" t="n"/>
      <c r="AS63" s="257" t="n"/>
      <c r="AT63" s="19" t="n"/>
    </row>
    <row r="64" outlineLevel="2" s="251">
      <c r="B64" s="25" t="inlineStr">
        <is>
          <t xml:space="preserve">  Fabrication Technology — adjusted EBITA (segment operating income + acquisition amortization; disclosed from FY2019 10-K)</t>
        </is>
      </c>
      <c r="C64" s="34" t="n"/>
      <c r="D64" s="34" t="n"/>
      <c r="E64" s="34" t="n"/>
      <c r="F64" s="34" t="n"/>
      <c r="G64" s="34" t="n"/>
      <c r="H64" s="34" t="n">
        <v>256.3</v>
      </c>
      <c r="I64" s="34" t="n">
        <v>290</v>
      </c>
      <c r="J64" s="34" t="n">
        <v>338.2</v>
      </c>
      <c r="K64" s="34" t="n">
        <v>282.3</v>
      </c>
      <c r="L64" s="34" t="n"/>
      <c r="M64" s="34" t="n"/>
      <c r="N64" s="34" t="n"/>
      <c r="O64" s="34" t="n"/>
      <c r="P64" s="34" t="n">
        <v>395.1</v>
      </c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n"/>
      <c r="AD64" s="34" t="n"/>
      <c r="AE64" s="34" t="n"/>
      <c r="AF64" s="34" t="n"/>
      <c r="AG64" s="34" t="n"/>
      <c r="AH64" s="34" t="n"/>
      <c r="AI64" s="34" t="n"/>
      <c r="AJ64" s="34" t="n"/>
      <c r="AK64" s="34" t="n"/>
      <c r="AL64" s="34" t="n"/>
      <c r="AM64" s="257" t="n"/>
      <c r="AN64" s="257" t="n"/>
      <c r="AO64" s="257" t="n"/>
      <c r="AP64" s="257" t="n"/>
      <c r="AQ64" s="257" t="n"/>
      <c r="AR64" s="257" t="n"/>
      <c r="AS64" s="257" t="n"/>
      <c r="AT64" s="19" t="n"/>
    </row>
    <row r="65" outlineLevel="2" s="251">
      <c r="B65" s="25" t="inlineStr">
        <is>
          <t xml:space="preserve">  Fabrication Technology — organic growth % (existing businesses)</t>
        </is>
      </c>
      <c r="C65" s="40" t="n">
        <v>0.02</v>
      </c>
      <c r="D65" s="40" t="n">
        <v>-0.015</v>
      </c>
      <c r="E65" s="40" t="n">
        <v>-0.023</v>
      </c>
      <c r="F65" s="40" t="n">
        <v>-0.058</v>
      </c>
      <c r="G65" s="40" t="n">
        <v>-0.051</v>
      </c>
      <c r="H65" s="40" t="n">
        <v>0.033</v>
      </c>
      <c r="I65" s="40" t="n">
        <v>0.08900000000000001</v>
      </c>
      <c r="J65" s="40" t="n">
        <v>0.015</v>
      </c>
      <c r="K65" s="40" t="n">
        <v>-0.09699999999999999</v>
      </c>
      <c r="L65" s="36" t="n"/>
      <c r="M65" s="36" t="n"/>
      <c r="N65" s="36" t="n"/>
      <c r="O65" s="36" t="n"/>
      <c r="P65" s="40" t="n">
        <v>0.234</v>
      </c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254" t="n"/>
      <c r="AN65" s="254" t="n"/>
      <c r="AO65" s="254" t="n"/>
      <c r="AP65" s="254" t="n"/>
      <c r="AQ65" s="254" t="n"/>
      <c r="AR65" s="254" t="n"/>
      <c r="AS65" s="254" t="n"/>
      <c r="AT65" s="19" t="n"/>
    </row>
    <row r="66" outlineLevel="2" s="251">
      <c r="B66" s="25" t="inlineStr">
        <is>
          <t xml:space="preserve">  Fabrication Technology — acquisitions %</t>
        </is>
      </c>
      <c r="C66" s="36" t="n"/>
      <c r="D66" s="40" t="n">
        <v>0.081</v>
      </c>
      <c r="E66" s="40" t="n">
        <v>0.165</v>
      </c>
      <c r="F66" s="40" t="n">
        <v>0.05400000000000001</v>
      </c>
      <c r="G66" s="40" t="n">
        <v>0.001</v>
      </c>
      <c r="H66" s="40" t="n">
        <v>0.027</v>
      </c>
      <c r="I66" s="40" t="n">
        <v>0.062</v>
      </c>
      <c r="J66" s="40" t="n">
        <v>0.05</v>
      </c>
      <c r="K66" s="40" t="n">
        <v>0</v>
      </c>
      <c r="L66" s="36" t="n"/>
      <c r="M66" s="36" t="n"/>
      <c r="N66" s="36" t="n"/>
      <c r="O66" s="36" t="n"/>
      <c r="P66" s="40" t="n">
        <v>0.001</v>
      </c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254" t="n"/>
      <c r="AN66" s="254" t="n"/>
      <c r="AO66" s="254" t="n"/>
      <c r="AP66" s="254" t="n"/>
      <c r="AQ66" s="254" t="n"/>
      <c r="AR66" s="254" t="n"/>
      <c r="AS66" s="254" t="n"/>
      <c r="AT66" s="19" t="n"/>
    </row>
    <row r="67" outlineLevel="2" s="251">
      <c r="B67" s="25" t="inlineStr">
        <is>
          <t xml:space="preserve">  Fabrication Technology — foreign currency %</t>
        </is>
      </c>
      <c r="C67" s="36" t="n"/>
      <c r="D67" s="40" t="n">
        <v>-0.021</v>
      </c>
      <c r="E67" s="40" t="n">
        <v>-0.051</v>
      </c>
      <c r="F67" s="40" t="n">
        <v>-0.13</v>
      </c>
      <c r="G67" s="40" t="n">
        <v>-0.042</v>
      </c>
      <c r="H67" s="40" t="n">
        <v>0.016</v>
      </c>
      <c r="I67" s="40" t="n">
        <v>-0.019</v>
      </c>
      <c r="J67" s="40" t="n">
        <v>-0.04</v>
      </c>
      <c r="K67" s="40" t="n">
        <v>-0.035</v>
      </c>
      <c r="L67" s="36" t="n"/>
      <c r="M67" s="36" t="n"/>
      <c r="N67" s="36" t="n"/>
      <c r="O67" s="36" t="n"/>
      <c r="P67" s="40" t="n">
        <v>0.01</v>
      </c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254" t="n"/>
      <c r="AN67" s="254" t="n"/>
      <c r="AO67" s="254" t="n"/>
      <c r="AP67" s="254" t="n"/>
      <c r="AQ67" s="254" t="n"/>
      <c r="AR67" s="254" t="n"/>
      <c r="AS67" s="254" t="n"/>
      <c r="AT67" s="19" t="n"/>
    </row>
    <row r="68" outlineLevel="2" s="251">
      <c r="B68" s="25" t="inlineStr">
        <is>
          <t xml:space="preserve">  Fabrication Technology — segment operating margin %</t>
        </is>
      </c>
      <c r="C68" s="36">
        <f>IFERROR(C63/C62,"")</f>
        <v>0.0696488937380386</v>
      </c>
      <c r="D68" s="36">
        <f>IFERROR(D63/D62,"")</f>
        <v>0.104430426391513</v>
      </c>
      <c r="E68" s="36">
        <f>IFERROR(E63/E62,"")</f>
        <v>0.115828815300857</v>
      </c>
      <c r="F68" s="36">
        <f>IFERROR(F63/F62,"")</f>
        <v>0.0999059558128324</v>
      </c>
      <c r="G68" s="36">
        <f>IFERROR(G63/G62,"")</f>
        <v>0.108413144851518</v>
      </c>
      <c r="H68" s="36">
        <f>IFERROR(H63/H62,"")</f>
        <v>0.115812772740365</v>
      </c>
      <c r="I68" s="36">
        <f>IFERROR(I63/I62,"")</f>
        <v>0.1139646789474</v>
      </c>
      <c r="J68" s="36">
        <f>IFERROR(J63/J62,"")</f>
        <v>0.134667333622308</v>
      </c>
      <c r="K68" s="36">
        <f>IFERROR(K63/K62,"")</f>
        <v>0.126155023232511</v>
      </c>
      <c r="L68" s="36" t="n"/>
      <c r="M68" s="36" t="n"/>
      <c r="N68" s="36" t="n"/>
      <c r="O68" s="36" t="n"/>
      <c r="P68" s="36">
        <f>IFERROR(P63/P62,"")</f>
        <v>0.146745520702273</v>
      </c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254" t="n"/>
      <c r="AN68" s="254" t="n"/>
      <c r="AO68" s="254" t="n"/>
      <c r="AP68" s="254" t="n"/>
      <c r="AQ68" s="254" t="n"/>
      <c r="AR68" s="254" t="n"/>
      <c r="AS68" s="254" t="n"/>
      <c r="AT68" s="19" t="n"/>
    </row>
    <row r="69">
      <c r="AT69" s="19" t="n"/>
    </row>
    <row r="70">
      <c r="B70" s="14" t="inlineStr">
        <is>
          <t>EDDYFI TECHNOLOGIES — advanced inspection &amp; monitoring (NDT); acquired 1-Jun-2026 for $1.45bn; reported across both segments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5" t="inlineStr">
        <is>
          <t>EDDYFI — modelling logic (closed 1-Jun-2026; in company FY26 guidance)</t>
        </is>
      </c>
    </row>
    <row r="71">
      <c r="B71" s="25" t="inlineStr">
        <is>
          <t xml:space="preserve">  Memo: Eddyfi standalone net sales (pre-acquisition; not consolidated)</t>
        </is>
      </c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  <c r="AD71" s="34" t="n"/>
      <c r="AE71" s="34" t="n"/>
      <c r="AF71" s="34" t="n"/>
      <c r="AG71" s="34" t="n"/>
      <c r="AH71" s="34" t="n"/>
      <c r="AI71" s="34" t="n"/>
      <c r="AJ71" s="34" t="n">
        <v>238.8</v>
      </c>
      <c r="AK71" s="34" t="n">
        <v>57.1</v>
      </c>
      <c r="AL71" s="34" t="n"/>
      <c r="AM71" s="257" t="n"/>
      <c r="AN71" s="257" t="n"/>
      <c r="AO71" s="257" t="n"/>
      <c r="AP71" s="257" t="n"/>
      <c r="AQ71" s="257" t="n"/>
      <c r="AR71" s="257" t="n"/>
      <c r="AS71" s="257" t="n"/>
      <c r="AT71" s="19" t="inlineStr">
        <is>
          <t>Eddyfi audited FY2025 (IFRS; continuing operations after the Jun-2025 sale of NDT Global) and unaudited Q1-2026 (8-K/A 6-Aug-2026 Ex. 99.1/99.2). EBITDA = operating income + continuing D&amp;A (IFRS basis; not comparable with ESAB's $80m 2026E adjusted EBITDA).</t>
        </is>
      </c>
    </row>
    <row r="72">
      <c r="B72" s="25" t="inlineStr">
        <is>
          <t xml:space="preserve">  Memo: Eddyfi standalone EBITDA (pre-acquisition)</t>
        </is>
      </c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  <c r="AA72" s="34" t="n"/>
      <c r="AB72" s="34" t="n"/>
      <c r="AC72" s="34" t="n"/>
      <c r="AD72" s="34" t="n"/>
      <c r="AE72" s="34" t="n"/>
      <c r="AF72" s="34" t="n"/>
      <c r="AG72" s="34" t="n"/>
      <c r="AH72" s="34" t="n"/>
      <c r="AI72" s="34" t="n"/>
      <c r="AJ72" s="34" t="n">
        <v>77.40000000000001</v>
      </c>
      <c r="AK72" s="34" t="n">
        <v>13.8</v>
      </c>
      <c r="AL72" s="34" t="n"/>
      <c r="AM72" s="257" t="n"/>
      <c r="AN72" s="257" t="n"/>
      <c r="AO72" s="257" t="n"/>
      <c r="AP72" s="257" t="n"/>
      <c r="AQ72" s="257" t="n"/>
      <c r="AR72" s="257" t="n"/>
      <c r="AS72" s="257" t="n"/>
      <c r="AT72" s="19" t="n"/>
    </row>
    <row r="73">
      <c r="B73" s="25" t="inlineStr">
        <is>
          <t xml:space="preserve">  Days consolidated in period (closing 1-Jun-2026)</t>
        </is>
      </c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  <c r="AA73" s="34" t="n"/>
      <c r="AB73" s="34" t="n"/>
      <c r="AC73" s="34" t="n"/>
      <c r="AD73" s="34" t="n"/>
      <c r="AE73" s="34" t="n"/>
      <c r="AF73" s="34" t="n"/>
      <c r="AG73" s="34" t="n"/>
      <c r="AH73" s="34" t="n"/>
      <c r="AI73" s="34" t="n"/>
      <c r="AJ73" s="34" t="n"/>
      <c r="AK73" s="34" t="n"/>
      <c r="AL73" s="34" t="n">
        <v>33</v>
      </c>
      <c r="AM73" s="258" t="n">
        <v>91</v>
      </c>
      <c r="AN73" s="258" t="n">
        <v>90</v>
      </c>
      <c r="AO73" s="257">
        <f>SUM(AK73,AL73,AM73,AN73)</f>
        <v>214</v>
      </c>
      <c r="AP73" s="258" t="n">
        <v>365</v>
      </c>
      <c r="AQ73" s="258" t="n">
        <v>365</v>
      </c>
      <c r="AR73" s="258" t="n">
        <v>365</v>
      </c>
      <c r="AS73" s="258" t="n">
        <v>365</v>
      </c>
      <c r="AT73" s="19" t="inlineStr">
        <is>
          <t>Q2/26: 1-Jun to 3-Jul (33 days, inside the segment actuals). Q3/26E 91 days, Q4/26E 90 days.</t>
        </is>
      </c>
    </row>
    <row r="74">
      <c r="B74" s="25" t="inlineStr">
        <is>
          <t xml:space="preserve">  Annual net sales run-rate (standalone basis)</t>
        </is>
      </c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  <c r="AA74" s="34" t="n"/>
      <c r="AB74" s="34" t="n"/>
      <c r="AC74" s="34" t="n"/>
      <c r="AD74" s="34" t="n"/>
      <c r="AE74" s="34" t="n"/>
      <c r="AF74" s="34" t="n"/>
      <c r="AG74" s="34" t="n"/>
      <c r="AH74" s="34" t="n"/>
      <c r="AI74" s="34" t="n"/>
      <c r="AJ74" s="34" t="n"/>
      <c r="AK74" s="34" t="n"/>
      <c r="AL74" s="34" t="n"/>
      <c r="AM74" s="257" t="n"/>
      <c r="AN74" s="257" t="n"/>
      <c r="AO74" s="258" t="n">
        <v>270</v>
      </c>
      <c r="AP74" s="257">
        <f>AO74*(1+AP75)</f>
        <v>291.6</v>
      </c>
      <c r="AQ74" s="257">
        <f>AP74*(1+AQ75)</f>
        <v>314.928</v>
      </c>
      <c r="AR74" s="257">
        <f>AQ74*(1+AR75)</f>
        <v>340.12224</v>
      </c>
      <c r="AS74" s="257">
        <f>AR74*(1+AS75)</f>
        <v>367.3320192</v>
      </c>
      <c r="AT74" s="19" t="inlineStr">
        <is>
          <t>2026E: company deal metric ~$270m 2026E revenue. 2027E+: × (1 + scenario lever EDD_g; company: high-single-digit organic growth).</t>
        </is>
      </c>
    </row>
    <row r="75">
      <c r="B75" s="25" t="inlineStr">
        <is>
          <t xml:space="preserve">  Sales growth y/y %</t>
        </is>
      </c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254" t="n"/>
      <c r="AN75" s="254" t="n"/>
      <c r="AO75" s="254" t="n"/>
      <c r="AP75" s="254">
        <f>CHOOSE(MATCH($AT$2,{"Bull","Base","Bear"},0),$BC$36,$BD$36,$BE$36)</f>
        <v>0.08</v>
      </c>
      <c r="AQ75" s="254">
        <f>CHOOSE(MATCH($AT$2,{"Bull","Base","Bear"},0),$BC$37,$BD$37,$BE$37)</f>
        <v>0.08</v>
      </c>
      <c r="AR75" s="254">
        <f>CHOOSE(MATCH($AT$2,{"Bull","Base","Bear"},0),$BC$38,$BD$38,$BE$38)</f>
        <v>0.08</v>
      </c>
      <c r="AS75" s="254">
        <f>CHOOSE(MATCH($AT$2,{"Bull","Base","Bear"},0),$BC$39,$BD$39,$BE$39)</f>
        <v>0.08</v>
      </c>
      <c r="AT75" s="19" t="n"/>
    </row>
    <row r="76">
      <c r="B76" s="16" t="inlineStr">
        <is>
          <t xml:space="preserve">  Net sales (consolidated from closing)</t>
        </is>
      </c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  <c r="AB76" s="43" t="n"/>
      <c r="AC76" s="43" t="n"/>
      <c r="AD76" s="43" t="n"/>
      <c r="AE76" s="43" t="n"/>
      <c r="AF76" s="43" t="n"/>
      <c r="AG76" s="43" t="n"/>
      <c r="AH76" s="43" t="n"/>
      <c r="AI76" s="43" t="n"/>
      <c r="AJ76" s="43" t="n"/>
      <c r="AK76" s="43" t="n"/>
      <c r="AL76" s="31" t="n">
        <v>21.4</v>
      </c>
      <c r="AM76" s="253">
        <f>$AO$74*AM73/365</f>
        <v>67.3150684931507</v>
      </c>
      <c r="AN76" s="253">
        <f>$AO$74*AN73/365</f>
        <v>66.5753424657534</v>
      </c>
      <c r="AO76" s="253">
        <f>SUM(AK76,AL76,AM76,AN76)</f>
        <v>155.290410958904</v>
      </c>
      <c r="AP76" s="253">
        <f>AP74</f>
        <v>291.6</v>
      </c>
      <c r="AQ76" s="253">
        <f>AQ74</f>
        <v>314.928</v>
      </c>
      <c r="AR76" s="253">
        <f>AR74</f>
        <v>340.12224</v>
      </c>
      <c r="AS76" s="253">
        <f>AS74</f>
        <v>367.3320192</v>
      </c>
      <c r="AT76" s="19" t="inlineStr">
        <is>
          <t>Q2/26 (memo) = June 2026 contribution already inside the segment actuals; Q3/26E onward added in the group build.</t>
        </is>
      </c>
    </row>
    <row r="77">
      <c r="B77" s="25" t="inlineStr">
        <is>
          <t xml:space="preserve">  Standalone adjusted EBITDA margin % (before synergies)</t>
        </is>
      </c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254" t="n"/>
      <c r="AN77" s="254" t="n"/>
      <c r="AO77" s="255" t="n">
        <v>0.2963</v>
      </c>
      <c r="AP77" s="254">
        <f>CHOOSE(MATCH($AT$2,{"Bull","Base","Bear"},0),$BC$41,$BD$41,$BE$41)</f>
        <v>0.3</v>
      </c>
      <c r="AQ77" s="254">
        <f>CHOOSE(MATCH($AT$2,{"Bull","Base","Bear"},0),$BC$42,$BD$42,$BE$42)</f>
        <v>0.31</v>
      </c>
      <c r="AR77" s="254">
        <f>CHOOSE(MATCH($AT$2,{"Bull","Base","Bear"},0),$BC$43,$BD$43,$BE$43)</f>
        <v>0.32</v>
      </c>
      <c r="AS77" s="254">
        <f>CHOOSE(MATCH($AT$2,{"Bull","Base","Bear"},0),$BC$44,$BD$44,$BE$44)</f>
        <v>0.32</v>
      </c>
      <c r="AT77" s="19" t="inlineStr">
        <is>
          <t>Deal metrics: ~$80m adjusted EBITDA on ~$270m 2026E revenue (29.6%); gross margin &gt; 65%.</t>
        </is>
      </c>
    </row>
    <row r="78">
      <c r="B78" s="25" t="inlineStr">
        <is>
          <t xml:space="preserve">  (+) Cost synergies realised ($20m run-rate target)</t>
        </is>
      </c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  <c r="AA78" s="34" t="n"/>
      <c r="AB78" s="34" t="n"/>
      <c r="AC78" s="34" t="n"/>
      <c r="AD78" s="34" t="n"/>
      <c r="AE78" s="34" t="n"/>
      <c r="AF78" s="34" t="n"/>
      <c r="AG78" s="34" t="n"/>
      <c r="AH78" s="34" t="n"/>
      <c r="AI78" s="34" t="n"/>
      <c r="AJ78" s="34" t="n"/>
      <c r="AK78" s="34" t="n"/>
      <c r="AL78" s="34" t="n"/>
      <c r="AM78" s="258" t="n">
        <v>0</v>
      </c>
      <c r="AN78" s="258" t="n">
        <v>0</v>
      </c>
      <c r="AO78" s="257">
        <f>SUM(AK78,AL78,AM78,AN78)</f>
        <v>0</v>
      </c>
      <c r="AP78" s="257">
        <f>20*CHOOSE(MATCH($AT$2,{"Bull","Base","Bear"},0),$BC$46,$BD$46,$BE$46)</f>
        <v>10</v>
      </c>
      <c r="AQ78" s="257">
        <f>20*CHOOSE(MATCH($AT$2,{"Bull","Base","Bear"},0),$BC$47,$BD$47,$BE$47)</f>
        <v>20</v>
      </c>
      <c r="AR78" s="257">
        <f>20*CHOOSE(MATCH($AT$2,{"Bull","Base","Bear"},0),$BC$48,$BD$48,$BE$48)</f>
        <v>20</v>
      </c>
      <c r="AS78" s="257">
        <f>20*CHOOSE(MATCH($AT$2,{"Bull","Base","Bear"},0),$BC$49,$BD$49,$BE$49)</f>
        <v>20</v>
      </c>
      <c r="AT78" s="19" t="inlineStr">
        <is>
          <t>Company: $20m annualized run-rate synergies ($100m adjusted EBITDA incl. synergies).</t>
        </is>
      </c>
    </row>
    <row r="79">
      <c r="B79" s="16" t="inlineStr">
        <is>
          <t xml:space="preserve">  Adjusted EBITDA (consolidated)</t>
        </is>
      </c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  <c r="AB79" s="43" t="n"/>
      <c r="AC79" s="43" t="n"/>
      <c r="AD79" s="43" t="n"/>
      <c r="AE79" s="43" t="n"/>
      <c r="AF79" s="43" t="n"/>
      <c r="AG79" s="43" t="n"/>
      <c r="AH79" s="43" t="n"/>
      <c r="AI79" s="43" t="n"/>
      <c r="AJ79" s="43" t="n"/>
      <c r="AK79" s="43" t="n"/>
      <c r="AL79" s="43" t="n"/>
      <c r="AM79" s="253">
        <f>AM76*$AO$77+AM78</f>
        <v>19.9454547945206</v>
      </c>
      <c r="AN79" s="253">
        <f>AN76*$AO$77+AN78</f>
        <v>19.7262739726027</v>
      </c>
      <c r="AO79" s="253">
        <f>SUM(AK79,AL79,AM79,AN79)</f>
        <v>39.6717287671233</v>
      </c>
      <c r="AP79" s="253">
        <f>AP76*AP77+AP78</f>
        <v>97.48</v>
      </c>
      <c r="AQ79" s="253">
        <f>AQ76*AQ77+AQ78</f>
        <v>117.62768</v>
      </c>
      <c r="AR79" s="253">
        <f>AR76*AR77+AR78</f>
        <v>128.8391168</v>
      </c>
      <c r="AS79" s="253">
        <f>AS76*AS77+AS78</f>
        <v>137.546246144</v>
      </c>
      <c r="AT79" s="19" t="n"/>
    </row>
    <row r="80">
      <c r="B80" s="25" t="inlineStr">
        <is>
          <t xml:space="preserve">  Adjusted EBITDA margin %</t>
        </is>
      </c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254">
        <f>IFERROR(AM79/AM76,"")</f>
        <v>0.2963</v>
      </c>
      <c r="AN80" s="254">
        <f>IFERROR(AN79/AN76,"")</f>
        <v>0.2963</v>
      </c>
      <c r="AO80" s="254">
        <f>IFERROR(AO79/AO76,"")</f>
        <v>0.255467987509042</v>
      </c>
      <c r="AP80" s="254">
        <f>IFERROR(AP79/AP76,"")</f>
        <v>0.334293552812071</v>
      </c>
      <c r="AQ80" s="254">
        <f>IFERROR(AQ79/AQ76,"")</f>
        <v>0.373506579281614</v>
      </c>
      <c r="AR80" s="254">
        <f>IFERROR(AR79/AR76,"")</f>
        <v>0.378802388223716</v>
      </c>
      <c r="AS80" s="254">
        <f>IFERROR(AS79/AS76,"")</f>
        <v>0.3744466557627</v>
      </c>
      <c r="AT80" s="19" t="n"/>
    </row>
    <row r="81">
      <c r="B81" s="25" t="inlineStr">
        <is>
          <t xml:space="preserve">  (−) Purchase-accounting amortization of acquired intangibles (added back in adjusted EBITDA / adjusted EPS)</t>
        </is>
      </c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  <c r="AA81" s="34" t="n"/>
      <c r="AB81" s="34" t="n"/>
      <c r="AC81" s="34" t="n"/>
      <c r="AD81" s="34" t="n"/>
      <c r="AE81" s="34" t="n"/>
      <c r="AF81" s="34" t="n"/>
      <c r="AG81" s="34" t="n"/>
      <c r="AH81" s="34" t="n"/>
      <c r="AI81" s="34" t="n"/>
      <c r="AJ81" s="34" t="n"/>
      <c r="AK81" s="34" t="n"/>
      <c r="AL81" s="34" t="n"/>
      <c r="AM81" s="257">
        <f>57.7*AM73/365</f>
        <v>14.3854794520548</v>
      </c>
      <c r="AN81" s="257">
        <f>57.7*AN73/365</f>
        <v>14.227397260274</v>
      </c>
      <c r="AO81" s="257">
        <f>SUM(AK81,AL81,AM81,AN81)</f>
        <v>28.6128767123288</v>
      </c>
      <c r="AP81" s="258" t="n">
        <v>57.7</v>
      </c>
      <c r="AQ81" s="258" t="n">
        <v>52.6</v>
      </c>
      <c r="AR81" s="258" t="n">
        <v>49.2</v>
      </c>
      <c r="AS81" s="258" t="n">
        <v>49.2</v>
      </c>
      <c r="AT81" s="19" t="inlineStr">
        <is>
          <t>Pro forma amortization $57.7m p.a. (8-K/A Ex. 99.3 note 8(B)): customer relationships $563m/15–20y ($35.2m), technology $89m/10y ($8.9m), trade names $66m/5–20y ($5.1m), backlog $17m/2y ($8.5m, ends May-2028). Added back in adjusted EBITDA / adjusted EPS.</t>
        </is>
      </c>
    </row>
    <row r="82">
      <c r="B82" s="25" t="inlineStr">
        <is>
          <t xml:space="preserve">  (−) Inventory fair-value step-up expensed</t>
        </is>
      </c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  <c r="AA82" s="34" t="n"/>
      <c r="AB82" s="34" t="n"/>
      <c r="AC82" s="34" t="n"/>
      <c r="AD82" s="34" t="n"/>
      <c r="AE82" s="34" t="n"/>
      <c r="AF82" s="34" t="n"/>
      <c r="AG82" s="34" t="n"/>
      <c r="AH82" s="34" t="n"/>
      <c r="AI82" s="34" t="n"/>
      <c r="AJ82" s="34" t="n"/>
      <c r="AK82" s="34" t="n"/>
      <c r="AL82" s="34" t="n"/>
      <c r="AM82" s="258" t="n">
        <v>4.6</v>
      </c>
      <c r="AN82" s="258" t="n">
        <v>0</v>
      </c>
      <c r="AO82" s="257">
        <f>SUM(AK82,AL82,AM82,AN82)</f>
        <v>4.6</v>
      </c>
      <c r="AP82" s="258" t="n">
        <v>0</v>
      </c>
      <c r="AQ82" s="258" t="n">
        <v>0</v>
      </c>
      <c r="AR82" s="258" t="n">
        <v>0</v>
      </c>
      <c r="AS82" s="258" t="n">
        <v>0</v>
      </c>
      <c r="AT82" s="19" t="inlineStr">
        <is>
          <t>$5.9m inventory fair-value step-up (pro forma note 8(A)); ~$1.3m assumed expensed in June, balance in Q3/26E. Added back (acquisition-amortization &amp; other).</t>
        </is>
      </c>
    </row>
    <row r="83">
      <c r="B83" s="25" t="inlineStr">
        <is>
          <t xml:space="preserve">  Standalone D&amp;A (depreciation &amp; other amortization) % of sales</t>
        </is>
      </c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255" t="n">
        <v>0.015</v>
      </c>
      <c r="AN83" s="255" t="n">
        <v>0.015</v>
      </c>
      <c r="AO83" s="255" t="n">
        <v>0.015</v>
      </c>
      <c r="AP83" s="255" t="n">
        <v>0.015</v>
      </c>
      <c r="AQ83" s="255" t="n">
        <v>0.015</v>
      </c>
      <c r="AR83" s="255" t="n">
        <v>0.015</v>
      </c>
      <c r="AS83" s="255" t="n">
        <v>0.015</v>
      </c>
      <c r="AT83" s="19" t="n"/>
    </row>
    <row r="84">
      <c r="B84" s="25" t="inlineStr">
        <is>
          <t xml:space="preserve">  Standalone D&amp;A (in depreciation &amp; other amortization)</t>
        </is>
      </c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  <c r="AA84" s="34" t="n"/>
      <c r="AB84" s="34" t="n"/>
      <c r="AC84" s="34" t="n"/>
      <c r="AD84" s="34" t="n"/>
      <c r="AE84" s="34" t="n"/>
      <c r="AF84" s="34" t="n"/>
      <c r="AG84" s="34" t="n"/>
      <c r="AH84" s="34" t="n"/>
      <c r="AI84" s="34" t="n"/>
      <c r="AJ84" s="34" t="n"/>
      <c r="AK84" s="34" t="n"/>
      <c r="AL84" s="34" t="n"/>
      <c r="AM84" s="257">
        <f>AM76*AM83</f>
        <v>1.00972602739726</v>
      </c>
      <c r="AN84" s="257">
        <f>AN76*AN83</f>
        <v>0.998630136986301</v>
      </c>
      <c r="AO84" s="257">
        <f>AO76*AO83</f>
        <v>2.32935616438356</v>
      </c>
      <c r="AP84" s="257">
        <f>AP76*AP83</f>
        <v>4.374</v>
      </c>
      <c r="AQ84" s="257">
        <f>AQ76*AQ83</f>
        <v>4.72392</v>
      </c>
      <c r="AR84" s="257">
        <f>AR76*AR83</f>
        <v>5.1018336</v>
      </c>
      <c r="AS84" s="257">
        <f>AS76*AS83</f>
        <v>5.509980288</v>
      </c>
      <c r="AT84" s="19" t="n"/>
    </row>
    <row r="85">
      <c r="AT85" s="19" t="n"/>
    </row>
    <row r="86">
      <c r="B86" s="14" t="inlineStr">
        <is>
          <t>Future acquisitions (M&amp;A lever — bolt-ons, unallocated; deals closed from 2027E)</t>
        </is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5" t="inlineStr">
        <is>
          <t>M&amp;A LEVER — acquired sales = spend ÷ EV/sales; mid-year convention</t>
        </is>
      </c>
    </row>
    <row r="87">
      <c r="B87" s="25" t="inlineStr">
        <is>
          <t xml:space="preserve">  Acquisition spend (USDm, scenario)</t>
        </is>
      </c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  <c r="AA87" s="34" t="n"/>
      <c r="AB87" s="34" t="n"/>
      <c r="AC87" s="34" t="n"/>
      <c r="AD87" s="34" t="n"/>
      <c r="AE87" s="34" t="n"/>
      <c r="AF87" s="34" t="n"/>
      <c r="AG87" s="34" t="n"/>
      <c r="AH87" s="34" t="n"/>
      <c r="AI87" s="34" t="n"/>
      <c r="AJ87" s="34" t="n"/>
      <c r="AK87" s="34" t="n"/>
      <c r="AL87" s="34" t="n"/>
      <c r="AM87" s="257" t="n"/>
      <c r="AN87" s="257" t="n"/>
      <c r="AO87" s="258" t="n">
        <v>0</v>
      </c>
      <c r="AP87" s="257">
        <f>MAX(0,CHOOSE(MATCH($AT$2,{"Bull","Base","Bear"},0),$BC$51,$BD$51,$BE$51))</f>
        <v>0</v>
      </c>
      <c r="AQ87" s="257">
        <f>MAX(0,CHOOSE(MATCH($AT$2,{"Bull","Base","Bear"},0),$BC$52,$BD$52,$BE$52))</f>
        <v>150</v>
      </c>
      <c r="AR87" s="257">
        <f>MAX(0,CHOOSE(MATCH($AT$2,{"Bull","Base","Bear"},0),$BC$53,$BD$53,$BE$53))</f>
        <v>200</v>
      </c>
      <c r="AS87" s="257">
        <f>MAX(0,CHOOSE(MATCH($AT$2,{"Bull","Base","Bear"},0),$BC$54,$BD$54,$BE$54))</f>
        <v>200</v>
      </c>
      <c r="AT87" s="19" t="inlineStr">
        <is>
          <t>ESAB deployed ~$50–300m p.a. on bolt-ons in 2022–25 (gas control, automation, cutting; e.g. Ohio Medical, SUMIG, Bavaria, DeltaP, Aktiv); Base pauses in 2027E to delever after Eddyfi.</t>
        </is>
      </c>
    </row>
    <row r="88">
      <c r="B88" s="25" t="inlineStr">
        <is>
          <t xml:space="preserve">  Purchase multiple — EV / sales (x)</t>
        </is>
      </c>
      <c r="C88" s="262" t="n"/>
      <c r="D88" s="262" t="n"/>
      <c r="E88" s="262" t="n"/>
      <c r="F88" s="262" t="n"/>
      <c r="G88" s="262" t="n"/>
      <c r="H88" s="262" t="n"/>
      <c r="I88" s="262" t="n"/>
      <c r="J88" s="262" t="n"/>
      <c r="K88" s="262" t="n"/>
      <c r="L88" s="262" t="n"/>
      <c r="M88" s="262" t="n"/>
      <c r="N88" s="262" t="n"/>
      <c r="O88" s="262" t="n"/>
      <c r="P88" s="262" t="n"/>
      <c r="Q88" s="262" t="n"/>
      <c r="R88" s="262" t="n"/>
      <c r="S88" s="262" t="n"/>
      <c r="T88" s="262" t="n"/>
      <c r="U88" s="262" t="n"/>
      <c r="V88" s="262" t="n"/>
      <c r="W88" s="262" t="n"/>
      <c r="X88" s="262" t="n"/>
      <c r="Y88" s="262" t="n"/>
      <c r="Z88" s="262" t="n"/>
      <c r="AA88" s="262" t="n"/>
      <c r="AB88" s="262" t="n"/>
      <c r="AC88" s="262" t="n"/>
      <c r="AD88" s="262" t="n"/>
      <c r="AE88" s="262" t="n"/>
      <c r="AF88" s="262" t="n"/>
      <c r="AG88" s="262" t="n"/>
      <c r="AH88" s="262" t="n"/>
      <c r="AI88" s="262" t="n"/>
      <c r="AJ88" s="262" t="n"/>
      <c r="AK88" s="262" t="n"/>
      <c r="AL88" s="262" t="n"/>
      <c r="AM88" s="263" t="n"/>
      <c r="AN88" s="263" t="n"/>
      <c r="AO88" s="263" t="n"/>
      <c r="AP88" s="264" t="n">
        <v>2</v>
      </c>
      <c r="AQ88" s="264" t="n">
        <v>2</v>
      </c>
      <c r="AR88" s="264" t="n">
        <v>2</v>
      </c>
      <c r="AS88" s="264" t="n">
        <v>2</v>
      </c>
      <c r="AT88" s="19" t="n"/>
    </row>
    <row r="89">
      <c r="B89" s="25" t="inlineStr">
        <is>
          <t xml:space="preserve">  Annualised sales acquired in the year</t>
        </is>
      </c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  <c r="AA89" s="34" t="n"/>
      <c r="AB89" s="34" t="n"/>
      <c r="AC89" s="34" t="n"/>
      <c r="AD89" s="34" t="n"/>
      <c r="AE89" s="34" t="n"/>
      <c r="AF89" s="34" t="n"/>
      <c r="AG89" s="34" t="n"/>
      <c r="AH89" s="34" t="n"/>
      <c r="AI89" s="34" t="n"/>
      <c r="AJ89" s="34" t="n"/>
      <c r="AK89" s="34" t="n"/>
      <c r="AL89" s="34" t="n"/>
      <c r="AM89" s="257" t="n"/>
      <c r="AN89" s="257" t="n"/>
      <c r="AO89" s="258" t="n">
        <v>0</v>
      </c>
      <c r="AP89" s="257">
        <f>IFERROR(AP87/AP88,0)</f>
        <v>0</v>
      </c>
      <c r="AQ89" s="257">
        <f>IFERROR(AQ87/AQ88,0)</f>
        <v>75</v>
      </c>
      <c r="AR89" s="257">
        <f>IFERROR(AR87/AR88,0)</f>
        <v>100</v>
      </c>
      <c r="AS89" s="257">
        <f>IFERROR(AS87/AS88,0)</f>
        <v>100</v>
      </c>
      <c r="AT89" s="19" t="n"/>
    </row>
    <row r="90">
      <c r="B90" s="22" t="inlineStr">
        <is>
          <t xml:space="preserve">  Growth of acquired businesses after acquisition %</t>
        </is>
      </c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54" t="n"/>
      <c r="AN90" s="254" t="n"/>
      <c r="AO90" s="254" t="n"/>
      <c r="AP90" s="255" t="n">
        <v>0.04</v>
      </c>
      <c r="AQ90" s="255" t="n">
        <v>0.04</v>
      </c>
      <c r="AR90" s="255" t="n">
        <v>0.04</v>
      </c>
      <c r="AS90" s="255" t="n">
        <v>0.04</v>
      </c>
      <c r="AT90" s="19" t="n"/>
    </row>
    <row r="91">
      <c r="B91" s="25" t="inlineStr">
        <is>
          <t xml:space="preserve">  Run-rate sales of businesses acquired (year end)</t>
        </is>
      </c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  <c r="AA91" s="34" t="n"/>
      <c r="AB91" s="34" t="n"/>
      <c r="AC91" s="34" t="n"/>
      <c r="AD91" s="34" t="n"/>
      <c r="AE91" s="34" t="n"/>
      <c r="AF91" s="34" t="n"/>
      <c r="AG91" s="34" t="n"/>
      <c r="AH91" s="34" t="n"/>
      <c r="AI91" s="34" t="n"/>
      <c r="AJ91" s="34" t="n"/>
      <c r="AK91" s="34" t="n"/>
      <c r="AL91" s="34" t="n"/>
      <c r="AM91" s="257" t="n"/>
      <c r="AN91" s="257" t="n"/>
      <c r="AO91" s="258" t="n">
        <v>0</v>
      </c>
      <c r="AP91" s="257">
        <f>AO91*(1+AP90)+AP89</f>
        <v>0</v>
      </c>
      <c r="AQ91" s="257">
        <f>AP91*(1+AQ90)+AQ89</f>
        <v>75</v>
      </c>
      <c r="AR91" s="257">
        <f>AQ91*(1+AR90)+AR89</f>
        <v>178</v>
      </c>
      <c r="AS91" s="257">
        <f>AR91*(1+AS90)+AS89</f>
        <v>285.12</v>
      </c>
      <c r="AT91" s="19" t="n"/>
    </row>
    <row r="92">
      <c r="B92" s="16" t="inlineStr">
        <is>
          <t xml:space="preserve">  Net sales from future acquisitions</t>
        </is>
      </c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  <c r="AB92" s="43" t="n"/>
      <c r="AC92" s="43" t="n"/>
      <c r="AD92" s="43" t="n"/>
      <c r="AE92" s="43" t="n"/>
      <c r="AF92" s="43" t="n"/>
      <c r="AG92" s="43" t="n"/>
      <c r="AH92" s="43" t="n"/>
      <c r="AI92" s="43" t="n"/>
      <c r="AJ92" s="43" t="n"/>
      <c r="AK92" s="43" t="n"/>
      <c r="AL92" s="43" t="n"/>
      <c r="AM92" s="253" t="n"/>
      <c r="AN92" s="253" t="n"/>
      <c r="AO92" s="265" t="n">
        <v>0</v>
      </c>
      <c r="AP92" s="253">
        <f>AO91*(1+AP90)+AP89*0.5</f>
        <v>0</v>
      </c>
      <c r="AQ92" s="253">
        <f>AP91*(1+AQ90)+AQ89*0.5</f>
        <v>37.5</v>
      </c>
      <c r="AR92" s="253">
        <f>AQ91*(1+AR90)+AR89*0.5</f>
        <v>128</v>
      </c>
      <c r="AS92" s="253">
        <f>AR91*(1+AS90)+AS89*0.5</f>
        <v>235.12</v>
      </c>
      <c r="AT92" s="19" t="n"/>
    </row>
    <row r="93">
      <c r="B93" s="22" t="inlineStr">
        <is>
          <t xml:space="preserve">  Adjusted EBITDA margin of acquired businesses %</t>
        </is>
      </c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54" t="n"/>
      <c r="AN93" s="254" t="n"/>
      <c r="AO93" s="254" t="n"/>
      <c r="AP93" s="255" t="n">
        <v>0.18</v>
      </c>
      <c r="AQ93" s="255" t="n">
        <v>0.18</v>
      </c>
      <c r="AR93" s="255" t="n">
        <v>0.18</v>
      </c>
      <c r="AS93" s="255" t="n">
        <v>0.18</v>
      </c>
      <c r="AT93" s="19" t="n"/>
    </row>
    <row r="94">
      <c r="B94" s="25" t="inlineStr">
        <is>
          <t xml:space="preserve">  Adjusted EBITDA from future acquisitions</t>
        </is>
      </c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257" t="n"/>
      <c r="AN94" s="257" t="n"/>
      <c r="AO94" s="258" t="n">
        <v>0</v>
      </c>
      <c r="AP94" s="257">
        <f>AP92*AP93</f>
        <v>0</v>
      </c>
      <c r="AQ94" s="257">
        <f>AQ92*AQ93</f>
        <v>6.75</v>
      </c>
      <c r="AR94" s="257">
        <f>AR92*AR93</f>
        <v>23.04</v>
      </c>
      <c r="AS94" s="257">
        <f>AS92*AS93</f>
        <v>42.3216</v>
      </c>
      <c r="AT94" s="19" t="n"/>
    </row>
    <row r="95">
      <c r="B95" s="22" t="inlineStr">
        <is>
          <t xml:space="preserve">  Depreciation &amp; other amortization % of acquired sales</t>
        </is>
      </c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54" t="n"/>
      <c r="AN95" s="254" t="n"/>
      <c r="AO95" s="254" t="n"/>
      <c r="AP95" s="255" t="n">
        <v>0.02</v>
      </c>
      <c r="AQ95" s="255" t="n">
        <v>0.02</v>
      </c>
      <c r="AR95" s="255" t="n">
        <v>0.02</v>
      </c>
      <c r="AS95" s="255" t="n">
        <v>0.02</v>
      </c>
      <c r="AT95" s="19" t="n"/>
    </row>
    <row r="96">
      <c r="B96" s="25" t="inlineStr">
        <is>
          <t xml:space="preserve">  Depreciation &amp; other amortization from future acquisitions</t>
        </is>
      </c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  <c r="AA96" s="34" t="n"/>
      <c r="AB96" s="34" t="n"/>
      <c r="AC96" s="34" t="n"/>
      <c r="AD96" s="34" t="n"/>
      <c r="AE96" s="34" t="n"/>
      <c r="AF96" s="34" t="n"/>
      <c r="AG96" s="34" t="n"/>
      <c r="AH96" s="34" t="n"/>
      <c r="AI96" s="34" t="n"/>
      <c r="AJ96" s="34" t="n"/>
      <c r="AK96" s="34" t="n"/>
      <c r="AL96" s="34" t="n"/>
      <c r="AM96" s="257" t="n"/>
      <c r="AN96" s="257" t="n"/>
      <c r="AO96" s="258" t="n">
        <v>0</v>
      </c>
      <c r="AP96" s="257">
        <f>AP92*AP95</f>
        <v>0</v>
      </c>
      <c r="AQ96" s="257">
        <f>AQ92*AQ95</f>
        <v>0.75</v>
      </c>
      <c r="AR96" s="257">
        <f>AR92*AR95</f>
        <v>2.56</v>
      </c>
      <c r="AS96" s="257">
        <f>AS92*AS95</f>
        <v>4.7024</v>
      </c>
      <c r="AT96" s="19" t="n"/>
    </row>
    <row r="97">
      <c r="B97" s="22" t="inlineStr">
        <is>
          <t xml:space="preserve">  PP&amp;E % of spend</t>
        </is>
      </c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54" t="n"/>
      <c r="AN97" s="254" t="n"/>
      <c r="AO97" s="254" t="n"/>
      <c r="AP97" s="255" t="n">
        <v>0.1</v>
      </c>
      <c r="AQ97" s="255" t="n">
        <v>0.1</v>
      </c>
      <c r="AR97" s="255" t="n">
        <v>0.1</v>
      </c>
      <c r="AS97" s="255" t="n">
        <v>0.1</v>
      </c>
      <c r="AT97" s="19" t="n"/>
    </row>
    <row r="98">
      <c r="B98" s="22" t="inlineStr">
        <is>
          <t xml:space="preserve">  Acquired intangibles % of spend</t>
        </is>
      </c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  <c r="AL98" s="23" t="n"/>
      <c r="AM98" s="254" t="n"/>
      <c r="AN98" s="254" t="n"/>
      <c r="AO98" s="254" t="n"/>
      <c r="AP98" s="255" t="n">
        <v>0.45</v>
      </c>
      <c r="AQ98" s="255" t="n">
        <v>0.45</v>
      </c>
      <c r="AR98" s="255" t="n">
        <v>0.45</v>
      </c>
      <c r="AS98" s="255" t="n">
        <v>0.45</v>
      </c>
      <c r="AT98" s="19" t="n"/>
    </row>
    <row r="99">
      <c r="B99" s="25" t="inlineStr">
        <is>
          <t xml:space="preserve">  Intangible amortization life (years)</t>
        </is>
      </c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  <c r="AA99" s="45" t="n"/>
      <c r="AB99" s="45" t="n"/>
      <c r="AC99" s="45" t="n"/>
      <c r="AD99" s="45" t="n"/>
      <c r="AE99" s="45" t="n"/>
      <c r="AF99" s="45" t="n"/>
      <c r="AG99" s="45" t="n"/>
      <c r="AH99" s="45" t="n"/>
      <c r="AI99" s="45" t="n"/>
      <c r="AJ99" s="45" t="n"/>
      <c r="AK99" s="45" t="n"/>
      <c r="AL99" s="45" t="n"/>
      <c r="AM99" s="266" t="n"/>
      <c r="AN99" s="266" t="n"/>
      <c r="AO99" s="266" t="n"/>
      <c r="AP99" s="267" t="n">
        <v>15</v>
      </c>
      <c r="AQ99" s="267" t="n">
        <v>15</v>
      </c>
      <c r="AR99" s="267" t="n">
        <v>15</v>
      </c>
      <c r="AS99" s="267" t="n">
        <v>15</v>
      </c>
      <c r="AT99" s="19" t="n"/>
    </row>
    <row r="100">
      <c r="B100" s="25" t="inlineStr">
        <is>
          <t xml:space="preserve">  Cumulative acquired intangibles (gross)</t>
        </is>
      </c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  <c r="AA100" s="34" t="n"/>
      <c r="AB100" s="34" t="n"/>
      <c r="AC100" s="34" t="n"/>
      <c r="AD100" s="34" t="n"/>
      <c r="AE100" s="34" t="n"/>
      <c r="AF100" s="34" t="n"/>
      <c r="AG100" s="34" t="n"/>
      <c r="AH100" s="34" t="n"/>
      <c r="AI100" s="34" t="n"/>
      <c r="AJ100" s="34" t="n"/>
      <c r="AK100" s="34" t="n"/>
      <c r="AL100" s="34" t="n"/>
      <c r="AM100" s="257" t="n"/>
      <c r="AN100" s="257" t="n"/>
      <c r="AO100" s="258" t="n">
        <v>0</v>
      </c>
      <c r="AP100" s="257">
        <f>AO100+AP87*AP98</f>
        <v>0</v>
      </c>
      <c r="AQ100" s="257">
        <f>AP100+AQ87*AQ98</f>
        <v>67.5</v>
      </c>
      <c r="AR100" s="257">
        <f>AQ100+AR87*AR98</f>
        <v>157.5</v>
      </c>
      <c r="AS100" s="257">
        <f>AR100+AS87*AS98</f>
        <v>247.5</v>
      </c>
      <c r="AT100" s="19" t="n"/>
    </row>
    <row r="101">
      <c r="B101" s="25" t="inlineStr">
        <is>
          <t xml:space="preserve">  Amortization of future-acquisition intangibles (adjusted out)</t>
        </is>
      </c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  <c r="AA101" s="34" t="n"/>
      <c r="AB101" s="34" t="n"/>
      <c r="AC101" s="34" t="n"/>
      <c r="AD101" s="34" t="n"/>
      <c r="AE101" s="34" t="n"/>
      <c r="AF101" s="34" t="n"/>
      <c r="AG101" s="34" t="n"/>
      <c r="AH101" s="34" t="n"/>
      <c r="AI101" s="34" t="n"/>
      <c r="AJ101" s="34" t="n"/>
      <c r="AK101" s="34" t="n"/>
      <c r="AL101" s="34" t="n"/>
      <c r="AM101" s="257" t="n"/>
      <c r="AN101" s="257" t="n"/>
      <c r="AO101" s="258" t="n">
        <v>0</v>
      </c>
      <c r="AP101" s="257">
        <f>(AO100+AP87*AP98*0.5)/AP99</f>
        <v>0</v>
      </c>
      <c r="AQ101" s="257">
        <f>(AP100+AQ87*AQ98*0.5)/AQ99</f>
        <v>2.25</v>
      </c>
      <c r="AR101" s="257">
        <f>(AQ100+AR87*AR98*0.5)/AR99</f>
        <v>7.5</v>
      </c>
      <c r="AS101" s="257">
        <f>(AR100+AS87*AS98*0.5)/AS99</f>
        <v>13.5</v>
      </c>
      <c r="AT101" s="19" t="n"/>
    </row>
    <row r="102">
      <c r="AT102" s="19" t="n"/>
    </row>
    <row r="103">
      <c r="B103" s="14" t="inlineStr">
        <is>
          <t>Group Total — net sales &amp; adjusted EBITDA (segment build + Eddyfi) → core (ex-Russia) metrics (ESAB's primary KPIs)</t>
        </is>
      </c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5" t="inlineStr">
        <is>
          <t>GROUP TOTAL (CONSOLIDATED) — modelling logic</t>
        </is>
      </c>
    </row>
    <row r="104">
      <c r="B104" s="55" t="inlineStr">
        <is>
          <t>Net sales (segment build)</t>
        </is>
      </c>
      <c r="C104" s="56" t="n"/>
      <c r="D104" s="56" t="n"/>
      <c r="E104" s="56" t="n"/>
      <c r="F104" s="56" t="n"/>
      <c r="G104" s="56" t="n"/>
      <c r="H104" s="56" t="n"/>
      <c r="I104" s="56" t="n"/>
      <c r="J104" s="56">
        <f>N(J11)+N(J33)</f>
        <v>2247.026</v>
      </c>
      <c r="K104" s="56">
        <f>N(K11)+N(K33)</f>
        <v>1950.069</v>
      </c>
      <c r="L104" s="56">
        <f>N(L11)+N(L33)</f>
        <v>568.2</v>
      </c>
      <c r="M104" s="56">
        <f>N(M11)+N(M33)</f>
        <v>629.8</v>
      </c>
      <c r="N104" s="56">
        <f>N(N11)+N(N33)</f>
        <v>606</v>
      </c>
      <c r="O104" s="56">
        <f>N(O11)+N(O33)</f>
        <v>624.2</v>
      </c>
      <c r="P104" s="56">
        <f>N(P11)+N(P33)</f>
        <v>2428.1</v>
      </c>
      <c r="Q104" s="56">
        <f>N(Q11)+N(Q33)</f>
        <v>647.9</v>
      </c>
      <c r="R104" s="56">
        <f>N(R11)+N(R33)</f>
        <v>661.2</v>
      </c>
      <c r="S104" s="56">
        <f>N(S11)+N(S33)</f>
        <v>620.3</v>
      </c>
      <c r="T104" s="56">
        <f>N(T11)+N(T33)</f>
        <v>664.1</v>
      </c>
      <c r="U104" s="56">
        <f>N(U11)+N(U33)</f>
        <v>2593.5</v>
      </c>
      <c r="V104" s="56">
        <f>N(V11)+N(V33)</f>
        <v>684</v>
      </c>
      <c r="W104" s="56">
        <f>N(W11)+N(W33)</f>
        <v>720.4</v>
      </c>
      <c r="X104" s="56">
        <f>N(X11)+N(X33)</f>
        <v>681</v>
      </c>
      <c r="Y104" s="56">
        <f>N(Y11)+N(Y33)</f>
        <v>689.3</v>
      </c>
      <c r="Z104" s="56">
        <f>N(Z11)+N(Z33)</f>
        <v>2774.8</v>
      </c>
      <c r="AA104" s="56">
        <f>N(AA11)+N(AA33)</f>
        <v>689.7</v>
      </c>
      <c r="AB104" s="56">
        <f>N(AB11)+N(AB33)</f>
        <v>707.1</v>
      </c>
      <c r="AC104" s="56">
        <f>N(AC11)+N(AC33)</f>
        <v>673.2</v>
      </c>
      <c r="AD104" s="56">
        <f>N(AD11)+N(AD33)</f>
        <v>670.7</v>
      </c>
      <c r="AE104" s="56">
        <f>N(AE11)+N(AE33)</f>
        <v>2740.8</v>
      </c>
      <c r="AF104" s="56">
        <f>N(AF11)+N(AF33)</f>
        <v>678.2</v>
      </c>
      <c r="AG104" s="56">
        <f>N(AG11)+N(AG33)</f>
        <v>715.6</v>
      </c>
      <c r="AH104" s="56">
        <f>N(AH11)+N(AH33)</f>
        <v>727.8</v>
      </c>
      <c r="AI104" s="56">
        <f>N(AI11)+N(AI33)</f>
        <v>721</v>
      </c>
      <c r="AJ104" s="56">
        <f>N(AJ11)+N(AJ33)</f>
        <v>2842.5</v>
      </c>
      <c r="AK104" s="56">
        <f>N(AK11)+N(AK33)</f>
        <v>745.6</v>
      </c>
      <c r="AL104" s="56">
        <f>N(AL11)+N(AL33)</f>
        <v>807.6</v>
      </c>
      <c r="AM104" s="56">
        <f>N(AM11)+N(AM33)+N(AM76)</f>
        <v>828.097730008964</v>
      </c>
      <c r="AN104" s="56">
        <f>N(AN11)+N(AN33)+N(AN76)</f>
        <v>801.515769991037</v>
      </c>
      <c r="AO104" s="56">
        <f>SUM(AK104,AL104,AM104,AN104)</f>
        <v>3182.8135</v>
      </c>
      <c r="AP104" s="56">
        <f>N(AP11)+N(AP33)+N(AP76)+N(AP92)</f>
        <v>3421.81491299061</v>
      </c>
      <c r="AQ104" s="56">
        <f>N(AQ11)+N(AQ33)+N(AQ76)+N(AQ92)</f>
        <v>3588.89013690974</v>
      </c>
      <c r="AR104" s="56">
        <f>N(AR11)+N(AR33)+N(AR76)+N(AR92)</f>
        <v>3808.09544481233</v>
      </c>
      <c r="AS104" s="56">
        <f>N(AS11)+N(AS33)+N(AS76)+N(AS92)</f>
        <v>4049.26622608483</v>
      </c>
      <c r="AT104" s="19" t="inlineStr">
        <is>
          <t>Σ Americas + EMEA &amp; APAC (+ Eddyfi from Q3/26E + future M&amp;A). 2026E = sum of quarters.</t>
        </is>
      </c>
      <c r="AV104" s="20">
        <f>IFERROR((AS104/AJ104)^(1/5)-1,"n/m")</f>
        <v>0.0733347039541532</v>
      </c>
      <c r="AW104" s="20">
        <f>IFERROR((AJ104/K104)^(1/5)-1,"n/m")</f>
        <v>0.078276397467818</v>
      </c>
      <c r="AX104" s="20" t="str">
        <f>IFERROR((AJ104/F104)^(1/10)-1,"n/m")</f>
        <v>n/m</v>
      </c>
      <c r="AY104" s="20" t="str">
        <f>IFERROR((AJ104/C104)^(1/13)-1,"n/m")</f>
        <v>n/m</v>
      </c>
    </row>
    <row r="105">
      <c r="B105" s="55" t="inlineStr">
        <is>
          <t>Adjusted EBITDA (segment build)</t>
        </is>
      </c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>
        <f>N(K20)+N(K42)</f>
        <v>301.146</v>
      </c>
      <c r="L105" s="56">
        <f>N(L20)+N(L42)</f>
        <v>94.3</v>
      </c>
      <c r="M105" s="56">
        <f>N(M20)+N(M42)</f>
        <v>104.7</v>
      </c>
      <c r="N105" s="56">
        <f>N(N20)+N(N42)</f>
        <v>102.5</v>
      </c>
      <c r="O105" s="56">
        <f>N(O20)+N(O42)</f>
        <v>102.6</v>
      </c>
      <c r="P105" s="56">
        <f>N(P20)+N(P42)</f>
        <v>404.2</v>
      </c>
      <c r="Q105" s="56">
        <f>N(Q20)+N(Q42)</f>
        <v>109.3</v>
      </c>
      <c r="R105" s="56">
        <f>N(R20)+N(R42)</f>
        <v>110.5</v>
      </c>
      <c r="S105" s="56">
        <f>N(S20)+N(S42)</f>
        <v>105</v>
      </c>
      <c r="T105" s="56">
        <f>N(T20)+N(T42)</f>
        <v>111.9</v>
      </c>
      <c r="U105" s="56">
        <f>N(U20)+N(U42)</f>
        <v>436.8</v>
      </c>
      <c r="V105" s="56">
        <f>N(V20)+N(V42)</f>
        <v>118</v>
      </c>
      <c r="W105" s="56">
        <f>N(W20)+N(W42)</f>
        <v>132.1</v>
      </c>
      <c r="X105" s="56">
        <f>N(X20)+N(X42)</f>
        <v>122.5</v>
      </c>
      <c r="Y105" s="56">
        <f>N(Y20)+N(Y42)</f>
        <v>128.4</v>
      </c>
      <c r="Z105" s="56">
        <f>N(Z20)+N(Z42)</f>
        <v>501.1</v>
      </c>
      <c r="AA105" s="56">
        <f>N(AA20)+N(AA42)</f>
        <v>129.1</v>
      </c>
      <c r="AB105" s="56">
        <f>N(AB20)+N(AB42)</f>
        <v>140.9</v>
      </c>
      <c r="AC105" s="56">
        <f>N(AC20)+N(AC42)</f>
        <v>127.5</v>
      </c>
      <c r="AD105" s="56">
        <f>N(AD20)+N(AD42)</f>
        <v>131.2</v>
      </c>
      <c r="AE105" s="56">
        <f>N(AE20)+N(AE42)</f>
        <v>528.8</v>
      </c>
      <c r="AF105" s="56">
        <f>N(AF20)+N(AF42)</f>
        <v>133.9</v>
      </c>
      <c r="AG105" s="56">
        <f>N(AG20)+N(AG42)</f>
        <v>143.5</v>
      </c>
      <c r="AH105" s="56">
        <f>N(AH20)+N(AH42)</f>
        <v>139.5</v>
      </c>
      <c r="AI105" s="56">
        <f>N(AI20)+N(AI42)</f>
        <v>142.8</v>
      </c>
      <c r="AJ105" s="56">
        <f>N(AJ20)+N(AJ42)</f>
        <v>559.7</v>
      </c>
      <c r="AK105" s="56">
        <f>N(AK20)+N(AK42)</f>
        <v>136.6</v>
      </c>
      <c r="AL105" s="56">
        <f>N(AL20)+N(AL42)</f>
        <v>151.3</v>
      </c>
      <c r="AM105" s="56">
        <f>N(AM20)+N(AM42)+N(AM79)</f>
        <v>168.899600949462</v>
      </c>
      <c r="AN105" s="56">
        <f>N(AN20)+N(AN42)+N(AN79)</f>
        <v>168.200399050538</v>
      </c>
      <c r="AO105" s="56">
        <f>SUM(AK105,AL105,AM105,AN105)</f>
        <v>625</v>
      </c>
      <c r="AP105" s="56">
        <f>N(AP20)+N(AP42)+N(AP79)+N(AP94)</f>
        <v>707.274998417731</v>
      </c>
      <c r="AQ105" s="56">
        <f>N(AQ20)+N(AQ42)+N(AQ79)+N(AQ94)</f>
        <v>766.04684559347</v>
      </c>
      <c r="AR105" s="56">
        <f>N(AR20)+N(AR42)+N(AR79)+N(AR94)</f>
        <v>824.601602764246</v>
      </c>
      <c r="AS105" s="56">
        <f>N(AS20)+N(AS42)+N(AS79)+N(AS94)</f>
        <v>884.642632729996</v>
      </c>
      <c r="AT105" s="19" t="n"/>
      <c r="AV105" s="20">
        <f>IFERROR((AS105/AJ105)^(1/5)-1,"n/m")</f>
        <v>0.0958787650168784</v>
      </c>
      <c r="AW105" s="20">
        <f>IFERROR((AJ105/K105)^(1/5)-1,"n/m")</f>
        <v>0.13197188826293</v>
      </c>
      <c r="AX105" s="20" t="str">
        <f>IFERROR((AJ105/F105)^(1/10)-1,"n/m")</f>
        <v>n/m</v>
      </c>
      <c r="AY105" s="20" t="str">
        <f>IFERROR((AJ105/C105)^(1/13)-1,"n/m")</f>
        <v>n/m</v>
      </c>
    </row>
    <row r="106">
      <c r="B106" s="25" t="inlineStr">
        <is>
          <t xml:space="preserve">  Adjusted EBITDA margin %</t>
        </is>
      </c>
      <c r="C106" s="36" t="n"/>
      <c r="D106" s="36" t="n"/>
      <c r="E106" s="36" t="n"/>
      <c r="F106" s="36" t="n"/>
      <c r="G106" s="36" t="n"/>
      <c r="H106" s="36" t="n"/>
      <c r="I106" s="36" t="n"/>
      <c r="J106" s="36">
        <f>IF(AND(ISNUMBER(J105),ISNUMBER(J104)),IFERROR(J105/J104,""),"")</f>
      </c>
      <c r="K106" s="36">
        <f>IF(AND(ISNUMBER(K105),ISNUMBER(K104)),IFERROR(K105/K104,""),"")</f>
        <v>0.154428381764953</v>
      </c>
      <c r="L106" s="36">
        <f>IF(AND(ISNUMBER(L105),ISNUMBER(L104)),IFERROR(L105/L104,""),"")</f>
        <v>0.165962689193946</v>
      </c>
      <c r="M106" s="36">
        <f>IF(AND(ISNUMBER(M105),ISNUMBER(M104)),IFERROR(M105/M104,""),"")</f>
        <v>0.166243251825977</v>
      </c>
      <c r="N106" s="36">
        <f>IF(AND(ISNUMBER(N105),ISNUMBER(N104)),IFERROR(N105/N104,""),"")</f>
        <v>0.169141914191419</v>
      </c>
      <c r="O106" s="36">
        <f>IF(AND(ISNUMBER(O105),ISNUMBER(O104)),IFERROR(O105/O104,""),"")</f>
        <v>0.164370394104454</v>
      </c>
      <c r="P106" s="36">
        <f>IF(AND(ISNUMBER(P105),ISNUMBER(P104)),IFERROR(P105/P104,""),"")</f>
        <v>0.166467608418105</v>
      </c>
      <c r="Q106" s="36">
        <f>IF(AND(ISNUMBER(Q105),ISNUMBER(Q104)),IFERROR(Q105/Q104,""),"")</f>
        <v>0.168698873282914</v>
      </c>
      <c r="R106" s="36">
        <f>IF(AND(ISNUMBER(R105),ISNUMBER(R104)),IFERROR(R105/R104,""),"")</f>
        <v>0.167120387174834</v>
      </c>
      <c r="S106" s="36">
        <f>IF(AND(ISNUMBER(S105),ISNUMBER(S104)),IFERROR(S105/S104,""),"")</f>
        <v>0.169272932452039</v>
      </c>
      <c r="T106" s="36">
        <f>IF(AND(ISNUMBER(T105),ISNUMBER(T104)),IFERROR(T105/T104,""),"")</f>
        <v>0.168498720072278</v>
      </c>
      <c r="U106" s="36">
        <f>IF(AND(ISNUMBER(U105),ISNUMBER(U104)),IFERROR(U105/U104,""),"")</f>
        <v>0.168421052631579</v>
      </c>
      <c r="V106" s="36">
        <f>IF(AND(ISNUMBER(V105),ISNUMBER(V104)),IFERROR(V105/V104,""),"")</f>
        <v>0.172514619883041</v>
      </c>
      <c r="W106" s="36">
        <f>IF(AND(ISNUMBER(W105),ISNUMBER(W104)),IFERROR(W105/W104,""),"")</f>
        <v>0.183370349805664</v>
      </c>
      <c r="X106" s="36">
        <f>IF(AND(ISNUMBER(X105),ISNUMBER(X104)),IFERROR(X105/X104,""),"")</f>
        <v>0.179882525697504</v>
      </c>
      <c r="Y106" s="36">
        <f>IF(AND(ISNUMBER(Y105),ISNUMBER(Y104)),IFERROR(Y105/Y104,""),"")</f>
        <v>0.186275932105034</v>
      </c>
      <c r="Z106" s="36">
        <f>IF(AND(ISNUMBER(Z105),ISNUMBER(Z104)),IFERROR(Z105/Z104,""),"")</f>
        <v>0.18058959204267</v>
      </c>
      <c r="AA106" s="36">
        <f>IF(AND(ISNUMBER(AA105),ISNUMBER(AA104)),IFERROR(AA105/AA104,""),"")</f>
        <v>0.187182833115847</v>
      </c>
      <c r="AB106" s="36">
        <f>IF(AND(ISNUMBER(AB105),ISNUMBER(AB104)),IFERROR(AB105/AB104,""),"")</f>
        <v>0.199264601895064</v>
      </c>
      <c r="AC106" s="36">
        <f>IF(AND(ISNUMBER(AC105),ISNUMBER(AC104)),IFERROR(AC105/AC104,""),"")</f>
        <v>0.189393939393939</v>
      </c>
      <c r="AD106" s="36">
        <f>IF(AND(ISNUMBER(AD105),ISNUMBER(AD104)),IFERROR(AD105/AD104,""),"")</f>
        <v>0.195616520053675</v>
      </c>
      <c r="AE106" s="36">
        <f>IF(AND(ISNUMBER(AE105),ISNUMBER(AE104)),IFERROR(AE105/AE104,""),"")</f>
        <v>0.192936368943374</v>
      </c>
      <c r="AF106" s="36">
        <f>IF(AND(ISNUMBER(AF105),ISNUMBER(AF104)),IFERROR(AF105/AF104,""),"")</f>
        <v>0.197434385137128</v>
      </c>
      <c r="AG106" s="36">
        <f>IF(AND(ISNUMBER(AG105),ISNUMBER(AG104)),IFERROR(AG105/AG104,""),"")</f>
        <v>0.200531022917831</v>
      </c>
      <c r="AH106" s="36">
        <f>IF(AND(ISNUMBER(AH105),ISNUMBER(AH104)),IFERROR(AH105/AH104,""),"")</f>
        <v>0.191673536685903</v>
      </c>
      <c r="AI106" s="36">
        <f>IF(AND(ISNUMBER(AI105),ISNUMBER(AI104)),IFERROR(AI105/AI104,""),"")</f>
        <v>0.198058252427184</v>
      </c>
      <c r="AJ106" s="36">
        <f>IF(AND(ISNUMBER(AJ105),ISNUMBER(AJ104)),IFERROR(AJ105/AJ104,""),"")</f>
        <v>0.196904133685136</v>
      </c>
      <c r="AK106" s="36">
        <f>IF(AND(ISNUMBER(AK105),ISNUMBER(AK104)),IFERROR(AK105/AK104,""),"")</f>
        <v>0.183208154506438</v>
      </c>
      <c r="AL106" s="36">
        <f>IF(AND(ISNUMBER(AL105),ISNUMBER(AL104)),IFERROR(AL105/AL104,""),"")</f>
        <v>0.187345220406142</v>
      </c>
      <c r="AM106" s="254">
        <f>IFERROR(AM105/AM104,"")</f>
        <v>0.203960951502226</v>
      </c>
      <c r="AN106" s="254">
        <f>IFERROR(AN105/AN104,"")</f>
        <v>0.20985288792561</v>
      </c>
      <c r="AO106" s="254">
        <f>IFERROR(AO105/AO104,"")</f>
        <v>0.196367144980377</v>
      </c>
      <c r="AP106" s="254">
        <f>IFERROR(AP105/AP104,"")</f>
        <v>0.206695866492552</v>
      </c>
      <c r="AQ106" s="254">
        <f>IFERROR(AQ105/AQ104,"")</f>
        <v>0.213449511233321</v>
      </c>
      <c r="AR106" s="254">
        <f>IFERROR(AR105/AR104,"")</f>
        <v>0.21653911114218</v>
      </c>
      <c r="AS106" s="254">
        <f>IFERROR(AS105/AS104,"")</f>
        <v>0.218469861781685</v>
      </c>
      <c r="AT106" s="19" t="n"/>
    </row>
    <row r="107">
      <c r="B107" s="57" t="inlineStr">
        <is>
          <t xml:space="preserve">  Check: segment build vs consolidated net sales (should be 0)</t>
        </is>
      </c>
      <c r="C107" s="44" t="n"/>
      <c r="D107" s="44" t="n"/>
      <c r="E107" s="44" t="n"/>
      <c r="F107" s="44" t="n"/>
      <c r="G107" s="44" t="n"/>
      <c r="H107" s="44" t="n"/>
      <c r="I107" s="44" t="n"/>
      <c r="J107" s="44">
        <f>ROUND(J104-J136,1)</f>
        <v>0</v>
      </c>
      <c r="K107" s="44">
        <f>ROUND(K104-K136,1)</f>
        <v>0</v>
      </c>
      <c r="L107" s="44">
        <f>ROUND(L104-L136,1)</f>
        <v>0.1</v>
      </c>
      <c r="M107" s="44">
        <f>ROUND(M104-M136,1)</f>
        <v>0</v>
      </c>
      <c r="N107" s="44">
        <f>ROUND(N104-N136,1)</f>
        <v>0</v>
      </c>
      <c r="O107" s="44">
        <f>ROUND(O104-O136,1)</f>
        <v>0</v>
      </c>
      <c r="P107" s="44">
        <f>ROUND(P104-P136,1)</f>
        <v>0</v>
      </c>
      <c r="Q107" s="44">
        <f>ROUND(Q104-Q136,1)</f>
        <v>0</v>
      </c>
      <c r="R107" s="44">
        <f>ROUND(R104-R136,1)</f>
        <v>0</v>
      </c>
      <c r="S107" s="44">
        <f>ROUND(S104-S136,1)</f>
        <v>0</v>
      </c>
      <c r="T107" s="44">
        <f>ROUND(T104-T136,1)</f>
        <v>0</v>
      </c>
      <c r="U107" s="44">
        <f>ROUND(U104-U136,1)</f>
        <v>0</v>
      </c>
      <c r="V107" s="44">
        <f>ROUND(V104-V136,1)</f>
        <v>0</v>
      </c>
      <c r="W107" s="44">
        <f>ROUND(W104-W136,1)</f>
        <v>0</v>
      </c>
      <c r="X107" s="44">
        <f>ROUND(X104-X136,1)</f>
        <v>0</v>
      </c>
      <c r="Y107" s="44">
        <f>ROUND(Y104-Y136,1)</f>
        <v>0</v>
      </c>
      <c r="Z107" s="44">
        <f>ROUND(Z104-Z136,1)</f>
        <v>0</v>
      </c>
      <c r="AA107" s="44">
        <f>ROUND(AA104-AA136,1)</f>
        <v>0</v>
      </c>
      <c r="AB107" s="44">
        <f>ROUND(AB104-AB136,1)</f>
        <v>0</v>
      </c>
      <c r="AC107" s="44">
        <f>ROUND(AC104-AC136,1)</f>
        <v>0</v>
      </c>
      <c r="AD107" s="44">
        <f>ROUND(AD104-AD136,1)</f>
        <v>-0.1</v>
      </c>
      <c r="AE107" s="44">
        <f>ROUND(AE104-AE136,1)</f>
        <v>0</v>
      </c>
      <c r="AF107" s="44">
        <f>ROUND(AF104-AF136,1)</f>
        <v>0.1</v>
      </c>
      <c r="AG107" s="44">
        <f>ROUND(AG104-AG136,1)</f>
        <v>0</v>
      </c>
      <c r="AH107" s="44">
        <f>ROUND(AH104-AH136,1)</f>
        <v>0</v>
      </c>
      <c r="AI107" s="44">
        <f>ROUND(AI104-AI136,1)</f>
        <v>0</v>
      </c>
      <c r="AJ107" s="44">
        <f>ROUND(AJ104-AJ136,1)</f>
        <v>-0.1</v>
      </c>
      <c r="AK107" s="44">
        <f>ROUND(AK104-AK136,1)</f>
        <v>0</v>
      </c>
      <c r="AL107" s="44">
        <f>ROUND(AL104-AL136,1)</f>
        <v>0</v>
      </c>
      <c r="AM107" s="268">
        <f>ROUND(AM104-AM136,1)</f>
        <v>0</v>
      </c>
      <c r="AN107" s="268">
        <f>ROUND(AN104-AN136,1)</f>
        <v>0</v>
      </c>
      <c r="AO107" s="268">
        <f>ROUND(AO104-AO136,1)</f>
        <v>0</v>
      </c>
      <c r="AP107" s="268">
        <f>ROUND(AP104-AP136,1)</f>
        <v>0</v>
      </c>
      <c r="AQ107" s="268">
        <f>ROUND(AQ104-AQ136,1)</f>
        <v>0</v>
      </c>
      <c r="AR107" s="268">
        <f>ROUND(AR104-AR136,1)</f>
        <v>0</v>
      </c>
      <c r="AS107" s="268">
        <f>ROUND(AS104-AS136,1)</f>
        <v>0</v>
      </c>
      <c r="AT107" s="19" t="n"/>
    </row>
    <row r="108">
      <c r="B108" s="57" t="inlineStr">
        <is>
          <t xml:space="preserve">  Check: segment build vs adjusted EBITDA bridge (should be 0)</t>
        </is>
      </c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>
        <f>ROUND(K105-K189,1)</f>
        <v>0</v>
      </c>
      <c r="L108" s="44">
        <f>ROUND(L105-L189,1)</f>
        <v>0.2</v>
      </c>
      <c r="M108" s="44">
        <f>ROUND(M105-M189,1)</f>
        <v>0.2</v>
      </c>
      <c r="N108" s="44">
        <f>ROUND(N105-N189,1)</f>
        <v>0.2</v>
      </c>
      <c r="O108" s="44">
        <f>ROUND(O105-O189,1)</f>
        <v>0</v>
      </c>
      <c r="P108" s="44">
        <f>ROUND(P105-P189,1)</f>
        <v>0</v>
      </c>
      <c r="Q108" s="44">
        <f>ROUND(Q105-Q189,1)</f>
        <v>0.1</v>
      </c>
      <c r="R108" s="44">
        <f>ROUND(R105-R189,1)</f>
        <v>0</v>
      </c>
      <c r="S108" s="44">
        <f>ROUND(S105-S189,1)</f>
        <v>0</v>
      </c>
      <c r="T108" s="44">
        <f>ROUND(T105-T189,1)</f>
        <v>0</v>
      </c>
      <c r="U108" s="44">
        <f>ROUND(U105-U189,1)</f>
        <v>0</v>
      </c>
      <c r="V108" s="44">
        <f>ROUND(V105-V189,1)</f>
        <v>0</v>
      </c>
      <c r="W108" s="44">
        <f>ROUND(W105-W189,1)</f>
        <v>0</v>
      </c>
      <c r="X108" s="44">
        <f>ROUND(X105-X189,1)</f>
        <v>-0.1</v>
      </c>
      <c r="Y108" s="44">
        <f>ROUND(Y105-Y189,1)</f>
        <v>-0.1</v>
      </c>
      <c r="Z108" s="44">
        <f>ROUND(Z105-Z189,1)</f>
        <v>-0.1</v>
      </c>
      <c r="AA108" s="44">
        <f>ROUND(AA105-AA189,1)</f>
        <v>0</v>
      </c>
      <c r="AB108" s="44">
        <f>ROUND(AB105-AB189,1)</f>
        <v>0</v>
      </c>
      <c r="AC108" s="44">
        <f>ROUND(AC105-AC189,1)</f>
        <v>0.1</v>
      </c>
      <c r="AD108" s="44">
        <f>ROUND(AD105-AD189,1)</f>
        <v>0</v>
      </c>
      <c r="AE108" s="44">
        <f>ROUND(AE105-AE189,1)</f>
        <v>0</v>
      </c>
      <c r="AF108" s="44">
        <f>ROUND(AF105-AF189,1)</f>
        <v>0</v>
      </c>
      <c r="AG108" s="44">
        <f>ROUND(AG105-AG189,1)</f>
        <v>0</v>
      </c>
      <c r="AH108" s="44">
        <f>ROUND(AH105-AH189,1)</f>
        <v>0</v>
      </c>
      <c r="AI108" s="44">
        <f>ROUND(AI105-AI189,1)</f>
        <v>0</v>
      </c>
      <c r="AJ108" s="44">
        <f>ROUND(AJ105-AJ189,1)</f>
        <v>0</v>
      </c>
      <c r="AK108" s="44">
        <f>ROUND(AK105-AK189,1)</f>
        <v>0.1</v>
      </c>
      <c r="AL108" s="44">
        <f>ROUND(AL105-AL189,1)</f>
        <v>0</v>
      </c>
      <c r="AM108" s="268">
        <f>ROUND(AM105-AM189,1)</f>
        <v>0</v>
      </c>
      <c r="AN108" s="268">
        <f>ROUND(AN105-AN189,1)</f>
        <v>0</v>
      </c>
      <c r="AO108" s="268">
        <f>ROUND(AO105-AO189,1)</f>
        <v>0</v>
      </c>
      <c r="AP108" s="268">
        <f>ROUND(AP105-AP189,1)</f>
        <v>0</v>
      </c>
      <c r="AQ108" s="268">
        <f>ROUND(AQ105-AQ189,1)</f>
        <v>0</v>
      </c>
      <c r="AR108" s="268">
        <f>ROUND(AR105-AR189,1)</f>
        <v>0</v>
      </c>
      <c r="AS108" s="268">
        <f>ROUND(AS105-AS189,1)</f>
        <v>0</v>
      </c>
      <c r="AT108" s="19" t="n"/>
    </row>
    <row r="109">
      <c r="B109" s="16" t="inlineStr">
        <is>
          <t>Core net sales (ex-Russia)</t>
        </is>
      </c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>
        <f>M104-M53</f>
        <v>585.8</v>
      </c>
      <c r="N109" s="43">
        <f>N104-N53</f>
        <v>561.8</v>
      </c>
      <c r="O109" s="43">
        <f>O104-O53</f>
        <v>575.4</v>
      </c>
      <c r="P109" s="43">
        <f>P104-P53</f>
        <v>2291.1</v>
      </c>
      <c r="Q109" s="43">
        <f>Q104-Q53</f>
        <v>607</v>
      </c>
      <c r="R109" s="43">
        <f>R104-R53</f>
        <v>631.7</v>
      </c>
      <c r="S109" s="43">
        <f>S104-S53</f>
        <v>577</v>
      </c>
      <c r="T109" s="43">
        <f>T104-T53</f>
        <v>614.2</v>
      </c>
      <c r="U109" s="43">
        <f>U104-U53</f>
        <v>2470.9</v>
      </c>
      <c r="V109" s="43">
        <f>V104-V53</f>
        <v>646.9</v>
      </c>
      <c r="W109" s="43">
        <f>W104-W53</f>
        <v>680.1</v>
      </c>
      <c r="X109" s="43">
        <f>X104-X53</f>
        <v>644.1</v>
      </c>
      <c r="Y109" s="43">
        <f>Y104-Y53</f>
        <v>649.9</v>
      </c>
      <c r="Z109" s="43">
        <f>Z104-Z53</f>
        <v>2621</v>
      </c>
      <c r="AA109" s="43">
        <f>AA104-AA53</f>
        <v>656.1</v>
      </c>
      <c r="AB109" s="43">
        <f>AB104-AB53</f>
        <v>666.4</v>
      </c>
      <c r="AC109" s="43">
        <f>AC104-AC53</f>
        <v>635.5</v>
      </c>
      <c r="AD109" s="43">
        <f>AD104-AD53</f>
        <v>633.1</v>
      </c>
      <c r="AE109" s="43">
        <f>AE104-AE53</f>
        <v>2591.2</v>
      </c>
      <c r="AF109" s="43">
        <f>AF104-AF53</f>
        <v>646.9</v>
      </c>
      <c r="AG109" s="43">
        <f>AG104-AG53</f>
        <v>678.5</v>
      </c>
      <c r="AH109" s="43">
        <f>AH104-AH53</f>
        <v>687.4</v>
      </c>
      <c r="AI109" s="43">
        <f>AI104-AI53</f>
        <v>687.7</v>
      </c>
      <c r="AJ109" s="43">
        <f>AJ104-AJ53</f>
        <v>2700.3</v>
      </c>
      <c r="AK109" s="43">
        <f>AK104-AK53</f>
        <v>714.5</v>
      </c>
      <c r="AL109" s="43">
        <f>AL104-AL53</f>
        <v>766.2</v>
      </c>
      <c r="AM109" s="253">
        <f>AM104-AM53</f>
        <v>791.847730008964</v>
      </c>
      <c r="AN109" s="253">
        <f>AN104-AN53</f>
        <v>765.265769991037</v>
      </c>
      <c r="AO109" s="253">
        <f>AO104-AO53</f>
        <v>3037.8135</v>
      </c>
      <c r="AP109" s="253">
        <f>AP104-AP53</f>
        <v>3276.81491299061</v>
      </c>
      <c r="AQ109" s="253">
        <f>AQ104-AQ53</f>
        <v>3443.89013690974</v>
      </c>
      <c r="AR109" s="253">
        <f>AR104-AR53</f>
        <v>3663.09544481233</v>
      </c>
      <c r="AS109" s="253">
        <f>AS104-AS53</f>
        <v>3904.26622608483</v>
      </c>
      <c r="AT109" s="19" t="n"/>
      <c r="AV109" s="20">
        <f>IFERROR((AS109/AJ109)^(1/5)-1,"n/m")</f>
        <v>0.076528375260966</v>
      </c>
      <c r="AW109" s="20" t="str">
        <f>IFERROR((AJ109/K109)^(1/5)-1,"n/m")</f>
        <v>n/m</v>
      </c>
      <c r="AX109" s="20" t="str">
        <f>IFERROR((AJ109/F109)^(1/10)-1,"n/m")</f>
        <v>n/m</v>
      </c>
      <c r="AY109" s="20" t="str">
        <f>IFERROR((AJ109/C109)^(1/13)-1,"n/m")</f>
        <v>n/m</v>
      </c>
    </row>
    <row r="110">
      <c r="B110" s="22" t="inlineStr">
        <is>
          <t xml:space="preserve">  Core net sales y/y %</t>
        </is>
      </c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>
        <f>IF(AND(ISNUMBER(R109),ISNUMBER(M109)),IFERROR(R109/M109-1,""),"")</f>
        <v>0.0783543871628545</v>
      </c>
      <c r="S110" s="23">
        <f>IF(AND(ISNUMBER(S109),ISNUMBER(N109)),IFERROR(S109/N109-1,""),"")</f>
        <v>0.027055891776433</v>
      </c>
      <c r="T110" s="23">
        <f>IF(AND(ISNUMBER(T109),ISNUMBER(O109)),IFERROR(T109/O109-1,""),"")</f>
        <v>0.0674313521028849</v>
      </c>
      <c r="U110" s="23">
        <f>IF(AND(ISNUMBER(U109),ISNUMBER(P109)),IFERROR(U109/P109-1,""),"")</f>
        <v>0.0784775871851948</v>
      </c>
      <c r="V110" s="23">
        <f>IF(AND(ISNUMBER(V109),ISNUMBER(Q109)),IFERROR(V109/Q109-1,""),"")</f>
        <v>0.0657331136738053</v>
      </c>
      <c r="W110" s="23">
        <f>IF(AND(ISNUMBER(W109),ISNUMBER(R109)),IFERROR(W109/R109-1,""),"")</f>
        <v>0.0766186480924491</v>
      </c>
      <c r="X110" s="23">
        <f>IF(AND(ISNUMBER(X109),ISNUMBER(S109)),IFERROR(X109/S109-1,""),"")</f>
        <v>0.11629116117851</v>
      </c>
      <c r="Y110" s="23">
        <f>IF(AND(ISNUMBER(Y109),ISNUMBER(T109)),IFERROR(Y109/T109-1,""),"")</f>
        <v>0.0581243894496906</v>
      </c>
      <c r="Z110" s="23">
        <f>IF(AND(ISNUMBER(Z109),ISNUMBER(U109)),IFERROR(Z109/U109-1,""),"")</f>
        <v>0.0607470961997652</v>
      </c>
      <c r="AA110" s="23">
        <f>IF(AND(ISNUMBER(AA109),ISNUMBER(V109)),IFERROR(AA109/V109-1,""),"")</f>
        <v>0.0142216725923636</v>
      </c>
      <c r="AB110" s="23">
        <f>IF(AND(ISNUMBER(AB109),ISNUMBER(W109)),IFERROR(AB109/W109-1,""),"")</f>
        <v>-0.0201440964564037</v>
      </c>
      <c r="AC110" s="23">
        <f>IF(AND(ISNUMBER(AC109),ISNUMBER(X109)),IFERROR(AC109/X109-1,""),"")</f>
        <v>-0.0133519639807483</v>
      </c>
      <c r="AD110" s="23">
        <f>IF(AND(ISNUMBER(AD109),ISNUMBER(Y109)),IFERROR(AD109/Y109-1,""),"")</f>
        <v>-0.0258501307893522</v>
      </c>
      <c r="AE110" s="23">
        <f>IF(AND(ISNUMBER(AE109),ISNUMBER(Z109)),IFERROR(AE109/Z109-1,""),"")</f>
        <v>-0.0113697062190002</v>
      </c>
      <c r="AF110" s="23">
        <f>IF(AND(ISNUMBER(AF109),ISNUMBER(AA109)),IFERROR(AF109/AA109-1,""),"")</f>
        <v>-0.0140222527053802</v>
      </c>
      <c r="AG110" s="23">
        <f>IF(AND(ISNUMBER(AG109),ISNUMBER(AB109)),IFERROR(AG109/AB109-1,""),"")</f>
        <v>0.0181572629051618</v>
      </c>
      <c r="AH110" s="23">
        <f>IF(AND(ISNUMBER(AH109),ISNUMBER(AC109)),IFERROR(AH109/AC109-1,""),"")</f>
        <v>0.0816679779701022</v>
      </c>
      <c r="AI110" s="23">
        <f>IF(AND(ISNUMBER(AI109),ISNUMBER(AD109)),IFERROR(AI109/AD109-1,""),"")</f>
        <v>0.0862422997946613</v>
      </c>
      <c r="AJ110" s="23">
        <f>IF(AND(ISNUMBER(AJ109),ISNUMBER(AE109)),IFERROR(AJ109/AE109-1,""),"")</f>
        <v>0.042104044458166</v>
      </c>
      <c r="AK110" s="23">
        <f>IF(AND(ISNUMBER(AK109),ISNUMBER(AF109)),IFERROR(AK109/AF109-1,""),"")</f>
        <v>0.104498376874323</v>
      </c>
      <c r="AL110" s="23">
        <f>IF(AND(ISNUMBER(AL109),ISNUMBER(AG109)),IFERROR(AL109/AG109-1,""),"")</f>
        <v>0.129255711127487</v>
      </c>
      <c r="AM110" s="254">
        <f>IFERROR(AM109/AH109-1,"")</f>
        <v>0.15194607216899</v>
      </c>
      <c r="AN110" s="254">
        <f>IFERROR(AN109/AI109-1,"")</f>
        <v>0.112790126495618</v>
      </c>
      <c r="AO110" s="254">
        <f>IFERROR(AO109/AJ109-1,"")</f>
        <v>0.124991112098656</v>
      </c>
      <c r="AP110" s="254">
        <f>IFERROR(AP109/AO109-1,"")</f>
        <v>0.0786754726682892</v>
      </c>
      <c r="AQ110" s="254">
        <f>IFERROR(AQ109/AP109-1,"")</f>
        <v>0.0509870799405783</v>
      </c>
      <c r="AR110" s="254">
        <f>IFERROR(AR109/AQ109-1,"")</f>
        <v>0.0636504938276816</v>
      </c>
      <c r="AS110" s="254">
        <f>IFERROR(AS109/AR109-1,"")</f>
        <v>0.0658379736225669</v>
      </c>
      <c r="AT110" s="19" t="n"/>
    </row>
    <row r="111">
      <c r="B111" s="25" t="inlineStr">
        <is>
          <t xml:space="preserve">  Core organic growth % (company)</t>
        </is>
      </c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40" t="n">
        <v>0.128</v>
      </c>
      <c r="S111" s="40" t="n">
        <v>0.096</v>
      </c>
      <c r="T111" s="40" t="n">
        <v>0.105</v>
      </c>
      <c r="U111" s="40" t="n">
        <v>0.127</v>
      </c>
      <c r="V111" s="40" t="n">
        <v>0.07199999999999999</v>
      </c>
      <c r="W111" s="40" t="n">
        <v>0.059</v>
      </c>
      <c r="X111" s="40" t="n">
        <v>0.066</v>
      </c>
      <c r="Y111" s="40" t="n">
        <v>0.041</v>
      </c>
      <c r="Z111" s="40" t="n">
        <v>0.059</v>
      </c>
      <c r="AA111" s="40" t="n">
        <v>0.02</v>
      </c>
      <c r="AB111" s="40" t="n">
        <v>0.006</v>
      </c>
      <c r="AC111" s="40" t="n">
        <v>0.012</v>
      </c>
      <c r="AD111" s="40" t="n">
        <v>-0.001</v>
      </c>
      <c r="AE111" s="40" t="n">
        <v>0.008999999999999999</v>
      </c>
      <c r="AF111" s="40" t="n">
        <v>0.002</v>
      </c>
      <c r="AG111" s="40" t="n">
        <v>-0.01</v>
      </c>
      <c r="AH111" s="40" t="n">
        <v>0.019</v>
      </c>
      <c r="AI111" s="40" t="n">
        <v>-0.018</v>
      </c>
      <c r="AJ111" s="40" t="n">
        <v>-0.002</v>
      </c>
      <c r="AK111" s="40" t="n">
        <v>-0.011</v>
      </c>
      <c r="AL111" s="40" t="n">
        <v>0.025</v>
      </c>
      <c r="AM111" s="254">
        <f>IFERROR((AM16+AM38)/AH109,"")</f>
        <v>0.0213972381667338</v>
      </c>
      <c r="AN111" s="254">
        <f>IFERROR((AN16+AN38)/AI109,"")</f>
        <v>0.0202710884474089</v>
      </c>
      <c r="AO111" s="254">
        <f>IFERROR((AO16+AO38)/AJ109,"")</f>
        <v>0.0125722656894034</v>
      </c>
      <c r="AP111" s="254">
        <f>IFERROR((AP16+AP38)/AO109,"")</f>
        <v>0.0338045189243889</v>
      </c>
      <c r="AQ111" s="254">
        <f>IFERROR((AQ16+AQ38)/AP109,"")</f>
        <v>0.0324239320011406</v>
      </c>
      <c r="AR111" s="254">
        <f>IFERROR((AR16+AR38)/AQ109,"")</f>
        <v>0.0300564372809723</v>
      </c>
      <c r="AS111" s="254">
        <f>IFERROR((AS16+AS38)/AR109,"")</f>
        <v>0.0291668627482278</v>
      </c>
      <c r="AT111" s="19" t="inlineStr">
        <is>
          <t>Forecast approximation: Σ segment organic $ ÷ prior-year core sales.</t>
        </is>
      </c>
    </row>
    <row r="112">
      <c r="B112" s="16" t="inlineStr">
        <is>
          <t>Core adjusted EBITDA (ex-Russia)</t>
        </is>
      </c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>
        <f>M105-M54</f>
        <v>92.8</v>
      </c>
      <c r="N112" s="43">
        <f>N105-N54</f>
        <v>91.3</v>
      </c>
      <c r="O112" s="43">
        <f>O105-O54</f>
        <v>97.7</v>
      </c>
      <c r="P112" s="43">
        <f>P105-P54</f>
        <v>376.2</v>
      </c>
      <c r="Q112" s="43">
        <f>Q105-Q54</f>
        <v>100.9</v>
      </c>
      <c r="R112" s="43">
        <f>R105-R54</f>
        <v>105</v>
      </c>
      <c r="S112" s="43">
        <f>S105-S54</f>
        <v>95.5</v>
      </c>
      <c r="T112" s="43">
        <f>T105-T54</f>
        <v>106.9</v>
      </c>
      <c r="U112" s="43">
        <f>U105-U54</f>
        <v>416.8</v>
      </c>
      <c r="V112" s="43">
        <f>V105-V54</f>
        <v>112.7</v>
      </c>
      <c r="W112" s="43">
        <f>W105-W54</f>
        <v>126.5</v>
      </c>
      <c r="X112" s="43">
        <f>X105-X54</f>
        <v>117.8</v>
      </c>
      <c r="Y112" s="43">
        <f>Y105-Y54</f>
        <v>125.7</v>
      </c>
      <c r="Z112" s="43">
        <f>Z105-Z54</f>
        <v>482.7</v>
      </c>
      <c r="AA112" s="43">
        <f>AA105-AA54</f>
        <v>123.2</v>
      </c>
      <c r="AB112" s="43">
        <f>AB105-AB54</f>
        <v>134</v>
      </c>
      <c r="AC112" s="43">
        <f>AC105-AC54</f>
        <v>124.9</v>
      </c>
      <c r="AD112" s="43">
        <f>AD105-AD54</f>
        <v>128.6</v>
      </c>
      <c r="AE112" s="43">
        <f>AE105-AE54</f>
        <v>510.7</v>
      </c>
      <c r="AF112" s="43">
        <f>AF105-AF54</f>
        <v>127.9</v>
      </c>
      <c r="AG112" s="43">
        <f>AG105-AG54</f>
        <v>138.5</v>
      </c>
      <c r="AH112" s="43">
        <f>AH105-AH54</f>
        <v>133.4</v>
      </c>
      <c r="AI112" s="43">
        <f>AI105-AI54</f>
        <v>140.3</v>
      </c>
      <c r="AJ112" s="43">
        <f>AJ105-AJ54</f>
        <v>540</v>
      </c>
      <c r="AK112" s="43">
        <f>AK105-AK54</f>
        <v>135.9</v>
      </c>
      <c r="AL112" s="43">
        <f>AL105-AL54</f>
        <v>149.5</v>
      </c>
      <c r="AM112" s="253">
        <f>AM105-AM54</f>
        <v>167.649600949462</v>
      </c>
      <c r="AN112" s="253">
        <f>AN105-AN54</f>
        <v>166.950399050538</v>
      </c>
      <c r="AO112" s="253">
        <f>AO105-AO54</f>
        <v>620</v>
      </c>
      <c r="AP112" s="253">
        <f>AP105-AP54</f>
        <v>702.274998417731</v>
      </c>
      <c r="AQ112" s="253">
        <f>AQ105-AQ54</f>
        <v>761.04684559347</v>
      </c>
      <c r="AR112" s="253">
        <f>AR105-AR54</f>
        <v>819.601602764246</v>
      </c>
      <c r="AS112" s="253">
        <f>AS105-AS54</f>
        <v>879.642632729996</v>
      </c>
      <c r="AT112" s="19" t="n"/>
      <c r="AV112" s="20">
        <f>IFERROR((AS112/AJ112)^(1/5)-1,"n/m")</f>
        <v>0.102509910321908</v>
      </c>
      <c r="AW112" s="20" t="str">
        <f>IFERROR((AJ112/K112)^(1/5)-1,"n/m")</f>
        <v>n/m</v>
      </c>
      <c r="AX112" s="20" t="str">
        <f>IFERROR((AJ112/F112)^(1/10)-1,"n/m")</f>
        <v>n/m</v>
      </c>
      <c r="AY112" s="20" t="str">
        <f>IFERROR((AJ112/C112)^(1/13)-1,"n/m")</f>
        <v>n/m</v>
      </c>
    </row>
    <row r="113">
      <c r="B113" s="25" t="inlineStr">
        <is>
          <t xml:space="preserve">  Core adjusted EBITDA margin %</t>
        </is>
      </c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>
        <f>IFERROR(M112/M109,"")</f>
        <v>0.158415841584158</v>
      </c>
      <c r="N113" s="36">
        <f>IFERROR(N112/N109,"")</f>
        <v>0.1625133499466</v>
      </c>
      <c r="O113" s="36">
        <f>IFERROR(O112/O109,"")</f>
        <v>0.169794925269378</v>
      </c>
      <c r="P113" s="36">
        <f>IFERROR(P112/P109,"")</f>
        <v>0.164200602330758</v>
      </c>
      <c r="Q113" s="36">
        <f>IFERROR(Q112/Q109,"")</f>
        <v>0.166227347611203</v>
      </c>
      <c r="R113" s="36">
        <f>IFERROR(R112/R109,"")</f>
        <v>0.166218141522875</v>
      </c>
      <c r="S113" s="36">
        <f>IFERROR(S112/S109,"")</f>
        <v>0.165511265164645</v>
      </c>
      <c r="T113" s="36">
        <f>IFERROR(T112/T109,"")</f>
        <v>0.174047541517421</v>
      </c>
      <c r="U113" s="36">
        <f>IFERROR(U112/U109,"")</f>
        <v>0.168683475656643</v>
      </c>
      <c r="V113" s="36">
        <f>IFERROR(V112/V109,"")</f>
        <v>0.174215489256454</v>
      </c>
      <c r="W113" s="36">
        <f>IFERROR(W112/W109,"")</f>
        <v>0.186002058520806</v>
      </c>
      <c r="X113" s="36">
        <f>IFERROR(X112/X109,"")</f>
        <v>0.182890855457227</v>
      </c>
      <c r="Y113" s="36">
        <f>IFERROR(Y112/Y109,"")</f>
        <v>0.19341437144176</v>
      </c>
      <c r="Z113" s="36">
        <f>IFERROR(Z112/Z109,"")</f>
        <v>0.184166348721862</v>
      </c>
      <c r="AA113" s="36">
        <f>IFERROR(AA112/AA109,"")</f>
        <v>0.187776253619875</v>
      </c>
      <c r="AB113" s="36">
        <f>IFERROR(AB112/AB109,"")</f>
        <v>0.201080432172869</v>
      </c>
      <c r="AC113" s="36">
        <f>IFERROR(AC112/AC109,"")</f>
        <v>0.196538158929976</v>
      </c>
      <c r="AD113" s="36">
        <f>IFERROR(AD112/AD109,"")</f>
        <v>0.203127468014532</v>
      </c>
      <c r="AE113" s="36">
        <f>IFERROR(AE112/AE109,"")</f>
        <v>0.19709015128126</v>
      </c>
      <c r="AF113" s="36">
        <f>IFERROR(AF112/AF109,"")</f>
        <v>0.197712165713402</v>
      </c>
      <c r="AG113" s="36">
        <f>IFERROR(AG112/AG109,"")</f>
        <v>0.20412675018423</v>
      </c>
      <c r="AH113" s="36">
        <f>IFERROR(AH112/AH109,"")</f>
        <v>0.194064591213267</v>
      </c>
      <c r="AI113" s="36">
        <f>IFERROR(AI112/AI109,"")</f>
        <v>0.204013377926421</v>
      </c>
      <c r="AJ113" s="36">
        <f>IFERROR(AJ112/AJ109,"")</f>
        <v>0.199977780246639</v>
      </c>
      <c r="AK113" s="36">
        <f>IFERROR(AK112/AK109,"")</f>
        <v>0.190202939118265</v>
      </c>
      <c r="AL113" s="36">
        <f>IFERROR(AL112/AL109,"")</f>
        <v>0.195118767945706</v>
      </c>
      <c r="AM113" s="254">
        <f>IFERROR(AM112/AM109,"")</f>
        <v>0.211719494286565</v>
      </c>
      <c r="AN113" s="254">
        <f>IFERROR(AN112/AN109,"")</f>
        <v>0.21816002439583</v>
      </c>
      <c r="AO113" s="254">
        <f>IFERROR(AO112/AO109,"")</f>
        <v>0.204094161804206</v>
      </c>
      <c r="AP113" s="254">
        <f>IFERROR(AP112/AP109,"")</f>
        <v>0.214316345922875</v>
      </c>
      <c r="AQ113" s="254">
        <f>IFERROR(AQ112/AQ109,"")</f>
        <v>0.220984646820462</v>
      </c>
      <c r="AR113" s="254">
        <f>IFERROR(AR112/AR109,"")</f>
        <v>0.223745631287049</v>
      </c>
      <c r="AS113" s="254">
        <f>IFERROR(AS112/AS109,"")</f>
        <v>0.225302933199844</v>
      </c>
      <c r="AT113" s="19" t="n"/>
    </row>
    <row r="114">
      <c r="B114" s="25" t="inlineStr">
        <is>
          <t xml:space="preserve">  Memo: FY26 core sales growth outlook — 11–14% (scenario end-point)</t>
        </is>
      </c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254" t="n"/>
      <c r="AN114" s="254" t="n"/>
      <c r="AO114" s="254">
        <f>CHOOSE(MATCH($AT$2,{"Bull","Base","Bear"},0),$BC$12,$BD$12,$BE$12)</f>
        <v>0.125</v>
      </c>
      <c r="AP114" s="254" t="n"/>
      <c r="AQ114" s="254" t="n"/>
      <c r="AR114" s="254" t="n"/>
      <c r="AS114" s="254" t="n"/>
      <c r="AT114" s="19" t="n"/>
    </row>
    <row r="115">
      <c r="B115" s="25" t="inlineStr">
        <is>
          <t xml:space="preserve">  Memo: FY26 core net sales implied by the outlook end-point</t>
        </is>
      </c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  <c r="AA115" s="34" t="n"/>
      <c r="AB115" s="34" t="n"/>
      <c r="AC115" s="34" t="n"/>
      <c r="AD115" s="34" t="n"/>
      <c r="AE115" s="34" t="n"/>
      <c r="AF115" s="34" t="n"/>
      <c r="AG115" s="34" t="n"/>
      <c r="AH115" s="34" t="n"/>
      <c r="AI115" s="34" t="n"/>
      <c r="AJ115" s="34" t="n"/>
      <c r="AK115" s="34" t="n"/>
      <c r="AL115" s="34" t="n"/>
      <c r="AM115" s="257" t="n"/>
      <c r="AN115" s="257" t="n"/>
      <c r="AO115" s="257">
        <f>AJ109*(1+AO114)</f>
        <v>3037.8375</v>
      </c>
      <c r="AP115" s="257" t="n"/>
      <c r="AQ115" s="257" t="n"/>
      <c r="AR115" s="257" t="n"/>
      <c r="AS115" s="257" t="n"/>
      <c r="AT115" s="19" t="n"/>
    </row>
    <row r="116">
      <c r="B116" s="25" t="inlineStr">
        <is>
          <t xml:space="preserve">  Legacy net sales before outlook calibration (Q3/Q4-26E helper)</t>
        </is>
      </c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  <c r="AA116" s="34" t="n"/>
      <c r="AB116" s="34" t="n"/>
      <c r="AC116" s="34" t="n"/>
      <c r="AD116" s="34" t="n"/>
      <c r="AE116" s="34" t="n"/>
      <c r="AF116" s="34" t="n"/>
      <c r="AG116" s="34" t="n"/>
      <c r="AH116" s="34" t="n"/>
      <c r="AI116" s="34" t="n"/>
      <c r="AJ116" s="34" t="n"/>
      <c r="AK116" s="34" t="n"/>
      <c r="AL116" s="34" t="n"/>
      <c r="AM116" s="257">
        <f>AH11*(1+$AL$13+AM14+AM15)+AH33*(1+$AL$35+AM36+AM37)</f>
        <v>764.3324</v>
      </c>
      <c r="AN116" s="257">
        <f>AI11*(1+$AL$13+AN14+AN15)+AI33*(1+$AL$35+AN36+AN37)</f>
        <v>738.457</v>
      </c>
      <c r="AO116" s="257" t="n"/>
      <c r="AP116" s="257" t="n"/>
      <c r="AQ116" s="257" t="n"/>
      <c r="AR116" s="257" t="n"/>
      <c r="AS116" s="257" t="n"/>
      <c r="AT116" s="19" t="n"/>
    </row>
    <row r="117">
      <c r="B117" s="25" t="inlineStr">
        <is>
          <t xml:space="preserve">  Net sales sensitivity to +1.00 of organic growth (Q3/Q4-26E helper)</t>
        </is>
      </c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  <c r="AA117" s="34" t="n"/>
      <c r="AB117" s="34" t="n"/>
      <c r="AC117" s="34" t="n"/>
      <c r="AD117" s="34" t="n"/>
      <c r="AE117" s="34" t="n"/>
      <c r="AF117" s="34" t="n"/>
      <c r="AG117" s="34" t="n"/>
      <c r="AH117" s="34" t="n"/>
      <c r="AI117" s="34" t="n"/>
      <c r="AJ117" s="34" t="n"/>
      <c r="AK117" s="34" t="n"/>
      <c r="AL117" s="34" t="n"/>
      <c r="AM117" s="257">
        <f>AH11+AH33</f>
        <v>727.8</v>
      </c>
      <c r="AN117" s="257">
        <f>AI11+AI33</f>
        <v>721</v>
      </c>
      <c r="AO117" s="257" t="n"/>
      <c r="AP117" s="257" t="n"/>
      <c r="AQ117" s="257" t="n"/>
      <c r="AR117" s="257" t="n"/>
      <c r="AS117" s="257" t="n"/>
      <c r="AT117" s="19" t="n"/>
    </row>
    <row r="118">
      <c r="B118" s="25" t="inlineStr">
        <is>
          <t xml:space="preserve">  Outlook calibration: Δ organic growth applied uniformly to the segments (Q3/Q4-26E)</t>
        </is>
      </c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254">
        <f>($AO$115+$AO$53-$AK$136-$AL$136-$AM$76-$AN$76-$AM$116-$AN$116)/($AM$117+$AN$117)</f>
        <v>-0.00487735433386532</v>
      </c>
      <c r="AN118" s="254">
        <f>($AO$115+$AO$53-$AK$136-$AL$136-$AM$76-$AN$76-$AM$116-$AN$116)/($AM$117+$AN$117)</f>
        <v>-0.00487735433386532</v>
      </c>
      <c r="AO118" s="254" t="n"/>
      <c r="AP118" s="254" t="n"/>
      <c r="AQ118" s="254" t="n"/>
      <c r="AR118" s="254" t="n"/>
      <c r="AS118" s="254" t="n"/>
      <c r="AT118" s="19" t="inlineStr">
        <is>
          <t>Solves the uniform organic shift so that FY26 core net sales = outlook end-point (core = ex-Russia; Russia at 1H run-rate).</t>
        </is>
      </c>
    </row>
    <row r="119">
      <c r="B119" s="57" t="inlineStr">
        <is>
          <t xml:space="preserve">  Check: FY26 core net sales vs outlook end-point (should be 0)</t>
        </is>
      </c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  <c r="AE119" s="44" t="n"/>
      <c r="AF119" s="44" t="n"/>
      <c r="AG119" s="44" t="n"/>
      <c r="AH119" s="44" t="n"/>
      <c r="AI119" s="44" t="n"/>
      <c r="AJ119" s="44" t="n"/>
      <c r="AK119" s="44" t="n"/>
      <c r="AL119" s="44" t="n"/>
      <c r="AM119" s="269" t="n"/>
      <c r="AN119" s="269" t="n"/>
      <c r="AO119" s="268">
        <f>ROUND(AO109-AO115,1)</f>
        <v>0</v>
      </c>
      <c r="AP119" s="269" t="n"/>
      <c r="AQ119" s="269" t="n"/>
      <c r="AR119" s="269" t="n"/>
      <c r="AS119" s="269" t="n"/>
      <c r="AT119" s="19" t="n"/>
    </row>
    <row r="120">
      <c r="B120" s="25" t="inlineStr">
        <is>
          <t xml:space="preserve">  Memo: FY26 core adjusted EBITDA outlook — $615–625m (scenario end-point)</t>
        </is>
      </c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  <c r="AA120" s="34" t="n"/>
      <c r="AB120" s="34" t="n"/>
      <c r="AC120" s="34" t="n"/>
      <c r="AD120" s="34" t="n"/>
      <c r="AE120" s="34" t="n"/>
      <c r="AF120" s="34" t="n"/>
      <c r="AG120" s="34" t="n"/>
      <c r="AH120" s="34" t="n"/>
      <c r="AI120" s="34" t="n"/>
      <c r="AJ120" s="34" t="n"/>
      <c r="AK120" s="34" t="n"/>
      <c r="AL120" s="34" t="n"/>
      <c r="AM120" s="257" t="n"/>
      <c r="AN120" s="257" t="n"/>
      <c r="AO120" s="257">
        <f>CHOOSE(MATCH($AT$2,{"Bull","Base","Bear"},0),$BC$13,$BD$13,$BE$13)</f>
        <v>620</v>
      </c>
      <c r="AP120" s="257" t="n"/>
      <c r="AQ120" s="257" t="n"/>
      <c r="AR120" s="257" t="n"/>
      <c r="AS120" s="257" t="n"/>
      <c r="AT120" s="19" t="n"/>
    </row>
    <row r="121">
      <c r="B121" s="25" t="inlineStr">
        <is>
          <t xml:space="preserve">  Adjusted EBITDA before margin calibration (Q3/Q4-26E helper)</t>
        </is>
      </c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  <c r="AA121" s="34" t="n"/>
      <c r="AB121" s="34" t="n"/>
      <c r="AC121" s="34" t="n"/>
      <c r="AD121" s="34" t="n"/>
      <c r="AE121" s="34" t="n"/>
      <c r="AF121" s="34" t="n"/>
      <c r="AG121" s="34" t="n"/>
      <c r="AH121" s="34" t="n"/>
      <c r="AI121" s="34" t="n"/>
      <c r="AJ121" s="34" t="n"/>
      <c r="AK121" s="34" t="n"/>
      <c r="AL121" s="34" t="n"/>
      <c r="AM121" s="257">
        <f>AM11*AM22+AM33*AM44+AM79</f>
        <v>154.406048320569</v>
      </c>
      <c r="AN121" s="257">
        <f>AN11*AN22+AN33*AN44+AN79</f>
        <v>154.199162818083</v>
      </c>
      <c r="AO121" s="257" t="n"/>
      <c r="AP121" s="257" t="n"/>
      <c r="AQ121" s="257" t="n"/>
      <c r="AR121" s="257" t="n"/>
      <c r="AS121" s="257" t="n"/>
      <c r="AT121" s="19" t="n"/>
    </row>
    <row r="122">
      <c r="B122" s="25" t="inlineStr">
        <is>
          <t xml:space="preserve">  Outlook calibration: Δ adjusted EBITDA margin applied to the legacy segments (Q3/Q4-26E)</t>
        </is>
      </c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254">
        <f>($AO$120+$AO$54-$AK$105-$AL$105-$AM$121-$AN$121)/($AM$11+$AN$11+$AM$33+$AN$33)</f>
        <v>0.0190508450863163</v>
      </c>
      <c r="AN122" s="254">
        <f>($AO$120+$AO$54-$AK$105-$AL$105-$AM$121-$AN$121)/($AM$11+$AN$11+$AM$33+$AN$33)</f>
        <v>0.0190508450863163</v>
      </c>
      <c r="AO122" s="254" t="n"/>
      <c r="AP122" s="254" t="n"/>
      <c r="AQ122" s="254" t="n"/>
      <c r="AR122" s="254" t="n"/>
      <c r="AS122" s="254" t="n"/>
      <c r="AT122" s="19" t="inlineStr">
        <is>
          <t>Solves the uniform margin shift so that FY26 core adjusted EBITDA = outlook end-point (Eddyfi at deal-metric margin).</t>
        </is>
      </c>
    </row>
    <row r="123">
      <c r="B123" s="57" t="inlineStr">
        <is>
          <t xml:space="preserve">  Check: FY26 core adjusted EBITDA vs outlook end-point (should be 0)</t>
        </is>
      </c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  <c r="AE123" s="44" t="n"/>
      <c r="AF123" s="44" t="n"/>
      <c r="AG123" s="44" t="n"/>
      <c r="AH123" s="44" t="n"/>
      <c r="AI123" s="44" t="n"/>
      <c r="AJ123" s="44" t="n"/>
      <c r="AK123" s="44" t="n"/>
      <c r="AL123" s="44" t="n"/>
      <c r="AM123" s="269" t="n"/>
      <c r="AN123" s="269" t="n"/>
      <c r="AO123" s="268">
        <f>ROUND(AO112-AO120,1)</f>
        <v>0</v>
      </c>
      <c r="AP123" s="269" t="n"/>
      <c r="AQ123" s="269" t="n"/>
      <c r="AR123" s="269" t="n"/>
      <c r="AS123" s="269" t="n"/>
      <c r="AT123" s="19" t="n"/>
    </row>
    <row r="124">
      <c r="B124" s="25" t="inlineStr">
        <is>
          <t xml:space="preserve">  Memo: FY26 core adjusted EPS outlook — $5.40–5.50 (scenario end-point; compare with the model)</t>
        </is>
      </c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  <c r="AL124" s="27" t="n"/>
      <c r="AM124" s="270" t="n"/>
      <c r="AN124" s="270" t="n"/>
      <c r="AO124" s="270">
        <f>CHOOSE(MATCH($AT$2,{"Bull","Base","Bear"},0),$BC$14,$BD$14,$BE$14)</f>
        <v>5.45</v>
      </c>
      <c r="AP124" s="270" t="n"/>
      <c r="AQ124" s="270" t="n"/>
      <c r="AR124" s="270" t="n"/>
      <c r="AS124" s="270" t="n"/>
      <c r="AT124" s="19" t="n"/>
    </row>
    <row r="125">
      <c r="AT125" s="19" t="n"/>
    </row>
    <row r="126">
      <c r="B126" s="14" t="inlineStr">
        <is>
          <t>Cost drivers, D&amp;A &amp; adjusting items</t>
        </is>
      </c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5" t="inlineStr">
        <is>
          <t>COST DRIVERS — inputs that drive forecast cost lines</t>
        </is>
      </c>
    </row>
    <row r="127">
      <c r="B127" s="25" t="inlineStr">
        <is>
          <t xml:space="preserve">  Depreciation &amp; other amortization (excl. acquired-intangible amortization)</t>
        </is>
      </c>
      <c r="C127" s="34" t="n"/>
      <c r="D127" s="34" t="n"/>
      <c r="E127" s="34" t="n"/>
      <c r="F127" s="34" t="n"/>
      <c r="G127" s="34" t="n"/>
      <c r="H127" s="34" t="n"/>
      <c r="I127" s="34" t="n"/>
      <c r="J127" s="34" t="n">
        <v>40.99</v>
      </c>
      <c r="K127" s="34" t="n">
        <v>38.366</v>
      </c>
      <c r="L127" s="34" t="n">
        <v>9.6</v>
      </c>
      <c r="M127" s="34" t="n">
        <v>9.6</v>
      </c>
      <c r="N127" s="34" t="n">
        <v>9.800000000000001</v>
      </c>
      <c r="O127" s="34" t="n">
        <v>9.5</v>
      </c>
      <c r="P127" s="34" t="n">
        <v>38.5</v>
      </c>
      <c r="Q127" s="34" t="n">
        <v>9</v>
      </c>
      <c r="R127" s="34" t="n">
        <v>8.9</v>
      </c>
      <c r="S127" s="34" t="n">
        <v>8.300000000000001</v>
      </c>
      <c r="T127" s="34" t="n">
        <v>8.699999999999999</v>
      </c>
      <c r="U127" s="34" t="n">
        <v>34.9</v>
      </c>
      <c r="V127" s="34" t="n">
        <v>8.6</v>
      </c>
      <c r="W127" s="34" t="n">
        <v>9</v>
      </c>
      <c r="X127" s="34" t="n">
        <v>9</v>
      </c>
      <c r="Y127" s="34" t="n">
        <v>9.4</v>
      </c>
      <c r="Z127" s="34" t="n">
        <v>36</v>
      </c>
      <c r="AA127" s="34" t="n">
        <v>8.800000000000001</v>
      </c>
      <c r="AB127" s="34" t="n">
        <v>9.1</v>
      </c>
      <c r="AC127" s="34" t="n">
        <v>9.5</v>
      </c>
      <c r="AD127" s="34" t="n">
        <v>9.199999999999999</v>
      </c>
      <c r="AE127" s="34" t="n">
        <v>36.6</v>
      </c>
      <c r="AF127" s="34" t="n">
        <v>10</v>
      </c>
      <c r="AG127" s="34" t="n">
        <v>11.4</v>
      </c>
      <c r="AH127" s="34" t="n">
        <v>12</v>
      </c>
      <c r="AI127" s="34" t="n">
        <v>14.3</v>
      </c>
      <c r="AJ127" s="34" t="n">
        <v>47.7</v>
      </c>
      <c r="AK127" s="34" t="n">
        <v>13.1</v>
      </c>
      <c r="AL127" s="34" t="n">
        <v>12.3</v>
      </c>
      <c r="AM127" s="257">
        <f>($AK$127+$AL$127)/2+AM84</f>
        <v>13.7097260273973</v>
      </c>
      <c r="AN127" s="257">
        <f>($AK$127+$AL$127)/2+AN84</f>
        <v>13.6986301369863</v>
      </c>
      <c r="AO127" s="257">
        <f>SUM(AK127,AL127,AM127,AN127)</f>
        <v>52.8083561643836</v>
      </c>
      <c r="AP127" s="257">
        <f>(AP136-AP76-AP92)*AP128+AP84+AP96</f>
        <v>57.5876535208404</v>
      </c>
      <c r="AQ127" s="257">
        <f>(AQ136-AQ76-AQ92)*AQ128+AQ84+AQ96</f>
        <v>60.4937763274656</v>
      </c>
      <c r="AR127" s="257">
        <f>(AR136-AR76-AR92)*AR128+AR84+AR96</f>
        <v>64.4413780818096</v>
      </c>
      <c r="AS127" s="257">
        <f>(AS136-AS76-AS92)*AS128+AS84+AS96</f>
        <v>68.8082218050421</v>
      </c>
      <c r="AT127" s="19" t="inlineStr">
        <is>
          <t>Q3/Q4-26E: 1H/26 run-rate + Eddyfi standalone D&amp;A. 2027E+: legacy sales × % + Eddyfi + future M&amp;A.</t>
        </is>
      </c>
    </row>
    <row r="128">
      <c r="B128" s="25" t="inlineStr">
        <is>
          <t xml:space="preserve">  Depreciation &amp; other amortization (legacy) % of net sales</t>
        </is>
      </c>
      <c r="C128" s="36" t="n"/>
      <c r="D128" s="36" t="n"/>
      <c r="E128" s="36" t="n"/>
      <c r="F128" s="36" t="n"/>
      <c r="G128" s="36" t="n"/>
      <c r="H128" s="36" t="n"/>
      <c r="I128" s="36" t="n"/>
      <c r="J128" s="36">
        <f>IF(AND(ISNUMBER(J127),ISNUMBER(J136)),IFERROR(J127/J136,""),"")</f>
        <v>0.0182418895019461</v>
      </c>
      <c r="K128" s="36">
        <f>IF(AND(ISNUMBER(K127),ISNUMBER(K136)),IFERROR(K127/K136,""),"")</f>
        <v>0.0196741756317341</v>
      </c>
      <c r="L128" s="36">
        <f>IF(AND(ISNUMBER(L127),ISNUMBER(L136)),IFERROR(L127/L136,""),"")</f>
        <v>0.0168976005407232</v>
      </c>
      <c r="M128" s="36">
        <f>IF(AND(ISNUMBER(M127),ISNUMBER(M136)),IFERROR(M127/M136,""),"")</f>
        <v>0.0152428374541921</v>
      </c>
      <c r="N128" s="36">
        <f>IF(AND(ISNUMBER(N127),ISNUMBER(N136)),IFERROR(N127/N136,""),"")</f>
        <v>0.0161724711535923</v>
      </c>
      <c r="O128" s="36">
        <f>IF(AND(ISNUMBER(O127),ISNUMBER(O136)),IFERROR(O127/O136,""),"")</f>
        <v>0.0152191152087021</v>
      </c>
      <c r="P128" s="36">
        <f>IF(AND(ISNUMBER(P127),ISNUMBER(P136)),IFERROR(P127/P136,""),"")</f>
        <v>0.0158559211569469</v>
      </c>
      <c r="Q128" s="36">
        <f>IF(AND(ISNUMBER(Q127),ISNUMBER(Q136)),IFERROR(Q127/Q136,""),"")</f>
        <v>0.0138907967297978</v>
      </c>
      <c r="R128" s="36">
        <f>IF(AND(ISNUMBER(R127),ISNUMBER(R136)),IFERROR(R127/R136,""),"")</f>
        <v>0.0134608433142714</v>
      </c>
      <c r="S128" s="36">
        <f>IF(AND(ISNUMBER(S127),ISNUMBER(S136)),IFERROR(S127/S136,""),"")</f>
        <v>0.0133813773145349</v>
      </c>
      <c r="T128" s="36">
        <f>IF(AND(ISNUMBER(T127),ISNUMBER(T136)),IFERROR(T127/T136,""),"")</f>
        <v>0.0130999040846103</v>
      </c>
      <c r="U128" s="36">
        <f>IF(AND(ISNUMBER(U127),ISNUMBER(U136)),IFERROR(U127/U136,""),"")</f>
        <v>0.0134568224933294</v>
      </c>
      <c r="V128" s="36">
        <f>IF(AND(ISNUMBER(V127),ISNUMBER(V136)),IFERROR(V127/V136,""),"")</f>
        <v>0.0125730994152047</v>
      </c>
      <c r="W128" s="36">
        <f>IF(AND(ISNUMBER(W127),ISNUMBER(W136)),IFERROR(W127/W136,""),"")</f>
        <v>0.0124926779026737</v>
      </c>
      <c r="X128" s="36">
        <f>IF(AND(ISNUMBER(X127),ISNUMBER(X136)),IFERROR(X127/X136,""),"")</f>
        <v>0.013215936657484</v>
      </c>
      <c r="Y128" s="36">
        <f>IF(AND(ISNUMBER(Y127),ISNUMBER(Y136)),IFERROR(Y127/Y136,""),"")</f>
        <v>0.0136360735071401</v>
      </c>
      <c r="Z128" s="36">
        <f>IF(AND(ISNUMBER(Z127),ISNUMBER(Z136)),IFERROR(Z127/Z136,""),"")</f>
        <v>0.0129740670024067</v>
      </c>
      <c r="AA128" s="36">
        <f>IF(AND(ISNUMBER(AA127),ISNUMBER(AA136)),IFERROR(AA127/AA136,""),"")</f>
        <v>0.012758356723654</v>
      </c>
      <c r="AB128" s="36">
        <f>IF(AND(ISNUMBER(AB127),ISNUMBER(AB136)),IFERROR(AB127/AB136,""),"")</f>
        <v>0.012870322309643</v>
      </c>
      <c r="AC128" s="36">
        <f>IF(AND(ISNUMBER(AC127),ISNUMBER(AC136)),IFERROR(AC127/AC136,""),"")</f>
        <v>0.0141106572595618</v>
      </c>
      <c r="AD128" s="36">
        <f>IF(AND(ISNUMBER(AD127),ISNUMBER(AD136)),IFERROR(AD127/AD136,""),"")</f>
        <v>0.0137158668726035</v>
      </c>
      <c r="AE128" s="36">
        <f>IF(AND(ISNUMBER(AE127),ISNUMBER(AE136)),IFERROR(AE127/AE136,""),"")</f>
        <v>0.0133537507073657</v>
      </c>
      <c r="AF128" s="36">
        <f>IF(AND(ISNUMBER(AF127),ISNUMBER(AF136)),IFERROR(AF127/AF136,""),"")</f>
        <v>0.0147462610855018</v>
      </c>
      <c r="AG128" s="36">
        <f>IF(AND(ISNUMBER(AG127),ISNUMBER(AG136)),IFERROR(AG127/AG136,""),"")</f>
        <v>0.0159309992090399</v>
      </c>
      <c r="AH128" s="36">
        <f>IF(AND(ISNUMBER(AH127),ISNUMBER(AH136)),IFERROR(AH127/AH136,""),"")</f>
        <v>0.0164870267708097</v>
      </c>
      <c r="AI128" s="36">
        <f>IF(AND(ISNUMBER(AI127),ISNUMBER(AI136)),IFERROR(AI127/AI136,""),"")</f>
        <v>0.019833949618994</v>
      </c>
      <c r="AJ128" s="36">
        <f>IF(AND(ISNUMBER(AJ127),ISNUMBER(AJ136)),IFERROR(AJ127/AJ136,""),"")</f>
        <v>0.016780677946425</v>
      </c>
      <c r="AK128" s="36">
        <f>IF(AND(ISNUMBER(AK127),ISNUMBER(AK136)),IFERROR(AK127/AK136,""),"")</f>
        <v>0.0175698131832612</v>
      </c>
      <c r="AL128" s="36">
        <f>IF(AND(ISNUMBER(AL127),ISNUMBER(AL136)),IFERROR(AL127/AL136,""),"")</f>
        <v>0.0152298028669175</v>
      </c>
      <c r="AM128" s="254" t="n"/>
      <c r="AN128" s="254" t="n"/>
      <c r="AO128" s="254">
        <f>IFERROR(AO127/AO136,"")</f>
        <v>0.016591721809771</v>
      </c>
      <c r="AP128" s="255" t="n">
        <v>0.017</v>
      </c>
      <c r="AQ128" s="255" t="n">
        <v>0.017</v>
      </c>
      <c r="AR128" s="255" t="n">
        <v>0.017</v>
      </c>
      <c r="AS128" s="255" t="n">
        <v>0.017</v>
      </c>
      <c r="AT128" s="19" t="n"/>
    </row>
    <row r="129">
      <c r="B129" s="25" t="inlineStr">
        <is>
          <t xml:space="preserve">  Amortization of acquired intangibles &amp; inventory step-up (adjusted out)</t>
        </is>
      </c>
      <c r="C129" s="34" t="n"/>
      <c r="D129" s="34" t="n"/>
      <c r="E129" s="34" t="n"/>
      <c r="F129" s="34" t="n"/>
      <c r="G129" s="34" t="n"/>
      <c r="H129" s="34" t="n"/>
      <c r="I129" s="34" t="n"/>
      <c r="J129" s="34" t="n">
        <v>35.633</v>
      </c>
      <c r="K129" s="34" t="n">
        <v>36.331</v>
      </c>
      <c r="L129" s="34" t="n">
        <v>9.1</v>
      </c>
      <c r="M129" s="34" t="n">
        <v>9.1</v>
      </c>
      <c r="N129" s="34" t="n">
        <v>8.9</v>
      </c>
      <c r="O129" s="34" t="n">
        <v>8.800000000000001</v>
      </c>
      <c r="P129" s="34" t="n">
        <v>35.9</v>
      </c>
      <c r="Q129" s="34" t="n">
        <v>7.7</v>
      </c>
      <c r="R129" s="34" t="n">
        <v>7.6</v>
      </c>
      <c r="S129" s="34" t="n">
        <v>7.2</v>
      </c>
      <c r="T129" s="34" t="n">
        <v>11.7</v>
      </c>
      <c r="U129" s="34" t="n">
        <v>34.2</v>
      </c>
      <c r="V129" s="34" t="n">
        <v>9.300000000000001</v>
      </c>
      <c r="W129" s="34" t="n">
        <v>9.300000000000001</v>
      </c>
      <c r="X129" s="34" t="n">
        <v>9.300000000000001</v>
      </c>
      <c r="Y129" s="34" t="n">
        <v>9</v>
      </c>
      <c r="Z129" s="34" t="n">
        <v>36.9</v>
      </c>
      <c r="AA129" s="34" t="n">
        <v>7.6</v>
      </c>
      <c r="AB129" s="34" t="n">
        <v>7.3</v>
      </c>
      <c r="AC129" s="34" t="n">
        <v>7.6</v>
      </c>
      <c r="AD129" s="34" t="n">
        <v>7.8</v>
      </c>
      <c r="AE129" s="34" t="n">
        <v>30.3</v>
      </c>
      <c r="AF129" s="34" t="n">
        <v>8.199999999999999</v>
      </c>
      <c r="AG129" s="34" t="n">
        <v>8.800000000000001</v>
      </c>
      <c r="AH129" s="34" t="n">
        <v>10.3</v>
      </c>
      <c r="AI129" s="34" t="n">
        <v>13.2</v>
      </c>
      <c r="AJ129" s="34" t="n">
        <v>40.5</v>
      </c>
      <c r="AK129" s="34" t="n">
        <v>12.5</v>
      </c>
      <c r="AL129" s="34" t="n">
        <v>16.5</v>
      </c>
      <c r="AM129" s="257">
        <f>10.8+AM81+AM82</f>
        <v>29.7854794520548</v>
      </c>
      <c r="AN129" s="257">
        <f>10.8+AN81+AN82</f>
        <v>25.027397260274</v>
      </c>
      <c r="AO129" s="257">
        <f>SUM(AK129,AL129,AM129,AN129)</f>
        <v>83.8128767123288</v>
      </c>
      <c r="AP129" s="257">
        <f>39.0+AP81+AP101</f>
        <v>96.7</v>
      </c>
      <c r="AQ129" s="257">
        <f>36.1+AQ81+AQ101</f>
        <v>90.95</v>
      </c>
      <c r="AR129" s="257">
        <f>34.8+AR81+AR101</f>
        <v>91.5</v>
      </c>
      <c r="AS129" s="257">
        <f>32.9+AS81+AS101</f>
        <v>95.6</v>
      </c>
      <c r="AT129" s="19" t="inlineStr">
        <is>
          <t>Legacy amortization per FY2025 10-K schedule ($43.0m 2026, $39.0m 2027, $36.1m 2028, $34.8m 2029, $32.9m 2030) + Eddyfi PPA amortization &amp; step-up + future M&amp;A. Q3/Q4-26E legacy = $10.8m per quarter.</t>
        </is>
      </c>
    </row>
    <row r="130">
      <c r="B130" s="25" t="inlineStr">
        <is>
          <t xml:space="preserve">  Acquisition transaction, diligence &amp; integration costs (adjusted out)</t>
        </is>
      </c>
      <c r="C130" s="34" t="n"/>
      <c r="D130" s="34" t="n"/>
      <c r="E130" s="34" t="n"/>
      <c r="F130" s="34" t="n"/>
      <c r="G130" s="34" t="n"/>
      <c r="H130" s="34" t="n"/>
      <c r="I130" s="34" t="n"/>
      <c r="J130" s="34" t="n">
        <v>0</v>
      </c>
      <c r="K130" s="34" t="n">
        <v>0</v>
      </c>
      <c r="L130" s="34" t="n">
        <v>0</v>
      </c>
      <c r="M130" s="34" t="n">
        <v>0</v>
      </c>
      <c r="N130" s="34" t="n">
        <v>0</v>
      </c>
      <c r="O130" s="34" t="n">
        <v>0</v>
      </c>
      <c r="P130" s="34" t="n">
        <v>0</v>
      </c>
      <c r="Q130" s="34" t="n">
        <v>0</v>
      </c>
      <c r="R130" s="34" t="n">
        <v>0</v>
      </c>
      <c r="S130" s="34" t="n">
        <v>0</v>
      </c>
      <c r="T130" s="34" t="n">
        <v>0</v>
      </c>
      <c r="U130" s="34" t="n">
        <v>0</v>
      </c>
      <c r="V130" s="34" t="n">
        <v>0</v>
      </c>
      <c r="W130" s="34" t="n">
        <v>0</v>
      </c>
      <c r="X130" s="34" t="n">
        <v>0</v>
      </c>
      <c r="Y130" s="34" t="n">
        <v>0</v>
      </c>
      <c r="Z130" s="34" t="n">
        <v>0</v>
      </c>
      <c r="AA130" s="34" t="n">
        <v>0.1000000000000009</v>
      </c>
      <c r="AB130" s="34" t="n">
        <v>0.4000000000000004</v>
      </c>
      <c r="AC130" s="34" t="n">
        <v>2.4</v>
      </c>
      <c r="AD130" s="34" t="n">
        <v>1.100000000000001</v>
      </c>
      <c r="AE130" s="34" t="n">
        <v>4.2</v>
      </c>
      <c r="AF130" s="34" t="n">
        <v>1.4</v>
      </c>
      <c r="AG130" s="34" t="n">
        <v>12.8</v>
      </c>
      <c r="AH130" s="34" t="n">
        <v>6.199999999999999</v>
      </c>
      <c r="AI130" s="34" t="n">
        <v>11.2</v>
      </c>
      <c r="AJ130" s="34" t="n">
        <v>31.59999999999999</v>
      </c>
      <c r="AK130" s="34" t="n">
        <v>10.3</v>
      </c>
      <c r="AL130" s="34" t="n">
        <v>24.8</v>
      </c>
      <c r="AM130" s="258" t="n">
        <v>12</v>
      </c>
      <c r="AN130" s="258" t="n">
        <v>8</v>
      </c>
      <c r="AO130" s="257">
        <f>SUM(AK130,AL130,AM130,AN130)</f>
        <v>55.1</v>
      </c>
      <c r="AP130" s="258" t="n">
        <v>15</v>
      </c>
      <c r="AQ130" s="258" t="n">
        <v>5</v>
      </c>
      <c r="AR130" s="258" t="n">
        <v>4</v>
      </c>
      <c r="AS130" s="258" t="n">
        <v>4</v>
      </c>
      <c r="AT130" s="19" t="inlineStr">
        <is>
          <t>Eddyfi integration costs: Q3/26E $12m, Q4/26E $8m; 2027E $15m; thereafter $3–5m (bolt-on deal costs). Adjusted out.</t>
        </is>
      </c>
    </row>
    <row r="131">
      <c r="B131" s="25" t="inlineStr">
        <is>
          <t xml:space="preserve">  Performance option awards compensation (adjusted out; granted Jun/Jul-2026)</t>
        </is>
      </c>
      <c r="C131" s="34" t="n"/>
      <c r="D131" s="34" t="n"/>
      <c r="E131" s="34" t="n"/>
      <c r="F131" s="34" t="n"/>
      <c r="G131" s="34" t="n"/>
      <c r="H131" s="34" t="n"/>
      <c r="I131" s="34" t="n"/>
      <c r="J131" s="34" t="n">
        <v>0</v>
      </c>
      <c r="K131" s="34" t="n">
        <v>0</v>
      </c>
      <c r="L131" s="34" t="n">
        <v>0</v>
      </c>
      <c r="M131" s="34" t="n">
        <v>0</v>
      </c>
      <c r="N131" s="34" t="n">
        <v>0</v>
      </c>
      <c r="O131" s="34" t="n">
        <v>0</v>
      </c>
      <c r="P131" s="34" t="n">
        <v>0</v>
      </c>
      <c r="Q131" s="34" t="n">
        <v>0</v>
      </c>
      <c r="R131" s="34" t="n">
        <v>0</v>
      </c>
      <c r="S131" s="34" t="n">
        <v>0</v>
      </c>
      <c r="T131" s="34" t="n">
        <v>0</v>
      </c>
      <c r="U131" s="34" t="n">
        <v>0</v>
      </c>
      <c r="V131" s="34" t="n">
        <v>0</v>
      </c>
      <c r="W131" s="34" t="n">
        <v>0</v>
      </c>
      <c r="X131" s="34" t="n">
        <v>0</v>
      </c>
      <c r="Y131" s="34" t="n">
        <v>0</v>
      </c>
      <c r="Z131" s="34" t="n">
        <v>0</v>
      </c>
      <c r="AA131" s="34" t="n">
        <v>0</v>
      </c>
      <c r="AB131" s="34" t="n">
        <v>0</v>
      </c>
      <c r="AC131" s="34" t="n">
        <v>0</v>
      </c>
      <c r="AD131" s="34" t="n">
        <v>0</v>
      </c>
      <c r="AE131" s="34" t="n">
        <v>0</v>
      </c>
      <c r="AF131" s="34" t="n">
        <v>0</v>
      </c>
      <c r="AG131" s="34" t="n">
        <v>0</v>
      </c>
      <c r="AH131" s="34" t="n">
        <v>0</v>
      </c>
      <c r="AI131" s="34" t="n">
        <v>0</v>
      </c>
      <c r="AJ131" s="34" t="n">
        <v>0</v>
      </c>
      <c r="AK131" s="34" t="n">
        <v>0</v>
      </c>
      <c r="AL131" s="34" t="n">
        <v>0.7</v>
      </c>
      <c r="AM131" s="258" t="n">
        <v>4</v>
      </c>
      <c r="AN131" s="258" t="n">
        <v>4</v>
      </c>
      <c r="AO131" s="257">
        <f>SUM(AK131,AL131,AM131,AN131)</f>
        <v>8.7</v>
      </c>
      <c r="AP131" s="258" t="n">
        <v>16</v>
      </c>
      <c r="AQ131" s="258" t="n">
        <v>16</v>
      </c>
      <c r="AR131" s="258" t="n">
        <v>12</v>
      </c>
      <c r="AS131" s="258" t="n">
        <v>8</v>
      </c>
      <c r="AT131" s="19" t="inlineStr">
        <is>
          <t>Performance option awards (2.39m options granted Jun/Jul-2026; grant-date fair value $64.4m) — expense assumed ~$4m per quarter over the vesting horizon; adjusted out by the company.</t>
        </is>
      </c>
    </row>
    <row r="132">
      <c r="B132" s="25" t="inlineStr">
        <is>
          <t xml:space="preserve">  SG&amp;A % of net sales</t>
        </is>
      </c>
      <c r="C132" s="36">
        <f>IF(AND(ISNUMBER(C141),ISNUMBER(C136)),IFERROR(C141/C136,""),"")</f>
      </c>
      <c r="D132" s="36">
        <f>IF(AND(ISNUMBER(D141),ISNUMBER(D136)),IFERROR(D141/D136,""),"")</f>
      </c>
      <c r="E132" s="36">
        <f>IF(AND(ISNUMBER(E141),ISNUMBER(E136)),IFERROR(E141/E136,""),"")</f>
      </c>
      <c r="F132" s="36">
        <f>IF(AND(ISNUMBER(F141),ISNUMBER(F136)),IFERROR(F141/F136,""),"")</f>
      </c>
      <c r="G132" s="36">
        <f>IF(AND(ISNUMBER(G141),ISNUMBER(G136)),IFERROR(G141/G136,""),"")</f>
      </c>
      <c r="H132" s="36">
        <f>IF(AND(ISNUMBER(H141),ISNUMBER(H136)),IFERROR(H141/H136,""),"")</f>
      </c>
      <c r="I132" s="36">
        <f>IF(AND(ISNUMBER(I141),ISNUMBER(I136)),IFERROR(I141/I136,""),"")</f>
      </c>
      <c r="J132" s="36">
        <f>IF(AND(ISNUMBER(J141),ISNUMBER(J136)),IFERROR(J141/J136,""),"")</f>
        <v>0.230226085501458</v>
      </c>
      <c r="K132" s="36">
        <f>IF(AND(ISNUMBER(K141),ISNUMBER(K136)),IFERROR(K141/K136,""),"")</f>
        <v>0.235225522789194</v>
      </c>
      <c r="L132" s="36">
        <f>IF(AND(ISNUMBER(L141),ISNUMBER(L136)),IFERROR(L141/L136,""),"")</f>
        <v>0.218998183507942</v>
      </c>
      <c r="M132" s="36">
        <f>IF(AND(ISNUMBER(M141),ISNUMBER(M136)),IFERROR(M141/M136,""),"")</f>
        <v>0.210703647483979</v>
      </c>
      <c r="N132" s="36">
        <f>IF(AND(ISNUMBER(N141),ISNUMBER(N136)),IFERROR(N141/N136,""),"")</f>
        <v>0.204802893882185</v>
      </c>
      <c r="O132" s="36">
        <f>IF(AND(ISNUMBER(O141),ISNUMBER(O136)),IFERROR(O141/O136,""),"")</f>
        <v>0.21081037783456</v>
      </c>
      <c r="P132" s="36">
        <f>IF(AND(ISNUMBER(P141),ISNUMBER(P136)),IFERROR(P141/P136,""),"")</f>
        <v>0.211198810599992</v>
      </c>
      <c r="Q132" s="36">
        <f>IF(AND(ISNUMBER(Q141),ISNUMBER(Q136)),IFERROR(Q141/Q136,""),"")</f>
        <v>0.208999384174678</v>
      </c>
      <c r="R132" s="36">
        <f>IF(AND(ISNUMBER(R141),ISNUMBER(R136)),IFERROR(R141/R136,""),"")</f>
        <v>0.207123054794707</v>
      </c>
      <c r="S132" s="36">
        <f>IF(AND(ISNUMBER(S141),ISNUMBER(S136)),IFERROR(S141/S136,""),"")</f>
        <v>0.196154869289739</v>
      </c>
      <c r="T132" s="36">
        <f>IF(AND(ISNUMBER(T141),ISNUMBER(T136)),IFERROR(T141/T136,""),"")</f>
        <v>0.209813785616305</v>
      </c>
      <c r="U132" s="36">
        <f>IF(AND(ISNUMBER(U141),ISNUMBER(U136)),IFERROR(U141/U136,""),"")</f>
        <v>0.205657649181794</v>
      </c>
      <c r="V132" s="36">
        <f>IF(AND(ISNUMBER(V141),ISNUMBER(V136)),IFERROR(V141/V136,""),"")</f>
        <v>0.215324561403509</v>
      </c>
      <c r="W132" s="36">
        <f>IF(AND(ISNUMBER(W141),ISNUMBER(W136)),IFERROR(W141/W136,""),"")</f>
        <v>0.208370927039985</v>
      </c>
      <c r="X132" s="36">
        <f>IF(AND(ISNUMBER(X141),ISNUMBER(X136)),IFERROR(X141/X136,""),"")</f>
        <v>0.213568067947536</v>
      </c>
      <c r="Y132" s="36">
        <f>IF(AND(ISNUMBER(Y141),ISNUMBER(Y136)),IFERROR(Y141/Y136,""),"")</f>
        <v>0.209820003829706</v>
      </c>
      <c r="Z132" s="36">
        <f>IF(AND(ISNUMBER(Z141),ISNUMBER(Z136)),IFERROR(Z141/Z136,""),"")</f>
        <v>0.211720555895524</v>
      </c>
      <c r="AA132" s="36">
        <f>IF(AND(ISNUMBER(AA141),ISNUMBER(AA136)),IFERROR(AA141/AA136,""),"")</f>
        <v>0.206525899464149</v>
      </c>
      <c r="AB132" s="36">
        <f>IF(AND(ISNUMBER(AB141),ISNUMBER(AB136)),IFERROR(AB141/AB136,""),"")</f>
        <v>0.206755363459316</v>
      </c>
      <c r="AC132" s="36">
        <f>IF(AND(ISNUMBER(AC141),ISNUMBER(AC136)),IFERROR(AC141/AC136,""),"")</f>
        <v>0.216709988860007</v>
      </c>
      <c r="AD132" s="36">
        <f>IF(AND(ISNUMBER(AD141),ISNUMBER(AD136)),IFERROR(AD141/AD136,""),"")</f>
        <v>0.216533284830848</v>
      </c>
      <c r="AE132" s="36">
        <f>IF(AND(ISNUMBER(AE141),ISNUMBER(AE136)),IFERROR(AE141/AE136,""),"")</f>
        <v>0.21153581632828</v>
      </c>
      <c r="AF132" s="36">
        <f>IF(AND(ISNUMBER(AF141),ISNUMBER(AF136)),IFERROR(AF141/AF136,""),"")</f>
        <v>0.207712884398161</v>
      </c>
      <c r="AG132" s="36">
        <f>IF(AND(ISNUMBER(AG141),ISNUMBER(AG136)),IFERROR(AG141/AG136,""),"")</f>
        <v>0.217392458768059</v>
      </c>
      <c r="AH132" s="36">
        <f>IF(AND(ISNUMBER(AH141),ISNUMBER(AH136)),IFERROR(AH141/AH136,""),"")</f>
        <v>0.217539448646346</v>
      </c>
      <c r="AI132" s="36">
        <f>IF(AND(ISNUMBER(AI141),ISNUMBER(AI136)),IFERROR(AI141/AI136,""),"")</f>
        <v>0.213124804087735</v>
      </c>
      <c r="AJ132" s="36">
        <f>IF(AND(ISNUMBER(AJ141),ISNUMBER(AJ136)),IFERROR(AJ141/AJ136,""),"")</f>
        <v>0.214038426697109</v>
      </c>
      <c r="AK132" s="36">
        <f>IF(AND(ISNUMBER(AK141),ISNUMBER(AK136)),IFERROR(AK141/AK136,""),"")</f>
        <v>0.234003087458775</v>
      </c>
      <c r="AL132" s="36">
        <f>IF(AND(ISNUMBER(AL141),ISNUMBER(AL136)),IFERROR(AL141/AL136,""),"")</f>
        <v>0.260230279572129</v>
      </c>
      <c r="AM132" s="254">
        <f>AH132+($AK$141+$AL$141)/($AK$136+$AL$136)-($AF$141+$AG$141)/($AF$136+$AG$136)</f>
        <v>0.252497128573637</v>
      </c>
      <c r="AN132" s="254">
        <f>AI132+($AK$141+$AL$141)/($AK$136+$AL$136)-($AF$141+$AG$141)/($AF$136+$AG$136)</f>
        <v>0.248082484015026</v>
      </c>
      <c r="AO132" s="254">
        <f>IFERROR(AO141/AO136,"")</f>
        <v>0.249017205124398</v>
      </c>
      <c r="AP132" s="255" t="n">
        <v>0.225</v>
      </c>
      <c r="AQ132" s="255" t="n">
        <v>0.225</v>
      </c>
      <c r="AR132" s="255" t="n">
        <v>0.225</v>
      </c>
      <c r="AS132" s="255" t="n">
        <v>0.225</v>
      </c>
      <c r="AT132" s="19" t="inlineStr">
        <is>
          <t>Splits gross profit vs SG&amp;A only (operating income is driven by the adjusted EBITDA build).</t>
        </is>
      </c>
      <c r="AV132" s="20">
        <f>IFERROR(AVERAGE(AO132,AP132,AQ132,AR132,AS132),"n/m")</f>
        <v>0.22980344102488</v>
      </c>
      <c r="AW132" s="20">
        <f>IFERROR(AVERAGE(K132,P132,U132,Z132,AE132,AJ132),"n/m")</f>
        <v>0.214896130248649</v>
      </c>
      <c r="AX132" s="20">
        <f>IFERROR(AVERAGE(F132,G132,H132,I132,J132,K132,P132,U132,Z132,AE132,AJ132),"n/m")</f>
        <v>0.217086123856193</v>
      </c>
      <c r="AY132" s="20">
        <f>IFERROR(AVERAGE(C132,D132,E132,F132,G132,H132,I132,J132,K132,P132,U132,Z132,AE132,AJ132),"n/m")</f>
        <v>0.217086123856193</v>
      </c>
    </row>
    <row r="133">
      <c r="B133" s="25" t="inlineStr">
        <is>
          <t xml:space="preserve">  Stock-based compensation % of net sales</t>
        </is>
      </c>
      <c r="C133" s="36" t="n"/>
      <c r="D133" s="36" t="n"/>
      <c r="E133" s="36" t="n"/>
      <c r="F133" s="36" t="n"/>
      <c r="G133" s="36" t="n"/>
      <c r="H133" s="36" t="n"/>
      <c r="I133" s="36" t="n"/>
      <c r="J133" s="36">
        <f>IF(AND(ISNUMBER(J254),ISNUMBER(J136)),IFERROR(J254/J136,""),"")</f>
        <v>0.0026145669876539</v>
      </c>
      <c r="K133" s="36">
        <f>IF(AND(ISNUMBER(K254),ISNUMBER(K136)),IFERROR(K254/K136,""),"")</f>
        <v>0.00330039603726843</v>
      </c>
      <c r="L133" s="36">
        <f>IF(AND(ISNUMBER(L254),ISNUMBER(L136)),IFERROR(L254/L136,""),"")</f>
        <v>0.00279162442266531</v>
      </c>
      <c r="M133" s="36">
        <f>IF(AND(ISNUMBER(M254),ISNUMBER(M136)),IFERROR(M254/M136,""),"")</f>
        <v>0.00264050402982515</v>
      </c>
      <c r="N133" s="36">
        <f>IF(AND(ISNUMBER(N254),ISNUMBER(N136)),IFERROR(N254/N136,""),"")</f>
        <v>0.00280872917381776</v>
      </c>
      <c r="O133" s="36">
        <f>IF(AND(ISNUMBER(O254),ISNUMBER(O136)),IFERROR(O254/O136,""),"")</f>
        <v>0.00210824795943705</v>
      </c>
      <c r="P133" s="36">
        <f>IF(AND(ISNUMBER(P254),ISNUMBER(P136)),IFERROR(P254/P136,""),"")</f>
        <v>0.00258101449066457</v>
      </c>
      <c r="Q133" s="36">
        <f>IF(AND(ISNUMBER(Q254),ISNUMBER(Q136)),IFERROR(Q254/Q136,""),"")</f>
        <v>0.00266703297212117</v>
      </c>
      <c r="R133" s="36">
        <f>IF(AND(ISNUMBER(R254),ISNUMBER(R136)),IFERROR(R254/R136,""),"")</f>
        <v>0.00548567176414183</v>
      </c>
      <c r="S133" s="36">
        <f>IF(AND(ISNUMBER(S254),ISNUMBER(S136)),IFERROR(S254/S136,""),"")</f>
        <v>0.00673421843889305</v>
      </c>
      <c r="T133" s="36">
        <f>IF(AND(ISNUMBER(T254),ISNUMBER(T136)),IFERROR(T254/T136,""),"")</f>
        <v>0.00516768630096352</v>
      </c>
      <c r="U133" s="36">
        <f>IF(AND(ISNUMBER(U254),ISNUMBER(U136)),IFERROR(U254/U136,""),"")</f>
        <v>0.00499868902015824</v>
      </c>
      <c r="V133" s="36">
        <f>IF(AND(ISNUMBER(V254),ISNUMBER(V136)),IFERROR(V254/V136,""),"")</f>
        <v>0.00437719298245614</v>
      </c>
      <c r="W133" s="36">
        <f>IF(AND(ISNUMBER(W254),ISNUMBER(W136)),IFERROR(W254/W136,""),"")</f>
        <v>0.00620192054101624</v>
      </c>
      <c r="X133" s="36">
        <f>IF(AND(ISNUMBER(X254),ISNUMBER(X136)),IFERROR(X254/X136,""),"")</f>
        <v>0.00541559715475568</v>
      </c>
      <c r="Y133" s="36">
        <f>IF(AND(ISNUMBER(Y254),ISNUMBER(Y136)),IFERROR(Y254/Y136,""),"")</f>
        <v>0.00721261249760643</v>
      </c>
      <c r="Z133" s="36">
        <f>IF(AND(ISNUMBER(Z254),ISNUMBER(Z136)),IFERROR(Z254/Z136,""),"")</f>
        <v>0.0058102196725778</v>
      </c>
      <c r="AA133" s="36">
        <f>IF(AND(ISNUMBER(AA254),ISNUMBER(AA136)),IFERROR(AA254/AA136,""),"")</f>
        <v>0.00599207822032522</v>
      </c>
      <c r="AB133" s="36">
        <f>IF(AND(ISNUMBER(AB254),ISNUMBER(AB136)),IFERROR(AB254/AB136,""),"")</f>
        <v>0.00813658947773363</v>
      </c>
      <c r="AC133" s="36">
        <f>IF(AND(ISNUMBER(AC254),ISNUMBER(AC136)),IFERROR(AC254/AC136,""),"")</f>
        <v>0.0068132194578537</v>
      </c>
      <c r="AD133" s="36">
        <f>IF(AND(ISNUMBER(AD254),ISNUMBER(AD136)),IFERROR(AD254/AD136,""),"")</f>
        <v>0.0079119679883594</v>
      </c>
      <c r="AE133" s="36">
        <f>IF(AND(ISNUMBER(AE254),ISNUMBER(AE136)),IFERROR(AE254/AE136,""),"")</f>
        <v>0.00721686308720474</v>
      </c>
      <c r="AF133" s="36">
        <f>IF(AND(ISNUMBER(AF254),ISNUMBER(AF136)),IFERROR(AF254/AF136,""),"")</f>
        <v>0.0079054705679375</v>
      </c>
      <c r="AG133" s="36">
        <f>IF(AND(ISNUMBER(AG254),ISNUMBER(AG136)),IFERROR(AG254/AG136,""),"")</f>
        <v>0.00634305310612561</v>
      </c>
      <c r="AH133" s="36">
        <f>IF(AND(ISNUMBER(AH254),ISNUMBER(AH136)),IFERROR(AH254/AH136,""),"")</f>
        <v>0.00362989372737327</v>
      </c>
      <c r="AI133" s="36">
        <f>IF(AND(ISNUMBER(AI254),ISNUMBER(AI136)),IFERROR(AI254/AI136,""),"")</f>
        <v>0.006095818781502</v>
      </c>
      <c r="AJ133" s="36">
        <f>IF(AND(ISNUMBER(AJ254),ISNUMBER(AJ136)),IFERROR(AJ254/AJ136,""),"")</f>
        <v>0.00595837195762263</v>
      </c>
      <c r="AK133" s="36">
        <f>IF(AND(ISNUMBER(AK254),ISNUMBER(AK136)),IFERROR(AK254/AK136,""),"")</f>
        <v>0.00529508568301643</v>
      </c>
      <c r="AL133" s="36">
        <f>IF(AND(ISNUMBER(AL254),ISNUMBER(AL136)),IFERROR(AL254/AL136,""),"")</f>
        <v>0.0079665489142884</v>
      </c>
      <c r="AM133" s="254">
        <f>($AK$254+$AL$254)/($AK$136+$AL$136)</f>
        <v>0.00668416146029163</v>
      </c>
      <c r="AN133" s="254">
        <f>($AK$254+$AL$254)/($AK$136+$AL$136)</f>
        <v>0.00668416146029163</v>
      </c>
      <c r="AO133" s="254">
        <f>IFERROR(AO163/AO136,"")</f>
        <v>0.00919771131794902</v>
      </c>
      <c r="AP133" s="255" t="n">
        <v>0.0065</v>
      </c>
      <c r="AQ133" s="255" t="n">
        <v>0.0065</v>
      </c>
      <c r="AR133" s="255" t="n">
        <v>0.0065</v>
      </c>
      <c r="AS133" s="255" t="n">
        <v>0.0065</v>
      </c>
      <c r="AT133" s="19" t="n"/>
    </row>
    <row r="134">
      <c r="AT134" s="19" t="n"/>
    </row>
    <row r="135">
      <c r="B135" s="10" t="inlineStr">
        <is>
          <t>CONSOLIDATED STATEMENT OF OPERATIONS (US GAAP; continuing operations as reported)</t>
        </is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inlineStr">
        <is>
          <t>CONSOLIDATED IS — forecast logic</t>
        </is>
      </c>
    </row>
    <row r="136">
      <c r="B136" s="55" t="inlineStr">
        <is>
          <t>Net sales</t>
        </is>
      </c>
      <c r="C136" s="56" t="n"/>
      <c r="D136" s="56" t="n"/>
      <c r="E136" s="56" t="n"/>
      <c r="F136" s="56" t="n"/>
      <c r="G136" s="56" t="n"/>
      <c r="H136" s="56" t="n"/>
      <c r="I136" s="56" t="n"/>
      <c r="J136" s="58" t="n">
        <v>2247.026</v>
      </c>
      <c r="K136" s="58" t="n">
        <v>1950.069</v>
      </c>
      <c r="L136" s="58" t="n">
        <v>568.128</v>
      </c>
      <c r="M136" s="58" t="n">
        <v>629.804</v>
      </c>
      <c r="N136" s="58" t="n">
        <v>605.968</v>
      </c>
      <c r="O136" s="58" t="n">
        <v>624.215</v>
      </c>
      <c r="P136" s="58" t="n">
        <v>2428.115</v>
      </c>
      <c r="Q136" s="58" t="n">
        <v>647.9109999999999</v>
      </c>
      <c r="R136" s="58" t="n">
        <v>661.177</v>
      </c>
      <c r="S136" s="58" t="n">
        <v>620.265</v>
      </c>
      <c r="T136" s="58" t="n">
        <v>664.127</v>
      </c>
      <c r="U136" s="58" t="n">
        <v>2593.48</v>
      </c>
      <c r="V136" s="58" t="n">
        <v>684</v>
      </c>
      <c r="W136" s="58" t="n">
        <v>720.422</v>
      </c>
      <c r="X136" s="58" t="n">
        <v>680.996</v>
      </c>
      <c r="Y136" s="58" t="n">
        <v>689.348</v>
      </c>
      <c r="Z136" s="58" t="n">
        <v>2774.766</v>
      </c>
      <c r="AA136" s="58" t="n">
        <v>689.744</v>
      </c>
      <c r="AB136" s="58" t="n">
        <v>707.053</v>
      </c>
      <c r="AC136" s="58" t="n">
        <v>673.25</v>
      </c>
      <c r="AD136" s="58" t="n">
        <v>670.756</v>
      </c>
      <c r="AE136" s="58" t="n">
        <v>2740.803</v>
      </c>
      <c r="AF136" s="58" t="n">
        <v>678.138</v>
      </c>
      <c r="AG136" s="58" t="n">
        <v>715.586</v>
      </c>
      <c r="AH136" s="58" t="n">
        <v>727.845</v>
      </c>
      <c r="AI136" s="58" t="n">
        <v>720.986</v>
      </c>
      <c r="AJ136" s="58" t="n">
        <v>2842.555</v>
      </c>
      <c r="AK136" s="58" t="n">
        <v>745.597</v>
      </c>
      <c r="AL136" s="58" t="n">
        <v>807.627</v>
      </c>
      <c r="AM136" s="56">
        <f>AM104</f>
        <v>828.097730008964</v>
      </c>
      <c r="AN136" s="56">
        <f>AN104</f>
        <v>801.515769991037</v>
      </c>
      <c r="AO136" s="56">
        <f>AO104</f>
        <v>3182.8135</v>
      </c>
      <c r="AP136" s="56">
        <f>AP104</f>
        <v>3421.81491299061</v>
      </c>
      <c r="AQ136" s="56">
        <f>AQ104</f>
        <v>3588.89013690974</v>
      </c>
      <c r="AR136" s="56">
        <f>AR104</f>
        <v>3808.09544481233</v>
      </c>
      <c r="AS136" s="56">
        <f>AS104</f>
        <v>4049.26622608483</v>
      </c>
      <c r="AT136" s="19" t="inlineStr">
        <is>
          <t>Forecast linked to the segment build.</t>
        </is>
      </c>
      <c r="AV136" s="20">
        <f>IFERROR((AS136/AJ136)^(1/5)-1,"n/m")</f>
        <v>0.073330550376431</v>
      </c>
      <c r="AW136" s="20">
        <f>IFERROR((AJ136/K136)^(1/5)-1,"n/m")</f>
        <v>0.078280570184994</v>
      </c>
      <c r="AX136" s="20" t="str">
        <f>IFERROR((AJ136/F136)^(1/10)-1,"n/m")</f>
        <v>n/m</v>
      </c>
      <c r="AY136" s="20" t="str">
        <f>IFERROR((AJ136/C136)^(1/13)-1,"n/m")</f>
        <v>n/m</v>
      </c>
    </row>
    <row r="137">
      <c r="B137" s="22" t="inlineStr">
        <is>
          <t xml:space="preserve">  Net sales y/y %</t>
        </is>
      </c>
      <c r="C137" s="23" t="n"/>
      <c r="D137" s="23">
        <f>IF(AND(ISNUMBER(D136),ISNUMBER(C136)),IFERROR(D136/C136-1,""),"")</f>
      </c>
      <c r="E137" s="23">
        <f>IF(AND(ISNUMBER(E136),ISNUMBER(D136)),IFERROR(E136/D136-1,""),"")</f>
      </c>
      <c r="F137" s="23">
        <f>IF(AND(ISNUMBER(F136),ISNUMBER(E136)),IFERROR(F136/E136-1,""),"")</f>
      </c>
      <c r="G137" s="23">
        <f>IF(AND(ISNUMBER(G136),ISNUMBER(F136)),IFERROR(G136/F136-1,""),"")</f>
      </c>
      <c r="H137" s="23">
        <f>IF(AND(ISNUMBER(H136),ISNUMBER(G136)),IFERROR(H136/G136-1,""),"")</f>
      </c>
      <c r="I137" s="23">
        <f>IF(AND(ISNUMBER(I136),ISNUMBER(H136)),IFERROR(I136/H136-1,""),"")</f>
      </c>
      <c r="J137" s="23">
        <f>IF(AND(ISNUMBER(J136),ISNUMBER(I136)),IFERROR(J136/I136-1,""),"")</f>
      </c>
      <c r="K137" s="23">
        <f>IF(AND(ISNUMBER(K136),ISNUMBER(J136)),IFERROR(K136/J136-1,""),"")</f>
        <v>-0.132155569183445</v>
      </c>
      <c r="L137" s="23" t="n"/>
      <c r="M137" s="23" t="n"/>
      <c r="N137" s="23" t="n"/>
      <c r="O137" s="23" t="n"/>
      <c r="P137" s="23">
        <f>IF(AND(ISNUMBER(P136),ISNUMBER(K136)),IFERROR(P136/K136-1,""),"")</f>
        <v>0.245143120576759</v>
      </c>
      <c r="Q137" s="23">
        <f>IF(AND(ISNUMBER(Q136),ISNUMBER(L136)),IFERROR(Q136/L136-1,""),"")</f>
        <v>0.140431381660471</v>
      </c>
      <c r="R137" s="23">
        <f>IF(AND(ISNUMBER(R136),ISNUMBER(M136)),IFERROR(R136/M136-1,""),"")</f>
        <v>0.0498139103594135</v>
      </c>
      <c r="S137" s="23">
        <f>IF(AND(ISNUMBER(S136),ISNUMBER(N136)),IFERROR(S136/N136-1,""),"")</f>
        <v>0.0235936551105009</v>
      </c>
      <c r="T137" s="23">
        <f>IF(AND(ISNUMBER(T136),ISNUMBER(O136)),IFERROR(T136/O136-1,""),"")</f>
        <v>0.0639395080220755</v>
      </c>
      <c r="U137" s="23">
        <f>IF(AND(ISNUMBER(U136),ISNUMBER(P136)),IFERROR(U136/P136-1,""),"")</f>
        <v>0.0681042701848966</v>
      </c>
      <c r="V137" s="23">
        <f>IF(AND(ISNUMBER(V136),ISNUMBER(Q136)),IFERROR(V136/Q136-1,""),"")</f>
        <v>0.0557005514646303</v>
      </c>
      <c r="W137" s="23">
        <f>IF(AND(ISNUMBER(W136),ISNUMBER(R136)),IFERROR(W136/R136-1,""),"")</f>
        <v>0.089605355298203</v>
      </c>
      <c r="X137" s="23">
        <f>IF(AND(ISNUMBER(X136),ISNUMBER(S136)),IFERROR(X136/S136-1,""),"")</f>
        <v>0.0979113765890385</v>
      </c>
      <c r="Y137" s="23">
        <f>IF(AND(ISNUMBER(Y136),ISNUMBER(T136)),IFERROR(Y136/T136-1,""),"")</f>
        <v>0.0379761702204549</v>
      </c>
      <c r="Z137" s="23">
        <f>IF(AND(ISNUMBER(Z136),ISNUMBER(U136)),IFERROR(Z136/U136-1,""),"")</f>
        <v>0.0699006739978716</v>
      </c>
      <c r="AA137" s="23">
        <f>IF(AND(ISNUMBER(AA136),ISNUMBER(V136)),IFERROR(AA136/V136-1,""),"")</f>
        <v>0.00839766081871352</v>
      </c>
      <c r="AB137" s="23">
        <f>IF(AND(ISNUMBER(AB136),ISNUMBER(W136)),IFERROR(AB136/W136-1,""),"")</f>
        <v>-0.0185571789867606</v>
      </c>
      <c r="AC137" s="23">
        <f>IF(AND(ISNUMBER(AC136),ISNUMBER(X136)),IFERROR(AC136/X136-1,""),"")</f>
        <v>-0.0113745161498746</v>
      </c>
      <c r="AD137" s="23">
        <f>IF(AND(ISNUMBER(AD136),ISNUMBER(Y136)),IFERROR(AD136/Y136-1,""),"")</f>
        <v>-0.0269704126217817</v>
      </c>
      <c r="AE137" s="23">
        <f>IF(AND(ISNUMBER(AE136),ISNUMBER(Z136)),IFERROR(AE136/Z136-1,""),"")</f>
        <v>-0.0122399510445206</v>
      </c>
      <c r="AF137" s="23">
        <f>IF(AND(ISNUMBER(AF136),ISNUMBER(AA136)),IFERROR(AF136/AA136-1,""),"")</f>
        <v>-0.0168265327425827</v>
      </c>
      <c r="AG137" s="23">
        <f>IF(AND(ISNUMBER(AG136),ISNUMBER(AB136)),IFERROR(AG136/AB136-1,""),"")</f>
        <v>0.012068402227273</v>
      </c>
      <c r="AH137" s="23">
        <f>IF(AND(ISNUMBER(AH136),ISNUMBER(AC136)),IFERROR(AH136/AC136-1,""),"")</f>
        <v>0.0810917192721872</v>
      </c>
      <c r="AI137" s="23">
        <f>IF(AND(ISNUMBER(AI136),ISNUMBER(AD136)),IFERROR(AI136/AD136-1,""),"")</f>
        <v>0.0748856514142251</v>
      </c>
      <c r="AJ137" s="23">
        <f>IF(AND(ISNUMBER(AJ136),ISNUMBER(AE136)),IFERROR(AJ136/AE136-1,""),"")</f>
        <v>0.0371248863927833</v>
      </c>
      <c r="AK137" s="23">
        <f>IF(AND(ISNUMBER(AK136),ISNUMBER(AF136)),IFERROR(AK136/AF136-1,""),"")</f>
        <v>0.0994768026566864</v>
      </c>
      <c r="AL137" s="23">
        <f>IF(AND(ISNUMBER(AL136),ISNUMBER(AG136)),IFERROR(AL136/AG136-1,""),"")</f>
        <v>0.128623254228003</v>
      </c>
      <c r="AM137" s="254">
        <f>IFERROR(AM136/AH136-1,"")</f>
        <v>0.137739120292045</v>
      </c>
      <c r="AN137" s="254">
        <f>IFERROR(AN136/AI136-1,"")</f>
        <v>0.111693944114084</v>
      </c>
      <c r="AO137" s="254">
        <f>IFERROR(AO136/AJ136-1,"")</f>
        <v>0.11970164165689</v>
      </c>
      <c r="AP137" s="254">
        <f>IFERROR(AP136/AO136-1,"")</f>
        <v>0.0750912401843871</v>
      </c>
      <c r="AQ137" s="254">
        <f>IFERROR(AQ136/AP136-1,"")</f>
        <v>0.0488264935911189</v>
      </c>
      <c r="AR137" s="254">
        <f>IFERROR(AR136/AQ136-1,"")</f>
        <v>0.0610788571230372</v>
      </c>
      <c r="AS137" s="254">
        <f>IFERROR(AS136/AR136-1,"")</f>
        <v>0.0633310758009074</v>
      </c>
      <c r="AT137" s="19" t="n"/>
    </row>
    <row r="138">
      <c r="B138" s="25" t="inlineStr">
        <is>
          <t>Cost of sales</t>
        </is>
      </c>
      <c r="C138" s="34" t="n"/>
      <c r="D138" s="34" t="n"/>
      <c r="E138" s="34" t="n"/>
      <c r="F138" s="34" t="n"/>
      <c r="G138" s="34" t="n"/>
      <c r="H138" s="34" t="n"/>
      <c r="I138" s="34" t="n"/>
      <c r="J138" s="34" t="n">
        <v>1450.582</v>
      </c>
      <c r="K138" s="34" t="n">
        <v>1267.604</v>
      </c>
      <c r="L138" s="34" t="n">
        <v>368.333</v>
      </c>
      <c r="M138" s="34" t="n">
        <v>411.413</v>
      </c>
      <c r="N138" s="34" t="n">
        <v>398.973</v>
      </c>
      <c r="O138" s="34" t="n">
        <v>411.414</v>
      </c>
      <c r="P138" s="34" t="n">
        <v>1590.132</v>
      </c>
      <c r="Q138" s="34" t="n">
        <v>423.58</v>
      </c>
      <c r="R138" s="34" t="n">
        <v>433.705</v>
      </c>
      <c r="S138" s="34" t="n">
        <v>410.927</v>
      </c>
      <c r="T138" s="34" t="n">
        <v>439.738</v>
      </c>
      <c r="U138" s="34" t="n">
        <v>1707.95</v>
      </c>
      <c r="V138" s="34" t="n">
        <v>436.611</v>
      </c>
      <c r="W138" s="34" t="n">
        <v>456.499</v>
      </c>
      <c r="X138" s="34" t="n">
        <v>431.282</v>
      </c>
      <c r="Y138" s="34" t="n">
        <v>434.623</v>
      </c>
      <c r="Z138" s="34" t="n">
        <v>1759.015</v>
      </c>
      <c r="AA138" s="34" t="n">
        <v>434.717</v>
      </c>
      <c r="AB138" s="34" t="n">
        <v>436.738</v>
      </c>
      <c r="AC138" s="34" t="n">
        <v>419.46</v>
      </c>
      <c r="AD138" s="34" t="n">
        <v>412.433</v>
      </c>
      <c r="AE138" s="34" t="n">
        <v>1703.348</v>
      </c>
      <c r="AF138" s="34" t="n">
        <v>422.936</v>
      </c>
      <c r="AG138" s="34" t="n">
        <v>449.539</v>
      </c>
      <c r="AH138" s="34" t="n">
        <v>458.545</v>
      </c>
      <c r="AI138" s="34" t="n">
        <v>463.193</v>
      </c>
      <c r="AJ138" s="34" t="n">
        <v>1794.213</v>
      </c>
      <c r="AK138" s="34" t="n">
        <v>470.485</v>
      </c>
      <c r="AL138" s="34" t="n">
        <v>500.416</v>
      </c>
      <c r="AM138" s="257">
        <f>AM136-AM139</f>
        <v>509.601035533344</v>
      </c>
      <c r="AN138" s="257">
        <f>AN136-AN139</f>
        <v>485.199375141167</v>
      </c>
      <c r="AO138" s="257">
        <f>AO136-AO139</f>
        <v>1965.67741067451</v>
      </c>
      <c r="AP138" s="257">
        <f>AP136-AP139</f>
        <v>2129.91921267083</v>
      </c>
      <c r="AQ138" s="257">
        <f>AQ136-AQ139</f>
        <v>2187.78678683905</v>
      </c>
      <c r="AR138" s="257">
        <f>AR136-AR139</f>
        <v>2298.61374504712</v>
      </c>
      <c r="AS138" s="257">
        <f>AS136-AS139</f>
        <v>2429.94691429079</v>
      </c>
      <c r="AT138" s="19" t="n"/>
    </row>
    <row r="139">
      <c r="B139" s="16" t="inlineStr">
        <is>
          <t>Gross profit</t>
        </is>
      </c>
      <c r="C139" s="43">
        <f>C136-C138</f>
        <v>0</v>
      </c>
      <c r="D139" s="43">
        <f>D136-D138</f>
        <v>0</v>
      </c>
      <c r="E139" s="43">
        <f>E136-E138</f>
        <v>0</v>
      </c>
      <c r="F139" s="43">
        <f>F136-F138</f>
        <v>0</v>
      </c>
      <c r="G139" s="43">
        <f>G136-G138</f>
        <v>0</v>
      </c>
      <c r="H139" s="43">
        <f>H136-H138</f>
        <v>0</v>
      </c>
      <c r="I139" s="43">
        <f>I136-I138</f>
        <v>0</v>
      </c>
      <c r="J139" s="43">
        <f>J136-J138</f>
        <v>796.444</v>
      </c>
      <c r="K139" s="43">
        <f>K136-K138</f>
        <v>682.465</v>
      </c>
      <c r="L139" s="43">
        <f>L136-L138</f>
        <v>199.795</v>
      </c>
      <c r="M139" s="43">
        <f>M136-M138</f>
        <v>218.391</v>
      </c>
      <c r="N139" s="43">
        <f>N136-N138</f>
        <v>206.995</v>
      </c>
      <c r="O139" s="43">
        <f>O136-O138</f>
        <v>212.801</v>
      </c>
      <c r="P139" s="43">
        <f>P136-P138</f>
        <v>837.983</v>
      </c>
      <c r="Q139" s="43">
        <f>Q136-Q138</f>
        <v>224.331</v>
      </c>
      <c r="R139" s="43">
        <f>R136-R138</f>
        <v>227.472</v>
      </c>
      <c r="S139" s="43">
        <f>S136-S138</f>
        <v>209.338</v>
      </c>
      <c r="T139" s="43">
        <f>T136-T138</f>
        <v>224.389</v>
      </c>
      <c r="U139" s="43">
        <f>U136-U138</f>
        <v>885.53</v>
      </c>
      <c r="V139" s="43">
        <f>V136-V138</f>
        <v>247.389</v>
      </c>
      <c r="W139" s="43">
        <f>W136-W138</f>
        <v>263.923</v>
      </c>
      <c r="X139" s="43">
        <f>X136-X138</f>
        <v>249.714</v>
      </c>
      <c r="Y139" s="43">
        <f>Y136-Y138</f>
        <v>254.725</v>
      </c>
      <c r="Z139" s="43">
        <f>Z136-Z138</f>
        <v>1015.751</v>
      </c>
      <c r="AA139" s="43">
        <f>AA136-AA138</f>
        <v>255.027</v>
      </c>
      <c r="AB139" s="43">
        <f>AB136-AB138</f>
        <v>270.315</v>
      </c>
      <c r="AC139" s="43">
        <f>AC136-AC138</f>
        <v>253.79</v>
      </c>
      <c r="AD139" s="43">
        <f>AD136-AD138</f>
        <v>258.323</v>
      </c>
      <c r="AE139" s="43">
        <f>AE136-AE138</f>
        <v>1037.455</v>
      </c>
      <c r="AF139" s="43">
        <f>AF136-AF138</f>
        <v>255.202</v>
      </c>
      <c r="AG139" s="43">
        <f>AG136-AG138</f>
        <v>266.047</v>
      </c>
      <c r="AH139" s="43">
        <f>AH136-AH138</f>
        <v>269.3</v>
      </c>
      <c r="AI139" s="43">
        <f>AI136-AI138</f>
        <v>257.793</v>
      </c>
      <c r="AJ139" s="43">
        <f>AJ136-AJ138</f>
        <v>1048.342</v>
      </c>
      <c r="AK139" s="43">
        <f>AK136-AK138</f>
        <v>275.112</v>
      </c>
      <c r="AL139" s="43">
        <f>AL136-AL138</f>
        <v>307.211</v>
      </c>
      <c r="AM139" s="253">
        <f>AM144+AM141+AM142+AM143</f>
        <v>318.49669447562</v>
      </c>
      <c r="AN139" s="253">
        <f>AN144+AN141+AN142+AN143</f>
        <v>316.31639484987</v>
      </c>
      <c r="AO139" s="253">
        <f>AO144+AO141+AO142+AO143</f>
        <v>1217.13608932549</v>
      </c>
      <c r="AP139" s="253">
        <f>AP144+AP141+AP142+AP143</f>
        <v>1291.89570031978</v>
      </c>
      <c r="AQ139" s="253">
        <f>AQ144+AQ141+AQ142+AQ143</f>
        <v>1401.1033500707</v>
      </c>
      <c r="AR139" s="253">
        <f>AR144+AR141+AR142+AR143</f>
        <v>1509.48169976521</v>
      </c>
      <c r="AS139" s="253">
        <f>AS144+AS141+AS142+AS143</f>
        <v>1619.31931179404</v>
      </c>
      <c r="AT139" s="19" t="inlineStr">
        <is>
          <t>Forecast = operating income + SG&amp;A + restructuring + other operating items (backed out of the adjusted EBITDA build).</t>
        </is>
      </c>
      <c r="AV139" s="20">
        <f>IFERROR((AS139/AJ139)^(1/5)-1,"n/m")</f>
        <v>0.0908521752049976</v>
      </c>
      <c r="AW139" s="20">
        <f>IFERROR((AJ139/K139)^(1/5)-1,"n/m")</f>
        <v>0.0896437203720313</v>
      </c>
      <c r="AX139" s="20" t="str">
        <f>IFERROR((AJ139/F139)^(1/10)-1,"n/m")</f>
        <v>n/m</v>
      </c>
      <c r="AY139" s="20" t="str">
        <f>IFERROR((AJ139/C139)^(1/13)-1,"n/m")</f>
        <v>n/m</v>
      </c>
    </row>
    <row r="140">
      <c r="B140" s="25" t="inlineStr">
        <is>
          <t xml:space="preserve">  Gross margin %</t>
        </is>
      </c>
      <c r="C140" s="36">
        <f>IF(AND(ISNUMBER(C139),ISNUMBER(C136)),IFERROR(C139/C136,""),"")</f>
      </c>
      <c r="D140" s="36">
        <f>IF(AND(ISNUMBER(D139),ISNUMBER(D136)),IFERROR(D139/D136,""),"")</f>
      </c>
      <c r="E140" s="36">
        <f>IF(AND(ISNUMBER(E139),ISNUMBER(E136)),IFERROR(E139/E136,""),"")</f>
      </c>
      <c r="F140" s="36">
        <f>IF(AND(ISNUMBER(F139),ISNUMBER(F136)),IFERROR(F139/F136,""),"")</f>
      </c>
      <c r="G140" s="36">
        <f>IF(AND(ISNUMBER(G139),ISNUMBER(G136)),IFERROR(G139/G136,""),"")</f>
      </c>
      <c r="H140" s="36">
        <f>IF(AND(ISNUMBER(H139),ISNUMBER(H136)),IFERROR(H139/H136,""),"")</f>
      </c>
      <c r="I140" s="36">
        <f>IF(AND(ISNUMBER(I139),ISNUMBER(I136)),IFERROR(I139/I136,""),"")</f>
      </c>
      <c r="J140" s="36">
        <f>IF(AND(ISNUMBER(J139),ISNUMBER(J136)),IFERROR(J139/J136,""),"")</f>
        <v>0.354443606794047</v>
      </c>
      <c r="K140" s="36">
        <f>IF(AND(ISNUMBER(K139),ISNUMBER(K136)),IFERROR(K139/K136,""),"")</f>
        <v>0.349969667739962</v>
      </c>
      <c r="L140" s="36">
        <f>IF(AND(ISNUMBER(L139),ISNUMBER(L136)),IFERROR(L139/L136,""),"")</f>
        <v>0.351672510420187</v>
      </c>
      <c r="M140" s="36">
        <f>IF(AND(ISNUMBER(M139),ISNUMBER(M136)),IFERROR(M139/M136,""),"")</f>
        <v>0.346760261922757</v>
      </c>
      <c r="N140" s="36">
        <f>IF(AND(ISNUMBER(N139),ISNUMBER(N136)),IFERROR(N139/N136,""),"")</f>
        <v>0.341593945554881</v>
      </c>
      <c r="O140" s="36">
        <f>IF(AND(ISNUMBER(O139),ISNUMBER(O136)),IFERROR(O139/O136,""),"")</f>
        <v>0.340909782687055</v>
      </c>
      <c r="P140" s="36">
        <f>IF(AND(ISNUMBER(P139),ISNUMBER(P136)),IFERROR(P139/P136,""),"")</f>
        <v>0.345116685165241</v>
      </c>
      <c r="Q140" s="36">
        <f>IF(AND(ISNUMBER(Q139),ISNUMBER(Q136)),IFERROR(Q139/Q136,""),"")</f>
        <v>0.346237369021363</v>
      </c>
      <c r="R140" s="36">
        <f>IF(AND(ISNUMBER(R139),ISNUMBER(R136)),IFERROR(R139/R136,""),"")</f>
        <v>0.344041005661117</v>
      </c>
      <c r="S140" s="36">
        <f>IF(AND(ISNUMBER(S139),ISNUMBER(S136)),IFERROR(S139/S136,""),"")</f>
        <v>0.337497682442182</v>
      </c>
      <c r="T140" s="36">
        <f>IF(AND(ISNUMBER(T139),ISNUMBER(T136)),IFERROR(T139/T136,""),"")</f>
        <v>0.337870618119727</v>
      </c>
      <c r="U140" s="36">
        <f>IF(AND(ISNUMBER(U139),ISNUMBER(U136)),IFERROR(U139/U136,""),"")</f>
        <v>0.341444699785616</v>
      </c>
      <c r="V140" s="36">
        <f>IF(AND(ISNUMBER(V139),ISNUMBER(V136)),IFERROR(V139/V136,""),"")</f>
        <v>0.361679824561404</v>
      </c>
      <c r="W140" s="36">
        <f>IF(AND(ISNUMBER(W139),ISNUMBER(W136)),IFERROR(W139/W136,""),"")</f>
        <v>0.366345003345262</v>
      </c>
      <c r="X140" s="36">
        <f>IF(AND(ISNUMBER(X139),ISNUMBER(X136)),IFERROR(X139/X136,""),"")</f>
        <v>0.366689378498552</v>
      </c>
      <c r="Y140" s="36">
        <f>IF(AND(ISNUMBER(Y139),ISNUMBER(Y136)),IFERROR(Y139/Y136,""),"")</f>
        <v>0.369515832351729</v>
      </c>
      <c r="Z140" s="36">
        <f>IF(AND(ISNUMBER(Z139),ISNUMBER(Z136)),IFERROR(Z139/Z136,""),"")</f>
        <v>0.366067264771156</v>
      </c>
      <c r="AA140" s="36">
        <f>IF(AND(ISNUMBER(AA139),ISNUMBER(AA136)),IFERROR(AA139/AA136,""),"")</f>
        <v>0.369741527291285</v>
      </c>
      <c r="AB140" s="36">
        <f>IF(AND(ISNUMBER(AB139),ISNUMBER(AB136)),IFERROR(AB139/AB136,""),"")</f>
        <v>0.382312217047378</v>
      </c>
      <c r="AC140" s="36">
        <f>IF(AND(ISNUMBER(AC139),ISNUMBER(AC136)),IFERROR(AC139/AC136,""),"")</f>
        <v>0.376962495358337</v>
      </c>
      <c r="AD140" s="36">
        <f>IF(AND(ISNUMBER(AD139),ISNUMBER(AD136)),IFERROR(AD139/AD136,""),"")</f>
        <v>0.385122160666472</v>
      </c>
      <c r="AE140" s="36">
        <f>IF(AND(ISNUMBER(AE139),ISNUMBER(AE136)),IFERROR(AE139/AE136,""),"")</f>
        <v>0.378522279784428</v>
      </c>
      <c r="AF140" s="36">
        <f>IF(AND(ISNUMBER(AF139),ISNUMBER(AF136)),IFERROR(AF139/AF136,""),"")</f>
        <v>0.376327532154222</v>
      </c>
      <c r="AG140" s="36">
        <f>IF(AND(ISNUMBER(AG139),ISNUMBER(AG136)),IFERROR(AG139/AG136,""),"")</f>
        <v>0.371788995312932</v>
      </c>
      <c r="AH140" s="36">
        <f>IF(AND(ISNUMBER(AH139),ISNUMBER(AH136)),IFERROR(AH139/AH136,""),"")</f>
        <v>0.369996359114921</v>
      </c>
      <c r="AI140" s="36">
        <f>IF(AND(ISNUMBER(AI139),ISNUMBER(AI136)),IFERROR(AI139/AI136,""),"")</f>
        <v>0.357556180009043</v>
      </c>
      <c r="AJ140" s="36">
        <f>IF(AND(ISNUMBER(AJ139),ISNUMBER(AJ136)),IFERROR(AJ139/AJ136,""),"")</f>
        <v>0.368802714459351</v>
      </c>
      <c r="AK140" s="36">
        <f>IF(AND(ISNUMBER(AK139),ISNUMBER(AK136)),IFERROR(AK139/AK136,""),"")</f>
        <v>0.368982171333844</v>
      </c>
      <c r="AL140" s="36">
        <f>IF(AND(ISNUMBER(AL139),ISNUMBER(AL136)),IFERROR(AL139/AL136,""),"")</f>
        <v>0.380387233215333</v>
      </c>
      <c r="AM140" s="254">
        <f>IFERROR(AM139/AM136,"")</f>
        <v>0.384612447219451</v>
      </c>
      <c r="AN140" s="254">
        <f>IFERROR(AN139/AN136,"")</f>
        <v>0.394647749542604</v>
      </c>
      <c r="AO140" s="254">
        <f>IFERROR(AO139/AO136,"")</f>
        <v>0.382408862261483</v>
      </c>
      <c r="AP140" s="254">
        <f>IFERROR(AP139/AP136,"")</f>
        <v>0.377546925584786</v>
      </c>
      <c r="AQ140" s="254">
        <f>IFERROR(AQ139/AQ136,"")</f>
        <v>0.390400178501183</v>
      </c>
      <c r="AR140" s="254">
        <f>IFERROR(AR139/AR136,"")</f>
        <v>0.396387570017852</v>
      </c>
      <c r="AS140" s="254">
        <f>IFERROR(AS139/AS136,"")</f>
        <v>0.399904383012064</v>
      </c>
      <c r="AT140" s="19" t="n"/>
      <c r="AV140" s="20">
        <f>IFERROR(AVERAGE(AO140,AP140,AQ140,AR140,AS140),"n/m")</f>
        <v>0.389329583875474</v>
      </c>
      <c r="AW140" s="20">
        <f>IFERROR(AVERAGE(K140,P140,U140,Z140,AE140,AJ140),"n/m")</f>
        <v>0.358320551950959</v>
      </c>
      <c r="AX140" s="20">
        <f>IFERROR(AVERAGE(F140,G140,H140,I140,J140,K140,P140,U140,Z140,AE140,AJ140),"n/m")</f>
        <v>0.357766702642829</v>
      </c>
      <c r="AY140" s="20">
        <f>IFERROR(AVERAGE(C140,D140,E140,F140,G140,H140,I140,J140,K140,P140,U140,Z140,AE140,AJ140),"n/m")</f>
        <v>0.357766702642829</v>
      </c>
    </row>
    <row r="141">
      <c r="B141" s="25" t="inlineStr">
        <is>
          <t>Selling, general &amp; administrative expense</t>
        </is>
      </c>
      <c r="C141" s="34" t="n"/>
      <c r="D141" s="34" t="n"/>
      <c r="E141" s="34" t="n"/>
      <c r="F141" s="34" t="n"/>
      <c r="G141" s="34" t="n"/>
      <c r="H141" s="34" t="n"/>
      <c r="I141" s="34" t="n"/>
      <c r="J141" s="34" t="n">
        <v>517.324</v>
      </c>
      <c r="K141" s="34" t="n">
        <v>458.706</v>
      </c>
      <c r="L141" s="34" t="n">
        <v>124.419</v>
      </c>
      <c r="M141" s="34" t="n">
        <v>132.702</v>
      </c>
      <c r="N141" s="34" t="n">
        <v>124.104</v>
      </c>
      <c r="O141" s="34" t="n">
        <v>131.591</v>
      </c>
      <c r="P141" s="34" t="n">
        <v>512.8150000000001</v>
      </c>
      <c r="Q141" s="34" t="n">
        <v>135.413</v>
      </c>
      <c r="R141" s="34" t="n">
        <v>136.945</v>
      </c>
      <c r="S141" s="34" t="n">
        <v>121.668</v>
      </c>
      <c r="T141" s="34" t="n">
        <v>139.343</v>
      </c>
      <c r="U141" s="34" t="n">
        <v>533.369</v>
      </c>
      <c r="V141" s="34" t="n">
        <v>147.282</v>
      </c>
      <c r="W141" s="34" t="n">
        <v>150.115</v>
      </c>
      <c r="X141" s="34" t="n">
        <v>145.439</v>
      </c>
      <c r="Y141" s="34" t="n">
        <v>144.639</v>
      </c>
      <c r="Z141" s="34" t="n">
        <v>587.475</v>
      </c>
      <c r="AA141" s="34" t="n">
        <v>142.45</v>
      </c>
      <c r="AB141" s="34" t="n">
        <v>146.187</v>
      </c>
      <c r="AC141" s="34" t="n">
        <v>145.9</v>
      </c>
      <c r="AD141" s="34" t="n">
        <v>145.241</v>
      </c>
      <c r="AE141" s="34" t="n">
        <v>579.778</v>
      </c>
      <c r="AF141" s="34" t="n">
        <v>140.858</v>
      </c>
      <c r="AG141" s="34" t="n">
        <v>155.563</v>
      </c>
      <c r="AH141" s="34" t="n">
        <v>158.335</v>
      </c>
      <c r="AI141" s="34" t="n">
        <v>153.66</v>
      </c>
      <c r="AJ141" s="34" t="n">
        <v>608.4160000000001</v>
      </c>
      <c r="AK141" s="34" t="n">
        <v>174.472</v>
      </c>
      <c r="AL141" s="34" t="n">
        <v>210.169</v>
      </c>
      <c r="AM141" s="257">
        <f>AM136*AM132</f>
        <v>209.09229900561</v>
      </c>
      <c r="AN141" s="257">
        <f>AN136*AN132</f>
        <v>198.842023196592</v>
      </c>
      <c r="AO141" s="257">
        <f>SUM(AK141,AL141,AM141,AN141)</f>
        <v>792.575322202202</v>
      </c>
      <c r="AP141" s="257">
        <f>AP136*AP132</f>
        <v>769.908355422887</v>
      </c>
      <c r="AQ141" s="257">
        <f>AQ136*AQ132</f>
        <v>807.500280804692</v>
      </c>
      <c r="AR141" s="257">
        <f>AR136*AR132</f>
        <v>856.821475082774</v>
      </c>
      <c r="AS141" s="257">
        <f>AS136*AS132</f>
        <v>911.084900869086</v>
      </c>
      <c r="AT141" s="19" t="n"/>
    </row>
    <row r="142">
      <c r="B142" s="25" t="inlineStr">
        <is>
          <t>Restructuring and other related charges</t>
        </is>
      </c>
      <c r="C142" s="34" t="n"/>
      <c r="D142" s="34" t="n"/>
      <c r="E142" s="34" t="n"/>
      <c r="F142" s="34" t="n"/>
      <c r="G142" s="34" t="n"/>
      <c r="H142" s="34" t="n"/>
      <c r="I142" s="34" t="n"/>
      <c r="J142" s="34" t="n">
        <v>23.04</v>
      </c>
      <c r="K142" s="34" t="n">
        <v>21.633</v>
      </c>
      <c r="L142" s="34" t="n">
        <v>3.075</v>
      </c>
      <c r="M142" s="34" t="n">
        <v>3.489</v>
      </c>
      <c r="N142" s="34" t="n">
        <v>4.227</v>
      </c>
      <c r="O142" s="34" t="n">
        <v>8.162000000000001</v>
      </c>
      <c r="P142" s="34" t="n">
        <v>18.954</v>
      </c>
      <c r="Q142" s="34" t="n">
        <v>5.304</v>
      </c>
      <c r="R142" s="34" t="n">
        <v>4.649</v>
      </c>
      <c r="S142" s="34" t="n">
        <v>6.676</v>
      </c>
      <c r="T142" s="34" t="n">
        <v>6.467</v>
      </c>
      <c r="U142" s="34" t="n">
        <v>23.096</v>
      </c>
      <c r="V142" s="34" t="n">
        <v>9.444000000000001</v>
      </c>
      <c r="W142" s="34" t="n">
        <v>5.169</v>
      </c>
      <c r="X142" s="34" t="n">
        <v>3.129</v>
      </c>
      <c r="Y142" s="34" t="n">
        <v>6.368</v>
      </c>
      <c r="Z142" s="34" t="n">
        <v>24.11</v>
      </c>
      <c r="AA142" s="34" t="n">
        <v>1.924</v>
      </c>
      <c r="AB142" s="34" t="n">
        <v>4.773</v>
      </c>
      <c r="AC142" s="34" t="n">
        <v>1.875</v>
      </c>
      <c r="AD142" s="34" t="n">
        <v>1.655</v>
      </c>
      <c r="AE142" s="34" t="n">
        <v>10.227</v>
      </c>
      <c r="AF142" s="34" t="n">
        <v>4.499</v>
      </c>
      <c r="AG142" s="34" t="n">
        <v>1.39</v>
      </c>
      <c r="AH142" s="34" t="n">
        <v>4.347</v>
      </c>
      <c r="AI142" s="34" t="n">
        <v>17.52</v>
      </c>
      <c r="AJ142" s="34" t="n">
        <v>27.756</v>
      </c>
      <c r="AK142" s="34" t="n">
        <v>10.161</v>
      </c>
      <c r="AL142" s="34" t="n">
        <v>18.317</v>
      </c>
      <c r="AM142" s="258" t="n">
        <v>8</v>
      </c>
      <c r="AN142" s="258" t="n">
        <v>8</v>
      </c>
      <c r="AO142" s="257">
        <f>SUM(AK142,AL142,AM142,AN142)</f>
        <v>44.478</v>
      </c>
      <c r="AP142" s="258" t="n">
        <v>20</v>
      </c>
      <c r="AQ142" s="258" t="n">
        <v>15</v>
      </c>
      <c r="AR142" s="258" t="n">
        <v>15</v>
      </c>
      <c r="AS142" s="258" t="n">
        <v>15</v>
      </c>
      <c r="AT142" s="19" t="inlineStr">
        <is>
          <t>Q3/Q4-26E $8m per quarter (Americas margin initiatives, EWM integration; 1H/26 $28.5m). 2027E $20m, then $15m p.a.</t>
        </is>
      </c>
    </row>
    <row r="143">
      <c r="B143" s="25" t="inlineStr">
        <is>
          <t>Other operating items (charge = +)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>
        <v>0</v>
      </c>
      <c r="K143" s="34" t="n">
        <v>0</v>
      </c>
      <c r="L143" s="34" t="n">
        <v>0</v>
      </c>
      <c r="M143" s="34" t="n">
        <v>0</v>
      </c>
      <c r="N143" s="34" t="n">
        <v>0</v>
      </c>
      <c r="O143" s="34" t="n">
        <v>0</v>
      </c>
      <c r="P143" s="34" t="n">
        <v>0</v>
      </c>
      <c r="Q143" s="34" t="n">
        <v>0</v>
      </c>
      <c r="R143" s="34" t="n">
        <v>0</v>
      </c>
      <c r="S143" s="34" t="n">
        <v>0</v>
      </c>
      <c r="T143" s="34" t="n">
        <v>0</v>
      </c>
      <c r="U143" s="34" t="n">
        <v>0</v>
      </c>
      <c r="V143" s="34" t="n">
        <v>0</v>
      </c>
      <c r="W143" s="34" t="n">
        <v>0</v>
      </c>
      <c r="X143" s="34" t="n">
        <v>0</v>
      </c>
      <c r="Y143" s="34" t="n">
        <v>0</v>
      </c>
      <c r="Z143" s="34" t="n">
        <v>0</v>
      </c>
      <c r="AA143" s="34" t="n">
        <v>0</v>
      </c>
      <c r="AB143" s="34" t="n">
        <v>0</v>
      </c>
      <c r="AC143" s="34" t="n">
        <v>0</v>
      </c>
      <c r="AD143" s="34" t="n">
        <v>0</v>
      </c>
      <c r="AE143" s="34" t="n">
        <v>0</v>
      </c>
      <c r="AF143" s="34" t="n">
        <v>0</v>
      </c>
      <c r="AG143" s="34" t="n">
        <v>0</v>
      </c>
      <c r="AH143" s="34" t="n">
        <v>0</v>
      </c>
      <c r="AI143" s="34" t="n">
        <v>0</v>
      </c>
      <c r="AJ143" s="34" t="n">
        <v>0</v>
      </c>
      <c r="AK143" s="34" t="n">
        <v>0</v>
      </c>
      <c r="AL143" s="34" t="n">
        <v>0</v>
      </c>
      <c r="AM143" s="258" t="n">
        <v>0</v>
      </c>
      <c r="AN143" s="258" t="n">
        <v>0</v>
      </c>
      <c r="AO143" s="258" t="n">
        <v>0</v>
      </c>
      <c r="AP143" s="258" t="n">
        <v>0</v>
      </c>
      <c r="AQ143" s="258" t="n">
        <v>0</v>
      </c>
      <c r="AR143" s="258" t="n">
        <v>0</v>
      </c>
      <c r="AS143" s="258" t="n">
        <v>0</v>
      </c>
      <c r="AT143" s="19" t="n"/>
    </row>
    <row r="144">
      <c r="B144" s="55" t="inlineStr">
        <is>
          <t>Operating income</t>
        </is>
      </c>
      <c r="C144" s="56">
        <f>C139-C141-C142-C143</f>
        <v>0</v>
      </c>
      <c r="D144" s="56">
        <f>D139-D141-D142-D143</f>
        <v>0</v>
      </c>
      <c r="E144" s="56">
        <f>E139-E141-E142-E143</f>
        <v>0</v>
      </c>
      <c r="F144" s="56">
        <f>F139-F141-F142-F143</f>
        <v>0</v>
      </c>
      <c r="G144" s="56">
        <f>G139-G141-G142-G143</f>
        <v>0</v>
      </c>
      <c r="H144" s="56">
        <f>H139-H141-H142-H143</f>
        <v>0</v>
      </c>
      <c r="I144" s="56">
        <f>I139-I141-I142-I143</f>
        <v>0</v>
      </c>
      <c r="J144" s="56">
        <f>J139-J141-J142-J143</f>
        <v>256.08</v>
      </c>
      <c r="K144" s="56">
        <f>K139-K141-K142-K143</f>
        <v>202.126</v>
      </c>
      <c r="L144" s="56">
        <f>L139-L141-L142-L143</f>
        <v>72.301</v>
      </c>
      <c r="M144" s="56">
        <f>M139-M141-M142-M143</f>
        <v>82.2</v>
      </c>
      <c r="N144" s="56">
        <f>N139-N141-N142-N143</f>
        <v>78.6639999999999</v>
      </c>
      <c r="O144" s="56">
        <f>O139-O141-O142-O143</f>
        <v>73.048</v>
      </c>
      <c r="P144" s="56">
        <f>P139-P141-P142-P143</f>
        <v>306.214</v>
      </c>
      <c r="Q144" s="56">
        <f>Q139-Q141-Q142-Q143</f>
        <v>83.614</v>
      </c>
      <c r="R144" s="56">
        <f>R139-R141-R142-R143</f>
        <v>85.878</v>
      </c>
      <c r="S144" s="56">
        <f>S139-S141-S142-S143</f>
        <v>80.994</v>
      </c>
      <c r="T144" s="56">
        <f>T139-T141-T142-T143</f>
        <v>78.579</v>
      </c>
      <c r="U144" s="56">
        <f>U139-U141-U142-U143</f>
        <v>329.065</v>
      </c>
      <c r="V144" s="56">
        <f>V139-V141-V142-V143</f>
        <v>90.663</v>
      </c>
      <c r="W144" s="56">
        <f>W139-W141-W142-W143</f>
        <v>108.639</v>
      </c>
      <c r="X144" s="56">
        <f>X139-X141-X142-X143</f>
        <v>101.146</v>
      </c>
      <c r="Y144" s="56">
        <f>Y139-Y141-Y142-Y143</f>
        <v>103.718</v>
      </c>
      <c r="Z144" s="56">
        <f>Z139-Z141-Z142-Z143</f>
        <v>404.166</v>
      </c>
      <c r="AA144" s="56">
        <f>AA139-AA141-AA142-AA143</f>
        <v>110.653</v>
      </c>
      <c r="AB144" s="56">
        <f>AB139-AB141-AB142-AB143</f>
        <v>119.355</v>
      </c>
      <c r="AC144" s="56">
        <f>AC139-AC141-AC142-AC143</f>
        <v>106.015</v>
      </c>
      <c r="AD144" s="56">
        <f>AD139-AD141-AD142-AD143</f>
        <v>111.427</v>
      </c>
      <c r="AE144" s="56">
        <f>AE139-AE141-AE142-AE143</f>
        <v>447.45</v>
      </c>
      <c r="AF144" s="56">
        <f>AF139-AF141-AF142-AF143</f>
        <v>109.845</v>
      </c>
      <c r="AG144" s="56">
        <f>AG139-AG141-AG142-AG143</f>
        <v>109.094</v>
      </c>
      <c r="AH144" s="56">
        <f>AH139-AH141-AH142-AH143</f>
        <v>106.618</v>
      </c>
      <c r="AI144" s="56">
        <f>AI139-AI141-AI142-AI143</f>
        <v>86.613</v>
      </c>
      <c r="AJ144" s="56">
        <f>AJ139-AJ141-AJ142-AJ143</f>
        <v>412.17</v>
      </c>
      <c r="AK144" s="56">
        <f>AK139-AK141-AK142-AK143</f>
        <v>90.479</v>
      </c>
      <c r="AL144" s="56">
        <f>AL139-AL141-AL142-AL143</f>
        <v>78.7249999999999</v>
      </c>
      <c r="AM144" s="56">
        <f>AM105-AM127-AM129-AM130-AM131-AM142</f>
        <v>101.40439547001</v>
      </c>
      <c r="AN144" s="56">
        <f>AN105-AN127-AN129-AN130-AN131-AN142</f>
        <v>109.474371653278</v>
      </c>
      <c r="AO144" s="56">
        <f>SUM(AK144,AL144,AM144,AN144)</f>
        <v>380.082767123288</v>
      </c>
      <c r="AP144" s="56">
        <f>AP105-AP127-AP129-AP130-AP131-AP142</f>
        <v>501.987344896891</v>
      </c>
      <c r="AQ144" s="56">
        <f>AQ105-AQ127-AQ129-AQ130-AQ131-AQ142</f>
        <v>578.603069266005</v>
      </c>
      <c r="AR144" s="56">
        <f>AR105-AR127-AR129-AR130-AR131-AR142</f>
        <v>637.660224682437</v>
      </c>
      <c r="AS144" s="56">
        <f>AS105-AS127-AS129-AS130-AS131-AS142</f>
        <v>693.234410924954</v>
      </c>
      <c r="AT144" s="19" t="inlineStr">
        <is>
          <t>Forecast = adjusted EBITDA − depreciation &amp; other amortization − acquired-intangible amortization &amp; step-up − transaction costs − performance options − restructuring.</t>
        </is>
      </c>
      <c r="AV144" s="20">
        <f>IFERROR((AS144/AJ144)^(1/5)-1,"n/m")</f>
        <v>0.109585433622116</v>
      </c>
      <c r="AW144" s="20">
        <f>IFERROR((AJ144/K144)^(1/5)-1,"n/m")</f>
        <v>0.153163371807208</v>
      </c>
      <c r="AX144" s="20" t="str">
        <f>IFERROR((AJ144/F144)^(1/10)-1,"n/m")</f>
        <v>n/m</v>
      </c>
      <c r="AY144" s="20" t="str">
        <f>IFERROR((AJ144/C144)^(1/13)-1,"n/m")</f>
        <v>n/m</v>
      </c>
    </row>
    <row r="145">
      <c r="B145" s="57" t="inlineStr">
        <is>
          <t xml:space="preserve">  Check: operating income vs reported (should be 0)</t>
        </is>
      </c>
      <c r="C145" s="44">
        <f>IF(ISNUMBER(C146),ROUND(C144-C146,1),"")</f>
      </c>
      <c r="D145" s="44">
        <f>IF(ISNUMBER(D146),ROUND(D144-D146,1),"")</f>
      </c>
      <c r="E145" s="44">
        <f>IF(ISNUMBER(E146),ROUND(E144-E146,1),"")</f>
      </c>
      <c r="F145" s="44">
        <f>IF(ISNUMBER(F146),ROUND(F144-F146,1),"")</f>
      </c>
      <c r="G145" s="44">
        <f>IF(ISNUMBER(G146),ROUND(G144-G146,1),"")</f>
      </c>
      <c r="H145" s="44">
        <f>IF(ISNUMBER(H146),ROUND(H144-H146,1),"")</f>
      </c>
      <c r="I145" s="44">
        <f>IF(ISNUMBER(I146),ROUND(I144-I146,1),"")</f>
      </c>
      <c r="J145" s="44">
        <f>IF(ISNUMBER(J146),ROUND(J144-J146,1),"")</f>
        <v>0</v>
      </c>
      <c r="K145" s="44">
        <f>IF(ISNUMBER(K146),ROUND(K144-K146,1),"")</f>
        <v>0</v>
      </c>
      <c r="L145" s="44">
        <f>IF(ISNUMBER(L146),ROUND(L144-L146,1),"")</f>
        <v>0</v>
      </c>
      <c r="M145" s="44">
        <f>IF(ISNUMBER(M146),ROUND(M144-M146,1),"")</f>
        <v>0</v>
      </c>
      <c r="N145" s="44">
        <f>IF(ISNUMBER(N146),ROUND(N144-N146,1),"")</f>
        <v>0</v>
      </c>
      <c r="O145" s="44">
        <f>IF(ISNUMBER(O146),ROUND(O144-O146,1),"")</f>
        <v>0</v>
      </c>
      <c r="P145" s="44">
        <f>IF(ISNUMBER(P146),ROUND(P144-P146,1),"")</f>
        <v>0</v>
      </c>
      <c r="Q145" s="44">
        <f>IF(ISNUMBER(Q146),ROUND(Q144-Q146,1),"")</f>
        <v>0</v>
      </c>
      <c r="R145" s="44">
        <f>IF(ISNUMBER(R146),ROUND(R144-R146,1),"")</f>
        <v>0</v>
      </c>
      <c r="S145" s="44">
        <f>IF(ISNUMBER(S146),ROUND(S144-S146,1),"")</f>
        <v>0</v>
      </c>
      <c r="T145" s="44">
        <f>IF(ISNUMBER(T146),ROUND(T144-T146,1),"")</f>
        <v>0</v>
      </c>
      <c r="U145" s="44">
        <f>IF(ISNUMBER(U146),ROUND(U144-U146,1),"")</f>
        <v>0</v>
      </c>
      <c r="V145" s="44">
        <f>IF(ISNUMBER(V146),ROUND(V144-V146,1),"")</f>
        <v>0</v>
      </c>
      <c r="W145" s="44">
        <f>IF(ISNUMBER(W146),ROUND(W144-W146,1),"")</f>
        <v>0</v>
      </c>
      <c r="X145" s="44">
        <f>IF(ISNUMBER(X146),ROUND(X144-X146,1),"")</f>
        <v>0</v>
      </c>
      <c r="Y145" s="44">
        <f>IF(ISNUMBER(Y146),ROUND(Y144-Y146,1),"")</f>
        <v>0</v>
      </c>
      <c r="Z145" s="44">
        <f>IF(ISNUMBER(Z146),ROUND(Z144-Z146,1),"")</f>
        <v>0</v>
      </c>
      <c r="AA145" s="44">
        <f>IF(ISNUMBER(AA146),ROUND(AA144-AA146,1),"")</f>
        <v>0</v>
      </c>
      <c r="AB145" s="44">
        <f>IF(ISNUMBER(AB146),ROUND(AB144-AB146,1),"")</f>
        <v>0</v>
      </c>
      <c r="AC145" s="44">
        <f>IF(ISNUMBER(AC146),ROUND(AC144-AC146,1),"")</f>
        <v>0</v>
      </c>
      <c r="AD145" s="44">
        <f>IF(ISNUMBER(AD146),ROUND(AD144-AD146,1),"")</f>
        <v>0</v>
      </c>
      <c r="AE145" s="44">
        <f>IF(ISNUMBER(AE146),ROUND(AE144-AE146,1),"")</f>
        <v>0</v>
      </c>
      <c r="AF145" s="44">
        <f>IF(ISNUMBER(AF146),ROUND(AF144-AF146,1),"")</f>
        <v>0</v>
      </c>
      <c r="AG145" s="44">
        <f>IF(ISNUMBER(AG146),ROUND(AG144-AG146,1),"")</f>
        <v>0</v>
      </c>
      <c r="AH145" s="44">
        <f>IF(ISNUMBER(AH146),ROUND(AH144-AH146,1),"")</f>
        <v>0</v>
      </c>
      <c r="AI145" s="44">
        <f>IF(ISNUMBER(AI146),ROUND(AI144-AI146,1),"")</f>
        <v>0</v>
      </c>
      <c r="AJ145" s="44">
        <f>IF(ISNUMBER(AJ146),ROUND(AJ144-AJ146,1),"")</f>
        <v>0</v>
      </c>
      <c r="AK145" s="44">
        <f>IF(ISNUMBER(AK146),ROUND(AK144-AK146,1),"")</f>
        <v>0</v>
      </c>
      <c r="AL145" s="44">
        <f>IF(ISNUMBER(AL146),ROUND(AL144-AL146,1),"")</f>
        <v>0</v>
      </c>
      <c r="AM145" s="269" t="n"/>
      <c r="AN145" s="269" t="n"/>
      <c r="AO145" s="269" t="n"/>
      <c r="AP145" s="269" t="n"/>
      <c r="AQ145" s="269" t="n"/>
      <c r="AR145" s="269" t="n"/>
      <c r="AS145" s="269" t="n"/>
      <c r="AT145" s="19" t="n"/>
    </row>
    <row r="146" outlineLevel="2" s="251">
      <c r="B146" s="156" t="inlineStr">
        <is>
          <t xml:space="preserve">  Memo: operating income as reported</t>
        </is>
      </c>
      <c r="C146" s="34" t="n"/>
      <c r="D146" s="34" t="n"/>
      <c r="E146" s="34" t="n"/>
      <c r="F146" s="34" t="n"/>
      <c r="G146" s="34" t="n"/>
      <c r="H146" s="34" t="n"/>
      <c r="I146" s="34" t="n"/>
      <c r="J146" s="34" t="n">
        <v>256.08</v>
      </c>
      <c r="K146" s="34" t="n">
        <v>202.126</v>
      </c>
      <c r="L146" s="34" t="n">
        <v>72.301</v>
      </c>
      <c r="M146" s="34" t="n">
        <v>82.2</v>
      </c>
      <c r="N146" s="34" t="n">
        <v>78.664</v>
      </c>
      <c r="O146" s="34" t="n">
        <v>73.048</v>
      </c>
      <c r="P146" s="34" t="n">
        <v>306.214</v>
      </c>
      <c r="Q146" s="34" t="n">
        <v>83.614</v>
      </c>
      <c r="R146" s="34" t="n">
        <v>85.878</v>
      </c>
      <c r="S146" s="34" t="n">
        <v>80.994</v>
      </c>
      <c r="T146" s="34" t="n">
        <v>78.57899999999999</v>
      </c>
      <c r="U146" s="34" t="n">
        <v>329.065</v>
      </c>
      <c r="V146" s="34" t="n">
        <v>90.663</v>
      </c>
      <c r="W146" s="34" t="n">
        <v>108.639</v>
      </c>
      <c r="X146" s="34" t="n">
        <v>101.146</v>
      </c>
      <c r="Y146" s="34" t="n">
        <v>103.718</v>
      </c>
      <c r="Z146" s="34" t="n">
        <v>404.166</v>
      </c>
      <c r="AA146" s="34" t="n">
        <v>110.653</v>
      </c>
      <c r="AB146" s="34" t="n">
        <v>119.355</v>
      </c>
      <c r="AC146" s="34" t="n">
        <v>106.015</v>
      </c>
      <c r="AD146" s="34" t="n">
        <v>111.427</v>
      </c>
      <c r="AE146" s="34" t="n">
        <v>447.45</v>
      </c>
      <c r="AF146" s="34" t="n">
        <v>109.845</v>
      </c>
      <c r="AG146" s="34" t="n">
        <v>109.094</v>
      </c>
      <c r="AH146" s="34" t="n">
        <v>106.618</v>
      </c>
      <c r="AI146" s="34" t="n">
        <v>86.613</v>
      </c>
      <c r="AJ146" s="34" t="n">
        <v>412.17</v>
      </c>
      <c r="AK146" s="34" t="n">
        <v>90.479</v>
      </c>
      <c r="AL146" s="34" t="n">
        <v>78.72499999999999</v>
      </c>
      <c r="AM146" s="269" t="n"/>
      <c r="AN146" s="269" t="n"/>
      <c r="AO146" s="269" t="n"/>
      <c r="AP146" s="269" t="n"/>
      <c r="AQ146" s="269" t="n"/>
      <c r="AR146" s="269" t="n"/>
      <c r="AS146" s="269" t="n"/>
      <c r="AT146" s="19" t="n"/>
    </row>
    <row r="147">
      <c r="B147" s="25" t="inlineStr">
        <is>
          <t>Interest expense and other, net (incl. pension &amp; other non-operating)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>
        <v>0.997</v>
      </c>
      <c r="K147" s="34" t="n">
        <v>-3.713</v>
      </c>
      <c r="L147" s="34" t="n">
        <v>-0.225</v>
      </c>
      <c r="M147" s="34" t="n">
        <v>-0.314</v>
      </c>
      <c r="N147" s="34" t="n">
        <v>-0.209</v>
      </c>
      <c r="O147" s="34" t="n">
        <v>-0.919</v>
      </c>
      <c r="P147" s="34" t="n">
        <v>-1.666</v>
      </c>
      <c r="Q147" s="34" t="n">
        <v>-0.556</v>
      </c>
      <c r="R147" s="34" t="n">
        <v>7.907</v>
      </c>
      <c r="S147" s="34" t="n">
        <v>12.165</v>
      </c>
      <c r="T147" s="34" t="n">
        <v>18.434</v>
      </c>
      <c r="U147" s="34" t="n">
        <v>37.95</v>
      </c>
      <c r="V147" s="34" t="n">
        <v>19.51</v>
      </c>
      <c r="W147" s="34" t="n">
        <v>18.819</v>
      </c>
      <c r="X147" s="34" t="n">
        <v>20.502</v>
      </c>
      <c r="Y147" s="34" t="n">
        <v>26.243</v>
      </c>
      <c r="Z147" s="34" t="n">
        <v>85.074</v>
      </c>
      <c r="AA147" s="34" t="n">
        <v>17.091</v>
      </c>
      <c r="AB147" s="34" t="n">
        <v>15.94</v>
      </c>
      <c r="AC147" s="34" t="n">
        <v>16.894</v>
      </c>
      <c r="AD147" s="34" t="n">
        <v>14.965</v>
      </c>
      <c r="AE147" s="34" t="n">
        <v>64.89</v>
      </c>
      <c r="AF147" s="34" t="n">
        <v>16.782</v>
      </c>
      <c r="AG147" s="34" t="n">
        <v>20.999</v>
      </c>
      <c r="AH147" s="34" t="n">
        <v>23.584</v>
      </c>
      <c r="AI147" s="34" t="n">
        <v>22.545</v>
      </c>
      <c r="AJ147" s="34" t="n">
        <v>83.91</v>
      </c>
      <c r="AK147" s="34" t="n">
        <v>25.577</v>
      </c>
      <c r="AL147" s="34" t="n">
        <v>30.623</v>
      </c>
      <c r="AM147" s="258" t="n">
        <v>36</v>
      </c>
      <c r="AN147" s="258" t="n">
        <v>34.5</v>
      </c>
      <c r="AO147" s="257">
        <f>SUM(AK147,AL147,AM147,AN147)</f>
        <v>126.7</v>
      </c>
      <c r="AP147" s="257">
        <f>AO371*AP379+AO373*AP380+AO377*AP381-AO303*AP382+AP364</f>
        <v>127.136940954722</v>
      </c>
      <c r="AQ147" s="257">
        <f>AP371*AQ379+AP373*AQ380+AP377*AQ381-AP303*AQ382+AQ364</f>
        <v>115.262327600374</v>
      </c>
      <c r="AR147" s="257">
        <f>AQ371*AR379+AQ373*AR380+AQ377*AR381-AQ303*AR382+AR364</f>
        <v>112.491873823739</v>
      </c>
      <c r="AS147" s="257">
        <f>AR371*AS379+AR373*AS380+AR377*AS381-AR303*AS382+AS364</f>
        <v>114.83406411057</v>
      </c>
      <c r="AT147" s="19" t="inlineStr">
        <is>
          <t>Q3/26E $36.0m / Q4/26E $34.5m: 2029 notes $700m × 6.25% + 2031 notes $1,000m × 5.625% + TLA $350m and revolver ($360m at 3-Jul) at SOFR + ~1.4%, deferred-fee amortization, net of interest income; revolver paid down in 2H. 2027E+: rates × opening balances + other non-operating.</t>
        </is>
      </c>
    </row>
    <row r="148">
      <c r="B148" s="25" t="inlineStr">
        <is>
          <t>Pension settlement (gain) loss &amp; other non-operating items (below operating income)</t>
        </is>
      </c>
      <c r="C148" s="34" t="n"/>
      <c r="D148" s="34" t="n"/>
      <c r="E148" s="34" t="n"/>
      <c r="F148" s="34" t="n"/>
      <c r="G148" s="34" t="n"/>
      <c r="H148" s="34" t="n"/>
      <c r="I148" s="34" t="n"/>
      <c r="J148" s="34" t="n">
        <v>33.616</v>
      </c>
      <c r="K148" s="34" t="n">
        <v>0</v>
      </c>
      <c r="L148" s="34" t="n">
        <v>0</v>
      </c>
      <c r="M148" s="34" t="n">
        <v>-11.208</v>
      </c>
      <c r="N148" s="34" t="n">
        <v>0</v>
      </c>
      <c r="O148" s="34" t="n">
        <v>0</v>
      </c>
      <c r="P148" s="34" t="n">
        <v>-11.208</v>
      </c>
      <c r="Q148" s="34" t="n">
        <v>0</v>
      </c>
      <c r="R148" s="34" t="n">
        <v>0</v>
      </c>
      <c r="S148" s="34" t="n">
        <v>-3.3</v>
      </c>
      <c r="T148" s="34" t="n">
        <v>-5.836</v>
      </c>
      <c r="U148" s="34" t="n">
        <v>-9.135999999999999</v>
      </c>
      <c r="V148" s="34" t="n">
        <v>0</v>
      </c>
      <c r="W148" s="34" t="n">
        <v>0</v>
      </c>
      <c r="X148" s="34" t="n">
        <v>0</v>
      </c>
      <c r="Y148" s="34" t="n">
        <v>0</v>
      </c>
      <c r="Z148" s="34" t="n">
        <v>0</v>
      </c>
      <c r="AA148" s="34" t="n">
        <v>12.155</v>
      </c>
      <c r="AB148" s="34" t="n">
        <v>0</v>
      </c>
      <c r="AC148" s="34" t="n">
        <v>0</v>
      </c>
      <c r="AD148" s="34" t="n">
        <v>0</v>
      </c>
      <c r="AE148" s="34" t="n">
        <v>12.155</v>
      </c>
      <c r="AF148" s="34" t="n">
        <v>0</v>
      </c>
      <c r="AG148" s="34" t="n">
        <v>0</v>
      </c>
      <c r="AH148" s="34" t="n">
        <v>0</v>
      </c>
      <c r="AI148" s="34" t="n">
        <v>0</v>
      </c>
      <c r="AJ148" s="34" t="n">
        <v>0</v>
      </c>
      <c r="AK148" s="34" t="n">
        <v>0</v>
      </c>
      <c r="AL148" s="34" t="n">
        <v>0</v>
      </c>
      <c r="AM148" s="258" t="n">
        <v>0</v>
      </c>
      <c r="AN148" s="258" t="n">
        <v>0</v>
      </c>
      <c r="AO148" s="258" t="n">
        <v>0</v>
      </c>
      <c r="AP148" s="258" t="n">
        <v>0</v>
      </c>
      <c r="AQ148" s="258" t="n">
        <v>0</v>
      </c>
      <c r="AR148" s="258" t="n">
        <v>0</v>
      </c>
      <c r="AS148" s="258" t="n">
        <v>0</v>
      </c>
      <c r="AT148" s="19" t="n"/>
    </row>
    <row r="149">
      <c r="B149" s="16" t="inlineStr">
        <is>
          <t>Income from continuing operations before income taxes</t>
        </is>
      </c>
      <c r="C149" s="43">
        <f>C144-C147-N(C148)</f>
        <v>0</v>
      </c>
      <c r="D149" s="43">
        <f>D144-D147-N(D148)</f>
        <v>0</v>
      </c>
      <c r="E149" s="43">
        <f>E144-E147-N(E148)</f>
        <v>0</v>
      </c>
      <c r="F149" s="43">
        <f>F144-F147-N(F148)</f>
        <v>0</v>
      </c>
      <c r="G149" s="43">
        <f>G144-G147-N(G148)</f>
        <v>0</v>
      </c>
      <c r="H149" s="43">
        <f>H144-H147-N(H148)</f>
        <v>0</v>
      </c>
      <c r="I149" s="43">
        <f>I144-I147-N(I148)</f>
        <v>0</v>
      </c>
      <c r="J149" s="43">
        <f>J144-J147-N(J148)</f>
        <v>221.467</v>
      </c>
      <c r="K149" s="43">
        <f>K144-K147-N(K148)</f>
        <v>205.839</v>
      </c>
      <c r="L149" s="43">
        <f>L144-L147-N(L148)</f>
        <v>72.526</v>
      </c>
      <c r="M149" s="43">
        <f>M144-M147-N(M148)</f>
        <v>93.722</v>
      </c>
      <c r="N149" s="43">
        <f>N144-N147-N(N148)</f>
        <v>78.873</v>
      </c>
      <c r="O149" s="43">
        <f>O144-O147-N(O148)</f>
        <v>73.967</v>
      </c>
      <c r="P149" s="43">
        <f>P144-P147-N(P148)</f>
        <v>319.088</v>
      </c>
      <c r="Q149" s="43">
        <f>Q144-Q147-N(Q148)</f>
        <v>84.1699999999999</v>
      </c>
      <c r="R149" s="43">
        <f>R144-R147-N(R148)</f>
        <v>77.9710000000001</v>
      </c>
      <c r="S149" s="43">
        <f>S144-S147-N(S148)</f>
        <v>72.129</v>
      </c>
      <c r="T149" s="43">
        <f>T144-T147-N(T148)</f>
        <v>65.981</v>
      </c>
      <c r="U149" s="43">
        <f>U144-U147-N(U148)</f>
        <v>300.251</v>
      </c>
      <c r="V149" s="43">
        <f>V144-V147-N(V148)</f>
        <v>71.153</v>
      </c>
      <c r="W149" s="43">
        <f>W144-W147-N(W148)</f>
        <v>89.82</v>
      </c>
      <c r="X149" s="43">
        <f>X144-X147-N(X148)</f>
        <v>80.644</v>
      </c>
      <c r="Y149" s="43">
        <f>Y144-Y147-N(Y148)</f>
        <v>77.475</v>
      </c>
      <c r="Z149" s="43">
        <f>Z144-Z147-N(Z148)</f>
        <v>319.092</v>
      </c>
      <c r="AA149" s="43">
        <f>AA144-AA147-N(AA148)</f>
        <v>81.407</v>
      </c>
      <c r="AB149" s="43">
        <f>AB144-AB147-N(AB148)</f>
        <v>103.415</v>
      </c>
      <c r="AC149" s="43">
        <f>AC144-AC147-N(AC148)</f>
        <v>89.121</v>
      </c>
      <c r="AD149" s="43">
        <f>AD144-AD147-N(AD148)</f>
        <v>96.462</v>
      </c>
      <c r="AE149" s="43">
        <f>AE144-AE147-N(AE148)</f>
        <v>370.405</v>
      </c>
      <c r="AF149" s="43">
        <f>AF144-AF147-N(AF148)</f>
        <v>93.0630000000001</v>
      </c>
      <c r="AG149" s="43">
        <f>AG144-AG147-N(AG148)</f>
        <v>88.095</v>
      </c>
      <c r="AH149" s="43">
        <f>AH144-AH147-N(AH148)</f>
        <v>83.034</v>
      </c>
      <c r="AI149" s="43">
        <f>AI144-AI147-N(AI148)</f>
        <v>64.068</v>
      </c>
      <c r="AJ149" s="43">
        <f>AJ144-AJ147-N(AJ148)</f>
        <v>328.26</v>
      </c>
      <c r="AK149" s="43">
        <f>AK144-AK147-N(AK148)</f>
        <v>64.902</v>
      </c>
      <c r="AL149" s="43">
        <f>AL144-AL147-N(AL148)</f>
        <v>48.1019999999999</v>
      </c>
      <c r="AM149" s="253">
        <f>AM144-AM147-N(AM148)</f>
        <v>65.4043954700099</v>
      </c>
      <c r="AN149" s="253">
        <f>AN144-AN147-N(AN148)</f>
        <v>74.9743716532777</v>
      </c>
      <c r="AO149" s="253">
        <f>AO144-AO147-N(AO148)</f>
        <v>253.382767123288</v>
      </c>
      <c r="AP149" s="253">
        <f>AP144-AP147-N(AP148)</f>
        <v>374.850403942169</v>
      </c>
      <c r="AQ149" s="253">
        <f>AQ144-AQ147-N(AQ148)</f>
        <v>463.340741665631</v>
      </c>
      <c r="AR149" s="253">
        <f>AR144-AR147-N(AR148)</f>
        <v>525.168350858698</v>
      </c>
      <c r="AS149" s="253">
        <f>AS144-AS147-N(AS148)</f>
        <v>578.400346814384</v>
      </c>
      <c r="AT149" s="19" t="n"/>
      <c r="AV149" s="20">
        <f>IFERROR((AS149/AJ149)^(1/5)-1,"n/m")</f>
        <v>0.119958978873111</v>
      </c>
      <c r="AW149" s="20">
        <f>IFERROR((AJ149/K149)^(1/5)-1,"n/m")</f>
        <v>0.097837497495926</v>
      </c>
      <c r="AX149" s="20" t="str">
        <f>IFERROR((AJ149/F149)^(1/10)-1,"n/m")</f>
        <v>n/m</v>
      </c>
      <c r="AY149" s="20" t="str">
        <f>IFERROR((AJ149/C149)^(1/13)-1,"n/m")</f>
        <v>n/m</v>
      </c>
    </row>
    <row r="150">
      <c r="B150" s="25" t="inlineStr">
        <is>
          <t>Income tax expense</t>
        </is>
      </c>
      <c r="C150" s="34" t="n"/>
      <c r="D150" s="34" t="n"/>
      <c r="E150" s="34" t="n"/>
      <c r="F150" s="34" t="n"/>
      <c r="G150" s="34" t="n"/>
      <c r="H150" s="34" t="n"/>
      <c r="I150" s="34" t="n"/>
      <c r="J150" s="34" t="n">
        <v>44.736</v>
      </c>
      <c r="K150" s="34" t="n">
        <v>45.971</v>
      </c>
      <c r="L150" s="34" t="n">
        <v>13.992</v>
      </c>
      <c r="M150" s="34" t="n">
        <v>15.61</v>
      </c>
      <c r="N150" s="34" t="n">
        <v>17.441</v>
      </c>
      <c r="O150" s="34" t="n">
        <v>33.366</v>
      </c>
      <c r="P150" s="34" t="n">
        <v>80.40900000000001</v>
      </c>
      <c r="Q150" s="34" t="n">
        <v>25.746</v>
      </c>
      <c r="R150" s="34" t="n">
        <v>20.047</v>
      </c>
      <c r="S150" s="34" t="n">
        <v>17.836</v>
      </c>
      <c r="T150" s="34" t="n">
        <v>5.541</v>
      </c>
      <c r="U150" s="34" t="n">
        <v>69.17</v>
      </c>
      <c r="V150" s="34" t="n">
        <v>37.024</v>
      </c>
      <c r="W150" s="34" t="n">
        <v>20.974</v>
      </c>
      <c r="X150" s="34" t="n">
        <v>19.808</v>
      </c>
      <c r="Y150" s="34" t="n">
        <v>17.921</v>
      </c>
      <c r="Z150" s="34" t="n">
        <v>95.727</v>
      </c>
      <c r="AA150" s="34" t="n">
        <v>18.504</v>
      </c>
      <c r="AB150" s="34" t="n">
        <v>17.885</v>
      </c>
      <c r="AC150" s="34" t="n">
        <v>18.074</v>
      </c>
      <c r="AD150" s="34" t="n">
        <v>22.885</v>
      </c>
      <c r="AE150" s="34" t="n">
        <v>77.348</v>
      </c>
      <c r="AF150" s="34" t="n">
        <v>20.499</v>
      </c>
      <c r="AG150" s="34" t="n">
        <v>18.283</v>
      </c>
      <c r="AH150" s="34" t="n">
        <v>17.694</v>
      </c>
      <c r="AI150" s="34" t="n">
        <v>12.681</v>
      </c>
      <c r="AJ150" s="34" t="n">
        <v>69.157</v>
      </c>
      <c r="AK150" s="34" t="n">
        <v>13.111</v>
      </c>
      <c r="AL150" s="34" t="n">
        <v>11.701</v>
      </c>
      <c r="AM150" s="257">
        <f>AM149*AM151</f>
        <v>15.0430109581023</v>
      </c>
      <c r="AN150" s="257">
        <f>AN149*AN151</f>
        <v>17.2441054802539</v>
      </c>
      <c r="AO150" s="257">
        <f>SUM(AK150,AL150,AM150,AN150)</f>
        <v>57.0991164383562</v>
      </c>
      <c r="AP150" s="257">
        <f>AP149*AP151</f>
        <v>88.0898449264096</v>
      </c>
      <c r="AQ150" s="257">
        <f>AQ149*AQ151</f>
        <v>108.885074291423</v>
      </c>
      <c r="AR150" s="257">
        <f>AR149*AR151</f>
        <v>123.414562451794</v>
      </c>
      <c r="AS150" s="257">
        <f>AS149*AS151</f>
        <v>135.92408150138</v>
      </c>
      <c r="AT150" s="19" t="n"/>
    </row>
    <row r="151">
      <c r="B151" s="25" t="inlineStr">
        <is>
          <t xml:space="preserve">  Effective tax rate</t>
        </is>
      </c>
      <c r="C151" s="36">
        <f>IF(AND(ISNUMBER(C150),ISNUMBER(C149)),IFERROR(C150/C149,""),"")</f>
      </c>
      <c r="D151" s="36">
        <f>IF(AND(ISNUMBER(D150),ISNUMBER(D149)),IFERROR(D150/D149,""),"")</f>
      </c>
      <c r="E151" s="36">
        <f>IF(AND(ISNUMBER(E150),ISNUMBER(E149)),IFERROR(E150/E149,""),"")</f>
      </c>
      <c r="F151" s="36">
        <f>IF(AND(ISNUMBER(F150),ISNUMBER(F149)),IFERROR(F150/F149,""),"")</f>
      </c>
      <c r="G151" s="36">
        <f>IF(AND(ISNUMBER(G150),ISNUMBER(G149)),IFERROR(G150/G149,""),"")</f>
      </c>
      <c r="H151" s="36">
        <f>IF(AND(ISNUMBER(H150),ISNUMBER(H149)),IFERROR(H150/H149,""),"")</f>
      </c>
      <c r="I151" s="36">
        <f>IF(AND(ISNUMBER(I150),ISNUMBER(I149)),IFERROR(I150/I149,""),"")</f>
      </c>
      <c r="J151" s="36">
        <f>IF(AND(ISNUMBER(J150),ISNUMBER(J149)),IFERROR(J150/J149,""),"")</f>
        <v>0.201998491874636</v>
      </c>
      <c r="K151" s="36">
        <f>IF(AND(ISNUMBER(K150),ISNUMBER(K149)),IFERROR(K150/K149,""),"")</f>
        <v>0.223334742201429</v>
      </c>
      <c r="L151" s="36">
        <f>IF(AND(ISNUMBER(L150),ISNUMBER(L149)),IFERROR(L150/L149,""),"")</f>
        <v>0.192923916940132</v>
      </c>
      <c r="M151" s="36">
        <f>IF(AND(ISNUMBER(M150),ISNUMBER(M149)),IFERROR(M150/M149,""),"")</f>
        <v>0.166556411514906</v>
      </c>
      <c r="N151" s="36">
        <f>IF(AND(ISNUMBER(N150),ISNUMBER(N149)),IFERROR(N150/N149,""),"")</f>
        <v>0.221127635566037</v>
      </c>
      <c r="O151" s="36">
        <f>IF(AND(ISNUMBER(O150),ISNUMBER(O149)),IFERROR(O150/O149,""),"")</f>
        <v>0.451093055011018</v>
      </c>
      <c r="P151" s="36">
        <f>IF(AND(ISNUMBER(P150),ISNUMBER(P149)),IFERROR(P150/P149,""),"")</f>
        <v>0.251996314496315</v>
      </c>
      <c r="Q151" s="36">
        <f>IF(AND(ISNUMBER(Q150),ISNUMBER(Q149)),IFERROR(Q150/Q149,""),"")</f>
        <v>0.305880955209695</v>
      </c>
      <c r="R151" s="36">
        <f>IF(AND(ISNUMBER(R150),ISNUMBER(R149)),IFERROR(R150/R149,""),"")</f>
        <v>0.257108412101935</v>
      </c>
      <c r="S151" s="36">
        <f>IF(AND(ISNUMBER(S150),ISNUMBER(S149)),IFERROR(S150/S149,""),"")</f>
        <v>0.247279180357415</v>
      </c>
      <c r="T151" s="36">
        <f>IF(AND(ISNUMBER(T150),ISNUMBER(T149)),IFERROR(T150/T149,""),"")</f>
        <v>0.0839787211469969</v>
      </c>
      <c r="U151" s="36">
        <f>IF(AND(ISNUMBER(U150),ISNUMBER(U149)),IFERROR(U150/U149,""),"")</f>
        <v>0.230373920486526</v>
      </c>
      <c r="V151" s="36">
        <f>IF(AND(ISNUMBER(V150),ISNUMBER(V149)),IFERROR(V150/V149,""),"")</f>
        <v>0.52034348516577</v>
      </c>
      <c r="W151" s="36">
        <f>IF(AND(ISNUMBER(W150),ISNUMBER(W149)),IFERROR(W150/W149,""),"")</f>
        <v>0.233511467379203</v>
      </c>
      <c r="X151" s="36">
        <f>IF(AND(ISNUMBER(X150),ISNUMBER(X149)),IFERROR(X150/X149,""),"")</f>
        <v>0.245622736967412</v>
      </c>
      <c r="Y151" s="36">
        <f>IF(AND(ISNUMBER(Y150),ISNUMBER(Y149)),IFERROR(Y150/Y149,""),"")</f>
        <v>0.231313326879639</v>
      </c>
      <c r="Z151" s="36">
        <f>IF(AND(ISNUMBER(Z150),ISNUMBER(Z149)),IFERROR(Z150/Z149,""),"")</f>
        <v>0.299998119664548</v>
      </c>
      <c r="AA151" s="36">
        <f>IF(AND(ISNUMBER(AA150),ISNUMBER(AA149)),IFERROR(AA150/AA149,""),"")</f>
        <v>0.227302320439274</v>
      </c>
      <c r="AB151" s="36">
        <f>IF(AND(ISNUMBER(AB150),ISNUMBER(AB149)),IFERROR(AB150/AB149,""),"")</f>
        <v>0.172943963641638</v>
      </c>
      <c r="AC151" s="36">
        <f>IF(AND(ISNUMBER(AC150),ISNUMBER(AC149)),IFERROR(AC150/AC149,""),"")</f>
        <v>0.202802930846826</v>
      </c>
      <c r="AD151" s="36">
        <f>IF(AND(ISNUMBER(AD150),ISNUMBER(AD149)),IFERROR(AD150/AD149,""),"")</f>
        <v>0.23724368144969</v>
      </c>
      <c r="AE151" s="36">
        <f>IF(AND(ISNUMBER(AE150),ISNUMBER(AE149)),IFERROR(AE150/AE149,""),"")</f>
        <v>0.208820075322957</v>
      </c>
      <c r="AF151" s="36">
        <f>IF(AND(ISNUMBER(AF150),ISNUMBER(AF149)),IFERROR(AF150/AF149,""),"")</f>
        <v>0.220270139582863</v>
      </c>
      <c r="AG151" s="36">
        <f>IF(AND(ISNUMBER(AG150),ISNUMBER(AG149)),IFERROR(AG150/AG149,""),"")</f>
        <v>0.207537317668426</v>
      </c>
      <c r="AH151" s="36">
        <f>IF(AND(ISNUMBER(AH150),ISNUMBER(AH149)),IFERROR(AH150/AH149,""),"")</f>
        <v>0.21309343160633</v>
      </c>
      <c r="AI151" s="36">
        <f>IF(AND(ISNUMBER(AI150),ISNUMBER(AI149)),IFERROR(AI150/AI149,""),"")</f>
        <v>0.197930324030717</v>
      </c>
      <c r="AJ151" s="36">
        <f>IF(AND(ISNUMBER(AJ150),ISNUMBER(AJ149)),IFERROR(AJ150/AJ149,""),"")</f>
        <v>0.210677511728508</v>
      </c>
      <c r="AK151" s="36">
        <f>IF(AND(ISNUMBER(AK150),ISNUMBER(AK149)),IFERROR(AK150/AK149,""),"")</f>
        <v>0.202012264645157</v>
      </c>
      <c r="AL151" s="36">
        <f>IF(AND(ISNUMBER(AL150),ISNUMBER(AL149)),IFERROR(AL150/AL149,""),"")</f>
        <v>0.243253918755977</v>
      </c>
      <c r="AM151" s="254">
        <f>CHOOSE(MATCH($AT$2,{"Bull","Base","Bear"},0),$BC$17,$BD$17,$BE$17)</f>
        <v>0.23</v>
      </c>
      <c r="AN151" s="254">
        <f>CHOOSE(MATCH($AT$2,{"Bull","Base","Bear"},0),$BC$17,$BD$17,$BE$17)</f>
        <v>0.23</v>
      </c>
      <c r="AO151" s="254">
        <f>IFERROR(AO150/AO149,"")</f>
        <v>0.225347276322757</v>
      </c>
      <c r="AP151" s="255" t="n">
        <v>0.235</v>
      </c>
      <c r="AQ151" s="255" t="n">
        <v>0.235</v>
      </c>
      <c r="AR151" s="255" t="n">
        <v>0.235</v>
      </c>
      <c r="AS151" s="255" t="n">
        <v>0.235</v>
      </c>
      <c r="AT151" s="19" t="n"/>
      <c r="AV151" s="20">
        <f>IFERROR(AVERAGE(AO151,AP151,AQ151,AR151,AS151),"n/m")</f>
        <v>0.233069455264551</v>
      </c>
      <c r="AW151" s="20">
        <f>IFERROR(AVERAGE(K151,P151,U151,Z151,AE151,AJ151),"n/m")</f>
        <v>0.237533447316714</v>
      </c>
      <c r="AX151" s="20">
        <f>IFERROR(AVERAGE(F151,G151,H151,I151,J151,K151,P151,U151,Z151,AE151,AJ151),"n/m")</f>
        <v>0.232457025110703</v>
      </c>
      <c r="AY151" s="20">
        <f>IFERROR(AVERAGE(C151,D151,E151,F151,G151,H151,I151,J151,K151,P151,U151,Z151,AE151,AJ151),"n/m")</f>
        <v>0.232457025110703</v>
      </c>
    </row>
    <row r="152">
      <c r="B152" s="16" t="inlineStr">
        <is>
          <t>Net income from continuing operations</t>
        </is>
      </c>
      <c r="C152" s="43">
        <f>C149-C150</f>
        <v>0</v>
      </c>
      <c r="D152" s="43">
        <f>D149-D150</f>
        <v>0</v>
      </c>
      <c r="E152" s="43">
        <f>E149-E150</f>
        <v>0</v>
      </c>
      <c r="F152" s="43">
        <f>F149-F150</f>
        <v>0</v>
      </c>
      <c r="G152" s="43">
        <f>G149-G150</f>
        <v>0</v>
      </c>
      <c r="H152" s="43">
        <f>H149-H150</f>
        <v>0</v>
      </c>
      <c r="I152" s="43">
        <f>I149-I150</f>
        <v>0</v>
      </c>
      <c r="J152" s="43">
        <f>J149-J150</f>
        <v>176.731</v>
      </c>
      <c r="K152" s="43">
        <f>K149-K150</f>
        <v>159.868</v>
      </c>
      <c r="L152" s="43">
        <f>L149-L150</f>
        <v>58.534</v>
      </c>
      <c r="M152" s="43">
        <f>M149-M150</f>
        <v>78.112</v>
      </c>
      <c r="N152" s="43">
        <f>N149-N150</f>
        <v>61.4319999999999</v>
      </c>
      <c r="O152" s="43">
        <f>O149-O150</f>
        <v>40.601</v>
      </c>
      <c r="P152" s="43">
        <f>P149-P150</f>
        <v>238.679</v>
      </c>
      <c r="Q152" s="43">
        <f>Q149-Q150</f>
        <v>58.424</v>
      </c>
      <c r="R152" s="43">
        <f>R149-R150</f>
        <v>57.9240000000001</v>
      </c>
      <c r="S152" s="43">
        <f>S149-S150</f>
        <v>54.293</v>
      </c>
      <c r="T152" s="43">
        <f>T149-T150</f>
        <v>60.44</v>
      </c>
      <c r="U152" s="43">
        <f>U149-U150</f>
        <v>231.081</v>
      </c>
      <c r="V152" s="43">
        <f>V149-V150</f>
        <v>34.129</v>
      </c>
      <c r="W152" s="43">
        <f>W149-W150</f>
        <v>68.846</v>
      </c>
      <c r="X152" s="43">
        <f>X149-X150</f>
        <v>60.836</v>
      </c>
      <c r="Y152" s="43">
        <f>Y149-Y150</f>
        <v>59.554</v>
      </c>
      <c r="Z152" s="43">
        <f>Z149-Z150</f>
        <v>223.365</v>
      </c>
      <c r="AA152" s="43">
        <f>AA149-AA150</f>
        <v>62.903</v>
      </c>
      <c r="AB152" s="43">
        <f>AB149-AB150</f>
        <v>85.53</v>
      </c>
      <c r="AC152" s="43">
        <f>AC149-AC150</f>
        <v>71.047</v>
      </c>
      <c r="AD152" s="43">
        <f>AD149-AD150</f>
        <v>73.577</v>
      </c>
      <c r="AE152" s="43">
        <f>AE149-AE150</f>
        <v>293.057</v>
      </c>
      <c r="AF152" s="43">
        <f>AF149-AF150</f>
        <v>72.5640000000001</v>
      </c>
      <c r="AG152" s="43">
        <f>AG149-AG150</f>
        <v>69.812</v>
      </c>
      <c r="AH152" s="43">
        <f>AH149-AH150</f>
        <v>65.34</v>
      </c>
      <c r="AI152" s="43">
        <f>AI149-AI150</f>
        <v>51.387</v>
      </c>
      <c r="AJ152" s="43">
        <f>AJ149-AJ150</f>
        <v>259.103</v>
      </c>
      <c r="AK152" s="43">
        <f>AK149-AK150</f>
        <v>51.791</v>
      </c>
      <c r="AL152" s="43">
        <f>AL149-AL150</f>
        <v>36.4009999999999</v>
      </c>
      <c r="AM152" s="253">
        <f>AM149-AM150</f>
        <v>50.3613845119076</v>
      </c>
      <c r="AN152" s="253">
        <f>AN149-AN150</f>
        <v>57.7302661730238</v>
      </c>
      <c r="AO152" s="253">
        <f>AO149-AO150</f>
        <v>196.283650684931</v>
      </c>
      <c r="AP152" s="253">
        <f>AP149-AP150</f>
        <v>286.760559015759</v>
      </c>
      <c r="AQ152" s="253">
        <f>AQ149-AQ150</f>
        <v>354.455667374207</v>
      </c>
      <c r="AR152" s="253">
        <f>AR149-AR150</f>
        <v>401.753788406904</v>
      </c>
      <c r="AS152" s="253">
        <f>AS149-AS150</f>
        <v>442.476265313004</v>
      </c>
      <c r="AT152" s="19" t="n"/>
    </row>
    <row r="153">
      <c r="B153" s="25" t="inlineStr">
        <is>
          <t>Income (loss) from discontinued operations, net of taxes (legacy asbestos)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>
        <v>0</v>
      </c>
      <c r="K153" s="34" t="n">
        <v>0</v>
      </c>
      <c r="L153" s="34" t="n">
        <v>0</v>
      </c>
      <c r="M153" s="34" t="n">
        <v>0</v>
      </c>
      <c r="N153" s="34" t="n">
        <v>0</v>
      </c>
      <c r="O153" s="34" t="n">
        <v>0</v>
      </c>
      <c r="P153" s="34" t="n">
        <v>0</v>
      </c>
      <c r="Q153" s="34" t="n">
        <v>-2.021</v>
      </c>
      <c r="R153" s="34" t="n">
        <v>-1.9</v>
      </c>
      <c r="S153" s="34" t="n">
        <v>-0.977</v>
      </c>
      <c r="T153" s="34" t="n">
        <v>1.83</v>
      </c>
      <c r="U153" s="34" t="n">
        <v>-3.068</v>
      </c>
      <c r="V153" s="34" t="n">
        <v>-0.913</v>
      </c>
      <c r="W153" s="34" t="n">
        <v>-1.623</v>
      </c>
      <c r="X153" s="34" t="n">
        <v>-1.723</v>
      </c>
      <c r="Y153" s="34" t="n">
        <v>-8.082000000000001</v>
      </c>
      <c r="Z153" s="34" t="n">
        <v>-12.341</v>
      </c>
      <c r="AA153" s="34" t="n">
        <v>-1.309</v>
      </c>
      <c r="AB153" s="34" t="n">
        <v>-1.161</v>
      </c>
      <c r="AC153" s="34" t="n">
        <v>-1.214</v>
      </c>
      <c r="AD153" s="34" t="n">
        <v>-18.625</v>
      </c>
      <c r="AE153" s="34" t="n">
        <v>-22.309</v>
      </c>
      <c r="AF153" s="34" t="n">
        <v>-2.732</v>
      </c>
      <c r="AG153" s="34" t="n">
        <v>-1.708</v>
      </c>
      <c r="AH153" s="34" t="n">
        <v>-8.819000000000001</v>
      </c>
      <c r="AI153" s="34" t="n">
        <v>-12.612</v>
      </c>
      <c r="AJ153" s="34" t="n">
        <v>-25.871</v>
      </c>
      <c r="AK153" s="34" t="n">
        <v>-2.554</v>
      </c>
      <c r="AL153" s="34" t="n">
        <v>-2.413</v>
      </c>
      <c r="AM153" s="257">
        <f>($AK$153+$AL$153)/2</f>
        <v>-2.4835</v>
      </c>
      <c r="AN153" s="257">
        <f>($AK$153+$AL$153)/2</f>
        <v>-2.4835</v>
      </c>
      <c r="AO153" s="257">
        <f>SUM(AK153,AL153,AM153,AN153)</f>
        <v>-9.934</v>
      </c>
      <c r="AP153" s="258" t="n">
        <v>-12</v>
      </c>
      <c r="AQ153" s="258" t="n">
        <v>-12</v>
      </c>
      <c r="AR153" s="258" t="n">
        <v>-12</v>
      </c>
      <c r="AS153" s="258" t="n">
        <v>-12</v>
      </c>
      <c r="AT153" s="19" t="inlineStr">
        <is>
          <t>Asbestos-related activity of divested Colfax businesses (expected settlements, legal &amp; administrative costs). Q3/Q4-26E: 1H run-rate; 2027E+: input.</t>
        </is>
      </c>
    </row>
    <row r="154">
      <c r="B154" s="16" t="inlineStr">
        <is>
          <t>Net income</t>
        </is>
      </c>
      <c r="C154" s="43">
        <f>C152+C153</f>
        <v>0</v>
      </c>
      <c r="D154" s="43">
        <f>D152+D153</f>
        <v>0</v>
      </c>
      <c r="E154" s="43">
        <f>E152+E153</f>
        <v>0</v>
      </c>
      <c r="F154" s="43">
        <f>F152+F153</f>
        <v>0</v>
      </c>
      <c r="G154" s="43">
        <f>G152+G153</f>
        <v>0</v>
      </c>
      <c r="H154" s="43">
        <f>H152+H153</f>
        <v>0</v>
      </c>
      <c r="I154" s="43">
        <f>I152+I153</f>
        <v>0</v>
      </c>
      <c r="J154" s="43">
        <f>J152+J153</f>
        <v>176.731</v>
      </c>
      <c r="K154" s="43">
        <f>K152+K153</f>
        <v>159.868</v>
      </c>
      <c r="L154" s="43">
        <f>L152+L153</f>
        <v>58.534</v>
      </c>
      <c r="M154" s="43">
        <f>M152+M153</f>
        <v>78.112</v>
      </c>
      <c r="N154" s="43">
        <f>N152+N153</f>
        <v>61.4319999999999</v>
      </c>
      <c r="O154" s="43">
        <f>O152+O153</f>
        <v>40.601</v>
      </c>
      <c r="P154" s="43">
        <f>P152+P153</f>
        <v>238.679</v>
      </c>
      <c r="Q154" s="43">
        <f>Q152+Q153</f>
        <v>56.403</v>
      </c>
      <c r="R154" s="43">
        <f>R152+R153</f>
        <v>56.0240000000001</v>
      </c>
      <c r="S154" s="43">
        <f>S152+S153</f>
        <v>53.316</v>
      </c>
      <c r="T154" s="43">
        <f>T152+T153</f>
        <v>62.27</v>
      </c>
      <c r="U154" s="43">
        <f>U152+U153</f>
        <v>228.013</v>
      </c>
      <c r="V154" s="43">
        <f>V152+V153</f>
        <v>33.216</v>
      </c>
      <c r="W154" s="43">
        <f>W152+W153</f>
        <v>67.223</v>
      </c>
      <c r="X154" s="43">
        <f>X152+X153</f>
        <v>59.113</v>
      </c>
      <c r="Y154" s="43">
        <f>Y152+Y153</f>
        <v>51.472</v>
      </c>
      <c r="Z154" s="43">
        <f>Z152+Z153</f>
        <v>211.024</v>
      </c>
      <c r="AA154" s="43">
        <f>AA152+AA153</f>
        <v>61.594</v>
      </c>
      <c r="AB154" s="43">
        <f>AB152+AB153</f>
        <v>84.369</v>
      </c>
      <c r="AC154" s="43">
        <f>AC152+AC153</f>
        <v>69.833</v>
      </c>
      <c r="AD154" s="43">
        <f>AD152+AD153</f>
        <v>54.952</v>
      </c>
      <c r="AE154" s="43">
        <f>AE152+AE153</f>
        <v>270.748</v>
      </c>
      <c r="AF154" s="43">
        <f>AF152+AF153</f>
        <v>69.8320000000001</v>
      </c>
      <c r="AG154" s="43">
        <f>AG152+AG153</f>
        <v>68.104</v>
      </c>
      <c r="AH154" s="43">
        <f>AH152+AH153</f>
        <v>56.521</v>
      </c>
      <c r="AI154" s="43">
        <f>AI152+AI153</f>
        <v>38.775</v>
      </c>
      <c r="AJ154" s="43">
        <f>AJ152+AJ153</f>
        <v>233.232</v>
      </c>
      <c r="AK154" s="43">
        <f>AK152+AK153</f>
        <v>49.237</v>
      </c>
      <c r="AL154" s="43">
        <f>AL152+AL153</f>
        <v>33.9879999999999</v>
      </c>
      <c r="AM154" s="253">
        <f>AM152+AM153</f>
        <v>47.8778845119076</v>
      </c>
      <c r="AN154" s="253">
        <f>AN152+AN153</f>
        <v>55.2467661730238</v>
      </c>
      <c r="AO154" s="253">
        <f>AO152+AO153</f>
        <v>186.349650684931</v>
      </c>
      <c r="AP154" s="253">
        <f>AP152+AP153</f>
        <v>274.760559015759</v>
      </c>
      <c r="AQ154" s="253">
        <f>AQ152+AQ153</f>
        <v>342.455667374207</v>
      </c>
      <c r="AR154" s="253">
        <f>AR152+AR153</f>
        <v>389.753788406904</v>
      </c>
      <c r="AS154" s="253">
        <f>AS152+AS153</f>
        <v>430.476265313004</v>
      </c>
      <c r="AT154" s="19" t="n"/>
    </row>
    <row r="155">
      <c r="B155" s="25" t="inlineStr">
        <is>
          <t xml:space="preserve">  Less: income attributable to noncontrolling interest</t>
        </is>
      </c>
      <c r="C155" s="34" t="n"/>
      <c r="D155" s="34" t="n"/>
      <c r="E155" s="34" t="n"/>
      <c r="F155" s="34" t="n"/>
      <c r="G155" s="34" t="n"/>
      <c r="H155" s="34" t="n"/>
      <c r="I155" s="34" t="n"/>
      <c r="J155" s="34" t="n">
        <v>3.823</v>
      </c>
      <c r="K155" s="34" t="n">
        <v>2.454</v>
      </c>
      <c r="L155" s="34" t="n">
        <v>0.876</v>
      </c>
      <c r="M155" s="34" t="n">
        <v>0.705</v>
      </c>
      <c r="N155" s="34" t="n">
        <v>0.8179999999999999</v>
      </c>
      <c r="O155" s="34" t="n">
        <v>1.17</v>
      </c>
      <c r="P155" s="34" t="n">
        <v>3.569</v>
      </c>
      <c r="Q155" s="34" t="n">
        <v>0.966</v>
      </c>
      <c r="R155" s="34" t="n">
        <v>0.775</v>
      </c>
      <c r="S155" s="34" t="n">
        <v>0.962</v>
      </c>
      <c r="T155" s="34" t="n">
        <v>1.563</v>
      </c>
      <c r="U155" s="34" t="n">
        <v>4.266</v>
      </c>
      <c r="V155" s="34" t="n">
        <v>1.313</v>
      </c>
      <c r="W155" s="34" t="n">
        <v>1.65</v>
      </c>
      <c r="X155" s="34" t="n">
        <v>1.543</v>
      </c>
      <c r="Y155" s="34" t="n">
        <v>1.233</v>
      </c>
      <c r="Z155" s="34" t="n">
        <v>5.739</v>
      </c>
      <c r="AA155" s="34" t="n">
        <v>1.643</v>
      </c>
      <c r="AB155" s="34" t="n">
        <v>1.462</v>
      </c>
      <c r="AC155" s="34" t="n">
        <v>1.593</v>
      </c>
      <c r="AD155" s="34" t="n">
        <v>1.208</v>
      </c>
      <c r="AE155" s="34" t="n">
        <v>5.906</v>
      </c>
      <c r="AF155" s="34" t="n">
        <v>2.469</v>
      </c>
      <c r="AG155" s="34" t="n">
        <v>1.221</v>
      </c>
      <c r="AH155" s="34" t="n">
        <v>1.674</v>
      </c>
      <c r="AI155" s="34" t="n">
        <v>1.102</v>
      </c>
      <c r="AJ155" s="34" t="n">
        <v>6.466</v>
      </c>
      <c r="AK155" s="34" t="n">
        <v>1.593</v>
      </c>
      <c r="AL155" s="34" t="n">
        <v>1.634</v>
      </c>
      <c r="AM155" s="257">
        <f>($AK$155+$AL$155)/2</f>
        <v>1.6135</v>
      </c>
      <c r="AN155" s="257">
        <f>($AK$155+$AL$155)/2</f>
        <v>1.6135</v>
      </c>
      <c r="AO155" s="257">
        <f>SUM(AK155,AL155,AM155,AN155)</f>
        <v>6.454</v>
      </c>
      <c r="AP155" s="257">
        <f>AO155*(1+AP233)</f>
        <v>6.93863886415003</v>
      </c>
      <c r="AQ155" s="257">
        <f>AP155*(1+AQ233)</f>
        <v>7.27742827018154</v>
      </c>
      <c r="AR155" s="257">
        <f>AQ155*(1+AR233)</f>
        <v>7.72192527171911</v>
      </c>
      <c r="AS155" s="257">
        <f>AR155*(1+AS233)</f>
        <v>8.2109631064313</v>
      </c>
      <c r="AT155" s="19" t="n"/>
    </row>
    <row r="156">
      <c r="B156" s="55" t="inlineStr">
        <is>
          <t>Net income attributable to ESAB Corporation</t>
        </is>
      </c>
      <c r="C156" s="56">
        <f>C154-C155</f>
        <v>0</v>
      </c>
      <c r="D156" s="56">
        <f>D154-D155</f>
        <v>0</v>
      </c>
      <c r="E156" s="56">
        <f>E154-E155</f>
        <v>0</v>
      </c>
      <c r="F156" s="56">
        <f>F154-F155</f>
        <v>0</v>
      </c>
      <c r="G156" s="56">
        <f>G154-G155</f>
        <v>0</v>
      </c>
      <c r="H156" s="56">
        <f>H154-H155</f>
        <v>0</v>
      </c>
      <c r="I156" s="56">
        <f>I154-I155</f>
        <v>0</v>
      </c>
      <c r="J156" s="56">
        <f>J154-J155</f>
        <v>172.908</v>
      </c>
      <c r="K156" s="56">
        <f>K154-K155</f>
        <v>157.414</v>
      </c>
      <c r="L156" s="56">
        <f>L154-L155</f>
        <v>57.658</v>
      </c>
      <c r="M156" s="56">
        <f>M154-M155</f>
        <v>77.407</v>
      </c>
      <c r="N156" s="56">
        <f>N154-N155</f>
        <v>60.614</v>
      </c>
      <c r="O156" s="56">
        <f>O154-O155</f>
        <v>39.431</v>
      </c>
      <c r="P156" s="56">
        <f>P154-P155</f>
        <v>235.11</v>
      </c>
      <c r="Q156" s="56">
        <f>Q154-Q155</f>
        <v>55.437</v>
      </c>
      <c r="R156" s="56">
        <f>R154-R155</f>
        <v>55.2490000000001</v>
      </c>
      <c r="S156" s="56">
        <f>S154-S155</f>
        <v>52.354</v>
      </c>
      <c r="T156" s="56">
        <f>T154-T155</f>
        <v>60.707</v>
      </c>
      <c r="U156" s="56">
        <f>U154-U155</f>
        <v>223.747</v>
      </c>
      <c r="V156" s="56">
        <f>V154-V155</f>
        <v>31.903</v>
      </c>
      <c r="W156" s="56">
        <f>W154-W155</f>
        <v>65.573</v>
      </c>
      <c r="X156" s="56">
        <f>X154-X155</f>
        <v>57.57</v>
      </c>
      <c r="Y156" s="56">
        <f>Y154-Y155</f>
        <v>50.239</v>
      </c>
      <c r="Z156" s="56">
        <f>Z154-Z155</f>
        <v>205.285</v>
      </c>
      <c r="AA156" s="56">
        <f>AA154-AA155</f>
        <v>59.951</v>
      </c>
      <c r="AB156" s="56">
        <f>AB154-AB155</f>
        <v>82.907</v>
      </c>
      <c r="AC156" s="56">
        <f>AC154-AC155</f>
        <v>68.24</v>
      </c>
      <c r="AD156" s="56">
        <f>AD154-AD155</f>
        <v>53.744</v>
      </c>
      <c r="AE156" s="56">
        <f>AE154-AE155</f>
        <v>264.842</v>
      </c>
      <c r="AF156" s="56">
        <f>AF154-AF155</f>
        <v>67.3630000000001</v>
      </c>
      <c r="AG156" s="56">
        <f>AG154-AG155</f>
        <v>66.883</v>
      </c>
      <c r="AH156" s="56">
        <f>AH154-AH155</f>
        <v>54.847</v>
      </c>
      <c r="AI156" s="56">
        <f>AI154-AI155</f>
        <v>37.673</v>
      </c>
      <c r="AJ156" s="56">
        <f>AJ154-AJ155</f>
        <v>226.766</v>
      </c>
      <c r="AK156" s="56">
        <f>AK154-AK155</f>
        <v>47.644</v>
      </c>
      <c r="AL156" s="56">
        <f>AL154-AL155</f>
        <v>32.3539999999999</v>
      </c>
      <c r="AM156" s="56">
        <f>AM154-AM155</f>
        <v>46.2643845119076</v>
      </c>
      <c r="AN156" s="56">
        <f>AN154-AN155</f>
        <v>53.6332661730238</v>
      </c>
      <c r="AO156" s="56">
        <f>AO154-AO155</f>
        <v>179.895650684931</v>
      </c>
      <c r="AP156" s="56">
        <f>AP154-AP155</f>
        <v>267.821920151609</v>
      </c>
      <c r="AQ156" s="56">
        <f>AQ154-AQ155</f>
        <v>335.178239104026</v>
      </c>
      <c r="AR156" s="56">
        <f>AR154-AR155</f>
        <v>382.031863135185</v>
      </c>
      <c r="AS156" s="56">
        <f>AS154-AS155</f>
        <v>422.265302206573</v>
      </c>
      <c r="AT156" s="19" t="n"/>
      <c r="AV156" s="20">
        <f>IFERROR((AS156/AJ156)^(1/5)-1,"n/m")</f>
        <v>0.132404252088025</v>
      </c>
      <c r="AW156" s="20">
        <f>IFERROR((AJ156/K156)^(1/5)-1,"n/m")</f>
        <v>0.0757390075534605</v>
      </c>
      <c r="AX156" s="20" t="str">
        <f>IFERROR((AJ156/F156)^(1/10)-1,"n/m")</f>
        <v>n/m</v>
      </c>
      <c r="AY156" s="20" t="str">
        <f>IFERROR((AJ156/C156)^(1/13)-1,"n/m")</f>
        <v>n/m</v>
      </c>
    </row>
    <row r="157">
      <c r="B157" s="57" t="inlineStr">
        <is>
          <t xml:space="preserve">  Check: net income attributable vs reported (should be 0; ±0.1 rounding tolerated)</t>
        </is>
      </c>
      <c r="C157" s="44">
        <f>IF(ISNUMBER(C158),ROUND(C156-C158,1),"")</f>
      </c>
      <c r="D157" s="44">
        <f>IF(ISNUMBER(D158),ROUND(D156-D158,1),"")</f>
      </c>
      <c r="E157" s="44">
        <f>IF(ISNUMBER(E158),ROUND(E156-E158,1),"")</f>
      </c>
      <c r="F157" s="44">
        <f>IF(ISNUMBER(F158),ROUND(F156-F158,1),"")</f>
      </c>
      <c r="G157" s="44">
        <f>IF(ISNUMBER(G158),ROUND(G156-G158,1),"")</f>
      </c>
      <c r="H157" s="44">
        <f>IF(ISNUMBER(H158),ROUND(H156-H158,1),"")</f>
      </c>
      <c r="I157" s="44">
        <f>IF(ISNUMBER(I158),ROUND(I156-I158,1),"")</f>
      </c>
      <c r="J157" s="44">
        <f>IF(ISNUMBER(J158),ROUND(J156-J158,1),"")</f>
        <v>0</v>
      </c>
      <c r="K157" s="44">
        <f>IF(ISNUMBER(K158),ROUND(K156-K158,1),"")</f>
        <v>0</v>
      </c>
      <c r="L157" s="44">
        <f>IF(ISNUMBER(L158),ROUND(L156-L158,1),"")</f>
        <v>0</v>
      </c>
      <c r="M157" s="44">
        <f>IF(ISNUMBER(M158),ROUND(M156-M158,1),"")</f>
        <v>0</v>
      </c>
      <c r="N157" s="44">
        <f>IF(ISNUMBER(N158),ROUND(N156-N158,1),"")</f>
        <v>0</v>
      </c>
      <c r="O157" s="44">
        <f>IF(ISNUMBER(O158),ROUND(O156-O158,1),"")</f>
        <v>0</v>
      </c>
      <c r="P157" s="44">
        <f>IF(ISNUMBER(P158),ROUND(P156-P158,1),"")</f>
        <v>0</v>
      </c>
      <c r="Q157" s="44">
        <f>IF(ISNUMBER(Q158),ROUND(Q156-Q158,1),"")</f>
        <v>0</v>
      </c>
      <c r="R157" s="44">
        <f>IF(ISNUMBER(R158),ROUND(R156-R158,1),"")</f>
        <v>0</v>
      </c>
      <c r="S157" s="44">
        <f>IF(ISNUMBER(S158),ROUND(S156-S158,1),"")</f>
        <v>0</v>
      </c>
      <c r="T157" s="44">
        <f>IF(ISNUMBER(T158),ROUND(T156-T158,1),"")</f>
        <v>0</v>
      </c>
      <c r="U157" s="44">
        <f>IF(ISNUMBER(U158),ROUND(U156-U158,1),"")</f>
        <v>0</v>
      </c>
      <c r="V157" s="44">
        <f>IF(ISNUMBER(V158),ROUND(V156-V158,1),"")</f>
        <v>0</v>
      </c>
      <c r="W157" s="44">
        <f>IF(ISNUMBER(W158),ROUND(W156-W158,1),"")</f>
        <v>0</v>
      </c>
      <c r="X157" s="44">
        <f>IF(ISNUMBER(X158),ROUND(X156-X158,1),"")</f>
        <v>0</v>
      </c>
      <c r="Y157" s="44">
        <f>IF(ISNUMBER(Y158),ROUND(Y156-Y158,1),"")</f>
        <v>0</v>
      </c>
      <c r="Z157" s="44">
        <f>IF(ISNUMBER(Z158),ROUND(Z156-Z158,1),"")</f>
        <v>0</v>
      </c>
      <c r="AA157" s="44">
        <f>IF(ISNUMBER(AA158),ROUND(AA156-AA158,1),"")</f>
        <v>0</v>
      </c>
      <c r="AB157" s="44">
        <f>IF(ISNUMBER(AB158),ROUND(AB156-AB158,1),"")</f>
        <v>0</v>
      </c>
      <c r="AC157" s="44">
        <f>IF(ISNUMBER(AC158),ROUND(AC156-AC158,1),"")</f>
        <v>0</v>
      </c>
      <c r="AD157" s="44">
        <f>IF(ISNUMBER(AD158),ROUND(AD156-AD158,1),"")</f>
        <v>0</v>
      </c>
      <c r="AE157" s="44">
        <f>IF(ISNUMBER(AE158),ROUND(AE156-AE158,1),"")</f>
        <v>0</v>
      </c>
      <c r="AF157" s="44">
        <f>IF(ISNUMBER(AF158),ROUND(AF156-AF158,1),"")</f>
        <v>0</v>
      </c>
      <c r="AG157" s="44">
        <f>IF(ISNUMBER(AG158),ROUND(AG156-AG158,1),"")</f>
        <v>0</v>
      </c>
      <c r="AH157" s="44">
        <f>IF(ISNUMBER(AH158),ROUND(AH156-AH158,1),"")</f>
        <v>0</v>
      </c>
      <c r="AI157" s="44">
        <f>IF(ISNUMBER(AI158),ROUND(AI156-AI158,1),"")</f>
        <v>0</v>
      </c>
      <c r="AJ157" s="44">
        <f>IF(ISNUMBER(AJ158),ROUND(AJ156-AJ158,1),"")</f>
        <v>0</v>
      </c>
      <c r="AK157" s="44">
        <f>IF(ISNUMBER(AK158),ROUND(AK156-AK158,1),"")</f>
        <v>0</v>
      </c>
      <c r="AL157" s="44">
        <f>IF(ISNUMBER(AL158),ROUND(AL156-AL158,1),"")</f>
        <v>0</v>
      </c>
      <c r="AM157" s="269" t="n"/>
      <c r="AN157" s="269" t="n"/>
      <c r="AO157" s="269" t="n"/>
      <c r="AP157" s="269" t="n"/>
      <c r="AQ157" s="269" t="n"/>
      <c r="AR157" s="269" t="n"/>
      <c r="AS157" s="269" t="n"/>
      <c r="AT157" s="19" t="n"/>
    </row>
    <row r="158" outlineLevel="2" s="251">
      <c r="B158" s="156" t="inlineStr">
        <is>
          <t xml:space="preserve">  Memo: net income attributable to ESAB as reported</t>
        </is>
      </c>
      <c r="C158" s="34" t="n"/>
      <c r="D158" s="34" t="n"/>
      <c r="E158" s="34" t="n"/>
      <c r="F158" s="34" t="n"/>
      <c r="G158" s="34" t="n"/>
      <c r="H158" s="34" t="n"/>
      <c r="I158" s="34" t="n"/>
      <c r="J158" s="34" t="n">
        <v>172.908</v>
      </c>
      <c r="K158" s="34" t="n">
        <v>157.414</v>
      </c>
      <c r="L158" s="34" t="n">
        <v>57.658</v>
      </c>
      <c r="M158" s="34" t="n">
        <v>77.407</v>
      </c>
      <c r="N158" s="34" t="n">
        <v>60.614</v>
      </c>
      <c r="O158" s="34" t="n">
        <v>39.431</v>
      </c>
      <c r="P158" s="34" t="n">
        <v>235.11</v>
      </c>
      <c r="Q158" s="34" t="n">
        <v>55.437</v>
      </c>
      <c r="R158" s="34" t="n">
        <v>55.249</v>
      </c>
      <c r="S158" s="34" t="n">
        <v>52.354</v>
      </c>
      <c r="T158" s="34" t="n">
        <v>60.707</v>
      </c>
      <c r="U158" s="34" t="n">
        <v>223.747</v>
      </c>
      <c r="V158" s="34" t="n">
        <v>31.903</v>
      </c>
      <c r="W158" s="34" t="n">
        <v>65.57299999999999</v>
      </c>
      <c r="X158" s="34" t="n">
        <v>57.57</v>
      </c>
      <c r="Y158" s="34" t="n">
        <v>50.239</v>
      </c>
      <c r="Z158" s="34" t="n">
        <v>205.285</v>
      </c>
      <c r="AA158" s="34" t="n">
        <v>59.951</v>
      </c>
      <c r="AB158" s="34" t="n">
        <v>82.907</v>
      </c>
      <c r="AC158" s="34" t="n">
        <v>68.23999999999999</v>
      </c>
      <c r="AD158" s="34" t="n">
        <v>53.744</v>
      </c>
      <c r="AE158" s="34" t="n">
        <v>264.842</v>
      </c>
      <c r="AF158" s="34" t="n">
        <v>67.363</v>
      </c>
      <c r="AG158" s="34" t="n">
        <v>66.883</v>
      </c>
      <c r="AH158" s="34" t="n">
        <v>54.847</v>
      </c>
      <c r="AI158" s="34" t="n">
        <v>37.673</v>
      </c>
      <c r="AJ158" s="34" t="n">
        <v>226.766</v>
      </c>
      <c r="AK158" s="34" t="n">
        <v>47.644</v>
      </c>
      <c r="AL158" s="34" t="n">
        <v>32.354</v>
      </c>
      <c r="AM158" s="269" t="n"/>
      <c r="AN158" s="269" t="n"/>
      <c r="AO158" s="269" t="n"/>
      <c r="AP158" s="269" t="n"/>
      <c r="AQ158" s="269" t="n"/>
      <c r="AR158" s="269" t="n"/>
      <c r="AS158" s="269" t="n"/>
      <c r="AT158" s="19" t="n"/>
    </row>
    <row r="159">
      <c r="B159" s="25" t="inlineStr">
        <is>
          <t xml:space="preserve">  Less: mandatory convertible preferred stock (MCPS) dividends</t>
        </is>
      </c>
      <c r="C159" s="34" t="n"/>
      <c r="D159" s="34" t="n"/>
      <c r="E159" s="34" t="n"/>
      <c r="F159" s="34" t="n"/>
      <c r="G159" s="34" t="n"/>
      <c r="H159" s="34" t="n"/>
      <c r="I159" s="34" t="n"/>
      <c r="J159" s="34" t="n">
        <v>0</v>
      </c>
      <c r="K159" s="34" t="n">
        <v>0</v>
      </c>
      <c r="L159" s="34" t="n">
        <v>0</v>
      </c>
      <c r="M159" s="34" t="n">
        <v>0</v>
      </c>
      <c r="N159" s="34" t="n">
        <v>0</v>
      </c>
      <c r="O159" s="34" t="n">
        <v>0</v>
      </c>
      <c r="P159" s="34" t="n">
        <v>0</v>
      </c>
      <c r="Q159" s="34" t="n">
        <v>0</v>
      </c>
      <c r="R159" s="34" t="n">
        <v>0</v>
      </c>
      <c r="S159" s="34" t="n">
        <v>0</v>
      </c>
      <c r="T159" s="34" t="n">
        <v>0</v>
      </c>
      <c r="U159" s="34" t="n">
        <v>0</v>
      </c>
      <c r="V159" s="34" t="n">
        <v>0</v>
      </c>
      <c r="W159" s="34" t="n">
        <v>0</v>
      </c>
      <c r="X159" s="34" t="n">
        <v>0</v>
      </c>
      <c r="Y159" s="34" t="n">
        <v>0</v>
      </c>
      <c r="Z159" s="34" t="n">
        <v>0</v>
      </c>
      <c r="AA159" s="34" t="n">
        <v>0</v>
      </c>
      <c r="AB159" s="34" t="n">
        <v>0</v>
      </c>
      <c r="AC159" s="34" t="n">
        <v>0</v>
      </c>
      <c r="AD159" s="34" t="n">
        <v>0</v>
      </c>
      <c r="AE159" s="34" t="n">
        <v>0</v>
      </c>
      <c r="AF159" s="34" t="n">
        <v>0</v>
      </c>
      <c r="AG159" s="34" t="n">
        <v>0</v>
      </c>
      <c r="AH159" s="34" t="n">
        <v>0</v>
      </c>
      <c r="AI159" s="34" t="n">
        <v>0</v>
      </c>
      <c r="AJ159" s="34" t="n">
        <v>0</v>
      </c>
      <c r="AK159" s="34" t="n">
        <v>0</v>
      </c>
      <c r="AL159" s="34" t="n">
        <v>1.39</v>
      </c>
      <c r="AM159" s="257">
        <f>175.0*0.065/4</f>
        <v>2.84375</v>
      </c>
      <c r="AN159" s="257">
        <f>175.0*0.065/4</f>
        <v>2.84375</v>
      </c>
      <c r="AO159" s="257">
        <f>SUM(AK159,AL159,AM159,AN159)</f>
        <v>7.0775</v>
      </c>
      <c r="AP159" s="258" t="n">
        <v>11.375</v>
      </c>
      <c r="AQ159" s="258" t="n">
        <v>11.375</v>
      </c>
      <c r="AR159" s="258" t="n">
        <v>5.69</v>
      </c>
      <c r="AS159" s="258" t="n">
        <v>0</v>
      </c>
      <c r="AT159" s="19" t="inlineStr">
        <is>
          <t>$175m 6.50% Series A MCPS issued Jun-2026 (Eddyfi financing): $11.4m p.a.; mandatory conversion ~Jun-2029 into 7.1806–8.2576 shares per $1,000.</t>
        </is>
      </c>
    </row>
    <row r="160">
      <c r="B160" s="16" t="inlineStr">
        <is>
          <t>Net income attributable to common stockholders</t>
        </is>
      </c>
      <c r="C160" s="43">
        <f>C156-N(C159)</f>
        <v>0</v>
      </c>
      <c r="D160" s="43">
        <f>D156-N(D159)</f>
        <v>0</v>
      </c>
      <c r="E160" s="43">
        <f>E156-N(E159)</f>
        <v>0</v>
      </c>
      <c r="F160" s="43">
        <f>F156-N(F159)</f>
        <v>0</v>
      </c>
      <c r="G160" s="43">
        <f>G156-N(G159)</f>
        <v>0</v>
      </c>
      <c r="H160" s="43">
        <f>H156-N(H159)</f>
        <v>0</v>
      </c>
      <c r="I160" s="43">
        <f>I156-N(I159)</f>
        <v>0</v>
      </c>
      <c r="J160" s="43">
        <f>J156-N(J159)</f>
        <v>172.908</v>
      </c>
      <c r="K160" s="43">
        <f>K156-N(K159)</f>
        <v>157.414</v>
      </c>
      <c r="L160" s="43">
        <f>L156-N(L159)</f>
        <v>57.658</v>
      </c>
      <c r="M160" s="43">
        <f>M156-N(M159)</f>
        <v>77.407</v>
      </c>
      <c r="N160" s="43">
        <f>N156-N(N159)</f>
        <v>60.614</v>
      </c>
      <c r="O160" s="43">
        <f>O156-N(O159)</f>
        <v>39.431</v>
      </c>
      <c r="P160" s="43">
        <f>P156-N(P159)</f>
        <v>235.11</v>
      </c>
      <c r="Q160" s="43">
        <f>Q156-N(Q159)</f>
        <v>55.437</v>
      </c>
      <c r="R160" s="43">
        <f>R156-N(R159)</f>
        <v>55.2490000000001</v>
      </c>
      <c r="S160" s="43">
        <f>S156-N(S159)</f>
        <v>52.354</v>
      </c>
      <c r="T160" s="43">
        <f>T156-N(T159)</f>
        <v>60.707</v>
      </c>
      <c r="U160" s="43">
        <f>U156-N(U159)</f>
        <v>223.747</v>
      </c>
      <c r="V160" s="43">
        <f>V156-N(V159)</f>
        <v>31.903</v>
      </c>
      <c r="W160" s="43">
        <f>W156-N(W159)</f>
        <v>65.573</v>
      </c>
      <c r="X160" s="43">
        <f>X156-N(X159)</f>
        <v>57.57</v>
      </c>
      <c r="Y160" s="43">
        <f>Y156-N(Y159)</f>
        <v>50.239</v>
      </c>
      <c r="Z160" s="43">
        <f>Z156-N(Z159)</f>
        <v>205.285</v>
      </c>
      <c r="AA160" s="43">
        <f>AA156-N(AA159)</f>
        <v>59.951</v>
      </c>
      <c r="AB160" s="43">
        <f>AB156-N(AB159)</f>
        <v>82.907</v>
      </c>
      <c r="AC160" s="43">
        <f>AC156-N(AC159)</f>
        <v>68.24</v>
      </c>
      <c r="AD160" s="43">
        <f>AD156-N(AD159)</f>
        <v>53.744</v>
      </c>
      <c r="AE160" s="43">
        <f>AE156-N(AE159)</f>
        <v>264.842</v>
      </c>
      <c r="AF160" s="43">
        <f>AF156-N(AF159)</f>
        <v>67.3630000000001</v>
      </c>
      <c r="AG160" s="43">
        <f>AG156-N(AG159)</f>
        <v>66.883</v>
      </c>
      <c r="AH160" s="43">
        <f>AH156-N(AH159)</f>
        <v>54.847</v>
      </c>
      <c r="AI160" s="43">
        <f>AI156-N(AI159)</f>
        <v>37.673</v>
      </c>
      <c r="AJ160" s="43">
        <f>AJ156-N(AJ159)</f>
        <v>226.766</v>
      </c>
      <c r="AK160" s="43">
        <f>AK156-N(AK159)</f>
        <v>47.644</v>
      </c>
      <c r="AL160" s="43">
        <f>AL156-N(AL159)</f>
        <v>30.9639999999999</v>
      </c>
      <c r="AM160" s="253">
        <f>AM156-N(AM159)</f>
        <v>43.4206345119076</v>
      </c>
      <c r="AN160" s="253">
        <f>AN156-N(AN159)</f>
        <v>50.7895161730238</v>
      </c>
      <c r="AO160" s="253">
        <f>AO156-N(AO159)</f>
        <v>172.818150684931</v>
      </c>
      <c r="AP160" s="253">
        <f>AP156-N(AP159)</f>
        <v>256.446920151609</v>
      </c>
      <c r="AQ160" s="253">
        <f>AQ156-N(AQ159)</f>
        <v>323.803239104026</v>
      </c>
      <c r="AR160" s="253">
        <f>AR156-N(AR159)</f>
        <v>376.341863135185</v>
      </c>
      <c r="AS160" s="253">
        <f>AS156-N(AS159)</f>
        <v>422.265302206573</v>
      </c>
      <c r="AT160" s="19" t="n"/>
    </row>
    <row r="161">
      <c r="B161" s="25" t="inlineStr">
        <is>
          <t xml:space="preserve">  Memo: net income from continuing operations attributable to ESAB common (start of the adjusted-NI bridge)</t>
        </is>
      </c>
      <c r="C161" s="44">
        <f>C152-C155-N(C159)</f>
        <v>0</v>
      </c>
      <c r="D161" s="44">
        <f>D152-D155-N(D159)</f>
        <v>0</v>
      </c>
      <c r="E161" s="44">
        <f>E152-E155-N(E159)</f>
        <v>0</v>
      </c>
      <c r="F161" s="44">
        <f>F152-F155-N(F159)</f>
        <v>0</v>
      </c>
      <c r="G161" s="44">
        <f>G152-G155-N(G159)</f>
        <v>0</v>
      </c>
      <c r="H161" s="44">
        <f>H152-H155-N(H159)</f>
        <v>0</v>
      </c>
      <c r="I161" s="44">
        <f>I152-I155-N(I159)</f>
        <v>0</v>
      </c>
      <c r="J161" s="44">
        <f>J152-J155-N(J159)</f>
        <v>172.908</v>
      </c>
      <c r="K161" s="44">
        <f>K152-K155-N(K159)</f>
        <v>157.414</v>
      </c>
      <c r="L161" s="44">
        <f>L152-L155-N(L159)</f>
        <v>57.658</v>
      </c>
      <c r="M161" s="44">
        <f>M152-M155-N(M159)</f>
        <v>77.407</v>
      </c>
      <c r="N161" s="44">
        <f>N152-N155-N(N159)</f>
        <v>60.614</v>
      </c>
      <c r="O161" s="44">
        <f>O152-O155-N(O159)</f>
        <v>39.431</v>
      </c>
      <c r="P161" s="44">
        <f>P152-P155-N(P159)</f>
        <v>235.11</v>
      </c>
      <c r="Q161" s="44">
        <f>Q152-Q155-N(Q159)</f>
        <v>57.458</v>
      </c>
      <c r="R161" s="44">
        <f>R152-R155-N(R159)</f>
        <v>57.1490000000001</v>
      </c>
      <c r="S161" s="44">
        <f>S152-S155-N(S159)</f>
        <v>53.3309999999999</v>
      </c>
      <c r="T161" s="44">
        <f>T152-T155-N(T159)</f>
        <v>58.877</v>
      </c>
      <c r="U161" s="44">
        <f>U152-U155-N(U159)</f>
        <v>226.815</v>
      </c>
      <c r="V161" s="44">
        <f>V152-V155-N(V159)</f>
        <v>32.816</v>
      </c>
      <c r="W161" s="44">
        <f>W152-W155-N(W159)</f>
        <v>67.196</v>
      </c>
      <c r="X161" s="44">
        <f>X152-X155-N(X159)</f>
        <v>59.293</v>
      </c>
      <c r="Y161" s="44">
        <f>Y152-Y155-N(Y159)</f>
        <v>58.321</v>
      </c>
      <c r="Z161" s="44">
        <f>Z152-Z155-N(Z159)</f>
        <v>217.626</v>
      </c>
      <c r="AA161" s="44">
        <f>AA152-AA155-N(AA159)</f>
        <v>61.26</v>
      </c>
      <c r="AB161" s="44">
        <f>AB152-AB155-N(AB159)</f>
        <v>84.068</v>
      </c>
      <c r="AC161" s="44">
        <f>AC152-AC155-N(AC159)</f>
        <v>69.454</v>
      </c>
      <c r="AD161" s="44">
        <f>AD152-AD155-N(AD159)</f>
        <v>72.369</v>
      </c>
      <c r="AE161" s="44">
        <f>AE152-AE155-N(AE159)</f>
        <v>287.151</v>
      </c>
      <c r="AF161" s="44">
        <f>AF152-AF155-N(AF159)</f>
        <v>70.0950000000001</v>
      </c>
      <c r="AG161" s="44">
        <f>AG152-AG155-N(AG159)</f>
        <v>68.591</v>
      </c>
      <c r="AH161" s="44">
        <f>AH152-AH155-N(AH159)</f>
        <v>63.666</v>
      </c>
      <c r="AI161" s="44">
        <f>AI152-AI155-N(AI159)</f>
        <v>50.285</v>
      </c>
      <c r="AJ161" s="44">
        <f>AJ152-AJ155-N(AJ159)</f>
        <v>252.637</v>
      </c>
      <c r="AK161" s="44">
        <f>AK152-AK155-N(AK159)</f>
        <v>50.198</v>
      </c>
      <c r="AL161" s="44">
        <f>AL152-AL155-N(AL159)</f>
        <v>33.3769999999999</v>
      </c>
      <c r="AM161" s="257">
        <f>AM152-AM155-N(AM159)</f>
        <v>45.9041345119076</v>
      </c>
      <c r="AN161" s="257">
        <f>AN152-AN155-N(AN159)</f>
        <v>53.2730161730238</v>
      </c>
      <c r="AO161" s="257">
        <f>AO152-AO155-N(AO159)</f>
        <v>182.752150684931</v>
      </c>
      <c r="AP161" s="257">
        <f>AP152-AP155-N(AP159)</f>
        <v>268.446920151609</v>
      </c>
      <c r="AQ161" s="257">
        <f>AQ152-AQ155-N(AQ159)</f>
        <v>335.803239104026</v>
      </c>
      <c r="AR161" s="257">
        <f>AR152-AR155-N(AR159)</f>
        <v>388.341863135185</v>
      </c>
      <c r="AS161" s="257">
        <f>AS152-AS155-N(AS159)</f>
        <v>434.265302206573</v>
      </c>
      <c r="AT161" s="19" t="n"/>
    </row>
    <row r="162" outlineLevel="2" s="251">
      <c r="B162" s="25" t="inlineStr">
        <is>
          <t xml:space="preserve">  Memo: depreciation &amp; amortization (total; cash-flow statement)</t>
        </is>
      </c>
      <c r="C162" s="34" t="n"/>
      <c r="D162" s="34" t="n"/>
      <c r="E162" s="34" t="n"/>
      <c r="F162" s="34" t="n"/>
      <c r="G162" s="34" t="n"/>
      <c r="H162" s="34" t="n"/>
      <c r="I162" s="34" t="n"/>
      <c r="J162" s="34" t="n">
        <v>80.072</v>
      </c>
      <c r="K162" s="34" t="n">
        <v>76.64400000000001</v>
      </c>
      <c r="L162" s="34" t="n">
        <v>18.72</v>
      </c>
      <c r="M162" s="34" t="n">
        <v>19.108</v>
      </c>
      <c r="N162" s="34" t="n">
        <v>19.477</v>
      </c>
      <c r="O162" s="34" t="n">
        <v>18.594</v>
      </c>
      <c r="P162" s="34" t="n">
        <v>75.899</v>
      </c>
      <c r="Q162" s="34" t="n">
        <v>16.689</v>
      </c>
      <c r="R162" s="34" t="n">
        <v>16.383</v>
      </c>
      <c r="S162" s="34" t="n">
        <v>15.627</v>
      </c>
      <c r="T162" s="34" t="n">
        <v>17.279</v>
      </c>
      <c r="U162" s="34" t="n">
        <v>65.97799999999999</v>
      </c>
      <c r="V162" s="34" t="n">
        <v>21.871</v>
      </c>
      <c r="W162" s="34" t="n">
        <v>17.69</v>
      </c>
      <c r="X162" s="34" t="n">
        <v>17.529</v>
      </c>
      <c r="Y162" s="34" t="n">
        <v>17.944</v>
      </c>
      <c r="Z162" s="34" t="n">
        <v>75.03400000000001</v>
      </c>
      <c r="AA162" s="34" t="n">
        <v>16.387</v>
      </c>
      <c r="AB162" s="34" t="n">
        <v>16.543</v>
      </c>
      <c r="AC162" s="34" t="n">
        <v>17.098</v>
      </c>
      <c r="AD162" s="34" t="n">
        <v>16.76200000000001</v>
      </c>
      <c r="AE162" s="34" t="n">
        <v>66.79000000000001</v>
      </c>
      <c r="AF162" s="34" t="n">
        <v>17.491</v>
      </c>
      <c r="AG162" s="34" t="n">
        <v>19.355</v>
      </c>
      <c r="AH162" s="34" t="n">
        <v>21.88500000000001</v>
      </c>
      <c r="AI162" s="34" t="n">
        <v>25.374</v>
      </c>
      <c r="AJ162" s="34" t="n">
        <v>84.105</v>
      </c>
      <c r="AK162" s="34" t="n">
        <v>23.868</v>
      </c>
      <c r="AL162" s="34" t="n">
        <v>27.868</v>
      </c>
      <c r="AM162" s="257">
        <f>AM127+AM129-AM82</f>
        <v>38.8952054794521</v>
      </c>
      <c r="AN162" s="257">
        <f>AN127+AN129-AN82</f>
        <v>38.7260273972603</v>
      </c>
      <c r="AO162" s="257">
        <f>SUM(AK162,AL162,AM162,AN162)</f>
        <v>129.357232876712</v>
      </c>
      <c r="AP162" s="257">
        <f>AP127+AP129</f>
        <v>154.28765352084</v>
      </c>
      <c r="AQ162" s="257">
        <f>AQ127+AQ129</f>
        <v>151.443776327466</v>
      </c>
      <c r="AR162" s="257">
        <f>AR127+AR129</f>
        <v>155.94137808181</v>
      </c>
      <c r="AS162" s="257">
        <f>AS127+AS129</f>
        <v>164.408221805042</v>
      </c>
      <c r="AT162" s="19" t="n"/>
    </row>
    <row r="163" outlineLevel="2" s="251">
      <c r="B163" s="25" t="inlineStr">
        <is>
          <t xml:space="preserve">  Memo: stock-based compensation</t>
        </is>
      </c>
      <c r="C163" s="34" t="n"/>
      <c r="D163" s="34" t="n"/>
      <c r="E163" s="34" t="n"/>
      <c r="F163" s="34" t="n"/>
      <c r="G163" s="34" t="n"/>
      <c r="H163" s="34" t="n"/>
      <c r="I163" s="34" t="n"/>
      <c r="J163" s="34" t="n">
        <v>5.875</v>
      </c>
      <c r="K163" s="34" t="n">
        <v>6.436</v>
      </c>
      <c r="L163" s="34" t="n">
        <v>1.586</v>
      </c>
      <c r="M163" s="34" t="n">
        <v>1.663</v>
      </c>
      <c r="N163" s="34" t="n">
        <v>1.702</v>
      </c>
      <c r="O163" s="34" t="n">
        <v>1.316000000000001</v>
      </c>
      <c r="P163" s="34" t="n">
        <v>6.267</v>
      </c>
      <c r="Q163" s="34" t="n">
        <v>1.728</v>
      </c>
      <c r="R163" s="34" t="n">
        <v>3.627000000000001</v>
      </c>
      <c r="S163" s="34" t="n">
        <v>4.177</v>
      </c>
      <c r="T163" s="34" t="n">
        <v>3.432</v>
      </c>
      <c r="U163" s="34" t="n">
        <v>12.964</v>
      </c>
      <c r="V163" s="34" t="n">
        <v>2.994</v>
      </c>
      <c r="W163" s="34" t="n">
        <v>4.468</v>
      </c>
      <c r="X163" s="34" t="n">
        <v>3.688000000000001</v>
      </c>
      <c r="Y163" s="34" t="n">
        <v>4.972</v>
      </c>
      <c r="Z163" s="34" t="n">
        <v>16.122</v>
      </c>
      <c r="AA163" s="34" t="n">
        <v>4.133</v>
      </c>
      <c r="AB163" s="34" t="n">
        <v>5.752999999999999</v>
      </c>
      <c r="AC163" s="34" t="n">
        <v>4.587000000000002</v>
      </c>
      <c r="AD163" s="34" t="n">
        <v>5.307</v>
      </c>
      <c r="AE163" s="34" t="n">
        <v>19.78</v>
      </c>
      <c r="AF163" s="34" t="n">
        <v>5.361</v>
      </c>
      <c r="AG163" s="34" t="n">
        <v>4.539000000000001</v>
      </c>
      <c r="AH163" s="34" t="n">
        <v>2.641999999999999</v>
      </c>
      <c r="AI163" s="34" t="n">
        <v>4.395000000000001</v>
      </c>
      <c r="AJ163" s="34" t="n">
        <v>16.937</v>
      </c>
      <c r="AK163" s="34" t="n">
        <v>3.948</v>
      </c>
      <c r="AL163" s="34" t="n">
        <v>6.433999999999999</v>
      </c>
      <c r="AM163" s="257">
        <f>AM136*AM133+AM131</f>
        <v>9.53513893228089</v>
      </c>
      <c r="AN163" s="257">
        <f>AN136*AN133+AN131</f>
        <v>9.35746081959006</v>
      </c>
      <c r="AO163" s="257">
        <f>SUM(AK163,AL163,AM163,AN163)</f>
        <v>29.2745997518709</v>
      </c>
      <c r="AP163" s="257">
        <f>AP136*AP133+AP131</f>
        <v>38.241796934439</v>
      </c>
      <c r="AQ163" s="257">
        <f>AQ136*AQ133+AQ131</f>
        <v>39.3277858899133</v>
      </c>
      <c r="AR163" s="257">
        <f>AR136*AR133+AR131</f>
        <v>36.7526203912801</v>
      </c>
      <c r="AS163" s="257">
        <f>AS136*AS133+AS131</f>
        <v>34.3202304695514</v>
      </c>
      <c r="AT163" s="19" t="n"/>
    </row>
    <row r="164">
      <c r="B164" s="25" t="inlineStr">
        <is>
          <t>(Earnings per share)</t>
        </is>
      </c>
      <c r="C164" s="271" t="n"/>
      <c r="D164" s="271" t="n"/>
      <c r="E164" s="271" t="n"/>
      <c r="F164" s="271" t="n"/>
      <c r="G164" s="271" t="n"/>
      <c r="H164" s="271" t="n"/>
      <c r="I164" s="271" t="n"/>
      <c r="J164" s="271" t="n"/>
      <c r="K164" s="271" t="n"/>
      <c r="L164" s="271" t="n"/>
      <c r="M164" s="271" t="n"/>
      <c r="N164" s="271" t="n"/>
      <c r="O164" s="271" t="n"/>
      <c r="P164" s="271" t="n"/>
      <c r="Q164" s="271" t="n"/>
      <c r="R164" s="271" t="n"/>
      <c r="S164" s="271" t="n"/>
      <c r="T164" s="271" t="n"/>
      <c r="U164" s="271" t="n"/>
      <c r="V164" s="271" t="n"/>
      <c r="W164" s="271" t="n"/>
      <c r="X164" s="271" t="n"/>
      <c r="Y164" s="271" t="n"/>
      <c r="Z164" s="271" t="n"/>
      <c r="AA164" s="271" t="n"/>
      <c r="AB164" s="271" t="n"/>
      <c r="AC164" s="271" t="n"/>
      <c r="AD164" s="271" t="n"/>
      <c r="AE164" s="271" t="n"/>
      <c r="AF164" s="271" t="n"/>
      <c r="AG164" s="271" t="n"/>
      <c r="AH164" s="271" t="n"/>
      <c r="AI164" s="271" t="n"/>
      <c r="AJ164" s="271" t="n"/>
      <c r="AK164" s="271" t="n"/>
      <c r="AL164" s="271" t="n"/>
      <c r="AM164" s="269" t="n"/>
      <c r="AN164" s="269" t="n"/>
      <c r="AO164" s="269" t="n"/>
      <c r="AP164" s="269" t="n"/>
      <c r="AQ164" s="269" t="n"/>
      <c r="AR164" s="269" t="n"/>
      <c r="AS164" s="269" t="n"/>
      <c r="AT164" s="19" t="n"/>
    </row>
    <row r="165">
      <c r="B165" s="25" t="inlineStr">
        <is>
          <t xml:space="preserve">  Weighted-average basic shares (m)</t>
        </is>
      </c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>
        <v>60.034311</v>
      </c>
      <c r="L165" s="45" t="n">
        <v>60.034311</v>
      </c>
      <c r="M165" s="45" t="n">
        <v>60.034311</v>
      </c>
      <c r="N165" s="45" t="n">
        <v>60.034311</v>
      </c>
      <c r="O165" s="45" t="n">
        <v>60.034311</v>
      </c>
      <c r="P165" s="45" t="n">
        <v>60.034311</v>
      </c>
      <c r="Q165" s="45" t="n">
        <v>60.034311</v>
      </c>
      <c r="R165" s="45" t="n">
        <v>60.038053</v>
      </c>
      <c r="S165" s="45" t="n">
        <v>60.063553</v>
      </c>
      <c r="T165" s="45" t="n">
        <v>60.08380299999999</v>
      </c>
      <c r="U165" s="45" t="n">
        <v>60.05493</v>
      </c>
      <c r="V165" s="45" t="n">
        <v>60.146348</v>
      </c>
      <c r="W165" s="45" t="n">
        <v>60.237955</v>
      </c>
      <c r="X165" s="45" t="n">
        <v>60.265516</v>
      </c>
      <c r="Y165" s="45" t="n">
        <v>60.284673</v>
      </c>
      <c r="Z165" s="45" t="n">
        <v>60.233623</v>
      </c>
      <c r="AA165" s="45" t="n">
        <v>60.346121</v>
      </c>
      <c r="AB165" s="45" t="n">
        <v>60.43223</v>
      </c>
      <c r="AC165" s="45" t="n">
        <v>60.439818</v>
      </c>
      <c r="AD165" s="45" t="n">
        <v>60.49280300000001</v>
      </c>
      <c r="AE165" s="45" t="n">
        <v>60.427743</v>
      </c>
      <c r="AF165" s="45" t="n">
        <v>60.562584</v>
      </c>
      <c r="AG165" s="45" t="n">
        <v>60.739891</v>
      </c>
      <c r="AH165" s="45" t="n">
        <v>60.70356</v>
      </c>
      <c r="AI165" s="45" t="n">
        <v>60.715757</v>
      </c>
      <c r="AJ165" s="45" t="n">
        <v>60.680448</v>
      </c>
      <c r="AK165" s="45" t="n">
        <v>60.781212</v>
      </c>
      <c r="AL165" s="45" t="n">
        <v>61.333967</v>
      </c>
      <c r="AM165" s="266">
        <f>$AL$337-$AO$294*0.25</f>
        <v>62.167669</v>
      </c>
      <c r="AN165" s="266">
        <f>$AL$337-$AO$294*0.75</f>
        <v>62.167669</v>
      </c>
      <c r="AO165" s="266">
        <f>AVERAGE(AK165,AL165,AM165,AN165)</f>
        <v>61.61262925</v>
      </c>
      <c r="AP165" s="266">
        <f>AVERAGE(AP297,AP298)</f>
        <v>62.417669</v>
      </c>
      <c r="AQ165" s="266">
        <f>AVERAGE(AQ297,AQ298)</f>
        <v>62.0644340676538</v>
      </c>
      <c r="AR165" s="266">
        <f>AVERAGE(AR297,AR298)</f>
        <v>60.3834430040909</v>
      </c>
      <c r="AS165" s="266">
        <f>AVERAGE(AS297,AS298)</f>
        <v>57.2625585217299</v>
      </c>
      <c r="AT165" s="19" t="inlineStr">
        <is>
          <t>Q3/Q4-26E: shares outstanding at 3-Jul-2026 (incl. the Eddyfi common private placement) less 2H buybacks. 2027E+: average of beginning and ending shares.</t>
        </is>
      </c>
    </row>
    <row r="166">
      <c r="B166" s="25" t="inlineStr">
        <is>
          <t xml:space="preserve">  Weighted-average diluted shares (m)</t>
        </is>
      </c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>
        <v>60.034311</v>
      </c>
      <c r="L166" s="45" t="n">
        <v>60.034311</v>
      </c>
      <c r="M166" s="45" t="n">
        <v>60.034311</v>
      </c>
      <c r="N166" s="45" t="n">
        <v>60.034311</v>
      </c>
      <c r="O166" s="45" t="n">
        <v>60.034311</v>
      </c>
      <c r="P166" s="45" t="n">
        <v>60.034311</v>
      </c>
      <c r="Q166" s="45" t="n">
        <v>60.034311</v>
      </c>
      <c r="R166" s="45" t="n">
        <v>60.18552</v>
      </c>
      <c r="S166" s="45" t="n">
        <v>60.163221</v>
      </c>
      <c r="T166" s="45" t="n">
        <v>60.229184</v>
      </c>
      <c r="U166" s="45" t="n">
        <v>60.153059</v>
      </c>
      <c r="V166" s="45" t="n">
        <v>60.486226</v>
      </c>
      <c r="W166" s="45" t="n">
        <v>60.561339</v>
      </c>
      <c r="X166" s="45" t="n">
        <v>60.730713</v>
      </c>
      <c r="Y166" s="45" t="n">
        <v>60.844706</v>
      </c>
      <c r="Z166" s="45" t="n">
        <v>60.655746</v>
      </c>
      <c r="AA166" s="45" t="n">
        <v>60.987957</v>
      </c>
      <c r="AB166" s="45" t="n">
        <v>61.078456</v>
      </c>
      <c r="AC166" s="45" t="n">
        <v>61.086129</v>
      </c>
      <c r="AD166" s="45" t="n">
        <v>61.25570999999999</v>
      </c>
      <c r="AE166" s="45" t="n">
        <v>61.102063</v>
      </c>
      <c r="AF166" s="45" t="n">
        <v>61.281118</v>
      </c>
      <c r="AG166" s="45" t="n">
        <v>61.312744</v>
      </c>
      <c r="AH166" s="45" t="n">
        <v>61.238341</v>
      </c>
      <c r="AI166" s="45" t="n">
        <v>61.23297300000002</v>
      </c>
      <c r="AJ166" s="45" t="n">
        <v>61.266294</v>
      </c>
      <c r="AK166" s="45" t="n">
        <v>61.265828</v>
      </c>
      <c r="AL166" s="45" t="n">
        <v>61.6306</v>
      </c>
      <c r="AM166" s="266">
        <f>AM165+($AL$166-$AL$165)</f>
        <v>62.464302</v>
      </c>
      <c r="AN166" s="266">
        <f>AN165+($AL$166-$AL$165)</f>
        <v>62.464302</v>
      </c>
      <c r="AO166" s="266">
        <f>AVERAGE(AK166,AL166,AM166,AN166)</f>
        <v>61.956258</v>
      </c>
      <c r="AP166" s="266">
        <f>AP165+AP362</f>
        <v>62.714302</v>
      </c>
      <c r="AQ166" s="266">
        <f>AQ165+AQ362</f>
        <v>62.3610670676538</v>
      </c>
      <c r="AR166" s="266">
        <f>AR165+AR362</f>
        <v>60.6800760040909</v>
      </c>
      <c r="AS166" s="266">
        <f>AS165+AS362</f>
        <v>57.5591915217299</v>
      </c>
      <c r="AT166" s="19" t="n"/>
    </row>
    <row r="167">
      <c r="B167" s="16" t="inlineStr">
        <is>
          <t>EPS – diluted, continuing operations ($)</t>
        </is>
      </c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>
        <f>IFERROR((K152-K155-N(K159))/K166,"")</f>
        <v>2.62206723751689</v>
      </c>
      <c r="L167" s="61">
        <f>IFERROR((L152-L155-N(L159))/L166,"")</f>
        <v>0.960417451946771</v>
      </c>
      <c r="M167" s="61">
        <f>IFERROR((M152-M155-N(M159))/M166,"")</f>
        <v>1.28937933509389</v>
      </c>
      <c r="N167" s="61">
        <f>IFERROR((N152-N155-N(N159))/N166,"")</f>
        <v>1.00965596157171</v>
      </c>
      <c r="O167" s="61">
        <f>IFERROR((O152-O155-N(O159))/O166,"")</f>
        <v>0.656807737828457</v>
      </c>
      <c r="P167" s="61">
        <f>IFERROR((P152-P155-N(P159))/P166,"")</f>
        <v>3.91626048644082</v>
      </c>
      <c r="Q167" s="61">
        <f>IFERROR((Q152-Q155-N(Q159))/Q166,"")</f>
        <v>0.957086023690685</v>
      </c>
      <c r="R167" s="61">
        <f>IFERROR((R152-R155-N(R159))/R166,"")</f>
        <v>0.949547332979761</v>
      </c>
      <c r="S167" s="61">
        <f>IFERROR((S152-S155-N(S159))/S166,"")</f>
        <v>0.886438576817553</v>
      </c>
      <c r="T167" s="61">
        <f>IFERROR((T152-T155-N(T159))/T166,"")</f>
        <v>0.977549355475246</v>
      </c>
      <c r="U167" s="61">
        <f>IFERROR((U152-U155-N(U159))/U166,"")</f>
        <v>3.77063118269679</v>
      </c>
      <c r="V167" s="61">
        <f>IFERROR((V152-V155-N(V159))/V166,"")</f>
        <v>0.542536742166721</v>
      </c>
      <c r="W167" s="61">
        <f>IFERROR((W152-W155-N(W159))/W166,"")</f>
        <v>1.1095527461835</v>
      </c>
      <c r="X167" s="61">
        <f>IFERROR((X152-X155-N(X159))/X166,"")</f>
        <v>0.976326426465634</v>
      </c>
      <c r="Y167" s="61">
        <f>IFERROR((Y152-Y155-N(Y159))/Y166,"")</f>
        <v>0.958522176111755</v>
      </c>
      <c r="Z167" s="61">
        <f>IFERROR((Z152-Z155-N(Z159))/Z166,"")</f>
        <v>3.58788761744023</v>
      </c>
      <c r="AA167" s="61">
        <f>IFERROR((AA152-AA155-N(AA159))/AA166,"")</f>
        <v>1.0044606019513</v>
      </c>
      <c r="AB167" s="61">
        <f>IFERROR((AB152-AB155-N(AB159))/AB166,"")</f>
        <v>1.37639366653276</v>
      </c>
      <c r="AC167" s="61">
        <f>IFERROR((AC152-AC155-N(AC159))/AC166,"")</f>
        <v>1.1369847973179</v>
      </c>
      <c r="AD167" s="61">
        <f>IFERROR((AD152-AD155-N(AD159))/AD166,"")</f>
        <v>1.18142455617607</v>
      </c>
      <c r="AE167" s="61">
        <f>IFERROR((AE152-AE155-N(AE159))/AE166,"")</f>
        <v>4.69953035791934</v>
      </c>
      <c r="AF167" s="61">
        <f>IFERROR((AF152-AF155-N(AF159))/AF166,"")</f>
        <v>1.14382704310323</v>
      </c>
      <c r="AG167" s="61">
        <f>IFERROR((AG152-AG155-N(AG159))/AG166,"")</f>
        <v>1.11870706683752</v>
      </c>
      <c r="AH167" s="61">
        <f>IFERROR((AH152-AH155-N(AH159))/AH166,"")</f>
        <v>1.03964279502608</v>
      </c>
      <c r="AI167" s="61">
        <f>IFERROR((AI152-AI155-N(AI159))/AI166,"")</f>
        <v>0.821207880923894</v>
      </c>
      <c r="AJ167" s="61">
        <f>IFERROR((AJ152-AJ155-N(AJ159))/AJ166,"")</f>
        <v>4.12358873869537</v>
      </c>
      <c r="AK167" s="61">
        <f>IFERROR((AK152-AK155-N(AK159))/AK166,"")</f>
        <v>0.819347450915051</v>
      </c>
      <c r="AL167" s="61">
        <f>IFERROR((AL152-AL155-N(AL159))/AL166,"")</f>
        <v>0.541565391217998</v>
      </c>
      <c r="AM167" s="272">
        <f>IFERROR((AM152-AM155-N(AM159))/AM166,"")</f>
        <v>0.734885895497682</v>
      </c>
      <c r="AN167" s="272">
        <f>IFERROR((AN152-AN155-N(AN159))/AN166,"")</f>
        <v>0.852855382471477</v>
      </c>
      <c r="AO167" s="272">
        <f>SUM(AK167,AL167,AM167,AN167)</f>
        <v>2.94865412010221</v>
      </c>
      <c r="AP167" s="272">
        <f>IFERROR((AP152-AP155-N(AP159))/AP166,"")</f>
        <v>4.2804736972375</v>
      </c>
      <c r="AQ167" s="272">
        <f>IFERROR((AQ152-AQ155-N(AQ159))/AQ166,"")</f>
        <v>5.3848218911925</v>
      </c>
      <c r="AR167" s="272">
        <f>IFERROR((AR152-AR155-N(AR159))/AR166,"")</f>
        <v>6.39982492950411</v>
      </c>
      <c r="AS167" s="272">
        <f>IFERROR((AS152-AS155-N(AS159))/AS166,"")</f>
        <v>7.54467341749628</v>
      </c>
      <c r="AT167" s="19" t="inlineStr">
        <is>
          <t>Two-class / if-converted mechanics may cause ±$0.01–0.02 differences vs reported. 2026E = sum of quarters.</t>
        </is>
      </c>
      <c r="AV167" s="20">
        <f>IFERROR((AS167/AJ167)^(1/5)-1,"n/m")</f>
        <v>0.128425833576617</v>
      </c>
      <c r="AW167" s="20">
        <f>IFERROR((AJ167/K167)^(1/5)-1,"n/m")</f>
        <v>0.0947786117062002</v>
      </c>
      <c r="AX167" s="20" t="str">
        <f>IFERROR((AJ167/F167)^(1/10)-1,"n/m")</f>
        <v>n/m</v>
      </c>
      <c r="AY167" s="20" t="str">
        <f>IFERROR((AJ167/C167)^(1/13)-1,"n/m")</f>
        <v>n/m</v>
      </c>
    </row>
    <row r="168" outlineLevel="2" s="251">
      <c r="B168" s="156" t="inlineStr">
        <is>
          <t xml:space="preserve">  Memo: EPS – diluted, continuing operations as reported ($)</t>
        </is>
      </c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>
        <v>2.62</v>
      </c>
      <c r="L168" s="27" t="n">
        <v>0.96</v>
      </c>
      <c r="M168" s="27" t="n">
        <v>1.29</v>
      </c>
      <c r="N168" s="27" t="n">
        <v>1.01</v>
      </c>
      <c r="O168" s="27" t="n">
        <v>0.66</v>
      </c>
      <c r="P168" s="27" t="n">
        <v>3.92</v>
      </c>
      <c r="Q168" s="27" t="n">
        <v>0.96</v>
      </c>
      <c r="R168" s="27" t="n">
        <v>0.9399999999999999</v>
      </c>
      <c r="S168" s="27" t="n">
        <v>0.88</v>
      </c>
      <c r="T168" s="27" t="n">
        <v>0.97</v>
      </c>
      <c r="U168" s="27" t="n">
        <v>3.74</v>
      </c>
      <c r="V168" s="27" t="n">
        <v>0.54</v>
      </c>
      <c r="W168" s="27" t="n">
        <v>1.1</v>
      </c>
      <c r="X168" s="27" t="n">
        <v>0.97</v>
      </c>
      <c r="Y168" s="27" t="n">
        <v>0.96</v>
      </c>
      <c r="Z168" s="27" t="n">
        <v>3.56</v>
      </c>
      <c r="AA168" s="27" t="n">
        <v>1</v>
      </c>
      <c r="AB168" s="27" t="n">
        <v>1.37</v>
      </c>
      <c r="AC168" s="27" t="n">
        <v>1.13</v>
      </c>
      <c r="AD168" s="27" t="n">
        <v>1.18</v>
      </c>
      <c r="AE168" s="27" t="n">
        <v>4.68</v>
      </c>
      <c r="AF168" s="27" t="n">
        <v>1.14</v>
      </c>
      <c r="AG168" s="27" t="n">
        <v>1.12</v>
      </c>
      <c r="AH168" s="27" t="n">
        <v>1.04</v>
      </c>
      <c r="AI168" s="27" t="n">
        <v>0.82</v>
      </c>
      <c r="AJ168" s="27" t="n">
        <v>4.1</v>
      </c>
      <c r="AK168" s="27" t="n">
        <v>0.82</v>
      </c>
      <c r="AL168" s="27" t="n">
        <v>0.54</v>
      </c>
      <c r="AM168" s="273" t="n"/>
      <c r="AN168" s="273" t="n"/>
      <c r="AO168" s="273" t="n"/>
      <c r="AP168" s="273" t="n"/>
      <c r="AQ168" s="273" t="n"/>
      <c r="AR168" s="273" t="n"/>
      <c r="AS168" s="273" t="n"/>
      <c r="AT168" s="19" t="n"/>
    </row>
    <row r="169">
      <c r="B169" s="25" t="inlineStr">
        <is>
          <t>EPS – diluted, net income attributable to common ($)</t>
        </is>
      </c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38">
        <f>IFERROR(K160/K166,"")</f>
        <v>2.62206723751689</v>
      </c>
      <c r="L169" s="38">
        <f>IFERROR(L160/L166,"")</f>
        <v>0.960417451946771</v>
      </c>
      <c r="M169" s="38">
        <f>IFERROR(M160/M166,"")</f>
        <v>1.28937933509389</v>
      </c>
      <c r="N169" s="38">
        <f>IFERROR(N160/N166,"")</f>
        <v>1.00965596157171</v>
      </c>
      <c r="O169" s="38">
        <f>IFERROR(O160/O166,"")</f>
        <v>0.656807737828457</v>
      </c>
      <c r="P169" s="38">
        <f>IFERROR(P160/P166,"")</f>
        <v>3.91626048644082</v>
      </c>
      <c r="Q169" s="38">
        <f>IFERROR(Q160/Q166,"")</f>
        <v>0.923421941162945</v>
      </c>
      <c r="R169" s="38">
        <f>IFERROR(R160/R166,"")</f>
        <v>0.917978277831612</v>
      </c>
      <c r="S169" s="38">
        <f>IFERROR(S160/S166,"")</f>
        <v>0.870199419675352</v>
      </c>
      <c r="T169" s="38">
        <f>IFERROR(T160/T166,"")</f>
        <v>1.00793329692131</v>
      </c>
      <c r="U169" s="38">
        <f>IFERROR(U160/U166,"")</f>
        <v>3.71962795774027</v>
      </c>
      <c r="V169" s="38">
        <f>IFERROR(V160/V166,"")</f>
        <v>0.527442396554878</v>
      </c>
      <c r="W169" s="38">
        <f>IFERROR(W160/W166,"")</f>
        <v>1.08275347082402</v>
      </c>
      <c r="X169" s="38">
        <f>IFERROR(X160/X166,"")</f>
        <v>0.947955279234084</v>
      </c>
      <c r="Y169" s="38">
        <f>IFERROR(Y160/Y166,"")</f>
        <v>0.825692213879708</v>
      </c>
      <c r="Z169" s="38">
        <f>IFERROR(Z160/Z166,"")</f>
        <v>3.38442791553499</v>
      </c>
      <c r="AA169" s="38">
        <f>IFERROR(AA160/AA166,"")</f>
        <v>0.982997348148587</v>
      </c>
      <c r="AB169" s="38">
        <f>IFERROR(AB160/AB166,"")</f>
        <v>1.35738532748765</v>
      </c>
      <c r="AC169" s="38">
        <f>IFERROR(AC160/AC166,"")</f>
        <v>1.11711121848955</v>
      </c>
      <c r="AD169" s="38">
        <f>IFERROR(AD160/AD166,"")</f>
        <v>0.8773712687356</v>
      </c>
      <c r="AE169" s="38">
        <f>IFERROR(AE160/AE166,"")</f>
        <v>4.33441993603391</v>
      </c>
      <c r="AF169" s="38">
        <f>IFERROR(AF160/AF166,"")</f>
        <v>1.09924561102165</v>
      </c>
      <c r="AG169" s="38">
        <f>IFERROR(AG160/AG166,"")</f>
        <v>1.09084988921716</v>
      </c>
      <c r="AH169" s="38">
        <f>IFERROR(AH160/AH166,"")</f>
        <v>0.895631708899495</v>
      </c>
      <c r="AI169" s="38">
        <f>IFERROR(AI160/AI166,"")</f>
        <v>0.615240419569372</v>
      </c>
      <c r="AJ169" s="38">
        <f>IFERROR(AJ160/AJ166,"")</f>
        <v>3.70131739974349</v>
      </c>
      <c r="AK169" s="38">
        <f>IFERROR(AK160/AK166,"")</f>
        <v>0.777660264380985</v>
      </c>
      <c r="AL169" s="38">
        <f>IFERROR(AL160/AL166,"")</f>
        <v>0.502412762491359</v>
      </c>
      <c r="AM169" s="270">
        <f>IFERROR(AM160/AM166,"")</f>
        <v>0.695127186595436</v>
      </c>
      <c r="AN169" s="270">
        <f>IFERROR(AN160/AN166,"")</f>
        <v>0.81309667356923</v>
      </c>
      <c r="AO169" s="270">
        <f>IFERROR(AO160/AO166,"")</f>
        <v>2.7893574638567</v>
      </c>
      <c r="AP169" s="270">
        <f>IFERROR(AP160/AP166,"")</f>
        <v>4.08912978337236</v>
      </c>
      <c r="AQ169" s="270">
        <f>IFERROR(AQ160/AQ166,"")</f>
        <v>5.19239413836105</v>
      </c>
      <c r="AR169" s="270">
        <f>IFERROR(AR160/AR166,"")</f>
        <v>6.2020664428603</v>
      </c>
      <c r="AS169" s="270">
        <f>IFERROR(AS160/AS166,"")</f>
        <v>7.33619237940752</v>
      </c>
      <c r="AT169" s="19" t="n"/>
    </row>
    <row r="170" outlineLevel="2" s="251">
      <c r="B170" s="156" t="inlineStr">
        <is>
          <t xml:space="preserve">  Memo: EPS – diluted as reported ($)</t>
        </is>
      </c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>
        <v>2.62</v>
      </c>
      <c r="L170" s="27" t="n">
        <v>0.96</v>
      </c>
      <c r="M170" s="27" t="n">
        <v>1.29</v>
      </c>
      <c r="N170" s="27" t="n">
        <v>1.01</v>
      </c>
      <c r="O170" s="27" t="n">
        <v>0.66</v>
      </c>
      <c r="P170" s="27" t="n">
        <v>3.92</v>
      </c>
      <c r="Q170" s="27" t="n">
        <v>0.93</v>
      </c>
      <c r="R170" s="27" t="n">
        <v>0.91</v>
      </c>
      <c r="S170" s="27" t="n">
        <v>0.86</v>
      </c>
      <c r="T170" s="27" t="n">
        <v>1</v>
      </c>
      <c r="U170" s="27" t="n">
        <v>3.69</v>
      </c>
      <c r="V170" s="27" t="n">
        <v>0.52</v>
      </c>
      <c r="W170" s="27" t="n">
        <v>1.07</v>
      </c>
      <c r="X170" s="27" t="n">
        <v>0.9399999999999999</v>
      </c>
      <c r="Y170" s="27" t="n">
        <v>0.83</v>
      </c>
      <c r="Z170" s="27" t="n">
        <v>3.36</v>
      </c>
      <c r="AA170" s="27" t="n">
        <v>0.98</v>
      </c>
      <c r="AB170" s="27" t="n">
        <v>1.35</v>
      </c>
      <c r="AC170" s="27" t="n">
        <v>1.11</v>
      </c>
      <c r="AD170" s="27" t="n">
        <v>0.88</v>
      </c>
      <c r="AE170" s="27" t="n">
        <v>4.31</v>
      </c>
      <c r="AF170" s="27" t="n">
        <v>1.1</v>
      </c>
      <c r="AG170" s="27" t="n">
        <v>1.09</v>
      </c>
      <c r="AH170" s="27" t="n">
        <v>0.9</v>
      </c>
      <c r="AI170" s="27" t="n">
        <v>0.61</v>
      </c>
      <c r="AJ170" s="27" t="n">
        <v>3.67</v>
      </c>
      <c r="AK170" s="27" t="n">
        <v>0.78</v>
      </c>
      <c r="AL170" s="27" t="n">
        <v>0.5</v>
      </c>
      <c r="AM170" s="273" t="n"/>
      <c r="AN170" s="273" t="n"/>
      <c r="AO170" s="273" t="n"/>
      <c r="AP170" s="273" t="n"/>
      <c r="AQ170" s="273" t="n"/>
      <c r="AR170" s="273" t="n"/>
      <c r="AS170" s="273" t="n"/>
      <c r="AT170" s="19" t="n"/>
    </row>
    <row r="171">
      <c r="B171" s="25" t="inlineStr">
        <is>
          <t xml:space="preserve">  Dividends declared per share ($)</t>
        </is>
      </c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>
        <v>0</v>
      </c>
      <c r="L171" s="27" t="n">
        <v>0</v>
      </c>
      <c r="M171" s="27" t="n">
        <v>0</v>
      </c>
      <c r="N171" s="27" t="n">
        <v>0</v>
      </c>
      <c r="O171" s="27" t="n">
        <v>0</v>
      </c>
      <c r="P171" s="27" t="n">
        <v>0</v>
      </c>
      <c r="Q171" s="27" t="n">
        <v>0</v>
      </c>
      <c r="R171" s="27" t="n">
        <v>0.05</v>
      </c>
      <c r="S171" s="27" t="n">
        <v>0.05</v>
      </c>
      <c r="T171" s="27" t="n">
        <v>0.05</v>
      </c>
      <c r="U171" s="27" t="n">
        <v>0.15</v>
      </c>
      <c r="V171" s="27" t="n">
        <v>0.05</v>
      </c>
      <c r="W171" s="27" t="n">
        <v>0.06</v>
      </c>
      <c r="X171" s="27" t="n">
        <v>0.06</v>
      </c>
      <c r="Y171" s="27" t="n">
        <v>0.06</v>
      </c>
      <c r="Z171" s="27" t="n">
        <v>0.23</v>
      </c>
      <c r="AA171" s="27" t="n">
        <v>0.06</v>
      </c>
      <c r="AB171" s="27" t="n">
        <v>0.08</v>
      </c>
      <c r="AC171" s="27" t="n">
        <v>0.08</v>
      </c>
      <c r="AD171" s="27" t="n">
        <v>0.08</v>
      </c>
      <c r="AE171" s="27" t="n">
        <v>0.3</v>
      </c>
      <c r="AF171" s="27" t="n">
        <v>0.08</v>
      </c>
      <c r="AG171" s="27" t="n">
        <v>0.1</v>
      </c>
      <c r="AH171" s="27" t="n">
        <v>0.1</v>
      </c>
      <c r="AI171" s="27" t="n">
        <v>0.1</v>
      </c>
      <c r="AJ171" s="27" t="n">
        <v>0.38</v>
      </c>
      <c r="AK171" s="27" t="n">
        <v>0.1</v>
      </c>
      <c r="AL171" s="27" t="n">
        <v>0.12</v>
      </c>
      <c r="AM171" s="270">
        <f>$AL$171</f>
        <v>0.12</v>
      </c>
      <c r="AN171" s="270">
        <f>$AL$171</f>
        <v>0.12</v>
      </c>
      <c r="AO171" s="270">
        <f>SUM(AK171,AL171,AM171,AN171)</f>
        <v>0.46</v>
      </c>
      <c r="AP171" s="270">
        <f>AO171*(1+AP172)</f>
        <v>0.506</v>
      </c>
      <c r="AQ171" s="270">
        <f>AP171*(1+AQ172)</f>
        <v>0.5566</v>
      </c>
      <c r="AR171" s="270">
        <f>AQ171*(1+AR172)</f>
        <v>0.61226</v>
      </c>
      <c r="AS171" s="270">
        <f>AR171*(1+AS172)</f>
        <v>0.673486</v>
      </c>
      <c r="AT171" s="19" t="inlineStr">
        <is>
          <t>Q3/Q4-26E: Q2/26 quarterly dividend held. 2027E+: +10% p.a.</t>
        </is>
      </c>
      <c r="AV171" s="20">
        <f>IFERROR((AS171/AJ171)^(1/5)-1,"n/m")</f>
        <v>0.121266882569854</v>
      </c>
      <c r="AW171" s="20" t="str">
        <f>IFERROR((AJ171/K171)^(1/5)-1,"n/m")</f>
        <v>n/m</v>
      </c>
      <c r="AX171" s="20" t="str">
        <f>IFERROR((AJ171/F171)^(1/10)-1,"n/m")</f>
        <v>n/m</v>
      </c>
      <c r="AY171" s="20" t="str">
        <f>IFERROR((AJ171/C171)^(1/13)-1,"n/m")</f>
        <v>n/m</v>
      </c>
    </row>
    <row r="172">
      <c r="B172" s="22" t="inlineStr">
        <is>
          <t xml:space="preserve">  Dividend per share growth %</t>
        </is>
      </c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>
        <f>IF(AND(ISNUMBER(P171),ISNUMBER(K171)),IFERROR(P171/K171-1,""),"")</f>
      </c>
      <c r="Q172" s="23">
        <f>IF(AND(ISNUMBER(Q171),ISNUMBER(L171)),IFERROR(Q171/L171-1,""),"")</f>
      </c>
      <c r="R172" s="23">
        <f>IF(AND(ISNUMBER(R171),ISNUMBER(M171)),IFERROR(R171/M171-1,""),"")</f>
      </c>
      <c r="S172" s="23">
        <f>IF(AND(ISNUMBER(S171),ISNUMBER(N171)),IFERROR(S171/N171-1,""),"")</f>
      </c>
      <c r="T172" s="23">
        <f>IF(AND(ISNUMBER(T171),ISNUMBER(O171)),IFERROR(T171/O171-1,""),"")</f>
      </c>
      <c r="U172" s="23">
        <f>IF(AND(ISNUMBER(U171),ISNUMBER(P171)),IFERROR(U171/P171-1,""),"")</f>
      </c>
      <c r="V172" s="23">
        <f>IF(AND(ISNUMBER(V171),ISNUMBER(Q171)),IFERROR(V171/Q171-1,""),"")</f>
      </c>
      <c r="W172" s="23">
        <f>IF(AND(ISNUMBER(W171),ISNUMBER(R171)),IFERROR(W171/R171-1,""),"")</f>
        <v>0.2</v>
      </c>
      <c r="X172" s="23">
        <f>IF(AND(ISNUMBER(X171),ISNUMBER(S171)),IFERROR(X171/S171-1,""),"")</f>
        <v>0.2</v>
      </c>
      <c r="Y172" s="23">
        <f>IF(AND(ISNUMBER(Y171),ISNUMBER(T171)),IFERROR(Y171/T171-1,""),"")</f>
        <v>0.2</v>
      </c>
      <c r="Z172" s="23">
        <f>IF(AND(ISNUMBER(Z171),ISNUMBER(U171)),IFERROR(Z171/U171-1,""),"")</f>
        <v>0.533333333333333</v>
      </c>
      <c r="AA172" s="23">
        <f>IF(AND(ISNUMBER(AA171),ISNUMBER(V171)),IFERROR(AA171/V171-1,""),"")</f>
        <v>0.2</v>
      </c>
      <c r="AB172" s="23">
        <f>IF(AND(ISNUMBER(AB171),ISNUMBER(W171)),IFERROR(AB171/W171-1,""),"")</f>
        <v>0.333333333333334</v>
      </c>
      <c r="AC172" s="23">
        <f>IF(AND(ISNUMBER(AC171),ISNUMBER(X171)),IFERROR(AC171/X171-1,""),"")</f>
        <v>0.333333333333334</v>
      </c>
      <c r="AD172" s="23">
        <f>IF(AND(ISNUMBER(AD171),ISNUMBER(Y171)),IFERROR(AD171/Y171-1,""),"")</f>
        <v>0.333333333333334</v>
      </c>
      <c r="AE172" s="23">
        <f>IF(AND(ISNUMBER(AE171),ISNUMBER(Z171)),IFERROR(AE171/Z171-1,""),"")</f>
        <v>0.304347826086956</v>
      </c>
      <c r="AF172" s="23">
        <f>IF(AND(ISNUMBER(AF171),ISNUMBER(AA171)),IFERROR(AF171/AA171-1,""),"")</f>
        <v>0.333333333333334</v>
      </c>
      <c r="AG172" s="23">
        <f>IF(AND(ISNUMBER(AG171),ISNUMBER(AB171)),IFERROR(AG171/AB171-1,""),"")</f>
        <v>0.25</v>
      </c>
      <c r="AH172" s="23">
        <f>IF(AND(ISNUMBER(AH171),ISNUMBER(AC171)),IFERROR(AH171/AC171-1,""),"")</f>
        <v>0.25</v>
      </c>
      <c r="AI172" s="23">
        <f>IF(AND(ISNUMBER(AI171),ISNUMBER(AD171)),IFERROR(AI171/AD171-1,""),"")</f>
        <v>0.25</v>
      </c>
      <c r="AJ172" s="23">
        <f>IF(AND(ISNUMBER(AJ171),ISNUMBER(AE171)),IFERROR(AJ171/AE171-1,""),"")</f>
        <v>0.266666666666667</v>
      </c>
      <c r="AK172" s="23">
        <f>IF(AND(ISNUMBER(AK171),ISNUMBER(AF171)),IFERROR(AK171/AF171-1,""),"")</f>
        <v>0.25</v>
      </c>
      <c r="AL172" s="23">
        <f>IF(AND(ISNUMBER(AL171),ISNUMBER(AG171)),IFERROR(AL171/AG171-1,""),"")</f>
        <v>0.2</v>
      </c>
      <c r="AM172" s="254" t="n"/>
      <c r="AN172" s="254" t="n"/>
      <c r="AO172" s="254">
        <f>IFERROR(AO171/AJ171-1,"")</f>
        <v>0.210526315789474</v>
      </c>
      <c r="AP172" s="255" t="n">
        <v>0.1</v>
      </c>
      <c r="AQ172" s="255" t="n">
        <v>0.1</v>
      </c>
      <c r="AR172" s="255" t="n">
        <v>0.1</v>
      </c>
      <c r="AS172" s="255" t="n">
        <v>0.1</v>
      </c>
      <c r="AT172" s="19" t="n"/>
    </row>
    <row r="173">
      <c r="AT173" s="19" t="n"/>
    </row>
    <row r="174">
      <c r="B174" s="10" t="inlineStr">
        <is>
          <t>RECONCILIATION A: NET INCOME (CONTINUING OPS) → EBITDA → ADJUSTED EBITDA → CORE ADJUSTED EBITDA (company definition)</t>
        </is>
      </c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inlineStr">
        <is>
          <t>ADJUSTED EBITDA — per ESAB earnings-release reconciliations ('Reconciliation of GAAP to non-GAAP financial measures'); core = ex-Russia</t>
        </is>
      </c>
    </row>
    <row r="175">
      <c r="B175" s="16" t="inlineStr">
        <is>
          <t>Net income from continuing operations (GAAP)</t>
        </is>
      </c>
      <c r="C175" s="43">
        <f>C152</f>
        <v>0</v>
      </c>
      <c r="D175" s="43">
        <f>D152</f>
        <v>0</v>
      </c>
      <c r="E175" s="43">
        <f>E152</f>
        <v>0</v>
      </c>
      <c r="F175" s="43">
        <f>F152</f>
        <v>0</v>
      </c>
      <c r="G175" s="43">
        <f>G152</f>
        <v>0</v>
      </c>
      <c r="H175" s="43">
        <f>H152</f>
        <v>0</v>
      </c>
      <c r="I175" s="43">
        <f>I152</f>
        <v>0</v>
      </c>
      <c r="J175" s="43">
        <f>J152</f>
        <v>176.731</v>
      </c>
      <c r="K175" s="43">
        <f>K152</f>
        <v>159.868</v>
      </c>
      <c r="L175" s="43">
        <f>L152</f>
        <v>58.534</v>
      </c>
      <c r="M175" s="43">
        <f>M152</f>
        <v>78.112</v>
      </c>
      <c r="N175" s="43">
        <f>N152</f>
        <v>61.4319999999999</v>
      </c>
      <c r="O175" s="43">
        <f>O152</f>
        <v>40.601</v>
      </c>
      <c r="P175" s="43">
        <f>P152</f>
        <v>238.679</v>
      </c>
      <c r="Q175" s="43">
        <f>Q152</f>
        <v>58.424</v>
      </c>
      <c r="R175" s="43">
        <f>R152</f>
        <v>57.9240000000001</v>
      </c>
      <c r="S175" s="43">
        <f>S152</f>
        <v>54.293</v>
      </c>
      <c r="T175" s="43">
        <f>T152</f>
        <v>60.44</v>
      </c>
      <c r="U175" s="43">
        <f>U152</f>
        <v>231.081</v>
      </c>
      <c r="V175" s="43">
        <f>V152</f>
        <v>34.129</v>
      </c>
      <c r="W175" s="43">
        <f>W152</f>
        <v>68.846</v>
      </c>
      <c r="X175" s="43">
        <f>X152</f>
        <v>60.836</v>
      </c>
      <c r="Y175" s="43">
        <f>Y152</f>
        <v>59.554</v>
      </c>
      <c r="Z175" s="43">
        <f>Z152</f>
        <v>223.365</v>
      </c>
      <c r="AA175" s="43">
        <f>AA152</f>
        <v>62.903</v>
      </c>
      <c r="AB175" s="43">
        <f>AB152</f>
        <v>85.53</v>
      </c>
      <c r="AC175" s="43">
        <f>AC152</f>
        <v>71.047</v>
      </c>
      <c r="AD175" s="43">
        <f>AD152</f>
        <v>73.577</v>
      </c>
      <c r="AE175" s="43">
        <f>AE152</f>
        <v>293.057</v>
      </c>
      <c r="AF175" s="43">
        <f>AF152</f>
        <v>72.5640000000001</v>
      </c>
      <c r="AG175" s="43">
        <f>AG152</f>
        <v>69.812</v>
      </c>
      <c r="AH175" s="43">
        <f>AH152</f>
        <v>65.34</v>
      </c>
      <c r="AI175" s="43">
        <f>AI152</f>
        <v>51.387</v>
      </c>
      <c r="AJ175" s="43">
        <f>AJ152</f>
        <v>259.103</v>
      </c>
      <c r="AK175" s="43">
        <f>AK152</f>
        <v>51.791</v>
      </c>
      <c r="AL175" s="43">
        <f>AL152</f>
        <v>36.4009999999999</v>
      </c>
      <c r="AM175" s="253">
        <f>AM152</f>
        <v>50.3613845119076</v>
      </c>
      <c r="AN175" s="253">
        <f>AN152</f>
        <v>57.7302661730238</v>
      </c>
      <c r="AO175" s="253">
        <f>AO152</f>
        <v>196.283650684931</v>
      </c>
      <c r="AP175" s="253">
        <f>AP152</f>
        <v>286.760559015759</v>
      </c>
      <c r="AQ175" s="253">
        <f>AQ152</f>
        <v>354.455667374207</v>
      </c>
      <c r="AR175" s="253">
        <f>AR152</f>
        <v>401.753788406904</v>
      </c>
      <c r="AS175" s="253">
        <f>AS152</f>
        <v>442.476265313004</v>
      </c>
      <c r="AT175" s="19" t="n"/>
    </row>
    <row r="176">
      <c r="B176" s="25" t="inlineStr">
        <is>
          <t xml:space="preserve">  (+) Income tax expense</t>
        </is>
      </c>
      <c r="C176" s="44">
        <f>C150</f>
        <v>0</v>
      </c>
      <c r="D176" s="44">
        <f>D150</f>
        <v>0</v>
      </c>
      <c r="E176" s="44">
        <f>E150</f>
        <v>0</v>
      </c>
      <c r="F176" s="44">
        <f>F150</f>
        <v>0</v>
      </c>
      <c r="G176" s="44">
        <f>G150</f>
        <v>0</v>
      </c>
      <c r="H176" s="44">
        <f>H150</f>
        <v>0</v>
      </c>
      <c r="I176" s="44">
        <f>I150</f>
        <v>0</v>
      </c>
      <c r="J176" s="44">
        <f>J150</f>
        <v>44.736</v>
      </c>
      <c r="K176" s="44">
        <f>K150</f>
        <v>45.971</v>
      </c>
      <c r="L176" s="44">
        <f>L150</f>
        <v>13.992</v>
      </c>
      <c r="M176" s="44">
        <f>M150</f>
        <v>15.61</v>
      </c>
      <c r="N176" s="44">
        <f>N150</f>
        <v>17.441</v>
      </c>
      <c r="O176" s="44">
        <f>O150</f>
        <v>33.366</v>
      </c>
      <c r="P176" s="44">
        <f>P150</f>
        <v>80.409</v>
      </c>
      <c r="Q176" s="44">
        <f>Q150</f>
        <v>25.746</v>
      </c>
      <c r="R176" s="44">
        <f>R150</f>
        <v>20.047</v>
      </c>
      <c r="S176" s="44">
        <f>S150</f>
        <v>17.836</v>
      </c>
      <c r="T176" s="44">
        <f>T150</f>
        <v>5.541</v>
      </c>
      <c r="U176" s="44">
        <f>U150</f>
        <v>69.17</v>
      </c>
      <c r="V176" s="44">
        <f>V150</f>
        <v>37.024</v>
      </c>
      <c r="W176" s="44">
        <f>W150</f>
        <v>20.974</v>
      </c>
      <c r="X176" s="44">
        <f>X150</f>
        <v>19.808</v>
      </c>
      <c r="Y176" s="44">
        <f>Y150</f>
        <v>17.921</v>
      </c>
      <c r="Z176" s="44">
        <f>Z150</f>
        <v>95.727</v>
      </c>
      <c r="AA176" s="44">
        <f>AA150</f>
        <v>18.504</v>
      </c>
      <c r="AB176" s="44">
        <f>AB150</f>
        <v>17.885</v>
      </c>
      <c r="AC176" s="44">
        <f>AC150</f>
        <v>18.074</v>
      </c>
      <c r="AD176" s="44">
        <f>AD150</f>
        <v>22.885</v>
      </c>
      <c r="AE176" s="44">
        <f>AE150</f>
        <v>77.348</v>
      </c>
      <c r="AF176" s="44">
        <f>AF150</f>
        <v>20.499</v>
      </c>
      <c r="AG176" s="44">
        <f>AG150</f>
        <v>18.283</v>
      </c>
      <c r="AH176" s="44">
        <f>AH150</f>
        <v>17.694</v>
      </c>
      <c r="AI176" s="44">
        <f>AI150</f>
        <v>12.681</v>
      </c>
      <c r="AJ176" s="44">
        <f>AJ150</f>
        <v>69.157</v>
      </c>
      <c r="AK176" s="44">
        <f>AK150</f>
        <v>13.111</v>
      </c>
      <c r="AL176" s="44">
        <f>AL150</f>
        <v>11.701</v>
      </c>
      <c r="AM176" s="257">
        <f>AM150</f>
        <v>15.0430109581023</v>
      </c>
      <c r="AN176" s="257">
        <f>AN150</f>
        <v>17.2441054802539</v>
      </c>
      <c r="AO176" s="257">
        <f>AO150</f>
        <v>57.0991164383562</v>
      </c>
      <c r="AP176" s="257">
        <f>AP150</f>
        <v>88.0898449264096</v>
      </c>
      <c r="AQ176" s="257">
        <f>AQ150</f>
        <v>108.885074291423</v>
      </c>
      <c r="AR176" s="257">
        <f>AR150</f>
        <v>123.414562451794</v>
      </c>
      <c r="AS176" s="257">
        <f>AS150</f>
        <v>135.92408150138</v>
      </c>
      <c r="AT176" s="19" t="n"/>
    </row>
    <row r="177">
      <c r="B177" s="25" t="inlineStr">
        <is>
          <t xml:space="preserve">  (+) Interest expense and other, net</t>
        </is>
      </c>
      <c r="C177" s="44">
        <f>C147</f>
        <v>0</v>
      </c>
      <c r="D177" s="44">
        <f>D147</f>
        <v>0</v>
      </c>
      <c r="E177" s="44">
        <f>E147</f>
        <v>0</v>
      </c>
      <c r="F177" s="44">
        <f>F147</f>
        <v>0</v>
      </c>
      <c r="G177" s="44">
        <f>G147</f>
        <v>0</v>
      </c>
      <c r="H177" s="44">
        <f>H147</f>
        <v>0</v>
      </c>
      <c r="I177" s="44">
        <f>I147</f>
        <v>0</v>
      </c>
      <c r="J177" s="44">
        <f>J147</f>
        <v>0.997</v>
      </c>
      <c r="K177" s="44">
        <f>K147</f>
        <v>-3.713</v>
      </c>
      <c r="L177" s="44">
        <f>L147</f>
        <v>-0.225</v>
      </c>
      <c r="M177" s="44">
        <f>M147</f>
        <v>-0.314</v>
      </c>
      <c r="N177" s="44">
        <f>N147</f>
        <v>-0.209</v>
      </c>
      <c r="O177" s="44">
        <f>O147</f>
        <v>-0.919</v>
      </c>
      <c r="P177" s="44">
        <f>P147</f>
        <v>-1.666</v>
      </c>
      <c r="Q177" s="44">
        <f>Q147</f>
        <v>-0.556</v>
      </c>
      <c r="R177" s="44">
        <f>R147</f>
        <v>7.907</v>
      </c>
      <c r="S177" s="44">
        <f>S147</f>
        <v>12.165</v>
      </c>
      <c r="T177" s="44">
        <f>T147</f>
        <v>18.434</v>
      </c>
      <c r="U177" s="44">
        <f>U147</f>
        <v>37.95</v>
      </c>
      <c r="V177" s="44">
        <f>V147</f>
        <v>19.51</v>
      </c>
      <c r="W177" s="44">
        <f>W147</f>
        <v>18.819</v>
      </c>
      <c r="X177" s="44">
        <f>X147</f>
        <v>20.502</v>
      </c>
      <c r="Y177" s="44">
        <f>Y147</f>
        <v>26.243</v>
      </c>
      <c r="Z177" s="44">
        <f>Z147</f>
        <v>85.074</v>
      </c>
      <c r="AA177" s="44">
        <f>AA147</f>
        <v>17.091</v>
      </c>
      <c r="AB177" s="44">
        <f>AB147</f>
        <v>15.94</v>
      </c>
      <c r="AC177" s="44">
        <f>AC147</f>
        <v>16.894</v>
      </c>
      <c r="AD177" s="44">
        <f>AD147</f>
        <v>14.965</v>
      </c>
      <c r="AE177" s="44">
        <f>AE147</f>
        <v>64.89</v>
      </c>
      <c r="AF177" s="44">
        <f>AF147</f>
        <v>16.782</v>
      </c>
      <c r="AG177" s="44">
        <f>AG147</f>
        <v>20.999</v>
      </c>
      <c r="AH177" s="44">
        <f>AH147</f>
        <v>23.584</v>
      </c>
      <c r="AI177" s="44">
        <f>AI147</f>
        <v>22.545</v>
      </c>
      <c r="AJ177" s="44">
        <f>AJ147</f>
        <v>83.91</v>
      </c>
      <c r="AK177" s="44">
        <f>AK147</f>
        <v>25.577</v>
      </c>
      <c r="AL177" s="44">
        <f>AL147</f>
        <v>30.623</v>
      </c>
      <c r="AM177" s="257">
        <f>AM147</f>
        <v>36</v>
      </c>
      <c r="AN177" s="257">
        <f>AN147</f>
        <v>34.5</v>
      </c>
      <c r="AO177" s="257">
        <f>AO147</f>
        <v>126.7</v>
      </c>
      <c r="AP177" s="257">
        <f>AP147</f>
        <v>127.136940954722</v>
      </c>
      <c r="AQ177" s="257">
        <f>AQ147</f>
        <v>115.262327600374</v>
      </c>
      <c r="AR177" s="257">
        <f>AR147</f>
        <v>112.491873823739</v>
      </c>
      <c r="AS177" s="257">
        <f>AS147</f>
        <v>114.83406411057</v>
      </c>
      <c r="AT177" s="19" t="n"/>
    </row>
    <row r="178">
      <c r="B178" s="25" t="inlineStr">
        <is>
          <t xml:space="preserve">  (+/−) Pension settlement (gain) loss &amp; other non-operating items</t>
        </is>
      </c>
      <c r="C178" s="44">
        <f>N(C148)</f>
        <v>0</v>
      </c>
      <c r="D178" s="44">
        <f>N(D148)</f>
        <v>0</v>
      </c>
      <c r="E178" s="44">
        <f>N(E148)</f>
        <v>0</v>
      </c>
      <c r="F178" s="44">
        <f>N(F148)</f>
        <v>0</v>
      </c>
      <c r="G178" s="44">
        <f>N(G148)</f>
        <v>0</v>
      </c>
      <c r="H178" s="44">
        <f>N(H148)</f>
        <v>0</v>
      </c>
      <c r="I178" s="44">
        <f>N(I148)</f>
        <v>0</v>
      </c>
      <c r="J178" s="44">
        <f>N(J148)</f>
        <v>33.616</v>
      </c>
      <c r="K178" s="44">
        <f>N(K148)</f>
        <v>0</v>
      </c>
      <c r="L178" s="44">
        <f>N(L148)</f>
        <v>0</v>
      </c>
      <c r="M178" s="44">
        <f>N(M148)</f>
        <v>-11.208</v>
      </c>
      <c r="N178" s="44">
        <f>N(N148)</f>
        <v>0</v>
      </c>
      <c r="O178" s="44">
        <f>N(O148)</f>
        <v>0</v>
      </c>
      <c r="P178" s="44">
        <f>N(P148)</f>
        <v>-11.208</v>
      </c>
      <c r="Q178" s="44">
        <f>N(Q148)</f>
        <v>0</v>
      </c>
      <c r="R178" s="44">
        <f>N(R148)</f>
        <v>0</v>
      </c>
      <c r="S178" s="44">
        <f>N(S148)</f>
        <v>-3.3</v>
      </c>
      <c r="T178" s="44">
        <f>N(T148)</f>
        <v>-5.836</v>
      </c>
      <c r="U178" s="44">
        <f>N(U148)</f>
        <v>-9.136</v>
      </c>
      <c r="V178" s="44">
        <f>N(V148)</f>
        <v>0</v>
      </c>
      <c r="W178" s="44">
        <f>N(W148)</f>
        <v>0</v>
      </c>
      <c r="X178" s="44">
        <f>N(X148)</f>
        <v>0</v>
      </c>
      <c r="Y178" s="44">
        <f>N(Y148)</f>
        <v>0</v>
      </c>
      <c r="Z178" s="44">
        <f>N(Z148)</f>
        <v>0</v>
      </c>
      <c r="AA178" s="44">
        <f>N(AA148)</f>
        <v>12.155</v>
      </c>
      <c r="AB178" s="44">
        <f>N(AB148)</f>
        <v>0</v>
      </c>
      <c r="AC178" s="44">
        <f>N(AC148)</f>
        <v>0</v>
      </c>
      <c r="AD178" s="44">
        <f>N(AD148)</f>
        <v>0</v>
      </c>
      <c r="AE178" s="44">
        <f>N(AE148)</f>
        <v>12.155</v>
      </c>
      <c r="AF178" s="44">
        <f>N(AF148)</f>
        <v>0</v>
      </c>
      <c r="AG178" s="44">
        <f>N(AG148)</f>
        <v>0</v>
      </c>
      <c r="AH178" s="44">
        <f>N(AH148)</f>
        <v>0</v>
      </c>
      <c r="AI178" s="44">
        <f>N(AI148)</f>
        <v>0</v>
      </c>
      <c r="AJ178" s="44">
        <f>N(AJ148)</f>
        <v>0</v>
      </c>
      <c r="AK178" s="44">
        <f>N(AK148)</f>
        <v>0</v>
      </c>
      <c r="AL178" s="44">
        <f>N(AL148)</f>
        <v>0</v>
      </c>
      <c r="AM178" s="257">
        <f>N(AM148)</f>
        <v>0</v>
      </c>
      <c r="AN178" s="257">
        <f>N(AN148)</f>
        <v>0</v>
      </c>
      <c r="AO178" s="257">
        <f>N(AO148)</f>
        <v>0</v>
      </c>
      <c r="AP178" s="257">
        <f>N(AP148)</f>
        <v>0</v>
      </c>
      <c r="AQ178" s="257">
        <f>N(AQ148)</f>
        <v>0</v>
      </c>
      <c r="AR178" s="257">
        <f>N(AR148)</f>
        <v>0</v>
      </c>
      <c r="AS178" s="257">
        <f>N(AS148)</f>
        <v>0</v>
      </c>
      <c r="AT178" s="19" t="n"/>
    </row>
    <row r="179">
      <c r="B179" s="16" t="inlineStr">
        <is>
          <t xml:space="preserve">  = Operating income</t>
        </is>
      </c>
      <c r="C179" s="43">
        <f>C175+C176+C177+C178</f>
        <v>0</v>
      </c>
      <c r="D179" s="43">
        <f>D175+D176+D177+D178</f>
        <v>0</v>
      </c>
      <c r="E179" s="43">
        <f>E175+E176+E177+E178</f>
        <v>0</v>
      </c>
      <c r="F179" s="43">
        <f>F175+F176+F177+F178</f>
        <v>0</v>
      </c>
      <c r="G179" s="43">
        <f>G175+G176+G177+G178</f>
        <v>0</v>
      </c>
      <c r="H179" s="43">
        <f>H175+H176+H177+H178</f>
        <v>0</v>
      </c>
      <c r="I179" s="43">
        <f>I175+I176+I177+I178</f>
        <v>0</v>
      </c>
      <c r="J179" s="43">
        <f>J175+J176+J177+J178</f>
        <v>256.08</v>
      </c>
      <c r="K179" s="43">
        <f>K175+K176+K177+K178</f>
        <v>202.126</v>
      </c>
      <c r="L179" s="43">
        <f>L175+L176+L177+L178</f>
        <v>72.301</v>
      </c>
      <c r="M179" s="43">
        <f>M175+M176+M177+M178</f>
        <v>82.2</v>
      </c>
      <c r="N179" s="43">
        <f>N175+N176+N177+N178</f>
        <v>78.6639999999999</v>
      </c>
      <c r="O179" s="43">
        <f>O175+O176+O177+O178</f>
        <v>73.048</v>
      </c>
      <c r="P179" s="43">
        <f>P175+P176+P177+P178</f>
        <v>306.214</v>
      </c>
      <c r="Q179" s="43">
        <f>Q175+Q176+Q177+Q178</f>
        <v>83.614</v>
      </c>
      <c r="R179" s="43">
        <f>R175+R176+R177+R178</f>
        <v>85.878</v>
      </c>
      <c r="S179" s="43">
        <f>S175+S176+S177+S178</f>
        <v>80.994</v>
      </c>
      <c r="T179" s="43">
        <f>T175+T176+T177+T178</f>
        <v>78.579</v>
      </c>
      <c r="U179" s="43">
        <f>U175+U176+U177+U178</f>
        <v>329.065</v>
      </c>
      <c r="V179" s="43">
        <f>V175+V176+V177+V178</f>
        <v>90.663</v>
      </c>
      <c r="W179" s="43">
        <f>W175+W176+W177+W178</f>
        <v>108.639</v>
      </c>
      <c r="X179" s="43">
        <f>X175+X176+X177+X178</f>
        <v>101.146</v>
      </c>
      <c r="Y179" s="43">
        <f>Y175+Y176+Y177+Y178</f>
        <v>103.718</v>
      </c>
      <c r="Z179" s="43">
        <f>Z175+Z176+Z177+Z178</f>
        <v>404.166</v>
      </c>
      <c r="AA179" s="43">
        <f>AA175+AA176+AA177+AA178</f>
        <v>110.653</v>
      </c>
      <c r="AB179" s="43">
        <f>AB175+AB176+AB177+AB178</f>
        <v>119.355</v>
      </c>
      <c r="AC179" s="43">
        <f>AC175+AC176+AC177+AC178</f>
        <v>106.015</v>
      </c>
      <c r="AD179" s="43">
        <f>AD175+AD176+AD177+AD178</f>
        <v>111.427</v>
      </c>
      <c r="AE179" s="43">
        <f>AE175+AE176+AE177+AE178</f>
        <v>447.45</v>
      </c>
      <c r="AF179" s="43">
        <f>AF175+AF176+AF177+AF178</f>
        <v>109.845</v>
      </c>
      <c r="AG179" s="43">
        <f>AG175+AG176+AG177+AG178</f>
        <v>109.094</v>
      </c>
      <c r="AH179" s="43">
        <f>AH175+AH176+AH177+AH178</f>
        <v>106.618</v>
      </c>
      <c r="AI179" s="43">
        <f>AI175+AI176+AI177+AI178</f>
        <v>86.613</v>
      </c>
      <c r="AJ179" s="43">
        <f>AJ175+AJ176+AJ177+AJ178</f>
        <v>412.17</v>
      </c>
      <c r="AK179" s="43">
        <f>AK175+AK176+AK177+AK178</f>
        <v>90.479</v>
      </c>
      <c r="AL179" s="43">
        <f>AL175+AL176+AL177+AL178</f>
        <v>78.7249999999999</v>
      </c>
      <c r="AM179" s="253">
        <f>AM175+AM176+AM177+AM178</f>
        <v>101.40439547001</v>
      </c>
      <c r="AN179" s="253">
        <f>AN175+AN176+AN177+AN178</f>
        <v>109.474371653278</v>
      </c>
      <c r="AO179" s="253">
        <f>AO175+AO176+AO177+AO178</f>
        <v>380.082767123288</v>
      </c>
      <c r="AP179" s="253">
        <f>AP175+AP176+AP177+AP178</f>
        <v>501.987344896891</v>
      </c>
      <c r="AQ179" s="253">
        <f>AQ175+AQ176+AQ177+AQ178</f>
        <v>578.603069266005</v>
      </c>
      <c r="AR179" s="253">
        <f>AR175+AR176+AR177+AR178</f>
        <v>637.660224682437</v>
      </c>
      <c r="AS179" s="253">
        <f>AS175+AS176+AS177+AS178</f>
        <v>693.234410924954</v>
      </c>
      <c r="AT179" s="19" t="n"/>
    </row>
    <row r="180">
      <c r="B180" s="25" t="inlineStr">
        <is>
          <t xml:space="preserve">  (+) Depreciation &amp; other amortization</t>
        </is>
      </c>
      <c r="C180" s="34" t="n"/>
      <c r="D180" s="34" t="n"/>
      <c r="E180" s="34" t="n"/>
      <c r="F180" s="34" t="n"/>
      <c r="G180" s="34" t="n"/>
      <c r="H180" s="34" t="n"/>
      <c r="I180" s="34" t="n"/>
      <c r="J180" s="44">
        <f>J127</f>
        <v>40.99</v>
      </c>
      <c r="K180" s="44">
        <f>K127</f>
        <v>38.366</v>
      </c>
      <c r="L180" s="44">
        <f>L127</f>
        <v>9.6</v>
      </c>
      <c r="M180" s="44">
        <f>M127</f>
        <v>9.6</v>
      </c>
      <c r="N180" s="44">
        <f>N127</f>
        <v>9.8</v>
      </c>
      <c r="O180" s="44">
        <f>O127</f>
        <v>9.5</v>
      </c>
      <c r="P180" s="44">
        <f>P127</f>
        <v>38.5</v>
      </c>
      <c r="Q180" s="44">
        <f>Q127</f>
        <v>9</v>
      </c>
      <c r="R180" s="44">
        <f>R127</f>
        <v>8.9</v>
      </c>
      <c r="S180" s="44">
        <f>S127</f>
        <v>8.3</v>
      </c>
      <c r="T180" s="44">
        <f>T127</f>
        <v>8.7</v>
      </c>
      <c r="U180" s="44">
        <f>U127</f>
        <v>34.9</v>
      </c>
      <c r="V180" s="44">
        <f>V127</f>
        <v>8.6</v>
      </c>
      <c r="W180" s="44">
        <f>W127</f>
        <v>9</v>
      </c>
      <c r="X180" s="44">
        <f>X127</f>
        <v>9</v>
      </c>
      <c r="Y180" s="44">
        <f>Y127</f>
        <v>9.4</v>
      </c>
      <c r="Z180" s="44">
        <f>Z127</f>
        <v>36</v>
      </c>
      <c r="AA180" s="44">
        <f>AA127</f>
        <v>8.8</v>
      </c>
      <c r="AB180" s="44">
        <f>AB127</f>
        <v>9.1</v>
      </c>
      <c r="AC180" s="44">
        <f>AC127</f>
        <v>9.5</v>
      </c>
      <c r="AD180" s="44">
        <f>AD127</f>
        <v>9.2</v>
      </c>
      <c r="AE180" s="44">
        <f>AE127</f>
        <v>36.6</v>
      </c>
      <c r="AF180" s="44">
        <f>AF127</f>
        <v>10</v>
      </c>
      <c r="AG180" s="44">
        <f>AG127</f>
        <v>11.4</v>
      </c>
      <c r="AH180" s="44">
        <f>AH127</f>
        <v>12</v>
      </c>
      <c r="AI180" s="44">
        <f>AI127</f>
        <v>14.3</v>
      </c>
      <c r="AJ180" s="44">
        <f>AJ127</f>
        <v>47.7</v>
      </c>
      <c r="AK180" s="44">
        <f>AK127</f>
        <v>13.1</v>
      </c>
      <c r="AL180" s="44">
        <f>AL127</f>
        <v>12.3</v>
      </c>
      <c r="AM180" s="257">
        <f>AM127</f>
        <v>13.7097260273973</v>
      </c>
      <c r="AN180" s="257">
        <f>AN127</f>
        <v>13.6986301369863</v>
      </c>
      <c r="AO180" s="257">
        <f>AO127</f>
        <v>52.8083561643836</v>
      </c>
      <c r="AP180" s="257">
        <f>AP127</f>
        <v>57.5876535208404</v>
      </c>
      <c r="AQ180" s="257">
        <f>AQ127</f>
        <v>60.4937763274656</v>
      </c>
      <c r="AR180" s="257">
        <f>AR127</f>
        <v>64.4413780818096</v>
      </c>
      <c r="AS180" s="257">
        <f>AS127</f>
        <v>68.8082218050421</v>
      </c>
      <c r="AT180" s="19" t="n"/>
    </row>
    <row r="181">
      <c r="B181" s="25" t="inlineStr">
        <is>
          <t xml:space="preserve">  (+) Amortization of acquired intangibles &amp; fair-value step-up on acquired inventories</t>
        </is>
      </c>
      <c r="C181" s="34" t="n"/>
      <c r="D181" s="34" t="n"/>
      <c r="E181" s="34" t="n"/>
      <c r="F181" s="34" t="n"/>
      <c r="G181" s="34" t="n"/>
      <c r="H181" s="34" t="n"/>
      <c r="I181" s="34" t="n"/>
      <c r="J181" s="44">
        <f>J129</f>
        <v>35.633</v>
      </c>
      <c r="K181" s="44">
        <f>K129</f>
        <v>36.331</v>
      </c>
      <c r="L181" s="44">
        <f>L129</f>
        <v>9.1</v>
      </c>
      <c r="M181" s="44">
        <f>M129</f>
        <v>9.1</v>
      </c>
      <c r="N181" s="44">
        <f>N129</f>
        <v>8.9</v>
      </c>
      <c r="O181" s="44">
        <f>O129</f>
        <v>8.8</v>
      </c>
      <c r="P181" s="44">
        <f>P129</f>
        <v>35.9</v>
      </c>
      <c r="Q181" s="44">
        <f>Q129</f>
        <v>7.7</v>
      </c>
      <c r="R181" s="44">
        <f>R129</f>
        <v>7.6</v>
      </c>
      <c r="S181" s="44">
        <f>S129</f>
        <v>7.2</v>
      </c>
      <c r="T181" s="44">
        <f>T129</f>
        <v>11.7</v>
      </c>
      <c r="U181" s="44">
        <f>U129</f>
        <v>34.2</v>
      </c>
      <c r="V181" s="44">
        <f>V129</f>
        <v>9.3</v>
      </c>
      <c r="W181" s="44">
        <f>W129</f>
        <v>9.3</v>
      </c>
      <c r="X181" s="44">
        <f>X129</f>
        <v>9.3</v>
      </c>
      <c r="Y181" s="44">
        <f>Y129</f>
        <v>9</v>
      </c>
      <c r="Z181" s="44">
        <f>Z129</f>
        <v>36.9</v>
      </c>
      <c r="AA181" s="44">
        <f>AA129</f>
        <v>7.6</v>
      </c>
      <c r="AB181" s="44">
        <f>AB129</f>
        <v>7.3</v>
      </c>
      <c r="AC181" s="44">
        <f>AC129</f>
        <v>7.6</v>
      </c>
      <c r="AD181" s="44">
        <f>AD129</f>
        <v>7.8</v>
      </c>
      <c r="AE181" s="44">
        <f>AE129</f>
        <v>30.3</v>
      </c>
      <c r="AF181" s="44">
        <f>AF129</f>
        <v>8.2</v>
      </c>
      <c r="AG181" s="44">
        <f>AG129</f>
        <v>8.8</v>
      </c>
      <c r="AH181" s="44">
        <f>AH129</f>
        <v>10.3</v>
      </c>
      <c r="AI181" s="44">
        <f>AI129</f>
        <v>13.2</v>
      </c>
      <c r="AJ181" s="44">
        <f>AJ129</f>
        <v>40.5</v>
      </c>
      <c r="AK181" s="44">
        <f>AK129</f>
        <v>12.5</v>
      </c>
      <c r="AL181" s="44">
        <f>AL129</f>
        <v>16.5</v>
      </c>
      <c r="AM181" s="257">
        <f>AM129</f>
        <v>29.7854794520548</v>
      </c>
      <c r="AN181" s="257">
        <f>AN129</f>
        <v>25.027397260274</v>
      </c>
      <c r="AO181" s="257">
        <f>AO129</f>
        <v>83.8128767123288</v>
      </c>
      <c r="AP181" s="257">
        <f>AP129</f>
        <v>96.7</v>
      </c>
      <c r="AQ181" s="257">
        <f>AQ129</f>
        <v>90.95</v>
      </c>
      <c r="AR181" s="257">
        <f>AR129</f>
        <v>91.5</v>
      </c>
      <c r="AS181" s="257">
        <f>AS129</f>
        <v>95.6</v>
      </c>
      <c r="AT181" s="19" t="n"/>
    </row>
    <row r="182">
      <c r="B182" s="55" t="inlineStr">
        <is>
          <t xml:space="preserve">  = EBITDA (model)</t>
        </is>
      </c>
      <c r="C182" s="56" t="n"/>
      <c r="D182" s="56" t="n"/>
      <c r="E182" s="56" t="n"/>
      <c r="F182" s="56" t="n"/>
      <c r="G182" s="56" t="n"/>
      <c r="H182" s="56" t="n"/>
      <c r="I182" s="56" t="n"/>
      <c r="J182" s="56">
        <f>J179+J180+J181</f>
        <v>332.703</v>
      </c>
      <c r="K182" s="56">
        <f>K179+K180+K181</f>
        <v>276.823</v>
      </c>
      <c r="L182" s="56">
        <f>L179+L180+L181</f>
        <v>91.001</v>
      </c>
      <c r="M182" s="56">
        <f>M179+M180+M181</f>
        <v>100.9</v>
      </c>
      <c r="N182" s="56">
        <f>N179+N180+N181</f>
        <v>97.364</v>
      </c>
      <c r="O182" s="56">
        <f>O179+O180+O181</f>
        <v>91.348</v>
      </c>
      <c r="P182" s="56">
        <f>P179+P180+P181</f>
        <v>380.614</v>
      </c>
      <c r="Q182" s="56">
        <f>Q179+Q180+Q181</f>
        <v>100.314</v>
      </c>
      <c r="R182" s="56">
        <f>R179+R180+R181</f>
        <v>102.378</v>
      </c>
      <c r="S182" s="56">
        <f>S179+S180+S181</f>
        <v>96.494</v>
      </c>
      <c r="T182" s="56">
        <f>T179+T180+T181</f>
        <v>98.979</v>
      </c>
      <c r="U182" s="56">
        <f>U179+U180+U181</f>
        <v>398.165</v>
      </c>
      <c r="V182" s="56">
        <f>V179+V180+V181</f>
        <v>108.563</v>
      </c>
      <c r="W182" s="56">
        <f>W179+W180+W181</f>
        <v>126.939</v>
      </c>
      <c r="X182" s="56">
        <f>X179+X180+X181</f>
        <v>119.446</v>
      </c>
      <c r="Y182" s="56">
        <f>Y179+Y180+Y181</f>
        <v>122.118</v>
      </c>
      <c r="Z182" s="56">
        <f>Z179+Z180+Z181</f>
        <v>477.066</v>
      </c>
      <c r="AA182" s="56">
        <f>AA179+AA180+AA181</f>
        <v>127.053</v>
      </c>
      <c r="AB182" s="56">
        <f>AB179+AB180+AB181</f>
        <v>135.755</v>
      </c>
      <c r="AC182" s="56">
        <f>AC179+AC180+AC181</f>
        <v>123.115</v>
      </c>
      <c r="AD182" s="56">
        <f>AD179+AD180+AD181</f>
        <v>128.427</v>
      </c>
      <c r="AE182" s="56">
        <f>AE179+AE180+AE181</f>
        <v>514.35</v>
      </c>
      <c r="AF182" s="56">
        <f>AF179+AF180+AF181</f>
        <v>128.045</v>
      </c>
      <c r="AG182" s="56">
        <f>AG179+AG180+AG181</f>
        <v>129.294</v>
      </c>
      <c r="AH182" s="56">
        <f>AH179+AH180+AH181</f>
        <v>128.918</v>
      </c>
      <c r="AI182" s="56">
        <f>AI179+AI180+AI181</f>
        <v>114.113</v>
      </c>
      <c r="AJ182" s="56">
        <f>AJ179+AJ180+AJ181</f>
        <v>500.37</v>
      </c>
      <c r="AK182" s="56">
        <f>AK179+AK180+AK181</f>
        <v>116.079</v>
      </c>
      <c r="AL182" s="56">
        <f>AL179+AL180+AL181</f>
        <v>107.525</v>
      </c>
      <c r="AM182" s="56">
        <f>AM179+AM180+AM181</f>
        <v>144.899600949462</v>
      </c>
      <c r="AN182" s="56">
        <f>AN179+AN180+AN181</f>
        <v>148.200399050538</v>
      </c>
      <c r="AO182" s="56">
        <f>AO179+AO180+AO181</f>
        <v>516.704</v>
      </c>
      <c r="AP182" s="56">
        <f>AP179+AP180+AP181</f>
        <v>656.274998417731</v>
      </c>
      <c r="AQ182" s="56">
        <f>AQ179+AQ180+AQ181</f>
        <v>730.04684559347</v>
      </c>
      <c r="AR182" s="56">
        <f>AR179+AR180+AR181</f>
        <v>793.601602764246</v>
      </c>
      <c r="AS182" s="56">
        <f>AS179+AS180+AS181</f>
        <v>857.642632729996</v>
      </c>
      <c r="AT182" s="19" t="n"/>
      <c r="AV182" s="20">
        <f>IFERROR((AS182/AJ182)^(1/5)-1,"n/m")</f>
        <v>0.113789244114006</v>
      </c>
      <c r="AW182" s="20">
        <f>IFERROR((AJ182/K182)^(1/5)-1,"n/m")</f>
        <v>0.125687435026315</v>
      </c>
      <c r="AX182" s="20" t="str">
        <f>IFERROR((AJ182/F182)^(1/10)-1,"n/m")</f>
        <v>n/m</v>
      </c>
      <c r="AY182" s="20" t="str">
        <f>IFERROR((AJ182/C182)^(1/13)-1,"n/m")</f>
        <v>n/m</v>
      </c>
    </row>
    <row r="183">
      <c r="B183" s="25" t="inlineStr">
        <is>
          <t xml:space="preserve">  (+) Restructuring and other related charges</t>
        </is>
      </c>
      <c r="C183" s="34" t="n"/>
      <c r="D183" s="34" t="n"/>
      <c r="E183" s="34" t="n"/>
      <c r="F183" s="34" t="n"/>
      <c r="G183" s="34" t="n"/>
      <c r="H183" s="34" t="n"/>
      <c r="I183" s="34" t="n"/>
      <c r="J183" s="44">
        <f>J142</f>
        <v>23.04</v>
      </c>
      <c r="K183" s="44">
        <f>K142</f>
        <v>21.633</v>
      </c>
      <c r="L183" s="44">
        <f>L142</f>
        <v>3.075</v>
      </c>
      <c r="M183" s="44">
        <f>M142</f>
        <v>3.489</v>
      </c>
      <c r="N183" s="44">
        <f>N142</f>
        <v>4.227</v>
      </c>
      <c r="O183" s="44">
        <f>O142</f>
        <v>8.162</v>
      </c>
      <c r="P183" s="44">
        <f>P142</f>
        <v>18.954</v>
      </c>
      <c r="Q183" s="44">
        <f>Q142</f>
        <v>5.304</v>
      </c>
      <c r="R183" s="44">
        <f>R142</f>
        <v>4.649</v>
      </c>
      <c r="S183" s="44">
        <f>S142</f>
        <v>6.676</v>
      </c>
      <c r="T183" s="44">
        <f>T142</f>
        <v>6.467</v>
      </c>
      <c r="U183" s="44">
        <f>U142</f>
        <v>23.096</v>
      </c>
      <c r="V183" s="44">
        <f>V142</f>
        <v>9.444</v>
      </c>
      <c r="W183" s="44">
        <f>W142</f>
        <v>5.169</v>
      </c>
      <c r="X183" s="44">
        <f>X142</f>
        <v>3.129</v>
      </c>
      <c r="Y183" s="44">
        <f>Y142</f>
        <v>6.368</v>
      </c>
      <c r="Z183" s="44">
        <f>Z142</f>
        <v>24.11</v>
      </c>
      <c r="AA183" s="44">
        <f>AA142</f>
        <v>1.924</v>
      </c>
      <c r="AB183" s="44">
        <f>AB142</f>
        <v>4.773</v>
      </c>
      <c r="AC183" s="44">
        <f>AC142</f>
        <v>1.875</v>
      </c>
      <c r="AD183" s="44">
        <f>AD142</f>
        <v>1.655</v>
      </c>
      <c r="AE183" s="44">
        <f>AE142</f>
        <v>10.227</v>
      </c>
      <c r="AF183" s="44">
        <f>AF142</f>
        <v>4.499</v>
      </c>
      <c r="AG183" s="44">
        <f>AG142</f>
        <v>1.39</v>
      </c>
      <c r="AH183" s="44">
        <f>AH142</f>
        <v>4.347</v>
      </c>
      <c r="AI183" s="44">
        <f>AI142</f>
        <v>17.52</v>
      </c>
      <c r="AJ183" s="44">
        <f>AJ142</f>
        <v>27.756</v>
      </c>
      <c r="AK183" s="44">
        <f>AK142</f>
        <v>10.161</v>
      </c>
      <c r="AL183" s="44">
        <f>AL142</f>
        <v>18.317</v>
      </c>
      <c r="AM183" s="257">
        <f>AM142</f>
        <v>8</v>
      </c>
      <c r="AN183" s="257">
        <f>AN142</f>
        <v>8</v>
      </c>
      <c r="AO183" s="257">
        <f>AO142</f>
        <v>44.478</v>
      </c>
      <c r="AP183" s="257">
        <f>AP142</f>
        <v>20</v>
      </c>
      <c r="AQ183" s="257">
        <f>AQ142</f>
        <v>15</v>
      </c>
      <c r="AR183" s="257">
        <f>AR142</f>
        <v>15</v>
      </c>
      <c r="AS183" s="257">
        <f>AS142</f>
        <v>15</v>
      </c>
      <c r="AT183" s="19" t="n"/>
    </row>
    <row r="184">
      <c r="B184" s="25" t="inlineStr">
        <is>
          <t xml:space="preserve">  (+) Acquisition transaction, due-diligence &amp; integration expenses</t>
        </is>
      </c>
      <c r="C184" s="34" t="n"/>
      <c r="D184" s="34" t="n"/>
      <c r="E184" s="34" t="n"/>
      <c r="F184" s="34" t="n"/>
      <c r="G184" s="34" t="n"/>
      <c r="H184" s="34" t="n"/>
      <c r="I184" s="34" t="n"/>
      <c r="J184" s="44">
        <f>J130</f>
        <v>0</v>
      </c>
      <c r="K184" s="44">
        <f>K130</f>
        <v>0</v>
      </c>
      <c r="L184" s="44">
        <f>L130</f>
        <v>0</v>
      </c>
      <c r="M184" s="44">
        <f>M130</f>
        <v>0</v>
      </c>
      <c r="N184" s="44">
        <f>N130</f>
        <v>0</v>
      </c>
      <c r="O184" s="44">
        <f>O130</f>
        <v>0</v>
      </c>
      <c r="P184" s="44">
        <f>P130</f>
        <v>0</v>
      </c>
      <c r="Q184" s="44">
        <f>Q130</f>
        <v>0</v>
      </c>
      <c r="R184" s="44">
        <f>R130</f>
        <v>0</v>
      </c>
      <c r="S184" s="44">
        <f>S130</f>
        <v>0</v>
      </c>
      <c r="T184" s="44">
        <f>T130</f>
        <v>0</v>
      </c>
      <c r="U184" s="44">
        <f>U130</f>
        <v>0</v>
      </c>
      <c r="V184" s="44">
        <f>V130</f>
        <v>0</v>
      </c>
      <c r="W184" s="44">
        <f>W130</f>
        <v>0</v>
      </c>
      <c r="X184" s="44">
        <f>X130</f>
        <v>0</v>
      </c>
      <c r="Y184" s="44">
        <f>Y130</f>
        <v>0</v>
      </c>
      <c r="Z184" s="44">
        <f>Z130</f>
        <v>0</v>
      </c>
      <c r="AA184" s="44">
        <f>AA130</f>
        <v>0.100000000000001</v>
      </c>
      <c r="AB184" s="44">
        <f>AB130</f>
        <v>0.4</v>
      </c>
      <c r="AC184" s="44">
        <f>AC130</f>
        <v>2.4</v>
      </c>
      <c r="AD184" s="44">
        <f>AD130</f>
        <v>1.1</v>
      </c>
      <c r="AE184" s="44">
        <f>AE130</f>
        <v>4.2</v>
      </c>
      <c r="AF184" s="44">
        <f>AF130</f>
        <v>1.4</v>
      </c>
      <c r="AG184" s="44">
        <f>AG130</f>
        <v>12.8</v>
      </c>
      <c r="AH184" s="44">
        <f>AH130</f>
        <v>6.2</v>
      </c>
      <c r="AI184" s="44">
        <f>AI130</f>
        <v>11.2</v>
      </c>
      <c r="AJ184" s="44">
        <f>AJ130</f>
        <v>31.6</v>
      </c>
      <c r="AK184" s="44">
        <f>AK130</f>
        <v>10.3</v>
      </c>
      <c r="AL184" s="44">
        <f>AL130</f>
        <v>24.8</v>
      </c>
      <c r="AM184" s="257">
        <f>AM130</f>
        <v>12</v>
      </c>
      <c r="AN184" s="257">
        <f>AN130</f>
        <v>8</v>
      </c>
      <c r="AO184" s="257">
        <f>AO130</f>
        <v>55.1</v>
      </c>
      <c r="AP184" s="257">
        <f>AP130</f>
        <v>15</v>
      </c>
      <c r="AQ184" s="257">
        <f>AQ130</f>
        <v>5</v>
      </c>
      <c r="AR184" s="257">
        <f>AR130</f>
        <v>4</v>
      </c>
      <c r="AS184" s="257">
        <f>AS130</f>
        <v>4</v>
      </c>
      <c r="AT184" s="19" t="n"/>
    </row>
    <row r="185">
      <c r="B185" s="25" t="inlineStr">
        <is>
          <t xml:space="preserve">  (+) Performance option awards compensation (2026)</t>
        </is>
      </c>
      <c r="C185" s="34" t="n"/>
      <c r="D185" s="34" t="n"/>
      <c r="E185" s="34" t="n"/>
      <c r="F185" s="34" t="n"/>
      <c r="G185" s="34" t="n"/>
      <c r="H185" s="34" t="n"/>
      <c r="I185" s="34" t="n"/>
      <c r="J185" s="44">
        <f>J131</f>
        <v>0</v>
      </c>
      <c r="K185" s="44">
        <f>K131</f>
        <v>0</v>
      </c>
      <c r="L185" s="44">
        <f>L131</f>
        <v>0</v>
      </c>
      <c r="M185" s="44">
        <f>M131</f>
        <v>0</v>
      </c>
      <c r="N185" s="44">
        <f>N131</f>
        <v>0</v>
      </c>
      <c r="O185" s="44">
        <f>O131</f>
        <v>0</v>
      </c>
      <c r="P185" s="44">
        <f>P131</f>
        <v>0</v>
      </c>
      <c r="Q185" s="44">
        <f>Q131</f>
        <v>0</v>
      </c>
      <c r="R185" s="44">
        <f>R131</f>
        <v>0</v>
      </c>
      <c r="S185" s="44">
        <f>S131</f>
        <v>0</v>
      </c>
      <c r="T185" s="44">
        <f>T131</f>
        <v>0</v>
      </c>
      <c r="U185" s="44">
        <f>U131</f>
        <v>0</v>
      </c>
      <c r="V185" s="44">
        <f>V131</f>
        <v>0</v>
      </c>
      <c r="W185" s="44">
        <f>W131</f>
        <v>0</v>
      </c>
      <c r="X185" s="44">
        <f>X131</f>
        <v>0</v>
      </c>
      <c r="Y185" s="44">
        <f>Y131</f>
        <v>0</v>
      </c>
      <c r="Z185" s="44">
        <f>Z131</f>
        <v>0</v>
      </c>
      <c r="AA185" s="44">
        <f>AA131</f>
        <v>0</v>
      </c>
      <c r="AB185" s="44">
        <f>AB131</f>
        <v>0</v>
      </c>
      <c r="AC185" s="44">
        <f>AC131</f>
        <v>0</v>
      </c>
      <c r="AD185" s="44">
        <f>AD131</f>
        <v>0</v>
      </c>
      <c r="AE185" s="44">
        <f>AE131</f>
        <v>0</v>
      </c>
      <c r="AF185" s="44">
        <f>AF131</f>
        <v>0</v>
      </c>
      <c r="AG185" s="44">
        <f>AG131</f>
        <v>0</v>
      </c>
      <c r="AH185" s="44">
        <f>AH131</f>
        <v>0</v>
      </c>
      <c r="AI185" s="44">
        <f>AI131</f>
        <v>0</v>
      </c>
      <c r="AJ185" s="44">
        <f>AJ131</f>
        <v>0</v>
      </c>
      <c r="AK185" s="44">
        <f>AK131</f>
        <v>0</v>
      </c>
      <c r="AL185" s="44">
        <f>AL131</f>
        <v>0.7</v>
      </c>
      <c r="AM185" s="257">
        <f>AM131</f>
        <v>4</v>
      </c>
      <c r="AN185" s="257">
        <f>AN131</f>
        <v>4</v>
      </c>
      <c r="AO185" s="257">
        <f>AO131</f>
        <v>8.7</v>
      </c>
      <c r="AP185" s="257">
        <f>AP131</f>
        <v>16</v>
      </c>
      <c r="AQ185" s="257">
        <f>AQ131</f>
        <v>16</v>
      </c>
      <c r="AR185" s="257">
        <f>AR131</f>
        <v>12</v>
      </c>
      <c r="AS185" s="257">
        <f>AS131</f>
        <v>8</v>
      </c>
      <c r="AT185" s="19" t="n"/>
    </row>
    <row r="186">
      <c r="B186" s="25" t="inlineStr">
        <is>
          <t xml:space="preserve">  (+) Separation costs (spin-off from Colfax, 2022–2023)</t>
        </is>
      </c>
      <c r="C186" s="34" t="n"/>
      <c r="D186" s="34" t="n"/>
      <c r="E186" s="34" t="n"/>
      <c r="F186" s="34" t="n"/>
      <c r="G186" s="34" t="n"/>
      <c r="H186" s="34" t="n"/>
      <c r="I186" s="34" t="n"/>
      <c r="J186" s="34" t="n">
        <v>0</v>
      </c>
      <c r="K186" s="34" t="n">
        <v>0</v>
      </c>
      <c r="L186" s="34" t="n">
        <v>0</v>
      </c>
      <c r="M186" s="34" t="n">
        <v>0.1</v>
      </c>
      <c r="N186" s="34" t="n">
        <v>0.7</v>
      </c>
      <c r="O186" s="34" t="n">
        <v>2</v>
      </c>
      <c r="P186" s="34" t="n">
        <v>2.9</v>
      </c>
      <c r="Q186" s="34" t="n">
        <v>3.6</v>
      </c>
      <c r="R186" s="34" t="n">
        <v>3.5</v>
      </c>
      <c r="S186" s="34" t="n">
        <v>1.8</v>
      </c>
      <c r="T186" s="34" t="n">
        <v>6.6</v>
      </c>
      <c r="U186" s="34" t="n">
        <v>15.5</v>
      </c>
      <c r="V186" s="34" t="n">
        <v>0</v>
      </c>
      <c r="W186" s="34" t="n">
        <v>0</v>
      </c>
      <c r="X186" s="34" t="n">
        <v>0</v>
      </c>
      <c r="Y186" s="34" t="n">
        <v>0</v>
      </c>
      <c r="Z186" s="34" t="n">
        <v>0</v>
      </c>
      <c r="AA186" s="34" t="n">
        <v>0</v>
      </c>
      <c r="AB186" s="34" t="n">
        <v>0</v>
      </c>
      <c r="AC186" s="34" t="n">
        <v>0</v>
      </c>
      <c r="AD186" s="34" t="n">
        <v>0</v>
      </c>
      <c r="AE186" s="34" t="n">
        <v>0</v>
      </c>
      <c r="AF186" s="34" t="n">
        <v>0</v>
      </c>
      <c r="AG186" s="34" t="n">
        <v>0</v>
      </c>
      <c r="AH186" s="34" t="n">
        <v>0</v>
      </c>
      <c r="AI186" s="34" t="n">
        <v>0</v>
      </c>
      <c r="AJ186" s="34" t="n">
        <v>0</v>
      </c>
      <c r="AK186" s="34" t="n">
        <v>0</v>
      </c>
      <c r="AL186" s="34" t="n">
        <v>0</v>
      </c>
      <c r="AM186" s="258" t="n">
        <v>0</v>
      </c>
      <c r="AN186" s="258" t="n">
        <v>0</v>
      </c>
      <c r="AO186" s="258" t="n">
        <v>0</v>
      </c>
      <c r="AP186" s="258" t="n">
        <v>0</v>
      </c>
      <c r="AQ186" s="258" t="n">
        <v>0</v>
      </c>
      <c r="AR186" s="258" t="n">
        <v>0</v>
      </c>
      <c r="AS186" s="258" t="n">
        <v>0</v>
      </c>
      <c r="AT186" s="19" t="n"/>
    </row>
    <row r="187">
      <c r="B187" s="25" t="inlineStr">
        <is>
          <t xml:space="preserve">  (+/−) Other company items / definitional differences</t>
        </is>
      </c>
      <c r="C187" s="34" t="n"/>
      <c r="D187" s="34" t="n"/>
      <c r="E187" s="34" t="n"/>
      <c r="F187" s="34" t="n"/>
      <c r="G187" s="34" t="n"/>
      <c r="H187" s="34" t="n"/>
      <c r="I187" s="34" t="n"/>
      <c r="J187" s="34" t="n">
        <v>-2.079999999999984</v>
      </c>
      <c r="K187" s="34" t="n">
        <v>2.689999999999998</v>
      </c>
      <c r="L187" s="34" t="n">
        <v>0</v>
      </c>
      <c r="M187" s="34" t="n">
        <v>0</v>
      </c>
      <c r="N187" s="34" t="n">
        <v>0</v>
      </c>
      <c r="O187" s="34" t="n">
        <v>1.1</v>
      </c>
      <c r="P187" s="34" t="n">
        <v>1.7</v>
      </c>
      <c r="Q187" s="34" t="n">
        <v>0</v>
      </c>
      <c r="R187" s="34" t="n">
        <v>0</v>
      </c>
      <c r="S187" s="34" t="n">
        <v>0</v>
      </c>
      <c r="T187" s="34" t="n">
        <v>-0.1</v>
      </c>
      <c r="U187" s="34" t="n">
        <v>0</v>
      </c>
      <c r="V187" s="34" t="n">
        <v>0</v>
      </c>
      <c r="W187" s="34" t="n">
        <v>0</v>
      </c>
      <c r="X187" s="34" t="n">
        <v>0</v>
      </c>
      <c r="Y187" s="34" t="n">
        <v>0</v>
      </c>
      <c r="Z187" s="34" t="n">
        <v>0</v>
      </c>
      <c r="AA187" s="34" t="n">
        <v>0</v>
      </c>
      <c r="AB187" s="34" t="n">
        <v>0</v>
      </c>
      <c r="AC187" s="34" t="n">
        <v>0</v>
      </c>
      <c r="AD187" s="34" t="n">
        <v>0</v>
      </c>
      <c r="AE187" s="34" t="n">
        <v>0</v>
      </c>
      <c r="AF187" s="34" t="n">
        <v>0</v>
      </c>
      <c r="AG187" s="34" t="n">
        <v>0</v>
      </c>
      <c r="AH187" s="34" t="n">
        <v>0</v>
      </c>
      <c r="AI187" s="34" t="n">
        <v>0</v>
      </c>
      <c r="AJ187" s="34" t="n">
        <v>0</v>
      </c>
      <c r="AK187" s="34" t="n">
        <v>0</v>
      </c>
      <c r="AL187" s="34" t="n">
        <v>0</v>
      </c>
      <c r="AM187" s="258" t="n">
        <v>0</v>
      </c>
      <c r="AN187" s="258" t="n">
        <v>0</v>
      </c>
      <c r="AO187" s="258" t="n">
        <v>0</v>
      </c>
      <c r="AP187" s="258" t="n">
        <v>0</v>
      </c>
      <c r="AQ187" s="258" t="n">
        <v>0</v>
      </c>
      <c r="AR187" s="258" t="n">
        <v>0</v>
      </c>
      <c r="AS187" s="258" t="n">
        <v>0</v>
      </c>
      <c r="AT187" s="19" t="inlineStr">
        <is>
          <t>2019–2020: balance between the Form 10 printed components and published adjusted EBITDA (carve-out allocations); 2021+: company "Other" line.</t>
        </is>
      </c>
    </row>
    <row r="188">
      <c r="B188" s="16" t="inlineStr">
        <is>
          <t xml:space="preserve">  Total adjusting items</t>
        </is>
      </c>
      <c r="C188" s="43" t="n"/>
      <c r="D188" s="43" t="n"/>
      <c r="E188" s="43" t="n"/>
      <c r="F188" s="43" t="n"/>
      <c r="G188" s="43" t="n"/>
      <c r="H188" s="43" t="n"/>
      <c r="I188" s="43" t="n"/>
      <c r="J188" s="43">
        <f>N(J183)+N(J184)+N(J185)+N(J186)+N(J187)</f>
        <v>20.96</v>
      </c>
      <c r="K188" s="43">
        <f>N(K183)+N(K184)+N(K185)+N(K186)+N(K187)</f>
        <v>24.323</v>
      </c>
      <c r="L188" s="43">
        <f>N(L183)+N(L184)+N(L185)+N(L186)+N(L187)</f>
        <v>3.075</v>
      </c>
      <c r="M188" s="43">
        <f>N(M183)+N(M184)+N(M185)+N(M186)+N(M187)</f>
        <v>3.589</v>
      </c>
      <c r="N188" s="43">
        <f>N(N183)+N(N184)+N(N185)+N(N186)+N(N187)</f>
        <v>4.927</v>
      </c>
      <c r="O188" s="43">
        <f>N(O183)+N(O184)+N(O185)+N(O186)+N(O187)</f>
        <v>11.262</v>
      </c>
      <c r="P188" s="43">
        <f>N(P183)+N(P184)+N(P185)+N(P186)+N(P187)</f>
        <v>23.554</v>
      </c>
      <c r="Q188" s="43">
        <f>N(Q183)+N(Q184)+N(Q185)+N(Q186)+N(Q187)</f>
        <v>8.904</v>
      </c>
      <c r="R188" s="43">
        <f>N(R183)+N(R184)+N(R185)+N(R186)+N(R187)</f>
        <v>8.149</v>
      </c>
      <c r="S188" s="43">
        <f>N(S183)+N(S184)+N(S185)+N(S186)+N(S187)</f>
        <v>8.476</v>
      </c>
      <c r="T188" s="43">
        <f>N(T183)+N(T184)+N(T185)+N(T186)+N(T187)</f>
        <v>12.967</v>
      </c>
      <c r="U188" s="43">
        <f>N(U183)+N(U184)+N(U185)+N(U186)+N(U187)</f>
        <v>38.596</v>
      </c>
      <c r="V188" s="43">
        <f>N(V183)+N(V184)+N(V185)+N(V186)+N(V187)</f>
        <v>9.444</v>
      </c>
      <c r="W188" s="43">
        <f>N(W183)+N(W184)+N(W185)+N(W186)+N(W187)</f>
        <v>5.169</v>
      </c>
      <c r="X188" s="43">
        <f>N(X183)+N(X184)+N(X185)+N(X186)+N(X187)</f>
        <v>3.129</v>
      </c>
      <c r="Y188" s="43">
        <f>N(Y183)+N(Y184)+N(Y185)+N(Y186)+N(Y187)</f>
        <v>6.368</v>
      </c>
      <c r="Z188" s="43">
        <f>N(Z183)+N(Z184)+N(Z185)+N(Z186)+N(Z187)</f>
        <v>24.11</v>
      </c>
      <c r="AA188" s="43">
        <f>N(AA183)+N(AA184)+N(AA185)+N(AA186)+N(AA187)</f>
        <v>2.024</v>
      </c>
      <c r="AB188" s="43">
        <f>N(AB183)+N(AB184)+N(AB185)+N(AB186)+N(AB187)</f>
        <v>5.173</v>
      </c>
      <c r="AC188" s="43">
        <f>N(AC183)+N(AC184)+N(AC185)+N(AC186)+N(AC187)</f>
        <v>4.275</v>
      </c>
      <c r="AD188" s="43">
        <f>N(AD183)+N(AD184)+N(AD185)+N(AD186)+N(AD187)</f>
        <v>2.755</v>
      </c>
      <c r="AE188" s="43">
        <f>N(AE183)+N(AE184)+N(AE185)+N(AE186)+N(AE187)</f>
        <v>14.427</v>
      </c>
      <c r="AF188" s="43">
        <f>N(AF183)+N(AF184)+N(AF185)+N(AF186)+N(AF187)</f>
        <v>5.899</v>
      </c>
      <c r="AG188" s="43">
        <f>N(AG183)+N(AG184)+N(AG185)+N(AG186)+N(AG187)</f>
        <v>14.19</v>
      </c>
      <c r="AH188" s="43">
        <f>N(AH183)+N(AH184)+N(AH185)+N(AH186)+N(AH187)</f>
        <v>10.547</v>
      </c>
      <c r="AI188" s="43">
        <f>N(AI183)+N(AI184)+N(AI185)+N(AI186)+N(AI187)</f>
        <v>28.72</v>
      </c>
      <c r="AJ188" s="43">
        <f>N(AJ183)+N(AJ184)+N(AJ185)+N(AJ186)+N(AJ187)</f>
        <v>59.356</v>
      </c>
      <c r="AK188" s="43">
        <f>N(AK183)+N(AK184)+N(AK185)+N(AK186)+N(AK187)</f>
        <v>20.461</v>
      </c>
      <c r="AL188" s="43">
        <f>N(AL183)+N(AL184)+N(AL185)+N(AL186)+N(AL187)</f>
        <v>43.817</v>
      </c>
      <c r="AM188" s="253">
        <f>N(AM183)+N(AM184)+N(AM185)+N(AM186)+N(AM187)</f>
        <v>24</v>
      </c>
      <c r="AN188" s="253">
        <f>N(AN183)+N(AN184)+N(AN185)+N(AN186)+N(AN187)</f>
        <v>20</v>
      </c>
      <c r="AO188" s="253">
        <f>N(AO183)+N(AO184)+N(AO185)+N(AO186)+N(AO187)</f>
        <v>108.278</v>
      </c>
      <c r="AP188" s="253">
        <f>N(AP183)+N(AP184)+N(AP185)+N(AP186)+N(AP187)</f>
        <v>51</v>
      </c>
      <c r="AQ188" s="253">
        <f>N(AQ183)+N(AQ184)+N(AQ185)+N(AQ186)+N(AQ187)</f>
        <v>36</v>
      </c>
      <c r="AR188" s="253">
        <f>N(AR183)+N(AR184)+N(AR185)+N(AR186)+N(AR187)</f>
        <v>31</v>
      </c>
      <c r="AS188" s="253">
        <f>N(AS183)+N(AS184)+N(AS185)+N(AS186)+N(AS187)</f>
        <v>27</v>
      </c>
      <c r="AT188" s="19" t="n"/>
    </row>
    <row r="189">
      <c r="B189" s="55" t="inlineStr">
        <is>
          <t xml:space="preserve">  = Adjusted EBITDA (model bridge)</t>
        </is>
      </c>
      <c r="C189" s="56" t="n"/>
      <c r="D189" s="56" t="n"/>
      <c r="E189" s="56" t="n"/>
      <c r="F189" s="56" t="n"/>
      <c r="G189" s="56" t="n"/>
      <c r="H189" s="56" t="n"/>
      <c r="I189" s="56" t="n"/>
      <c r="J189" s="56">
        <f>J182+J188</f>
        <v>353.663</v>
      </c>
      <c r="K189" s="56">
        <f>K182+K188</f>
        <v>301.146</v>
      </c>
      <c r="L189" s="56">
        <f>L182+L188</f>
        <v>94.076</v>
      </c>
      <c r="M189" s="56">
        <f>M182+M188</f>
        <v>104.489</v>
      </c>
      <c r="N189" s="56">
        <f>N182+N188</f>
        <v>102.291</v>
      </c>
      <c r="O189" s="56">
        <f>O182+O188</f>
        <v>102.61</v>
      </c>
      <c r="P189" s="56">
        <f>P182+P188</f>
        <v>404.168</v>
      </c>
      <c r="Q189" s="56">
        <f>Q182+Q188</f>
        <v>109.218</v>
      </c>
      <c r="R189" s="56">
        <f>R182+R188</f>
        <v>110.527</v>
      </c>
      <c r="S189" s="56">
        <f>S182+S188</f>
        <v>104.97</v>
      </c>
      <c r="T189" s="56">
        <f>T182+T188</f>
        <v>111.946</v>
      </c>
      <c r="U189" s="56">
        <f>U182+U188</f>
        <v>436.761</v>
      </c>
      <c r="V189" s="56">
        <f>V182+V188</f>
        <v>118.007</v>
      </c>
      <c r="W189" s="56">
        <f>W182+W188</f>
        <v>132.108</v>
      </c>
      <c r="X189" s="56">
        <f>X182+X188</f>
        <v>122.575</v>
      </c>
      <c r="Y189" s="56">
        <f>Y182+Y188</f>
        <v>128.486</v>
      </c>
      <c r="Z189" s="56">
        <f>Z182+Z188</f>
        <v>501.176</v>
      </c>
      <c r="AA189" s="56">
        <f>AA182+AA188</f>
        <v>129.077</v>
      </c>
      <c r="AB189" s="56">
        <f>AB182+AB188</f>
        <v>140.928</v>
      </c>
      <c r="AC189" s="56">
        <f>AC182+AC188</f>
        <v>127.39</v>
      </c>
      <c r="AD189" s="56">
        <f>AD182+AD188</f>
        <v>131.182</v>
      </c>
      <c r="AE189" s="56">
        <f>AE182+AE188</f>
        <v>528.777</v>
      </c>
      <c r="AF189" s="56">
        <f>AF182+AF188</f>
        <v>133.944</v>
      </c>
      <c r="AG189" s="56">
        <f>AG182+AG188</f>
        <v>143.484</v>
      </c>
      <c r="AH189" s="56">
        <f>AH182+AH188</f>
        <v>139.465</v>
      </c>
      <c r="AI189" s="56">
        <f>AI182+AI188</f>
        <v>142.833</v>
      </c>
      <c r="AJ189" s="56">
        <f>AJ182+AJ188</f>
        <v>559.726</v>
      </c>
      <c r="AK189" s="56">
        <f>AK182+AK188</f>
        <v>136.54</v>
      </c>
      <c r="AL189" s="56">
        <f>AL182+AL188</f>
        <v>151.342</v>
      </c>
      <c r="AM189" s="56">
        <f>AM182+AM188</f>
        <v>168.899600949462</v>
      </c>
      <c r="AN189" s="56">
        <f>AN182+AN188</f>
        <v>168.200399050538</v>
      </c>
      <c r="AO189" s="56">
        <f>AO182+AO188</f>
        <v>624.982</v>
      </c>
      <c r="AP189" s="56">
        <f>AP182+AP188</f>
        <v>707.274998417731</v>
      </c>
      <c r="AQ189" s="56">
        <f>AQ182+AQ188</f>
        <v>766.04684559347</v>
      </c>
      <c r="AR189" s="56">
        <f>AR182+AR188</f>
        <v>824.601602764246</v>
      </c>
      <c r="AS189" s="56">
        <f>AS182+AS188</f>
        <v>884.642632729996</v>
      </c>
      <c r="AT189" s="19" t="inlineStr">
        <is>
          <t>Historical bridge rebuilt from the company reconciliation in each period; forecast = segment build (check row in the Group block).</t>
        </is>
      </c>
      <c r="AV189" s="20">
        <f>IFERROR((AS189/AJ189)^(1/5)-1,"n/m")</f>
        <v>0.0958685838291842</v>
      </c>
      <c r="AW189" s="20">
        <f>IFERROR((AJ189/K189)^(1/5)-1,"n/m")</f>
        <v>0.131982404869054</v>
      </c>
      <c r="AX189" s="20" t="str">
        <f>IFERROR((AJ189/F189)^(1/10)-1,"n/m")</f>
        <v>n/m</v>
      </c>
      <c r="AY189" s="20" t="str">
        <f>IFERROR((AJ189/C189)^(1/13)-1,"n/m")</f>
        <v>n/m</v>
      </c>
    </row>
    <row r="190">
      <c r="B190" s="25" t="inlineStr">
        <is>
          <t xml:space="preserve">  Adjusted EBITDA margin %</t>
        </is>
      </c>
      <c r="C190" s="36" t="n"/>
      <c r="D190" s="36" t="n"/>
      <c r="E190" s="36" t="n"/>
      <c r="F190" s="36" t="n"/>
      <c r="G190" s="36" t="n"/>
      <c r="H190" s="36" t="n"/>
      <c r="I190" s="36" t="n"/>
      <c r="J190" s="36">
        <f>IF(AND(ISNUMBER(J189),ISNUMBER(J136)),IFERROR(J189/J136,""),"")</f>
        <v>0.15739159226462</v>
      </c>
      <c r="K190" s="36">
        <f>IF(AND(ISNUMBER(K189),ISNUMBER(K136)),IFERROR(K189/K136,""),"")</f>
        <v>0.154428381764953</v>
      </c>
      <c r="L190" s="36">
        <f>IF(AND(ISNUMBER(L189),ISNUMBER(L136)),IFERROR(L189/L136,""),"")</f>
        <v>0.165589444632196</v>
      </c>
      <c r="M190" s="36">
        <f>IF(AND(ISNUMBER(M189),ISNUMBER(M136)),IFERROR(M189/M136,""),"")</f>
        <v>0.165907171119904</v>
      </c>
      <c r="N190" s="36">
        <f>IF(AND(ISNUMBER(N189),ISNUMBER(N136)),IFERROR(N189/N136,""),"")</f>
        <v>0.168805943548174</v>
      </c>
      <c r="O190" s="36">
        <f>IF(AND(ISNUMBER(O189),ISNUMBER(O136)),IFERROR(O189/O136,""),"")</f>
        <v>0.164382464375255</v>
      </c>
      <c r="P190" s="36">
        <f>IF(AND(ISNUMBER(P189),ISNUMBER(P136)),IFERROR(P189/P136,""),"")</f>
        <v>0.166453401095088</v>
      </c>
      <c r="Q190" s="36">
        <f>IF(AND(ISNUMBER(Q189),ISNUMBER(Q136)),IFERROR(Q189/Q136,""),"")</f>
        <v>0.168569448581672</v>
      </c>
      <c r="R190" s="36">
        <f>IF(AND(ISNUMBER(R189),ISNUMBER(R136)),IFERROR(R189/R136,""),"")</f>
        <v>0.167167036965896</v>
      </c>
      <c r="S190" s="36">
        <f>IF(AND(ISNUMBER(S189),ISNUMBER(S136)),IFERROR(S189/S136,""),"")</f>
        <v>0.16923411767551</v>
      </c>
      <c r="T190" s="36">
        <f>IF(AND(ISNUMBER(T189),ISNUMBER(T136)),IFERROR(T189/T136,""),"")</f>
        <v>0.168561133638596</v>
      </c>
      <c r="U190" s="36">
        <f>IF(AND(ISNUMBER(U189),ISNUMBER(U136)),IFERROR(U189/U136,""),"")</f>
        <v>0.168407313725188</v>
      </c>
      <c r="V190" s="36">
        <f>IF(AND(ISNUMBER(V189),ISNUMBER(V136)),IFERROR(V189/V136,""),"")</f>
        <v>0.17252485380117</v>
      </c>
      <c r="W190" s="36">
        <f>IF(AND(ISNUMBER(W189),ISNUMBER(W136)),IFERROR(W189/W136,""),"")</f>
        <v>0.18337585470738</v>
      </c>
      <c r="X190" s="36">
        <f>IF(AND(ISNUMBER(X189),ISNUMBER(X136)),IFERROR(X189/X136,""),"")</f>
        <v>0.179993715087901</v>
      </c>
      <c r="Y190" s="36">
        <f>IF(AND(ISNUMBER(Y189),ISNUMBER(Y136)),IFERROR(Y189/Y136,""),"")</f>
        <v>0.186387717089192</v>
      </c>
      <c r="Z190" s="36">
        <f>IF(AND(ISNUMBER(Z189),ISNUMBER(Z136)),IFERROR(Z189/Z136,""),"")</f>
        <v>0.180619194555505</v>
      </c>
      <c r="AA190" s="36">
        <f>IF(AND(ISNUMBER(AA189),ISNUMBER(AA136)),IFERROR(AA189/AA136,""),"")</f>
        <v>0.187137546683987</v>
      </c>
      <c r="AB190" s="36">
        <f>IF(AND(ISNUMBER(AB189),ISNUMBER(AB136)),IFERROR(AB189/AB136,""),"")</f>
        <v>0.199317448621249</v>
      </c>
      <c r="AC190" s="36">
        <f>IF(AND(ISNUMBER(AC189),ISNUMBER(AC136)),IFERROR(AC189/AC136,""),"")</f>
        <v>0.189216487189009</v>
      </c>
      <c r="AD190" s="36">
        <f>IF(AND(ISNUMBER(AD189),ISNUMBER(AD136)),IFERROR(AD189/AD136,""),"")</f>
        <v>0.195573353052377</v>
      </c>
      <c r="AE190" s="36">
        <f>IF(AND(ISNUMBER(AE189),ISNUMBER(AE136)),IFERROR(AE189/AE136,""),"")</f>
        <v>0.192927766059801</v>
      </c>
      <c r="AF190" s="36">
        <f>IF(AND(ISNUMBER(AF189),ISNUMBER(AF136)),IFERROR(AF189/AF136,""),"")</f>
        <v>0.197517319483645</v>
      </c>
      <c r="AG190" s="36">
        <f>IF(AND(ISNUMBER(AG189),ISNUMBER(AG136)),IFERROR(AG189/AG136,""),"")</f>
        <v>0.200512586886831</v>
      </c>
      <c r="AH190" s="36">
        <f>IF(AND(ISNUMBER(AH189),ISNUMBER(AH136)),IFERROR(AH189/AH136,""),"")</f>
        <v>0.191613599049248</v>
      </c>
      <c r="AI190" s="36">
        <f>IF(AND(ISNUMBER(AI189),ISNUMBER(AI136)),IFERROR(AI189/AI136,""),"")</f>
        <v>0.198107868946138</v>
      </c>
      <c r="AJ190" s="36">
        <f>IF(AND(ISNUMBER(AJ189),ISNUMBER(AJ136)),IFERROR(AJ189/AJ136,""),"")</f>
        <v>0.196909470529154</v>
      </c>
      <c r="AK190" s="36">
        <f>IF(AND(ISNUMBER(AK189),ISNUMBER(AK136)),IFERROR(AK189/AK136,""),"")</f>
        <v>0.183128419239884</v>
      </c>
      <c r="AL190" s="36">
        <f>IF(AND(ISNUMBER(AL189),ISNUMBER(AL136)),IFERROR(AL189/AL136,""),"")</f>
        <v>0.187390961421547</v>
      </c>
      <c r="AM190" s="254">
        <f>IFERROR(AM189/AM136,"")</f>
        <v>0.203960951502226</v>
      </c>
      <c r="AN190" s="254">
        <f>IFERROR(AN189/AN136,"")</f>
        <v>0.20985288792561</v>
      </c>
      <c r="AO190" s="254">
        <f>IFERROR(AO189/AO136,"")</f>
        <v>0.196361489606601</v>
      </c>
      <c r="AP190" s="254">
        <f>IFERROR(AP189/AP136,"")</f>
        <v>0.206695866492552</v>
      </c>
      <c r="AQ190" s="254">
        <f>IFERROR(AQ189/AQ136,"")</f>
        <v>0.213449511233321</v>
      </c>
      <c r="AR190" s="254">
        <f>IFERROR(AR189/AR136,"")</f>
        <v>0.21653911114218</v>
      </c>
      <c r="AS190" s="254">
        <f>IFERROR(AS189/AS136,"")</f>
        <v>0.218469861781685</v>
      </c>
      <c r="AT190" s="19" t="n"/>
      <c r="AV190" s="20">
        <f>IFERROR(AVERAGE(AO190,AP190,AQ190,AR190,AS190),"n/m")</f>
        <v>0.210303168051268</v>
      </c>
      <c r="AW190" s="20">
        <f>IFERROR(AVERAGE(K190,P190,U190,Z190,AE190,AJ190),"n/m")</f>
        <v>0.176624254621615</v>
      </c>
      <c r="AX190" s="20">
        <f>IFERROR(AVERAGE(F190,G190,H190,I190,J190,K190,P190,U190,Z190,AE190,AJ190),"n/m")</f>
        <v>0.173876731427758</v>
      </c>
      <c r="AY190" s="20">
        <f>IFERROR(AVERAGE(C190,D190,E190,F190,G190,H190,I190,J190,K190,P190,U190,Z190,AE190,AJ190),"n/m")</f>
        <v>0.173876731427758</v>
      </c>
    </row>
    <row r="191">
      <c r="B191" s="156" t="inlineStr">
        <is>
          <t xml:space="preserve">  Company-published adjusted EBITDA</t>
        </is>
      </c>
      <c r="C191" s="34" t="n"/>
      <c r="D191" s="34" t="n"/>
      <c r="E191" s="34" t="n"/>
      <c r="F191" s="34" t="n"/>
      <c r="G191" s="34" t="n"/>
      <c r="H191" s="34" t="n"/>
      <c r="I191" s="34" t="n"/>
      <c r="J191" s="34" t="n">
        <v>353.663</v>
      </c>
      <c r="K191" s="34" t="n">
        <v>301.146</v>
      </c>
      <c r="L191" s="34" t="n">
        <v>94.3</v>
      </c>
      <c r="M191" s="34" t="n">
        <v>104.7</v>
      </c>
      <c r="N191" s="34" t="n">
        <v>102.5</v>
      </c>
      <c r="O191" s="34" t="n">
        <v>102.6</v>
      </c>
      <c r="P191" s="34" t="n">
        <v>404.2</v>
      </c>
      <c r="Q191" s="34" t="n">
        <v>109.3</v>
      </c>
      <c r="R191" s="34" t="n">
        <v>110.5</v>
      </c>
      <c r="S191" s="34" t="n">
        <v>105</v>
      </c>
      <c r="T191" s="34" t="n">
        <v>112</v>
      </c>
      <c r="U191" s="34" t="n">
        <v>436.8</v>
      </c>
      <c r="V191" s="34" t="n">
        <v>118</v>
      </c>
      <c r="W191" s="34" t="n">
        <v>132.1</v>
      </c>
      <c r="X191" s="34" t="n">
        <v>122.5</v>
      </c>
      <c r="Y191" s="34" t="n">
        <v>128.5</v>
      </c>
      <c r="Z191" s="34" t="n">
        <v>501.1</v>
      </c>
      <c r="AA191" s="34" t="n">
        <v>129.1</v>
      </c>
      <c r="AB191" s="34" t="n">
        <v>141</v>
      </c>
      <c r="AC191" s="34" t="n">
        <v>127.4</v>
      </c>
      <c r="AD191" s="34" t="n">
        <v>131.2</v>
      </c>
      <c r="AE191" s="34" t="n">
        <v>528.8</v>
      </c>
      <c r="AF191" s="34" t="n">
        <v>133.9</v>
      </c>
      <c r="AG191" s="34" t="n">
        <v>143.5</v>
      </c>
      <c r="AH191" s="34" t="n">
        <v>139.5</v>
      </c>
      <c r="AI191" s="34" t="n">
        <v>142.8</v>
      </c>
      <c r="AJ191" s="34" t="n">
        <v>559.7</v>
      </c>
      <c r="AK191" s="34" t="n">
        <v>136.6</v>
      </c>
      <c r="AL191" s="34" t="n">
        <v>151.4</v>
      </c>
      <c r="AM191" s="269" t="n"/>
      <c r="AN191" s="269" t="n"/>
      <c r="AO191" s="269" t="n"/>
      <c r="AP191" s="269" t="n"/>
      <c r="AQ191" s="269" t="n"/>
      <c r="AR191" s="269" t="n"/>
      <c r="AS191" s="269" t="n"/>
      <c r="AT191" s="19" t="n"/>
    </row>
    <row r="192">
      <c r="B192" s="57" t="inlineStr">
        <is>
          <t xml:space="preserve">  Check: model bridge vs company-published (should be 0; ±0.2 in 2021 quarters = release rounding)</t>
        </is>
      </c>
      <c r="C192" s="44" t="n"/>
      <c r="D192" s="44" t="n"/>
      <c r="E192" s="44" t="n"/>
      <c r="F192" s="44" t="n"/>
      <c r="G192" s="44" t="n"/>
      <c r="H192" s="44" t="n"/>
      <c r="I192" s="44" t="n"/>
      <c r="J192" s="44">
        <f>IF(ISNUMBER(J191),ROUND(J189-J191,1),"n/p")</f>
        <v>0</v>
      </c>
      <c r="K192" s="44">
        <f>IF(ISNUMBER(K191),ROUND(K189-K191,1),"n/p")</f>
        <v>0</v>
      </c>
      <c r="L192" s="44">
        <f>IF(ISNUMBER(L191),ROUND(L189-L191,1),"n/p")</f>
        <v>-0.2</v>
      </c>
      <c r="M192" s="44">
        <f>IF(ISNUMBER(M191),ROUND(M189-M191,1),"n/p")</f>
        <v>-0.2</v>
      </c>
      <c r="N192" s="44">
        <f>IF(ISNUMBER(N191),ROUND(N189-N191,1),"n/p")</f>
        <v>-0.2</v>
      </c>
      <c r="O192" s="44">
        <f>IF(ISNUMBER(O191),ROUND(O189-O191,1),"n/p")</f>
        <v>0</v>
      </c>
      <c r="P192" s="44">
        <f>IF(ISNUMBER(P191),ROUND(P189-P191,1),"n/p")</f>
        <v>0</v>
      </c>
      <c r="Q192" s="44">
        <f>IF(ISNUMBER(Q191),ROUND(Q189-Q191,1),"n/p")</f>
        <v>-0.1</v>
      </c>
      <c r="R192" s="44">
        <f>IF(ISNUMBER(R191),ROUND(R189-R191,1),"n/p")</f>
        <v>0</v>
      </c>
      <c r="S192" s="44">
        <f>IF(ISNUMBER(S191),ROUND(S189-S191,1),"n/p")</f>
        <v>0</v>
      </c>
      <c r="T192" s="44">
        <f>IF(ISNUMBER(T191),ROUND(T189-T191,1),"n/p")</f>
        <v>-0.1</v>
      </c>
      <c r="U192" s="44">
        <f>IF(ISNUMBER(U191),ROUND(U189-U191,1),"n/p")</f>
        <v>0</v>
      </c>
      <c r="V192" s="44">
        <f>IF(ISNUMBER(V191),ROUND(V189-V191,1),"n/p")</f>
        <v>0</v>
      </c>
      <c r="W192" s="44">
        <f>IF(ISNUMBER(W191),ROUND(W189-W191,1),"n/p")</f>
        <v>0</v>
      </c>
      <c r="X192" s="44">
        <f>IF(ISNUMBER(X191),ROUND(X189-X191,1),"n/p")</f>
        <v>0.1</v>
      </c>
      <c r="Y192" s="44">
        <f>IF(ISNUMBER(Y191),ROUND(Y189-Y191,1),"n/p")</f>
        <v>0</v>
      </c>
      <c r="Z192" s="44">
        <f>IF(ISNUMBER(Z191),ROUND(Z189-Z191,1),"n/p")</f>
        <v>0.1</v>
      </c>
      <c r="AA192" s="44">
        <f>IF(ISNUMBER(AA191),ROUND(AA189-AA191,1),"n/p")</f>
        <v>0</v>
      </c>
      <c r="AB192" s="44">
        <f>IF(ISNUMBER(AB191),ROUND(AB189-AB191,1),"n/p")</f>
        <v>-0.1</v>
      </c>
      <c r="AC192" s="44">
        <f>IF(ISNUMBER(AC191),ROUND(AC189-AC191,1),"n/p")</f>
        <v>0</v>
      </c>
      <c r="AD192" s="44">
        <f>IF(ISNUMBER(AD191),ROUND(AD189-AD191,1),"n/p")</f>
        <v>0</v>
      </c>
      <c r="AE192" s="44">
        <f>IF(ISNUMBER(AE191),ROUND(AE189-AE191,1),"n/p")</f>
        <v>0</v>
      </c>
      <c r="AF192" s="44">
        <f>IF(ISNUMBER(AF191),ROUND(AF189-AF191,1),"n/p")</f>
        <v>0</v>
      </c>
      <c r="AG192" s="44">
        <f>IF(ISNUMBER(AG191),ROUND(AG189-AG191,1),"n/p")</f>
        <v>0</v>
      </c>
      <c r="AH192" s="44">
        <f>IF(ISNUMBER(AH191),ROUND(AH189-AH191,1),"n/p")</f>
        <v>0</v>
      </c>
      <c r="AI192" s="44">
        <f>IF(ISNUMBER(AI191),ROUND(AI189-AI191,1),"n/p")</f>
        <v>0</v>
      </c>
      <c r="AJ192" s="44">
        <f>IF(ISNUMBER(AJ191),ROUND(AJ189-AJ191,1),"n/p")</f>
        <v>0</v>
      </c>
      <c r="AK192" s="44">
        <f>IF(ISNUMBER(AK191),ROUND(AK189-AK191,1),"n/p")</f>
        <v>-0.1</v>
      </c>
      <c r="AL192" s="44">
        <f>IF(ISNUMBER(AL191),ROUND(AL189-AL191,1),"n/p")</f>
        <v>-0.1</v>
      </c>
      <c r="AM192" s="269" t="n"/>
      <c r="AN192" s="269" t="n"/>
      <c r="AO192" s="269" t="n"/>
      <c r="AP192" s="269" t="n"/>
      <c r="AQ192" s="269" t="n"/>
      <c r="AR192" s="269" t="n"/>
      <c r="AS192" s="269" t="n"/>
      <c r="AT192" s="19" t="n"/>
    </row>
    <row r="193">
      <c r="B193" s="25" t="inlineStr">
        <is>
          <t xml:space="preserve">  (−) Adjusted EBITDA attributable to Russia</t>
        </is>
      </c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44">
        <f>-M54</f>
        <v>-11.9</v>
      </c>
      <c r="N193" s="44">
        <f>-N54</f>
        <v>-11.2</v>
      </c>
      <c r="O193" s="44">
        <f>-O54</f>
        <v>-4.9</v>
      </c>
      <c r="P193" s="44">
        <f>-P54</f>
        <v>-28</v>
      </c>
      <c r="Q193" s="44">
        <f>-Q54</f>
        <v>-8.4</v>
      </c>
      <c r="R193" s="44">
        <f>-R54</f>
        <v>-5.5</v>
      </c>
      <c r="S193" s="44">
        <f>-S54</f>
        <v>-9.5</v>
      </c>
      <c r="T193" s="44">
        <f>-T54</f>
        <v>-5</v>
      </c>
      <c r="U193" s="44">
        <f>-U54</f>
        <v>-20</v>
      </c>
      <c r="V193" s="44">
        <f>-V54</f>
        <v>-5.3</v>
      </c>
      <c r="W193" s="44">
        <f>-W54</f>
        <v>-5.6</v>
      </c>
      <c r="X193" s="44">
        <f>-X54</f>
        <v>-4.7</v>
      </c>
      <c r="Y193" s="44">
        <f>-Y54</f>
        <v>-2.7</v>
      </c>
      <c r="Z193" s="44">
        <f>-Z54</f>
        <v>-18.4</v>
      </c>
      <c r="AA193" s="44">
        <f>-AA54</f>
        <v>-5.9</v>
      </c>
      <c r="AB193" s="44">
        <f>-AB54</f>
        <v>-6.9</v>
      </c>
      <c r="AC193" s="44">
        <f>-AC54</f>
        <v>-2.6</v>
      </c>
      <c r="AD193" s="44">
        <f>-AD54</f>
        <v>-2.6</v>
      </c>
      <c r="AE193" s="44">
        <f>-AE54</f>
        <v>-18.1</v>
      </c>
      <c r="AF193" s="44">
        <f>-AF54</f>
        <v>-6</v>
      </c>
      <c r="AG193" s="44">
        <f>-AG54</f>
        <v>-5</v>
      </c>
      <c r="AH193" s="44">
        <f>-AH54</f>
        <v>-6.1</v>
      </c>
      <c r="AI193" s="44">
        <f>-AI54</f>
        <v>-2.5</v>
      </c>
      <c r="AJ193" s="44">
        <f>-AJ54</f>
        <v>-19.7</v>
      </c>
      <c r="AK193" s="44">
        <f>-AK54</f>
        <v>-0.7</v>
      </c>
      <c r="AL193" s="44">
        <f>-AL54</f>
        <v>-1.8</v>
      </c>
      <c r="AM193" s="257">
        <f>-AM54</f>
        <v>-1.25</v>
      </c>
      <c r="AN193" s="257">
        <f>-AN54</f>
        <v>-1.25</v>
      </c>
      <c r="AO193" s="257">
        <f>-AO54</f>
        <v>-5</v>
      </c>
      <c r="AP193" s="257">
        <f>-AP54</f>
        <v>-5</v>
      </c>
      <c r="AQ193" s="257">
        <f>-AQ54</f>
        <v>-5</v>
      </c>
      <c r="AR193" s="257">
        <f>-AR54</f>
        <v>-5</v>
      </c>
      <c r="AS193" s="257">
        <f>-AS54</f>
        <v>-5</v>
      </c>
      <c r="AT193" s="19" t="n"/>
    </row>
    <row r="194">
      <c r="B194" s="55" t="inlineStr">
        <is>
          <t xml:space="preserve">  = Core adjusted EBITDA (ex-Russia)</t>
        </is>
      </c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>
        <f>M189+M193</f>
        <v>92.5889999999999</v>
      </c>
      <c r="N194" s="56">
        <f>N189+N193</f>
        <v>91.091</v>
      </c>
      <c r="O194" s="56">
        <f>O189+O193</f>
        <v>97.71</v>
      </c>
      <c r="P194" s="56">
        <f>P189+P193</f>
        <v>376.168</v>
      </c>
      <c r="Q194" s="56">
        <f>Q189+Q193</f>
        <v>100.818</v>
      </c>
      <c r="R194" s="56">
        <f>R189+R193</f>
        <v>105.027</v>
      </c>
      <c r="S194" s="56">
        <f>S189+S193</f>
        <v>95.47</v>
      </c>
      <c r="T194" s="56">
        <f>T189+T193</f>
        <v>106.946</v>
      </c>
      <c r="U194" s="56">
        <f>U189+U193</f>
        <v>416.761</v>
      </c>
      <c r="V194" s="56">
        <f>V189+V193</f>
        <v>112.707</v>
      </c>
      <c r="W194" s="56">
        <f>W189+W193</f>
        <v>126.508</v>
      </c>
      <c r="X194" s="56">
        <f>X189+X193</f>
        <v>117.875</v>
      </c>
      <c r="Y194" s="56">
        <f>Y189+Y193</f>
        <v>125.786</v>
      </c>
      <c r="Z194" s="56">
        <f>Z189+Z193</f>
        <v>482.776</v>
      </c>
      <c r="AA194" s="56">
        <f>AA189+AA193</f>
        <v>123.177</v>
      </c>
      <c r="AB194" s="56">
        <f>AB189+AB193</f>
        <v>134.028</v>
      </c>
      <c r="AC194" s="56">
        <f>AC189+AC193</f>
        <v>124.79</v>
      </c>
      <c r="AD194" s="56">
        <f>AD189+AD193</f>
        <v>128.582</v>
      </c>
      <c r="AE194" s="56">
        <f>AE189+AE193</f>
        <v>510.677</v>
      </c>
      <c r="AF194" s="56">
        <f>AF189+AF193</f>
        <v>127.944</v>
      </c>
      <c r="AG194" s="56">
        <f>AG189+AG193</f>
        <v>138.484</v>
      </c>
      <c r="AH194" s="56">
        <f>AH189+AH193</f>
        <v>133.365</v>
      </c>
      <c r="AI194" s="56">
        <f>AI189+AI193</f>
        <v>140.333</v>
      </c>
      <c r="AJ194" s="56">
        <f>AJ189+AJ193</f>
        <v>540.026</v>
      </c>
      <c r="AK194" s="56">
        <f>AK189+AK193</f>
        <v>135.84</v>
      </c>
      <c r="AL194" s="56">
        <f>AL189+AL193</f>
        <v>149.542</v>
      </c>
      <c r="AM194" s="56">
        <f>AM189+AM193</f>
        <v>167.649600949462</v>
      </c>
      <c r="AN194" s="56">
        <f>AN189+AN193</f>
        <v>166.950399050538</v>
      </c>
      <c r="AO194" s="56">
        <f>AO189+AO193</f>
        <v>619.982</v>
      </c>
      <c r="AP194" s="56">
        <f>AP189+AP193</f>
        <v>702.274998417731</v>
      </c>
      <c r="AQ194" s="56">
        <f>AQ189+AQ193</f>
        <v>761.04684559347</v>
      </c>
      <c r="AR194" s="56">
        <f>AR189+AR193</f>
        <v>819.601602764246</v>
      </c>
      <c r="AS194" s="56">
        <f>AS189+AS193</f>
        <v>879.642632729996</v>
      </c>
      <c r="AT194" s="19" t="n"/>
      <c r="AV194" s="20">
        <f>IFERROR((AS194/AJ194)^(1/5)-1,"n/m")</f>
        <v>0.102499293866504</v>
      </c>
      <c r="AW194" s="20" t="str">
        <f>IFERROR((AJ194/K194)^(1/5)-1,"n/m")</f>
        <v>n/m</v>
      </c>
      <c r="AX194" s="20" t="str">
        <f>IFERROR((AJ194/F194)^(1/10)-1,"n/m")</f>
        <v>n/m</v>
      </c>
      <c r="AY194" s="20" t="str">
        <f>IFERROR((AJ194/C194)^(1/13)-1,"n/m")</f>
        <v>n/m</v>
      </c>
    </row>
    <row r="195">
      <c r="B195" s="156" t="inlineStr">
        <is>
          <t xml:space="preserve">  Company-published core adjusted EBITDA</t>
        </is>
      </c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>
        <v>92.8</v>
      </c>
      <c r="N195" s="34" t="n">
        <v>91.3</v>
      </c>
      <c r="O195" s="34" t="n">
        <v>97.7</v>
      </c>
      <c r="P195" s="34" t="n">
        <v>376.2</v>
      </c>
      <c r="Q195" s="34" t="n">
        <v>100.9</v>
      </c>
      <c r="R195" s="34" t="n">
        <v>105</v>
      </c>
      <c r="S195" s="34" t="n">
        <v>95.5</v>
      </c>
      <c r="T195" s="34" t="n">
        <v>107</v>
      </c>
      <c r="U195" s="34" t="n">
        <v>416.8</v>
      </c>
      <c r="V195" s="34" t="n">
        <v>112.7</v>
      </c>
      <c r="W195" s="34" t="n">
        <v>126.5</v>
      </c>
      <c r="X195" s="34" t="n">
        <v>117.8</v>
      </c>
      <c r="Y195" s="34" t="n">
        <v>125.8</v>
      </c>
      <c r="Z195" s="34" t="n">
        <v>482.7</v>
      </c>
      <c r="AA195" s="34" t="n">
        <v>123.2</v>
      </c>
      <c r="AB195" s="34" t="n">
        <v>134</v>
      </c>
      <c r="AC195" s="34" t="n">
        <v>124.8</v>
      </c>
      <c r="AD195" s="34" t="n">
        <v>128.6</v>
      </c>
      <c r="AE195" s="34" t="n">
        <v>510.7</v>
      </c>
      <c r="AF195" s="34" t="n">
        <v>127.9</v>
      </c>
      <c r="AG195" s="34" t="n">
        <v>138.5</v>
      </c>
      <c r="AH195" s="34" t="n">
        <v>133.4</v>
      </c>
      <c r="AI195" s="34" t="n">
        <v>140.3</v>
      </c>
      <c r="AJ195" s="34" t="n">
        <v>540</v>
      </c>
      <c r="AK195" s="34" t="n">
        <v>135.9</v>
      </c>
      <c r="AL195" s="34" t="n">
        <v>149.6</v>
      </c>
      <c r="AM195" s="269" t="n"/>
      <c r="AN195" s="269" t="n"/>
      <c r="AO195" s="269" t="n"/>
      <c r="AP195" s="269" t="n"/>
      <c r="AQ195" s="269" t="n"/>
      <c r="AR195" s="269" t="n"/>
      <c r="AS195" s="269" t="n"/>
      <c r="AT195" s="19" t="n"/>
    </row>
    <row r="196">
      <c r="B196" s="57" t="inlineStr">
        <is>
          <t xml:space="preserve">  Check: model vs company-published core adjusted EBITDA (should be 0)</t>
        </is>
      </c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>
        <f>IF(ISNUMBER(M195),ROUND(M194-M195,1),"n/p")</f>
        <v>-0.2</v>
      </c>
      <c r="N196" s="44">
        <f>IF(ISNUMBER(N195),ROUND(N194-N195,1),"n/p")</f>
        <v>-0.2</v>
      </c>
      <c r="O196" s="44">
        <f>IF(ISNUMBER(O195),ROUND(O194-O195,1),"n/p")</f>
        <v>0</v>
      </c>
      <c r="P196" s="44">
        <f>IF(ISNUMBER(P195),ROUND(P194-P195,1),"n/p")</f>
        <v>0</v>
      </c>
      <c r="Q196" s="44">
        <f>IF(ISNUMBER(Q195),ROUND(Q194-Q195,1),"n/p")</f>
        <v>-0.1</v>
      </c>
      <c r="R196" s="44">
        <f>IF(ISNUMBER(R195),ROUND(R194-R195,1),"n/p")</f>
        <v>0</v>
      </c>
      <c r="S196" s="44">
        <f>IF(ISNUMBER(S195),ROUND(S194-S195,1),"n/p")</f>
        <v>0</v>
      </c>
      <c r="T196" s="44">
        <f>IF(ISNUMBER(T195),ROUND(T194-T195,1),"n/p")</f>
        <v>-0.1</v>
      </c>
      <c r="U196" s="44">
        <f>IF(ISNUMBER(U195),ROUND(U194-U195,1),"n/p")</f>
        <v>0</v>
      </c>
      <c r="V196" s="44">
        <f>IF(ISNUMBER(V195),ROUND(V194-V195,1),"n/p")</f>
        <v>0</v>
      </c>
      <c r="W196" s="44">
        <f>IF(ISNUMBER(W195),ROUND(W194-W195,1),"n/p")</f>
        <v>0</v>
      </c>
      <c r="X196" s="44">
        <f>IF(ISNUMBER(X195),ROUND(X194-X195,1),"n/p")</f>
        <v>0.1</v>
      </c>
      <c r="Y196" s="44">
        <f>IF(ISNUMBER(Y195),ROUND(Y194-Y195,1),"n/p")</f>
        <v>0</v>
      </c>
      <c r="Z196" s="44">
        <f>IF(ISNUMBER(Z195),ROUND(Z194-Z195,1),"n/p")</f>
        <v>0.1</v>
      </c>
      <c r="AA196" s="44">
        <f>IF(ISNUMBER(AA195),ROUND(AA194-AA195,1),"n/p")</f>
        <v>0</v>
      </c>
      <c r="AB196" s="44">
        <f>IF(ISNUMBER(AB195),ROUND(AB194-AB195,1),"n/p")</f>
        <v>0</v>
      </c>
      <c r="AC196" s="44">
        <f>IF(ISNUMBER(AC195),ROUND(AC194-AC195,1),"n/p")</f>
        <v>0</v>
      </c>
      <c r="AD196" s="44">
        <f>IF(ISNUMBER(AD195),ROUND(AD194-AD195,1),"n/p")</f>
        <v>0</v>
      </c>
      <c r="AE196" s="44">
        <f>IF(ISNUMBER(AE195),ROUND(AE194-AE195,1),"n/p")</f>
        <v>0</v>
      </c>
      <c r="AF196" s="44">
        <f>IF(ISNUMBER(AF195),ROUND(AF194-AF195,1),"n/p")</f>
        <v>0</v>
      </c>
      <c r="AG196" s="44">
        <f>IF(ISNUMBER(AG195),ROUND(AG194-AG195,1),"n/p")</f>
        <v>0</v>
      </c>
      <c r="AH196" s="44">
        <f>IF(ISNUMBER(AH195),ROUND(AH194-AH195,1),"n/p")</f>
        <v>0</v>
      </c>
      <c r="AI196" s="44">
        <f>IF(ISNUMBER(AI195),ROUND(AI194-AI195,1),"n/p")</f>
        <v>0</v>
      </c>
      <c r="AJ196" s="44">
        <f>IF(ISNUMBER(AJ195),ROUND(AJ194-AJ195,1),"n/p")</f>
        <v>0</v>
      </c>
      <c r="AK196" s="44">
        <f>IF(ISNUMBER(AK195),ROUND(AK194-AK195,1),"n/p")</f>
        <v>-0.1</v>
      </c>
      <c r="AL196" s="44">
        <f>IF(ISNUMBER(AL195),ROUND(AL194-AL195,1),"n/p")</f>
        <v>-0.1</v>
      </c>
      <c r="AM196" s="269" t="n"/>
      <c r="AN196" s="269" t="n"/>
      <c r="AO196" s="269" t="n"/>
      <c r="AP196" s="269" t="n"/>
      <c r="AQ196" s="269" t="n"/>
      <c r="AR196" s="269" t="n"/>
      <c r="AS196" s="269" t="n"/>
      <c r="AT196" s="19" t="n"/>
    </row>
    <row r="197">
      <c r="B197" s="158" t="inlineStr">
        <is>
          <t xml:space="preserve">  Definition basis (company adjusted EBITDA definition in force)</t>
        </is>
      </c>
      <c r="C197" s="274" t="n"/>
      <c r="D197" s="274" t="n"/>
      <c r="E197" s="274" t="n"/>
      <c r="F197" s="274" t="n"/>
      <c r="G197" s="274" t="n"/>
      <c r="H197" s="274" t="n"/>
      <c r="I197" s="274" t="n"/>
      <c r="J197" s="274" t="n"/>
      <c r="K197" s="275" t="inlineStr">
        <is>
          <t>Form 10 / 10-K segment adjusted EBITDA</t>
        </is>
      </c>
      <c r="L197" s="274" t="n"/>
      <c r="M197" s="274" t="n"/>
      <c r="N197" s="274" t="n"/>
      <c r="O197" s="274" t="n"/>
      <c r="P197" s="274" t="n"/>
      <c r="Q197" s="275" t="inlineStr">
        <is>
          <t>Separation costs added back (2022–23)</t>
        </is>
      </c>
      <c r="R197" s="274" t="n"/>
      <c r="S197" s="275" t="inlineStr">
        <is>
          <t>Core (ex-Russia) introduced</t>
        </is>
      </c>
      <c r="T197" s="274" t="n"/>
      <c r="U197" s="274" t="n"/>
      <c r="V197" s="274" t="n"/>
      <c r="W197" s="274" t="n"/>
      <c r="X197" s="274" t="n"/>
      <c r="Y197" s="274" t="n"/>
      <c r="Z197" s="274" t="n"/>
      <c r="AA197" s="274" t="n"/>
      <c r="AB197" s="274" t="n"/>
      <c r="AC197" s="274" t="n"/>
      <c r="AD197" s="274" t="n"/>
      <c r="AE197" s="274" t="n"/>
      <c r="AF197" s="274" t="n"/>
      <c r="AG197" s="274" t="n"/>
      <c r="AH197" s="274" t="n"/>
      <c r="AI197" s="274" t="n"/>
      <c r="AJ197" s="274" t="n"/>
      <c r="AK197" s="274" t="n"/>
      <c r="AL197" s="275" t="inlineStr">
        <is>
          <t>Performance option awards added back</t>
        </is>
      </c>
      <c r="AM197" s="276" t="n"/>
      <c r="AN197" s="276" t="n"/>
      <c r="AO197" s="276" t="n"/>
      <c r="AP197" s="276" t="n"/>
      <c r="AQ197" s="276" t="n"/>
      <c r="AR197" s="276" t="n"/>
      <c r="AS197" s="276" t="n"/>
      <c r="AT197" s="19" t="n"/>
    </row>
    <row r="198">
      <c r="B198" s="25" t="inlineStr">
        <is>
          <t>To adjusted EBITA:</t>
        </is>
      </c>
      <c r="C198" s="271" t="n"/>
      <c r="D198" s="271" t="n"/>
      <c r="E198" s="271" t="n"/>
      <c r="F198" s="271" t="n"/>
      <c r="G198" s="271" t="n"/>
      <c r="H198" s="271" t="n"/>
      <c r="I198" s="271" t="n"/>
      <c r="J198" s="271" t="n"/>
      <c r="K198" s="271" t="n"/>
      <c r="L198" s="271" t="n"/>
      <c r="M198" s="271" t="n"/>
      <c r="N198" s="271" t="n"/>
      <c r="O198" s="271" t="n"/>
      <c r="P198" s="271" t="n"/>
      <c r="Q198" s="271" t="n"/>
      <c r="R198" s="271" t="n"/>
      <c r="S198" s="271" t="n"/>
      <c r="T198" s="271" t="n"/>
      <c r="U198" s="271" t="n"/>
      <c r="V198" s="271" t="n"/>
      <c r="W198" s="271" t="n"/>
      <c r="X198" s="271" t="n"/>
      <c r="Y198" s="271" t="n"/>
      <c r="Z198" s="271" t="n"/>
      <c r="AA198" s="271" t="n"/>
      <c r="AB198" s="271" t="n"/>
      <c r="AC198" s="271" t="n"/>
      <c r="AD198" s="271" t="n"/>
      <c r="AE198" s="271" t="n"/>
      <c r="AF198" s="271" t="n"/>
      <c r="AG198" s="271" t="n"/>
      <c r="AH198" s="271" t="n"/>
      <c r="AI198" s="271" t="n"/>
      <c r="AJ198" s="271" t="n"/>
      <c r="AK198" s="271" t="n"/>
      <c r="AL198" s="271" t="n"/>
      <c r="AM198" s="269" t="n"/>
      <c r="AN198" s="269" t="n"/>
      <c r="AO198" s="269" t="n"/>
      <c r="AP198" s="269" t="n"/>
      <c r="AQ198" s="269" t="n"/>
      <c r="AR198" s="269" t="n"/>
      <c r="AS198" s="269" t="n"/>
      <c r="AT198" s="19" t="n"/>
    </row>
    <row r="199">
      <c r="B199" s="25" t="inlineStr">
        <is>
          <t xml:space="preserve">  (−) Depreciation &amp; other amortization</t>
        </is>
      </c>
      <c r="C199" s="34" t="n"/>
      <c r="D199" s="34" t="n"/>
      <c r="E199" s="34" t="n"/>
      <c r="F199" s="34" t="n"/>
      <c r="G199" s="34" t="n"/>
      <c r="H199" s="34" t="n"/>
      <c r="I199" s="34" t="n"/>
      <c r="J199" s="44">
        <f>-J127</f>
        <v>-40.99</v>
      </c>
      <c r="K199" s="44">
        <f>-K127</f>
        <v>-38.366</v>
      </c>
      <c r="L199" s="44">
        <f>-L127</f>
        <v>-9.6</v>
      </c>
      <c r="M199" s="44">
        <f>-M127</f>
        <v>-9.6</v>
      </c>
      <c r="N199" s="44">
        <f>-N127</f>
        <v>-9.8</v>
      </c>
      <c r="O199" s="44">
        <f>-O127</f>
        <v>-9.5</v>
      </c>
      <c r="P199" s="44">
        <f>-P127</f>
        <v>-38.5</v>
      </c>
      <c r="Q199" s="44">
        <f>-Q127</f>
        <v>-9</v>
      </c>
      <c r="R199" s="44">
        <f>-R127</f>
        <v>-8.9</v>
      </c>
      <c r="S199" s="44">
        <f>-S127</f>
        <v>-8.3</v>
      </c>
      <c r="T199" s="44">
        <f>-T127</f>
        <v>-8.7</v>
      </c>
      <c r="U199" s="44">
        <f>-U127</f>
        <v>-34.9</v>
      </c>
      <c r="V199" s="44">
        <f>-V127</f>
        <v>-8.6</v>
      </c>
      <c r="W199" s="44">
        <f>-W127</f>
        <v>-9</v>
      </c>
      <c r="X199" s="44">
        <f>-X127</f>
        <v>-9</v>
      </c>
      <c r="Y199" s="44">
        <f>-Y127</f>
        <v>-9.4</v>
      </c>
      <c r="Z199" s="44">
        <f>-Z127</f>
        <v>-36</v>
      </c>
      <c r="AA199" s="44">
        <f>-AA127</f>
        <v>-8.8</v>
      </c>
      <c r="AB199" s="44">
        <f>-AB127</f>
        <v>-9.1</v>
      </c>
      <c r="AC199" s="44">
        <f>-AC127</f>
        <v>-9.5</v>
      </c>
      <c r="AD199" s="44">
        <f>-AD127</f>
        <v>-9.2</v>
      </c>
      <c r="AE199" s="44">
        <f>-AE127</f>
        <v>-36.6</v>
      </c>
      <c r="AF199" s="44">
        <f>-AF127</f>
        <v>-10</v>
      </c>
      <c r="AG199" s="44">
        <f>-AG127</f>
        <v>-11.4</v>
      </c>
      <c r="AH199" s="44">
        <f>-AH127</f>
        <v>-12</v>
      </c>
      <c r="AI199" s="44">
        <f>-AI127</f>
        <v>-14.3</v>
      </c>
      <c r="AJ199" s="44">
        <f>-AJ127</f>
        <v>-47.7</v>
      </c>
      <c r="AK199" s="44">
        <f>-AK127</f>
        <v>-13.1</v>
      </c>
      <c r="AL199" s="44">
        <f>-AL127</f>
        <v>-12.3</v>
      </c>
      <c r="AM199" s="257">
        <f>-AM127</f>
        <v>-13.7097260273973</v>
      </c>
      <c r="AN199" s="257">
        <f>-AN127</f>
        <v>-13.6986301369863</v>
      </c>
      <c r="AO199" s="257">
        <f>-AO127</f>
        <v>-52.8083561643836</v>
      </c>
      <c r="AP199" s="257">
        <f>-AP127</f>
        <v>-57.5876535208404</v>
      </c>
      <c r="AQ199" s="257">
        <f>-AQ127</f>
        <v>-60.4937763274656</v>
      </c>
      <c r="AR199" s="257">
        <f>-AR127</f>
        <v>-64.4413780818096</v>
      </c>
      <c r="AS199" s="257">
        <f>-AS127</f>
        <v>-68.8082218050421</v>
      </c>
      <c r="AT199" s="19" t="n"/>
    </row>
    <row r="200">
      <c r="B200" s="16" t="inlineStr">
        <is>
          <t xml:space="preserve">  = Adjusted EBITA (model; adjusted EBITDA − depreciation &amp; other amortization)</t>
        </is>
      </c>
      <c r="C200" s="43" t="n"/>
      <c r="D200" s="43" t="n"/>
      <c r="E200" s="43" t="n"/>
      <c r="F200" s="43" t="n"/>
      <c r="G200" s="43" t="n"/>
      <c r="H200" s="43" t="n"/>
      <c r="I200" s="43" t="n"/>
      <c r="J200" s="43">
        <f>J189+J199</f>
        <v>312.673</v>
      </c>
      <c r="K200" s="43">
        <f>K189+K199</f>
        <v>262.78</v>
      </c>
      <c r="L200" s="43">
        <f>L189+L199</f>
        <v>84.476</v>
      </c>
      <c r="M200" s="43">
        <f>M189+M199</f>
        <v>94.889</v>
      </c>
      <c r="N200" s="43">
        <f>N189+N199</f>
        <v>92.491</v>
      </c>
      <c r="O200" s="43">
        <f>O189+O199</f>
        <v>93.11</v>
      </c>
      <c r="P200" s="43">
        <f>P189+P199</f>
        <v>365.668</v>
      </c>
      <c r="Q200" s="43">
        <f>Q189+Q199</f>
        <v>100.218</v>
      </c>
      <c r="R200" s="43">
        <f>R189+R199</f>
        <v>101.627</v>
      </c>
      <c r="S200" s="43">
        <f>S189+S199</f>
        <v>96.67</v>
      </c>
      <c r="T200" s="43">
        <f>T189+T199</f>
        <v>103.246</v>
      </c>
      <c r="U200" s="43">
        <f>U189+U199</f>
        <v>401.861</v>
      </c>
      <c r="V200" s="43">
        <f>V189+V199</f>
        <v>109.407</v>
      </c>
      <c r="W200" s="43">
        <f>W189+W199</f>
        <v>123.108</v>
      </c>
      <c r="X200" s="43">
        <f>X189+X199</f>
        <v>113.575</v>
      </c>
      <c r="Y200" s="43">
        <f>Y189+Y199</f>
        <v>119.086</v>
      </c>
      <c r="Z200" s="43">
        <f>Z189+Z199</f>
        <v>465.176</v>
      </c>
      <c r="AA200" s="43">
        <f>AA189+AA199</f>
        <v>120.277</v>
      </c>
      <c r="AB200" s="43">
        <f>AB189+AB199</f>
        <v>131.828</v>
      </c>
      <c r="AC200" s="43">
        <f>AC189+AC199</f>
        <v>117.89</v>
      </c>
      <c r="AD200" s="43">
        <f>AD189+AD199</f>
        <v>121.982</v>
      </c>
      <c r="AE200" s="43">
        <f>AE189+AE199</f>
        <v>492.177</v>
      </c>
      <c r="AF200" s="43">
        <f>AF189+AF199</f>
        <v>123.944</v>
      </c>
      <c r="AG200" s="43">
        <f>AG189+AG199</f>
        <v>132.084</v>
      </c>
      <c r="AH200" s="43">
        <f>AH189+AH199</f>
        <v>127.465</v>
      </c>
      <c r="AI200" s="43">
        <f>AI189+AI199</f>
        <v>128.533</v>
      </c>
      <c r="AJ200" s="43">
        <f>AJ189+AJ199</f>
        <v>512.026</v>
      </c>
      <c r="AK200" s="43">
        <f>AK189+AK199</f>
        <v>123.44</v>
      </c>
      <c r="AL200" s="43">
        <f>AL189+AL199</f>
        <v>139.042</v>
      </c>
      <c r="AM200" s="253">
        <f>AM189+AM199</f>
        <v>155.189874922065</v>
      </c>
      <c r="AN200" s="253">
        <f>AN189+AN199</f>
        <v>154.501768913552</v>
      </c>
      <c r="AO200" s="253">
        <f>AO189+AO199</f>
        <v>572.173643835616</v>
      </c>
      <c r="AP200" s="253">
        <f>AP189+AP199</f>
        <v>649.687344896891</v>
      </c>
      <c r="AQ200" s="253">
        <f>AQ189+AQ199</f>
        <v>705.553069266005</v>
      </c>
      <c r="AR200" s="253">
        <f>AR189+AR199</f>
        <v>760.160224682437</v>
      </c>
      <c r="AS200" s="253">
        <f>AS189+AS199</f>
        <v>815.834410924954</v>
      </c>
      <c r="AT200" s="19" t="n"/>
      <c r="AV200" s="20">
        <f>IFERROR((AS200/AJ200)^(1/5)-1,"n/m")</f>
        <v>0.0976452465588751</v>
      </c>
      <c r="AW200" s="20">
        <f>IFERROR((AJ200/K200)^(1/5)-1,"n/m")</f>
        <v>0.142720296573994</v>
      </c>
      <c r="AX200" s="20" t="str">
        <f>IFERROR((AJ200/F200)^(1/10)-1,"n/m")</f>
        <v>n/m</v>
      </c>
      <c r="AY200" s="20" t="str">
        <f>IFERROR((AJ200/C200)^(1/13)-1,"n/m")</f>
        <v>n/m</v>
      </c>
    </row>
    <row r="201">
      <c r="B201" s="25" t="inlineStr">
        <is>
          <t xml:space="preserve">  Adjusted EBITA margin %</t>
        </is>
      </c>
      <c r="C201" s="36" t="n"/>
      <c r="D201" s="36" t="n"/>
      <c r="E201" s="36" t="n"/>
      <c r="F201" s="36" t="n"/>
      <c r="G201" s="36" t="n"/>
      <c r="H201" s="36" t="n"/>
      <c r="I201" s="36" t="n"/>
      <c r="J201" s="36">
        <f>IF(AND(ISNUMBER(J200),ISNUMBER(J136)),IFERROR(J200/J136,""),"")</f>
        <v>0.139149702762674</v>
      </c>
      <c r="K201" s="36">
        <f>IF(AND(ISNUMBER(K200),ISNUMBER(K136)),IFERROR(K200/K136,""),"")</f>
        <v>0.134754206133219</v>
      </c>
      <c r="L201" s="36">
        <f>IF(AND(ISNUMBER(L200),ISNUMBER(L136)),IFERROR(L200/L136,""),"")</f>
        <v>0.148691844091472</v>
      </c>
      <c r="M201" s="36">
        <f>IF(AND(ISNUMBER(M200),ISNUMBER(M136)),IFERROR(M200/M136,""),"")</f>
        <v>0.150664333665712</v>
      </c>
      <c r="N201" s="36">
        <f>IF(AND(ISNUMBER(N200),ISNUMBER(N136)),IFERROR(N200/N136,""),"")</f>
        <v>0.152633472394582</v>
      </c>
      <c r="O201" s="36">
        <f>IF(AND(ISNUMBER(O200),ISNUMBER(O136)),IFERROR(O200/O136,""),"")</f>
        <v>0.149163349166553</v>
      </c>
      <c r="P201" s="36">
        <f>IF(AND(ISNUMBER(P200),ISNUMBER(P136)),IFERROR(P200/P136,""),"")</f>
        <v>0.150597479938141</v>
      </c>
      <c r="Q201" s="36">
        <f>IF(AND(ISNUMBER(Q200),ISNUMBER(Q136)),IFERROR(Q200/Q136,""),"")</f>
        <v>0.154678651851875</v>
      </c>
      <c r="R201" s="36">
        <f>IF(AND(ISNUMBER(R200),ISNUMBER(R136)),IFERROR(R200/R136,""),"")</f>
        <v>0.153706193651624</v>
      </c>
      <c r="S201" s="36">
        <f>IF(AND(ISNUMBER(S200),ISNUMBER(S136)),IFERROR(S200/S136,""),"")</f>
        <v>0.155852740360975</v>
      </c>
      <c r="T201" s="36">
        <f>IF(AND(ISNUMBER(T200),ISNUMBER(T136)),IFERROR(T200/T136,""),"")</f>
        <v>0.155461229553986</v>
      </c>
      <c r="U201" s="36">
        <f>IF(AND(ISNUMBER(U200),ISNUMBER(U136)),IFERROR(U200/U136,""),"")</f>
        <v>0.154950491231858</v>
      </c>
      <c r="V201" s="36">
        <f>IF(AND(ISNUMBER(V200),ISNUMBER(V136)),IFERROR(V200/V136,""),"")</f>
        <v>0.159951754385965</v>
      </c>
      <c r="W201" s="36">
        <f>IF(AND(ISNUMBER(W200),ISNUMBER(W136)),IFERROR(W200/W136,""),"")</f>
        <v>0.170883176804706</v>
      </c>
      <c r="X201" s="36">
        <f>IF(AND(ISNUMBER(X200),ISNUMBER(X136)),IFERROR(X200/X136,""),"")</f>
        <v>0.166777778430417</v>
      </c>
      <c r="Y201" s="36">
        <f>IF(AND(ISNUMBER(Y200),ISNUMBER(Y136)),IFERROR(Y200/Y136,""),"")</f>
        <v>0.172751643582051</v>
      </c>
      <c r="Z201" s="36">
        <f>IF(AND(ISNUMBER(Z200),ISNUMBER(Z136)),IFERROR(Z200/Z136,""),"")</f>
        <v>0.167645127553098</v>
      </c>
      <c r="AA201" s="36">
        <f>IF(AND(ISNUMBER(AA200),ISNUMBER(AA136)),IFERROR(AA200/AA136,""),"")</f>
        <v>0.174379189960333</v>
      </c>
      <c r="AB201" s="36">
        <f>IF(AND(ISNUMBER(AB200),ISNUMBER(AB136)),IFERROR(AB200/AB136,""),"")</f>
        <v>0.186447126311606</v>
      </c>
      <c r="AC201" s="36">
        <f>IF(AND(ISNUMBER(AC200),ISNUMBER(AC136)),IFERROR(AC200/AC136,""),"")</f>
        <v>0.175105829929447</v>
      </c>
      <c r="AD201" s="36">
        <f>IF(AND(ISNUMBER(AD200),ISNUMBER(AD136)),IFERROR(AD200/AD136,""),"")</f>
        <v>0.181857486179773</v>
      </c>
      <c r="AE201" s="36">
        <f>IF(AND(ISNUMBER(AE200),ISNUMBER(AE136)),IFERROR(AE200/AE136,""),"")</f>
        <v>0.179574015352435</v>
      </c>
      <c r="AF201" s="36">
        <f>IF(AND(ISNUMBER(AF200),ISNUMBER(AF136)),IFERROR(AF200/AF136,""),"")</f>
        <v>0.182771058398143</v>
      </c>
      <c r="AG201" s="36">
        <f>IF(AND(ISNUMBER(AG200),ISNUMBER(AG136)),IFERROR(AG200/AG136,""),"")</f>
        <v>0.184581587677791</v>
      </c>
      <c r="AH201" s="36">
        <f>IF(AND(ISNUMBER(AH200),ISNUMBER(AH136)),IFERROR(AH200/AH136,""),"")</f>
        <v>0.175126572278438</v>
      </c>
      <c r="AI201" s="36">
        <f>IF(AND(ISNUMBER(AI200),ISNUMBER(AI136)),IFERROR(AI200/AI136,""),"")</f>
        <v>0.178273919327144</v>
      </c>
      <c r="AJ201" s="36">
        <f>IF(AND(ISNUMBER(AJ200),ISNUMBER(AJ136)),IFERROR(AJ200/AJ136,""),"")</f>
        <v>0.180128792582729</v>
      </c>
      <c r="AK201" s="36">
        <f>IF(AND(ISNUMBER(AK200),ISNUMBER(AK136)),IFERROR(AK200/AK136,""),"")</f>
        <v>0.165558606056623</v>
      </c>
      <c r="AL201" s="36">
        <f>IF(AND(ISNUMBER(AL200),ISNUMBER(AL136)),IFERROR(AL200/AL136,""),"")</f>
        <v>0.17216115855463</v>
      </c>
      <c r="AM201" s="254">
        <f>IFERROR(AM200/AM136,"")</f>
        <v>0.187405265463516</v>
      </c>
      <c r="AN201" s="254">
        <f>IFERROR(AN200/AN136,"")</f>
        <v>0.192761982606131</v>
      </c>
      <c r="AO201" s="254">
        <f>IFERROR(AO200/AO136,"")</f>
        <v>0.17976976779683</v>
      </c>
      <c r="AP201" s="254">
        <f>IFERROR(AP200/AP136,"")</f>
        <v>0.189866302362063</v>
      </c>
      <c r="AQ201" s="254">
        <f>IFERROR(AQ200/AQ136,"")</f>
        <v>0.196593666105792</v>
      </c>
      <c r="AR201" s="254">
        <f>IFERROR(AR200/AR136,"")</f>
        <v>0.199616904486463</v>
      </c>
      <c r="AS201" s="254">
        <f>IFERROR(AS200/AS136,"")</f>
        <v>0.20147709865789</v>
      </c>
      <c r="AT201" s="19" t="n"/>
    </row>
    <row r="202">
      <c r="B202" s="25" t="inlineStr">
        <is>
          <t xml:space="preserve">  Memo: adjusted EBITDA pro forma — Eddyfi full year (2026E), for leverage &amp; valuation</t>
        </is>
      </c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  <c r="AA202" s="34" t="n"/>
      <c r="AB202" s="34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257" t="n"/>
      <c r="AN202" s="257" t="n"/>
      <c r="AO202" s="257">
        <f>AO189+AO74*AO77*151/365</f>
        <v>658.078304109589</v>
      </c>
      <c r="AP202" s="257">
        <f>AP189</f>
        <v>707.274998417731</v>
      </c>
      <c r="AQ202" s="257">
        <f>AQ189</f>
        <v>766.04684559347</v>
      </c>
      <c r="AR202" s="257">
        <f>AR189</f>
        <v>824.601602764246</v>
      </c>
      <c r="AS202" s="257">
        <f>AS189</f>
        <v>884.642632729996</v>
      </c>
      <c r="AT202" s="19" t="inlineStr">
        <is>
          <t>2026E adds Eddyfi pre-closing days (1-Jan to 31-May) at the 2026E standalone margin (company pro forma basis).</t>
        </is>
      </c>
    </row>
    <row r="203">
      <c r="AT203" s="19" t="n"/>
    </row>
    <row r="204">
      <c r="B204" s="10" t="inlineStr">
        <is>
          <t>RECONCILIATION B: GAAP NET INCOME / DILUTED EPS (CONTINUING OPS) → ADJUSTED &amp; CORE ADJUSTED NET INCOME / EPS</t>
        </is>
      </c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inlineStr">
        <is>
          <t>ADJUSTED EPS — company definition: excludes restructuring, acquisition-amortization &amp; other, performance options; tax-effected; excludes discrete tax items; MCPS on an if-converted basis</t>
        </is>
      </c>
    </row>
    <row r="205">
      <c r="B205" s="16" t="inlineStr">
        <is>
          <t>Net income from continuing operations attributable to ESAB common (GAAP)</t>
        </is>
      </c>
      <c r="C205" s="43">
        <f>C161</f>
        <v>0</v>
      </c>
      <c r="D205" s="43">
        <f>D161</f>
        <v>0</v>
      </c>
      <c r="E205" s="43">
        <f>E161</f>
        <v>0</v>
      </c>
      <c r="F205" s="43">
        <f>F161</f>
        <v>0</v>
      </c>
      <c r="G205" s="43">
        <f>G161</f>
        <v>0</v>
      </c>
      <c r="H205" s="43">
        <f>H161</f>
        <v>0</v>
      </c>
      <c r="I205" s="43">
        <f>I161</f>
        <v>0</v>
      </c>
      <c r="J205" s="43">
        <f>J161</f>
        <v>172.908</v>
      </c>
      <c r="K205" s="43">
        <f>K161</f>
        <v>157.414</v>
      </c>
      <c r="L205" s="43">
        <f>L161</f>
        <v>57.658</v>
      </c>
      <c r="M205" s="43">
        <f>M161</f>
        <v>77.407</v>
      </c>
      <c r="N205" s="43">
        <f>N161</f>
        <v>60.614</v>
      </c>
      <c r="O205" s="43">
        <f>O161</f>
        <v>39.431</v>
      </c>
      <c r="P205" s="43">
        <f>P161</f>
        <v>235.11</v>
      </c>
      <c r="Q205" s="43">
        <f>Q161</f>
        <v>57.458</v>
      </c>
      <c r="R205" s="43">
        <f>R161</f>
        <v>57.1490000000001</v>
      </c>
      <c r="S205" s="43">
        <f>S161</f>
        <v>53.3309999999999</v>
      </c>
      <c r="T205" s="43">
        <f>T161</f>
        <v>58.877</v>
      </c>
      <c r="U205" s="43">
        <f>U161</f>
        <v>226.815</v>
      </c>
      <c r="V205" s="43">
        <f>V161</f>
        <v>32.816</v>
      </c>
      <c r="W205" s="43">
        <f>W161</f>
        <v>67.196</v>
      </c>
      <c r="X205" s="43">
        <f>X161</f>
        <v>59.293</v>
      </c>
      <c r="Y205" s="43">
        <f>Y161</f>
        <v>58.321</v>
      </c>
      <c r="Z205" s="43">
        <f>Z161</f>
        <v>217.626</v>
      </c>
      <c r="AA205" s="43">
        <f>AA161</f>
        <v>61.26</v>
      </c>
      <c r="AB205" s="43">
        <f>AB161</f>
        <v>84.068</v>
      </c>
      <c r="AC205" s="43">
        <f>AC161</f>
        <v>69.454</v>
      </c>
      <c r="AD205" s="43">
        <f>AD161</f>
        <v>72.369</v>
      </c>
      <c r="AE205" s="43">
        <f>AE161</f>
        <v>287.151</v>
      </c>
      <c r="AF205" s="43">
        <f>AF161</f>
        <v>70.0950000000001</v>
      </c>
      <c r="AG205" s="43">
        <f>AG161</f>
        <v>68.591</v>
      </c>
      <c r="AH205" s="43">
        <f>AH161</f>
        <v>63.666</v>
      </c>
      <c r="AI205" s="43">
        <f>AI161</f>
        <v>50.285</v>
      </c>
      <c r="AJ205" s="43">
        <f>AJ161</f>
        <v>252.637</v>
      </c>
      <c r="AK205" s="43">
        <f>AK161</f>
        <v>50.198</v>
      </c>
      <c r="AL205" s="43">
        <f>AL161</f>
        <v>33.3769999999999</v>
      </c>
      <c r="AM205" s="253">
        <f>AM161</f>
        <v>45.9041345119076</v>
      </c>
      <c r="AN205" s="253">
        <f>AN161</f>
        <v>53.2730161730238</v>
      </c>
      <c r="AO205" s="253">
        <f>AO161</f>
        <v>182.752150684931</v>
      </c>
      <c r="AP205" s="253">
        <f>AP161</f>
        <v>268.446920151609</v>
      </c>
      <c r="AQ205" s="253">
        <f>AQ161</f>
        <v>335.803239104026</v>
      </c>
      <c r="AR205" s="253">
        <f>AR161</f>
        <v>388.341863135185</v>
      </c>
      <c r="AS205" s="253">
        <f>AS161</f>
        <v>434.265302206573</v>
      </c>
      <c r="AT205" s="19" t="n"/>
    </row>
    <row r="206">
      <c r="B206" s="25" t="inlineStr">
        <is>
          <t xml:space="preserve">  (+) Restructuring and other related charges — pretax</t>
        </is>
      </c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44">
        <f>L142</f>
        <v>3.075</v>
      </c>
      <c r="M206" s="44">
        <f>M142</f>
        <v>3.489</v>
      </c>
      <c r="N206" s="44">
        <f>N142</f>
        <v>4.227</v>
      </c>
      <c r="O206" s="44">
        <f>O142</f>
        <v>8.162</v>
      </c>
      <c r="P206" s="44">
        <f>P142</f>
        <v>18.954</v>
      </c>
      <c r="Q206" s="44">
        <f>Q142</f>
        <v>5.304</v>
      </c>
      <c r="R206" s="44">
        <f>R142</f>
        <v>4.649</v>
      </c>
      <c r="S206" s="44">
        <f>S142</f>
        <v>6.676</v>
      </c>
      <c r="T206" s="44">
        <f>T142</f>
        <v>6.467</v>
      </c>
      <c r="U206" s="44">
        <f>U142</f>
        <v>23.096</v>
      </c>
      <c r="V206" s="44">
        <f>V142</f>
        <v>9.444</v>
      </c>
      <c r="W206" s="44">
        <f>W142</f>
        <v>5.169</v>
      </c>
      <c r="X206" s="44">
        <f>X142</f>
        <v>3.129</v>
      </c>
      <c r="Y206" s="44">
        <f>Y142</f>
        <v>6.368</v>
      </c>
      <c r="Z206" s="44">
        <f>Z142</f>
        <v>24.11</v>
      </c>
      <c r="AA206" s="44">
        <f>AA142</f>
        <v>1.924</v>
      </c>
      <c r="AB206" s="44">
        <f>AB142</f>
        <v>4.773</v>
      </c>
      <c r="AC206" s="44">
        <f>AC142</f>
        <v>1.875</v>
      </c>
      <c r="AD206" s="44">
        <f>AD142</f>
        <v>1.655</v>
      </c>
      <c r="AE206" s="44">
        <f>AE142</f>
        <v>10.227</v>
      </c>
      <c r="AF206" s="44">
        <f>AF142</f>
        <v>4.499</v>
      </c>
      <c r="AG206" s="44">
        <f>AG142</f>
        <v>1.39</v>
      </c>
      <c r="AH206" s="44">
        <f>AH142</f>
        <v>4.347</v>
      </c>
      <c r="AI206" s="44">
        <f>AI142</f>
        <v>17.52</v>
      </c>
      <c r="AJ206" s="44">
        <f>AJ142</f>
        <v>27.756</v>
      </c>
      <c r="AK206" s="44">
        <f>AK142</f>
        <v>10.161</v>
      </c>
      <c r="AL206" s="44">
        <f>AL142</f>
        <v>18.317</v>
      </c>
      <c r="AM206" s="257">
        <f>AM142</f>
        <v>8</v>
      </c>
      <c r="AN206" s="257">
        <f>AN142</f>
        <v>8</v>
      </c>
      <c r="AO206" s="257">
        <f>AO142</f>
        <v>44.478</v>
      </c>
      <c r="AP206" s="257">
        <f>AP142</f>
        <v>20</v>
      </c>
      <c r="AQ206" s="257">
        <f>AQ142</f>
        <v>15</v>
      </c>
      <c r="AR206" s="257">
        <f>AR142</f>
        <v>15</v>
      </c>
      <c r="AS206" s="257">
        <f>AS142</f>
        <v>15</v>
      </c>
      <c r="AT206" s="19" t="n"/>
    </row>
    <row r="207">
      <c r="B207" s="25" t="inlineStr">
        <is>
          <t xml:space="preserve">  (+) Acquisition-amortization &amp; other related charges — pretax (transaction costs + amortization &amp; step-up)</t>
        </is>
      </c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44">
        <f>L130+L129</f>
        <v>9.1</v>
      </c>
      <c r="M207" s="44">
        <f>M130+M129</f>
        <v>9.1</v>
      </c>
      <c r="N207" s="44">
        <f>N130+N129</f>
        <v>8.9</v>
      </c>
      <c r="O207" s="44">
        <f>O130+O129</f>
        <v>8.8</v>
      </c>
      <c r="P207" s="44">
        <f>P130+P129</f>
        <v>35.9</v>
      </c>
      <c r="Q207" s="44">
        <f>Q130+Q129</f>
        <v>7.7</v>
      </c>
      <c r="R207" s="44">
        <f>R130+R129</f>
        <v>7.6</v>
      </c>
      <c r="S207" s="44">
        <f>S130+S129</f>
        <v>7.2</v>
      </c>
      <c r="T207" s="44">
        <f>T130+T129</f>
        <v>11.7</v>
      </c>
      <c r="U207" s="44">
        <f>U130+U129</f>
        <v>34.2</v>
      </c>
      <c r="V207" s="44">
        <f>V130+V129</f>
        <v>9.3</v>
      </c>
      <c r="W207" s="44">
        <f>W130+W129</f>
        <v>9.3</v>
      </c>
      <c r="X207" s="44">
        <f>X130+X129</f>
        <v>9.3</v>
      </c>
      <c r="Y207" s="44">
        <f>Y130+Y129</f>
        <v>9</v>
      </c>
      <c r="Z207" s="44">
        <f>Z130+Z129</f>
        <v>36.9</v>
      </c>
      <c r="AA207" s="44">
        <f>AA130+AA129</f>
        <v>7.7</v>
      </c>
      <c r="AB207" s="44">
        <f>AB130+AB129</f>
        <v>7.7</v>
      </c>
      <c r="AC207" s="44">
        <f>AC130+AC129</f>
        <v>10</v>
      </c>
      <c r="AD207" s="44">
        <f>AD130+AD129</f>
        <v>8.9</v>
      </c>
      <c r="AE207" s="44">
        <f>AE130+AE129</f>
        <v>34.5</v>
      </c>
      <c r="AF207" s="44">
        <f>AF130+AF129</f>
        <v>9.6</v>
      </c>
      <c r="AG207" s="44">
        <f>AG130+AG129</f>
        <v>21.6</v>
      </c>
      <c r="AH207" s="44">
        <f>AH130+AH129</f>
        <v>16.5</v>
      </c>
      <c r="AI207" s="44">
        <f>AI130+AI129</f>
        <v>24.4</v>
      </c>
      <c r="AJ207" s="44">
        <f>AJ130+AJ129</f>
        <v>72.1</v>
      </c>
      <c r="AK207" s="44">
        <f>AK130+AK129</f>
        <v>22.8</v>
      </c>
      <c r="AL207" s="44">
        <f>AL130+AL129</f>
        <v>41.3</v>
      </c>
      <c r="AM207" s="257">
        <f>AM130+AM129</f>
        <v>41.7854794520548</v>
      </c>
      <c r="AN207" s="257">
        <f>AN130+AN129</f>
        <v>33.027397260274</v>
      </c>
      <c r="AO207" s="257">
        <f>AO130+AO129</f>
        <v>138.912876712329</v>
      </c>
      <c r="AP207" s="257">
        <f>AP130+AP129</f>
        <v>111.7</v>
      </c>
      <c r="AQ207" s="257">
        <f>AQ130+AQ129</f>
        <v>95.95</v>
      </c>
      <c r="AR207" s="257">
        <f>AR130+AR129</f>
        <v>95.5</v>
      </c>
      <c r="AS207" s="257">
        <f>AS130+AS129</f>
        <v>99.6</v>
      </c>
      <c r="AT207" s="19" t="n"/>
    </row>
    <row r="208">
      <c r="B208" s="25" t="inlineStr">
        <is>
          <t xml:space="preserve">  (+) Separation costs — pretax (2022–2023)</t>
        </is>
      </c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44">
        <f>N(L186)</f>
        <v>0</v>
      </c>
      <c r="M208" s="44">
        <f>N(M186)</f>
        <v>0.1</v>
      </c>
      <c r="N208" s="44">
        <f>N(N186)</f>
        <v>0.7</v>
      </c>
      <c r="O208" s="44">
        <f>N(O186)</f>
        <v>2</v>
      </c>
      <c r="P208" s="44">
        <f>N(P186)</f>
        <v>2.9</v>
      </c>
      <c r="Q208" s="44">
        <f>N(Q186)</f>
        <v>3.6</v>
      </c>
      <c r="R208" s="44">
        <f>N(R186)</f>
        <v>3.5</v>
      </c>
      <c r="S208" s="44">
        <f>N(S186)</f>
        <v>1.8</v>
      </c>
      <c r="T208" s="44">
        <f>N(T186)</f>
        <v>6.6</v>
      </c>
      <c r="U208" s="44">
        <f>N(U186)</f>
        <v>15.5</v>
      </c>
      <c r="V208" s="44">
        <f>N(V186)</f>
        <v>0</v>
      </c>
      <c r="W208" s="44">
        <f>N(W186)</f>
        <v>0</v>
      </c>
      <c r="X208" s="44">
        <f>N(X186)</f>
        <v>0</v>
      </c>
      <c r="Y208" s="44">
        <f>N(Y186)</f>
        <v>0</v>
      </c>
      <c r="Z208" s="44">
        <f>N(Z186)</f>
        <v>0</v>
      </c>
      <c r="AA208" s="44">
        <f>N(AA186)</f>
        <v>0</v>
      </c>
      <c r="AB208" s="44">
        <f>N(AB186)</f>
        <v>0</v>
      </c>
      <c r="AC208" s="44">
        <f>N(AC186)</f>
        <v>0</v>
      </c>
      <c r="AD208" s="44">
        <f>N(AD186)</f>
        <v>0</v>
      </c>
      <c r="AE208" s="44">
        <f>N(AE186)</f>
        <v>0</v>
      </c>
      <c r="AF208" s="44">
        <f>N(AF186)</f>
        <v>0</v>
      </c>
      <c r="AG208" s="44">
        <f>N(AG186)</f>
        <v>0</v>
      </c>
      <c r="AH208" s="44">
        <f>N(AH186)</f>
        <v>0</v>
      </c>
      <c r="AI208" s="44">
        <f>N(AI186)</f>
        <v>0</v>
      </c>
      <c r="AJ208" s="44">
        <f>N(AJ186)</f>
        <v>0</v>
      </c>
      <c r="AK208" s="44">
        <f>N(AK186)</f>
        <v>0</v>
      </c>
      <c r="AL208" s="44">
        <f>N(AL186)</f>
        <v>0</v>
      </c>
      <c r="AM208" s="258" t="n">
        <v>0</v>
      </c>
      <c r="AN208" s="258" t="n">
        <v>0</v>
      </c>
      <c r="AO208" s="258" t="n">
        <v>0</v>
      </c>
      <c r="AP208" s="258" t="n">
        <v>0</v>
      </c>
      <c r="AQ208" s="258" t="n">
        <v>0</v>
      </c>
      <c r="AR208" s="258" t="n">
        <v>0</v>
      </c>
      <c r="AS208" s="258" t="n">
        <v>0</v>
      </c>
      <c r="AT208" s="19" t="n"/>
    </row>
    <row r="209">
      <c r="B209" s="25" t="inlineStr">
        <is>
          <t xml:space="preserve">  (+/−) Pension settlements &amp; other pre-tax items outside operating income (incl. Eddyfi bridge-loan fees)</t>
        </is>
      </c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>
        <v>0</v>
      </c>
      <c r="M209" s="34" t="n">
        <v>-11.2</v>
      </c>
      <c r="N209" s="34" t="n">
        <v>0</v>
      </c>
      <c r="O209" s="34" t="n">
        <v>0</v>
      </c>
      <c r="P209" s="34" t="n">
        <v>-11.09999999999999</v>
      </c>
      <c r="Q209" s="34" t="n">
        <v>0</v>
      </c>
      <c r="R209" s="34" t="n">
        <v>0</v>
      </c>
      <c r="S209" s="34" t="n">
        <v>-2.5</v>
      </c>
      <c r="T209" s="34" t="n">
        <v>-5.799999999999997</v>
      </c>
      <c r="U209" s="34" t="n">
        <v>-8.300000000000011</v>
      </c>
      <c r="V209" s="34" t="n">
        <v>0</v>
      </c>
      <c r="W209" s="34" t="n">
        <v>0</v>
      </c>
      <c r="X209" s="34" t="n">
        <v>0</v>
      </c>
      <c r="Y209" s="34" t="n">
        <v>0</v>
      </c>
      <c r="Z209" s="34" t="n">
        <v>0</v>
      </c>
      <c r="AA209" s="34" t="n">
        <v>12.2</v>
      </c>
      <c r="AB209" s="34" t="n">
        <v>0</v>
      </c>
      <c r="AC209" s="34" t="n">
        <v>0</v>
      </c>
      <c r="AD209" s="34" t="n">
        <v>-1.77635683940025e-15</v>
      </c>
      <c r="AE209" s="34" t="n">
        <v>12.2</v>
      </c>
      <c r="AF209" s="34" t="n">
        <v>0</v>
      </c>
      <c r="AG209" s="34" t="n">
        <v>0</v>
      </c>
      <c r="AH209" s="34" t="n">
        <v>0</v>
      </c>
      <c r="AI209" s="34" t="n">
        <v>0</v>
      </c>
      <c r="AJ209" s="34" t="n">
        <v>0</v>
      </c>
      <c r="AK209" s="34" t="n">
        <v>4.799999999999997</v>
      </c>
      <c r="AL209" s="34" t="n">
        <v>0</v>
      </c>
      <c r="AM209" s="258" t="n">
        <v>0</v>
      </c>
      <c r="AN209" s="258" t="n">
        <v>0</v>
      </c>
      <c r="AO209" s="258" t="n">
        <v>0</v>
      </c>
      <c r="AP209" s="258" t="n">
        <v>0</v>
      </c>
      <c r="AQ209" s="258" t="n">
        <v>0</v>
      </c>
      <c r="AR209" s="258" t="n">
        <v>0</v>
      </c>
      <c r="AS209" s="258" t="n">
        <v>0</v>
      </c>
      <c r="AT209" s="19" t="n"/>
    </row>
    <row r="210">
      <c r="B210" s="25" t="inlineStr">
        <is>
          <t xml:space="preserve">  (+) Performance option awards compensation</t>
        </is>
      </c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44">
        <f>L131</f>
        <v>0</v>
      </c>
      <c r="M210" s="44">
        <f>M131</f>
        <v>0</v>
      </c>
      <c r="N210" s="44">
        <f>N131</f>
        <v>0</v>
      </c>
      <c r="O210" s="44">
        <f>O131</f>
        <v>0</v>
      </c>
      <c r="P210" s="44">
        <f>P131</f>
        <v>0</v>
      </c>
      <c r="Q210" s="44">
        <f>Q131</f>
        <v>0</v>
      </c>
      <c r="R210" s="44">
        <f>R131</f>
        <v>0</v>
      </c>
      <c r="S210" s="44">
        <f>S131</f>
        <v>0</v>
      </c>
      <c r="T210" s="44">
        <f>T131</f>
        <v>0</v>
      </c>
      <c r="U210" s="44">
        <f>U131</f>
        <v>0</v>
      </c>
      <c r="V210" s="44">
        <f>V131</f>
        <v>0</v>
      </c>
      <c r="W210" s="44">
        <f>W131</f>
        <v>0</v>
      </c>
      <c r="X210" s="44">
        <f>X131</f>
        <v>0</v>
      </c>
      <c r="Y210" s="44">
        <f>Y131</f>
        <v>0</v>
      </c>
      <c r="Z210" s="44">
        <f>Z131</f>
        <v>0</v>
      </c>
      <c r="AA210" s="44">
        <f>AA131</f>
        <v>0</v>
      </c>
      <c r="AB210" s="44">
        <f>AB131</f>
        <v>0</v>
      </c>
      <c r="AC210" s="44">
        <f>AC131</f>
        <v>0</v>
      </c>
      <c r="AD210" s="44">
        <f>AD131</f>
        <v>0</v>
      </c>
      <c r="AE210" s="44">
        <f>AE131</f>
        <v>0</v>
      </c>
      <c r="AF210" s="44">
        <f>AF131</f>
        <v>0</v>
      </c>
      <c r="AG210" s="44">
        <f>AG131</f>
        <v>0</v>
      </c>
      <c r="AH210" s="44">
        <f>AH131</f>
        <v>0</v>
      </c>
      <c r="AI210" s="44">
        <f>AI131</f>
        <v>0</v>
      </c>
      <c r="AJ210" s="44">
        <f>AJ131</f>
        <v>0</v>
      </c>
      <c r="AK210" s="44">
        <f>AK131</f>
        <v>0</v>
      </c>
      <c r="AL210" s="44">
        <f>AL131</f>
        <v>0.7</v>
      </c>
      <c r="AM210" s="257">
        <f>AM131</f>
        <v>4</v>
      </c>
      <c r="AN210" s="257">
        <f>AN131</f>
        <v>4</v>
      </c>
      <c r="AO210" s="257">
        <f>AO131</f>
        <v>8.7</v>
      </c>
      <c r="AP210" s="257">
        <f>AP131</f>
        <v>16</v>
      </c>
      <c r="AQ210" s="257">
        <f>AQ131</f>
        <v>16</v>
      </c>
      <c r="AR210" s="257">
        <f>AR131</f>
        <v>12</v>
      </c>
      <c r="AS210" s="257">
        <f>AS131</f>
        <v>8</v>
      </c>
      <c r="AT210" s="19" t="n"/>
    </row>
    <row r="211">
      <c r="B211" s="25" t="inlineStr">
        <is>
          <t xml:space="preserve">  (−) Tax effect of adjusting items</t>
        </is>
      </c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>
        <v>-2.3</v>
      </c>
      <c r="M211" s="34" t="n">
        <v>-5.4</v>
      </c>
      <c r="N211" s="34" t="n">
        <v>-5.2</v>
      </c>
      <c r="O211" s="34" t="n">
        <v>3.1</v>
      </c>
      <c r="P211" s="34" t="n">
        <v>-2.7</v>
      </c>
      <c r="Q211" s="34" t="n">
        <v>-3.8</v>
      </c>
      <c r="R211" s="34" t="n">
        <v>-3.9</v>
      </c>
      <c r="S211" s="34" t="n">
        <v>-4.3</v>
      </c>
      <c r="T211" s="34" t="n">
        <v>-6.8</v>
      </c>
      <c r="U211" s="34" t="n">
        <v>-15.2</v>
      </c>
      <c r="V211" s="34" t="n">
        <v>-4.2</v>
      </c>
      <c r="W211" s="34" t="n">
        <v>-3.6</v>
      </c>
      <c r="X211" s="34" t="n">
        <v>-3.2</v>
      </c>
      <c r="Y211" s="34" t="n">
        <v>-3.7</v>
      </c>
      <c r="Z211" s="34" t="n">
        <v>-14.7</v>
      </c>
      <c r="AA211" s="34" t="n">
        <v>-5.3</v>
      </c>
      <c r="AB211" s="34" t="n">
        <v>-3.2</v>
      </c>
      <c r="AC211" s="34" t="n">
        <v>-2.8</v>
      </c>
      <c r="AD211" s="34" t="n">
        <v>-2.4</v>
      </c>
      <c r="AE211" s="34" t="n">
        <v>-13.7</v>
      </c>
      <c r="AF211" s="34" t="n">
        <v>-3.5</v>
      </c>
      <c r="AG211" s="34" t="n">
        <v>-5.3</v>
      </c>
      <c r="AH211" s="34" t="n">
        <v>-3.6</v>
      </c>
      <c r="AI211" s="34" t="n">
        <v>-12.7</v>
      </c>
      <c r="AJ211" s="34" t="n">
        <v>-25.1</v>
      </c>
      <c r="AK211" s="34" t="n">
        <v>-9</v>
      </c>
      <c r="AL211" s="34" t="n">
        <v>-14.8</v>
      </c>
      <c r="AM211" s="257">
        <f>-(AM206+AM207+N(AM208)+AM209+AM210)*AM212</f>
        <v>-12.9085150684932</v>
      </c>
      <c r="AN211" s="257">
        <f>-(AN206+AN207+N(AN208)+AN209+AN210)*AN212</f>
        <v>-10.8065753424658</v>
      </c>
      <c r="AO211" s="257">
        <f>-(AO206+AO207+N(AO208)+AO209+AO210)*AO212</f>
        <v>-46.1018104109589</v>
      </c>
      <c r="AP211" s="257">
        <f>-(AP206+AP207+N(AP208)+AP209+AP210)*AP212</f>
        <v>-35.448</v>
      </c>
      <c r="AQ211" s="257">
        <f>-(AQ206+AQ207+N(AQ208)+AQ209+AQ210)*AQ212</f>
        <v>-30.468</v>
      </c>
      <c r="AR211" s="257">
        <f>-(AR206+AR207+N(AR208)+AR209+AR210)*AR212</f>
        <v>-29.4</v>
      </c>
      <c r="AS211" s="257">
        <f>-(AS206+AS207+N(AS208)+AS209+AS210)*AS212</f>
        <v>-29.424</v>
      </c>
      <c r="AT211" s="19" t="n"/>
    </row>
    <row r="212">
      <c r="B212" s="25" t="inlineStr">
        <is>
          <t xml:space="preserve">  Tax rate applied to adjusting items</t>
        </is>
      </c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>
        <f>IFERROR(-L211/(L206+L207+N(L208)+L209+L210),"")</f>
        <v>0.188911704312115</v>
      </c>
      <c r="M212" s="36">
        <f>IFERROR(-M211/(M206+M207+N(M208)+M209+M210),"")</f>
        <v>3.62659503022163</v>
      </c>
      <c r="N212" s="36">
        <f>IFERROR(-N211/(N206+N207+N(N208)+N209+N210),"")</f>
        <v>0.376075793736892</v>
      </c>
      <c r="O212" s="36">
        <f>IFERROR(-O211/(O206+O207+N(O208)+O209+O210),"")</f>
        <v>-0.163484864465774</v>
      </c>
      <c r="P212" s="36">
        <f>IFERROR(-P211/(P206+P207+N(P208)+P209+P210),"")</f>
        <v>0.0578728512024692</v>
      </c>
      <c r="Q212" s="36">
        <f>IFERROR(-Q211/(Q206+Q207+N(Q208)+Q209+Q210),"")</f>
        <v>0.228860515538424</v>
      </c>
      <c r="R212" s="36">
        <f>IFERROR(-R211/(R206+R207+N(R208)+R209+R210),"")</f>
        <v>0.247634770461617</v>
      </c>
      <c r="S212" s="36">
        <f>IFERROR(-S211/(S206+S207+N(S208)+S209+S210),"")</f>
        <v>0.326350941105039</v>
      </c>
      <c r="T212" s="36">
        <f>IFERROR(-T211/(T206+T207+N(T208)+T209+T210),"")</f>
        <v>0.358517425001318</v>
      </c>
      <c r="U212" s="36">
        <f>IFERROR(-U211/(U206+U207+N(U208)+U209+U210),"")</f>
        <v>0.235673530141404</v>
      </c>
      <c r="V212" s="36">
        <f>IFERROR(-V211/(V206+V207+N(V208)+V209+V210),"")</f>
        <v>0.224071702944942</v>
      </c>
      <c r="W212" s="36">
        <f>IFERROR(-W211/(W206+W207+N(W208)+W209+W210),"")</f>
        <v>0.248807795977607</v>
      </c>
      <c r="X212" s="36">
        <f>IFERROR(-X211/(X206+X207+N(X208)+X209+X210),"")</f>
        <v>0.257462386354494</v>
      </c>
      <c r="Y212" s="36">
        <f>IFERROR(-Y211/(Y206+Y207+N(Y208)+Y209+Y210),"")</f>
        <v>0.240760020822488</v>
      </c>
      <c r="Z212" s="36">
        <f>IFERROR(-Z211/(Z206+Z207+N(Z208)+Z209+Z210),"")</f>
        <v>0.240944107523357</v>
      </c>
      <c r="AA212" s="36">
        <f>IFERROR(-AA211/(AA206+AA207+N(AA208)+AA209+AA210),"")</f>
        <v>0.242851906158358</v>
      </c>
      <c r="AB212" s="36">
        <f>IFERROR(-AB211/(AB206+AB207+N(AB208)+AB209+AB210),"")</f>
        <v>0.256554156979075</v>
      </c>
      <c r="AC212" s="36">
        <f>IFERROR(-AC211/(AC206+AC207+N(AC208)+AC209+AC210),"")</f>
        <v>0.235789473684211</v>
      </c>
      <c r="AD212" s="36">
        <f>IFERROR(-AD211/(AD206+AD207+N(AD208)+AD209+AD210),"")</f>
        <v>0.227380388441497</v>
      </c>
      <c r="AE212" s="36">
        <f>IFERROR(-AE211/(AE206+AE207+N(AE208)+AE209+AE210),"")</f>
        <v>0.240659089711385</v>
      </c>
      <c r="AF212" s="36">
        <f>IFERROR(-AF211/(AF206+AF207+N(AF208)+AF209+AF210),"")</f>
        <v>0.248244556351514</v>
      </c>
      <c r="AG212" s="36">
        <f>IFERROR(-AG211/(AG206+AG207+N(AG208)+AG209+AG210),"")</f>
        <v>0.23053501522401</v>
      </c>
      <c r="AH212" s="36">
        <f>IFERROR(-AH211/(AH206+AH207+N(AH208)+AH209+AH210),"")</f>
        <v>0.172686717513311</v>
      </c>
      <c r="AI212" s="36">
        <f>IFERROR(-AI211/(AI206+AI207+N(AI208)+AI209+AI210),"")</f>
        <v>0.302958015267176</v>
      </c>
      <c r="AJ212" s="36">
        <f>IFERROR(-AJ211/(AJ206+AJ207+N(AJ208)+AJ209+AJ210),"")</f>
        <v>0.251361961224163</v>
      </c>
      <c r="AK212" s="36">
        <f>IFERROR(-AK211/(AK206+AK207+N(AK208)+AK209+AK210),"")</f>
        <v>0.23834114562644</v>
      </c>
      <c r="AL212" s="36">
        <f>IFERROR(-AL211/(AL206+AL207+N(AL208)+AL209+AL210),"")</f>
        <v>0.245370293615399</v>
      </c>
      <c r="AM212" s="255" t="n">
        <v>0.24</v>
      </c>
      <c r="AN212" s="255" t="n">
        <v>0.24</v>
      </c>
      <c r="AO212" s="255" t="n">
        <v>0.24</v>
      </c>
      <c r="AP212" s="255" t="n">
        <v>0.24</v>
      </c>
      <c r="AQ212" s="255" t="n">
        <v>0.24</v>
      </c>
      <c r="AR212" s="255" t="n">
        <v>0.24</v>
      </c>
      <c r="AS212" s="255" t="n">
        <v>0.24</v>
      </c>
      <c r="AT212" s="19" t="inlineStr">
        <is>
          <t>Forecast: 24% (ESAB overall estimated effective rate applied to adjustments).</t>
        </is>
      </c>
    </row>
    <row r="213">
      <c r="B213" s="25" t="inlineStr">
        <is>
          <t xml:space="preserve">  (+/−) Discrete tax adjustments</t>
        </is>
      </c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>
        <v>5.2</v>
      </c>
      <c r="P213" s="34" t="n">
        <v>-1.6</v>
      </c>
      <c r="Q213" s="34" t="n">
        <v>0</v>
      </c>
      <c r="R213" s="34" t="n">
        <v>0</v>
      </c>
      <c r="S213" s="34" t="n">
        <v>0</v>
      </c>
      <c r="T213" s="34" t="n">
        <v>-3.5</v>
      </c>
      <c r="U213" s="34" t="n">
        <v>-7.2</v>
      </c>
      <c r="V213" s="34" t="n">
        <v>19.6</v>
      </c>
      <c r="W213" s="34" t="n">
        <v>0</v>
      </c>
      <c r="X213" s="34" t="n">
        <v>0.5</v>
      </c>
      <c r="Y213" s="34" t="n">
        <v>0.7</v>
      </c>
      <c r="Z213" s="34" t="n">
        <v>20.8</v>
      </c>
      <c r="AA213" s="34" t="n">
        <v>0</v>
      </c>
      <c r="AB213" s="34" t="n">
        <v>-6.7</v>
      </c>
      <c r="AC213" s="34" t="n">
        <v>0.1</v>
      </c>
      <c r="AD213" s="34" t="n">
        <v>-0.4</v>
      </c>
      <c r="AE213" s="34" t="n">
        <v>-6.9</v>
      </c>
      <c r="AF213" s="34" t="n">
        <v>0</v>
      </c>
      <c r="AG213" s="34" t="n">
        <v>0</v>
      </c>
      <c r="AH213" s="34" t="n">
        <v>2.3</v>
      </c>
      <c r="AI213" s="34" t="n">
        <v>3.6</v>
      </c>
      <c r="AJ213" s="34" t="n">
        <v>5.9</v>
      </c>
      <c r="AK213" s="34" t="n">
        <v>0</v>
      </c>
      <c r="AL213" s="34" t="n">
        <v>3.8</v>
      </c>
      <c r="AM213" s="258" t="n">
        <v>0</v>
      </c>
      <c r="AN213" s="258" t="n">
        <v>0</v>
      </c>
      <c r="AO213" s="258" t="n">
        <v>0</v>
      </c>
      <c r="AP213" s="258" t="n">
        <v>0</v>
      </c>
      <c r="AQ213" s="258" t="n">
        <v>0</v>
      </c>
      <c r="AR213" s="258" t="n">
        <v>0</v>
      </c>
      <c r="AS213" s="258" t="n">
        <v>0</v>
      </c>
      <c r="AT213" s="19" t="n"/>
    </row>
    <row r="214">
      <c r="B214" s="25" t="inlineStr">
        <is>
          <t xml:space="preserve">  (+) MCPS dividends (if-converted method)</t>
        </is>
      </c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44">
        <f>N(L159)</f>
        <v>0</v>
      </c>
      <c r="M214" s="44">
        <f>N(M159)</f>
        <v>0</v>
      </c>
      <c r="N214" s="44">
        <f>N(N159)</f>
        <v>0</v>
      </c>
      <c r="O214" s="44">
        <f>N(O159)</f>
        <v>0</v>
      </c>
      <c r="P214" s="44">
        <f>N(P159)</f>
        <v>0</v>
      </c>
      <c r="Q214" s="44">
        <f>N(Q159)</f>
        <v>0</v>
      </c>
      <c r="R214" s="44">
        <f>N(R159)</f>
        <v>0</v>
      </c>
      <c r="S214" s="44">
        <f>N(S159)</f>
        <v>0</v>
      </c>
      <c r="T214" s="44">
        <f>N(T159)</f>
        <v>0</v>
      </c>
      <c r="U214" s="44">
        <f>N(U159)</f>
        <v>0</v>
      </c>
      <c r="V214" s="44">
        <f>N(V159)</f>
        <v>0</v>
      </c>
      <c r="W214" s="44">
        <f>N(W159)</f>
        <v>0</v>
      </c>
      <c r="X214" s="44">
        <f>N(X159)</f>
        <v>0</v>
      </c>
      <c r="Y214" s="44">
        <f>N(Y159)</f>
        <v>0</v>
      </c>
      <c r="Z214" s="44">
        <f>N(Z159)</f>
        <v>0</v>
      </c>
      <c r="AA214" s="44">
        <f>N(AA159)</f>
        <v>0</v>
      </c>
      <c r="AB214" s="44">
        <f>N(AB159)</f>
        <v>0</v>
      </c>
      <c r="AC214" s="44">
        <f>N(AC159)</f>
        <v>0</v>
      </c>
      <c r="AD214" s="44">
        <f>N(AD159)</f>
        <v>0</v>
      </c>
      <c r="AE214" s="44">
        <f>N(AE159)</f>
        <v>0</v>
      </c>
      <c r="AF214" s="44">
        <f>N(AF159)</f>
        <v>0</v>
      </c>
      <c r="AG214" s="44">
        <f>N(AG159)</f>
        <v>0</v>
      </c>
      <c r="AH214" s="44">
        <f>N(AH159)</f>
        <v>0</v>
      </c>
      <c r="AI214" s="44">
        <f>N(AI159)</f>
        <v>0</v>
      </c>
      <c r="AJ214" s="44">
        <f>N(AJ159)</f>
        <v>0</v>
      </c>
      <c r="AK214" s="44">
        <f>N(AK159)</f>
        <v>0</v>
      </c>
      <c r="AL214" s="44">
        <f>N(AL159)</f>
        <v>1.39</v>
      </c>
      <c r="AM214" s="257">
        <f>N(AM159)</f>
        <v>2.84375</v>
      </c>
      <c r="AN214" s="257">
        <f>N(AN159)</f>
        <v>2.84375</v>
      </c>
      <c r="AO214" s="257">
        <f>N(AO159)</f>
        <v>7.0775</v>
      </c>
      <c r="AP214" s="257">
        <f>N(AP159)</f>
        <v>11.375</v>
      </c>
      <c r="AQ214" s="257">
        <f>N(AQ159)</f>
        <v>11.375</v>
      </c>
      <c r="AR214" s="257">
        <f>N(AR159)</f>
        <v>5.69</v>
      </c>
      <c r="AS214" s="257">
        <f>N(AS159)</f>
        <v>0</v>
      </c>
      <c r="AT214" s="19" t="n"/>
    </row>
    <row r="215">
      <c r="B215" s="25" t="inlineStr">
        <is>
          <t xml:space="preserve">  (+/−) Other company items / rounding</t>
        </is>
      </c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  <c r="AA215" s="34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258" t="n">
        <v>0</v>
      </c>
      <c r="AN215" s="258" t="n">
        <v>0</v>
      </c>
      <c r="AO215" s="258" t="n">
        <v>0</v>
      </c>
      <c r="AP215" s="258" t="n">
        <v>0</v>
      </c>
      <c r="AQ215" s="258" t="n">
        <v>0</v>
      </c>
      <c r="AR215" s="258" t="n">
        <v>0</v>
      </c>
      <c r="AS215" s="258" t="n">
        <v>0</v>
      </c>
      <c r="AT215" s="19" t="n"/>
    </row>
    <row r="216">
      <c r="B216" s="55" t="inlineStr">
        <is>
          <t xml:space="preserve">  = Adjusted net income from continuing operations (model)</t>
        </is>
      </c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>
        <f>L205+N(L206)+N(L207)+N(L208)+N(L209)+N(L210)+N(L211)+N(L213)+N(L214)+N(L215)</f>
        <v>67.533</v>
      </c>
      <c r="M216" s="56">
        <f>M205+N(M206)+N(M207)+N(M208)+N(M209)+N(M210)+N(M211)+N(M213)+N(M214)+N(M215)</f>
        <v>73.4959999999999</v>
      </c>
      <c r="N216" s="56">
        <f>N205+N(N206)+N(N207)+N(N208)+N(N209)+N(N210)+N(N211)+N(N213)+N(N214)+N(N215)</f>
        <v>69.241</v>
      </c>
      <c r="O216" s="56">
        <f>O205+N(O206)+N(O207)+N(O208)+N(O209)+N(O210)+N(O211)+N(O213)+N(O214)+N(O215)</f>
        <v>66.693</v>
      </c>
      <c r="P216" s="56">
        <f>P205+N(P206)+N(P207)+N(P208)+N(P209)+N(P210)+N(P211)+N(P213)+N(P214)+N(P215)</f>
        <v>277.464</v>
      </c>
      <c r="Q216" s="56">
        <f>Q205+N(Q206)+N(Q207)+N(Q208)+N(Q209)+N(Q210)+N(Q211)+N(Q213)+N(Q214)+N(Q215)</f>
        <v>70.2619999999999</v>
      </c>
      <c r="R216" s="56">
        <f>R205+N(R206)+N(R207)+N(R208)+N(R209)+N(R210)+N(R211)+N(R213)+N(R214)+N(R215)</f>
        <v>68.9980000000001</v>
      </c>
      <c r="S216" s="56">
        <f>S205+N(S206)+N(S207)+N(S208)+N(S209)+N(S210)+N(S211)+N(S213)+N(S214)+N(S215)</f>
        <v>62.207</v>
      </c>
      <c r="T216" s="56">
        <f>T205+N(T206)+N(T207)+N(T208)+N(T209)+N(T210)+N(T211)+N(T213)+N(T214)+N(T215)</f>
        <v>67.544</v>
      </c>
      <c r="U216" s="56">
        <f>U205+N(U206)+N(U207)+N(U208)+N(U209)+N(U210)+N(U211)+N(U213)+N(U214)+N(U215)</f>
        <v>268.911</v>
      </c>
      <c r="V216" s="56">
        <f>V205+N(V206)+N(V207)+N(V208)+N(V209)+N(V210)+N(V211)+N(V213)+N(V214)+N(V215)</f>
        <v>66.96</v>
      </c>
      <c r="W216" s="56">
        <f>W205+N(W206)+N(W207)+N(W208)+N(W209)+N(W210)+N(W211)+N(W213)+N(W214)+N(W215)</f>
        <v>78.065</v>
      </c>
      <c r="X216" s="56">
        <f>X205+N(X206)+N(X207)+N(X208)+N(X209)+N(X210)+N(X211)+N(X213)+N(X214)+N(X215)</f>
        <v>69.022</v>
      </c>
      <c r="Y216" s="56">
        <f>Y205+N(Y206)+N(Y207)+N(Y208)+N(Y209)+N(Y210)+N(Y211)+N(Y213)+N(Y214)+N(Y215)</f>
        <v>70.689</v>
      </c>
      <c r="Z216" s="56">
        <f>Z205+N(Z206)+N(Z207)+N(Z208)+N(Z209)+N(Z210)+N(Z211)+N(Z213)+N(Z214)+N(Z215)</f>
        <v>284.736</v>
      </c>
      <c r="AA216" s="56">
        <f>AA205+N(AA206)+N(AA207)+N(AA208)+N(AA209)+N(AA210)+N(AA211)+N(AA213)+N(AA214)+N(AA215)</f>
        <v>77.784</v>
      </c>
      <c r="AB216" s="56">
        <f>AB205+N(AB206)+N(AB207)+N(AB208)+N(AB209)+N(AB210)+N(AB211)+N(AB213)+N(AB214)+N(AB215)</f>
        <v>86.641</v>
      </c>
      <c r="AC216" s="56">
        <f>AC205+N(AC206)+N(AC207)+N(AC208)+N(AC209)+N(AC210)+N(AC211)+N(AC213)+N(AC214)+N(AC215)</f>
        <v>78.629</v>
      </c>
      <c r="AD216" s="56">
        <f>AD205+N(AD206)+N(AD207)+N(AD208)+N(AD209)+N(AD210)+N(AD211)+N(AD213)+N(AD214)+N(AD215)</f>
        <v>80.124</v>
      </c>
      <c r="AE216" s="56">
        <f>AE205+N(AE206)+N(AE207)+N(AE208)+N(AE209)+N(AE210)+N(AE211)+N(AE213)+N(AE214)+N(AE215)</f>
        <v>323.478</v>
      </c>
      <c r="AF216" s="56">
        <f>AF205+N(AF206)+N(AF207)+N(AF208)+N(AF209)+N(AF210)+N(AF211)+N(AF213)+N(AF214)+N(AF215)</f>
        <v>80.6940000000001</v>
      </c>
      <c r="AG216" s="56">
        <f>AG205+N(AG206)+N(AG207)+N(AG208)+N(AG209)+N(AG210)+N(AG211)+N(AG213)+N(AG214)+N(AG215)</f>
        <v>86.2810000000001</v>
      </c>
      <c r="AH216" s="56">
        <f>AH205+N(AH206)+N(AH207)+N(AH208)+N(AH209)+N(AH210)+N(AH211)+N(AH213)+N(AH214)+N(AH215)</f>
        <v>83.213</v>
      </c>
      <c r="AI216" s="56">
        <f>AI205+N(AI206)+N(AI207)+N(AI208)+N(AI209)+N(AI210)+N(AI211)+N(AI213)+N(AI214)+N(AI215)</f>
        <v>83.105</v>
      </c>
      <c r="AJ216" s="56">
        <f>AJ205+N(AJ206)+N(AJ207)+N(AJ208)+N(AJ209)+N(AJ210)+N(AJ211)+N(AJ213)+N(AJ214)+N(AJ215)</f>
        <v>333.293</v>
      </c>
      <c r="AK216" s="56">
        <f>AK205+N(AK206)+N(AK207)+N(AK208)+N(AK209)+N(AK210)+N(AK211)+N(AK213)+N(AK214)+N(AK215)</f>
        <v>78.959</v>
      </c>
      <c r="AL216" s="56">
        <f>AL205+N(AL206)+N(AL207)+N(AL208)+N(AL209)+N(AL210)+N(AL211)+N(AL213)+N(AL214)+N(AL215)</f>
        <v>84.0839999999999</v>
      </c>
      <c r="AM216" s="56">
        <f>AM205+N(AM206)+N(AM207)+N(AM208)+N(AM209)+N(AM210)+N(AM211)+N(AM213)+N(AM214)+N(AM215)</f>
        <v>89.6248488954693</v>
      </c>
      <c r="AN216" s="56">
        <f>AN205+N(AN206)+N(AN207)+N(AN208)+N(AN209)+N(AN210)+N(AN211)+N(AN213)+N(AN214)+N(AN215)</f>
        <v>90.337588090832</v>
      </c>
      <c r="AO216" s="56">
        <f>AO205+N(AO206)+N(AO207)+N(AO208)+N(AO209)+N(AO210)+N(AO211)+N(AO213)+N(AO214)+N(AO215)</f>
        <v>335.818716986301</v>
      </c>
      <c r="AP216" s="56">
        <f>AP205+N(AP206)+N(AP207)+N(AP208)+N(AP209)+N(AP210)+N(AP211)+N(AP213)+N(AP214)+N(AP215)</f>
        <v>392.073920151609</v>
      </c>
      <c r="AQ216" s="56">
        <f>AQ205+N(AQ206)+N(AQ207)+N(AQ208)+N(AQ209)+N(AQ210)+N(AQ211)+N(AQ213)+N(AQ214)+N(AQ215)</f>
        <v>443.660239104026</v>
      </c>
      <c r="AR216" s="56">
        <f>AR205+N(AR206)+N(AR207)+N(AR208)+N(AR209)+N(AR210)+N(AR211)+N(AR213)+N(AR214)+N(AR215)</f>
        <v>487.131863135185</v>
      </c>
      <c r="AS216" s="56">
        <f>AS205+N(AS206)+N(AS207)+N(AS208)+N(AS209)+N(AS210)+N(AS211)+N(AS213)+N(AS214)+N(AS215)</f>
        <v>527.441302206573</v>
      </c>
      <c r="AT216" s="19" t="n"/>
      <c r="AV216" s="20">
        <f>IFERROR((AS216/AJ216)^(1/5)-1,"n/m")</f>
        <v>0.0961489911813378</v>
      </c>
      <c r="AW216" s="20" t="str">
        <f>IFERROR((AJ216/K216)^(1/5)-1,"n/m")</f>
        <v>n/m</v>
      </c>
      <c r="AX216" s="20" t="str">
        <f>IFERROR((AJ216/F216)^(1/10)-1,"n/m")</f>
        <v>n/m</v>
      </c>
      <c r="AY216" s="20" t="str">
        <f>IFERROR((AJ216/C216)^(1/13)-1,"n/m")</f>
        <v>n/m</v>
      </c>
    </row>
    <row r="217">
      <c r="B217" s="156" t="inlineStr">
        <is>
          <t xml:space="preserve">  Company-published adjusted net income from continuing operations</t>
        </is>
      </c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>
        <v>67.5</v>
      </c>
      <c r="M217" s="34" t="n">
        <v>73.5</v>
      </c>
      <c r="N217" s="34" t="n">
        <v>69.3</v>
      </c>
      <c r="O217" s="34" t="n">
        <v>66.7</v>
      </c>
      <c r="P217" s="34" t="n">
        <v>277.5</v>
      </c>
      <c r="Q217" s="34" t="n">
        <v>70.2</v>
      </c>
      <c r="R217" s="34" t="n">
        <v>69</v>
      </c>
      <c r="S217" s="34" t="n">
        <v>62.2</v>
      </c>
      <c r="T217" s="34" t="n">
        <v>67.59999999999999</v>
      </c>
      <c r="U217" s="34" t="n">
        <v>268.9</v>
      </c>
      <c r="V217" s="34" t="n">
        <v>66.90000000000001</v>
      </c>
      <c r="W217" s="34" t="n">
        <v>78.09999999999999</v>
      </c>
      <c r="X217" s="34" t="n">
        <v>69</v>
      </c>
      <c r="Y217" s="34" t="n">
        <v>70.8</v>
      </c>
      <c r="Z217" s="34" t="n">
        <v>284.8</v>
      </c>
      <c r="AA217" s="34" t="n">
        <v>77.8</v>
      </c>
      <c r="AB217" s="34" t="n">
        <v>86.59999999999999</v>
      </c>
      <c r="AC217" s="34" t="n">
        <v>78.59999999999999</v>
      </c>
      <c r="AD217" s="34" t="n">
        <v>80.09999999999999</v>
      </c>
      <c r="AE217" s="34" t="n">
        <v>323.5</v>
      </c>
      <c r="AF217" s="34" t="n">
        <v>80.7</v>
      </c>
      <c r="AG217" s="34" t="n">
        <v>86.2</v>
      </c>
      <c r="AH217" s="34" t="n">
        <v>83.2</v>
      </c>
      <c r="AI217" s="34" t="n">
        <v>83</v>
      </c>
      <c r="AJ217" s="34" t="n">
        <v>333.2</v>
      </c>
      <c r="AK217" s="34" t="n">
        <v>79</v>
      </c>
      <c r="AL217" s="34" t="n">
        <v>84.09999999999999</v>
      </c>
      <c r="AM217" s="269" t="n"/>
      <c r="AN217" s="269" t="n"/>
      <c r="AO217" s="269" t="n"/>
      <c r="AP217" s="269" t="n"/>
      <c r="AQ217" s="269" t="n"/>
      <c r="AR217" s="269" t="n"/>
      <c r="AS217" s="269" t="n"/>
      <c r="AT217" s="19" t="n"/>
    </row>
    <row r="218">
      <c r="B218" s="57" t="inlineStr">
        <is>
          <t xml:space="preserve">  Check: model vs company-published (should be 0; ±0.1 rounding)</t>
        </is>
      </c>
      <c r="C218" s="44" t="n"/>
      <c r="D218" s="44" t="n"/>
      <c r="E218" s="44" t="n"/>
      <c r="F218" s="44" t="n"/>
      <c r="G218" s="44" t="n"/>
      <c r="H218" s="44" t="n"/>
      <c r="I218" s="44" t="n"/>
      <c r="J218" s="44" t="n"/>
      <c r="K218" s="44" t="n"/>
      <c r="L218" s="44">
        <f>IF(ISNUMBER(L217),ROUND(L216-L217,1),"n/p")</f>
        <v>0</v>
      </c>
      <c r="M218" s="44">
        <f>IF(ISNUMBER(M217),ROUND(M216-M217,1),"n/p")</f>
        <v>0</v>
      </c>
      <c r="N218" s="44">
        <f>IF(ISNUMBER(N217),ROUND(N216-N217,1),"n/p")</f>
        <v>-0.1</v>
      </c>
      <c r="O218" s="44">
        <f>IF(ISNUMBER(O217),ROUND(O216-O217,1),"n/p")</f>
        <v>0</v>
      </c>
      <c r="P218" s="44">
        <f>IF(ISNUMBER(P217),ROUND(P216-P217,1),"n/p")</f>
        <v>0</v>
      </c>
      <c r="Q218" s="44">
        <f>IF(ISNUMBER(Q217),ROUND(Q216-Q217,1),"n/p")</f>
        <v>0.1</v>
      </c>
      <c r="R218" s="44">
        <f>IF(ISNUMBER(R217),ROUND(R216-R217,1),"n/p")</f>
        <v>0</v>
      </c>
      <c r="S218" s="44">
        <f>IF(ISNUMBER(S217),ROUND(S216-S217,1),"n/p")</f>
        <v>0</v>
      </c>
      <c r="T218" s="44">
        <f>IF(ISNUMBER(T217),ROUND(T216-T217,1),"n/p")</f>
        <v>-0.1</v>
      </c>
      <c r="U218" s="44">
        <f>IF(ISNUMBER(U217),ROUND(U216-U217,1),"n/p")</f>
        <v>0</v>
      </c>
      <c r="V218" s="44">
        <f>IF(ISNUMBER(V217),ROUND(V216-V217,1),"n/p")</f>
        <v>0.1</v>
      </c>
      <c r="W218" s="44">
        <f>IF(ISNUMBER(W217),ROUND(W216-W217,1),"n/p")</f>
        <v>0</v>
      </c>
      <c r="X218" s="44">
        <f>IF(ISNUMBER(X217),ROUND(X216-X217,1),"n/p")</f>
        <v>0</v>
      </c>
      <c r="Y218" s="44">
        <f>IF(ISNUMBER(Y217),ROUND(Y216-Y217,1),"n/p")</f>
        <v>-0.1</v>
      </c>
      <c r="Z218" s="44">
        <f>IF(ISNUMBER(Z217),ROUND(Z216-Z217,1),"n/p")</f>
        <v>-0.1</v>
      </c>
      <c r="AA218" s="44">
        <f>IF(ISNUMBER(AA217),ROUND(AA216-AA217,1),"n/p")</f>
        <v>0</v>
      </c>
      <c r="AB218" s="44">
        <f>IF(ISNUMBER(AB217),ROUND(AB216-AB217,1),"n/p")</f>
        <v>0</v>
      </c>
      <c r="AC218" s="44">
        <f>IF(ISNUMBER(AC217),ROUND(AC216-AC217,1),"n/p")</f>
        <v>0</v>
      </c>
      <c r="AD218" s="44">
        <f>IF(ISNUMBER(AD217),ROUND(AD216-AD217,1),"n/p")</f>
        <v>0</v>
      </c>
      <c r="AE218" s="44">
        <f>IF(ISNUMBER(AE217),ROUND(AE216-AE217,1),"n/p")</f>
        <v>0</v>
      </c>
      <c r="AF218" s="44">
        <f>IF(ISNUMBER(AF217),ROUND(AF216-AF217,1),"n/p")</f>
        <v>0</v>
      </c>
      <c r="AG218" s="44">
        <f>IF(ISNUMBER(AG217),ROUND(AG216-AG217,1),"n/p")</f>
        <v>0.1</v>
      </c>
      <c r="AH218" s="44">
        <f>IF(ISNUMBER(AH217),ROUND(AH216-AH217,1),"n/p")</f>
        <v>0</v>
      </c>
      <c r="AI218" s="44">
        <f>IF(ISNUMBER(AI217),ROUND(AI216-AI217,1),"n/p")</f>
        <v>0.1</v>
      </c>
      <c r="AJ218" s="44">
        <f>IF(ISNUMBER(AJ217),ROUND(AJ216-AJ217,1),"n/p")</f>
        <v>0.1</v>
      </c>
      <c r="AK218" s="44">
        <f>IF(ISNUMBER(AK217),ROUND(AK216-AK217,1),"n/p")</f>
        <v>0</v>
      </c>
      <c r="AL218" s="44">
        <f>IF(ISNUMBER(AL217),ROUND(AL216-AL217,1),"n/p")</f>
        <v>0</v>
      </c>
      <c r="AM218" s="269" t="n"/>
      <c r="AN218" s="269" t="n"/>
      <c r="AO218" s="269" t="n"/>
      <c r="AP218" s="269" t="n"/>
      <c r="AQ218" s="269" t="n"/>
      <c r="AR218" s="269" t="n"/>
      <c r="AS218" s="269" t="n"/>
      <c r="AT218" s="19" t="n"/>
    </row>
    <row r="219">
      <c r="B219" s="25" t="inlineStr">
        <is>
          <t xml:space="preserve">  (−) Adjusted net income attributable to Russia</t>
        </is>
      </c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>
        <v>-8.800000000000001</v>
      </c>
      <c r="N219" s="34" t="n">
        <v>-8.199999999999999</v>
      </c>
      <c r="O219" s="34" t="n">
        <v>-3.9</v>
      </c>
      <c r="P219" s="34" t="n">
        <v>-21</v>
      </c>
      <c r="Q219" s="34" t="n">
        <v>-5.6</v>
      </c>
      <c r="R219" s="34" t="n">
        <v>-3.6</v>
      </c>
      <c r="S219" s="34" t="n">
        <v>-6.5</v>
      </c>
      <c r="T219" s="34" t="n">
        <v>-3.5</v>
      </c>
      <c r="U219" s="34" t="n">
        <v>-13.6</v>
      </c>
      <c r="V219" s="34" t="n">
        <v>-3.6</v>
      </c>
      <c r="W219" s="34" t="n">
        <v>-3.9</v>
      </c>
      <c r="X219" s="34" t="n">
        <v>-3.2</v>
      </c>
      <c r="Y219" s="34" t="n">
        <v>-2.1</v>
      </c>
      <c r="Z219" s="34" t="n">
        <v>-12.9</v>
      </c>
      <c r="AA219" s="34" t="n">
        <v>-4.2</v>
      </c>
      <c r="AB219" s="34" t="n">
        <v>-5.2</v>
      </c>
      <c r="AC219" s="34" t="n">
        <v>-1.9</v>
      </c>
      <c r="AD219" s="34" t="n">
        <v>-1.6</v>
      </c>
      <c r="AE219" s="34" t="n">
        <v>-13</v>
      </c>
      <c r="AF219" s="34" t="n">
        <v>-3.8</v>
      </c>
      <c r="AG219" s="34" t="n">
        <v>-2.3</v>
      </c>
      <c r="AH219" s="34" t="n">
        <v>-2.7</v>
      </c>
      <c r="AI219" s="34" t="n">
        <v>-0.1</v>
      </c>
      <c r="AJ219" s="34" t="n">
        <v>-8.800000000000001</v>
      </c>
      <c r="AK219" s="34" t="n">
        <v>1.4</v>
      </c>
      <c r="AL219" s="34" t="n">
        <v>-1.3</v>
      </c>
      <c r="AM219" s="257">
        <f>-AM54*0.45</f>
        <v>-0.5625</v>
      </c>
      <c r="AN219" s="257">
        <f>-AN54*0.45</f>
        <v>-0.5625</v>
      </c>
      <c r="AO219" s="257">
        <f>SUM(AK219,AL219,AM219,AN219)</f>
        <v>-1.025</v>
      </c>
      <c r="AP219" s="257">
        <f>-AP54*0.45</f>
        <v>-2.25</v>
      </c>
      <c r="AQ219" s="257">
        <f>-AQ54*0.45</f>
        <v>-2.25</v>
      </c>
      <c r="AR219" s="257">
        <f>-AR54*0.45</f>
        <v>-2.25</v>
      </c>
      <c r="AS219" s="257">
        <f>-AS54*0.45</f>
        <v>-2.25</v>
      </c>
      <c r="AT219" s="19" t="n"/>
    </row>
    <row r="220">
      <c r="B220" s="16" t="inlineStr">
        <is>
          <t xml:space="preserve">  = Core adjusted net income (ex-Russia)</t>
        </is>
      </c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>
        <f>M216+M219</f>
        <v>64.6959999999999</v>
      </c>
      <c r="N220" s="43">
        <f>N216+N219</f>
        <v>61.041</v>
      </c>
      <c r="O220" s="43">
        <f>O216+O219</f>
        <v>62.793</v>
      </c>
      <c r="P220" s="43">
        <f>P216+P219</f>
        <v>256.464</v>
      </c>
      <c r="Q220" s="43">
        <f>Q216+Q219</f>
        <v>64.662</v>
      </c>
      <c r="R220" s="43">
        <f>R216+R219</f>
        <v>65.3980000000001</v>
      </c>
      <c r="S220" s="43">
        <f>S216+S219</f>
        <v>55.707</v>
      </c>
      <c r="T220" s="43">
        <f>T216+T219</f>
        <v>64.044</v>
      </c>
      <c r="U220" s="43">
        <f>U216+U219</f>
        <v>255.311</v>
      </c>
      <c r="V220" s="43">
        <f>V216+V219</f>
        <v>63.36</v>
      </c>
      <c r="W220" s="43">
        <f>W216+W219</f>
        <v>74.165</v>
      </c>
      <c r="X220" s="43">
        <f>X216+X219</f>
        <v>65.822</v>
      </c>
      <c r="Y220" s="43">
        <f>Y216+Y219</f>
        <v>68.589</v>
      </c>
      <c r="Z220" s="43">
        <f>Z216+Z219</f>
        <v>271.836</v>
      </c>
      <c r="AA220" s="43">
        <f>AA216+AA219</f>
        <v>73.584</v>
      </c>
      <c r="AB220" s="43">
        <f>AB216+AB219</f>
        <v>81.441</v>
      </c>
      <c r="AC220" s="43">
        <f>AC216+AC219</f>
        <v>76.729</v>
      </c>
      <c r="AD220" s="43">
        <f>AD216+AD219</f>
        <v>78.524</v>
      </c>
      <c r="AE220" s="43">
        <f>AE216+AE219</f>
        <v>310.478</v>
      </c>
      <c r="AF220" s="43">
        <f>AF216+AF219</f>
        <v>76.8940000000001</v>
      </c>
      <c r="AG220" s="43">
        <f>AG216+AG219</f>
        <v>83.9810000000001</v>
      </c>
      <c r="AH220" s="43">
        <f>AH216+AH219</f>
        <v>80.513</v>
      </c>
      <c r="AI220" s="43">
        <f>AI216+AI219</f>
        <v>83.005</v>
      </c>
      <c r="AJ220" s="43">
        <f>AJ216+AJ219</f>
        <v>324.493</v>
      </c>
      <c r="AK220" s="43">
        <f>AK216+AK219</f>
        <v>80.359</v>
      </c>
      <c r="AL220" s="43">
        <f>AL216+AL219</f>
        <v>82.7839999999999</v>
      </c>
      <c r="AM220" s="253">
        <f>AM216+AM219</f>
        <v>89.0623488954693</v>
      </c>
      <c r="AN220" s="253">
        <f>AN216+AN219</f>
        <v>89.775088090832</v>
      </c>
      <c r="AO220" s="253">
        <f>AO216+AO219</f>
        <v>334.793716986301</v>
      </c>
      <c r="AP220" s="253">
        <f>AP216+AP219</f>
        <v>389.823920151609</v>
      </c>
      <c r="AQ220" s="253">
        <f>AQ216+AQ219</f>
        <v>441.410239104026</v>
      </c>
      <c r="AR220" s="253">
        <f>AR216+AR219</f>
        <v>484.881863135185</v>
      </c>
      <c r="AS220" s="253">
        <f>AS216+AS219</f>
        <v>525.191302206573</v>
      </c>
      <c r="AT220" s="19" t="n"/>
      <c r="AV220" s="20">
        <f>IFERROR((AS220/AJ220)^(1/5)-1,"n/m")</f>
        <v>0.101089036715699</v>
      </c>
      <c r="AW220" s="20" t="str">
        <f>IFERROR((AJ220/K220)^(1/5)-1,"n/m")</f>
        <v>n/m</v>
      </c>
      <c r="AX220" s="20" t="str">
        <f>IFERROR((AJ220/F220)^(1/10)-1,"n/m")</f>
        <v>n/m</v>
      </c>
      <c r="AY220" s="20" t="str">
        <f>IFERROR((AJ220/C220)^(1/13)-1,"n/m")</f>
        <v>n/m</v>
      </c>
    </row>
    <row r="221">
      <c r="B221" s="156" t="inlineStr">
        <is>
          <t xml:space="preserve">  Company-published core adjusted net income</t>
        </is>
      </c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>
        <v>64.7</v>
      </c>
      <c r="N221" s="34" t="n">
        <v>61.1</v>
      </c>
      <c r="O221" s="34" t="n">
        <v>62.8</v>
      </c>
      <c r="P221" s="34" t="n">
        <v>256.5</v>
      </c>
      <c r="Q221" s="34" t="n">
        <v>64.59999999999999</v>
      </c>
      <c r="R221" s="34" t="n">
        <v>65.40000000000001</v>
      </c>
      <c r="S221" s="34" t="n">
        <v>55.7</v>
      </c>
      <c r="T221" s="34" t="n">
        <v>64.09999999999999</v>
      </c>
      <c r="U221" s="34" t="n">
        <v>255.3</v>
      </c>
      <c r="V221" s="34" t="n">
        <v>63.3</v>
      </c>
      <c r="W221" s="34" t="n">
        <v>74.2</v>
      </c>
      <c r="X221" s="34" t="n">
        <v>65.8</v>
      </c>
      <c r="Y221" s="34" t="n">
        <v>68.7</v>
      </c>
      <c r="Z221" s="34" t="n">
        <v>271.8</v>
      </c>
      <c r="AA221" s="34" t="n">
        <v>73.59999999999999</v>
      </c>
      <c r="AB221" s="34" t="n">
        <v>81.40000000000001</v>
      </c>
      <c r="AC221" s="34" t="n">
        <v>76.7</v>
      </c>
      <c r="AD221" s="34" t="n">
        <v>78.5</v>
      </c>
      <c r="AE221" s="34" t="n">
        <v>310.5</v>
      </c>
      <c r="AF221" s="34" t="n">
        <v>76.90000000000001</v>
      </c>
      <c r="AG221" s="34" t="n">
        <v>84</v>
      </c>
      <c r="AH221" s="34" t="n">
        <v>80.5</v>
      </c>
      <c r="AI221" s="34" t="n">
        <v>83</v>
      </c>
      <c r="AJ221" s="34" t="n">
        <v>324.4</v>
      </c>
      <c r="AK221" s="34" t="n">
        <v>80.40000000000001</v>
      </c>
      <c r="AL221" s="34" t="n">
        <v>82.8</v>
      </c>
      <c r="AM221" s="269" t="n"/>
      <c r="AN221" s="269" t="n"/>
      <c r="AO221" s="269" t="n"/>
      <c r="AP221" s="269" t="n"/>
      <c r="AQ221" s="269" t="n"/>
      <c r="AR221" s="269" t="n"/>
      <c r="AS221" s="269" t="n"/>
      <c r="AT221" s="19" t="n"/>
    </row>
    <row r="222">
      <c r="B222" s="57" t="inlineStr">
        <is>
          <t xml:space="preserve">  Check: model vs company-published core adjusted net income (should be 0; ±0.1)</t>
        </is>
      </c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>
        <f>IF(ISNUMBER(M221),ROUND(M220-M221,1),"n/p")</f>
        <v>0</v>
      </c>
      <c r="N222" s="44">
        <f>IF(ISNUMBER(N221),ROUND(N220-N221,1),"n/p")</f>
        <v>-0.1</v>
      </c>
      <c r="O222" s="44">
        <f>IF(ISNUMBER(O221),ROUND(O220-O221,1),"n/p")</f>
        <v>0</v>
      </c>
      <c r="P222" s="44">
        <f>IF(ISNUMBER(P221),ROUND(P220-P221,1),"n/p")</f>
        <v>0</v>
      </c>
      <c r="Q222" s="44">
        <f>IF(ISNUMBER(Q221),ROUND(Q220-Q221,1),"n/p")</f>
        <v>0.1</v>
      </c>
      <c r="R222" s="44">
        <f>IF(ISNUMBER(R221),ROUND(R220-R221,1),"n/p")</f>
        <v>0</v>
      </c>
      <c r="S222" s="44">
        <f>IF(ISNUMBER(S221),ROUND(S220-S221,1),"n/p")</f>
        <v>0</v>
      </c>
      <c r="T222" s="44">
        <f>IF(ISNUMBER(T221),ROUND(T220-T221,1),"n/p")</f>
        <v>-0.1</v>
      </c>
      <c r="U222" s="44">
        <f>IF(ISNUMBER(U221),ROUND(U220-U221,1),"n/p")</f>
        <v>0</v>
      </c>
      <c r="V222" s="44">
        <f>IF(ISNUMBER(V221),ROUND(V220-V221,1),"n/p")</f>
        <v>0.1</v>
      </c>
      <c r="W222" s="44">
        <f>IF(ISNUMBER(W221),ROUND(W220-W221,1),"n/p")</f>
        <v>0</v>
      </c>
      <c r="X222" s="44">
        <f>IF(ISNUMBER(X221),ROUND(X220-X221,1),"n/p")</f>
        <v>0</v>
      </c>
      <c r="Y222" s="44">
        <f>IF(ISNUMBER(Y221),ROUND(Y220-Y221,1),"n/p")</f>
        <v>-0.1</v>
      </c>
      <c r="Z222" s="44">
        <f>IF(ISNUMBER(Z221),ROUND(Z220-Z221,1),"n/p")</f>
        <v>0</v>
      </c>
      <c r="AA222" s="44">
        <f>IF(ISNUMBER(AA221),ROUND(AA220-AA221,1),"n/p")</f>
        <v>0</v>
      </c>
      <c r="AB222" s="44">
        <f>IF(ISNUMBER(AB221),ROUND(AB220-AB221,1),"n/p")</f>
        <v>0</v>
      </c>
      <c r="AC222" s="44">
        <f>IF(ISNUMBER(AC221),ROUND(AC220-AC221,1),"n/p")</f>
        <v>0</v>
      </c>
      <c r="AD222" s="44">
        <f>IF(ISNUMBER(AD221),ROUND(AD220-AD221,1),"n/p")</f>
        <v>0</v>
      </c>
      <c r="AE222" s="44">
        <f>IF(ISNUMBER(AE221),ROUND(AE220-AE221,1),"n/p")</f>
        <v>0</v>
      </c>
      <c r="AF222" s="44">
        <f>IF(ISNUMBER(AF221),ROUND(AF220-AF221,1),"n/p")</f>
        <v>0</v>
      </c>
      <c r="AG222" s="44">
        <f>IF(ISNUMBER(AG221),ROUND(AG220-AG221,1),"n/p")</f>
        <v>0</v>
      </c>
      <c r="AH222" s="44">
        <f>IF(ISNUMBER(AH221),ROUND(AH220-AH221,1),"n/p")</f>
        <v>0</v>
      </c>
      <c r="AI222" s="44">
        <f>IF(ISNUMBER(AI221),ROUND(AI220-AI221,1),"n/p")</f>
        <v>0</v>
      </c>
      <c r="AJ222" s="44">
        <f>IF(ISNUMBER(AJ221),ROUND(AJ220-AJ221,1),"n/p")</f>
        <v>0.1</v>
      </c>
      <c r="AK222" s="44">
        <f>IF(ISNUMBER(AK221),ROUND(AK220-AK221,1),"n/p")</f>
        <v>0</v>
      </c>
      <c r="AL222" s="44">
        <f>IF(ISNUMBER(AL221),ROUND(AL220-AL221,1),"n/p")</f>
        <v>0</v>
      </c>
      <c r="AM222" s="269" t="n"/>
      <c r="AN222" s="269" t="n"/>
      <c r="AO222" s="269" t="n"/>
      <c r="AP222" s="269" t="n"/>
      <c r="AQ222" s="269" t="n"/>
      <c r="AR222" s="269" t="n"/>
      <c r="AS222" s="269" t="n"/>
      <c r="AT222" s="19" t="n"/>
    </row>
    <row r="223">
      <c r="B223" s="25" t="inlineStr">
        <is>
          <t xml:space="preserve">  Weighted-average diluted shares, if-converted (m)</t>
        </is>
      </c>
      <c r="C223" s="63">
        <f>C166</f>
        <v>0</v>
      </c>
      <c r="D223" s="63">
        <f>D166</f>
        <v>0</v>
      </c>
      <c r="E223" s="63">
        <f>E166</f>
        <v>0</v>
      </c>
      <c r="F223" s="63">
        <f>F166</f>
        <v>0</v>
      </c>
      <c r="G223" s="63">
        <f>G166</f>
        <v>0</v>
      </c>
      <c r="H223" s="63">
        <f>H166</f>
        <v>0</v>
      </c>
      <c r="I223" s="63">
        <f>I166</f>
        <v>0</v>
      </c>
      <c r="J223" s="63">
        <f>J166</f>
        <v>0</v>
      </c>
      <c r="K223" s="63">
        <f>K166</f>
        <v>60.034311</v>
      </c>
      <c r="L223" s="63">
        <f>L166</f>
        <v>60.034311</v>
      </c>
      <c r="M223" s="63">
        <f>M166</f>
        <v>60.034311</v>
      </c>
      <c r="N223" s="63">
        <f>N166</f>
        <v>60.034311</v>
      </c>
      <c r="O223" s="63">
        <f>O166</f>
        <v>60.034311</v>
      </c>
      <c r="P223" s="63">
        <f>P166</f>
        <v>60.034311</v>
      </c>
      <c r="Q223" s="63">
        <f>Q166</f>
        <v>60.034311</v>
      </c>
      <c r="R223" s="63">
        <f>R166</f>
        <v>60.18552</v>
      </c>
      <c r="S223" s="63">
        <f>S166</f>
        <v>60.163221</v>
      </c>
      <c r="T223" s="63">
        <f>T166</f>
        <v>60.229184</v>
      </c>
      <c r="U223" s="63">
        <f>U166</f>
        <v>60.153059</v>
      </c>
      <c r="V223" s="63">
        <f>V166</f>
        <v>60.486226</v>
      </c>
      <c r="W223" s="63">
        <f>W166</f>
        <v>60.561339</v>
      </c>
      <c r="X223" s="63">
        <f>X166</f>
        <v>60.730713</v>
      </c>
      <c r="Y223" s="63">
        <f>Y166</f>
        <v>60.844706</v>
      </c>
      <c r="Z223" s="63">
        <f>Z166</f>
        <v>60.655746</v>
      </c>
      <c r="AA223" s="63">
        <f>AA166</f>
        <v>60.987957</v>
      </c>
      <c r="AB223" s="63">
        <f>AB166</f>
        <v>61.078456</v>
      </c>
      <c r="AC223" s="63">
        <f>AC166</f>
        <v>61.086129</v>
      </c>
      <c r="AD223" s="63">
        <f>AD166</f>
        <v>61.25571</v>
      </c>
      <c r="AE223" s="63">
        <f>AE166</f>
        <v>61.102063</v>
      </c>
      <c r="AF223" s="63">
        <f>AF166</f>
        <v>61.281118</v>
      </c>
      <c r="AG223" s="63">
        <f>AG166</f>
        <v>61.312744</v>
      </c>
      <c r="AH223" s="63">
        <f>AH166</f>
        <v>61.238341</v>
      </c>
      <c r="AI223" s="63">
        <f>AI166</f>
        <v>61.232973</v>
      </c>
      <c r="AJ223" s="63">
        <f>AJ166</f>
        <v>61.266294</v>
      </c>
      <c r="AK223" s="63">
        <f>AK166</f>
        <v>61.265828</v>
      </c>
      <c r="AL223" s="63">
        <f>AL166</f>
        <v>61.6306</v>
      </c>
      <c r="AM223" s="266">
        <f>AM166+AM296</f>
        <v>62.464302</v>
      </c>
      <c r="AN223" s="266">
        <f>AN166+AN296</f>
        <v>62.464302</v>
      </c>
      <c r="AO223" s="266">
        <f>AO166+AO296</f>
        <v>63.307258</v>
      </c>
      <c r="AP223" s="266">
        <f>AP166+AP296</f>
        <v>64.065302</v>
      </c>
      <c r="AQ223" s="266">
        <f>AQ166+AQ296</f>
        <v>63.7120670676538</v>
      </c>
      <c r="AR223" s="266">
        <f>AR166+AR296</f>
        <v>62.0310760040909</v>
      </c>
      <c r="AS223" s="266">
        <f>AS166</f>
        <v>57.5591915217299</v>
      </c>
      <c r="AT223" s="19" t="inlineStr">
        <is>
          <t>Adds the MCPS if-converted shares until the mandatory conversion (~Jun-2029).</t>
        </is>
      </c>
    </row>
    <row r="224">
      <c r="B224" s="55" t="inlineStr">
        <is>
          <t>Adjusted diluted EPS — continuing operations ($) (model)</t>
        </is>
      </c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>
        <f>IFERROR(L216/L223,"")</f>
        <v>1.12490672209097</v>
      </c>
      <c r="M224" s="60">
        <f>IFERROR(M216/M223,"")</f>
        <v>1.22423325554615</v>
      </c>
      <c r="N224" s="60">
        <f>IFERROR(N216/N223,"")</f>
        <v>1.15335711939794</v>
      </c>
      <c r="O224" s="60">
        <f>IFERROR(O216/O223,"")</f>
        <v>1.11091472341542</v>
      </c>
      <c r="P224" s="60">
        <f>IFERROR(P216/P223,"")</f>
        <v>4.62175704823196</v>
      </c>
      <c r="Q224" s="60">
        <f>IFERROR(Q216/Q223,"")</f>
        <v>1.17036406064525</v>
      </c>
      <c r="R224" s="60">
        <f>IFERROR(R216/R223,"")</f>
        <v>1.14642193005893</v>
      </c>
      <c r="S224" s="60">
        <f>IFERROR(S216/S223,"")</f>
        <v>1.03397057148918</v>
      </c>
      <c r="T224" s="60">
        <f>IFERROR(T216/T223,"")</f>
        <v>1.12144969455339</v>
      </c>
      <c r="U224" s="60">
        <f>IFERROR(U216/U223,"")</f>
        <v>4.47044596684601</v>
      </c>
      <c r="V224" s="60">
        <f>IFERROR(V216/V223,"")</f>
        <v>1.10702889613248</v>
      </c>
      <c r="W224" s="60">
        <f>IFERROR(W216/W223,"")</f>
        <v>1.28902367895135</v>
      </c>
      <c r="X224" s="60">
        <f>IFERROR(X216/X223,"")</f>
        <v>1.13652543483229</v>
      </c>
      <c r="Y224" s="60">
        <f>IFERROR(Y216/Y223,"")</f>
        <v>1.16179376394719</v>
      </c>
      <c r="Z224" s="60">
        <f>IFERROR(Z216/Z223,"")</f>
        <v>4.69429557423958</v>
      </c>
      <c r="AA224" s="60">
        <f>IFERROR(AA216/AA223,"")</f>
        <v>1.27539933826608</v>
      </c>
      <c r="AB224" s="60">
        <f>IFERROR(AB216/AB223,"")</f>
        <v>1.41851981327098</v>
      </c>
      <c r="AC224" s="60">
        <f>IFERROR(AC216/AC223,"")</f>
        <v>1.28718256152718</v>
      </c>
      <c r="AD224" s="60">
        <f>IFERROR(AD216/AD223,"")</f>
        <v>1.30802499881236</v>
      </c>
      <c r="AE224" s="60">
        <f>IFERROR(AE216/AE223,"")</f>
        <v>5.2940602021899</v>
      </c>
      <c r="AF224" s="60">
        <f>IFERROR(AF216/AF223,"")</f>
        <v>1.31678407042117</v>
      </c>
      <c r="AG224" s="60">
        <f>IFERROR(AG216/AG223,"")</f>
        <v>1.40722783504845</v>
      </c>
      <c r="AH224" s="60">
        <f>IFERROR(AH216/AH223,"")</f>
        <v>1.35883824808383</v>
      </c>
      <c r="AI224" s="60">
        <f>IFERROR(AI216/AI223,"")</f>
        <v>1.35719361527653</v>
      </c>
      <c r="AJ224" s="60">
        <f>IFERROR(AJ216/AJ223,"")</f>
        <v>5.4400711751881</v>
      </c>
      <c r="AK224" s="60">
        <f>IFERROR(AK216/AK223,"")</f>
        <v>1.28879348533411</v>
      </c>
      <c r="AL224" s="60">
        <f>IFERROR(AL216/AL223,"")</f>
        <v>1.36432226848351</v>
      </c>
      <c r="AM224" s="60">
        <f>IFERROR(AM216/AM223,"")</f>
        <v>1.43481710394313</v>
      </c>
      <c r="AN224" s="60">
        <f>IFERROR(AN216/AN223,"")</f>
        <v>1.4462274482925</v>
      </c>
      <c r="AO224" s="60">
        <f>SUM(AK224,AL224,AM224,AN224)</f>
        <v>5.53416030605325</v>
      </c>
      <c r="AP224" s="60">
        <f>IFERROR(AP216/AP223,"")</f>
        <v>6.11991058984798</v>
      </c>
      <c r="AQ224" s="60">
        <f>IFERROR(AQ216/AQ223,"")</f>
        <v>6.96351977770423</v>
      </c>
      <c r="AR224" s="60">
        <f>IFERROR(AR216/AR223,"")</f>
        <v>7.85302939292975</v>
      </c>
      <c r="AS224" s="60">
        <f>IFERROR(AS216/AS223,"")</f>
        <v>9.16345918457614</v>
      </c>
      <c r="AT224" s="19" t="n"/>
      <c r="AV224" s="20">
        <f>IFERROR((AS224/AJ224)^(1/5)-1,"n/m")</f>
        <v>0.109918201909894</v>
      </c>
      <c r="AW224" s="20" t="str">
        <f>IFERROR((AJ224/K224)^(1/5)-1,"n/m")</f>
        <v>n/m</v>
      </c>
      <c r="AX224" s="20" t="str">
        <f>IFERROR((AJ224/F224)^(1/10)-1,"n/m")</f>
        <v>n/m</v>
      </c>
      <c r="AY224" s="20" t="str">
        <f>IFERROR((AJ224/C224)^(1/13)-1,"n/m")</f>
        <v>n/m</v>
      </c>
    </row>
    <row r="225">
      <c r="B225" s="156" t="inlineStr">
        <is>
          <t xml:space="preserve">  Company-published adjusted diluted EPS ($)</t>
        </is>
      </c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>
        <v>1.12</v>
      </c>
      <c r="M225" s="27" t="n">
        <v>1.23</v>
      </c>
      <c r="N225" s="27" t="n">
        <v>1.15</v>
      </c>
      <c r="O225" s="27" t="n">
        <v>1.11</v>
      </c>
      <c r="P225" s="27" t="n">
        <v>4.61</v>
      </c>
      <c r="Q225" s="27" t="n">
        <v>1.17</v>
      </c>
      <c r="R225" s="27" t="n">
        <v>1.14</v>
      </c>
      <c r="S225" s="27" t="n">
        <v>1.03</v>
      </c>
      <c r="T225" s="27" t="n">
        <v>1.11</v>
      </c>
      <c r="U225" s="27" t="n">
        <v>4.44</v>
      </c>
      <c r="V225" s="27" t="n">
        <v>1.1</v>
      </c>
      <c r="W225" s="27" t="n">
        <v>1.28</v>
      </c>
      <c r="X225" s="27" t="n">
        <v>1.13</v>
      </c>
      <c r="Y225" s="27" t="n">
        <v>1.16</v>
      </c>
      <c r="Z225" s="27" t="n">
        <v>4.67</v>
      </c>
      <c r="AA225" s="27" t="n">
        <v>1.27</v>
      </c>
      <c r="AB225" s="27" t="n">
        <v>1.41</v>
      </c>
      <c r="AC225" s="27" t="n">
        <v>1.28</v>
      </c>
      <c r="AD225" s="27" t="n">
        <v>1.31</v>
      </c>
      <c r="AE225" s="27" t="n">
        <v>5.27</v>
      </c>
      <c r="AF225" s="27" t="n">
        <v>1.31</v>
      </c>
      <c r="AG225" s="27" t="n">
        <v>1.4</v>
      </c>
      <c r="AH225" s="27" t="n">
        <v>1.36</v>
      </c>
      <c r="AI225" s="27" t="n">
        <v>1.36</v>
      </c>
      <c r="AJ225" s="27" t="n">
        <v>5.41</v>
      </c>
      <c r="AK225" s="27" t="n">
        <v>1.29</v>
      </c>
      <c r="AL225" s="27" t="n">
        <v>1.35</v>
      </c>
      <c r="AM225" s="273" t="n"/>
      <c r="AN225" s="273" t="n"/>
      <c r="AO225" s="273" t="n"/>
      <c r="AP225" s="273" t="n"/>
      <c r="AQ225" s="273" t="n"/>
      <c r="AR225" s="273" t="n"/>
      <c r="AS225" s="273" t="n"/>
      <c r="AT225" s="19" t="n"/>
    </row>
    <row r="226">
      <c r="B226" s="57" t="inlineStr">
        <is>
          <t xml:space="preserve">  Check: model vs company-published adjusted EPS (should be 0.00; ±0.01–0.03: company builds adjusted EPS from rounded per-share items)</t>
        </is>
      </c>
      <c r="C226" s="38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8">
        <f>IF(ISNUMBER(L225),ROUND(L224-L225,2),"n/p")</f>
        <v>0</v>
      </c>
      <c r="M226" s="38">
        <f>IF(ISNUMBER(M225),ROUND(M224-M225,2),"n/p")</f>
        <v>-0.01</v>
      </c>
      <c r="N226" s="38">
        <f>IF(ISNUMBER(N225),ROUND(N224-N225,2),"n/p")</f>
        <v>0</v>
      </c>
      <c r="O226" s="38">
        <f>IF(ISNUMBER(O225),ROUND(O224-O225,2),"n/p")</f>
        <v>0</v>
      </c>
      <c r="P226" s="38">
        <f>IF(ISNUMBER(P225),ROUND(P224-P225,2),"n/p")</f>
        <v>0.01</v>
      </c>
      <c r="Q226" s="38">
        <f>IF(ISNUMBER(Q225),ROUND(Q224-Q225,2),"n/p")</f>
        <v>0</v>
      </c>
      <c r="R226" s="38">
        <f>IF(ISNUMBER(R225),ROUND(R224-R225,2),"n/p")</f>
        <v>0.01</v>
      </c>
      <c r="S226" s="38">
        <f>IF(ISNUMBER(S225),ROUND(S224-S225,2),"n/p")</f>
        <v>0</v>
      </c>
      <c r="T226" s="38">
        <f>IF(ISNUMBER(T225),ROUND(T224-T225,2),"n/p")</f>
        <v>0.01</v>
      </c>
      <c r="U226" s="38">
        <f>IF(ISNUMBER(U225),ROUND(U224-U225,2),"n/p")</f>
        <v>0.03</v>
      </c>
      <c r="V226" s="38">
        <f>IF(ISNUMBER(V225),ROUND(V224-V225,2),"n/p")</f>
        <v>0.01</v>
      </c>
      <c r="W226" s="38">
        <f>IF(ISNUMBER(W225),ROUND(W224-W225,2),"n/p")</f>
        <v>0.01</v>
      </c>
      <c r="X226" s="38">
        <f>IF(ISNUMBER(X225),ROUND(X224-X225,2),"n/p")</f>
        <v>0.01</v>
      </c>
      <c r="Y226" s="38">
        <f>IF(ISNUMBER(Y225),ROUND(Y224-Y225,2),"n/p")</f>
        <v>0</v>
      </c>
      <c r="Z226" s="38">
        <f>IF(ISNUMBER(Z225),ROUND(Z224-Z225,2),"n/p")</f>
        <v>0.02</v>
      </c>
      <c r="AA226" s="38">
        <f>IF(ISNUMBER(AA225),ROUND(AA224-AA225,2),"n/p")</f>
        <v>0.01</v>
      </c>
      <c r="AB226" s="38">
        <f>IF(ISNUMBER(AB225),ROUND(AB224-AB225,2),"n/p")</f>
        <v>0.01</v>
      </c>
      <c r="AC226" s="38">
        <f>IF(ISNUMBER(AC225),ROUND(AC224-AC225,2),"n/p")</f>
        <v>0.01</v>
      </c>
      <c r="AD226" s="38">
        <f>IF(ISNUMBER(AD225),ROUND(AD224-AD225,2),"n/p")</f>
        <v>0</v>
      </c>
      <c r="AE226" s="38">
        <f>IF(ISNUMBER(AE225),ROUND(AE224-AE225,2),"n/p")</f>
        <v>0.02</v>
      </c>
      <c r="AF226" s="38">
        <f>IF(ISNUMBER(AF225),ROUND(AF224-AF225,2),"n/p")</f>
        <v>0.01</v>
      </c>
      <c r="AG226" s="38">
        <f>IF(ISNUMBER(AG225),ROUND(AG224-AG225,2),"n/p")</f>
        <v>0.01</v>
      </c>
      <c r="AH226" s="38">
        <f>IF(ISNUMBER(AH225),ROUND(AH224-AH225,2),"n/p")</f>
        <v>0</v>
      </c>
      <c r="AI226" s="38">
        <f>IF(ISNUMBER(AI225),ROUND(AI224-AI225,2),"n/p")</f>
        <v>0</v>
      </c>
      <c r="AJ226" s="38">
        <f>IF(ISNUMBER(AJ225),ROUND(AJ224-AJ225,2),"n/p")</f>
        <v>0.03</v>
      </c>
      <c r="AK226" s="38">
        <f>IF(ISNUMBER(AK225),ROUND(AK224-AK225,2),"n/p")</f>
        <v>0</v>
      </c>
      <c r="AL226" s="38">
        <f>IF(ISNUMBER(AL225),ROUND(AL224-AL225,2),"n/p")</f>
        <v>0.01</v>
      </c>
      <c r="AM226" s="273" t="n"/>
      <c r="AN226" s="273" t="n"/>
      <c r="AO226" s="273" t="n"/>
      <c r="AP226" s="273" t="n"/>
      <c r="AQ226" s="273" t="n"/>
      <c r="AR226" s="273" t="n"/>
      <c r="AS226" s="273" t="n"/>
      <c r="AT226" s="19" t="n"/>
    </row>
    <row r="227">
      <c r="B227" s="55" t="inlineStr">
        <is>
          <t>Core adjusted diluted EPS ($) (model)</t>
        </is>
      </c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>
        <f>IFERROR(M220/M223,"")</f>
        <v>1.0776504122784</v>
      </c>
      <c r="N227" s="60">
        <f>IFERROR(N220/N223,"")</f>
        <v>1.01676856089845</v>
      </c>
      <c r="O227" s="60">
        <f>IFERROR(O220/O223,"")</f>
        <v>1.04595187242176</v>
      </c>
      <c r="P227" s="60">
        <f>IFERROR(P220/P223,"")</f>
        <v>4.27195708134303</v>
      </c>
      <c r="Q227" s="60">
        <f>IFERROR(Q220/Q223,"")</f>
        <v>1.07708406947487</v>
      </c>
      <c r="R227" s="60">
        <f>IFERROR(R220/R223,"")</f>
        <v>1.08660687819928</v>
      </c>
      <c r="S227" s="60">
        <f>IFERROR(S220/S223,"")</f>
        <v>0.925931143214556</v>
      </c>
      <c r="T227" s="60">
        <f>IFERROR(T220/T223,"")</f>
        <v>1.06333833113196</v>
      </c>
      <c r="U227" s="60">
        <f>IFERROR(U220/U223,"")</f>
        <v>4.2443560517845</v>
      </c>
      <c r="V227" s="60">
        <f>IFERROR(V220/V223,"")</f>
        <v>1.04751121354472</v>
      </c>
      <c r="W227" s="60">
        <f>IFERROR(W220/W223,"")</f>
        <v>1.22462615960324</v>
      </c>
      <c r="X227" s="60">
        <f>IFERROR(X220/X223,"")</f>
        <v>1.08383380909755</v>
      </c>
      <c r="Y227" s="60">
        <f>IFERROR(Y220/Y223,"")</f>
        <v>1.12727966834124</v>
      </c>
      <c r="Z227" s="60">
        <f>IFERROR(Z220/Z223,"")</f>
        <v>4.48161992764873</v>
      </c>
      <c r="AA227" s="60">
        <f>IFERROR(AA220/AA223,"")</f>
        <v>1.20653328328411</v>
      </c>
      <c r="AB227" s="60">
        <f>IFERROR(AB220/AB223,"")</f>
        <v>1.33338341100174</v>
      </c>
      <c r="AC227" s="60">
        <f>IFERROR(AC220/AC223,"")</f>
        <v>1.25607893733126</v>
      </c>
      <c r="AD227" s="60">
        <f>IFERROR(AD220/AD223,"")</f>
        <v>1.28190498485774</v>
      </c>
      <c r="AE227" s="60">
        <f>IFERROR(AE220/AE223,"")</f>
        <v>5.08130142839858</v>
      </c>
      <c r="AF227" s="60">
        <f>IFERROR(AF220/AF223,"")</f>
        <v>1.25477475786261</v>
      </c>
      <c r="AG227" s="60">
        <f>IFERROR(AG220/AG223,"")</f>
        <v>1.36971524223414</v>
      </c>
      <c r="AH227" s="60">
        <f>IFERROR(AH220/AH223,"")</f>
        <v>1.31474822284947</v>
      </c>
      <c r="AI227" s="60">
        <f>IFERROR(AI220/AI223,"")</f>
        <v>1.35556050822487</v>
      </c>
      <c r="AJ227" s="60">
        <f>IFERROR(AJ220/AJ223,"")</f>
        <v>5.29643591629681</v>
      </c>
      <c r="AK227" s="60">
        <f>IFERROR(AK220/AK223,"")</f>
        <v>1.31164472305834</v>
      </c>
      <c r="AL227" s="60">
        <f>IFERROR(AL220/AL223,"")</f>
        <v>1.34322885060343</v>
      </c>
      <c r="AM227" s="60">
        <f>IFERROR(AM220/AM223,"")</f>
        <v>1.42581196049336</v>
      </c>
      <c r="AN227" s="60">
        <f>IFERROR(AN220/AN223,"")</f>
        <v>1.43722230484273</v>
      </c>
      <c r="AO227" s="60">
        <f>SUM(AK227,AL227,AM227,AN227)</f>
        <v>5.51790783899786</v>
      </c>
      <c r="AP227" s="60">
        <f>IFERROR(AP220/AP223,"")</f>
        <v>6.08479017474403</v>
      </c>
      <c r="AQ227" s="60">
        <f>IFERROR(AQ220/AQ223,"")</f>
        <v>6.92820464662222</v>
      </c>
      <c r="AR227" s="60">
        <f>IFERROR(AR220/AR223,"")</f>
        <v>7.81675725088514</v>
      </c>
      <c r="AS227" s="60">
        <f>IFERROR(AS220/AS223,"")</f>
        <v>9.1243689899345</v>
      </c>
      <c r="AT227" s="19" t="inlineStr">
        <is>
          <t>Company headline EPS measure; FY26 outlook $5.40–5.50.</t>
        </is>
      </c>
      <c r="AV227" s="20">
        <f>IFERROR((AS227/AJ227)^(1/5)-1,"n/m")</f>
        <v>0.11492030153409</v>
      </c>
      <c r="AW227" s="20" t="str">
        <f>IFERROR((AJ227/K227)^(1/5)-1,"n/m")</f>
        <v>n/m</v>
      </c>
      <c r="AX227" s="20" t="str">
        <f>IFERROR((AJ227/F227)^(1/10)-1,"n/m")</f>
        <v>n/m</v>
      </c>
      <c r="AY227" s="20" t="str">
        <f>IFERROR((AJ227/C227)^(1/13)-1,"n/m")</f>
        <v>n/m</v>
      </c>
    </row>
    <row r="228">
      <c r="B228" s="156" t="inlineStr">
        <is>
          <t xml:space="preserve">  Company-published core adjusted diluted EPS ($)</t>
        </is>
      </c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>
        <v>1.08</v>
      </c>
      <c r="N228" s="27" t="n">
        <v>1.02</v>
      </c>
      <c r="O228" s="27" t="n">
        <v>1.05</v>
      </c>
      <c r="P228" s="27" t="n">
        <v>4.26</v>
      </c>
      <c r="Q228" s="27" t="n">
        <v>1.08</v>
      </c>
      <c r="R228" s="27" t="n">
        <v>1.08</v>
      </c>
      <c r="S228" s="27" t="n">
        <v>0.92</v>
      </c>
      <c r="T228" s="27" t="n">
        <v>1.05</v>
      </c>
      <c r="U228" s="27" t="n">
        <v>4.21</v>
      </c>
      <c r="V228" s="27" t="n">
        <v>1.04</v>
      </c>
      <c r="W228" s="27" t="n">
        <v>1.21</v>
      </c>
      <c r="X228" s="27" t="n">
        <v>1.08</v>
      </c>
      <c r="Y228" s="27" t="n">
        <v>1.13</v>
      </c>
      <c r="Z228" s="27" t="n">
        <v>4.46</v>
      </c>
      <c r="AA228" s="27" t="n">
        <v>1.2</v>
      </c>
      <c r="AB228" s="27" t="n">
        <v>1.32</v>
      </c>
      <c r="AC228" s="27" t="n">
        <v>1.25</v>
      </c>
      <c r="AD228" s="27" t="n">
        <v>1.28</v>
      </c>
      <c r="AE228" s="27" t="n">
        <v>5.06</v>
      </c>
      <c r="AF228" s="27" t="n">
        <v>1.25</v>
      </c>
      <c r="AG228" s="27" t="n">
        <v>1.36</v>
      </c>
      <c r="AH228" s="27" t="n">
        <v>1.32</v>
      </c>
      <c r="AI228" s="27" t="n">
        <v>1.35</v>
      </c>
      <c r="AJ228" s="27" t="n">
        <v>5.27</v>
      </c>
      <c r="AK228" s="27" t="n">
        <v>1.31</v>
      </c>
      <c r="AL228" s="27" t="n">
        <v>1.33</v>
      </c>
      <c r="AM228" s="273" t="n"/>
      <c r="AN228" s="273" t="n"/>
      <c r="AO228" s="273" t="n"/>
      <c r="AP228" s="273" t="n"/>
      <c r="AQ228" s="273" t="n"/>
      <c r="AR228" s="273" t="n"/>
      <c r="AS228" s="273" t="n"/>
      <c r="AT228" s="19" t="n"/>
    </row>
    <row r="229">
      <c r="B229" s="57" t="inlineStr">
        <is>
          <t xml:space="preserve">  Check: model vs company-published core adjusted EPS (should be 0.00; ±0.01–0.03 per-share rounding)</t>
        </is>
      </c>
      <c r="C229" s="38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>
        <f>IF(ISNUMBER(M228),ROUND(M227-M228,2),"n/p")</f>
        <v>0</v>
      </c>
      <c r="N229" s="38">
        <f>IF(ISNUMBER(N228),ROUND(N227-N228,2),"n/p")</f>
        <v>0</v>
      </c>
      <c r="O229" s="38">
        <f>IF(ISNUMBER(O228),ROUND(O227-O228,2),"n/p")</f>
        <v>0</v>
      </c>
      <c r="P229" s="38">
        <f>IF(ISNUMBER(P228),ROUND(P227-P228,2),"n/p")</f>
        <v>0.01</v>
      </c>
      <c r="Q229" s="38">
        <f>IF(ISNUMBER(Q228),ROUND(Q227-Q228,2),"n/p")</f>
        <v>0</v>
      </c>
      <c r="R229" s="38">
        <f>IF(ISNUMBER(R228),ROUND(R227-R228,2),"n/p")</f>
        <v>0.01</v>
      </c>
      <c r="S229" s="38">
        <f>IF(ISNUMBER(S228),ROUND(S227-S228,2),"n/p")</f>
        <v>0.01</v>
      </c>
      <c r="T229" s="38">
        <f>IF(ISNUMBER(T228),ROUND(T227-T228,2),"n/p")</f>
        <v>0.01</v>
      </c>
      <c r="U229" s="38">
        <f>IF(ISNUMBER(U228),ROUND(U227-U228,2),"n/p")</f>
        <v>0.03</v>
      </c>
      <c r="V229" s="38">
        <f>IF(ISNUMBER(V228),ROUND(V227-V228,2),"n/p")</f>
        <v>0.01</v>
      </c>
      <c r="W229" s="38">
        <f>IF(ISNUMBER(W228),ROUND(W227-W228,2),"n/p")</f>
        <v>0.01</v>
      </c>
      <c r="X229" s="38">
        <f>IF(ISNUMBER(X228),ROUND(X227-X228,2),"n/p")</f>
        <v>0</v>
      </c>
      <c r="Y229" s="38">
        <f>IF(ISNUMBER(Y228),ROUND(Y227-Y228,2),"n/p")</f>
        <v>0</v>
      </c>
      <c r="Z229" s="38">
        <f>IF(ISNUMBER(Z228),ROUND(Z227-Z228,2),"n/p")</f>
        <v>0.02</v>
      </c>
      <c r="AA229" s="38">
        <f>IF(ISNUMBER(AA228),ROUND(AA227-AA228,2),"n/p")</f>
        <v>0.01</v>
      </c>
      <c r="AB229" s="38">
        <f>IF(ISNUMBER(AB228),ROUND(AB227-AB228,2),"n/p")</f>
        <v>0.01</v>
      </c>
      <c r="AC229" s="38">
        <f>IF(ISNUMBER(AC228),ROUND(AC227-AC228,2),"n/p")</f>
        <v>0.01</v>
      </c>
      <c r="AD229" s="38">
        <f>IF(ISNUMBER(AD228),ROUND(AD227-AD228,2),"n/p")</f>
        <v>0</v>
      </c>
      <c r="AE229" s="38">
        <f>IF(ISNUMBER(AE228),ROUND(AE227-AE228,2),"n/p")</f>
        <v>0.02</v>
      </c>
      <c r="AF229" s="38">
        <f>IF(ISNUMBER(AF228),ROUND(AF227-AF228,2),"n/p")</f>
        <v>0</v>
      </c>
      <c r="AG229" s="38">
        <f>IF(ISNUMBER(AG228),ROUND(AG227-AG228,2),"n/p")</f>
        <v>0.01</v>
      </c>
      <c r="AH229" s="38">
        <f>IF(ISNUMBER(AH228),ROUND(AH227-AH228,2),"n/p")</f>
        <v>-0.01</v>
      </c>
      <c r="AI229" s="38">
        <f>IF(ISNUMBER(AI228),ROUND(AI227-AI228,2),"n/p")</f>
        <v>0.01</v>
      </c>
      <c r="AJ229" s="38">
        <f>IF(ISNUMBER(AJ228),ROUND(AJ227-AJ228,2),"n/p")</f>
        <v>0.03</v>
      </c>
      <c r="AK229" s="38">
        <f>IF(ISNUMBER(AK228),ROUND(AK227-AK228,2),"n/p")</f>
        <v>0</v>
      </c>
      <c r="AL229" s="38">
        <f>IF(ISNUMBER(AL228),ROUND(AL227-AL228,2),"n/p")</f>
        <v>0.01</v>
      </c>
      <c r="AM229" s="273" t="n"/>
      <c r="AN229" s="273" t="n"/>
      <c r="AO229" s="273" t="n"/>
      <c r="AP229" s="273" t="n"/>
      <c r="AQ229" s="273" t="n"/>
      <c r="AR229" s="273" t="n"/>
      <c r="AS229" s="273" t="n"/>
      <c r="AT229" s="19" t="n"/>
    </row>
    <row r="230">
      <c r="B230" s="158" t="inlineStr">
        <is>
          <t xml:space="preserve">  Definition basis (company adjusted EPS)</t>
        </is>
      </c>
      <c r="C230" s="274" t="n"/>
      <c r="D230" s="274" t="n"/>
      <c r="E230" s="274" t="n"/>
      <c r="F230" s="274" t="n"/>
      <c r="G230" s="274" t="n"/>
      <c r="H230" s="274" t="n"/>
      <c r="I230" s="274" t="n"/>
      <c r="J230" s="274" t="n"/>
      <c r="K230" s="274" t="n"/>
      <c r="L230" s="275" t="inlineStr">
        <is>
          <t>Adjusted NI from continuing ops</t>
        </is>
      </c>
      <c r="M230" s="274" t="n"/>
      <c r="N230" s="274" t="n"/>
      <c r="O230" s="274" t="n"/>
      <c r="P230" s="274" t="n"/>
      <c r="Q230" s="274" t="n"/>
      <c r="R230" s="274" t="n"/>
      <c r="S230" s="275" t="inlineStr">
        <is>
          <t>Core (ex-Russia) adjusted EPS</t>
        </is>
      </c>
      <c r="T230" s="274" t="n"/>
      <c r="U230" s="274" t="n"/>
      <c r="V230" s="274" t="n"/>
      <c r="W230" s="274" t="n"/>
      <c r="X230" s="274" t="n"/>
      <c r="Y230" s="274" t="n"/>
      <c r="Z230" s="274" t="n"/>
      <c r="AA230" s="274" t="n"/>
      <c r="AB230" s="274" t="n"/>
      <c r="AC230" s="274" t="n"/>
      <c r="AD230" s="274" t="n"/>
      <c r="AE230" s="274" t="n"/>
      <c r="AF230" s="274" t="n"/>
      <c r="AG230" s="274" t="n"/>
      <c r="AH230" s="274" t="n"/>
      <c r="AI230" s="274" t="n"/>
      <c r="AJ230" s="274" t="n"/>
      <c r="AK230" s="274" t="n"/>
      <c r="AL230" s="275" t="inlineStr">
        <is>
          <t>MCPS if-converted; perf. options; bridge fees</t>
        </is>
      </c>
      <c r="AM230" s="276" t="n"/>
      <c r="AN230" s="276" t="n"/>
      <c r="AO230" s="276" t="n"/>
      <c r="AP230" s="276" t="n"/>
      <c r="AQ230" s="276" t="n"/>
      <c r="AR230" s="276" t="n"/>
      <c r="AS230" s="276" t="n"/>
      <c r="AT230" s="19" t="n"/>
    </row>
    <row r="231">
      <c r="AT231" s="19" t="n"/>
    </row>
    <row r="232">
      <c r="B232" s="10" t="inlineStr">
        <is>
          <t>GROWTH &amp; MARGINS</t>
        </is>
      </c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inlineStr">
        <is>
          <t>GROWTH &amp; MARGINS (consolidated) — forecast outputs</t>
        </is>
      </c>
    </row>
    <row r="233">
      <c r="B233" s="22" t="inlineStr">
        <is>
          <t xml:space="preserve">  Net sales y/y %</t>
        </is>
      </c>
      <c r="C233" s="23" t="n"/>
      <c r="D233" s="23">
        <f>IF(AND(ISNUMBER(D136),ISNUMBER(C136)),IFERROR(D136/C136-1,""),"")</f>
      </c>
      <c r="E233" s="23">
        <f>IF(AND(ISNUMBER(E136),ISNUMBER(D136)),IFERROR(E136/D136-1,""),"")</f>
      </c>
      <c r="F233" s="23">
        <f>IF(AND(ISNUMBER(F136),ISNUMBER(E136)),IFERROR(F136/E136-1,""),"")</f>
      </c>
      <c r="G233" s="23">
        <f>IF(AND(ISNUMBER(G136),ISNUMBER(F136)),IFERROR(G136/F136-1,""),"")</f>
      </c>
      <c r="H233" s="23">
        <f>IF(AND(ISNUMBER(H136),ISNUMBER(G136)),IFERROR(H136/G136-1,""),"")</f>
      </c>
      <c r="I233" s="23">
        <f>IF(AND(ISNUMBER(I136),ISNUMBER(H136)),IFERROR(I136/H136-1,""),"")</f>
      </c>
      <c r="J233" s="23">
        <f>IF(AND(ISNUMBER(J136),ISNUMBER(I136)),IFERROR(J136/I136-1,""),"")</f>
      </c>
      <c r="K233" s="23">
        <f>IF(AND(ISNUMBER(K136),ISNUMBER(J136)),IFERROR(K136/J136-1,""),"")</f>
        <v>-0.132155569183445</v>
      </c>
      <c r="L233" s="23" t="n"/>
      <c r="M233" s="23" t="n"/>
      <c r="N233" s="23" t="n"/>
      <c r="O233" s="23" t="n"/>
      <c r="P233" s="23">
        <f>IF(AND(ISNUMBER(P136),ISNUMBER(K136)),IFERROR(P136/K136-1,""),"")</f>
        <v>0.245143120576759</v>
      </c>
      <c r="Q233" s="23">
        <f>IF(AND(ISNUMBER(Q136),ISNUMBER(L136)),IFERROR(Q136/L136-1,""),"")</f>
        <v>0.140431381660471</v>
      </c>
      <c r="R233" s="23">
        <f>IF(AND(ISNUMBER(R136),ISNUMBER(M136)),IFERROR(R136/M136-1,""),"")</f>
        <v>0.0498139103594135</v>
      </c>
      <c r="S233" s="23">
        <f>IF(AND(ISNUMBER(S136),ISNUMBER(N136)),IFERROR(S136/N136-1,""),"")</f>
        <v>0.0235936551105009</v>
      </c>
      <c r="T233" s="23">
        <f>IF(AND(ISNUMBER(T136),ISNUMBER(O136)),IFERROR(T136/O136-1,""),"")</f>
        <v>0.0639395080220755</v>
      </c>
      <c r="U233" s="23">
        <f>IF(AND(ISNUMBER(U136),ISNUMBER(P136)),IFERROR(U136/P136-1,""),"")</f>
        <v>0.0681042701848966</v>
      </c>
      <c r="V233" s="23">
        <f>IF(AND(ISNUMBER(V136),ISNUMBER(Q136)),IFERROR(V136/Q136-1,""),"")</f>
        <v>0.0557005514646303</v>
      </c>
      <c r="W233" s="23">
        <f>IF(AND(ISNUMBER(W136),ISNUMBER(R136)),IFERROR(W136/R136-1,""),"")</f>
        <v>0.089605355298203</v>
      </c>
      <c r="X233" s="23">
        <f>IF(AND(ISNUMBER(X136),ISNUMBER(S136)),IFERROR(X136/S136-1,""),"")</f>
        <v>0.0979113765890385</v>
      </c>
      <c r="Y233" s="23">
        <f>IF(AND(ISNUMBER(Y136),ISNUMBER(T136)),IFERROR(Y136/T136-1,""),"")</f>
        <v>0.0379761702204549</v>
      </c>
      <c r="Z233" s="23">
        <f>IF(AND(ISNUMBER(Z136),ISNUMBER(U136)),IFERROR(Z136/U136-1,""),"")</f>
        <v>0.0699006739978716</v>
      </c>
      <c r="AA233" s="23">
        <f>IF(AND(ISNUMBER(AA136),ISNUMBER(V136)),IFERROR(AA136/V136-1,""),"")</f>
        <v>0.00839766081871352</v>
      </c>
      <c r="AB233" s="23">
        <f>IF(AND(ISNUMBER(AB136),ISNUMBER(W136)),IFERROR(AB136/W136-1,""),"")</f>
        <v>-0.0185571789867606</v>
      </c>
      <c r="AC233" s="23">
        <f>IF(AND(ISNUMBER(AC136),ISNUMBER(X136)),IFERROR(AC136/X136-1,""),"")</f>
        <v>-0.0113745161498746</v>
      </c>
      <c r="AD233" s="23">
        <f>IF(AND(ISNUMBER(AD136),ISNUMBER(Y136)),IFERROR(AD136/Y136-1,""),"")</f>
        <v>-0.0269704126217817</v>
      </c>
      <c r="AE233" s="23">
        <f>IF(AND(ISNUMBER(AE136),ISNUMBER(Z136)),IFERROR(AE136/Z136-1,""),"")</f>
        <v>-0.0122399510445206</v>
      </c>
      <c r="AF233" s="23">
        <f>IF(AND(ISNUMBER(AF136),ISNUMBER(AA136)),IFERROR(AF136/AA136-1,""),"")</f>
        <v>-0.0168265327425827</v>
      </c>
      <c r="AG233" s="23">
        <f>IF(AND(ISNUMBER(AG136),ISNUMBER(AB136)),IFERROR(AG136/AB136-1,""),"")</f>
        <v>0.012068402227273</v>
      </c>
      <c r="AH233" s="23">
        <f>IF(AND(ISNUMBER(AH136),ISNUMBER(AC136)),IFERROR(AH136/AC136-1,""),"")</f>
        <v>0.0810917192721872</v>
      </c>
      <c r="AI233" s="23">
        <f>IF(AND(ISNUMBER(AI136),ISNUMBER(AD136)),IFERROR(AI136/AD136-1,""),"")</f>
        <v>0.0748856514142251</v>
      </c>
      <c r="AJ233" s="23">
        <f>IF(AND(ISNUMBER(AJ136),ISNUMBER(AE136)),IFERROR(AJ136/AE136-1,""),"")</f>
        <v>0.0371248863927833</v>
      </c>
      <c r="AK233" s="23">
        <f>IF(AND(ISNUMBER(AK136),ISNUMBER(AF136)),IFERROR(AK136/AF136-1,""),"")</f>
        <v>0.0994768026566864</v>
      </c>
      <c r="AL233" s="23">
        <f>IF(AND(ISNUMBER(AL136),ISNUMBER(AG136)),IFERROR(AL136/AG136-1,""),"")</f>
        <v>0.128623254228003</v>
      </c>
      <c r="AM233" s="254">
        <f>IFERROR(AM136/AH136-1,"")</f>
        <v>0.137739120292045</v>
      </c>
      <c r="AN233" s="254">
        <f>IFERROR(AN136/AI136-1,"")</f>
        <v>0.111693944114084</v>
      </c>
      <c r="AO233" s="254">
        <f>IFERROR(AO136/AJ136-1,"")</f>
        <v>0.11970164165689</v>
      </c>
      <c r="AP233" s="254">
        <f>IFERROR(AP136/AO136-1,"")</f>
        <v>0.0750912401843871</v>
      </c>
      <c r="AQ233" s="254">
        <f>IFERROR(AQ136/AP136-1,"")</f>
        <v>0.0488264935911189</v>
      </c>
      <c r="AR233" s="254">
        <f>IFERROR(AR136/AQ136-1,"")</f>
        <v>0.0610788571230372</v>
      </c>
      <c r="AS233" s="254">
        <f>IFERROR(AS136/AR136-1,"")</f>
        <v>0.0633310758009074</v>
      </c>
      <c r="AT233" s="19" t="n"/>
      <c r="AV233" s="20">
        <f>IFERROR(AVERAGE(AO233,AP233,AQ233,AR233,AS233),"n/m")</f>
        <v>0.0736058616712681</v>
      </c>
      <c r="AW233" s="20">
        <f>IFERROR(AVERAGE(K233,P233,U233,Z233,AE233,AJ233),"n/m")</f>
        <v>0.0459795718207241</v>
      </c>
      <c r="AX233" s="20">
        <f>IFERROR(AVERAGE(F233,G233,H233,I233,J233,K233,P233,U233,Z233,AE233,AJ233),"n/m")</f>
        <v>0.0459795718207241</v>
      </c>
      <c r="AY233" s="20">
        <f>IFERROR(AVERAGE(C233,D233,E233,F233,G233,H233,I233,J233,K233,P233,U233,Z233,AE233,AJ233),"n/m")</f>
        <v>0.0459795718207241</v>
      </c>
    </row>
    <row r="234">
      <c r="B234" s="25" t="inlineStr">
        <is>
          <t xml:space="preserve">  Organic sales growth % (company)</t>
        </is>
      </c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40" t="n">
        <v>-0.097</v>
      </c>
      <c r="L234" s="36" t="n"/>
      <c r="M234" s="36" t="n"/>
      <c r="N234" s="36" t="n"/>
      <c r="O234" s="36" t="n"/>
      <c r="P234" s="40" t="n">
        <v>0.234</v>
      </c>
      <c r="Q234" s="40" t="n">
        <v>0.178</v>
      </c>
      <c r="R234" s="40" t="n">
        <v>0.08699999999999999</v>
      </c>
      <c r="S234" s="40" t="n">
        <v>0.07199999999999999</v>
      </c>
      <c r="T234" s="40" t="n">
        <v>0.08699999999999999</v>
      </c>
      <c r="U234" s="40" t="n">
        <v>0.105</v>
      </c>
      <c r="V234" s="40" t="n">
        <v>0.047</v>
      </c>
      <c r="W234" s="40" t="n">
        <v>0.08</v>
      </c>
      <c r="X234" s="40" t="n">
        <v>0.076</v>
      </c>
      <c r="Y234" s="40" t="n">
        <v>0.046</v>
      </c>
      <c r="Z234" s="40" t="n">
        <v>0.062</v>
      </c>
      <c r="AA234" s="40" t="n">
        <v>0.024</v>
      </c>
      <c r="AB234" s="40" t="n">
        <v>0.012</v>
      </c>
      <c r="AC234" s="40" t="n">
        <v>0.01</v>
      </c>
      <c r="AD234" s="40" t="n">
        <v>0.001</v>
      </c>
      <c r="AE234" s="40" t="n">
        <v>0.012</v>
      </c>
      <c r="AF234" s="40" t="n">
        <v>-0.002</v>
      </c>
      <c r="AG234" s="40" t="n">
        <v>-0.022</v>
      </c>
      <c r="AH234" s="40" t="n">
        <v>0.016</v>
      </c>
      <c r="AI234" s="40" t="n">
        <v>-0.038</v>
      </c>
      <c r="AJ234" s="40" t="n">
        <v>-0.011</v>
      </c>
      <c r="AK234" s="40" t="n">
        <v>-0.019</v>
      </c>
      <c r="AL234" s="40" t="n">
        <v>0.025</v>
      </c>
      <c r="AM234" s="254">
        <f>IFERROR((AM16+AM38)/AH136,"")</f>
        <v>0.0202082332307192</v>
      </c>
      <c r="AN234" s="254">
        <f>IFERROR((AN16+AN38)/AI136,"")</f>
        <v>0.0193352263778813</v>
      </c>
      <c r="AO234" s="254">
        <f>IFERROR((AO16+AO38)/AJ136,"")</f>
        <v>0.0119430895940785</v>
      </c>
      <c r="AP234" s="254">
        <f>IFERROR((AP16+AP38)/AO136,"")</f>
        <v>0.0322644804508697</v>
      </c>
      <c r="AQ234" s="254">
        <f>IFERROR((AQ16+AQ38)/AP136,"")</f>
        <v>0.0310499622629421</v>
      </c>
      <c r="AR234" s="254">
        <f>IFERROR((AR16+AR38)/AQ136,"")</f>
        <v>0.0288420831939192</v>
      </c>
      <c r="AS234" s="254">
        <f>IFERROR((AS16+AS38)/AR136,"")</f>
        <v>0.0280562826275918</v>
      </c>
      <c r="AT234" s="19" t="n"/>
      <c r="AV234" s="20">
        <f>IFERROR(AVERAGE(AO234,AP234,AQ234,AR234,AS234),"n/m")</f>
        <v>0.0264311796258803</v>
      </c>
      <c r="AW234" s="20">
        <f>IFERROR(AVERAGE(K234,P234,U234,Z234,AE234,AJ234),"n/m")</f>
        <v>0.0508333333333333</v>
      </c>
      <c r="AX234" s="20">
        <f>IFERROR(AVERAGE(F234,G234,H234,I234,J234,K234,P234,U234,Z234,AE234,AJ234),"n/m")</f>
        <v>0.0508333333333333</v>
      </c>
      <c r="AY234" s="20">
        <f>IFERROR(AVERAGE(C234,D234,E234,F234,G234,H234,I234,J234,K234,P234,U234,Z234,AE234,AJ234),"n/m")</f>
        <v>0.0508333333333333</v>
      </c>
    </row>
    <row r="235">
      <c r="B235" s="25" t="inlineStr">
        <is>
          <t xml:space="preserve">  Core organic growth % (company; ex-Russia)</t>
        </is>
      </c>
      <c r="C235" s="36">
        <f>C111</f>
        <v>0</v>
      </c>
      <c r="D235" s="36">
        <f>D111</f>
        <v>0</v>
      </c>
      <c r="E235" s="36">
        <f>E111</f>
        <v>0</v>
      </c>
      <c r="F235" s="36">
        <f>F111</f>
        <v>0</v>
      </c>
      <c r="G235" s="36">
        <f>G111</f>
        <v>0</v>
      </c>
      <c r="H235" s="36">
        <f>H111</f>
        <v>0</v>
      </c>
      <c r="I235" s="36">
        <f>I111</f>
        <v>0</v>
      </c>
      <c r="J235" s="36">
        <f>J111</f>
        <v>0</v>
      </c>
      <c r="K235" s="36">
        <f>K111</f>
        <v>0</v>
      </c>
      <c r="L235" s="36">
        <f>L111</f>
        <v>0</v>
      </c>
      <c r="M235" s="36">
        <f>M111</f>
        <v>0</v>
      </c>
      <c r="N235" s="36">
        <f>N111</f>
        <v>0</v>
      </c>
      <c r="O235" s="36">
        <f>O111</f>
        <v>0</v>
      </c>
      <c r="P235" s="36">
        <f>P111</f>
        <v>0</v>
      </c>
      <c r="Q235" s="36">
        <f>Q111</f>
        <v>0</v>
      </c>
      <c r="R235" s="36">
        <f>R111</f>
        <v>0.128</v>
      </c>
      <c r="S235" s="36">
        <f>S111</f>
        <v>0.096</v>
      </c>
      <c r="T235" s="36">
        <f>T111</f>
        <v>0.105</v>
      </c>
      <c r="U235" s="36">
        <f>U111</f>
        <v>0.127</v>
      </c>
      <c r="V235" s="36">
        <f>V111</f>
        <v>0.072</v>
      </c>
      <c r="W235" s="36">
        <f>W111</f>
        <v>0.059</v>
      </c>
      <c r="X235" s="36">
        <f>X111</f>
        <v>0.066</v>
      </c>
      <c r="Y235" s="36">
        <f>Y111</f>
        <v>0.041</v>
      </c>
      <c r="Z235" s="36">
        <f>Z111</f>
        <v>0.059</v>
      </c>
      <c r="AA235" s="36">
        <f>AA111</f>
        <v>0.02</v>
      </c>
      <c r="AB235" s="36">
        <f>AB111</f>
        <v>0.006</v>
      </c>
      <c r="AC235" s="36">
        <f>AC111</f>
        <v>0.012</v>
      </c>
      <c r="AD235" s="36">
        <f>AD111</f>
        <v>-0.001</v>
      </c>
      <c r="AE235" s="36">
        <f>AE111</f>
        <v>0.009</v>
      </c>
      <c r="AF235" s="36">
        <f>AF111</f>
        <v>0.002</v>
      </c>
      <c r="AG235" s="36">
        <f>AG111</f>
        <v>-0.01</v>
      </c>
      <c r="AH235" s="36">
        <f>AH111</f>
        <v>0.019</v>
      </c>
      <c r="AI235" s="36">
        <f>AI111</f>
        <v>-0.018</v>
      </c>
      <c r="AJ235" s="36">
        <f>AJ111</f>
        <v>-0.002</v>
      </c>
      <c r="AK235" s="36">
        <f>AK111</f>
        <v>-0.011</v>
      </c>
      <c r="AL235" s="36">
        <f>AL111</f>
        <v>0.025</v>
      </c>
      <c r="AM235" s="254">
        <f>AM111</f>
        <v>0.0213972381667338</v>
      </c>
      <c r="AN235" s="254">
        <f>AN111</f>
        <v>0.0202710884474089</v>
      </c>
      <c r="AO235" s="254">
        <f>AO111</f>
        <v>0.0125722656894034</v>
      </c>
      <c r="AP235" s="254">
        <f>AP111</f>
        <v>0.0338045189243889</v>
      </c>
      <c r="AQ235" s="254">
        <f>AQ111</f>
        <v>0.0324239320011406</v>
      </c>
      <c r="AR235" s="254">
        <f>AR111</f>
        <v>0.0300564372809723</v>
      </c>
      <c r="AS235" s="254">
        <f>AS111</f>
        <v>0.0291668627482278</v>
      </c>
      <c r="AT235" s="19" t="n"/>
    </row>
    <row r="236">
      <c r="B236" s="25" t="inlineStr">
        <is>
          <t xml:space="preserve">  Acquisitions % (incl. Eddyfi &amp; future M&amp;A)</t>
        </is>
      </c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40" t="n">
        <v>0</v>
      </c>
      <c r="L236" s="36" t="n"/>
      <c r="M236" s="36" t="n"/>
      <c r="N236" s="36" t="n"/>
      <c r="O236" s="36" t="n"/>
      <c r="P236" s="40" t="n">
        <v>0.001</v>
      </c>
      <c r="Q236" s="40" t="n">
        <v>0</v>
      </c>
      <c r="R236" s="40" t="n">
        <v>0</v>
      </c>
      <c r="S236" s="40" t="n">
        <v>0</v>
      </c>
      <c r="T236" s="40" t="n">
        <v>0.022</v>
      </c>
      <c r="U236" s="40" t="n">
        <v>0.006</v>
      </c>
      <c r="V236" s="40" t="n">
        <v>0.03</v>
      </c>
      <c r="W236" s="40" t="n">
        <v>0.029</v>
      </c>
      <c r="X236" s="40" t="n">
        <v>0.034</v>
      </c>
      <c r="Y236" s="40" t="n">
        <v>0.006</v>
      </c>
      <c r="Z236" s="40" t="n">
        <v>0.025</v>
      </c>
      <c r="AA236" s="40" t="n">
        <v>0.001</v>
      </c>
      <c r="AB236" s="40" t="n">
        <v>0.004</v>
      </c>
      <c r="AC236" s="40" t="n">
        <v>0.01</v>
      </c>
      <c r="AD236" s="40" t="n">
        <v>0.019</v>
      </c>
      <c r="AE236" s="40" t="n">
        <v>0.008</v>
      </c>
      <c r="AF236" s="40" t="n">
        <v>0.021</v>
      </c>
      <c r="AG236" s="40" t="n">
        <v>0.03</v>
      </c>
      <c r="AH236" s="40" t="n">
        <v>0.05</v>
      </c>
      <c r="AI236" s="40" t="n">
        <v>0.06900000000000001</v>
      </c>
      <c r="AJ236" s="40" t="n">
        <v>0.042</v>
      </c>
      <c r="AK236" s="40" t="n">
        <v>0.063</v>
      </c>
      <c r="AL236" s="40" t="n">
        <v>0.078</v>
      </c>
      <c r="AM236" s="254">
        <f>IFERROR((AM17+AM39+N(AM76)-N(AH76)+N(AM92)-N(AH92))/AH136,"")</f>
        <v>0.117592713411716</v>
      </c>
      <c r="AN236" s="254">
        <f>IFERROR((AN17+AN39+N(AN76)-N(AI76)+N(AN92)-N(AI92))/AI136,"")</f>
        <v>0.0923392998834283</v>
      </c>
      <c r="AO236" s="254">
        <f>IFERROR((AO17+AO39+N(AO76)-N(AJ76)+N(AO92)-N(AJ92))/AJ136,"")</f>
        <v>0.0956761121452018</v>
      </c>
      <c r="AP236" s="254">
        <f>IFERROR((AP17+AP39+N(AP76)-N(AO76)+N(AP92)-N(AO92))/AO136,"")</f>
        <v>0.0428267597335175</v>
      </c>
      <c r="AQ236" s="254">
        <f>IFERROR((AQ17+AQ39+N(AQ76)-N(AP76)+N(AQ92)-N(AP92))/AP136,"")</f>
        <v>0.0177765313281768</v>
      </c>
      <c r="AR236" s="254">
        <f>IFERROR((AR17+AR39+N(AR76)-N(AQ76)+N(AR92)-N(AQ92))/AQ136,"")</f>
        <v>0.0322367739291178</v>
      </c>
      <c r="AS236" s="254">
        <f>IFERROR((AS17+AS39+N(AS76)-N(AR76)+N(AS92)-N(AR92))/AR136,"")</f>
        <v>0.0352747931733156</v>
      </c>
      <c r="AT236" s="19" t="n"/>
    </row>
    <row r="237">
      <c r="B237" s="25" t="inlineStr">
        <is>
          <t xml:space="preserve">  Foreign currency %</t>
        </is>
      </c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40" t="n">
        <v>-0.035</v>
      </c>
      <c r="L237" s="36" t="n"/>
      <c r="M237" s="36" t="n"/>
      <c r="N237" s="36" t="n"/>
      <c r="O237" s="36" t="n"/>
      <c r="P237" s="40" t="n">
        <v>0.01</v>
      </c>
      <c r="Q237" s="40" t="n">
        <v>-0.038</v>
      </c>
      <c r="R237" s="40" t="n">
        <v>-0.037</v>
      </c>
      <c r="S237" s="40" t="n">
        <v>-0.049</v>
      </c>
      <c r="T237" s="40" t="n">
        <v>-0.045</v>
      </c>
      <c r="U237" s="40" t="n">
        <v>-0.042</v>
      </c>
      <c r="V237" s="40" t="n">
        <v>-0.021</v>
      </c>
      <c r="W237" s="40" t="n">
        <v>-0.02</v>
      </c>
      <c r="X237" s="40" t="n">
        <v>-0.013</v>
      </c>
      <c r="Y237" s="40" t="n">
        <v>-0.015</v>
      </c>
      <c r="Z237" s="40" t="n">
        <v>-0.017</v>
      </c>
      <c r="AA237" s="40" t="n">
        <v>-0.017</v>
      </c>
      <c r="AB237" s="40" t="n">
        <v>-0.034</v>
      </c>
      <c r="AC237" s="40" t="n">
        <v>-0.031</v>
      </c>
      <c r="AD237" s="40" t="n">
        <v>-0.047</v>
      </c>
      <c r="AE237" s="40" t="n">
        <v>-0.032</v>
      </c>
      <c r="AF237" s="40" t="n">
        <v>-0.037</v>
      </c>
      <c r="AG237" s="40" t="n">
        <v>0.005</v>
      </c>
      <c r="AH237" s="40" t="n">
        <v>0.015</v>
      </c>
      <c r="AI237" s="40" t="n">
        <v>0.044</v>
      </c>
      <c r="AJ237" s="40" t="n">
        <v>0.006</v>
      </c>
      <c r="AK237" s="40" t="n">
        <v>0.055</v>
      </c>
      <c r="AL237" s="40" t="n">
        <v>0.026</v>
      </c>
      <c r="AM237" s="254">
        <f>IFERROR((AM18+AM40)/AH136,"")</f>
        <v>0</v>
      </c>
      <c r="AN237" s="254">
        <f>IFERROR((AN18+AN40)/AI136,"")</f>
        <v>0</v>
      </c>
      <c r="AO237" s="254">
        <f>IFERROR((AO18+AO40)/AJ136,"")</f>
        <v>0.0196654066500033</v>
      </c>
      <c r="AP237" s="254">
        <f>IFERROR((AP18+AP40)/AO136,"")</f>
        <v>0</v>
      </c>
      <c r="AQ237" s="254">
        <f>IFERROR((AQ18+AQ40)/AP136,"")</f>
        <v>0</v>
      </c>
      <c r="AR237" s="254">
        <f>IFERROR((AR18+AR40)/AQ136,"")</f>
        <v>0</v>
      </c>
      <c r="AS237" s="254">
        <f>IFERROR((AS18+AS40)/AR136,"")</f>
        <v>0</v>
      </c>
      <c r="AT237" s="19" t="n"/>
    </row>
    <row r="238">
      <c r="B238" s="22" t="inlineStr">
        <is>
          <t xml:space="preserve">  Adjusted EBITDA y/y %</t>
        </is>
      </c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>
        <f>IF(AND(ISNUMBER(K189),ISNUMBER(J189)),IFERROR(K189/J189-1,""),"")</f>
        <v>-0.148494470724955</v>
      </c>
      <c r="L238" s="23" t="n"/>
      <c r="M238" s="23" t="n"/>
      <c r="N238" s="23" t="n"/>
      <c r="O238" s="23" t="n"/>
      <c r="P238" s="23">
        <f>IF(AND(ISNUMBER(P189),ISNUMBER(K189)),IFERROR(P189/K189-1,""),"")</f>
        <v>0.342099845257781</v>
      </c>
      <c r="Q238" s="23">
        <f>IF(AND(ISNUMBER(Q189),ISNUMBER(L189)),IFERROR(Q189/L189-1,""),"")</f>
        <v>0.160954972575364</v>
      </c>
      <c r="R238" s="23">
        <f>IF(AND(ISNUMBER(R189),ISNUMBER(M189)),IFERROR(R189/M189-1,""),"")</f>
        <v>0.057785987041699</v>
      </c>
      <c r="S238" s="23">
        <f>IF(AND(ISNUMBER(S189),ISNUMBER(N189)),IFERROR(S189/N189-1,""),"")</f>
        <v>0.02618998738892</v>
      </c>
      <c r="T238" s="23">
        <f>IF(AND(ISNUMBER(T189),ISNUMBER(O189)),IFERROR(T189/O189-1,""),"")</f>
        <v>0.0909852840853711</v>
      </c>
      <c r="U238" s="23">
        <f>IF(AND(ISNUMBER(U189),ISNUMBER(P189)),IFERROR(U189/P189-1,""),"")</f>
        <v>0.0806422081906542</v>
      </c>
      <c r="V238" s="23">
        <f>IF(AND(ISNUMBER(V189),ISNUMBER(Q189)),IFERROR(V189/Q189-1,""),"")</f>
        <v>0.0804720833562238</v>
      </c>
      <c r="W238" s="23">
        <f>IF(AND(ISNUMBER(W189),ISNUMBER(R189)),IFERROR(W189/R189-1,""),"")</f>
        <v>0.195255457942403</v>
      </c>
      <c r="X238" s="23">
        <f>IF(AND(ISNUMBER(X189),ISNUMBER(S189)),IFERROR(X189/S189-1,""),"")</f>
        <v>0.167714585119559</v>
      </c>
      <c r="Y238" s="23">
        <f>IF(AND(ISNUMBER(Y189),ISNUMBER(T189)),IFERROR(Y189/T189-1,""),"")</f>
        <v>0.147749807943115</v>
      </c>
      <c r="Z238" s="23">
        <f>IF(AND(ISNUMBER(Z189),ISNUMBER(U189)),IFERROR(Z189/U189-1,""),"")</f>
        <v>0.147483406256511</v>
      </c>
      <c r="AA238" s="23">
        <f>IF(AND(ISNUMBER(AA189),ISNUMBER(V189)),IFERROR(AA189/V189-1,""),"")</f>
        <v>0.0938079944410082</v>
      </c>
      <c r="AB238" s="23">
        <f>IF(AND(ISNUMBER(AB189),ISNUMBER(W189)),IFERROR(AB189/W189-1,""),"")</f>
        <v>0.0667635570896539</v>
      </c>
      <c r="AC238" s="23">
        <f>IF(AND(ISNUMBER(AC189),ISNUMBER(X189)),IFERROR(AC189/X189-1,""),"")</f>
        <v>0.0392820722006935</v>
      </c>
      <c r="AD238" s="23">
        <f>IF(AND(ISNUMBER(AD189),ISNUMBER(Y189)),IFERROR(AD189/Y189-1,""),"")</f>
        <v>0.0209828308142521</v>
      </c>
      <c r="AE238" s="23">
        <f>IF(AND(ISNUMBER(AE189),ISNUMBER(Z189)),IFERROR(AE189/Z189-1,""),"")</f>
        <v>0.0550724695516147</v>
      </c>
      <c r="AF238" s="23">
        <f>IF(AND(ISNUMBER(AF189),ISNUMBER(AA189)),IFERROR(AF189/AA189-1,""),"")</f>
        <v>0.0377061753836856</v>
      </c>
      <c r="AG238" s="23">
        <f>IF(AND(ISNUMBER(AG189),ISNUMBER(AB189)),IFERROR(AG189/AB189-1,""),"")</f>
        <v>0.0181369209809268</v>
      </c>
      <c r="AH238" s="23">
        <f>IF(AND(ISNUMBER(AH189),ISNUMBER(AC189)),IFERROR(AH189/AC189-1,""),"")</f>
        <v>0.0947876599419106</v>
      </c>
      <c r="AI238" s="23">
        <f>IF(AND(ISNUMBER(AI189),ISNUMBER(AD189)),IFERROR(AI189/AD189-1,""),"")</f>
        <v>0.0888155387172025</v>
      </c>
      <c r="AJ238" s="23">
        <f>IF(AND(ISNUMBER(AJ189),ISNUMBER(AE189)),IFERROR(AJ189/AE189-1,""),"")</f>
        <v>0.0585293989715892</v>
      </c>
      <c r="AK238" s="23">
        <f>IF(AND(ISNUMBER(AK189),ISNUMBER(AF189)),IFERROR(AK189/AF189-1,""),"")</f>
        <v>0.0193812339485151</v>
      </c>
      <c r="AL238" s="23">
        <f>IF(AND(ISNUMBER(AL189),ISNUMBER(AG189)),IFERROR(AL189/AG189-1,""),"")</f>
        <v>0.0547656881603515</v>
      </c>
      <c r="AM238" s="254">
        <f>IFERROR(AM189/AH189-1,"")</f>
        <v>0.211053676187301</v>
      </c>
      <c r="AN238" s="254">
        <f>IFERROR(AN189/AI189-1,"")</f>
        <v>0.177601808059328</v>
      </c>
      <c r="AO238" s="254">
        <f>IFERROR(AO189/AJ189-1,"")</f>
        <v>0.116585615104533</v>
      </c>
      <c r="AP238" s="254">
        <f>IFERROR(AP189/AO189-1,"")</f>
        <v>0.131672589638951</v>
      </c>
      <c r="AQ238" s="254">
        <f>IFERROR(AQ189/AP189-1,"")</f>
        <v>0.0830961751895936</v>
      </c>
      <c r="AR238" s="254">
        <f>IFERROR(AR189/AQ189-1,"")</f>
        <v>0.076437567111725</v>
      </c>
      <c r="AS238" s="254">
        <f>IFERROR(AS189/AR189-1,"")</f>
        <v>0.0728121674327082</v>
      </c>
      <c r="AT238" s="19" t="n"/>
    </row>
    <row r="239">
      <c r="B239" s="22" t="inlineStr">
        <is>
          <t xml:space="preserve">  Operating income y/y %</t>
        </is>
      </c>
      <c r="C239" s="23" t="n"/>
      <c r="D239" s="23">
        <f>IF(AND(ISNUMBER(D144),ISNUMBER(C144)),IFERROR(D144/C144-1,""),"")</f>
      </c>
      <c r="E239" s="23">
        <f>IF(AND(ISNUMBER(E144),ISNUMBER(D144)),IFERROR(E144/D144-1,""),"")</f>
      </c>
      <c r="F239" s="23">
        <f>IF(AND(ISNUMBER(F144),ISNUMBER(E144)),IFERROR(F144/E144-1,""),"")</f>
      </c>
      <c r="G239" s="23">
        <f>IF(AND(ISNUMBER(G144),ISNUMBER(F144)),IFERROR(G144/F144-1,""),"")</f>
      </c>
      <c r="H239" s="23">
        <f>IF(AND(ISNUMBER(H144),ISNUMBER(G144)),IFERROR(H144/G144-1,""),"")</f>
      </c>
      <c r="I239" s="23">
        <f>IF(AND(ISNUMBER(I144),ISNUMBER(H144)),IFERROR(I144/H144-1,""),"")</f>
      </c>
      <c r="J239" s="23">
        <f>IF(AND(ISNUMBER(J144),ISNUMBER(I144)),IFERROR(J144/I144-1,""),"")</f>
      </c>
      <c r="K239" s="23">
        <f>IF(AND(ISNUMBER(K144),ISNUMBER(J144)),IFERROR(K144/J144-1,""),"")</f>
        <v>-0.210691971258981</v>
      </c>
      <c r="L239" s="23" t="n"/>
      <c r="M239" s="23" t="n"/>
      <c r="N239" s="23" t="n"/>
      <c r="O239" s="23" t="n"/>
      <c r="P239" s="23">
        <f>IF(AND(ISNUMBER(P144),ISNUMBER(K144)),IFERROR(P144/K144-1,""),"")</f>
        <v>0.514965912351701</v>
      </c>
      <c r="Q239" s="23">
        <f>IF(AND(ISNUMBER(Q144),ISNUMBER(L144)),IFERROR(Q144/L144-1,""),"")</f>
        <v>0.15647086485664</v>
      </c>
      <c r="R239" s="23">
        <f>IF(AND(ISNUMBER(R144),ISNUMBER(M144)),IFERROR(R144/M144-1,""),"")</f>
        <v>0.0447445255474463</v>
      </c>
      <c r="S239" s="23">
        <f>IF(AND(ISNUMBER(S144),ISNUMBER(N144)),IFERROR(S144/N144-1,""),"")</f>
        <v>0.0296196481236655</v>
      </c>
      <c r="T239" s="23">
        <f>IF(AND(ISNUMBER(T144),ISNUMBER(O144)),IFERROR(T144/O144-1,""),"")</f>
        <v>0.0757173365458319</v>
      </c>
      <c r="U239" s="23">
        <f>IF(AND(ISNUMBER(U144),ISNUMBER(P144)),IFERROR(U144/P144-1,""),"")</f>
        <v>0.0746242823646219</v>
      </c>
      <c r="V239" s="23">
        <f>IF(AND(ISNUMBER(V144),ISNUMBER(Q144)),IFERROR(V144/Q144-1,""),"")</f>
        <v>0.0843040639127426</v>
      </c>
      <c r="W239" s="23">
        <f>IF(AND(ISNUMBER(W144),ISNUMBER(R144)),IFERROR(W144/R144-1,""),"")</f>
        <v>0.265038775937958</v>
      </c>
      <c r="X239" s="23">
        <f>IF(AND(ISNUMBER(X144),ISNUMBER(S144)),IFERROR(X144/S144-1,""),"")</f>
        <v>0.248808553720029</v>
      </c>
      <c r="Y239" s="23">
        <f>IF(AND(ISNUMBER(Y144),ISNUMBER(T144)),IFERROR(Y144/T144-1,""),"")</f>
        <v>0.319920080428613</v>
      </c>
      <c r="Z239" s="23">
        <f>IF(AND(ISNUMBER(Z144),ISNUMBER(U144)),IFERROR(Z144/U144-1,""),"")</f>
        <v>0.228225426587452</v>
      </c>
      <c r="AA239" s="23">
        <f>IF(AND(ISNUMBER(AA144),ISNUMBER(V144)),IFERROR(AA144/V144-1,""),"")</f>
        <v>0.220486857924402</v>
      </c>
      <c r="AB239" s="23">
        <f>IF(AND(ISNUMBER(AB144),ISNUMBER(W144)),IFERROR(AB144/W144-1,""),"")</f>
        <v>0.0986386104437633</v>
      </c>
      <c r="AC239" s="23">
        <f>IF(AND(ISNUMBER(AC144),ISNUMBER(X144)),IFERROR(AC144/X144-1,""),"")</f>
        <v>0.0481383346845157</v>
      </c>
      <c r="AD239" s="23">
        <f>IF(AND(ISNUMBER(AD144),ISNUMBER(Y144)),IFERROR(AD144/Y144-1,""),"")</f>
        <v>0.0743265392699435</v>
      </c>
      <c r="AE239" s="23">
        <f>IF(AND(ISNUMBER(AE144),ISNUMBER(Z144)),IFERROR(AE144/Z144-1,""),"")</f>
        <v>0.107094609640593</v>
      </c>
      <c r="AF239" s="23">
        <f>IF(AND(ISNUMBER(AF144),ISNUMBER(AA144)),IFERROR(AF144/AA144-1,""),"")</f>
        <v>-0.00730210658545172</v>
      </c>
      <c r="AG239" s="23">
        <f>IF(AND(ISNUMBER(AG144),ISNUMBER(AB144)),IFERROR(AG144/AB144-1,""),"")</f>
        <v>-0.085970424364291</v>
      </c>
      <c r="AH239" s="23">
        <f>IF(AND(ISNUMBER(AH144),ISNUMBER(AC144)),IFERROR(AH144/AC144-1,""),"")</f>
        <v>0.00568787435740226</v>
      </c>
      <c r="AI239" s="23">
        <f>IF(AND(ISNUMBER(AI144),ISNUMBER(AD144)),IFERROR(AI144/AD144-1,""),"")</f>
        <v>-0.222692884130417</v>
      </c>
      <c r="AJ239" s="23">
        <f>IF(AND(ISNUMBER(AJ144),ISNUMBER(AE144)),IFERROR(AJ144/AE144-1,""),"")</f>
        <v>-0.0788467985249751</v>
      </c>
      <c r="AK239" s="23">
        <f>IF(AND(ISNUMBER(AK144),ISNUMBER(AF144)),IFERROR(AK144/AF144-1,""),"")</f>
        <v>-0.176302972370159</v>
      </c>
      <c r="AL239" s="23">
        <f>IF(AND(ISNUMBER(AL144),ISNUMBER(AG144)),IFERROR(AL144/AG144-1,""),"")</f>
        <v>-0.278374612719307</v>
      </c>
      <c r="AM239" s="254">
        <f>IFERROR(AM144/AH144-1,"")</f>
        <v>-0.0488998530266005</v>
      </c>
      <c r="AN239" s="254">
        <f>IFERROR(AN144/AI144-1,"")</f>
        <v>0.263948502572104</v>
      </c>
      <c r="AO239" s="254">
        <f>IFERROR(AO144/AJ144-1,"")</f>
        <v>-0.0778495108249323</v>
      </c>
      <c r="AP239" s="254">
        <f>IFERROR(AP144/AO144-1,"")</f>
        <v>0.320731662464615</v>
      </c>
      <c r="AQ239" s="254">
        <f>IFERROR(AQ144/AP144-1,"")</f>
        <v>0.15262481245389</v>
      </c>
      <c r="AR239" s="254">
        <f>IFERROR(AR144/AQ144-1,"")</f>
        <v>0.10206851389736</v>
      </c>
      <c r="AS239" s="254">
        <f>IFERROR(AS144/AR144-1,"")</f>
        <v>0.0871532896225322</v>
      </c>
      <c r="AT239" s="19" t="n"/>
    </row>
    <row r="240">
      <c r="B240" s="22" t="inlineStr">
        <is>
          <t xml:space="preserve">  Net income attributable y/y %</t>
        </is>
      </c>
      <c r="C240" s="23" t="n"/>
      <c r="D240" s="23">
        <f>IF(AND(ISNUMBER(D156),ISNUMBER(C156)),IFERROR(D156/C156-1,""),"")</f>
      </c>
      <c r="E240" s="23">
        <f>IF(AND(ISNUMBER(E156),ISNUMBER(D156)),IFERROR(E156/D156-1,""),"")</f>
      </c>
      <c r="F240" s="23">
        <f>IF(AND(ISNUMBER(F156),ISNUMBER(E156)),IFERROR(F156/E156-1,""),"")</f>
      </c>
      <c r="G240" s="23">
        <f>IF(AND(ISNUMBER(G156),ISNUMBER(F156)),IFERROR(G156/F156-1,""),"")</f>
      </c>
      <c r="H240" s="23">
        <f>IF(AND(ISNUMBER(H156),ISNUMBER(G156)),IFERROR(H156/G156-1,""),"")</f>
      </c>
      <c r="I240" s="23">
        <f>IF(AND(ISNUMBER(I156),ISNUMBER(H156)),IFERROR(I156/H156-1,""),"")</f>
      </c>
      <c r="J240" s="23">
        <f>IF(AND(ISNUMBER(J156),ISNUMBER(I156)),IFERROR(J156/I156-1,""),"")</f>
      </c>
      <c r="K240" s="23">
        <f>IF(AND(ISNUMBER(K156),ISNUMBER(J156)),IFERROR(K156/J156-1,""),"")</f>
        <v>-0.0896083466352043</v>
      </c>
      <c r="L240" s="23" t="n"/>
      <c r="M240" s="23" t="n"/>
      <c r="N240" s="23" t="n"/>
      <c r="O240" s="23" t="n"/>
      <c r="P240" s="23">
        <f>IF(AND(ISNUMBER(P156),ISNUMBER(K156)),IFERROR(P156/K156-1,""),"")</f>
        <v>0.493577445462283</v>
      </c>
      <c r="Q240" s="23">
        <f>IF(AND(ISNUMBER(Q156),ISNUMBER(L156)),IFERROR(Q156/L156-1,""),"")</f>
        <v>-0.0385202400360758</v>
      </c>
      <c r="R240" s="23">
        <f>IF(AND(ISNUMBER(R156),ISNUMBER(M156)),IFERROR(R156/M156-1,""),"")</f>
        <v>-0.286253181236838</v>
      </c>
      <c r="S240" s="23">
        <f>IF(AND(ISNUMBER(S156),ISNUMBER(N156)),IFERROR(S156/N156-1,""),"")</f>
        <v>-0.136272148348566</v>
      </c>
      <c r="T240" s="23">
        <f>IF(AND(ISNUMBER(T156),ISNUMBER(O156)),IFERROR(T156/O156-1,""),"")</f>
        <v>0.539575460931752</v>
      </c>
      <c r="U240" s="23">
        <f>IF(AND(ISNUMBER(U156),ISNUMBER(P156)),IFERROR(U156/P156-1,""),"")</f>
        <v>-0.0483305686699832</v>
      </c>
      <c r="V240" s="23">
        <f>IF(AND(ISNUMBER(V156),ISNUMBER(Q156)),IFERROR(V156/Q156-1,""),"")</f>
        <v>-0.424517921243934</v>
      </c>
      <c r="W240" s="23">
        <f>IF(AND(ISNUMBER(W156),ISNUMBER(R156)),IFERROR(W156/R156-1,""),"")</f>
        <v>0.186863110644535</v>
      </c>
      <c r="X240" s="23">
        <f>IF(AND(ISNUMBER(X156),ISNUMBER(S156)),IFERROR(X156/S156-1,""),"")</f>
        <v>0.0996294456966052</v>
      </c>
      <c r="Y240" s="23">
        <f>IF(AND(ISNUMBER(Y156),ISNUMBER(T156)),IFERROR(Y156/T156-1,""),"")</f>
        <v>-0.172434809824238</v>
      </c>
      <c r="Z240" s="23">
        <f>IF(AND(ISNUMBER(Z156),ISNUMBER(U156)),IFERROR(Z156/U156-1,""),"")</f>
        <v>-0.0825128381609588</v>
      </c>
      <c r="AA240" s="23">
        <f>IF(AND(ISNUMBER(AA156),ISNUMBER(V156)),IFERROR(AA156/V156-1,""),"")</f>
        <v>0.879164968811712</v>
      </c>
      <c r="AB240" s="23">
        <f>IF(AND(ISNUMBER(AB156),ISNUMBER(W156)),IFERROR(AB156/W156-1,""),"")</f>
        <v>0.264346606072621</v>
      </c>
      <c r="AC240" s="23">
        <f>IF(AND(ISNUMBER(AC156),ISNUMBER(X156)),IFERROR(AC156/X156-1,""),"")</f>
        <v>0.185339586590238</v>
      </c>
      <c r="AD240" s="23">
        <f>IF(AND(ISNUMBER(AD156),ISNUMBER(Y156)),IFERROR(AD156/Y156-1,""),"")</f>
        <v>0.0697665160532652</v>
      </c>
      <c r="AE240" s="23">
        <f>IF(AND(ISNUMBER(AE156),ISNUMBER(Z156)),IFERROR(AE156/Z156-1,""),"")</f>
        <v>0.290118615583214</v>
      </c>
      <c r="AF240" s="23">
        <f>IF(AND(ISNUMBER(AF156),ISNUMBER(AA156)),IFERROR(AF156/AA156-1,""),"")</f>
        <v>0.1236343013461</v>
      </c>
      <c r="AG240" s="23">
        <f>IF(AND(ISNUMBER(AG156),ISNUMBER(AB156)),IFERROR(AG156/AB156-1,""),"")</f>
        <v>-0.193276804129928</v>
      </c>
      <c r="AH240" s="23">
        <f>IF(AND(ISNUMBER(AH156),ISNUMBER(AC156)),IFERROR(AH156/AC156-1,""),"")</f>
        <v>-0.196263188745604</v>
      </c>
      <c r="AI240" s="23">
        <f>IF(AND(ISNUMBER(AI156),ISNUMBER(AD156)),IFERROR(AI156/AD156-1,""),"")</f>
        <v>-0.299028728788329</v>
      </c>
      <c r="AJ240" s="23">
        <f>IF(AND(ISNUMBER(AJ156),ISNUMBER(AE156)),IFERROR(AJ156/AE156-1,""),"")</f>
        <v>-0.143768737586939</v>
      </c>
      <c r="AK240" s="23">
        <f>IF(AND(ISNUMBER(AK156),ISNUMBER(AF156)),IFERROR(AK156/AF156-1,""),"")</f>
        <v>-0.292727461662932</v>
      </c>
      <c r="AL240" s="23">
        <f>IF(AND(ISNUMBER(AL156),ISNUMBER(AG156)),IFERROR(AL156/AG156-1,""),"")</f>
        <v>-0.51625973715294</v>
      </c>
      <c r="AM240" s="254">
        <f>IFERROR(AM156/AH156-1,"")</f>
        <v>-0.156482861197374</v>
      </c>
      <c r="AN240" s="254">
        <f>IFERROR(AN156/AI156-1,"")</f>
        <v>0.423652647068824</v>
      </c>
      <c r="AO240" s="254">
        <f>IFERROR(AO156/AJ156-1,"")</f>
        <v>-0.206690373843824</v>
      </c>
      <c r="AP240" s="254">
        <f>IFERROR(AP156/AO156-1,"")</f>
        <v>0.488762619506969</v>
      </c>
      <c r="AQ240" s="254">
        <f>IFERROR(AQ156/AP156-1,"")</f>
        <v>0.251496662089077</v>
      </c>
      <c r="AR240" s="254">
        <f>IFERROR(AR156/AQ156-1,"")</f>
        <v>0.139787189515658</v>
      </c>
      <c r="AS240" s="254">
        <f>IFERROR(AS156/AR156-1,"")</f>
        <v>0.105314354517992</v>
      </c>
      <c r="AT240" s="19" t="n"/>
    </row>
    <row r="241">
      <c r="B241" s="22" t="inlineStr">
        <is>
          <t xml:space="preserve">  Core adjusted EPS y/y %</t>
        </is>
      </c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>
        <f>IF(AND(ISNUMBER(R227),ISNUMBER(M227)),IFERROR(R227/M227-1,""),"")</f>
        <v>0.00831110517735989</v>
      </c>
      <c r="S241" s="23">
        <f>IF(AND(ISNUMBER(S227),ISNUMBER(N227)),IFERROR(S227/N227-1,""),"")</f>
        <v>-0.0893393257592731</v>
      </c>
      <c r="T241" s="23">
        <f>IF(AND(ISNUMBER(T227),ISNUMBER(O227)),IFERROR(T227/O227-1,""),"")</f>
        <v>0.0166226182758791</v>
      </c>
      <c r="U241" s="23">
        <f>IF(AND(ISNUMBER(U227),ISNUMBER(P227)),IFERROR(U227/P227-1,""),"")</f>
        <v>-0.00646098006908169</v>
      </c>
      <c r="V241" s="23">
        <f>IF(AND(ISNUMBER(V227),ISNUMBER(Q227)),IFERROR(V227/Q227-1,""),"")</f>
        <v>-0.0274564045354154</v>
      </c>
      <c r="W241" s="23">
        <f>IF(AND(ISNUMBER(W227),ISNUMBER(R227)),IFERROR(W227/R227-1,""),"")</f>
        <v>0.127018597225053</v>
      </c>
      <c r="X241" s="23">
        <f>IF(AND(ISNUMBER(X227),ISNUMBER(S227)),IFERROR(X227/S227-1,""),"")</f>
        <v>0.170533918250986</v>
      </c>
      <c r="Y241" s="23">
        <f>IF(AND(ISNUMBER(Y227),ISNUMBER(T227)),IFERROR(Y227/T227-1,""),"")</f>
        <v>0.0601326363747308</v>
      </c>
      <c r="Z241" s="23">
        <f>IF(AND(ISNUMBER(Z227),ISNUMBER(U227)),IFERROR(Z227/U227-1,""),"")</f>
        <v>0.0559010302079814</v>
      </c>
      <c r="AA241" s="23">
        <f>IF(AND(ISNUMBER(AA227),ISNUMBER(V227)),IFERROR(AA227/V227-1,""),"")</f>
        <v>0.151809419969139</v>
      </c>
      <c r="AB241" s="23">
        <f>IF(AND(ISNUMBER(AB227),ISNUMBER(W227)),IFERROR(AB227/W227-1,""),"")</f>
        <v>0.0888085319308705</v>
      </c>
      <c r="AC241" s="23">
        <f>IF(AND(ISNUMBER(AC227),ISNUMBER(X227)),IFERROR(AC227/X227-1,""),"")</f>
        <v>0.158922084537229</v>
      </c>
      <c r="AD241" s="23">
        <f>IF(AND(ISNUMBER(AD227),ISNUMBER(Y227)),IFERROR(AD227/Y227-1,""),"")</f>
        <v>0.137166774899817</v>
      </c>
      <c r="AE241" s="23">
        <f>IF(AND(ISNUMBER(AE227),ISNUMBER(Z227)),IFERROR(AE227/Z227-1,""),"")</f>
        <v>0.133809093682888</v>
      </c>
      <c r="AF241" s="23">
        <f>IF(AND(ISNUMBER(AF227),ISNUMBER(AA227)),IFERROR(AF227/AA227-1,""),"")</f>
        <v>0.0399835423082502</v>
      </c>
      <c r="AG241" s="23">
        <f>IF(AND(ISNUMBER(AG227),ISNUMBER(AB227)),IFERROR(AG227/AB227-1,""),"")</f>
        <v>0.0272478500426998</v>
      </c>
      <c r="AH241" s="23">
        <f>IF(AND(ISNUMBER(AH227),ISNUMBER(AC227)),IFERROR(AH227/AC227-1,""),"")</f>
        <v>0.0467082790535995</v>
      </c>
      <c r="AI241" s="23">
        <f>IF(AND(ISNUMBER(AI227),ISNUMBER(AD227)),IFERROR(AI227/AD227-1,""),"")</f>
        <v>0.0574578648473783</v>
      </c>
      <c r="AJ241" s="23">
        <f>IF(AND(ISNUMBER(AJ227),ISNUMBER(AE227)),IFERROR(AJ227/AE227-1,""),"")</f>
        <v>0.0423384620908103</v>
      </c>
      <c r="AK241" s="23">
        <f>IF(AND(ISNUMBER(AK227),ISNUMBER(AF227)),IFERROR(AK227/AF227-1,""),"")</f>
        <v>0.0453228476580156</v>
      </c>
      <c r="AL241" s="23">
        <f>IF(AND(ISNUMBER(AL227),ISNUMBER(AG227)),IFERROR(AL227/AG227-1,""),"")</f>
        <v>-0.01933715185027</v>
      </c>
      <c r="AM241" s="254">
        <f>IFERROR(AM227/AH227-1,"")</f>
        <v>0.0844752901838322</v>
      </c>
      <c r="AN241" s="254">
        <f>IFERROR(AN227/AI227-1,"")</f>
        <v>0.0602420888793733</v>
      </c>
      <c r="AO241" s="254">
        <f>IFERROR(AO227/AJ227-1,"")</f>
        <v>0.0418152746868119</v>
      </c>
      <c r="AP241" s="254">
        <f>IFERROR(AP227/AO227-1,"")</f>
        <v>0.102735013393976</v>
      </c>
      <c r="AQ241" s="254">
        <f>IFERROR(AQ227/AP227-1,"")</f>
        <v>0.138610280331265</v>
      </c>
      <c r="AR241" s="254">
        <f>IFERROR(AR227/AQ227-1,"")</f>
        <v>0.12825149509637</v>
      </c>
      <c r="AS241" s="254">
        <f>IFERROR(AS227/AR227-1,"")</f>
        <v>0.167283145309557</v>
      </c>
      <c r="AT241" s="19" t="n"/>
    </row>
    <row r="242">
      <c r="B242" s="25" t="inlineStr">
        <is>
          <t xml:space="preserve">  Gross margin %</t>
        </is>
      </c>
      <c r="C242" s="36">
        <f>C140</f>
      </c>
      <c r="D242" s="36">
        <f>D140</f>
      </c>
      <c r="E242" s="36">
        <f>E140</f>
      </c>
      <c r="F242" s="36">
        <f>F140</f>
      </c>
      <c r="G242" s="36">
        <f>G140</f>
      </c>
      <c r="H242" s="36">
        <f>H140</f>
      </c>
      <c r="I242" s="36">
        <f>I140</f>
      </c>
      <c r="J242" s="36">
        <f>J140</f>
        <v>0.354443606794047</v>
      </c>
      <c r="K242" s="36">
        <f>K140</f>
        <v>0.349969667739962</v>
      </c>
      <c r="L242" s="36">
        <f>L140</f>
        <v>0.351672510420187</v>
      </c>
      <c r="M242" s="36">
        <f>M140</f>
        <v>0.346760261922757</v>
      </c>
      <c r="N242" s="36">
        <f>N140</f>
        <v>0.341593945554881</v>
      </c>
      <c r="O242" s="36">
        <f>O140</f>
        <v>0.340909782687055</v>
      </c>
      <c r="P242" s="36">
        <f>P140</f>
        <v>0.345116685165241</v>
      </c>
      <c r="Q242" s="36">
        <f>Q140</f>
        <v>0.346237369021363</v>
      </c>
      <c r="R242" s="36">
        <f>R140</f>
        <v>0.344041005661117</v>
      </c>
      <c r="S242" s="36">
        <f>S140</f>
        <v>0.337497682442182</v>
      </c>
      <c r="T242" s="36">
        <f>T140</f>
        <v>0.337870618119727</v>
      </c>
      <c r="U242" s="36">
        <f>U140</f>
        <v>0.341444699785616</v>
      </c>
      <c r="V242" s="36">
        <f>V140</f>
        <v>0.361679824561404</v>
      </c>
      <c r="W242" s="36">
        <f>W140</f>
        <v>0.366345003345262</v>
      </c>
      <c r="X242" s="36">
        <f>X140</f>
        <v>0.366689378498552</v>
      </c>
      <c r="Y242" s="36">
        <f>Y140</f>
        <v>0.369515832351729</v>
      </c>
      <c r="Z242" s="36">
        <f>Z140</f>
        <v>0.366067264771156</v>
      </c>
      <c r="AA242" s="36">
        <f>AA140</f>
        <v>0.369741527291285</v>
      </c>
      <c r="AB242" s="36">
        <f>AB140</f>
        <v>0.382312217047378</v>
      </c>
      <c r="AC242" s="36">
        <f>AC140</f>
        <v>0.376962495358337</v>
      </c>
      <c r="AD242" s="36">
        <f>AD140</f>
        <v>0.385122160666472</v>
      </c>
      <c r="AE242" s="36">
        <f>AE140</f>
        <v>0.378522279784428</v>
      </c>
      <c r="AF242" s="36">
        <f>AF140</f>
        <v>0.376327532154222</v>
      </c>
      <c r="AG242" s="36">
        <f>AG140</f>
        <v>0.371788995312932</v>
      </c>
      <c r="AH242" s="36">
        <f>AH140</f>
        <v>0.369996359114921</v>
      </c>
      <c r="AI242" s="36">
        <f>AI140</f>
        <v>0.357556180009043</v>
      </c>
      <c r="AJ242" s="36">
        <f>AJ140</f>
        <v>0.368802714459351</v>
      </c>
      <c r="AK242" s="36">
        <f>AK140</f>
        <v>0.368982171333844</v>
      </c>
      <c r="AL242" s="36">
        <f>AL140</f>
        <v>0.380387233215333</v>
      </c>
      <c r="AM242" s="254">
        <f>AM140</f>
        <v>0.384612447219451</v>
      </c>
      <c r="AN242" s="254">
        <f>AN140</f>
        <v>0.394647749542604</v>
      </c>
      <c r="AO242" s="254">
        <f>AO140</f>
        <v>0.382408862261483</v>
      </c>
      <c r="AP242" s="254">
        <f>AP140</f>
        <v>0.377546925584786</v>
      </c>
      <c r="AQ242" s="254">
        <f>AQ140</f>
        <v>0.390400178501183</v>
      </c>
      <c r="AR242" s="254">
        <f>AR140</f>
        <v>0.396387570017852</v>
      </c>
      <c r="AS242" s="254">
        <f>AS140</f>
        <v>0.399904383012064</v>
      </c>
      <c r="AT242" s="19" t="n"/>
    </row>
    <row r="243">
      <c r="B243" s="25" t="inlineStr">
        <is>
          <t xml:space="preserve">  Adjusted EBITDA margin %</t>
        </is>
      </c>
      <c r="C243" s="36" t="n"/>
      <c r="D243" s="36" t="n"/>
      <c r="E243" s="36" t="n"/>
      <c r="F243" s="36" t="n"/>
      <c r="G243" s="36" t="n"/>
      <c r="H243" s="36" t="n"/>
      <c r="I243" s="36" t="n"/>
      <c r="J243" s="36">
        <f>J190</f>
        <v>0.15739159226462</v>
      </c>
      <c r="K243" s="36">
        <f>K190</f>
        <v>0.154428381764953</v>
      </c>
      <c r="L243" s="36">
        <f>L190</f>
        <v>0.165589444632196</v>
      </c>
      <c r="M243" s="36">
        <f>M190</f>
        <v>0.165907171119904</v>
      </c>
      <c r="N243" s="36">
        <f>N190</f>
        <v>0.168805943548174</v>
      </c>
      <c r="O243" s="36">
        <f>O190</f>
        <v>0.164382464375255</v>
      </c>
      <c r="P243" s="36">
        <f>P190</f>
        <v>0.166453401095088</v>
      </c>
      <c r="Q243" s="36">
        <f>Q190</f>
        <v>0.168569448581672</v>
      </c>
      <c r="R243" s="36">
        <f>R190</f>
        <v>0.167167036965896</v>
      </c>
      <c r="S243" s="36">
        <f>S190</f>
        <v>0.16923411767551</v>
      </c>
      <c r="T243" s="36">
        <f>T190</f>
        <v>0.168561133638596</v>
      </c>
      <c r="U243" s="36">
        <f>U190</f>
        <v>0.168407313725188</v>
      </c>
      <c r="V243" s="36">
        <f>V190</f>
        <v>0.17252485380117</v>
      </c>
      <c r="W243" s="36">
        <f>W190</f>
        <v>0.18337585470738</v>
      </c>
      <c r="X243" s="36">
        <f>X190</f>
        <v>0.179993715087901</v>
      </c>
      <c r="Y243" s="36">
        <f>Y190</f>
        <v>0.186387717089192</v>
      </c>
      <c r="Z243" s="36">
        <f>Z190</f>
        <v>0.180619194555505</v>
      </c>
      <c r="AA243" s="36">
        <f>AA190</f>
        <v>0.187137546683987</v>
      </c>
      <c r="AB243" s="36">
        <f>AB190</f>
        <v>0.199317448621249</v>
      </c>
      <c r="AC243" s="36">
        <f>AC190</f>
        <v>0.189216487189009</v>
      </c>
      <c r="AD243" s="36">
        <f>AD190</f>
        <v>0.195573353052377</v>
      </c>
      <c r="AE243" s="36">
        <f>AE190</f>
        <v>0.192927766059801</v>
      </c>
      <c r="AF243" s="36">
        <f>AF190</f>
        <v>0.197517319483645</v>
      </c>
      <c r="AG243" s="36">
        <f>AG190</f>
        <v>0.200512586886831</v>
      </c>
      <c r="AH243" s="36">
        <f>AH190</f>
        <v>0.191613599049248</v>
      </c>
      <c r="AI243" s="36">
        <f>AI190</f>
        <v>0.198107868946138</v>
      </c>
      <c r="AJ243" s="36">
        <f>AJ190</f>
        <v>0.196909470529154</v>
      </c>
      <c r="AK243" s="36">
        <f>AK190</f>
        <v>0.183128419239884</v>
      </c>
      <c r="AL243" s="36">
        <f>AL190</f>
        <v>0.187390961421547</v>
      </c>
      <c r="AM243" s="254">
        <f>AM190</f>
        <v>0.203960951502226</v>
      </c>
      <c r="AN243" s="254">
        <f>AN190</f>
        <v>0.20985288792561</v>
      </c>
      <c r="AO243" s="254">
        <f>AO190</f>
        <v>0.196361489606601</v>
      </c>
      <c r="AP243" s="254">
        <f>AP190</f>
        <v>0.206695866492552</v>
      </c>
      <c r="AQ243" s="254">
        <f>AQ190</f>
        <v>0.213449511233321</v>
      </c>
      <c r="AR243" s="254">
        <f>AR190</f>
        <v>0.21653911114218</v>
      </c>
      <c r="AS243" s="254">
        <f>AS190</f>
        <v>0.218469861781685</v>
      </c>
      <c r="AT243" s="19" t="n"/>
    </row>
    <row r="244">
      <c r="B244" s="25" t="inlineStr">
        <is>
          <t xml:space="preserve">  Core adjusted EBITDA margin %</t>
        </is>
      </c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>
        <f>M113</f>
        <v>0.158415841584158</v>
      </c>
      <c r="N244" s="36">
        <f>N113</f>
        <v>0.1625133499466</v>
      </c>
      <c r="O244" s="36">
        <f>O113</f>
        <v>0.169794925269378</v>
      </c>
      <c r="P244" s="36">
        <f>P113</f>
        <v>0.164200602330758</v>
      </c>
      <c r="Q244" s="36">
        <f>Q113</f>
        <v>0.166227347611203</v>
      </c>
      <c r="R244" s="36">
        <f>R113</f>
        <v>0.166218141522875</v>
      </c>
      <c r="S244" s="36">
        <f>S113</f>
        <v>0.165511265164645</v>
      </c>
      <c r="T244" s="36">
        <f>T113</f>
        <v>0.174047541517421</v>
      </c>
      <c r="U244" s="36">
        <f>U113</f>
        <v>0.168683475656643</v>
      </c>
      <c r="V244" s="36">
        <f>V113</f>
        <v>0.174215489256454</v>
      </c>
      <c r="W244" s="36">
        <f>W113</f>
        <v>0.186002058520806</v>
      </c>
      <c r="X244" s="36">
        <f>X113</f>
        <v>0.182890855457227</v>
      </c>
      <c r="Y244" s="36">
        <f>Y113</f>
        <v>0.19341437144176</v>
      </c>
      <c r="Z244" s="36">
        <f>Z113</f>
        <v>0.184166348721862</v>
      </c>
      <c r="AA244" s="36">
        <f>AA113</f>
        <v>0.187776253619875</v>
      </c>
      <c r="AB244" s="36">
        <f>AB113</f>
        <v>0.201080432172869</v>
      </c>
      <c r="AC244" s="36">
        <f>AC113</f>
        <v>0.196538158929976</v>
      </c>
      <c r="AD244" s="36">
        <f>AD113</f>
        <v>0.203127468014532</v>
      </c>
      <c r="AE244" s="36">
        <f>AE113</f>
        <v>0.19709015128126</v>
      </c>
      <c r="AF244" s="36">
        <f>AF113</f>
        <v>0.197712165713402</v>
      </c>
      <c r="AG244" s="36">
        <f>AG113</f>
        <v>0.20412675018423</v>
      </c>
      <c r="AH244" s="36">
        <f>AH113</f>
        <v>0.194064591213267</v>
      </c>
      <c r="AI244" s="36">
        <f>AI113</f>
        <v>0.204013377926421</v>
      </c>
      <c r="AJ244" s="36">
        <f>AJ113</f>
        <v>0.199977780246639</v>
      </c>
      <c r="AK244" s="36">
        <f>AK113</f>
        <v>0.190202939118265</v>
      </c>
      <c r="AL244" s="36">
        <f>AL113</f>
        <v>0.195118767945706</v>
      </c>
      <c r="AM244" s="254">
        <f>AM113</f>
        <v>0.211719494286565</v>
      </c>
      <c r="AN244" s="254">
        <f>AN113</f>
        <v>0.21816002439583</v>
      </c>
      <c r="AO244" s="254">
        <f>AO113</f>
        <v>0.204094161804206</v>
      </c>
      <c r="AP244" s="254">
        <f>AP113</f>
        <v>0.214316345922875</v>
      </c>
      <c r="AQ244" s="254">
        <f>AQ113</f>
        <v>0.220984646820462</v>
      </c>
      <c r="AR244" s="254">
        <f>AR113</f>
        <v>0.223745631287049</v>
      </c>
      <c r="AS244" s="254">
        <f>AS113</f>
        <v>0.225302933199844</v>
      </c>
      <c r="AT244" s="19" t="n"/>
    </row>
    <row r="245">
      <c r="B245" s="25" t="inlineStr">
        <is>
          <t xml:space="preserve">  Incremental adjusted EBITDA margin (ΔEBITDA / Δnet sales)</t>
        </is>
      </c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>
        <f>IFERROR((K189-J189)/(K136-J136),"")</f>
        <v>0.176850520445721</v>
      </c>
      <c r="L245" s="36" t="n"/>
      <c r="M245" s="36" t="n"/>
      <c r="N245" s="36" t="n"/>
      <c r="O245" s="36" t="n"/>
      <c r="P245" s="36">
        <f>IFERROR((P189-K189)/(P136-K136),"")</f>
        <v>0.215506457537559</v>
      </c>
      <c r="Q245" s="36">
        <f>IFERROR((Q189-L189)/(Q136-L136),"")</f>
        <v>0.189789804845643</v>
      </c>
      <c r="R245" s="36">
        <f>IFERROR((R189-M189)/(R136-M136),"")</f>
        <v>0.192458483409304</v>
      </c>
      <c r="S245" s="36">
        <f>IFERROR((S189-N189)/(S136-N136),"")</f>
        <v>0.187381968245086</v>
      </c>
      <c r="T245" s="36">
        <f>IFERROR((T189-O189)/(T136-O136),"")</f>
        <v>0.233914612146722</v>
      </c>
      <c r="U245" s="36">
        <f>IFERROR((U189-P189)/(U136-P136),"")</f>
        <v>0.197097330148461</v>
      </c>
      <c r="V245" s="36">
        <f>IFERROR((V189-Q189)/(V136-Q136),"")</f>
        <v>0.243536811770901</v>
      </c>
      <c r="W245" s="36">
        <f>IFERROR((W189-R189)/(W136-R136),"")</f>
        <v>0.364267026753312</v>
      </c>
      <c r="X245" s="36">
        <f>IFERROR((X189-S189)/(X136-S136),"")</f>
        <v>0.289884902273963</v>
      </c>
      <c r="Y245" s="36">
        <f>IFERROR((Y189-T189)/(Y136-T136),"")</f>
        <v>0.655802704095793</v>
      </c>
      <c r="Z245" s="36">
        <f>IFERROR((Z189-U189)/(Z136-U136),"")</f>
        <v>0.355322529042507</v>
      </c>
      <c r="AA245" s="36">
        <f>IFERROR((AA189-V189)/(AA136-V136),"")</f>
        <v>1.92722841225627</v>
      </c>
      <c r="AB245" s="36">
        <f>IFERROR((AB189-W189)/(AB136-W136),"")</f>
        <v>-0.659735208317748</v>
      </c>
      <c r="AC245" s="36">
        <f>IFERROR((AC189-X189)/(AC136-X136),"")</f>
        <v>-0.621611154144077</v>
      </c>
      <c r="AD245" s="36">
        <f>IFERROR((AD189-Y189)/(AD136-Y136),"")</f>
        <v>-0.145008605851979</v>
      </c>
      <c r="AE245" s="36">
        <f>IFERROR((AE189-Z189)/(AE136-Z136),"")</f>
        <v>-0.812678503076873</v>
      </c>
      <c r="AF245" s="36">
        <f>IFERROR((AF189-AA189)/(AF136-AA136),"")</f>
        <v>-0.419352059279682</v>
      </c>
      <c r="AG245" s="36">
        <f>IFERROR((AG189-AB189)/(AG136-AB136),"")</f>
        <v>0.299542950896524</v>
      </c>
      <c r="AH245" s="36">
        <f>IFERROR((AH189-AC189)/(AH136-AC136),"")</f>
        <v>0.221174100192325</v>
      </c>
      <c r="AI245" s="36">
        <f>IFERROR((AI189-AD189)/(AI136-AD136),"")</f>
        <v>0.231953016125822</v>
      </c>
      <c r="AJ245" s="36">
        <f>IFERROR((AJ189-AE189)/(AJ136-AE136),"")</f>
        <v>0.304161097570563</v>
      </c>
      <c r="AK245" s="36">
        <f>IFERROR((AK189-AF189)/(AK136-AF136),"")</f>
        <v>0.0384826338961432</v>
      </c>
      <c r="AL245" s="36">
        <f>IFERROR((AL189-AG189)/(AL136-AG136),"")</f>
        <v>0.0853749959257276</v>
      </c>
      <c r="AM245" s="254">
        <f>IFERROR((AM189-AH189)/(AM136-AH136),"")</f>
        <v>0.293603984119238</v>
      </c>
      <c r="AN245" s="254">
        <f>IFERROR((AN189-AI189)/(AN136-AI136),"")</f>
        <v>0.315006475907747</v>
      </c>
      <c r="AO245" s="254">
        <f>IFERROR((AO189-AJ189)/(AO136-AJ136),"")</f>
        <v>0.1917835998219</v>
      </c>
      <c r="AP245" s="254">
        <f>IFERROR((AP189-AO189)/(AP136-AO136),"")</f>
        <v>0.344320133458643</v>
      </c>
      <c r="AQ245" s="254">
        <f>IFERROR((AQ189-AP189)/(AQ136-AP136),"")</f>
        <v>0.351768776944369</v>
      </c>
      <c r="AR245" s="254">
        <f>IFERROR((AR189-AQ189)/(AR136-AQ136),"")</f>
        <v>0.267122898304986</v>
      </c>
      <c r="AS245" s="254">
        <f>IFERROR((AS189-AR189)/(AS136-AR136),"")</f>
        <v>0.248956484898183</v>
      </c>
      <c r="AT245" s="19" t="n"/>
    </row>
    <row r="246">
      <c r="B246" s="25" t="inlineStr">
        <is>
          <t xml:space="preserve">  Operating margin (GAAP) %</t>
        </is>
      </c>
      <c r="C246" s="36">
        <f>IF(AND(ISNUMBER(C144),ISNUMBER(C136)),IFERROR(C144/C136,""),"")</f>
      </c>
      <c r="D246" s="36">
        <f>IF(AND(ISNUMBER(D144),ISNUMBER(D136)),IFERROR(D144/D136,""),"")</f>
      </c>
      <c r="E246" s="36">
        <f>IF(AND(ISNUMBER(E144),ISNUMBER(E136)),IFERROR(E144/E136,""),"")</f>
      </c>
      <c r="F246" s="36">
        <f>IF(AND(ISNUMBER(F144),ISNUMBER(F136)),IFERROR(F144/F136,""),"")</f>
      </c>
      <c r="G246" s="36">
        <f>IF(AND(ISNUMBER(G144),ISNUMBER(G136)),IFERROR(G144/G136,""),"")</f>
      </c>
      <c r="H246" s="36">
        <f>IF(AND(ISNUMBER(H144),ISNUMBER(H136)),IFERROR(H144/H136,""),"")</f>
      </c>
      <c r="I246" s="36">
        <f>IF(AND(ISNUMBER(I144),ISNUMBER(I136)),IFERROR(I144/I136,""),"")</f>
      </c>
      <c r="J246" s="36">
        <f>IF(AND(ISNUMBER(J144),ISNUMBER(J136)),IFERROR(J144/J136,""),"")</f>
        <v>0.113963968374198</v>
      </c>
      <c r="K246" s="36">
        <f>IF(AND(ISNUMBER(K144),ISNUMBER(K136)),IFERROR(K144/K136,""),"")</f>
        <v>0.103650691334512</v>
      </c>
      <c r="L246" s="36">
        <f>IF(AND(ISNUMBER(L144),ISNUMBER(L136)),IFERROR(L144/L136,""),"")</f>
        <v>0.127261814239045</v>
      </c>
      <c r="M246" s="36">
        <f>IF(AND(ISNUMBER(M144),ISNUMBER(M136)),IFERROR(M144/M136,""),"")</f>
        <v>0.13051679570152</v>
      </c>
      <c r="N246" s="36">
        <f>IF(AND(ISNUMBER(N144),ISNUMBER(N136)),IFERROR(N144/N136,""),"")</f>
        <v>0.12981543579859</v>
      </c>
      <c r="O246" s="36">
        <f>IF(AND(ISNUMBER(O144),ISNUMBER(O136)),IFERROR(O144/O136,""),"")</f>
        <v>0.117023781870029</v>
      </c>
      <c r="P246" s="36">
        <f>IF(AND(ISNUMBER(P144),ISNUMBER(P136)),IFERROR(P144/P136,""),"")</f>
        <v>0.126111819250736</v>
      </c>
      <c r="Q246" s="36">
        <f>IF(AND(ISNUMBER(Q144),ISNUMBER(Q136)),IFERROR(Q144/Q136,""),"")</f>
        <v>0.129051675307257</v>
      </c>
      <c r="R246" s="36">
        <f>IF(AND(ISNUMBER(R144),ISNUMBER(R136)),IFERROR(R144/R136,""),"")</f>
        <v>0.129886550802584</v>
      </c>
      <c r="S246" s="36">
        <f>IF(AND(ISNUMBER(S144),ISNUMBER(S136)),IFERROR(S144/S136,""),"")</f>
        <v>0.130579671591981</v>
      </c>
      <c r="T246" s="36">
        <f>IF(AND(ISNUMBER(T144),ISNUMBER(T136)),IFERROR(T144/T136,""),"")</f>
        <v>0.118319237133861</v>
      </c>
      <c r="U246" s="36">
        <f>IF(AND(ISNUMBER(U144),ISNUMBER(U136)),IFERROR(U144/U136,""),"")</f>
        <v>0.126881641655228</v>
      </c>
      <c r="V246" s="36">
        <f>IF(AND(ISNUMBER(V144),ISNUMBER(V136)),IFERROR(V144/V136,""),"")</f>
        <v>0.132548245614035</v>
      </c>
      <c r="W246" s="36">
        <f>IF(AND(ISNUMBER(W144),ISNUMBER(W136)),IFERROR(W144/W136,""),"")</f>
        <v>0.150799114963174</v>
      </c>
      <c r="X246" s="36">
        <f>IF(AND(ISNUMBER(X144),ISNUMBER(X136)),IFERROR(X144/X136,""),"")</f>
        <v>0.148526569906431</v>
      </c>
      <c r="Y246" s="36">
        <f>IF(AND(ISNUMBER(Y144),ISNUMBER(Y136)),IFERROR(Y144/Y136,""),"")</f>
        <v>0.150458114043995</v>
      </c>
      <c r="Z246" s="36">
        <f>IF(AND(ISNUMBER(Z144),ISNUMBER(Z136)),IFERROR(Z144/Z136,""),"")</f>
        <v>0.145657687891519</v>
      </c>
      <c r="AA246" s="36">
        <f>IF(AND(ISNUMBER(AA144),ISNUMBER(AA136)),IFERROR(AA144/AA136,""),"")</f>
        <v>0.160426187107101</v>
      </c>
      <c r="AB246" s="36">
        <f>IF(AND(ISNUMBER(AB144),ISNUMBER(AB136)),IFERROR(AB144/AB136,""),"")</f>
        <v>0.168806298820598</v>
      </c>
      <c r="AC246" s="36">
        <f>IF(AND(ISNUMBER(AC144),ISNUMBER(AC136)),IFERROR(AC144/AC136,""),"")</f>
        <v>0.157467508354994</v>
      </c>
      <c r="AD246" s="36">
        <f>IF(AND(ISNUMBER(AD144),ISNUMBER(AD136)),IFERROR(AD144/AD136,""),"")</f>
        <v>0.16612151065365</v>
      </c>
      <c r="AE246" s="36">
        <f>IF(AND(ISNUMBER(AE144),ISNUMBER(AE136)),IFERROR(AE144/AE136,""),"")</f>
        <v>0.163255075246196</v>
      </c>
      <c r="AF246" s="36">
        <f>IF(AND(ISNUMBER(AF144),ISNUMBER(AF136)),IFERROR(AF144/AF136,""),"")</f>
        <v>0.161980304893694</v>
      </c>
      <c r="AG246" s="36">
        <f>IF(AND(ISNUMBER(AG144),ISNUMBER(AG136)),IFERROR(AG144/AG136,""),"")</f>
        <v>0.152454072606228</v>
      </c>
      <c r="AH246" s="36">
        <f>IF(AND(ISNUMBER(AH144),ISNUMBER(AH136)),IFERROR(AH144/AH136,""),"")</f>
        <v>0.146484485020849</v>
      </c>
      <c r="AI246" s="36">
        <f>IF(AND(ISNUMBER(AI144),ISNUMBER(AI136)),IFERROR(AI144/AI136,""),"")</f>
        <v>0.120131320164331</v>
      </c>
      <c r="AJ246" s="36">
        <f>IF(AND(ISNUMBER(AJ144),ISNUMBER(AJ136)),IFERROR(AJ144/AJ136,""),"")</f>
        <v>0.144999832896813</v>
      </c>
      <c r="AK246" s="36">
        <f>IF(AND(ISNUMBER(AK144),ISNUMBER(AK136)),IFERROR(AK144/AK136,""),"")</f>
        <v>0.121351078397579</v>
      </c>
      <c r="AL246" s="36">
        <f>IF(AND(ISNUMBER(AL144),ISNUMBER(AL136)),IFERROR(AL144/AL136,""),"")</f>
        <v>0.0974769293250473</v>
      </c>
      <c r="AM246" s="254">
        <f>IFERROR(AM144/AM136,"")</f>
        <v>0.122454623162549</v>
      </c>
      <c r="AN246" s="254">
        <f>IFERROR(AN144/AN136,"")</f>
        <v>0.136584176821002</v>
      </c>
      <c r="AO246" s="254">
        <f>IFERROR(AO144/AO136,"")</f>
        <v>0.119417228537986</v>
      </c>
      <c r="AP246" s="254">
        <f>IFERROR(AP144/AP136,"")</f>
        <v>0.146702074092652</v>
      </c>
      <c r="AQ246" s="254">
        <f>IFERROR(AQ144/AQ136,"")</f>
        <v>0.161220613391141</v>
      </c>
      <c r="AR246" s="254">
        <f>IFERROR(AR144/AR136,"")</f>
        <v>0.167448593115255</v>
      </c>
      <c r="AS246" s="254">
        <f>IFERROR(AS144/AS136,"")</f>
        <v>0.171200008154374</v>
      </c>
      <c r="AT246" s="19" t="n"/>
      <c r="AV246" s="20">
        <f>IFERROR(AVERAGE(AO246,AP246,AQ246,AR246,AS246),"n/m")</f>
        <v>0.153197703458282</v>
      </c>
      <c r="AW246" s="20">
        <f>IFERROR(AVERAGE(K246,P246,U246,Z246,AE246,AJ246),"n/m")</f>
        <v>0.135092791379167</v>
      </c>
      <c r="AX246" s="20">
        <f>IFERROR(AVERAGE(F246,G246,H246,I246,J246,K246,P246,U246,Z246,AE246,AJ246),"n/m")</f>
        <v>0.132074388092743</v>
      </c>
      <c r="AY246" s="20">
        <f>IFERROR(AVERAGE(C246,D246,E246,F246,G246,H246,I246,J246,K246,P246,U246,Z246,AE246,AJ246),"n/m")</f>
        <v>0.132074388092743</v>
      </c>
    </row>
    <row r="247">
      <c r="B247" s="25" t="inlineStr">
        <is>
          <t xml:space="preserve">  Net margin %</t>
        </is>
      </c>
      <c r="C247" s="36">
        <f>IF(AND(ISNUMBER(C156),ISNUMBER(C136)),IFERROR(C156/C136,""),"")</f>
      </c>
      <c r="D247" s="36">
        <f>IF(AND(ISNUMBER(D156),ISNUMBER(D136)),IFERROR(D156/D136,""),"")</f>
      </c>
      <c r="E247" s="36">
        <f>IF(AND(ISNUMBER(E156),ISNUMBER(E136)),IFERROR(E156/E136,""),"")</f>
      </c>
      <c r="F247" s="36">
        <f>IF(AND(ISNUMBER(F156),ISNUMBER(F136)),IFERROR(F156/F136,""),"")</f>
      </c>
      <c r="G247" s="36">
        <f>IF(AND(ISNUMBER(G156),ISNUMBER(G136)),IFERROR(G156/G136,""),"")</f>
      </c>
      <c r="H247" s="36">
        <f>IF(AND(ISNUMBER(H156),ISNUMBER(H136)),IFERROR(H156/H136,""),"")</f>
      </c>
      <c r="I247" s="36">
        <f>IF(AND(ISNUMBER(I156),ISNUMBER(I136)),IFERROR(I156/I136,""),"")</f>
      </c>
      <c r="J247" s="36">
        <f>IF(AND(ISNUMBER(J156),ISNUMBER(J136)),IFERROR(J156/J136,""),"")</f>
        <v>0.0769497104172358</v>
      </c>
      <c r="K247" s="36">
        <f>IF(AND(ISNUMBER(K156),ISNUMBER(K136)),IFERROR(K156/K136,""),"")</f>
        <v>0.0807222718785847</v>
      </c>
      <c r="L247" s="36">
        <f>IF(AND(ISNUMBER(L156),ISNUMBER(L136)),IFERROR(L156/L136,""),"")</f>
        <v>0.101487692914273</v>
      </c>
      <c r="M247" s="36">
        <f>IF(AND(ISNUMBER(M156),ISNUMBER(M136)),IFERROR(M156/M136,""),"")</f>
        <v>0.122906491543401</v>
      </c>
      <c r="N247" s="36">
        <f>IF(AND(ISNUMBER(N156),ISNUMBER(N136)),IFERROR(N156/N136,""),"")</f>
        <v>0.100028384337127</v>
      </c>
      <c r="O247" s="36">
        <f>IF(AND(ISNUMBER(O156),ISNUMBER(O136)),IFERROR(O156/O136,""),"")</f>
        <v>0.0631689401888773</v>
      </c>
      <c r="P247" s="36">
        <f>IF(AND(ISNUMBER(P156),ISNUMBER(P136)),IFERROR(P156/P136,""),"")</f>
        <v>0.0968281980054486</v>
      </c>
      <c r="Q247" s="36">
        <f>IF(AND(ISNUMBER(Q156),ISNUMBER(Q136)),IFERROR(Q156/Q136,""),"")</f>
        <v>0.0855626775899776</v>
      </c>
      <c r="R247" s="36">
        <f>IF(AND(ISNUMBER(R156),ISNUMBER(R136)),IFERROR(R156/R136,""),"")</f>
        <v>0.0835615878955258</v>
      </c>
      <c r="S247" s="36">
        <f>IF(AND(ISNUMBER(S156),ISNUMBER(S136)),IFERROR(S156/S136,""),"")</f>
        <v>0.0844058587861639</v>
      </c>
      <c r="T247" s="36">
        <f>IF(AND(ISNUMBER(T156),ISNUMBER(T136)),IFERROR(T156/T136,""),"")</f>
        <v>0.0914087215246481</v>
      </c>
      <c r="U247" s="36">
        <f>IF(AND(ISNUMBER(U156),ISNUMBER(U136)),IFERROR(U156/U136,""),"")</f>
        <v>0.0862728843098848</v>
      </c>
      <c r="V247" s="36">
        <f>IF(AND(ISNUMBER(V156),ISNUMBER(V136)),IFERROR(V156/V136,""),"")</f>
        <v>0.0466418128654971</v>
      </c>
      <c r="W247" s="36">
        <f>IF(AND(ISNUMBER(W156),ISNUMBER(W136)),IFERROR(W156/W136,""),"")</f>
        <v>0.0910202631235581</v>
      </c>
      <c r="X247" s="36">
        <f>IF(AND(ISNUMBER(X156),ISNUMBER(X136)),IFERROR(X156/X136,""),"")</f>
        <v>0.0845379414857062</v>
      </c>
      <c r="Y247" s="36">
        <f>IF(AND(ISNUMBER(Y156),ISNUMBER(Y136)),IFERROR(Y156/Y136,""),"")</f>
        <v>0.0728790103111926</v>
      </c>
      <c r="Z247" s="36">
        <f>IF(AND(ISNUMBER(Z156),ISNUMBER(Z136)),IFERROR(Z156/Z136,""),"")</f>
        <v>0.0739828151274738</v>
      </c>
      <c r="AA247" s="36">
        <f>IF(AND(ISNUMBER(AA156),ISNUMBER(AA136)),IFERROR(AA156/AA136,""),"")</f>
        <v>0.0869177549931569</v>
      </c>
      <c r="AB247" s="36">
        <f>IF(AND(ISNUMBER(AB156),ISNUMBER(AB136)),IFERROR(AB156/AB136,""),"")</f>
        <v>0.117257122167645</v>
      </c>
      <c r="AC247" s="36">
        <f>IF(AND(ISNUMBER(AC156),ISNUMBER(AC136)),IFERROR(AC156/AC136,""),"")</f>
        <v>0.101359079093947</v>
      </c>
      <c r="AD247" s="36">
        <f>IF(AND(ISNUMBER(AD156),ISNUMBER(AD136)),IFERROR(AD156/AD136,""),"")</f>
        <v>0.0801245162175217</v>
      </c>
      <c r="AE247" s="36">
        <f>IF(AND(ISNUMBER(AE156),ISNUMBER(AE136)),IFERROR(AE156/AE136,""),"")</f>
        <v>0.0966293454874356</v>
      </c>
      <c r="AF247" s="36">
        <f>IF(AND(ISNUMBER(AF156),ISNUMBER(AF136)),IFERROR(AF156/AF136,""),"")</f>
        <v>0.0993352385502657</v>
      </c>
      <c r="AG247" s="36">
        <f>IF(AND(ISNUMBER(AG156),ISNUMBER(AG136)),IFERROR(AG156/AG136,""),"")</f>
        <v>0.0934660543945802</v>
      </c>
      <c r="AH247" s="36">
        <f>IF(AND(ISNUMBER(AH156),ISNUMBER(AH136)),IFERROR(AH156/AH136,""),"")</f>
        <v>0.0753553297748834</v>
      </c>
      <c r="AI247" s="36">
        <f>IF(AND(ISNUMBER(AI156),ISNUMBER(AI136)),IFERROR(AI156/AI136,""),"")</f>
        <v>0.0522520548249203</v>
      </c>
      <c r="AJ247" s="36">
        <f>IF(AND(ISNUMBER(AJ156),ISNUMBER(AJ136)),IFERROR(AJ156/AJ136,""),"")</f>
        <v>0.0797754133165409</v>
      </c>
      <c r="AK247" s="36">
        <f>IF(AND(ISNUMBER(AK156),ISNUMBER(AK136)),IFERROR(AK156/AK136,""),"")</f>
        <v>0.0639004717025417</v>
      </c>
      <c r="AL247" s="36">
        <f>IF(AND(ISNUMBER(AL156),ISNUMBER(AL136)),IFERROR(AL156/AL136,""),"")</f>
        <v>0.0400605725167682</v>
      </c>
      <c r="AM247" s="254">
        <f>IFERROR(AM156/AM136,"")</f>
        <v>0.0558682663112805</v>
      </c>
      <c r="AN247" s="254">
        <f>IFERROR(AN156/AN136,"")</f>
        <v>0.0669147984120432</v>
      </c>
      <c r="AO247" s="254">
        <f>IFERROR(AO156/AO136,"")</f>
        <v>0.0565209525110194</v>
      </c>
      <c r="AP247" s="254">
        <f>IFERROR(AP156/AP136,"")</f>
        <v>0.078268967481218</v>
      </c>
      <c r="AQ247" s="254">
        <f>IFERROR(AQ156/AQ136,"")</f>
        <v>0.0933932849202889</v>
      </c>
      <c r="AR247" s="254">
        <f>IFERROR(AR156/AR136,"")</f>
        <v>0.100320978996369</v>
      </c>
      <c r="AS247" s="254">
        <f>IFERROR(AS156/AS136,"")</f>
        <v>0.104281931251247</v>
      </c>
      <c r="AT247" s="19" t="n"/>
      <c r="AV247" s="20">
        <f>IFERROR(AVERAGE(AO247,AP247,AQ247,AR247,AS247),"n/m")</f>
        <v>0.0865572230320283</v>
      </c>
      <c r="AW247" s="20">
        <f>IFERROR(AVERAGE(K247,P247,U247,Z247,AE247,AJ247),"n/m")</f>
        <v>0.0857018213542281</v>
      </c>
      <c r="AX247" s="20">
        <f>IFERROR(AVERAGE(F247,G247,H247,I247,J247,K247,P247,U247,Z247,AE247,AJ247),"n/m")</f>
        <v>0.0844515197918006</v>
      </c>
      <c r="AY247" s="20">
        <f>IFERROR(AVERAGE(C247,D247,E247,F247,G247,H247,I247,J247,K247,P247,U247,Z247,AE247,AJ247),"n/m")</f>
        <v>0.0844515197918006</v>
      </c>
    </row>
    <row r="248">
      <c r="B248" s="25" t="inlineStr">
        <is>
          <t xml:space="preserve">  SG&amp;A % of net sales</t>
        </is>
      </c>
      <c r="C248" s="36">
        <f>C132</f>
      </c>
      <c r="D248" s="36">
        <f>D132</f>
      </c>
      <c r="E248" s="36">
        <f>E132</f>
      </c>
      <c r="F248" s="36">
        <f>F132</f>
      </c>
      <c r="G248" s="36">
        <f>G132</f>
      </c>
      <c r="H248" s="36">
        <f>H132</f>
      </c>
      <c r="I248" s="36">
        <f>I132</f>
      </c>
      <c r="J248" s="36">
        <f>J132</f>
        <v>0.230226085501458</v>
      </c>
      <c r="K248" s="36">
        <f>K132</f>
        <v>0.235225522789194</v>
      </c>
      <c r="L248" s="36">
        <f>L132</f>
        <v>0.218998183507942</v>
      </c>
      <c r="M248" s="36">
        <f>M132</f>
        <v>0.210703647483979</v>
      </c>
      <c r="N248" s="36">
        <f>N132</f>
        <v>0.204802893882185</v>
      </c>
      <c r="O248" s="36">
        <f>O132</f>
        <v>0.21081037783456</v>
      </c>
      <c r="P248" s="36">
        <f>P132</f>
        <v>0.211198810599992</v>
      </c>
      <c r="Q248" s="36">
        <f>Q132</f>
        <v>0.208999384174678</v>
      </c>
      <c r="R248" s="36">
        <f>R132</f>
        <v>0.207123054794707</v>
      </c>
      <c r="S248" s="36">
        <f>S132</f>
        <v>0.196154869289739</v>
      </c>
      <c r="T248" s="36">
        <f>T132</f>
        <v>0.209813785616305</v>
      </c>
      <c r="U248" s="36">
        <f>U132</f>
        <v>0.205657649181794</v>
      </c>
      <c r="V248" s="36">
        <f>V132</f>
        <v>0.215324561403509</v>
      </c>
      <c r="W248" s="36">
        <f>W132</f>
        <v>0.208370927039985</v>
      </c>
      <c r="X248" s="36">
        <f>X132</f>
        <v>0.213568067947536</v>
      </c>
      <c r="Y248" s="36">
        <f>Y132</f>
        <v>0.209820003829706</v>
      </c>
      <c r="Z248" s="36">
        <f>Z132</f>
        <v>0.211720555895524</v>
      </c>
      <c r="AA248" s="36">
        <f>AA132</f>
        <v>0.206525899464149</v>
      </c>
      <c r="AB248" s="36">
        <f>AB132</f>
        <v>0.206755363459316</v>
      </c>
      <c r="AC248" s="36">
        <f>AC132</f>
        <v>0.216709988860007</v>
      </c>
      <c r="AD248" s="36">
        <f>AD132</f>
        <v>0.216533284830848</v>
      </c>
      <c r="AE248" s="36">
        <f>AE132</f>
        <v>0.21153581632828</v>
      </c>
      <c r="AF248" s="36">
        <f>AF132</f>
        <v>0.207712884398161</v>
      </c>
      <c r="AG248" s="36">
        <f>AG132</f>
        <v>0.217392458768059</v>
      </c>
      <c r="AH248" s="36">
        <f>AH132</f>
        <v>0.217539448646346</v>
      </c>
      <c r="AI248" s="36">
        <f>AI132</f>
        <v>0.213124804087735</v>
      </c>
      <c r="AJ248" s="36">
        <f>AJ132</f>
        <v>0.214038426697109</v>
      </c>
      <c r="AK248" s="36">
        <f>AK132</f>
        <v>0.234003087458775</v>
      </c>
      <c r="AL248" s="36">
        <f>AL132</f>
        <v>0.260230279572129</v>
      </c>
      <c r="AM248" s="254">
        <f>AM132</f>
        <v>0.252497128573637</v>
      </c>
      <c r="AN248" s="254">
        <f>AN132</f>
        <v>0.248082484015026</v>
      </c>
      <c r="AO248" s="254">
        <f>AO132</f>
        <v>0.249017205124398</v>
      </c>
      <c r="AP248" s="254">
        <f>AP132</f>
        <v>0.225</v>
      </c>
      <c r="AQ248" s="254">
        <f>AQ132</f>
        <v>0.225</v>
      </c>
      <c r="AR248" s="254">
        <f>AR132</f>
        <v>0.225</v>
      </c>
      <c r="AS248" s="254">
        <f>AS132</f>
        <v>0.225</v>
      </c>
      <c r="AT248" s="19" t="n"/>
    </row>
    <row r="249">
      <c r="AT249" s="19" t="n"/>
    </row>
    <row r="250">
      <c r="B250" s="10" t="inlineStr">
        <is>
          <t>CONSOLIDATED STATEMENT OF CASH FLOWS</t>
        </is>
      </c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inlineStr">
        <is>
          <t>CASH FLOW — forecast logic (annual; 2026E = 1H/26 actual + 2H estimate; quarters = discrete, derived from year-to-date statements)</t>
        </is>
      </c>
    </row>
    <row r="251">
      <c r="B251" s="25" t="inlineStr">
        <is>
          <t>Net income (incl. discontinued operations &amp; NCI)</t>
        </is>
      </c>
      <c r="C251" s="34" t="n"/>
      <c r="D251" s="34" t="n"/>
      <c r="E251" s="34" t="n"/>
      <c r="F251" s="34" t="n"/>
      <c r="G251" s="34" t="n"/>
      <c r="H251" s="34" t="n"/>
      <c r="I251" s="34" t="n"/>
      <c r="J251" s="34" t="n">
        <v>176.731</v>
      </c>
      <c r="K251" s="34" t="n">
        <v>159.868</v>
      </c>
      <c r="L251" s="34" t="n">
        <v>58.534</v>
      </c>
      <c r="M251" s="34" t="n">
        <v>78.11199999999999</v>
      </c>
      <c r="N251" s="34" t="n">
        <v>61.43200000000002</v>
      </c>
      <c r="O251" s="34" t="n">
        <v>40.601</v>
      </c>
      <c r="P251" s="34" t="n">
        <v>238.679</v>
      </c>
      <c r="Q251" s="34" t="n">
        <v>56.403</v>
      </c>
      <c r="R251" s="34" t="n">
        <v>56.02400000000001</v>
      </c>
      <c r="S251" s="34" t="n">
        <v>53.31599999999999</v>
      </c>
      <c r="T251" s="34" t="n">
        <v>62.27000000000001</v>
      </c>
      <c r="U251" s="34" t="n">
        <v>228.013</v>
      </c>
      <c r="V251" s="34" t="n">
        <v>33.216</v>
      </c>
      <c r="W251" s="34" t="n">
        <v>67.22299999999998</v>
      </c>
      <c r="X251" s="34" t="n">
        <v>59.113</v>
      </c>
      <c r="Y251" s="34" t="n">
        <v>51.47200000000001</v>
      </c>
      <c r="Z251" s="34" t="n">
        <v>211.024</v>
      </c>
      <c r="AA251" s="34" t="n">
        <v>61.594</v>
      </c>
      <c r="AB251" s="34" t="n">
        <v>84.369</v>
      </c>
      <c r="AC251" s="34" t="n">
        <v>69.833</v>
      </c>
      <c r="AD251" s="34" t="n">
        <v>54.952</v>
      </c>
      <c r="AE251" s="34" t="n">
        <v>270.748</v>
      </c>
      <c r="AF251" s="34" t="n">
        <v>69.83199999999999</v>
      </c>
      <c r="AG251" s="34" t="n">
        <v>68.10400000000001</v>
      </c>
      <c r="AH251" s="34" t="n">
        <v>56.52099999999999</v>
      </c>
      <c r="AI251" s="34" t="n">
        <v>38.77500000000001</v>
      </c>
      <c r="AJ251" s="34" t="n">
        <v>233.232</v>
      </c>
      <c r="AK251" s="34" t="n">
        <v>49.237</v>
      </c>
      <c r="AL251" s="34" t="n">
        <v>33.98799999999999</v>
      </c>
      <c r="AM251" s="257" t="n"/>
      <c r="AN251" s="257" t="n"/>
      <c r="AO251" s="257">
        <f>AO154</f>
        <v>186.349650684931</v>
      </c>
      <c r="AP251" s="257">
        <f>AP154</f>
        <v>274.760559015759</v>
      </c>
      <c r="AQ251" s="257">
        <f>AQ154</f>
        <v>342.455667374207</v>
      </c>
      <c r="AR251" s="257">
        <f>AR154</f>
        <v>389.753788406904</v>
      </c>
      <c r="AS251" s="257">
        <f>AS154</f>
        <v>430.476265313004</v>
      </c>
      <c r="AT251" s="19" t="n"/>
    </row>
    <row r="252">
      <c r="B252" s="25" t="inlineStr">
        <is>
          <t>Adjustments:</t>
        </is>
      </c>
      <c r="C252" s="271" t="n"/>
      <c r="D252" s="271" t="n"/>
      <c r="E252" s="271" t="n"/>
      <c r="F252" s="271" t="n"/>
      <c r="G252" s="271" t="n"/>
      <c r="H252" s="271" t="n"/>
      <c r="I252" s="271" t="n"/>
      <c r="J252" s="271" t="n"/>
      <c r="K252" s="271" t="n"/>
      <c r="L252" s="271" t="n"/>
      <c r="M252" s="271" t="n"/>
      <c r="N252" s="271" t="n"/>
      <c r="O252" s="271" t="n"/>
      <c r="P252" s="271" t="n"/>
      <c r="Q252" s="271" t="n"/>
      <c r="R252" s="271" t="n"/>
      <c r="S252" s="271" t="n"/>
      <c r="T252" s="271" t="n"/>
      <c r="U252" s="271" t="n"/>
      <c r="V252" s="271" t="n"/>
      <c r="W252" s="271" t="n"/>
      <c r="X252" s="271" t="n"/>
      <c r="Y252" s="271" t="n"/>
      <c r="Z252" s="271" t="n"/>
      <c r="AA252" s="271" t="n"/>
      <c r="AB252" s="271" t="n"/>
      <c r="AC252" s="271" t="n"/>
      <c r="AD252" s="271" t="n"/>
      <c r="AE252" s="271" t="n"/>
      <c r="AF252" s="271" t="n"/>
      <c r="AG252" s="271" t="n"/>
      <c r="AH252" s="271" t="n"/>
      <c r="AI252" s="271" t="n"/>
      <c r="AJ252" s="271" t="n"/>
      <c r="AK252" s="271" t="n"/>
      <c r="AL252" s="271" t="n"/>
      <c r="AM252" s="269" t="n"/>
      <c r="AN252" s="269" t="n"/>
      <c r="AO252" s="269" t="n"/>
      <c r="AP252" s="269" t="n"/>
      <c r="AQ252" s="269" t="n"/>
      <c r="AR252" s="269" t="n"/>
      <c r="AS252" s="269" t="n"/>
      <c r="AT252" s="19" t="n"/>
    </row>
    <row r="253">
      <c r="B253" s="25" t="inlineStr">
        <is>
          <t xml:space="preserve">  Depreciation &amp; amortization</t>
        </is>
      </c>
      <c r="C253" s="34" t="n"/>
      <c r="D253" s="34" t="n"/>
      <c r="E253" s="34" t="n"/>
      <c r="F253" s="34" t="n"/>
      <c r="G253" s="34" t="n"/>
      <c r="H253" s="34" t="n"/>
      <c r="I253" s="34" t="n"/>
      <c r="J253" s="34" t="n">
        <v>80.072</v>
      </c>
      <c r="K253" s="34" t="n">
        <v>76.64400000000001</v>
      </c>
      <c r="L253" s="34" t="n">
        <v>18.72</v>
      </c>
      <c r="M253" s="34" t="n">
        <v>19.108</v>
      </c>
      <c r="N253" s="34" t="n">
        <v>19.477</v>
      </c>
      <c r="O253" s="34" t="n">
        <v>18.594</v>
      </c>
      <c r="P253" s="34" t="n">
        <v>75.899</v>
      </c>
      <c r="Q253" s="34" t="n">
        <v>16.689</v>
      </c>
      <c r="R253" s="34" t="n">
        <v>16.383</v>
      </c>
      <c r="S253" s="34" t="n">
        <v>15.627</v>
      </c>
      <c r="T253" s="34" t="n">
        <v>17.279</v>
      </c>
      <c r="U253" s="34" t="n">
        <v>65.97799999999999</v>
      </c>
      <c r="V253" s="34" t="n">
        <v>21.871</v>
      </c>
      <c r="W253" s="34" t="n">
        <v>17.69</v>
      </c>
      <c r="X253" s="34" t="n">
        <v>17.529</v>
      </c>
      <c r="Y253" s="34" t="n">
        <v>17.944</v>
      </c>
      <c r="Z253" s="34" t="n">
        <v>75.03400000000001</v>
      </c>
      <c r="AA253" s="34" t="n">
        <v>16.387</v>
      </c>
      <c r="AB253" s="34" t="n">
        <v>16.543</v>
      </c>
      <c r="AC253" s="34" t="n">
        <v>17.098</v>
      </c>
      <c r="AD253" s="34" t="n">
        <v>16.76200000000001</v>
      </c>
      <c r="AE253" s="34" t="n">
        <v>66.79000000000001</v>
      </c>
      <c r="AF253" s="34" t="n">
        <v>17.491</v>
      </c>
      <c r="AG253" s="34" t="n">
        <v>19.355</v>
      </c>
      <c r="AH253" s="34" t="n">
        <v>21.88500000000001</v>
      </c>
      <c r="AI253" s="34" t="n">
        <v>25.374</v>
      </c>
      <c r="AJ253" s="34" t="n">
        <v>84.105</v>
      </c>
      <c r="AK253" s="34" t="n">
        <v>23.868</v>
      </c>
      <c r="AL253" s="34" t="n">
        <v>27.868</v>
      </c>
      <c r="AM253" s="257" t="n"/>
      <c r="AN253" s="257" t="n"/>
      <c r="AO253" s="257">
        <f>AO162</f>
        <v>129.357232876712</v>
      </c>
      <c r="AP253" s="257">
        <f>AP162</f>
        <v>154.28765352084</v>
      </c>
      <c r="AQ253" s="257">
        <f>AQ162</f>
        <v>151.443776327466</v>
      </c>
      <c r="AR253" s="257">
        <f>AR162</f>
        <v>155.94137808181</v>
      </c>
      <c r="AS253" s="257">
        <f>AS162</f>
        <v>164.408221805042</v>
      </c>
      <c r="AT253" s="19" t="n"/>
    </row>
    <row r="254">
      <c r="B254" s="25" t="inlineStr">
        <is>
          <t xml:space="preserve">  Stock-based compensation</t>
        </is>
      </c>
      <c r="C254" s="34" t="n"/>
      <c r="D254" s="34" t="n"/>
      <c r="E254" s="34" t="n"/>
      <c r="F254" s="34" t="n"/>
      <c r="G254" s="34" t="n"/>
      <c r="H254" s="34" t="n"/>
      <c r="I254" s="34" t="n"/>
      <c r="J254" s="34" t="n">
        <v>5.875</v>
      </c>
      <c r="K254" s="34" t="n">
        <v>6.436</v>
      </c>
      <c r="L254" s="34" t="n">
        <v>1.586</v>
      </c>
      <c r="M254" s="34" t="n">
        <v>1.663</v>
      </c>
      <c r="N254" s="34" t="n">
        <v>1.702</v>
      </c>
      <c r="O254" s="34" t="n">
        <v>1.316000000000001</v>
      </c>
      <c r="P254" s="34" t="n">
        <v>6.267</v>
      </c>
      <c r="Q254" s="34" t="n">
        <v>1.728</v>
      </c>
      <c r="R254" s="34" t="n">
        <v>3.627000000000001</v>
      </c>
      <c r="S254" s="34" t="n">
        <v>4.177</v>
      </c>
      <c r="T254" s="34" t="n">
        <v>3.432</v>
      </c>
      <c r="U254" s="34" t="n">
        <v>12.964</v>
      </c>
      <c r="V254" s="34" t="n">
        <v>2.994</v>
      </c>
      <c r="W254" s="34" t="n">
        <v>4.468</v>
      </c>
      <c r="X254" s="34" t="n">
        <v>3.688000000000001</v>
      </c>
      <c r="Y254" s="34" t="n">
        <v>4.972</v>
      </c>
      <c r="Z254" s="34" t="n">
        <v>16.122</v>
      </c>
      <c r="AA254" s="34" t="n">
        <v>4.133</v>
      </c>
      <c r="AB254" s="34" t="n">
        <v>5.752999999999999</v>
      </c>
      <c r="AC254" s="34" t="n">
        <v>4.587000000000002</v>
      </c>
      <c r="AD254" s="34" t="n">
        <v>5.307</v>
      </c>
      <c r="AE254" s="34" t="n">
        <v>19.78</v>
      </c>
      <c r="AF254" s="34" t="n">
        <v>5.361</v>
      </c>
      <c r="AG254" s="34" t="n">
        <v>4.539000000000001</v>
      </c>
      <c r="AH254" s="34" t="n">
        <v>2.641999999999999</v>
      </c>
      <c r="AI254" s="34" t="n">
        <v>4.395000000000001</v>
      </c>
      <c r="AJ254" s="34" t="n">
        <v>16.937</v>
      </c>
      <c r="AK254" s="34" t="n">
        <v>3.948</v>
      </c>
      <c r="AL254" s="34" t="n">
        <v>6.433999999999999</v>
      </c>
      <c r="AM254" s="257" t="n"/>
      <c r="AN254" s="257" t="n"/>
      <c r="AO254" s="257">
        <f>AO163</f>
        <v>29.2745997518709</v>
      </c>
      <c r="AP254" s="257">
        <f>AP163</f>
        <v>38.241796934439</v>
      </c>
      <c r="AQ254" s="257">
        <f>AQ163</f>
        <v>39.3277858899133</v>
      </c>
      <c r="AR254" s="257">
        <f>AR163</f>
        <v>36.7526203912801</v>
      </c>
      <c r="AS254" s="257">
        <f>AS163</f>
        <v>34.3202304695514</v>
      </c>
      <c r="AT254" s="19" t="n"/>
    </row>
    <row r="255">
      <c r="B255" s="25" t="inlineStr">
        <is>
          <t xml:space="preserve">  Deferred income taxes</t>
        </is>
      </c>
      <c r="C255" s="34" t="n"/>
      <c r="D255" s="34" t="n"/>
      <c r="E255" s="34" t="n"/>
      <c r="F255" s="34" t="n"/>
      <c r="G255" s="34" t="n"/>
      <c r="H255" s="34" t="n"/>
      <c r="I255" s="34" t="n"/>
      <c r="J255" s="34" t="n">
        <v>-22.624</v>
      </c>
      <c r="K255" s="34" t="n">
        <v>-14.031</v>
      </c>
      <c r="L255" s="34" t="n">
        <v>-0.974</v>
      </c>
      <c r="M255" s="34" t="n">
        <v>-0.02300000000000002</v>
      </c>
      <c r="N255" s="34" t="n">
        <v>-1.713</v>
      </c>
      <c r="O255" s="34" t="n">
        <v>-5.934</v>
      </c>
      <c r="P255" s="34" t="n">
        <v>-8.644</v>
      </c>
      <c r="Q255" s="34" t="n">
        <v>3.509</v>
      </c>
      <c r="R255" s="34" t="n">
        <v>-10.855</v>
      </c>
      <c r="S255" s="34" t="n">
        <v>2.621</v>
      </c>
      <c r="T255" s="34" t="n">
        <v>-15.474</v>
      </c>
      <c r="U255" s="34" t="n">
        <v>-20.199</v>
      </c>
      <c r="V255" s="34" t="n">
        <v>2.29</v>
      </c>
      <c r="W255" s="34" t="n">
        <v>-1.292</v>
      </c>
      <c r="X255" s="34" t="n">
        <v>-0.242</v>
      </c>
      <c r="Y255" s="34" t="n">
        <v>-26.164</v>
      </c>
      <c r="Z255" s="34" t="n">
        <v>-25.408</v>
      </c>
      <c r="AA255" s="34" t="n">
        <v>-0.638</v>
      </c>
      <c r="AB255" s="34" t="n">
        <v>2.398</v>
      </c>
      <c r="AC255" s="34" t="n">
        <v>0.6340000000000001</v>
      </c>
      <c r="AD255" s="34" t="n">
        <v>-4.995</v>
      </c>
      <c r="AE255" s="34" t="n">
        <v>-2.601</v>
      </c>
      <c r="AF255" s="34" t="n">
        <v>-2.774</v>
      </c>
      <c r="AG255" s="34" t="n">
        <v>-3.987</v>
      </c>
      <c r="AH255" s="34" t="n">
        <v>-0.9459999999999997</v>
      </c>
      <c r="AI255" s="34" t="n">
        <v>-27.957</v>
      </c>
      <c r="AJ255" s="34" t="n">
        <v>-35.664</v>
      </c>
      <c r="AK255" s="34" t="n">
        <v>-4.771</v>
      </c>
      <c r="AL255" s="34" t="n">
        <v>-10.412</v>
      </c>
      <c r="AM255" s="257" t="n"/>
      <c r="AN255" s="257" t="n"/>
      <c r="AO255" s="257">
        <f>($AK$255+$AL$255)-AO81*0.25*0</f>
        <v>-15.183</v>
      </c>
      <c r="AP255" s="258" t="n">
        <v>0</v>
      </c>
      <c r="AQ255" s="258" t="n">
        <v>0</v>
      </c>
      <c r="AR255" s="258" t="n">
        <v>0</v>
      </c>
      <c r="AS255" s="258" t="n">
        <v>0</v>
      </c>
      <c r="AT255" s="19" t="n"/>
    </row>
    <row r="256">
      <c r="B256" s="25" t="inlineStr">
        <is>
          <t xml:space="preserve">  Non-cash restructuring, impairment &amp; (gains) losses</t>
        </is>
      </c>
      <c r="C256" s="34" t="n"/>
      <c r="D256" s="34" t="n"/>
      <c r="E256" s="34" t="n"/>
      <c r="F256" s="34" t="n"/>
      <c r="G256" s="34" t="n"/>
      <c r="H256" s="34" t="n"/>
      <c r="I256" s="34" t="n"/>
      <c r="J256" s="34" t="n">
        <v>-0.667</v>
      </c>
      <c r="K256" s="34" t="n">
        <v>-3.37</v>
      </c>
      <c r="L256" s="34" t="n">
        <v>0</v>
      </c>
      <c r="M256" s="34" t="n">
        <v>0</v>
      </c>
      <c r="N256" s="34" t="n">
        <v>0</v>
      </c>
      <c r="O256" s="34" t="n">
        <v>-0.447</v>
      </c>
      <c r="P256" s="34" t="n">
        <v>-0.447</v>
      </c>
      <c r="Q256" s="34" t="n">
        <v>0</v>
      </c>
      <c r="R256" s="34" t="n">
        <v>0</v>
      </c>
      <c r="S256" s="34" t="n">
        <v>-3.3</v>
      </c>
      <c r="T256" s="34" t="n">
        <v>-5.835999999999999</v>
      </c>
      <c r="U256" s="34" t="n">
        <v>-9.135999999999999</v>
      </c>
      <c r="V256" s="34" t="n">
        <v>0</v>
      </c>
      <c r="W256" s="34" t="n">
        <v>0</v>
      </c>
      <c r="X256" s="34" t="n">
        <v>0</v>
      </c>
      <c r="Y256" s="34" t="n">
        <v>0</v>
      </c>
      <c r="Z256" s="34" t="n">
        <v>0</v>
      </c>
      <c r="AA256" s="34" t="n">
        <v>0</v>
      </c>
      <c r="AB256" s="34" t="n">
        <v>0</v>
      </c>
      <c r="AC256" s="34" t="n">
        <v>0</v>
      </c>
      <c r="AD256" s="34" t="n">
        <v>0</v>
      </c>
      <c r="AE256" s="34" t="n">
        <v>0</v>
      </c>
      <c r="AF256" s="34" t="n">
        <v>-5.665</v>
      </c>
      <c r="AG256" s="34" t="n">
        <v>-0.03800000000000026</v>
      </c>
      <c r="AH256" s="34" t="n">
        <v>0.006000000000000227</v>
      </c>
      <c r="AI256" s="34" t="n">
        <v>0.05200000000000049</v>
      </c>
      <c r="AJ256" s="34" t="n">
        <v>-5.645</v>
      </c>
      <c r="AK256" s="34" t="n">
        <v>-0.056</v>
      </c>
      <c r="AL256" s="34" t="n">
        <v>-0.003999999999999997</v>
      </c>
      <c r="AM256" s="257" t="n"/>
      <c r="AN256" s="257" t="n"/>
      <c r="AO256" s="257">
        <f>($AK$256+$AL$256)</f>
        <v>-0.06</v>
      </c>
      <c r="AP256" s="258" t="n">
        <v>0</v>
      </c>
      <c r="AQ256" s="258" t="n">
        <v>0</v>
      </c>
      <c r="AR256" s="258" t="n">
        <v>0</v>
      </c>
      <c r="AS256" s="258" t="n">
        <v>0</v>
      </c>
      <c r="AT256" s="19" t="n"/>
    </row>
    <row r="257">
      <c r="B257" s="25" t="inlineStr">
        <is>
          <t xml:space="preserve">  Other non-cash items &amp; discontinued-operations cash, net (derived)</t>
        </is>
      </c>
      <c r="C257" s="34" t="n"/>
      <c r="D257" s="34" t="n"/>
      <c r="E257" s="34" t="n"/>
      <c r="F257" s="34" t="n"/>
      <c r="G257" s="34" t="n"/>
      <c r="H257" s="34" t="n"/>
      <c r="I257" s="34" t="n"/>
      <c r="J257" s="34" t="n">
        <v>33.61599999999999</v>
      </c>
      <c r="K257" s="34" t="n">
        <v>0</v>
      </c>
      <c r="L257" s="34" t="n">
        <v>1.4210854715202e-14</v>
      </c>
      <c r="M257" s="34" t="n">
        <v>-11.20799999999999</v>
      </c>
      <c r="N257" s="34" t="n">
        <v>-2.842170943040401e-14</v>
      </c>
      <c r="O257" s="34" t="n">
        <v>-7.105427357601002e-15</v>
      </c>
      <c r="P257" s="34" t="n">
        <v>-11.20799999999994</v>
      </c>
      <c r="Q257" s="34" t="n">
        <v>0</v>
      </c>
      <c r="R257" s="34" t="n">
        <v>0.5969999999999942</v>
      </c>
      <c r="S257" s="34" t="n">
        <v>1.076000000000036</v>
      </c>
      <c r="T257" s="34" t="n">
        <v>0.5379999999999967</v>
      </c>
      <c r="U257" s="34" t="n">
        <v>2.21100000000007</v>
      </c>
      <c r="V257" s="34" t="n">
        <v>0.2989999999999995</v>
      </c>
      <c r="W257" s="34" t="n">
        <v>0.2980000000000231</v>
      </c>
      <c r="X257" s="34" t="n">
        <v>0.2989999999999924</v>
      </c>
      <c r="Y257" s="34" t="n">
        <v>0.299000000000035</v>
      </c>
      <c r="Z257" s="34" t="n">
        <v>1.19500000000005</v>
      </c>
      <c r="AA257" s="34" t="n">
        <v>13.21700000000001</v>
      </c>
      <c r="AB257" s="34" t="n">
        <v>0.5700000000000074</v>
      </c>
      <c r="AC257" s="34" t="n">
        <v>0.6269999999999953</v>
      </c>
      <c r="AD257" s="34" t="n">
        <v>0.6269999999999953</v>
      </c>
      <c r="AE257" s="34" t="n">
        <v>15.041</v>
      </c>
      <c r="AF257" s="34" t="n">
        <v>0.6280000000000072</v>
      </c>
      <c r="AG257" s="34" t="n">
        <v>0.6269999999999882</v>
      </c>
      <c r="AH257" s="34" t="n">
        <v>0.6270000000000238</v>
      </c>
      <c r="AI257" s="34" t="n">
        <v>0.9819999999999993</v>
      </c>
      <c r="AJ257" s="34" t="n">
        <v>2.863999999999976</v>
      </c>
      <c r="AK257" s="34" t="n">
        <v>5.764000000000003</v>
      </c>
      <c r="AL257" s="34" t="n">
        <v>1.539999999999992</v>
      </c>
      <c r="AM257" s="257" t="n"/>
      <c r="AN257" s="257" t="n"/>
      <c r="AO257" s="257">
        <f>($AK$257+$AL$257)</f>
        <v>7.304</v>
      </c>
      <c r="AP257" s="258" t="n">
        <v>0</v>
      </c>
      <c r="AQ257" s="258" t="n">
        <v>0</v>
      </c>
      <c r="AR257" s="258" t="n">
        <v>0</v>
      </c>
      <c r="AS257" s="258" t="n">
        <v>0</v>
      </c>
      <c r="AT257" s="19" t="inlineStr">
        <is>
          <t>Includes asbestos payments net of insurance recoveries (discontinued operations). The 2H/26 inventory step-up is non-cash but runs through the inventory (working-capital) line in the forecast.</t>
        </is>
      </c>
    </row>
    <row r="258">
      <c r="B258" s="25" t="inlineStr">
        <is>
          <t xml:space="preserve">  Changes in operating assets &amp; liabilities, net</t>
        </is>
      </c>
      <c r="C258" s="34" t="n"/>
      <c r="D258" s="34" t="n"/>
      <c r="E258" s="34" t="n"/>
      <c r="F258" s="34" t="n"/>
      <c r="G258" s="34" t="n"/>
      <c r="H258" s="34" t="n"/>
      <c r="I258" s="34" t="n"/>
      <c r="J258" s="34" t="n">
        <v>-23.171</v>
      </c>
      <c r="K258" s="34" t="n">
        <v>83.634</v>
      </c>
      <c r="L258" s="34" t="n">
        <v>-15.019</v>
      </c>
      <c r="M258" s="34" t="n">
        <v>-27.88000000000001</v>
      </c>
      <c r="N258" s="34" t="n">
        <v>-11.43999999999999</v>
      </c>
      <c r="O258" s="34" t="n">
        <v>4.530000000000001</v>
      </c>
      <c r="P258" s="34" t="n">
        <v>-49.809</v>
      </c>
      <c r="Q258" s="34" t="n">
        <v>-62.23999999999999</v>
      </c>
      <c r="R258" s="34" t="n">
        <v>-38.455</v>
      </c>
      <c r="S258" s="34" t="n">
        <v>5.988</v>
      </c>
      <c r="T258" s="34" t="n">
        <v>29.23399999999999</v>
      </c>
      <c r="U258" s="34" t="n">
        <v>-65.473</v>
      </c>
      <c r="V258" s="34" t="n">
        <v>-22.603</v>
      </c>
      <c r="W258" s="34" t="n">
        <v>-25.733</v>
      </c>
      <c r="X258" s="34" t="n">
        <v>26.991</v>
      </c>
      <c r="Y258" s="34" t="n">
        <v>73.872</v>
      </c>
      <c r="Z258" s="34" t="n">
        <v>52.527</v>
      </c>
      <c r="AA258" s="34" t="n">
        <v>-50.226</v>
      </c>
      <c r="AB258" s="34" t="n">
        <v>-26.617</v>
      </c>
      <c r="AC258" s="34" t="n">
        <v>8.260999999999996</v>
      </c>
      <c r="AD258" s="34" t="n">
        <v>54.22300000000001</v>
      </c>
      <c r="AE258" s="34" t="n">
        <v>-14.359</v>
      </c>
      <c r="AF258" s="34" t="n">
        <v>-49.463</v>
      </c>
      <c r="AG258" s="34" t="n">
        <v>-41.97299999999999</v>
      </c>
      <c r="AH258" s="34" t="n">
        <v>0.7419999999999902</v>
      </c>
      <c r="AI258" s="34" t="n">
        <v>55.432</v>
      </c>
      <c r="AJ258" s="34" t="n">
        <v>-35.262</v>
      </c>
      <c r="AK258" s="34" t="n">
        <v>-31.075</v>
      </c>
      <c r="AL258" s="34" t="n">
        <v>-25.99099999999999</v>
      </c>
      <c r="AM258" s="257" t="n"/>
      <c r="AN258" s="257" t="n"/>
      <c r="AO258" s="257">
        <f>($AK$258+$AL$258)-(AO304-$AL$304)-(AO305-$AL$305)+(AO315-$AL$315)+(AO316-$AL$316)</f>
        <v>-11.3931192577023</v>
      </c>
      <c r="AP258" s="257">
        <f>-(AP304-AO304)-(AP305-AO305)+(AP315-AO315)+(AP316-AO316)</f>
        <v>-13.3866443857527</v>
      </c>
      <c r="AQ258" s="257">
        <f>-(AQ304-AP304)-(AQ305-AP305)+(AQ315-AP315)+(AQ316-AP316)</f>
        <v>-12.9695736570253</v>
      </c>
      <c r="AR258" s="257">
        <f>-(AR304-AQ304)-(AR305-AQ305)+(AR315-AQ315)+(AR316-AQ316)</f>
        <v>-19.4069544881785</v>
      </c>
      <c r="AS258" s="257">
        <f>-(AS304-AR304)-(AS305-AR305)+(AS315-AR315)+(AS316-AR316)</f>
        <v>-21.9955187743238</v>
      </c>
      <c r="AT258" s="19" t="n"/>
    </row>
    <row r="259">
      <c r="B259" s="16" t="inlineStr">
        <is>
          <t>Net cash provided by operating activities</t>
        </is>
      </c>
      <c r="C259" s="43" t="n"/>
      <c r="D259" s="43" t="n"/>
      <c r="E259" s="43" t="n"/>
      <c r="F259" s="43" t="n"/>
      <c r="G259" s="43" t="n"/>
      <c r="H259" s="43" t="n"/>
      <c r="I259" s="43" t="n"/>
      <c r="J259" s="31" t="n">
        <v>249.832</v>
      </c>
      <c r="K259" s="31" t="n">
        <v>309.181</v>
      </c>
      <c r="L259" s="31" t="n">
        <v>62.847</v>
      </c>
      <c r="M259" s="31" t="n">
        <v>59.772</v>
      </c>
      <c r="N259" s="31" t="n">
        <v>69.458</v>
      </c>
      <c r="O259" s="31" t="n">
        <v>58.66</v>
      </c>
      <c r="P259" s="31" t="n">
        <v>250.737</v>
      </c>
      <c r="Q259" s="31" t="n">
        <v>16.089</v>
      </c>
      <c r="R259" s="31" t="n">
        <v>27.321</v>
      </c>
      <c r="S259" s="31" t="n">
        <v>79.50500000000001</v>
      </c>
      <c r="T259" s="31" t="n">
        <v>91.443</v>
      </c>
      <c r="U259" s="31" t="n">
        <v>214.358</v>
      </c>
      <c r="V259" s="31" t="n">
        <v>38.067</v>
      </c>
      <c r="W259" s="31" t="n">
        <v>62.654</v>
      </c>
      <c r="X259" s="31" t="n">
        <v>107.378</v>
      </c>
      <c r="Y259" s="31" t="n">
        <v>122.395</v>
      </c>
      <c r="Z259" s="31" t="n">
        <v>330.494</v>
      </c>
      <c r="AA259" s="31" t="n">
        <v>44.467</v>
      </c>
      <c r="AB259" s="31" t="n">
        <v>83.01600000000001</v>
      </c>
      <c r="AC259" s="31" t="n">
        <v>101.04</v>
      </c>
      <c r="AD259" s="31" t="n">
        <v>126.876</v>
      </c>
      <c r="AE259" s="31" t="n">
        <v>355.399</v>
      </c>
      <c r="AF259" s="31" t="n">
        <v>35.41</v>
      </c>
      <c r="AG259" s="31" t="n">
        <v>46.62700000000001</v>
      </c>
      <c r="AH259" s="31" t="n">
        <v>81.477</v>
      </c>
      <c r="AI259" s="31" t="n">
        <v>97.053</v>
      </c>
      <c r="AJ259" s="31" t="n">
        <v>260.567</v>
      </c>
      <c r="AK259" s="31" t="n">
        <v>46.915</v>
      </c>
      <c r="AL259" s="31" t="n">
        <v>33.42299999999999</v>
      </c>
      <c r="AM259" s="253" t="n"/>
      <c r="AN259" s="253" t="n"/>
      <c r="AO259" s="253">
        <f>SUM(AO251:AO258)</f>
        <v>325.649364055812</v>
      </c>
      <c r="AP259" s="253">
        <f>SUM(AP251:AP258)</f>
        <v>453.903365085286</v>
      </c>
      <c r="AQ259" s="253">
        <f>SUM(AQ251:AQ258)</f>
        <v>520.257655934561</v>
      </c>
      <c r="AR259" s="253">
        <f>SUM(AR251:AR258)</f>
        <v>563.040832391815</v>
      </c>
      <c r="AS259" s="253">
        <f>SUM(AS251:AS258)</f>
        <v>607.209198813274</v>
      </c>
      <c r="AT259" s="19" t="n"/>
      <c r="AV259" s="20">
        <f>IFERROR((AS259/AJ259)^(1/5)-1,"n/m")</f>
        <v>0.184360148803683</v>
      </c>
      <c r="AW259" s="20">
        <f>IFERROR((AJ259/K259)^(1/5)-1,"n/m")</f>
        <v>-0.0336347088110007</v>
      </c>
      <c r="AX259" s="20" t="str">
        <f>IFERROR((AJ259/F259)^(1/10)-1,"n/m")</f>
        <v>n/m</v>
      </c>
      <c r="AY259" s="20" t="str">
        <f>IFERROR((AJ259/C259)^(1/13)-1,"n/m")</f>
        <v>n/m</v>
      </c>
    </row>
    <row r="260">
      <c r="B260" s="25" t="inlineStr">
        <is>
          <t>Purchases of property, plant &amp; equipment</t>
        </is>
      </c>
      <c r="C260" s="34" t="n"/>
      <c r="D260" s="34" t="n"/>
      <c r="E260" s="34" t="n"/>
      <c r="F260" s="34" t="n"/>
      <c r="G260" s="34" t="n"/>
      <c r="H260" s="34" t="n"/>
      <c r="I260" s="34" t="n"/>
      <c r="J260" s="34" t="n">
        <v>-44.454</v>
      </c>
      <c r="K260" s="34" t="n">
        <v>-40.138</v>
      </c>
      <c r="L260" s="34" t="n">
        <v>-4.7</v>
      </c>
      <c r="M260" s="34" t="n">
        <v>-6.145</v>
      </c>
      <c r="N260" s="34" t="n">
        <v>-8.005999999999998</v>
      </c>
      <c r="O260" s="34" t="n">
        <v>-16.733</v>
      </c>
      <c r="P260" s="34" t="n">
        <v>-35.584</v>
      </c>
      <c r="Q260" s="34" t="n">
        <v>-5.903</v>
      </c>
      <c r="R260" s="34" t="n">
        <v>-7.788000000000001</v>
      </c>
      <c r="S260" s="34" t="n">
        <v>-8.304999999999998</v>
      </c>
      <c r="T260" s="34" t="n">
        <v>-18.247</v>
      </c>
      <c r="U260" s="34" t="n">
        <v>-40.243</v>
      </c>
      <c r="V260" s="34" t="n">
        <v>-7.709</v>
      </c>
      <c r="W260" s="34" t="n">
        <v>-9.289999999999999</v>
      </c>
      <c r="X260" s="34" t="n">
        <v>-11.866</v>
      </c>
      <c r="Y260" s="34" t="n">
        <v>-19.313</v>
      </c>
      <c r="Z260" s="34" t="n">
        <v>-48.178</v>
      </c>
      <c r="AA260" s="34" t="n">
        <v>-7.414</v>
      </c>
      <c r="AB260" s="34" t="n">
        <v>-9.023000000000001</v>
      </c>
      <c r="AC260" s="34" t="n">
        <v>-10.634</v>
      </c>
      <c r="AD260" s="34" t="n">
        <v>-24.708</v>
      </c>
      <c r="AE260" s="34" t="n">
        <v>-51.779</v>
      </c>
      <c r="AF260" s="34" t="n">
        <v>-7.294</v>
      </c>
      <c r="AG260" s="34" t="n">
        <v>-9.18</v>
      </c>
      <c r="AH260" s="34" t="n">
        <v>-11.18</v>
      </c>
      <c r="AI260" s="34" t="n">
        <v>-19.633</v>
      </c>
      <c r="AJ260" s="34" t="n">
        <v>-47.287</v>
      </c>
      <c r="AK260" s="34" t="n">
        <v>-13.703</v>
      </c>
      <c r="AL260" s="34" t="n">
        <v>-17.745</v>
      </c>
      <c r="AM260" s="257" t="n"/>
      <c r="AN260" s="257" t="n"/>
      <c r="AO260" s="257">
        <f>-CHOOSE(MATCH($AT$2,{"Bull","Base","Bear"},0),$BC$16,$BD$16,$BE$16)</f>
        <v>-70</v>
      </c>
      <c r="AP260" s="257">
        <f>-AP136*AP288</f>
        <v>-75.2799280857934</v>
      </c>
      <c r="AQ260" s="257">
        <f>-AQ136*AQ288</f>
        <v>-78.9555830120143</v>
      </c>
      <c r="AR260" s="257">
        <f>-AR136*AR288</f>
        <v>-83.7780997858712</v>
      </c>
      <c r="AS260" s="257">
        <f>-AS136*AS288</f>
        <v>-89.0838569738662</v>
      </c>
      <c r="AT260" s="19" t="n"/>
    </row>
    <row r="261">
      <c r="B261" s="25" t="inlineStr">
        <is>
          <t>Acquisitions, net of cash received</t>
        </is>
      </c>
      <c r="C261" s="34" t="n"/>
      <c r="D261" s="34" t="n"/>
      <c r="E261" s="34" t="n"/>
      <c r="F261" s="34" t="n"/>
      <c r="G261" s="34" t="n"/>
      <c r="H261" s="34" t="n"/>
      <c r="I261" s="34" t="n"/>
      <c r="J261" s="34" t="n">
        <v>0</v>
      </c>
      <c r="K261" s="34" t="n">
        <v>0</v>
      </c>
      <c r="L261" s="34" t="n">
        <v>-4.859</v>
      </c>
      <c r="M261" s="34" t="n">
        <v>-0.0259999999999998</v>
      </c>
      <c r="N261" s="34" t="n">
        <v>0</v>
      </c>
      <c r="O261" s="34" t="n">
        <v>0</v>
      </c>
      <c r="P261" s="34" t="n">
        <v>-4.885</v>
      </c>
      <c r="Q261" s="34" t="n">
        <v>0</v>
      </c>
      <c r="R261" s="34" t="n">
        <v>0</v>
      </c>
      <c r="S261" s="34" t="n">
        <v>0</v>
      </c>
      <c r="T261" s="34" t="n">
        <v>-149.029</v>
      </c>
      <c r="U261" s="34" t="n">
        <v>-149.029</v>
      </c>
      <c r="V261" s="34" t="n">
        <v>-18.721</v>
      </c>
      <c r="W261" s="34" t="n">
        <v>0.4860000000000007</v>
      </c>
      <c r="X261" s="34" t="n">
        <v>-0.4299999999999997</v>
      </c>
      <c r="Y261" s="34" t="n">
        <v>0</v>
      </c>
      <c r="Z261" s="34" t="n">
        <v>-18.665</v>
      </c>
      <c r="AA261" s="34" t="n">
        <v>-18.067</v>
      </c>
      <c r="AB261" s="34" t="n">
        <v>0.01699999999999946</v>
      </c>
      <c r="AC261" s="34" t="n">
        <v>-68.48700000000001</v>
      </c>
      <c r="AD261" s="34" t="n">
        <v>-67.12699999999998</v>
      </c>
      <c r="AE261" s="34" t="n">
        <v>-153.664</v>
      </c>
      <c r="AF261" s="34" t="n">
        <v>0</v>
      </c>
      <c r="AG261" s="34" t="n">
        <v>-86.252</v>
      </c>
      <c r="AH261" s="34" t="n">
        <v>-353.417</v>
      </c>
      <c r="AI261" s="34" t="n">
        <v>1.354999999999961</v>
      </c>
      <c r="AJ261" s="34" t="n">
        <v>-438.314</v>
      </c>
      <c r="AK261" s="34" t="n">
        <v>0</v>
      </c>
      <c r="AL261" s="34" t="n">
        <v>-1469.372</v>
      </c>
      <c r="AM261" s="257" t="n"/>
      <c r="AN261" s="257" t="n"/>
      <c r="AO261" s="257">
        <f>($AK$261+$AL$261)</f>
        <v>-1469.372</v>
      </c>
      <c r="AP261" s="257">
        <f>-AP87</f>
        <v>0</v>
      </c>
      <c r="AQ261" s="257">
        <f>-AQ87</f>
        <v>-150</v>
      </c>
      <c r="AR261" s="257">
        <f>-AR87</f>
        <v>-200</v>
      </c>
      <c r="AS261" s="257">
        <f>-AS87</f>
        <v>-200</v>
      </c>
      <c r="AT261" s="19" t="inlineStr">
        <is>
          <t>2026E: 1H/26 actual (incl. Eddyfi ~$1.4bn net of cash). 2027E+: M&amp;A lever.</t>
        </is>
      </c>
    </row>
    <row r="262">
      <c r="B262" s="25" t="inlineStr">
        <is>
          <t>Proceeds from sale of property, plant &amp; equipment</t>
        </is>
      </c>
      <c r="C262" s="34" t="n"/>
      <c r="D262" s="34" t="n"/>
      <c r="E262" s="34" t="n"/>
      <c r="F262" s="34" t="n"/>
      <c r="G262" s="34" t="n"/>
      <c r="H262" s="34" t="n"/>
      <c r="I262" s="34" t="n"/>
      <c r="J262" s="34" t="n">
        <v>6.99</v>
      </c>
      <c r="K262" s="34" t="n">
        <v>5.565</v>
      </c>
      <c r="L262" s="34" t="n">
        <v>0.153</v>
      </c>
      <c r="M262" s="34" t="n">
        <v>1.209</v>
      </c>
      <c r="N262" s="34" t="n">
        <v>-0.2830000000000001</v>
      </c>
      <c r="O262" s="34" t="n">
        <v>4.125</v>
      </c>
      <c r="P262" s="34" t="n">
        <v>5.204</v>
      </c>
      <c r="Q262" s="34" t="n">
        <v>2.746</v>
      </c>
      <c r="R262" s="34" t="n">
        <v>0.6120000000000001</v>
      </c>
      <c r="S262" s="34" t="n">
        <v>0.964</v>
      </c>
      <c r="T262" s="34" t="n">
        <v>0.5270000000000001</v>
      </c>
      <c r="U262" s="34" t="n">
        <v>4.849</v>
      </c>
      <c r="V262" s="34" t="n">
        <v>0.681</v>
      </c>
      <c r="W262" s="34" t="n">
        <v>1.255</v>
      </c>
      <c r="X262" s="34" t="n">
        <v>3.235</v>
      </c>
      <c r="Y262" s="34" t="n">
        <v>-0.5710000000000006</v>
      </c>
      <c r="Z262" s="34" t="n">
        <v>4.6</v>
      </c>
      <c r="AA262" s="34" t="n">
        <v>0.368</v>
      </c>
      <c r="AB262" s="34" t="n">
        <v>0.24</v>
      </c>
      <c r="AC262" s="34" t="n">
        <v>2.844</v>
      </c>
      <c r="AD262" s="34" t="n">
        <v>0.3530000000000002</v>
      </c>
      <c r="AE262" s="34" t="n">
        <v>3.805</v>
      </c>
      <c r="AF262" s="34" t="n">
        <v>4.605</v>
      </c>
      <c r="AG262" s="34" t="n">
        <v>0.1269999999999998</v>
      </c>
      <c r="AH262" s="34" t="n">
        <v>-0.001000000000000334</v>
      </c>
      <c r="AI262" s="34" t="n">
        <v>1.804</v>
      </c>
      <c r="AJ262" s="34" t="n">
        <v>6.535</v>
      </c>
      <c r="AK262" s="34" t="n">
        <v>0.275</v>
      </c>
      <c r="AL262" s="34" t="n">
        <v>0.08399999999999996</v>
      </c>
      <c r="AM262" s="257" t="n"/>
      <c r="AN262" s="257" t="n"/>
      <c r="AO262" s="257">
        <f>($AK$262+$AL$262)</f>
        <v>0.359</v>
      </c>
      <c r="AP262" s="258" t="n">
        <v>0</v>
      </c>
      <c r="AQ262" s="258" t="n">
        <v>0</v>
      </c>
      <c r="AR262" s="258" t="n">
        <v>0</v>
      </c>
      <c r="AS262" s="258" t="n">
        <v>0</v>
      </c>
      <c r="AT262" s="19" t="n"/>
    </row>
    <row r="263">
      <c r="B263" s="25" t="inlineStr">
        <is>
          <t>Other investing activities, net (derived)</t>
        </is>
      </c>
      <c r="C263" s="34" t="n"/>
      <c r="D263" s="34" t="n"/>
      <c r="E263" s="34" t="n"/>
      <c r="F263" s="34" t="n"/>
      <c r="G263" s="34" t="n"/>
      <c r="H263" s="34" t="n"/>
      <c r="I263" s="34" t="n"/>
      <c r="J263" s="34" t="n">
        <v>0</v>
      </c>
      <c r="K263" s="34" t="n">
        <v>0</v>
      </c>
      <c r="L263" s="34" t="n">
        <v>0</v>
      </c>
      <c r="M263" s="34" t="n">
        <v>0</v>
      </c>
      <c r="N263" s="34" t="n">
        <v>-1.77635683940025e-15</v>
      </c>
      <c r="O263" s="34" t="n">
        <v>3.552713678800501e-15</v>
      </c>
      <c r="P263" s="34" t="n">
        <v>0</v>
      </c>
      <c r="Q263" s="34" t="n">
        <v>-4.440892098500626e-16</v>
      </c>
      <c r="R263" s="34" t="n">
        <v>8.881784197001252e-16</v>
      </c>
      <c r="S263" s="34" t="n">
        <v>-1.77635683940025e-15</v>
      </c>
      <c r="T263" s="34" t="n">
        <v>2.842170943040401e-14</v>
      </c>
      <c r="U263" s="34" t="n">
        <v>0</v>
      </c>
      <c r="V263" s="34" t="n">
        <v>0</v>
      </c>
      <c r="W263" s="34" t="n">
        <v>-4.440892098500626e-15</v>
      </c>
      <c r="X263" s="34" t="n">
        <v>0</v>
      </c>
      <c r="Y263" s="34" t="n">
        <v>0</v>
      </c>
      <c r="Z263" s="34" t="n">
        <v>-1.4210854715202e-14</v>
      </c>
      <c r="AA263" s="34" t="n">
        <v>-1.500999999999998</v>
      </c>
      <c r="AB263" s="34" t="n">
        <v>-1.558</v>
      </c>
      <c r="AC263" s="34" t="n">
        <v>-0.998999999999981</v>
      </c>
      <c r="AD263" s="34" t="n">
        <v>-1.4210854715202e-14</v>
      </c>
      <c r="AE263" s="34" t="n">
        <v>-4.058000000000021</v>
      </c>
      <c r="AF263" s="34" t="n">
        <v>-8.881784197001252e-16</v>
      </c>
      <c r="AG263" s="34" t="n">
        <v>-0.5000000000000142</v>
      </c>
      <c r="AH263" s="34" t="n">
        <v>1.038999999999987</v>
      </c>
      <c r="AI263" s="34" t="n">
        <v>-1.354999999999968</v>
      </c>
      <c r="AJ263" s="34" t="n">
        <v>-0.8160000000000309</v>
      </c>
      <c r="AK263" s="34" t="n">
        <v>-1.77635683940025e-15</v>
      </c>
      <c r="AL263" s="34" t="n">
        <v>0</v>
      </c>
      <c r="AM263" s="257" t="n"/>
      <c r="AN263" s="257" t="n"/>
      <c r="AO263" s="257">
        <f>($AK$263+$AL$263)</f>
        <v>-1.77635683940025e-15</v>
      </c>
      <c r="AP263" s="258" t="n">
        <v>0</v>
      </c>
      <c r="AQ263" s="258" t="n">
        <v>0</v>
      </c>
      <c r="AR263" s="258" t="n">
        <v>0</v>
      </c>
      <c r="AS263" s="258" t="n">
        <v>0</v>
      </c>
      <c r="AT263" s="19" t="n"/>
    </row>
    <row r="264">
      <c r="B264" s="16" t="inlineStr">
        <is>
          <t>Net cash used in investing activities</t>
        </is>
      </c>
      <c r="C264" s="43" t="n"/>
      <c r="D264" s="43" t="n"/>
      <c r="E264" s="43" t="n"/>
      <c r="F264" s="43" t="n"/>
      <c r="G264" s="43" t="n"/>
      <c r="H264" s="43" t="n"/>
      <c r="I264" s="43" t="n"/>
      <c r="J264" s="31" t="n">
        <v>-37.464</v>
      </c>
      <c r="K264" s="31" t="n">
        <v>-34.573</v>
      </c>
      <c r="L264" s="31" t="n">
        <v>-9.406000000000001</v>
      </c>
      <c r="M264" s="31" t="n">
        <v>-4.962</v>
      </c>
      <c r="N264" s="31" t="n">
        <v>-8.289</v>
      </c>
      <c r="O264" s="31" t="n">
        <v>-12.608</v>
      </c>
      <c r="P264" s="31" t="n">
        <v>-35.265</v>
      </c>
      <c r="Q264" s="31" t="n">
        <v>-3.157</v>
      </c>
      <c r="R264" s="31" t="n">
        <v>-7.176</v>
      </c>
      <c r="S264" s="31" t="n">
        <v>-7.340999999999999</v>
      </c>
      <c r="T264" s="31" t="n">
        <v>-166.749</v>
      </c>
      <c r="U264" s="31" t="n">
        <v>-184.423</v>
      </c>
      <c r="V264" s="31" t="n">
        <v>-25.749</v>
      </c>
      <c r="W264" s="31" t="n">
        <v>-7.549000000000003</v>
      </c>
      <c r="X264" s="31" t="n">
        <v>-9.061</v>
      </c>
      <c r="Y264" s="31" t="n">
        <v>-19.884</v>
      </c>
      <c r="Z264" s="31" t="n">
        <v>-62.243</v>
      </c>
      <c r="AA264" s="31" t="n">
        <v>-26.614</v>
      </c>
      <c r="AB264" s="31" t="n">
        <v>-10.324</v>
      </c>
      <c r="AC264" s="31" t="n">
        <v>-77.276</v>
      </c>
      <c r="AD264" s="31" t="n">
        <v>-91.482</v>
      </c>
      <c r="AE264" s="31" t="n">
        <v>-205.696</v>
      </c>
      <c r="AF264" s="31" t="n">
        <v>-2.689</v>
      </c>
      <c r="AG264" s="31" t="n">
        <v>-95.80500000000001</v>
      </c>
      <c r="AH264" s="31" t="n">
        <v>-363.559</v>
      </c>
      <c r="AI264" s="31" t="n">
        <v>-17.82900000000001</v>
      </c>
      <c r="AJ264" s="31" t="n">
        <v>-479.882</v>
      </c>
      <c r="AK264" s="31" t="n">
        <v>-13.428</v>
      </c>
      <c r="AL264" s="31" t="n">
        <v>-1487.033</v>
      </c>
      <c r="AM264" s="253" t="n"/>
      <c r="AN264" s="253" t="n"/>
      <c r="AO264" s="253">
        <f>AO260+AO261+AO262+AO263</f>
        <v>-1539.013</v>
      </c>
      <c r="AP264" s="253">
        <f>AP260+AP261+AP262+AP263</f>
        <v>-75.2799280857934</v>
      </c>
      <c r="AQ264" s="253">
        <f>AQ260+AQ261+AQ262+AQ263</f>
        <v>-228.955583012014</v>
      </c>
      <c r="AR264" s="253">
        <f>AR260+AR261+AR262+AR263</f>
        <v>-283.778099785871</v>
      </c>
      <c r="AS264" s="253">
        <f>AS260+AS261+AS262+AS263</f>
        <v>-289.083856973866</v>
      </c>
      <c r="AT264" s="19" t="n"/>
    </row>
    <row r="265">
      <c r="B265" s="25" t="inlineStr">
        <is>
          <t>Proceeds from borrowings (senior notes, term loans)</t>
        </is>
      </c>
      <c r="C265" s="34" t="n"/>
      <c r="D265" s="34" t="n"/>
      <c r="E265" s="34" t="n"/>
      <c r="F265" s="34" t="n"/>
      <c r="G265" s="34" t="n"/>
      <c r="H265" s="34" t="n"/>
      <c r="I265" s="34" t="n"/>
      <c r="J265" s="34" t="n">
        <v>0</v>
      </c>
      <c r="K265" s="34" t="n">
        <v>0</v>
      </c>
      <c r="L265" s="34" t="n">
        <v>0</v>
      </c>
      <c r="M265" s="34" t="n">
        <v>0.274</v>
      </c>
      <c r="N265" s="34" t="n">
        <v>-0.274</v>
      </c>
      <c r="O265" s="34" t="n">
        <v>0</v>
      </c>
      <c r="P265" s="34" t="n">
        <v>0</v>
      </c>
      <c r="Q265" s="34" t="n">
        <v>0</v>
      </c>
      <c r="R265" s="34" t="n">
        <v>1000</v>
      </c>
      <c r="S265" s="34" t="n">
        <v>0</v>
      </c>
      <c r="T265" s="34" t="n">
        <v>0</v>
      </c>
      <c r="U265" s="34" t="n">
        <v>1000</v>
      </c>
      <c r="V265" s="34" t="n">
        <v>0</v>
      </c>
      <c r="W265" s="34" t="n">
        <v>0</v>
      </c>
      <c r="X265" s="34" t="n">
        <v>0</v>
      </c>
      <c r="Y265" s="34" t="n">
        <v>0</v>
      </c>
      <c r="Z265" s="34" t="n">
        <v>0</v>
      </c>
      <c r="AA265" s="34" t="n">
        <v>0</v>
      </c>
      <c r="AB265" s="34" t="n">
        <v>700</v>
      </c>
      <c r="AC265" s="34" t="n">
        <v>0</v>
      </c>
      <c r="AD265" s="34" t="n">
        <v>0</v>
      </c>
      <c r="AE265" s="34" t="n">
        <v>700</v>
      </c>
      <c r="AF265" s="34" t="n">
        <v>0</v>
      </c>
      <c r="AG265" s="34" t="n">
        <v>0</v>
      </c>
      <c r="AH265" s="34" t="n">
        <v>0</v>
      </c>
      <c r="AI265" s="34" t="n">
        <v>350</v>
      </c>
      <c r="AJ265" s="34" t="n">
        <v>350</v>
      </c>
      <c r="AK265" s="34" t="n">
        <v>1000</v>
      </c>
      <c r="AL265" s="34" t="n">
        <v>0</v>
      </c>
      <c r="AM265" s="257" t="n"/>
      <c r="AN265" s="257" t="n"/>
      <c r="AO265" s="257">
        <f>($AK$265+$AL$265)</f>
        <v>1000</v>
      </c>
      <c r="AP265" s="257">
        <f>AP370</f>
        <v>0</v>
      </c>
      <c r="AQ265" s="257">
        <f>AQ370</f>
        <v>0</v>
      </c>
      <c r="AR265" s="257">
        <f>AR370</f>
        <v>700</v>
      </c>
      <c r="AS265" s="257">
        <f>AS370</f>
        <v>350</v>
      </c>
      <c r="AT265" s="19" t="n"/>
    </row>
    <row r="266">
      <c r="B266" s="25" t="inlineStr">
        <is>
          <t>Repayments of borrowings</t>
        </is>
      </c>
      <c r="C266" s="34" t="n"/>
      <c r="D266" s="34" t="n"/>
      <c r="E266" s="34" t="n"/>
      <c r="F266" s="34" t="n"/>
      <c r="G266" s="34" t="n"/>
      <c r="H266" s="34" t="n"/>
      <c r="I266" s="34" t="n"/>
      <c r="J266" s="34" t="n">
        <v>-4.888</v>
      </c>
      <c r="K266" s="34" t="n">
        <v>-0.19</v>
      </c>
      <c r="L266" s="34" t="n">
        <v>-0.003</v>
      </c>
      <c r="M266" s="34" t="n">
        <v>0.003</v>
      </c>
      <c r="N266" s="34" t="n">
        <v>0</v>
      </c>
      <c r="O266" s="34" t="n">
        <v>0</v>
      </c>
      <c r="P266" s="34" t="n">
        <v>0</v>
      </c>
      <c r="Q266" s="34" t="n">
        <v>-0.511</v>
      </c>
      <c r="R266" s="34" t="n">
        <v>0.511</v>
      </c>
      <c r="S266" s="34" t="n">
        <v>0</v>
      </c>
      <c r="T266" s="34" t="n">
        <v>0</v>
      </c>
      <c r="U266" s="34" t="n">
        <v>0</v>
      </c>
      <c r="V266" s="34" t="n">
        <v>0</v>
      </c>
      <c r="W266" s="34" t="n">
        <v>0</v>
      </c>
      <c r="X266" s="34" t="n">
        <v>-6.25</v>
      </c>
      <c r="Y266" s="34" t="n">
        <v>-6.25</v>
      </c>
      <c r="Z266" s="34" t="n">
        <v>-12.5</v>
      </c>
      <c r="AA266" s="34" t="n">
        <v>-6.25</v>
      </c>
      <c r="AB266" s="34" t="n">
        <v>-591.25</v>
      </c>
      <c r="AC266" s="34" t="n">
        <v>0</v>
      </c>
      <c r="AD266" s="34" t="n">
        <v>-5</v>
      </c>
      <c r="AE266" s="34" t="n">
        <v>-602.5</v>
      </c>
      <c r="AF266" s="34" t="n">
        <v>-2.5</v>
      </c>
      <c r="AG266" s="34" t="n">
        <v>-2.5</v>
      </c>
      <c r="AH266" s="34" t="n">
        <v>-5</v>
      </c>
      <c r="AI266" s="34" t="n">
        <v>-375</v>
      </c>
      <c r="AJ266" s="34" t="n">
        <v>-385</v>
      </c>
      <c r="AK266" s="34" t="n">
        <v>0</v>
      </c>
      <c r="AL266" s="34" t="n">
        <v>0</v>
      </c>
      <c r="AM266" s="257" t="n"/>
      <c r="AN266" s="257" t="n"/>
      <c r="AO266" s="257">
        <f>($AK$266+$AL$266)+AO368</f>
        <v>0</v>
      </c>
      <c r="AP266" s="257">
        <f>AP368</f>
        <v>0</v>
      </c>
      <c r="AQ266" s="257">
        <f>AQ368</f>
        <v>0</v>
      </c>
      <c r="AR266" s="257">
        <f>AR368</f>
        <v>-700</v>
      </c>
      <c r="AS266" s="257">
        <f>AS368</f>
        <v>-350</v>
      </c>
      <c r="AT266" s="19" t="n"/>
    </row>
    <row r="267">
      <c r="B267" s="25" t="inlineStr">
        <is>
          <t>Revolving credit facility, net</t>
        </is>
      </c>
      <c r="C267" s="34" t="n"/>
      <c r="D267" s="34" t="n"/>
      <c r="E267" s="34" t="n"/>
      <c r="F267" s="34" t="n"/>
      <c r="G267" s="34" t="n"/>
      <c r="H267" s="34" t="n"/>
      <c r="I267" s="34" t="n"/>
      <c r="J267" s="34" t="n">
        <v>0</v>
      </c>
      <c r="K267" s="34" t="n">
        <v>0</v>
      </c>
      <c r="L267" s="34" t="n">
        <v>0</v>
      </c>
      <c r="M267" s="34" t="n">
        <v>0</v>
      </c>
      <c r="N267" s="34" t="n">
        <v>0.244</v>
      </c>
      <c r="O267" s="34" t="n">
        <v>0.429</v>
      </c>
      <c r="P267" s="34" t="n">
        <v>0.673</v>
      </c>
      <c r="Q267" s="34" t="n">
        <v>0</v>
      </c>
      <c r="R267" s="34" t="n">
        <v>185.361</v>
      </c>
      <c r="S267" s="34" t="n">
        <v>-49.47999999999999</v>
      </c>
      <c r="T267" s="34" t="n">
        <v>84.50899999999999</v>
      </c>
      <c r="U267" s="34" t="n">
        <v>220.39</v>
      </c>
      <c r="V267" s="34" t="n">
        <v>-2.765</v>
      </c>
      <c r="W267" s="34" t="n">
        <v>-57.772</v>
      </c>
      <c r="X267" s="34" t="n">
        <v>-63.415</v>
      </c>
      <c r="Y267" s="34" t="n">
        <v>-65.071</v>
      </c>
      <c r="Z267" s="34" t="n">
        <v>-189.023</v>
      </c>
      <c r="AA267" s="34" t="n">
        <v>-24.035</v>
      </c>
      <c r="AB267" s="34" t="n">
        <v>-7.970000000000002</v>
      </c>
      <c r="AC267" s="34" t="n">
        <v>0.3820000000000014</v>
      </c>
      <c r="AD267" s="34" t="n">
        <v>-0.3820000000000014</v>
      </c>
      <c r="AE267" s="34" t="n">
        <v>-32.005</v>
      </c>
      <c r="AF267" s="34" t="n">
        <v>0</v>
      </c>
      <c r="AG267" s="34" t="n">
        <v>8.673999999999999</v>
      </c>
      <c r="AH267" s="34" t="n">
        <v>260.475</v>
      </c>
      <c r="AI267" s="34" t="n">
        <v>-75.583</v>
      </c>
      <c r="AJ267" s="34" t="n">
        <v>193.566</v>
      </c>
      <c r="AK267" s="34" t="n">
        <v>-186.157</v>
      </c>
      <c r="AL267" s="34" t="n">
        <v>359.608</v>
      </c>
      <c r="AM267" s="257" t="n"/>
      <c r="AN267" s="257" t="n"/>
      <c r="AO267" s="257">
        <f>($AK$267+$AL$267)+(AO377-360.0)</f>
        <v>-30.1916234958123</v>
      </c>
      <c r="AP267" s="257">
        <f>AP377-AO377</f>
        <v>-156.357376504188</v>
      </c>
      <c r="AQ267" s="257">
        <f>AQ377-AP377</f>
        <v>0</v>
      </c>
      <c r="AR267" s="257">
        <f>AR377-AQ377</f>
        <v>0</v>
      </c>
      <c r="AS267" s="257">
        <f>AS377-AR377</f>
        <v>0</v>
      </c>
      <c r="AT267" s="19" t="inlineStr">
        <is>
          <t>Forecast = change in the revolver per the debt schedule.</t>
        </is>
      </c>
    </row>
    <row r="268">
      <c r="B268" s="25" t="inlineStr">
        <is>
          <t>Dividends paid (common &amp; MCPS)</t>
        </is>
      </c>
      <c r="C268" s="34" t="n"/>
      <c r="D268" s="34" t="n"/>
      <c r="E268" s="34" t="n"/>
      <c r="F268" s="34" t="n"/>
      <c r="G268" s="34" t="n"/>
      <c r="H268" s="34" t="n"/>
      <c r="I268" s="34" t="n"/>
      <c r="J268" s="34" t="n">
        <v>0</v>
      </c>
      <c r="K268" s="34" t="n">
        <v>0</v>
      </c>
      <c r="L268" s="34" t="n">
        <v>0</v>
      </c>
      <c r="M268" s="34" t="n">
        <v>0</v>
      </c>
      <c r="N268" s="34" t="n">
        <v>0</v>
      </c>
      <c r="O268" s="34" t="n">
        <v>0</v>
      </c>
      <c r="P268" s="34" t="n">
        <v>0</v>
      </c>
      <c r="Q268" s="34" t="n">
        <v>0</v>
      </c>
      <c r="R268" s="34" t="n">
        <v>0</v>
      </c>
      <c r="S268" s="34" t="n">
        <v>-3.025</v>
      </c>
      <c r="T268" s="34" t="n">
        <v>-3.029</v>
      </c>
      <c r="U268" s="34" t="n">
        <v>-6.054</v>
      </c>
      <c r="V268" s="34" t="n">
        <v>-3.033</v>
      </c>
      <c r="W268" s="34" t="n">
        <v>-3.028</v>
      </c>
      <c r="X268" s="34" t="n">
        <v>-3.641</v>
      </c>
      <c r="Y268" s="34" t="n">
        <v>-3.640000000000001</v>
      </c>
      <c r="Z268" s="34" t="n">
        <v>-13.342</v>
      </c>
      <c r="AA268" s="34" t="n">
        <v>-3.635</v>
      </c>
      <c r="AB268" s="34" t="n">
        <v>-3.643</v>
      </c>
      <c r="AC268" s="34" t="n">
        <v>-4.857</v>
      </c>
      <c r="AD268" s="34" t="n">
        <v>-4.857000000000001</v>
      </c>
      <c r="AE268" s="34" t="n">
        <v>-16.992</v>
      </c>
      <c r="AF268" s="34" t="n">
        <v>-4.861</v>
      </c>
      <c r="AG268" s="34" t="n">
        <v>-4.867999999999999</v>
      </c>
      <c r="AH268" s="34" t="n">
        <v>-6.092000000000001</v>
      </c>
      <c r="AI268" s="34" t="n">
        <v>-6.092000000000001</v>
      </c>
      <c r="AJ268" s="34" t="n">
        <v>-21.913</v>
      </c>
      <c r="AK268" s="34" t="n">
        <v>-6.092</v>
      </c>
      <c r="AL268" s="34" t="n">
        <v>-6.109000000000001</v>
      </c>
      <c r="AM268" s="257" t="n"/>
      <c r="AN268" s="257" t="n"/>
      <c r="AO268" s="257">
        <f>($AK$268+$AL$268)-($AM$171*$AM$165+$AN$171*$AN$165)-($AM$159+$AN$159)</f>
        <v>-32.80874056</v>
      </c>
      <c r="AP268" s="257">
        <f>-AP171*AP297-N(AP159)</f>
        <v>-42.882440514</v>
      </c>
      <c r="AQ268" s="257">
        <f>-AQ171*AQ297-N(AQ159)</f>
        <v>-46.2001645654</v>
      </c>
      <c r="AR268" s="257">
        <f>-AR171*AR297-N(AR159)</f>
        <v>-43.3814597825835</v>
      </c>
      <c r="AS268" s="257">
        <f>-AS171*AS297-N(AS159)</f>
        <v>-39.8742012292646</v>
      </c>
      <c r="AT268" s="19" t="n"/>
    </row>
    <row r="269">
      <c r="B269" s="25" t="inlineStr">
        <is>
          <t>Repurchases of common stock</t>
        </is>
      </c>
      <c r="C269" s="34" t="n"/>
      <c r="D269" s="34" t="n"/>
      <c r="E269" s="34" t="n"/>
      <c r="F269" s="34" t="n"/>
      <c r="G269" s="34" t="n"/>
      <c r="H269" s="34" t="n"/>
      <c r="I269" s="34" t="n"/>
      <c r="J269" s="34" t="n">
        <v>0</v>
      </c>
      <c r="K269" s="34" t="n">
        <v>0</v>
      </c>
      <c r="L269" s="34" t="n">
        <v>0</v>
      </c>
      <c r="M269" s="34" t="n">
        <v>0</v>
      </c>
      <c r="N269" s="34" t="n">
        <v>0</v>
      </c>
      <c r="O269" s="34" t="n">
        <v>0</v>
      </c>
      <c r="P269" s="34" t="n">
        <v>0</v>
      </c>
      <c r="Q269" s="34" t="n">
        <v>0</v>
      </c>
      <c r="R269" s="34" t="n">
        <v>0</v>
      </c>
      <c r="S269" s="34" t="n">
        <v>0</v>
      </c>
      <c r="T269" s="34" t="n">
        <v>0</v>
      </c>
      <c r="U269" s="34" t="n">
        <v>0</v>
      </c>
      <c r="V269" s="34" t="n">
        <v>0</v>
      </c>
      <c r="W269" s="34" t="n">
        <v>0</v>
      </c>
      <c r="X269" s="34" t="n">
        <v>0</v>
      </c>
      <c r="Y269" s="34" t="n">
        <v>0</v>
      </c>
      <c r="Z269" s="34" t="n">
        <v>0</v>
      </c>
      <c r="AA269" s="34" t="n">
        <v>0</v>
      </c>
      <c r="AB269" s="34" t="n">
        <v>0</v>
      </c>
      <c r="AC269" s="34" t="n">
        <v>0</v>
      </c>
      <c r="AD269" s="34" t="n">
        <v>0</v>
      </c>
      <c r="AE269" s="34" t="n">
        <v>0</v>
      </c>
      <c r="AF269" s="34" t="n">
        <v>0</v>
      </c>
      <c r="AG269" s="34" t="n">
        <v>0</v>
      </c>
      <c r="AH269" s="34" t="n">
        <v>0</v>
      </c>
      <c r="AI269" s="34" t="n">
        <v>0</v>
      </c>
      <c r="AJ269" s="34" t="n">
        <v>0</v>
      </c>
      <c r="AK269" s="34" t="n">
        <v>0</v>
      </c>
      <c r="AL269" s="34" t="n">
        <v>0</v>
      </c>
      <c r="AM269" s="257" t="n"/>
      <c r="AN269" s="257" t="n"/>
      <c r="AO269" s="257">
        <f>($AK$269+$AL$269)-CHOOSE(MATCH($AT$2,{"Bull","Base","Bear"},0),$BC$18,$BD$18,$BE$18)</f>
        <v>0</v>
      </c>
      <c r="AP269" s="257">
        <f>-AP387</f>
        <v>0</v>
      </c>
      <c r="AQ269" s="257">
        <f>-AQ387</f>
        <v>-106.579219525392</v>
      </c>
      <c r="AR269" s="257">
        <f>-AR387</f>
        <v>-352.990787164912</v>
      </c>
      <c r="AS269" s="257">
        <f>-AS387</f>
        <v>-398.333200541643</v>
      </c>
      <c r="AT269" s="19" t="n"/>
    </row>
    <row r="270">
      <c r="B270" s="25" t="inlineStr">
        <is>
          <t>Equity issuance (MCPS &amp; common private placement 2026; stock plans)</t>
        </is>
      </c>
      <c r="C270" s="34" t="n"/>
      <c r="D270" s="34" t="n"/>
      <c r="E270" s="34" t="n"/>
      <c r="F270" s="34" t="n"/>
      <c r="G270" s="34" t="n"/>
      <c r="H270" s="34" t="n"/>
      <c r="I270" s="34" t="n"/>
      <c r="J270" s="34" t="n">
        <v>0</v>
      </c>
      <c r="K270" s="34" t="n">
        <v>0</v>
      </c>
      <c r="L270" s="34" t="n">
        <v>0</v>
      </c>
      <c r="M270" s="34" t="n">
        <v>0</v>
      </c>
      <c r="N270" s="34" t="n">
        <v>0</v>
      </c>
      <c r="O270" s="34" t="n">
        <v>0</v>
      </c>
      <c r="P270" s="34" t="n">
        <v>0</v>
      </c>
      <c r="Q270" s="34" t="n">
        <v>0</v>
      </c>
      <c r="R270" s="34" t="n">
        <v>0</v>
      </c>
      <c r="S270" s="34" t="n">
        <v>0</v>
      </c>
      <c r="T270" s="34" t="n">
        <v>0</v>
      </c>
      <c r="U270" s="34" t="n">
        <v>0</v>
      </c>
      <c r="V270" s="34" t="n">
        <v>0</v>
      </c>
      <c r="W270" s="34" t="n">
        <v>0</v>
      </c>
      <c r="X270" s="34" t="n">
        <v>0</v>
      </c>
      <c r="Y270" s="34" t="n">
        <v>0</v>
      </c>
      <c r="Z270" s="34" t="n">
        <v>0</v>
      </c>
      <c r="AA270" s="34" t="n">
        <v>0</v>
      </c>
      <c r="AB270" s="34" t="n">
        <v>0</v>
      </c>
      <c r="AC270" s="34" t="n">
        <v>0</v>
      </c>
      <c r="AD270" s="34" t="n">
        <v>0</v>
      </c>
      <c r="AE270" s="34" t="n">
        <v>0</v>
      </c>
      <c r="AF270" s="34" t="n">
        <v>0</v>
      </c>
      <c r="AG270" s="34" t="n">
        <v>0</v>
      </c>
      <c r="AH270" s="34" t="n">
        <v>0</v>
      </c>
      <c r="AI270" s="34" t="n">
        <v>0</v>
      </c>
      <c r="AJ270" s="34" t="n">
        <v>0</v>
      </c>
      <c r="AK270" s="34" t="n">
        <v>0</v>
      </c>
      <c r="AL270" s="34" t="n">
        <v>310.893</v>
      </c>
      <c r="AM270" s="257" t="n"/>
      <c r="AN270" s="257" t="n"/>
      <c r="AO270" s="257">
        <f>($AK$270+$AL$270)</f>
        <v>310.893</v>
      </c>
      <c r="AP270" s="258" t="n">
        <v>0</v>
      </c>
      <c r="AQ270" s="258" t="n">
        <v>0</v>
      </c>
      <c r="AR270" s="258" t="n">
        <v>0</v>
      </c>
      <c r="AS270" s="258" t="n">
        <v>0</v>
      </c>
      <c r="AT270" s="19" t="n"/>
    </row>
    <row r="271">
      <c r="B271" s="25" t="inlineStr">
        <is>
          <t>Net transfers (to) from former parent (pre-spin)</t>
        </is>
      </c>
      <c r="C271" s="34" t="n"/>
      <c r="D271" s="34" t="n"/>
      <c r="E271" s="34" t="n"/>
      <c r="F271" s="34" t="n"/>
      <c r="G271" s="34" t="n"/>
      <c r="H271" s="34" t="n"/>
      <c r="I271" s="34" t="n"/>
      <c r="J271" s="34" t="n">
        <v>-168.505</v>
      </c>
      <c r="K271" s="34" t="n">
        <v>-321.887</v>
      </c>
      <c r="L271" s="34" t="n">
        <v>-55.069</v>
      </c>
      <c r="M271" s="34" t="n">
        <v>-56.038</v>
      </c>
      <c r="N271" s="34" t="n">
        <v>-62.30500000000001</v>
      </c>
      <c r="O271" s="34" t="n">
        <v>-45.119</v>
      </c>
      <c r="P271" s="34" t="n">
        <v>-218.531</v>
      </c>
      <c r="Q271" s="34" t="n">
        <v>2.847</v>
      </c>
      <c r="R271" s="34" t="n">
        <v>-1200</v>
      </c>
      <c r="S271" s="34" t="n">
        <v>0</v>
      </c>
      <c r="T271" s="34" t="n">
        <v>0</v>
      </c>
      <c r="U271" s="34" t="n">
        <v>-1197.153</v>
      </c>
      <c r="V271" s="34" t="n">
        <v>0</v>
      </c>
      <c r="W271" s="34" t="n">
        <v>0</v>
      </c>
      <c r="X271" s="34" t="n">
        <v>0</v>
      </c>
      <c r="Y271" s="34" t="n">
        <v>0</v>
      </c>
      <c r="Z271" s="34" t="n">
        <v>0</v>
      </c>
      <c r="AA271" s="34" t="n">
        <v>0</v>
      </c>
      <c r="AB271" s="34" t="n">
        <v>0</v>
      </c>
      <c r="AC271" s="34" t="n">
        <v>0</v>
      </c>
      <c r="AD271" s="34" t="n">
        <v>0</v>
      </c>
      <c r="AE271" s="34" t="n">
        <v>0</v>
      </c>
      <c r="AF271" s="34" t="n">
        <v>0</v>
      </c>
      <c r="AG271" s="34" t="n">
        <v>0</v>
      </c>
      <c r="AH271" s="34" t="n">
        <v>0</v>
      </c>
      <c r="AI271" s="34" t="n">
        <v>0</v>
      </c>
      <c r="AJ271" s="34" t="n">
        <v>0</v>
      </c>
      <c r="AK271" s="34" t="n">
        <v>0</v>
      </c>
      <c r="AL271" s="34" t="n">
        <v>0</v>
      </c>
      <c r="AM271" s="257" t="n"/>
      <c r="AN271" s="257" t="n"/>
      <c r="AO271" s="258" t="n">
        <v>0</v>
      </c>
      <c r="AP271" s="258" t="n">
        <v>0</v>
      </c>
      <c r="AQ271" s="258" t="n">
        <v>0</v>
      </c>
      <c r="AR271" s="258" t="n">
        <v>0</v>
      </c>
      <c r="AS271" s="258" t="n">
        <v>0</v>
      </c>
      <c r="AT271" s="19" t="n"/>
    </row>
    <row r="272">
      <c r="B272" s="25" t="inlineStr">
        <is>
          <t>Other financing activities, net (derived)</t>
        </is>
      </c>
      <c r="C272" s="34" t="n"/>
      <c r="D272" s="34" t="n"/>
      <c r="E272" s="34" t="n"/>
      <c r="F272" s="34" t="n"/>
      <c r="G272" s="34" t="n"/>
      <c r="H272" s="34" t="n"/>
      <c r="I272" s="34" t="n"/>
      <c r="J272" s="34" t="n">
        <v>-3.055000000000007</v>
      </c>
      <c r="K272" s="34" t="n">
        <v>-4.346000000000004</v>
      </c>
      <c r="L272" s="34" t="n">
        <v>-1.053999999999995</v>
      </c>
      <c r="M272" s="34" t="n">
        <v>-7.105427357601002e-15</v>
      </c>
      <c r="N272" s="34" t="n">
        <v>-1.495999999999981</v>
      </c>
      <c r="O272" s="34" t="n">
        <v>-1.163000000000011</v>
      </c>
      <c r="P272" s="34" t="n">
        <v>-3.712999999999994</v>
      </c>
      <c r="Q272" s="34" t="n">
        <v>-2.441</v>
      </c>
      <c r="R272" s="34" t="n">
        <v>-5.640999999999849</v>
      </c>
      <c r="S272" s="34" t="n">
        <v>-0.2820000000000178</v>
      </c>
      <c r="T272" s="34" t="n">
        <v>-1.261999999999986</v>
      </c>
      <c r="U272" s="34" t="n">
        <v>-9.625999999999749</v>
      </c>
      <c r="V272" s="34" t="n">
        <v>-1.249</v>
      </c>
      <c r="W272" s="34" t="n">
        <v>-0.02500000000000568</v>
      </c>
      <c r="X272" s="34" t="n">
        <v>-1.004999999999995</v>
      </c>
      <c r="Y272" s="34" t="n">
        <v>-2.573000000000022</v>
      </c>
      <c r="Z272" s="34" t="n">
        <v>-4.852000000000004</v>
      </c>
      <c r="AA272" s="34" t="n">
        <v>0</v>
      </c>
      <c r="AB272" s="34" t="n">
        <v>-16.93600000000001</v>
      </c>
      <c r="AC272" s="34" t="n">
        <v>-1.23</v>
      </c>
      <c r="AD272" s="34" t="n">
        <v>1.332000000000003</v>
      </c>
      <c r="AE272" s="34" t="n">
        <v>-16.834</v>
      </c>
      <c r="AF272" s="34" t="n">
        <v>-5.758</v>
      </c>
      <c r="AG272" s="34" t="n">
        <v>-7.833999999999999</v>
      </c>
      <c r="AH272" s="34" t="n">
        <v>-2.473000000000013</v>
      </c>
      <c r="AI272" s="34" t="n">
        <v>-6.887000000000015</v>
      </c>
      <c r="AJ272" s="34" t="n">
        <v>-22.952</v>
      </c>
      <c r="AK272" s="34" t="n">
        <v>-21.572</v>
      </c>
      <c r="AL272" s="34" t="n">
        <v>-2.555999999999926</v>
      </c>
      <c r="AM272" s="257" t="n"/>
      <c r="AN272" s="257" t="n"/>
      <c r="AO272" s="257">
        <f>($AK$272+$AL$272)</f>
        <v>-24.1279999999999</v>
      </c>
      <c r="AP272" s="258" t="n">
        <v>0</v>
      </c>
      <c r="AQ272" s="258" t="n">
        <v>0</v>
      </c>
      <c r="AR272" s="258" t="n">
        <v>0</v>
      </c>
      <c r="AS272" s="258" t="n">
        <v>0</v>
      </c>
      <c r="AT272" s="19" t="n"/>
    </row>
    <row r="273">
      <c r="B273" s="16" t="inlineStr">
        <is>
          <t>Net cash provided by (used in) financing activities</t>
        </is>
      </c>
      <c r="C273" s="43" t="n"/>
      <c r="D273" s="43" t="n"/>
      <c r="E273" s="43" t="n"/>
      <c r="F273" s="43" t="n"/>
      <c r="G273" s="43" t="n"/>
      <c r="H273" s="43" t="n"/>
      <c r="I273" s="43" t="n"/>
      <c r="J273" s="31" t="n">
        <v>-176.448</v>
      </c>
      <c r="K273" s="31" t="n">
        <v>-326.423</v>
      </c>
      <c r="L273" s="31" t="n">
        <v>-56.126</v>
      </c>
      <c r="M273" s="31" t="n">
        <v>-55.761</v>
      </c>
      <c r="N273" s="31" t="n">
        <v>-63.83099999999999</v>
      </c>
      <c r="O273" s="31" t="n">
        <v>-45.85300000000001</v>
      </c>
      <c r="P273" s="31" t="n">
        <v>-221.571</v>
      </c>
      <c r="Q273" s="31" t="n">
        <v>-0.105</v>
      </c>
      <c r="R273" s="31" t="n">
        <v>-19.769</v>
      </c>
      <c r="S273" s="31" t="n">
        <v>-52.78700000000001</v>
      </c>
      <c r="T273" s="31" t="n">
        <v>80.218</v>
      </c>
      <c r="U273" s="31" t="n">
        <v>7.557</v>
      </c>
      <c r="V273" s="31" t="n">
        <v>-7.047</v>
      </c>
      <c r="W273" s="31" t="n">
        <v>-60.825</v>
      </c>
      <c r="X273" s="31" t="n">
        <v>-74.31099999999999</v>
      </c>
      <c r="Y273" s="31" t="n">
        <v>-77.53400000000002</v>
      </c>
      <c r="Z273" s="31" t="n">
        <v>-219.717</v>
      </c>
      <c r="AA273" s="31" t="n">
        <v>-33.92</v>
      </c>
      <c r="AB273" s="31" t="n">
        <v>80.20099999999999</v>
      </c>
      <c r="AC273" s="31" t="n">
        <v>-5.704999999999998</v>
      </c>
      <c r="AD273" s="31" t="n">
        <v>-8.907</v>
      </c>
      <c r="AE273" s="31" t="n">
        <v>31.669</v>
      </c>
      <c r="AF273" s="31" t="n">
        <v>-13.119</v>
      </c>
      <c r="AG273" s="31" t="n">
        <v>-6.527999999999999</v>
      </c>
      <c r="AH273" s="31" t="n">
        <v>246.91</v>
      </c>
      <c r="AI273" s="31" t="n">
        <v>-113.562</v>
      </c>
      <c r="AJ273" s="31" t="n">
        <v>113.701</v>
      </c>
      <c r="AK273" s="31" t="n">
        <v>786.179</v>
      </c>
      <c r="AL273" s="31" t="n">
        <v>661.8360000000001</v>
      </c>
      <c r="AM273" s="253" t="n"/>
      <c r="AN273" s="253" t="n"/>
      <c r="AO273" s="253">
        <f>AO265+AO266+AO267+AO268+AO269+AO270+AO271+AO272</f>
        <v>1223.76463594419</v>
      </c>
      <c r="AP273" s="253">
        <f>AP265+AP266+AP267+AP268+AP269+AP270+AP271+AP272</f>
        <v>-199.239817018188</v>
      </c>
      <c r="AQ273" s="253">
        <f>AQ265+AQ266+AQ267+AQ268+AQ269+AQ270+AQ271+AQ272</f>
        <v>-152.779384090792</v>
      </c>
      <c r="AR273" s="253">
        <f>AR265+AR266+AR267+AR268+AR269+AR270+AR271+AR272</f>
        <v>-396.372246947496</v>
      </c>
      <c r="AS273" s="253">
        <f>AS265+AS266+AS267+AS268+AS269+AS270+AS271+AS272</f>
        <v>-438.207401770907</v>
      </c>
      <c r="AT273" s="19" t="n"/>
    </row>
    <row r="274">
      <c r="B274" s="25" t="inlineStr">
        <is>
          <t>Effect of foreign exchange rates on cash</t>
        </is>
      </c>
      <c r="C274" s="34" t="n"/>
      <c r="D274" s="34" t="n"/>
      <c r="E274" s="34" t="n"/>
      <c r="F274" s="34" t="n"/>
      <c r="G274" s="34" t="n"/>
      <c r="H274" s="34" t="n"/>
      <c r="I274" s="34" t="n"/>
      <c r="J274" s="34" t="n">
        <v>-2.055</v>
      </c>
      <c r="K274" s="34" t="n">
        <v>-3.81</v>
      </c>
      <c r="L274" s="34" t="n">
        <v>-1.37</v>
      </c>
      <c r="M274" s="34" t="n">
        <v>0.3260000000000001</v>
      </c>
      <c r="N274" s="34" t="n">
        <v>-0.3719999999999999</v>
      </c>
      <c r="O274" s="34" t="n">
        <v>-0.4850000000000001</v>
      </c>
      <c r="P274" s="34" t="n">
        <v>-1.901</v>
      </c>
      <c r="Q274" s="34" t="n">
        <v>2.595</v>
      </c>
      <c r="R274" s="34" t="n">
        <v>-3.532</v>
      </c>
      <c r="S274" s="34" t="n">
        <v>-12.218</v>
      </c>
      <c r="T274" s="34" t="n">
        <v>6.478</v>
      </c>
      <c r="U274" s="34" t="n">
        <v>-6.677</v>
      </c>
      <c r="V274" s="34" t="n">
        <v>4.769</v>
      </c>
      <c r="W274" s="34" t="n">
        <v>-1.895</v>
      </c>
      <c r="X274" s="34" t="n">
        <v>-15.622</v>
      </c>
      <c r="Y274" s="34" t="n">
        <v>-5.807</v>
      </c>
      <c r="Z274" s="34" t="n">
        <v>-18.555</v>
      </c>
      <c r="AA274" s="34" t="n">
        <v>-9.441000000000001</v>
      </c>
      <c r="AB274" s="34" t="n">
        <v>-0.9179999999999993</v>
      </c>
      <c r="AC274" s="34" t="n">
        <v>7.141</v>
      </c>
      <c r="AD274" s="34" t="n">
        <v>-30.799</v>
      </c>
      <c r="AE274" s="34" t="n">
        <v>-34.017</v>
      </c>
      <c r="AF274" s="34" t="n">
        <v>22.388</v>
      </c>
      <c r="AG274" s="34" t="n">
        <v>22.581</v>
      </c>
      <c r="AH274" s="34" t="n">
        <v>-4.832000000000001</v>
      </c>
      <c r="AI274" s="34" t="n">
        <v>1.981999999999999</v>
      </c>
      <c r="AJ274" s="34" t="n">
        <v>42.119</v>
      </c>
      <c r="AK274" s="34" t="n">
        <v>-0.739</v>
      </c>
      <c r="AL274" s="34" t="n">
        <v>4.475000000000001</v>
      </c>
      <c r="AM274" s="257" t="n"/>
      <c r="AN274" s="257" t="n"/>
      <c r="AO274" s="257">
        <f>($AK$274+$AL$274)</f>
        <v>3.736</v>
      </c>
      <c r="AP274" s="258" t="n">
        <v>0</v>
      </c>
      <c r="AQ274" s="258" t="n">
        <v>0</v>
      </c>
      <c r="AR274" s="258" t="n">
        <v>0</v>
      </c>
      <c r="AS274" s="258" t="n">
        <v>0</v>
      </c>
      <c r="AT274" s="19" t="n"/>
    </row>
    <row r="275">
      <c r="B275" s="25" t="inlineStr">
        <is>
          <t>Net increase (decrease) in cash</t>
        </is>
      </c>
      <c r="C275" s="34" t="n"/>
      <c r="D275" s="34" t="n"/>
      <c r="E275" s="34" t="n"/>
      <c r="F275" s="34" t="n"/>
      <c r="G275" s="34" t="n"/>
      <c r="H275" s="34" t="n"/>
      <c r="I275" s="34" t="n"/>
      <c r="J275" s="34" t="n">
        <v>33.865</v>
      </c>
      <c r="K275" s="34" t="n">
        <v>-55.625</v>
      </c>
      <c r="L275" s="34" t="n">
        <v>-4.055</v>
      </c>
      <c r="M275" s="34" t="n">
        <v>-0.625</v>
      </c>
      <c r="N275" s="34" t="n">
        <v>-3.034000000000001</v>
      </c>
      <c r="O275" s="34" t="n">
        <v>-0.2859999999999996</v>
      </c>
      <c r="P275" s="34" t="n">
        <v>-8</v>
      </c>
      <c r="Q275" s="34" t="n">
        <v>15.422</v>
      </c>
      <c r="R275" s="34" t="n">
        <v>-3.156000000000001</v>
      </c>
      <c r="S275" s="34" t="n">
        <v>7.159000000000001</v>
      </c>
      <c r="T275" s="34" t="n">
        <v>11.39</v>
      </c>
      <c r="U275" s="34" t="n">
        <v>30.815</v>
      </c>
      <c r="V275" s="34" t="n">
        <v>10.04</v>
      </c>
      <c r="W275" s="34" t="n">
        <v>-7.614999999999999</v>
      </c>
      <c r="X275" s="34" t="n">
        <v>8.384</v>
      </c>
      <c r="Y275" s="34" t="n">
        <v>19.17</v>
      </c>
      <c r="Z275" s="34" t="n">
        <v>29.979</v>
      </c>
      <c r="AA275" s="34" t="n">
        <v>-25.508</v>
      </c>
      <c r="AB275" s="34" t="n">
        <v>151.975</v>
      </c>
      <c r="AC275" s="34" t="n">
        <v>25.2</v>
      </c>
      <c r="AD275" s="34" t="n">
        <v>-4.312000000000012</v>
      </c>
      <c r="AE275" s="34" t="n">
        <v>147.355</v>
      </c>
      <c r="AF275" s="34" t="n">
        <v>41.99</v>
      </c>
      <c r="AG275" s="34" t="n">
        <v>-33.125</v>
      </c>
      <c r="AH275" s="34" t="n">
        <v>-40.004</v>
      </c>
      <c r="AI275" s="34" t="n">
        <v>-32.35599999999999</v>
      </c>
      <c r="AJ275" s="34" t="n">
        <v>-63.495</v>
      </c>
      <c r="AK275" s="34" t="n">
        <v>818.927</v>
      </c>
      <c r="AL275" s="34" t="n">
        <v>-787.299</v>
      </c>
      <c r="AM275" s="257" t="n"/>
      <c r="AN275" s="257" t="n"/>
      <c r="AO275" s="257">
        <f>AO259+AO264+AO273+AO274</f>
        <v>14.1369999999998</v>
      </c>
      <c r="AP275" s="257">
        <f>AP259+AP264+AP273+AP274</f>
        <v>179.383619981305</v>
      </c>
      <c r="AQ275" s="257">
        <f>AQ259+AQ264+AQ273+AQ274</f>
        <v>138.522688831755</v>
      </c>
      <c r="AR275" s="257">
        <f>AR259+AR264+AR273+AR274</f>
        <v>-117.109514341552</v>
      </c>
      <c r="AS275" s="257">
        <f>AS259+AS264+AS273+AS274</f>
        <v>-120.0820599315</v>
      </c>
      <c r="AT275" s="19" t="n"/>
    </row>
    <row r="276">
      <c r="B276" s="25" t="inlineStr">
        <is>
          <t>Cash — beginning of period</t>
        </is>
      </c>
      <c r="C276" s="34" t="n"/>
      <c r="D276" s="34" t="n"/>
      <c r="E276" s="34" t="n"/>
      <c r="F276" s="34" t="n"/>
      <c r="G276" s="34" t="n"/>
      <c r="H276" s="34" t="n"/>
      <c r="I276" s="34" t="n"/>
      <c r="J276" s="34" t="n">
        <v>70.96899999999999</v>
      </c>
      <c r="K276" s="34" t="n">
        <v>104.834</v>
      </c>
      <c r="L276" s="34" t="n">
        <v>49.209</v>
      </c>
      <c r="M276" s="34" t="n">
        <v>45.154</v>
      </c>
      <c r="N276" s="34" t="n">
        <v>44.529</v>
      </c>
      <c r="O276" s="34" t="n">
        <v>41.495</v>
      </c>
      <c r="P276" s="34" t="n">
        <v>49.209</v>
      </c>
      <c r="Q276" s="34" t="n">
        <v>41.209</v>
      </c>
      <c r="R276" s="34" t="n">
        <v>56.631</v>
      </c>
      <c r="S276" s="34" t="n">
        <v>53.475</v>
      </c>
      <c r="T276" s="34" t="n">
        <v>60.634</v>
      </c>
      <c r="U276" s="34" t="n">
        <v>41.209</v>
      </c>
      <c r="V276" s="34" t="n">
        <v>72.024</v>
      </c>
      <c r="W276" s="34" t="n">
        <v>82.06399999999999</v>
      </c>
      <c r="X276" s="34" t="n">
        <v>74.449</v>
      </c>
      <c r="Y276" s="34" t="n">
        <v>82.833</v>
      </c>
      <c r="Z276" s="34" t="n">
        <v>72.024</v>
      </c>
      <c r="AA276" s="34" t="n">
        <v>102.003</v>
      </c>
      <c r="AB276" s="34" t="n">
        <v>76.495</v>
      </c>
      <c r="AC276" s="34" t="n">
        <v>228.47</v>
      </c>
      <c r="AD276" s="34" t="n">
        <v>253.67</v>
      </c>
      <c r="AE276" s="34" t="n">
        <v>102.003</v>
      </c>
      <c r="AF276" s="34" t="n">
        <v>249.358</v>
      </c>
      <c r="AG276" s="34" t="n">
        <v>291.348</v>
      </c>
      <c r="AH276" s="34" t="n">
        <v>258.223</v>
      </c>
      <c r="AI276" s="34" t="n">
        <v>218.219</v>
      </c>
      <c r="AJ276" s="34" t="n">
        <v>249.358</v>
      </c>
      <c r="AK276" s="34" t="n">
        <v>185.863</v>
      </c>
      <c r="AL276" s="34" t="n">
        <v>1004.79</v>
      </c>
      <c r="AM276" s="257" t="n"/>
      <c r="AN276" s="257" t="n"/>
      <c r="AO276" s="257">
        <f>AJ277</f>
        <v>185.863</v>
      </c>
      <c r="AP276" s="257">
        <f>AO277</f>
        <v>200</v>
      </c>
      <c r="AQ276" s="257">
        <f>AP277</f>
        <v>379.383619981304</v>
      </c>
      <c r="AR276" s="257">
        <f>AQ277</f>
        <v>517.906308813059</v>
      </c>
      <c r="AS276" s="257">
        <f>AR277</f>
        <v>400.796794471508</v>
      </c>
      <c r="AT276" s="19" t="n"/>
    </row>
    <row r="277">
      <c r="B277" s="16" t="inlineStr">
        <is>
          <t>Cash — end of period (incl. restricted cash where reported)</t>
        </is>
      </c>
      <c r="C277" s="43" t="n"/>
      <c r="D277" s="43" t="n"/>
      <c r="E277" s="43" t="n"/>
      <c r="F277" s="43" t="n"/>
      <c r="G277" s="43" t="n"/>
      <c r="H277" s="43" t="n"/>
      <c r="I277" s="43" t="n"/>
      <c r="J277" s="31" t="n">
        <v>104.834</v>
      </c>
      <c r="K277" s="31" t="n">
        <v>49.209</v>
      </c>
      <c r="L277" s="31" t="n">
        <v>45.154</v>
      </c>
      <c r="M277" s="31" t="n">
        <v>44.529</v>
      </c>
      <c r="N277" s="31" t="n">
        <v>41.495</v>
      </c>
      <c r="O277" s="31" t="n">
        <v>41.209</v>
      </c>
      <c r="P277" s="31" t="n">
        <v>41.209</v>
      </c>
      <c r="Q277" s="31" t="n">
        <v>56.631</v>
      </c>
      <c r="R277" s="31" t="n">
        <v>53.475</v>
      </c>
      <c r="S277" s="31" t="n">
        <v>60.634</v>
      </c>
      <c r="T277" s="31" t="n">
        <v>72.024</v>
      </c>
      <c r="U277" s="31" t="n">
        <v>72.024</v>
      </c>
      <c r="V277" s="31" t="n">
        <v>82.06399999999999</v>
      </c>
      <c r="W277" s="31" t="n">
        <v>74.449</v>
      </c>
      <c r="X277" s="31" t="n">
        <v>82.833</v>
      </c>
      <c r="Y277" s="31" t="n">
        <v>102.003</v>
      </c>
      <c r="Z277" s="31" t="n">
        <v>102.003</v>
      </c>
      <c r="AA277" s="31" t="n">
        <v>76.495</v>
      </c>
      <c r="AB277" s="31" t="n">
        <v>228.47</v>
      </c>
      <c r="AC277" s="31" t="n">
        <v>253.67</v>
      </c>
      <c r="AD277" s="31" t="n">
        <v>249.358</v>
      </c>
      <c r="AE277" s="31" t="n">
        <v>249.358</v>
      </c>
      <c r="AF277" s="31" t="n">
        <v>291.348</v>
      </c>
      <c r="AG277" s="31" t="n">
        <v>258.223</v>
      </c>
      <c r="AH277" s="31" t="n">
        <v>218.219</v>
      </c>
      <c r="AI277" s="31" t="n">
        <v>185.863</v>
      </c>
      <c r="AJ277" s="31" t="n">
        <v>185.863</v>
      </c>
      <c r="AK277" s="31" t="n">
        <v>1004.79</v>
      </c>
      <c r="AL277" s="31" t="n">
        <v>217.491</v>
      </c>
      <c r="AM277" s="253" t="n"/>
      <c r="AN277" s="253" t="n"/>
      <c r="AO277" s="253">
        <f>AO276+AO275</f>
        <v>200</v>
      </c>
      <c r="AP277" s="253">
        <f>AP276+AP275</f>
        <v>379.383619981304</v>
      </c>
      <c r="AQ277" s="253">
        <f>AQ276+AQ275</f>
        <v>517.906308813059</v>
      </c>
      <c r="AR277" s="253">
        <f>AR276+AR275</f>
        <v>400.796794471508</v>
      </c>
      <c r="AS277" s="253">
        <f>AS276+AS275</f>
        <v>280.714734540008</v>
      </c>
      <c r="AT277" s="19" t="n"/>
    </row>
    <row r="278">
      <c r="B278" s="57" t="inlineStr">
        <is>
          <t xml:space="preserve">  Check: CFO + CFI + CFF + FX = change in cash (should be 0)</t>
        </is>
      </c>
      <c r="C278" s="44" t="n"/>
      <c r="D278" s="44" t="n"/>
      <c r="E278" s="44" t="n"/>
      <c r="F278" s="44" t="n"/>
      <c r="G278" s="44" t="n"/>
      <c r="H278" s="44" t="n"/>
      <c r="I278" s="44" t="n"/>
      <c r="J278" s="44">
        <f>IF(ISNUMBER(J259),ROUND(J259+J264+J273+J274-J275,1),"")</f>
        <v>0</v>
      </c>
      <c r="K278" s="44">
        <f>IF(ISNUMBER(K259),ROUND(K259+K264+K273+K274-K275,1),"")</f>
        <v>0</v>
      </c>
      <c r="L278" s="44">
        <f>IF(ISNUMBER(L259),ROUND(L259+L264+L273+L274-L275,1),"")</f>
        <v>0</v>
      </c>
      <c r="M278" s="44">
        <f>IF(ISNUMBER(M259),ROUND(M259+M264+M273+M274-M275,1),"")</f>
        <v>0</v>
      </c>
      <c r="N278" s="44">
        <f>IF(ISNUMBER(N259),ROUND(N259+N264+N273+N274-N275,1),"")</f>
        <v>0</v>
      </c>
      <c r="O278" s="44">
        <f>IF(ISNUMBER(O259),ROUND(O259+O264+O273+O274-O275,1),"")</f>
        <v>0</v>
      </c>
      <c r="P278" s="44">
        <f>IF(ISNUMBER(P259),ROUND(P259+P264+P273+P274-P275,1),"")</f>
        <v>0</v>
      </c>
      <c r="Q278" s="44">
        <f>IF(ISNUMBER(Q259),ROUND(Q259+Q264+Q273+Q274-Q275,1),"")</f>
        <v>0</v>
      </c>
      <c r="R278" s="44">
        <f>IF(ISNUMBER(R259),ROUND(R259+R264+R273+R274-R275,1),"")</f>
        <v>0</v>
      </c>
      <c r="S278" s="44">
        <f>IF(ISNUMBER(S259),ROUND(S259+S264+S273+S274-S275,1),"")</f>
        <v>0</v>
      </c>
      <c r="T278" s="44">
        <f>IF(ISNUMBER(T259),ROUND(T259+T264+T273+T274-T275,1),"")</f>
        <v>0</v>
      </c>
      <c r="U278" s="44">
        <f>IF(ISNUMBER(U259),ROUND(U259+U264+U273+U274-U275,1),"")</f>
        <v>0</v>
      </c>
      <c r="V278" s="44">
        <f>IF(ISNUMBER(V259),ROUND(V259+V264+V273+V274-V275,1),"")</f>
        <v>0</v>
      </c>
      <c r="W278" s="44">
        <f>IF(ISNUMBER(W259),ROUND(W259+W264+W273+W274-W275,1),"")</f>
        <v>0</v>
      </c>
      <c r="X278" s="44">
        <f>IF(ISNUMBER(X259),ROUND(X259+X264+X273+X274-X275,1),"")</f>
        <v>0</v>
      </c>
      <c r="Y278" s="44">
        <f>IF(ISNUMBER(Y259),ROUND(Y259+Y264+Y273+Y274-Y275,1),"")</f>
        <v>0</v>
      </c>
      <c r="Z278" s="44">
        <f>IF(ISNUMBER(Z259),ROUND(Z259+Z264+Z273+Z274-Z275,1),"")</f>
        <v>0</v>
      </c>
      <c r="AA278" s="44">
        <f>IF(ISNUMBER(AA259),ROUND(AA259+AA264+AA273+AA274-AA275,1),"")</f>
        <v>0</v>
      </c>
      <c r="AB278" s="44">
        <f>IF(ISNUMBER(AB259),ROUND(AB259+AB264+AB273+AB274-AB275,1),"")</f>
        <v>0</v>
      </c>
      <c r="AC278" s="44">
        <f>IF(ISNUMBER(AC259),ROUND(AC259+AC264+AC273+AC274-AC275,1),"")</f>
        <v>0</v>
      </c>
      <c r="AD278" s="44">
        <f>IF(ISNUMBER(AD259),ROUND(AD259+AD264+AD273+AD274-AD275,1),"")</f>
        <v>0</v>
      </c>
      <c r="AE278" s="44">
        <f>IF(ISNUMBER(AE259),ROUND(AE259+AE264+AE273+AE274-AE275,1),"")</f>
        <v>0</v>
      </c>
      <c r="AF278" s="44">
        <f>IF(ISNUMBER(AF259),ROUND(AF259+AF264+AF273+AF274-AF275,1),"")</f>
        <v>0</v>
      </c>
      <c r="AG278" s="44">
        <f>IF(ISNUMBER(AG259),ROUND(AG259+AG264+AG273+AG274-AG275,1),"")</f>
        <v>0</v>
      </c>
      <c r="AH278" s="44">
        <f>IF(ISNUMBER(AH259),ROUND(AH259+AH264+AH273+AH274-AH275,1),"")</f>
        <v>0</v>
      </c>
      <c r="AI278" s="44">
        <f>IF(ISNUMBER(AI259),ROUND(AI259+AI264+AI273+AI274-AI275,1),"")</f>
        <v>0</v>
      </c>
      <c r="AJ278" s="44">
        <f>IF(ISNUMBER(AJ259),ROUND(AJ259+AJ264+AJ273+AJ274-AJ275,1),"")</f>
        <v>0</v>
      </c>
      <c r="AK278" s="44">
        <f>IF(ISNUMBER(AK259),ROUND(AK259+AK264+AK273+AK274-AK275,1),"")</f>
        <v>0</v>
      </c>
      <c r="AL278" s="44">
        <f>IF(ISNUMBER(AL259),ROUND(AL259+AL264+AL273+AL274-AL275,1),"")</f>
        <v>0</v>
      </c>
      <c r="AM278" s="269" t="n"/>
      <c r="AN278" s="269" t="n"/>
      <c r="AO278" s="268">
        <f>ROUND(AO259+AO264+AO273+AO274-AO275,1)</f>
        <v>0</v>
      </c>
      <c r="AP278" s="268">
        <f>ROUND(AP259+AP264+AP273+AP274-AP275,1)</f>
        <v>0</v>
      </c>
      <c r="AQ278" s="268">
        <f>ROUND(AQ259+AQ264+AQ273+AQ274-AQ275,1)</f>
        <v>0</v>
      </c>
      <c r="AR278" s="268">
        <f>ROUND(AR259+AR264+AR273+AR274-AR275,1)</f>
        <v>0</v>
      </c>
      <c r="AS278" s="268">
        <f>ROUND(AS259+AS264+AS273+AS274-AS275,1)</f>
        <v>0</v>
      </c>
      <c r="AT278" s="19" t="n"/>
    </row>
    <row r="279">
      <c r="B279" s="57" t="inlineStr">
        <is>
          <t xml:space="preserve">  Check: beginning cash + change = ending cash (should be 0)</t>
        </is>
      </c>
      <c r="C279" s="44" t="n"/>
      <c r="D279" s="44" t="n"/>
      <c r="E279" s="44" t="n"/>
      <c r="F279" s="44" t="n"/>
      <c r="G279" s="44" t="n"/>
      <c r="H279" s="44" t="n"/>
      <c r="I279" s="44" t="n"/>
      <c r="J279" s="44">
        <f>IF(ISNUMBER(J277),ROUND(J276+J275-J277,1),"")</f>
        <v>0</v>
      </c>
      <c r="K279" s="44">
        <f>IF(ISNUMBER(K277),ROUND(K276+K275-K277,1),"")</f>
        <v>0</v>
      </c>
      <c r="L279" s="44">
        <f>IF(ISNUMBER(L277),ROUND(L276+L275-L277,1),"")</f>
        <v>0</v>
      </c>
      <c r="M279" s="44">
        <f>IF(ISNUMBER(M277),ROUND(M276+M275-M277,1),"")</f>
        <v>0</v>
      </c>
      <c r="N279" s="44">
        <f>IF(ISNUMBER(N277),ROUND(N276+N275-N277,1),"")</f>
        <v>0</v>
      </c>
      <c r="O279" s="44">
        <f>IF(ISNUMBER(O277),ROUND(O276+O275-O277,1),"")</f>
        <v>0</v>
      </c>
      <c r="P279" s="44">
        <f>IF(ISNUMBER(P277),ROUND(P276+P275-P277,1),"")</f>
        <v>0</v>
      </c>
      <c r="Q279" s="44">
        <f>IF(ISNUMBER(Q277),ROUND(Q276+Q275-Q277,1),"")</f>
        <v>0</v>
      </c>
      <c r="R279" s="44">
        <f>IF(ISNUMBER(R277),ROUND(R276+R275-R277,1),"")</f>
        <v>0</v>
      </c>
      <c r="S279" s="44">
        <f>IF(ISNUMBER(S277),ROUND(S276+S275-S277,1),"")</f>
        <v>0</v>
      </c>
      <c r="T279" s="44">
        <f>IF(ISNUMBER(T277),ROUND(T276+T275-T277,1),"")</f>
        <v>0</v>
      </c>
      <c r="U279" s="44">
        <f>IF(ISNUMBER(U277),ROUND(U276+U275-U277,1),"")</f>
        <v>0</v>
      </c>
      <c r="V279" s="44">
        <f>IF(ISNUMBER(V277),ROUND(V276+V275-V277,1),"")</f>
        <v>0</v>
      </c>
      <c r="W279" s="44">
        <f>IF(ISNUMBER(W277),ROUND(W276+W275-W277,1),"")</f>
        <v>0</v>
      </c>
      <c r="X279" s="44">
        <f>IF(ISNUMBER(X277),ROUND(X276+X275-X277,1),"")</f>
        <v>0</v>
      </c>
      <c r="Y279" s="44">
        <f>IF(ISNUMBER(Y277),ROUND(Y276+Y275-Y277,1),"")</f>
        <v>0</v>
      </c>
      <c r="Z279" s="44">
        <f>IF(ISNUMBER(Z277),ROUND(Z276+Z275-Z277,1),"")</f>
        <v>0</v>
      </c>
      <c r="AA279" s="44">
        <f>IF(ISNUMBER(AA277),ROUND(AA276+AA275-AA277,1),"")</f>
        <v>0</v>
      </c>
      <c r="AB279" s="44">
        <f>IF(ISNUMBER(AB277),ROUND(AB276+AB275-AB277,1),"")</f>
        <v>0</v>
      </c>
      <c r="AC279" s="44">
        <f>IF(ISNUMBER(AC277),ROUND(AC276+AC275-AC277,1),"")</f>
        <v>0</v>
      </c>
      <c r="AD279" s="44">
        <f>IF(ISNUMBER(AD277),ROUND(AD276+AD275-AD277,1),"")</f>
        <v>0</v>
      </c>
      <c r="AE279" s="44">
        <f>IF(ISNUMBER(AE277),ROUND(AE276+AE275-AE277,1),"")</f>
        <v>0</v>
      </c>
      <c r="AF279" s="44">
        <f>IF(ISNUMBER(AF277),ROUND(AF276+AF275-AF277,1),"")</f>
        <v>0</v>
      </c>
      <c r="AG279" s="44">
        <f>IF(ISNUMBER(AG277),ROUND(AG276+AG275-AG277,1),"")</f>
        <v>0</v>
      </c>
      <c r="AH279" s="44">
        <f>IF(ISNUMBER(AH277),ROUND(AH276+AH275-AH277,1),"")</f>
        <v>0</v>
      </c>
      <c r="AI279" s="44">
        <f>IF(ISNUMBER(AI277),ROUND(AI276+AI275-AI277,1),"")</f>
        <v>0</v>
      </c>
      <c r="AJ279" s="44">
        <f>IF(ISNUMBER(AJ277),ROUND(AJ276+AJ275-AJ277,1),"")</f>
        <v>0</v>
      </c>
      <c r="AK279" s="44">
        <f>IF(ISNUMBER(AK277),ROUND(AK276+AK275-AK277,1),"")</f>
        <v>0</v>
      </c>
      <c r="AL279" s="44">
        <f>IF(ISNUMBER(AL277),ROUND(AL276+AL275-AL277,1),"")</f>
        <v>0</v>
      </c>
      <c r="AM279" s="269" t="n"/>
      <c r="AN279" s="269" t="n"/>
      <c r="AO279" s="268">
        <f>ROUND(AO276+AO275-AO277,1)</f>
        <v>0</v>
      </c>
      <c r="AP279" s="268">
        <f>ROUND(AP276+AP275-AP277,1)</f>
        <v>0</v>
      </c>
      <c r="AQ279" s="268">
        <f>ROUND(AQ276+AQ275-AQ277,1)</f>
        <v>0</v>
      </c>
      <c r="AR279" s="268">
        <f>ROUND(AR276+AR275-AR277,1)</f>
        <v>0</v>
      </c>
      <c r="AS279" s="268">
        <f>ROUND(AS276+AS275-AS277,1)</f>
        <v>0</v>
      </c>
      <c r="AT279" s="19" t="n"/>
    </row>
    <row r="280">
      <c r="B280" s="25" t="inlineStr">
        <is>
          <t>(Memo)</t>
        </is>
      </c>
      <c r="C280" s="271" t="n"/>
      <c r="D280" s="271" t="n"/>
      <c r="E280" s="271" t="n"/>
      <c r="F280" s="271" t="n"/>
      <c r="G280" s="271" t="n"/>
      <c r="H280" s="271" t="n"/>
      <c r="I280" s="271" t="n"/>
      <c r="J280" s="271" t="n"/>
      <c r="K280" s="271" t="n"/>
      <c r="L280" s="271" t="n"/>
      <c r="M280" s="271" t="n"/>
      <c r="N280" s="271" t="n"/>
      <c r="O280" s="271" t="n"/>
      <c r="P280" s="271" t="n"/>
      <c r="Q280" s="271" t="n"/>
      <c r="R280" s="271" t="n"/>
      <c r="S280" s="271" t="n"/>
      <c r="T280" s="271" t="n"/>
      <c r="U280" s="271" t="n"/>
      <c r="V280" s="271" t="n"/>
      <c r="W280" s="271" t="n"/>
      <c r="X280" s="271" t="n"/>
      <c r="Y280" s="271" t="n"/>
      <c r="Z280" s="271" t="n"/>
      <c r="AA280" s="271" t="n"/>
      <c r="AB280" s="271" t="n"/>
      <c r="AC280" s="271" t="n"/>
      <c r="AD280" s="271" t="n"/>
      <c r="AE280" s="271" t="n"/>
      <c r="AF280" s="271" t="n"/>
      <c r="AG280" s="271" t="n"/>
      <c r="AH280" s="271" t="n"/>
      <c r="AI280" s="271" t="n"/>
      <c r="AJ280" s="271" t="n"/>
      <c r="AK280" s="271" t="n"/>
      <c r="AL280" s="271" t="n"/>
      <c r="AM280" s="269" t="n"/>
      <c r="AN280" s="269" t="n"/>
      <c r="AO280" s="269" t="n"/>
      <c r="AP280" s="269" t="n"/>
      <c r="AQ280" s="269" t="n"/>
      <c r="AR280" s="269" t="n"/>
      <c r="AS280" s="269" t="n"/>
      <c r="AT280" s="19" t="n"/>
    </row>
    <row r="281">
      <c r="B281" s="55" t="inlineStr">
        <is>
          <t>Free cash flow (operating cash flow − capital expenditures)</t>
        </is>
      </c>
      <c r="C281" s="56" t="n"/>
      <c r="D281" s="56" t="n"/>
      <c r="E281" s="56" t="n"/>
      <c r="F281" s="56" t="n"/>
      <c r="G281" s="56" t="n"/>
      <c r="H281" s="56" t="n"/>
      <c r="I281" s="56" t="n"/>
      <c r="J281" s="56">
        <f>J259+J260</f>
        <v>205.378</v>
      </c>
      <c r="K281" s="56">
        <f>K259+K260</f>
        <v>269.043</v>
      </c>
      <c r="L281" s="56">
        <f>L259+L260</f>
        <v>58.147</v>
      </c>
      <c r="M281" s="56">
        <f>M259+M260</f>
        <v>53.627</v>
      </c>
      <c r="N281" s="56">
        <f>N259+N260</f>
        <v>61.452</v>
      </c>
      <c r="O281" s="56">
        <f>O259+O260</f>
        <v>41.927</v>
      </c>
      <c r="P281" s="56">
        <f>P259+P260</f>
        <v>215.153</v>
      </c>
      <c r="Q281" s="56">
        <f>Q259+Q260</f>
        <v>10.186</v>
      </c>
      <c r="R281" s="56">
        <f>R259+R260</f>
        <v>19.533</v>
      </c>
      <c r="S281" s="56">
        <f>S259+S260</f>
        <v>71.2</v>
      </c>
      <c r="T281" s="56">
        <f>T259+T260</f>
        <v>73.196</v>
      </c>
      <c r="U281" s="56">
        <f>U259+U260</f>
        <v>174.115</v>
      </c>
      <c r="V281" s="56">
        <f>V259+V260</f>
        <v>30.358</v>
      </c>
      <c r="W281" s="56">
        <f>W259+W260</f>
        <v>53.364</v>
      </c>
      <c r="X281" s="56">
        <f>X259+X260</f>
        <v>95.512</v>
      </c>
      <c r="Y281" s="56">
        <f>Y259+Y260</f>
        <v>103.082</v>
      </c>
      <c r="Z281" s="56">
        <f>Z259+Z260</f>
        <v>282.316</v>
      </c>
      <c r="AA281" s="56">
        <f>AA259+AA260</f>
        <v>37.053</v>
      </c>
      <c r="AB281" s="56">
        <f>AB259+AB260</f>
        <v>73.993</v>
      </c>
      <c r="AC281" s="56">
        <f>AC259+AC260</f>
        <v>90.406</v>
      </c>
      <c r="AD281" s="56">
        <f>AD259+AD260</f>
        <v>102.168</v>
      </c>
      <c r="AE281" s="56">
        <f>AE259+AE260</f>
        <v>303.62</v>
      </c>
      <c r="AF281" s="56">
        <f>AF259+AF260</f>
        <v>28.116</v>
      </c>
      <c r="AG281" s="56">
        <f>AG259+AG260</f>
        <v>37.447</v>
      </c>
      <c r="AH281" s="56">
        <f>AH259+AH260</f>
        <v>70.297</v>
      </c>
      <c r="AI281" s="56">
        <f>AI259+AI260</f>
        <v>77.42</v>
      </c>
      <c r="AJ281" s="56">
        <f>AJ259+AJ260</f>
        <v>213.28</v>
      </c>
      <c r="AK281" s="56">
        <f>AK259+AK260</f>
        <v>33.212</v>
      </c>
      <c r="AL281" s="56">
        <f>AL259+AL260</f>
        <v>15.678</v>
      </c>
      <c r="AM281" s="56" t="n"/>
      <c r="AN281" s="56" t="n"/>
      <c r="AO281" s="56">
        <f>AO259+AO260</f>
        <v>255.649364055812</v>
      </c>
      <c r="AP281" s="56">
        <f>AP259+AP260</f>
        <v>378.623436999492</v>
      </c>
      <c r="AQ281" s="56">
        <f>AQ259+AQ260</f>
        <v>441.302072922547</v>
      </c>
      <c r="AR281" s="56">
        <f>AR259+AR260</f>
        <v>479.262732605944</v>
      </c>
      <c r="AS281" s="56">
        <f>AS259+AS260</f>
        <v>518.125341839407</v>
      </c>
      <c r="AT281" s="19" t="n"/>
      <c r="AV281" s="20">
        <f>IFERROR((AS281/AJ281)^(1/5)-1,"n/m")</f>
        <v>0.194254648694457</v>
      </c>
      <c r="AW281" s="20">
        <f>IFERROR((AJ281/K281)^(1/5)-1,"n/m")</f>
        <v>-0.0453906428973537</v>
      </c>
      <c r="AX281" s="20" t="str">
        <f>IFERROR((AJ281/F281)^(1/10)-1,"n/m")</f>
        <v>n/m</v>
      </c>
      <c r="AY281" s="20" t="str">
        <f>IFERROR((AJ281/C281)^(1/13)-1,"n/m")</f>
        <v>n/m</v>
      </c>
    </row>
    <row r="282" outlineLevel="2" s="251">
      <c r="B282" s="156" t="inlineStr">
        <is>
          <t xml:space="preserve">  Memo: company-published adjusted free cash flow (excl. discontinued ops &amp; acquisition-related payments)</t>
        </is>
      </c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>
        <v>58.3</v>
      </c>
      <c r="M282" s="34" t="n">
        <v>54.9</v>
      </c>
      <c r="N282" s="34" t="n">
        <v>61.1</v>
      </c>
      <c r="O282" s="34" t="n">
        <v>48.2</v>
      </c>
      <c r="P282" s="34" t="n">
        <v>222.3</v>
      </c>
      <c r="Q282" s="34" t="n">
        <v>22.3</v>
      </c>
      <c r="R282" s="34" t="n">
        <v>36.5</v>
      </c>
      <c r="S282" s="34" t="n">
        <v>77.09999999999999</v>
      </c>
      <c r="T282" s="34" t="n">
        <v>82.8</v>
      </c>
      <c r="U282" s="34" t="n">
        <v>218.8</v>
      </c>
      <c r="V282" s="34" t="n">
        <v>40.1</v>
      </c>
      <c r="W282" s="34" t="n">
        <v>58.6</v>
      </c>
      <c r="X282" s="34" t="n">
        <v>99.90000000000001</v>
      </c>
      <c r="Y282" s="34" t="n">
        <v>105.9</v>
      </c>
      <c r="Z282" s="34" t="n">
        <v>304.5</v>
      </c>
      <c r="AA282" s="34" t="n">
        <v>40.8</v>
      </c>
      <c r="AB282" s="34" t="n">
        <v>78.8</v>
      </c>
      <c r="AC282" s="34" t="n">
        <v>95.8</v>
      </c>
      <c r="AD282" s="34" t="n">
        <v>105.1</v>
      </c>
      <c r="AE282" s="34" t="n">
        <v>320.5</v>
      </c>
      <c r="AF282" s="34" t="n">
        <v>30.4</v>
      </c>
      <c r="AG282" s="34" t="n">
        <v>46.4</v>
      </c>
      <c r="AH282" s="34" t="n">
        <v>86.40000000000001</v>
      </c>
      <c r="AI282" s="34" t="n">
        <v>82.90000000000001</v>
      </c>
      <c r="AJ282" s="34" t="n">
        <v>246.1</v>
      </c>
      <c r="AK282" s="34" t="n">
        <v>39.5</v>
      </c>
      <c r="AL282" s="34" t="n">
        <v>41.4</v>
      </c>
      <c r="AM282" s="269" t="n"/>
      <c r="AN282" s="269" t="n"/>
      <c r="AO282" s="269" t="n"/>
      <c r="AP282" s="269" t="n"/>
      <c r="AQ282" s="269" t="n"/>
      <c r="AR282" s="269" t="n"/>
      <c r="AS282" s="269" t="n"/>
      <c r="AT282" s="19" t="n"/>
    </row>
    <row r="283">
      <c r="B283" s="22" t="inlineStr">
        <is>
          <t xml:space="preserve">  FCF y/y %</t>
        </is>
      </c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>
        <f>IF(AND(ISNUMBER(K281),ISNUMBER(J281)),IFERROR(K281/J281-1,""),"")</f>
        <v>0.309989385425898</v>
      </c>
      <c r="L283" s="23" t="n"/>
      <c r="M283" s="23" t="n"/>
      <c r="N283" s="23" t="n"/>
      <c r="O283" s="23" t="n"/>
      <c r="P283" s="23">
        <f>IF(AND(ISNUMBER(P281),ISNUMBER(K281)),IFERROR(P281/K281-1,""),"")</f>
        <v>-0.200302553866854</v>
      </c>
      <c r="Q283" s="23">
        <f>IF(AND(ISNUMBER(Q281),ISNUMBER(L281)),IFERROR(Q281/L281-1,""),"")</f>
        <v>-0.824823292689219</v>
      </c>
      <c r="R283" s="23">
        <f>IF(AND(ISNUMBER(R281),ISNUMBER(M281)),IFERROR(R281/M281-1,""),"")</f>
        <v>-0.635761836388386</v>
      </c>
      <c r="S283" s="23">
        <f>IF(AND(ISNUMBER(S281),ISNUMBER(N281)),IFERROR(S281/N281-1,""),"")</f>
        <v>0.158627872160386</v>
      </c>
      <c r="T283" s="23">
        <f>IF(AND(ISNUMBER(T281),ISNUMBER(O281)),IFERROR(T281/O281-1,""),"")</f>
        <v>0.745796264936676</v>
      </c>
      <c r="U283" s="23">
        <f>IF(AND(ISNUMBER(U281),ISNUMBER(P281)),IFERROR(U281/P281-1,""),"")</f>
        <v>-0.190738683634437</v>
      </c>
      <c r="V283" s="23">
        <f>IF(AND(ISNUMBER(V281),ISNUMBER(Q281)),IFERROR(V281/Q281-1,""),"")</f>
        <v>1.98036520714706</v>
      </c>
      <c r="W283" s="23">
        <f>IF(AND(ISNUMBER(W281),ISNUMBER(R281)),IFERROR(W281/R281-1,""),"")</f>
        <v>1.73199201351559</v>
      </c>
      <c r="X283" s="23">
        <f>IF(AND(ISNUMBER(X281),ISNUMBER(S281)),IFERROR(X281/S281-1,""),"")</f>
        <v>0.341460674157303</v>
      </c>
      <c r="Y283" s="23">
        <f>IF(AND(ISNUMBER(Y281),ISNUMBER(T281)),IFERROR(Y281/T281-1,""),"")</f>
        <v>0.408301000054648</v>
      </c>
      <c r="Z283" s="23">
        <f>IF(AND(ISNUMBER(Z281),ISNUMBER(U281)),IFERROR(Z281/U281-1,""),"")</f>
        <v>0.621434109640181</v>
      </c>
      <c r="AA283" s="23">
        <f>IF(AND(ISNUMBER(AA281),ISNUMBER(V281)),IFERROR(AA281/V281-1,""),"")</f>
        <v>0.220534949601423</v>
      </c>
      <c r="AB283" s="23">
        <f>IF(AND(ISNUMBER(AB281),ISNUMBER(W281)),IFERROR(AB281/W281-1,""),"")</f>
        <v>0.386571471403943</v>
      </c>
      <c r="AC283" s="23">
        <f>IF(AND(ISNUMBER(AC281),ISNUMBER(X281)),IFERROR(AC281/X281-1,""),"")</f>
        <v>-0.0534592511935672</v>
      </c>
      <c r="AD283" s="23">
        <f>IF(AND(ISNUMBER(AD281),ISNUMBER(Y281)),IFERROR(AD281/Y281-1,""),"")</f>
        <v>-0.00886672745969219</v>
      </c>
      <c r="AE283" s="23">
        <f>IF(AND(ISNUMBER(AE281),ISNUMBER(Z281)),IFERROR(AE281/Z281-1,""),"")</f>
        <v>0.0754615395514247</v>
      </c>
      <c r="AF283" s="23">
        <f>IF(AND(ISNUMBER(AF281),ISNUMBER(AA281)),IFERROR(AF281/AA281-1,""),"")</f>
        <v>-0.241195044935633</v>
      </c>
      <c r="AG283" s="23">
        <f>IF(AND(ISNUMBER(AG281),ISNUMBER(AB281)),IFERROR(AG281/AB281-1,""),"")</f>
        <v>-0.49391158623113</v>
      </c>
      <c r="AH283" s="23">
        <f>IF(AND(ISNUMBER(AH281),ISNUMBER(AC281)),IFERROR(AH281/AC281-1,""),"")</f>
        <v>-0.22242992721722</v>
      </c>
      <c r="AI283" s="23">
        <f>IF(AND(ISNUMBER(AI281),ISNUMBER(AD281)),IFERROR(AI281/AD281-1,""),"")</f>
        <v>-0.242228486414533</v>
      </c>
      <c r="AJ283" s="23">
        <f>IF(AND(ISNUMBER(AJ281),ISNUMBER(AE281)),IFERROR(AJ281/AE281-1,""),"")</f>
        <v>-0.297542981358277</v>
      </c>
      <c r="AK283" s="23">
        <f>IF(AND(ISNUMBER(AK281),ISNUMBER(AF281)),IFERROR(AK281/AF281-1,""),"")</f>
        <v>0.181249110826576</v>
      </c>
      <c r="AL283" s="23">
        <f>IF(AND(ISNUMBER(AL281),ISNUMBER(AG281)),IFERROR(AL281/AG281-1,""),"")</f>
        <v>-0.581328277298582</v>
      </c>
      <c r="AM283" s="254" t="n"/>
      <c r="AN283" s="254" t="n"/>
      <c r="AO283" s="254">
        <f>IFERROR(AO281/AJ281-1,"")</f>
        <v>0.198656058026127</v>
      </c>
      <c r="AP283" s="254">
        <f>IFERROR(AP281/AO281-1,"")</f>
        <v>0.481026320553776</v>
      </c>
      <c r="AQ283" s="254">
        <f>IFERROR(AQ281/AP281-1,"")</f>
        <v>0.165543465612612</v>
      </c>
      <c r="AR283" s="254">
        <f>IFERROR(AR281/AQ281-1,"")</f>
        <v>0.086019672266664</v>
      </c>
      <c r="AS283" s="254">
        <f>IFERROR(AS281/AR281-1,"")</f>
        <v>0.0810883187644322</v>
      </c>
      <c r="AT283" s="19" t="n"/>
    </row>
    <row r="284">
      <c r="B284" s="25" t="inlineStr">
        <is>
          <t xml:space="preserve">  FCF % of net sales</t>
        </is>
      </c>
      <c r="C284" s="36" t="n"/>
      <c r="D284" s="36" t="n"/>
      <c r="E284" s="36" t="n"/>
      <c r="F284" s="36" t="n"/>
      <c r="G284" s="36" t="n"/>
      <c r="H284" s="36" t="n"/>
      <c r="I284" s="36" t="n"/>
      <c r="J284" s="36">
        <f>IFERROR(J281/J136,"")</f>
        <v>0.0913999214962355</v>
      </c>
      <c r="K284" s="36">
        <f>IFERROR(K281/K136,"")</f>
        <v>0.137965887360909</v>
      </c>
      <c r="L284" s="36">
        <f>IFERROR(L281/L136,"")</f>
        <v>0.102348414441816</v>
      </c>
      <c r="M284" s="36">
        <f>IFERROR(M281/M136,"")</f>
        <v>0.0851487129329125</v>
      </c>
      <c r="N284" s="36">
        <f>IFERROR(N281/N136,"")</f>
        <v>0.101411295645975</v>
      </c>
      <c r="O284" s="36">
        <f>IFERROR(O281/O136,"")</f>
        <v>0.0671675624584478</v>
      </c>
      <c r="P284" s="36">
        <f>IFERROR(P281/P136,"")</f>
        <v>0.0886090650566386</v>
      </c>
      <c r="Q284" s="36">
        <f>IFERROR(Q281/Q136,"")</f>
        <v>0.0157212950544133</v>
      </c>
      <c r="R284" s="36">
        <f>IFERROR(R281/R136,"")</f>
        <v>0.0295427699390632</v>
      </c>
      <c r="S284" s="36">
        <f>IFERROR(S281/S136,"")</f>
        <v>0.11478964636083</v>
      </c>
      <c r="T284" s="36">
        <f>IFERROR(T281/T136,"")</f>
        <v>0.110213859698522</v>
      </c>
      <c r="U284" s="36">
        <f>IFERROR(U281/U136,"")</f>
        <v>0.0671356632786835</v>
      </c>
      <c r="V284" s="36">
        <f>IFERROR(V281/V136,"")</f>
        <v>0.0443830409356725</v>
      </c>
      <c r="W284" s="36">
        <f>IFERROR(W281/W136,"")</f>
        <v>0.07407325151092</v>
      </c>
      <c r="X284" s="36">
        <f>IFERROR(X281/X136,"")</f>
        <v>0.140253393558846</v>
      </c>
      <c r="Y284" s="36">
        <f>IFERROR(Y281/Y136,"")</f>
        <v>0.149535503113087</v>
      </c>
      <c r="Z284" s="36">
        <f>IFERROR(Z281/Z136,"")</f>
        <v>0.101744074995874</v>
      </c>
      <c r="AA284" s="36">
        <f>IFERROR(AA281/AA136,"")</f>
        <v>0.0537199308729036</v>
      </c>
      <c r="AB284" s="36">
        <f>IFERROR(AB281/AB136,"")</f>
        <v>0.104649863588727</v>
      </c>
      <c r="AC284" s="36">
        <f>IFERROR(AC281/AC136,"")</f>
        <v>0.134282955811363</v>
      </c>
      <c r="AD284" s="36">
        <f>IFERROR(AD281/AD136,"")</f>
        <v>0.152317683330451</v>
      </c>
      <c r="AE284" s="36">
        <f>IFERROR(AE281/AE136,"")</f>
        <v>0.110777753818863</v>
      </c>
      <c r="AF284" s="36">
        <f>IFERROR(AF281/AF136,"")</f>
        <v>0.0414605876679968</v>
      </c>
      <c r="AG284" s="36">
        <f>IFERROR(AG281/AG136,"")</f>
        <v>0.052330537489554</v>
      </c>
      <c r="AH284" s="36">
        <f>IFERROR(AH281/AH136,"")</f>
        <v>0.0965823767423009</v>
      </c>
      <c r="AI284" s="36">
        <f>IFERROR(AI281/AI136,"")</f>
        <v>0.107380725839337</v>
      </c>
      <c r="AJ284" s="36">
        <f>IFERROR(AJ281/AJ136,"")</f>
        <v>0.0750310899877047</v>
      </c>
      <c r="AK284" s="36">
        <f>IFERROR(AK281/AK136,"")</f>
        <v>0.0445441706444634</v>
      </c>
      <c r="AL284" s="36">
        <f>IFERROR(AL281/AL136,"")</f>
        <v>0.0194124267762222</v>
      </c>
      <c r="AM284" s="254" t="n"/>
      <c r="AN284" s="254" t="n"/>
      <c r="AO284" s="254">
        <f>IFERROR(AO281/AO136,"")</f>
        <v>0.080321817177102</v>
      </c>
      <c r="AP284" s="254">
        <f>IFERROR(AP281/AP136,"")</f>
        <v>0.110649888035172</v>
      </c>
      <c r="AQ284" s="254">
        <f>IFERROR(AQ281/AQ136,"")</f>
        <v>0.122963383131738</v>
      </c>
      <c r="AR284" s="254">
        <f>IFERROR(AR281/AR136,"")</f>
        <v>0.125853655600684</v>
      </c>
      <c r="AS284" s="254">
        <f>IFERROR(AS281/AS136,"")</f>
        <v>0.12795536596278</v>
      </c>
      <c r="AT284" s="19" t="n"/>
      <c r="AV284" s="20">
        <f>IFERROR(AVERAGE(AO284,AP284,AQ284,AR284,AS284),"n/m")</f>
        <v>0.113548821981495</v>
      </c>
      <c r="AW284" s="20">
        <f>IFERROR(AVERAGE(K284,P284,U284,Z284,AE284,AJ284),"n/m")</f>
        <v>0.0968772557497786</v>
      </c>
      <c r="AX284" s="20">
        <f>IFERROR(AVERAGE(F284,G284,H284,I284,J284,K284,P284,U284,Z284,AE284,AJ284),"n/m")</f>
        <v>0.0960947794278439</v>
      </c>
      <c r="AY284" s="20">
        <f>IFERROR(AVERAGE(C284,D284,E284,F284,G284,H284,I284,J284,K284,P284,U284,Z284,AE284,AJ284),"n/m")</f>
        <v>0.0960947794278439</v>
      </c>
    </row>
    <row r="285">
      <c r="B285" s="25" t="inlineStr">
        <is>
          <t xml:space="preserve">  FCF / adjusted net income conversion %</t>
        </is>
      </c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>
        <f>IFERROR(L281/L216,"")</f>
        <v>0.861016095834629</v>
      </c>
      <c r="M285" s="36">
        <f>IFERROR(M281/M216,"")</f>
        <v>0.729658756939154</v>
      </c>
      <c r="N285" s="36">
        <f>IFERROR(N281/N216,"")</f>
        <v>0.887508845914993</v>
      </c>
      <c r="O285" s="36">
        <f>IFERROR(O281/O216,"")</f>
        <v>0.628656680611158</v>
      </c>
      <c r="P285" s="36">
        <f>IFERROR(P281/P216,"")</f>
        <v>0.775426722025201</v>
      </c>
      <c r="Q285" s="36">
        <f>IFERROR(Q281/Q216,"")</f>
        <v>0.144971677435883</v>
      </c>
      <c r="R285" s="36">
        <f>IFERROR(R281/R216,"")</f>
        <v>0.283095162178614</v>
      </c>
      <c r="S285" s="36">
        <f>IFERROR(S281/S216,"")</f>
        <v>1.14456572411465</v>
      </c>
      <c r="T285" s="36">
        <f>IFERROR(T281/T216,"")</f>
        <v>1.08367878716096</v>
      </c>
      <c r="U285" s="36">
        <f>IFERROR(U281/U216,"")</f>
        <v>0.647481880622213</v>
      </c>
      <c r="V285" s="36">
        <f>IFERROR(V281/V216,"")</f>
        <v>0.453375149342891</v>
      </c>
      <c r="W285" s="36">
        <f>IFERROR(W281/W216,"")</f>
        <v>0.683584192659963</v>
      </c>
      <c r="X285" s="36">
        <f>IFERROR(X281/X216,"")</f>
        <v>1.38379067543682</v>
      </c>
      <c r="Y285" s="36">
        <f>IFERROR(Y281/Y216,"")</f>
        <v>1.4582466861888</v>
      </c>
      <c r="Z285" s="36">
        <f>IFERROR(Z281/Z216,"")</f>
        <v>0.991500899078445</v>
      </c>
      <c r="AA285" s="36">
        <f>IFERROR(AA281/AA216,"")</f>
        <v>0.47635760567726</v>
      </c>
      <c r="AB285" s="36">
        <f>IFERROR(AB281/AB216,"")</f>
        <v>0.854018305421221</v>
      </c>
      <c r="AC285" s="36">
        <f>IFERROR(AC281/AC216,"")</f>
        <v>1.14977934349922</v>
      </c>
      <c r="AD285" s="36">
        <f>IFERROR(AD281/AD216,"")</f>
        <v>1.27512355848435</v>
      </c>
      <c r="AE285" s="36">
        <f>IFERROR(AE281/AE216,"")</f>
        <v>0.938610971998096</v>
      </c>
      <c r="AF285" s="36">
        <f>IFERROR(AF281/AF216,"")</f>
        <v>0.34842739237118</v>
      </c>
      <c r="AG285" s="36">
        <f>IFERROR(AG281/AG216,"")</f>
        <v>0.434012123178915</v>
      </c>
      <c r="AH285" s="36">
        <f>IFERROR(AH281/AH216,"")</f>
        <v>0.844783867905255</v>
      </c>
      <c r="AI285" s="36">
        <f>IFERROR(AI281/AI216,"")</f>
        <v>0.931592563624331</v>
      </c>
      <c r="AJ285" s="36">
        <f>IFERROR(AJ281/AJ216,"")</f>
        <v>0.639917430009031</v>
      </c>
      <c r="AK285" s="36">
        <f>IFERROR(AK281/AK216,"")</f>
        <v>0.420623361491407</v>
      </c>
      <c r="AL285" s="36">
        <f>IFERROR(AL281/AL216,"")</f>
        <v>0.186456400742115</v>
      </c>
      <c r="AM285" s="254" t="n"/>
      <c r="AN285" s="254" t="n"/>
      <c r="AO285" s="254">
        <f>IFERROR(AO281/AO216,"")</f>
        <v>0.761271933708927</v>
      </c>
      <c r="AP285" s="254">
        <f>IFERROR(AP281/AP216,"")</f>
        <v>0.965694012121705</v>
      </c>
      <c r="AQ285" s="254">
        <f>IFERROR(AQ281/AQ216,"")</f>
        <v>0.994684747530585</v>
      </c>
      <c r="AR285" s="254">
        <f>IFERROR(AR281/AR216,"")</f>
        <v>0.98384599504825</v>
      </c>
      <c r="AS285" s="254">
        <f>IFERROR(AS281/AS216,"")</f>
        <v>0.982337446217823</v>
      </c>
      <c r="AT285" s="19" t="n"/>
      <c r="AV285" s="20">
        <f>IFERROR(AVERAGE(AO285,AP285,AQ285,AR285,AS285),"n/m")</f>
        <v>0.937566826925458</v>
      </c>
      <c r="AW285" s="20">
        <f>IFERROR(AVERAGE(K285,P285,U285,Z285,AE285,AJ285),"n/m")</f>
        <v>0.798587580746597</v>
      </c>
      <c r="AX285" s="20">
        <f>IFERROR(AVERAGE(F285,G285,H285,I285,J285,K285,P285,U285,Z285,AE285,AJ285),"n/m")</f>
        <v>0.798587580746597</v>
      </c>
      <c r="AY285" s="20">
        <f>IFERROR(AVERAGE(C285,D285,E285,F285,G285,H285,I285,J285,K285,P285,U285,Z285,AE285,AJ285),"n/m")</f>
        <v>0.798587580746597</v>
      </c>
    </row>
    <row r="286">
      <c r="B286" s="25" t="inlineStr">
        <is>
          <t xml:space="preserve">  FCF per diluted share ($)</t>
        </is>
      </c>
      <c r="C286" s="27" t="n"/>
      <c r="D286" s="27" t="n"/>
      <c r="E286" s="27" t="n"/>
      <c r="F286" s="27" t="n"/>
      <c r="G286" s="27" t="n"/>
      <c r="H286" s="27" t="n"/>
      <c r="I286" s="27" t="n"/>
      <c r="J286" s="38">
        <f>IFERROR(J281/J166,"")</f>
      </c>
      <c r="K286" s="38">
        <f>IFERROR(K281/K166,"")</f>
        <v>4.48148726150951</v>
      </c>
      <c r="L286" s="38">
        <f>IFERROR(L281/L166,"")</f>
        <v>0.968562794032899</v>
      </c>
      <c r="M286" s="38">
        <f>IFERROR(M281/M166,"")</f>
        <v>0.893272515445376</v>
      </c>
      <c r="N286" s="38">
        <f>IFERROR(N281/N166,"")</f>
        <v>1.02361464596471</v>
      </c>
      <c r="O286" s="38">
        <f>IFERROR(O281/O166,"")</f>
        <v>0.698383962464398</v>
      </c>
      <c r="P286" s="38">
        <f>IFERROR(P281/P166,"")</f>
        <v>3.58383391790738</v>
      </c>
      <c r="Q286" s="38">
        <f>IFERROR(Q281/Q166,"")</f>
        <v>0.169669641082414</v>
      </c>
      <c r="R286" s="38">
        <f>IFERROR(R281/R166,"")</f>
        <v>0.324546502215151</v>
      </c>
      <c r="S286" s="38">
        <f>IFERROR(S281/S166,"")</f>
        <v>1.18344727586975</v>
      </c>
      <c r="T286" s="38">
        <f>IFERROR(T281/T166,"")</f>
        <v>1.21529124485565</v>
      </c>
      <c r="U286" s="38">
        <f>IFERROR(U281/U166,"")</f>
        <v>2.89453276183344</v>
      </c>
      <c r="V286" s="38">
        <f>IFERROR(V281/V166,"")</f>
        <v>0.501899391110961</v>
      </c>
      <c r="W286" s="38">
        <f>IFERROR(W281/W166,"")</f>
        <v>0.881156210895535</v>
      </c>
      <c r="X286" s="38">
        <f>IFERROR(X281/X166,"")</f>
        <v>1.5727132991177</v>
      </c>
      <c r="Y286" s="38">
        <f>IFERROR(Y281/Y166,"")</f>
        <v>1.6941819063108</v>
      </c>
      <c r="Z286" s="38">
        <f>IFERROR(Z281/Z166,"")</f>
        <v>4.65439828239851</v>
      </c>
      <c r="AA286" s="38">
        <f>IFERROR(AA281/AA166,"")</f>
        <v>0.607546175058791</v>
      </c>
      <c r="AB286" s="38">
        <f>IFERROR(AB281/AB166,"")</f>
        <v>1.21144188713611</v>
      </c>
      <c r="AC286" s="38">
        <f>IFERROR(AC281/AC166,"")</f>
        <v>1.47997592055637</v>
      </c>
      <c r="AD286" s="38">
        <f>IFERROR(AD281/AD166,"")</f>
        <v>1.6678934910721</v>
      </c>
      <c r="AE286" s="38">
        <f>IFERROR(AE281/AE166,"")</f>
        <v>4.9690629921939</v>
      </c>
      <c r="AF286" s="38">
        <f>IFERROR(AF281/AF166,"")</f>
        <v>0.458803639972756</v>
      </c>
      <c r="AG286" s="38">
        <f>IFERROR(AG281/AG166,"")</f>
        <v>0.610753940485848</v>
      </c>
      <c r="AH286" s="38">
        <f>IFERROR(AH281/AH166,"")</f>
        <v>1.14792463107386</v>
      </c>
      <c r="AI286" s="38">
        <f>IFERROR(AI281/AI166,"")</f>
        <v>1.26435147939003</v>
      </c>
      <c r="AJ286" s="38">
        <f>IFERROR(AJ281/AJ166,"")</f>
        <v>3.48119636549258</v>
      </c>
      <c r="AK286" s="38">
        <f>IFERROR(AK281/AK166,"")</f>
        <v>0.542096648069459</v>
      </c>
      <c r="AL286" s="38">
        <f>IFERROR(AL281/AL166,"")</f>
        <v>0.254386619633753</v>
      </c>
      <c r="AM286" s="270" t="n"/>
      <c r="AN286" s="270" t="n"/>
      <c r="AO286" s="270">
        <f>IFERROR(AO281/AO166,"")</f>
        <v>4.12628800234857</v>
      </c>
      <c r="AP286" s="270">
        <f>IFERROR(AP281/AP166,"")</f>
        <v>6.03727419304599</v>
      </c>
      <c r="AQ286" s="270">
        <f>IFERROR(AQ281/AQ166,"")</f>
        <v>7.07656385102889</v>
      </c>
      <c r="AR286" s="270">
        <f>IFERROR(AR281/AR166,"")</f>
        <v>7.89818939207712</v>
      </c>
      <c r="AS286" s="270">
        <f>IFERROR(AS281/AS166,"")</f>
        <v>9.00160909389778</v>
      </c>
      <c r="AT286" s="19" t="n"/>
    </row>
    <row r="287">
      <c r="B287" s="25" t="inlineStr">
        <is>
          <t>Capex ratios</t>
        </is>
      </c>
      <c r="C287" s="271" t="n"/>
      <c r="D287" s="271" t="n"/>
      <c r="E287" s="271" t="n"/>
      <c r="F287" s="271" t="n"/>
      <c r="G287" s="271" t="n"/>
      <c r="H287" s="271" t="n"/>
      <c r="I287" s="271" t="n"/>
      <c r="J287" s="271" t="n"/>
      <c r="K287" s="271" t="n"/>
      <c r="L287" s="271" t="n"/>
      <c r="M287" s="271" t="n"/>
      <c r="N287" s="271" t="n"/>
      <c r="O287" s="271" t="n"/>
      <c r="P287" s="271" t="n"/>
      <c r="Q287" s="271" t="n"/>
      <c r="R287" s="271" t="n"/>
      <c r="S287" s="271" t="n"/>
      <c r="T287" s="271" t="n"/>
      <c r="U287" s="271" t="n"/>
      <c r="V287" s="271" t="n"/>
      <c r="W287" s="271" t="n"/>
      <c r="X287" s="271" t="n"/>
      <c r="Y287" s="271" t="n"/>
      <c r="Z287" s="271" t="n"/>
      <c r="AA287" s="271" t="n"/>
      <c r="AB287" s="271" t="n"/>
      <c r="AC287" s="271" t="n"/>
      <c r="AD287" s="271" t="n"/>
      <c r="AE287" s="271" t="n"/>
      <c r="AF287" s="271" t="n"/>
      <c r="AG287" s="271" t="n"/>
      <c r="AH287" s="271" t="n"/>
      <c r="AI287" s="271" t="n"/>
      <c r="AJ287" s="271" t="n"/>
      <c r="AK287" s="271" t="n"/>
      <c r="AL287" s="271" t="n"/>
      <c r="AM287" s="269" t="n"/>
      <c r="AN287" s="269" t="n"/>
      <c r="AO287" s="269" t="n"/>
      <c r="AP287" s="269" t="n"/>
      <c r="AQ287" s="269" t="n"/>
      <c r="AR287" s="269" t="n"/>
      <c r="AS287" s="269" t="n"/>
      <c r="AT287" s="19" t="n"/>
    </row>
    <row r="288">
      <c r="B288" s="25" t="inlineStr">
        <is>
          <t xml:space="preserve">  Capex % of net sales</t>
        </is>
      </c>
      <c r="C288" s="36" t="n"/>
      <c r="D288" s="36" t="n"/>
      <c r="E288" s="36" t="n"/>
      <c r="F288" s="36" t="n"/>
      <c r="G288" s="36" t="n"/>
      <c r="H288" s="36" t="n"/>
      <c r="I288" s="36" t="n"/>
      <c r="J288" s="36">
        <f>IFERROR(-J260/J136,"")</f>
        <v>0.0197834827011347</v>
      </c>
      <c r="K288" s="36">
        <f>IFERROR(-K260/K136,"")</f>
        <v>0.0205828614269546</v>
      </c>
      <c r="L288" s="36">
        <f>IFERROR(-L260/L136,"")</f>
        <v>0.00827278359806241</v>
      </c>
      <c r="M288" s="36">
        <f>IFERROR(-M260/M136,"")</f>
        <v>0.00975700376625109</v>
      </c>
      <c r="N288" s="36">
        <f>IFERROR(-N260/N136,"")</f>
        <v>0.0132119187811898</v>
      </c>
      <c r="O288" s="36">
        <f>IFERROR(-O260/O136,"")</f>
        <v>0.0268064689249698</v>
      </c>
      <c r="P288" s="36">
        <f>IFERROR(-P260/P136,"")</f>
        <v>0.0146549895700986</v>
      </c>
      <c r="Q288" s="36">
        <f>IFERROR(-Q260/Q136,"")</f>
        <v>0.00911081923288847</v>
      </c>
      <c r="R288" s="36">
        <f>IFERROR(-R260/R136,"")</f>
        <v>0.0117789941271399</v>
      </c>
      <c r="S288" s="36">
        <f>IFERROR(-S260/S136,"")</f>
        <v>0.0133894383852063</v>
      </c>
      <c r="T288" s="36">
        <f>IFERROR(-T260/T136,"")</f>
        <v>0.0274751666473431</v>
      </c>
      <c r="U288" s="36">
        <f>IFERROR(-U260/U136,"")</f>
        <v>0.0155169887564199</v>
      </c>
      <c r="V288" s="36">
        <f>IFERROR(-V260/V136,"")</f>
        <v>0.0112704678362573</v>
      </c>
      <c r="W288" s="36">
        <f>IFERROR(-W260/W136,"")</f>
        <v>0.0128952197462043</v>
      </c>
      <c r="X288" s="36">
        <f>IFERROR(-X260/X136,"")</f>
        <v>0.0174244782641895</v>
      </c>
      <c r="Y288" s="36">
        <f>IFERROR(-Y260/Y136,"")</f>
        <v>0.0280163284727017</v>
      </c>
      <c r="Z288" s="36">
        <f>IFERROR(-Z260/Z136,"")</f>
        <v>0.0173629055567208</v>
      </c>
      <c r="AA288" s="36">
        <f>IFERROR(-AA260/AA136,"")</f>
        <v>0.0107489155396785</v>
      </c>
      <c r="AB288" s="36">
        <f>IFERROR(-AB260/AB136,"")</f>
        <v>0.0127614195824075</v>
      </c>
      <c r="AC288" s="36">
        <f>IFERROR(-AC260/AC136,"")</f>
        <v>0.0157950241366506</v>
      </c>
      <c r="AD288" s="36">
        <f>IFERROR(-AD260/AD136,"")</f>
        <v>0.0368360476835094</v>
      </c>
      <c r="AE288" s="36">
        <f>IFERROR(-AE260/AE136,"")</f>
        <v>0.0188919086851554</v>
      </c>
      <c r="AF288" s="36">
        <f>IFERROR(-AF260/AF136,"")</f>
        <v>0.010755922835765</v>
      </c>
      <c r="AG288" s="36">
        <f>IFERROR(-AG260/AG136,"")</f>
        <v>0.01282864673149</v>
      </c>
      <c r="AH288" s="36">
        <f>IFERROR(-AH260/AH136,"")</f>
        <v>0.0153604132748044</v>
      </c>
      <c r="AI288" s="36">
        <f>IFERROR(-AI260/AI136,"")</f>
        <v>0.0272307645363433</v>
      </c>
      <c r="AJ288" s="36">
        <f>IFERROR(-AJ260/AJ136,"")</f>
        <v>0.016635386122696</v>
      </c>
      <c r="AK288" s="36">
        <f>IFERROR(-AK260/AK136,"")</f>
        <v>0.0183785610725365</v>
      </c>
      <c r="AL288" s="36">
        <f>IFERROR(-AL260/AL136,"")</f>
        <v>0.0219717765750774</v>
      </c>
      <c r="AM288" s="254" t="n"/>
      <c r="AN288" s="254" t="n"/>
      <c r="AO288" s="254">
        <f>IFERROR(-AO260/AO136,"")</f>
        <v>0.0219931202378022</v>
      </c>
      <c r="AP288" s="255" t="n">
        <v>0.022</v>
      </c>
      <c r="AQ288" s="255" t="n">
        <v>0.022</v>
      </c>
      <c r="AR288" s="255" t="n">
        <v>0.022</v>
      </c>
      <c r="AS288" s="255" t="n">
        <v>0.022</v>
      </c>
      <c r="AT288" s="19" t="inlineStr">
        <is>
          <t>2027E+: 2.2% of sales (FY25 1.7%; Eddyfi higher capital intensity incl. development spend).</t>
        </is>
      </c>
      <c r="AV288" s="20">
        <f>IFERROR(AVERAGE(AO288,AP288,AQ288,AR288,AS288),"n/m")</f>
        <v>0.0219986240475604</v>
      </c>
      <c r="AW288" s="20">
        <f>IFERROR(AVERAGE(K288,P288,U288,Z288,AE288,AJ288),"n/m")</f>
        <v>0.0172741733530076</v>
      </c>
      <c r="AX288" s="20">
        <f>IFERROR(AVERAGE(F288,G288,H288,I288,J288,K288,P288,U288,Z288,AE288,AJ288),"n/m")</f>
        <v>0.0176326461170257</v>
      </c>
      <c r="AY288" s="20">
        <f>IFERROR(AVERAGE(C288,D288,E288,F288,G288,H288,I288,J288,K288,P288,U288,Z288,AE288,AJ288),"n/m")</f>
        <v>0.0176326461170257</v>
      </c>
    </row>
    <row r="289">
      <c r="B289" s="25" t="inlineStr">
        <is>
          <t xml:space="preserve">  Capex / depreciation &amp; other amortization (x)</t>
        </is>
      </c>
      <c r="C289" s="277" t="n"/>
      <c r="D289" s="277" t="n"/>
      <c r="E289" s="277" t="n"/>
      <c r="F289" s="277" t="n"/>
      <c r="G289" s="277" t="n"/>
      <c r="H289" s="277" t="n"/>
      <c r="I289" s="277" t="n"/>
      <c r="J289" s="64">
        <f>IFERROR(-J260/J127,"")</f>
        <v>1.084508416687</v>
      </c>
      <c r="K289" s="64">
        <f>IFERROR(-K260/K127,"")</f>
        <v>1.04618672783193</v>
      </c>
      <c r="L289" s="64">
        <f>IFERROR(-L260/L127,"")</f>
        <v>0.489583333333333</v>
      </c>
      <c r="M289" s="64">
        <f>IFERROR(-M260/M127,"")</f>
        <v>0.640104166666667</v>
      </c>
      <c r="N289" s="64">
        <f>IFERROR(-N260/N127,"")</f>
        <v>0.816938775510204</v>
      </c>
      <c r="O289" s="64">
        <f>IFERROR(-O260/O127,"")</f>
        <v>1.76136842105263</v>
      </c>
      <c r="P289" s="64">
        <f>IFERROR(-P260/P127,"")</f>
        <v>0.92425974025974</v>
      </c>
      <c r="Q289" s="64">
        <f>IFERROR(-Q260/Q127,"")</f>
        <v>0.655888888888889</v>
      </c>
      <c r="R289" s="64">
        <f>IFERROR(-R260/R127,"")</f>
        <v>0.875056179775281</v>
      </c>
      <c r="S289" s="64">
        <f>IFERROR(-S260/S127,"")</f>
        <v>1.00060240963855</v>
      </c>
      <c r="T289" s="64">
        <f>IFERROR(-T260/T127,"")</f>
        <v>2.09735632183908</v>
      </c>
      <c r="U289" s="64">
        <f>IFERROR(-U260/U127,"")</f>
        <v>1.15309455587393</v>
      </c>
      <c r="V289" s="64">
        <f>IFERROR(-V260/V127,"")</f>
        <v>0.896395348837209</v>
      </c>
      <c r="W289" s="64">
        <f>IFERROR(-W260/W127,"")</f>
        <v>1.03222222222222</v>
      </c>
      <c r="X289" s="64">
        <f>IFERROR(-X260/X127,"")</f>
        <v>1.31844444444444</v>
      </c>
      <c r="Y289" s="64">
        <f>IFERROR(-Y260/Y127,"")</f>
        <v>2.05457446808511</v>
      </c>
      <c r="Z289" s="64">
        <f>IFERROR(-Z260/Z127,"")</f>
        <v>1.33827777777778</v>
      </c>
      <c r="AA289" s="64">
        <f>IFERROR(-AA260/AA127,"")</f>
        <v>0.8425</v>
      </c>
      <c r="AB289" s="64">
        <f>IFERROR(-AB260/AB127,"")</f>
        <v>0.991538461538462</v>
      </c>
      <c r="AC289" s="64">
        <f>IFERROR(-AC260/AC127,"")</f>
        <v>1.11936842105263</v>
      </c>
      <c r="AD289" s="64">
        <f>IFERROR(-AD260/AD127,"")</f>
        <v>2.68565217391304</v>
      </c>
      <c r="AE289" s="64">
        <f>IFERROR(-AE260/AE127,"")</f>
        <v>1.41472677595628</v>
      </c>
      <c r="AF289" s="64">
        <f>IFERROR(-AF260/AF127,"")</f>
        <v>0.7294</v>
      </c>
      <c r="AG289" s="64">
        <f>IFERROR(-AG260/AG127,"")</f>
        <v>0.805263157894737</v>
      </c>
      <c r="AH289" s="64">
        <f>IFERROR(-AH260/AH127,"")</f>
        <v>0.931666666666667</v>
      </c>
      <c r="AI289" s="64">
        <f>IFERROR(-AI260/AI127,"")</f>
        <v>1.37293706293706</v>
      </c>
      <c r="AJ289" s="64">
        <f>IFERROR(-AJ260/AJ127,"")</f>
        <v>0.991341719077568</v>
      </c>
      <c r="AK289" s="64">
        <f>IFERROR(-AK260/AK127,"")</f>
        <v>1.04603053435115</v>
      </c>
      <c r="AL289" s="64">
        <f>IFERROR(-AL260/AL127,"")</f>
        <v>1.44268292682927</v>
      </c>
      <c r="AM289" s="278" t="n"/>
      <c r="AN289" s="278" t="n"/>
      <c r="AO289" s="278">
        <f>IFERROR(-AO260/AO127,"")</f>
        <v>1.32554779365034</v>
      </c>
      <c r="AP289" s="278">
        <f>IFERROR(-AP260/AP127,"")</f>
        <v>1.30722339743449</v>
      </c>
      <c r="AQ289" s="278">
        <f>IFERROR(-AQ260/AQ127,"")</f>
        <v>1.30518522409001</v>
      </c>
      <c r="AR289" s="278">
        <f>IFERROR(-AR260/AR127,"")</f>
        <v>1.30006685579432</v>
      </c>
      <c r="AS289" s="278">
        <f>IFERROR(-AS260/AS127,"")</f>
        <v>1.29466878574878</v>
      </c>
      <c r="AT289" s="19" t="n"/>
    </row>
    <row r="290">
      <c r="AT290" s="19" t="n"/>
    </row>
    <row r="291">
      <c r="B291" s="10" t="inlineStr">
        <is>
          <t>SHARE BUYBACK SCHEDULE</t>
        </is>
      </c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inlineStr">
        <is>
          <t>SHARES — 2026E = 2H/26 only; MCPS converts ~Jun-2029</t>
        </is>
      </c>
    </row>
    <row r="292">
      <c r="B292" s="25" t="inlineStr">
        <is>
          <t xml:space="preserve">  Avg buyback price ($)</t>
        </is>
      </c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  <c r="AA292" s="27" t="n"/>
      <c r="AB292" s="27" t="n"/>
      <c r="AC292" s="27" t="n"/>
      <c r="AD292" s="27" t="n"/>
      <c r="AE292" s="27" t="n"/>
      <c r="AF292" s="27" t="n"/>
      <c r="AG292" s="27" t="n"/>
      <c r="AH292" s="27" t="n"/>
      <c r="AI292" s="27" t="n"/>
      <c r="AJ292" s="27" t="n"/>
      <c r="AK292" s="27" t="n"/>
      <c r="AL292" s="27" t="n"/>
      <c r="AM292" s="270" t="n"/>
      <c r="AN292" s="270" t="n"/>
      <c r="AO292" s="270">
        <f>AO419</f>
        <v>69.94</v>
      </c>
      <c r="AP292" s="270">
        <f>AO292*(1+AP363)</f>
        <v>75.5352</v>
      </c>
      <c r="AQ292" s="270">
        <f>AP292*(1+AQ363)</f>
        <v>81.578016</v>
      </c>
      <c r="AR292" s="270">
        <f>AQ292*(1+AR363)</f>
        <v>88.10425728</v>
      </c>
      <c r="AS292" s="270">
        <f>AR292*(1+AS363)</f>
        <v>95.1525978624</v>
      </c>
      <c r="AT292" s="19" t="n"/>
    </row>
    <row r="293">
      <c r="B293" s="25" t="inlineStr">
        <is>
          <t xml:space="preserve">  Buyback cash deployed (USDm)</t>
        </is>
      </c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  <c r="AA293" s="34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257" t="n"/>
      <c r="AN293" s="257" t="n"/>
      <c r="AO293" s="257">
        <f>CHOOSE(MATCH($AT$2,{"Bull","Base","Bear"},0),$BC$18,$BD$18,$BE$18)</f>
        <v>0</v>
      </c>
      <c r="AP293" s="257">
        <f>-AP269</f>
        <v>0</v>
      </c>
      <c r="AQ293" s="257">
        <f>-AQ269</f>
        <v>106.579219525392</v>
      </c>
      <c r="AR293" s="257">
        <f>-AR269</f>
        <v>352.990787164912</v>
      </c>
      <c r="AS293" s="257">
        <f>-AS269</f>
        <v>398.333200541643</v>
      </c>
      <c r="AT293" s="19" t="n"/>
    </row>
    <row r="294">
      <c r="B294" s="25" t="inlineStr">
        <is>
          <t xml:space="preserve">  Implied shares repurchased (m)</t>
        </is>
      </c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  <c r="AA294" s="45" t="n"/>
      <c r="AB294" s="45" t="n"/>
      <c r="AC294" s="45" t="n"/>
      <c r="AD294" s="45" t="n"/>
      <c r="AE294" s="45" t="n"/>
      <c r="AF294" s="45" t="n"/>
      <c r="AG294" s="45" t="n"/>
      <c r="AH294" s="45" t="n"/>
      <c r="AI294" s="45" t="n"/>
      <c r="AJ294" s="45" t="n"/>
      <c r="AK294" s="45" t="n"/>
      <c r="AL294" s="45" t="n"/>
      <c r="AM294" s="266" t="n"/>
      <c r="AN294" s="266" t="n"/>
      <c r="AO294" s="266">
        <f>IFERROR(AO293/AO292,0)</f>
        <v>0</v>
      </c>
      <c r="AP294" s="266">
        <f>IFERROR(AP293/AP292,0)</f>
        <v>0</v>
      </c>
      <c r="AQ294" s="266">
        <f>IFERROR(AQ293/AQ292,0)</f>
        <v>1.30646986469237</v>
      </c>
      <c r="AR294" s="266">
        <f>IFERROR(AR293/AR292,0)</f>
        <v>4.00651226243346</v>
      </c>
      <c r="AS294" s="266">
        <f>IFERROR(AS293/AS292,0)</f>
        <v>4.18625670228859</v>
      </c>
      <c r="AT294" s="19" t="n"/>
    </row>
    <row r="295">
      <c r="B295" s="25" t="inlineStr">
        <is>
          <t xml:space="preserve">  Shares issued under equity plans (m)</t>
        </is>
      </c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  <c r="AA295" s="45" t="n"/>
      <c r="AB295" s="45" t="n"/>
      <c r="AC295" s="45" t="n"/>
      <c r="AD295" s="45" t="n"/>
      <c r="AE295" s="45" t="n"/>
      <c r="AF295" s="45" t="n"/>
      <c r="AG295" s="45" t="n"/>
      <c r="AH295" s="45" t="n"/>
      <c r="AI295" s="45" t="n"/>
      <c r="AJ295" s="45" t="n"/>
      <c r="AK295" s="45" t="n"/>
      <c r="AL295" s="45" t="n"/>
      <c r="AM295" s="266" t="n"/>
      <c r="AN295" s="266" t="n"/>
      <c r="AO295" s="267" t="n">
        <v>0.1</v>
      </c>
      <c r="AP295" s="267" t="n">
        <v>0.3</v>
      </c>
      <c r="AQ295" s="267" t="n">
        <v>0.3</v>
      </c>
      <c r="AR295" s="267" t="n">
        <v>0.3</v>
      </c>
      <c r="AS295" s="267" t="n">
        <v>0.3</v>
      </c>
      <c r="AT295" s="19" t="n"/>
    </row>
    <row r="296">
      <c r="B296" s="25" t="inlineStr">
        <is>
          <t xml:space="preserve">  MCPS conversion shares (m; if-converted until Jun-2029, issued at conversion)</t>
        </is>
      </c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  <c r="AA296" s="45" t="n"/>
      <c r="AB296" s="45" t="n"/>
      <c r="AC296" s="45" t="n"/>
      <c r="AD296" s="45" t="n"/>
      <c r="AE296" s="45" t="n"/>
      <c r="AF296" s="45" t="n"/>
      <c r="AG296" s="45" t="n"/>
      <c r="AH296" s="45" t="n"/>
      <c r="AI296" s="45" t="n"/>
      <c r="AJ296" s="45" t="n"/>
      <c r="AK296" s="45" t="n"/>
      <c r="AL296" s="45" t="n"/>
      <c r="AM296" s="266" t="n"/>
      <c r="AN296" s="266" t="n"/>
      <c r="AO296" s="267" t="n">
        <v>1.351</v>
      </c>
      <c r="AP296" s="267" t="n">
        <v>1.351</v>
      </c>
      <c r="AQ296" s="267" t="n">
        <v>1.351</v>
      </c>
      <c r="AR296" s="267" t="n">
        <v>1.351</v>
      </c>
      <c r="AS296" s="267" t="n">
        <v>0</v>
      </c>
      <c r="AT296" s="19" t="inlineStr">
        <is>
          <t>175,000 MCPS × 7.72 shares (mid of 7.1806–8.2576) = 1.35m shares.</t>
        </is>
      </c>
    </row>
    <row r="297">
      <c r="B297" s="25" t="inlineStr">
        <is>
          <t xml:space="preserve">  Beginning shares outstanding (m)</t>
        </is>
      </c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  <c r="AA297" s="45" t="n"/>
      <c r="AB297" s="45" t="n"/>
      <c r="AC297" s="45" t="n"/>
      <c r="AD297" s="45" t="n"/>
      <c r="AE297" s="45" t="n"/>
      <c r="AF297" s="45" t="n"/>
      <c r="AG297" s="45" t="n"/>
      <c r="AH297" s="45" t="n"/>
      <c r="AI297" s="45" t="n"/>
      <c r="AJ297" s="45" t="n"/>
      <c r="AK297" s="45" t="n"/>
      <c r="AL297" s="45" t="n"/>
      <c r="AM297" s="266" t="n"/>
      <c r="AN297" s="266" t="n"/>
      <c r="AO297" s="266">
        <f>$AL$337</f>
        <v>62.167669</v>
      </c>
      <c r="AP297" s="266">
        <f>AO298</f>
        <v>62.267669</v>
      </c>
      <c r="AQ297" s="266">
        <f>AP298</f>
        <v>62.567669</v>
      </c>
      <c r="AR297" s="266">
        <f>AQ298</f>
        <v>61.5611991353076</v>
      </c>
      <c r="AS297" s="266">
        <f>AR298</f>
        <v>59.2056868728742</v>
      </c>
      <c r="AT297" s="19" t="n"/>
    </row>
    <row r="298">
      <c r="B298" s="16" t="inlineStr">
        <is>
          <t xml:space="preserve">  Ending shares outstanding (m)</t>
        </is>
      </c>
      <c r="C298" s="279" t="n"/>
      <c r="D298" s="279" t="n"/>
      <c r="E298" s="279" t="n"/>
      <c r="F298" s="279" t="n"/>
      <c r="G298" s="279" t="n"/>
      <c r="H298" s="279" t="n"/>
      <c r="I298" s="279" t="n"/>
      <c r="J298" s="279" t="n"/>
      <c r="K298" s="279" t="n"/>
      <c r="L298" s="279" t="n"/>
      <c r="M298" s="279" t="n"/>
      <c r="N298" s="279" t="n"/>
      <c r="O298" s="279" t="n"/>
      <c r="P298" s="279" t="n"/>
      <c r="Q298" s="279" t="n"/>
      <c r="R298" s="279" t="n"/>
      <c r="S298" s="279" t="n"/>
      <c r="T298" s="279" t="n"/>
      <c r="U298" s="279" t="n"/>
      <c r="V298" s="279" t="n"/>
      <c r="W298" s="279" t="n"/>
      <c r="X298" s="279" t="n"/>
      <c r="Y298" s="279" t="n"/>
      <c r="Z298" s="279" t="n"/>
      <c r="AA298" s="279" t="n"/>
      <c r="AB298" s="279" t="n"/>
      <c r="AC298" s="279" t="n"/>
      <c r="AD298" s="279" t="n"/>
      <c r="AE298" s="279" t="n"/>
      <c r="AF298" s="279" t="n"/>
      <c r="AG298" s="279" t="n"/>
      <c r="AH298" s="279" t="n"/>
      <c r="AI298" s="279" t="n"/>
      <c r="AJ298" s="279" t="n"/>
      <c r="AK298" s="279" t="n"/>
      <c r="AL298" s="279" t="n"/>
      <c r="AM298" s="280" t="n"/>
      <c r="AN298" s="280" t="n"/>
      <c r="AO298" s="280">
        <f>AO297-AO294+AO295</f>
        <v>62.267669</v>
      </c>
      <c r="AP298" s="280">
        <f>AP297-AP294+AP295</f>
        <v>62.567669</v>
      </c>
      <c r="AQ298" s="280">
        <f>AQ297-AQ294+AQ295</f>
        <v>61.5611991353076</v>
      </c>
      <c r="AR298" s="280">
        <f>AR297-AR294+AR295+AR296</f>
        <v>59.2056868728742</v>
      </c>
      <c r="AS298" s="280">
        <f>AS297-AS294+AS295</f>
        <v>55.3194301705856</v>
      </c>
      <c r="AT298" s="19" t="n"/>
    </row>
    <row r="299">
      <c r="B299" s="25" t="inlineStr">
        <is>
          <t xml:space="preserve">  % of shares repurchased</t>
        </is>
      </c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254" t="n"/>
      <c r="AN299" s="254" t="n"/>
      <c r="AO299" s="254">
        <f>IFERROR(AO294/AO297,"")</f>
        <v>0</v>
      </c>
      <c r="AP299" s="254">
        <f>IFERROR(AP294/AP297,"")</f>
        <v>0</v>
      </c>
      <c r="AQ299" s="254">
        <f>IFERROR(AQ294/AQ297,"")</f>
        <v>0.0208809099903078</v>
      </c>
      <c r="AR299" s="254">
        <f>IFERROR(AR294/AR297,"")</f>
        <v>0.0650817774622517</v>
      </c>
      <c r="AS299" s="254">
        <f>IFERROR(AS294/AS297,"")</f>
        <v>0.0707070033876522</v>
      </c>
      <c r="AT299" s="19" t="n"/>
    </row>
    <row r="300">
      <c r="AT300" s="19" t="n"/>
    </row>
    <row r="301">
      <c r="B301" s="10" t="inlineStr">
        <is>
          <t>CONSOLIDATED BALANCE SHEET</t>
        </is>
      </c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inlineStr">
        <is>
          <t>BS FORECAST — 2026E rolled forward from the 3-Jul-2026 balance sheet (Q2/26, post-Eddyfi) + 2H flows; 2027E+ from prior year end</t>
        </is>
      </c>
    </row>
    <row r="302">
      <c r="B302" s="25" t="inlineStr">
        <is>
          <t>ASSETS</t>
        </is>
      </c>
      <c r="C302" s="271" t="n"/>
      <c r="D302" s="271" t="n"/>
      <c r="E302" s="271" t="n"/>
      <c r="F302" s="271" t="n"/>
      <c r="G302" s="271" t="n"/>
      <c r="H302" s="271" t="n"/>
      <c r="I302" s="271" t="n"/>
      <c r="J302" s="271" t="n"/>
      <c r="K302" s="271" t="n"/>
      <c r="L302" s="271" t="n"/>
      <c r="M302" s="271" t="n"/>
      <c r="N302" s="271" t="n"/>
      <c r="O302" s="271" t="n"/>
      <c r="P302" s="271" t="n"/>
      <c r="Q302" s="271" t="n"/>
      <c r="R302" s="271" t="n"/>
      <c r="S302" s="271" t="n"/>
      <c r="T302" s="271" t="n"/>
      <c r="U302" s="271" t="n"/>
      <c r="V302" s="271" t="n"/>
      <c r="W302" s="271" t="n"/>
      <c r="X302" s="271" t="n"/>
      <c r="Y302" s="271" t="n"/>
      <c r="Z302" s="271" t="n"/>
      <c r="AA302" s="271" t="n"/>
      <c r="AB302" s="271" t="n"/>
      <c r="AC302" s="271" t="n"/>
      <c r="AD302" s="271" t="n"/>
      <c r="AE302" s="271" t="n"/>
      <c r="AF302" s="271" t="n"/>
      <c r="AG302" s="271" t="n"/>
      <c r="AH302" s="271" t="n"/>
      <c r="AI302" s="271" t="n"/>
      <c r="AJ302" s="271" t="n"/>
      <c r="AK302" s="271" t="n"/>
      <c r="AL302" s="271" t="n"/>
      <c r="AM302" s="269" t="n"/>
      <c r="AN302" s="269" t="n"/>
      <c r="AO302" s="269" t="n"/>
      <c r="AP302" s="269" t="n"/>
      <c r="AQ302" s="269" t="n"/>
      <c r="AR302" s="269" t="n"/>
      <c r="AS302" s="269" t="n"/>
      <c r="AT302" s="19" t="n"/>
    </row>
    <row r="303">
      <c r="B303" s="25" t="inlineStr">
        <is>
          <t xml:space="preserve">  Cash and cash equivalents</t>
        </is>
      </c>
      <c r="C303" s="34" t="n"/>
      <c r="D303" s="34" t="n"/>
      <c r="E303" s="34" t="n"/>
      <c r="F303" s="34" t="n"/>
      <c r="G303" s="34" t="n"/>
      <c r="H303" s="34" t="n"/>
      <c r="I303" s="34" t="n"/>
      <c r="J303" s="34" t="n">
        <v>104.834</v>
      </c>
      <c r="K303" s="34" t="n">
        <v>49.209</v>
      </c>
      <c r="L303" s="34" t="n">
        <v>45.154</v>
      </c>
      <c r="M303" s="34" t="n">
        <v>44.529</v>
      </c>
      <c r="N303" s="34" t="n">
        <v>41.495</v>
      </c>
      <c r="O303" s="34" t="n">
        <v>41.209</v>
      </c>
      <c r="P303" s="34" t="n">
        <v>41.209</v>
      </c>
      <c r="Q303" s="34" t="n">
        <v>56.631</v>
      </c>
      <c r="R303" s="34" t="n">
        <v>53.475</v>
      </c>
      <c r="S303" s="34" t="n">
        <v>60.634</v>
      </c>
      <c r="T303" s="34" t="n">
        <v>72.024</v>
      </c>
      <c r="U303" s="34" t="n">
        <v>72.024</v>
      </c>
      <c r="V303" s="34" t="n">
        <v>82.06399999999999</v>
      </c>
      <c r="W303" s="34" t="n">
        <v>74.449</v>
      </c>
      <c r="X303" s="34" t="n">
        <v>82.833</v>
      </c>
      <c r="Y303" s="34" t="n">
        <v>102.003</v>
      </c>
      <c r="Z303" s="34" t="n">
        <v>102.003</v>
      </c>
      <c r="AA303" s="34" t="n">
        <v>76.495</v>
      </c>
      <c r="AB303" s="34" t="n">
        <v>228.47</v>
      </c>
      <c r="AC303" s="34" t="n">
        <v>253.67</v>
      </c>
      <c r="AD303" s="34" t="n">
        <v>249.358</v>
      </c>
      <c r="AE303" s="34" t="n">
        <v>249.358</v>
      </c>
      <c r="AF303" s="34" t="n">
        <v>291.348</v>
      </c>
      <c r="AG303" s="34" t="n">
        <v>258.223</v>
      </c>
      <c r="AH303" s="34" t="n">
        <v>218.219</v>
      </c>
      <c r="AI303" s="34" t="n">
        <v>185.863</v>
      </c>
      <c r="AJ303" s="34" t="n">
        <v>185.863</v>
      </c>
      <c r="AK303" s="34" t="n">
        <v>1004.79</v>
      </c>
      <c r="AL303" s="34" t="n">
        <v>217.491</v>
      </c>
      <c r="AM303" s="257" t="n"/>
      <c r="AN303" s="257" t="n"/>
      <c r="AO303" s="257">
        <f>AO277</f>
        <v>200</v>
      </c>
      <c r="AP303" s="257">
        <f>AP277</f>
        <v>379.383619981304</v>
      </c>
      <c r="AQ303" s="257">
        <f>AQ277</f>
        <v>517.906308813059</v>
      </c>
      <c r="AR303" s="257">
        <f>AR277</f>
        <v>400.796794471508</v>
      </c>
      <c r="AS303" s="257">
        <f>AS277</f>
        <v>280.714734540008</v>
      </c>
      <c r="AT303" s="19" t="n"/>
    </row>
    <row r="304">
      <c r="B304" s="25" t="inlineStr">
        <is>
          <t xml:space="preserve">  Trade receivables, net</t>
        </is>
      </c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>
        <v>329.562</v>
      </c>
      <c r="L304" s="34" t="n"/>
      <c r="M304" s="34" t="n"/>
      <c r="N304" s="34" t="n"/>
      <c r="O304" s="34" t="n">
        <v>383.496</v>
      </c>
      <c r="P304" s="34" t="n">
        <v>383.496</v>
      </c>
      <c r="Q304" s="34" t="n">
        <v>410.201</v>
      </c>
      <c r="R304" s="34" t="n">
        <v>384.246</v>
      </c>
      <c r="S304" s="34" t="n">
        <v>359.956</v>
      </c>
      <c r="T304" s="34" t="n">
        <v>374.329</v>
      </c>
      <c r="U304" s="34" t="n">
        <v>374.329</v>
      </c>
      <c r="V304" s="34" t="n">
        <v>404.128</v>
      </c>
      <c r="W304" s="34" t="n">
        <v>412.668</v>
      </c>
      <c r="X304" s="34" t="n">
        <v>388.483</v>
      </c>
      <c r="Y304" s="34" t="n">
        <v>385.198</v>
      </c>
      <c r="Z304" s="34" t="n">
        <v>385.198</v>
      </c>
      <c r="AA304" s="34" t="n">
        <v>430.149</v>
      </c>
      <c r="AB304" s="34" t="n">
        <v>431.207</v>
      </c>
      <c r="AC304" s="34" t="n">
        <v>420.938</v>
      </c>
      <c r="AD304" s="34" t="n">
        <v>370.321</v>
      </c>
      <c r="AE304" s="34" t="n">
        <v>370.321</v>
      </c>
      <c r="AF304" s="34" t="n">
        <v>414.796</v>
      </c>
      <c r="AG304" s="34" t="n">
        <v>456.112</v>
      </c>
      <c r="AH304" s="34" t="n">
        <v>460.469</v>
      </c>
      <c r="AI304" s="34" t="n">
        <v>451.298</v>
      </c>
      <c r="AJ304" s="34" t="n">
        <v>451.298</v>
      </c>
      <c r="AK304" s="34" t="n">
        <v>488.46</v>
      </c>
      <c r="AL304" s="34" t="n">
        <v>554.147</v>
      </c>
      <c r="AM304" s="257" t="n"/>
      <c r="AN304" s="257" t="n"/>
      <c r="AO304" s="257">
        <f>AO340*AO342/365</f>
        <v>523.511516569713</v>
      </c>
      <c r="AP304" s="257">
        <f>AP340*AP342/365</f>
        <v>543.740451927275</v>
      </c>
      <c r="AQ304" s="257">
        <f>AQ340*AQ342/365</f>
        <v>570.289391618534</v>
      </c>
      <c r="AR304" s="257">
        <f>AR340*AR342/365</f>
        <v>605.122015887986</v>
      </c>
      <c r="AS304" s="257">
        <f>AS340*AS342/365</f>
        <v>643.445044144986</v>
      </c>
      <c r="AT304" s="19" t="n"/>
    </row>
    <row r="305">
      <c r="B305" s="25" t="inlineStr">
        <is>
          <t xml:space="preserve">  Inventories, net</t>
        </is>
      </c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>
        <v>313.386</v>
      </c>
      <c r="L305" s="34" t="n"/>
      <c r="M305" s="34" t="n"/>
      <c r="N305" s="34" t="n"/>
      <c r="O305" s="34" t="n">
        <v>420.062</v>
      </c>
      <c r="P305" s="34" t="n">
        <v>420.062</v>
      </c>
      <c r="Q305" s="34" t="n">
        <v>462.535</v>
      </c>
      <c r="R305" s="34" t="n">
        <v>473.799</v>
      </c>
      <c r="S305" s="34" t="n">
        <v>446.531</v>
      </c>
      <c r="T305" s="34" t="n">
        <v>416.829</v>
      </c>
      <c r="U305" s="34" t="n">
        <v>416.829</v>
      </c>
      <c r="V305" s="34" t="n">
        <v>448.342</v>
      </c>
      <c r="W305" s="34" t="n">
        <v>447.321</v>
      </c>
      <c r="X305" s="34" t="n">
        <v>425.691</v>
      </c>
      <c r="Y305" s="34" t="n">
        <v>392.858</v>
      </c>
      <c r="Z305" s="34" t="n">
        <v>392.858</v>
      </c>
      <c r="AA305" s="34" t="n">
        <v>405.601</v>
      </c>
      <c r="AB305" s="34" t="n">
        <v>426.52</v>
      </c>
      <c r="AC305" s="34" t="n">
        <v>422.654</v>
      </c>
      <c r="AD305" s="34" t="n">
        <v>403.711</v>
      </c>
      <c r="AE305" s="34" t="n">
        <v>403.711</v>
      </c>
      <c r="AF305" s="34" t="n">
        <v>450.705</v>
      </c>
      <c r="AG305" s="34" t="n">
        <v>474.095</v>
      </c>
      <c r="AH305" s="34" t="n">
        <v>503.722</v>
      </c>
      <c r="AI305" s="34" t="n">
        <v>481.765</v>
      </c>
      <c r="AJ305" s="34" t="n">
        <v>481.765</v>
      </c>
      <c r="AK305" s="34" t="n">
        <v>520.597</v>
      </c>
      <c r="AL305" s="34" t="n">
        <v>581.5410000000001</v>
      </c>
      <c r="AM305" s="257" t="n"/>
      <c r="AN305" s="257" t="n"/>
      <c r="AO305" s="257">
        <f>AO341*AO343/365</f>
        <v>546.292675301302</v>
      </c>
      <c r="AP305" s="257">
        <f>AP341*AP343/365</f>
        <v>571.868720114361</v>
      </c>
      <c r="AQ305" s="257">
        <f>AQ341*AQ343/365</f>
        <v>587.405767425278</v>
      </c>
      <c r="AR305" s="257">
        <f>AR341*AR343/365</f>
        <v>617.162046615391</v>
      </c>
      <c r="AS305" s="257">
        <f>AS341*AS343/365</f>
        <v>652.424103015061</v>
      </c>
      <c r="AT305" s="19" t="n"/>
    </row>
    <row r="306">
      <c r="B306" s="25" t="inlineStr">
        <is>
          <t xml:space="preserve">  Prepaid expenses &amp; other current assets (derived)</t>
        </is>
      </c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>
        <v>112.791</v>
      </c>
      <c r="L306" s="34" t="n"/>
      <c r="M306" s="34" t="n"/>
      <c r="N306" s="34" t="n"/>
      <c r="O306" s="34" t="n">
        <v>119.306</v>
      </c>
      <c r="P306" s="34" t="n">
        <v>119.306</v>
      </c>
      <c r="Q306" s="34" t="n">
        <v>118.72</v>
      </c>
      <c r="R306" s="34" t="n">
        <v>129.8440000000001</v>
      </c>
      <c r="S306" s="34" t="n">
        <v>120.8749999999999</v>
      </c>
      <c r="T306" s="34" t="n">
        <v>125.488</v>
      </c>
      <c r="U306" s="34" t="n">
        <v>125.488</v>
      </c>
      <c r="V306" s="34" t="n">
        <v>126.1629999999999</v>
      </c>
      <c r="W306" s="34" t="n">
        <v>137.168</v>
      </c>
      <c r="X306" s="34" t="n">
        <v>132.732</v>
      </c>
      <c r="Y306" s="34" t="n">
        <v>117.661</v>
      </c>
      <c r="Z306" s="34" t="n">
        <v>117.661</v>
      </c>
      <c r="AA306" s="34" t="n">
        <v>130.503</v>
      </c>
      <c r="AB306" s="34" t="n">
        <v>126.3560000000001</v>
      </c>
      <c r="AC306" s="34" t="n">
        <v>124.249</v>
      </c>
      <c r="AD306" s="34" t="n">
        <v>124.9920000000001</v>
      </c>
      <c r="AE306" s="34" t="n">
        <v>124.9920000000001</v>
      </c>
      <c r="AF306" s="34" t="n">
        <v>129.182</v>
      </c>
      <c r="AG306" s="34" t="n">
        <v>147.8499999999999</v>
      </c>
      <c r="AH306" s="34" t="n">
        <v>151.3109999999999</v>
      </c>
      <c r="AI306" s="34" t="n">
        <v>142.9789999999999</v>
      </c>
      <c r="AJ306" s="34" t="n">
        <v>142.9789999999999</v>
      </c>
      <c r="AK306" s="34" t="n">
        <v>156.3109999999999</v>
      </c>
      <c r="AL306" s="34" t="n">
        <v>175.2839999999999</v>
      </c>
      <c r="AM306" s="257" t="n"/>
      <c r="AN306" s="257" t="n"/>
      <c r="AO306" s="257">
        <f>$AL$306</f>
        <v>175.284</v>
      </c>
      <c r="AP306" s="257">
        <f>AO306</f>
        <v>175.284</v>
      </c>
      <c r="AQ306" s="257">
        <f>AP306</f>
        <v>175.284</v>
      </c>
      <c r="AR306" s="257">
        <f>AQ306</f>
        <v>175.284</v>
      </c>
      <c r="AS306" s="257">
        <f>AR306</f>
        <v>175.284</v>
      </c>
      <c r="AT306" s="19" t="n"/>
    </row>
    <row r="307">
      <c r="B307" s="16" t="inlineStr">
        <is>
          <t>Total current assets</t>
        </is>
      </c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>
        <f>K303+K304+K305+K306</f>
        <v>804.948</v>
      </c>
      <c r="L307" s="43" t="n"/>
      <c r="M307" s="43" t="n"/>
      <c r="N307" s="43" t="n"/>
      <c r="O307" s="43">
        <f>O303+O304+O305+O306</f>
        <v>964.073</v>
      </c>
      <c r="P307" s="43">
        <f>P303+P304+P305+P306</f>
        <v>964.073</v>
      </c>
      <c r="Q307" s="43">
        <f>Q303+Q304+Q305+Q306</f>
        <v>1048.087</v>
      </c>
      <c r="R307" s="43">
        <f>R303+R304+R305+R306</f>
        <v>1041.364</v>
      </c>
      <c r="S307" s="43">
        <f>S303+S304+S305+S306</f>
        <v>987.996</v>
      </c>
      <c r="T307" s="43">
        <f>T303+T304+T305+T306</f>
        <v>988.67</v>
      </c>
      <c r="U307" s="43">
        <f>U303+U304+U305+U306</f>
        <v>988.67</v>
      </c>
      <c r="V307" s="43">
        <f>V303+V304+V305+V306</f>
        <v>1060.697</v>
      </c>
      <c r="W307" s="43">
        <f>W303+W304+W305+W306</f>
        <v>1071.606</v>
      </c>
      <c r="X307" s="43">
        <f>X303+X304+X305+X306</f>
        <v>1029.739</v>
      </c>
      <c r="Y307" s="43">
        <f>Y303+Y304+Y305+Y306</f>
        <v>997.72</v>
      </c>
      <c r="Z307" s="43">
        <f>Z303+Z304+Z305+Z306</f>
        <v>997.72</v>
      </c>
      <c r="AA307" s="43">
        <f>AA303+AA304+AA305+AA306</f>
        <v>1042.748</v>
      </c>
      <c r="AB307" s="43">
        <f>AB303+AB304+AB305+AB306</f>
        <v>1212.553</v>
      </c>
      <c r="AC307" s="43">
        <f>AC303+AC304+AC305+AC306</f>
        <v>1221.511</v>
      </c>
      <c r="AD307" s="43">
        <f>AD303+AD304+AD305+AD306</f>
        <v>1148.382</v>
      </c>
      <c r="AE307" s="43">
        <f>AE303+AE304+AE305+AE306</f>
        <v>1148.382</v>
      </c>
      <c r="AF307" s="43">
        <f>AF303+AF304+AF305+AF306</f>
        <v>1286.031</v>
      </c>
      <c r="AG307" s="43">
        <f>AG303+AG304+AG305+AG306</f>
        <v>1336.28</v>
      </c>
      <c r="AH307" s="43">
        <f>AH303+AH304+AH305+AH306</f>
        <v>1333.721</v>
      </c>
      <c r="AI307" s="43">
        <f>AI303+AI304+AI305+AI306</f>
        <v>1261.905</v>
      </c>
      <c r="AJ307" s="43">
        <f>AJ303+AJ304+AJ305+AJ306</f>
        <v>1261.905</v>
      </c>
      <c r="AK307" s="43">
        <f>AK303+AK304+AK305+AK306</f>
        <v>2170.158</v>
      </c>
      <c r="AL307" s="43">
        <f>AL303+AL304+AL305+AL306</f>
        <v>1528.463</v>
      </c>
      <c r="AM307" s="253" t="n"/>
      <c r="AN307" s="253" t="n"/>
      <c r="AO307" s="253">
        <f>AO303+AO304+AO305+AO306</f>
        <v>1445.08819187101</v>
      </c>
      <c r="AP307" s="253">
        <f>AP303+AP304+AP305+AP306</f>
        <v>1670.27679202294</v>
      </c>
      <c r="AQ307" s="253">
        <f>AQ303+AQ304+AQ305+AQ306</f>
        <v>1850.88546785687</v>
      </c>
      <c r="AR307" s="253">
        <f>AR303+AR304+AR305+AR306</f>
        <v>1798.36485697488</v>
      </c>
      <c r="AS307" s="253">
        <f>AS303+AS304+AS305+AS306</f>
        <v>1751.86788170005</v>
      </c>
      <c r="AT307" s="19" t="n"/>
    </row>
    <row r="308">
      <c r="B308" s="25" t="inlineStr">
        <is>
          <t xml:space="preserve">  Property, plant &amp; equipment, net</t>
        </is>
      </c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>
        <v>300.824</v>
      </c>
      <c r="L308" s="34" t="n"/>
      <c r="M308" s="34" t="n"/>
      <c r="N308" s="34" t="n"/>
      <c r="O308" s="34" t="n">
        <v>286.278</v>
      </c>
      <c r="P308" s="34" t="n">
        <v>286.278</v>
      </c>
      <c r="Q308" s="34" t="n">
        <v>280.592</v>
      </c>
      <c r="R308" s="34" t="n">
        <v>276.064</v>
      </c>
      <c r="S308" s="34" t="n">
        <v>265.185</v>
      </c>
      <c r="T308" s="34" t="n">
        <v>284.226</v>
      </c>
      <c r="U308" s="34" t="n">
        <v>284.226</v>
      </c>
      <c r="V308" s="34" t="n">
        <v>283.808</v>
      </c>
      <c r="W308" s="34" t="n">
        <v>281.809</v>
      </c>
      <c r="X308" s="34" t="n">
        <v>276.295</v>
      </c>
      <c r="Y308" s="34" t="n">
        <v>294.305</v>
      </c>
      <c r="Z308" s="34" t="n">
        <v>294.305</v>
      </c>
      <c r="AA308" s="34" t="n">
        <v>290.431</v>
      </c>
      <c r="AB308" s="34" t="n">
        <v>287.195</v>
      </c>
      <c r="AC308" s="34" t="n">
        <v>296.437</v>
      </c>
      <c r="AD308" s="34" t="n">
        <v>298.347</v>
      </c>
      <c r="AE308" s="34" t="n">
        <v>298.347</v>
      </c>
      <c r="AF308" s="34" t="n">
        <v>307.487</v>
      </c>
      <c r="AG308" s="34" t="n">
        <v>326.685</v>
      </c>
      <c r="AH308" s="34" t="n">
        <v>357.927</v>
      </c>
      <c r="AI308" s="34" t="n">
        <v>381.876</v>
      </c>
      <c r="AJ308" s="34" t="n">
        <v>381.876</v>
      </c>
      <c r="AK308" s="34" t="n">
        <v>377.352</v>
      </c>
      <c r="AL308" s="34" t="n">
        <v>389.848</v>
      </c>
      <c r="AM308" s="257" t="n"/>
      <c r="AN308" s="257" t="n"/>
      <c r="AO308" s="257">
        <f>$AL$308-(AO260-$AK$260-$AL$260)-($AM$127+$AN$127)</f>
        <v>400.991643835616</v>
      </c>
      <c r="AP308" s="257">
        <f>AO308-AP260-AP127+AP87*AP97</f>
        <v>418.683918400569</v>
      </c>
      <c r="AQ308" s="257">
        <f>AP308-AQ260-AQ127+AQ87*AQ97</f>
        <v>452.145725085118</v>
      </c>
      <c r="AR308" s="257">
        <f>AQ308-AR260-AR127+AR87*AR97</f>
        <v>491.48244678918</v>
      </c>
      <c r="AS308" s="257">
        <f>AR308-AS260-AS127+AS87*AS97</f>
        <v>531.758081958004</v>
      </c>
      <c r="AT308" s="19" t="n"/>
    </row>
    <row r="309">
      <c r="B309" s="25" t="inlineStr">
        <is>
          <t xml:space="preserve">  Goodwill</t>
        </is>
      </c>
      <c r="C309" s="34" t="n"/>
      <c r="D309" s="34" t="n"/>
      <c r="E309" s="34" t="n"/>
      <c r="F309" s="34" t="n"/>
      <c r="G309" s="34" t="n"/>
      <c r="H309" s="34" t="n"/>
      <c r="I309" s="34" t="n"/>
      <c r="J309" s="34" t="n">
        <v>1529.596</v>
      </c>
      <c r="K309" s="34" t="n">
        <v>1553.231</v>
      </c>
      <c r="L309" s="34" t="n"/>
      <c r="M309" s="34" t="n"/>
      <c r="N309" s="34" t="n"/>
      <c r="O309" s="34" t="n">
        <v>1532.993</v>
      </c>
      <c r="P309" s="34" t="n">
        <v>1532.993</v>
      </c>
      <c r="Q309" s="34" t="n">
        <v>1513.943</v>
      </c>
      <c r="R309" s="34" t="n">
        <v>1449.95</v>
      </c>
      <c r="S309" s="34" t="n">
        <v>1399.661</v>
      </c>
      <c r="T309" s="34" t="n">
        <v>1529.767</v>
      </c>
      <c r="U309" s="34" t="n">
        <v>1529.767</v>
      </c>
      <c r="V309" s="34" t="n">
        <v>1564.317</v>
      </c>
      <c r="W309" s="34" t="n">
        <v>1585.939</v>
      </c>
      <c r="X309" s="34" t="n">
        <v>1554.004</v>
      </c>
      <c r="Y309" s="34" t="n">
        <v>1588.331</v>
      </c>
      <c r="Z309" s="34" t="n">
        <v>1588.331</v>
      </c>
      <c r="AA309" s="34" t="n">
        <v>1586.943</v>
      </c>
      <c r="AB309" s="34" t="n">
        <v>1583.888</v>
      </c>
      <c r="AC309" s="34" t="n">
        <v>1667.878</v>
      </c>
      <c r="AD309" s="34" t="n">
        <v>1651.993</v>
      </c>
      <c r="AE309" s="34" t="n">
        <v>1651.993</v>
      </c>
      <c r="AF309" s="34" t="n">
        <v>1684.829</v>
      </c>
      <c r="AG309" s="34" t="n">
        <v>1790.053</v>
      </c>
      <c r="AH309" s="34" t="n">
        <v>1962.752</v>
      </c>
      <c r="AI309" s="34" t="n">
        <v>1949.702</v>
      </c>
      <c r="AJ309" s="34" t="n">
        <v>1949.702</v>
      </c>
      <c r="AK309" s="34" t="n">
        <v>1930.604</v>
      </c>
      <c r="AL309" s="34" t="n">
        <v>2746.209</v>
      </c>
      <c r="AM309" s="257" t="n"/>
      <c r="AN309" s="257" t="n"/>
      <c r="AO309" s="257">
        <f>$AL$309</f>
        <v>2746.209</v>
      </c>
      <c r="AP309" s="257">
        <f>AO309+AP87*(1-AP97-AP98)</f>
        <v>2746.209</v>
      </c>
      <c r="AQ309" s="257">
        <f>AP309+AQ87*(1-AQ97-AQ98)</f>
        <v>2813.709</v>
      </c>
      <c r="AR309" s="257">
        <f>AQ309+AR87*(1-AR97-AR98)</f>
        <v>2903.709</v>
      </c>
      <c r="AS309" s="257">
        <f>AR309+AS87*(1-AS97-AS98)</f>
        <v>2993.709</v>
      </c>
      <c r="AT309" s="19" t="n"/>
    </row>
    <row r="310">
      <c r="B310" s="25" t="inlineStr">
        <is>
          <t xml:space="preserve">  Intangible assets, net</t>
        </is>
      </c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>
        <v>577.352</v>
      </c>
      <c r="L310" s="34" t="n"/>
      <c r="M310" s="34" t="n"/>
      <c r="N310" s="34" t="n"/>
      <c r="O310" s="34" t="n">
        <v>521.434</v>
      </c>
      <c r="P310" s="34" t="n">
        <v>521.434</v>
      </c>
      <c r="Q310" s="34" t="n">
        <v>508.523</v>
      </c>
      <c r="R310" s="34" t="n">
        <v>476.772</v>
      </c>
      <c r="S310" s="34" t="n">
        <v>452.329</v>
      </c>
      <c r="T310" s="34" t="n">
        <v>517.167</v>
      </c>
      <c r="U310" s="34" t="n">
        <v>517.167</v>
      </c>
      <c r="V310" s="34" t="n">
        <v>518.365</v>
      </c>
      <c r="W310" s="34" t="n">
        <v>505.063</v>
      </c>
      <c r="X310" s="34" t="n">
        <v>491.295</v>
      </c>
      <c r="Y310" s="34" t="n">
        <v>499.535</v>
      </c>
      <c r="Z310" s="34" t="n">
        <v>499.535</v>
      </c>
      <c r="AA310" s="34" t="n">
        <v>484.219</v>
      </c>
      <c r="AB310" s="34" t="n">
        <v>476.51</v>
      </c>
      <c r="AC310" s="34" t="n">
        <v>499.789</v>
      </c>
      <c r="AD310" s="34" t="n">
        <v>487.993</v>
      </c>
      <c r="AE310" s="34" t="n">
        <v>487.993</v>
      </c>
      <c r="AF310" s="34" t="n">
        <v>502.895</v>
      </c>
      <c r="AG310" s="34" t="n">
        <v>541.973</v>
      </c>
      <c r="AH310" s="34" t="n">
        <v>684.439</v>
      </c>
      <c r="AI310" s="34" t="n">
        <v>673.006</v>
      </c>
      <c r="AJ310" s="34" t="n">
        <v>673.006</v>
      </c>
      <c r="AK310" s="34" t="n">
        <v>655.922</v>
      </c>
      <c r="AL310" s="34" t="n">
        <v>1372.088</v>
      </c>
      <c r="AM310" s="257" t="n"/>
      <c r="AN310" s="257" t="n"/>
      <c r="AO310" s="257">
        <f>$AL$310-($AM$129+$AN$129-$AM$82-$AN$82)</f>
        <v>1321.87512328767</v>
      </c>
      <c r="AP310" s="257">
        <f>AO310-(AP129-AP82)+AP87*AP98</f>
        <v>1225.17512328767</v>
      </c>
      <c r="AQ310" s="257">
        <f>AP310-(AQ129-AQ82)+AQ87*AQ98</f>
        <v>1201.72512328767</v>
      </c>
      <c r="AR310" s="257">
        <f>AQ310-(AR129-AR82)+AR87*AR98</f>
        <v>1200.22512328767</v>
      </c>
      <c r="AS310" s="257">
        <f>AR310-(AS129-AS82)+AS87*AS98</f>
        <v>1194.62512328767</v>
      </c>
      <c r="AT310" s="19" t="inlineStr">
        <is>
          <t>Intangibles roll-forward: − amortization (legacy + Eddyfi PPA; the inventory step-up runs through inventories) + acquired intangibles (M&amp;A lever).</t>
        </is>
      </c>
    </row>
    <row r="311">
      <c r="B311" s="25" t="inlineStr">
        <is>
          <t xml:space="preserve">  Other noncurrent assets (derived; incl. ROU assets, asbestos insurance assets, deferred taxes)</t>
        </is>
      </c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>
        <v>149.4740000000002</v>
      </c>
      <c r="L311" s="34" t="n"/>
      <c r="M311" s="34" t="n"/>
      <c r="N311" s="34" t="n"/>
      <c r="O311" s="34" t="n">
        <v>156.4840000000004</v>
      </c>
      <c r="P311" s="34" t="n">
        <v>156.4840000000004</v>
      </c>
      <c r="Q311" s="34" t="n">
        <v>430.2040000000002</v>
      </c>
      <c r="R311" s="34" t="n">
        <v>429.5540000000001</v>
      </c>
      <c r="S311" s="34" t="n">
        <v>434.7319999999995</v>
      </c>
      <c r="T311" s="34" t="n">
        <v>434.1849999999999</v>
      </c>
      <c r="U311" s="34" t="n">
        <v>434.1849999999999</v>
      </c>
      <c r="V311" s="34" t="n">
        <v>421.9580000000005</v>
      </c>
      <c r="W311" s="34" t="n">
        <v>418.4270000000001</v>
      </c>
      <c r="X311" s="34" t="n">
        <v>404.71</v>
      </c>
      <c r="Y311" s="34" t="n">
        <v>448.7379999999998</v>
      </c>
      <c r="Z311" s="34" t="n">
        <v>448.7379999999998</v>
      </c>
      <c r="AA311" s="34" t="n">
        <v>423.1480000000001</v>
      </c>
      <c r="AB311" s="34" t="n">
        <v>406.9650000000001</v>
      </c>
      <c r="AC311" s="34" t="n">
        <v>398.9190000000003</v>
      </c>
      <c r="AD311" s="34" t="n">
        <v>447.2599999999998</v>
      </c>
      <c r="AE311" s="34" t="n">
        <v>447.2599999999998</v>
      </c>
      <c r="AF311" s="34" t="n">
        <v>436.3000000000006</v>
      </c>
      <c r="AG311" s="34" t="n">
        <v>437.3720000000003</v>
      </c>
      <c r="AH311" s="34" t="n">
        <v>530.5640000000003</v>
      </c>
      <c r="AI311" s="34" t="n">
        <v>499.6050000000005</v>
      </c>
      <c r="AJ311" s="34" t="n">
        <v>499.6050000000005</v>
      </c>
      <c r="AK311" s="34" t="n">
        <v>490.6329999999998</v>
      </c>
      <c r="AL311" s="34" t="n">
        <v>526.0030000000006</v>
      </c>
      <c r="AM311" s="257" t="n"/>
      <c r="AN311" s="257" t="n"/>
      <c r="AO311" s="257">
        <f>$AL$311</f>
        <v>526.003000000001</v>
      </c>
      <c r="AP311" s="257">
        <f>AO311</f>
        <v>526.003000000001</v>
      </c>
      <c r="AQ311" s="257">
        <f>AP311</f>
        <v>526.003000000001</v>
      </c>
      <c r="AR311" s="257">
        <f>AQ311</f>
        <v>526.003000000001</v>
      </c>
      <c r="AS311" s="257">
        <f>AR311</f>
        <v>526.003000000001</v>
      </c>
      <c r="AT311" s="19" t="n"/>
    </row>
    <row r="312">
      <c r="B312" s="55" t="inlineStr">
        <is>
          <t>TOTAL ASSETS</t>
        </is>
      </c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>
        <f>K307+K308+K309+K310+K311</f>
        <v>3385.829</v>
      </c>
      <c r="L312" s="56" t="n"/>
      <c r="M312" s="56" t="n"/>
      <c r="N312" s="56" t="n"/>
      <c r="O312" s="56">
        <f>O307+O308+O309+O310+O311</f>
        <v>3461.262</v>
      </c>
      <c r="P312" s="56">
        <f>P307+P308+P309+P310+P311</f>
        <v>3461.262</v>
      </c>
      <c r="Q312" s="56">
        <f>Q307+Q308+Q309+Q310+Q311</f>
        <v>3781.349</v>
      </c>
      <c r="R312" s="56">
        <f>R307+R308+R309+R310+R311</f>
        <v>3673.704</v>
      </c>
      <c r="S312" s="56">
        <f>S307+S308+S309+S310+S311</f>
        <v>3539.903</v>
      </c>
      <c r="T312" s="56">
        <f>T307+T308+T309+T310+T311</f>
        <v>3754.015</v>
      </c>
      <c r="U312" s="56">
        <f>U307+U308+U309+U310+U311</f>
        <v>3754.015</v>
      </c>
      <c r="V312" s="56">
        <f>V307+V308+V309+V310+V311</f>
        <v>3849.145</v>
      </c>
      <c r="W312" s="56">
        <f>W307+W308+W309+W310+W311</f>
        <v>3862.844</v>
      </c>
      <c r="X312" s="56">
        <f>X307+X308+X309+X310+X311</f>
        <v>3756.043</v>
      </c>
      <c r="Y312" s="56">
        <f>Y307+Y308+Y309+Y310+Y311</f>
        <v>3828.629</v>
      </c>
      <c r="Z312" s="56">
        <f>Z307+Z308+Z309+Z310+Z311</f>
        <v>3828.629</v>
      </c>
      <c r="AA312" s="56">
        <f>AA307+AA308+AA309+AA310+AA311</f>
        <v>3827.489</v>
      </c>
      <c r="AB312" s="56">
        <f>AB307+AB308+AB309+AB310+AB311</f>
        <v>3967.111</v>
      </c>
      <c r="AC312" s="56">
        <f>AC307+AC308+AC309+AC310+AC311</f>
        <v>4084.534</v>
      </c>
      <c r="AD312" s="56">
        <f>AD307+AD308+AD309+AD310+AD311</f>
        <v>4033.975</v>
      </c>
      <c r="AE312" s="56">
        <f>AE307+AE308+AE309+AE310+AE311</f>
        <v>4033.975</v>
      </c>
      <c r="AF312" s="56">
        <f>AF307+AF308+AF309+AF310+AF311</f>
        <v>4217.542</v>
      </c>
      <c r="AG312" s="56">
        <f>AG307+AG308+AG309+AG310+AG311</f>
        <v>4432.363</v>
      </c>
      <c r="AH312" s="56">
        <f>AH307+AH308+AH309+AH310+AH311</f>
        <v>4869.403</v>
      </c>
      <c r="AI312" s="56">
        <f>AI307+AI308+AI309+AI310+AI311</f>
        <v>4766.094</v>
      </c>
      <c r="AJ312" s="56">
        <f>AJ307+AJ308+AJ309+AJ310+AJ311</f>
        <v>4766.094</v>
      </c>
      <c r="AK312" s="56">
        <f>AK307+AK308+AK309+AK310+AK311</f>
        <v>5624.669</v>
      </c>
      <c r="AL312" s="56">
        <f>AL307+AL308+AL309+AL310+AL311</f>
        <v>6562.611</v>
      </c>
      <c r="AM312" s="56" t="n"/>
      <c r="AN312" s="56" t="n"/>
      <c r="AO312" s="56">
        <f>AO307+AO308+AO309+AO310+AO311</f>
        <v>6440.1669589943</v>
      </c>
      <c r="AP312" s="56">
        <f>AP307+AP308+AP309+AP310+AP311</f>
        <v>6586.34783371118</v>
      </c>
      <c r="AQ312" s="56">
        <f>AQ307+AQ308+AQ309+AQ310+AQ311</f>
        <v>6844.46831622966</v>
      </c>
      <c r="AR312" s="56">
        <f>AR307+AR308+AR309+AR310+AR311</f>
        <v>6919.78442705174</v>
      </c>
      <c r="AS312" s="56">
        <f>AS307+AS308+AS309+AS310+AS311</f>
        <v>6997.96308694573</v>
      </c>
      <c r="AT312" s="19" t="n"/>
    </row>
    <row r="313">
      <c r="B313" s="25" t="inlineStr">
        <is>
          <t>LIABILITIES AND EQUITY</t>
        </is>
      </c>
      <c r="C313" s="271" t="n"/>
      <c r="D313" s="271" t="n"/>
      <c r="E313" s="271" t="n"/>
      <c r="F313" s="271" t="n"/>
      <c r="G313" s="271" t="n"/>
      <c r="H313" s="271" t="n"/>
      <c r="I313" s="271" t="n"/>
      <c r="J313" s="271" t="n"/>
      <c r="K313" s="271" t="n"/>
      <c r="L313" s="271" t="n"/>
      <c r="M313" s="271" t="n"/>
      <c r="N313" s="271" t="n"/>
      <c r="O313" s="271" t="n"/>
      <c r="P313" s="271" t="n"/>
      <c r="Q313" s="271" t="n"/>
      <c r="R313" s="271" t="n"/>
      <c r="S313" s="271" t="n"/>
      <c r="T313" s="271" t="n"/>
      <c r="U313" s="271" t="n"/>
      <c r="V313" s="271" t="n"/>
      <c r="W313" s="271" t="n"/>
      <c r="X313" s="271" t="n"/>
      <c r="Y313" s="271" t="n"/>
      <c r="Z313" s="271" t="n"/>
      <c r="AA313" s="271" t="n"/>
      <c r="AB313" s="271" t="n"/>
      <c r="AC313" s="271" t="n"/>
      <c r="AD313" s="271" t="n"/>
      <c r="AE313" s="271" t="n"/>
      <c r="AF313" s="271" t="n"/>
      <c r="AG313" s="271" t="n"/>
      <c r="AH313" s="271" t="n"/>
      <c r="AI313" s="271" t="n"/>
      <c r="AJ313" s="271" t="n"/>
      <c r="AK313" s="271" t="n"/>
      <c r="AL313" s="271" t="n"/>
      <c r="AM313" s="269" t="n"/>
      <c r="AN313" s="269" t="n"/>
      <c r="AO313" s="269" t="n"/>
      <c r="AP313" s="269" t="n"/>
      <c r="AQ313" s="269" t="n"/>
      <c r="AR313" s="269" t="n"/>
      <c r="AS313" s="269" t="n"/>
      <c r="AT313" s="19" t="n"/>
    </row>
    <row r="314">
      <c r="B314" s="25" t="inlineStr">
        <is>
          <t xml:space="preserve">  Current portion of long-term debt</t>
        </is>
      </c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>
        <v>0</v>
      </c>
      <c r="L314" s="34" t="n"/>
      <c r="M314" s="34" t="n"/>
      <c r="N314" s="34" t="n"/>
      <c r="O314" s="34" t="n">
        <v>0</v>
      </c>
      <c r="P314" s="34" t="n">
        <v>0</v>
      </c>
      <c r="Q314" s="34" t="n">
        <v>0</v>
      </c>
      <c r="R314" s="34" t="n">
        <v>0</v>
      </c>
      <c r="S314" s="34" t="n">
        <v>0</v>
      </c>
      <c r="T314" s="34" t="n">
        <v>0</v>
      </c>
      <c r="U314" s="34" t="n">
        <v>0</v>
      </c>
      <c r="V314" s="34" t="n">
        <v>0</v>
      </c>
      <c r="W314" s="34" t="n">
        <v>0</v>
      </c>
      <c r="X314" s="34" t="n">
        <v>0</v>
      </c>
      <c r="Y314" s="34" t="n">
        <v>0</v>
      </c>
      <c r="Z314" s="34" t="n">
        <v>0</v>
      </c>
      <c r="AA314" s="34" t="n">
        <v>0</v>
      </c>
      <c r="AB314" s="34" t="n">
        <v>0</v>
      </c>
      <c r="AC314" s="34" t="n">
        <v>0</v>
      </c>
      <c r="AD314" s="34" t="n">
        <v>15</v>
      </c>
      <c r="AE314" s="34" t="n">
        <v>15</v>
      </c>
      <c r="AF314" s="34" t="n">
        <v>17.759</v>
      </c>
      <c r="AG314" s="34" t="n">
        <v>21.745</v>
      </c>
      <c r="AH314" s="34" t="n">
        <v>2.175</v>
      </c>
      <c r="AI314" s="34" t="n">
        <v>2.412</v>
      </c>
      <c r="AJ314" s="34" t="n">
        <v>2.412</v>
      </c>
      <c r="AK314" s="34" t="n">
        <v>3.788</v>
      </c>
      <c r="AL314" s="34" t="n">
        <v>5.94</v>
      </c>
      <c r="AM314" s="257" t="n"/>
      <c r="AN314" s="257" t="n"/>
      <c r="AO314" s="257">
        <f>AO374</f>
        <v>0</v>
      </c>
      <c r="AP314" s="257">
        <f>AP374</f>
        <v>0</v>
      </c>
      <c r="AQ314" s="257">
        <f>AQ374</f>
        <v>700</v>
      </c>
      <c r="AR314" s="257">
        <f>AR374</f>
        <v>350</v>
      </c>
      <c r="AS314" s="257">
        <f>AS374</f>
        <v>0</v>
      </c>
      <c r="AT314" s="19" t="n"/>
    </row>
    <row r="315">
      <c r="B315" s="25" t="inlineStr">
        <is>
          <t xml:space="preserve">  Accounts payable</t>
        </is>
      </c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>
        <v>241.269</v>
      </c>
      <c r="L315" s="34" t="n"/>
      <c r="M315" s="34" t="n"/>
      <c r="N315" s="34" t="n"/>
      <c r="O315" s="34" t="n">
        <v>345.48</v>
      </c>
      <c r="P315" s="34" t="n">
        <v>345.48</v>
      </c>
      <c r="Q315" s="34" t="n">
        <v>368.999</v>
      </c>
      <c r="R315" s="34" t="n">
        <v>359.996</v>
      </c>
      <c r="S315" s="34" t="n">
        <v>320.179</v>
      </c>
      <c r="T315" s="34" t="n">
        <v>316.265</v>
      </c>
      <c r="U315" s="34" t="n">
        <v>316.265</v>
      </c>
      <c r="V315" s="34" t="n">
        <v>355.333</v>
      </c>
      <c r="W315" s="34" t="n">
        <v>333.166</v>
      </c>
      <c r="X315" s="34" t="n">
        <v>302.63</v>
      </c>
      <c r="Y315" s="34" t="n">
        <v>306.593</v>
      </c>
      <c r="Z315" s="34" t="n">
        <v>306.593</v>
      </c>
      <c r="AA315" s="34" t="n">
        <v>338.399</v>
      </c>
      <c r="AB315" s="34" t="n">
        <v>350.125</v>
      </c>
      <c r="AC315" s="34" t="n">
        <v>320.252</v>
      </c>
      <c r="AD315" s="34" t="n">
        <v>318.493</v>
      </c>
      <c r="AE315" s="34" t="n">
        <v>318.493</v>
      </c>
      <c r="AF315" s="34" t="n">
        <v>349.716</v>
      </c>
      <c r="AG315" s="34" t="n">
        <v>369.52</v>
      </c>
      <c r="AH315" s="34" t="n">
        <v>342.214</v>
      </c>
      <c r="AI315" s="34" t="n">
        <v>360.391</v>
      </c>
      <c r="AJ315" s="34" t="n">
        <v>360.391</v>
      </c>
      <c r="AK315" s="34" t="n">
        <v>398.501</v>
      </c>
      <c r="AL315" s="34" t="n">
        <v>407.428</v>
      </c>
      <c r="AM315" s="257" t="n"/>
      <c r="AN315" s="257" t="n"/>
      <c r="AO315" s="257">
        <f>AO341*AO344/365</f>
        <v>406.932298948929</v>
      </c>
      <c r="AP315" s="257">
        <f>AP341*AP344/365</f>
        <v>425.983842534166</v>
      </c>
      <c r="AQ315" s="257">
        <f>AQ341*AQ344/365</f>
        <v>437.557357367809</v>
      </c>
      <c r="AR315" s="257">
        <f>AR341*AR344/365</f>
        <v>459.722749009424</v>
      </c>
      <c r="AS315" s="257">
        <f>AS341*AS344/365</f>
        <v>485.989382858157</v>
      </c>
      <c r="AT315" s="19" t="n"/>
    </row>
    <row r="316">
      <c r="B316" s="25" t="inlineStr">
        <is>
          <t xml:space="preserve">  Accrued liabilities</t>
        </is>
      </c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>
        <v>219.572</v>
      </c>
      <c r="L316" s="34" t="n"/>
      <c r="M316" s="34" t="n"/>
      <c r="N316" s="34" t="n"/>
      <c r="O316" s="34" t="n">
        <v>251.109</v>
      </c>
      <c r="P316" s="34" t="n">
        <v>251.109</v>
      </c>
      <c r="Q316" s="34" t="n">
        <v>283.411</v>
      </c>
      <c r="R316" s="34" t="n">
        <v>282.086</v>
      </c>
      <c r="S316" s="34" t="n">
        <v>290.403</v>
      </c>
      <c r="T316" s="34" t="n">
        <v>285.31</v>
      </c>
      <c r="U316" s="34" t="n">
        <v>285.31</v>
      </c>
      <c r="V316" s="34" t="n">
        <v>275.089</v>
      </c>
      <c r="W316" s="34" t="n">
        <v>285.206</v>
      </c>
      <c r="X316" s="34" t="n">
        <v>307.727</v>
      </c>
      <c r="Y316" s="34" t="n">
        <v>313.489</v>
      </c>
      <c r="Z316" s="34" t="n">
        <v>313.489</v>
      </c>
      <c r="AA316" s="34" t="n">
        <v>292.903</v>
      </c>
      <c r="AB316" s="34" t="n">
        <v>300.971</v>
      </c>
      <c r="AC316" s="34" t="n">
        <v>316.819</v>
      </c>
      <c r="AD316" s="34" t="n">
        <v>298.558</v>
      </c>
      <c r="AE316" s="34" t="n">
        <v>298.558</v>
      </c>
      <c r="AF316" s="34" t="n">
        <v>304.525</v>
      </c>
      <c r="AG316" s="34" t="n">
        <v>295.204</v>
      </c>
      <c r="AH316" s="34" t="n">
        <v>324.685</v>
      </c>
      <c r="AI316" s="34" t="n">
        <v>301.986</v>
      </c>
      <c r="AJ316" s="34" t="n">
        <v>301.986</v>
      </c>
      <c r="AK316" s="34" t="n">
        <v>327.707</v>
      </c>
      <c r="AL316" s="34" t="n">
        <v>365.639</v>
      </c>
      <c r="AM316" s="257" t="n"/>
      <c r="AN316" s="257" t="n"/>
      <c r="AO316" s="257">
        <f>AO340*AO345</f>
        <v>345.923773664384</v>
      </c>
      <c r="AP316" s="257">
        <f>AP340*AP345</f>
        <v>359.290565864014</v>
      </c>
      <c r="AQ316" s="257">
        <f>AQ340*AQ345</f>
        <v>376.833464375523</v>
      </c>
      <c r="AR316" s="257">
        <f>AR340*AR345</f>
        <v>399.850021705294</v>
      </c>
      <c r="AS316" s="257">
        <f>AS340*AS345</f>
        <v>425.172953738907</v>
      </c>
      <c r="AT316" s="19" t="n"/>
    </row>
    <row r="317">
      <c r="B317" s="25" t="inlineStr">
        <is>
          <t xml:space="preserve">  Other current liabilities (derived)</t>
        </is>
      </c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>
        <v>0</v>
      </c>
      <c r="L317" s="34" t="n"/>
      <c r="M317" s="34" t="n"/>
      <c r="N317" s="34" t="n"/>
      <c r="O317" s="34" t="n">
        <v>2.842170943040401e-14</v>
      </c>
      <c r="P317" s="34" t="n">
        <v>2.842170943040401e-14</v>
      </c>
      <c r="Q317" s="34" t="n">
        <v>-5.684341886080801e-14</v>
      </c>
      <c r="R317" s="34" t="n">
        <v>0</v>
      </c>
      <c r="S317" s="34" t="n">
        <v>0</v>
      </c>
      <c r="T317" s="34" t="n">
        <v>5.684341886080801e-14</v>
      </c>
      <c r="U317" s="34" t="n">
        <v>5.684341886080801e-14</v>
      </c>
      <c r="V317" s="34" t="n">
        <v>0</v>
      </c>
      <c r="W317" s="34" t="n">
        <v>-5.684341886080801e-14</v>
      </c>
      <c r="X317" s="34" t="n">
        <v>0</v>
      </c>
      <c r="Y317" s="34" t="n">
        <v>0</v>
      </c>
      <c r="Z317" s="34" t="n">
        <v>0</v>
      </c>
      <c r="AA317" s="34" t="n">
        <v>0</v>
      </c>
      <c r="AB317" s="34" t="n">
        <v>0</v>
      </c>
      <c r="AC317" s="34" t="n">
        <v>0</v>
      </c>
      <c r="AD317" s="34" t="n">
        <v>5.684341886080801e-14</v>
      </c>
      <c r="AE317" s="34" t="n">
        <v>5.684341886080801e-14</v>
      </c>
      <c r="AF317" s="34" t="n">
        <v>0</v>
      </c>
      <c r="AG317" s="34" t="n">
        <v>5.684341886080801e-14</v>
      </c>
      <c r="AH317" s="34" t="n">
        <v>0</v>
      </c>
      <c r="AI317" s="34" t="n">
        <v>-5.684341886080801e-14</v>
      </c>
      <c r="AJ317" s="34" t="n">
        <v>-5.684341886080801e-14</v>
      </c>
      <c r="AK317" s="34" t="n">
        <v>0</v>
      </c>
      <c r="AL317" s="34" t="n">
        <v>-1.13686837721616e-13</v>
      </c>
      <c r="AM317" s="257" t="n"/>
      <c r="AN317" s="257" t="n"/>
      <c r="AO317" s="257">
        <f>$AL$317</f>
        <v>-1.13686837721616e-13</v>
      </c>
      <c r="AP317" s="257">
        <f>AO317</f>
        <v>-1.13686837721616e-13</v>
      </c>
      <c r="AQ317" s="257">
        <f>AP317</f>
        <v>-1.13686837721616e-13</v>
      </c>
      <c r="AR317" s="257">
        <f>AQ317</f>
        <v>-1.13686837721616e-13</v>
      </c>
      <c r="AS317" s="257">
        <f>AR317</f>
        <v>-1.13686837721616e-13</v>
      </c>
      <c r="AT317" s="19" t="n"/>
    </row>
    <row r="318">
      <c r="B318" s="16" t="inlineStr">
        <is>
          <t>Total current liabilities</t>
        </is>
      </c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>
        <f>N(K314)+K315+K316+N(K317)</f>
        <v>460.841</v>
      </c>
      <c r="L318" s="43" t="n"/>
      <c r="M318" s="43" t="n"/>
      <c r="N318" s="43" t="n"/>
      <c r="O318" s="43">
        <f>N(O314)+O315+O316+N(O317)</f>
        <v>596.589</v>
      </c>
      <c r="P318" s="43">
        <f>N(P314)+P315+P316+N(P317)</f>
        <v>596.589</v>
      </c>
      <c r="Q318" s="43">
        <f>N(Q314)+Q315+Q316+N(Q317)</f>
        <v>652.41</v>
      </c>
      <c r="R318" s="43">
        <f>N(R314)+R315+R316+N(R317)</f>
        <v>642.082</v>
      </c>
      <c r="S318" s="43">
        <f>N(S314)+S315+S316+N(S317)</f>
        <v>610.582</v>
      </c>
      <c r="T318" s="43">
        <f>N(T314)+T315+T316+N(T317)</f>
        <v>601.575</v>
      </c>
      <c r="U318" s="43">
        <f>N(U314)+U315+U316+N(U317)</f>
        <v>601.575</v>
      </c>
      <c r="V318" s="43">
        <f>N(V314)+V315+V316+N(V317)</f>
        <v>630.422</v>
      </c>
      <c r="W318" s="43">
        <f>N(W314)+W315+W316+N(W317)</f>
        <v>618.372</v>
      </c>
      <c r="X318" s="43">
        <f>N(X314)+X315+X316+N(X317)</f>
        <v>610.357</v>
      </c>
      <c r="Y318" s="43">
        <f>N(Y314)+Y315+Y316+N(Y317)</f>
        <v>620.082</v>
      </c>
      <c r="Z318" s="43">
        <f>N(Z314)+Z315+Z316+N(Z317)</f>
        <v>620.082</v>
      </c>
      <c r="AA318" s="43">
        <f>N(AA314)+AA315+AA316+N(AA317)</f>
        <v>631.302</v>
      </c>
      <c r="AB318" s="43">
        <f>N(AB314)+AB315+AB316+N(AB317)</f>
        <v>651.096</v>
      </c>
      <c r="AC318" s="43">
        <f>N(AC314)+AC315+AC316+N(AC317)</f>
        <v>637.071</v>
      </c>
      <c r="AD318" s="43">
        <f>N(AD314)+AD315+AD316+N(AD317)</f>
        <v>632.051</v>
      </c>
      <c r="AE318" s="43">
        <f>N(AE314)+AE315+AE316+N(AE317)</f>
        <v>632.051</v>
      </c>
      <c r="AF318" s="43">
        <f>N(AF314)+AF315+AF316+N(AF317)</f>
        <v>672</v>
      </c>
      <c r="AG318" s="43">
        <f>N(AG314)+AG315+AG316+N(AG317)</f>
        <v>686.469</v>
      </c>
      <c r="AH318" s="43">
        <f>N(AH314)+AH315+AH316+N(AH317)</f>
        <v>669.074</v>
      </c>
      <c r="AI318" s="43">
        <f>N(AI314)+AI315+AI316+N(AI317)</f>
        <v>664.789</v>
      </c>
      <c r="AJ318" s="43">
        <f>N(AJ314)+AJ315+AJ316+N(AJ317)</f>
        <v>664.789</v>
      </c>
      <c r="AK318" s="43">
        <f>N(AK314)+AK315+AK316+N(AK317)</f>
        <v>729.996</v>
      </c>
      <c r="AL318" s="43">
        <f>N(AL314)+AL315+AL316+N(AL317)</f>
        <v>779.007</v>
      </c>
      <c r="AM318" s="253" t="n"/>
      <c r="AN318" s="253" t="n"/>
      <c r="AO318" s="253">
        <f>N(AO314)+AO315+AO316+N(AO317)</f>
        <v>752.856072613312</v>
      </c>
      <c r="AP318" s="253">
        <f>N(AP314)+AP315+AP316+N(AP317)</f>
        <v>785.27440839818</v>
      </c>
      <c r="AQ318" s="253">
        <f>N(AQ314)+AQ315+AQ316+N(AQ317)</f>
        <v>1514.39082174333</v>
      </c>
      <c r="AR318" s="253">
        <f>N(AR314)+AR315+AR316+N(AR317)</f>
        <v>1209.57277071472</v>
      </c>
      <c r="AS318" s="253">
        <f>N(AS314)+AS315+AS316+N(AS317)</f>
        <v>911.162336597064</v>
      </c>
      <c r="AT318" s="19" t="n"/>
    </row>
    <row r="319">
      <c r="B319" s="25" t="inlineStr">
        <is>
          <t xml:space="preserve">  Long-term debt</t>
        </is>
      </c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>
        <v>0</v>
      </c>
      <c r="L319" s="34" t="n"/>
      <c r="M319" s="34" t="n"/>
      <c r="N319" s="34" t="n"/>
      <c r="O319" s="34" t="n">
        <v>0</v>
      </c>
      <c r="P319" s="34" t="n">
        <v>0</v>
      </c>
      <c r="Q319" s="34" t="n">
        <v>0</v>
      </c>
      <c r="R319" s="34" t="n">
        <v>1182.187</v>
      </c>
      <c r="S319" s="34" t="n">
        <v>1132.415</v>
      </c>
      <c r="T319" s="34" t="n">
        <v>1218.643</v>
      </c>
      <c r="U319" s="34" t="n">
        <v>1218.643</v>
      </c>
      <c r="V319" s="34" t="n">
        <v>1216.872</v>
      </c>
      <c r="W319" s="34" t="n">
        <v>1159.1</v>
      </c>
      <c r="X319" s="34" t="n">
        <v>1089.329</v>
      </c>
      <c r="Y319" s="34" t="n">
        <v>1018.057</v>
      </c>
      <c r="Z319" s="34" t="n">
        <v>1018.057</v>
      </c>
      <c r="AA319" s="34" t="n">
        <v>992.798</v>
      </c>
      <c r="AB319" s="34" t="n">
        <v>1079.624</v>
      </c>
      <c r="AC319" s="34" t="n">
        <v>1080.182</v>
      </c>
      <c r="AD319" s="34" t="n">
        <v>1060.739</v>
      </c>
      <c r="AE319" s="34" t="n">
        <v>1060.739</v>
      </c>
      <c r="AF319" s="34" t="n">
        <v>1056.296</v>
      </c>
      <c r="AG319" s="34" t="n">
        <v>1058.832</v>
      </c>
      <c r="AH319" s="34" t="n">
        <v>1334.123</v>
      </c>
      <c r="AI319" s="34" t="n">
        <v>1232.54</v>
      </c>
      <c r="AJ319" s="34" t="n">
        <v>1232.54</v>
      </c>
      <c r="AK319" s="34" t="n">
        <v>2032.436</v>
      </c>
      <c r="AL319" s="34" t="n">
        <v>2391.35</v>
      </c>
      <c r="AM319" s="257" t="n"/>
      <c r="AN319" s="257" t="n"/>
      <c r="AO319" s="257">
        <f>AO366-AO374</f>
        <v>2193.64737650419</v>
      </c>
      <c r="AP319" s="257">
        <f>AP366-AP374</f>
        <v>2037.29</v>
      </c>
      <c r="AQ319" s="257">
        <f>AQ366-AQ374</f>
        <v>1337.29</v>
      </c>
      <c r="AR319" s="257">
        <f>AR366-AR374</f>
        <v>1687.29</v>
      </c>
      <c r="AS319" s="257">
        <f>AS366-AS374</f>
        <v>2037.29</v>
      </c>
      <c r="AT319" s="19" t="n"/>
    </row>
    <row r="320">
      <c r="B320" s="25" t="inlineStr">
        <is>
          <t xml:space="preserve">  Other liabilities (derived; incl. asbestos, pensions, lease liabilities, deferred taxes)</t>
        </is>
      </c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>
        <v>380.221</v>
      </c>
      <c r="L320" s="34" t="n"/>
      <c r="M320" s="34" t="n"/>
      <c r="N320" s="34" t="n"/>
      <c r="O320" s="34" t="n">
        <v>362.9449999999999</v>
      </c>
      <c r="P320" s="34" t="n">
        <v>362.9449999999999</v>
      </c>
      <c r="Q320" s="34" t="n">
        <v>611.5770000000001</v>
      </c>
      <c r="R320" s="34" t="n">
        <v>568.0320000000002</v>
      </c>
      <c r="S320" s="34" t="n">
        <v>549.3810000000003</v>
      </c>
      <c r="T320" s="34" t="n">
        <v>545.3389999999997</v>
      </c>
      <c r="U320" s="34" t="n">
        <v>545.3389999999997</v>
      </c>
      <c r="V320" s="34" t="n">
        <v>543.5599999999997</v>
      </c>
      <c r="W320" s="34" t="n">
        <v>538.6470000000004</v>
      </c>
      <c r="X320" s="34" t="n">
        <v>515.2610000000002</v>
      </c>
      <c r="Y320" s="34" t="n">
        <v>542.8330000000003</v>
      </c>
      <c r="Z320" s="34" t="n">
        <v>542.8330000000003</v>
      </c>
      <c r="AA320" s="34" t="n">
        <v>521.0109999999997</v>
      </c>
      <c r="AB320" s="34" t="n">
        <v>486.9660000000001</v>
      </c>
      <c r="AC320" s="34" t="n">
        <v>489.5560000000003</v>
      </c>
      <c r="AD320" s="34" t="n">
        <v>532.9360000000001</v>
      </c>
      <c r="AE320" s="34" t="n">
        <v>532.9360000000001</v>
      </c>
      <c r="AF320" s="34" t="n">
        <v>538.854</v>
      </c>
      <c r="AG320" s="34" t="n">
        <v>575.2909999999999</v>
      </c>
      <c r="AH320" s="34" t="n">
        <v>704.1790000000001</v>
      </c>
      <c r="AI320" s="34" t="n">
        <v>657.2360000000001</v>
      </c>
      <c r="AJ320" s="34" t="n">
        <v>657.2360000000001</v>
      </c>
      <c r="AK320" s="34" t="n">
        <v>626.5690000000002</v>
      </c>
      <c r="AL320" s="34" t="n">
        <v>808.0369999999998</v>
      </c>
      <c r="AM320" s="257" t="n"/>
      <c r="AN320" s="257" t="n"/>
      <c r="AO320" s="257">
        <f>$AL$320</f>
        <v>808.037</v>
      </c>
      <c r="AP320" s="257">
        <f>AO320</f>
        <v>808.037</v>
      </c>
      <c r="AQ320" s="257">
        <f>AP320</f>
        <v>808.037</v>
      </c>
      <c r="AR320" s="257">
        <f>AQ320</f>
        <v>808.037</v>
      </c>
      <c r="AS320" s="257">
        <f>AR320</f>
        <v>808.037</v>
      </c>
      <c r="AT320" s="19" t="n"/>
    </row>
    <row r="321">
      <c r="B321" s="16" t="inlineStr">
        <is>
          <t>Total liabilities</t>
        </is>
      </c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>
        <f>K318+N(K319)+K320</f>
        <v>841.062</v>
      </c>
      <c r="L321" s="43" t="n"/>
      <c r="M321" s="43" t="n"/>
      <c r="N321" s="43" t="n"/>
      <c r="O321" s="43">
        <f>O318+N(O319)+O320</f>
        <v>959.534</v>
      </c>
      <c r="P321" s="43">
        <f>P318+N(P319)+P320</f>
        <v>959.534</v>
      </c>
      <c r="Q321" s="43">
        <f>Q318+N(Q319)+Q320</f>
        <v>1263.987</v>
      </c>
      <c r="R321" s="43">
        <f>R318+N(R319)+R320</f>
        <v>2392.301</v>
      </c>
      <c r="S321" s="43">
        <f>S318+N(S319)+S320</f>
        <v>2292.378</v>
      </c>
      <c r="T321" s="43">
        <f>T318+N(T319)+T320</f>
        <v>2365.557</v>
      </c>
      <c r="U321" s="43">
        <f>U318+N(U319)+U320</f>
        <v>2365.557</v>
      </c>
      <c r="V321" s="43">
        <f>V318+N(V319)+V320</f>
        <v>2390.854</v>
      </c>
      <c r="W321" s="43">
        <f>W318+N(W319)+W320</f>
        <v>2316.119</v>
      </c>
      <c r="X321" s="43">
        <f>X318+N(X319)+X320</f>
        <v>2214.947</v>
      </c>
      <c r="Y321" s="43">
        <f>Y318+N(Y319)+Y320</f>
        <v>2180.972</v>
      </c>
      <c r="Z321" s="43">
        <f>Z318+N(Z319)+Z320</f>
        <v>2180.972</v>
      </c>
      <c r="AA321" s="43">
        <f>AA318+N(AA319)+AA320</f>
        <v>2145.111</v>
      </c>
      <c r="AB321" s="43">
        <f>AB318+N(AB319)+AB320</f>
        <v>2217.686</v>
      </c>
      <c r="AC321" s="43">
        <f>AC318+N(AC319)+AC320</f>
        <v>2206.809</v>
      </c>
      <c r="AD321" s="43">
        <f>AD318+N(AD319)+AD320</f>
        <v>2225.726</v>
      </c>
      <c r="AE321" s="43">
        <f>AE318+N(AE319)+AE320</f>
        <v>2225.726</v>
      </c>
      <c r="AF321" s="43">
        <f>AF318+N(AF319)+AF320</f>
        <v>2267.15</v>
      </c>
      <c r="AG321" s="43">
        <f>AG318+N(AG319)+AG320</f>
        <v>2320.592</v>
      </c>
      <c r="AH321" s="43">
        <f>AH318+N(AH319)+AH320</f>
        <v>2707.376</v>
      </c>
      <c r="AI321" s="43">
        <f>AI318+N(AI319)+AI320</f>
        <v>2554.565</v>
      </c>
      <c r="AJ321" s="43">
        <f>AJ318+N(AJ319)+AJ320</f>
        <v>2554.565</v>
      </c>
      <c r="AK321" s="43">
        <f>AK318+N(AK319)+AK320</f>
        <v>3389.001</v>
      </c>
      <c r="AL321" s="43">
        <f>AL318+N(AL319)+AL320</f>
        <v>3978.394</v>
      </c>
      <c r="AM321" s="253" t="n"/>
      <c r="AN321" s="253" t="n"/>
      <c r="AO321" s="253">
        <f>AO318+N(AO319)+AO320</f>
        <v>3754.5404491175</v>
      </c>
      <c r="AP321" s="253">
        <f>AP318+N(AP319)+AP320</f>
        <v>3630.60140839818</v>
      </c>
      <c r="AQ321" s="253">
        <f>AQ318+N(AQ319)+AQ320</f>
        <v>3659.71782174333</v>
      </c>
      <c r="AR321" s="253">
        <f>AR318+N(AR319)+AR320</f>
        <v>3704.89977071472</v>
      </c>
      <c r="AS321" s="253">
        <f>AS318+N(AS319)+AS320</f>
        <v>3756.48933659706</v>
      </c>
      <c r="AT321" s="19" t="n"/>
    </row>
    <row r="322">
      <c r="B322" s="25" t="inlineStr">
        <is>
          <t>Equity:</t>
        </is>
      </c>
      <c r="C322" s="271" t="n"/>
      <c r="D322" s="271" t="n"/>
      <c r="E322" s="271" t="n"/>
      <c r="F322" s="271" t="n"/>
      <c r="G322" s="271" t="n"/>
      <c r="H322" s="271" t="n"/>
      <c r="I322" s="271" t="n"/>
      <c r="J322" s="271" t="n"/>
      <c r="K322" s="271" t="n"/>
      <c r="L322" s="271" t="n"/>
      <c r="M322" s="271" t="n"/>
      <c r="N322" s="271" t="n"/>
      <c r="O322" s="271" t="n"/>
      <c r="P322" s="271" t="n"/>
      <c r="Q322" s="271" t="n"/>
      <c r="R322" s="271" t="n"/>
      <c r="S322" s="271" t="n"/>
      <c r="T322" s="271" t="n"/>
      <c r="U322" s="271" t="n"/>
      <c r="V322" s="271" t="n"/>
      <c r="W322" s="271" t="n"/>
      <c r="X322" s="271" t="n"/>
      <c r="Y322" s="271" t="n"/>
      <c r="Z322" s="271" t="n"/>
      <c r="AA322" s="271" t="n"/>
      <c r="AB322" s="271" t="n"/>
      <c r="AC322" s="271" t="n"/>
      <c r="AD322" s="271" t="n"/>
      <c r="AE322" s="271" t="n"/>
      <c r="AF322" s="271" t="n"/>
      <c r="AG322" s="271" t="n"/>
      <c r="AH322" s="271" t="n"/>
      <c r="AI322" s="271" t="n"/>
      <c r="AJ322" s="271" t="n"/>
      <c r="AK322" s="271" t="n"/>
      <c r="AL322" s="271" t="n"/>
      <c r="AM322" s="269" t="n"/>
      <c r="AN322" s="269" t="n"/>
      <c r="AO322" s="269" t="n"/>
      <c r="AP322" s="269" t="n"/>
      <c r="AQ322" s="269" t="n"/>
      <c r="AR322" s="269" t="n"/>
      <c r="AS322" s="269" t="n"/>
      <c r="AT322" s="19" t="n"/>
    </row>
    <row r="323">
      <c r="B323" s="25" t="inlineStr">
        <is>
          <t xml:space="preserve">  6.50% Series A mandatory convertible preferred stock</t>
        </is>
      </c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>
        <v>0</v>
      </c>
      <c r="L323" s="34" t="n"/>
      <c r="M323" s="34" t="n"/>
      <c r="N323" s="34" t="n"/>
      <c r="O323" s="34" t="n">
        <v>0</v>
      </c>
      <c r="P323" s="34" t="n">
        <v>0</v>
      </c>
      <c r="Q323" s="34" t="n">
        <v>0</v>
      </c>
      <c r="R323" s="34" t="n">
        <v>0</v>
      </c>
      <c r="S323" s="34" t="n">
        <v>0</v>
      </c>
      <c r="T323" s="34" t="n">
        <v>0</v>
      </c>
      <c r="U323" s="34" t="n">
        <v>0</v>
      </c>
      <c r="V323" s="34" t="n">
        <v>0</v>
      </c>
      <c r="W323" s="34" t="n">
        <v>0</v>
      </c>
      <c r="X323" s="34" t="n">
        <v>0</v>
      </c>
      <c r="Y323" s="34" t="n">
        <v>0</v>
      </c>
      <c r="Z323" s="34" t="n">
        <v>0</v>
      </c>
      <c r="AA323" s="34" t="n">
        <v>0</v>
      </c>
      <c r="AB323" s="34" t="n">
        <v>0</v>
      </c>
      <c r="AC323" s="34" t="n">
        <v>0</v>
      </c>
      <c r="AD323" s="34" t="n">
        <v>0</v>
      </c>
      <c r="AE323" s="34" t="n">
        <v>0</v>
      </c>
      <c r="AF323" s="34" t="n">
        <v>0</v>
      </c>
      <c r="AG323" s="34" t="n">
        <v>0</v>
      </c>
      <c r="AH323" s="34" t="n">
        <v>0</v>
      </c>
      <c r="AI323" s="34" t="n">
        <v>0</v>
      </c>
      <c r="AJ323" s="34" t="n">
        <v>0</v>
      </c>
      <c r="AK323" s="34" t="n">
        <v>0</v>
      </c>
      <c r="AL323" s="34" t="n">
        <v>171.097</v>
      </c>
      <c r="AM323" s="257" t="n"/>
      <c r="AN323" s="257" t="n"/>
      <c r="AO323" s="257">
        <f>$AL$323</f>
        <v>171.097</v>
      </c>
      <c r="AP323" s="257">
        <f>AO323</f>
        <v>171.097</v>
      </c>
      <c r="AQ323" s="257">
        <f>AP323</f>
        <v>171.097</v>
      </c>
      <c r="AR323" s="258" t="n">
        <v>0</v>
      </c>
      <c r="AS323" s="258" t="n">
        <v>0</v>
      </c>
      <c r="AT323" s="19" t="inlineStr">
        <is>
          <t>Converts into common stock ~Jun-2029 (reclassified to common stock &amp; APIC).</t>
        </is>
      </c>
    </row>
    <row r="324">
      <c r="B324" s="25" t="inlineStr">
        <is>
          <t xml:space="preserve">  Common stock &amp; additional paid-in capital</t>
        </is>
      </c>
      <c r="C324" s="34" t="n"/>
      <c r="D324" s="34" t="n"/>
      <c r="E324" s="34" t="n"/>
      <c r="F324" s="34" t="n"/>
      <c r="G324" s="34" t="n"/>
      <c r="H324" s="34" t="n"/>
      <c r="I324" s="34" t="n"/>
      <c r="J324" s="34" t="n">
        <v>0</v>
      </c>
      <c r="K324" s="34" t="n">
        <v>0</v>
      </c>
      <c r="L324" s="34" t="n">
        <v>0</v>
      </c>
      <c r="M324" s="34" t="n">
        <v>0</v>
      </c>
      <c r="N324" s="34" t="n">
        <v>0</v>
      </c>
      <c r="O324" s="34" t="n">
        <v>0</v>
      </c>
      <c r="P324" s="34" t="n">
        <v>0</v>
      </c>
      <c r="Q324" s="34" t="n">
        <v>0</v>
      </c>
      <c r="R324" s="34" t="n">
        <v>1853.058</v>
      </c>
      <c r="S324" s="34" t="n">
        <v>1857.978</v>
      </c>
      <c r="T324" s="34" t="n">
        <v>1865.964</v>
      </c>
      <c r="U324" s="34" t="n">
        <v>1865.964</v>
      </c>
      <c r="V324" s="34" t="n">
        <v>1868.193</v>
      </c>
      <c r="W324" s="34" t="n">
        <v>1872.894</v>
      </c>
      <c r="X324" s="34" t="n">
        <v>1876.395</v>
      </c>
      <c r="Y324" s="34" t="n">
        <v>1881.114</v>
      </c>
      <c r="Z324" s="34" t="n">
        <v>1881.114</v>
      </c>
      <c r="AA324" s="34" t="n">
        <v>1881.594</v>
      </c>
      <c r="AB324" s="34" t="n">
        <v>1886.427</v>
      </c>
      <c r="AC324" s="34" t="n">
        <v>1893.725</v>
      </c>
      <c r="AD324" s="34" t="n">
        <v>1901.398</v>
      </c>
      <c r="AE324" s="34" t="n">
        <v>1901.398</v>
      </c>
      <c r="AF324" s="34" t="n">
        <v>1901.91</v>
      </c>
      <c r="AG324" s="34" t="n">
        <v>1898.862</v>
      </c>
      <c r="AH324" s="34" t="n">
        <v>1900.932</v>
      </c>
      <c r="AI324" s="34" t="n">
        <v>1904.95</v>
      </c>
      <c r="AJ324" s="34" t="n">
        <v>1904.95</v>
      </c>
      <c r="AK324" s="34" t="n">
        <v>1905.46</v>
      </c>
      <c r="AL324" s="34" t="n">
        <v>2049.947</v>
      </c>
      <c r="AM324" s="257" t="n"/>
      <c r="AN324" s="257" t="n"/>
      <c r="AO324" s="257">
        <f>$AL$324+(AO254-$AK$254-$AL$254)+(AO269-$AK$269-$AL$269)</f>
        <v>2068.83959975187</v>
      </c>
      <c r="AP324" s="257">
        <f>AO324+AP254+AP269</f>
        <v>2107.08139668631</v>
      </c>
      <c r="AQ324" s="257">
        <f>AP324+AQ254+AQ269</f>
        <v>2039.82996305083</v>
      </c>
      <c r="AR324" s="257">
        <f>AQ324+AR254+AR269+AQ323</f>
        <v>1894.6887962772</v>
      </c>
      <c r="AS324" s="257">
        <f>AR324+AS254+AS269</f>
        <v>1530.67582620511</v>
      </c>
      <c r="AT324" s="19" t="inlineStr">
        <is>
          <t>+ stock-based compensation − repurchases (+ MCPS conversion in 2029E).</t>
        </is>
      </c>
    </row>
    <row r="325">
      <c r="B325" s="25" t="inlineStr">
        <is>
          <t xml:space="preserve">  Retained earnings (net parent investment pre-spin; derived balance)</t>
        </is>
      </c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>
        <v>2898.831</v>
      </c>
      <c r="L325" s="34" t="n"/>
      <c r="M325" s="34" t="n"/>
      <c r="N325" s="34" t="n"/>
      <c r="O325" s="34" t="n">
        <v>2921.623</v>
      </c>
      <c r="P325" s="34" t="n">
        <v>2921.623</v>
      </c>
      <c r="Q325" s="34" t="n">
        <v>3040.898</v>
      </c>
      <c r="R325" s="34" t="n">
        <v>52.22399999999993</v>
      </c>
      <c r="S325" s="34" t="n">
        <v>101.549</v>
      </c>
      <c r="T325" s="34" t="n">
        <v>159.2310000000002</v>
      </c>
      <c r="U325" s="34" t="n">
        <v>159.2310000000002</v>
      </c>
      <c r="V325" s="34" t="n">
        <v>188.1010000000001</v>
      </c>
      <c r="W325" s="34" t="n">
        <v>250.03</v>
      </c>
      <c r="X325" s="34" t="n">
        <v>303.954</v>
      </c>
      <c r="Y325" s="34" t="n">
        <v>350.5569999999998</v>
      </c>
      <c r="Z325" s="34" t="n">
        <v>350.5569999999998</v>
      </c>
      <c r="AA325" s="34" t="n">
        <v>406.867</v>
      </c>
      <c r="AB325" s="34" t="n">
        <v>484.9180000000001</v>
      </c>
      <c r="AC325" s="34" t="n">
        <v>548.3000000000002</v>
      </c>
      <c r="AD325" s="34" t="n">
        <v>597.1799999999998</v>
      </c>
      <c r="AE325" s="34" t="n">
        <v>597.1799999999998</v>
      </c>
      <c r="AF325" s="34" t="n">
        <v>659.675</v>
      </c>
      <c r="AG325" s="34" t="n">
        <v>720.4670000000001</v>
      </c>
      <c r="AH325" s="34" t="n">
        <v>769.2259999999999</v>
      </c>
      <c r="AI325" s="34" t="n">
        <v>800.806</v>
      </c>
      <c r="AJ325" s="34" t="n">
        <v>800.806</v>
      </c>
      <c r="AK325" s="34" t="n">
        <v>842.3429999999998</v>
      </c>
      <c r="AL325" s="34" t="n">
        <v>865.809</v>
      </c>
      <c r="AM325" s="257" t="n"/>
      <c r="AN325" s="257" t="n"/>
      <c r="AO325" s="257">
        <f>$AL$325+$AM$156+$AN$156-($AM$159+$AN$159)-($AM$171*$AM$165+$AN$171*$AN$165)</f>
        <v>945.098910124931</v>
      </c>
      <c r="AP325" s="257">
        <f>AO325+AP156+AP268</f>
        <v>1170.03838976254</v>
      </c>
      <c r="AQ325" s="257">
        <f>AP325+AQ156+AQ268</f>
        <v>1459.01646430117</v>
      </c>
      <c r="AR325" s="257">
        <f>AQ325+AR156+AR268</f>
        <v>1797.66686765377</v>
      </c>
      <c r="AS325" s="257">
        <f>AR325+AS156+AS268</f>
        <v>2180.05796863108</v>
      </c>
      <c r="AT325" s="19" t="n"/>
    </row>
    <row r="326">
      <c r="B326" s="25" t="inlineStr">
        <is>
          <t xml:space="preserve">  Accumulated other comprehensive loss</t>
        </is>
      </c>
      <c r="C326" s="34" t="n"/>
      <c r="D326" s="34" t="n"/>
      <c r="E326" s="34" t="n"/>
      <c r="F326" s="34" t="n"/>
      <c r="G326" s="34" t="n"/>
      <c r="H326" s="34" t="n"/>
      <c r="I326" s="34" t="n"/>
      <c r="J326" s="34" t="n">
        <v>-423.528</v>
      </c>
      <c r="K326" s="34" t="n">
        <v>-396.203</v>
      </c>
      <c r="L326" s="34" t="n">
        <v>-425.709</v>
      </c>
      <c r="M326" s="34" t="n">
        <v>-421.445</v>
      </c>
      <c r="N326" s="34" t="n">
        <v>-457.306</v>
      </c>
      <c r="O326" s="34" t="n">
        <v>-460.888</v>
      </c>
      <c r="P326" s="34" t="n">
        <v>-460.888</v>
      </c>
      <c r="Q326" s="34" t="n">
        <v>-564.046</v>
      </c>
      <c r="R326" s="34" t="n">
        <v>-663.419</v>
      </c>
      <c r="S326" s="34" t="n">
        <v>-750.342</v>
      </c>
      <c r="T326" s="34" t="n">
        <v>-674.9880000000001</v>
      </c>
      <c r="U326" s="34" t="n">
        <v>-674.9880000000001</v>
      </c>
      <c r="V326" s="34" t="n">
        <v>-636.7089999999999</v>
      </c>
      <c r="W326" s="34" t="n">
        <v>-616.615</v>
      </c>
      <c r="X326" s="34" t="n">
        <v>-679.54</v>
      </c>
      <c r="Y326" s="34" t="n">
        <v>-624.272</v>
      </c>
      <c r="Z326" s="34" t="n">
        <v>-624.272</v>
      </c>
      <c r="AA326" s="34" t="n">
        <v>-647.6609999999999</v>
      </c>
      <c r="AB326" s="34" t="n">
        <v>-663.373</v>
      </c>
      <c r="AC326" s="34" t="n">
        <v>-604.9</v>
      </c>
      <c r="AD326" s="34" t="n">
        <v>-729.574</v>
      </c>
      <c r="AE326" s="34" t="n">
        <v>-729.574</v>
      </c>
      <c r="AF326" s="34" t="n">
        <v>-651.857</v>
      </c>
      <c r="AG326" s="34" t="n">
        <v>-549.699</v>
      </c>
      <c r="AH326" s="34" t="n">
        <v>-554.21</v>
      </c>
      <c r="AI326" s="34" t="n">
        <v>-539.716</v>
      </c>
      <c r="AJ326" s="34" t="n">
        <v>-539.716</v>
      </c>
      <c r="AK326" s="34" t="n">
        <v>-557.013</v>
      </c>
      <c r="AL326" s="34" t="n">
        <v>-548.172</v>
      </c>
      <c r="AM326" s="257" t="n"/>
      <c r="AN326" s="257" t="n"/>
      <c r="AO326" s="257">
        <f>$AL$326</f>
        <v>-548.172</v>
      </c>
      <c r="AP326" s="257">
        <f>AO326</f>
        <v>-548.172</v>
      </c>
      <c r="AQ326" s="257">
        <f>AP326</f>
        <v>-548.172</v>
      </c>
      <c r="AR326" s="257">
        <f>AQ326</f>
        <v>-548.172</v>
      </c>
      <c r="AS326" s="257">
        <f>AR326</f>
        <v>-548.172</v>
      </c>
      <c r="AT326" s="19" t="n"/>
    </row>
    <row r="327">
      <c r="B327" s="16" t="inlineStr">
        <is>
          <t>Total ESAB Corporation equity</t>
        </is>
      </c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>
        <f>N(K323)+K324+K325+K326</f>
        <v>2502.628</v>
      </c>
      <c r="L327" s="43" t="n"/>
      <c r="M327" s="43" t="n"/>
      <c r="N327" s="43" t="n"/>
      <c r="O327" s="43">
        <f>N(O323)+O324+O325+O326</f>
        <v>2460.735</v>
      </c>
      <c r="P327" s="43">
        <f>N(P323)+P324+P325+P326</f>
        <v>2460.735</v>
      </c>
      <c r="Q327" s="43">
        <f>N(Q323)+Q324+Q325+Q326</f>
        <v>2476.852</v>
      </c>
      <c r="R327" s="43">
        <f>N(R323)+R324+R325+R326</f>
        <v>1241.863</v>
      </c>
      <c r="S327" s="43">
        <f>N(S323)+S324+S325+S326</f>
        <v>1209.185</v>
      </c>
      <c r="T327" s="43">
        <f>N(T323)+T324+T325+T326</f>
        <v>1350.207</v>
      </c>
      <c r="U327" s="43">
        <f>N(U323)+U324+U325+U326</f>
        <v>1350.207</v>
      </c>
      <c r="V327" s="43">
        <f>N(V323)+V324+V325+V326</f>
        <v>1419.585</v>
      </c>
      <c r="W327" s="43">
        <f>N(W323)+W324+W325+W326</f>
        <v>1506.309</v>
      </c>
      <c r="X327" s="43">
        <f>N(X323)+X324+X325+X326</f>
        <v>1500.809</v>
      </c>
      <c r="Y327" s="43">
        <f>N(Y323)+Y324+Y325+Y326</f>
        <v>1607.399</v>
      </c>
      <c r="Z327" s="43">
        <f>N(Z323)+Z324+Z325+Z326</f>
        <v>1607.399</v>
      </c>
      <c r="AA327" s="43">
        <f>N(AA323)+AA324+AA325+AA326</f>
        <v>1640.8</v>
      </c>
      <c r="AB327" s="43">
        <f>N(AB323)+AB324+AB325+AB326</f>
        <v>1707.972</v>
      </c>
      <c r="AC327" s="43">
        <f>N(AC323)+AC324+AC325+AC326</f>
        <v>1837.125</v>
      </c>
      <c r="AD327" s="43">
        <f>N(AD323)+AD324+AD325+AD326</f>
        <v>1769.004</v>
      </c>
      <c r="AE327" s="43">
        <f>N(AE323)+AE324+AE325+AE326</f>
        <v>1769.004</v>
      </c>
      <c r="AF327" s="43">
        <f>N(AF323)+AF324+AF325+AF326</f>
        <v>1909.728</v>
      </c>
      <c r="AG327" s="43">
        <f>N(AG323)+AG324+AG325+AG326</f>
        <v>2069.63</v>
      </c>
      <c r="AH327" s="43">
        <f>N(AH323)+AH324+AH325+AH326</f>
        <v>2115.948</v>
      </c>
      <c r="AI327" s="43">
        <f>N(AI323)+AI324+AI325+AI326</f>
        <v>2166.04</v>
      </c>
      <c r="AJ327" s="43">
        <f>N(AJ323)+AJ324+AJ325+AJ326</f>
        <v>2166.04</v>
      </c>
      <c r="AK327" s="43">
        <f>N(AK323)+AK324+AK325+AK326</f>
        <v>2190.79</v>
      </c>
      <c r="AL327" s="43">
        <f>N(AL323)+AL324+AL325+AL326</f>
        <v>2538.681</v>
      </c>
      <c r="AM327" s="253" t="n"/>
      <c r="AN327" s="253" t="n"/>
      <c r="AO327" s="253">
        <f>N(AO323)+AO324+AO325+AO326</f>
        <v>2636.8635098768</v>
      </c>
      <c r="AP327" s="253">
        <f>N(AP323)+AP324+AP325+AP326</f>
        <v>2900.04478644885</v>
      </c>
      <c r="AQ327" s="253">
        <f>N(AQ323)+AQ324+AQ325+AQ326</f>
        <v>3121.771427352</v>
      </c>
      <c r="AR327" s="253">
        <f>N(AR323)+AR324+AR325+AR326</f>
        <v>3144.18366393097</v>
      </c>
      <c r="AS327" s="253">
        <f>N(AS323)+AS324+AS325+AS326</f>
        <v>3162.56179483618</v>
      </c>
      <c r="AT327" s="19" t="n"/>
    </row>
    <row r="328">
      <c r="B328" s="25" t="inlineStr">
        <is>
          <t xml:space="preserve">  Noncontrolling interest</t>
        </is>
      </c>
      <c r="C328" s="34" t="n"/>
      <c r="D328" s="34" t="n"/>
      <c r="E328" s="34" t="n"/>
      <c r="F328" s="34" t="n"/>
      <c r="G328" s="34" t="n"/>
      <c r="H328" s="34" t="n"/>
      <c r="I328" s="34" t="n"/>
      <c r="J328" s="34" t="n">
        <v>46.065</v>
      </c>
      <c r="K328" s="34" t="n">
        <v>42.139</v>
      </c>
      <c r="L328" s="34" t="n">
        <v>41.649</v>
      </c>
      <c r="M328" s="34" t="n">
        <v>41.744</v>
      </c>
      <c r="N328" s="34" t="n">
        <v>41.296</v>
      </c>
      <c r="O328" s="34" t="n">
        <v>40.993</v>
      </c>
      <c r="P328" s="34" t="n">
        <v>40.993</v>
      </c>
      <c r="Q328" s="34" t="n">
        <v>40.51</v>
      </c>
      <c r="R328" s="34" t="n">
        <v>39.54</v>
      </c>
      <c r="S328" s="34" t="n">
        <v>38.34</v>
      </c>
      <c r="T328" s="34" t="n">
        <v>38.251</v>
      </c>
      <c r="U328" s="34" t="n">
        <v>38.251</v>
      </c>
      <c r="V328" s="34" t="n">
        <v>38.706</v>
      </c>
      <c r="W328" s="34" t="n">
        <v>40.416</v>
      </c>
      <c r="X328" s="34" t="n">
        <v>40.287</v>
      </c>
      <c r="Y328" s="34" t="n">
        <v>40.258</v>
      </c>
      <c r="Z328" s="34" t="n">
        <v>40.258</v>
      </c>
      <c r="AA328" s="34" t="n">
        <v>41.578</v>
      </c>
      <c r="AB328" s="34" t="n">
        <v>41.453</v>
      </c>
      <c r="AC328" s="34" t="n">
        <v>40.6</v>
      </c>
      <c r="AD328" s="34" t="n">
        <v>39.245</v>
      </c>
      <c r="AE328" s="34" t="n">
        <v>39.245</v>
      </c>
      <c r="AF328" s="34" t="n">
        <v>40.664</v>
      </c>
      <c r="AG328" s="34" t="n">
        <v>42.141</v>
      </c>
      <c r="AH328" s="34" t="n">
        <v>46.079</v>
      </c>
      <c r="AI328" s="34" t="n">
        <v>45.489</v>
      </c>
      <c r="AJ328" s="34" t="n">
        <v>45.489</v>
      </c>
      <c r="AK328" s="34" t="n">
        <v>44.878</v>
      </c>
      <c r="AL328" s="34" t="n">
        <v>45.536</v>
      </c>
      <c r="AM328" s="257" t="n"/>
      <c r="AN328" s="257" t="n"/>
      <c r="AO328" s="257">
        <f>$AL$328+$AM$155+$AN$155</f>
        <v>48.763</v>
      </c>
      <c r="AP328" s="257">
        <f>AO328+AP155</f>
        <v>55.70163886415</v>
      </c>
      <c r="AQ328" s="257">
        <f>AP328+AQ155</f>
        <v>62.9790671343316</v>
      </c>
      <c r="AR328" s="257">
        <f>AQ328+AR155</f>
        <v>70.7009924060507</v>
      </c>
      <c r="AS328" s="257">
        <f>AR328+AS155</f>
        <v>78.911955512482</v>
      </c>
      <c r="AT328" s="19" t="n"/>
    </row>
    <row r="329">
      <c r="B329" s="16" t="inlineStr">
        <is>
          <t>Total equity</t>
        </is>
      </c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>
        <f>K327+N(K328)</f>
        <v>2544.767</v>
      </c>
      <c r="L329" s="43" t="n"/>
      <c r="M329" s="43" t="n"/>
      <c r="N329" s="43" t="n"/>
      <c r="O329" s="43">
        <f>O327+N(O328)</f>
        <v>2501.728</v>
      </c>
      <c r="P329" s="43">
        <f>P327+N(P328)</f>
        <v>2501.728</v>
      </c>
      <c r="Q329" s="43">
        <f>Q327+N(Q328)</f>
        <v>2517.362</v>
      </c>
      <c r="R329" s="43">
        <f>R327+N(R328)</f>
        <v>1281.403</v>
      </c>
      <c r="S329" s="43">
        <f>S327+N(S328)</f>
        <v>1247.525</v>
      </c>
      <c r="T329" s="43">
        <f>T327+N(T328)</f>
        <v>1388.458</v>
      </c>
      <c r="U329" s="43">
        <f>U327+N(U328)</f>
        <v>1388.458</v>
      </c>
      <c r="V329" s="43">
        <f>V327+N(V328)</f>
        <v>1458.291</v>
      </c>
      <c r="W329" s="43">
        <f>W327+N(W328)</f>
        <v>1546.725</v>
      </c>
      <c r="X329" s="43">
        <f>X327+N(X328)</f>
        <v>1541.096</v>
      </c>
      <c r="Y329" s="43">
        <f>Y327+N(Y328)</f>
        <v>1647.657</v>
      </c>
      <c r="Z329" s="43">
        <f>Z327+N(Z328)</f>
        <v>1647.657</v>
      </c>
      <c r="AA329" s="43">
        <f>AA327+N(AA328)</f>
        <v>1682.378</v>
      </c>
      <c r="AB329" s="43">
        <f>AB327+N(AB328)</f>
        <v>1749.425</v>
      </c>
      <c r="AC329" s="43">
        <f>AC327+N(AC328)</f>
        <v>1877.725</v>
      </c>
      <c r="AD329" s="43">
        <f>AD327+N(AD328)</f>
        <v>1808.249</v>
      </c>
      <c r="AE329" s="43">
        <f>AE327+N(AE328)</f>
        <v>1808.249</v>
      </c>
      <c r="AF329" s="43">
        <f>AF327+N(AF328)</f>
        <v>1950.392</v>
      </c>
      <c r="AG329" s="43">
        <f>AG327+N(AG328)</f>
        <v>2111.771</v>
      </c>
      <c r="AH329" s="43">
        <f>AH327+N(AH328)</f>
        <v>2162.027</v>
      </c>
      <c r="AI329" s="43">
        <f>AI327+N(AI328)</f>
        <v>2211.529</v>
      </c>
      <c r="AJ329" s="43">
        <f>AJ327+N(AJ328)</f>
        <v>2211.529</v>
      </c>
      <c r="AK329" s="43">
        <f>AK327+N(AK328)</f>
        <v>2235.668</v>
      </c>
      <c r="AL329" s="43">
        <f>AL327+N(AL328)</f>
        <v>2584.217</v>
      </c>
      <c r="AM329" s="253" t="n"/>
      <c r="AN329" s="253" t="n"/>
      <c r="AO329" s="253">
        <f>AO327+N(AO328)</f>
        <v>2685.6265098768</v>
      </c>
      <c r="AP329" s="253">
        <f>AP327+N(AP328)</f>
        <v>2955.746425313</v>
      </c>
      <c r="AQ329" s="253">
        <f>AQ327+N(AQ328)</f>
        <v>3184.75049448633</v>
      </c>
      <c r="AR329" s="253">
        <f>AR327+N(AR328)</f>
        <v>3214.88465633702</v>
      </c>
      <c r="AS329" s="253">
        <f>AS327+N(AS328)</f>
        <v>3241.47375034867</v>
      </c>
      <c r="AT329" s="19" t="n"/>
    </row>
    <row r="330">
      <c r="B330" s="55" t="inlineStr">
        <is>
          <t>TOTAL LIABILITIES AND EQUITY</t>
        </is>
      </c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>
        <f>K321+K329</f>
        <v>3385.829</v>
      </c>
      <c r="L330" s="56" t="n"/>
      <c r="M330" s="56" t="n"/>
      <c r="N330" s="56" t="n"/>
      <c r="O330" s="56">
        <f>O321+O329</f>
        <v>3461.262</v>
      </c>
      <c r="P330" s="56">
        <f>P321+P329</f>
        <v>3461.262</v>
      </c>
      <c r="Q330" s="56">
        <f>Q321+Q329</f>
        <v>3781.349</v>
      </c>
      <c r="R330" s="56">
        <f>R321+R329</f>
        <v>3673.704</v>
      </c>
      <c r="S330" s="56">
        <f>S321+S329</f>
        <v>3539.903</v>
      </c>
      <c r="T330" s="56">
        <f>T321+T329</f>
        <v>3754.015</v>
      </c>
      <c r="U330" s="56">
        <f>U321+U329</f>
        <v>3754.015</v>
      </c>
      <c r="V330" s="56">
        <f>V321+V329</f>
        <v>3849.145</v>
      </c>
      <c r="W330" s="56">
        <f>W321+W329</f>
        <v>3862.844</v>
      </c>
      <c r="X330" s="56">
        <f>X321+X329</f>
        <v>3756.043</v>
      </c>
      <c r="Y330" s="56">
        <f>Y321+Y329</f>
        <v>3828.629</v>
      </c>
      <c r="Z330" s="56">
        <f>Z321+Z329</f>
        <v>3828.629</v>
      </c>
      <c r="AA330" s="56">
        <f>AA321+AA329</f>
        <v>3827.489</v>
      </c>
      <c r="AB330" s="56">
        <f>AB321+AB329</f>
        <v>3967.111</v>
      </c>
      <c r="AC330" s="56">
        <f>AC321+AC329</f>
        <v>4084.534</v>
      </c>
      <c r="AD330" s="56">
        <f>AD321+AD329</f>
        <v>4033.975</v>
      </c>
      <c r="AE330" s="56">
        <f>AE321+AE329</f>
        <v>4033.975</v>
      </c>
      <c r="AF330" s="56">
        <f>AF321+AF329</f>
        <v>4217.542</v>
      </c>
      <c r="AG330" s="56">
        <f>AG321+AG329</f>
        <v>4432.363</v>
      </c>
      <c r="AH330" s="56">
        <f>AH321+AH329</f>
        <v>4869.403</v>
      </c>
      <c r="AI330" s="56">
        <f>AI321+AI329</f>
        <v>4766.094</v>
      </c>
      <c r="AJ330" s="56">
        <f>AJ321+AJ329</f>
        <v>4766.094</v>
      </c>
      <c r="AK330" s="56">
        <f>AK321+AK329</f>
        <v>5624.669</v>
      </c>
      <c r="AL330" s="56">
        <f>AL321+AL329</f>
        <v>6562.611</v>
      </c>
      <c r="AM330" s="56" t="n"/>
      <c r="AN330" s="56" t="n"/>
      <c r="AO330" s="56">
        <f>AO321+AO329</f>
        <v>6440.1669589943</v>
      </c>
      <c r="AP330" s="56">
        <f>AP321+AP329</f>
        <v>6586.34783371118</v>
      </c>
      <c r="AQ330" s="56">
        <f>AQ321+AQ329</f>
        <v>6844.46831622966</v>
      </c>
      <c r="AR330" s="56">
        <f>AR321+AR329</f>
        <v>6919.78442705174</v>
      </c>
      <c r="AS330" s="56">
        <f>AS321+AS329</f>
        <v>6997.96308694573</v>
      </c>
      <c r="AT330" s="19" t="n"/>
    </row>
    <row r="331">
      <c r="B331" s="57" t="inlineStr">
        <is>
          <t>BS tie-out check (TA − TL&amp;E)</t>
        </is>
      </c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>
        <f>IF(ISNUMBER(K312),ROUND(K312-K330,1),"")</f>
        <v>0</v>
      </c>
      <c r="L331" s="44" t="n"/>
      <c r="M331" s="44" t="n"/>
      <c r="N331" s="44" t="n"/>
      <c r="O331" s="44">
        <f>IF(ISNUMBER(O312),ROUND(O312-O330,1),"")</f>
        <v>0</v>
      </c>
      <c r="P331" s="44">
        <f>IF(ISNUMBER(P312),ROUND(P312-P330,1),"")</f>
        <v>0</v>
      </c>
      <c r="Q331" s="44">
        <f>IF(ISNUMBER(Q312),ROUND(Q312-Q330,1),"")</f>
        <v>0</v>
      </c>
      <c r="R331" s="44">
        <f>IF(ISNUMBER(R312),ROUND(R312-R330,1),"")</f>
        <v>0</v>
      </c>
      <c r="S331" s="44">
        <f>IF(ISNUMBER(S312),ROUND(S312-S330,1),"")</f>
        <v>0</v>
      </c>
      <c r="T331" s="44">
        <f>IF(ISNUMBER(T312),ROUND(T312-T330,1),"")</f>
        <v>0</v>
      </c>
      <c r="U331" s="44">
        <f>IF(ISNUMBER(U312),ROUND(U312-U330,1),"")</f>
        <v>0</v>
      </c>
      <c r="V331" s="44">
        <f>IF(ISNUMBER(V312),ROUND(V312-V330,1),"")</f>
        <v>0</v>
      </c>
      <c r="W331" s="44">
        <f>IF(ISNUMBER(W312),ROUND(W312-W330,1),"")</f>
        <v>0</v>
      </c>
      <c r="X331" s="44">
        <f>IF(ISNUMBER(X312),ROUND(X312-X330,1),"")</f>
        <v>0</v>
      </c>
      <c r="Y331" s="44">
        <f>IF(ISNUMBER(Y312),ROUND(Y312-Y330,1),"")</f>
        <v>0</v>
      </c>
      <c r="Z331" s="44">
        <f>IF(ISNUMBER(Z312),ROUND(Z312-Z330,1),"")</f>
        <v>0</v>
      </c>
      <c r="AA331" s="44">
        <f>IF(ISNUMBER(AA312),ROUND(AA312-AA330,1),"")</f>
        <v>0</v>
      </c>
      <c r="AB331" s="44">
        <f>IF(ISNUMBER(AB312),ROUND(AB312-AB330,1),"")</f>
        <v>0</v>
      </c>
      <c r="AC331" s="44">
        <f>IF(ISNUMBER(AC312),ROUND(AC312-AC330,1),"")</f>
        <v>0</v>
      </c>
      <c r="AD331" s="44">
        <f>IF(ISNUMBER(AD312),ROUND(AD312-AD330,1),"")</f>
        <v>0</v>
      </c>
      <c r="AE331" s="44">
        <f>IF(ISNUMBER(AE312),ROUND(AE312-AE330,1),"")</f>
        <v>0</v>
      </c>
      <c r="AF331" s="44">
        <f>IF(ISNUMBER(AF312),ROUND(AF312-AF330,1),"")</f>
        <v>0</v>
      </c>
      <c r="AG331" s="44">
        <f>IF(ISNUMBER(AG312),ROUND(AG312-AG330,1),"")</f>
        <v>0</v>
      </c>
      <c r="AH331" s="44">
        <f>IF(ISNUMBER(AH312),ROUND(AH312-AH330,1),"")</f>
        <v>0</v>
      </c>
      <c r="AI331" s="44">
        <f>IF(ISNUMBER(AI312),ROUND(AI312-AI330,1),"")</f>
        <v>0</v>
      </c>
      <c r="AJ331" s="44">
        <f>IF(ISNUMBER(AJ312),ROUND(AJ312-AJ330,1),"")</f>
        <v>0</v>
      </c>
      <c r="AK331" s="44">
        <f>IF(ISNUMBER(AK312),ROUND(AK312-AK330,1),"")</f>
        <v>0</v>
      </c>
      <c r="AL331" s="44">
        <f>IF(ISNUMBER(AL312),ROUND(AL312-AL330,1),"")</f>
        <v>0</v>
      </c>
      <c r="AM331" s="269" t="n"/>
      <c r="AN331" s="269" t="n"/>
      <c r="AO331" s="268">
        <f>ROUND(AO312-AO330,1)</f>
        <v>0</v>
      </c>
      <c r="AP331" s="268">
        <f>ROUND(AP312-AP330,1)</f>
        <v>0</v>
      </c>
      <c r="AQ331" s="268">
        <f>ROUND(AQ312-AQ330,1)</f>
        <v>0</v>
      </c>
      <c r="AR331" s="268">
        <f>ROUND(AR312-AR330,1)</f>
        <v>0</v>
      </c>
      <c r="AS331" s="268">
        <f>ROUND(AS312-AS330,1)</f>
        <v>0</v>
      </c>
      <c r="AT331" s="19" t="n"/>
    </row>
    <row r="332">
      <c r="B332" s="57" t="inlineStr">
        <is>
          <t xml:space="preserve">  Check: model total assets vs reported (should be 0)</t>
        </is>
      </c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>
        <f>IF(ISNUMBER(K333),ROUND(K312-K333,1),"")</f>
        <v>0</v>
      </c>
      <c r="L332" s="44" t="n"/>
      <c r="M332" s="44" t="n"/>
      <c r="N332" s="44" t="n"/>
      <c r="O332" s="44">
        <f>IF(ISNUMBER(O333),ROUND(O312-O333,1),"")</f>
        <v>0</v>
      </c>
      <c r="P332" s="44">
        <f>IF(ISNUMBER(P333),ROUND(P312-P333,1),"")</f>
        <v>0</v>
      </c>
      <c r="Q332" s="44">
        <f>IF(ISNUMBER(Q333),ROUND(Q312-Q333,1),"")</f>
        <v>0</v>
      </c>
      <c r="R332" s="44">
        <f>IF(ISNUMBER(R333),ROUND(R312-R333,1),"")</f>
        <v>0</v>
      </c>
      <c r="S332" s="44">
        <f>IF(ISNUMBER(S333),ROUND(S312-S333,1),"")</f>
        <v>0</v>
      </c>
      <c r="T332" s="44">
        <f>IF(ISNUMBER(T333),ROUND(T312-T333,1),"")</f>
        <v>0</v>
      </c>
      <c r="U332" s="44">
        <f>IF(ISNUMBER(U333),ROUND(U312-U333,1),"")</f>
        <v>0</v>
      </c>
      <c r="V332" s="44">
        <f>IF(ISNUMBER(V333),ROUND(V312-V333,1),"")</f>
        <v>0</v>
      </c>
      <c r="W332" s="44">
        <f>IF(ISNUMBER(W333),ROUND(W312-W333,1),"")</f>
        <v>0</v>
      </c>
      <c r="X332" s="44">
        <f>IF(ISNUMBER(X333),ROUND(X312-X333,1),"")</f>
        <v>0</v>
      </c>
      <c r="Y332" s="44">
        <f>IF(ISNUMBER(Y333),ROUND(Y312-Y333,1),"")</f>
        <v>0</v>
      </c>
      <c r="Z332" s="44">
        <f>IF(ISNUMBER(Z333),ROUND(Z312-Z333,1),"")</f>
        <v>0</v>
      </c>
      <c r="AA332" s="44">
        <f>IF(ISNUMBER(AA333),ROUND(AA312-AA333,1),"")</f>
        <v>0</v>
      </c>
      <c r="AB332" s="44">
        <f>IF(ISNUMBER(AB333),ROUND(AB312-AB333,1),"")</f>
        <v>0</v>
      </c>
      <c r="AC332" s="44">
        <f>IF(ISNUMBER(AC333),ROUND(AC312-AC333,1),"")</f>
        <v>0</v>
      </c>
      <c r="AD332" s="44">
        <f>IF(ISNUMBER(AD333),ROUND(AD312-AD333,1),"")</f>
        <v>0</v>
      </c>
      <c r="AE332" s="44">
        <f>IF(ISNUMBER(AE333),ROUND(AE312-AE333,1),"")</f>
        <v>0</v>
      </c>
      <c r="AF332" s="44">
        <f>IF(ISNUMBER(AF333),ROUND(AF312-AF333,1),"")</f>
        <v>0</v>
      </c>
      <c r="AG332" s="44">
        <f>IF(ISNUMBER(AG333),ROUND(AG312-AG333,1),"")</f>
        <v>0</v>
      </c>
      <c r="AH332" s="44">
        <f>IF(ISNUMBER(AH333),ROUND(AH312-AH333,1),"")</f>
        <v>0</v>
      </c>
      <c r="AI332" s="44">
        <f>IF(ISNUMBER(AI333),ROUND(AI312-AI333,1),"")</f>
        <v>0</v>
      </c>
      <c r="AJ332" s="44">
        <f>IF(ISNUMBER(AJ333),ROUND(AJ312-AJ333,1),"")</f>
        <v>0</v>
      </c>
      <c r="AK332" s="44">
        <f>IF(ISNUMBER(AK333),ROUND(AK312-AK333,1),"")</f>
        <v>0</v>
      </c>
      <c r="AL332" s="44">
        <f>IF(ISNUMBER(AL333),ROUND(AL312-AL333,1),"")</f>
        <v>0</v>
      </c>
      <c r="AM332" s="269" t="n"/>
      <c r="AN332" s="269" t="n"/>
      <c r="AO332" s="269" t="n"/>
      <c r="AP332" s="269" t="n"/>
      <c r="AQ332" s="269" t="n"/>
      <c r="AR332" s="269" t="n"/>
      <c r="AS332" s="269" t="n"/>
      <c r="AT332" s="19" t="n"/>
    </row>
    <row r="333" outlineLevel="2" s="251">
      <c r="B333" s="156" t="inlineStr">
        <is>
          <t xml:space="preserve">  Memo: total assets as reported</t>
        </is>
      </c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>
        <v>3385.829</v>
      </c>
      <c r="L333" s="34" t="n"/>
      <c r="M333" s="34" t="n"/>
      <c r="N333" s="34" t="n"/>
      <c r="O333" s="34" t="n">
        <v>3461.262</v>
      </c>
      <c r="P333" s="34" t="n">
        <v>3461.262</v>
      </c>
      <c r="Q333" s="34" t="n">
        <v>3781.349</v>
      </c>
      <c r="R333" s="34" t="n">
        <v>3673.704</v>
      </c>
      <c r="S333" s="34" t="n">
        <v>3539.903</v>
      </c>
      <c r="T333" s="34" t="n">
        <v>3754.015</v>
      </c>
      <c r="U333" s="34" t="n">
        <v>3754.015</v>
      </c>
      <c r="V333" s="34" t="n">
        <v>3849.145</v>
      </c>
      <c r="W333" s="34" t="n">
        <v>3862.844</v>
      </c>
      <c r="X333" s="34" t="n">
        <v>3756.043</v>
      </c>
      <c r="Y333" s="34" t="n">
        <v>3828.629</v>
      </c>
      <c r="Z333" s="34" t="n">
        <v>3828.629</v>
      </c>
      <c r="AA333" s="34" t="n">
        <v>3827.489</v>
      </c>
      <c r="AB333" s="34" t="n">
        <v>3967.111</v>
      </c>
      <c r="AC333" s="34" t="n">
        <v>4084.534</v>
      </c>
      <c r="AD333" s="34" t="n">
        <v>4033.975</v>
      </c>
      <c r="AE333" s="34" t="n">
        <v>4033.975</v>
      </c>
      <c r="AF333" s="34" t="n">
        <v>4217.542</v>
      </c>
      <c r="AG333" s="34" t="n">
        <v>4432.363</v>
      </c>
      <c r="AH333" s="34" t="n">
        <v>4869.403</v>
      </c>
      <c r="AI333" s="34" t="n">
        <v>4766.094</v>
      </c>
      <c r="AJ333" s="34" t="n">
        <v>4766.094</v>
      </c>
      <c r="AK333" s="34" t="n">
        <v>5624.669</v>
      </c>
      <c r="AL333" s="34" t="n">
        <v>6562.611</v>
      </c>
      <c r="AM333" s="269" t="n"/>
      <c r="AN333" s="269" t="n"/>
      <c r="AO333" s="269" t="n"/>
      <c r="AP333" s="269" t="n"/>
      <c r="AQ333" s="269" t="n"/>
      <c r="AR333" s="269" t="n"/>
      <c r="AS333" s="269" t="n"/>
      <c r="AT333" s="19" t="n"/>
    </row>
    <row r="334">
      <c r="B334" s="57" t="inlineStr">
        <is>
          <t xml:space="preserve">  Check: BS cash vs cash-flow ending cash (should be 0; restricted cash differences noted)</t>
        </is>
      </c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>
        <f>IF(AND(ISNUMBER(K303),ISNUMBER(K277)),ROUND(K303-K277,1),"")</f>
        <v>0</v>
      </c>
      <c r="L334" s="44" t="n"/>
      <c r="M334" s="44" t="n"/>
      <c r="N334" s="44" t="n"/>
      <c r="O334" s="44">
        <f>IF(AND(ISNUMBER(O303),ISNUMBER(O277)),ROUND(O303-O277,1),"")</f>
        <v>0</v>
      </c>
      <c r="P334" s="44">
        <f>IF(AND(ISNUMBER(P303),ISNUMBER(P277)),ROUND(P303-P277,1),"")</f>
        <v>0</v>
      </c>
      <c r="Q334" s="44">
        <f>IF(AND(ISNUMBER(Q303),ISNUMBER(Q277)),ROUND(Q303-Q277,1),"")</f>
        <v>0</v>
      </c>
      <c r="R334" s="44">
        <f>IF(AND(ISNUMBER(R303),ISNUMBER(R277)),ROUND(R303-R277,1),"")</f>
        <v>0</v>
      </c>
      <c r="S334" s="44">
        <f>IF(AND(ISNUMBER(S303),ISNUMBER(S277)),ROUND(S303-S277,1),"")</f>
        <v>0</v>
      </c>
      <c r="T334" s="44">
        <f>IF(AND(ISNUMBER(T303),ISNUMBER(T277)),ROUND(T303-T277,1),"")</f>
        <v>0</v>
      </c>
      <c r="U334" s="44">
        <f>IF(AND(ISNUMBER(U303),ISNUMBER(U277)),ROUND(U303-U277,1),"")</f>
        <v>0</v>
      </c>
      <c r="V334" s="44">
        <f>IF(AND(ISNUMBER(V303),ISNUMBER(V277)),ROUND(V303-V277,1),"")</f>
        <v>0</v>
      </c>
      <c r="W334" s="44">
        <f>IF(AND(ISNUMBER(W303),ISNUMBER(W277)),ROUND(W303-W277,1),"")</f>
        <v>0</v>
      </c>
      <c r="X334" s="44">
        <f>IF(AND(ISNUMBER(X303),ISNUMBER(X277)),ROUND(X303-X277,1),"")</f>
        <v>0</v>
      </c>
      <c r="Y334" s="44">
        <f>IF(AND(ISNUMBER(Y303),ISNUMBER(Y277)),ROUND(Y303-Y277,1),"")</f>
        <v>0</v>
      </c>
      <c r="Z334" s="44">
        <f>IF(AND(ISNUMBER(Z303),ISNUMBER(Z277)),ROUND(Z303-Z277,1),"")</f>
        <v>0</v>
      </c>
      <c r="AA334" s="44">
        <f>IF(AND(ISNUMBER(AA303),ISNUMBER(AA277)),ROUND(AA303-AA277,1),"")</f>
        <v>0</v>
      </c>
      <c r="AB334" s="44">
        <f>IF(AND(ISNUMBER(AB303),ISNUMBER(AB277)),ROUND(AB303-AB277,1),"")</f>
        <v>0</v>
      </c>
      <c r="AC334" s="44">
        <f>IF(AND(ISNUMBER(AC303),ISNUMBER(AC277)),ROUND(AC303-AC277,1),"")</f>
        <v>0</v>
      </c>
      <c r="AD334" s="44">
        <f>IF(AND(ISNUMBER(AD303),ISNUMBER(AD277)),ROUND(AD303-AD277,1),"")</f>
        <v>0</v>
      </c>
      <c r="AE334" s="44">
        <f>IF(AND(ISNUMBER(AE303),ISNUMBER(AE277)),ROUND(AE303-AE277,1),"")</f>
        <v>0</v>
      </c>
      <c r="AF334" s="44">
        <f>IF(AND(ISNUMBER(AF303),ISNUMBER(AF277)),ROUND(AF303-AF277,1),"")</f>
        <v>0</v>
      </c>
      <c r="AG334" s="44">
        <f>IF(AND(ISNUMBER(AG303),ISNUMBER(AG277)),ROUND(AG303-AG277,1),"")</f>
        <v>0</v>
      </c>
      <c r="AH334" s="44">
        <f>IF(AND(ISNUMBER(AH303),ISNUMBER(AH277)),ROUND(AH303-AH277,1),"")</f>
        <v>0</v>
      </c>
      <c r="AI334" s="44">
        <f>IF(AND(ISNUMBER(AI303),ISNUMBER(AI277)),ROUND(AI303-AI277,1),"")</f>
        <v>0</v>
      </c>
      <c r="AJ334" s="44">
        <f>IF(AND(ISNUMBER(AJ303),ISNUMBER(AJ277)),ROUND(AJ303-AJ277,1),"")</f>
        <v>0</v>
      </c>
      <c r="AK334" s="44">
        <f>IF(AND(ISNUMBER(AK303),ISNUMBER(AK277)),ROUND(AK303-AK277,1),"")</f>
        <v>0</v>
      </c>
      <c r="AL334" s="44">
        <f>IF(AND(ISNUMBER(AL303),ISNUMBER(AL277)),ROUND(AL303-AL277,1),"")</f>
        <v>0</v>
      </c>
      <c r="AM334" s="269" t="n"/>
      <c r="AN334" s="269" t="n"/>
      <c r="AO334" s="268">
        <f>ROUND(AO303-AO277,1)</f>
        <v>0</v>
      </c>
      <c r="AP334" s="268">
        <f>ROUND(AP303-AP277,1)</f>
        <v>0</v>
      </c>
      <c r="AQ334" s="268">
        <f>ROUND(AQ303-AQ277,1)</f>
        <v>0</v>
      </c>
      <c r="AR334" s="268">
        <f>ROUND(AR303-AR277,1)</f>
        <v>0</v>
      </c>
      <c r="AS334" s="268">
        <f>ROUND(AS303-AS277,1)</f>
        <v>0</v>
      </c>
      <c r="AT334" s="19" t="n"/>
    </row>
    <row r="335" outlineLevel="2" s="251">
      <c r="B335" s="25" t="inlineStr">
        <is>
          <t xml:space="preserve">  Memo: asbestos insurance assets (within other assets)</t>
        </is>
      </c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>
        <v>0</v>
      </c>
      <c r="L335" s="34" t="n"/>
      <c r="M335" s="34" t="n"/>
      <c r="N335" s="34" t="n"/>
      <c r="O335" s="34" t="n">
        <v>0</v>
      </c>
      <c r="P335" s="34" t="n">
        <v>0</v>
      </c>
      <c r="Q335" s="34" t="n">
        <v>246.217</v>
      </c>
      <c r="R335" s="34" t="n">
        <v>241.854</v>
      </c>
      <c r="S335" s="34" t="n">
        <v>240.051</v>
      </c>
      <c r="T335" s="34" t="n">
        <v>232.343</v>
      </c>
      <c r="U335" s="34" t="n">
        <v>232.343</v>
      </c>
      <c r="V335" s="34" t="n">
        <v>220.966</v>
      </c>
      <c r="W335" s="34" t="n">
        <v>212.73</v>
      </c>
      <c r="X335" s="34" t="n">
        <v>203.542</v>
      </c>
      <c r="Y335" s="34" t="n">
        <v>239.357</v>
      </c>
      <c r="Z335" s="34" t="n">
        <v>239.357</v>
      </c>
      <c r="AA335" s="34" t="n">
        <v>231.629</v>
      </c>
      <c r="AB335" s="34" t="n">
        <v>224.196</v>
      </c>
      <c r="AC335" s="34" t="n">
        <v>210.729</v>
      </c>
      <c r="AD335" s="34" t="n">
        <v>251.912</v>
      </c>
      <c r="AE335" s="34" t="n">
        <v>251.912</v>
      </c>
      <c r="AF335" s="34" t="n">
        <v>239.285</v>
      </c>
      <c r="AG335" s="34" t="n">
        <v>232.378</v>
      </c>
      <c r="AH335" s="34" t="n">
        <v>274.646</v>
      </c>
      <c r="AI335" s="34" t="n">
        <v>252.172</v>
      </c>
      <c r="AJ335" s="34" t="n">
        <v>252.172</v>
      </c>
      <c r="AK335" s="34" t="n">
        <v>248.037</v>
      </c>
      <c r="AL335" s="34" t="n">
        <v>244.31</v>
      </c>
      <c r="AM335" s="257" t="n"/>
      <c r="AN335" s="257" t="n"/>
      <c r="AO335" s="257" t="n"/>
      <c r="AP335" s="257" t="n"/>
      <c r="AQ335" s="257" t="n"/>
      <c r="AR335" s="257" t="n"/>
      <c r="AS335" s="257" t="n"/>
      <c r="AT335" s="19" t="n"/>
    </row>
    <row r="336" outlineLevel="2" s="251">
      <c r="B336" s="25" t="inlineStr">
        <is>
          <t xml:space="preserve">  Memo: asbestos liabilities (current + long-term)</t>
        </is>
      </c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>
        <v>0</v>
      </c>
      <c r="L336" s="34" t="n"/>
      <c r="M336" s="34" t="n"/>
      <c r="N336" s="34" t="n"/>
      <c r="O336" s="34" t="n">
        <v>0</v>
      </c>
      <c r="P336" s="34" t="n">
        <v>0</v>
      </c>
      <c r="Q336" s="34" t="n">
        <v>288.6</v>
      </c>
      <c r="R336" s="34" t="n">
        <v>277.574</v>
      </c>
      <c r="S336" s="34" t="n">
        <v>271.598</v>
      </c>
      <c r="T336" s="34" t="n">
        <v>260.689</v>
      </c>
      <c r="U336" s="34" t="n">
        <v>260.689</v>
      </c>
      <c r="V336" s="34" t="n">
        <v>244.782</v>
      </c>
      <c r="W336" s="34" t="n">
        <v>234.136</v>
      </c>
      <c r="X336" s="34" t="n">
        <v>225.591</v>
      </c>
      <c r="Y336" s="34" t="n">
        <v>267.704</v>
      </c>
      <c r="Z336" s="34" t="n">
        <v>267.704</v>
      </c>
      <c r="AA336" s="34" t="n">
        <v>257.94</v>
      </c>
      <c r="AB336" s="34" t="n">
        <v>247.224</v>
      </c>
      <c r="AC336" s="34" t="n">
        <v>231.529</v>
      </c>
      <c r="AD336" s="34" t="n">
        <v>294.066</v>
      </c>
      <c r="AE336" s="34" t="n">
        <v>294.066</v>
      </c>
      <c r="AF336" s="34" t="n">
        <v>282.682</v>
      </c>
      <c r="AG336" s="34" t="n">
        <v>273.041</v>
      </c>
      <c r="AH336" s="34" t="n">
        <v>322.808</v>
      </c>
      <c r="AI336" s="34" t="n">
        <v>312.071</v>
      </c>
      <c r="AJ336" s="34" t="n">
        <v>312.071</v>
      </c>
      <c r="AK336" s="34" t="n">
        <v>307.113</v>
      </c>
      <c r="AL336" s="34" t="n">
        <v>298.926</v>
      </c>
      <c r="AM336" s="257" t="n"/>
      <c r="AN336" s="257" t="n"/>
      <c r="AO336" s="257" t="n"/>
      <c r="AP336" s="257" t="n"/>
      <c r="AQ336" s="257" t="n"/>
      <c r="AR336" s="257" t="n"/>
      <c r="AS336" s="257" t="n"/>
      <c r="AT336" s="19" t="n"/>
    </row>
    <row r="337">
      <c r="B337" s="25" t="inlineStr">
        <is>
          <t xml:space="preserve">  Memo: common shares outstanding at period end (m)</t>
        </is>
      </c>
      <c r="C337" s="45" t="n"/>
      <c r="D337" s="45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>
        <v>0.0001</v>
      </c>
      <c r="P337" s="45" t="n">
        <v>0.0001</v>
      </c>
      <c r="Q337" s="45" t="n">
        <v>60.034311</v>
      </c>
      <c r="R337" s="45" t="n">
        <v>60.043543</v>
      </c>
      <c r="S337" s="45" t="n">
        <v>60.076559</v>
      </c>
      <c r="T337" s="45" t="n">
        <v>60.094725</v>
      </c>
      <c r="U337" s="45" t="n">
        <v>60.094725</v>
      </c>
      <c r="V337" s="45" t="n">
        <v>60.222263</v>
      </c>
      <c r="W337" s="45" t="n">
        <v>60.259369</v>
      </c>
      <c r="X337" s="45" t="n">
        <v>60.271072</v>
      </c>
      <c r="Y337" s="45" t="n">
        <v>60.295634</v>
      </c>
      <c r="Z337" s="45" t="n">
        <v>60.295634</v>
      </c>
      <c r="AA337" s="45" t="n">
        <v>60.424421</v>
      </c>
      <c r="AB337" s="45" t="n">
        <v>60.438838</v>
      </c>
      <c r="AC337" s="45" t="n">
        <v>60.444246</v>
      </c>
      <c r="AD337" s="45" t="n">
        <v>60.517574</v>
      </c>
      <c r="AE337" s="45" t="n">
        <v>60.517574</v>
      </c>
      <c r="AF337" s="45" t="n">
        <v>60.622736</v>
      </c>
      <c r="AG337" s="45" t="n">
        <v>60.696786</v>
      </c>
      <c r="AH337" s="45" t="n">
        <v>60.70974</v>
      </c>
      <c r="AI337" s="45" t="n">
        <v>60.721079</v>
      </c>
      <c r="AJ337" s="45" t="n">
        <v>60.721079</v>
      </c>
      <c r="AK337" s="45" t="n">
        <v>60.881557</v>
      </c>
      <c r="AL337" s="45" t="n">
        <v>62.167669</v>
      </c>
      <c r="AM337" s="266" t="n"/>
      <c r="AN337" s="266" t="n"/>
      <c r="AO337" s="266">
        <f>AO298</f>
        <v>62.267669</v>
      </c>
      <c r="AP337" s="266">
        <f>AP298</f>
        <v>62.567669</v>
      </c>
      <c r="AQ337" s="266">
        <f>AQ298</f>
        <v>61.5611991353076</v>
      </c>
      <c r="AR337" s="266">
        <f>AR298</f>
        <v>59.2056868728742</v>
      </c>
      <c r="AS337" s="266">
        <f>AS298</f>
        <v>55.3194301705856</v>
      </c>
      <c r="AT337" s="19" t="n"/>
    </row>
    <row r="338">
      <c r="AT338" s="19" t="n"/>
    </row>
    <row r="339">
      <c r="B339" s="10" t="inlineStr">
        <is>
          <t>WORKING CAPITAL &amp; CASH CONVERSION</t>
        </is>
      </c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inlineStr">
        <is>
          <t>WORKING CAPITAL — forecast drivers (blue = input)</t>
        </is>
      </c>
    </row>
    <row r="340">
      <c r="B340" s="25" t="inlineStr">
        <is>
          <t xml:space="preserve">  Net sales — pro forma full-year basis (2026E incl. Eddyfi pre-closing)</t>
        </is>
      </c>
      <c r="C340" s="44">
        <f>C136</f>
        <v>0</v>
      </c>
      <c r="D340" s="44">
        <f>D136</f>
        <v>0</v>
      </c>
      <c r="E340" s="44">
        <f>E136</f>
        <v>0</v>
      </c>
      <c r="F340" s="44">
        <f>F136</f>
        <v>0</v>
      </c>
      <c r="G340" s="44">
        <f>G136</f>
        <v>0</v>
      </c>
      <c r="H340" s="44">
        <f>H136</f>
        <v>0</v>
      </c>
      <c r="I340" s="44">
        <f>I136</f>
        <v>0</v>
      </c>
      <c r="J340" s="44">
        <f>J136</f>
        <v>2247.026</v>
      </c>
      <c r="K340" s="44">
        <f>K136</f>
        <v>1950.069</v>
      </c>
      <c r="L340" s="44">
        <f>L136</f>
        <v>568.128</v>
      </c>
      <c r="M340" s="44">
        <f>M136</f>
        <v>629.804</v>
      </c>
      <c r="N340" s="44">
        <f>N136</f>
        <v>605.968</v>
      </c>
      <c r="O340" s="44">
        <f>O136</f>
        <v>624.215</v>
      </c>
      <c r="P340" s="44">
        <f>P136</f>
        <v>2428.115</v>
      </c>
      <c r="Q340" s="44">
        <f>Q136</f>
        <v>647.911</v>
      </c>
      <c r="R340" s="44">
        <f>R136</f>
        <v>661.177</v>
      </c>
      <c r="S340" s="44">
        <f>S136</f>
        <v>620.265</v>
      </c>
      <c r="T340" s="44">
        <f>T136</f>
        <v>664.127</v>
      </c>
      <c r="U340" s="44">
        <f>U136</f>
        <v>2593.48</v>
      </c>
      <c r="V340" s="44">
        <f>V136</f>
        <v>684</v>
      </c>
      <c r="W340" s="44">
        <f>W136</f>
        <v>720.422</v>
      </c>
      <c r="X340" s="44">
        <f>X136</f>
        <v>680.996</v>
      </c>
      <c r="Y340" s="44">
        <f>Y136</f>
        <v>689.348</v>
      </c>
      <c r="Z340" s="44">
        <f>Z136</f>
        <v>2774.766</v>
      </c>
      <c r="AA340" s="44">
        <f>AA136</f>
        <v>689.744</v>
      </c>
      <c r="AB340" s="44">
        <f>AB136</f>
        <v>707.053</v>
      </c>
      <c r="AC340" s="44">
        <f>AC136</f>
        <v>673.25</v>
      </c>
      <c r="AD340" s="44">
        <f>AD136</f>
        <v>670.756</v>
      </c>
      <c r="AE340" s="44">
        <f>AE136</f>
        <v>2740.803</v>
      </c>
      <c r="AF340" s="44">
        <f>AF136</f>
        <v>678.138</v>
      </c>
      <c r="AG340" s="44">
        <f>AG136</f>
        <v>715.586</v>
      </c>
      <c r="AH340" s="44">
        <f>AH136</f>
        <v>727.845</v>
      </c>
      <c r="AI340" s="44">
        <f>AI136</f>
        <v>720.986</v>
      </c>
      <c r="AJ340" s="44">
        <f>AJ136</f>
        <v>2842.555</v>
      </c>
      <c r="AK340" s="44">
        <f>AK136</f>
        <v>745.597</v>
      </c>
      <c r="AL340" s="44">
        <f>AL136</f>
        <v>807.627</v>
      </c>
      <c r="AM340" s="257" t="n"/>
      <c r="AN340" s="257" t="n"/>
      <c r="AO340" s="257">
        <f>AO136+AO74*151/365</f>
        <v>3294.51213013699</v>
      </c>
      <c r="AP340" s="257">
        <f>AP136</f>
        <v>3421.81491299061</v>
      </c>
      <c r="AQ340" s="257">
        <f>AQ136</f>
        <v>3588.89013690974</v>
      </c>
      <c r="AR340" s="257">
        <f>AR136</f>
        <v>3808.09544481233</v>
      </c>
      <c r="AS340" s="257">
        <f>AS136</f>
        <v>4049.26622608483</v>
      </c>
      <c r="AT340" s="19" t="inlineStr">
        <is>
          <t>2026E adds Eddyfi sales for the pre-closing days so year-end working capital is sized on a full-year run-rate.</t>
        </is>
      </c>
    </row>
    <row r="341">
      <c r="B341" s="25" t="inlineStr">
        <is>
          <t xml:space="preserve">  Cost of sales — pro forma basis</t>
        </is>
      </c>
      <c r="C341" s="44">
        <f>C138</f>
        <v>0</v>
      </c>
      <c r="D341" s="44">
        <f>D138</f>
        <v>0</v>
      </c>
      <c r="E341" s="44">
        <f>E138</f>
        <v>0</v>
      </c>
      <c r="F341" s="44">
        <f>F138</f>
        <v>0</v>
      </c>
      <c r="G341" s="44">
        <f>G138</f>
        <v>0</v>
      </c>
      <c r="H341" s="44">
        <f>H138</f>
        <v>0</v>
      </c>
      <c r="I341" s="44">
        <f>I138</f>
        <v>0</v>
      </c>
      <c r="J341" s="44">
        <f>J138</f>
        <v>1450.582</v>
      </c>
      <c r="K341" s="44">
        <f>K138</f>
        <v>1267.604</v>
      </c>
      <c r="L341" s="44">
        <f>L138</f>
        <v>368.333</v>
      </c>
      <c r="M341" s="44">
        <f>M138</f>
        <v>411.413</v>
      </c>
      <c r="N341" s="44">
        <f>N138</f>
        <v>398.973</v>
      </c>
      <c r="O341" s="44">
        <f>O138</f>
        <v>411.414</v>
      </c>
      <c r="P341" s="44">
        <f>P138</f>
        <v>1590.132</v>
      </c>
      <c r="Q341" s="44">
        <f>Q138</f>
        <v>423.58</v>
      </c>
      <c r="R341" s="44">
        <f>R138</f>
        <v>433.705</v>
      </c>
      <c r="S341" s="44">
        <f>S138</f>
        <v>410.927</v>
      </c>
      <c r="T341" s="44">
        <f>T138</f>
        <v>439.738</v>
      </c>
      <c r="U341" s="44">
        <f>U138</f>
        <v>1707.95</v>
      </c>
      <c r="V341" s="44">
        <f>V138</f>
        <v>436.611</v>
      </c>
      <c r="W341" s="44">
        <f>W138</f>
        <v>456.499</v>
      </c>
      <c r="X341" s="44">
        <f>X138</f>
        <v>431.282</v>
      </c>
      <c r="Y341" s="44">
        <f>Y138</f>
        <v>434.623</v>
      </c>
      <c r="Z341" s="44">
        <f>Z138</f>
        <v>1759.015</v>
      </c>
      <c r="AA341" s="44">
        <f>AA138</f>
        <v>434.717</v>
      </c>
      <c r="AB341" s="44">
        <f>AB138</f>
        <v>436.738</v>
      </c>
      <c r="AC341" s="44">
        <f>AC138</f>
        <v>419.46</v>
      </c>
      <c r="AD341" s="44">
        <f>AD138</f>
        <v>412.433</v>
      </c>
      <c r="AE341" s="44">
        <f>AE138</f>
        <v>1703.348</v>
      </c>
      <c r="AF341" s="44">
        <f>AF138</f>
        <v>422.936</v>
      </c>
      <c r="AG341" s="44">
        <f>AG138</f>
        <v>449.539</v>
      </c>
      <c r="AH341" s="44">
        <f>AH138</f>
        <v>458.545</v>
      </c>
      <c r="AI341" s="44">
        <f>AI138</f>
        <v>463.193</v>
      </c>
      <c r="AJ341" s="44">
        <f>AJ138</f>
        <v>1794.213</v>
      </c>
      <c r="AK341" s="44">
        <f>AK138</f>
        <v>470.485</v>
      </c>
      <c r="AL341" s="44">
        <f>AL138</f>
        <v>500.416</v>
      </c>
      <c r="AM341" s="257" t="n"/>
      <c r="AN341" s="257" t="n"/>
      <c r="AO341" s="257">
        <f>AO138*AO340/AO136</f>
        <v>2034.66149474465</v>
      </c>
      <c r="AP341" s="257">
        <f>AP138*AP340/AP136</f>
        <v>2129.91921267083</v>
      </c>
      <c r="AQ341" s="257">
        <f>AQ138*AQ340/AQ136</f>
        <v>2187.78678683905</v>
      </c>
      <c r="AR341" s="257">
        <f>AR138*AR340/AR136</f>
        <v>2298.61374504712</v>
      </c>
      <c r="AS341" s="257">
        <f>AS138*AS340/AS136</f>
        <v>2429.94691429079</v>
      </c>
      <c r="AT341" s="19" t="n"/>
    </row>
    <row r="342">
      <c r="B342" s="25" t="inlineStr">
        <is>
          <t xml:space="preserve">  DSO — receivables / net sales × 365</t>
        </is>
      </c>
      <c r="C342" s="281" t="n"/>
      <c r="D342" s="281" t="n"/>
      <c r="E342" s="281" t="n"/>
      <c r="F342" s="281" t="n"/>
      <c r="G342" s="281" t="n"/>
      <c r="H342" s="281" t="n"/>
      <c r="I342" s="281" t="n"/>
      <c r="J342" s="281" t="n"/>
      <c r="K342" s="67">
        <f>IFERROR(K304/K340*365,"n/a")</f>
        <v>61.6850634516009</v>
      </c>
      <c r="L342" s="281" t="n"/>
      <c r="M342" s="281" t="n"/>
      <c r="N342" s="281" t="n"/>
      <c r="O342" s="67">
        <f>IFERROR(O304/O340*91.25,"n/a")</f>
        <v>56.060828400471</v>
      </c>
      <c r="P342" s="67">
        <f>IFERROR(P304/P340*365,"n/a")</f>
        <v>57.6480273792633</v>
      </c>
      <c r="Q342" s="67">
        <f>IFERROR(Q304/Q340*91.25,"n/a")</f>
        <v>57.7715785810088</v>
      </c>
      <c r="R342" s="67">
        <f>IFERROR(R304/R340*91.25,"n/a")</f>
        <v>53.0303496643108</v>
      </c>
      <c r="S342" s="67">
        <f>IFERROR(S304/S340*91.25,"n/a")</f>
        <v>52.9547612713921</v>
      </c>
      <c r="T342" s="67">
        <f>IFERROR(T304/T340*91.25,"n/a")</f>
        <v>51.4322128900045</v>
      </c>
      <c r="U342" s="67">
        <f>IFERROR(U304/U340*365,"n/a")</f>
        <v>52.6821432978084</v>
      </c>
      <c r="V342" s="67">
        <f>IFERROR(V304/V340*91.25,"n/a")</f>
        <v>53.9132748538012</v>
      </c>
      <c r="W342" s="67">
        <f>IFERROR(W304/W340*91.25,"n/a")</f>
        <v>52.2693018813973</v>
      </c>
      <c r="X342" s="67">
        <f>IFERROR(X304/X340*91.25,"n/a")</f>
        <v>52.0547459162756</v>
      </c>
      <c r="Y342" s="67">
        <f>IFERROR(Y304/Y340*91.25,"n/a")</f>
        <v>50.9892209740218</v>
      </c>
      <c r="Z342" s="67">
        <f>IFERROR(Z304/Z340*365,"n/a")</f>
        <v>50.6699555926518</v>
      </c>
      <c r="AA342" s="67">
        <f>IFERROR(AA304/AA340*91.25,"n/a")</f>
        <v>56.9067599718156</v>
      </c>
      <c r="AB342" s="67">
        <f>IFERROR(AB304/AB340*91.25,"n/a")</f>
        <v>55.6501970149338</v>
      </c>
      <c r="AC342" s="67">
        <f>IFERROR(AC304/AC340*91.25,"n/a")</f>
        <v>57.0524953583364</v>
      </c>
      <c r="AD342" s="67">
        <f>IFERROR(AD304/AD340*91.25,"n/a")</f>
        <v>50.3786641491094</v>
      </c>
      <c r="AE342" s="67">
        <f>IFERROR(AE304/AE340*365,"n/a")</f>
        <v>49.3166291046821</v>
      </c>
      <c r="AF342" s="67">
        <f>IFERROR(AF304/AF340*91.25,"n/a")</f>
        <v>55.8147972831489</v>
      </c>
      <c r="AG342" s="67">
        <f>IFERROR(AG304/AG340*91.25,"n/a")</f>
        <v>58.1624291140408</v>
      </c>
      <c r="AH342" s="67">
        <f>IFERROR(AH304/AH340*91.25,"n/a")</f>
        <v>57.7290443020149</v>
      </c>
      <c r="AI342" s="67">
        <f>IFERROR(AI304/AI340*91.25,"n/a")</f>
        <v>57.1175341823558</v>
      </c>
      <c r="AJ342" s="67">
        <f>IFERROR(AJ304/AJ340*365,"n/a")</f>
        <v>57.9491935951987</v>
      </c>
      <c r="AK342" s="67">
        <f>IFERROR(AK304/AK340*91.25,"n/a")</f>
        <v>59.7802499205335</v>
      </c>
      <c r="AL342" s="67">
        <f>IFERROR(AL304/AL340*91.25,"n/a")</f>
        <v>62.6104795282971</v>
      </c>
      <c r="AM342" s="282" t="n"/>
      <c r="AN342" s="282" t="n"/>
      <c r="AO342" s="283" t="n">
        <v>58</v>
      </c>
      <c r="AP342" s="283" t="n">
        <v>58</v>
      </c>
      <c r="AQ342" s="283" t="n">
        <v>58</v>
      </c>
      <c r="AR342" s="283" t="n">
        <v>58</v>
      </c>
      <c r="AS342" s="283" t="n">
        <v>58</v>
      </c>
      <c r="AT342" s="19" t="inlineStr">
        <is>
          <t>Forecast inputs (DSO 58d, inventory 98d, payables 73d, accrued 10.5%): FY25 levels adjusted for Eddyfi (higher-margin, longer-cycle inspection business).</t>
        </is>
      </c>
      <c r="AV342" s="284">
        <f>IFERROR(AVERAGE(AO342,AP342,AQ342,AR342,AS342),"n/m")</f>
        <v>58</v>
      </c>
      <c r="AW342" s="284">
        <f>IFERROR(AVERAGE(K342,P342,U342,Z342,AE342,AJ342),"n/m")</f>
        <v>54.9918354035342</v>
      </c>
      <c r="AX342" s="284">
        <f>IFERROR(AVERAGE(F342,G342,H342,I342,J342,K342,P342,U342,Z342,AE342,AJ342),"n/m")</f>
        <v>54.9918354035342</v>
      </c>
      <c r="AY342" s="284">
        <f>IFERROR(AVERAGE(C342,D342,E342,F342,G342,H342,I342,J342,K342,P342,U342,Z342,AE342,AJ342),"n/m")</f>
        <v>54.9918354035342</v>
      </c>
    </row>
    <row r="343">
      <c r="B343" s="25" t="inlineStr">
        <is>
          <t xml:space="preserve">  Inventory days — inventories / cost of sales × 365</t>
        </is>
      </c>
      <c r="C343" s="281" t="n"/>
      <c r="D343" s="281" t="n"/>
      <c r="E343" s="281" t="n"/>
      <c r="F343" s="281" t="n"/>
      <c r="G343" s="281" t="n"/>
      <c r="H343" s="281" t="n"/>
      <c r="I343" s="281" t="n"/>
      <c r="J343" s="281" t="n"/>
      <c r="K343" s="67">
        <f>IFERROR(K305/K341*365,"n/a")</f>
        <v>90.2378739732598</v>
      </c>
      <c r="L343" s="281" t="n"/>
      <c r="M343" s="281" t="n"/>
      <c r="N343" s="281" t="n"/>
      <c r="O343" s="67">
        <f>IFERROR(O305/O341*91.25,"n/a")</f>
        <v>93.168092237989</v>
      </c>
      <c r="P343" s="67">
        <f>IFERROR(P305/P341*365,"n/a")</f>
        <v>96.4213222550078</v>
      </c>
      <c r="Q343" s="67">
        <f>IFERROR(Q305/Q341*91.25,"n/a")</f>
        <v>99.6419064875584</v>
      </c>
      <c r="R343" s="67">
        <f>IFERROR(R305/R341*91.25,"n/a")</f>
        <v>99.685635973761</v>
      </c>
      <c r="S343" s="67">
        <f>IFERROR(S305/S341*91.25,"n/a")</f>
        <v>99.1561852835175</v>
      </c>
      <c r="T343" s="67">
        <f>IFERROR(T305/T341*91.25,"n/a")</f>
        <v>86.4961550968986</v>
      </c>
      <c r="U343" s="67">
        <f>IFERROR(U305/U341*365,"n/a")</f>
        <v>89.0790626189291</v>
      </c>
      <c r="V343" s="67">
        <f>IFERROR(V305/V341*91.25,"n/a")</f>
        <v>93.7017333507401</v>
      </c>
      <c r="W343" s="67">
        <f>IFERROR(W305/W341*91.25,"n/a")</f>
        <v>89.4154012385569</v>
      </c>
      <c r="X343" s="67">
        <f>IFERROR(X305/X341*91.25,"n/a")</f>
        <v>90.0670645888305</v>
      </c>
      <c r="Y343" s="67">
        <f>IFERROR(Y305/Y341*91.25,"n/a")</f>
        <v>82.4813516541923</v>
      </c>
      <c r="Z343" s="67">
        <f>IFERROR(Z305/Z341*365,"n/a")</f>
        <v>81.5190149032271</v>
      </c>
      <c r="AA343" s="67">
        <f>IFERROR(AA305/AA341*91.25,"n/a")</f>
        <v>85.1383572531095</v>
      </c>
      <c r="AB343" s="67">
        <f>IFERROR(AB305/AB341*91.25,"n/a")</f>
        <v>89.1150987548599</v>
      </c>
      <c r="AC343" s="67">
        <f>IFERROR(AC305/AC341*91.25,"n/a")</f>
        <v>91.9448278739332</v>
      </c>
      <c r="AD343" s="67">
        <f>IFERROR(AD305/AD341*91.25,"n/a")</f>
        <v>89.3202744445765</v>
      </c>
      <c r="AE343" s="67">
        <f>IFERROR(AE305/AE341*365,"n/a")</f>
        <v>86.5087551105235</v>
      </c>
      <c r="AF343" s="67">
        <f>IFERROR(AF305/AF341*91.25,"n/a")</f>
        <v>97.2412640446782</v>
      </c>
      <c r="AG343" s="67">
        <f>IFERROR(AG305/AG341*91.25,"n/a")</f>
        <v>96.2345174723439</v>
      </c>
      <c r="AH343" s="67">
        <f>IFERROR(AH305/AH341*91.25,"n/a")</f>
        <v>100.240178172262</v>
      </c>
      <c r="AI343" s="67">
        <f>IFERROR(AI305/AI341*91.25,"n/a")</f>
        <v>94.9087232535898</v>
      </c>
      <c r="AJ343" s="67">
        <f>IFERROR(AJ305/AJ341*365,"n/a")</f>
        <v>98.00632645065</v>
      </c>
      <c r="AK343" s="67">
        <f>IFERROR(AK305/AK341*91.25,"n/a")</f>
        <v>100.969162141195</v>
      </c>
      <c r="AL343" s="67">
        <f>IFERROR(AL305/AL341*91.25,"n/a")</f>
        <v>106.043004720073</v>
      </c>
      <c r="AM343" s="282" t="n"/>
      <c r="AN343" s="282" t="n"/>
      <c r="AO343" s="283" t="n">
        <v>98</v>
      </c>
      <c r="AP343" s="283" t="n">
        <v>98</v>
      </c>
      <c r="AQ343" s="283" t="n">
        <v>98</v>
      </c>
      <c r="AR343" s="283" t="n">
        <v>98</v>
      </c>
      <c r="AS343" s="283" t="n">
        <v>98</v>
      </c>
      <c r="AT343" s="19" t="n"/>
      <c r="AV343" s="284">
        <f>IFERROR(AVERAGE(AO343,AP343,AQ343,AR343,AS343),"n/m")</f>
        <v>98</v>
      </c>
      <c r="AW343" s="284">
        <f>IFERROR(AVERAGE(K343,P343,U343,Z343,AE343,AJ343),"n/m")</f>
        <v>90.2953925519329</v>
      </c>
      <c r="AX343" s="284">
        <f>IFERROR(AVERAGE(F343,G343,H343,I343,J343,K343,P343,U343,Z343,AE343,AJ343),"n/m")</f>
        <v>90.2953925519329</v>
      </c>
      <c r="AY343" s="284">
        <f>IFERROR(AVERAGE(C343,D343,E343,F343,G343,H343,I343,J343,K343,P343,U343,Z343,AE343,AJ343),"n/m")</f>
        <v>90.2953925519329</v>
      </c>
    </row>
    <row r="344">
      <c r="B344" s="25" t="inlineStr">
        <is>
          <t xml:space="preserve">  Payable days — payables / cost of sales × 365</t>
        </is>
      </c>
      <c r="C344" s="281" t="n"/>
      <c r="D344" s="281" t="n"/>
      <c r="E344" s="281" t="n"/>
      <c r="F344" s="281" t="n"/>
      <c r="G344" s="281" t="n"/>
      <c r="H344" s="281" t="n"/>
      <c r="I344" s="281" t="n"/>
      <c r="J344" s="281" t="n"/>
      <c r="K344" s="67">
        <f>IFERROR(K315/K341*365,"n/a")</f>
        <v>69.4721577085588</v>
      </c>
      <c r="L344" s="281" t="n"/>
      <c r="M344" s="281" t="n"/>
      <c r="N344" s="281" t="n"/>
      <c r="O344" s="67">
        <f>IFERROR(O315/O341*91.25,"n/a")</f>
        <v>76.626099257682</v>
      </c>
      <c r="P344" s="67">
        <f>IFERROR(P315/P341*365,"n/a")</f>
        <v>79.3017183479108</v>
      </c>
      <c r="Q344" s="67">
        <f>IFERROR(Q315/Q341*91.25,"n/a")</f>
        <v>79.4918521884886</v>
      </c>
      <c r="R344" s="67">
        <f>IFERROR(R315/R341*91.25,"n/a")</f>
        <v>75.7418867663504</v>
      </c>
      <c r="S344" s="67">
        <f>IFERROR(S315/S341*91.25,"n/a")</f>
        <v>71.0985984128568</v>
      </c>
      <c r="T344" s="67">
        <f>IFERROR(T315/T341*91.25,"n/a")</f>
        <v>65.6281268619041</v>
      </c>
      <c r="U344" s="67">
        <f>IFERROR(U315/U341*365,"n/a")</f>
        <v>67.5878831347522</v>
      </c>
      <c r="V344" s="67">
        <f>IFERROR(V315/V341*91.25,"n/a")</f>
        <v>74.2632142799884</v>
      </c>
      <c r="W344" s="67">
        <f>IFERROR(W315/W341*91.25,"n/a")</f>
        <v>66.5968545385642</v>
      </c>
      <c r="X344" s="67">
        <f>IFERROR(X315/X341*91.25,"n/a")</f>
        <v>64.0300024114153</v>
      </c>
      <c r="Y344" s="67">
        <f>IFERROR(Y315/Y341*91.25,"n/a")</f>
        <v>64.369836041811</v>
      </c>
      <c r="Z344" s="67">
        <f>IFERROR(Z315/Z341*365,"n/a")</f>
        <v>63.6188122329827</v>
      </c>
      <c r="AA344" s="67">
        <f>IFERROR(AA315/AA341*91.25,"n/a")</f>
        <v>71.0322088853208</v>
      </c>
      <c r="AB344" s="67">
        <f>IFERROR(AB315/AB341*91.25,"n/a")</f>
        <v>73.1534838965238</v>
      </c>
      <c r="AC344" s="67">
        <f>IFERROR(AC315/AC341*91.25,"n/a")</f>
        <v>69.6681328374577</v>
      </c>
      <c r="AD344" s="67">
        <f>IFERROR(AD315/AD341*91.25,"n/a")</f>
        <v>70.4659575009759</v>
      </c>
      <c r="AE344" s="67">
        <f>IFERROR(AE315/AE341*365,"n/a")</f>
        <v>68.247912346743</v>
      </c>
      <c r="AF344" s="67">
        <f>IFERROR(AF315/AF341*91.25,"n/a")</f>
        <v>75.4525152741786</v>
      </c>
      <c r="AG344" s="67">
        <f>IFERROR(AG315/AG341*91.25,"n/a")</f>
        <v>75.0072852411026</v>
      </c>
      <c r="AH344" s="67">
        <f>IFERROR(AH315/AH341*91.25,"n/a")</f>
        <v>68.1002464316479</v>
      </c>
      <c r="AI344" s="67">
        <f>IFERROR(AI315/AI341*91.25,"n/a")</f>
        <v>70.9977887187414</v>
      </c>
      <c r="AJ344" s="67">
        <f>IFERROR(AJ315/AJ341*365,"n/a")</f>
        <v>73.3149938162303</v>
      </c>
      <c r="AK344" s="67">
        <f>IFERROR(AK315/AK341*91.25,"n/a")</f>
        <v>77.2887897595035</v>
      </c>
      <c r="AL344" s="67">
        <f>IFERROR(AL315/AL341*91.25,"n/a")</f>
        <v>74.2937975604297</v>
      </c>
      <c r="AM344" s="282" t="n"/>
      <c r="AN344" s="282" t="n"/>
      <c r="AO344" s="283" t="n">
        <v>73</v>
      </c>
      <c r="AP344" s="283" t="n">
        <v>73</v>
      </c>
      <c r="AQ344" s="283" t="n">
        <v>73</v>
      </c>
      <c r="AR344" s="283" t="n">
        <v>73</v>
      </c>
      <c r="AS344" s="283" t="n">
        <v>73</v>
      </c>
      <c r="AT344" s="19" t="n"/>
      <c r="AV344" s="284">
        <f>IFERROR(AVERAGE(AO344,AP344,AQ344,AR344,AS344),"n/m")</f>
        <v>73</v>
      </c>
      <c r="AW344" s="284">
        <f>IFERROR(AVERAGE(K344,P344,U344,Z344,AE344,AJ344),"n/m")</f>
        <v>70.2572462645296</v>
      </c>
      <c r="AX344" s="284">
        <f>IFERROR(AVERAGE(F344,G344,H344,I344,J344,K344,P344,U344,Z344,AE344,AJ344),"n/m")</f>
        <v>70.2572462645296</v>
      </c>
      <c r="AY344" s="284">
        <f>IFERROR(AVERAGE(C344,D344,E344,F344,G344,H344,I344,J344,K344,P344,U344,Z344,AE344,AJ344),"n/m")</f>
        <v>70.2572462645296</v>
      </c>
    </row>
    <row r="345">
      <c r="B345" s="25" t="inlineStr">
        <is>
          <t xml:space="preserve">  Accrued liabilities % of net sales (annualised)</t>
        </is>
      </c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>
        <f>IFERROR(K316/(K340*1),"n/a")</f>
        <v>0.112597041438021</v>
      </c>
      <c r="L345" s="36" t="n"/>
      <c r="M345" s="36" t="n"/>
      <c r="N345" s="36" t="n"/>
      <c r="O345" s="36">
        <f>IFERROR(O316/(O340*4),"n/a")</f>
        <v>0.100569915814263</v>
      </c>
      <c r="P345" s="36">
        <f>IFERROR(P316/(P340*1),"n/a")</f>
        <v>0.103417259890903</v>
      </c>
      <c r="Q345" s="36">
        <f>IFERROR(Q316/(Q340*4),"n/a")</f>
        <v>0.109355683110798</v>
      </c>
      <c r="R345" s="36">
        <f>IFERROR(R316/(R340*4),"n/a")</f>
        <v>0.106660546268246</v>
      </c>
      <c r="S345" s="36">
        <f>IFERROR(S316/(S340*4),"n/a")</f>
        <v>0.117047955309424</v>
      </c>
      <c r="T345" s="36">
        <f>IFERROR(T316/(T340*4),"n/a")</f>
        <v>0.107400391792534</v>
      </c>
      <c r="U345" s="36">
        <f>IFERROR(U316/(U340*1),"n/a")</f>
        <v>0.110010487838734</v>
      </c>
      <c r="V345" s="36">
        <f>IFERROR(V316/(V340*4),"n/a")</f>
        <v>0.100544225146199</v>
      </c>
      <c r="W345" s="36">
        <f>IFERROR(W316/(W340*4),"n/a")</f>
        <v>0.09897185260861</v>
      </c>
      <c r="X345" s="36">
        <f>IFERROR(X316/(X340*4),"n/a")</f>
        <v>0.112969459438822</v>
      </c>
      <c r="Y345" s="36">
        <f>IFERROR(Y316/(Y340*4),"n/a")</f>
        <v>0.113690400204251</v>
      </c>
      <c r="Z345" s="36">
        <f>IFERROR(Z316/(Z340*1),"n/a")</f>
        <v>0.112978535847708</v>
      </c>
      <c r="AA345" s="36">
        <f>IFERROR(AA316/(AA340*4),"n/a")</f>
        <v>0.106163663620126</v>
      </c>
      <c r="AB345" s="36">
        <f>IFERROR(AB316/(AB340*4),"n/a")</f>
        <v>0.106417411424603</v>
      </c>
      <c r="AC345" s="36">
        <f>IFERROR(AC316/(AC340*4),"n/a")</f>
        <v>0.117645376903082</v>
      </c>
      <c r="AD345" s="36">
        <f>IFERROR(AD316/(AD340*4),"n/a")</f>
        <v>0.111276678851922</v>
      </c>
      <c r="AE345" s="36">
        <f>IFERROR(AE316/(AE340*1),"n/a")</f>
        <v>0.108930849827587</v>
      </c>
      <c r="AF345" s="36">
        <f>IFERROR(AF316/(AF340*4),"n/a")</f>
        <v>0.112265128926561</v>
      </c>
      <c r="AG345" s="36">
        <f>IFERROR(AG316/(AG340*4),"n/a")</f>
        <v>0.10313365549354</v>
      </c>
      <c r="AH345" s="36">
        <f>IFERROR(AH316/(AH340*4),"n/a")</f>
        <v>0.111522714314174</v>
      </c>
      <c r="AI345" s="36">
        <f>IFERROR(AI316/(AI340*4),"n/a")</f>
        <v>0.104712851567159</v>
      </c>
      <c r="AJ345" s="36">
        <f>IFERROR(AJ316/(AJ340*1),"n/a")</f>
        <v>0.106237522229121</v>
      </c>
      <c r="AK345" s="36">
        <f>IFERROR(AK316/(AK340*4),"n/a")</f>
        <v>0.109880739863492</v>
      </c>
      <c r="AL345" s="36">
        <f>IFERROR(AL316/(AL340*4),"n/a")</f>
        <v>0.113183127854814</v>
      </c>
      <c r="AM345" s="254" t="n"/>
      <c r="AN345" s="254" t="n"/>
      <c r="AO345" s="255" t="n">
        <v>0.105</v>
      </c>
      <c r="AP345" s="255" t="n">
        <v>0.105</v>
      </c>
      <c r="AQ345" s="255" t="n">
        <v>0.105</v>
      </c>
      <c r="AR345" s="255" t="n">
        <v>0.105</v>
      </c>
      <c r="AS345" s="255" t="n">
        <v>0.105</v>
      </c>
      <c r="AT345" s="19" t="n"/>
    </row>
    <row r="346">
      <c r="B346" s="16" t="inlineStr">
        <is>
          <t xml:space="preserve">  Operating NWC (receivables + inventories − payables − accrued liabilities)</t>
        </is>
      </c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>
        <f>IF(ISNUMBER(K304),K304+K305-K315-K316,"n/a")</f>
        <v>182.107</v>
      </c>
      <c r="L346" s="43" t="n"/>
      <c r="M346" s="43" t="n"/>
      <c r="N346" s="43" t="n"/>
      <c r="O346" s="43">
        <f>IF(ISNUMBER(O304),O304+O305-O315-O316,"n/a")</f>
        <v>206.969</v>
      </c>
      <c r="P346" s="43">
        <f>IF(ISNUMBER(P304),P304+P305-P315-P316,"n/a")</f>
        <v>206.969</v>
      </c>
      <c r="Q346" s="43">
        <f>IF(ISNUMBER(Q304),Q304+Q305-Q315-Q316,"n/a")</f>
        <v>220.326</v>
      </c>
      <c r="R346" s="43">
        <f>IF(ISNUMBER(R304),R304+R305-R315-R316,"n/a")</f>
        <v>215.963</v>
      </c>
      <c r="S346" s="43">
        <f>IF(ISNUMBER(S304),S304+S305-S315-S316,"n/a")</f>
        <v>195.905</v>
      </c>
      <c r="T346" s="43">
        <f>IF(ISNUMBER(T304),T304+T305-T315-T316,"n/a")</f>
        <v>189.583</v>
      </c>
      <c r="U346" s="43">
        <f>IF(ISNUMBER(U304),U304+U305-U315-U316,"n/a")</f>
        <v>189.583</v>
      </c>
      <c r="V346" s="43">
        <f>IF(ISNUMBER(V304),V304+V305-V315-V316,"n/a")</f>
        <v>222.048</v>
      </c>
      <c r="W346" s="43">
        <f>IF(ISNUMBER(W304),W304+W305-W315-W316,"n/a")</f>
        <v>241.617</v>
      </c>
      <c r="X346" s="43">
        <f>IF(ISNUMBER(X304),X304+X305-X315-X316,"n/a")</f>
        <v>203.817</v>
      </c>
      <c r="Y346" s="43">
        <f>IF(ISNUMBER(Y304),Y304+Y305-Y315-Y316,"n/a")</f>
        <v>157.974</v>
      </c>
      <c r="Z346" s="43">
        <f>IF(ISNUMBER(Z304),Z304+Z305-Z315-Z316,"n/a")</f>
        <v>157.974</v>
      </c>
      <c r="AA346" s="43">
        <f>IF(ISNUMBER(AA304),AA304+AA305-AA315-AA316,"n/a")</f>
        <v>204.448</v>
      </c>
      <c r="AB346" s="43">
        <f>IF(ISNUMBER(AB304),AB304+AB305-AB315-AB316,"n/a")</f>
        <v>206.631</v>
      </c>
      <c r="AC346" s="43">
        <f>IF(ISNUMBER(AC304),AC304+AC305-AC315-AC316,"n/a")</f>
        <v>206.521</v>
      </c>
      <c r="AD346" s="43">
        <f>IF(ISNUMBER(AD304),AD304+AD305-AD315-AD316,"n/a")</f>
        <v>156.981</v>
      </c>
      <c r="AE346" s="43">
        <f>IF(ISNUMBER(AE304),AE304+AE305-AE315-AE316,"n/a")</f>
        <v>156.981</v>
      </c>
      <c r="AF346" s="43">
        <f>IF(ISNUMBER(AF304),AF304+AF305-AF315-AF316,"n/a")</f>
        <v>211.26</v>
      </c>
      <c r="AG346" s="43">
        <f>IF(ISNUMBER(AG304),AG304+AG305-AG315-AG316,"n/a")</f>
        <v>265.483</v>
      </c>
      <c r="AH346" s="43">
        <f>IF(ISNUMBER(AH304),AH304+AH305-AH315-AH316,"n/a")</f>
        <v>297.292</v>
      </c>
      <c r="AI346" s="43">
        <f>IF(ISNUMBER(AI304),AI304+AI305-AI315-AI316,"n/a")</f>
        <v>270.686</v>
      </c>
      <c r="AJ346" s="43">
        <f>IF(ISNUMBER(AJ304),AJ304+AJ305-AJ315-AJ316,"n/a")</f>
        <v>270.686</v>
      </c>
      <c r="AK346" s="43">
        <f>IF(ISNUMBER(AK304),AK304+AK305-AK315-AK316,"n/a")</f>
        <v>282.849</v>
      </c>
      <c r="AL346" s="43">
        <f>IF(ISNUMBER(AL304),AL304+AL305-AL315-AL316,"n/a")</f>
        <v>362.621</v>
      </c>
      <c r="AM346" s="253" t="n"/>
      <c r="AN346" s="253" t="n"/>
      <c r="AO346" s="253">
        <f>AO304+AO305-AO315-AO316</f>
        <v>316.948119257703</v>
      </c>
      <c r="AP346" s="253">
        <f>AP304+AP305-AP315-AP316</f>
        <v>330.334763643455</v>
      </c>
      <c r="AQ346" s="253">
        <f>AQ304+AQ305-AQ315-AQ316</f>
        <v>343.30433730048</v>
      </c>
      <c r="AR346" s="253">
        <f>AR304+AR305-AR315-AR316</f>
        <v>362.711291788659</v>
      </c>
      <c r="AS346" s="253">
        <f>AS304+AS305-AS315-AS316</f>
        <v>384.706810562983</v>
      </c>
      <c r="AT346" s="19" t="n"/>
    </row>
    <row r="347">
      <c r="B347" s="25" t="inlineStr">
        <is>
          <t xml:space="preserve">  NWC % of net sales (annualised)</t>
        </is>
      </c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>
        <f>IFERROR(K346/(K340*1),"n/a")</f>
        <v>0.0933849007394098</v>
      </c>
      <c r="L347" s="36" t="n"/>
      <c r="M347" s="36" t="n"/>
      <c r="N347" s="36" t="n"/>
      <c r="O347" s="36">
        <f>IFERROR(O346/(O340*4),"n/a")</f>
        <v>0.0828917119902597</v>
      </c>
      <c r="P347" s="36">
        <f>IFERROR(P346/(P340*1),"n/a")</f>
        <v>0.0852385492449905</v>
      </c>
      <c r="Q347" s="36">
        <f>IFERROR(Q346/(Q340*4),"n/a")</f>
        <v>0.0850139911191507</v>
      </c>
      <c r="R347" s="36">
        <f>IFERROR(R346/(R340*4),"n/a")</f>
        <v>0.0816585422662918</v>
      </c>
      <c r="S347" s="36">
        <f>IFERROR(S346/(S340*4),"n/a")</f>
        <v>0.0789602024940953</v>
      </c>
      <c r="T347" s="36">
        <f>IFERROR(T346/(T340*4),"n/a")</f>
        <v>0.0713654918411689</v>
      </c>
      <c r="U347" s="36">
        <f>IFERROR(U346/(U340*1),"n/a")</f>
        <v>0.0730998503940651</v>
      </c>
      <c r="V347" s="36">
        <f>IFERROR(V346/(V340*4),"n/a")</f>
        <v>0.0811578947368421</v>
      </c>
      <c r="W347" s="36">
        <f>IFERROR(W346/(W340*4),"n/a")</f>
        <v>0.0838456488002865</v>
      </c>
      <c r="X347" s="36">
        <f>IFERROR(X346/(X340*4),"n/a")</f>
        <v>0.0748231267144007</v>
      </c>
      <c r="Y347" s="36">
        <f>IFERROR(Y346/(Y340*4),"n/a")</f>
        <v>0.0572910924525784</v>
      </c>
      <c r="Z347" s="36">
        <f>IFERROR(Z346/(Z340*1),"n/a")</f>
        <v>0.056932368351061</v>
      </c>
      <c r="AA347" s="36">
        <f>IFERROR(AA346/(AA340*4),"n/a")</f>
        <v>0.0741028555522049</v>
      </c>
      <c r="AB347" s="36">
        <f>IFERROR(AB346/(AB340*4),"n/a")</f>
        <v>0.0730606475045011</v>
      </c>
      <c r="AC347" s="36">
        <f>IFERROR(AC346/(AC340*4),"n/a")</f>
        <v>0.0766880802079465</v>
      </c>
      <c r="AD347" s="36">
        <f>IFERROR(AD346/(AD340*4),"n/a")</f>
        <v>0.0585089809110914</v>
      </c>
      <c r="AE347" s="36">
        <f>IFERROR(AE346/(AE340*1),"n/a")</f>
        <v>0.0572755502675676</v>
      </c>
      <c r="AF347" s="36">
        <f>IFERROR(AF346/(AF340*4),"n/a")</f>
        <v>0.0778823779230776</v>
      </c>
      <c r="AG347" s="36">
        <f>IFERROR(AG346/(AG340*4),"n/a")</f>
        <v>0.0927502075222266</v>
      </c>
      <c r="AH347" s="36">
        <f>IFERROR(AH346/(AH340*4),"n/a")</f>
        <v>0.102113774223908</v>
      </c>
      <c r="AI347" s="36">
        <f>IFERROR(AI346/(AI340*4),"n/a")</f>
        <v>0.0938596588560666</v>
      </c>
      <c r="AJ347" s="36">
        <f>IFERROR(AJ346/(AJ340*1),"n/a")</f>
        <v>0.095226301689853</v>
      </c>
      <c r="AK347" s="36">
        <f>IFERROR(AK346/(AK340*4),"n/a")</f>
        <v>0.0948397726922185</v>
      </c>
      <c r="AL347" s="36">
        <f>IFERROR(AL346/(AL340*4),"n/a")</f>
        <v>0.112248909459441</v>
      </c>
      <c r="AM347" s="254" t="n"/>
      <c r="AN347" s="254" t="n"/>
      <c r="AO347" s="254">
        <f>IFERROR(AO346/AO340,"n/a")</f>
        <v>0.0962048724478437</v>
      </c>
      <c r="AP347" s="254">
        <f>IFERROR(AP346/AP340,"n/a")</f>
        <v>0.0965378818092613</v>
      </c>
      <c r="AQ347" s="254">
        <f>IFERROR(AQ346/AQ340,"n/a")</f>
        <v>0.095657522020467</v>
      </c>
      <c r="AR347" s="254">
        <f>IFERROR(AR346/AR340,"n/a")</f>
        <v>0.095247426711106</v>
      </c>
      <c r="AS347" s="254">
        <f>IFERROR(AS346/AS340,"n/a")</f>
        <v>0.0950065491087628</v>
      </c>
      <c r="AT347" s="19" t="n"/>
      <c r="AV347" s="20">
        <f>IFERROR(AVERAGE(AO347,AP347,AQ347,AR347,AS347),"n/m")</f>
        <v>0.0957308504194881</v>
      </c>
      <c r="AW347" s="20">
        <f>IFERROR(AVERAGE(K347,P347,U347,Z347,AE347,AJ347),"n/m")</f>
        <v>0.0768595867811578</v>
      </c>
      <c r="AX347" s="20">
        <f>IFERROR(AVERAGE(F347,G347,H347,I347,J347,K347,P347,U347,Z347,AE347,AJ347),"n/m")</f>
        <v>0.0768595867811578</v>
      </c>
      <c r="AY347" s="20">
        <f>IFERROR(AVERAGE(C347,D347,E347,F347,G347,H347,I347,J347,K347,P347,U347,Z347,AE347,AJ347),"n/m")</f>
        <v>0.0768595867811578</v>
      </c>
    </row>
    <row r="348">
      <c r="B348" s="25" t="inlineStr">
        <is>
          <t xml:space="preserve">  ΔNWC (y/y)</t>
        </is>
      </c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44">
        <f>IFERROR(K346-J346,"")</f>
        <v>182.107</v>
      </c>
      <c r="L348" s="34" t="n"/>
      <c r="M348" s="34" t="n"/>
      <c r="N348" s="34" t="n"/>
      <c r="O348" s="34" t="n"/>
      <c r="P348" s="44">
        <f>IFERROR(P346-K346,"")</f>
        <v>24.8619999999999</v>
      </c>
      <c r="Q348" s="44">
        <f>IFERROR(Q346-L346,"")</f>
        <v>220.326</v>
      </c>
      <c r="R348" s="44">
        <f>IFERROR(R346-M346,"")</f>
        <v>215.963</v>
      </c>
      <c r="S348" s="44">
        <f>IFERROR(S346-N346,"")</f>
        <v>195.905</v>
      </c>
      <c r="T348" s="44">
        <f>IFERROR(T346-O346,"")</f>
        <v>-17.3859999999999</v>
      </c>
      <c r="U348" s="44">
        <f>IFERROR(U346-P346,"")</f>
        <v>-17.3859999999999</v>
      </c>
      <c r="V348" s="44">
        <f>IFERROR(V346-Q346,"")</f>
        <v>1.72199999999992</v>
      </c>
      <c r="W348" s="44">
        <f>IFERROR(W346-R346,"")</f>
        <v>25.6540000000001</v>
      </c>
      <c r="X348" s="44">
        <f>IFERROR(X346-S346,"")</f>
        <v>7.91199999999992</v>
      </c>
      <c r="Y348" s="44">
        <f>IFERROR(Y346-T346,"")</f>
        <v>-31.609</v>
      </c>
      <c r="Z348" s="44">
        <f>IFERROR(Z346-U346,"")</f>
        <v>-31.609</v>
      </c>
      <c r="AA348" s="44">
        <f>IFERROR(AA346-V346,"")</f>
        <v>-17.6</v>
      </c>
      <c r="AB348" s="44">
        <f>IFERROR(AB346-W346,"")</f>
        <v>-34.9860000000001</v>
      </c>
      <c r="AC348" s="44">
        <f>IFERROR(AC346-X346,"")</f>
        <v>2.70399999999989</v>
      </c>
      <c r="AD348" s="44">
        <f>IFERROR(AD346-Y346,"")</f>
        <v>-0.992999999999995</v>
      </c>
      <c r="AE348" s="44">
        <f>IFERROR(AE346-Z346,"")</f>
        <v>-0.992999999999995</v>
      </c>
      <c r="AF348" s="44">
        <f>IFERROR(AF346-AA346,"")</f>
        <v>6.81200000000001</v>
      </c>
      <c r="AG348" s="44">
        <f>IFERROR(AG346-AB346,"")</f>
        <v>58.8520000000001</v>
      </c>
      <c r="AH348" s="44">
        <f>IFERROR(AH346-AC346,"")</f>
        <v>90.7710000000002</v>
      </c>
      <c r="AI348" s="44">
        <f>IFERROR(AI346-AD346,"")</f>
        <v>113.705</v>
      </c>
      <c r="AJ348" s="44">
        <f>IFERROR(AJ346-AE346,"")</f>
        <v>113.705</v>
      </c>
      <c r="AK348" s="44">
        <f>IFERROR(AK346-AF346,"")</f>
        <v>71.5890000000001</v>
      </c>
      <c r="AL348" s="44">
        <f>IFERROR(AL346-AG346,"")</f>
        <v>97.138</v>
      </c>
      <c r="AM348" s="257" t="n"/>
      <c r="AN348" s="257" t="n"/>
      <c r="AO348" s="257">
        <f>IFERROR(AO346-AJ346,"")</f>
        <v>46.2621192577025</v>
      </c>
      <c r="AP348" s="257">
        <f>IFERROR(AP346-AO346,"")</f>
        <v>13.3866443857527</v>
      </c>
      <c r="AQ348" s="257">
        <f>IFERROR(AQ346-AP346,"")</f>
        <v>12.969573657025</v>
      </c>
      <c r="AR348" s="257">
        <f>IFERROR(AR346-AQ346,"")</f>
        <v>19.4069544881786</v>
      </c>
      <c r="AS348" s="257">
        <f>IFERROR(AS346-AR346,"")</f>
        <v>21.9955187743238</v>
      </c>
      <c r="AT348" s="19" t="n"/>
    </row>
    <row r="349">
      <c r="AT349" s="19" t="n"/>
    </row>
    <row r="350">
      <c r="B350" s="10" t="inlineStr">
        <is>
          <t>BALANCE SHEET FORECAST SCHEDULES</t>
        </is>
      </c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inlineStr">
        <is>
          <t>BS FORECAST SCHEDULES — explicit driver assumptions</t>
        </is>
      </c>
    </row>
    <row r="351">
      <c r="B351" s="14" t="inlineStr">
        <is>
          <t>Eddyfi acquisition — consideration &amp; preliminary purchase-price allocation (closed 1-Jun-2026; Q2-26 10-Q Note 3)</t>
        </is>
      </c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5" t="n"/>
    </row>
    <row r="352">
      <c r="B352" s="25" t="inlineStr">
        <is>
          <t xml:space="preserve">  Consideration transferred (cash; $1.45bn headline + adjustments)</t>
        </is>
      </c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  <c r="AA352" s="34" t="n"/>
      <c r="AB352" s="34" t="n"/>
      <c r="AC352" s="34" t="n"/>
      <c r="AD352" s="34" t="n"/>
      <c r="AE352" s="34" t="n"/>
      <c r="AF352" s="34" t="n"/>
      <c r="AG352" s="34" t="n"/>
      <c r="AH352" s="34" t="n"/>
      <c r="AI352" s="34" t="n"/>
      <c r="AJ352" s="34" t="n"/>
      <c r="AK352" s="34" t="n"/>
      <c r="AL352" s="34" t="n"/>
      <c r="AM352" s="257" t="n"/>
      <c r="AN352" s="257" t="n"/>
      <c r="AO352" s="258" t="n">
        <v>1494</v>
      </c>
      <c r="AP352" s="257" t="n"/>
      <c r="AQ352" s="257" t="n"/>
      <c r="AR352" s="257" t="n"/>
      <c r="AS352" s="257" t="n"/>
      <c r="AT352" s="19" t="n"/>
    </row>
    <row r="353">
      <c r="B353" s="25" t="inlineStr">
        <is>
          <t xml:space="preserve">  Cash and cash equivalents acquired</t>
        </is>
      </c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  <c r="AA353" s="34" t="n"/>
      <c r="AB353" s="34" t="n"/>
      <c r="AC353" s="34" t="n"/>
      <c r="AD353" s="34" t="n"/>
      <c r="AE353" s="34" t="n"/>
      <c r="AF353" s="34" t="n"/>
      <c r="AG353" s="34" t="n"/>
      <c r="AH353" s="34" t="n"/>
      <c r="AI353" s="34" t="n"/>
      <c r="AJ353" s="34" t="n"/>
      <c r="AK353" s="34" t="n"/>
      <c r="AL353" s="34" t="n"/>
      <c r="AM353" s="257" t="n"/>
      <c r="AN353" s="257" t="n"/>
      <c r="AO353" s="258" t="n">
        <v>24.7</v>
      </c>
      <c r="AP353" s="257" t="n"/>
      <c r="AQ353" s="257" t="n"/>
      <c r="AR353" s="257" t="n"/>
      <c r="AS353" s="257" t="n"/>
      <c r="AT353" s="19" t="n"/>
    </row>
    <row r="354">
      <c r="B354" s="25" t="inlineStr">
        <is>
          <t xml:space="preserve">  Trade receivables</t>
        </is>
      </c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  <c r="AA354" s="34" t="n"/>
      <c r="AB354" s="34" t="n"/>
      <c r="AC354" s="34" t="n"/>
      <c r="AD354" s="34" t="n"/>
      <c r="AE354" s="34" t="n"/>
      <c r="AF354" s="34" t="n"/>
      <c r="AG354" s="34" t="n"/>
      <c r="AH354" s="34" t="n"/>
      <c r="AI354" s="34" t="n"/>
      <c r="AJ354" s="34" t="n"/>
      <c r="AK354" s="34" t="n"/>
      <c r="AL354" s="34" t="n"/>
      <c r="AM354" s="257" t="n"/>
      <c r="AN354" s="257" t="n"/>
      <c r="AO354" s="258" t="n">
        <v>60</v>
      </c>
      <c r="AP354" s="257" t="n"/>
      <c r="AQ354" s="257" t="n"/>
      <c r="AR354" s="257" t="n"/>
      <c r="AS354" s="257" t="n"/>
      <c r="AT354" s="19" t="n"/>
    </row>
    <row r="355">
      <c r="B355" s="25" t="inlineStr">
        <is>
          <t xml:space="preserve">  Inventories (at fair value; $5.9m step-up)</t>
        </is>
      </c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  <c r="AA355" s="34" t="n"/>
      <c r="AB355" s="34" t="n"/>
      <c r="AC355" s="34" t="n"/>
      <c r="AD355" s="34" t="n"/>
      <c r="AE355" s="34" t="n"/>
      <c r="AF355" s="34" t="n"/>
      <c r="AG355" s="34" t="n"/>
      <c r="AH355" s="34" t="n"/>
      <c r="AI355" s="34" t="n"/>
      <c r="AJ355" s="34" t="n"/>
      <c r="AK355" s="34" t="n"/>
      <c r="AL355" s="34" t="n"/>
      <c r="AM355" s="257" t="n"/>
      <c r="AN355" s="257" t="n"/>
      <c r="AO355" s="258" t="n">
        <v>49.9</v>
      </c>
      <c r="AP355" s="257" t="n"/>
      <c r="AQ355" s="257" t="n"/>
      <c r="AR355" s="257" t="n"/>
      <c r="AS355" s="257" t="n"/>
      <c r="AT355" s="19" t="n"/>
    </row>
    <row r="356">
      <c r="B356" s="25" t="inlineStr">
        <is>
          <t xml:space="preserve">  Goodwill (Americas $621.0m / EMEA &amp; APAC $190.4m; not tax-deductible)</t>
        </is>
      </c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  <c r="AA356" s="34" t="n"/>
      <c r="AB356" s="34" t="n"/>
      <c r="AC356" s="34" t="n"/>
      <c r="AD356" s="34" t="n"/>
      <c r="AE356" s="34" t="n"/>
      <c r="AF356" s="34" t="n"/>
      <c r="AG356" s="34" t="n"/>
      <c r="AH356" s="34" t="n"/>
      <c r="AI356" s="34" t="n"/>
      <c r="AJ356" s="34" t="n"/>
      <c r="AK356" s="34" t="n"/>
      <c r="AL356" s="34" t="n"/>
      <c r="AM356" s="257" t="n"/>
      <c r="AN356" s="257" t="n"/>
      <c r="AO356" s="258" t="n">
        <v>811.4</v>
      </c>
      <c r="AP356" s="257" t="n"/>
      <c r="AQ356" s="257" t="n"/>
      <c r="AR356" s="257" t="n"/>
      <c r="AS356" s="257" t="n"/>
      <c r="AT356" s="19" t="n"/>
    </row>
    <row r="357">
      <c r="B357" s="25" t="inlineStr">
        <is>
          <t xml:space="preserve">  Intangible assets (customer relationships $563m, technology $89m, trade names $66m, backlog $17m)</t>
        </is>
      </c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  <c r="AA357" s="34" t="n"/>
      <c r="AB357" s="34" t="n"/>
      <c r="AC357" s="34" t="n"/>
      <c r="AD357" s="34" t="n"/>
      <c r="AE357" s="34" t="n"/>
      <c r="AF357" s="34" t="n"/>
      <c r="AG357" s="34" t="n"/>
      <c r="AH357" s="34" t="n"/>
      <c r="AI357" s="34" t="n"/>
      <c r="AJ357" s="34" t="n"/>
      <c r="AK357" s="34" t="n"/>
      <c r="AL357" s="34" t="n"/>
      <c r="AM357" s="257" t="n"/>
      <c r="AN357" s="257" t="n"/>
      <c r="AO357" s="258" t="n">
        <v>735</v>
      </c>
      <c r="AP357" s="257" t="n"/>
      <c r="AQ357" s="257" t="n"/>
      <c r="AR357" s="257" t="n"/>
      <c r="AS357" s="257" t="n"/>
      <c r="AT357" s="19" t="n"/>
    </row>
    <row r="358">
      <c r="B358" s="25" t="inlineStr">
        <is>
          <t xml:space="preserve">  Deferred income taxes</t>
        </is>
      </c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  <c r="AA358" s="34" t="n"/>
      <c r="AB358" s="34" t="n"/>
      <c r="AC358" s="34" t="n"/>
      <c r="AD358" s="34" t="n"/>
      <c r="AE358" s="34" t="n"/>
      <c r="AF358" s="34" t="n"/>
      <c r="AG358" s="34" t="n"/>
      <c r="AH358" s="34" t="n"/>
      <c r="AI358" s="34" t="n"/>
      <c r="AJ358" s="34" t="n"/>
      <c r="AK358" s="34" t="n"/>
      <c r="AL358" s="34" t="n"/>
      <c r="AM358" s="257" t="n"/>
      <c r="AN358" s="257" t="n"/>
      <c r="AO358" s="258" t="n">
        <v>-156.9</v>
      </c>
      <c r="AP358" s="257" t="n"/>
      <c r="AQ358" s="257" t="n"/>
      <c r="AR358" s="257" t="n"/>
      <c r="AS358" s="257" t="n"/>
      <c r="AT358" s="19" t="n"/>
    </row>
    <row r="359">
      <c r="B359" s="25" t="inlineStr">
        <is>
          <t xml:space="preserve">  Other, net (incl. PP&amp;E, ~$40m ROU assets / lease liabilities)</t>
        </is>
      </c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  <c r="AA359" s="34" t="n"/>
      <c r="AB359" s="34" t="n"/>
      <c r="AC359" s="34" t="n"/>
      <c r="AD359" s="34" t="n"/>
      <c r="AE359" s="34" t="n"/>
      <c r="AF359" s="34" t="n"/>
      <c r="AG359" s="34" t="n"/>
      <c r="AH359" s="34" t="n"/>
      <c r="AI359" s="34" t="n"/>
      <c r="AJ359" s="34" t="n"/>
      <c r="AK359" s="34" t="n"/>
      <c r="AL359" s="34" t="n"/>
      <c r="AM359" s="257" t="n"/>
      <c r="AN359" s="257" t="n"/>
      <c r="AO359" s="258" t="n">
        <v>-30</v>
      </c>
      <c r="AP359" s="257" t="n"/>
      <c r="AQ359" s="257" t="n"/>
      <c r="AR359" s="257" t="n"/>
      <c r="AS359" s="257" t="n"/>
      <c r="AT359" s="19" t="n"/>
    </row>
    <row r="360">
      <c r="B360" s="57" t="inlineStr">
        <is>
          <t xml:space="preserve">  Check: assets acquired − liabilities assumed − consideration (should be 0)</t>
        </is>
      </c>
      <c r="C360" s="44" t="n"/>
      <c r="D360" s="44" t="n"/>
      <c r="E360" s="44" t="n"/>
      <c r="F360" s="44" t="n"/>
      <c r="G360" s="44" t="n"/>
      <c r="H360" s="44" t="n"/>
      <c r="I360" s="44" t="n"/>
      <c r="J360" s="44" t="n"/>
      <c r="K360" s="44" t="n"/>
      <c r="L360" s="44" t="n"/>
      <c r="M360" s="44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  <c r="AC360" s="44" t="n"/>
      <c r="AD360" s="44" t="n"/>
      <c r="AE360" s="44" t="n"/>
      <c r="AF360" s="44" t="n"/>
      <c r="AG360" s="44" t="n"/>
      <c r="AH360" s="44" t="n"/>
      <c r="AI360" s="44" t="n"/>
      <c r="AJ360" s="44" t="n"/>
      <c r="AK360" s="44" t="n"/>
      <c r="AL360" s="44" t="n"/>
      <c r="AM360" s="269" t="n"/>
      <c r="AN360" s="269" t="n"/>
      <c r="AO360" s="268">
        <f>ROUND(AO353+AO354+AO355+AO356+AO357+AO358+AO359-AO352,1)</f>
        <v>0.1</v>
      </c>
      <c r="AP360" s="269" t="n"/>
      <c r="AQ360" s="269" t="n"/>
      <c r="AR360" s="269" t="n"/>
      <c r="AS360" s="269" t="n"/>
      <c r="AT360" s="19" t="n"/>
    </row>
    <row r="361">
      <c r="B361" s="14" t="inlineStr">
        <is>
          <t>Asset roll-forwards &amp; non-cash items</t>
        </is>
      </c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5" t="n"/>
    </row>
    <row r="362">
      <c r="B362" s="25" t="inlineStr">
        <is>
          <t xml:space="preserve">  Dilutive securities (m shares)</t>
        </is>
      </c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  <c r="AA362" s="45" t="n"/>
      <c r="AB362" s="45" t="n"/>
      <c r="AC362" s="45" t="n"/>
      <c r="AD362" s="45" t="n"/>
      <c r="AE362" s="45" t="n"/>
      <c r="AF362" s="45" t="n"/>
      <c r="AG362" s="45" t="n"/>
      <c r="AH362" s="45" t="n"/>
      <c r="AI362" s="45" t="n"/>
      <c r="AJ362" s="45" t="n"/>
      <c r="AK362" s="45" t="n"/>
      <c r="AL362" s="45" t="n"/>
      <c r="AM362" s="266" t="n"/>
      <c r="AN362" s="266" t="n"/>
      <c r="AO362" s="266" t="n"/>
      <c r="AP362" s="266">
        <f>$AL$166-$AL$165</f>
        <v>0.296633</v>
      </c>
      <c r="AQ362" s="266">
        <f>$AL$166-$AL$165</f>
        <v>0.296633</v>
      </c>
      <c r="AR362" s="266">
        <f>$AL$166-$AL$165</f>
        <v>0.296633</v>
      </c>
      <c r="AS362" s="266">
        <f>$AL$166-$AL$165</f>
        <v>0.296633</v>
      </c>
      <c r="AT362" s="19" t="n"/>
    </row>
    <row r="363">
      <c r="B363" s="25" t="inlineStr">
        <is>
          <t xml:space="preserve">  Share-price appreciation % (buyback pricing)</t>
        </is>
      </c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254" t="n"/>
      <c r="AN363" s="254" t="n"/>
      <c r="AO363" s="254" t="n"/>
      <c r="AP363" s="255" t="n">
        <v>0.08</v>
      </c>
      <c r="AQ363" s="255" t="n">
        <v>0.08</v>
      </c>
      <c r="AR363" s="255" t="n">
        <v>0.08</v>
      </c>
      <c r="AS363" s="255" t="n">
        <v>0.08</v>
      </c>
      <c r="AT363" s="19" t="n"/>
    </row>
    <row r="364">
      <c r="B364" s="25" t="inlineStr">
        <is>
          <t xml:space="preserve">  Other non-operating expense in "interest expense and other, net" (pension, FX, other; USDm)</t>
        </is>
      </c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  <c r="AA364" s="34" t="n"/>
      <c r="AB364" s="34" t="n"/>
      <c r="AC364" s="34" t="n"/>
      <c r="AD364" s="34" t="n"/>
      <c r="AE364" s="34" t="n"/>
      <c r="AF364" s="34" t="n"/>
      <c r="AG364" s="34" t="n"/>
      <c r="AH364" s="34" t="n"/>
      <c r="AI364" s="34" t="n"/>
      <c r="AJ364" s="34" t="n"/>
      <c r="AK364" s="34" t="n"/>
      <c r="AL364" s="34" t="n"/>
      <c r="AM364" s="257" t="n"/>
      <c r="AN364" s="257" t="n"/>
      <c r="AO364" s="257" t="n"/>
      <c r="AP364" s="258" t="n">
        <v>4</v>
      </c>
      <c r="AQ364" s="258" t="n">
        <v>4</v>
      </c>
      <c r="AR364" s="258" t="n">
        <v>4</v>
      </c>
      <c r="AS364" s="258" t="n">
        <v>4</v>
      </c>
      <c r="AT364" s="19" t="n"/>
    </row>
    <row r="365">
      <c r="B365" s="14" t="inlineStr">
        <is>
          <t>Debt schedule (senior notes &amp; term loan with scheduled maturities + revolver to a minimum cash balance)</t>
        </is>
      </c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5" t="n"/>
    </row>
    <row r="366">
      <c r="B366" s="16" t="inlineStr">
        <is>
          <t xml:space="preserve">  Total debt (current + long-term)</t>
        </is>
      </c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>
        <f>N(K314)+N(K319)</f>
        <v>0</v>
      </c>
      <c r="L366" s="43" t="n"/>
      <c r="M366" s="43" t="n"/>
      <c r="N366" s="43" t="n"/>
      <c r="O366" s="43">
        <f>N(O314)+N(O319)</f>
        <v>0</v>
      </c>
      <c r="P366" s="43">
        <f>N(P314)+N(P319)</f>
        <v>0</v>
      </c>
      <c r="Q366" s="43">
        <f>N(Q314)+N(Q319)</f>
        <v>0</v>
      </c>
      <c r="R366" s="43">
        <f>N(R314)+N(R319)</f>
        <v>1182.187</v>
      </c>
      <c r="S366" s="43">
        <f>N(S314)+N(S319)</f>
        <v>1132.415</v>
      </c>
      <c r="T366" s="43">
        <f>N(T314)+N(T319)</f>
        <v>1218.643</v>
      </c>
      <c r="U366" s="43">
        <f>N(U314)+N(U319)</f>
        <v>1218.643</v>
      </c>
      <c r="V366" s="43">
        <f>N(V314)+N(V319)</f>
        <v>1216.872</v>
      </c>
      <c r="W366" s="43">
        <f>N(W314)+N(W319)</f>
        <v>1159.1</v>
      </c>
      <c r="X366" s="43">
        <f>N(X314)+N(X319)</f>
        <v>1089.329</v>
      </c>
      <c r="Y366" s="43">
        <f>N(Y314)+N(Y319)</f>
        <v>1018.057</v>
      </c>
      <c r="Z366" s="43">
        <f>N(Z314)+N(Z319)</f>
        <v>1018.057</v>
      </c>
      <c r="AA366" s="43">
        <f>N(AA314)+N(AA319)</f>
        <v>992.798</v>
      </c>
      <c r="AB366" s="43">
        <f>N(AB314)+N(AB319)</f>
        <v>1079.624</v>
      </c>
      <c r="AC366" s="43">
        <f>N(AC314)+N(AC319)</f>
        <v>1080.182</v>
      </c>
      <c r="AD366" s="43">
        <f>N(AD314)+N(AD319)</f>
        <v>1075.739</v>
      </c>
      <c r="AE366" s="43">
        <f>N(AE314)+N(AE319)</f>
        <v>1075.739</v>
      </c>
      <c r="AF366" s="43">
        <f>N(AF314)+N(AF319)</f>
        <v>1074.055</v>
      </c>
      <c r="AG366" s="43">
        <f>N(AG314)+N(AG319)</f>
        <v>1080.577</v>
      </c>
      <c r="AH366" s="43">
        <f>N(AH314)+N(AH319)</f>
        <v>1336.298</v>
      </c>
      <c r="AI366" s="43">
        <f>N(AI314)+N(AI319)</f>
        <v>1234.952</v>
      </c>
      <c r="AJ366" s="43">
        <f>N(AJ314)+N(AJ319)</f>
        <v>1234.952</v>
      </c>
      <c r="AK366" s="43">
        <f>N(AK314)+N(AK319)</f>
        <v>2036.224</v>
      </c>
      <c r="AL366" s="43">
        <f>N(AL314)+N(AL319)</f>
        <v>2397.29</v>
      </c>
      <c r="AM366" s="253" t="n"/>
      <c r="AN366" s="253" t="n"/>
      <c r="AO366" s="253">
        <f>AO371+AO373+AO377+AO367</f>
        <v>2193.64737650419</v>
      </c>
      <c r="AP366" s="253">
        <f>AP371+AP373+AP377+AP367</f>
        <v>2037.29</v>
      </c>
      <c r="AQ366" s="253">
        <f>AQ371+AQ373+AQ377+AQ367</f>
        <v>2037.29</v>
      </c>
      <c r="AR366" s="253">
        <f>AR371+AR373+AR377+AR367</f>
        <v>2037.29</v>
      </c>
      <c r="AS366" s="253">
        <f>AS371+AS373+AS377+AS367</f>
        <v>2037.29</v>
      </c>
      <c r="AT366" s="19" t="inlineStr">
        <is>
          <t>Debt at 3-Jul-26 (face) $2,417m: 6.25% senior notes due Apr-2029 $700m; 5.625% senior notes due Apr-2031 $1,000m (issued 26-Mar-2026 for Eddyfi); Term Loan A $350m (Oct-2030); revolver $360m drawn of $1,050m (Oct-2030); other $7m. Balance-sheet debt is net of ~$19m deferred financing fees. Forecast on face value.</t>
        </is>
      </c>
    </row>
    <row r="367">
      <c r="B367" s="25" t="inlineStr">
        <is>
          <t xml:space="preserve">  Other debt less unamortized deferred financing fees (carrying adjustment at 3-Jul-26, held)</t>
        </is>
      </c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  <c r="AA367" s="34" t="n"/>
      <c r="AB367" s="34" t="n"/>
      <c r="AC367" s="34" t="n"/>
      <c r="AD367" s="34" t="n"/>
      <c r="AE367" s="34" t="n"/>
      <c r="AF367" s="34" t="n"/>
      <c r="AG367" s="34" t="n"/>
      <c r="AH367" s="34" t="n"/>
      <c r="AI367" s="34" t="n"/>
      <c r="AJ367" s="34" t="n"/>
      <c r="AK367" s="34" t="n"/>
      <c r="AL367" s="34" t="n"/>
      <c r="AM367" s="257" t="n"/>
      <c r="AN367" s="257" t="n"/>
      <c r="AO367" s="257">
        <f>($AL$314+$AL$319)-(1700.0+350.0+360.0)</f>
        <v>-12.71</v>
      </c>
      <c r="AP367" s="257">
        <f>AO367</f>
        <v>-12.71</v>
      </c>
      <c r="AQ367" s="257">
        <f>AP367</f>
        <v>-12.71</v>
      </c>
      <c r="AR367" s="257">
        <f>AQ367</f>
        <v>-12.71</v>
      </c>
      <c r="AS367" s="257">
        <f>AR367</f>
        <v>-12.71</v>
      </c>
      <c r="AT367" s="19" t="n"/>
    </row>
    <row r="368">
      <c r="B368" s="25" t="inlineStr">
        <is>
          <t xml:space="preserve">  Scheduled maturities / amortization (input, negative)</t>
        </is>
      </c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  <c r="AA368" s="34" t="n"/>
      <c r="AB368" s="34" t="n"/>
      <c r="AC368" s="34" t="n"/>
      <c r="AD368" s="34" t="n"/>
      <c r="AE368" s="34" t="n"/>
      <c r="AF368" s="34" t="n"/>
      <c r="AG368" s="34" t="n"/>
      <c r="AH368" s="34" t="n"/>
      <c r="AI368" s="34" t="n"/>
      <c r="AJ368" s="34" t="n"/>
      <c r="AK368" s="34" t="n"/>
      <c r="AL368" s="34" t="n"/>
      <c r="AM368" s="257" t="n"/>
      <c r="AN368" s="257" t="n"/>
      <c r="AO368" s="258" t="n">
        <v>0</v>
      </c>
      <c r="AP368" s="258" t="n">
        <v>0</v>
      </c>
      <c r="AQ368" s="258" t="n">
        <v>0</v>
      </c>
      <c r="AR368" s="258" t="n">
        <v>-700</v>
      </c>
      <c r="AS368" s="258" t="n">
        <v>-350</v>
      </c>
      <c r="AT368" s="19" t="inlineStr">
        <is>
          <t>2029: 6.25% notes $700m (refinanced 100%); 2030: Term Loan A $350m (refinanced into notes).</t>
        </is>
      </c>
    </row>
    <row r="369">
      <c r="B369" s="25" t="inlineStr">
        <is>
          <t xml:space="preserve">  % of scheduled maturities refinanced (input)</t>
        </is>
      </c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254" t="n"/>
      <c r="AN369" s="254" t="n"/>
      <c r="AO369" s="254" t="n"/>
      <c r="AP369" s="255" t="n">
        <v>1</v>
      </c>
      <c r="AQ369" s="255" t="n">
        <v>1</v>
      </c>
      <c r="AR369" s="255" t="n">
        <v>1</v>
      </c>
      <c r="AS369" s="255" t="n">
        <v>1</v>
      </c>
      <c r="AT369" s="19" t="n"/>
    </row>
    <row r="370">
      <c r="B370" s="25" t="inlineStr">
        <is>
          <t xml:space="preserve">  Refinancing issuance</t>
        </is>
      </c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  <c r="AA370" s="34" t="n"/>
      <c r="AB370" s="34" t="n"/>
      <c r="AC370" s="34" t="n"/>
      <c r="AD370" s="34" t="n"/>
      <c r="AE370" s="34" t="n"/>
      <c r="AF370" s="34" t="n"/>
      <c r="AG370" s="34" t="n"/>
      <c r="AH370" s="34" t="n"/>
      <c r="AI370" s="34" t="n"/>
      <c r="AJ370" s="34" t="n"/>
      <c r="AK370" s="34" t="n"/>
      <c r="AL370" s="34" t="n"/>
      <c r="AM370" s="257" t="n"/>
      <c r="AN370" s="257" t="n"/>
      <c r="AO370" s="258" t="n">
        <v>0</v>
      </c>
      <c r="AP370" s="257">
        <f>-AP368*AP369</f>
        <v>0</v>
      </c>
      <c r="AQ370" s="257">
        <f>-AQ368*AQ369</f>
        <v>0</v>
      </c>
      <c r="AR370" s="257">
        <f>-AR368*AR369</f>
        <v>700</v>
      </c>
      <c r="AS370" s="257">
        <f>-AS368*AS369</f>
        <v>350</v>
      </c>
      <c r="AT370" s="19" t="n"/>
    </row>
    <row r="371">
      <c r="B371" s="25" t="inlineStr">
        <is>
          <t xml:space="preserve">  Senior notes outstanding (face, year end)</t>
        </is>
      </c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  <c r="AA371" s="34" t="n"/>
      <c r="AB371" s="34" t="n"/>
      <c r="AC371" s="34" t="n"/>
      <c r="AD371" s="34" t="n"/>
      <c r="AE371" s="34" t="n"/>
      <c r="AF371" s="34" t="n"/>
      <c r="AG371" s="34" t="n"/>
      <c r="AH371" s="34" t="n"/>
      <c r="AI371" s="34" t="n"/>
      <c r="AJ371" s="34" t="n"/>
      <c r="AK371" s="34" t="n"/>
      <c r="AL371" s="34" t="n"/>
      <c r="AM371" s="257" t="n"/>
      <c r="AN371" s="257" t="n"/>
      <c r="AO371" s="258" t="n">
        <v>1700</v>
      </c>
      <c r="AP371" s="257">
        <f>AO371+AP370+AP372</f>
        <v>1700</v>
      </c>
      <c r="AQ371" s="257">
        <f>AP371+AQ370+AQ372</f>
        <v>1700</v>
      </c>
      <c r="AR371" s="257">
        <f>AQ371+AR370+AR372</f>
        <v>1700</v>
      </c>
      <c r="AS371" s="257">
        <f>AR371+AS370+AS372</f>
        <v>2050</v>
      </c>
      <c r="AT371" s="19" t="n"/>
    </row>
    <row r="372">
      <c r="B372" s="25" t="inlineStr">
        <is>
          <t xml:space="preserve">  of which: note maturities (negative)</t>
        </is>
      </c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  <c r="AA372" s="34" t="n"/>
      <c r="AB372" s="34" t="n"/>
      <c r="AC372" s="34" t="n"/>
      <c r="AD372" s="34" t="n"/>
      <c r="AE372" s="34" t="n"/>
      <c r="AF372" s="34" t="n"/>
      <c r="AG372" s="34" t="n"/>
      <c r="AH372" s="34" t="n"/>
      <c r="AI372" s="34" t="n"/>
      <c r="AJ372" s="34" t="n"/>
      <c r="AK372" s="34" t="n"/>
      <c r="AL372" s="34" t="n"/>
      <c r="AM372" s="257" t="n"/>
      <c r="AN372" s="257" t="n"/>
      <c r="AO372" s="258" t="n">
        <v>0</v>
      </c>
      <c r="AP372" s="258" t="n">
        <v>0</v>
      </c>
      <c r="AQ372" s="258" t="n">
        <v>0</v>
      </c>
      <c r="AR372" s="258" t="n">
        <v>-700</v>
      </c>
      <c r="AS372" s="258" t="n">
        <v>0</v>
      </c>
      <c r="AT372" s="19" t="n"/>
    </row>
    <row r="373">
      <c r="B373" s="25" t="inlineStr">
        <is>
          <t xml:space="preserve">  Term loan A outstanding (year end)</t>
        </is>
      </c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  <c r="AA373" s="34" t="n"/>
      <c r="AB373" s="34" t="n"/>
      <c r="AC373" s="34" t="n"/>
      <c r="AD373" s="34" t="n"/>
      <c r="AE373" s="34" t="n"/>
      <c r="AF373" s="34" t="n"/>
      <c r="AG373" s="34" t="n"/>
      <c r="AH373" s="34" t="n"/>
      <c r="AI373" s="34" t="n"/>
      <c r="AJ373" s="34" t="n"/>
      <c r="AK373" s="34" t="n"/>
      <c r="AL373" s="34" t="n"/>
      <c r="AM373" s="257" t="n"/>
      <c r="AN373" s="257" t="n"/>
      <c r="AO373" s="257">
        <f>350.0+AO368-AO372</f>
        <v>350</v>
      </c>
      <c r="AP373" s="257">
        <f>AO373+(AP368-AP372)</f>
        <v>350</v>
      </c>
      <c r="AQ373" s="257">
        <f>AP373+(AQ368-AQ372)</f>
        <v>350</v>
      </c>
      <c r="AR373" s="257">
        <f>AQ373+(AR368-AR372)</f>
        <v>350</v>
      </c>
      <c r="AS373" s="257">
        <f>AR373+(AS368-AS372)</f>
        <v>0</v>
      </c>
      <c r="AT373" s="19" t="n"/>
    </row>
    <row r="374">
      <c r="B374" s="25" t="inlineStr">
        <is>
          <t xml:space="preserve">  Current portion (next year's scheduled maturities)</t>
        </is>
      </c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  <c r="AA374" s="34" t="n"/>
      <c r="AB374" s="34" t="n"/>
      <c r="AC374" s="34" t="n"/>
      <c r="AD374" s="34" t="n"/>
      <c r="AE374" s="34" t="n"/>
      <c r="AF374" s="34" t="n"/>
      <c r="AG374" s="34" t="n"/>
      <c r="AH374" s="34" t="n"/>
      <c r="AI374" s="34" t="n"/>
      <c r="AJ374" s="34" t="n"/>
      <c r="AK374" s="34" t="n"/>
      <c r="AL374" s="34" t="n"/>
      <c r="AM374" s="257" t="n"/>
      <c r="AN374" s="257" t="n"/>
      <c r="AO374" s="257">
        <f>-AP368</f>
        <v>0</v>
      </c>
      <c r="AP374" s="257">
        <f>-AQ368</f>
        <v>0</v>
      </c>
      <c r="AQ374" s="257">
        <f>-AR368</f>
        <v>700</v>
      </c>
      <c r="AR374" s="257">
        <f>-AS368</f>
        <v>350</v>
      </c>
      <c r="AS374" s="258" t="n">
        <v>0</v>
      </c>
      <c r="AT374" s="19" t="n"/>
    </row>
    <row r="375">
      <c r="B375" s="25" t="inlineStr">
        <is>
          <t xml:space="preserve">  Cash before revolver (opening cash + CFO + CFI + non-revolver financing)</t>
        </is>
      </c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  <c r="AA375" s="34" t="n"/>
      <c r="AB375" s="34" t="n"/>
      <c r="AC375" s="34" t="n"/>
      <c r="AD375" s="34" t="n"/>
      <c r="AE375" s="34" t="n"/>
      <c r="AF375" s="34" t="n"/>
      <c r="AG375" s="34" t="n"/>
      <c r="AH375" s="34" t="n"/>
      <c r="AI375" s="34" t="n"/>
      <c r="AJ375" s="34" t="n"/>
      <c r="AK375" s="34" t="n"/>
      <c r="AL375" s="34" t="n"/>
      <c r="AM375" s="257" t="n"/>
      <c r="AN375" s="257" t="n"/>
      <c r="AO375" s="257">
        <f>AO276+AO259+AO264+AO268+AO269+AO270+AO271+AO272+AO274+AO265+AO266+($AK$267+$AL$267)</f>
        <v>403.642623495812</v>
      </c>
      <c r="AP375" s="257">
        <f>AP276+AP259+AP264+AP268+AP269+AP270+AP271+AP272+AP274+AP265+AP266</f>
        <v>535.740996485492</v>
      </c>
      <c r="AQ375" s="257">
        <f>AQ276+AQ259+AQ264+AQ268+AQ269+AQ270+AQ271+AQ272+AQ274+AQ265+AQ266</f>
        <v>517.90630881306</v>
      </c>
      <c r="AR375" s="257">
        <f>AR276+AR259+AR264+AR268+AR269+AR270+AR271+AR272+AR274+AR265+AR266</f>
        <v>400.796794471507</v>
      </c>
      <c r="AS375" s="257">
        <f>AS276+AS259+AS264+AS268+AS269+AS270+AS271+AS272+AS274+AS265+AS266</f>
        <v>280.714734540008</v>
      </c>
      <c r="AT375" s="19" t="n"/>
    </row>
    <row r="376">
      <c r="B376" s="25" t="inlineStr">
        <is>
          <t xml:space="preserve">  Minimum cash balance</t>
        </is>
      </c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  <c r="AA376" s="34" t="n"/>
      <c r="AB376" s="34" t="n"/>
      <c r="AC376" s="34" t="n"/>
      <c r="AD376" s="34" t="n"/>
      <c r="AE376" s="34" t="n"/>
      <c r="AF376" s="34" t="n"/>
      <c r="AG376" s="34" t="n"/>
      <c r="AH376" s="34" t="n"/>
      <c r="AI376" s="34" t="n"/>
      <c r="AJ376" s="34" t="n"/>
      <c r="AK376" s="34" t="n"/>
      <c r="AL376" s="34" t="n"/>
      <c r="AM376" s="257" t="n"/>
      <c r="AN376" s="257" t="n"/>
      <c r="AO376" s="258" t="n">
        <v>200</v>
      </c>
      <c r="AP376" s="258" t="n">
        <v>200</v>
      </c>
      <c r="AQ376" s="258" t="n">
        <v>200</v>
      </c>
      <c r="AR376" s="258" t="n">
        <v>200</v>
      </c>
      <c r="AS376" s="258" t="n">
        <v>200</v>
      </c>
      <c r="AT376" s="19" t="n"/>
    </row>
    <row r="377">
      <c r="B377" s="25" t="inlineStr">
        <is>
          <t xml:space="preserve">  Revolving credit facility outstanding (year end)</t>
        </is>
      </c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  <c r="AA377" s="34" t="n"/>
      <c r="AB377" s="34" t="n"/>
      <c r="AC377" s="34" t="n"/>
      <c r="AD377" s="34" t="n"/>
      <c r="AE377" s="34" t="n"/>
      <c r="AF377" s="34" t="n"/>
      <c r="AG377" s="34" t="n"/>
      <c r="AH377" s="34" t="n"/>
      <c r="AI377" s="34" t="n"/>
      <c r="AJ377" s="34" t="n"/>
      <c r="AK377" s="34" t="n"/>
      <c r="AL377" s="34" t="n"/>
      <c r="AM377" s="257" t="n"/>
      <c r="AN377" s="257" t="n"/>
      <c r="AO377" s="257">
        <f>MAX(0,360.0+AO376-AO375)</f>
        <v>156.357376504188</v>
      </c>
      <c r="AP377" s="257">
        <f>MAX(0,AO377+AP376-AP375)</f>
        <v>0</v>
      </c>
      <c r="AQ377" s="257">
        <f>MAX(0,AP377+AQ376-AQ375)</f>
        <v>0</v>
      </c>
      <c r="AR377" s="257">
        <f>MAX(0,AQ377+AR376-AR375)</f>
        <v>0</v>
      </c>
      <c r="AS377" s="257">
        <f>MAX(0,AR377+AS376-AS375)</f>
        <v>0</v>
      </c>
      <c r="AT377" s="19" t="inlineStr">
        <is>
          <t>Drawn/repaid so that cash = minimum balance; surplus cash repays the revolver first (deleveraging).</t>
        </is>
      </c>
    </row>
    <row r="378">
      <c r="B378" s="25" t="inlineStr">
        <is>
          <t xml:space="preserve">  Net issuance / (repayment)</t>
        </is>
      </c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44">
        <f>IFERROR(K366-J366,"")</f>
        <v>0</v>
      </c>
      <c r="L378" s="34" t="n"/>
      <c r="M378" s="34" t="n"/>
      <c r="N378" s="34" t="n"/>
      <c r="O378" s="34" t="n"/>
      <c r="P378" s="44">
        <f>IFERROR(P366-K366,"")</f>
        <v>0</v>
      </c>
      <c r="Q378" s="44">
        <f>IFERROR(Q366-L366,"")</f>
        <v>0</v>
      </c>
      <c r="R378" s="44">
        <f>IFERROR(R366-M366,"")</f>
        <v>1182.187</v>
      </c>
      <c r="S378" s="44">
        <f>IFERROR(S366-N366,"")</f>
        <v>1132.415</v>
      </c>
      <c r="T378" s="44">
        <f>IFERROR(T366-O366,"")</f>
        <v>1218.643</v>
      </c>
      <c r="U378" s="44">
        <f>IFERROR(U366-P366,"")</f>
        <v>1218.643</v>
      </c>
      <c r="V378" s="44">
        <f>IFERROR(V366-Q366,"")</f>
        <v>1216.872</v>
      </c>
      <c r="W378" s="44">
        <f>IFERROR(W366-R366,"")</f>
        <v>-23.087</v>
      </c>
      <c r="X378" s="44">
        <f>IFERROR(X366-S366,"")</f>
        <v>-43.086</v>
      </c>
      <c r="Y378" s="44">
        <f>IFERROR(Y366-T366,"")</f>
        <v>-200.586</v>
      </c>
      <c r="Z378" s="44">
        <f>IFERROR(Z366-U366,"")</f>
        <v>-200.586</v>
      </c>
      <c r="AA378" s="44">
        <f>IFERROR(AA366-V366,"")</f>
        <v>-224.074</v>
      </c>
      <c r="AB378" s="44">
        <f>IFERROR(AB366-W366,"")</f>
        <v>-79.4759999999999</v>
      </c>
      <c r="AC378" s="44">
        <f>IFERROR(AC366-X366,"")</f>
        <v>-9.14699999999994</v>
      </c>
      <c r="AD378" s="44">
        <f>IFERROR(AD366-Y366,"")</f>
        <v>57.682</v>
      </c>
      <c r="AE378" s="44">
        <f>IFERROR(AE366-Z366,"")</f>
        <v>57.682</v>
      </c>
      <c r="AF378" s="44">
        <f>IFERROR(AF366-AA366,"")</f>
        <v>81.2570000000001</v>
      </c>
      <c r="AG378" s="44">
        <f>IFERROR(AG366-AB366,"")</f>
        <v>0.952999999999975</v>
      </c>
      <c r="AH378" s="44">
        <f>IFERROR(AH366-AC366,"")</f>
        <v>256.116</v>
      </c>
      <c r="AI378" s="44">
        <f>IFERROR(AI366-AD366,"")</f>
        <v>159.213</v>
      </c>
      <c r="AJ378" s="44">
        <f>IFERROR(AJ366-AE366,"")</f>
        <v>159.213</v>
      </c>
      <c r="AK378" s="44">
        <f>IFERROR(AK366-AF366,"")</f>
        <v>962.169</v>
      </c>
      <c r="AL378" s="44">
        <f>IFERROR(AL366-AG366,"")</f>
        <v>1316.713</v>
      </c>
      <c r="AM378" s="257" t="n"/>
      <c r="AN378" s="257" t="n"/>
      <c r="AO378" s="257">
        <f>IFERROR(AO366-AJ366,"")</f>
        <v>958.695376504188</v>
      </c>
      <c r="AP378" s="257">
        <f>IFERROR(AP366-AO366,"")</f>
        <v>-156.357376504188</v>
      </c>
      <c r="AQ378" s="257">
        <f>IFERROR(AQ366-AP366,"")</f>
        <v>0</v>
      </c>
      <c r="AR378" s="257">
        <f>IFERROR(AR366-AQ366,"")</f>
        <v>0</v>
      </c>
      <c r="AS378" s="257">
        <f>IFERROR(AS366-AR366,"")</f>
        <v>0</v>
      </c>
      <c r="AT378" s="19" t="n"/>
    </row>
    <row r="379">
      <c r="B379" s="25" t="inlineStr">
        <is>
          <t xml:space="preserve">  Interest rate on senior notes %</t>
        </is>
      </c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254" t="n"/>
      <c r="AN379" s="254" t="n"/>
      <c r="AO379" s="254" t="n"/>
      <c r="AP379" s="255" t="n">
        <v>0.059</v>
      </c>
      <c r="AQ379" s="255" t="n">
        <v>0.059</v>
      </c>
      <c r="AR379" s="255" t="n">
        <v>0.059</v>
      </c>
      <c r="AS379" s="255" t="n">
        <v>0.059</v>
      </c>
      <c r="AT379" s="19" t="inlineStr">
        <is>
          <t>Senior notes blended 5.88% ($43.75m + $56.25m on $1.7bn); TLA / revolver SOFR (~3.9%) + 1.125–1.75% margin; weighted average 5.39% at 3-Jul-26.</t>
        </is>
      </c>
    </row>
    <row r="380">
      <c r="B380" s="25" t="inlineStr">
        <is>
          <t xml:space="preserve">  Interest rate on term loan %</t>
        </is>
      </c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254" t="n"/>
      <c r="AN380" s="254" t="n"/>
      <c r="AO380" s="254" t="n"/>
      <c r="AP380" s="255" t="n">
        <v>0.053</v>
      </c>
      <c r="AQ380" s="255" t="n">
        <v>0.053</v>
      </c>
      <c r="AR380" s="255" t="n">
        <v>0.053</v>
      </c>
      <c r="AS380" s="255" t="n">
        <v>0.053</v>
      </c>
      <c r="AT380" s="19" t="n"/>
    </row>
    <row r="381">
      <c r="B381" s="25" t="inlineStr">
        <is>
          <t xml:space="preserve">  Interest rate on revolver %</t>
        </is>
      </c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254" t="n"/>
      <c r="AN381" s="254" t="n"/>
      <c r="AO381" s="254" t="n"/>
      <c r="AP381" s="255" t="n">
        <v>0.053</v>
      </c>
      <c r="AQ381" s="255" t="n">
        <v>0.053</v>
      </c>
      <c r="AR381" s="255" t="n">
        <v>0.053</v>
      </c>
      <c r="AS381" s="255" t="n">
        <v>0.053</v>
      </c>
      <c r="AT381" s="19" t="n"/>
    </row>
    <row r="382">
      <c r="B382" s="25" t="inlineStr">
        <is>
          <t xml:space="preserve">  Interest income yield on opening cash %</t>
        </is>
      </c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254" t="n"/>
      <c r="AN382" s="254" t="n"/>
      <c r="AO382" s="254" t="n"/>
      <c r="AP382" s="255" t="n">
        <v>0.02</v>
      </c>
      <c r="AQ382" s="255" t="n">
        <v>0.02</v>
      </c>
      <c r="AR382" s="255" t="n">
        <v>0.02</v>
      </c>
      <c r="AS382" s="255" t="n">
        <v>0.02</v>
      </c>
      <c r="AT382" s="19" t="n"/>
    </row>
    <row r="383">
      <c r="B383" s="14" t="inlineStr">
        <is>
          <t>Leverage-targeted buybacks (repurchases plug to a minimum net debt / Adjusted EBITDA)</t>
        </is>
      </c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5" t="n"/>
    </row>
    <row r="384">
      <c r="B384" s="25" t="inlineStr">
        <is>
          <t xml:space="preserve">  Minimum net debt / Adjusted EBITDA (x) (scenario)</t>
        </is>
      </c>
      <c r="C384" s="277" t="n"/>
      <c r="D384" s="277" t="n"/>
      <c r="E384" s="277" t="n"/>
      <c r="F384" s="277" t="n"/>
      <c r="G384" s="277" t="n"/>
      <c r="H384" s="277" t="n"/>
      <c r="I384" s="277" t="n"/>
      <c r="J384" s="277" t="n"/>
      <c r="K384" s="277" t="n"/>
      <c r="L384" s="277" t="n"/>
      <c r="M384" s="277" t="n"/>
      <c r="N384" s="277" t="n"/>
      <c r="O384" s="277" t="n"/>
      <c r="P384" s="277" t="n"/>
      <c r="Q384" s="277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  <c r="AE384" s="277" t="n"/>
      <c r="AF384" s="277" t="n"/>
      <c r="AG384" s="277" t="n"/>
      <c r="AH384" s="277" t="n"/>
      <c r="AI384" s="277" t="n"/>
      <c r="AJ384" s="277" t="n"/>
      <c r="AK384" s="277" t="n"/>
      <c r="AL384" s="277" t="n"/>
      <c r="AM384" s="278" t="n"/>
      <c r="AN384" s="278" t="n"/>
      <c r="AO384" s="278" t="n"/>
      <c r="AP384" s="278">
        <f>CHOOSE(MATCH($AT$2,{"Bull","Base","Bear"},0),$BC$19,$BD$19,$BE$19)</f>
        <v>2</v>
      </c>
      <c r="AQ384" s="278">
        <f>CHOOSE(MATCH($AT$2,{"Bull","Base","Bear"},0),$BC$19,$BD$19,$BE$19)</f>
        <v>2</v>
      </c>
      <c r="AR384" s="278">
        <f>CHOOSE(MATCH($AT$2,{"Bull","Base","Bear"},0),$BC$19,$BD$19,$BE$19)</f>
        <v>2</v>
      </c>
      <c r="AS384" s="278">
        <f>CHOOSE(MATCH($AT$2,{"Bull","Base","Bear"},0),$BC$19,$BD$19,$BE$19)</f>
        <v>2</v>
      </c>
      <c r="AT384" s="19" t="n"/>
    </row>
    <row r="385">
      <c r="B385" s="25" t="inlineStr">
        <is>
          <t xml:space="preserve">  Net debt before buybacks (year end)</t>
        </is>
      </c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  <c r="AA385" s="34" t="n"/>
      <c r="AB385" s="34" t="n"/>
      <c r="AC385" s="34" t="n"/>
      <c r="AD385" s="34" t="n"/>
      <c r="AE385" s="34" t="n"/>
      <c r="AF385" s="34" t="n"/>
      <c r="AG385" s="34" t="n"/>
      <c r="AH385" s="34" t="n"/>
      <c r="AI385" s="34" t="n"/>
      <c r="AJ385" s="34" t="n"/>
      <c r="AK385" s="34" t="n"/>
      <c r="AL385" s="34" t="n"/>
      <c r="AM385" s="257" t="n"/>
      <c r="AN385" s="257" t="n"/>
      <c r="AO385" s="257" t="n"/>
      <c r="AP385" s="257">
        <f>AO371+AO373+AO377-AO303-AP259-AP264-AP268-AP270-AP271-AP272-AP274</f>
        <v>1670.6163800187</v>
      </c>
      <c r="AQ385" s="257">
        <f>AP371+AP373+AP377-AP303-AQ259-AQ264-AQ268-AQ270-AQ271-AQ272-AQ274</f>
        <v>1425.51447166155</v>
      </c>
      <c r="AR385" s="257">
        <f>AQ371+AQ373+AQ377-AQ303-AR259-AR264-AR268-AR270-AR271-AR272-AR274</f>
        <v>1296.21241836358</v>
      </c>
      <c r="AS385" s="257">
        <f>AR371+AR373+AR377-AR303-AS259-AS264-AS268-AS270-AS271-AS272-AS274</f>
        <v>1370.95206491835</v>
      </c>
      <c r="AT385" s="19" t="n"/>
    </row>
    <row r="386">
      <c r="B386" s="25" t="inlineStr">
        <is>
          <t xml:space="preserve">  Target minimum net debt = min. leverage × Adjusted EBITDA</t>
        </is>
      </c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  <c r="AA386" s="34" t="n"/>
      <c r="AB386" s="34" t="n"/>
      <c r="AC386" s="34" t="n"/>
      <c r="AD386" s="34" t="n"/>
      <c r="AE386" s="34" t="n"/>
      <c r="AF386" s="34" t="n"/>
      <c r="AG386" s="34" t="n"/>
      <c r="AH386" s="34" t="n"/>
      <c r="AI386" s="34" t="n"/>
      <c r="AJ386" s="34" t="n"/>
      <c r="AK386" s="34" t="n"/>
      <c r="AL386" s="34" t="n"/>
      <c r="AM386" s="257" t="n"/>
      <c r="AN386" s="257" t="n"/>
      <c r="AO386" s="257" t="n"/>
      <c r="AP386" s="257">
        <f>AP384*AP189</f>
        <v>1414.54999683546</v>
      </c>
      <c r="AQ386" s="257">
        <f>AQ384*AQ189</f>
        <v>1532.09369118694</v>
      </c>
      <c r="AR386" s="257">
        <f>AR384*AR189</f>
        <v>1649.20320552849</v>
      </c>
      <c r="AS386" s="257">
        <f>AS384*AS189</f>
        <v>1769.28526545999</v>
      </c>
      <c r="AT386" s="19" t="n"/>
    </row>
    <row r="387">
      <c r="B387" s="16" t="inlineStr">
        <is>
          <t xml:space="preserve">  Share repurchases: plug to minimum leverage</t>
        </is>
      </c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  <c r="AA387" s="43" t="n"/>
      <c r="AB387" s="43" t="n"/>
      <c r="AC387" s="43" t="n"/>
      <c r="AD387" s="43" t="n"/>
      <c r="AE387" s="43" t="n"/>
      <c r="AF387" s="43" t="n"/>
      <c r="AG387" s="43" t="n"/>
      <c r="AH387" s="43" t="n"/>
      <c r="AI387" s="43" t="n"/>
      <c r="AJ387" s="43" t="n"/>
      <c r="AK387" s="43" t="n"/>
      <c r="AL387" s="43" t="n"/>
      <c r="AM387" s="253" t="n"/>
      <c r="AN387" s="253" t="n"/>
      <c r="AO387" s="253" t="n"/>
      <c r="AP387" s="253">
        <f>MAX(0,AP386-AP385)</f>
        <v>0</v>
      </c>
      <c r="AQ387" s="253">
        <f>MAX(0,AQ386-AQ385)</f>
        <v>106.579219525392</v>
      </c>
      <c r="AR387" s="253">
        <f>MAX(0,AR386-AR385)</f>
        <v>352.990787164912</v>
      </c>
      <c r="AS387" s="253">
        <f>MAX(0,AS386-AS385)</f>
        <v>398.333200541643</v>
      </c>
      <c r="AT387" s="19" t="n"/>
    </row>
    <row r="388">
      <c r="AT388" s="19" t="n"/>
    </row>
    <row r="389">
      <c r="B389" s="10" t="inlineStr">
        <is>
          <t>RATIO ANALYSIS</t>
        </is>
      </c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inlineStr">
        <is>
          <t>RETURNS — annual columns (NOPAT on adjusted EBITA)</t>
        </is>
      </c>
    </row>
    <row r="390">
      <c r="B390" s="14" t="inlineStr">
        <is>
          <t>DuPont decomposition of ROIC</t>
        </is>
      </c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5" t="n"/>
    </row>
    <row r="391">
      <c r="B391" s="25" t="inlineStr">
        <is>
          <t>Adjusted EBITA (adjusted EBITDA − depreciation &amp; other amortization)</t>
        </is>
      </c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44">
        <f>K200</f>
        <v>262.78</v>
      </c>
      <c r="L391" s="34" t="n"/>
      <c r="M391" s="34" t="n"/>
      <c r="N391" s="34" t="n"/>
      <c r="O391" s="34" t="n"/>
      <c r="P391" s="44">
        <f>P200</f>
        <v>365.668</v>
      </c>
      <c r="Q391" s="34" t="n"/>
      <c r="R391" s="34" t="n"/>
      <c r="S391" s="34" t="n"/>
      <c r="T391" s="34" t="n"/>
      <c r="U391" s="44">
        <f>U200</f>
        <v>401.861</v>
      </c>
      <c r="V391" s="34" t="n"/>
      <c r="W391" s="34" t="n"/>
      <c r="X391" s="34" t="n"/>
      <c r="Y391" s="34" t="n"/>
      <c r="Z391" s="44">
        <f>Z200</f>
        <v>465.176</v>
      </c>
      <c r="AA391" s="34" t="n"/>
      <c r="AB391" s="34" t="n"/>
      <c r="AC391" s="34" t="n"/>
      <c r="AD391" s="34" t="n"/>
      <c r="AE391" s="44">
        <f>AE200</f>
        <v>492.177</v>
      </c>
      <c r="AF391" s="34" t="n"/>
      <c r="AG391" s="34" t="n"/>
      <c r="AH391" s="34" t="n"/>
      <c r="AI391" s="34" t="n"/>
      <c r="AJ391" s="44">
        <f>AJ200</f>
        <v>512.026</v>
      </c>
      <c r="AK391" s="34" t="n"/>
      <c r="AL391" s="34" t="n"/>
      <c r="AM391" s="257" t="n"/>
      <c r="AN391" s="257" t="n"/>
      <c r="AO391" s="257">
        <f>AO200</f>
        <v>572.173643835616</v>
      </c>
      <c r="AP391" s="257">
        <f>AP200</f>
        <v>649.687344896891</v>
      </c>
      <c r="AQ391" s="257">
        <f>AQ200</f>
        <v>705.553069266005</v>
      </c>
      <c r="AR391" s="257">
        <f>AR200</f>
        <v>760.160224682437</v>
      </c>
      <c r="AS391" s="257">
        <f>AS200</f>
        <v>815.834410924954</v>
      </c>
      <c r="AT391" s="19" t="n"/>
    </row>
    <row r="392">
      <c r="B392" s="25" t="inlineStr">
        <is>
          <t>Effective tax rate (actual)</t>
        </is>
      </c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>
        <f>K151</f>
        <v>0.223334742201429</v>
      </c>
      <c r="L392" s="36" t="n"/>
      <c r="M392" s="36" t="n"/>
      <c r="N392" s="36" t="n"/>
      <c r="O392" s="36" t="n"/>
      <c r="P392" s="36">
        <f>P151</f>
        <v>0.251996314496315</v>
      </c>
      <c r="Q392" s="36" t="n"/>
      <c r="R392" s="36" t="n"/>
      <c r="S392" s="36" t="n"/>
      <c r="T392" s="36" t="n"/>
      <c r="U392" s="36">
        <f>U151</f>
        <v>0.230373920486526</v>
      </c>
      <c r="V392" s="36" t="n"/>
      <c r="W392" s="36" t="n"/>
      <c r="X392" s="36" t="n"/>
      <c r="Y392" s="36" t="n"/>
      <c r="Z392" s="36">
        <f>Z151</f>
        <v>0.299998119664548</v>
      </c>
      <c r="AA392" s="36" t="n"/>
      <c r="AB392" s="36" t="n"/>
      <c r="AC392" s="36" t="n"/>
      <c r="AD392" s="36" t="n"/>
      <c r="AE392" s="36">
        <f>AE151</f>
        <v>0.208820075322957</v>
      </c>
      <c r="AF392" s="36" t="n"/>
      <c r="AG392" s="36" t="n"/>
      <c r="AH392" s="36" t="n"/>
      <c r="AI392" s="36" t="n"/>
      <c r="AJ392" s="36">
        <f>AJ151</f>
        <v>0.210677511728508</v>
      </c>
      <c r="AK392" s="36" t="n"/>
      <c r="AL392" s="36" t="n"/>
      <c r="AM392" s="254" t="n"/>
      <c r="AN392" s="254" t="n"/>
      <c r="AO392" s="254">
        <f>AO151</f>
        <v>0.225347276322757</v>
      </c>
      <c r="AP392" s="254">
        <f>AP151</f>
        <v>0.235</v>
      </c>
      <c r="AQ392" s="254">
        <f>AQ151</f>
        <v>0.235</v>
      </c>
      <c r="AR392" s="254">
        <f>AR151</f>
        <v>0.235</v>
      </c>
      <c r="AS392" s="254">
        <f>AS151</f>
        <v>0.235</v>
      </c>
      <c r="AT392" s="19" t="n"/>
    </row>
    <row r="393">
      <c r="B393" s="16" t="inlineStr">
        <is>
          <t>NOPAT = Adjusted EBITA × (1 − tax rate)</t>
        </is>
      </c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>
        <f>IFERROR(K391*(1-K392),"n/a")</f>
        <v>204.092096444308</v>
      </c>
      <c r="L393" s="43" t="n"/>
      <c r="M393" s="43" t="n"/>
      <c r="N393" s="43" t="n"/>
      <c r="O393" s="43" t="n"/>
      <c r="P393" s="43">
        <f>IFERROR(P391*(1-P392),"n/a")</f>
        <v>273.521011670761</v>
      </c>
      <c r="Q393" s="43" t="n"/>
      <c r="R393" s="43" t="n"/>
      <c r="S393" s="43" t="n"/>
      <c r="T393" s="43" t="n"/>
      <c r="U393" s="43">
        <f>IFERROR(U391*(1-U392),"n/a")</f>
        <v>309.282705939364</v>
      </c>
      <c r="V393" s="43" t="n"/>
      <c r="W393" s="43" t="n"/>
      <c r="X393" s="43" t="n"/>
      <c r="Y393" s="43" t="n"/>
      <c r="Z393" s="43">
        <f>IFERROR(Z391*(1-Z392),"n/a")</f>
        <v>325.624074686924</v>
      </c>
      <c r="AA393" s="43" t="n"/>
      <c r="AB393" s="43" t="n"/>
      <c r="AC393" s="43" t="n"/>
      <c r="AD393" s="43" t="n"/>
      <c r="AE393" s="43">
        <f>IFERROR(AE391*(1-AE392),"n/a")</f>
        <v>389.400561787773</v>
      </c>
      <c r="AF393" s="43" t="n"/>
      <c r="AG393" s="43" t="n"/>
      <c r="AH393" s="43" t="n"/>
      <c r="AI393" s="43" t="n"/>
      <c r="AJ393" s="43">
        <f>IFERROR(AJ391*(1-AJ392),"n/a")</f>
        <v>404.153636379699</v>
      </c>
      <c r="AK393" s="43" t="n"/>
      <c r="AL393" s="43" t="n"/>
      <c r="AM393" s="253" t="n"/>
      <c r="AN393" s="253" t="n"/>
      <c r="AO393" s="253">
        <f>IFERROR(AO391*(1-AO392),"n/a")</f>
        <v>443.235871613593</v>
      </c>
      <c r="AP393" s="253">
        <f>IFERROR(AP391*(1-AP392),"n/a")</f>
        <v>497.010818846121</v>
      </c>
      <c r="AQ393" s="253">
        <f>IFERROR(AQ391*(1-AQ392),"n/a")</f>
        <v>539.748097988494</v>
      </c>
      <c r="AR393" s="253">
        <f>IFERROR(AR391*(1-AR392),"n/a")</f>
        <v>581.522571882064</v>
      </c>
      <c r="AS393" s="253">
        <f>IFERROR(AS391*(1-AS392),"n/a")</f>
        <v>624.11332435759</v>
      </c>
      <c r="AT393" s="19" t="n"/>
    </row>
    <row r="394">
      <c r="B394" s="16" t="inlineStr">
        <is>
          <t>Invested capital (IC) = Equity + Net debt</t>
        </is>
      </c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>
        <f>IFERROR(K395+K396,"n/a")</f>
        <v>2495.558</v>
      </c>
      <c r="L394" s="43" t="n"/>
      <c r="M394" s="43" t="n"/>
      <c r="N394" s="43" t="n"/>
      <c r="O394" s="43" t="n"/>
      <c r="P394" s="43">
        <f>IFERROR(P395+P396,"n/a")</f>
        <v>2460.519</v>
      </c>
      <c r="Q394" s="43" t="n"/>
      <c r="R394" s="43" t="n"/>
      <c r="S394" s="43" t="n"/>
      <c r="T394" s="43" t="n"/>
      <c r="U394" s="43">
        <f>IFERROR(U395+U396,"n/a")</f>
        <v>2535.077</v>
      </c>
      <c r="V394" s="43" t="n"/>
      <c r="W394" s="43" t="n"/>
      <c r="X394" s="43" t="n"/>
      <c r="Y394" s="43" t="n"/>
      <c r="Z394" s="43">
        <f>IFERROR(Z395+Z396,"n/a")</f>
        <v>2563.711</v>
      </c>
      <c r="AA394" s="43" t="n"/>
      <c r="AB394" s="43" t="n"/>
      <c r="AC394" s="43" t="n"/>
      <c r="AD394" s="43" t="n"/>
      <c r="AE394" s="43">
        <f>IFERROR(AE395+AE396,"n/a")</f>
        <v>2634.63</v>
      </c>
      <c r="AF394" s="43" t="n"/>
      <c r="AG394" s="43" t="n"/>
      <c r="AH394" s="43" t="n"/>
      <c r="AI394" s="43" t="n"/>
      <c r="AJ394" s="43">
        <f>IFERROR(AJ395+AJ396,"n/a")</f>
        <v>3260.618</v>
      </c>
      <c r="AK394" s="43" t="n"/>
      <c r="AL394" s="43" t="n"/>
      <c r="AM394" s="253" t="n"/>
      <c r="AN394" s="253" t="n"/>
      <c r="AO394" s="253">
        <f>IFERROR(AO395+AO396,"n/a")</f>
        <v>4679.27388638099</v>
      </c>
      <c r="AP394" s="253">
        <f>IFERROR(AP395+AP396,"n/a")</f>
        <v>4613.6528053317</v>
      </c>
      <c r="AQ394" s="253">
        <f>IFERROR(AQ395+AQ396,"n/a")</f>
        <v>4704.13418567327</v>
      </c>
      <c r="AR394" s="253">
        <f>IFERROR(AR395+AR396,"n/a")</f>
        <v>4851.37786186551</v>
      </c>
      <c r="AS394" s="253">
        <f>IFERROR(AS395+AS396,"n/a")</f>
        <v>4998.04901580866</v>
      </c>
      <c r="AT394" s="19" t="n"/>
    </row>
    <row r="395">
      <c r="B395" s="25" t="inlineStr">
        <is>
          <t xml:space="preserve">  Total equity incl. NCI &amp; MCPS</t>
        </is>
      </c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44">
        <f>K329</f>
        <v>2544.767</v>
      </c>
      <c r="L395" s="34" t="n"/>
      <c r="M395" s="34" t="n"/>
      <c r="N395" s="34" t="n"/>
      <c r="O395" s="34" t="n"/>
      <c r="P395" s="44">
        <f>P329</f>
        <v>2501.728</v>
      </c>
      <c r="Q395" s="34" t="n"/>
      <c r="R395" s="34" t="n"/>
      <c r="S395" s="34" t="n"/>
      <c r="T395" s="34" t="n"/>
      <c r="U395" s="44">
        <f>U329</f>
        <v>1388.458</v>
      </c>
      <c r="V395" s="34" t="n"/>
      <c r="W395" s="34" t="n"/>
      <c r="X395" s="34" t="n"/>
      <c r="Y395" s="34" t="n"/>
      <c r="Z395" s="44">
        <f>Z329</f>
        <v>1647.657</v>
      </c>
      <c r="AA395" s="34" t="n"/>
      <c r="AB395" s="34" t="n"/>
      <c r="AC395" s="34" t="n"/>
      <c r="AD395" s="34" t="n"/>
      <c r="AE395" s="44">
        <f>AE329</f>
        <v>1808.249</v>
      </c>
      <c r="AF395" s="34" t="n"/>
      <c r="AG395" s="34" t="n"/>
      <c r="AH395" s="34" t="n"/>
      <c r="AI395" s="34" t="n"/>
      <c r="AJ395" s="44">
        <f>AJ329</f>
        <v>2211.529</v>
      </c>
      <c r="AK395" s="34" t="n"/>
      <c r="AL395" s="34" t="n"/>
      <c r="AM395" s="257" t="n"/>
      <c r="AN395" s="257" t="n"/>
      <c r="AO395" s="257">
        <f>AO329</f>
        <v>2685.6265098768</v>
      </c>
      <c r="AP395" s="257">
        <f>AP329</f>
        <v>2955.746425313</v>
      </c>
      <c r="AQ395" s="257">
        <f>AQ329</f>
        <v>3184.75049448633</v>
      </c>
      <c r="AR395" s="257">
        <f>AR329</f>
        <v>3214.88465633702</v>
      </c>
      <c r="AS395" s="257">
        <f>AS329</f>
        <v>3241.47375034867</v>
      </c>
      <c r="AT395" s="19" t="n"/>
    </row>
    <row r="396">
      <c r="B396" s="25" t="inlineStr">
        <is>
          <t xml:space="preserve">  Net debt = Total debt − Cash</t>
        </is>
      </c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44">
        <f>K366-K303</f>
        <v>-49.209</v>
      </c>
      <c r="L396" s="34" t="n"/>
      <c r="M396" s="34" t="n"/>
      <c r="N396" s="34" t="n"/>
      <c r="O396" s="34" t="n"/>
      <c r="P396" s="44">
        <f>P366-P303</f>
        <v>-41.209</v>
      </c>
      <c r="Q396" s="34" t="n"/>
      <c r="R396" s="34" t="n"/>
      <c r="S396" s="34" t="n"/>
      <c r="T396" s="34" t="n"/>
      <c r="U396" s="44">
        <f>U366-U303</f>
        <v>1146.619</v>
      </c>
      <c r="V396" s="34" t="n"/>
      <c r="W396" s="34" t="n"/>
      <c r="X396" s="34" t="n"/>
      <c r="Y396" s="34" t="n"/>
      <c r="Z396" s="44">
        <f>Z366-Z303</f>
        <v>916.054</v>
      </c>
      <c r="AA396" s="34" t="n"/>
      <c r="AB396" s="34" t="n"/>
      <c r="AC396" s="34" t="n"/>
      <c r="AD396" s="34" t="n"/>
      <c r="AE396" s="44">
        <f>AE366-AE303</f>
        <v>826.381</v>
      </c>
      <c r="AF396" s="34" t="n"/>
      <c r="AG396" s="34" t="n"/>
      <c r="AH396" s="34" t="n"/>
      <c r="AI396" s="34" t="n"/>
      <c r="AJ396" s="44">
        <f>AJ366-AJ303</f>
        <v>1049.089</v>
      </c>
      <c r="AK396" s="34" t="n"/>
      <c r="AL396" s="34" t="n"/>
      <c r="AM396" s="257" t="n"/>
      <c r="AN396" s="257" t="n"/>
      <c r="AO396" s="257">
        <f>AO366-AO303</f>
        <v>1993.64737650419</v>
      </c>
      <c r="AP396" s="257">
        <f>AP366-AP303</f>
        <v>1657.9063800187</v>
      </c>
      <c r="AQ396" s="257">
        <f>AQ366-AQ303</f>
        <v>1519.38369118694</v>
      </c>
      <c r="AR396" s="257">
        <f>AR366-AR303</f>
        <v>1636.49320552849</v>
      </c>
      <c r="AS396" s="257">
        <f>AS366-AS303</f>
        <v>1756.57526545999</v>
      </c>
      <c r="AT396" s="19" t="n"/>
    </row>
    <row r="397">
      <c r="B397" s="55" t="inlineStr">
        <is>
          <t>ROIC = NOPAT / IC</t>
        </is>
      </c>
      <c r="C397" s="70" t="n"/>
      <c r="D397" s="70" t="n"/>
      <c r="E397" s="70" t="n"/>
      <c r="F397" s="70" t="n"/>
      <c r="G397" s="70" t="n"/>
      <c r="H397" s="70" t="n"/>
      <c r="I397" s="70" t="n"/>
      <c r="J397" s="70" t="n"/>
      <c r="K397" s="70">
        <f>IFERROR(K393/K394,"n/a")</f>
        <v>0.0817821491002446</v>
      </c>
      <c r="L397" s="70" t="n"/>
      <c r="M397" s="70" t="n"/>
      <c r="N397" s="70" t="n"/>
      <c r="O397" s="70" t="n"/>
      <c r="P397" s="70">
        <f>IFERROR(P393/P394,"n/a")</f>
        <v>0.111163950236012</v>
      </c>
      <c r="Q397" s="70" t="n"/>
      <c r="R397" s="70" t="n"/>
      <c r="S397" s="70" t="n"/>
      <c r="T397" s="70" t="n"/>
      <c r="U397" s="70">
        <f>IFERROR(U393/U394,"n/a")</f>
        <v>0.122001306445273</v>
      </c>
      <c r="V397" s="70" t="n"/>
      <c r="W397" s="70" t="n"/>
      <c r="X397" s="70" t="n"/>
      <c r="Y397" s="70" t="n"/>
      <c r="Z397" s="70">
        <f>IFERROR(Z393/Z394,"n/a")</f>
        <v>0.127012785250336</v>
      </c>
      <c r="AA397" s="70" t="n"/>
      <c r="AB397" s="70" t="n"/>
      <c r="AC397" s="70" t="n"/>
      <c r="AD397" s="70" t="n"/>
      <c r="AE397" s="70">
        <f>IFERROR(AE393/AE394,"n/a")</f>
        <v>0.147800853170188</v>
      </c>
      <c r="AF397" s="70" t="n"/>
      <c r="AG397" s="70" t="n"/>
      <c r="AH397" s="70" t="n"/>
      <c r="AI397" s="70" t="n"/>
      <c r="AJ397" s="70">
        <f>IFERROR(AJ393/AJ394,"n/a")</f>
        <v>0.123950010819942</v>
      </c>
      <c r="AK397" s="70" t="n"/>
      <c r="AL397" s="70" t="n"/>
      <c r="AM397" s="70" t="n"/>
      <c r="AN397" s="70" t="n"/>
      <c r="AO397" s="70">
        <f>IFERROR(AO393/AO394,"n/a")</f>
        <v>0.0947232161177035</v>
      </c>
      <c r="AP397" s="70">
        <f>IFERROR(AP393/AP394,"n/a")</f>
        <v>0.107726098997254</v>
      </c>
      <c r="AQ397" s="70">
        <f>IFERROR(AQ393/AQ394,"n/a")</f>
        <v>0.114739094737631</v>
      </c>
      <c r="AR397" s="70">
        <f>IFERROR(AR393/AR394,"n/a")</f>
        <v>0.119867507425705</v>
      </c>
      <c r="AS397" s="70">
        <f>IFERROR(AS393/AS394,"n/a")</f>
        <v>0.12487138929281</v>
      </c>
      <c r="AT397" s="19" t="n"/>
      <c r="AV397" s="20">
        <f>IFERROR(AVERAGE(AO397,AP397,AQ397,AR397,AS397),"n/m")</f>
        <v>0.112385461314221</v>
      </c>
      <c r="AW397" s="20">
        <f>IFERROR(AVERAGE(K397,P397,U397,Z397,AE397,AJ397),"n/m")</f>
        <v>0.118951842503666</v>
      </c>
      <c r="AX397" s="20">
        <f>IFERROR(AVERAGE(F397,G397,H397,I397,J397,K397,P397,U397,Z397,AE397,AJ397),"n/m")</f>
        <v>0.118951842503666</v>
      </c>
      <c r="AY397" s="20">
        <f>IFERROR(AVERAGE(C397,D397,E397,F397,G397,H397,I397,J397,K397,P397,U397,Z397,AE397,AJ397),"n/m")</f>
        <v>0.118951842503666</v>
      </c>
    </row>
    <row r="398">
      <c r="B398" s="25" t="inlineStr">
        <is>
          <t xml:space="preserve">  Margin = Adjusted EBITA / Net sales</t>
        </is>
      </c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>
        <f>IFERROR(K391/K136,"n/a")</f>
        <v>0.134754206133219</v>
      </c>
      <c r="L398" s="36" t="n"/>
      <c r="M398" s="36" t="n"/>
      <c r="N398" s="36" t="n"/>
      <c r="O398" s="36" t="n"/>
      <c r="P398" s="36">
        <f>IFERROR(P391/P136,"n/a")</f>
        <v>0.150597479938141</v>
      </c>
      <c r="Q398" s="36" t="n"/>
      <c r="R398" s="36" t="n"/>
      <c r="S398" s="36" t="n"/>
      <c r="T398" s="36" t="n"/>
      <c r="U398" s="36">
        <f>IFERROR(U391/U136,"n/a")</f>
        <v>0.154950491231858</v>
      </c>
      <c r="V398" s="36" t="n"/>
      <c r="W398" s="36" t="n"/>
      <c r="X398" s="36" t="n"/>
      <c r="Y398" s="36" t="n"/>
      <c r="Z398" s="36">
        <f>IFERROR(Z391/Z136,"n/a")</f>
        <v>0.167645127553098</v>
      </c>
      <c r="AA398" s="36" t="n"/>
      <c r="AB398" s="36" t="n"/>
      <c r="AC398" s="36" t="n"/>
      <c r="AD398" s="36" t="n"/>
      <c r="AE398" s="36">
        <f>IFERROR(AE391/AE136,"n/a")</f>
        <v>0.179574015352435</v>
      </c>
      <c r="AF398" s="36" t="n"/>
      <c r="AG398" s="36" t="n"/>
      <c r="AH398" s="36" t="n"/>
      <c r="AI398" s="36" t="n"/>
      <c r="AJ398" s="36">
        <f>IFERROR(AJ391/AJ136,"n/a")</f>
        <v>0.180128792582729</v>
      </c>
      <c r="AK398" s="36" t="n"/>
      <c r="AL398" s="36" t="n"/>
      <c r="AM398" s="254" t="n"/>
      <c r="AN398" s="254" t="n"/>
      <c r="AO398" s="254">
        <f>IFERROR(AO391/AO136,"n/a")</f>
        <v>0.17976976779683</v>
      </c>
      <c r="AP398" s="254">
        <f>IFERROR(AP391/AP136,"n/a")</f>
        <v>0.189866302362063</v>
      </c>
      <c r="AQ398" s="254">
        <f>IFERROR(AQ391/AQ136,"n/a")</f>
        <v>0.196593666105792</v>
      </c>
      <c r="AR398" s="254">
        <f>IFERROR(AR391/AR136,"n/a")</f>
        <v>0.199616904486463</v>
      </c>
      <c r="AS398" s="254">
        <f>IFERROR(AS391/AS136,"n/a")</f>
        <v>0.20147709865789</v>
      </c>
      <c r="AT398" s="19" t="n"/>
    </row>
    <row r="399">
      <c r="B399" s="25" t="inlineStr">
        <is>
          <t xml:space="preserve">  Capital turnover = Net sales / IC</t>
        </is>
      </c>
      <c r="C399" s="277" t="n"/>
      <c r="D399" s="277" t="n"/>
      <c r="E399" s="277" t="n"/>
      <c r="F399" s="277" t="n"/>
      <c r="G399" s="277" t="n"/>
      <c r="H399" s="277" t="n"/>
      <c r="I399" s="277" t="n"/>
      <c r="J399" s="277" t="n"/>
      <c r="K399" s="64">
        <f>IFERROR(K136/K394,"n/a")</f>
        <v>0.781416019984308</v>
      </c>
      <c r="L399" s="277" t="n"/>
      <c r="M399" s="277" t="n"/>
      <c r="N399" s="277" t="n"/>
      <c r="O399" s="277" t="n"/>
      <c r="P399" s="64">
        <f>IFERROR(P136/P394,"n/a")</f>
        <v>0.986830420736438</v>
      </c>
      <c r="Q399" s="277" t="n"/>
      <c r="R399" s="277" t="n"/>
      <c r="S399" s="277" t="n"/>
      <c r="T399" s="277" t="n"/>
      <c r="U399" s="64">
        <f>IFERROR(U136/U394,"n/a")</f>
        <v>1.0230379590048</v>
      </c>
      <c r="V399" s="277" t="n"/>
      <c r="W399" s="277" t="n"/>
      <c r="X399" s="277" t="n"/>
      <c r="Y399" s="277" t="n"/>
      <c r="Z399" s="64">
        <f>IFERROR(Z136/Z394,"n/a")</f>
        <v>1.08232402170135</v>
      </c>
      <c r="AA399" s="277" t="n"/>
      <c r="AB399" s="277" t="n"/>
      <c r="AC399" s="277" t="n"/>
      <c r="AD399" s="277" t="n"/>
      <c r="AE399" s="64">
        <f>IFERROR(AE136/AE394,"n/a")</f>
        <v>1.04029901731932</v>
      </c>
      <c r="AF399" s="277" t="n"/>
      <c r="AG399" s="277" t="n"/>
      <c r="AH399" s="277" t="n"/>
      <c r="AI399" s="277" t="n"/>
      <c r="AJ399" s="64">
        <f>IFERROR(AJ136/AJ394,"n/a")</f>
        <v>0.871784121905725</v>
      </c>
      <c r="AK399" s="277" t="n"/>
      <c r="AL399" s="277" t="n"/>
      <c r="AM399" s="278" t="n"/>
      <c r="AN399" s="278" t="n"/>
      <c r="AO399" s="278">
        <f>IFERROR(AO136/AO394,"n/a")</f>
        <v>0.680193888471365</v>
      </c>
      <c r="AP399" s="278">
        <f>IFERROR(AP136/AP394,"n/a")</f>
        <v>0.741671525225358</v>
      </c>
      <c r="AQ399" s="278">
        <f>IFERROR(AQ136/AQ394,"n/a")</f>
        <v>0.762922568799148</v>
      </c>
      <c r="AR399" s="278">
        <f>IFERROR(AR136/AR394,"n/a")</f>
        <v>0.784951317592894</v>
      </c>
      <c r="AS399" s="278">
        <f>IFERROR(AS136/AS394,"n/a")</f>
        <v>0.810169370743892</v>
      </c>
      <c r="AT399" s="19" t="n"/>
    </row>
    <row r="400">
      <c r="B400" s="25" t="inlineStr">
        <is>
          <t xml:space="preserve">  Tax burden = (1 − effective tax rate)</t>
        </is>
      </c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>
        <f>IFERROR(1-K392,"n/a")</f>
        <v>0.776665257798571</v>
      </c>
      <c r="L400" s="36" t="n"/>
      <c r="M400" s="36" t="n"/>
      <c r="N400" s="36" t="n"/>
      <c r="O400" s="36" t="n"/>
      <c r="P400" s="36">
        <f>IFERROR(1-P392,"n/a")</f>
        <v>0.748003685503685</v>
      </c>
      <c r="Q400" s="36" t="n"/>
      <c r="R400" s="36" t="n"/>
      <c r="S400" s="36" t="n"/>
      <c r="T400" s="36" t="n"/>
      <c r="U400" s="36">
        <f>IFERROR(1-U392,"n/a")</f>
        <v>0.769626079513474</v>
      </c>
      <c r="V400" s="36" t="n"/>
      <c r="W400" s="36" t="n"/>
      <c r="X400" s="36" t="n"/>
      <c r="Y400" s="36" t="n"/>
      <c r="Z400" s="36">
        <f>IFERROR(1-Z392,"n/a")</f>
        <v>0.700001880335452</v>
      </c>
      <c r="AA400" s="36" t="n"/>
      <c r="AB400" s="36" t="n"/>
      <c r="AC400" s="36" t="n"/>
      <c r="AD400" s="36" t="n"/>
      <c r="AE400" s="36">
        <f>IFERROR(1-AE392,"n/a")</f>
        <v>0.791179924677043</v>
      </c>
      <c r="AF400" s="36" t="n"/>
      <c r="AG400" s="36" t="n"/>
      <c r="AH400" s="36" t="n"/>
      <c r="AI400" s="36" t="n"/>
      <c r="AJ400" s="36">
        <f>IFERROR(1-AJ392,"n/a")</f>
        <v>0.789322488271492</v>
      </c>
      <c r="AK400" s="36" t="n"/>
      <c r="AL400" s="36" t="n"/>
      <c r="AM400" s="254" t="n"/>
      <c r="AN400" s="254" t="n"/>
      <c r="AO400" s="254">
        <f>IFERROR(1-AO392,"n/a")</f>
        <v>0.774652723677243</v>
      </c>
      <c r="AP400" s="254">
        <f>IFERROR(1-AP392,"n/a")</f>
        <v>0.765</v>
      </c>
      <c r="AQ400" s="254">
        <f>IFERROR(1-AQ392,"n/a")</f>
        <v>0.765</v>
      </c>
      <c r="AR400" s="254">
        <f>IFERROR(1-AR392,"n/a")</f>
        <v>0.765</v>
      </c>
      <c r="AS400" s="254">
        <f>IFERROR(1-AS392,"n/a")</f>
        <v>0.765</v>
      </c>
      <c r="AT400" s="19" t="n"/>
    </row>
    <row r="401">
      <c r="B401" s="57" t="inlineStr">
        <is>
          <t xml:space="preserve">  Check: Margin × Turnover × Tax burden = ROIC</t>
        </is>
      </c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>
        <f>IFERROR(ROUND(K398*K399*K400-K397,6),"n/a")</f>
        <v>0</v>
      </c>
      <c r="L401" s="36" t="n"/>
      <c r="M401" s="36" t="n"/>
      <c r="N401" s="36" t="n"/>
      <c r="O401" s="36" t="n"/>
      <c r="P401" s="36">
        <f>IFERROR(ROUND(P398*P399*P400-P397,6),"n/a")</f>
        <v>0</v>
      </c>
      <c r="Q401" s="36" t="n"/>
      <c r="R401" s="36" t="n"/>
      <c r="S401" s="36" t="n"/>
      <c r="T401" s="36" t="n"/>
      <c r="U401" s="36">
        <f>IFERROR(ROUND(U398*U399*U400-U397,6),"n/a")</f>
        <v>0</v>
      </c>
      <c r="V401" s="36" t="n"/>
      <c r="W401" s="36" t="n"/>
      <c r="X401" s="36" t="n"/>
      <c r="Y401" s="36" t="n"/>
      <c r="Z401" s="36">
        <f>IFERROR(ROUND(Z398*Z399*Z400-Z397,6),"n/a")</f>
        <v>0</v>
      </c>
      <c r="AA401" s="36" t="n"/>
      <c r="AB401" s="36" t="n"/>
      <c r="AC401" s="36" t="n"/>
      <c r="AD401" s="36" t="n"/>
      <c r="AE401" s="36">
        <f>IFERROR(ROUND(AE398*AE399*AE400-AE397,6),"n/a")</f>
        <v>0</v>
      </c>
      <c r="AF401" s="36" t="n"/>
      <c r="AG401" s="36" t="n"/>
      <c r="AH401" s="36" t="n"/>
      <c r="AI401" s="36" t="n"/>
      <c r="AJ401" s="36">
        <f>IFERROR(ROUND(AJ398*AJ399*AJ400-AJ397,6),"n/a")</f>
        <v>0</v>
      </c>
      <c r="AK401" s="36" t="n"/>
      <c r="AL401" s="36" t="n"/>
      <c r="AM401" s="285" t="n"/>
      <c r="AN401" s="285" t="n"/>
      <c r="AO401" s="286">
        <f>IFERROR(ROUND(AO398*AO399*AO400-AO397,6),"n/a")</f>
        <v>0</v>
      </c>
      <c r="AP401" s="286">
        <f>IFERROR(ROUND(AP398*AP399*AP400-AP397,6),"n/a")</f>
        <v>0</v>
      </c>
      <c r="AQ401" s="286">
        <f>IFERROR(ROUND(AQ398*AQ399*AQ400-AQ397,6),"n/a")</f>
        <v>0</v>
      </c>
      <c r="AR401" s="286">
        <f>IFERROR(ROUND(AR398*AR399*AR400-AR397,6),"n/a")</f>
        <v>0</v>
      </c>
      <c r="AS401" s="286">
        <f>IFERROR(ROUND(AS398*AS399*AS400-AS397,6),"n/a")</f>
        <v>0</v>
      </c>
      <c r="AT401" s="19" t="n"/>
    </row>
    <row r="402">
      <c r="B402" s="14" t="inlineStr">
        <is>
          <t>RONTA decomposition</t>
        </is>
      </c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5" t="n"/>
    </row>
    <row r="403">
      <c r="B403" s="25" t="inlineStr">
        <is>
          <t>NOPAT = Adjusted EBITA × (1 − tax rate)</t>
        </is>
      </c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44">
        <f>K393</f>
        <v>204.092096444308</v>
      </c>
      <c r="L403" s="34" t="n"/>
      <c r="M403" s="34" t="n"/>
      <c r="N403" s="34" t="n"/>
      <c r="O403" s="34" t="n"/>
      <c r="P403" s="44">
        <f>P393</f>
        <v>273.521011670761</v>
      </c>
      <c r="Q403" s="34" t="n"/>
      <c r="R403" s="34" t="n"/>
      <c r="S403" s="34" t="n"/>
      <c r="T403" s="34" t="n"/>
      <c r="U403" s="44">
        <f>U393</f>
        <v>309.282705939364</v>
      </c>
      <c r="V403" s="34" t="n"/>
      <c r="W403" s="34" t="n"/>
      <c r="X403" s="34" t="n"/>
      <c r="Y403" s="34" t="n"/>
      <c r="Z403" s="44">
        <f>Z393</f>
        <v>325.624074686924</v>
      </c>
      <c r="AA403" s="34" t="n"/>
      <c r="AB403" s="34" t="n"/>
      <c r="AC403" s="34" t="n"/>
      <c r="AD403" s="34" t="n"/>
      <c r="AE403" s="44">
        <f>AE393</f>
        <v>389.400561787773</v>
      </c>
      <c r="AF403" s="34" t="n"/>
      <c r="AG403" s="34" t="n"/>
      <c r="AH403" s="34" t="n"/>
      <c r="AI403" s="34" t="n"/>
      <c r="AJ403" s="44">
        <f>AJ393</f>
        <v>404.153636379699</v>
      </c>
      <c r="AK403" s="34" t="n"/>
      <c r="AL403" s="34" t="n"/>
      <c r="AM403" s="257" t="n"/>
      <c r="AN403" s="257" t="n"/>
      <c r="AO403" s="257">
        <f>AO393</f>
        <v>443.235871613593</v>
      </c>
      <c r="AP403" s="257">
        <f>AP393</f>
        <v>497.010818846121</v>
      </c>
      <c r="AQ403" s="257">
        <f>AQ393</f>
        <v>539.748097988494</v>
      </c>
      <c r="AR403" s="257">
        <f>AR393</f>
        <v>581.522571882064</v>
      </c>
      <c r="AS403" s="257">
        <f>AS393</f>
        <v>624.11332435759</v>
      </c>
      <c r="AT403" s="19" t="n"/>
    </row>
    <row r="404">
      <c r="B404" s="25" t="inlineStr">
        <is>
          <t xml:space="preserve">  Total assets</t>
        </is>
      </c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44">
        <f>K312</f>
        <v>3385.829</v>
      </c>
      <c r="L404" s="34" t="n"/>
      <c r="M404" s="34" t="n"/>
      <c r="N404" s="34" t="n"/>
      <c r="O404" s="34" t="n"/>
      <c r="P404" s="44">
        <f>P312</f>
        <v>3461.262</v>
      </c>
      <c r="Q404" s="34" t="n"/>
      <c r="R404" s="34" t="n"/>
      <c r="S404" s="34" t="n"/>
      <c r="T404" s="34" t="n"/>
      <c r="U404" s="44">
        <f>U312</f>
        <v>3754.015</v>
      </c>
      <c r="V404" s="34" t="n"/>
      <c r="W404" s="34" t="n"/>
      <c r="X404" s="34" t="n"/>
      <c r="Y404" s="34" t="n"/>
      <c r="Z404" s="44">
        <f>Z312</f>
        <v>3828.629</v>
      </c>
      <c r="AA404" s="34" t="n"/>
      <c r="AB404" s="34" t="n"/>
      <c r="AC404" s="34" t="n"/>
      <c r="AD404" s="34" t="n"/>
      <c r="AE404" s="44">
        <f>AE312</f>
        <v>4033.975</v>
      </c>
      <c r="AF404" s="34" t="n"/>
      <c r="AG404" s="34" t="n"/>
      <c r="AH404" s="34" t="n"/>
      <c r="AI404" s="34" t="n"/>
      <c r="AJ404" s="44">
        <f>AJ312</f>
        <v>4766.094</v>
      </c>
      <c r="AK404" s="34" t="n"/>
      <c r="AL404" s="34" t="n"/>
      <c r="AM404" s="257" t="n"/>
      <c r="AN404" s="257" t="n"/>
      <c r="AO404" s="257">
        <f>AO312</f>
        <v>6440.1669589943</v>
      </c>
      <c r="AP404" s="257">
        <f>AP312</f>
        <v>6586.34783371118</v>
      </c>
      <c r="AQ404" s="257">
        <f>AQ312</f>
        <v>6844.46831622966</v>
      </c>
      <c r="AR404" s="257">
        <f>AR312</f>
        <v>6919.78442705174</v>
      </c>
      <c r="AS404" s="257">
        <f>AS312</f>
        <v>6997.96308694573</v>
      </c>
      <c r="AT404" s="19" t="n"/>
    </row>
    <row r="405">
      <c r="B405" s="25" t="inlineStr">
        <is>
          <t xml:space="preserve">  − Goodwill &amp; acquired intangible assets</t>
        </is>
      </c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44">
        <f>-(K309+K310)</f>
        <v>-2130.583</v>
      </c>
      <c r="L405" s="34" t="n"/>
      <c r="M405" s="34" t="n"/>
      <c r="N405" s="34" t="n"/>
      <c r="O405" s="34" t="n"/>
      <c r="P405" s="44">
        <f>-(P309+P310)</f>
        <v>-2054.427</v>
      </c>
      <c r="Q405" s="34" t="n"/>
      <c r="R405" s="34" t="n"/>
      <c r="S405" s="34" t="n"/>
      <c r="T405" s="34" t="n"/>
      <c r="U405" s="44">
        <f>-(U309+U310)</f>
        <v>-2046.934</v>
      </c>
      <c r="V405" s="34" t="n"/>
      <c r="W405" s="34" t="n"/>
      <c r="X405" s="34" t="n"/>
      <c r="Y405" s="34" t="n"/>
      <c r="Z405" s="44">
        <f>-(Z309+Z310)</f>
        <v>-2087.866</v>
      </c>
      <c r="AA405" s="34" t="n"/>
      <c r="AB405" s="34" t="n"/>
      <c r="AC405" s="34" t="n"/>
      <c r="AD405" s="34" t="n"/>
      <c r="AE405" s="44">
        <f>-(AE309+AE310)</f>
        <v>-2139.986</v>
      </c>
      <c r="AF405" s="34" t="n"/>
      <c r="AG405" s="34" t="n"/>
      <c r="AH405" s="34" t="n"/>
      <c r="AI405" s="34" t="n"/>
      <c r="AJ405" s="44">
        <f>-(AJ309+AJ310)</f>
        <v>-2622.708</v>
      </c>
      <c r="AK405" s="34" t="n"/>
      <c r="AL405" s="34" t="n"/>
      <c r="AM405" s="257" t="n"/>
      <c r="AN405" s="257" t="n"/>
      <c r="AO405" s="257">
        <f>-(AO309+AO310)</f>
        <v>-4068.08412328767</v>
      </c>
      <c r="AP405" s="257">
        <f>-(AP309+AP310)</f>
        <v>-3971.38412328767</v>
      </c>
      <c r="AQ405" s="257">
        <f>-(AQ309+AQ310)</f>
        <v>-4015.43412328767</v>
      </c>
      <c r="AR405" s="257">
        <f>-(AR309+AR310)</f>
        <v>-4103.93412328767</v>
      </c>
      <c r="AS405" s="257">
        <f>-(AS309+AS310)</f>
        <v>-4188.33412328767</v>
      </c>
      <c r="AT405" s="19" t="n"/>
    </row>
    <row r="406">
      <c r="B406" s="25" t="inlineStr">
        <is>
          <t xml:space="preserve">  − Non-interest-bearing current liabilities (total CL excl. debt)</t>
        </is>
      </c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44">
        <f>-(K318-N(K314))</f>
        <v>-460.841</v>
      </c>
      <c r="L406" s="34" t="n"/>
      <c r="M406" s="34" t="n"/>
      <c r="N406" s="34" t="n"/>
      <c r="O406" s="34" t="n"/>
      <c r="P406" s="44">
        <f>-(P318-N(P314))</f>
        <v>-596.589</v>
      </c>
      <c r="Q406" s="34" t="n"/>
      <c r="R406" s="34" t="n"/>
      <c r="S406" s="34" t="n"/>
      <c r="T406" s="34" t="n"/>
      <c r="U406" s="44">
        <f>-(U318-N(U314))</f>
        <v>-601.575</v>
      </c>
      <c r="V406" s="34" t="n"/>
      <c r="W406" s="34" t="n"/>
      <c r="X406" s="34" t="n"/>
      <c r="Y406" s="34" t="n"/>
      <c r="Z406" s="44">
        <f>-(Z318-N(Z314))</f>
        <v>-620.082</v>
      </c>
      <c r="AA406" s="34" t="n"/>
      <c r="AB406" s="34" t="n"/>
      <c r="AC406" s="34" t="n"/>
      <c r="AD406" s="34" t="n"/>
      <c r="AE406" s="44">
        <f>-(AE318-N(AE314))</f>
        <v>-617.051</v>
      </c>
      <c r="AF406" s="34" t="n"/>
      <c r="AG406" s="34" t="n"/>
      <c r="AH406" s="34" t="n"/>
      <c r="AI406" s="34" t="n"/>
      <c r="AJ406" s="44">
        <f>-(AJ318-N(AJ314))</f>
        <v>-662.377</v>
      </c>
      <c r="AK406" s="34" t="n"/>
      <c r="AL406" s="34" t="n"/>
      <c r="AM406" s="257" t="n"/>
      <c r="AN406" s="257" t="n"/>
      <c r="AO406" s="257">
        <f>-(AO318-N(AO314))</f>
        <v>-752.856072613312</v>
      </c>
      <c r="AP406" s="257">
        <f>-(AP318-N(AP314))</f>
        <v>-785.27440839818</v>
      </c>
      <c r="AQ406" s="257">
        <f>-(AQ318-N(AQ314))</f>
        <v>-814.390821743332</v>
      </c>
      <c r="AR406" s="257">
        <f>-(AR318-N(AR314))</f>
        <v>-859.572770714718</v>
      </c>
      <c r="AS406" s="257">
        <f>-(AS318-N(AS314))</f>
        <v>-911.162336597064</v>
      </c>
      <c r="AT406" s="19" t="n"/>
    </row>
    <row r="407">
      <c r="B407" s="16" t="inlineStr">
        <is>
          <t xml:space="preserve">  = Net tangible assets</t>
        </is>
      </c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>
        <f>K404+K405+K406</f>
        <v>794.405</v>
      </c>
      <c r="L407" s="43" t="n"/>
      <c r="M407" s="43" t="n"/>
      <c r="N407" s="43" t="n"/>
      <c r="O407" s="43" t="n"/>
      <c r="P407" s="43">
        <f>P404+P405+P406</f>
        <v>810.246000000001</v>
      </c>
      <c r="Q407" s="43" t="n"/>
      <c r="R407" s="43" t="n"/>
      <c r="S407" s="43" t="n"/>
      <c r="T407" s="43" t="n"/>
      <c r="U407" s="43">
        <f>U404+U405+U406</f>
        <v>1105.506</v>
      </c>
      <c r="V407" s="43" t="n"/>
      <c r="W407" s="43" t="n"/>
      <c r="X407" s="43" t="n"/>
      <c r="Y407" s="43" t="n"/>
      <c r="Z407" s="43">
        <f>Z404+Z405+Z406</f>
        <v>1120.681</v>
      </c>
      <c r="AA407" s="43" t="n"/>
      <c r="AB407" s="43" t="n"/>
      <c r="AC407" s="43" t="n"/>
      <c r="AD407" s="43" t="n"/>
      <c r="AE407" s="43">
        <f>AE404+AE405+AE406</f>
        <v>1276.938</v>
      </c>
      <c r="AF407" s="43" t="n"/>
      <c r="AG407" s="43" t="n"/>
      <c r="AH407" s="43" t="n"/>
      <c r="AI407" s="43" t="n"/>
      <c r="AJ407" s="43">
        <f>AJ404+AJ405+AJ406</f>
        <v>1481.009</v>
      </c>
      <c r="AK407" s="43" t="n"/>
      <c r="AL407" s="43" t="n"/>
      <c r="AM407" s="253" t="n"/>
      <c r="AN407" s="253" t="n"/>
      <c r="AO407" s="253">
        <f>AO404+AO405+AO406</f>
        <v>1619.22676309332</v>
      </c>
      <c r="AP407" s="253">
        <f>AP404+AP405+AP406</f>
        <v>1829.68930202533</v>
      </c>
      <c r="AQ407" s="253">
        <f>AQ404+AQ405+AQ406</f>
        <v>2014.64337119866</v>
      </c>
      <c r="AR407" s="253">
        <f>AR404+AR405+AR406</f>
        <v>1956.27753304935</v>
      </c>
      <c r="AS407" s="253">
        <f>AS404+AS405+AS406</f>
        <v>1898.466627061</v>
      </c>
      <c r="AT407" s="19" t="n"/>
    </row>
    <row r="408">
      <c r="B408" s="55" t="inlineStr">
        <is>
          <t>RONTA = NOPAT / NTA</t>
        </is>
      </c>
      <c r="C408" s="70" t="n"/>
      <c r="D408" s="70" t="n"/>
      <c r="E408" s="70" t="n"/>
      <c r="F408" s="70" t="n"/>
      <c r="G408" s="70" t="n"/>
      <c r="H408" s="70" t="n"/>
      <c r="I408" s="70" t="n"/>
      <c r="J408" s="70" t="n"/>
      <c r="K408" s="70">
        <f>IFERROR(K403/K407,"n/a")</f>
        <v>0.256911898143023</v>
      </c>
      <c r="L408" s="70" t="n"/>
      <c r="M408" s="70" t="n"/>
      <c r="N408" s="70" t="n"/>
      <c r="O408" s="70" t="n"/>
      <c r="P408" s="70">
        <f>IFERROR(P403/P407,"n/a")</f>
        <v>0.337577737712696</v>
      </c>
      <c r="Q408" s="70" t="n"/>
      <c r="R408" s="70" t="n"/>
      <c r="S408" s="70" t="n"/>
      <c r="T408" s="70" t="n"/>
      <c r="U408" s="70">
        <f>IFERROR(U403/U407,"n/a")</f>
        <v>0.279765741605531</v>
      </c>
      <c r="V408" s="70" t="n"/>
      <c r="W408" s="70" t="n"/>
      <c r="X408" s="70" t="n"/>
      <c r="Y408" s="70" t="n"/>
      <c r="Z408" s="70">
        <f>IFERROR(Z403/Z407,"n/a")</f>
        <v>0.290559110654079</v>
      </c>
      <c r="AA408" s="70" t="n"/>
      <c r="AB408" s="70" t="n"/>
      <c r="AC408" s="70" t="n"/>
      <c r="AD408" s="70" t="n"/>
      <c r="AE408" s="70">
        <f>IFERROR(AE403/AE407,"n/a")</f>
        <v>0.304948683325089</v>
      </c>
      <c r="AF408" s="70" t="n"/>
      <c r="AG408" s="70" t="n"/>
      <c r="AH408" s="70" t="n"/>
      <c r="AI408" s="70" t="n"/>
      <c r="AJ408" s="70">
        <f>IFERROR(AJ403/AJ407,"n/a")</f>
        <v>0.27289073623435</v>
      </c>
      <c r="AK408" s="70" t="n"/>
      <c r="AL408" s="70" t="n"/>
      <c r="AM408" s="70" t="n"/>
      <c r="AN408" s="70" t="n"/>
      <c r="AO408" s="70">
        <f>IFERROR(AO403/AO407,"n/a")</f>
        <v>0.273733044509992</v>
      </c>
      <c r="AP408" s="70">
        <f>IFERROR(AP403/AP407,"n/a")</f>
        <v>0.271636729960637</v>
      </c>
      <c r="AQ408" s="70">
        <f>IFERROR(AQ403/AQ407,"n/a")</f>
        <v>0.267912478061742</v>
      </c>
      <c r="AR408" s="70">
        <f>IFERROR(AR403/AR407,"n/a")</f>
        <v>0.297259750755107</v>
      </c>
      <c r="AS408" s="70">
        <f>IFERROR(AS403/AS407,"n/a")</f>
        <v>0.328746007678721</v>
      </c>
      <c r="AT408" s="19" t="n"/>
      <c r="AV408" s="20">
        <f>IFERROR(AVERAGE(AO408,AP408,AQ408,AR408,AS408),"n/m")</f>
        <v>0.28785760219324</v>
      </c>
      <c r="AW408" s="20">
        <f>IFERROR(AVERAGE(K408,P408,U408,Z408,AE408,AJ408),"n/m")</f>
        <v>0.290442317945795</v>
      </c>
      <c r="AX408" s="20">
        <f>IFERROR(AVERAGE(F408,G408,H408,I408,J408,K408,P408,U408,Z408,AE408,AJ408),"n/m")</f>
        <v>0.290442317945795</v>
      </c>
      <c r="AY408" s="20">
        <f>IFERROR(AVERAGE(C408,D408,E408,F408,G408,H408,I408,J408,K408,P408,U408,Z408,AE408,AJ408),"n/m")</f>
        <v>0.290442317945795</v>
      </c>
    </row>
    <row r="409">
      <c r="B409" s="14" t="inlineStr">
        <is>
          <t>Return on Equity (ROE)</t>
        </is>
      </c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5" t="n"/>
    </row>
    <row r="410">
      <c r="B410" s="25" t="inlineStr">
        <is>
          <t>Net income attributable to ESAB</t>
        </is>
      </c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44">
        <f>K156</f>
        <v>157.414</v>
      </c>
      <c r="L410" s="34" t="n"/>
      <c r="M410" s="34" t="n"/>
      <c r="N410" s="34" t="n"/>
      <c r="O410" s="34" t="n"/>
      <c r="P410" s="44">
        <f>P156</f>
        <v>235.11</v>
      </c>
      <c r="Q410" s="34" t="n"/>
      <c r="R410" s="34" t="n"/>
      <c r="S410" s="34" t="n"/>
      <c r="T410" s="34" t="n"/>
      <c r="U410" s="44">
        <f>U156</f>
        <v>223.747</v>
      </c>
      <c r="V410" s="34" t="n"/>
      <c r="W410" s="34" t="n"/>
      <c r="X410" s="34" t="n"/>
      <c r="Y410" s="34" t="n"/>
      <c r="Z410" s="44">
        <f>Z156</f>
        <v>205.285</v>
      </c>
      <c r="AA410" s="34" t="n"/>
      <c r="AB410" s="34" t="n"/>
      <c r="AC410" s="34" t="n"/>
      <c r="AD410" s="34" t="n"/>
      <c r="AE410" s="44">
        <f>AE156</f>
        <v>264.842</v>
      </c>
      <c r="AF410" s="34" t="n"/>
      <c r="AG410" s="34" t="n"/>
      <c r="AH410" s="34" t="n"/>
      <c r="AI410" s="34" t="n"/>
      <c r="AJ410" s="44">
        <f>AJ156</f>
        <v>226.766</v>
      </c>
      <c r="AK410" s="34" t="n"/>
      <c r="AL410" s="34" t="n"/>
      <c r="AM410" s="257" t="n"/>
      <c r="AN410" s="257" t="n"/>
      <c r="AO410" s="257">
        <f>AO156</f>
        <v>179.895650684931</v>
      </c>
      <c r="AP410" s="257">
        <f>AP156</f>
        <v>267.821920151609</v>
      </c>
      <c r="AQ410" s="257">
        <f>AQ156</f>
        <v>335.178239104026</v>
      </c>
      <c r="AR410" s="257">
        <f>AR156</f>
        <v>382.031863135185</v>
      </c>
      <c r="AS410" s="257">
        <f>AS156</f>
        <v>422.265302206573</v>
      </c>
      <c r="AT410" s="19" t="n"/>
    </row>
    <row r="411">
      <c r="B411" s="25" t="inlineStr">
        <is>
          <t>ESAB Corporation equity</t>
        </is>
      </c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44">
        <f>K327</f>
        <v>2502.628</v>
      </c>
      <c r="L411" s="34" t="n"/>
      <c r="M411" s="34" t="n"/>
      <c r="N411" s="34" t="n"/>
      <c r="O411" s="34" t="n"/>
      <c r="P411" s="44">
        <f>P327</f>
        <v>2460.735</v>
      </c>
      <c r="Q411" s="34" t="n"/>
      <c r="R411" s="34" t="n"/>
      <c r="S411" s="34" t="n"/>
      <c r="T411" s="34" t="n"/>
      <c r="U411" s="44">
        <f>U327</f>
        <v>1350.207</v>
      </c>
      <c r="V411" s="34" t="n"/>
      <c r="W411" s="34" t="n"/>
      <c r="X411" s="34" t="n"/>
      <c r="Y411" s="34" t="n"/>
      <c r="Z411" s="44">
        <f>Z327</f>
        <v>1607.399</v>
      </c>
      <c r="AA411" s="34" t="n"/>
      <c r="AB411" s="34" t="n"/>
      <c r="AC411" s="34" t="n"/>
      <c r="AD411" s="34" t="n"/>
      <c r="AE411" s="44">
        <f>AE327</f>
        <v>1769.004</v>
      </c>
      <c r="AF411" s="34" t="n"/>
      <c r="AG411" s="34" t="n"/>
      <c r="AH411" s="34" t="n"/>
      <c r="AI411" s="34" t="n"/>
      <c r="AJ411" s="44">
        <f>AJ327</f>
        <v>2166.04</v>
      </c>
      <c r="AK411" s="34" t="n"/>
      <c r="AL411" s="34" t="n"/>
      <c r="AM411" s="257" t="n"/>
      <c r="AN411" s="257" t="n"/>
      <c r="AO411" s="257">
        <f>AO327</f>
        <v>2636.8635098768</v>
      </c>
      <c r="AP411" s="257">
        <f>AP327</f>
        <v>2900.04478644885</v>
      </c>
      <c r="AQ411" s="257">
        <f>AQ327</f>
        <v>3121.771427352</v>
      </c>
      <c r="AR411" s="257">
        <f>AR327</f>
        <v>3144.18366393097</v>
      </c>
      <c r="AS411" s="257">
        <f>AS327</f>
        <v>3162.56179483618</v>
      </c>
      <c r="AT411" s="19" t="n"/>
    </row>
    <row r="412">
      <c r="B412" s="55" t="inlineStr">
        <is>
          <t>ROE = Net income / Equity</t>
        </is>
      </c>
      <c r="C412" s="70" t="n"/>
      <c r="D412" s="70" t="n"/>
      <c r="E412" s="70" t="n"/>
      <c r="F412" s="70" t="n"/>
      <c r="G412" s="70" t="n"/>
      <c r="H412" s="70" t="n"/>
      <c r="I412" s="70" t="n"/>
      <c r="J412" s="70" t="n"/>
      <c r="K412" s="70">
        <f>IFERROR(K410/K411,"n/a")</f>
        <v>0.062899480066554</v>
      </c>
      <c r="L412" s="70" t="n"/>
      <c r="M412" s="70" t="n"/>
      <c r="N412" s="70" t="n"/>
      <c r="O412" s="70" t="n"/>
      <c r="P412" s="70">
        <f>IFERROR(P410/P411,"n/a")</f>
        <v>0.0955446238623825</v>
      </c>
      <c r="Q412" s="70" t="n"/>
      <c r="R412" s="70" t="n"/>
      <c r="S412" s="70" t="n"/>
      <c r="T412" s="70" t="n"/>
      <c r="U412" s="70">
        <f>IFERROR(U410/U411,"n/a")</f>
        <v>0.165713109175112</v>
      </c>
      <c r="V412" s="70" t="n"/>
      <c r="W412" s="70" t="n"/>
      <c r="X412" s="70" t="n"/>
      <c r="Y412" s="70" t="n"/>
      <c r="Z412" s="70">
        <f>IFERROR(Z410/Z411,"n/a")</f>
        <v>0.12771253434897</v>
      </c>
      <c r="AA412" s="70" t="n"/>
      <c r="AB412" s="70" t="n"/>
      <c r="AC412" s="70" t="n"/>
      <c r="AD412" s="70" t="n"/>
      <c r="AE412" s="70">
        <f>IFERROR(AE410/AE411,"n/a")</f>
        <v>0.14971249358396</v>
      </c>
      <c r="AF412" s="70" t="n"/>
      <c r="AG412" s="70" t="n"/>
      <c r="AH412" s="70" t="n"/>
      <c r="AI412" s="70" t="n"/>
      <c r="AJ412" s="70">
        <f>IFERROR(AJ410/AJ411,"n/a")</f>
        <v>0.104691510775424</v>
      </c>
      <c r="AK412" s="70" t="n"/>
      <c r="AL412" s="70" t="n"/>
      <c r="AM412" s="70" t="n"/>
      <c r="AN412" s="70" t="n"/>
      <c r="AO412" s="70">
        <f>IFERROR(AO410/AO411,"n/a")</f>
        <v>0.0682233456571047</v>
      </c>
      <c r="AP412" s="70">
        <f>IFERROR(AP410/AP411,"n/a")</f>
        <v>0.0923509600276074</v>
      </c>
      <c r="AQ412" s="70">
        <f>IFERROR(AQ410/AQ411,"n/a")</f>
        <v>0.107367962999244</v>
      </c>
      <c r="AR412" s="70">
        <f>IFERROR(AR410/AR411,"n/a")</f>
        <v>0.121504308898277</v>
      </c>
      <c r="AS412" s="70">
        <f>IFERROR(AS410/AS411,"n/a")</f>
        <v>0.133520016240013</v>
      </c>
      <c r="AT412" s="19" t="n"/>
      <c r="AV412" s="20">
        <f>IFERROR(AVERAGE(AO412,AP412,AQ412,AR412,AS412),"n/m")</f>
        <v>0.104593318764449</v>
      </c>
      <c r="AW412" s="20">
        <f>IFERROR(AVERAGE(K412,P412,U412,Z412,AE412,AJ412),"n/m")</f>
        <v>0.117712291968734</v>
      </c>
      <c r="AX412" s="20">
        <f>IFERROR(AVERAGE(F412,G412,H412,I412,J412,K412,P412,U412,Z412,AE412,AJ412),"n/m")</f>
        <v>0.117712291968734</v>
      </c>
      <c r="AY412" s="20">
        <f>IFERROR(AVERAGE(C412,D412,E412,F412,G412,H412,I412,J412,K412,P412,U412,Z412,AE412,AJ412),"n/m")</f>
        <v>0.117712291968734</v>
      </c>
    </row>
    <row r="413">
      <c r="B413" s="14" t="inlineStr">
        <is>
          <t>Leverage</t>
        </is>
      </c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  <c r="AM413" s="14" t="n"/>
      <c r="AN413" s="14" t="n"/>
      <c r="AO413" s="14" t="n"/>
      <c r="AP413" s="14" t="n"/>
      <c r="AQ413" s="14" t="n"/>
      <c r="AR413" s="14" t="n"/>
      <c r="AS413" s="14" t="n"/>
      <c r="AT413" s="15" t="n"/>
    </row>
    <row r="414">
      <c r="B414" s="25" t="inlineStr">
        <is>
          <t>Net debt = Total debt − cash</t>
        </is>
      </c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44">
        <f>K396</f>
        <v>-49.209</v>
      </c>
      <c r="L414" s="34" t="n"/>
      <c r="M414" s="34" t="n"/>
      <c r="N414" s="34" t="n"/>
      <c r="O414" s="34" t="n"/>
      <c r="P414" s="44">
        <f>P396</f>
        <v>-41.209</v>
      </c>
      <c r="Q414" s="34" t="n"/>
      <c r="R414" s="34" t="n"/>
      <c r="S414" s="34" t="n"/>
      <c r="T414" s="34" t="n"/>
      <c r="U414" s="44">
        <f>U396</f>
        <v>1146.619</v>
      </c>
      <c r="V414" s="34" t="n"/>
      <c r="W414" s="34" t="n"/>
      <c r="X414" s="34" t="n"/>
      <c r="Y414" s="34" t="n"/>
      <c r="Z414" s="44">
        <f>Z396</f>
        <v>916.054</v>
      </c>
      <c r="AA414" s="34" t="n"/>
      <c r="AB414" s="34" t="n"/>
      <c r="AC414" s="34" t="n"/>
      <c r="AD414" s="34" t="n"/>
      <c r="AE414" s="44">
        <f>AE396</f>
        <v>826.381</v>
      </c>
      <c r="AF414" s="34" t="n"/>
      <c r="AG414" s="34" t="n"/>
      <c r="AH414" s="34" t="n"/>
      <c r="AI414" s="34" t="n"/>
      <c r="AJ414" s="44">
        <f>AJ396</f>
        <v>1049.089</v>
      </c>
      <c r="AK414" s="34" t="n"/>
      <c r="AL414" s="34" t="n"/>
      <c r="AM414" s="257" t="n"/>
      <c r="AN414" s="257" t="n"/>
      <c r="AO414" s="257">
        <f>AO396</f>
        <v>1993.64737650419</v>
      </c>
      <c r="AP414" s="257">
        <f>AP396</f>
        <v>1657.9063800187</v>
      </c>
      <c r="AQ414" s="257">
        <f>AQ396</f>
        <v>1519.38369118694</v>
      </c>
      <c r="AR414" s="257">
        <f>AR396</f>
        <v>1636.49320552849</v>
      </c>
      <c r="AS414" s="257">
        <f>AS396</f>
        <v>1756.57526545999</v>
      </c>
      <c r="AT414" s="19" t="n"/>
    </row>
    <row r="415">
      <c r="B415" s="25" t="inlineStr">
        <is>
          <t>Adjusted EBITDA (2026E pro forma for Eddyfi full year)</t>
        </is>
      </c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44">
        <f>K189</f>
        <v>301.146</v>
      </c>
      <c r="L415" s="34" t="n"/>
      <c r="M415" s="34" t="n"/>
      <c r="N415" s="34" t="n"/>
      <c r="O415" s="34" t="n"/>
      <c r="P415" s="44">
        <f>P189</f>
        <v>404.168</v>
      </c>
      <c r="Q415" s="34" t="n"/>
      <c r="R415" s="34" t="n"/>
      <c r="S415" s="34" t="n"/>
      <c r="T415" s="34" t="n"/>
      <c r="U415" s="44">
        <f>U189</f>
        <v>436.761</v>
      </c>
      <c r="V415" s="34" t="n"/>
      <c r="W415" s="34" t="n"/>
      <c r="X415" s="34" t="n"/>
      <c r="Y415" s="34" t="n"/>
      <c r="Z415" s="44">
        <f>Z189</f>
        <v>501.176</v>
      </c>
      <c r="AA415" s="34" t="n"/>
      <c r="AB415" s="34" t="n"/>
      <c r="AC415" s="34" t="n"/>
      <c r="AD415" s="34" t="n"/>
      <c r="AE415" s="44">
        <f>AE189</f>
        <v>528.777</v>
      </c>
      <c r="AF415" s="34" t="n"/>
      <c r="AG415" s="34" t="n"/>
      <c r="AH415" s="34" t="n"/>
      <c r="AI415" s="34" t="n"/>
      <c r="AJ415" s="44">
        <f>AJ189</f>
        <v>559.726</v>
      </c>
      <c r="AK415" s="34" t="n"/>
      <c r="AL415" s="34" t="n"/>
      <c r="AM415" s="257" t="n"/>
      <c r="AN415" s="257" t="n"/>
      <c r="AO415" s="257">
        <f>AO202</f>
        <v>658.078304109589</v>
      </c>
      <c r="AP415" s="257">
        <f>AP189</f>
        <v>707.274998417731</v>
      </c>
      <c r="AQ415" s="257">
        <f>AQ189</f>
        <v>766.04684559347</v>
      </c>
      <c r="AR415" s="257">
        <f>AR189</f>
        <v>824.601602764246</v>
      </c>
      <c r="AS415" s="257">
        <f>AS189</f>
        <v>884.642632729996</v>
      </c>
      <c r="AT415" s="19" t="n"/>
    </row>
    <row r="416">
      <c r="B416" s="55" t="inlineStr">
        <is>
          <t>Net debt / Adjusted EBITDA (x)</t>
        </is>
      </c>
      <c r="C416" s="71" t="n"/>
      <c r="D416" s="71" t="n"/>
      <c r="E416" s="71" t="n"/>
      <c r="F416" s="71" t="n"/>
      <c r="G416" s="71" t="n"/>
      <c r="H416" s="71" t="n"/>
      <c r="I416" s="71" t="n"/>
      <c r="J416" s="71" t="n"/>
      <c r="K416" s="71">
        <f>IFERROR(K414/K415,"n/a")</f>
        <v>-0.163405789882648</v>
      </c>
      <c r="L416" s="71" t="n"/>
      <c r="M416" s="71" t="n"/>
      <c r="N416" s="71" t="n"/>
      <c r="O416" s="71" t="n"/>
      <c r="P416" s="71">
        <f>IFERROR(P414/P415,"n/a")</f>
        <v>-0.101960076007997</v>
      </c>
      <c r="Q416" s="71" t="n"/>
      <c r="R416" s="71" t="n"/>
      <c r="S416" s="71" t="n"/>
      <c r="T416" s="71" t="n"/>
      <c r="U416" s="71">
        <f>IFERROR(U414/U415,"n/a")</f>
        <v>2.62527789798082</v>
      </c>
      <c r="V416" s="71" t="n"/>
      <c r="W416" s="71" t="n"/>
      <c r="X416" s="71" t="n"/>
      <c r="Y416" s="71" t="n"/>
      <c r="Z416" s="71">
        <f>IFERROR(Z414/Z415,"n/a")</f>
        <v>1.82780899324788</v>
      </c>
      <c r="AA416" s="71" t="n"/>
      <c r="AB416" s="71" t="n"/>
      <c r="AC416" s="71" t="n"/>
      <c r="AD416" s="71" t="n"/>
      <c r="AE416" s="71">
        <f>IFERROR(AE414/AE415,"n/a")</f>
        <v>1.56281570491909</v>
      </c>
      <c r="AF416" s="71" t="n"/>
      <c r="AG416" s="71" t="n"/>
      <c r="AH416" s="71" t="n"/>
      <c r="AI416" s="71" t="n"/>
      <c r="AJ416" s="71">
        <f>IFERROR(AJ414/AJ415,"n/a")</f>
        <v>1.87429027774304</v>
      </c>
      <c r="AK416" s="71" t="n"/>
      <c r="AL416" s="71" t="n"/>
      <c r="AM416" s="71" t="n"/>
      <c r="AN416" s="71" t="n"/>
      <c r="AO416" s="71">
        <f>IFERROR(AO414/AO415,"n/a")</f>
        <v>3.02949871474898</v>
      </c>
      <c r="AP416" s="71">
        <f>IFERROR(AP414/AP415,"n/a")</f>
        <v>2.34407604358652</v>
      </c>
      <c r="AQ416" s="71">
        <f>IFERROR(AQ414/AQ415,"n/a")</f>
        <v>1.98340832538753</v>
      </c>
      <c r="AR416" s="71">
        <f>IFERROR(AR414/AR415,"n/a")</f>
        <v>1.98458649612444</v>
      </c>
      <c r="AS416" s="71">
        <f>IFERROR(AS414/AS415,"n/a")</f>
        <v>1.9856326164603</v>
      </c>
      <c r="AT416" s="19" t="n"/>
    </row>
    <row r="417">
      <c r="AT417" s="19" t="n"/>
    </row>
    <row r="418">
      <c r="B418" s="10" t="inlineStr">
        <is>
          <t>VALUATION</t>
        </is>
      </c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  <c r="AH418" s="10" t="n"/>
      <c r="AI418" s="10" t="n"/>
      <c r="AJ418" s="10" t="n"/>
      <c r="AK418" s="10" t="n"/>
      <c r="AL418" s="10" t="n"/>
      <c r="AM418" s="10" t="n"/>
      <c r="AN418" s="10" t="n"/>
      <c r="AO418" s="10" t="n"/>
      <c r="AP418" s="10" t="n"/>
      <c r="AQ418" s="10" t="n"/>
      <c r="AR418" s="10" t="n"/>
      <c r="AS418" s="10" t="n"/>
      <c r="AT418" s="10" t="inlineStr">
        <is>
          <t>VALUATION — share price input $69.94 (close 3-Oct-2026 (tickertape via web search; market data sites are blocked from this environment) — update to market)</t>
        </is>
      </c>
    </row>
    <row r="419">
      <c r="B419" s="69" t="inlineStr">
        <is>
          <t>Share price ($) — current</t>
        </is>
      </c>
      <c r="C419" s="287" t="n"/>
      <c r="D419" s="287" t="n"/>
      <c r="E419" s="287" t="n"/>
      <c r="F419" s="287" t="n"/>
      <c r="G419" s="287" t="n"/>
      <c r="H419" s="287" t="n"/>
      <c r="I419" s="287" t="n"/>
      <c r="J419" s="287" t="n"/>
      <c r="K419" s="287" t="n"/>
      <c r="L419" s="287" t="n"/>
      <c r="M419" s="287" t="n"/>
      <c r="N419" s="287" t="n"/>
      <c r="O419" s="287" t="n"/>
      <c r="P419" s="287" t="n"/>
      <c r="Q419" s="287" t="n"/>
      <c r="R419" s="287" t="n"/>
      <c r="S419" s="287" t="n"/>
      <c r="T419" s="287" t="n"/>
      <c r="U419" s="287" t="n"/>
      <c r="V419" s="287" t="n"/>
      <c r="W419" s="287" t="n"/>
      <c r="X419" s="287" t="n"/>
      <c r="Y419" s="287" t="n"/>
      <c r="Z419" s="287" t="n"/>
      <c r="AA419" s="287" t="n"/>
      <c r="AB419" s="287" t="n"/>
      <c r="AC419" s="287" t="n"/>
      <c r="AD419" s="287" t="n"/>
      <c r="AE419" s="287" t="n"/>
      <c r="AF419" s="287" t="n"/>
      <c r="AG419" s="287" t="n"/>
      <c r="AH419" s="287" t="n"/>
      <c r="AI419" s="287" t="n"/>
      <c r="AJ419" s="287" t="n"/>
      <c r="AK419" s="287" t="n"/>
      <c r="AL419" s="287" t="n"/>
      <c r="AM419" s="273" t="n"/>
      <c r="AN419" s="273" t="n"/>
      <c r="AO419" s="288" t="n">
        <v>69.94</v>
      </c>
      <c r="AP419" s="270">
        <f>AO419</f>
        <v>69.94</v>
      </c>
      <c r="AQ419" s="270">
        <f>AP419</f>
        <v>69.94</v>
      </c>
      <c r="AR419" s="270">
        <f>AQ419</f>
        <v>69.94</v>
      </c>
      <c r="AS419" s="270">
        <f>AR419</f>
        <v>69.94</v>
      </c>
      <c r="AT419" s="19" t="n"/>
    </row>
    <row r="420">
      <c r="B420" s="25" t="inlineStr">
        <is>
          <t>Diluted shares at period end (m; incl. MCPS if-converted shares)</t>
        </is>
      </c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  <c r="AA420" s="45" t="n"/>
      <c r="AB420" s="45" t="n"/>
      <c r="AC420" s="45" t="n"/>
      <c r="AD420" s="45" t="n"/>
      <c r="AE420" s="45" t="n"/>
      <c r="AF420" s="45" t="n"/>
      <c r="AG420" s="45" t="n"/>
      <c r="AH420" s="45" t="n"/>
      <c r="AI420" s="45" t="n"/>
      <c r="AJ420" s="45" t="n"/>
      <c r="AK420" s="45" t="n"/>
      <c r="AL420" s="45" t="n"/>
      <c r="AM420" s="266" t="n"/>
      <c r="AN420" s="266" t="n"/>
      <c r="AO420" s="266">
        <f>AO298+(AO166-AO165)+AO296</f>
        <v>63.96229775</v>
      </c>
      <c r="AP420" s="266">
        <f>AP298+(AP166-AP165)+AP296</f>
        <v>64.215302</v>
      </c>
      <c r="AQ420" s="266">
        <f>AQ298+(AQ166-AQ165)+AQ296</f>
        <v>63.2088321353076</v>
      </c>
      <c r="AR420" s="266">
        <f>AR298+(AR166-AR165)</f>
        <v>59.5023198728742</v>
      </c>
      <c r="AS420" s="266">
        <f>AS298+(AS166-AS165)</f>
        <v>55.6160631705856</v>
      </c>
      <c r="AT420" s="19" t="n"/>
    </row>
    <row r="421">
      <c r="B421" s="25" t="inlineStr">
        <is>
          <t>Market capitalisation (USDm)</t>
        </is>
      </c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  <c r="AA421" s="34" t="n"/>
      <c r="AB421" s="34" t="n"/>
      <c r="AC421" s="34" t="n"/>
      <c r="AD421" s="34" t="n"/>
      <c r="AE421" s="34" t="n"/>
      <c r="AF421" s="34" t="n"/>
      <c r="AG421" s="34" t="n"/>
      <c r="AH421" s="34" t="n"/>
      <c r="AI421" s="34" t="n"/>
      <c r="AJ421" s="34" t="n"/>
      <c r="AK421" s="34" t="n"/>
      <c r="AL421" s="34" t="n"/>
      <c r="AM421" s="257" t="n"/>
      <c r="AN421" s="257" t="n"/>
      <c r="AO421" s="257">
        <f>IFERROR(AO419*AO420,"n/a")</f>
        <v>4473.523104635</v>
      </c>
      <c r="AP421" s="257">
        <f>IFERROR(AP419*AP420,"n/a")</f>
        <v>4491.21822188</v>
      </c>
      <c r="AQ421" s="257">
        <f>IFERROR(AQ419*AQ420,"n/a")</f>
        <v>4420.82571954342</v>
      </c>
      <c r="AR421" s="257">
        <f>IFERROR(AR419*AR420,"n/a")</f>
        <v>4161.59225190882</v>
      </c>
      <c r="AS421" s="257">
        <f>IFERROR(AS419*AS420,"n/a")</f>
        <v>3889.78745815076</v>
      </c>
      <c r="AT421" s="19" t="n"/>
    </row>
    <row r="422">
      <c r="B422" s="25" t="inlineStr">
        <is>
          <t>Net debt (USDm)</t>
        </is>
      </c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  <c r="AA422" s="34" t="n"/>
      <c r="AB422" s="34" t="n"/>
      <c r="AC422" s="34" t="n"/>
      <c r="AD422" s="34" t="n"/>
      <c r="AE422" s="34" t="n"/>
      <c r="AF422" s="34" t="n"/>
      <c r="AG422" s="34" t="n"/>
      <c r="AH422" s="34" t="n"/>
      <c r="AI422" s="34" t="n"/>
      <c r="AJ422" s="34" t="n"/>
      <c r="AK422" s="34" t="n"/>
      <c r="AL422" s="34" t="n"/>
      <c r="AM422" s="257" t="n"/>
      <c r="AN422" s="257" t="n"/>
      <c r="AO422" s="257">
        <f>AO396</f>
        <v>1993.64737650419</v>
      </c>
      <c r="AP422" s="257">
        <f>AP396</f>
        <v>1657.9063800187</v>
      </c>
      <c r="AQ422" s="257">
        <f>AQ396</f>
        <v>1519.38369118694</v>
      </c>
      <c r="AR422" s="257">
        <f>AR396</f>
        <v>1636.49320552849</v>
      </c>
      <c r="AS422" s="257">
        <f>AS396</f>
        <v>1756.57526545999</v>
      </c>
      <c r="AT422" s="19" t="n"/>
    </row>
    <row r="423">
      <c r="B423" s="25" t="inlineStr">
        <is>
          <t>Noncontrolling interest (USDm)</t>
        </is>
      </c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  <c r="AA423" s="34" t="n"/>
      <c r="AB423" s="34" t="n"/>
      <c r="AC423" s="34" t="n"/>
      <c r="AD423" s="34" t="n"/>
      <c r="AE423" s="34" t="n"/>
      <c r="AF423" s="34" t="n"/>
      <c r="AG423" s="34" t="n"/>
      <c r="AH423" s="34" t="n"/>
      <c r="AI423" s="34" t="n"/>
      <c r="AJ423" s="34" t="n"/>
      <c r="AK423" s="34" t="n"/>
      <c r="AL423" s="34" t="n"/>
      <c r="AM423" s="257" t="n"/>
      <c r="AN423" s="257" t="n"/>
      <c r="AO423" s="257">
        <f>N(AO328)</f>
        <v>48.763</v>
      </c>
      <c r="AP423" s="257">
        <f>N(AP328)</f>
        <v>55.70163886415</v>
      </c>
      <c r="AQ423" s="257">
        <f>N(AQ328)</f>
        <v>62.9790671343316</v>
      </c>
      <c r="AR423" s="257">
        <f>N(AR328)</f>
        <v>70.7009924060507</v>
      </c>
      <c r="AS423" s="257">
        <f>N(AS328)</f>
        <v>78.911955512482</v>
      </c>
      <c r="AT423" s="19" t="n"/>
    </row>
    <row r="424">
      <c r="B424" s="25" t="inlineStr">
        <is>
          <t>Asbestos liabilities net of insurance assets (USDm; debt-like)</t>
        </is>
      </c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  <c r="AA424" s="34" t="n"/>
      <c r="AB424" s="34" t="n"/>
      <c r="AC424" s="34" t="n"/>
      <c r="AD424" s="34" t="n"/>
      <c r="AE424" s="34" t="n"/>
      <c r="AF424" s="34" t="n"/>
      <c r="AG424" s="34" t="n"/>
      <c r="AH424" s="34" t="n"/>
      <c r="AI424" s="34" t="n"/>
      <c r="AJ424" s="34" t="n"/>
      <c r="AK424" s="34" t="n"/>
      <c r="AL424" s="34" t="n"/>
      <c r="AM424" s="257" t="n"/>
      <c r="AN424" s="257" t="n"/>
      <c r="AO424" s="257">
        <f>54.6</f>
        <v>54.6</v>
      </c>
      <c r="AP424" s="257">
        <f>54.6</f>
        <v>54.6</v>
      </c>
      <c r="AQ424" s="257">
        <f>54.6</f>
        <v>54.6</v>
      </c>
      <c r="AR424" s="257">
        <f>54.6</f>
        <v>54.6</v>
      </c>
      <c r="AS424" s="257">
        <f>54.6</f>
        <v>54.6</v>
      </c>
      <c r="AT424" s="19" t="inlineStr">
        <is>
          <t>Net asbestos exposure at 3-Jul-2026 held flat (cash costs run through discontinued operations).</t>
        </is>
      </c>
    </row>
    <row r="425">
      <c r="B425" s="16" t="inlineStr">
        <is>
          <t>Enterprise value (USDm)</t>
        </is>
      </c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  <c r="W425" s="43" t="n"/>
      <c r="X425" s="43" t="n"/>
      <c r="Y425" s="43" t="n"/>
      <c r="Z425" s="43" t="n"/>
      <c r="AA425" s="43" t="n"/>
      <c r="AB425" s="43" t="n"/>
      <c r="AC425" s="43" t="n"/>
      <c r="AD425" s="43" t="n"/>
      <c r="AE425" s="43" t="n"/>
      <c r="AF425" s="43" t="n"/>
      <c r="AG425" s="43" t="n"/>
      <c r="AH425" s="43" t="n"/>
      <c r="AI425" s="43" t="n"/>
      <c r="AJ425" s="43" t="n"/>
      <c r="AK425" s="43" t="n"/>
      <c r="AL425" s="43" t="n"/>
      <c r="AM425" s="253" t="n"/>
      <c r="AN425" s="253" t="n"/>
      <c r="AO425" s="253">
        <f>IFERROR(AO421+AO422+AO423+AO424,"n/a")</f>
        <v>6570.53348113919</v>
      </c>
      <c r="AP425" s="253">
        <f>IFERROR(AP421+AP422+AP423+AP424,"n/a")</f>
        <v>6259.42624076285</v>
      </c>
      <c r="AQ425" s="253">
        <f>IFERROR(AQ421+AQ422+AQ423+AQ424,"n/a")</f>
        <v>6057.78847786469</v>
      </c>
      <c r="AR425" s="253">
        <f>IFERROR(AR421+AR422+AR423+AR424,"n/a")</f>
        <v>5923.38644984336</v>
      </c>
      <c r="AS425" s="253">
        <f>IFERROR(AS421+AS422+AS423+AS424,"n/a")</f>
        <v>5779.87467912323</v>
      </c>
      <c r="AT425" s="19" t="n"/>
    </row>
    <row r="426">
      <c r="B426" s="25" t="inlineStr">
        <is>
          <t>Multiples</t>
        </is>
      </c>
      <c r="C426" s="271" t="n"/>
      <c r="D426" s="271" t="n"/>
      <c r="E426" s="271" t="n"/>
      <c r="F426" s="271" t="n"/>
      <c r="G426" s="271" t="n"/>
      <c r="H426" s="271" t="n"/>
      <c r="I426" s="271" t="n"/>
      <c r="J426" s="271" t="n"/>
      <c r="K426" s="271" t="n"/>
      <c r="L426" s="271" t="n"/>
      <c r="M426" s="271" t="n"/>
      <c r="N426" s="271" t="n"/>
      <c r="O426" s="271" t="n"/>
      <c r="P426" s="271" t="n"/>
      <c r="Q426" s="271" t="n"/>
      <c r="R426" s="271" t="n"/>
      <c r="S426" s="271" t="n"/>
      <c r="T426" s="271" t="n"/>
      <c r="U426" s="271" t="n"/>
      <c r="V426" s="271" t="n"/>
      <c r="W426" s="271" t="n"/>
      <c r="X426" s="271" t="n"/>
      <c r="Y426" s="271" t="n"/>
      <c r="Z426" s="271" t="n"/>
      <c r="AA426" s="271" t="n"/>
      <c r="AB426" s="271" t="n"/>
      <c r="AC426" s="271" t="n"/>
      <c r="AD426" s="271" t="n"/>
      <c r="AE426" s="271" t="n"/>
      <c r="AF426" s="271" t="n"/>
      <c r="AG426" s="271" t="n"/>
      <c r="AH426" s="271" t="n"/>
      <c r="AI426" s="271" t="n"/>
      <c r="AJ426" s="271" t="n"/>
      <c r="AK426" s="271" t="n"/>
      <c r="AL426" s="271" t="n"/>
      <c r="AM426" s="269" t="n"/>
      <c r="AN426" s="269" t="n"/>
      <c r="AO426" s="269" t="n"/>
      <c r="AP426" s="269" t="n"/>
      <c r="AQ426" s="269" t="n"/>
      <c r="AR426" s="269" t="n"/>
      <c r="AS426" s="269" t="n"/>
      <c r="AT426" s="19" t="n"/>
    </row>
    <row r="427">
      <c r="B427" s="25" t="inlineStr">
        <is>
          <t xml:space="preserve">  EV / Net sales</t>
        </is>
      </c>
      <c r="C427" s="277" t="n"/>
      <c r="D427" s="277" t="n"/>
      <c r="E427" s="277" t="n"/>
      <c r="F427" s="277" t="n"/>
      <c r="G427" s="277" t="n"/>
      <c r="H427" s="277" t="n"/>
      <c r="I427" s="277" t="n"/>
      <c r="J427" s="277" t="n"/>
      <c r="K427" s="277" t="n"/>
      <c r="L427" s="277" t="n"/>
      <c r="M427" s="277" t="n"/>
      <c r="N427" s="277" t="n"/>
      <c r="O427" s="277" t="n"/>
      <c r="P427" s="277" t="n"/>
      <c r="Q427" s="277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  <c r="AE427" s="277" t="n"/>
      <c r="AF427" s="277" t="n"/>
      <c r="AG427" s="277" t="n"/>
      <c r="AH427" s="277" t="n"/>
      <c r="AI427" s="277" t="n"/>
      <c r="AJ427" s="277" t="n"/>
      <c r="AK427" s="277" t="n"/>
      <c r="AL427" s="277" t="n"/>
      <c r="AM427" s="278" t="n"/>
      <c r="AN427" s="278" t="n"/>
      <c r="AO427" s="278">
        <f>IFERROR(AO425/AO136,"n/a")</f>
        <v>2.06437904110284</v>
      </c>
      <c r="AP427" s="278">
        <f>IFERROR(AP425/AP136,"n/a")</f>
        <v>1.82927084016131</v>
      </c>
      <c r="AQ427" s="278">
        <f>IFERROR(AQ425/AQ136,"n/a")</f>
        <v>1.68792809107298</v>
      </c>
      <c r="AR427" s="278">
        <f>IFERROR(AR425/AR136,"n/a")</f>
        <v>1.55547216073921</v>
      </c>
      <c r="AS427" s="278">
        <f>IFERROR(AS425/AS136,"n/a")</f>
        <v>1.42738816279603</v>
      </c>
      <c r="AT427" s="19" t="n"/>
    </row>
    <row r="428">
      <c r="B428" s="25" t="inlineStr">
        <is>
          <t xml:space="preserve">  EV / Adjusted EBITDA (2026E pro forma)</t>
        </is>
      </c>
      <c r="C428" s="262" t="n"/>
      <c r="D428" s="262" t="n"/>
      <c r="E428" s="262" t="n"/>
      <c r="F428" s="262" t="n"/>
      <c r="G428" s="262" t="n"/>
      <c r="H428" s="262" t="n"/>
      <c r="I428" s="262" t="n"/>
      <c r="J428" s="262" t="n"/>
      <c r="K428" s="262" t="n"/>
      <c r="L428" s="262" t="n"/>
      <c r="M428" s="262" t="n"/>
      <c r="N428" s="262" t="n"/>
      <c r="O428" s="262" t="n"/>
      <c r="P428" s="262" t="n"/>
      <c r="Q428" s="262" t="n"/>
      <c r="R428" s="262" t="n"/>
      <c r="S428" s="262" t="n"/>
      <c r="T428" s="262" t="n"/>
      <c r="U428" s="262" t="n"/>
      <c r="V428" s="262" t="n"/>
      <c r="W428" s="262" t="n"/>
      <c r="X428" s="262" t="n"/>
      <c r="Y428" s="262" t="n"/>
      <c r="Z428" s="262" t="n"/>
      <c r="AA428" s="262" t="n"/>
      <c r="AB428" s="262" t="n"/>
      <c r="AC428" s="262" t="n"/>
      <c r="AD428" s="262" t="n"/>
      <c r="AE428" s="262" t="n"/>
      <c r="AF428" s="262" t="n"/>
      <c r="AG428" s="262" t="n"/>
      <c r="AH428" s="262" t="n"/>
      <c r="AI428" s="262" t="n"/>
      <c r="AJ428" s="262" t="n"/>
      <c r="AK428" s="262" t="n"/>
      <c r="AL428" s="262" t="n"/>
      <c r="AM428" s="263" t="n"/>
      <c r="AN428" s="263" t="n"/>
      <c r="AO428" s="263">
        <f>IFERROR(AO425/AO415,"n/a")</f>
        <v>9.98442501463322</v>
      </c>
      <c r="AP428" s="263">
        <f>IFERROR(AP425/AP415,"n/a")</f>
        <v>8.85006009651977</v>
      </c>
      <c r="AQ428" s="263">
        <f>IFERROR(AQ425/AQ415,"n/a")</f>
        <v>7.90785643555729</v>
      </c>
      <c r="AR428" s="263">
        <f>IFERROR(AR425/AR415,"n/a")</f>
        <v>7.18333123533457</v>
      </c>
      <c r="AS428" s="263">
        <f>IFERROR(AS425/AS415,"n/a")</f>
        <v>6.53357012795846</v>
      </c>
      <c r="AT428" s="19" t="n"/>
    </row>
    <row r="429">
      <c r="B429" s="25" t="inlineStr">
        <is>
          <t xml:space="preserve">  EV / Adjusted EBITA</t>
        </is>
      </c>
      <c r="C429" s="262" t="n"/>
      <c r="D429" s="262" t="n"/>
      <c r="E429" s="262" t="n"/>
      <c r="F429" s="262" t="n"/>
      <c r="G429" s="262" t="n"/>
      <c r="H429" s="262" t="n"/>
      <c r="I429" s="262" t="n"/>
      <c r="J429" s="262" t="n"/>
      <c r="K429" s="262" t="n"/>
      <c r="L429" s="262" t="n"/>
      <c r="M429" s="262" t="n"/>
      <c r="N429" s="262" t="n"/>
      <c r="O429" s="262" t="n"/>
      <c r="P429" s="262" t="n"/>
      <c r="Q429" s="262" t="n"/>
      <c r="R429" s="262" t="n"/>
      <c r="S429" s="262" t="n"/>
      <c r="T429" s="262" t="n"/>
      <c r="U429" s="262" t="n"/>
      <c r="V429" s="262" t="n"/>
      <c r="W429" s="262" t="n"/>
      <c r="X429" s="262" t="n"/>
      <c r="Y429" s="262" t="n"/>
      <c r="Z429" s="262" t="n"/>
      <c r="AA429" s="262" t="n"/>
      <c r="AB429" s="262" t="n"/>
      <c r="AC429" s="262" t="n"/>
      <c r="AD429" s="262" t="n"/>
      <c r="AE429" s="262" t="n"/>
      <c r="AF429" s="262" t="n"/>
      <c r="AG429" s="262" t="n"/>
      <c r="AH429" s="262" t="n"/>
      <c r="AI429" s="262" t="n"/>
      <c r="AJ429" s="262" t="n"/>
      <c r="AK429" s="262" t="n"/>
      <c r="AL429" s="262" t="n"/>
      <c r="AM429" s="263" t="n"/>
      <c r="AN429" s="263" t="n"/>
      <c r="AO429" s="263">
        <f>IFERROR(AO425/AO200,"n/a")</f>
        <v>11.4834605751727</v>
      </c>
      <c r="AP429" s="263">
        <f>IFERROR(AP425/AP200,"n/a")</f>
        <v>9.63452080439747</v>
      </c>
      <c r="AQ429" s="263">
        <f>IFERROR(AQ425/AQ200,"n/a")</f>
        <v>8.58587219267103</v>
      </c>
      <c r="AR429" s="263">
        <f>IFERROR(AR425/AR200,"n/a")</f>
        <v>7.79228675417463</v>
      </c>
      <c r="AS429" s="263">
        <f>IFERROR(AS425/AS200,"n/a")</f>
        <v>7.0846174195696</v>
      </c>
      <c r="AT429" s="19" t="n"/>
    </row>
    <row r="430">
      <c r="B430" s="25" t="inlineStr">
        <is>
          <t xml:space="preserve">  EV / IC</t>
        </is>
      </c>
      <c r="C430" s="277" t="n"/>
      <c r="D430" s="277" t="n"/>
      <c r="E430" s="277" t="n"/>
      <c r="F430" s="277" t="n"/>
      <c r="G430" s="277" t="n"/>
      <c r="H430" s="277" t="n"/>
      <c r="I430" s="277" t="n"/>
      <c r="J430" s="277" t="n"/>
      <c r="K430" s="277" t="n"/>
      <c r="L430" s="277" t="n"/>
      <c r="M430" s="277" t="n"/>
      <c r="N430" s="277" t="n"/>
      <c r="O430" s="277" t="n"/>
      <c r="P430" s="277" t="n"/>
      <c r="Q430" s="277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  <c r="AE430" s="277" t="n"/>
      <c r="AF430" s="277" t="n"/>
      <c r="AG430" s="277" t="n"/>
      <c r="AH430" s="277" t="n"/>
      <c r="AI430" s="277" t="n"/>
      <c r="AJ430" s="277" t="n"/>
      <c r="AK430" s="277" t="n"/>
      <c r="AL430" s="277" t="n"/>
      <c r="AM430" s="278" t="n"/>
      <c r="AN430" s="278" t="n"/>
      <c r="AO430" s="278">
        <f>IFERROR(AO425/AO394,"n/a")</f>
        <v>1.40417800724653</v>
      </c>
      <c r="AP430" s="278">
        <f>IFERROR(AP425/AP394,"n/a")</f>
        <v>1.35671809407271</v>
      </c>
      <c r="AQ430" s="278">
        <f>IFERROR(AQ425/AQ394,"n/a")</f>
        <v>1.28775843518964</v>
      </c>
      <c r="AR430" s="278">
        <f>IFERROR(AR425/AR394,"n/a")</f>
        <v>1.22096992205131</v>
      </c>
      <c r="AS430" s="278">
        <f>IFERROR(AS425/AS394,"n/a")</f>
        <v>1.15642616965974</v>
      </c>
      <c r="AT430" s="19" t="n"/>
    </row>
    <row r="431">
      <c r="B431" s="25" t="inlineStr">
        <is>
          <t xml:space="preserve">  P / E (GAAP diluted, continuing ops)</t>
        </is>
      </c>
      <c r="C431" s="262" t="n"/>
      <c r="D431" s="262" t="n"/>
      <c r="E431" s="262" t="n"/>
      <c r="F431" s="262" t="n"/>
      <c r="G431" s="262" t="n"/>
      <c r="H431" s="262" t="n"/>
      <c r="I431" s="262" t="n"/>
      <c r="J431" s="262" t="n"/>
      <c r="K431" s="262" t="n"/>
      <c r="L431" s="262" t="n"/>
      <c r="M431" s="262" t="n"/>
      <c r="N431" s="262" t="n"/>
      <c r="O431" s="262" t="n"/>
      <c r="P431" s="262" t="n"/>
      <c r="Q431" s="262" t="n"/>
      <c r="R431" s="262" t="n"/>
      <c r="S431" s="262" t="n"/>
      <c r="T431" s="262" t="n"/>
      <c r="U431" s="262" t="n"/>
      <c r="V431" s="262" t="n"/>
      <c r="W431" s="262" t="n"/>
      <c r="X431" s="262" t="n"/>
      <c r="Y431" s="262" t="n"/>
      <c r="Z431" s="262" t="n"/>
      <c r="AA431" s="262" t="n"/>
      <c r="AB431" s="262" t="n"/>
      <c r="AC431" s="262" t="n"/>
      <c r="AD431" s="262" t="n"/>
      <c r="AE431" s="262" t="n"/>
      <c r="AF431" s="262" t="n"/>
      <c r="AG431" s="262" t="n"/>
      <c r="AH431" s="262" t="n"/>
      <c r="AI431" s="262" t="n"/>
      <c r="AJ431" s="262" t="n"/>
      <c r="AK431" s="262" t="n"/>
      <c r="AL431" s="262" t="n"/>
      <c r="AM431" s="263" t="n"/>
      <c r="AN431" s="263" t="n"/>
      <c r="AO431" s="263">
        <f>IFERROR(AO419/AO167,"n/a")</f>
        <v>23.7192960419433</v>
      </c>
      <c r="AP431" s="263">
        <f>IFERROR(AP419/AP167,"n/a")</f>
        <v>16.3393131104012</v>
      </c>
      <c r="AQ431" s="263">
        <f>IFERROR(AQ419/AQ167,"n/a")</f>
        <v>12.9883590234238</v>
      </c>
      <c r="AR431" s="263">
        <f>IFERROR(AR419/AR167,"n/a")</f>
        <v>10.9284239444686</v>
      </c>
      <c r="AS431" s="263">
        <f>IFERROR(AS419/AS167,"n/a")</f>
        <v>9.27011629659243</v>
      </c>
      <c r="AT431" s="19" t="n"/>
    </row>
    <row r="432">
      <c r="B432" s="25" t="inlineStr">
        <is>
          <t xml:space="preserve">  P / E (core adjusted EPS)</t>
        </is>
      </c>
      <c r="C432" s="262" t="n"/>
      <c r="D432" s="262" t="n"/>
      <c r="E432" s="262" t="n"/>
      <c r="F432" s="262" t="n"/>
      <c r="G432" s="262" t="n"/>
      <c r="H432" s="262" t="n"/>
      <c r="I432" s="262" t="n"/>
      <c r="J432" s="262" t="n"/>
      <c r="K432" s="262" t="n"/>
      <c r="L432" s="262" t="n"/>
      <c r="M432" s="262" t="n"/>
      <c r="N432" s="262" t="n"/>
      <c r="O432" s="262" t="n"/>
      <c r="P432" s="262" t="n"/>
      <c r="Q432" s="262" t="n"/>
      <c r="R432" s="262" t="n"/>
      <c r="S432" s="262" t="n"/>
      <c r="T432" s="262" t="n"/>
      <c r="U432" s="262" t="n"/>
      <c r="V432" s="262" t="n"/>
      <c r="W432" s="262" t="n"/>
      <c r="X432" s="262" t="n"/>
      <c r="Y432" s="262" t="n"/>
      <c r="Z432" s="262" t="n"/>
      <c r="AA432" s="262" t="n"/>
      <c r="AB432" s="262" t="n"/>
      <c r="AC432" s="262" t="n"/>
      <c r="AD432" s="262" t="n"/>
      <c r="AE432" s="262" t="n"/>
      <c r="AF432" s="262" t="n"/>
      <c r="AG432" s="262" t="n"/>
      <c r="AH432" s="262" t="n"/>
      <c r="AI432" s="262" t="n"/>
      <c r="AJ432" s="262" t="n"/>
      <c r="AK432" s="262" t="n"/>
      <c r="AL432" s="262" t="n"/>
      <c r="AM432" s="263" t="n"/>
      <c r="AN432" s="263" t="n"/>
      <c r="AO432" s="263">
        <f>IFERROR(AO419/AO227,"n/a")</f>
        <v>12.6750939016593</v>
      </c>
      <c r="AP432" s="263">
        <f>IFERROR(AP419/AP227,"n/a")</f>
        <v>11.4942336533309</v>
      </c>
      <c r="AQ432" s="263">
        <f>IFERROR(AQ419/AQ227,"n/a")</f>
        <v>10.0949673930458</v>
      </c>
      <c r="AR432" s="263">
        <f>IFERROR(AR419/AR227,"n/a")</f>
        <v>8.94744428606635</v>
      </c>
      <c r="AS432" s="263">
        <f>IFERROR(AS419/AS227,"n/a")</f>
        <v>7.66518759567417</v>
      </c>
      <c r="AT432" s="19" t="n"/>
    </row>
    <row r="433">
      <c r="B433" s="25" t="inlineStr">
        <is>
          <t xml:space="preserve">  FCF yield</t>
        </is>
      </c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254" t="n"/>
      <c r="AN433" s="254" t="n"/>
      <c r="AO433" s="254">
        <f>IFERROR(AO281/AO421,"n/a")</f>
        <v>0.0571472099453192</v>
      </c>
      <c r="AP433" s="254">
        <f>IFERROR(AP281/AP421,"n/a")</f>
        <v>0.084303059502863</v>
      </c>
      <c r="AQ433" s="254">
        <f>IFERROR(AQ281/AQ421,"n/a")</f>
        <v>0.099823449490817</v>
      </c>
      <c r="AR433" s="254">
        <f>IFERROR(AR281/AR421,"n/a")</f>
        <v>0.115163308559631</v>
      </c>
      <c r="AS433" s="254">
        <f>IFERROR(AS281/AS421,"n/a")</f>
        <v>0.133201453142052</v>
      </c>
      <c r="AT433" s="19" t="n"/>
    </row>
    <row r="434">
      <c r="B434" s="25" t="inlineStr">
        <is>
          <t xml:space="preserve">  Dividend yield</t>
        </is>
      </c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254" t="n"/>
      <c r="AN434" s="254" t="n"/>
      <c r="AO434" s="254">
        <f>IFERROR(AO171/AO419,"n/a")</f>
        <v>0.00657706605661996</v>
      </c>
      <c r="AP434" s="254">
        <f>IFERROR(AP171/AP419,"n/a")</f>
        <v>0.00723477266228196</v>
      </c>
      <c r="AQ434" s="254">
        <f>IFERROR(AQ171/AQ419,"n/a")</f>
        <v>0.00795824992851015</v>
      </c>
      <c r="AR434" s="254">
        <f>IFERROR(AR171/AR419,"n/a")</f>
        <v>0.00875407492136117</v>
      </c>
      <c r="AS434" s="254">
        <f>IFERROR(AS171/AS419,"n/a")</f>
        <v>0.00962948241349729</v>
      </c>
      <c r="AT434" s="19" t="n"/>
    </row>
  </sheetData>
  <dataValidations count="1">
    <dataValidation sqref="AT2" showDropDown="0" showInputMessage="0" showErrorMessage="0" allowBlank="0" type="list">
      <formula1>"Bull,Base,Bear"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ESAB Corporation (ESAB) — Bull / Base / Bear Case P&amp;L Summary</t>
        </is>
      </c>
      <c r="J2" s="152" t="inlineStr">
        <is>
          <t>Share price ($):</t>
        </is>
      </c>
      <c r="K2" s="74">
        <f>Model!$AO$419</f>
        <v>69.94</v>
      </c>
    </row>
    <row r="3" ht="15" customHeight="1" s="251">
      <c r="B3" s="4" t="inlineStr">
        <is>
          <t>Adjusted figures (company definitions: adjusted EBITDA; core adjusted net income / EPS excluding Russia, MCPS if-converted) · USD millions · Live panel linked to Model — toggle scenario via Model!AT2. Bull and Bear panels are value snapshots generated from the Model with the switch set to each case. 2026E includes Eddyfi from 1-Jun-2026; adjusted EBITDA for leverage / EV is pro forma for Eddyfi full year in 2026E.</t>
        </is>
      </c>
      <c r="J3" s="152" t="inlineStr">
        <is>
          <t>As of:</t>
        </is>
      </c>
      <c r="K3" s="289" t="str">
        <f>TODAY()</f>
        <v>2026-10-07 00:00:00</v>
      </c>
    </row>
    <row r="5" ht="15" customHeight="1" s="251">
      <c r="B5" s="10" t="inlineStr">
        <is>
          <t>Scenario:</t>
        </is>
      </c>
      <c r="C5" s="75" t="str">
        <f>Model!$AT$2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2025A</t>
        </is>
      </c>
      <c r="D7" s="150" t="inlineStr">
        <is>
          <t>2026E</t>
        </is>
      </c>
      <c r="E7" s="150" t="inlineStr">
        <is>
          <t>2027E</t>
        </is>
      </c>
      <c r="F7" s="150" t="inlineStr">
        <is>
          <t>2028E</t>
        </is>
      </c>
      <c r="G7" s="150" t="inlineStr">
        <is>
          <t>2029E</t>
        </is>
      </c>
      <c r="H7" s="150" t="inlineStr">
        <is>
          <t>2030E</t>
        </is>
      </c>
      <c r="I7" s="150" t="inlineStr">
        <is>
          <t>25-'30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2025A</t>
        </is>
      </c>
      <c r="P7" s="150" t="inlineStr">
        <is>
          <t>2026E</t>
        </is>
      </c>
      <c r="Q7" s="150" t="inlineStr">
        <is>
          <t>2027E</t>
        </is>
      </c>
      <c r="R7" s="150" t="inlineStr">
        <is>
          <t>2028E</t>
        </is>
      </c>
      <c r="S7" s="150" t="inlineStr">
        <is>
          <t>2029E</t>
        </is>
      </c>
      <c r="T7" s="150" t="inlineStr">
        <is>
          <t>2030E</t>
        </is>
      </c>
      <c r="U7" s="150" t="inlineStr">
        <is>
          <t>25-'30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2025A</t>
        </is>
      </c>
      <c r="AB7" s="150" t="inlineStr">
        <is>
          <t>2026E</t>
        </is>
      </c>
      <c r="AC7" s="150" t="inlineStr">
        <is>
          <t>2027E</t>
        </is>
      </c>
      <c r="AD7" s="150" t="inlineStr">
        <is>
          <t>2028E</t>
        </is>
      </c>
      <c r="AE7" s="150" t="inlineStr">
        <is>
          <t>2029E</t>
        </is>
      </c>
      <c r="AF7" s="150" t="inlineStr">
        <is>
          <t>2030E</t>
        </is>
      </c>
      <c r="AG7" s="150" t="inlineStr">
        <is>
          <t>25-'30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Net sales</t>
        </is>
      </c>
      <c r="C9" s="80">
        <f>Model!AJ136</f>
        <v>2842.555</v>
      </c>
      <c r="D9" s="81">
        <f>Model!AO136</f>
        <v>3182.8135</v>
      </c>
      <c r="E9" s="81">
        <f>Model!AP136</f>
        <v>3421.81491299061</v>
      </c>
      <c r="F9" s="81">
        <f>Model!AQ136</f>
        <v>3588.89013690974</v>
      </c>
      <c r="G9" s="81">
        <f>Model!AR136</f>
        <v>3808.09544481233</v>
      </c>
      <c r="H9" s="81">
        <f>Model!AS136</f>
        <v>4049.26622608483</v>
      </c>
      <c r="I9" s="290">
        <f>IFERROR((H9/C9)^(1/5)-1,"n/m")</f>
        <v>0.073330550376431</v>
      </c>
      <c r="N9" s="79" t="inlineStr">
        <is>
          <t>Net sales</t>
        </is>
      </c>
      <c r="O9" s="80" t="n">
        <v>2842.555</v>
      </c>
      <c r="P9" s="81" t="n">
        <v>3223.318</v>
      </c>
      <c r="Q9" s="81" t="n">
        <v>3576.80924438356</v>
      </c>
      <c r="R9" s="81" t="n">
        <v>3894.40279904658</v>
      </c>
      <c r="S9" s="81" t="n">
        <v>4275.65488487215</v>
      </c>
      <c r="T9" s="81" t="n">
        <v>4691.3486155808</v>
      </c>
      <c r="U9" s="290" t="n">
        <v>0.105395687779965</v>
      </c>
      <c r="Z9" s="79" t="inlineStr">
        <is>
          <t>Net sales</t>
        </is>
      </c>
      <c r="AA9" s="80" t="n">
        <v>2842.555</v>
      </c>
      <c r="AB9" s="81" t="n">
        <v>3142.309</v>
      </c>
      <c r="AC9" s="81" t="n">
        <v>3293.93387201387</v>
      </c>
      <c r="AD9" s="81" t="n">
        <v>3344.49246064609</v>
      </c>
      <c r="AE9" s="81" t="n">
        <v>3416.14715594974</v>
      </c>
      <c r="AF9" s="81" t="n">
        <v>3503.36010293295</v>
      </c>
      <c r="AG9" s="290" t="n">
        <v>0.0426899333398978</v>
      </c>
    </row>
    <row r="10" ht="15" customHeight="1" s="251">
      <c r="B10" s="83" t="inlineStr">
        <is>
          <t xml:space="preserve">   Net sales y/y %</t>
        </is>
      </c>
      <c r="C10" s="291" t="n"/>
      <c r="D10" s="292">
        <f>IFERROR(D9/C9-1,"")</f>
        <v>0.11970164165689</v>
      </c>
      <c r="E10" s="292">
        <f>IFERROR(E9/D9-1,"")</f>
        <v>0.0750912401843871</v>
      </c>
      <c r="F10" s="292">
        <f>IFERROR(F9/E9-1,"")</f>
        <v>0.0488264935911189</v>
      </c>
      <c r="G10" s="292">
        <f>IFERROR(G9/F9-1,"")</f>
        <v>0.0610788571230372</v>
      </c>
      <c r="H10" s="292">
        <f>IFERROR(H9/G9-1,"")</f>
        <v>0.0633310758009074</v>
      </c>
      <c r="N10" s="83" t="inlineStr">
        <is>
          <t xml:space="preserve">   Net sales y/y %</t>
        </is>
      </c>
      <c r="O10" s="291" t="n"/>
      <c r="P10" s="292" t="n">
        <v>0.133950970165925</v>
      </c>
      <c r="Q10" s="292" t="n">
        <v>0.109666884987321</v>
      </c>
      <c r="R10" s="292" t="n">
        <v>0.08879242167071411</v>
      </c>
      <c r="S10" s="292" t="n">
        <v>0.0978974455130595</v>
      </c>
      <c r="T10" s="292" t="n">
        <v>0.0972234059814876</v>
      </c>
      <c r="Z10" s="83" t="inlineStr">
        <is>
          <t xml:space="preserve">   Net sales y/y %</t>
        </is>
      </c>
      <c r="AA10" s="291" t="n"/>
      <c r="AB10" s="292" t="n">
        <v>0.105452313147855</v>
      </c>
      <c r="AC10" s="292" t="n">
        <v>0.0482526931673062</v>
      </c>
      <c r="AD10" s="292" t="n">
        <v>0.0153489992807032</v>
      </c>
      <c r="AE10" s="292" t="n">
        <v>0.0214246843569828</v>
      </c>
      <c r="AF10" s="292" t="n">
        <v>0.025529622408482</v>
      </c>
    </row>
    <row r="11" ht="15" customHeight="1" s="251">
      <c r="B11" s="79" t="inlineStr">
        <is>
          <t xml:space="preserve">   Core organic growth % (ex-Russia)</t>
        </is>
      </c>
      <c r="C11" s="86">
        <f>Model!AJ235</f>
        <v>-0.002</v>
      </c>
      <c r="D11" s="87">
        <f>Model!AO235</f>
        <v>0.0125722656894034</v>
      </c>
      <c r="E11" s="87">
        <f>Model!AP235</f>
        <v>0.0338045189243889</v>
      </c>
      <c r="F11" s="87">
        <f>Model!AQ235</f>
        <v>0.0324239320011406</v>
      </c>
      <c r="G11" s="87">
        <f>Model!AR235</f>
        <v>0.0300564372809723</v>
      </c>
      <c r="H11" s="87">
        <f>Model!AS235</f>
        <v>0.0291668627482278</v>
      </c>
      <c r="N11" s="79" t="inlineStr">
        <is>
          <t xml:space="preserve">   Core organic growth % (ex-Russia)</t>
        </is>
      </c>
      <c r="O11" s="86" t="n">
        <v>-0.002</v>
      </c>
      <c r="P11" s="87" t="n">
        <v>0.0275722656894037</v>
      </c>
      <c r="Q11" s="87" t="n">
        <v>0.0537390875543829</v>
      </c>
      <c r="R11" s="87" t="n">
        <v>0.0511175501051866</v>
      </c>
      <c r="S11" s="87" t="n">
        <v>0.0478093638021337</v>
      </c>
      <c r="T11" s="87" t="n">
        <v>0.045923584477931</v>
      </c>
      <c r="Z11" s="79" t="inlineStr">
        <is>
          <t xml:space="preserve">   Core organic growth % (ex-Russia)</t>
        </is>
      </c>
      <c r="AA11" s="86" t="n">
        <v>-0.002</v>
      </c>
      <c r="AB11" s="87" t="n">
        <v>-0.00242773431059629</v>
      </c>
      <c r="AC11" s="87" t="n">
        <v>0.0138717187239606</v>
      </c>
      <c r="AD11" s="87" t="n">
        <v>0.0133463523000367</v>
      </c>
      <c r="AE11" s="87" t="n">
        <v>0.0113770111321674</v>
      </c>
      <c r="AF11" s="87" t="n">
        <v>0.0112068605200871</v>
      </c>
    </row>
    <row r="12" ht="15" customHeight="1" s="251">
      <c r="B12" s="79" t="inlineStr">
        <is>
          <t>Adjusted EBITDA (company definition)</t>
        </is>
      </c>
      <c r="C12" s="80">
        <f>Model!AJ189</f>
        <v>559.726</v>
      </c>
      <c r="D12" s="81">
        <f>Model!AO189</f>
        <v>624.982</v>
      </c>
      <c r="E12" s="81">
        <f>Model!AP189</f>
        <v>707.274998417731</v>
      </c>
      <c r="F12" s="81">
        <f>Model!AQ189</f>
        <v>766.04684559347</v>
      </c>
      <c r="G12" s="81">
        <f>Model!AR189</f>
        <v>824.601602764246</v>
      </c>
      <c r="H12" s="81">
        <f>Model!AS189</f>
        <v>884.642632729996</v>
      </c>
      <c r="I12" s="290">
        <f>IFERROR((H12/C12)^(1/5)-1,"n/m")</f>
        <v>0.0958685838291842</v>
      </c>
      <c r="N12" s="79" t="inlineStr">
        <is>
          <t>Adjusted EBITDA (company definition)</t>
        </is>
      </c>
      <c r="O12" s="80" t="n">
        <v>559.726</v>
      </c>
      <c r="P12" s="81" t="n">
        <v>629.982</v>
      </c>
      <c r="Q12" s="81" t="n">
        <v>752.3776774264049</v>
      </c>
      <c r="R12" s="81" t="n">
        <v>848.62737989374</v>
      </c>
      <c r="S12" s="81" t="n">
        <v>948.146692770527</v>
      </c>
      <c r="T12" s="81" t="n">
        <v>1052.55588476353</v>
      </c>
      <c r="U12" s="290" t="n">
        <v>0.134629149038606</v>
      </c>
      <c r="Z12" s="79" t="inlineStr">
        <is>
          <t>Adjusted EBITDA (company definition)</t>
        </is>
      </c>
      <c r="AA12" s="80" t="n">
        <v>559.726</v>
      </c>
      <c r="AB12" s="81" t="n">
        <v>619.982</v>
      </c>
      <c r="AC12" s="81" t="n">
        <v>667.537065219119</v>
      </c>
      <c r="AD12" s="81" t="n">
        <v>696.034970024054</v>
      </c>
      <c r="AE12" s="81" t="n">
        <v>718.003836048264</v>
      </c>
      <c r="AF12" s="81" t="n">
        <v>739.89747050201</v>
      </c>
      <c r="AG12" s="290" t="n">
        <v>0.0573997717816974</v>
      </c>
    </row>
    <row r="13" ht="15" customHeight="1" s="251">
      <c r="B13" s="83" t="inlineStr">
        <is>
          <t xml:space="preserve">   Adjusted EBITDA margin %</t>
        </is>
      </c>
      <c r="C13" s="88">
        <f>Model!AJ190</f>
        <v>0.196909470529154</v>
      </c>
      <c r="D13" s="89">
        <f>Model!AO190</f>
        <v>0.196361489606601</v>
      </c>
      <c r="E13" s="89">
        <f>Model!AP190</f>
        <v>0.206695866492552</v>
      </c>
      <c r="F13" s="89">
        <f>Model!AQ190</f>
        <v>0.213449511233321</v>
      </c>
      <c r="G13" s="89">
        <f>Model!AR190</f>
        <v>0.21653911114218</v>
      </c>
      <c r="H13" s="89">
        <f>Model!AS190</f>
        <v>0.218469861781685</v>
      </c>
      <c r="J13" s="90">
        <f>IFERROR(AVERAGE(Model!J190,Model!K190,Model!P190,Model!U190,Model!Z190,Model!AE190,Model!AJ190),"")</f>
        <v>0.173876731427758</v>
      </c>
      <c r="K13" s="90">
        <f>IFERROR(MIN(Model!J190,Model!K190,Model!P190,Model!U190,Model!Z190,Model!AE190,Model!AJ190),"")</f>
        <v>0.154428381764953</v>
      </c>
      <c r="L13" s="90">
        <f>IFERROR(MAX(Model!J190,Model!K190,Model!P190,Model!U190,Model!Z190,Model!AE190,Model!AJ190),"")</f>
        <v>0.196909470529154</v>
      </c>
      <c r="N13" s="83" t="inlineStr">
        <is>
          <t xml:space="preserve">   Adjusted EBITDA margin %</t>
        </is>
      </c>
      <c r="O13" s="88" t="n">
        <v>0.196909470529154</v>
      </c>
      <c r="P13" s="89" t="n">
        <v>0.195445190328723</v>
      </c>
      <c r="Q13" s="89" t="n">
        <v>0.210348840550503</v>
      </c>
      <c r="R13" s="89" t="n">
        <v>0.217909503377899</v>
      </c>
      <c r="S13" s="89" t="n">
        <v>0.221754729579602</v>
      </c>
      <c r="T13" s="89" t="n">
        <v>0.224361046473461</v>
      </c>
      <c r="V13" s="90" t="n">
        <v>0.173876731427758</v>
      </c>
      <c r="W13" s="90" t="n">
        <v>0.154428381764953</v>
      </c>
      <c r="X13" s="90" t="n">
        <v>0.196909470529154</v>
      </c>
      <c r="Z13" s="83" t="inlineStr">
        <is>
          <t xml:space="preserve">   Adjusted EBITDA margin %</t>
        </is>
      </c>
      <c r="AA13" s="88" t="n">
        <v>0.196909470529154</v>
      </c>
      <c r="AB13" s="89" t="n">
        <v>0.197301411159755</v>
      </c>
      <c r="AC13" s="89" t="n">
        <v>0.202656486485867</v>
      </c>
      <c r="AD13" s="89" t="n">
        <v>0.208113780555389</v>
      </c>
      <c r="AE13" s="89" t="n">
        <v>0.210179422393368</v>
      </c>
      <c r="AF13" s="89" t="n">
        <v>0.211196522413605</v>
      </c>
      <c r="AH13" s="90" t="n">
        <v>0.173876731427758</v>
      </c>
      <c r="AI13" s="90" t="n">
        <v>0.154428381764953</v>
      </c>
      <c r="AJ13" s="90" t="n">
        <v>0.196909470529154</v>
      </c>
    </row>
    <row r="15" ht="15" customHeight="1" s="251">
      <c r="B15" s="79" t="inlineStr">
        <is>
          <t>Operating income (GAAP)</t>
        </is>
      </c>
      <c r="C15" s="80">
        <f>Model!AJ144</f>
        <v>412.17</v>
      </c>
      <c r="D15" s="81">
        <f>Model!AO144</f>
        <v>380.082767123288</v>
      </c>
      <c r="E15" s="81">
        <f>Model!AP144</f>
        <v>501.987344896891</v>
      </c>
      <c r="F15" s="81">
        <f>Model!AQ144</f>
        <v>578.603069266005</v>
      </c>
      <c r="G15" s="81">
        <f>Model!AR144</f>
        <v>637.660224682437</v>
      </c>
      <c r="H15" s="81">
        <f>Model!AS144</f>
        <v>693.234410924954</v>
      </c>
      <c r="I15" s="290">
        <f>IFERROR((H15/C15)^(1/5)-1,"n/m")</f>
        <v>0.109585433622116</v>
      </c>
      <c r="N15" s="79" t="inlineStr">
        <is>
          <t>Operating income (GAAP)</t>
        </is>
      </c>
      <c r="O15" s="80" t="n">
        <v>412.17</v>
      </c>
      <c r="P15" s="81" t="n">
        <v>385.082767123288</v>
      </c>
      <c r="Q15" s="81" t="n">
        <v>542.896320271884</v>
      </c>
      <c r="R15" s="81" t="n">
        <v>651.294366309948</v>
      </c>
      <c r="S15" s="81" t="n">
        <v>745.4218404677</v>
      </c>
      <c r="T15" s="81" t="n">
        <v>839.255386720057</v>
      </c>
      <c r="U15" s="290" t="n">
        <v>0.152825440320096</v>
      </c>
      <c r="Z15" s="79" t="inlineStr">
        <is>
          <t>Operating income (GAAP)</t>
        </is>
      </c>
      <c r="AA15" s="80" t="n">
        <v>412.17</v>
      </c>
      <c r="AB15" s="81" t="n">
        <v>375.082767123288</v>
      </c>
      <c r="AC15" s="81" t="n">
        <v>464.407189394883</v>
      </c>
      <c r="AD15" s="81" t="n">
        <v>514.28644819307</v>
      </c>
      <c r="AE15" s="81" t="n">
        <v>542.401451897118</v>
      </c>
      <c r="AF15" s="81" t="n">
        <v>565.584602127149</v>
      </c>
      <c r="AG15" s="290" t="n">
        <v>0.0653302030618239</v>
      </c>
    </row>
    <row r="16" ht="15" customHeight="1" s="251">
      <c r="B16" s="83" t="inlineStr">
        <is>
          <t xml:space="preserve">   Operating income y/y %</t>
        </is>
      </c>
      <c r="C16" s="291" t="n"/>
      <c r="D16" s="292">
        <f>IFERROR(D15/C15-1,"")</f>
        <v>-0.0778495108249323</v>
      </c>
      <c r="E16" s="292">
        <f>IFERROR(E15/D15-1,"")</f>
        <v>0.320731662464615</v>
      </c>
      <c r="F16" s="292">
        <f>IFERROR(F15/E15-1,"")</f>
        <v>0.15262481245389</v>
      </c>
      <c r="G16" s="292">
        <f>IFERROR(G15/F15-1,"")</f>
        <v>0.10206851389736</v>
      </c>
      <c r="H16" s="292">
        <f>IFERROR(H15/G15-1,"")</f>
        <v>0.0871532896225322</v>
      </c>
      <c r="N16" s="83" t="inlineStr">
        <is>
          <t xml:space="preserve">   Operating income y/y %</t>
        </is>
      </c>
      <c r="O16" s="291" t="n"/>
      <c r="P16" s="292" t="n">
        <v>-0.0657185939702364</v>
      </c>
      <c r="Q16" s="292" t="n">
        <v>0.40981723053338</v>
      </c>
      <c r="R16" s="292" t="n">
        <v>0.199666201428255</v>
      </c>
      <c r="S16" s="292" t="n">
        <v>0.144523703914486</v>
      </c>
      <c r="T16" s="292" t="n">
        <v>0.125879792029547</v>
      </c>
      <c r="Z16" s="83" t="inlineStr">
        <is>
          <t xml:space="preserve">   Operating income y/y %</t>
        </is>
      </c>
      <c r="AA16" s="291" t="n"/>
      <c r="AB16" s="292" t="n">
        <v>-0.0899804276796282</v>
      </c>
      <c r="AC16" s="292" t="n">
        <v>0.238145897655263</v>
      </c>
      <c r="AD16" s="292" t="n">
        <v>0.107404148637706</v>
      </c>
      <c r="AE16" s="292" t="n">
        <v>0.0546679847443567</v>
      </c>
      <c r="AF16" s="292" t="n">
        <v>0.0427416817358166</v>
      </c>
    </row>
    <row r="17" ht="15" customHeight="1" s="251">
      <c r="B17" s="83" t="inlineStr">
        <is>
          <t xml:space="preserve">   Operating margin (GAAP) %</t>
        </is>
      </c>
      <c r="C17" s="88">
        <f>Model!AJ246</f>
        <v>0.144999832896813</v>
      </c>
      <c r="D17" s="89">
        <f>Model!AO246</f>
        <v>0.119417228537986</v>
      </c>
      <c r="E17" s="89">
        <f>Model!AP246</f>
        <v>0.146702074092652</v>
      </c>
      <c r="F17" s="89">
        <f>Model!AQ246</f>
        <v>0.161220613391141</v>
      </c>
      <c r="G17" s="89">
        <f>Model!AR246</f>
        <v>0.167448593115255</v>
      </c>
      <c r="H17" s="89">
        <f>Model!AS246</f>
        <v>0.171200008154374</v>
      </c>
      <c r="J17" s="90">
        <f>IFERROR(AVERAGE(Model!J246,Model!K246,Model!P246,Model!U246,Model!Z246,Model!AE246,Model!AJ246),"")</f>
        <v>0.132074388092743</v>
      </c>
      <c r="K17" s="90">
        <f>IFERROR(MIN(Model!J246,Model!K246,Model!P246,Model!U246,Model!Z246,Model!AE246,Model!AJ246),"")</f>
        <v>0.103650691334512</v>
      </c>
      <c r="L17" s="90">
        <f>IFERROR(MAX(Model!J246,Model!K246,Model!P246,Model!U246,Model!Z246,Model!AE246,Model!AJ246),"")</f>
        <v>0.163255075246196</v>
      </c>
      <c r="N17" s="83" t="inlineStr">
        <is>
          <t xml:space="preserve">   Operating margin (GAAP) %</t>
        </is>
      </c>
      <c r="O17" s="88" t="n">
        <v>0.144999832896813</v>
      </c>
      <c r="P17" s="89" t="n">
        <v>0.119467817672128</v>
      </c>
      <c r="Q17" s="89" t="n">
        <v>0.151782296225151</v>
      </c>
      <c r="R17" s="89" t="n">
        <v>0.167238572874228</v>
      </c>
      <c r="S17" s="89" t="n">
        <v>0.174340974783794</v>
      </c>
      <c r="T17" s="89" t="n">
        <v>0.178894270174836</v>
      </c>
      <c r="V17" s="90" t="n">
        <v>0.132074388092743</v>
      </c>
      <c r="W17" s="90" t="n">
        <v>0.103650691334512</v>
      </c>
      <c r="X17" s="90" t="n">
        <v>0.163255075246196</v>
      </c>
      <c r="Z17" s="83" t="inlineStr">
        <is>
          <t xml:space="preserve">   Operating margin (GAAP) %</t>
        </is>
      </c>
      <c r="AA17" s="88" t="n">
        <v>0.144999832896813</v>
      </c>
      <c r="AB17" s="89" t="n">
        <v>0.119365335211555</v>
      </c>
      <c r="AC17" s="89" t="n">
        <v>0.140988619516806</v>
      </c>
      <c r="AD17" s="89" t="n">
        <v>0.153771148909608</v>
      </c>
      <c r="AE17" s="89" t="n">
        <v>0.158775786620446</v>
      </c>
      <c r="AF17" s="89" t="n">
        <v>0.161440612871527</v>
      </c>
      <c r="AH17" s="90" t="n">
        <v>0.132074388092743</v>
      </c>
      <c r="AI17" s="90" t="n">
        <v>0.103650691334512</v>
      </c>
      <c r="AJ17" s="90" t="n">
        <v>0.163255075246196</v>
      </c>
    </row>
    <row r="19" ht="15" customHeight="1" s="251">
      <c r="B19" s="79" t="inlineStr">
        <is>
          <t>Core adjusted net income (continuing ops, ex-Russia)</t>
        </is>
      </c>
      <c r="C19" s="80">
        <f>Model!AJ220</f>
        <v>324.493</v>
      </c>
      <c r="D19" s="81">
        <f>Model!AO220</f>
        <v>334.793716986301</v>
      </c>
      <c r="E19" s="81">
        <f>Model!AP220</f>
        <v>389.823920151609</v>
      </c>
      <c r="F19" s="81">
        <f>Model!AQ220</f>
        <v>441.410239104026</v>
      </c>
      <c r="G19" s="81">
        <f>Model!AR220</f>
        <v>484.881863135185</v>
      </c>
      <c r="H19" s="81">
        <f>Model!AS220</f>
        <v>525.191302206573</v>
      </c>
      <c r="I19" s="290">
        <f>IFERROR((H19/C19)^(1/5)-1,"n/m")</f>
        <v>0.101089036715699</v>
      </c>
      <c r="N19" s="79" t="inlineStr">
        <is>
          <t>Core adjusted net income (continuing ops, ex-Russia)</t>
        </is>
      </c>
      <c r="O19" s="80" t="n">
        <v>324.493</v>
      </c>
      <c r="P19" s="81" t="n">
        <v>340.097504657534</v>
      </c>
      <c r="Q19" s="81" t="n">
        <v>421.877927827236</v>
      </c>
      <c r="R19" s="81" t="n">
        <v>495.874380138949</v>
      </c>
      <c r="S19" s="81" t="n">
        <v>556.237459972207</v>
      </c>
      <c r="T19" s="81" t="n">
        <v>619.43307757498</v>
      </c>
      <c r="U19" s="290" t="n">
        <v>0.138040747032754</v>
      </c>
      <c r="Z19" s="79" t="inlineStr">
        <is>
          <t>Core adjusted net income (continuing ops, ex-Russia)</t>
        </is>
      </c>
      <c r="AA19" s="80" t="n">
        <v>324.493</v>
      </c>
      <c r="AB19" s="81" t="n">
        <v>329.589929315068</v>
      </c>
      <c r="AC19" s="81" t="n">
        <v>361.410579820503</v>
      </c>
      <c r="AD19" s="81" t="n">
        <v>391.243241382994</v>
      </c>
      <c r="AE19" s="81" t="n">
        <v>411.620643934481</v>
      </c>
      <c r="AF19" s="81" t="n">
        <v>428.951512707755</v>
      </c>
      <c r="AG19" s="290" t="n">
        <v>0.0574030876527378</v>
      </c>
    </row>
    <row r="21" ht="15" customHeight="1" s="251">
      <c r="B21" s="79" t="inlineStr">
        <is>
          <t>FDSO (m; incl. MCPS if-converted)</t>
        </is>
      </c>
      <c r="C21" s="91">
        <f>Model!AJ223</f>
        <v>61.266294</v>
      </c>
      <c r="D21" s="92">
        <f>Model!AO223</f>
        <v>63.307258</v>
      </c>
      <c r="E21" s="92">
        <f>Model!AP223</f>
        <v>64.065302</v>
      </c>
      <c r="F21" s="92">
        <f>Model!AQ223</f>
        <v>63.7120670676538</v>
      </c>
      <c r="G21" s="92">
        <f>Model!AR223</f>
        <v>62.0310760040909</v>
      </c>
      <c r="H21" s="92">
        <f>Model!AS223</f>
        <v>57.5591915217299</v>
      </c>
      <c r="I21" s="290">
        <f>IFERROR((H21/C21)^(1/5)-1,"n/m")</f>
        <v>-0.0124056085438211</v>
      </c>
      <c r="N21" s="79" t="inlineStr">
        <is>
          <t>FDSO (m; incl. MCPS if-converted)</t>
        </is>
      </c>
      <c r="O21" s="91" t="n">
        <v>61.266294</v>
      </c>
      <c r="P21" s="92" t="n">
        <v>63.307258</v>
      </c>
      <c r="Q21" s="92" t="n">
        <v>63.2042927977579</v>
      </c>
      <c r="R21" s="92" t="n">
        <v>60.0107021452638</v>
      </c>
      <c r="S21" s="92" t="n">
        <v>55.8093500654966</v>
      </c>
      <c r="T21" s="92" t="n">
        <v>50.1190126397388</v>
      </c>
      <c r="U21" s="290" t="n">
        <v>-0.0393699250396073</v>
      </c>
      <c r="Z21" s="79" t="inlineStr">
        <is>
          <t>FDSO (m; incl. MCPS if-converted)</t>
        </is>
      </c>
      <c r="AA21" s="91" t="n">
        <v>61.266294</v>
      </c>
      <c r="AB21" s="92" t="n">
        <v>63.307258</v>
      </c>
      <c r="AC21" s="92" t="n">
        <v>64.065302</v>
      </c>
      <c r="AD21" s="92" t="n">
        <v>64.365302</v>
      </c>
      <c r="AE21" s="92" t="n">
        <v>64.5181483425086</v>
      </c>
      <c r="AF21" s="92" t="n">
        <v>61.5960794169867</v>
      </c>
      <c r="AG21" s="290" t="n">
        <v>0.00107425342720147</v>
      </c>
    </row>
    <row r="23" ht="15" customHeight="1" s="251">
      <c r="B23" s="79" t="inlineStr">
        <is>
          <t>Core adjusted EPS — Diluted ($)</t>
        </is>
      </c>
      <c r="C23" s="93">
        <f>Model!AJ227</f>
        <v>5.29643591629681</v>
      </c>
      <c r="D23" s="94">
        <f>Model!AO227</f>
        <v>5.51790783899786</v>
      </c>
      <c r="E23" s="94">
        <f>Model!AP227</f>
        <v>6.08479017474403</v>
      </c>
      <c r="F23" s="94">
        <f>Model!AQ227</f>
        <v>6.92820464662222</v>
      </c>
      <c r="G23" s="94">
        <f>Model!AR227</f>
        <v>7.81675725088514</v>
      </c>
      <c r="H23" s="94">
        <f>Model!AS227</f>
        <v>9.1243689899345</v>
      </c>
      <c r="I23" s="290">
        <f>IFERROR((H23/C23)^(1/5)-1,"n/m")</f>
        <v>0.11492030153409</v>
      </c>
      <c r="N23" s="79" t="inlineStr">
        <is>
          <t>Core adjusted EPS — Diluted ($)</t>
        </is>
      </c>
      <c r="O23" s="93" t="n">
        <v>5.29643591629681</v>
      </c>
      <c r="P23" s="94" t="n">
        <v>5.60281693909847</v>
      </c>
      <c r="Q23" s="94" t="n">
        <v>6.67483028687889</v>
      </c>
      <c r="R23" s="94" t="n">
        <v>8.26309912086381</v>
      </c>
      <c r="S23" s="94" t="n">
        <v>9.966743194812681</v>
      </c>
      <c r="T23" s="94" t="n">
        <v>12.3592434277893</v>
      </c>
      <c r="U23" s="290" t="n">
        <v>0.184681571706649</v>
      </c>
      <c r="Z23" s="79" t="inlineStr">
        <is>
          <t>Core adjusted EPS — Diluted ($)</t>
        </is>
      </c>
      <c r="AA23" s="93" t="n">
        <v>5.29643591629681</v>
      </c>
      <c r="AB23" s="94" t="n">
        <v>5.43459965328832</v>
      </c>
      <c r="AC23" s="94" t="n">
        <v>5.64128426055812</v>
      </c>
      <c r="AD23" s="94" t="n">
        <v>6.07848062894187</v>
      </c>
      <c r="AE23" s="94" t="n">
        <v>6.37992029388854</v>
      </c>
      <c r="AF23" s="94" t="n">
        <v>6.96394180876162</v>
      </c>
      <c r="AG23" s="290" t="n">
        <v>0.0562683877171883</v>
      </c>
    </row>
    <row r="24" ht="15" customHeight="1" s="251">
      <c r="B24" s="83" t="inlineStr">
        <is>
          <t xml:space="preserve">   EPS y/y %</t>
        </is>
      </c>
      <c r="C24" s="291" t="n"/>
      <c r="D24" s="292">
        <f>IFERROR(D23/C23-1,"")</f>
        <v>0.0418152746868119</v>
      </c>
      <c r="E24" s="292">
        <f>IFERROR(E23/D23-1,"")</f>
        <v>0.102735013393976</v>
      </c>
      <c r="F24" s="292">
        <f>IFERROR(F23/E23-1,"")</f>
        <v>0.138610280331265</v>
      </c>
      <c r="G24" s="292">
        <f>IFERROR(G23/F23-1,"")</f>
        <v>0.12825149509637</v>
      </c>
      <c r="H24" s="292">
        <f>IFERROR(H23/G23-1,"")</f>
        <v>0.167283145309557</v>
      </c>
      <c r="N24" s="83" t="inlineStr">
        <is>
          <t xml:space="preserve">   EPS y/y %</t>
        </is>
      </c>
      <c r="O24" s="291" t="n"/>
      <c r="P24" s="292" t="n">
        <v>0.0578466402017521</v>
      </c>
      <c r="Q24" s="292" t="n">
        <v>0.191334708849672</v>
      </c>
      <c r="R24" s="292" t="n">
        <v>0.237948946373524</v>
      </c>
      <c r="S24" s="292" t="n">
        <v>0.206174953129544</v>
      </c>
      <c r="T24" s="292" t="n">
        <v>0.240048347410195</v>
      </c>
      <c r="Z24" s="83" t="inlineStr">
        <is>
          <t xml:space="preserve">   EPS y/y %</t>
        </is>
      </c>
      <c r="AA24" s="291" t="n"/>
      <c r="AB24" s="292" t="n">
        <v>0.0260861717530432</v>
      </c>
      <c r="AC24" s="292" t="n">
        <v>0.0380312480137783</v>
      </c>
      <c r="AD24" s="292" t="n">
        <v>0.0774994395231023</v>
      </c>
      <c r="AE24" s="292" t="n">
        <v>0.0495912849522626</v>
      </c>
      <c r="AF24" s="292" t="n">
        <v>0.09154056602126</v>
      </c>
    </row>
    <row r="26" ht="15" customHeight="1" s="251">
      <c r="B26" s="83" t="inlineStr">
        <is>
          <t>P / E (x) — assumed (adjusted EPS)</t>
        </is>
      </c>
      <c r="C26" s="293" t="n"/>
      <c r="D26" s="293" t="n"/>
      <c r="E26" s="293" t="n"/>
      <c r="F26" s="293" t="n"/>
      <c r="G26" s="293" t="n">
        <v>16</v>
      </c>
      <c r="H26" s="293" t="n">
        <v>16</v>
      </c>
      <c r="N26" s="83" t="inlineStr">
        <is>
          <t>P / E (x) — assumed (adjusted EPS)</t>
        </is>
      </c>
      <c r="O26" s="293" t="n"/>
      <c r="P26" s="293" t="n"/>
      <c r="Q26" s="293" t="n"/>
      <c r="R26" s="293" t="n"/>
      <c r="S26" s="293" t="n">
        <v>19</v>
      </c>
      <c r="T26" s="293" t="n">
        <v>19</v>
      </c>
      <c r="Z26" s="83" t="inlineStr">
        <is>
          <t>P / E (x) — assumed (adjusted EPS)</t>
        </is>
      </c>
      <c r="AA26" s="293" t="n"/>
      <c r="AB26" s="293" t="n"/>
      <c r="AC26" s="293" t="n"/>
      <c r="AD26" s="293" t="n">
        <v>13</v>
      </c>
      <c r="AE26" s="293" t="n">
        <v>13</v>
      </c>
      <c r="AF26" s="293" t="n">
        <v>13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125.068116014162</v>
      </c>
      <c r="H27" s="96">
        <f>H26*H23</f>
        <v>145.989903838952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189.368120701441</v>
      </c>
      <c r="T27" s="96">
        <f>T26*T23</f>
        <v>234.825625127997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79.0202481762443</v>
      </c>
      <c r="AE27" s="96">
        <f>AE26*AE23</f>
        <v>82.938963820551</v>
      </c>
      <c r="AF27" s="96">
        <f>AF26*AF23</f>
        <v>90.5312435139011</v>
      </c>
    </row>
    <row r="28" ht="15" customHeight="1" s="251">
      <c r="B28" t="inlineStr">
        <is>
          <t xml:space="preserve">   Upside / (Downside) vs current</t>
        </is>
      </c>
      <c r="E28" s="294" t="n"/>
      <c r="F28" s="294" t="n"/>
      <c r="G28" s="294">
        <f>IFERROR(G27/$K$2-1,"")</f>
        <v>0.788220131743813</v>
      </c>
      <c r="H28" s="294">
        <f>IFERROR(H27/$K$2-1,"")</f>
        <v>1.08735921988779</v>
      </c>
      <c r="N28" t="inlineStr">
        <is>
          <t xml:space="preserve">   Upside / (Downside) vs current</t>
        </is>
      </c>
      <c r="O28" s="294" t="n"/>
      <c r="P28" s="294" t="n"/>
      <c r="Q28" s="294" t="n"/>
      <c r="R28" s="294" t="n"/>
      <c r="S28" s="294">
        <f>IFERROR(S27/$K$2-1,"")</f>
        <v>1.70757964972035</v>
      </c>
      <c r="T28" s="294">
        <f>IFERROR(T27/$K$2-1,"")</f>
        <v>2.3575296701172</v>
      </c>
      <c r="Z28" t="inlineStr">
        <is>
          <t xml:space="preserve">   Upside / (Downside) vs current</t>
        </is>
      </c>
      <c r="AA28" s="294" t="n"/>
      <c r="AB28" s="294" t="n"/>
      <c r="AC28" s="294" t="n"/>
      <c r="AD28" s="294">
        <f>IFERROR(AD27/$K$2-1,"")</f>
        <v>0.129829113186221</v>
      </c>
      <c r="AE28" s="294">
        <f>IFERROR(AE27/$K$2-1,"")</f>
        <v>0.185858790685602</v>
      </c>
      <c r="AF28" s="294">
        <f>IFERROR(AF27/$K$2-1,"")</f>
        <v>0.294412975606249</v>
      </c>
    </row>
    <row r="29" ht="15" customHeight="1" s="251">
      <c r="B29" s="75" t="inlineStr">
        <is>
          <t>IRR (to Dec-Y-1)</t>
        </is>
      </c>
      <c r="C29" s="295" t="n"/>
      <c r="D29" s="295" t="n"/>
      <c r="E29" s="295" t="n"/>
      <c r="F29" s="295" t="n"/>
      <c r="G29" s="295">
        <f>IFERROR((G27/$K$2)^(1/((DATE(2029-1,12,31)-$K$3)/365.25))-1,"")</f>
        <v>0.297138139604775</v>
      </c>
      <c r="H29" s="295">
        <f>IFERROR((H27/$K$2)^(1/((DATE(2030-1,12,31)-$K$3)/365.25))-1,"")</f>
        <v>0.255574251136032</v>
      </c>
      <c r="N29" s="75" t="inlineStr">
        <is>
          <t>IRR (to Dec-Y-1)</t>
        </is>
      </c>
      <c r="O29" s="295" t="n"/>
      <c r="P29" s="295" t="n"/>
      <c r="Q29" s="295" t="n"/>
      <c r="R29" s="295" t="n"/>
      <c r="S29" s="295">
        <f>IFERROR((S27/$K$2)^(1/((DATE(2029-1,12,31)-$K$3)/365.25))-1,"")</f>
        <v>0.56180862415471</v>
      </c>
      <c r="T29" s="295">
        <f>IFERROR((T27/$K$2)^(1/((DATE(2030-1,12,31)-$K$3)/365.25))-1,"")</f>
        <v>0.45439747050627</v>
      </c>
      <c r="Z29" s="75" t="inlineStr">
        <is>
          <t>IRR (to Dec-Y-1)</t>
        </is>
      </c>
      <c r="AA29" s="295" t="n"/>
      <c r="AB29" s="295" t="n"/>
      <c r="AC29" s="295" t="n"/>
      <c r="AD29" s="295">
        <f>IFERROR((AD27/$K$2)^(1/((DATE(2028-1,12,31)-$K$3)/365.25))-1,"")</f>
        <v>0.104151562323753</v>
      </c>
      <c r="AE29" s="295">
        <f>IFERROR((AE27/$K$2)^(1/((DATE(2029-1,12,31)-$K$3)/365.25))-1,"")</f>
        <v>0.0792894273384432</v>
      </c>
      <c r="AF29" s="295">
        <f>IFERROR((AF27/$K$2)^(1/((DATE(2030-1,12,31)-$K$3)/365.25))-1,"")</f>
        <v>0.0830810937470077</v>
      </c>
    </row>
    <row r="31" ht="15" customHeight="1" s="251">
      <c r="B31" s="79" t="inlineStr">
        <is>
          <t>Free Cash Flow</t>
        </is>
      </c>
      <c r="C31" s="80">
        <f>Model!AJ281</f>
        <v>213.28</v>
      </c>
      <c r="D31" s="81">
        <f>Model!AO281</f>
        <v>255.649364055812</v>
      </c>
      <c r="E31" s="81">
        <f>Model!AP281</f>
        <v>378.623436999492</v>
      </c>
      <c r="F31" s="81">
        <f>Model!AQ281</f>
        <v>441.302072922547</v>
      </c>
      <c r="G31" s="81">
        <f>Model!AR281</f>
        <v>479.262732605944</v>
      </c>
      <c r="H31" s="81">
        <f>Model!AS281</f>
        <v>518.125341839407</v>
      </c>
      <c r="I31" s="290">
        <f>IFERROR((H31/C31)^(1/5)-1,"n/m")</f>
        <v>0.194254648694457</v>
      </c>
      <c r="N31" s="79" t="inlineStr">
        <is>
          <t>Free Cash Flow</t>
        </is>
      </c>
      <c r="O31" s="80" t="n">
        <v>213.28</v>
      </c>
      <c r="P31" s="81" t="n">
        <v>252.302286125486</v>
      </c>
      <c r="Q31" s="81" t="n">
        <v>401.715705968893</v>
      </c>
      <c r="R31" s="81" t="n">
        <v>484.138976293056</v>
      </c>
      <c r="S31" s="81" t="n">
        <v>539.427253469675</v>
      </c>
      <c r="T31" s="81" t="n">
        <v>601.549866668467</v>
      </c>
      <c r="U31" s="290" t="n">
        <v>0.23045093482953</v>
      </c>
      <c r="Z31" s="79" t="inlineStr">
        <is>
          <t>Free Cash Flow</t>
        </is>
      </c>
      <c r="AA31" s="80" t="n">
        <v>213.28</v>
      </c>
      <c r="AB31" s="81" t="n">
        <v>259.096463463415</v>
      </c>
      <c r="AC31" s="81" t="n">
        <v>357.024669763636</v>
      </c>
      <c r="AD31" s="81" t="n">
        <v>400.549465861859</v>
      </c>
      <c r="AE31" s="81" t="n">
        <v>417.051971471884</v>
      </c>
      <c r="AF31" s="81" t="n">
        <v>432.100501069234</v>
      </c>
      <c r="AG31" s="290" t="n">
        <v>0.151667012941389</v>
      </c>
    </row>
    <row r="32" ht="15" customHeight="1" s="251">
      <c r="B32" s="83" t="inlineStr">
        <is>
          <t xml:space="preserve">   FCF %</t>
        </is>
      </c>
      <c r="C32" s="88">
        <f>Model!AJ284</f>
        <v>0.0750310899877047</v>
      </c>
      <c r="D32" s="89">
        <f>Model!AO284</f>
        <v>0.080321817177102</v>
      </c>
      <c r="E32" s="89">
        <f>Model!AP284</f>
        <v>0.110649888035172</v>
      </c>
      <c r="F32" s="89">
        <f>Model!AQ284</f>
        <v>0.122963383131738</v>
      </c>
      <c r="G32" s="89">
        <f>Model!AR284</f>
        <v>0.125853655600684</v>
      </c>
      <c r="H32" s="89">
        <f>Model!AS284</f>
        <v>0.12795536596278</v>
      </c>
      <c r="J32" s="90">
        <f>IFERROR(AVERAGE(Model!J284,Model!K284,Model!P284,Model!U284,Model!Z284,Model!AE284,Model!AJ284),"")</f>
        <v>0.0960947794278439</v>
      </c>
      <c r="K32" s="90">
        <f>IFERROR(MIN(Model!J284,Model!K284,Model!P284,Model!U284,Model!Z284,Model!AE284,Model!AJ284),"")</f>
        <v>0.0671356632786835</v>
      </c>
      <c r="L32" s="90">
        <f>IFERROR(MAX(Model!J284,Model!K284,Model!P284,Model!U284,Model!Z284,Model!AE284,Model!AJ284),"")</f>
        <v>0.137965887360909</v>
      </c>
      <c r="N32" s="83" t="inlineStr">
        <is>
          <t xml:space="preserve">   FCF %</t>
        </is>
      </c>
      <c r="O32" s="88" t="n">
        <v>0.0750310899877047</v>
      </c>
      <c r="P32" s="89" t="n">
        <v>0.0782740908981014</v>
      </c>
      <c r="Q32" s="89" t="n">
        <v>0.112311190930766</v>
      </c>
      <c r="R32" s="89" t="n">
        <v>0.124316615736714</v>
      </c>
      <c r="S32" s="89" t="n">
        <v>0.126162486915921</v>
      </c>
      <c r="T32" s="89" t="n">
        <v>0.12822536033042</v>
      </c>
      <c r="V32" s="90" t="n">
        <v>0.0960947794278439</v>
      </c>
      <c r="W32" s="90" t="n">
        <v>0.06713566327868351</v>
      </c>
      <c r="X32" s="90" t="n">
        <v>0.137965887360909</v>
      </c>
      <c r="Z32" s="83" t="inlineStr">
        <is>
          <t xml:space="preserve">   FCF %</t>
        </is>
      </c>
      <c r="AA32" s="88" t="n">
        <v>0.0750310899877047</v>
      </c>
      <c r="AB32" s="89" t="n">
        <v>0.08245416458515541</v>
      </c>
      <c r="AC32" s="89" t="n">
        <v>0.108388535907479</v>
      </c>
      <c r="AD32" s="89" t="n">
        <v>0.119763901571027</v>
      </c>
      <c r="AE32" s="89" t="n">
        <v>0.122082554536775</v>
      </c>
      <c r="AF32" s="89" t="n">
        <v>0.123338877070469</v>
      </c>
      <c r="AH32" s="90" t="n">
        <v>0.0960947794278439</v>
      </c>
      <c r="AI32" s="90" t="n">
        <v>0.06713566327868351</v>
      </c>
      <c r="AJ32" s="90" t="n">
        <v>0.137965887360909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3.48119636549258</v>
      </c>
      <c r="D33" s="100">
        <f>IFERROR(D31/D21,"")</f>
        <v>4.03823150981855</v>
      </c>
      <c r="E33" s="100">
        <f>IFERROR(E31/E21,"")</f>
        <v>5.90996101133641</v>
      </c>
      <c r="F33" s="100">
        <f>IFERROR(F31/F21,"")</f>
        <v>6.92650691200997</v>
      </c>
      <c r="G33" s="100">
        <f>IFERROR(G31/G21,"")</f>
        <v>7.72617151723012</v>
      </c>
      <c r="H33" s="100">
        <f>IFERROR(H31/H21,"")</f>
        <v>9.00160909389778</v>
      </c>
      <c r="N33" s="83" t="inlineStr">
        <is>
          <t xml:space="preserve">   FCF / share ($)</t>
        </is>
      </c>
      <c r="O33" s="99" t="n">
        <v>3.48119636549258</v>
      </c>
      <c r="P33" s="100" t="n">
        <v>3.985361143354</v>
      </c>
      <c r="Q33" s="100" t="n">
        <v>6.3558294569375</v>
      </c>
      <c r="R33" s="100" t="n">
        <v>8.067543937765199</v>
      </c>
      <c r="S33" s="100" t="n">
        <v>9.66553548530158</v>
      </c>
      <c r="T33" s="100" t="n">
        <v>12.0024285193421</v>
      </c>
      <c r="Z33" s="83" t="inlineStr">
        <is>
          <t xml:space="preserve">   FCF / share ($)</t>
        </is>
      </c>
      <c r="AA33" s="99" t="n">
        <v>3.48119636549258</v>
      </c>
      <c r="AB33" s="100" t="n">
        <v>4.09268181325142</v>
      </c>
      <c r="AC33" s="100" t="n">
        <v>5.57282426864446</v>
      </c>
      <c r="AD33" s="100" t="n">
        <v>6.22306512073631</v>
      </c>
      <c r="AE33" s="100" t="n">
        <v>6.46410323585038</v>
      </c>
      <c r="AF33" s="100" t="n">
        <v>7.01506500347279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0.0617757088173874</v>
      </c>
      <c r="H34" s="101">
        <f>IFERROR(H33/H$27,"")</f>
        <v>0.0616591206459582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0.0510409854071495</v>
      </c>
      <c r="T34" s="101">
        <f>IFERROR(T33/T$27,"")</f>
        <v>0.0511120901426321</v>
      </c>
      <c r="Z34" s="83" t="inlineStr">
        <is>
          <t xml:space="preserve">   FCF Yield (on PT)</t>
        </is>
      </c>
      <c r="AC34" s="101" t="n"/>
      <c r="AD34" s="101">
        <f>IFERROR(AD33/AD$27,"")</f>
        <v>0.078752791396663</v>
      </c>
      <c r="AE34" s="101">
        <f>IFERROR(AE33/AE$27,"")</f>
        <v>0.0779380756412184</v>
      </c>
      <c r="AF34" s="101">
        <f>IFERROR(AF33/AF$27,"")</f>
        <v>0.0774877791488154</v>
      </c>
    </row>
    <row r="35" ht="15" customHeight="1" s="251">
      <c r="B35" s="79" t="inlineStr">
        <is>
          <t>Adjusted EBITDA — pro forma (2026E incl. Eddyfi full year)</t>
        </is>
      </c>
      <c r="C35" s="80">
        <f>Model!AJ415</f>
        <v>559.726</v>
      </c>
      <c r="D35" s="81">
        <f>Model!AO415</f>
        <v>658.078304109589</v>
      </c>
      <c r="E35" s="81">
        <f>Model!AP415</f>
        <v>707.274998417731</v>
      </c>
      <c r="F35" s="81">
        <f>Model!AQ415</f>
        <v>766.04684559347</v>
      </c>
      <c r="G35" s="81">
        <f>Model!AR415</f>
        <v>824.601602764246</v>
      </c>
      <c r="H35" s="81">
        <f>Model!AS415</f>
        <v>884.642632729996</v>
      </c>
      <c r="I35" s="290">
        <f>IFERROR((H35/C35)^(1/5)-1,"n/m")</f>
        <v>0.0958685838291842</v>
      </c>
      <c r="N35" s="79" t="inlineStr">
        <is>
          <t>Adjusted EBITDA — pro forma (2026E incl. Eddyfi full year)</t>
        </is>
      </c>
      <c r="O35" s="80" t="n">
        <v>559.726</v>
      </c>
      <c r="P35" s="81" t="n">
        <v>663.078304109589</v>
      </c>
      <c r="Q35" s="81" t="n">
        <v>752.3776774264049</v>
      </c>
      <c r="R35" s="81" t="n">
        <v>848.62737989374</v>
      </c>
      <c r="S35" s="81" t="n">
        <v>948.146692770527</v>
      </c>
      <c r="T35" s="81" t="n">
        <v>1052.55588476353</v>
      </c>
      <c r="U35" s="290" t="n">
        <v>0.134629149038606</v>
      </c>
      <c r="Z35" s="79" t="inlineStr">
        <is>
          <t>Adjusted EBITDA — pro forma (2026E incl. Eddyfi full year)</t>
        </is>
      </c>
      <c r="AA35" s="80" t="n">
        <v>559.726</v>
      </c>
      <c r="AB35" s="81" t="n">
        <v>653.078304109589</v>
      </c>
      <c r="AC35" s="81" t="n">
        <v>667.537065219119</v>
      </c>
      <c r="AD35" s="81" t="n">
        <v>696.034970024054</v>
      </c>
      <c r="AE35" s="81" t="n">
        <v>718.003836048264</v>
      </c>
      <c r="AF35" s="81" t="n">
        <v>739.89747050201</v>
      </c>
      <c r="AG35" s="290" t="n">
        <v>0.0573997717816974</v>
      </c>
    </row>
    <row r="36" ht="15" customHeight="1" s="251">
      <c r="B36" s="83" t="inlineStr">
        <is>
          <t xml:space="preserve">   Adjusted EBITDA (pro forma) % of net sales</t>
        </is>
      </c>
      <c r="C36" s="88">
        <f>IFERROR(C35/C9,"")</f>
        <v>0.196909470529154</v>
      </c>
      <c r="D36" s="89">
        <f>IFERROR(D35/D9,"")</f>
        <v>0.206759932402445</v>
      </c>
      <c r="E36" s="89">
        <f>IFERROR(E35/E9,"")</f>
        <v>0.206695866492552</v>
      </c>
      <c r="F36" s="89">
        <f>IFERROR(F35/F9,"")</f>
        <v>0.213449511233321</v>
      </c>
      <c r="G36" s="89">
        <f>IFERROR(G35/G9,"")</f>
        <v>0.21653911114218</v>
      </c>
      <c r="H36" s="89">
        <f>IFERROR(H35/H9,"")</f>
        <v>0.218469861781685</v>
      </c>
      <c r="J36" s="90">
        <f>IFERROR(AVERAGE(Model!J190,Model!K190,Model!P190,Model!U190,Model!Z190,Model!AE190,Model!AJ190),"")</f>
        <v>0.173876731427758</v>
      </c>
      <c r="K36" s="90">
        <f>IFERROR(MIN(Model!J190,Model!K190,Model!P190,Model!U190,Model!Z190,Model!AE190,Model!AJ190),"")</f>
        <v>0.154428381764953</v>
      </c>
      <c r="L36" s="90">
        <f>IFERROR(MAX(Model!J190,Model!K190,Model!P190,Model!U190,Model!Z190,Model!AE190,Model!AJ190),"")</f>
        <v>0.196909470529154</v>
      </c>
      <c r="N36" s="83" t="inlineStr">
        <is>
          <t xml:space="preserve">   Adjusted EBITDA (pro forma) % of net sales</t>
        </is>
      </c>
      <c r="O36" s="88" t="n">
        <v>0.196909470529154</v>
      </c>
      <c r="P36" s="89" t="n">
        <v>0.205712965369718</v>
      </c>
      <c r="Q36" s="89" t="n">
        <v>0.210348840550503</v>
      </c>
      <c r="R36" s="89" t="n">
        <v>0.217909503377899</v>
      </c>
      <c r="S36" s="89" t="n">
        <v>0.221754729579602</v>
      </c>
      <c r="T36" s="89" t="n">
        <v>0.224361046473461</v>
      </c>
      <c r="V36" s="90" t="n">
        <v>0.173876731427758</v>
      </c>
      <c r="W36" s="90" t="n">
        <v>0.154428381764953</v>
      </c>
      <c r="X36" s="90" t="n">
        <v>0.196909470529154</v>
      </c>
      <c r="Z36" s="83" t="inlineStr">
        <is>
          <t xml:space="preserve">   Adjusted EBITDA (pro forma) % of net sales</t>
        </is>
      </c>
      <c r="AA36" s="88" t="n">
        <v>0.196909470529154</v>
      </c>
      <c r="AB36" s="89" t="n">
        <v>0.207833890336561</v>
      </c>
      <c r="AC36" s="89" t="n">
        <v>0.202656486485867</v>
      </c>
      <c r="AD36" s="89" t="n">
        <v>0.208113780555389</v>
      </c>
      <c r="AE36" s="89" t="n">
        <v>0.210179422393368</v>
      </c>
      <c r="AF36" s="89" t="n">
        <v>0.211196522413605</v>
      </c>
      <c r="AH36" s="90" t="n">
        <v>0.173876731427758</v>
      </c>
      <c r="AI36" s="90" t="n">
        <v>0.154428381764953</v>
      </c>
      <c r="AJ36" s="90" t="n">
        <v>0.196909470529154</v>
      </c>
    </row>
    <row r="38" ht="15" customHeight="1" s="251">
      <c r="B38" s="79" t="inlineStr">
        <is>
          <t>Net Debt</t>
        </is>
      </c>
      <c r="C38" s="80">
        <f>Model!AJ414</f>
        <v>1049.089</v>
      </c>
      <c r="D38" s="81">
        <f>Model!AO414</f>
        <v>1993.64737650419</v>
      </c>
      <c r="E38" s="81">
        <f>Model!AP414</f>
        <v>1657.9063800187</v>
      </c>
      <c r="F38" s="81">
        <f>Model!AQ414</f>
        <v>1519.38369118694</v>
      </c>
      <c r="G38" s="81">
        <f>Model!AR414</f>
        <v>1636.49320552849</v>
      </c>
      <c r="H38" s="81">
        <f>Model!AS414</f>
        <v>1756.57526545999</v>
      </c>
      <c r="N38" s="79" t="inlineStr">
        <is>
          <t>Net Debt</t>
        </is>
      </c>
      <c r="O38" s="80" t="n">
        <v>1049.089</v>
      </c>
      <c r="P38" s="81" t="n">
        <v>1996.99445443451</v>
      </c>
      <c r="Q38" s="81" t="n">
        <v>1868.23419356601</v>
      </c>
      <c r="R38" s="81" t="n">
        <v>2108.85844973435</v>
      </c>
      <c r="S38" s="81" t="n">
        <v>2357.65673192632</v>
      </c>
      <c r="T38" s="81" t="n">
        <v>2618.67971190883</v>
      </c>
      <c r="Z38" s="79" t="inlineStr">
        <is>
          <t>Net Debt</t>
        </is>
      </c>
      <c r="AA38" s="80" t="n">
        <v>1049.089</v>
      </c>
      <c r="AB38" s="81" t="n">
        <v>1990.20027709658</v>
      </c>
      <c r="AC38" s="81" t="n">
        <v>1676.05804784695</v>
      </c>
      <c r="AD38" s="81" t="n">
        <v>1371.70874655049</v>
      </c>
      <c r="AE38" s="81" t="n">
        <v>1243.79671308446</v>
      </c>
      <c r="AF38" s="81" t="n">
        <v>1282.11057337852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1.87429027774304</v>
      </c>
      <c r="D39" s="103">
        <f>IFERROR(D38/D35,"")</f>
        <v>3.02949871474898</v>
      </c>
      <c r="E39" s="103">
        <f>IFERROR(E38/E35,"")</f>
        <v>2.34407604358652</v>
      </c>
      <c r="F39" s="103">
        <f>IFERROR(F38/F35,"")</f>
        <v>1.98340832538753</v>
      </c>
      <c r="G39" s="103">
        <f>IFERROR(G38/G35,"")</f>
        <v>1.98458649612444</v>
      </c>
      <c r="H39" s="103">
        <f>IFERROR(H38/H35,"")</f>
        <v>1.9856326164603</v>
      </c>
      <c r="N39" s="83" t="inlineStr">
        <is>
          <t xml:space="preserve">   Net Debt / Adjusted EBITDA (x)</t>
        </is>
      </c>
      <c r="O39" s="102" t="n">
        <v>1.87429027774304</v>
      </c>
      <c r="P39" s="103" t="n">
        <v>3.01170230130839</v>
      </c>
      <c r="Q39" s="103" t="n">
        <v>2.48310688849319</v>
      </c>
      <c r="R39" s="103" t="n">
        <v>2.48502287305226</v>
      </c>
      <c r="S39" s="103" t="n">
        <v>2.48659490129859</v>
      </c>
      <c r="T39" s="103" t="n">
        <v>2.48792463166661</v>
      </c>
      <c r="Z39" s="83" t="inlineStr">
        <is>
          <t xml:space="preserve">   Net Debt / Adjusted EBITDA (x)</t>
        </is>
      </c>
      <c r="AA39" s="102" t="n">
        <v>1.87429027774304</v>
      </c>
      <c r="AB39" s="103" t="n">
        <v>3.04741447476201</v>
      </c>
      <c r="AC39" s="103" t="n">
        <v>2.51080896503745</v>
      </c>
      <c r="AD39" s="103" t="n">
        <v>1.97074688144345</v>
      </c>
      <c r="AE39" s="103" t="n">
        <v>1.73229814471472</v>
      </c>
      <c r="AF39" s="103" t="n">
        <v>1.73282194424671</v>
      </c>
    </row>
    <row r="40" ht="15" customHeight="1" s="251">
      <c r="B40" s="252" t="inlineStr">
        <is>
          <t xml:space="preserve">   Share repurchases ($m)</t>
        </is>
      </c>
      <c r="C40" s="102" t="n"/>
      <c r="D40" s="248">
        <f>Model!AO293</f>
        <v>0</v>
      </c>
      <c r="E40" s="248">
        <f>Model!AP293</f>
        <v>0</v>
      </c>
      <c r="F40" s="248">
        <f>Model!AQ293</f>
        <v>106.579219525392</v>
      </c>
      <c r="G40" s="248">
        <f>Model!AR293</f>
        <v>352.990787164912</v>
      </c>
      <c r="H40" s="248">
        <f>Model!AS293</f>
        <v>398.333200541643</v>
      </c>
      <c r="N40" s="252" t="inlineStr">
        <is>
          <t xml:space="preserve">   Share repurchases ($m)</t>
        </is>
      </c>
      <c r="O40" s="102" t="n"/>
      <c r="P40" s="248" t="n">
        <v>0</v>
      </c>
      <c r="Q40" s="248" t="n">
        <v>130.07300458639</v>
      </c>
      <c r="R40" s="248" t="n">
        <v>429.521543339931</v>
      </c>
      <c r="S40" s="248" t="n">
        <v>448.322148265494</v>
      </c>
      <c r="T40" s="248" t="n">
        <v>527.253256427593</v>
      </c>
      <c r="Z40" s="83" t="n"/>
      <c r="AA40" s="102" t="n"/>
      <c r="AB40" s="103" t="n"/>
      <c r="AC40" s="103" t="n"/>
      <c r="AD40" s="103" t="n"/>
      <c r="AE40" s="103" t="n"/>
      <c r="AF40" s="103" t="n"/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Model!AO292</f>
        <v>69.94</v>
      </c>
      <c r="E41" s="249">
        <f>Model!AP292</f>
        <v>75.5352</v>
      </c>
      <c r="F41" s="249">
        <f>Model!AQ292</f>
        <v>81.578016</v>
      </c>
      <c r="G41" s="249">
        <f>Model!AR292</f>
        <v>88.10425728</v>
      </c>
      <c r="H41" s="249">
        <f>Model!AS292</f>
        <v>95.1525978624</v>
      </c>
      <c r="N41" s="252" t="inlineStr">
        <is>
          <t xml:space="preserve">   Implied avg buyback price ($)</t>
        </is>
      </c>
      <c r="O41" s="102" t="n"/>
      <c r="P41" s="249" t="n">
        <v>69.94</v>
      </c>
      <c r="Q41" s="249" t="n">
        <v>75.5352</v>
      </c>
      <c r="R41" s="249" t="n">
        <v>81.57801600000001</v>
      </c>
      <c r="S41" s="249" t="n">
        <v>88.10425728</v>
      </c>
      <c r="T41" s="249" t="n">
        <v>95.1525978624</v>
      </c>
      <c r="Z41" s="83" t="n"/>
      <c r="AA41" s="102" t="n"/>
      <c r="AB41" s="103" t="n"/>
      <c r="AC41" s="103" t="n"/>
      <c r="AD41" s="103" t="n"/>
      <c r="AE41" s="103" t="n"/>
      <c r="AF41" s="103" t="n"/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Model!AO294</f>
        <v>0</v>
      </c>
      <c r="E42" s="250">
        <f>Model!AP294</f>
        <v>0</v>
      </c>
      <c r="F42" s="250">
        <f>Model!AQ294</f>
        <v>1.30646986469237</v>
      </c>
      <c r="G42" s="250">
        <f>Model!AR294</f>
        <v>4.00651226243346</v>
      </c>
      <c r="H42" s="250">
        <f>Model!AS294</f>
        <v>4.18625670228859</v>
      </c>
      <c r="N42" s="252" t="inlineStr">
        <is>
          <t xml:space="preserve">   Shares repurchased (m)</t>
        </is>
      </c>
      <c r="O42" s="102" t="n"/>
      <c r="P42" s="250" t="n">
        <v>0</v>
      </c>
      <c r="Q42" s="250" t="n">
        <v>1.72201840448414</v>
      </c>
      <c r="R42" s="250" t="n">
        <v>5.26516290050411</v>
      </c>
      <c r="S42" s="250" t="n">
        <v>5.08854125903023</v>
      </c>
      <c r="T42" s="250" t="n">
        <v>5.54113359248534</v>
      </c>
      <c r="Z42" s="83" t="n"/>
      <c r="AA42" s="102" t="n"/>
      <c r="AB42" s="103" t="n"/>
      <c r="AC42" s="103" t="n"/>
      <c r="AD42" s="103" t="n"/>
      <c r="AE42" s="103" t="n"/>
      <c r="AF42" s="103" t="n"/>
    </row>
    <row r="44" ht="15" customHeight="1" s="251">
      <c r="B44" s="79" t="inlineStr">
        <is>
          <t>ROIC</t>
        </is>
      </c>
      <c r="C44" s="86">
        <f>Model!AJ397</f>
        <v>0.123950010819942</v>
      </c>
      <c r="D44" s="87">
        <f>Model!AO397</f>
        <v>0.0947232161177035</v>
      </c>
      <c r="E44" s="87">
        <f>Model!AP397</f>
        <v>0.107726098997254</v>
      </c>
      <c r="F44" s="87">
        <f>Model!AQ397</f>
        <v>0.114739094737631</v>
      </c>
      <c r="G44" s="87">
        <f>Model!AR397</f>
        <v>0.119867507425705</v>
      </c>
      <c r="H44" s="87">
        <f>Model!AS397</f>
        <v>0.12487138929281</v>
      </c>
      <c r="J44" s="90">
        <f>IFERROR(AVERAGE(Model!J397,Model!K397,Model!P397,Model!U397,Model!Z397,Model!AE397,Model!AJ397),"")</f>
        <v>0.118951842503666</v>
      </c>
      <c r="K44" s="90">
        <f>IFERROR(MIN(Model!J397,Model!K397,Model!P397,Model!U397,Model!Z397,Model!AE397,Model!AJ397),"")</f>
        <v>0.0817821491002446</v>
      </c>
      <c r="L44" s="90">
        <f>IFERROR(MAX(Model!J397,Model!K397,Model!P397,Model!U397,Model!Z397,Model!AE397,Model!AJ397),"")</f>
        <v>0.147800853170188</v>
      </c>
      <c r="N44" s="79" t="inlineStr">
        <is>
          <t>ROIC</t>
        </is>
      </c>
      <c r="O44" s="86" t="n">
        <v>0.123950010819942</v>
      </c>
      <c r="P44" s="87" t="n">
        <v>0.09605073655772781</v>
      </c>
      <c r="Q44" s="87" t="n">
        <v>0.111896223836864</v>
      </c>
      <c r="R44" s="87" t="n">
        <v>0.12138919291338</v>
      </c>
      <c r="S44" s="87" t="n">
        <v>0.129046848265971</v>
      </c>
      <c r="T44" s="87" t="n">
        <v>0.13662380269459</v>
      </c>
      <c r="V44" s="90" t="n">
        <v>0.118951842503666</v>
      </c>
      <c r="W44" s="90" t="n">
        <v>0.0817821491002446</v>
      </c>
      <c r="X44" s="90" t="n">
        <v>0.147800853170188</v>
      </c>
      <c r="Z44" s="79" t="inlineStr">
        <is>
          <t>ROIC</t>
        </is>
      </c>
      <c r="AA44" s="86" t="n">
        <v>0.123950010819942</v>
      </c>
      <c r="AB44" s="87" t="n">
        <v>0.09342430227725219</v>
      </c>
      <c r="AC44" s="87" t="n">
        <v>0.101864963950629</v>
      </c>
      <c r="AD44" s="87" t="n">
        <v>0.106924292781512</v>
      </c>
      <c r="AE44" s="87" t="n">
        <v>0.109509854931531</v>
      </c>
      <c r="AF44" s="87" t="n">
        <v>0.111963078248272</v>
      </c>
      <c r="AH44" s="90" t="n">
        <v>0.118951842503666</v>
      </c>
      <c r="AI44" s="90" t="n">
        <v>0.0817821491002446</v>
      </c>
      <c r="AJ44" s="90" t="n">
        <v>0.147800853170188</v>
      </c>
    </row>
    <row r="45" ht="15" customHeight="1" s="251">
      <c r="B45" s="79" t="inlineStr">
        <is>
          <t>RONTA</t>
        </is>
      </c>
      <c r="C45" s="86">
        <f>Model!AJ408</f>
        <v>0.27289073623435</v>
      </c>
      <c r="D45" s="87">
        <f>Model!AO408</f>
        <v>0.273733044509992</v>
      </c>
      <c r="E45" s="87">
        <f>Model!AP408</f>
        <v>0.271636729960637</v>
      </c>
      <c r="F45" s="87">
        <f>Model!AQ408</f>
        <v>0.267912478061742</v>
      </c>
      <c r="G45" s="87">
        <f>Model!AR408</f>
        <v>0.297259750755107</v>
      </c>
      <c r="H45" s="87">
        <f>Model!AS408</f>
        <v>0.328746007678721</v>
      </c>
      <c r="J45" s="90">
        <f>IFERROR(AVERAGE(Model!J408,Model!K408,Model!P408,Model!U408,Model!Z408,Model!AE408,Model!AJ408),"")</f>
        <v>0.290442317945795</v>
      </c>
      <c r="K45" s="90">
        <f>IFERROR(MIN(Model!J408,Model!K408,Model!P408,Model!U408,Model!Z408,Model!AE408,Model!AJ408),"")</f>
        <v>0.256911898143023</v>
      </c>
      <c r="L45" s="90">
        <f>IFERROR(MAX(Model!J408,Model!K408,Model!P408,Model!U408,Model!Z408,Model!AE408,Model!AJ408),"")</f>
        <v>0.337577737712696</v>
      </c>
      <c r="N45" s="79" t="inlineStr">
        <is>
          <t>RONTA</t>
        </is>
      </c>
      <c r="O45" s="86" t="n">
        <v>0.27289073623435</v>
      </c>
      <c r="P45" s="87" t="n">
        <v>0.276574690021656</v>
      </c>
      <c r="Q45" s="87" t="n">
        <v>0.315188124011736</v>
      </c>
      <c r="R45" s="87" t="n">
        <v>0.341879614496478</v>
      </c>
      <c r="S45" s="87" t="n">
        <v>0.364526147421458</v>
      </c>
      <c r="T45" s="87" t="n">
        <v>0.385769453852038</v>
      </c>
      <c r="V45" s="90" t="n">
        <v>0.290442317945795</v>
      </c>
      <c r="W45" s="90" t="n">
        <v>0.256911898143023</v>
      </c>
      <c r="X45" s="90" t="n">
        <v>0.337577737712696</v>
      </c>
      <c r="Z45" s="79" t="inlineStr">
        <is>
          <t>RONTA</t>
        </is>
      </c>
      <c r="AA45" s="86" t="n">
        <v>0.27289073623435</v>
      </c>
      <c r="AB45" s="87" t="n">
        <v>0.270957591335033</v>
      </c>
      <c r="AC45" s="87" t="n">
        <v>0.260902972380693</v>
      </c>
      <c r="AD45" s="87" t="n">
        <v>0.230441839964177</v>
      </c>
      <c r="AE45" s="87" t="n">
        <v>0.221102570919774</v>
      </c>
      <c r="AF45" s="87" t="n">
        <v>0.228163993007959</v>
      </c>
      <c r="AH45" s="90" t="n">
        <v>0.290442317945795</v>
      </c>
      <c r="AI45" s="90" t="n">
        <v>0.256911898143023</v>
      </c>
      <c r="AJ45" s="90" t="n">
        <v>0.337577737712696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7758.10981016296</v>
      </c>
      <c r="H47" s="104">
        <f>H27*H21</f>
        <v>8403.06083530516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10568.5117394719</v>
      </c>
      <c r="T47" s="104">
        <f>T27*T21</f>
        <v>11769.2284739246</v>
      </c>
      <c r="Z47" s="83" t="inlineStr">
        <is>
          <t>Implied Market Cap (USDm)</t>
        </is>
      </c>
      <c r="AC47" s="104" t="n"/>
      <c r="AD47" s="104">
        <f>AD27*AD21</f>
        <v>5086.16213797891</v>
      </c>
      <c r="AE47" s="104">
        <f>AE27*AE21</f>
        <v>5351.06837114826</v>
      </c>
      <c r="AF47" s="104">
        <f>AF27*AF21</f>
        <v>5576.36966520081</v>
      </c>
    </row>
    <row r="48" ht="15" customHeight="1" s="251">
      <c r="B48" s="83" t="inlineStr">
        <is>
          <t>(+) Net Debt &amp; NCI</t>
        </is>
      </c>
      <c r="E48" s="104" t="n"/>
      <c r="F48" s="104">
        <f>F38+Model!AQ328+Model!AQ424</f>
        <v>1636.96275832127</v>
      </c>
      <c r="G48" s="104">
        <f>G38+Model!AR328+Model!AR424</f>
        <v>1761.79419793454</v>
      </c>
      <c r="H48" s="104">
        <f>H38+Model!AS328+Model!AS424</f>
        <v>1890.08722097247</v>
      </c>
      <c r="N48" s="83" t="inlineStr">
        <is>
          <t>(+) Net Debt &amp; NCI</t>
        </is>
      </c>
      <c r="Q48" s="104" t="n"/>
      <c r="R48" s="104">
        <f>R38+Model!AQ328+Model!AQ424</f>
        <v>2226.43751686868</v>
      </c>
      <c r="S48" s="104">
        <f>S38+Model!AR328+Model!AR424</f>
        <v>2482.95772433237</v>
      </c>
      <c r="T48" s="104">
        <f>T38+Model!AS328+Model!AS424</f>
        <v>2752.19166742131</v>
      </c>
      <c r="Z48" s="83" t="inlineStr">
        <is>
          <t>(+) Net Debt &amp; NCI</t>
        </is>
      </c>
      <c r="AC48" s="104" t="n"/>
      <c r="AD48" s="104">
        <f>AD38+Model!AQ328+Model!AQ424</f>
        <v>1489.28781368482</v>
      </c>
      <c r="AE48" s="104">
        <f>AE38+Model!AR328+Model!AR424</f>
        <v>1369.09770549051</v>
      </c>
      <c r="AF48" s="104">
        <f>AF38+Model!AS328+Model!AS424</f>
        <v>1415.622528891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1636.96275832127</v>
      </c>
      <c r="G49" s="104">
        <f>G47+G48</f>
        <v>9519.9040080975</v>
      </c>
      <c r="H49" s="104">
        <f>H47+H48</f>
        <v>10293.1480562776</v>
      </c>
      <c r="N49" s="83" t="inlineStr">
        <is>
          <t>Implied Enterprise Value (USDm)</t>
        </is>
      </c>
      <c r="Q49" s="104" t="n"/>
      <c r="R49" s="104">
        <f>R47+R48</f>
        <v>2226.43751686868</v>
      </c>
      <c r="S49" s="104">
        <f>S47+S48</f>
        <v>13051.4694638043</v>
      </c>
      <c r="T49" s="104">
        <f>T47+T48</f>
        <v>14521.4201413459</v>
      </c>
      <c r="Z49" s="83" t="inlineStr">
        <is>
          <t>Implied Enterprise Value (USDm)</t>
        </is>
      </c>
      <c r="AC49" s="104" t="n"/>
      <c r="AD49" s="104">
        <f>AD47+AD48</f>
        <v>6575.44995166374</v>
      </c>
      <c r="AE49" s="104">
        <f>AE47+AE48</f>
        <v>6720.16607663878</v>
      </c>
      <c r="AF49" s="104">
        <f>AF47+AF48</f>
        <v>6991.99219409181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2.13689641532704</v>
      </c>
      <c r="G50" s="105">
        <f>IFERROR(G49/G35,"")</f>
        <v>11.5448526611938</v>
      </c>
      <c r="H50" s="105">
        <f>IFERROR(H49/H35,"")</f>
        <v>11.6353741900423</v>
      </c>
      <c r="N50" s="83" t="inlineStr">
        <is>
          <t>Implied EV / Adjusted EBITDA (x)</t>
        </is>
      </c>
      <c r="Q50" s="105" t="n"/>
      <c r="R50" s="105">
        <f>IFERROR(R49/R35,"")</f>
        <v>2.62357492772324</v>
      </c>
      <c r="S50" s="105">
        <f>IFERROR(S49/S35,"")</f>
        <v>13.7652428293214</v>
      </c>
      <c r="T50" s="105">
        <f>IFERROR(T49/T35,"")</f>
        <v>13.796341221928</v>
      </c>
      <c r="Z50" s="83" t="inlineStr">
        <is>
          <t>Implied EV / Adjusted EBITDA (x)</t>
        </is>
      </c>
      <c r="AC50" s="105" t="n"/>
      <c r="AD50" s="105">
        <f>IFERROR(AD49/AD35,"")</f>
        <v>9.44701090440398</v>
      </c>
      <c r="AE50" s="105">
        <f>IFERROR(AE49/AE35,"")</f>
        <v>9.35951277589978</v>
      </c>
      <c r="AF50" s="105">
        <f>IFERROR(AF49/AF35,"")</f>
        <v>9.44994742223925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ESAB CORPORATION (ESAB)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0.055</v>
      </c>
      <c r="D5" s="198" t="inlineStr">
        <is>
          <t>Assumption (~US 10Y Treasury yield);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US implied ERP ~4.5–5.5% (Damodaran)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1.2</v>
      </c>
      <c r="D7" s="198" t="inlineStr">
        <is>
          <t>Welding / fabrication peers (Lincoln Electric, ITW, Kennametal) ~1.0–1.2; higher financial leverage post-Eddyfi (~3x) and Europe / emerging-market exposure → 1.2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0.115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0.058</v>
      </c>
      <c r="D9" s="198" t="inlineStr">
        <is>
          <t>BB-rated senior unsecured notes: 6.25% 2029, 5.625% 2031 (Mar-2026); TLA / revolver SOFR + 1.125–1.75%; marginal cost ~5.75–6.0%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0.235</v>
      </c>
      <c r="D10" s="198" t="inlineStr">
        <is>
          <t>Model 2027E+ effective tax rate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0.04437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0.35</v>
      </c>
      <c r="D12" s="198" t="inlineStr">
        <is>
          <t>Net debt ~$2.1bn at YE2026E vs ~$4.3bn market cap ($69.94 × ~62m shares); target leverage &lt; 3.0x YE26, ~2x medium term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0.0902795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2026-10-07 00:00:00</v>
      </c>
      <c r="D15" s="198" t="inlineStr">
        <is>
          <t>Periods = (Dec-31-Year − today) / 365.25; cash flows assumed at year-end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2026E</t>
        </is>
      </c>
      <c r="E17" s="203" t="inlineStr">
        <is>
          <t>2027E</t>
        </is>
      </c>
      <c r="F17" s="203" t="inlineStr">
        <is>
          <t>2028E</t>
        </is>
      </c>
      <c r="G17" s="203" t="inlineStr">
        <is>
          <t>2029E</t>
        </is>
      </c>
      <c r="H17" s="203" t="inlineStr">
        <is>
          <t>2030E</t>
        </is>
      </c>
      <c r="I17" s="203" t="inlineStr">
        <is>
          <t>2031E</t>
        </is>
      </c>
      <c r="J17" s="203" t="inlineStr">
        <is>
          <t>2032E</t>
        </is>
      </c>
      <c r="K17" s="203" t="inlineStr">
        <is>
          <t>2033E</t>
        </is>
      </c>
      <c r="L17" s="203" t="inlineStr">
        <is>
          <t>2034E</t>
        </is>
      </c>
      <c r="M17" s="203" t="inlineStr">
        <is>
          <t>2035E</t>
        </is>
      </c>
      <c r="N17" s="203" t="inlineStr">
        <is>
          <t>Terminal</t>
        </is>
      </c>
      <c r="O17" s="192" t="n"/>
      <c r="P17" s="204" t="inlineStr">
        <is>
          <t>CAGR 26–30E</t>
        </is>
      </c>
      <c r="Q17" s="204" t="inlineStr">
        <is>
          <t>CAGR 26–35E</t>
        </is>
      </c>
    </row>
    <row r="18" ht="15.75" customHeight="1" s="251">
      <c r="A18" s="192" t="n"/>
      <c r="B18" s="197" t="inlineStr">
        <is>
          <t>Adj. EBITA less restructuring, transaction &amp; integration costs (cash items)</t>
        </is>
      </c>
      <c r="C18" s="192" t="n"/>
      <c r="D18" s="173">
        <f>Model!AO200-Model!AO142-Model!AO130</f>
        <v>472.595643835616</v>
      </c>
      <c r="E18" s="173">
        <f>Model!AP200-Model!AP142-Model!AP130</f>
        <v>614.687344896891</v>
      </c>
      <c r="F18" s="173">
        <f>Model!AQ200-Model!AQ142-Model!AQ130</f>
        <v>685.553069266005</v>
      </c>
      <c r="G18" s="173">
        <f>Model!AR200-Model!AR142-Model!AR130</f>
        <v>741.160224682437</v>
      </c>
      <c r="H18" s="173">
        <f>Model!AS200-Model!AS142-Model!AS130</f>
        <v>796.834410924954</v>
      </c>
      <c r="I18" s="174">
        <f>H18*(1+I$26)</f>
        <v>844.644475580451</v>
      </c>
      <c r="J18" s="174">
        <f>I18*(1+J$26)</f>
        <v>892.155727331852</v>
      </c>
      <c r="K18" s="174">
        <f>J18*(1+K$26)</f>
        <v>938.993903016774</v>
      </c>
      <c r="L18" s="174">
        <f>K18*(1+L$26)</f>
        <v>984.769855788842</v>
      </c>
      <c r="M18" s="174">
        <f>L18*(1+M$26)</f>
        <v>1029.08449929934</v>
      </c>
      <c r="N18" s="192" t="n"/>
      <c r="O18" s="192" t="n"/>
      <c r="P18" s="176">
        <f>(H18/D18)^(1/(COLUMNS(D18:H18)-1))-1</f>
        <v>0.139513806738447</v>
      </c>
      <c r="Q18" s="176">
        <f>(M18/D18)^(1/(COLUMNS(D18:M18)-1))-1</f>
        <v>0.0903131701168281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0.765</v>
      </c>
      <c r="E19" s="177">
        <f>1-$C$10</f>
        <v>0.765</v>
      </c>
      <c r="F19" s="177">
        <f>1-$C$10</f>
        <v>0.765</v>
      </c>
      <c r="G19" s="177">
        <f>1-$C$10</f>
        <v>0.765</v>
      </c>
      <c r="H19" s="177">
        <f>1-$C$10</f>
        <v>0.765</v>
      </c>
      <c r="I19" s="177">
        <f>1-$C$10</f>
        <v>0.765</v>
      </c>
      <c r="J19" s="177">
        <f>1-$C$10</f>
        <v>0.765</v>
      </c>
      <c r="K19" s="177">
        <f>1-$C$10</f>
        <v>0.765</v>
      </c>
      <c r="L19" s="177">
        <f>1-$C$10</f>
        <v>0.765</v>
      </c>
      <c r="M19" s="177">
        <f>1-$C$10</f>
        <v>0.765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361.535667534247</v>
      </c>
      <c r="E20" s="174">
        <f>E18*E19</f>
        <v>470.235818846121</v>
      </c>
      <c r="F20" s="174">
        <f>F18*F19</f>
        <v>524.448097988494</v>
      </c>
      <c r="G20" s="174">
        <f>G18*G19</f>
        <v>566.987571882064</v>
      </c>
      <c r="H20" s="174">
        <f>H18*H19</f>
        <v>609.57832435759</v>
      </c>
      <c r="I20" s="174">
        <f>I18*I19</f>
        <v>646.153023819045</v>
      </c>
      <c r="J20" s="174">
        <f>J18*J19</f>
        <v>682.499131408867</v>
      </c>
      <c r="K20" s="174">
        <f>K18*K19</f>
        <v>718.330335807832</v>
      </c>
      <c r="L20" s="174">
        <f>L18*L19</f>
        <v>753.348939678464</v>
      </c>
      <c r="M20" s="174">
        <f>M18*M19</f>
        <v>787.249641963995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depreciation &amp; other amortization</t>
        </is>
      </c>
      <c r="C21" s="192" t="n"/>
      <c r="D21" s="173">
        <f>Model!AO127</f>
        <v>52.8083561643836</v>
      </c>
      <c r="E21" s="173">
        <f>Model!AP127</f>
        <v>57.5876535208404</v>
      </c>
      <c r="F21" s="173">
        <f>Model!AQ127</f>
        <v>60.4937763274656</v>
      </c>
      <c r="G21" s="173">
        <f>Model!AR127</f>
        <v>64.4413780818096</v>
      </c>
      <c r="H21" s="173">
        <f>Model!AS127</f>
        <v>68.8082218050421</v>
      </c>
      <c r="I21" s="174">
        <f>H21*(1+I$26)</f>
        <v>72.9367151133446</v>
      </c>
      <c r="J21" s="174">
        <f>I21*(1+J$26)</f>
        <v>77.0394053384702</v>
      </c>
      <c r="K21" s="174">
        <f>J21*(1+K$26)</f>
        <v>81.0839741187399</v>
      </c>
      <c r="L21" s="174">
        <f>K21*(1+L$26)</f>
        <v>85.0368178570285</v>
      </c>
      <c r="M21" s="174">
        <f>L21*(1+M$26)</f>
        <v>88.8634746605948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and acquisitions (M&amp;A 2027E–30E)</t>
        </is>
      </c>
      <c r="C22" s="192" t="n"/>
      <c r="D22" s="173">
        <f>Model!AO260</f>
        <v>-70</v>
      </c>
      <c r="E22" s="173">
        <f>Model!AP260+Model!AP261</f>
        <v>-75.2799280857934</v>
      </c>
      <c r="F22" s="173">
        <f>Model!AQ260+Model!AQ261</f>
        <v>-228.955583012014</v>
      </c>
      <c r="G22" s="173">
        <f>Model!AR260+Model!AR261</f>
        <v>-283.778099785871</v>
      </c>
      <c r="H22" s="173">
        <f>Model!AS260+Model!AS261</f>
        <v>-289.083856973866</v>
      </c>
      <c r="I22" s="174">
        <f>Model!AS260*(1+I$26)</f>
        <v>-94.4288883922982</v>
      </c>
      <c r="J22" s="174">
        <f>I22*(1+J$26)</f>
        <v>-99.7405133643649</v>
      </c>
      <c r="K22" s="174">
        <f>J22*(1+K$26)</f>
        <v>-104.976890315994</v>
      </c>
      <c r="L22" s="174">
        <f>K22*(1+L$26)</f>
        <v>-110.094513718899</v>
      </c>
      <c r="M22" s="174">
        <f>L22*(1+M$26)</f>
        <v>-115.048766836249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Model!AO258</f>
        <v>-11.3931192577023</v>
      </c>
      <c r="E23" s="173">
        <f>Model!AP258</f>
        <v>-13.3866443857527</v>
      </c>
      <c r="F23" s="173">
        <f>Model!AQ258</f>
        <v>-12.9695736570253</v>
      </c>
      <c r="G23" s="173">
        <f>Model!AR258</f>
        <v>-19.4069544881785</v>
      </c>
      <c r="H23" s="173">
        <f>Model!AS258</f>
        <v>-21.9955187743238</v>
      </c>
      <c r="I23" s="174">
        <f>H23*(1+I$26)</f>
        <v>-23.3152499007832</v>
      </c>
      <c r="J23" s="174">
        <f>I23*(1+J$26)</f>
        <v>-24.6267327077023</v>
      </c>
      <c r="K23" s="174">
        <f>J23*(1+K$26)</f>
        <v>-25.9196361748566</v>
      </c>
      <c r="L23" s="174">
        <f>K23*(1+L$26)</f>
        <v>-27.1832184383809</v>
      </c>
      <c r="M23" s="174">
        <f>L23*(1+M$26)</f>
        <v>-28.406463268108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332.950904440928</v>
      </c>
      <c r="E24" s="219">
        <f>E20+E21+E22+E23</f>
        <v>439.156899895416</v>
      </c>
      <c r="F24" s="219">
        <f>F20+F21+F22+F23</f>
        <v>343.01671764692</v>
      </c>
      <c r="G24" s="219">
        <f>G20+G21+G22+G23</f>
        <v>328.243895689824</v>
      </c>
      <c r="H24" s="219">
        <f>H20+H21+H22+H23</f>
        <v>367.307170414442</v>
      </c>
      <c r="I24" s="219">
        <f>I20+I21+I22+I23</f>
        <v>601.345600639309</v>
      </c>
      <c r="J24" s="219">
        <f>J20+J21+J22+J23</f>
        <v>635.17129067527</v>
      </c>
      <c r="K24" s="219">
        <f>K20+K21+K22+K23</f>
        <v>668.517783435721</v>
      </c>
      <c r="L24" s="219">
        <f>L20+L21+L22+L23</f>
        <v>701.108025378213</v>
      </c>
      <c r="M24" s="219">
        <f>M20+M21+M22+M23</f>
        <v>732.657886520232</v>
      </c>
      <c r="N24" s="219">
        <f>M24*(1+$C$27)</f>
        <v>758.30091254844</v>
      </c>
      <c r="O24" s="192" t="n"/>
      <c r="P24" s="181">
        <f>(H24/D24)^(1/(COLUMNS(D24:H24)-1))-1</f>
        <v>0.0248547112256383</v>
      </c>
      <c r="Q24" s="181">
        <f>(M24/D24)^(1/(COLUMNS(D24:M24)-1))-1</f>
        <v>0.0915858370348033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13717.5790763021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(2031E–35E; 6% → 4.5%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0.06</v>
      </c>
      <c r="J26" s="183">
        <f>I26+($M$26-$I$26)/4</f>
        <v>0.05625</v>
      </c>
      <c r="K26" s="183">
        <f>J26+($M$26-$I$26)/4</f>
        <v>0.0525</v>
      </c>
      <c r="L26" s="183">
        <f>K26+($M$26-$I$26)/4</f>
        <v>0.04875</v>
      </c>
      <c r="M26" s="182" t="n">
        <v>0.045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0.035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(DATE(2026,12,31)-$C$15)/365.25</f>
        <v>0.232717316906229</v>
      </c>
      <c r="E29" s="177">
        <f>(DATE(2027,12,31)-$C$15)/365.25</f>
        <v>1.23203285420945</v>
      </c>
      <c r="F29" s="177">
        <f>(DATE(2028,12,31)-$C$15)/365.25</f>
        <v>2.23408624229979</v>
      </c>
      <c r="G29" s="177">
        <f>(DATE(2029,12,31)-$C$15)/365.25</f>
        <v>3.23340177960301</v>
      </c>
      <c r="H29" s="177">
        <f>(DATE(2030,12,31)-$C$15)/365.25</f>
        <v>4.23271731690623</v>
      </c>
      <c r="I29" s="177">
        <f>(DATE(2031,12,31)-$C$15)/365.25</f>
        <v>5.23203285420945</v>
      </c>
      <c r="J29" s="177">
        <f>(DATE(2032,12,31)-$C$15)/365.25</f>
        <v>6.2340862422998</v>
      </c>
      <c r="K29" s="177">
        <f>(DATE(2033,12,31)-$C$15)/365.25</f>
        <v>7.23340177960301</v>
      </c>
      <c r="L29" s="177">
        <f>(DATE(2034,12,31)-$C$15)/365.25</f>
        <v>8.23271731690623</v>
      </c>
      <c r="M29" s="177">
        <f>(DATE(2035,12,31)-$C$15)/365.25</f>
        <v>9.23203285420945</v>
      </c>
      <c r="N29" s="177">
        <f>M29</f>
        <v>9.23203285420945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0.980086242693615</v>
      </c>
      <c r="E30" s="185">
        <f>1/(1+$C$13)^E29</f>
        <v>0.89898436795339</v>
      </c>
      <c r="F30" s="185">
        <f>1/(1+$C$13)^F29</f>
        <v>0.824398539933443</v>
      </c>
      <c r="G30" s="185">
        <f>1/(1+$C$13)^G29</f>
        <v>0.756179781002645</v>
      </c>
      <c r="H30" s="185">
        <f>1/(1+$C$13)^H29</f>
        <v>0.693606106147851</v>
      </c>
      <c r="I30" s="185">
        <f>1/(1+$C$13)^I29</f>
        <v>0.636210386169927</v>
      </c>
      <c r="J30" s="185">
        <f>1/(1+$C$13)^J29</f>
        <v>0.583426066287476</v>
      </c>
      <c r="K30" s="185">
        <f>1/(1+$C$13)^K29</f>
        <v>0.535147715171981</v>
      </c>
      <c r="L30" s="185">
        <f>1/(1+$C$13)^L29</f>
        <v>0.490864384713108</v>
      </c>
      <c r="M30" s="185">
        <f>1/(1+$C$13)^M29</f>
        <v>0.450245488018845</v>
      </c>
      <c r="N30" s="185">
        <f>1/(1+$C$13)^N29</f>
        <v>0.450245488018845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326.32060093495</v>
      </c>
      <c r="E31" s="222">
        <f>E24*E30</f>
        <v>394.79518808485</v>
      </c>
      <c r="F31" s="222">
        <f>F24*F30</f>
        <v>282.782481200883</v>
      </c>
      <c r="G31" s="222">
        <f>G24*G30</f>
        <v>248.211397158186</v>
      </c>
      <c r="H31" s="222">
        <f>H24*H30</f>
        <v>254.766496231346</v>
      </c>
      <c r="I31" s="222">
        <f>I24*I30</f>
        <v>382.582316804321</v>
      </c>
      <c r="J31" s="222">
        <f>J24*J30</f>
        <v>370.575487537412</v>
      </c>
      <c r="K31" s="222">
        <f>K24*K30</f>
        <v>357.755764357463</v>
      </c>
      <c r="L31" s="222">
        <f>L24*L30</f>
        <v>344.148959494699</v>
      </c>
      <c r="M31" s="222">
        <f>M24*M30</f>
        <v>329.875907667158</v>
      </c>
      <c r="N31" s="222">
        <f>N25*N30</f>
        <v>6176.27808564673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ESAB-specific: adjusted EBITA excludes amortization of acquired intangibles (Eddyfi PPA ~$58m p.a.) and the performance option awards; NOPAT is struck on adjusted EBITA less cash restructuring and integration costs (row 18). Eddyfi cash consideration (closed 1-Jun-2026) sits in YE2026E net debt, not in UFCF. Acquisition spend from the M&amp;A lever is deducted in 2027E–30E. Asbestos liabilities of divested Colfax businesses (net of insurance, ~$55m) are deducted as a debt-like item; MCPS conversion shares are included in the diluted share count.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Model!AJ394+Model!AO352</f>
        <v>4754.618</v>
      </c>
      <c r="E34" s="174">
        <f>D38</f>
        <v>4783.20276309332</v>
      </c>
      <c r="F34" s="174">
        <f>E38</f>
        <v>4814.28168204402</v>
      </c>
      <c r="G34" s="174">
        <f>F38</f>
        <v>4995.7130623856</v>
      </c>
      <c r="H34" s="174">
        <f>G38</f>
        <v>5234.45673857784</v>
      </c>
      <c r="I34" s="174">
        <f>H38</f>
        <v>5476.72789252099</v>
      </c>
      <c r="J34" s="174">
        <f>I38</f>
        <v>5521.53531570072</v>
      </c>
      <c r="K34" s="174">
        <f>J38</f>
        <v>5568.86315643432</v>
      </c>
      <c r="L34" s="174">
        <f>K38</f>
        <v>5618.67570880643</v>
      </c>
      <c r="M34" s="174">
        <f>L38</f>
        <v>5670.91662310668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70</v>
      </c>
      <c r="E35" s="174">
        <f>-E22</f>
        <v>75.2799280857934</v>
      </c>
      <c r="F35" s="174">
        <f>-F22</f>
        <v>228.955583012014</v>
      </c>
      <c r="G35" s="174">
        <f>-G22</f>
        <v>283.778099785871</v>
      </c>
      <c r="H35" s="174">
        <f>-H22</f>
        <v>289.083856973866</v>
      </c>
      <c r="I35" s="174">
        <f>-I22</f>
        <v>94.4288883922982</v>
      </c>
      <c r="J35" s="174">
        <f>-J22</f>
        <v>99.7405133643649</v>
      </c>
      <c r="K35" s="174">
        <f>-K22</f>
        <v>104.976890315994</v>
      </c>
      <c r="L35" s="174">
        <f>-L22</f>
        <v>110.094513718899</v>
      </c>
      <c r="M35" s="174">
        <f>-M22</f>
        <v>115.048766836249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-52.8083561643836</v>
      </c>
      <c r="E36" s="174">
        <f>-E21</f>
        <v>-57.5876535208404</v>
      </c>
      <c r="F36" s="174">
        <f>-F21</f>
        <v>-60.4937763274656</v>
      </c>
      <c r="G36" s="174">
        <f>-G21</f>
        <v>-64.4413780818096</v>
      </c>
      <c r="H36" s="174">
        <f>-H21</f>
        <v>-68.8082218050421</v>
      </c>
      <c r="I36" s="174">
        <f>-I21</f>
        <v>-72.9367151133446</v>
      </c>
      <c r="J36" s="174">
        <f>-J21</f>
        <v>-77.0394053384702</v>
      </c>
      <c r="K36" s="174">
        <f>-K21</f>
        <v>-81.0839741187399</v>
      </c>
      <c r="L36" s="174">
        <f>-L21</f>
        <v>-85.0368178570285</v>
      </c>
      <c r="M36" s="174">
        <f>-M21</f>
        <v>-88.8634746605948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11.3931192577023</v>
      </c>
      <c r="E37" s="174">
        <f>-E23</f>
        <v>13.3866443857527</v>
      </c>
      <c r="F37" s="174">
        <f>-F23</f>
        <v>12.9695736570253</v>
      </c>
      <c r="G37" s="174">
        <f>-G23</f>
        <v>19.4069544881785</v>
      </c>
      <c r="H37" s="174">
        <f>-H23</f>
        <v>21.9955187743238</v>
      </c>
      <c r="I37" s="174">
        <f>-I23</f>
        <v>23.3152499007832</v>
      </c>
      <c r="J37" s="174">
        <f>-J23</f>
        <v>24.6267327077023</v>
      </c>
      <c r="K37" s="174">
        <f>-K23</f>
        <v>25.9196361748566</v>
      </c>
      <c r="L37" s="174">
        <f>-L23</f>
        <v>27.1832184383809</v>
      </c>
      <c r="M37" s="174">
        <f>-M23</f>
        <v>28.406463268108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4783.20276309332</v>
      </c>
      <c r="E38" s="224">
        <f>SUM(E34:E37)</f>
        <v>4814.28168204402</v>
      </c>
      <c r="F38" s="224">
        <f>SUM(F34:F37)</f>
        <v>4995.7130623856</v>
      </c>
      <c r="G38" s="224">
        <f>SUM(G34:G37)</f>
        <v>5234.45673857784</v>
      </c>
      <c r="H38" s="224">
        <f>SUM(H34:H37)</f>
        <v>5476.72789252099</v>
      </c>
      <c r="I38" s="224">
        <f>SUM(I34:I37)</f>
        <v>5521.53531570072</v>
      </c>
      <c r="J38" s="224">
        <f>SUM(J34:J37)</f>
        <v>5568.86315643432</v>
      </c>
      <c r="K38" s="224">
        <f>SUM(K34:K37)</f>
        <v>5618.67570880643</v>
      </c>
      <c r="L38" s="224">
        <f>SUM(L34:L37)</f>
        <v>5670.91662310668</v>
      </c>
      <c r="M38" s="224">
        <f>SUM(M34:M37)</f>
        <v>5725.50837855044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361.535667534247</v>
      </c>
      <c r="E39" s="174">
        <f>E20</f>
        <v>470.235818846121</v>
      </c>
      <c r="F39" s="174">
        <f>F20</f>
        <v>524.448097988494</v>
      </c>
      <c r="G39" s="174">
        <f>G20</f>
        <v>566.987571882064</v>
      </c>
      <c r="H39" s="174">
        <f>H20</f>
        <v>609.57832435759</v>
      </c>
      <c r="I39" s="174">
        <f>I20</f>
        <v>646.153023819045</v>
      </c>
      <c r="J39" s="174">
        <f>J20</f>
        <v>682.499131408867</v>
      </c>
      <c r="K39" s="174">
        <f>K20</f>
        <v>718.330335807832</v>
      </c>
      <c r="L39" s="174">
        <f>L20</f>
        <v>753.348939678464</v>
      </c>
      <c r="M39" s="174">
        <f>M20</f>
        <v>787.249641963995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0.0758109586066477</v>
      </c>
      <c r="E40" s="180">
        <f>IFERROR(E39/AVERAGE(E34,E38),"")</f>
        <v>0.0979914729811041</v>
      </c>
      <c r="F40" s="180">
        <f>IFERROR(F39/AVERAGE(F34,F38),"")</f>
        <v>0.106921178176225</v>
      </c>
      <c r="G40" s="180">
        <f>IFERROR(G39/AVERAGE(G34,G38),"")</f>
        <v>0.110846170281292</v>
      </c>
      <c r="H40" s="180">
        <f>IFERROR(H39/AVERAGE(H34,H38),"")</f>
        <v>0.113820897566781</v>
      </c>
      <c r="I40" s="180">
        <f>IFERROR(I39/AVERAGE(I34,I38),"")</f>
        <v>0.117500920206386</v>
      </c>
      <c r="J40" s="180">
        <f>IFERROR(J39/AVERAGE(J34,J38),"")</f>
        <v>0.123079280356547</v>
      </c>
      <c r="K40" s="180">
        <f>IFERROR(K39/AVERAGE(K34,K38),"")</f>
        <v>0.128416150229369</v>
      </c>
      <c r="L40" s="180">
        <f>IFERROR(L39/AVERAGE(L34,L38),"")</f>
        <v>0.133459015618999</v>
      </c>
      <c r="M40" s="180">
        <f>IFERROR(M39/AVERAGE(M34,M38),"")</f>
        <v>0.138157297898161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0.0790648493640287</v>
      </c>
      <c r="E41" s="175">
        <f>IFERROR(SUM(E35:E37)/E39,"")</f>
        <v>0.0660921982229429</v>
      </c>
      <c r="F41" s="175">
        <f>IFERROR(SUM(F35:F37)/F39,"")</f>
        <v>0.34594725586278</v>
      </c>
      <c r="G41" s="175">
        <f>IFERROR(SUM(G35:G37)/G39,"")</f>
        <v>0.421073914194895</v>
      </c>
      <c r="H41" s="175">
        <f>IFERROR(SUM(H35:H37)/H39,"")</f>
        <v>0.397440565490034</v>
      </c>
      <c r="I41" s="175">
        <f>IFERROR(SUM(I35:I37)/I39,"")</f>
        <v>0.0693449098402503</v>
      </c>
      <c r="J41" s="175">
        <f>IFERROR(SUM(J35:J37)/J39,"")</f>
        <v>0.0693449098402503</v>
      </c>
      <c r="K41" s="175">
        <f>IFERROR(SUM(K35:K37)/K39,"")</f>
        <v>0.0693449098402503</v>
      </c>
      <c r="L41" s="175">
        <f>IFERROR(SUM(L35:L37)/L39,"")</f>
        <v>0.0693449098402503</v>
      </c>
      <c r="M41" s="175">
        <f>IFERROR(SUM(M35:M37)/M39,"")</f>
        <v>0.0693449098402503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0.504723419218937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2025A book invested capital (equity + net debt) + Eddyfi consideration ($1.49bn), rolled forward with capex + M&amp;A − D&amp;A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3291.81459947127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6176.27808564673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9468.09268511799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+ net asbestos (Model 2026E YE, post-Eddyfi)</t>
        </is>
      </c>
      <c r="C48" s="173">
        <f>Model!AO414+Model!AO328+Model!AO424</f>
        <v>2097.01037650419</v>
      </c>
      <c r="D48" s="198" t="inlineStr">
        <is>
          <t>ESAB-specific: NCI (~$40m) and net asbestos liabilities (~$55m) deducted alongside net debt; YE2026E net debt includes the Eddyfi purchase price.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7371.08230861381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2026E incl. MCPS conversion shares)</t>
        </is>
      </c>
      <c r="C50" s="186">
        <f>Model!AO420</f>
        <v>63.96229775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115.24104930414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Model!AO419</f>
        <v>69.94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0.647713029798965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0.147842211013362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98.2035577755157</v>
      </c>
      <c r="D55" s="175">
        <f>C55/C52-1</f>
        <v>0.404111492357959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0.0802795</v>
      </c>
      <c r="E61" s="228">
        <f>F61-0.005</f>
        <v>0.0852795</v>
      </c>
      <c r="F61" s="228">
        <f>$C$13</f>
        <v>0.0902795</v>
      </c>
      <c r="G61" s="228">
        <f>F61+0.005</f>
        <v>0.0952795</v>
      </c>
      <c r="H61" s="234">
        <f>F61+0.01</f>
        <v>0.1002795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0.025</v>
      </c>
      <c r="C62" s="192" t="n"/>
      <c r="D62" s="225">
        <f t="array" ref="D62">IFERROR((SUMPRODUCT($D$24:$M$24/(1+D$61)^$D$29:$M$29)+($M$24*(1+$B62)/(D$61-$B62))/(1+D$61)^$M$29-$C$48)/$C$50,"")</f>
        <v>125.153444543722</v>
      </c>
      <c r="E62" s="225">
        <f t="array" ref="E62">IFERROR((SUMPRODUCT($D$24:$M$24/(1+E$61)^$D$29:$M$29)+($M$24*(1+$B62)/(E$61-$B62))/(1+E$61)^$M$29-$C$48)/$C$50,"")</f>
        <v>111.334203618939</v>
      </c>
      <c r="F62" s="225">
        <f t="array" ref="F62">IFERROR((SUMPRODUCT($D$24:$M$24/(1+F$61)^$D$29:$M$29)+($M$24*(1+$B62)/(F$61-$B62))/(1+F$61)^$M$29-$C$48)/$C$50,"")</f>
        <v>99.659039895119</v>
      </c>
      <c r="G62" s="225">
        <f t="array" ref="G62">IFERROR((SUMPRODUCT($D$24:$M$24/(1+G$61)^$D$29:$M$29)+($M$24*(1+$B62)/(G$61-$B62))/(1+G$61)^$M$29-$C$48)/$C$50,"")</f>
        <v>89.6694973218206</v>
      </c>
      <c r="H62" s="235">
        <f t="array" ref="H62">IFERROR((SUMPRODUCT($D$24:$M$24/(1+H$61)^$D$29:$M$29)+($M$24*(1+$B62)/(H$61-$B62))/(1+H$61)^$M$29-$C$48)/$C$50,"")</f>
        <v>81.0289507029565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</v>
      </c>
      <c r="C63" s="192" t="n"/>
      <c r="D63" s="225">
        <f t="array" ref="D63">IFERROR((SUMPRODUCT($D$24:$M$24/(1+D$61)^$D$29:$M$29)+($M$24*(1+$B63)/(D$61-$B63))/(1+D$61)^$M$29-$C$48)/$C$50,"")</f>
        <v>136.065876706412</v>
      </c>
      <c r="E63" s="225">
        <f t="array" ref="E63">IFERROR((SUMPRODUCT($D$24:$M$24/(1+E$61)^$D$29:$M$29)+($M$24*(1+$B63)/(E$61-$B63))/(1+E$61)^$M$29-$C$48)/$C$50,"")</f>
        <v>120.096820280109</v>
      </c>
      <c r="F63" s="225">
        <f t="array" ref="F63">IFERROR((SUMPRODUCT($D$24:$M$24/(1+F$61)^$D$29:$M$29)+($M$24*(1+$B63)/(F$61-$B63))/(1+F$61)^$M$29-$C$48)/$C$50,"")</f>
        <v>106.803804608877</v>
      </c>
      <c r="G63" s="225">
        <f t="array" ref="G63">IFERROR((SUMPRODUCT($D$24:$M$24/(1+G$61)^$D$29:$M$29)+($M$24*(1+$B63)/(G$61-$B63))/(1+G$61)^$M$29-$C$48)/$C$50,"")</f>
        <v>95.5711130977636</v>
      </c>
      <c r="H63" s="235">
        <f t="array" ref="H63">IFERROR((SUMPRODUCT($D$24:$M$24/(1+H$61)^$D$29:$M$29)+($M$24*(1+$B63)/(H$61-$B63))/(1+H$61)^$M$29-$C$48)/$C$50,"")</f>
        <v>85.9582768222597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0.035</v>
      </c>
      <c r="C64" s="192" t="n"/>
      <c r="D64" s="225">
        <f t="array" ref="D64">IFERROR((SUMPRODUCT($D$24:$M$24/(1+D$61)^$D$29:$M$29)+($M$24*(1+$B64)/(D$61-$B64))/(1+D$61)^$M$29-$C$48)/$C$50,"")</f>
        <v>149.388324916693</v>
      </c>
      <c r="E64" s="225">
        <f t="array" ref="E64">IFERROR((SUMPRODUCT($D$24:$M$24/(1+E$61)^$D$29:$M$29)+($M$24*(1+$B64)/(E$61-$B64))/(1+E$61)^$M$29-$C$48)/$C$50,"")</f>
        <v>130.602218126687</v>
      </c>
      <c r="F64" s="226">
        <f t="array" ref="F64">IFERROR((SUMPRODUCT($D$24:$M$24/(1+F$61)^$D$29:$M$29)+($M$24*(1+$B64)/(F$61-$B64))/(1+F$61)^$M$29-$C$48)/$C$50,"")</f>
        <v>115.24104930414</v>
      </c>
      <c r="G64" s="225">
        <f t="array" ref="G64">IFERROR((SUMPRODUCT($D$24:$M$24/(1+G$61)^$D$29:$M$29)+($M$24*(1+$B64)/(G$61-$B64))/(1+G$61)^$M$29-$C$48)/$C$50,"")</f>
        <v>102.451770799393</v>
      </c>
      <c r="H64" s="235">
        <f t="array" ref="H64">IFERROR((SUMPRODUCT($D$24:$M$24/(1+H$61)^$D$29:$M$29)+($M$24*(1+$B64)/(H$61-$B64))/(1+H$61)^$M$29-$C$48)/$C$50,"")</f>
        <v>91.642713829254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</v>
      </c>
      <c r="C65" s="192" t="n"/>
      <c r="D65" s="225">
        <f t="array" ref="D65">IFERROR((SUMPRODUCT($D$24:$M$24/(1+D$61)^$D$29:$M$29)+($M$24*(1+$B65)/(D$61-$B65))/(1+D$61)^$M$29-$C$48)/$C$50,"")</f>
        <v>166.018274017075</v>
      </c>
      <c r="E65" s="225">
        <f t="array" ref="E65">IFERROR((SUMPRODUCT($D$24:$M$24/(1+E$61)^$D$29:$M$29)+($M$24*(1+$B65)/(E$61-$B65))/(1+E$61)^$M$29-$C$48)/$C$50,"")</f>
        <v>143.427738290556</v>
      </c>
      <c r="F65" s="225">
        <f t="array" ref="F65">IFERROR((SUMPRODUCT($D$24:$M$24/(1+F$61)^$D$29:$M$29)+($M$24*(1+$B65)/(F$61-$B65))/(1+F$61)^$M$29-$C$48)/$C$50,"")</f>
        <v>125.356362535339</v>
      </c>
      <c r="G65" s="225">
        <f t="array" ref="G65">IFERROR((SUMPRODUCT($D$24:$M$24/(1+G$61)^$D$29:$M$29)+($M$24*(1+$B65)/(G$61-$B65))/(1+G$61)^$M$29-$C$48)/$C$50,"")</f>
        <v>110.577131818099</v>
      </c>
      <c r="H65" s="235">
        <f t="array" ref="H65">IFERROR((SUMPRODUCT($D$24:$M$24/(1+H$61)^$D$29:$M$29)+($M$24*(1+$B65)/(H$61-$B65))/(1+H$61)^$M$29-$C$48)/$C$50,"")</f>
        <v>98.270164133803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0.045</v>
      </c>
      <c r="C66" s="229" t="n"/>
      <c r="D66" s="230">
        <f t="array" ref="D66">IFERROR((SUMPRODUCT($D$24:$M$24/(1+D$61)^$D$29:$M$29)+($M$24*(1+$B66)/(D$61-$B66))/(1+D$61)^$M$29-$C$48)/$C$50,"")</f>
        <v>187.361994316136</v>
      </c>
      <c r="E66" s="230">
        <f t="array" ref="E66">IFERROR((SUMPRODUCT($D$24:$M$24/(1+E$61)^$D$29:$M$29)+($M$24*(1+$B66)/(E$61-$B66))/(1+E$61)^$M$29-$C$48)/$C$50,"")</f>
        <v>159.437389380546</v>
      </c>
      <c r="F66" s="230">
        <f t="array" ref="F66">IFERROR((SUMPRODUCT($D$24:$M$24/(1+F$61)^$D$29:$M$29)+($M$24*(1+$B66)/(F$61-$B66))/(1+F$61)^$M$29-$C$48)/$C$50,"")</f>
        <v>137.70564770333</v>
      </c>
      <c r="G66" s="230">
        <f t="array" ref="G66">IFERROR((SUMPRODUCT($D$24:$M$24/(1+G$61)^$D$29:$M$29)+($M$24*(1+$B66)/(G$61-$B66))/(1+G$61)^$M$29-$C$48)/$C$50,"")</f>
        <v>120.318531385061</v>
      </c>
      <c r="H66" s="236">
        <f t="array" ref="H66">IFERROR((SUMPRODUCT($D$24:$M$24/(1+H$61)^$D$29:$M$29)+($M$24*(1+$B66)/(H$61-$B66))/(1+H$61)^$M$29-$C$48)/$C$50,"")</f>
        <v>106.096512819225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(ESAB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0.0902795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</v>
      </c>
      <c r="D78" s="198" t="inlineStr">
        <is>
          <t>Model adjusted EBITA CAGR 2026–30E: low/mid-single-digit organic growth, Eddyfi high-single-digit growth and synergies, EBXai margin expansion, deleveraging → ~10%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0.18</v>
      </c>
      <c r="D79" s="198" t="inlineStr">
        <is>
          <t>Consumables-heavy welding franchise (~60% of sales) and gas control earn high returns on organic capital; acquired growth (Eddyfi ~18x EBITDA) earns ~5–6% after tax on purchase price initially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12</v>
      </c>
      <c r="D80" s="198" t="inlineStr">
        <is>
          <t>Global #2 in welding &amp; cutting; installed base and consumables pull-through; EBXai continuous-improvement system; workflow extension into inspection / monitoring (Eddyfi); Russia and Europe cyclicality offset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11.0767117673447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0.498447222222222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-56.7990968755639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-0.112392535384422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6.38379450539004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296">
        <f>C83+C87</f>
        <v>17.4605062727348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2028E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2028E Adj. EBITA less restructuring &amp; integration costs</t>
        </is>
      </c>
      <c r="C91" s="209">
        <f>Model!AQ200-Model!AQ142-Model!AQ130</f>
        <v>685.553069266005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0.235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2028E NOPAT</t>
        </is>
      </c>
      <c r="C93" s="211">
        <f>C91*(1-C92)</f>
        <v>524.448097988494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297">
        <f>C88</f>
        <v>17.4605062727348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(2028E basis)</t>
        </is>
      </c>
      <c r="C95" s="211">
        <f>C93*C94</f>
        <v>9157.12930465192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YE2027 net debt + NCI + net asbestos (Model)</t>
        </is>
      </c>
      <c r="C96" s="209">
        <f>Model!AP414+Model!AP328+Model!AP424</f>
        <v>1768.20801888285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7388.92128576907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2028E (m, Model)</t>
        </is>
      </c>
      <c r="C98" s="212">
        <f>Model!AQ420</f>
        <v>63.2088321353076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2028 ($)</t>
        </is>
      </c>
      <c r="C99" s="213">
        <f>C97/C98</f>
        <v>116.896975251054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69.94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0.671389408794021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4473.523104635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YE2026 net debt + NCI + net asbestos</t>
        </is>
      </c>
      <c r="C106" s="211">
        <f>C48</f>
        <v>2097.01037650419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6570.53348113919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ESAB market-implied EV/NOPAT (on 2028E NOPAT)</t>
        </is>
      </c>
      <c r="C108" s="298">
        <f>C107/C93</f>
        <v>12.528472324221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4.93203394851378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0.393666028936249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ESAB — Historical Operating Performance (2012–2025; 2012–2018 = Colfax "Fabrication Technology" segment)</t>
        </is>
      </c>
    </row>
    <row r="3" ht="15" customHeight="1" s="251">
      <c r="B3" s="4" t="inlineStr">
        <is>
          <t>USDm · Linked to Model. 2012–2018: pre-spin Colfax segment data (organic / acquisitions / FX and segment operating income); 2019–2025: ESAB carve-out / stand-alone reporting (adjusted EBITDA per company reconciliations). Not strictly comparable across the two bases.</t>
        </is>
      </c>
    </row>
    <row r="7" ht="15" customHeight="1" s="251">
      <c r="C7" s="10" t="n">
        <v>2012</v>
      </c>
      <c r="D7" s="10" t="n">
        <v>2013</v>
      </c>
      <c r="E7" s="10" t="n">
        <v>2014</v>
      </c>
      <c r="F7" s="10" t="n">
        <v>2015</v>
      </c>
      <c r="G7" s="10" t="n">
        <v>2016</v>
      </c>
      <c r="H7" s="10" t="n">
        <v>2017</v>
      </c>
      <c r="I7" s="10" t="n">
        <v>2018</v>
      </c>
      <c r="J7" s="10" t="n">
        <v>2019</v>
      </c>
      <c r="K7" s="10" t="n">
        <v>2020</v>
      </c>
      <c r="L7" s="10" t="n">
        <v>2021</v>
      </c>
      <c r="M7" s="10" t="n">
        <v>2022</v>
      </c>
      <c r="N7" s="10" t="n">
        <v>2023</v>
      </c>
      <c r="O7" s="10" t="n">
        <v>2024</v>
      </c>
      <c r="P7" s="10" t="n">
        <v>2025</v>
      </c>
      <c r="Q7" s="10" t="n"/>
      <c r="R7" s="10" t="n"/>
      <c r="S7" s="10" t="n"/>
      <c r="T7" s="10" t="n"/>
      <c r="U7" s="10" t="n"/>
      <c r="V7" s="10" t="n"/>
    </row>
    <row r="8" ht="15" customHeight="1" s="251">
      <c r="B8" t="inlineStr">
        <is>
          <t>Organic growth %</t>
        </is>
      </c>
      <c r="C8" s="108">
        <f>IFERROR(Model!C234+0,IFERROR(Model!C65+0,0))</f>
        <v>0</v>
      </c>
      <c r="D8" s="108">
        <f>IFERROR(Model!D234+0,IFERROR(Model!D65+0,0))</f>
        <v>0</v>
      </c>
      <c r="E8" s="108">
        <f>IFERROR(Model!E234+0,IFERROR(Model!E65+0,0))</f>
        <v>0</v>
      </c>
      <c r="F8" s="108">
        <f>IFERROR(Model!F234+0,IFERROR(Model!F65+0,0))</f>
        <v>0</v>
      </c>
      <c r="G8" s="108">
        <f>IFERROR(Model!G234+0,IFERROR(Model!G65+0,0))</f>
        <v>0</v>
      </c>
      <c r="H8" s="108">
        <f>IFERROR(Model!H234+0,IFERROR(Model!H65+0,0))</f>
        <v>0</v>
      </c>
      <c r="I8" s="108">
        <f>IFERROR(Model!I234+0,IFERROR(Model!I65+0,0))</f>
        <v>0</v>
      </c>
      <c r="J8" s="108">
        <f>IFERROR(Model!J234+0,IFERROR(Model!J65+0,0))</f>
        <v>0</v>
      </c>
      <c r="K8" s="108">
        <f>IFERROR(Model!K234+0,IFERROR(Model!K65+0,0))</f>
        <v>-0.097</v>
      </c>
      <c r="L8" s="108">
        <f>IFERROR(Model!P234+0,IFERROR(Model!P65+0,0))</f>
        <v>0.234</v>
      </c>
      <c r="M8" s="108">
        <f>IFERROR(Model!U234+0,IFERROR(Model!U65+0,0))</f>
        <v>0.105</v>
      </c>
      <c r="N8" s="108">
        <f>IFERROR(Model!Z234+0,IFERROR(Model!Z65+0,0))</f>
        <v>0.062</v>
      </c>
      <c r="O8" s="108">
        <f>IFERROR(Model!AE234+0,IFERROR(Model!AE65+0,0))</f>
        <v>0.012</v>
      </c>
      <c r="P8" s="108">
        <f>IFERROR(Model!AJ234+0,IFERROR(Model!AJ65+0,0))</f>
        <v>-0.011</v>
      </c>
      <c r="Q8" s="108" t="n"/>
      <c r="R8" s="108" t="n"/>
      <c r="S8" s="108" t="n"/>
      <c r="T8" s="108" t="n"/>
      <c r="U8" s="108" t="n"/>
      <c r="V8" s="108" t="n"/>
    </row>
    <row r="9" ht="15" customHeight="1" s="251">
      <c r="B9" t="inlineStr">
        <is>
          <t>Acquisitions %</t>
        </is>
      </c>
      <c r="C9" s="108">
        <f>IFERROR(Model!C236+0,IFERROR(Model!C66+0,0))</f>
        <v>0</v>
      </c>
      <c r="D9" s="108">
        <f>IFERROR(Model!D236+0,IFERROR(Model!D66+0,0))</f>
        <v>0</v>
      </c>
      <c r="E9" s="108">
        <f>IFERROR(Model!E236+0,IFERROR(Model!E66+0,0))</f>
        <v>0</v>
      </c>
      <c r="F9" s="108">
        <f>IFERROR(Model!F236+0,IFERROR(Model!F66+0,0))</f>
        <v>0</v>
      </c>
      <c r="G9" s="108">
        <f>IFERROR(Model!G236+0,IFERROR(Model!G66+0,0))</f>
        <v>0</v>
      </c>
      <c r="H9" s="108">
        <f>IFERROR(Model!H236+0,IFERROR(Model!H66+0,0))</f>
        <v>0</v>
      </c>
      <c r="I9" s="108">
        <f>IFERROR(Model!I236+0,IFERROR(Model!I66+0,0))</f>
        <v>0</v>
      </c>
      <c r="J9" s="108">
        <f>IFERROR(Model!J236+0,IFERROR(Model!J66+0,0))</f>
        <v>0</v>
      </c>
      <c r="K9" s="108">
        <f>IFERROR(Model!K236+0,IFERROR(Model!K66+0,0))</f>
        <v>0</v>
      </c>
      <c r="L9" s="108">
        <f>IFERROR(Model!P236+0,IFERROR(Model!P66+0,0))</f>
        <v>0.001</v>
      </c>
      <c r="M9" s="108">
        <f>IFERROR(Model!U236+0,IFERROR(Model!U66+0,0))</f>
        <v>0.006</v>
      </c>
      <c r="N9" s="108">
        <f>IFERROR(Model!Z236+0,IFERROR(Model!Z66+0,0))</f>
        <v>0.025</v>
      </c>
      <c r="O9" s="108">
        <f>IFERROR(Model!AE236+0,IFERROR(Model!AE66+0,0))</f>
        <v>0.008</v>
      </c>
      <c r="P9" s="108">
        <f>IFERROR(Model!AJ236+0,IFERROR(Model!AJ66+0,0))</f>
        <v>0.042</v>
      </c>
      <c r="Q9" s="108" t="n"/>
      <c r="R9" s="108" t="n"/>
      <c r="S9" s="108" t="n"/>
      <c r="T9" s="108" t="n"/>
      <c r="U9" s="108" t="n"/>
      <c r="V9" s="108" t="n"/>
    </row>
    <row r="10">
      <c r="B10" t="inlineStr">
        <is>
          <t>Foreign currency %</t>
        </is>
      </c>
      <c r="C10" s="299">
        <f>IFERROR(Model!C237+0,IFERROR(Model!C67+0,0))</f>
        <v>0</v>
      </c>
      <c r="D10" s="299">
        <f>IFERROR(Model!D237+0,IFERROR(Model!D67+0,0))</f>
        <v>0</v>
      </c>
      <c r="E10" s="299">
        <f>IFERROR(Model!E237+0,IFERROR(Model!E67+0,0))</f>
        <v>0</v>
      </c>
      <c r="F10" s="299">
        <f>IFERROR(Model!F237+0,IFERROR(Model!F67+0,0))</f>
        <v>0</v>
      </c>
      <c r="G10" s="299">
        <f>IFERROR(Model!G237+0,IFERROR(Model!G67+0,0))</f>
        <v>0</v>
      </c>
      <c r="H10" s="299">
        <f>IFERROR(Model!H237+0,IFERROR(Model!H67+0,0))</f>
        <v>0</v>
      </c>
      <c r="I10" s="299">
        <f>IFERROR(Model!I237+0,IFERROR(Model!I67+0,0))</f>
        <v>0</v>
      </c>
      <c r="J10" s="299">
        <f>IFERROR(Model!J237+0,IFERROR(Model!J67+0,0))</f>
        <v>0</v>
      </c>
      <c r="K10" s="299">
        <f>IFERROR(Model!K237+0,IFERROR(Model!K67+0,0))</f>
        <v>-0.035</v>
      </c>
      <c r="L10" s="299">
        <f>IFERROR(Model!P237+0,IFERROR(Model!P67+0,0))</f>
        <v>0.01</v>
      </c>
      <c r="M10" s="299">
        <f>IFERROR(Model!U237+0,IFERROR(Model!U67+0,0))</f>
        <v>-0.042</v>
      </c>
      <c r="N10" s="299">
        <f>IFERROR(Model!Z237+0,IFERROR(Model!Z67+0,0))</f>
        <v>-0.017</v>
      </c>
      <c r="O10" s="299">
        <f>IFERROR(Model!AE237+0,IFERROR(Model!AE67+0,0))</f>
        <v>-0.032</v>
      </c>
      <c r="P10" s="299">
        <f>IFERROR(Model!AJ237+0,IFERROR(Model!AJ67+0,0))</f>
        <v>0.006</v>
      </c>
    </row>
    <row r="11" ht="15" customHeight="1" s="251">
      <c r="C11" s="10">
        <f>C7</f>
        <v>2012</v>
      </c>
      <c r="D11" s="10">
        <f>D7</f>
        <v>2013</v>
      </c>
      <c r="E11" s="10">
        <f>E7</f>
        <v>2014</v>
      </c>
      <c r="F11" s="10">
        <f>F7</f>
        <v>2015</v>
      </c>
      <c r="G11" s="10">
        <f>G7</f>
        <v>2016</v>
      </c>
      <c r="H11" s="10">
        <f>H7</f>
        <v>2017</v>
      </c>
      <c r="I11" s="10">
        <f>I7</f>
        <v>2018</v>
      </c>
      <c r="J11" s="10">
        <f>J7</f>
        <v>2019</v>
      </c>
      <c r="K11" s="10">
        <f>K7</f>
        <v>2020</v>
      </c>
      <c r="L11" s="10">
        <f>L7</f>
        <v>2021</v>
      </c>
      <c r="M11" s="10">
        <f>M7</f>
        <v>2022</v>
      </c>
      <c r="N11" s="10">
        <f>N7</f>
        <v>2023</v>
      </c>
      <c r="O11" s="10">
        <f>O7</f>
        <v>2024</v>
      </c>
      <c r="P11" s="10">
        <f>P7</f>
        <v>2025</v>
      </c>
      <c r="Q11" s="10" t="n"/>
      <c r="R11" s="10" t="n"/>
      <c r="S11" s="10" t="n"/>
      <c r="T11" s="10" t="n"/>
      <c r="U11" s="10" t="n"/>
      <c r="V11" s="10" t="n"/>
    </row>
    <row r="12" ht="15" customHeight="1" s="251">
      <c r="B12" t="inlineStr">
        <is>
          <t>Adjusted EBITDA (ESAB, 2019+)</t>
        </is>
      </c>
      <c r="C12" s="106">
        <f>IFERROR(Model!C189+0,NA())</f>
        <v>0</v>
      </c>
      <c r="D12" s="106">
        <f>IFERROR(Model!D189+0,NA())</f>
        <v>0</v>
      </c>
      <c r="E12" s="106">
        <f>IFERROR(Model!E189+0,NA())</f>
        <v>0</v>
      </c>
      <c r="F12" s="106">
        <f>IFERROR(Model!F189+0,NA())</f>
        <v>0</v>
      </c>
      <c r="G12" s="106">
        <f>IFERROR(Model!G189+0,NA())</f>
        <v>0</v>
      </c>
      <c r="H12" s="106">
        <f>IFERROR(Model!H189+0,NA())</f>
        <v>0</v>
      </c>
      <c r="I12" s="106">
        <f>IFERROR(Model!I189+0,NA())</f>
        <v>0</v>
      </c>
      <c r="J12" s="106">
        <f>IFERROR(Model!J189+0,NA())</f>
        <v>353.663</v>
      </c>
      <c r="K12" s="106">
        <f>IFERROR(Model!K189+0,NA())</f>
        <v>301.146</v>
      </c>
      <c r="L12" s="106">
        <f>IFERROR(Model!P189+0,NA())</f>
        <v>404.168</v>
      </c>
      <c r="M12" s="106">
        <f>IFERROR(Model!U189+0,NA())</f>
        <v>436.761</v>
      </c>
      <c r="N12" s="106">
        <f>IFERROR(Model!Z189+0,NA())</f>
        <v>501.176</v>
      </c>
      <c r="O12" s="106">
        <f>IFERROR(Model!AE189+0,NA())</f>
        <v>528.777</v>
      </c>
      <c r="P12" s="106">
        <f>IFERROR(Model!AJ189+0,NA())</f>
        <v>559.726</v>
      </c>
      <c r="Q12" s="106" t="n"/>
      <c r="R12" s="106" t="n"/>
      <c r="S12" s="106" t="n"/>
      <c r="T12" s="106" t="n"/>
      <c r="U12" s="106" t="n"/>
      <c r="V12" s="106" t="n"/>
    </row>
    <row r="13" ht="15" customHeight="1" s="251">
      <c r="B13" t="inlineStr">
        <is>
          <t>Operating income (GAAP, 2019+)</t>
        </is>
      </c>
      <c r="C13" s="106">
        <f>IFERROR(Model!C144+0,NA())</f>
        <v>0</v>
      </c>
      <c r="D13" s="106">
        <f>IFERROR(Model!D144+0,NA())</f>
        <v>0</v>
      </c>
      <c r="E13" s="106">
        <f>IFERROR(Model!E144+0,NA())</f>
        <v>0</v>
      </c>
      <c r="F13" s="106">
        <f>IFERROR(Model!F144+0,NA())</f>
        <v>0</v>
      </c>
      <c r="G13" s="106">
        <f>IFERROR(Model!G144+0,NA())</f>
        <v>0</v>
      </c>
      <c r="H13" s="106">
        <f>IFERROR(Model!H144+0,NA())</f>
        <v>0</v>
      </c>
      <c r="I13" s="106">
        <f>IFERROR(Model!I144+0,NA())</f>
        <v>0</v>
      </c>
      <c r="J13" s="106">
        <f>IFERROR(Model!J144+0,NA())</f>
        <v>256.08</v>
      </c>
      <c r="K13" s="106">
        <f>IFERROR(Model!K144+0,NA())</f>
        <v>202.126</v>
      </c>
      <c r="L13" s="106">
        <f>IFERROR(Model!P144+0,NA())</f>
        <v>306.214</v>
      </c>
      <c r="M13" s="106">
        <f>IFERROR(Model!U144+0,NA())</f>
        <v>329.065</v>
      </c>
      <c r="N13" s="106">
        <f>IFERROR(Model!Z144+0,NA())</f>
        <v>404.166</v>
      </c>
      <c r="O13" s="106">
        <f>IFERROR(Model!AE144+0,NA())</f>
        <v>447.45</v>
      </c>
      <c r="P13" s="106">
        <f>IFERROR(Model!AJ144+0,NA())</f>
        <v>412.17</v>
      </c>
      <c r="Q13" s="106" t="n"/>
      <c r="R13" s="106" t="n"/>
      <c r="S13" s="106" t="n"/>
      <c r="T13" s="106" t="n"/>
      <c r="U13" s="106" t="n"/>
      <c r="V13" s="106" t="n"/>
    </row>
    <row r="14" ht="15" customHeight="1" s="251">
      <c r="B14" t="inlineStr">
        <is>
          <t>Adj. EBITDA margin %</t>
        </is>
      </c>
      <c r="C14" s="108">
        <f>IFERROR(Model!C190+0,NA())</f>
        <v>0</v>
      </c>
      <c r="D14" s="108">
        <f>IFERROR(Model!D190+0,NA())</f>
        <v>0</v>
      </c>
      <c r="E14" s="108">
        <f>IFERROR(Model!E190+0,NA())</f>
        <v>0</v>
      </c>
      <c r="F14" s="108">
        <f>IFERROR(Model!F190+0,NA())</f>
        <v>0</v>
      </c>
      <c r="G14" s="108">
        <f>IFERROR(Model!G190+0,NA())</f>
        <v>0</v>
      </c>
      <c r="H14" s="108">
        <f>IFERROR(Model!H190+0,NA())</f>
        <v>0</v>
      </c>
      <c r="I14" s="108">
        <f>IFERROR(Model!I190+0,NA())</f>
        <v>0</v>
      </c>
      <c r="J14" s="108">
        <f>IFERROR(Model!J190+0,NA())</f>
        <v>0.15739159226462</v>
      </c>
      <c r="K14" s="108">
        <f>IFERROR(Model!K190+0,NA())</f>
        <v>0.154428381764953</v>
      </c>
      <c r="L14" s="108">
        <f>IFERROR(Model!P190+0,NA())</f>
        <v>0.166453401095088</v>
      </c>
      <c r="M14" s="108">
        <f>IFERROR(Model!U190+0,NA())</f>
        <v>0.168407313725188</v>
      </c>
      <c r="N14" s="108">
        <f>IFERROR(Model!Z190+0,NA())</f>
        <v>0.180619194555505</v>
      </c>
      <c r="O14" s="108">
        <f>IFERROR(Model!AE190+0,NA())</f>
        <v>0.192927766059801</v>
      </c>
      <c r="P14" s="108">
        <f>IFERROR(Model!AJ190+0,NA())</f>
        <v>0.196909470529154</v>
      </c>
      <c r="Q14" s="108" t="n"/>
      <c r="R14" s="108" t="n"/>
      <c r="S14" s="108" t="n"/>
      <c r="T14" s="108" t="n"/>
      <c r="U14" s="108" t="n"/>
      <c r="V14" s="108" t="n"/>
    </row>
    <row r="15" ht="15" customHeight="1" s="251">
      <c r="B15" t="inlineStr">
        <is>
          <t>GAAP Op. margin %</t>
        </is>
      </c>
      <c r="C15" s="108" t="e">
        <f>IFERROR(Model!C246+0,NA())</f>
        <v>#N/A</v>
      </c>
      <c r="D15" s="108" t="e">
        <f>IFERROR(Model!D246+0,NA())</f>
        <v>#N/A</v>
      </c>
      <c r="E15" s="108" t="e">
        <f>IFERROR(Model!E246+0,NA())</f>
        <v>#N/A</v>
      </c>
      <c r="F15" s="108" t="e">
        <f>IFERROR(Model!F246+0,NA())</f>
        <v>#N/A</v>
      </c>
      <c r="G15" s="108" t="e">
        <f>IFERROR(Model!G246+0,NA())</f>
        <v>#N/A</v>
      </c>
      <c r="H15" s="108" t="e">
        <f>IFERROR(Model!H246+0,NA())</f>
        <v>#N/A</v>
      </c>
      <c r="I15" s="108" t="e">
        <f>IFERROR(Model!I246+0,NA())</f>
        <v>#N/A</v>
      </c>
      <c r="J15" s="108">
        <f>IFERROR(Model!J246+0,NA())</f>
        <v>0.113963968374198</v>
      </c>
      <c r="K15" s="108">
        <f>IFERROR(Model!K246+0,NA())</f>
        <v>0.103650691334512</v>
      </c>
      <c r="L15" s="108">
        <f>IFERROR(Model!P246+0,NA())</f>
        <v>0.126111819250736</v>
      </c>
      <c r="M15" s="108">
        <f>IFERROR(Model!U246+0,NA())</f>
        <v>0.126881641655228</v>
      </c>
      <c r="N15" s="108">
        <f>IFERROR(Model!Z246+0,NA())</f>
        <v>0.145657687891519</v>
      </c>
      <c r="O15" s="108">
        <f>IFERROR(Model!AE246+0,NA())</f>
        <v>0.163255075246196</v>
      </c>
      <c r="P15" s="108">
        <f>IFERROR(Model!AJ246+0,NA())</f>
        <v>0.144999832896813</v>
      </c>
      <c r="Q15" s="108" t="n"/>
      <c r="R15" s="108" t="n"/>
      <c r="S15" s="108" t="n"/>
      <c r="T15" s="108" t="n"/>
      <c r="U15" s="108" t="n"/>
      <c r="V15" s="108" t="n"/>
    </row>
    <row r="16">
      <c r="B16" t="inlineStr">
        <is>
          <t>Colfax Fab. Tech. segment op. income (pre-spin)</t>
        </is>
      </c>
      <c r="C16" s="300">
        <f>IFERROR(Model!C63+0,NA())</f>
        <v>140.184</v>
      </c>
      <c r="D16" s="300">
        <f>IFERROR(Model!D63+0,NA())</f>
        <v>219.634</v>
      </c>
      <c r="E16" s="300">
        <f>IFERROR(Model!E63+0,NA())</f>
        <v>265.813</v>
      </c>
      <c r="F16" s="300">
        <f>IFERROR(Model!F63+0,NA())</f>
        <v>198.337</v>
      </c>
      <c r="G16" s="300">
        <f>IFERROR(Model!G63+0,NA())</f>
        <v>195.197</v>
      </c>
      <c r="H16" s="300">
        <f>IFERROR(Model!H63+0,NA())</f>
        <v>224.362</v>
      </c>
      <c r="I16" s="300">
        <f>IFERROR(Model!I63+0,NA())</f>
        <v>249.934</v>
      </c>
      <c r="J16" s="300">
        <f>IFERROR(Model!J63+0,NA())</f>
        <v>302.601</v>
      </c>
      <c r="K16" s="300">
        <f>IFERROR(Model!K63+0,NA())</f>
        <v>246.011</v>
      </c>
      <c r="L16" s="300">
        <f>IFERROR(Model!P63+0,NA())</f>
        <v>356.315</v>
      </c>
      <c r="M16" s="300">
        <f>IFERROR(Model!U63+0,NA())</f>
        <v>0</v>
      </c>
      <c r="N16" s="300">
        <f>IFERROR(Model!Z63+0,NA())</f>
        <v>0</v>
      </c>
      <c r="O16" s="300">
        <f>IFERROR(Model!AE63+0,NA())</f>
        <v>0</v>
      </c>
      <c r="P16" s="300">
        <f>IFERROR(Model!AJ63+0,NA())</f>
        <v>0</v>
      </c>
    </row>
    <row r="17" ht="15" customHeight="1" s="251">
      <c r="C17" s="10">
        <f>C7</f>
        <v>2012</v>
      </c>
      <c r="D17" s="10">
        <f>D7</f>
        <v>2013</v>
      </c>
      <c r="E17" s="10">
        <f>E7</f>
        <v>2014</v>
      </c>
      <c r="F17" s="10">
        <f>F7</f>
        <v>2015</v>
      </c>
      <c r="G17" s="10">
        <f>G7</f>
        <v>2016</v>
      </c>
      <c r="H17" s="10">
        <f>H7</f>
        <v>2017</v>
      </c>
      <c r="I17" s="10">
        <f>I7</f>
        <v>2018</v>
      </c>
      <c r="J17" s="10">
        <f>J7</f>
        <v>2019</v>
      </c>
      <c r="K17" s="10">
        <f>K7</f>
        <v>2020</v>
      </c>
      <c r="L17" s="10">
        <f>L7</f>
        <v>2021</v>
      </c>
      <c r="M17" s="10">
        <f>M7</f>
        <v>2022</v>
      </c>
      <c r="N17" s="10">
        <f>N7</f>
        <v>2023</v>
      </c>
      <c r="O17" s="10">
        <f>O7</f>
        <v>2024</v>
      </c>
      <c r="P17" s="10">
        <f>P7</f>
        <v>2025</v>
      </c>
      <c r="Q17" s="10" t="n"/>
      <c r="R17" s="10" t="n"/>
      <c r="S17" s="10" t="n"/>
      <c r="T17" s="10" t="n"/>
      <c r="U17" s="10" t="n"/>
      <c r="V17" s="10" t="n"/>
    </row>
    <row r="18" ht="15" customHeight="1" s="251">
      <c r="B18" t="inlineStr">
        <is>
          <t>ROIC</t>
        </is>
      </c>
      <c r="C18" s="108">
        <f>IFERROR(Model!C397+0,NA())</f>
        <v>0</v>
      </c>
      <c r="D18" s="108">
        <f>IFERROR(Model!D397+0,NA())</f>
        <v>0</v>
      </c>
      <c r="E18" s="108">
        <f>IFERROR(Model!E397+0,NA())</f>
        <v>0</v>
      </c>
      <c r="F18" s="108">
        <f>IFERROR(Model!F397+0,NA())</f>
        <v>0</v>
      </c>
      <c r="G18" s="108">
        <f>IFERROR(Model!G397+0,NA())</f>
        <v>0</v>
      </c>
      <c r="H18" s="108">
        <f>IFERROR(Model!H397+0,NA())</f>
        <v>0</v>
      </c>
      <c r="I18" s="108">
        <f>IFERROR(Model!I397+0,NA())</f>
        <v>0</v>
      </c>
      <c r="J18" s="108">
        <f>IFERROR(Model!J397+0,NA())</f>
        <v>0</v>
      </c>
      <c r="K18" s="108">
        <f>IFERROR(Model!K397+0,NA())</f>
        <v>0.0817821491002446</v>
      </c>
      <c r="L18" s="108">
        <f>IFERROR(Model!P397+0,NA())</f>
        <v>0.111163950236012</v>
      </c>
      <c r="M18" s="108">
        <f>IFERROR(Model!U397+0,NA())</f>
        <v>0.122001306445273</v>
      </c>
      <c r="N18" s="108">
        <f>IFERROR(Model!Z397+0,NA())</f>
        <v>0.127012785250336</v>
      </c>
      <c r="O18" s="108">
        <f>IFERROR(Model!AE397+0,NA())</f>
        <v>0.147800853170188</v>
      </c>
      <c r="P18" s="108">
        <f>IFERROR(Model!AJ397+0,NA())</f>
        <v>0.123950010819942</v>
      </c>
      <c r="Q18" s="108" t="n"/>
      <c r="R18" s="108" t="n"/>
      <c r="S18" s="108" t="n"/>
      <c r="T18" s="108" t="n"/>
      <c r="U18" s="108" t="n"/>
      <c r="V18" s="108" t="n"/>
    </row>
    <row r="19" ht="15" customHeight="1" s="251">
      <c r="B19" t="inlineStr">
        <is>
          <t>RONTA</t>
        </is>
      </c>
      <c r="C19" s="108">
        <f>IFERROR(Model!C408+0,NA())</f>
        <v>0</v>
      </c>
      <c r="D19" s="108">
        <f>IFERROR(Model!D408+0,NA())</f>
        <v>0</v>
      </c>
      <c r="E19" s="108">
        <f>IFERROR(Model!E408+0,NA())</f>
        <v>0</v>
      </c>
      <c r="F19" s="108">
        <f>IFERROR(Model!F408+0,NA())</f>
        <v>0</v>
      </c>
      <c r="G19" s="108">
        <f>IFERROR(Model!G408+0,NA())</f>
        <v>0</v>
      </c>
      <c r="H19" s="108">
        <f>IFERROR(Model!H408+0,NA())</f>
        <v>0</v>
      </c>
      <c r="I19" s="108">
        <f>IFERROR(Model!I408+0,NA())</f>
        <v>0</v>
      </c>
      <c r="J19" s="108">
        <f>IFERROR(Model!J408+0,NA())</f>
        <v>0</v>
      </c>
      <c r="K19" s="108">
        <f>IFERROR(Model!K408+0,NA())</f>
        <v>0.256911898143023</v>
      </c>
      <c r="L19" s="108">
        <f>IFERROR(Model!P408+0,NA())</f>
        <v>0.337577737712696</v>
      </c>
      <c r="M19" s="108">
        <f>IFERROR(Model!U408+0,NA())</f>
        <v>0.279765741605531</v>
      </c>
      <c r="N19" s="108">
        <f>IFERROR(Model!Z408+0,NA())</f>
        <v>0.290559110654079</v>
      </c>
      <c r="O19" s="108">
        <f>IFERROR(Model!AE408+0,NA())</f>
        <v>0.304948683325089</v>
      </c>
      <c r="P19" s="108">
        <f>IFERROR(Model!AJ408+0,NA())</f>
        <v>0.27289073623435</v>
      </c>
      <c r="Q19" s="108" t="n"/>
      <c r="R19" s="108" t="n"/>
      <c r="S19" s="108" t="n"/>
      <c r="T19" s="108" t="n"/>
      <c r="U19" s="108" t="n"/>
      <c r="V19" s="108" t="n"/>
    </row>
    <row r="20" ht="15" customHeight="1" s="251">
      <c r="B20" t="inlineStr">
        <is>
          <t>Adj. EBITDA margin %</t>
        </is>
      </c>
      <c r="C20" s="108">
        <f>IFERROR(Model!C190+0,NA())</f>
        <v>0</v>
      </c>
      <c r="D20" s="108">
        <f>IFERROR(Model!D190+0,NA())</f>
        <v>0</v>
      </c>
      <c r="E20" s="108">
        <f>IFERROR(Model!E190+0,NA())</f>
        <v>0</v>
      </c>
      <c r="F20" s="108">
        <f>IFERROR(Model!F190+0,NA())</f>
        <v>0</v>
      </c>
      <c r="G20" s="108">
        <f>IFERROR(Model!G190+0,NA())</f>
        <v>0</v>
      </c>
      <c r="H20" s="108">
        <f>IFERROR(Model!H190+0,NA())</f>
        <v>0</v>
      </c>
      <c r="I20" s="108">
        <f>IFERROR(Model!I190+0,NA())</f>
        <v>0</v>
      </c>
      <c r="J20" s="108">
        <f>IFERROR(Model!J190+0,NA())</f>
        <v>0.15739159226462</v>
      </c>
      <c r="K20" s="108">
        <f>IFERROR(Model!K190+0,NA())</f>
        <v>0.154428381764953</v>
      </c>
      <c r="L20" s="108">
        <f>IFERROR(Model!P190+0,NA())</f>
        <v>0.166453401095088</v>
      </c>
      <c r="M20" s="108">
        <f>IFERROR(Model!U190+0,NA())</f>
        <v>0.168407313725188</v>
      </c>
      <c r="N20" s="108">
        <f>IFERROR(Model!Z190+0,NA())</f>
        <v>0.180619194555505</v>
      </c>
      <c r="O20" s="108">
        <f>IFERROR(Model!AE190+0,NA())</f>
        <v>0.192927766059801</v>
      </c>
      <c r="P20" s="108">
        <f>IFERROR(Model!AJ190+0,NA())</f>
        <v>0.196909470529154</v>
      </c>
      <c r="Q20" s="108" t="n"/>
      <c r="R20" s="108" t="n"/>
      <c r="S20" s="108" t="n"/>
      <c r="T20" s="108" t="n"/>
      <c r="U20" s="108" t="n"/>
      <c r="V20" s="108" t="n"/>
    </row>
    <row r="21" ht="15" customHeight="1" s="251">
      <c r="B21" t="inlineStr">
        <is>
          <t>FCF margin %</t>
        </is>
      </c>
      <c r="C21" s="108">
        <f>IFERROR(Model!C284+0,NA())</f>
        <v>0</v>
      </c>
      <c r="D21" s="108">
        <f>IFERROR(Model!D284+0,NA())</f>
        <v>0</v>
      </c>
      <c r="E21" s="108">
        <f>IFERROR(Model!E284+0,NA())</f>
        <v>0</v>
      </c>
      <c r="F21" s="108">
        <f>IFERROR(Model!F284+0,NA())</f>
        <v>0</v>
      </c>
      <c r="G21" s="108">
        <f>IFERROR(Model!G284+0,NA())</f>
        <v>0</v>
      </c>
      <c r="H21" s="108">
        <f>IFERROR(Model!H284+0,NA())</f>
        <v>0</v>
      </c>
      <c r="I21" s="108">
        <f>IFERROR(Model!I284+0,NA())</f>
        <v>0</v>
      </c>
      <c r="J21" s="108">
        <f>IFERROR(Model!J284+0,NA())</f>
        <v>0.0913999214962355</v>
      </c>
      <c r="K21" s="108">
        <f>IFERROR(Model!K284+0,NA())</f>
        <v>0.137965887360909</v>
      </c>
      <c r="L21" s="108">
        <f>IFERROR(Model!P284+0,NA())</f>
        <v>0.0886090650566386</v>
      </c>
      <c r="M21" s="108">
        <f>IFERROR(Model!U284+0,NA())</f>
        <v>0.0671356632786835</v>
      </c>
      <c r="N21" s="108">
        <f>IFERROR(Model!Z284+0,NA())</f>
        <v>0.101744074995874</v>
      </c>
      <c r="O21" s="108">
        <f>IFERROR(Model!AE284+0,NA())</f>
        <v>0.110777753818863</v>
      </c>
      <c r="P21" s="108">
        <f>IFERROR(Model!AJ284+0,NA())</f>
        <v>0.0750310899877047</v>
      </c>
      <c r="Q21" s="108" t="n"/>
      <c r="R21" s="108" t="n"/>
      <c r="S21" s="108" t="n"/>
      <c r="T21" s="108" t="n"/>
      <c r="U21" s="108" t="n"/>
      <c r="V21" s="108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2026-10-07T13:49:11Z</dcterms:modified>
  <cp:lastModifiedBy>Payton Liske</cp:lastModifiedBy>
  <cp:revision>3</cp:revision>
</cp:coreProperties>
</file>