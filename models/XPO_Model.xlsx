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  <sheet name="Bull-Base-Bear" sheetId="2" state="visible" r:id="rId4"/>
    <sheet name="DCF" sheetId="3" state="visible" r:id="rId5"/>
    <sheet name="Char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1" authorId="0">
      <text>
        <r>
          <rPr>
            <sz val="10"/>
            <rFont val="Arial"/>
            <family val="2"/>
          </rPr>
          <t xml:space="preserve">Source: earnings releases, LTL operating data table ("Number of working days").</t>
        </r>
      </text>
    </comment>
    <comment ref="B12" authorId="0">
      <text>
        <r>
          <rPr>
            <sz val="10"/>
            <rFont val="Arial"/>
            <family val="2"/>
          </rPr>
          <t xml:space="preserve">Source: earnings releases (8-K Ex. 99.1), LTL operating data — "Pounds per day (thousands)". 2022 quarters from the prior-year columns of the 2023 releases.</t>
        </r>
      </text>
    </comment>
    <comment ref="B14" authorId="0">
      <text>
        <r>
          <rPr>
            <sz val="10"/>
            <rFont val="Arial"/>
            <family val="2"/>
          </rPr>
          <t xml:space="preserve">Source: 2022 earnings releases (8-K 9-May-22, 4-Aug-22, 31-Oct-22, 8-Feb-23), LTL operating data change % (2021 comparatives not carried in the model).</t>
        </r>
      </text>
    </comment>
    <comment ref="B15" authorId="0">
      <text>
        <r>
          <rPr>
            <sz val="10"/>
            <rFont val="Arial"/>
            <family val="2"/>
          </rPr>
          <t xml:space="preserve">Source: earnings releases, LTL operating data.</t>
        </r>
      </text>
    </comment>
    <comment ref="B19" authorId="0">
      <text>
        <r>
          <rPr>
            <sz val="10"/>
            <rFont val="Arial"/>
            <family val="2"/>
          </rPr>
          <t xml:space="preserve">Source: earnings releases, LTL operating data — "Gross revenue per hundredweight (excluding fuel surcharges)"; excludes the revenue-recognition adjustment for freight in transit.</t>
        </r>
      </text>
    </comment>
    <comment ref="B21" authorId="0">
      <text>
        <r>
          <rPr>
            <sz val="10"/>
            <rFont val="Arial"/>
            <family val="2"/>
          </rPr>
          <t xml:space="preserve">Source: 2022 earnings releases, LTL operating data change %.</t>
        </r>
      </text>
    </comment>
    <comment ref="B23" authorId="0">
      <text>
        <r>
          <rPr>
            <sz val="10"/>
            <rFont val="Arial"/>
            <family val="2"/>
          </rPr>
          <t xml:space="preserve">Source: earnings releases, North American LTL segment table.</t>
        </r>
      </text>
    </comment>
    <comment ref="B30" authorId="0">
      <text>
        <r>
          <rPr>
            <sz val="10"/>
            <rFont val="Arial"/>
            <family val="2"/>
          </rPr>
          <t xml:space="preserve">Source: earnings releases, "Reconciliation of North American LTL Operating Income to Adjusted Operating Income". 2022 values = recast in the 2023 releases (excludes real-estate gains and pension income).</t>
        </r>
      </text>
    </comment>
    <comment ref="B36" authorId="0">
      <text>
        <r>
          <rPr>
            <sz val="10"/>
            <rFont val="Arial"/>
            <family val="2"/>
          </rPr>
          <t xml:space="preserve">Source: earnings releases, LTL adjusted EBITDA reconciliation ("Depreciation expense").</t>
        </r>
      </text>
    </comment>
    <comment ref="B41" authorId="0">
      <text>
        <r>
          <rPr>
            <sz val="10"/>
            <rFont val="Arial"/>
            <family val="2"/>
          </rPr>
          <t xml:space="preserve">Source: earnings releases, North American LTL segment adjusted EBITDA (company-published).</t>
        </r>
      </text>
    </comment>
    <comment ref="B51" authorId="0">
      <text>
        <r>
          <rPr>
            <sz val="10"/>
            <rFont val="Arial"/>
            <family val="2"/>
          </rPr>
          <t xml:space="preserve">Source: earnings releases, European Transportation segment table (USD, translated).</t>
        </r>
      </text>
    </comment>
    <comment ref="B87" authorId="0">
      <text>
        <r>
          <rPr>
            <sz val="10"/>
            <rFont val="Arial"/>
            <family val="2"/>
          </rPr>
          <t xml:space="preserve">Source: earnings releases, LTL operating data. Label changed to "Revenue per shipment (including fuel surcharges)" in 2024.</t>
        </r>
      </text>
    </comment>
    <comment ref="B94" authorId="0">
      <text>
        <r>
          <rPr>
            <sz val="10"/>
            <rFont val="Arial"/>
            <family val="2"/>
          </rPr>
          <t xml:space="preserve">Source: earnings releases, LTL segment cost lines.</t>
        </r>
      </text>
    </comment>
    <comment ref="B99" authorId="0">
      <text>
        <r>
          <rPr>
            <sz val="10"/>
            <rFont val="Arial"/>
            <family val="2"/>
          </rPr>
          <t xml:space="preserve">Source: adjusted net income reconciliations (earnings releases); forecast per FY2025 Form 10-K, intangible assets note.</t>
        </r>
      </text>
    </comment>
    <comment ref="B106" authorId="0">
      <text>
        <r>
          <rPr>
            <sz val="10"/>
            <rFont val="Arial"/>
            <family val="2"/>
          </rPr>
          <t xml:space="preserve">Source: earnings releases (Condensed Consolidated Statements of Income). 2022 quarters = recast comparatives in the 2023 releases (natural-expense presentation adopted Q1/23).</t>
        </r>
      </text>
    </comment>
    <comment ref="B121" authorId="0">
      <text>
        <r>
          <rPr>
            <sz val="10"/>
            <rFont val="Arial"/>
            <family val="2"/>
          </rPr>
          <t xml:space="preserve">Historical subtotals (operating income, pre-tax income, net income) are the published figures; checks below confirm the line items add within ±1 rounding.</t>
        </r>
      </text>
    </comment>
    <comment ref="B134" authorId="0">
      <text>
        <r>
          <rPr>
            <sz val="10"/>
            <rFont val="Arial"/>
            <family val="2"/>
          </rPr>
          <t xml:space="preserve">Source: earnings releases (rounded to millions as published).</t>
        </r>
      </text>
    </comment>
    <comment ref="B144" authorId="0">
      <text>
        <r>
          <rPr>
            <sz val="10"/>
            <rFont val="Arial"/>
            <family val="2"/>
          </rPr>
          <t xml:space="preserve">Company bridge starts from net income from continuing operations (2022–24) and net income (2025+, no discontinued operations).</t>
        </r>
      </text>
    </comment>
    <comment ref="B160" authorId="0">
      <text>
        <r>
          <rPr>
            <sz val="10"/>
            <rFont val="Arial"/>
            <family val="2"/>
          </rPr>
          <t xml:space="preserve">Source: earnings releases, "Reconciliation of Net Income to Adjusted EBITDA". 2022 quarters/FY = recast continuing-operations figures in the 2023 releases.</t>
        </r>
      </text>
    </comment>
    <comment ref="B185" authorId="0">
      <text>
        <r>
          <rPr>
            <sz val="10"/>
            <rFont val="Arial"/>
            <family val="2"/>
          </rPr>
          <t xml:space="preserve">Source: earnings releases, "Reconciliation of Net Income and Diluted EPS to Adjusted Net Income and Adjusted EPS".</t>
        </r>
      </text>
    </comment>
    <comment ref="B187" authorId="0">
      <text>
        <r>
          <rPr>
            <sz val="10"/>
            <rFont val="Arial"/>
            <family val="2"/>
          </rPr>
          <t xml:space="preserve">Adjusted diluted shares where published (Q4/22, FY22, FY23 include anti-dilutive awards excluded from GAAP diluted shares in loss periods).</t>
        </r>
      </text>
    </comment>
    <comment ref="B209" authorId="0">
      <text>
        <r>
          <rPr>
            <sz val="10"/>
            <rFont val="Arial"/>
            <family val="2"/>
          </rPr>
          <t xml:space="preserve">Source: statements of cash flows (earnings releases / 10-Q / 10-K). Quarterly columns = discrete quarter (year-to-date less prior year-to-date). 2022 = continuing-operations comparatives in the 2023 releases.</t>
        </r>
      </text>
    </comment>
    <comment ref="B215" authorId="0">
      <text>
        <r>
          <rPr>
            <sz val="10"/>
            <rFont val="Arial"/>
            <family val="2"/>
          </rPr>
          <t xml:space="preserve">Derived: net cash from operating activities less the itemised lines (accretion of debt, goodwill impairment, debt extinguishment, other).</t>
        </r>
      </text>
    </comment>
    <comment ref="B232" authorId="0">
      <text>
        <r>
          <rPr>
            <sz val="10"/>
            <rFont val="Arial"/>
            <family val="2"/>
          </rPr>
          <t xml:space="preserve">Includes restricted cash and, in 2022, cash of discontinued operations (RXO) until the spin-off.</t>
        </r>
      </text>
    </comment>
    <comment ref="B237" authorId="0">
      <text>
        <r>
          <rPr>
            <sz val="10"/>
            <rFont val="Arial"/>
            <family val="2"/>
          </rPr>
          <t xml:space="preserve">Source: earnings releases Q4-22 and Q1-23, "Reconciliation of Cash Flows from Operating Activities to Free Cash Flow".</t>
        </r>
      </text>
    </comment>
    <comment ref="B260" authorId="0">
      <text>
        <r>
          <rPr>
            <sz val="10"/>
            <rFont val="Arial"/>
            <family val="2"/>
          </rPr>
          <t xml:space="preserve">Source: balance sheets in the earnings releases / 10-Q / 10-K.</t>
        </r>
      </text>
    </comment>
    <comment ref="B281" authorId="0">
      <text>
        <r>
          <rPr>
            <sz val="10"/>
            <rFont val="Arial"/>
            <family val="2"/>
          </rPr>
          <t xml:space="preserve">Derived: total liabilities &amp; equity less equity, current liabilities and the itemised long-term lines (absorbs ±1 rounding in the published balance sheet).</t>
        </r>
      </text>
    </comment>
    <comment ref="B296" authorId="0">
      <text>
        <r>
          <rPr>
            <sz val="10"/>
            <rFont val="Arial"/>
            <family val="2"/>
          </rPr>
          <t xml:space="preserve">Source: XBRL dei:EntityCommonStockSharesOutstanding (10-Q / 10-K cover page following each period end).</t>
        </r>
      </text>
    </comment>
    <comment ref="B315" authorId="0">
      <text>
        <r>
          <rPr>
            <sz val="10"/>
            <rFont val="Arial"/>
            <family val="2"/>
          </rPr>
          <t xml:space="preserve">Source: Q2-26 Form 10-Q, debt note (principal and carrying values).</t>
        </r>
      </text>
    </comment>
    <comment ref="B319" authorId="0">
      <text>
        <r>
          <rPr>
            <sz val="10"/>
            <rFont val="Arial"/>
            <family val="2"/>
          </rPr>
          <t xml:space="preserve">Q2/26: carrying values per 10-Q ($826m + $446m + $578m + $233m).</t>
        </r>
      </text>
    </comment>
    <comment ref="B321" authorId="0">
      <text>
        <r>
          <rPr>
            <sz val="10"/>
            <rFont val="Arial"/>
            <family val="2"/>
          </rPr>
          <t xml:space="preserve">Q2/26: Term Loan A $499m + Term Loan B $383m carrying (10-Q).</t>
        </r>
      </text>
    </comment>
    <comment ref="B365" authorId="0">
      <text>
        <r>
          <rPr>
            <sz val="10"/>
            <rFont val="Arial"/>
            <family val="2"/>
          </rPr>
          <t xml:space="preserve">Input: $180.00 provided by the user (5-Oct-2026). EDGAR-observable reference: Q2/26 buybacks at an average $205.22 (10-Q). Update to the current market price.</t>
        </r>
      </text>
    </comment>
    <comment ref="AF2" authorId="0">
      <text>
        <r>
          <rPr>
            <sz val="10"/>
            <rFont val="Arial"/>
            <family val="2"/>
          </rPr>
          <t xml:space="preserve">Scenario toggle. Choose Bull / Base / Bear. Drives: FY26 gross capex and 2H/26 buybacks (planning-assumption end-points), 2027E–30E LTL tonnage/day, yield and adjusted operating ratio, European revenue growth &amp; margin, and the leverage floor for buybacks.</t>
        </r>
      </text>
    </comment>
  </commentList>
</comments>
</file>

<file path=xl/sharedStrings.xml><?xml version="1.0" encoding="utf-8"?>
<sst xmlns="http://schemas.openxmlformats.org/spreadsheetml/2006/main" count="882" uniqueCount="703">
  <si>
    <t xml:space="preserve">SCENARIO SWITCH ▼ (Bull / Base / Bear) — drives all scenario-linked forecast drivers</t>
  </si>
  <si>
    <t xml:space="preserve">XPO, Inc. (NYSE: XPO) — 3-Statement Financial Model</t>
  </si>
  <si>
    <t xml:space="preserve">Base</t>
  </si>
  <si>
    <t xml:space="preserve">US GAAP as reported · USD millions (per-share data in USD; LTL pounds per day in thousands) · Source: XPO Forms 10-K / 10-Q, Form 8-K earnings releases (Ex. 99.1), investor presentations and monthly LTL operating-data releases (Item 7.01, Ex. 99.1), SEC EDGAR CIK 0001166003 (investor-relations releases are the same documents as filed on EDGAR)</t>
  </si>
  <si>
    <t xml:space="preserve">Basis notes: calendar fiscal year. History starts in FY2022, the year XPO became a standalone North American LTL + European Transportation company (GXO spun off Aug-2021; North American intermodal sold Mar-2022; RXO spun off 1-Nov-2022). 2022 P&amp;L, segment, non-GAAP and cash-flow data on the continuing-operations basis recast in the 2023 releases (natural-expense income statement adopted Q1/23, 2022 recast); balance sheet from 31-Dec-2022 (Q1–Q3/22 balance sheets included RXO). Real-estate gains are included in adjusted EBITDA but excluded from LTL adjusted operating income (current company definitions). Valuation share price $180.00 = user-provided input.</t>
  </si>
  <si>
    <t xml:space="preserve">Forecast</t>
  </si>
  <si>
    <t xml:space="preserve">Historical</t>
  </si>
  <si>
    <t xml:space="preserve">(USDm)</t>
  </si>
  <si>
    <t xml:space="preserve">Q1/22</t>
  </si>
  <si>
    <t xml:space="preserve">Q2/22</t>
  </si>
  <si>
    <t xml:space="preserve">Q3/22</t>
  </si>
  <si>
    <t xml:space="preserve">Q4/22</t>
  </si>
  <si>
    <t xml:space="preserve">Q1/23</t>
  </si>
  <si>
    <t xml:space="preserve">Q2/23</t>
  </si>
  <si>
    <t xml:space="preserve">Q3/23</t>
  </si>
  <si>
    <t xml:space="preserve">Q4/23</t>
  </si>
  <si>
    <t xml:space="preserve">Q1/24</t>
  </si>
  <si>
    <t xml:space="preserve">Q2/24</t>
  </si>
  <si>
    <t xml:space="preserve">Q3/24</t>
  </si>
  <si>
    <t xml:space="preserve">Q4/24</t>
  </si>
  <si>
    <t xml:space="preserve">Q1/25</t>
  </si>
  <si>
    <t xml:space="preserve">Q2/25</t>
  </si>
  <si>
    <t xml:space="preserve">Q3/25</t>
  </si>
  <si>
    <t xml:space="preserve">Q4/25</t>
  </si>
  <si>
    <t xml:space="preserve">Q1/26</t>
  </si>
  <si>
    <t xml:space="preserve">Q2/26</t>
  </si>
  <si>
    <t xml:space="preserve">Q3/26E</t>
  </si>
  <si>
    <t xml:space="preserve">Q4/26E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</si>
  <si>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</si>
  <si>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</si>
  <si>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</si>
  <si>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</si>
  <si>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</si>
  <si>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Modelling Notes</t>
  </si>
  <si>
    <t xml:space="preserve">5Y CAGR</t>
  </si>
  <si>
    <t xml:space="preserve">3Y CAGR</t>
  </si>
  <si>
    <t xml:space="preserve">25-'30</t>
  </si>
  <si>
    <t xml:space="preserve">22-'25</t>
  </si>
  <si>
    <t xml:space="preserve">SEGMENT P&amp;L — NORTH AMERICAN LTL · EUROPEAN TRANSPORTATION · CORPORATE (tonnage × yield build)</t>
  </si>
  <si>
    <t xml:space="preserve">SEGMENT BUILD — modelling logic (pounds/day × days × yield → revenue → adjusted operating ratio → adjusted EBITDA)</t>
  </si>
  <si>
    <t xml:space="preserve">SCENARIO INPUT TABLE — driver assumptions per Bull / Base / Bear</t>
  </si>
  <si>
    <t xml:space="preserve">Bull</t>
  </si>
  <si>
    <t xml:space="preserve">Bear</t>
  </si>
  <si>
    <t xml:space="preserve">Bull / Bear = Base + Δ (Δ inputs on each block header). Outlook block = high / mid / low end of the company planning assumptions.</t>
  </si>
  <si>
    <t xml:space="preserve">North American LTL (asset-based less-than-truckload; ~300 service centers, 4th-largest US LTL carrier) — segment</t>
  </si>
  <si>
    <t xml:space="preserve">NORTH AMERICAN LTL — modelling logic</t>
  </si>
  <si>
    <t xml:space="preserve">  Working days</t>
  </si>
  <si>
    <t xml:space="preserve">Q3/Q4-26E: prior-year quarter working days. 2027E+: 252 (input).</t>
  </si>
  <si>
    <t xml:space="preserve">FY26 outlook — Q2-26 investor deck (30-Jul-26); company planning assumptions</t>
  </si>
  <si>
    <t xml:space="preserve">High</t>
  </si>
  <si>
    <t xml:space="preserve">Mid</t>
  </si>
  <si>
    <t xml:space="preserve">Low</t>
  </si>
  <si>
    <t xml:space="preserve">XPO gives planning assumptions (not revenue / EBITDA / EPS guidance). Bull/Base/Bear pick the high / mid / low end where a range is given.</t>
  </si>
  <si>
    <t xml:space="preserve">  Pounds per day (thousands) — tonnage</t>
  </si>
  <si>
    <t xml:space="preserve">Q3/Q4-26E: prior-year quarter × (1 + tonnage/day y/y input). 2026E = working-day-weighted average of the quarters. 2027E+: × (1 + scenario lever LTL_vol).</t>
  </si>
  <si>
    <t xml:space="preserve">  Total company gross capex ($m)</t>
  </si>
  <si>
    <t xml:space="preserve">Planning assumption $500–600m (unchanged Feb-26 → Jul-26).</t>
  </si>
  <si>
    <t xml:space="preserve">  Tonnage (pounds) per day y/y %</t>
  </si>
  <si>
    <t xml:space="preserve">Q3/26E +3.5% input: Aug-26 tonnage/day +3.7% y/y (shipments/day +5.7%, weight/shipment −1.8%; 8-K 3-Sep-26), Q2/26 +1.0%, easy comp (Q3/25 −6.1%). Q4/26E +4.0% (Q4/25 comp −4.5%). 2027E+: scenario lever LTL_vol.</t>
  </si>
  <si>
    <t xml:space="preserve">  Interest expense ($m)</t>
  </si>
  <si>
    <t xml:space="preserve">$205–215m (mid-point).</t>
  </si>
  <si>
    <t xml:space="preserve">  Memo: reported tonnage per day y/y % (company; 2022 vs 2021)</t>
  </si>
  <si>
    <t xml:space="preserve">  Pension income ($m)</t>
  </si>
  <si>
    <t xml:space="preserve">Approximately $14m.</t>
  </si>
  <si>
    <t xml:space="preserve">  Shipments per day</t>
  </si>
  <si>
    <t xml:space="preserve">  Adjusted effective tax rate</t>
  </si>
  <si>
    <t xml:space="preserve">Lowered to 23–24% in Jul-26 (from 24–25% in Feb-26).</t>
  </si>
  <si>
    <t xml:space="preserve">  Shipments per day y/y %</t>
  </si>
  <si>
    <t xml:space="preserve">  Diluted share count (m)</t>
  </si>
  <si>
    <t xml:space="preserve">Approximately 118m.</t>
  </si>
  <si>
    <t xml:space="preserve">  Average weight per shipment (lbs)</t>
  </si>
  <si>
    <t xml:space="preserve">  2H/26 share repurchases ($m)</t>
  </si>
  <si>
    <t xml:space="preserve">Model assumption: 1H/26 $100m ($70m in Q2 at $205.22); $525m authorization remaining.</t>
  </si>
  <si>
    <t xml:space="preserve">  Hundredweight shipped (millions) = pounds per day × working days ÷ 100,000</t>
  </si>
  <si>
    <t xml:space="preserve">  Minimum net debt / Adjusted EBITDA (x) — buyback floor 2027E+</t>
  </si>
  <si>
    <t xml:space="preserve">Model assumption (no published target): Base 1.25x; Bull re-levers to 1.5x (more buybacks), Bear 1.0x. FY25 2.4x; term loans prepayable.</t>
  </si>
  <si>
    <t xml:space="preserve">  Gross revenue per hundredweight excl. fuel surcharges — yield ($)</t>
  </si>
  <si>
    <t xml:space="preserve">Q3/Q4-26E: prior-year quarter × (1 + Q2/26 y/y yield change). 2027E+: × (1 + scenario lever LTL_yield).</t>
  </si>
  <si>
    <t xml:space="preserve">  Yield (excl. fuel) y/y %</t>
  </si>
  <si>
    <t xml:space="preserve">LTL targets 2021–2027 (investor deck; memo — compared with the model in the Group Total block)</t>
  </si>
  <si>
    <t xml:space="preserve">  Memo: reported yield (excl. fuel) y/y % (company; 2022 vs 2021)</t>
  </si>
  <si>
    <t xml:space="preserve">  LTL revenue CAGR 2021–27</t>
  </si>
  <si>
    <t xml:space="preserve">Target range 6–8%.</t>
  </si>
  <si>
    <t xml:space="preserve">  Revenue ex fuel ÷ (hundredweight × yield) — revenue recognition &amp; other (x)</t>
  </si>
  <si>
    <t xml:space="preserve">Bridges the operating statistics to reported revenue (in-transit revenue deferral, accessorials/other). Forecast: prior-year quarter; 2027E+ held at 2026E.</t>
  </si>
  <si>
    <t xml:space="preserve">  LTL adjusted EBITDA CAGR 2021–27</t>
  </si>
  <si>
    <t xml:space="preserve">Target range 11–13%.</t>
  </si>
  <si>
    <t xml:space="preserve">  Revenue (excluding fuel surcharge revenue)</t>
  </si>
  <si>
    <t xml:space="preserve">  LTL adjusted operating ratio improvement 2021–27 (bp, at least)</t>
  </si>
  <si>
    <t xml:space="preserve">At least 600 bp.</t>
  </si>
  <si>
    <t xml:space="preserve">  Revenue ex fuel y/y %</t>
  </si>
  <si>
    <t xml:space="preserve">  Capex % of LTL revenue (average through 2027)</t>
  </si>
  <si>
    <t xml:space="preserve">Target range 8–12%.</t>
  </si>
  <si>
    <t xml:space="preserve">  Fuel surcharge revenue % of revenue ex fuel</t>
  </si>
  <si>
    <t xml:space="preserve">Q3/Q4-26E: held at the Q2/26 ratio (28.2%; diesel spike — update with EIA diesel). 2027E+: 2023–25 average (diesel normalisation). Fuel is a pass-through: it moves revenue and the operating ratio, not cents per cwt.</t>
  </si>
  <si>
    <t xml:space="preserve">  FY2021 base: LTL revenue ($m)</t>
  </si>
  <si>
    <t xml:space="preserve">Q4-22 release (8-K 8-Feb-23), FY2021 column.</t>
  </si>
  <si>
    <t xml:space="preserve">  Fuel surcharge revenue</t>
  </si>
  <si>
    <t xml:space="preserve">  FY2021 base: LTL adjusted EBITDA ($m)</t>
  </si>
  <si>
    <t xml:space="preserve">As first published (incl. $62m real-estate gains and pension income).</t>
  </si>
  <si>
    <t xml:space="preserve">  North American LTL revenue</t>
  </si>
  <si>
    <t xml:space="preserve">  FY2021 base: LTL adjusted operating ratio</t>
  </si>
  <si>
    <t xml:space="preserve">As first published (definition then in force).</t>
  </si>
  <si>
    <t xml:space="preserve">  LTL revenue y/y %</t>
  </si>
  <si>
    <t xml:space="preserve">  Adjusted operating ratio % (1 − adjusted operating income ÷ revenue)</t>
  </si>
  <si>
    <t xml:space="preserve">Q3/Q4-26E: prior-year quarter adjusted OR + Q2/26 y/y improvement (−300 bp). 2027E+: scenario lever LTL_OR. Company definition: adjusted OR excludes amortization, restructuring/transaction costs and real-estate gains.</t>
  </si>
  <si>
    <t xml:space="preserve">LTL_vol (LTL tonnage per day y/y)</t>
  </si>
  <si>
    <t xml:space="preserve">Δ →</t>
  </si>
  <si>
    <t xml:space="preserve">Freight recovery from the 2025 trough (FY25 tonnage/day −6.2%) plus share gains on service; Aug-26 tonnage/day +3.7% y/y (8-K 3-Sep-26).</t>
  </si>
  <si>
    <t xml:space="preserve">  Adjusted operating income (company definition)</t>
  </si>
  <si>
    <t xml:space="preserve">  2027E</t>
  </si>
  <si>
    <t xml:space="preserve">  Adjusted operating income y/y %</t>
  </si>
  <si>
    <t xml:space="preserve">  2028E</t>
  </si>
  <si>
    <t xml:space="preserve">  Incremental adjusted operating margin (Δ adj. operating income ÷ Δ revenue)</t>
  </si>
  <si>
    <t xml:space="preserve">  2029E</t>
  </si>
  <si>
    <t xml:space="preserve">  Δ Revenue ex fuel — volume effect (prior-year revenue ex fuel × Δ hundredweight %)</t>
  </si>
  <si>
    <t xml:space="preserve">Volume effect = prior-year revenue ex fuel × hundredweight growth; yield &amp; other = residual, so the two sum to the change in revenue ex fuel.</t>
  </si>
  <si>
    <t xml:space="preserve">  2030E</t>
  </si>
  <si>
    <t xml:space="preserve">  Δ Revenue ex fuel — yield &amp; other effect (residual)</t>
  </si>
  <si>
    <t xml:space="preserve">LTL_yield (yield ex fuel y/y)</t>
  </si>
  <si>
    <t xml:space="preserve">Gross revenue/cwt ex fuel +7.0% (FY24), +6.1% (FY25), +4.2% (1H/26); above-inflation pricing + accessorials + local-channel mix (investor deck).</t>
  </si>
  <si>
    <t xml:space="preserve">  Δ Fuel surcharge revenue</t>
  </si>
  <si>
    <t xml:space="preserve">  Depreciation expense (excl. amortization of intangibles)</t>
  </si>
  <si>
    <t xml:space="preserve">Q3/Q4-26E: prior-year quarter × 1H/26 y/y growth (+7.2%). 2027E+: revenue × depreciation % input.</t>
  </si>
  <si>
    <t xml:space="preserve">  Depreciation % of revenue</t>
  </si>
  <si>
    <t xml:space="preserve">2027E+: 7.0% input (FY25 7.1%; 1H/26 6.7% on fuel-inflated revenue; capex 8–12% of revenue through 2027).</t>
  </si>
  <si>
    <t xml:space="preserve">  Pension income (in LTL adjusted EBITDA; below adjusted operating income)</t>
  </si>
  <si>
    <t xml:space="preserve">Q3/Q4-26E: (FY26 planning assumption ~$14m − 1H/26 actual) ÷ 2. 2027E+: $12m input. Recorded in other income (non-operating).</t>
  </si>
  <si>
    <t xml:space="preserve">  Gains on real-estate transactions (in adjusted EBITDA; excluded from adjusted operating income)</t>
  </si>
  <si>
    <t xml:space="preserve">Non-recurring service-center sales; not forecast.</t>
  </si>
  <si>
    <t xml:space="preserve">LTL_OR (LTL adjusted operating ratio)</t>
  </si>
  <si>
    <t xml:space="preserve">Adj. OR 84.0% (FY25), 81.8% (1H/26), record 79.9% (Q2/26). Target: ≥600 bp improvement 2021–27 (AI-led productivity, linehaul insourcing).</t>
  </si>
  <si>
    <t xml:space="preserve">  Other (company reconciling item)</t>
  </si>
  <si>
    <t xml:space="preserve">  North American LTL adjusted EBITDA</t>
  </si>
  <si>
    <t xml:space="preserve">Adjusted EBITDA = adjusted operating income + depreciation + pension income + real-estate gains (company reconciliation).</t>
  </si>
  <si>
    <t xml:space="preserve">  LTL adjusted EBITDA margin %</t>
  </si>
  <si>
    <t xml:space="preserve">  LTL adjusted EBITDA y/y %</t>
  </si>
  <si>
    <t xml:space="preserve">  Check: adj. operating income + depreciation + pension + real-estate gains + other vs published (should be 0; ±1 rounding)</t>
  </si>
  <si>
    <t xml:space="preserve">EU_growth (European Transportation revenue y/y)</t>
  </si>
  <si>
    <t xml:space="preserve">Revenue +4.8% (FY25), +10.6% (1H/26, incl. EUR/USD translation). Base = local-currency growth, flat FX.</t>
  </si>
  <si>
    <t xml:space="preserve">  Amortization of acquired intangibles (LTL)</t>
  </si>
  <si>
    <t xml:space="preserve">Total amortization (10-K schedule) allocated on the FY25 LTL / Europe split.</t>
  </si>
  <si>
    <t xml:space="preserve">  Restructuring, transaction &amp; integration costs (LTL)</t>
  </si>
  <si>
    <t xml:space="preserve">Inputs.</t>
  </si>
  <si>
    <t xml:space="preserve">  LTL operating income (GAAP)</t>
  </si>
  <si>
    <t xml:space="preserve">Operating income = adjusted operating income − amortization − restructuring &amp; transaction costs + real-estate gains.</t>
  </si>
  <si>
    <t xml:space="preserve">  LTL operating ratio (GAAP) %</t>
  </si>
  <si>
    <t xml:space="preserve">EU_margin (European adjusted EBITDA margin)</t>
  </si>
  <si>
    <t xml:space="preserve">Adj. EBITDA margin 5.5% (FY22), 5.0% (FY24), 4.4% (FY25), 4.5% (1H/26); 2026 restructuring programme.</t>
  </si>
  <si>
    <t xml:space="preserve">European Transportation (truckload, LTL &amp; managed transport in France, UK, Iberia; ex Norbert Dentressangle)</t>
  </si>
  <si>
    <t xml:space="preserve">EUROPEAN TRANSPORTATION — modelling logic</t>
  </si>
  <si>
    <t xml:space="preserve">  European Transportation revenue</t>
  </si>
  <si>
    <t xml:space="preserve">  Revenue y/y % (USD; incl. FX translation)</t>
  </si>
  <si>
    <t xml:space="preserve">Q3/Q4-26E: 1H/26 y/y growth (+10.6%, incl. EUR/GBP translation). 2027E+: scenario lever EU_growth (flat FX).</t>
  </si>
  <si>
    <t xml:space="preserve">  European adjusted EBITDA</t>
  </si>
  <si>
    <t xml:space="preserve">  European adjusted EBITDA margin %</t>
  </si>
  <si>
    <t xml:space="preserve">Q3/Q4-26E: prior-year quarter margin + (1H/26 − 1H/25 margin drift). 2027E+: scenario lever EU_margin.</t>
  </si>
  <si>
    <t xml:space="preserve">  Depreciation expense (Europe)</t>
  </si>
  <si>
    <t xml:space="preserve">2027E+: 3.4% input (FY25 3.5%; 1H/26 3.0%).</t>
  </si>
  <si>
    <t xml:space="preserve">  Pension (expense) income within adjusted EBITDA</t>
  </si>
  <si>
    <t xml:space="preserve">  European adjusted operating income (company definition)</t>
  </si>
  <si>
    <t xml:space="preserve">  Check: adj. operating income + depreciation + pension vs published adjusted EBITDA (should be 0; ±1 rounding)</t>
  </si>
  <si>
    <t xml:space="preserve">  Amortization of acquired intangibles (Europe)</t>
  </si>
  <si>
    <t xml:space="preserve">  Restructuring, transaction, legal &amp; impairment items (Europe)</t>
  </si>
  <si>
    <t xml:space="preserve">Inputs: restructuring programme continuing (1H/26 $27m); 2027E+ $15m p.a. 2022 includes the $64m goodwill impairment.</t>
  </si>
  <si>
    <t xml:space="preserve">  Other (income) expense within adjusted operating income</t>
  </si>
  <si>
    <t xml:space="preserve">  European operating income (GAAP)</t>
  </si>
  <si>
    <t xml:space="preserve">  European operating margin (GAAP) %</t>
  </si>
  <si>
    <t xml:space="preserve">Corporate (headquarters, executive, legal &amp; finance; unallocated)</t>
  </si>
  <si>
    <t xml:space="preserve">CORPORATE — modelling logic</t>
  </si>
  <si>
    <t xml:space="preserve">  Corporate adjusted EBITDA (loss)</t>
  </si>
  <si>
    <t xml:space="preserve">Q3/Q4-26E: 1H/26 run-rate. 2027E+: −$16m p.a. input (FY25).</t>
  </si>
  <si>
    <t xml:space="preserve">  Other income (expense) within corporate adjusted EBITDA</t>
  </si>
  <si>
    <t xml:space="preserve">  Depreciation &amp; amortization (Corporate)</t>
  </si>
  <si>
    <t xml:space="preserve">  Transaction &amp; integration, restructuring, legal &amp; environmental items (Corporate)</t>
  </si>
  <si>
    <t xml:space="preserve">2022–23: RXO spin-off / strategic-alternatives costs; 2025: $35m pre-Con-way environmental matter. Forecast inputs.</t>
  </si>
  <si>
    <t xml:space="preserve">  Corporate operating loss (GAAP)</t>
  </si>
  <si>
    <t xml:space="preserve">Group Total — revenues &amp; adjusted EBITDA (segment build) → consolidated</t>
  </si>
  <si>
    <t xml:space="preserve">GROUP TOTAL (CONSOLIDATED) — modelling logic</t>
  </si>
  <si>
    <t xml:space="preserve">Revenue (segment build)</t>
  </si>
  <si>
    <t xml:space="preserve">Σ North American LTL + European Transportation (Corporate has no revenue; no intersegment eliminations).</t>
  </si>
  <si>
    <t xml:space="preserve">  Revenue y/y %</t>
  </si>
  <si>
    <t xml:space="preserve">  Check: segment build vs consolidated revenue (should be 0; ±1 rounding in published segment tables)</t>
  </si>
  <si>
    <t xml:space="preserve">Adjusted EBITDA (segment build)</t>
  </si>
  <si>
    <t xml:space="preserve">  Adjusted EBITDA margin %</t>
  </si>
  <si>
    <t xml:space="preserve">  Check: segment build vs consolidated Adjusted EBITDA bridge (should be 0; ±1 rounding in published segment tables)</t>
  </si>
  <si>
    <t xml:space="preserve">  Check: Σ segment operating income vs consolidated operating income (should be 0; ±1 rounding)</t>
  </si>
  <si>
    <t xml:space="preserve">  Memo: Adjusted EBITDA excluding real-estate gains (company measure)</t>
  </si>
  <si>
    <t xml:space="preserve">  Memo: LTL revenue CAGR 2021–27E vs target (6–8%)</t>
  </si>
  <si>
    <t xml:space="preserve">LTL targets 2021–2027 (investor deck, Q2-26): revenue CAGR 6–8%, adjusted EBITDA CAGR 11–13%, adjusted OR improvement ≥600 bp. FY2021 base as first published (Q4-22 release); definitions have since changed (pension income and real-estate gains now excluded from adjusted operating income).</t>
  </si>
  <si>
    <t xml:space="preserve">  Memo: LTL adjusted EBITDA CAGR 2021–27E vs target (11–13%)</t>
  </si>
  <si>
    <t xml:space="preserve">  Memo: LTL adjusted OR improvement 2021–27E (bp) vs target (≥600 bp)</t>
  </si>
  <si>
    <t xml:space="preserve">LTL OPERATING STATISTICS (memo; historical disclosure only)</t>
  </si>
  <si>
    <t xml:space="preserve">LTL OPERATING STATISTICS — historical only (not forecast)</t>
  </si>
  <si>
    <t xml:space="preserve">  Revenue per shipment incl. fuel ($; "net revenue per shipment" in 2022–23 releases)</t>
  </si>
  <si>
    <t xml:space="preserve">  Revenue per shipment excl. fuel ($; disclosed from 2024)</t>
  </si>
  <si>
    <t xml:space="preserve">  Gross revenue per hundredweight incl. fuel surcharges ($)</t>
  </si>
  <si>
    <t xml:space="preserve">  Average length of haul (miles)</t>
  </si>
  <si>
    <t xml:space="preserve">  Total average load factor (lbs per linehaul trip)</t>
  </si>
  <si>
    <t xml:space="preserve">  Average age of tractor fleet (years; period end)</t>
  </si>
  <si>
    <t xml:space="preserve">  LTL purchased transportation % of revenue (linehaul outsourcing)</t>
  </si>
  <si>
    <t xml:space="preserve">  LTL purchased transportation ($m)</t>
  </si>
  <si>
    <t xml:space="preserve">  LTL salaries, wages &amp; benefits % of revenue</t>
  </si>
  <si>
    <t xml:space="preserve">  LTL salaries, wages &amp; benefits ($m)</t>
  </si>
  <si>
    <t xml:space="preserve">Cost drivers &amp; D&amp;A</t>
  </si>
  <si>
    <t xml:space="preserve">COST DRIVERS — inputs that drive forecast cost lines</t>
  </si>
  <si>
    <t xml:space="preserve">  Amortization of acquisition-related intangible assets (total)</t>
  </si>
  <si>
    <t xml:space="preserve">FY25 10-K estimated amortization: $59m (2026), $59m (2027), $46m (2028), $36m (2029), $36m (2030). Q3/Q4-26E = (FY26 − 1H/26) ÷ 2.</t>
  </si>
  <si>
    <t xml:space="preserve">  Depreciation &amp; amortization — total (segment build)</t>
  </si>
  <si>
    <t xml:space="preserve">LTL depreciation + Europe depreciation + amortization + Corporate D&amp;A.</t>
  </si>
  <si>
    <t xml:space="preserve">  Check: segment D&amp;A vs consolidated D&amp;A expense (should be 0; ±2 rounding)</t>
  </si>
  <si>
    <t xml:space="preserve">  D&amp;A % of revenue</t>
  </si>
  <si>
    <t xml:space="preserve">  Stock-based compensation % of revenue</t>
  </si>
  <si>
    <t xml:space="preserve">2027E+: 0.9% input (FY25 0.9%). Not added back in adjusted EBITDA.</t>
  </si>
  <si>
    <t xml:space="preserve">CONSOLIDATED STATEMENT OF INCOME (US GAAP; continuing operations — 2022 recast for the RXO spin-off &amp; intermodal sale)</t>
  </si>
  <si>
    <t xml:space="preserve">CONSOLIDATED IS — forecast logic</t>
  </si>
  <si>
    <t xml:space="preserve">Revenue</t>
  </si>
  <si>
    <t xml:space="preserve">Forecast linked to the segment build.</t>
  </si>
  <si>
    <t xml:space="preserve">  Salaries, wages &amp; employee benefits</t>
  </si>
  <si>
    <t xml:space="preserve">Forecast: operating expenses (excl. D&amp;A, adjusting items &amp; gains) split on the prior-year period mix.</t>
  </si>
  <si>
    <t xml:space="preserve">  Purchased transportation</t>
  </si>
  <si>
    <t xml:space="preserve">  Fuel, operating expenses &amp; supplies</t>
  </si>
  <si>
    <t xml:space="preserve">  Operating taxes &amp; licenses</t>
  </si>
  <si>
    <t xml:space="preserve">  Insurance &amp; claims</t>
  </si>
  <si>
    <t xml:space="preserve">  (Gains) losses on sales of property &amp; equipment</t>
  </si>
  <si>
    <t xml:space="preserve">Includes real-estate gains (in adjusted EBITDA). Not forecast.</t>
  </si>
  <si>
    <t xml:space="preserve">  Operating expenses excl. D&amp;A and adjusting items</t>
  </si>
  <si>
    <t xml:space="preserve">Forecast = revenue − adjusted EBITDA (segment build) − other income (pension, which XPO reports below operating income but includes in adjusted EBITDA).</t>
  </si>
  <si>
    <t xml:space="preserve">  Operating expenses excl. D&amp;A % of revenue</t>
  </si>
  <si>
    <t xml:space="preserve">  Depreciation &amp; amortization expense</t>
  </si>
  <si>
    <t xml:space="preserve">  Goodwill impairment</t>
  </si>
  <si>
    <t xml:space="preserve">  Litigation / legal matters</t>
  </si>
  <si>
    <t xml:space="preserve">  Pre-Con-way acquisition environmental matter</t>
  </si>
  <si>
    <t xml:space="preserve">  Transaction &amp; integration costs</t>
  </si>
  <si>
    <t xml:space="preserve">  Restructuring costs</t>
  </si>
  <si>
    <t xml:space="preserve">Forecast: all segment restructuring / transaction / legal inputs routed through this line.</t>
  </si>
  <si>
    <t xml:space="preserve">Operating income</t>
  </si>
  <si>
    <t xml:space="preserve">  Check: revenue − expense lines vs reported operating income (should be 0; ±1 rounding)</t>
  </si>
  <si>
    <t xml:space="preserve">  Other (income) expense, net (income = −; mainly pension income)</t>
  </si>
  <si>
    <t xml:space="preserve">Forecast = −(pension income + other items carried in segment adjusted EBITDA).</t>
  </si>
  <si>
    <t xml:space="preserve">  Debt extinguishment loss</t>
  </si>
  <si>
    <t xml:space="preserve">  Interest expense</t>
  </si>
  <si>
    <t xml:space="preserve">Q3/Q4-26E: (FY26 planning assumption $205–215m mid-point − 1H/26) ÷ 2. 2027E+: opening notes × rate (incl. accretion) + opening term loans × rate + finance leases × rate.</t>
  </si>
  <si>
    <t xml:space="preserve">Income from continuing operations before income tax</t>
  </si>
  <si>
    <t xml:space="preserve">Income tax provision</t>
  </si>
  <si>
    <t xml:space="preserve">  Effective tax rate</t>
  </si>
  <si>
    <t xml:space="preserve">Q3/Q4-26E: FY26 adjusted ETR planning assumption mid-point (23–24%). 2027E+: 24.5% input (FY25 GAAP 27.7% incl. discrete items).</t>
  </si>
  <si>
    <t xml:space="preserve">Income from continuing operations</t>
  </si>
  <si>
    <t xml:space="preserve">Income (loss) from discontinued operations, net of taxes</t>
  </si>
  <si>
    <t xml:space="preserve">2022: RXO (spun off 1-Nov-2022) and North American intermodal (sold Mar-2022, gain in Q1/22). Residual items 2023.</t>
  </si>
  <si>
    <t xml:space="preserve">Net income attributable to XPO</t>
  </si>
  <si>
    <t xml:space="preserve">  Check: operating income − other − debt − interest − tax + discontinued vs reported net income (should be 0; ±1 rounding)</t>
  </si>
  <si>
    <t xml:space="preserve">(Earnings per share)</t>
  </si>
  <si>
    <t xml:space="preserve">  Weighted-average basic shares (m)</t>
  </si>
  <si>
    <t xml:space="preserve">Q3/Q4-26E: Q2/26 − 2H/26 buyback shares (time-weighted) + equity-plan issuance. 2027E+: average of beginning and ending shares outstanding.</t>
  </si>
  <si>
    <t xml:space="preserve">  Weighted-average diluted shares (m)</t>
  </si>
  <si>
    <t xml:space="preserve">FY26 planning assumption: ~118m diluted shares.</t>
  </si>
  <si>
    <t xml:space="preserve">EPS – basic, net income attributable to XPO ($)</t>
  </si>
  <si>
    <t xml:space="preserve">EPS – diluted, net income attributable to XPO ($)</t>
  </si>
  <si>
    <t xml:space="preserve">EPS – diluted, continuing operations ($)</t>
  </si>
  <si>
    <t xml:space="preserve">EPS computed as income / weighted diluted shares (published shares rounded to millions, so ±$0.01–0.02 vs reported).</t>
  </si>
  <si>
    <t xml:space="preserve">  EPS – diluted, continuing operations y/y %</t>
  </si>
  <si>
    <t xml:space="preserve">  Memo: EPS – diluted, continuing operations as reported ($)</t>
  </si>
  <si>
    <t xml:space="preserve">XPO does not pay a dividend (dividend rows of the template omitted).</t>
  </si>
  <si>
    <t xml:space="preserve">RECONCILIATION: NET INCOME → EBITDA → ADJUSTED EBITDA (company definition; continuing operations)</t>
  </si>
  <si>
    <t xml:space="preserve">ADJUSTED EBITDA — per XPO earnings-release reconciliations; company definition in force in each period</t>
  </si>
  <si>
    <t xml:space="preserve">Net income from continuing operations (GAAP)</t>
  </si>
  <si>
    <t xml:space="preserve">  Memo: starting point of the company reconciliation (as published)</t>
  </si>
  <si>
    <t xml:space="preserve">  (+) Basis difference (company start vs model continuing-operations start)</t>
  </si>
  <si>
    <t xml:space="preserve">  (+) Debt extinguishment loss</t>
  </si>
  <si>
    <t xml:space="preserve">  (+) Interest expense</t>
  </si>
  <si>
    <t xml:space="preserve">  (+) Income tax provision</t>
  </si>
  <si>
    <t xml:space="preserve">  (+) Depreciation &amp; amortization expense</t>
  </si>
  <si>
    <t xml:space="preserve">  = EBITDA</t>
  </si>
  <si>
    <t xml:space="preserve">  (+) Goodwill impairment (European Transportation, Q4/22)</t>
  </si>
  <si>
    <t xml:space="preserve">  (+) Litigation / legal matters</t>
  </si>
  <si>
    <t xml:space="preserve">2023: $8m litigation accrual; 2025: $(13)m European legal settlements (gain).</t>
  </si>
  <si>
    <t xml:space="preserve">  (+) Pre-Con-way acquisition environmental matter</t>
  </si>
  <si>
    <t xml:space="preserve">  (+) Transaction &amp; integration costs</t>
  </si>
  <si>
    <t xml:space="preserve">  (+) Restructuring costs</t>
  </si>
  <si>
    <t xml:space="preserve">  (+/−) Other &amp; rounding (published total − Σ components)</t>
  </si>
  <si>
    <t xml:space="preserve">Company "Other" line (2022–23) and ±1 rounding ("amounts may not add due to rounding").</t>
  </si>
  <si>
    <t xml:space="preserve">  Total adjusting items</t>
  </si>
  <si>
    <t xml:space="preserve">  = Adjusted EBITDA (model bridge)</t>
  </si>
  <si>
    <t xml:space="preserve">Historical bridge rebuilt from the company reconciliation in each period; forecast = net income + interest + tax + D&amp;A + adjusting items (equals the segment build — see check above).</t>
  </si>
  <si>
    <t xml:space="preserve">  Company-published Adjusted EBITDA</t>
  </si>
  <si>
    <t xml:space="preserve">  Check: model bridge vs company-published (should be 0)</t>
  </si>
  <si>
    <t xml:space="preserve">  Definition basis (company Adjusted EBITDA definition in force)</t>
  </si>
  <si>
    <t xml:space="preserve">Recast (2023 rel.)</t>
  </si>
  <si>
    <t xml:space="preserve">As published</t>
  </si>
  <si>
    <t xml:space="preserve">From net income</t>
  </si>
  <si>
    <t xml:space="preserve">Adjusted EBITDA includes pension income (other income) and real-estate gains; excludes transaction, restructuring, impairment, legal &amp; environmental items. Stock-based compensation is expensed (not added back).</t>
  </si>
  <si>
    <t xml:space="preserve">  Memo: gains on real-estate transactions (included in adjusted EBITDA)</t>
  </si>
  <si>
    <t xml:space="preserve">  Memo: Adjusted EBITDA excluding real-estate gains</t>
  </si>
  <si>
    <t xml:space="preserve">To adjusted EBIT:</t>
  </si>
  <si>
    <t xml:space="preserve">  (−) Depreciation &amp; amortization</t>
  </si>
  <si>
    <t xml:space="preserve">  = Adjusted EBIT (model)</t>
  </si>
  <si>
    <t xml:space="preserve">  Adjusted EBIT margin %</t>
  </si>
  <si>
    <t xml:space="preserve">RECONCILIATION: GAAP NET INCOME / DILUTED EPS (CONTINUING OPS) → ADJUSTED NET INCOME / ADJUSTED EPS</t>
  </si>
  <si>
    <t xml:space="preserve">ADJUSTED EPS — XPO publishes adjusted net income &amp; adjusted diluted EPS every quarter (tax effect of adjustments disclosed)</t>
  </si>
  <si>
    <t xml:space="preserve">  (+) Amortization of acquisition-related intangible assets</t>
  </si>
  <si>
    <t xml:space="preserve">  (+) Goodwill impairment</t>
  </si>
  <si>
    <t xml:space="preserve">  (+) Litigation, legal &amp; environmental matters</t>
  </si>
  <si>
    <t xml:space="preserve">  (+) Other pre-tax items (unrealized FX option losses, ABL amendment cost)</t>
  </si>
  <si>
    <t xml:space="preserve">  Total pre-tax adjustments</t>
  </si>
  <si>
    <t xml:space="preserve">  Tax rate applied to adjustments</t>
  </si>
  <si>
    <t xml:space="preserve">Historical: implied by the published tax effect. Forecast: 24% input (blended federal + state on deductible items).</t>
  </si>
  <si>
    <t xml:space="preserve">  (−) Income tax associated with the adjustments</t>
  </si>
  <si>
    <t xml:space="preserve">  (+/−) Discrete tax items (European legal-entity reorganization, other tax adjustments)</t>
  </si>
  <si>
    <t xml:space="preserve">Q2/24: $(41)m deferred-tax benefit from the European legal-entity reorganization.</t>
  </si>
  <si>
    <t xml:space="preserve">  (+/−) Rounding (published adjusted net income − Σ components)</t>
  </si>
  <si>
    <t xml:space="preserve">  = Adjusted net income (model)</t>
  </si>
  <si>
    <t xml:space="preserve">  Company-published adjusted net income</t>
  </si>
  <si>
    <t xml:space="preserve">  Check: model vs company-published adjusted net income (should be 0)</t>
  </si>
  <si>
    <t xml:space="preserve">  Adjusted diluted weighted-average shares (m)</t>
  </si>
  <si>
    <t xml:space="preserve">Adjusted EPS – diluted ($) (model)</t>
  </si>
  <si>
    <t xml:space="preserve">  Company-published adjusted diluted EPS ($)</t>
  </si>
  <si>
    <t xml:space="preserve">  Check: model vs company-published adjusted EPS (should be 0.00; ±$0.015 share-count rounding)</t>
  </si>
  <si>
    <t xml:space="preserve">XPO computes EPS on unrounded shares; the model uses published (rounded) millions.</t>
  </si>
  <si>
    <t xml:space="preserve">  Definition basis (company adjusted EPS)</t>
  </si>
  <si>
    <t xml:space="preserve">Cont. ops (recast)</t>
  </si>
  <si>
    <t xml:space="preserve">Net income</t>
  </si>
  <si>
    <t xml:space="preserve">GROWTH &amp; MARGINS</t>
  </si>
  <si>
    <t xml:space="preserve">GROWTH &amp; MARGINS (consolidated) — forecast outputs</t>
  </si>
  <si>
    <t xml:space="preserve">  LTL tonnage per day y/y % (volume)</t>
  </si>
  <si>
    <t xml:space="preserve">2022: company-reported change vs 2021 (2021 operating data not carried in the model).</t>
  </si>
  <si>
    <t xml:space="preserve">  LTL yield excl. fuel y/y % (price)</t>
  </si>
  <si>
    <t xml:space="preserve">  Adjusted EBITDA y/y %</t>
  </si>
  <si>
    <t xml:space="preserve">  Operating income y/y %</t>
  </si>
  <si>
    <t xml:space="preserve">  Net income attributable y/y %</t>
  </si>
  <si>
    <t xml:space="preserve">  Adjusted EPS y/y %</t>
  </si>
  <si>
    <t xml:space="preserve">  LTL adjusted operating ratio %</t>
  </si>
  <si>
    <t xml:space="preserve">  Incremental Adjusted EBITDA margin (ΔEBITDA / ΔRevenue)</t>
  </si>
  <si>
    <t xml:space="preserve">  Operating margin %</t>
  </si>
  <si>
    <t xml:space="preserve">  Net margin %</t>
  </si>
  <si>
    <t xml:space="preserve">CONSOLIDATED STATEMENT OF CASH FLOWS (continuing operations; discontinued operations shown separately)</t>
  </si>
  <si>
    <t xml:space="preserve">CASH FLOW — forecast logic (annual; 2026E = 1H/26 actual + 2H estimate; quarters = discrete quarter, year-to-date differences)</t>
  </si>
  <si>
    <t xml:space="preserve">Net income from continuing operations</t>
  </si>
  <si>
    <t xml:space="preserve">Adjustments:</t>
  </si>
  <si>
    <t xml:space="preserve">  Depreciation &amp; amortization</t>
  </si>
  <si>
    <t xml:space="preserve">  Stock-based compensation</t>
  </si>
  <si>
    <t xml:space="preserve">2026E: 1H/26 actual + 2H at the 1H revenue ratio.</t>
  </si>
  <si>
    <t xml:space="preserve">  Deferred income taxes</t>
  </si>
  <si>
    <t xml:space="preserve">Forecast = income tax provision × deferred share (schedule below).</t>
  </si>
  <si>
    <t xml:space="preserve">  Gains on sales of property &amp; equipment</t>
  </si>
  <si>
    <t xml:space="preserve">  Other non-cash items, net (derived; debt accretion, impairment, extinguishment, other)</t>
  </si>
  <si>
    <t xml:space="preserve">  Changes in operating assets &amp; liabilities, net</t>
  </si>
  <si>
    <t xml:space="preserve">Linked to the balance sheet: −Δ receivables + Δ payables + Δ accrued expenses; 2026E = 1H/26 actual + 2H balance-sheet movement from 30-Jun-26.</t>
  </si>
  <si>
    <t xml:space="preserve">Net cash provided by operating activities</t>
  </si>
  <si>
    <t xml:space="preserve">Payment for purchases of property &amp; equipment (gross capex)</t>
  </si>
  <si>
    <t xml:space="preserve">2026E: FY26 gross capex planning assumption ($500–600m; scenario end-point). 2027E+: revenue × capex % input.</t>
  </si>
  <si>
    <t xml:space="preserve">Proceeds from sale of property &amp; equipment</t>
  </si>
  <si>
    <t xml:space="preserve">2026E: 1H/26 actual only. 2027E+: $40m p.a. input (FY23–25 average $48m, incl. real-estate sales).</t>
  </si>
  <si>
    <t xml:space="preserve">Other investing activities, net (derived; cross-currency swap settlements, investments)</t>
  </si>
  <si>
    <t xml:space="preserve">Net cash used in investing activities</t>
  </si>
  <si>
    <t xml:space="preserve">Proceeds from issuance of debt (incl. ABL / revolver draws)</t>
  </si>
  <si>
    <t xml:space="preserve">Repayment &amp; repurchase of debt and finance leases</t>
  </si>
  <si>
    <t xml:space="preserve">Net issuance / (repayment) = change in term loans &amp; revolver per the debt schedule (incl. the $100m Term Loan B prepayment in Jul-26) + scheduled note maturities.</t>
  </si>
  <si>
    <t xml:space="preserve">Repurchase of common stock</t>
  </si>
  <si>
    <t xml:space="preserve">2026E = 1H/26 actual + 2H scenario amount; 2027E+ = leverage plug (surplus cash returned via buybacks once net leverage reaches the floor). $525m authorization remaining at 30-Jun-26.</t>
  </si>
  <si>
    <t xml:space="preserve">Payment for tax withholdings for restricted shares</t>
  </si>
  <si>
    <t xml:space="preserve">Other financing activities, net (derived; bank overdrafts, issuance costs, 2022 spin-off distributions)</t>
  </si>
  <si>
    <t xml:space="preserve">Net cash provided by (used in) financing activities</t>
  </si>
  <si>
    <t xml:space="preserve">Net cash provided by (used in) discontinued operations</t>
  </si>
  <si>
    <t xml:space="preserve">Effect of exchange rates on cash (derived; absorbs ±1 rounding of discrete quarters)</t>
  </si>
  <si>
    <t xml:space="preserve">Net increase (decrease) in cash, cash equivalents &amp; restricted cash</t>
  </si>
  <si>
    <t xml:space="preserve">Cash, cash equivalents &amp; restricted cash — beginning of period</t>
  </si>
  <si>
    <t xml:space="preserve">Cash, cash equivalents &amp; restricted cash — end of period</t>
  </si>
  <si>
    <t xml:space="preserve">  Check: CFO + CFI + CFF + discontinued + FX = change in cash (should be 0)</t>
  </si>
  <si>
    <t xml:space="preserve">  Check: beginning cash + change = ending cash (should be 0)</t>
  </si>
  <si>
    <t xml:space="preserve">(Memo)</t>
  </si>
  <si>
    <t xml:space="preserve">Free cash flow (company definition: CFO − gross capex + proceeds from sales of PP&amp;E)</t>
  </si>
  <si>
    <t xml:space="preserve">XPO defines free cash flow as operating cash flow less payments for PP&amp;E plus proceeds from PP&amp;E sales (published 2022–1H/23).</t>
  </si>
  <si>
    <t xml:space="preserve">  Company-published free cash flow (where published)</t>
  </si>
  <si>
    <t xml:space="preserve">  Check: model vs company-published free cash flow (should be 0)</t>
  </si>
  <si>
    <t xml:space="preserve">  FCF y/y %</t>
  </si>
  <si>
    <t xml:space="preserve">  FCF % of revenue</t>
  </si>
  <si>
    <t xml:space="preserve">  FCF / adjusted net income conversion %</t>
  </si>
  <si>
    <t xml:space="preserve">  FCF per diluted share ($)</t>
  </si>
  <si>
    <t xml:space="preserve">Capex ratios</t>
  </si>
  <si>
    <t xml:space="preserve">  Gross capex % of revenue</t>
  </si>
  <si>
    <t xml:space="preserve">2027E+: 7.5% input (FY25 8.1%; FY26 plan ~6%; LTL target 8–12% of LTL revenue on average through 2027 ≈ 5–7% of group revenue).</t>
  </si>
  <si>
    <t xml:space="preserve">  Net capex (gross capex − proceeds) % of revenue</t>
  </si>
  <si>
    <t xml:space="preserve">  Gross capex / D&amp;A (x)</t>
  </si>
  <si>
    <t xml:space="preserve">SHARE BUYBACK SCHEDULE</t>
  </si>
  <si>
    <t xml:space="preserve">SHARES — 2026E row = 2H/26 only (1H/26 repurchases already in the Q1/Q2 share counts)</t>
  </si>
  <si>
    <t xml:space="preserve">  Avg buyback price ($)</t>
  </si>
  <si>
    <t xml:space="preserve">2026E = current share price (valuation input); appreciates with the share-price input. 1H/26 actual average $201.13.</t>
  </si>
  <si>
    <t xml:space="preserve">  Buyback cash deployed (USDm)</t>
  </si>
  <si>
    <t xml:space="preserve">  Implied shares repurchased (m)</t>
  </si>
  <si>
    <t xml:space="preserve">  Shares issued under equity plans, net of withholding (m)</t>
  </si>
  <si>
    <t xml:space="preserve">Inputs (2023–25 average net issuance ~0.6m p.a. before buybacks).</t>
  </si>
  <si>
    <t xml:space="preserve">  Beginning shares outstanding (m)</t>
  </si>
  <si>
    <t xml:space="preserve">2026E begins from shares outstanding per the Q2-26 10-Q cover (117,086,465 at 24-Jul-26).</t>
  </si>
  <si>
    <t xml:space="preserve">  Ending shares outstanding (m)</t>
  </si>
  <si>
    <t xml:space="preserve">  % of shares repurchased</t>
  </si>
  <si>
    <t xml:space="preserve">  Memo: cumulative shares repurchased since 2H/26 (m)</t>
  </si>
  <si>
    <t xml:space="preserve">CONSOLIDATED BALANCE SHEET (from 31-Dec-2022, first post-spin balance sheet)</t>
  </si>
  <si>
    <t xml:space="preserve">BS FORECAST — 2026E rolled forward from the 30-Jun-2026 balance sheet (Q2/26); quarters Q1–Q3/22 not shown (included RXO)</t>
  </si>
  <si>
    <t xml:space="preserve">ASSETS</t>
  </si>
  <si>
    <t xml:space="preserve">  Cash and cash equivalents</t>
  </si>
  <si>
    <t xml:space="preserve">  Accounts receivable, net</t>
  </si>
  <si>
    <t xml:space="preserve">Receivables = revenue × DSO / 365.</t>
  </si>
  <si>
    <t xml:space="preserve">  Other current assets (derived; incl. Dec-22 current assets of discontinued operations)</t>
  </si>
  <si>
    <t xml:space="preserve">Total current assets</t>
  </si>
  <si>
    <t xml:space="preserve">  Property &amp; equipment, net</t>
  </si>
  <si>
    <t xml:space="preserve">PP&amp;E roll-forward: prior + gross capex − net book value of disposals (≈ proceeds; gains not forecast) − depreciation (D&amp;A less intangible amortization). Dec-23 includes the 28 Yellow service centers ($870m).</t>
  </si>
  <si>
    <t xml:space="preserve">  Operating lease right-of-use assets</t>
  </si>
  <si>
    <t xml:space="preserve">  Goodwill</t>
  </si>
  <si>
    <t xml:space="preserve">Held flat (FX translation not forecast).</t>
  </si>
  <si>
    <t xml:space="preserve">  Identifiable intangible assets, net</t>
  </si>
  <si>
    <t xml:space="preserve">  Other long-term assets (derived)</t>
  </si>
  <si>
    <t xml:space="preserve">TOTAL ASSETS</t>
  </si>
  <si>
    <t xml:space="preserve">LIABILITIES AND EQUITY</t>
  </si>
  <si>
    <t xml:space="preserve">  Accounts payable</t>
  </si>
  <si>
    <t xml:space="preserve">  Accrued expenses</t>
  </si>
  <si>
    <t xml:space="preserve">  Short-term borrowings &amp; current maturities of long-term debt</t>
  </si>
  <si>
    <t xml:space="preserve">Forecast: next year's scheduled note maturities (2027E: $830m 6.25% notes due Jun-2028). Finance-lease current portion not split.</t>
  </si>
  <si>
    <t xml:space="preserve">  Short-term operating lease liabilities</t>
  </si>
  <si>
    <t xml:space="preserve">  Other current liabilities (derived; incl. Dec-22 liabilities of discontinued operations)</t>
  </si>
  <si>
    <t xml:space="preserve">Total current liabilities</t>
  </si>
  <si>
    <t xml:space="preserve">  Long-term debt</t>
  </si>
  <si>
    <t xml:space="preserve">  Deferred tax liability</t>
  </si>
  <si>
    <t xml:space="preserve">  Employee benefit obligations</t>
  </si>
  <si>
    <t xml:space="preserve">  Long-term operating lease liabilities</t>
  </si>
  <si>
    <t xml:space="preserve">  Other long-term liabilities (derived)</t>
  </si>
  <si>
    <t xml:space="preserve">Total liabilities</t>
  </si>
  <si>
    <t xml:space="preserve">Stockholders' equity:</t>
  </si>
  <si>
    <t xml:space="preserve">  Common stock &amp; additional paid-in capital</t>
  </si>
  <si>
    <t xml:space="preserve">+ stock-based compensation − tax withholdings − share repurchases (XPO retires repurchased shares against paid-in capital; once paid-in capital is exhausted the excess is charged to retained earnings).</t>
  </si>
  <si>
    <t xml:space="preserve">  Retained earnings (accumulated deficit)</t>
  </si>
  <si>
    <t xml:space="preserve">+ net income (no dividends) − share repurchases in excess of paid-in capital.</t>
  </si>
  <si>
    <t xml:space="preserve">  Accumulated other comprehensive loss</t>
  </si>
  <si>
    <t xml:space="preserve">Total stockholders' equity</t>
  </si>
  <si>
    <t xml:space="preserve">TOTAL LIABILITIES AND EQUITY</t>
  </si>
  <si>
    <t xml:space="preserve">BS tie-out check (TA − TL&amp;E)</t>
  </si>
  <si>
    <t xml:space="preserve">  Check: model total assets vs reported (should be 0)</t>
  </si>
  <si>
    <t xml:space="preserve">  Memo: total assets as reported</t>
  </si>
  <si>
    <t xml:space="preserve">  Memo: total current assets as reported</t>
  </si>
  <si>
    <t xml:space="preserve">  Memo: total current liabilities as reported</t>
  </si>
  <si>
    <t xml:space="preserve">  Memo: total liabilities &amp; equity as reported</t>
  </si>
  <si>
    <t xml:space="preserve">  Memo: restricted cash (in other assets) = CF ending cash − BS cash</t>
  </si>
  <si>
    <t xml:space="preserve">Held at the 30-Jun-26 level ($16m).</t>
  </si>
  <si>
    <t xml:space="preserve">  Memo: common shares outstanding (m; 10-Q/10-K cover date following period end)</t>
  </si>
  <si>
    <t xml:space="preserve">WORKING CAPITAL &amp; CASH CONVERSION</t>
  </si>
  <si>
    <t xml:space="preserve">WORKING CAPITAL — forecast drivers (blue = input)</t>
  </si>
  <si>
    <t xml:space="preserve">  Revenue</t>
  </si>
  <si>
    <t xml:space="preserve">  DSO — receivables / revenue × 365</t>
  </si>
  <si>
    <t xml:space="preserve">Forecast inputs at FY2025 levels (DSO 46d, payables 25d of cash operating costs, accrued expenses 9.3% of revenue).</t>
  </si>
  <si>
    <t xml:space="preserve">  Payable days — payables / operating expenses excl. D&amp;A × 365</t>
  </si>
  <si>
    <t xml:space="preserve">  Accrued expenses % of revenue</t>
  </si>
  <si>
    <t xml:space="preserve">  Operating NWC (receivables − payables − accrued expenses)</t>
  </si>
  <si>
    <t xml:space="preserve">  NWC % of revenue</t>
  </si>
  <si>
    <t xml:space="preserve">  ΔNWC (y/y)</t>
  </si>
  <si>
    <t xml:space="preserve">BALANCE SHEET FORECAST SCHEDULES</t>
  </si>
  <si>
    <t xml:space="preserve">BS FORECAST SCHEDULES — explicit driver assumptions</t>
  </si>
  <si>
    <t xml:space="preserve">Asset roll-forwards &amp; non-cash items</t>
  </si>
  <si>
    <t xml:space="preserve">  Deferred tax expense % of income tax provision</t>
  </si>
  <si>
    <t xml:space="preserve">FY25 82% (100% bonus depreciation restored in 2025); normalises as capex steps down — 25% input.</t>
  </si>
  <si>
    <t xml:space="preserve">  Accretion of debt (non-cash; 6.70% debentures discount &amp; issuance costs)</t>
  </si>
  <si>
    <t xml:space="preserve">"Accretion of debt" $10–11m p.a. (cash-flow statements); 2026E row = 2H only.</t>
  </si>
  <si>
    <t xml:space="preserve">  Dilutive securities (m shares)</t>
  </si>
  <si>
    <t xml:space="preserve">Diluted − basic ≈ 1–2m (RSUs/PSUs).</t>
  </si>
  <si>
    <t xml:space="preserve">  Share-price appreciation % (buyback pricing)</t>
  </si>
  <si>
    <t xml:space="preserve">Debt schedule (fixed-rate notes refinanced at maturity; term loans &amp; revolver prepayable to a minimum cash balance)</t>
  </si>
  <si>
    <t xml:space="preserve">  Total debt (current + long-term; carrying value)</t>
  </si>
  <si>
    <t xml:space="preserve">Debt at 30-Jun-26 $3,206m carrying ($3,292m principal): Term Loan A $500m (May-2029, SOFR+1.25%), Term Loan B $385m (Feb-2031, SOFR+1.50%), 6.25% sr. secured notes 2028 $830m, 7.125% sr. notes 2031 $450m, 7.125% sr. notes 2032 $585m, 6.70% debentures 2034 $300m ($233m carrying), finance leases &amp; other $242m. $600m revolver undrawn.</t>
  </si>
  <si>
    <t xml:space="preserve">  Scheduled note maturities (input, negative)</t>
  </si>
  <si>
    <t xml:space="preserve">Jun-2028: 6.25% senior secured notes ($830m). 2031: Term Loan B &amp; 7.125% notes (beyond 2030E).</t>
  </si>
  <si>
    <t xml:space="preserve">  % of scheduled maturities refinanced (input)</t>
  </si>
  <si>
    <t xml:space="preserve">100% = refinanced with new notes at the refinancing rate.</t>
  </si>
  <si>
    <t xml:space="preserve">  Refinancing issuance</t>
  </si>
  <si>
    <t xml:space="preserve">  Senior notes &amp; debentures (carrying value, year end)</t>
  </si>
  <si>
    <t xml:space="preserve">  Interest rate on notes &amp; debentures (opening carrying value; incl. accretion) %</t>
  </si>
  <si>
    <t xml:space="preserve">Coupons 830×6.25% + 450×7.125% + 585×7.125% + 300×6.70% = $145.7m + ~$10m accretion ÷ ~$2.09bn carrying ≈ 7.45%; 2028 notes refinanced at ~6.0% from Jun-28.</t>
  </si>
  <si>
    <t xml:space="preserve">  Term loans &amp; revolver outstanding (prepayable; year end)</t>
  </si>
  <si>
    <t xml:space="preserve">Drawn/repaid so that cash = minimum balance; surplus cash first repays the term loans (Term Loan B prepaid $100m in Jul-26), then funds leverage-targeted buybacks.</t>
  </si>
  <si>
    <t xml:space="preserve">  Interest rate on term loans &amp; revolver %</t>
  </si>
  <si>
    <t xml:space="preserve">Term Loan A ~4.87%, Term Loan B ~5.12% at 30-Jun-26 (10-Q).</t>
  </si>
  <si>
    <t xml:space="preserve">  Finance leases &amp; other debt</t>
  </si>
  <si>
    <t xml:space="preserve">Held flat (new leases offset repayments).</t>
  </si>
  <si>
    <t xml:space="preserve">  Interest rate on finance leases &amp; other %</t>
  </si>
  <si>
    <t xml:space="preserve">  Cash before prepayable facilities (opening cash + CFO + CFI + non-facility financing)</t>
  </si>
  <si>
    <t xml:space="preserve">  Minimum cash balance (incl. restricted)</t>
  </si>
  <si>
    <t xml:space="preserve">  Net issuance / (repayment)</t>
  </si>
  <si>
    <t xml:space="preserve">  Interest expense / opening total debt % (historical)</t>
  </si>
  <si>
    <t xml:space="preserve">Leverage-targeted buybacks (repurchases plug to a minimum net debt / Adjusted EBITDA)</t>
  </si>
  <si>
    <t xml:space="preserve">  Minimum net debt / Adjusted EBITDA (x) (scenario)</t>
  </si>
  <si>
    <t xml:space="preserve">Model assumption (XPO has not published a leverage target; covenant-defined net leverage ~1.2x at the last term-loan amendment). Net debt / adj. EBITDA 2.1x at FY25.</t>
  </si>
  <si>
    <t xml:space="preserve">  Net debt before buybacks (year end)</t>
  </si>
  <si>
    <t xml:space="preserve">  Target minimum net debt = floor × Adjusted EBITDA</t>
  </si>
  <si>
    <t xml:space="preserve">  Share repurchases: plug to minimum leverage</t>
  </si>
  <si>
    <t xml:space="preserve">Zero while leverage is above the floor (FCF repays the term loans first); feeds the cash-flow repurchase line.</t>
  </si>
  <si>
    <t xml:space="preserve">RATIO ANALYSIS</t>
  </si>
  <si>
    <t xml:space="preserve">RETURNS — annual columns (NOPAT on Adjusted EBIT)</t>
  </si>
  <si>
    <t xml:space="preserve">DuPont decomposition of ROIC</t>
  </si>
  <si>
    <t xml:space="preserve">Adjusted EBIT (Adjusted EBITDA − D&amp;A)</t>
  </si>
  <si>
    <t xml:space="preserve">Effective tax rate (actual)</t>
  </si>
  <si>
    <t xml:space="preserve">NOPAT = Adjusted EBIT × (1 − tax rate)</t>
  </si>
  <si>
    <t xml:space="preserve">Invested capital (IC) = Equity + Net debt</t>
  </si>
  <si>
    <t xml:space="preserve">  Total stockholders' equity</t>
  </si>
  <si>
    <t xml:space="preserve">  Net debt = Total debt − Cash</t>
  </si>
  <si>
    <t xml:space="preserve">ROIC = NOPAT / IC</t>
  </si>
  <si>
    <t xml:space="preserve">  Margin = Adjusted EBIT / Revenue</t>
  </si>
  <si>
    <t xml:space="preserve">  Capital turnover = Revenue / IC</t>
  </si>
  <si>
    <t xml:space="preserve">  Tax burden = (1 − effective tax rate)</t>
  </si>
  <si>
    <t xml:space="preserve">  Check: Margin × Turnover × Tax burden = ROIC</t>
  </si>
  <si>
    <t xml:space="preserve">RONTA decomposition</t>
  </si>
  <si>
    <t xml:space="preserve">  Total assets</t>
  </si>
  <si>
    <t xml:space="preserve">  − Goodwill &amp; acquired intangible assets</t>
  </si>
  <si>
    <t xml:space="preserve">  − Non-interest-bearing current liabilities (total CL excl. debt)</t>
  </si>
  <si>
    <t xml:space="preserve">  = Net tangible assets</t>
  </si>
  <si>
    <t xml:space="preserve">RONTA = NOPAT / NTA</t>
  </si>
  <si>
    <t xml:space="preserve">Return on Equity (ROE)</t>
  </si>
  <si>
    <t xml:space="preserve">XPO stockholders' equity</t>
  </si>
  <si>
    <t xml:space="preserve">ROE = Net income / Equity</t>
  </si>
  <si>
    <t xml:space="preserve">Leverage</t>
  </si>
  <si>
    <t xml:space="preserve">Net debt = Total debt − cash</t>
  </si>
  <si>
    <t xml:space="preserve">Adjusted EBITDA</t>
  </si>
  <si>
    <t xml:space="preserve">Net debt / Adjusted EBITDA (x)</t>
  </si>
  <si>
    <t xml:space="preserve">VALUATION</t>
  </si>
  <si>
    <t xml:space="preserve">VALUATION — share price input $180.00 (user-provided)</t>
  </si>
  <si>
    <t xml:space="preserve">Share price ($) — current</t>
  </si>
  <si>
    <t xml:space="preserve">Diluted shares at period end (m)</t>
  </si>
  <si>
    <t xml:space="preserve">Market capitalisation (USDm)</t>
  </si>
  <si>
    <t xml:space="preserve">Net debt (USDm)</t>
  </si>
  <si>
    <t xml:space="preserve">Enterprise value (USDm)</t>
  </si>
  <si>
    <t xml:space="preserve">Multiples</t>
  </si>
  <si>
    <t xml:space="preserve">  EV / Revenue</t>
  </si>
  <si>
    <t xml:space="preserve">  EV / Adjusted EBITDA</t>
  </si>
  <si>
    <t xml:space="preserve">  EV / Adjusted EBIT</t>
  </si>
  <si>
    <t xml:space="preserve">  EV / IC</t>
  </si>
  <si>
    <t xml:space="preserve">  P / E (GAAP diluted, continuing ops)</t>
  </si>
  <si>
    <t xml:space="preserve">  P / E (adjusted EPS)</t>
  </si>
  <si>
    <t xml:space="preserve">  FCF yield</t>
  </si>
  <si>
    <t xml:space="preserve">XPO, Inc. (XPO) — Bull / Base / Bear Case P&amp;L Summary</t>
  </si>
  <si>
    <t xml:space="preserve">Share price ($):</t>
  </si>
  <si>
    <t xml:space="preserve">Adjusted figures (company current definitions: Adjusted EBITDA / adjusted diluted EPS) · USDm except per-share · 2025A actual; 2026E = 1H/26 actual + 2H/26E · LT hist = 2022–2025 (standalone XPO since the RXO spin-off)</t>
  </si>
  <si>
    <t xml:space="preserve">As of:</t>
  </si>
  <si>
    <t xml:space="preserve">Scenario:</t>
  </si>
  <si>
    <t xml:space="preserve">Snapshot (values) — Model run with switch = Bull</t>
  </si>
  <si>
    <t xml:space="preserve">Snapshot (values) — Model run with switch = Bear</t>
  </si>
  <si>
    <t xml:space="preserve">(USDm, except EPS and shares)</t>
  </si>
  <si>
    <t xml:space="preserve">2025A</t>
  </si>
  <si>
    <t xml:space="preserve">25-'30 CAGR</t>
  </si>
  <si>
    <t xml:space="preserve">LT Hist Avg</t>
  </si>
  <si>
    <t xml:space="preserve">LT Hist Min</t>
  </si>
  <si>
    <t xml:space="preserve">LT Hist Max</t>
  </si>
  <si>
    <t xml:space="preserve">Revenues</t>
  </si>
  <si>
    <t xml:space="preserve">   Revenues y/y %</t>
  </si>
  <si>
    <t xml:space="preserve">   LTL tonnage per day y/y %</t>
  </si>
  <si>
    <t xml:space="preserve">   Adjusted EBITDA margin %</t>
  </si>
  <si>
    <t xml:space="preserve">Operating Income (GAAP)</t>
  </si>
  <si>
    <t xml:space="preserve">   Operating income y/y %</t>
  </si>
  <si>
    <t xml:space="preserve">   Operating margin (GAAP) %</t>
  </si>
  <si>
    <t xml:space="preserve">Adjusted Net Income</t>
  </si>
  <si>
    <t xml:space="preserve">FDSO (m)</t>
  </si>
  <si>
    <t xml:space="preserve">Adjusted EPS — Diluted ($)</t>
  </si>
  <si>
    <t xml:space="preserve">   EPS y/y %</t>
  </si>
  <si>
    <t xml:space="preserve">P / E (x) — assumed (adjusted EPS)</t>
  </si>
  <si>
    <t xml:space="preserve">Price Target ($)</t>
  </si>
  <si>
    <t xml:space="preserve">   Upside / (Downside) vs current</t>
  </si>
  <si>
    <t xml:space="preserve">IRR (to Dec-Y-1)</t>
  </si>
  <si>
    <t xml:space="preserve">Free Cash Flow (company definition)</t>
  </si>
  <si>
    <t xml:space="preserve">   FCF %</t>
  </si>
  <si>
    <t xml:space="preserve">   FCF / share ($)</t>
  </si>
  <si>
    <t xml:space="preserve">   FCF Yield (on PT)</t>
  </si>
  <si>
    <t xml:space="preserve">North American LTL Adjusted EBITDA</t>
  </si>
  <si>
    <t xml:space="preserve">   LTL adjusted operating ratio %</t>
  </si>
  <si>
    <t xml:space="preserve">Net Debt</t>
  </si>
  <si>
    <t xml:space="preserve">   Net Debt / Adjusted EBITDA (x)</t>
  </si>
  <si>
    <t xml:space="preserve">ROIC</t>
  </si>
  <si>
    <t xml:space="preserve">RONTA</t>
  </si>
  <si>
    <t xml:space="preserve">Implied Market Cap (USDm)</t>
  </si>
  <si>
    <t xml:space="preserve">(+) Net Debt</t>
  </si>
  <si>
    <t xml:space="preserve">Implied Enterprise Value (USDm)</t>
  </si>
  <si>
    <t xml:space="preserve">Implied EV / Adjusted EBITDA (x)</t>
  </si>
  <si>
    <t xml:space="preserve">P/E inputs: Base 24x / Bull 28x / Bear 18x adjusted EPS (LTL peers ODFL ~30x, SAIA ~25x through-cycle; XPO 5-yr post-spin range ~20–40x). Bull and Bear blocks are value snapshots of the Model run with the scenario switch set accordingly (re-run to refresh).</t>
  </si>
  <si>
    <t xml:space="preserve">DCF VALUATION — XPO, INC. (XPO)</t>
  </si>
  <si>
    <t xml:space="preserve">1. WACC BUILD</t>
  </si>
  <si>
    <t xml:space="preserve">Risk-free rate (US 10Y govt)</t>
  </si>
  <si>
    <t xml:space="preserve">Assumption (~US 10Y Treasury yield); same as prior models — update to market</t>
  </si>
  <si>
    <t xml:space="preserve">Equity risk premium</t>
  </si>
  <si>
    <t xml:space="preserve">US implied ERP ~4.5–5.5% (Damodaran)</t>
  </si>
  <si>
    <t xml:space="preserve">Levered beta</t>
  </si>
  <si>
    <t xml:space="preserve">LTL peers: ODFL ~1.1–1.2, SAIA ~1.5, ArcBest ~1.6; XPO pure-play LTL since Nov-22 (pre-spin history ~1.8–2.0 as a conglomerate); freight-cycle exposure</t>
  </si>
  <si>
    <t xml:space="preserve">Cost of equity</t>
  </si>
  <si>
    <t xml:space="preserve">Pre-tax cost of debt</t>
  </si>
  <si>
    <t xml:space="preserve">BB+/Ba1: 6.25% sr. secured 2028, 7.125% notes 2031/2032; term loans SOFR+125–150 bp (~5%); marginal cost ~6.5%</t>
  </si>
  <si>
    <t xml:space="preserve">Tax rate</t>
  </si>
  <si>
    <t xml:space="preserve">Model 2027E+ effective tax rate</t>
  </si>
  <si>
    <t xml:space="preserve">After-tax cost of debt</t>
  </si>
  <si>
    <t xml:space="preserve">Target D/V</t>
  </si>
  <si>
    <t xml:space="preserve">Net debt ~$2.5bn at YE2026E vs ~$21bn market cap ($180 × ~118m shares); 1.25x leverage floor in the Base case</t>
  </si>
  <si>
    <t xml:space="preserve">WACC</t>
  </si>
  <si>
    <t xml:space="preserve">Valuation date (live)</t>
  </si>
  <si>
    <t xml:space="preserve">Periods = (Dec-31-Year − today) / 365.25; cash flows assumed at year-end</t>
  </si>
  <si>
    <t xml:space="preserve">2. UNLEVERED FREE CASH FLOW BUILD (USDm)</t>
  </si>
  <si>
    <t xml:space="preserve">2031E</t>
  </si>
  <si>
    <t xml:space="preserve">2032E</t>
  </si>
  <si>
    <t xml:space="preserve">2033E</t>
  </si>
  <si>
    <t xml:space="preserve">2034E</t>
  </si>
  <si>
    <t xml:space="preserve">2035E</t>
  </si>
  <si>
    <t xml:space="preserve">Terminal</t>
  </si>
  <si>
    <t xml:space="preserve">CAGR 26–30E</t>
  </si>
  <si>
    <t xml:space="preserve">CAGR 26–35E</t>
  </si>
  <si>
    <t xml:space="preserve">Adjusted EBIT (Model; Adjusted EBITDA − D&amp;A)</t>
  </si>
  <si>
    <t xml:space="preserve">   y/y %</t>
  </si>
  <si>
    <t xml:space="preserve">(−) Restructuring, transaction, legal &amp; environmental costs (cash; added back in Adjusted EBITDA)</t>
  </si>
  <si>
    <t xml:space="preserve">× (1 − tax rate)</t>
  </si>
  <si>
    <t xml:space="preserve">NOPAT  =  (Adjusted EBIT − adjusting costs) × (1 − t)</t>
  </si>
  <si>
    <t xml:space="preserve">plus depreciation &amp; amortization (total, incl. amortization of acquired intangibles)</t>
  </si>
  <si>
    <t xml:space="preserve">− Net capex (gross capex less proceeds from PP&amp;E sales)</t>
  </si>
  <si>
    <t xml:space="preserve">− Δ Working capital (CF statement)</t>
  </si>
  <si>
    <t xml:space="preserve">Unlevered FCF</t>
  </si>
  <si>
    <t xml:space="preserve">Terminal Value (Gordon Growth)</t>
  </si>
  <si>
    <t xml:space="preserve">   memo: net capex (fade years grow with the fade rate)</t>
  </si>
  <si>
    <t xml:space="preserve">Fade-period growth (2031E–35E)</t>
  </si>
  <si>
    <t xml:space="preserve">Terminal growth rate</t>
  </si>
  <si>
    <t xml:space="preserve">Nominal GDP-plus: North American LTL industry revenue CAGR ~5% (2009–25, investor deck) with pricing discipline; below the 7.0% → 4.5% fade.</t>
  </si>
  <si>
    <t xml:space="preserve">Discount period (years)</t>
  </si>
  <si>
    <t xml:space="preserve">Discount factor</t>
  </si>
  <si>
    <t xml:space="preserve">PV of UFCF</t>
  </si>
  <si>
    <t xml:space="preserve">XPO's Adjusted EBITDA expenses stock-based compensation; Adjusted EBIT deducts all D&amp;A incl. $59m→$36m p.a. amortization of acquired intangibles. Operating leases are treated as operating costs (lease liabilities not deducted from EV). Cash restructuring costs deducted from NOPAT.</t>
  </si>
  <si>
    <t xml:space="preserve">Implied ROIC &amp; incremental ROIC (USDm)</t>
  </si>
  <si>
    <t xml:space="preserve">NOPAT (row 22)</t>
  </si>
  <si>
    <t xml:space="preserve">Net investment  =  NOPAT − UFCF</t>
  </si>
  <si>
    <t xml:space="preserve">Opening invested capital</t>
  </si>
  <si>
    <t xml:space="preserve">Closing invested capital</t>
  </si>
  <si>
    <t xml:space="preserve">Implied ROIC  =  NOPAT / opening IC</t>
  </si>
  <si>
    <t xml:space="preserve">Reinvestment rate  =  net inv. / NOPAT</t>
  </si>
  <si>
    <t xml:space="preserve">Incremental ROIC  =  Δ NOPAT / prior-yr net inv.</t>
  </si>
  <si>
    <t xml:space="preserve">Cumulative incremental ROIC 2026E–35E</t>
  </si>
  <si>
    <t xml:space="preserve">Opening IC = Model 2025A book invested capital (equity + net debt); rolled forward with net investment.</t>
  </si>
  <si>
    <t xml:space="preserve">3. VALUATION SUMMARY</t>
  </si>
  <si>
    <t xml:space="preserve">Sum of PV (explicit + fade)</t>
  </si>
  <si>
    <t xml:space="preserve">PV of Terminal Value</t>
  </si>
  <si>
    <t xml:space="preserve">Enterprise Value</t>
  </si>
  <si>
    <t xml:space="preserve">Less: net debt (Model 2026E YE)</t>
  </si>
  <si>
    <t xml:space="preserve">Less: non-controlling interests (none post-spin)</t>
  </si>
  <si>
    <t xml:space="preserve">Equity Value</t>
  </si>
  <si>
    <t xml:space="preserve">Diluted shares (m, Model 2026E period end)</t>
  </si>
  <si>
    <t xml:space="preserve">Implied share price ($)</t>
  </si>
  <si>
    <t xml:space="preserve">Current share price ($)</t>
  </si>
  <si>
    <t xml:space="preserve">Implied upside / (downside)</t>
  </si>
  <si>
    <t xml:space="preserve">Required discount to DCF value for target IRR (discount closes over horizon; value compounds at WACC)</t>
  </si>
  <si>
    <t xml:space="preserve">Target IRR</t>
  </si>
  <si>
    <t xml:space="preserve">Max entry price for target IRR ($) — % vs. current share price shown right</t>
  </si>
  <si>
    <t xml:space="preserve">Years for discount to close</t>
  </si>
  <si>
    <t xml:space="preserve">4. SENSITIVITY: IMPLIED PRICE ($) — WACC × Terminal Growth</t>
  </si>
  <si>
    <t xml:space="preserve">WACC step (across)</t>
  </si>
  <si>
    <t xml:space="preserve">Terminal growth step (down)</t>
  </si>
  <si>
    <t xml:space="preserve">g (down) / WACC</t>
  </si>
  <si>
    <t xml:space="preserve">5. REVERSE DCF</t>
  </si>
  <si>
    <t xml:space="preserve">To solve for the market-implied path: Data ▸ What-If Analysis ▸ Goal Seek — set C57 (implied price) to the current share price (C58) by changing the terminal growth (C32) or the fade growth (I31).</t>
  </si>
  <si>
    <t xml:space="preserve">6. MAUBOUSSIN EV / NOPAT — TWO-STAGE FRAMEWORK</t>
  </si>
  <si>
    <t xml:space="preserve">EV/NOPAT  =  1/r  +  [g × (1 − r/ROIIC) / (r × (r − g))] × [1 − ((1+g)/(1+r))^N]</t>
  </si>
  <si>
    <t xml:space="preserve">Formula source: Mauboussin &amp; Rappaport, "Expectations Investing" (2021); Counterpoint Global, "What Does a Price-Earnings Multiple Mean?" (2014).</t>
  </si>
  <si>
    <t xml:space="preserve">Input</t>
  </si>
  <si>
    <t xml:space="preserve">Value</t>
  </si>
  <si>
    <t xml:space="preserve">Rationale (XPO characteristics)</t>
  </si>
  <si>
    <t xml:space="preserve">r  (Cost of capital / WACC)</t>
  </si>
  <si>
    <t xml:space="preserve">Linked from Section 1 WACC build</t>
  </si>
  <si>
    <t xml:space="preserve">g  (NOPAT growth, Stage 1)</t>
  </si>
  <si>
    <t xml:space="preserve">Model Adjusted EBIT CAGR 2026–30E ~12%: LTL yield +4–5% p.a., tonnage recovery +2.5–3%, ~150 bp adjusted OR improvement, buyback-driven EPS accretion excluded.</t>
  </si>
  <si>
    <t xml:space="preserve">ROIIC  (Return on incremental invested capital)</t>
  </si>
  <si>
    <t xml:space="preserve">Dense LTL networks earn high incremental returns on door/terminal capacity (excess door capacity 30%+ after the 2023 Yellow terminal purchase); historical ROIC 10–14%.</t>
  </si>
  <si>
    <t xml:space="preserve">N  (Years of value creation / CAP)</t>
  </si>
  <si>
    <t xml:space="preserve">Service-center real estate is scarce (industry door count declining), but XPO is the #4 carrier and must close the service / margin gap to ODFL &amp; SAIA; mid-length advantage period.</t>
  </si>
  <si>
    <t xml:space="preserve">Calculation</t>
  </si>
  <si>
    <t xml:space="preserve">Steady-state component:  1 / r</t>
  </si>
  <si>
    <t xml:space="preserve">Value-creation factor: 1 − r / ROIIC</t>
  </si>
  <si>
    <t xml:space="preserve">Growth multiplier: g × (1 − r/ROIIC) / (r × (r − g))</t>
  </si>
  <si>
    <t xml:space="preserve">Time decay: 1 − ((1+g)/(1+r))^N</t>
  </si>
  <si>
    <t xml:space="preserve">PVGO component (growth value)</t>
  </si>
  <si>
    <t xml:space="preserve">Mauboussin EV / NOPAT (steady-state + PVGO)</t>
  </si>
  <si>
    <t xml:space="preserve">VALUATION  —  Applied to 2028E NOPAT</t>
  </si>
  <si>
    <t xml:space="preserve">USDm</t>
  </si>
  <si>
    <t xml:space="preserve">2028E Adjusted EBIT (Model)</t>
  </si>
  <si>
    <t xml:space="preserve">(−) 2028E restructuring, transaction &amp; legal costs</t>
  </si>
  <si>
    <t xml:space="preserve">Tax rate (from WACC build)</t>
  </si>
  <si>
    <t xml:space="preserve">2028E NOPAT  =  (Adj. EBIT − adjusting costs) × (1 − t)</t>
  </si>
  <si>
    <t xml:space="preserve">× Mauboussin EV/NOPAT multiple</t>
  </si>
  <si>
    <t xml:space="preserve">Implied Enterprise Value (2028E basis)</t>
  </si>
  <si>
    <t xml:space="preserve">Less: YE2027 net debt (Model)</t>
  </si>
  <si>
    <t xml:space="preserve">Implied Equity Value</t>
  </si>
  <si>
    <t xml:space="preserve">Diluted shares 2028E (m, Model)</t>
  </si>
  <si>
    <t xml:space="preserve">Implied share price 2028 ($)</t>
  </si>
  <si>
    <t xml:space="preserve">MARKET-IMPLIED EV/NOPAT TODAY</t>
  </si>
  <si>
    <t xml:space="preserve">Current market cap (spot × diluted shares)</t>
  </si>
  <si>
    <t xml:space="preserve">Plus: YE2026 net debt</t>
  </si>
  <si>
    <t xml:space="preserve">Implied Enterprise Value (today)</t>
  </si>
  <si>
    <t xml:space="preserve">XPO's market-implied EV/NOPAT (on 2028E NOPAT)</t>
  </si>
  <si>
    <t xml:space="preserve">Multiple gap (Mauboussin − Market)</t>
  </si>
  <si>
    <t xml:space="preserve">Implied re-rating headroom</t>
  </si>
  <si>
    <t xml:space="preserve">XPO, Inc. — Historical Operating Performance (standalone, 2022–1H/26)</t>
  </si>
  <si>
    <t xml:space="preserve">All historicals · USDm · Linked to Model. Quarterly series Q1/22–Q2/26; returns annual 2022–2025. Volume / price = LTL tonnage per day and yield (gross revenue per cwt excl. fuel) y/y — 2022 quarters as reported by the company vs 2021.</t>
  </si>
  <si>
    <t xml:space="preserve">LTL tonnage per day y/y %</t>
  </si>
  <si>
    <t xml:space="preserve">LTL yield (excl. fuel) y/y %</t>
  </si>
  <si>
    <t xml:space="preserve">Operating income (GAAP)</t>
  </si>
  <si>
    <t xml:space="preserve">Adj. EBITDA margin %</t>
  </si>
  <si>
    <t xml:space="preserve">GAAP operating margin %</t>
  </si>
  <si>
    <t xml:space="preserve">FCF margin %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</si>
</sst>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#,##0.0;\(#,##0.0\);\-"/>
    <numFmt numFmtId="166" formatCode="#,##0;\(#,##0\);\-"/>
    <numFmt numFmtId="167" formatCode="0%;\(0%\);&quot;n/m&quot;"/>
    <numFmt numFmtId="168" formatCode="0.0%;\(0.0%\);\-"/>
    <numFmt numFmtId="169" formatCode="0.00\x"/>
    <numFmt numFmtId="170" formatCode="0.00;\(0.00\);\-"/>
    <numFmt numFmtId="171" formatCode="0.000;\(0.000\);\-"/>
    <numFmt numFmtId="172" formatCode="0.0%;\(0.0%\);&quot;n/m&quot;"/>
    <numFmt numFmtId="173" formatCode="\+0.0%;\-0.0%"/>
    <numFmt numFmtId="174" formatCode="0.00%"/>
    <numFmt numFmtId="175" formatCode="0.0\x"/>
    <numFmt numFmtId="176" formatCode="#,##0.00"/>
    <numFmt numFmtId="177" formatCode="dd\-mmm\-yy"/>
    <numFmt numFmtId="178" formatCode="0%;\(0%\);\-"/>
    <numFmt numFmtId="179" formatCode="0.00"/>
    <numFmt numFmtId="180" formatCode="0.0%"/>
    <numFmt numFmtId="181" formatCode="0.0000"/>
    <numFmt numFmtId="182" formatCode="0"/>
    <numFmt numFmtId="183" formatCode="#,##0"/>
    <numFmt numFmtId="184" formatCode="0%"/>
  </numFmts>
  <fonts count="4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C00000"/>
      <name val="Calibri"/>
      <family val="0"/>
      <charset val="1"/>
    </font>
    <font>
      <b val="true"/>
      <sz val="16"/>
      <color rgb="FF1F3864"/>
      <name val="Calibri"/>
      <family val="0"/>
      <charset val="1"/>
    </font>
    <font>
      <b val="true"/>
      <sz val="12"/>
      <color rgb="FF0000FF"/>
      <name val="Calibri"/>
      <family val="0"/>
      <charset val="1"/>
    </font>
    <font>
      <sz val="10"/>
      <color rgb="FF595959"/>
      <name val="Calibri"/>
      <family val="0"/>
      <charset val="1"/>
    </font>
    <font>
      <sz val="10"/>
      <color rgb="FFC00000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9"/>
      <color rgb="FF666666"/>
      <name val="Calibri"/>
      <family val="0"/>
      <charset val="1"/>
    </font>
    <font>
      <sz val="12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2"/>
      <color rgb="FF0000FF"/>
      <name val="Calibri"/>
      <family val="0"/>
      <charset val="1"/>
    </font>
    <font>
      <sz val="12"/>
      <color rgb="FF000000"/>
      <name val="Calibri"/>
      <family val="0"/>
      <charset val="1"/>
    </font>
    <font>
      <b val="true"/>
      <sz val="12"/>
      <name val="Calibri"/>
      <family val="0"/>
      <charset val="1"/>
    </font>
    <font>
      <sz val="12"/>
      <color rgb="FF404040"/>
      <name val="Calibri"/>
      <family val="0"/>
      <charset val="1"/>
    </font>
    <font>
      <sz val="12"/>
      <color rgb="FFA6A6A6"/>
      <name val="Calibri"/>
      <family val="0"/>
      <charset val="1"/>
    </font>
    <font>
      <b val="true"/>
      <sz val="12"/>
      <color rgb="FF595959"/>
      <name val="Calibri"/>
      <family val="0"/>
      <charset val="1"/>
    </font>
    <font>
      <b val="true"/>
      <i val="true"/>
      <sz val="12"/>
      <color rgb="FF666666"/>
      <name val="Calibri"/>
      <family val="0"/>
      <charset val="1"/>
    </font>
    <font>
      <b val="true"/>
      <i val="true"/>
      <sz val="11"/>
      <color rgb="FFC00000"/>
      <name val="Calibri"/>
      <family val="0"/>
      <charset val="1"/>
    </font>
    <font>
      <b val="true"/>
      <i val="true"/>
      <sz val="10"/>
      <color rgb="FFC00000"/>
      <name val="Calibri"/>
      <family val="0"/>
      <charset val="1"/>
    </font>
    <font>
      <sz val="10"/>
      <name val="Arial"/>
      <family val="2"/>
    </font>
    <font>
      <b val="true"/>
      <sz val="16"/>
      <color rgb="FF2F3E46"/>
      <name val="Calibri"/>
      <family val="0"/>
      <charset val="1"/>
    </font>
    <font>
      <b val="true"/>
      <sz val="12"/>
      <color rgb="FF008000"/>
      <name val="Calibri"/>
      <family val="0"/>
      <charset val="1"/>
    </font>
    <font>
      <b val="true"/>
      <sz val="12"/>
      <color rgb="FF2F3E46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12"/>
      <color rgb="FF595959"/>
      <name val="Calibri"/>
      <family val="0"/>
      <charset val="1"/>
    </font>
    <font>
      <sz val="12"/>
      <color rgb="FF008000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sz val="11"/>
      <name val="Calibri"/>
      <family val="0"/>
      <charset val="1"/>
    </font>
    <font>
      <sz val="11"/>
      <color rgb="FF0000FF"/>
      <name val="Calibri"/>
      <family val="0"/>
      <charset val="1"/>
    </font>
    <font>
      <sz val="11"/>
      <color rgb="FF595959"/>
      <name val="Calibri"/>
      <family val="0"/>
      <charset val="1"/>
    </font>
    <font>
      <b val="true"/>
      <sz val="11"/>
      <name val="Calibri"/>
      <family val="0"/>
      <charset val="1"/>
    </font>
    <font>
      <sz val="11"/>
      <color rgb="FF008000"/>
      <name val="Calibri"/>
      <family val="0"/>
      <charset val="1"/>
    </font>
    <font>
      <i val="true"/>
      <sz val="11"/>
      <name val="Calibri"/>
      <family val="0"/>
      <charset val="1"/>
    </font>
    <font>
      <b val="true"/>
      <sz val="11"/>
      <color rgb="FF0000FF"/>
      <name val="Calibri"/>
      <family val="0"/>
      <charset val="1"/>
    </font>
    <font>
      <b val="true"/>
      <sz val="14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DE7"/>
        <bgColor rgb="FFFFF8DC"/>
      </patternFill>
    </fill>
    <fill>
      <patternFill patternType="solid">
        <fgColor rgb="FFFFFF00"/>
        <bgColor rgb="FFFFFF00"/>
      </patternFill>
    </fill>
    <fill>
      <patternFill patternType="solid">
        <fgColor rgb="FF84A98C"/>
        <bgColor rgb="FFA6A6A6"/>
      </patternFill>
    </fill>
    <fill>
      <patternFill patternType="solid">
        <fgColor rgb="FF2F3E46"/>
        <bgColor rgb="FF404040"/>
      </patternFill>
    </fill>
    <fill>
      <patternFill patternType="solid">
        <fgColor rgb="FFCAD2C5"/>
        <bgColor rgb="FFD9D9D9"/>
      </patternFill>
    </fill>
    <fill>
      <patternFill patternType="solid">
        <fgColor rgb="FF52796F"/>
        <bgColor rgb="FF666666"/>
      </patternFill>
    </fill>
    <fill>
      <patternFill patternType="solid">
        <fgColor rgb="FFE9ECEC"/>
        <bgColor rgb="FFE8EDE9"/>
      </patternFill>
    </fill>
    <fill>
      <patternFill patternType="solid">
        <fgColor rgb="FFF5F5F5"/>
        <bgColor rgb="FFF0F2F0"/>
      </patternFill>
    </fill>
    <fill>
      <patternFill patternType="solid">
        <fgColor rgb="FFE8EDE9"/>
        <bgColor rgb="FFE9ECEC"/>
      </patternFill>
    </fill>
    <fill>
      <patternFill patternType="solid">
        <fgColor rgb="FFF0F2F0"/>
        <bgColor rgb="FFF5F5F5"/>
      </patternFill>
    </fill>
    <fill>
      <patternFill patternType="solid">
        <fgColor rgb="FFFFF8DC"/>
        <bgColor rgb="FFFFFDE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3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3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3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1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5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8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3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3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3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3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3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3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3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3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3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3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3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3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3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AD2C5"/>
      <rgbColor rgb="FF878787"/>
      <rgbColor rgb="FF84A98C"/>
      <rgbColor rgb="FF595959"/>
      <rgbColor rgb="FFFFF8DC"/>
      <rgbColor rgb="FFE8ED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CEC"/>
      <rgbColor rgb="FFF0F2F0"/>
      <rgbColor rgb="FFFFFDE7"/>
      <rgbColor rgb="FFA8C5D6"/>
      <rgbColor rgb="FFFF99CC"/>
      <rgbColor rgb="FFCC99FF"/>
      <rgbColor rgb="FFF5F5F5"/>
      <rgbColor rgb="FF3366FF"/>
      <rgbColor rgb="FF33CCCC"/>
      <rgbColor rgb="FF99CC00"/>
      <rgbColor rgb="FFFFCC00"/>
      <rgbColor rgb="FFFF9900"/>
      <rgbColor rgb="FFC8553D"/>
      <rgbColor rgb="FF666666"/>
      <rgbColor rgb="FFA6A6A6"/>
      <rgbColor rgb="FF1F3864"/>
      <rgbColor rgb="FF52796F"/>
      <rgbColor rgb="FF003300"/>
      <rgbColor rgb="FF404040"/>
      <rgbColor rgb="FF993300"/>
      <rgbColor rgb="FF993366"/>
      <rgbColor rgb="FF1F4E79"/>
      <rgbColor rgb="FF2F3E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North American LTL Revenue Drivers: Tonnage per Day vs. Yield (excl. fuel), y/y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Charts!B8</c:f>
              <c:strCache>
                <c:ptCount val="1"/>
                <c:pt idx="0">
                  <c:v>LTL tonnage per day y/y %</c:v>
                </c:pt>
              </c:strCache>
            </c:strRef>
          </c:tx>
          <c:spPr>
            <a:solidFill>
              <a:srgbClr val="2f3e46"/>
            </a:solidFill>
            <a:ln w="0">
              <a:solidFill>
                <a:srgbClr val="2f3e4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Charts!$C$7:$T$7</c:f>
              <c:strCache>
                <c:ptCount val="18"/>
                <c:pt idx="0">
                  <c:v>Q1/22</c:v>
                </c:pt>
                <c:pt idx="1">
                  <c:v>Q2/22</c:v>
                </c:pt>
                <c:pt idx="2">
                  <c:v>Q3/22</c:v>
                </c:pt>
                <c:pt idx="3">
                  <c:v>Q4/22</c:v>
                </c:pt>
                <c:pt idx="4">
                  <c:v>Q1/23</c:v>
                </c:pt>
                <c:pt idx="5">
                  <c:v>Q2/23</c:v>
                </c:pt>
                <c:pt idx="6">
                  <c:v>Q3/23</c:v>
                </c:pt>
                <c:pt idx="7">
                  <c:v>Q4/23</c:v>
                </c:pt>
                <c:pt idx="8">
                  <c:v>Q1/24</c:v>
                </c:pt>
                <c:pt idx="9">
                  <c:v>Q2/24</c:v>
                </c:pt>
                <c:pt idx="10">
                  <c:v>Q3/24</c:v>
                </c:pt>
                <c:pt idx="11">
                  <c:v>Q4/24</c:v>
                </c:pt>
                <c:pt idx="12">
                  <c:v>Q1/25</c:v>
                </c:pt>
                <c:pt idx="13">
                  <c:v>Q2/25</c:v>
                </c:pt>
                <c:pt idx="14">
                  <c:v>Q3/25</c:v>
                </c:pt>
                <c:pt idx="15">
                  <c:v>Q4/25</c:v>
                </c:pt>
                <c:pt idx="16">
                  <c:v>Q1/26</c:v>
                </c:pt>
                <c:pt idx="17">
                  <c:v>Q2/26</c:v>
                </c:pt>
              </c:strCache>
            </c:strRef>
          </c:cat>
          <c:val>
            <c:numRef>
              <c:f>Charts!$C$8:$T$8</c:f>
              <c:numCache>
                <c:formatCode>0.0%;\(0.0%\);\-</c:formatCode>
                <c:ptCount val="18"/>
                <c:pt idx="0">
                  <c:v>-0.008</c:v>
                </c:pt>
                <c:pt idx="1">
                  <c:v>-0.055</c:v>
                </c:pt>
                <c:pt idx="2">
                  <c:v>-0.029</c:v>
                </c:pt>
                <c:pt idx="3">
                  <c:v>0.009</c:v>
                </c:pt>
                <c:pt idx="4">
                  <c:v>-0.0183396032831737</c:v>
                </c:pt>
                <c:pt idx="5">
                  <c:v>-0.0282443697897226</c:v>
                </c:pt>
                <c:pt idx="6">
                  <c:v>0.0313146739363144</c:v>
                </c:pt>
                <c:pt idx="7">
                  <c:v>0.0200158832872521</c:v>
                </c:pt>
                <c:pt idx="8">
                  <c:v>0.0264193122269158</c:v>
                </c:pt>
                <c:pt idx="9">
                  <c:v>0.0336890027030872</c:v>
                </c:pt>
                <c:pt idx="10">
                  <c:v>-0.0385706575141509</c:v>
                </c:pt>
                <c:pt idx="11">
                  <c:v>-0.056576841558891</c:v>
                </c:pt>
                <c:pt idx="12">
                  <c:v>-0.0747005331711663</c:v>
                </c:pt>
                <c:pt idx="13">
                  <c:v>-0.0666822648572766</c:v>
                </c:pt>
                <c:pt idx="14">
                  <c:v>-0.0609471714409098</c:v>
                </c:pt>
                <c:pt idx="15">
                  <c:v>-0.0450384362630477</c:v>
                </c:pt>
                <c:pt idx="16">
                  <c:v>0.00126858942026997</c:v>
                </c:pt>
                <c:pt idx="17">
                  <c:v>0.00958518278206233</c:v>
                </c:pt>
              </c:numCache>
            </c:numRef>
          </c:val>
        </c:ser>
        <c:ser>
          <c:idx val="1"/>
          <c:order val="1"/>
          <c:tx>
            <c:strRef>
              <c:f>Charts!B9</c:f>
              <c:strCache>
                <c:ptCount val="1"/>
                <c:pt idx="0">
                  <c:v>LTL yield (excl. fuel) y/y %</c:v>
                </c:pt>
              </c:strCache>
            </c:strRef>
          </c:tx>
          <c:spPr>
            <a:solidFill>
              <a:srgbClr val="84a98c"/>
            </a:solidFill>
            <a:ln w="0">
              <a:solidFill>
                <a:srgbClr val="84a98c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Charts!$C$7:$T$7</c:f>
              <c:strCache>
                <c:ptCount val="18"/>
                <c:pt idx="0">
                  <c:v>Q1/22</c:v>
                </c:pt>
                <c:pt idx="1">
                  <c:v>Q2/22</c:v>
                </c:pt>
                <c:pt idx="2">
                  <c:v>Q3/22</c:v>
                </c:pt>
                <c:pt idx="3">
                  <c:v>Q4/22</c:v>
                </c:pt>
                <c:pt idx="4">
                  <c:v>Q1/23</c:v>
                </c:pt>
                <c:pt idx="5">
                  <c:v>Q2/23</c:v>
                </c:pt>
                <c:pt idx="6">
                  <c:v>Q3/23</c:v>
                </c:pt>
                <c:pt idx="7">
                  <c:v>Q4/23</c:v>
                </c:pt>
                <c:pt idx="8">
                  <c:v>Q1/24</c:v>
                </c:pt>
                <c:pt idx="9">
                  <c:v>Q2/24</c:v>
                </c:pt>
                <c:pt idx="10">
                  <c:v>Q3/24</c:v>
                </c:pt>
                <c:pt idx="11">
                  <c:v>Q4/24</c:v>
                </c:pt>
                <c:pt idx="12">
                  <c:v>Q1/25</c:v>
                </c:pt>
                <c:pt idx="13">
                  <c:v>Q2/25</c:v>
                </c:pt>
                <c:pt idx="14">
                  <c:v>Q3/25</c:v>
                </c:pt>
                <c:pt idx="15">
                  <c:v>Q4/25</c:v>
                </c:pt>
                <c:pt idx="16">
                  <c:v>Q1/26</c:v>
                </c:pt>
                <c:pt idx="17">
                  <c:v>Q2/26</c:v>
                </c:pt>
              </c:strCache>
            </c:strRef>
          </c:cat>
          <c:val>
            <c:numRef>
              <c:f>Charts!$C$9:$T$9</c:f>
              <c:numCache>
                <c:formatCode>0.0%;\(0.0%\);\-</c:formatCode>
                <c:ptCount val="18"/>
                <c:pt idx="0">
                  <c:v>0.087</c:v>
                </c:pt>
                <c:pt idx="1">
                  <c:v>0.106</c:v>
                </c:pt>
                <c:pt idx="2">
                  <c:v>0.07</c:v>
                </c:pt>
                <c:pt idx="3">
                  <c:v>0.014</c:v>
                </c:pt>
                <c:pt idx="4">
                  <c:v>0.0144508670520229</c:v>
                </c:pt>
                <c:pt idx="5">
                  <c:v>0.0135895032802249</c:v>
                </c:pt>
                <c:pt idx="6">
                  <c:v>0.0643957069528698</c:v>
                </c:pt>
                <c:pt idx="7">
                  <c:v>0.102878716375649</c:v>
                </c:pt>
                <c:pt idx="8">
                  <c:v>0.0982905982905984</c:v>
                </c:pt>
                <c:pt idx="9">
                  <c:v>0.0892279241793805</c:v>
                </c:pt>
                <c:pt idx="10">
                  <c:v>0.0670758439281018</c:v>
                </c:pt>
                <c:pt idx="11">
                  <c:v>0.0629011553273426</c:v>
                </c:pt>
                <c:pt idx="12">
                  <c:v>0.0691742325983571</c:v>
                </c:pt>
                <c:pt idx="13">
                  <c:v>0.0606960950764006</c:v>
                </c:pt>
                <c:pt idx="14">
                  <c:v>0.0587510271158587</c:v>
                </c:pt>
                <c:pt idx="15">
                  <c:v>0.0515297906602255</c:v>
                </c:pt>
                <c:pt idx="16">
                  <c:v>0.0396279822078447</c:v>
                </c:pt>
                <c:pt idx="17">
                  <c:v>0.0440176070428171</c:v>
                </c:pt>
              </c:numCache>
            </c:numRef>
          </c:val>
        </c:ser>
        <c:gapWidth val="150"/>
        <c:overlap val="100"/>
        <c:axId val="48844248"/>
        <c:axId val="8188079"/>
      </c:barChart>
      <c:catAx>
        <c:axId val="48844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88079"/>
        <c:crosses val="autoZero"/>
        <c:auto val="1"/>
        <c:lblAlgn val="ctr"/>
        <c:lblOffset val="100"/>
        <c:noMultiLvlLbl val="0"/>
      </c:catAx>
      <c:valAx>
        <c:axId val="8188079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8442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Adjusted EBITDA &amp; Operating Income (USDm, quarterly)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Charts!B12</c:f>
              <c:strCache>
                <c:ptCount val="1"/>
                <c:pt idx="0">
                  <c:v>Adjusted EBITDA</c:v>
                </c:pt>
              </c:strCache>
            </c:strRef>
          </c:tx>
          <c:spPr>
            <a:solidFill>
              <a:srgbClr val="a8c5d6"/>
            </a:solidFill>
            <a:ln w="0">
              <a:solidFill>
                <a:srgbClr val="a8c5d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Charts!$C$11:$T$11</c:f>
              <c:strCache>
                <c:ptCount val="18"/>
                <c:pt idx="0">
                  <c:v>Q1/22</c:v>
                </c:pt>
                <c:pt idx="1">
                  <c:v>Q2/22</c:v>
                </c:pt>
                <c:pt idx="2">
                  <c:v>Q3/22</c:v>
                </c:pt>
                <c:pt idx="3">
                  <c:v>Q4/22</c:v>
                </c:pt>
                <c:pt idx="4">
                  <c:v>Q1/23</c:v>
                </c:pt>
                <c:pt idx="5">
                  <c:v>Q2/23</c:v>
                </c:pt>
                <c:pt idx="6">
                  <c:v>Q3/23</c:v>
                </c:pt>
                <c:pt idx="7">
                  <c:v>Q4/23</c:v>
                </c:pt>
                <c:pt idx="8">
                  <c:v>Q1/24</c:v>
                </c:pt>
                <c:pt idx="9">
                  <c:v>Q2/24</c:v>
                </c:pt>
                <c:pt idx="10">
                  <c:v>Q3/24</c:v>
                </c:pt>
                <c:pt idx="11">
                  <c:v>Q4/24</c:v>
                </c:pt>
                <c:pt idx="12">
                  <c:v>Q1/25</c:v>
                </c:pt>
                <c:pt idx="13">
                  <c:v>Q2/25</c:v>
                </c:pt>
                <c:pt idx="14">
                  <c:v>Q3/25</c:v>
                </c:pt>
                <c:pt idx="15">
                  <c:v>Q4/25</c:v>
                </c:pt>
                <c:pt idx="16">
                  <c:v>Q1/26</c:v>
                </c:pt>
                <c:pt idx="17">
                  <c:v>Q2/26</c:v>
                </c:pt>
              </c:strCache>
            </c:strRef>
          </c:cat>
          <c:val>
            <c:numRef>
              <c:f>Charts!$C$12:$T$12</c:f>
              <c:numCache>
                <c:formatCode>#,##0;\(#,##0\);\-</c:formatCode>
                <c:ptCount val="18"/>
                <c:pt idx="0">
                  <c:v>184</c:v>
                </c:pt>
                <c:pt idx="1">
                  <c:v>289</c:v>
                </c:pt>
                <c:pt idx="2">
                  <c:v>262</c:v>
                </c:pt>
                <c:pt idx="3">
                  <c:v>262</c:v>
                </c:pt>
                <c:pt idx="4">
                  <c:v>210</c:v>
                </c:pt>
                <c:pt idx="5">
                  <c:v>244</c:v>
                </c:pt>
                <c:pt idx="6">
                  <c:v>278</c:v>
                </c:pt>
                <c:pt idx="7">
                  <c:v>264</c:v>
                </c:pt>
                <c:pt idx="8">
                  <c:v>288</c:v>
                </c:pt>
                <c:pt idx="9">
                  <c:v>343</c:v>
                </c:pt>
                <c:pt idx="10">
                  <c:v>333</c:v>
                </c:pt>
                <c:pt idx="11">
                  <c:v>303</c:v>
                </c:pt>
                <c:pt idx="12">
                  <c:v>278</c:v>
                </c:pt>
                <c:pt idx="13">
                  <c:v>340</c:v>
                </c:pt>
                <c:pt idx="14">
                  <c:v>342</c:v>
                </c:pt>
                <c:pt idx="15">
                  <c:v>312</c:v>
                </c:pt>
                <c:pt idx="16">
                  <c:v>319</c:v>
                </c:pt>
                <c:pt idx="17">
                  <c:v>434</c:v>
                </c:pt>
              </c:numCache>
            </c:numRef>
          </c:val>
        </c:ser>
        <c:ser>
          <c:idx val="1"/>
          <c:order val="1"/>
          <c:tx>
            <c:strRef>
              <c:f>Charts!B13</c:f>
              <c:strCache>
                <c:ptCount val="1"/>
                <c:pt idx="0">
                  <c:v>Operating income (GAAP)</c:v>
                </c:pt>
              </c:strCache>
            </c:strRef>
          </c:tx>
          <c:spPr>
            <a:solidFill>
              <a:srgbClr val="1f4e79"/>
            </a:solidFill>
            <a:ln w="0">
              <a:solidFill>
                <a:srgbClr val="1f4e79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Charts!$C$11:$T$11</c:f>
              <c:strCache>
                <c:ptCount val="18"/>
                <c:pt idx="0">
                  <c:v>Q1/22</c:v>
                </c:pt>
                <c:pt idx="1">
                  <c:v>Q2/22</c:v>
                </c:pt>
                <c:pt idx="2">
                  <c:v>Q3/22</c:v>
                </c:pt>
                <c:pt idx="3">
                  <c:v>Q4/22</c:v>
                </c:pt>
                <c:pt idx="4">
                  <c:v>Q1/23</c:v>
                </c:pt>
                <c:pt idx="5">
                  <c:v>Q2/23</c:v>
                </c:pt>
                <c:pt idx="6">
                  <c:v>Q3/23</c:v>
                </c:pt>
                <c:pt idx="7">
                  <c:v>Q4/23</c:v>
                </c:pt>
                <c:pt idx="8">
                  <c:v>Q1/24</c:v>
                </c:pt>
                <c:pt idx="9">
                  <c:v>Q2/24</c:v>
                </c:pt>
                <c:pt idx="10">
                  <c:v>Q3/24</c:v>
                </c:pt>
                <c:pt idx="11">
                  <c:v>Q4/24</c:v>
                </c:pt>
                <c:pt idx="12">
                  <c:v>Q1/25</c:v>
                </c:pt>
                <c:pt idx="13">
                  <c:v>Q2/25</c:v>
                </c:pt>
                <c:pt idx="14">
                  <c:v>Q3/25</c:v>
                </c:pt>
                <c:pt idx="15">
                  <c:v>Q4/25</c:v>
                </c:pt>
                <c:pt idx="16">
                  <c:v>Q1/26</c:v>
                </c:pt>
                <c:pt idx="17">
                  <c:v>Q2/26</c:v>
                </c:pt>
              </c:strCache>
            </c:strRef>
          </c:cat>
          <c:val>
            <c:numRef>
              <c:f>Charts!$C$13:$T$13</c:f>
              <c:numCache>
                <c:formatCode>#,##0;\(#,##0\);\-</c:formatCode>
                <c:ptCount val="18"/>
                <c:pt idx="0">
                  <c:v>63</c:v>
                </c:pt>
                <c:pt idx="1">
                  <c:v>171</c:v>
                </c:pt>
                <c:pt idx="2">
                  <c:v>139</c:v>
                </c:pt>
                <c:pt idx="3">
                  <c:v>4</c:v>
                </c:pt>
                <c:pt idx="4">
                  <c:v>58</c:v>
                </c:pt>
                <c:pt idx="5">
                  <c:v>107</c:v>
                </c:pt>
                <c:pt idx="6">
                  <c:v>154</c:v>
                </c:pt>
                <c:pt idx="7">
                  <c:v>119</c:v>
                </c:pt>
                <c:pt idx="8">
                  <c:v>138</c:v>
                </c:pt>
                <c:pt idx="9">
                  <c:v>197</c:v>
                </c:pt>
                <c:pt idx="10">
                  <c:v>176</c:v>
                </c:pt>
                <c:pt idx="11">
                  <c:v>148</c:v>
                </c:pt>
                <c:pt idx="12">
                  <c:v>151</c:v>
                </c:pt>
                <c:pt idx="13">
                  <c:v>198</c:v>
                </c:pt>
                <c:pt idx="14">
                  <c:v>164</c:v>
                </c:pt>
                <c:pt idx="15">
                  <c:v>143</c:v>
                </c:pt>
                <c:pt idx="16">
                  <c:v>174</c:v>
                </c:pt>
                <c:pt idx="17">
                  <c:v>271</c:v>
                </c:pt>
              </c:numCache>
            </c:numRef>
          </c:val>
        </c:ser>
        <c:gapWidth val="150"/>
        <c:overlap val="0"/>
        <c:axId val="86148793"/>
        <c:axId val="94668439"/>
      </c:barChart>
      <c:lineChart>
        <c:grouping val="standard"/>
        <c:varyColors val="0"/>
        <c:ser>
          <c:idx val="2"/>
          <c:order val="2"/>
          <c:tx>
            <c:strRef>
              <c:f>Charts!B14</c:f>
              <c:strCache>
                <c:ptCount val="1"/>
                <c:pt idx="0">
                  <c:v>Adj. EBITDA margin %</c:v>
                </c:pt>
              </c:strCache>
            </c:strRef>
          </c:tx>
          <c:spPr>
            <a:solidFill>
              <a:srgbClr val="2f3e46"/>
            </a:solidFill>
            <a:ln w="28440">
              <a:solidFill>
                <a:srgbClr val="2f3e4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Charts!$C$11:$T$11</c:f>
              <c:strCache>
                <c:ptCount val="18"/>
                <c:pt idx="0">
                  <c:v>Q1/22</c:v>
                </c:pt>
                <c:pt idx="1">
                  <c:v>Q2/22</c:v>
                </c:pt>
                <c:pt idx="2">
                  <c:v>Q3/22</c:v>
                </c:pt>
                <c:pt idx="3">
                  <c:v>Q4/22</c:v>
                </c:pt>
                <c:pt idx="4">
                  <c:v>Q1/23</c:v>
                </c:pt>
                <c:pt idx="5">
                  <c:v>Q2/23</c:v>
                </c:pt>
                <c:pt idx="6">
                  <c:v>Q3/23</c:v>
                </c:pt>
                <c:pt idx="7">
                  <c:v>Q4/23</c:v>
                </c:pt>
                <c:pt idx="8">
                  <c:v>Q1/24</c:v>
                </c:pt>
                <c:pt idx="9">
                  <c:v>Q2/24</c:v>
                </c:pt>
                <c:pt idx="10">
                  <c:v>Q3/24</c:v>
                </c:pt>
                <c:pt idx="11">
                  <c:v>Q4/24</c:v>
                </c:pt>
                <c:pt idx="12">
                  <c:v>Q1/25</c:v>
                </c:pt>
                <c:pt idx="13">
                  <c:v>Q2/25</c:v>
                </c:pt>
                <c:pt idx="14">
                  <c:v>Q3/25</c:v>
                </c:pt>
                <c:pt idx="15">
                  <c:v>Q4/25</c:v>
                </c:pt>
                <c:pt idx="16">
                  <c:v>Q1/26</c:v>
                </c:pt>
                <c:pt idx="17">
                  <c:v>Q2/26</c:v>
                </c:pt>
              </c:strCache>
            </c:strRef>
          </c:cat>
          <c:val>
            <c:numRef>
              <c:f>Charts!$C$14:$T$14</c:f>
              <c:numCache>
                <c:formatCode>0.0%;\(0.0%\);\-</c:formatCode>
                <c:ptCount val="18"/>
                <c:pt idx="0">
                  <c:v>0.0971488912354805</c:v>
                </c:pt>
                <c:pt idx="1">
                  <c:v>0.141182217879824</c:v>
                </c:pt>
                <c:pt idx="2">
                  <c:v>0.134635149023638</c:v>
                </c:pt>
                <c:pt idx="3">
                  <c:v>0.143091206990715</c:v>
                </c:pt>
                <c:pt idx="4">
                  <c:v>0.110120608285265</c:v>
                </c:pt>
                <c:pt idx="5">
                  <c:v>0.127282211789254</c:v>
                </c:pt>
                <c:pt idx="6">
                  <c:v>0.14040404040404</c:v>
                </c:pt>
                <c:pt idx="7">
                  <c:v>0.136082474226804</c:v>
                </c:pt>
                <c:pt idx="8">
                  <c:v>0.142715559960357</c:v>
                </c:pt>
                <c:pt idx="9">
                  <c:v>0.164983164983165</c:v>
                </c:pt>
                <c:pt idx="10">
                  <c:v>0.162201656113005</c:v>
                </c:pt>
                <c:pt idx="11">
                  <c:v>0.157730348776679</c:v>
                </c:pt>
                <c:pt idx="12">
                  <c:v>0.142272262026612</c:v>
                </c:pt>
                <c:pt idx="13">
                  <c:v>0.163461538461538</c:v>
                </c:pt>
                <c:pt idx="14">
                  <c:v>0.162008526764567</c:v>
                </c:pt>
                <c:pt idx="15">
                  <c:v>0.155146693187469</c:v>
                </c:pt>
                <c:pt idx="16">
                  <c:v>0.15219465648855</c:v>
                </c:pt>
                <c:pt idx="17">
                  <c:v>0.184288747346072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Charts!B15</c:f>
              <c:strCache>
                <c:ptCount val="1"/>
                <c:pt idx="0">
                  <c:v>GAAP operating margin %</c:v>
                </c:pt>
              </c:strCache>
            </c:strRef>
          </c:tx>
          <c:spPr>
            <a:solidFill>
              <a:srgbClr val="c8553d"/>
            </a:solidFill>
            <a:ln w="28440">
              <a:solidFill>
                <a:srgbClr val="c8553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Charts!$C$11:$T$11</c:f>
              <c:strCache>
                <c:ptCount val="18"/>
                <c:pt idx="0">
                  <c:v>Q1/22</c:v>
                </c:pt>
                <c:pt idx="1">
                  <c:v>Q2/22</c:v>
                </c:pt>
                <c:pt idx="2">
                  <c:v>Q3/22</c:v>
                </c:pt>
                <c:pt idx="3">
                  <c:v>Q4/22</c:v>
                </c:pt>
                <c:pt idx="4">
                  <c:v>Q1/23</c:v>
                </c:pt>
                <c:pt idx="5">
                  <c:v>Q2/23</c:v>
                </c:pt>
                <c:pt idx="6">
                  <c:v>Q3/23</c:v>
                </c:pt>
                <c:pt idx="7">
                  <c:v>Q4/23</c:v>
                </c:pt>
                <c:pt idx="8">
                  <c:v>Q1/24</c:v>
                </c:pt>
                <c:pt idx="9">
                  <c:v>Q2/24</c:v>
                </c:pt>
                <c:pt idx="10">
                  <c:v>Q3/24</c:v>
                </c:pt>
                <c:pt idx="11">
                  <c:v>Q4/24</c:v>
                </c:pt>
                <c:pt idx="12">
                  <c:v>Q1/25</c:v>
                </c:pt>
                <c:pt idx="13">
                  <c:v>Q2/25</c:v>
                </c:pt>
                <c:pt idx="14">
                  <c:v>Q3/25</c:v>
                </c:pt>
                <c:pt idx="15">
                  <c:v>Q4/25</c:v>
                </c:pt>
                <c:pt idx="16">
                  <c:v>Q1/26</c:v>
                </c:pt>
                <c:pt idx="17">
                  <c:v>Q2/26</c:v>
                </c:pt>
              </c:strCache>
            </c:strRef>
          </c:cat>
          <c:val>
            <c:numRef>
              <c:f>Charts!$C$15:$T$15</c:f>
              <c:numCache>
                <c:formatCode>0.0%;\(0.0%\);\-</c:formatCode>
                <c:ptCount val="18"/>
                <c:pt idx="0">
                  <c:v>0.0332629355860613</c:v>
                </c:pt>
                <c:pt idx="1">
                  <c:v>0.0835368832437714</c:v>
                </c:pt>
                <c:pt idx="2">
                  <c:v>0.0714285714285714</c:v>
                </c:pt>
                <c:pt idx="3">
                  <c:v>0.00218459858001092</c:v>
                </c:pt>
                <c:pt idx="4">
                  <c:v>0.0304142632406922</c:v>
                </c:pt>
                <c:pt idx="5">
                  <c:v>0.0558163797600417</c:v>
                </c:pt>
                <c:pt idx="6">
                  <c:v>0.0777777777777778</c:v>
                </c:pt>
                <c:pt idx="7">
                  <c:v>0.061340206185567</c:v>
                </c:pt>
                <c:pt idx="8">
                  <c:v>0.068384539147671</c:v>
                </c:pt>
                <c:pt idx="9">
                  <c:v>0.0947570947570948</c:v>
                </c:pt>
                <c:pt idx="10">
                  <c:v>0.0857282026302971</c:v>
                </c:pt>
                <c:pt idx="11">
                  <c:v>0.0770432066631963</c:v>
                </c:pt>
                <c:pt idx="12">
                  <c:v>0.0772773797338792</c:v>
                </c:pt>
                <c:pt idx="13">
                  <c:v>0.0951923076923077</c:v>
                </c:pt>
                <c:pt idx="14">
                  <c:v>0.0776882993841781</c:v>
                </c:pt>
                <c:pt idx="15">
                  <c:v>0.0711089010442566</c:v>
                </c:pt>
                <c:pt idx="16">
                  <c:v>0.0830152671755725</c:v>
                </c:pt>
                <c:pt idx="17">
                  <c:v>0.115074309978769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4737734"/>
        <c:axId val="20583139"/>
      </c:lineChart>
      <c:catAx>
        <c:axId val="861487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668439"/>
        <c:crosses val="autoZero"/>
        <c:auto val="1"/>
        <c:lblAlgn val="ctr"/>
        <c:lblOffset val="100"/>
        <c:noMultiLvlLbl val="0"/>
      </c:catAx>
      <c:valAx>
        <c:axId val="94668439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148793"/>
        <c:crosses val="autoZero"/>
        <c:crossBetween val="between"/>
      </c:valAx>
      <c:catAx>
        <c:axId val="34737734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583139"/>
        <c:crosses val="autoZero"/>
        <c:auto val="1"/>
        <c:lblAlgn val="ctr"/>
        <c:lblOffset val="100"/>
        <c:noMultiLvlLbl val="0"/>
      </c:catAx>
      <c:valAx>
        <c:axId val="20583139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737734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Returns Profile: ROIC, RONTA, Adjusted EBITDA Margin &amp; FCF Margin (annual)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Charts!B18</c:f>
              <c:strCache>
                <c:ptCount val="1"/>
                <c:pt idx="0">
                  <c:v>ROIC</c:v>
                </c:pt>
              </c:strCache>
            </c:strRef>
          </c:tx>
          <c:spPr>
            <a:solidFill>
              <a:srgbClr val="2f3e46"/>
            </a:solidFill>
            <a:ln w="28440">
              <a:solidFill>
                <a:srgbClr val="2f3e4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Charts!$C$17:$F$17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Charts!$C$18:$F$18</c:f>
              <c:numCache>
                <c:formatCode>0.0%;\(0.0%\);\-</c:formatCode>
                <c:ptCount val="4"/>
                <c:pt idx="0">
                  <c:v>0.139906896309032</c:v>
                </c:pt>
                <c:pt idx="1">
                  <c:v>0.0978140694439426</c:v>
                </c:pt>
                <c:pt idx="2">
                  <c:v>0.133918812678568</c:v>
                </c:pt>
                <c:pt idx="3">
                  <c:v>0.111648274719981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Charts!B19</c:f>
              <c:strCache>
                <c:ptCount val="1"/>
                <c:pt idx="0">
                  <c:v>RONTA</c:v>
                </c:pt>
              </c:strCache>
            </c:strRef>
          </c:tx>
          <c:spPr>
            <a:solidFill>
              <a:srgbClr val="84a98c"/>
            </a:solidFill>
            <a:ln w="28440">
              <a:solidFill>
                <a:srgbClr val="84a98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Charts!$C$17:$F$17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Charts!$C$19:$F$19</c:f>
              <c:numCache>
                <c:formatCode>0.0%;\(0.0%\);\-</c:formatCode>
                <c:ptCount val="4"/>
                <c:pt idx="0">
                  <c:v>0.146659710474865</c:v>
                </c:pt>
                <c:pt idx="1">
                  <c:v>0.102812221104001</c:v>
                </c:pt>
                <c:pt idx="2">
                  <c:v>0.140094680253551</c:v>
                </c:pt>
                <c:pt idx="3">
                  <c:v>0.112178725105967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Charts!B20</c:f>
              <c:strCache>
                <c:ptCount val="1"/>
                <c:pt idx="0">
                  <c:v>Adj. EBITDA margin %</c:v>
                </c:pt>
              </c:strCache>
            </c:strRef>
          </c:tx>
          <c:spPr>
            <a:solidFill>
              <a:srgbClr val="1f4e79"/>
            </a:solidFill>
            <a:ln w="2844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Charts!$C$17:$F$17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Charts!$C$20:$F$20</c:f>
              <c:numCache>
                <c:formatCode>0.0%;\(0.0%\);\-</c:formatCode>
                <c:ptCount val="4"/>
                <c:pt idx="0">
                  <c:v>0.129178543664162</c:v>
                </c:pt>
                <c:pt idx="1">
                  <c:v>0.128615702479339</c:v>
                </c:pt>
                <c:pt idx="2">
                  <c:v>0.156838453914767</c:v>
                </c:pt>
                <c:pt idx="3">
                  <c:v>0.155939683707245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Charts!B21</c:f>
              <c:strCache>
                <c:ptCount val="1"/>
                <c:pt idx="0">
                  <c:v>FCF margin %</c:v>
                </c:pt>
              </c:strCache>
            </c:strRef>
          </c:tx>
          <c:spPr>
            <a:solidFill>
              <a:srgbClr val="c8553d"/>
            </a:solidFill>
            <a:ln w="28440">
              <a:solidFill>
                <a:srgbClr val="c8553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Charts!$C$17:$F$17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Charts!$C$21:$F$21</c:f>
              <c:numCache>
                <c:formatCode>0.0%;\(0.0%\);\-</c:formatCode>
                <c:ptCount val="4"/>
                <c:pt idx="0">
                  <c:v>0.0506607929515419</c:v>
                </c:pt>
                <c:pt idx="1">
                  <c:v>-0.104597107438017</c:v>
                </c:pt>
                <c:pt idx="2">
                  <c:v>0.0116451932606541</c:v>
                </c:pt>
                <c:pt idx="3">
                  <c:v>0.0453598136569817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4625489"/>
        <c:axId val="20650974"/>
      </c:lineChart>
      <c:catAx>
        <c:axId val="546254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650974"/>
        <c:crosses val="autoZero"/>
        <c:auto val="1"/>
        <c:lblAlgn val="ctr"/>
        <c:lblOffset val="100"/>
        <c:noMultiLvlLbl val="0"/>
      </c:catAx>
      <c:valAx>
        <c:axId val="20650974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6254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21</xdr:row>
      <xdr:rowOff>160920</xdr:rowOff>
    </xdr:from>
    <xdr:to>
      <xdr:col>9</xdr:col>
      <xdr:colOff>660960</xdr:colOff>
      <xdr:row>36</xdr:row>
      <xdr:rowOff>2880</xdr:rowOff>
    </xdr:to>
    <xdr:graphicFrame>
      <xdr:nvGraphicFramePr>
        <xdr:cNvPr id="0" name="Chart 1"/>
        <xdr:cNvGraphicFramePr/>
      </xdr:nvGraphicFramePr>
      <xdr:xfrm>
        <a:off x="758880" y="4191120"/>
        <a:ext cx="86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42</xdr:row>
      <xdr:rowOff>160560</xdr:rowOff>
    </xdr:from>
    <xdr:to>
      <xdr:col>9</xdr:col>
      <xdr:colOff>660960</xdr:colOff>
      <xdr:row>57</xdr:row>
      <xdr:rowOff>2880</xdr:rowOff>
    </xdr:to>
    <xdr:graphicFrame>
      <xdr:nvGraphicFramePr>
        <xdr:cNvPr id="1" name="Chart 2"/>
        <xdr:cNvGraphicFramePr/>
      </xdr:nvGraphicFramePr>
      <xdr:xfrm>
        <a:off x="758880" y="8191440"/>
        <a:ext cx="86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63</xdr:row>
      <xdr:rowOff>160920</xdr:rowOff>
    </xdr:from>
    <xdr:to>
      <xdr:col>9</xdr:col>
      <xdr:colOff>660960</xdr:colOff>
      <xdr:row>78</xdr:row>
      <xdr:rowOff>2880</xdr:rowOff>
    </xdr:to>
    <xdr:graphicFrame>
      <xdr:nvGraphicFramePr>
        <xdr:cNvPr id="2" name="Chart 3"/>
        <xdr:cNvGraphicFramePr/>
      </xdr:nvGraphicFramePr>
      <xdr:xfrm>
        <a:off x="758880" y="12192120"/>
        <a:ext cx="86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P377"/>
  <sheetViews>
    <sheetView showFormulas="false" showGridLines="false" showRowColHeaders="true" showZeros="true" rightToLeft="false" tabSelected="true" showOutlineSymbols="true" defaultGridColor="true" view="normal" topLeftCell="A1" colorId="64" zoomScale="70" zoomScaleNormal="7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1" outlineLevelCol="1"/>
  <cols>
    <col collapsed="false" customWidth="true" hidden="false" outlineLevel="0" max="1" min="1" style="0" width="2.43"/>
    <col collapsed="false" customWidth="true" hidden="false" outlineLevel="0" max="2" min="2" style="0" width="62"/>
    <col collapsed="false" customWidth="true" hidden="true" outlineLevel="1" max="6" min="3" style="0" width="13"/>
    <col collapsed="false" customWidth="true" hidden="false" outlineLevel="0" max="7" min="7" style="0" width="14.14"/>
    <col collapsed="false" customWidth="true" hidden="true" outlineLevel="1" max="11" min="8" style="0" width="13"/>
    <col collapsed="false" customWidth="true" hidden="false" outlineLevel="0" max="12" min="12" style="0" width="14.14"/>
    <col collapsed="false" customWidth="true" hidden="true" outlineLevel="1" max="16" min="13" style="0" width="13"/>
    <col collapsed="false" customWidth="true" hidden="false" outlineLevel="0" max="17" min="17" style="0" width="14.14"/>
    <col collapsed="false" customWidth="true" hidden="true" outlineLevel="1" max="21" min="18" style="0" width="13"/>
    <col collapsed="false" customWidth="true" hidden="false" outlineLevel="0" max="22" min="22" style="0" width="14.14"/>
    <col collapsed="false" customWidth="true" hidden="true" outlineLevel="1" max="26" min="23" style="0" width="13"/>
    <col collapsed="false" customWidth="true" hidden="false" outlineLevel="0" max="31" min="27" style="0" width="14.14"/>
    <col collapsed="false" customWidth="true" hidden="false" outlineLevel="0" max="32" min="32" style="0" width="86.86"/>
    <col collapsed="false" customWidth="true" hidden="false" outlineLevel="0" max="33" min="33" style="0" width="2"/>
    <col collapsed="false" customWidth="true" hidden="false" outlineLevel="0" max="34" min="34" style="0" width="14.14"/>
    <col collapsed="false" customWidth="true" hidden="false" outlineLevel="0" max="35" min="35" style="0" width="12.43"/>
    <col collapsed="false" customWidth="true" hidden="false" outlineLevel="0" max="36" min="36" style="0" width="2"/>
    <col collapsed="false" customWidth="true" hidden="false" outlineLevel="0" max="37" min="37" style="0" width="6"/>
    <col collapsed="false" customWidth="true" hidden="false" outlineLevel="0" max="38" min="38" style="0" width="46"/>
    <col collapsed="false" customWidth="true" hidden="false" outlineLevel="0" max="39" min="39" style="0" width="11.57"/>
    <col collapsed="false" customWidth="true" hidden="false" outlineLevel="0" max="41" min="40" style="0" width="13"/>
    <col collapsed="false" customWidth="true" hidden="false" outlineLevel="0" max="42" min="42" style="0" width="60"/>
  </cols>
  <sheetData>
    <row r="1" customFormat="false" ht="15" hidden="false" customHeight="true" outlineLevel="0" collapsed="false">
      <c r="AF1" s="1" t="s">
        <v>0</v>
      </c>
    </row>
    <row r="2" customFormat="false" ht="21" hidden="false" customHeight="true" outlineLevel="0" collapsed="false">
      <c r="B2" s="2" t="s">
        <v>1</v>
      </c>
      <c r="AF2" s="3" t="s">
        <v>2</v>
      </c>
    </row>
    <row r="3" customFormat="false" ht="15" hidden="false" customHeight="true" outlineLevel="0" collapsed="false">
      <c r="B3" s="4" t="s">
        <v>3</v>
      </c>
    </row>
    <row r="4" customFormat="false" ht="15" hidden="false" customHeight="true" outlineLevel="0" collapsed="false">
      <c r="B4" s="5" t="s">
        <v>4</v>
      </c>
    </row>
    <row r="5" customFormat="false" ht="15" hidden="false" customHeight="true" outlineLevel="0" collapsed="false">
      <c r="AH5" s="6" t="s">
        <v>5</v>
      </c>
      <c r="AI5" s="6" t="s">
        <v>6</v>
      </c>
    </row>
    <row r="6" customFormat="false" ht="15" hidden="false" customHeight="true" outlineLevel="0" collapsed="false"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n">
        <v>2022</v>
      </c>
      <c r="H6" s="8" t="s">
        <v>12</v>
      </c>
      <c r="I6" s="8" t="s">
        <v>13</v>
      </c>
      <c r="J6" s="8" t="s">
        <v>14</v>
      </c>
      <c r="K6" s="8" t="s">
        <v>15</v>
      </c>
      <c r="L6" s="8" t="n">
        <v>2023</v>
      </c>
      <c r="M6" s="8" t="s">
        <v>16</v>
      </c>
      <c r="N6" s="8" t="s">
        <v>17</v>
      </c>
      <c r="O6" s="8" t="s">
        <v>18</v>
      </c>
      <c r="P6" s="8" t="s">
        <v>19</v>
      </c>
      <c r="Q6" s="8" t="n">
        <v>2024</v>
      </c>
      <c r="R6" s="8" t="s">
        <v>20</v>
      </c>
      <c r="S6" s="8" t="s">
        <v>21</v>
      </c>
      <c r="T6" s="8" t="s">
        <v>22</v>
      </c>
      <c r="U6" s="8" t="s">
        <v>23</v>
      </c>
      <c r="V6" s="8" t="n">
        <v>2025</v>
      </c>
      <c r="W6" s="8" t="s">
        <v>24</v>
      </c>
      <c r="X6" s="8" t="s">
        <v>25</v>
      </c>
      <c r="Y6" s="8" t="s">
        <v>26</v>
      </c>
      <c r="Z6" s="8" t="s">
        <v>27</v>
      </c>
      <c r="AA6" s="8" t="s">
        <v>28</v>
      </c>
      <c r="AB6" s="8" t="s">
        <v>29</v>
      </c>
      <c r="AC6" s="8" t="s">
        <v>30</v>
      </c>
      <c r="AD6" s="8" t="s">
        <v>31</v>
      </c>
      <c r="AE6" s="8" t="s">
        <v>32</v>
      </c>
      <c r="AF6" s="8" t="s">
        <v>33</v>
      </c>
      <c r="AH6" s="6" t="s">
        <v>34</v>
      </c>
      <c r="AI6" s="6" t="s">
        <v>35</v>
      </c>
    </row>
    <row r="7" customFormat="false" ht="15" hidden="false" customHeight="true" outlineLevel="0" collapsed="false">
      <c r="AH7" s="9" t="s">
        <v>36</v>
      </c>
      <c r="AI7" s="9" t="s">
        <v>37</v>
      </c>
    </row>
    <row r="8" customFormat="false" ht="15" hidden="false" customHeight="true" outlineLevel="0" collapsed="false">
      <c r="B8" s="10" t="s">
        <v>38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 t="s">
        <v>39</v>
      </c>
    </row>
    <row r="9" customFormat="false" ht="15" hidden="false" customHeight="true" outlineLevel="0" collapsed="false">
      <c r="B9" s="11"/>
      <c r="AL9" s="12" t="s">
        <v>40</v>
      </c>
      <c r="AM9" s="13" t="s">
        <v>41</v>
      </c>
      <c r="AN9" s="13" t="s">
        <v>2</v>
      </c>
      <c r="AO9" s="13" t="s">
        <v>42</v>
      </c>
      <c r="AP9" s="14" t="s">
        <v>43</v>
      </c>
    </row>
    <row r="10" customFormat="false" ht="15" hidden="false" customHeight="true" outlineLevel="0" collapsed="false">
      <c r="B10" s="15" t="s">
        <v>44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6" t="s">
        <v>45</v>
      </c>
    </row>
    <row r="11" customFormat="false" ht="15" hidden="false" customHeight="true" outlineLevel="0" collapsed="false">
      <c r="B11" s="11" t="s">
        <v>46</v>
      </c>
      <c r="C11" s="17" t="n">
        <v>64</v>
      </c>
      <c r="D11" s="17" t="n">
        <v>64</v>
      </c>
      <c r="E11" s="17" t="n">
        <v>64</v>
      </c>
      <c r="F11" s="17" t="n">
        <v>61</v>
      </c>
      <c r="G11" s="17" t="n">
        <v>252.5</v>
      </c>
      <c r="H11" s="17" t="n">
        <v>64</v>
      </c>
      <c r="I11" s="17" t="n">
        <v>63.5</v>
      </c>
      <c r="J11" s="17" t="n">
        <v>62.5</v>
      </c>
      <c r="K11" s="17" t="n">
        <v>61</v>
      </c>
      <c r="L11" s="17" t="n">
        <v>251</v>
      </c>
      <c r="M11" s="17" t="n">
        <v>63.5</v>
      </c>
      <c r="N11" s="17" t="n">
        <v>64</v>
      </c>
      <c r="O11" s="17" t="n">
        <v>63.5</v>
      </c>
      <c r="P11" s="17" t="n">
        <v>61.5</v>
      </c>
      <c r="Q11" s="17" t="n">
        <v>252.5</v>
      </c>
      <c r="R11" s="17" t="n">
        <v>63</v>
      </c>
      <c r="S11" s="17" t="n">
        <v>63.5</v>
      </c>
      <c r="T11" s="17" t="n">
        <v>64</v>
      </c>
      <c r="U11" s="17" t="n">
        <v>61</v>
      </c>
      <c r="V11" s="17" t="n">
        <v>251.5</v>
      </c>
      <c r="W11" s="17" t="n">
        <v>62.5</v>
      </c>
      <c r="X11" s="17" t="n">
        <v>63.5</v>
      </c>
      <c r="Y11" s="18" t="n">
        <f aca="false">T11</f>
        <v>64</v>
      </c>
      <c r="Z11" s="18" t="n">
        <f aca="false">U11</f>
        <v>61</v>
      </c>
      <c r="AA11" s="18" t="n">
        <f aca="false">SUM(W11,X11,Y11,Z11)</f>
        <v>251</v>
      </c>
      <c r="AB11" s="19" t="n">
        <v>252</v>
      </c>
      <c r="AC11" s="19" t="n">
        <v>252</v>
      </c>
      <c r="AD11" s="19" t="n">
        <v>252</v>
      </c>
      <c r="AE11" s="19" t="n">
        <v>252</v>
      </c>
      <c r="AF11" s="20" t="s">
        <v>47</v>
      </c>
      <c r="AL11" s="16" t="s">
        <v>48</v>
      </c>
      <c r="AM11" s="21" t="s">
        <v>49</v>
      </c>
      <c r="AN11" s="21" t="s">
        <v>50</v>
      </c>
      <c r="AO11" s="21" t="s">
        <v>51</v>
      </c>
      <c r="AP11" s="14" t="s">
        <v>52</v>
      </c>
    </row>
    <row r="12" customFormat="false" ht="15" hidden="false" customHeight="true" outlineLevel="0" collapsed="false">
      <c r="B12" s="22" t="s">
        <v>53</v>
      </c>
      <c r="C12" s="23" t="n">
        <v>70176</v>
      </c>
      <c r="D12" s="23" t="n">
        <v>72333</v>
      </c>
      <c r="E12" s="23" t="n">
        <v>70063</v>
      </c>
      <c r="F12" s="23" t="n">
        <v>67996</v>
      </c>
      <c r="G12" s="23" t="n">
        <v>70163</v>
      </c>
      <c r="H12" s="23" t="n">
        <v>68889</v>
      </c>
      <c r="I12" s="23" t="n">
        <v>70290</v>
      </c>
      <c r="J12" s="23" t="n">
        <v>72257</v>
      </c>
      <c r="K12" s="23" t="n">
        <v>69357</v>
      </c>
      <c r="L12" s="23" t="n">
        <v>70196</v>
      </c>
      <c r="M12" s="23" t="n">
        <v>70709</v>
      </c>
      <c r="N12" s="23" t="n">
        <v>72658</v>
      </c>
      <c r="O12" s="23" t="n">
        <v>69470</v>
      </c>
      <c r="P12" s="23" t="n">
        <v>65433</v>
      </c>
      <c r="Q12" s="23" t="n">
        <v>69606</v>
      </c>
      <c r="R12" s="23" t="n">
        <v>65427</v>
      </c>
      <c r="S12" s="23" t="n">
        <v>67813</v>
      </c>
      <c r="T12" s="23" t="n">
        <v>65236</v>
      </c>
      <c r="U12" s="23" t="n">
        <v>62486</v>
      </c>
      <c r="V12" s="23" t="n">
        <v>65268</v>
      </c>
      <c r="W12" s="23" t="n">
        <v>65510</v>
      </c>
      <c r="X12" s="23" t="n">
        <v>68463</v>
      </c>
      <c r="Y12" s="24" t="n">
        <f aca="false">T12*(1+Y13)</f>
        <v>67519.26</v>
      </c>
      <c r="Z12" s="24" t="n">
        <f aca="false">U12*(1+Z13)</f>
        <v>64985.44</v>
      </c>
      <c r="AA12" s="24" t="n">
        <f aca="false">IFERROR((W11*W12+X11*X12+Y11*Y12+Z11*Z12)/AA11,"")</f>
        <v>66641.9122709163</v>
      </c>
      <c r="AB12" s="24" t="n">
        <f aca="false">AA12*(1+AB13)</f>
        <v>68641.1696390438</v>
      </c>
      <c r="AC12" s="24" t="n">
        <f aca="false">AB12*(1+AC13)</f>
        <v>70700.4047282151</v>
      </c>
      <c r="AD12" s="24" t="n">
        <f aca="false">AC12*(1+AD13)</f>
        <v>72467.9148464205</v>
      </c>
      <c r="AE12" s="24" t="n">
        <f aca="false">AD12*(1+AE13)</f>
        <v>74279.612717581</v>
      </c>
      <c r="AF12" s="20" t="s">
        <v>54</v>
      </c>
      <c r="AH12" s="25" t="n">
        <f aca="false">IFERROR((AE12/V12)^(1/5)-1,"n/m")</f>
        <v>0.0262043828675287</v>
      </c>
      <c r="AI12" s="25" t="n">
        <f aca="false">IFERROR((V12/G12)^(1/3)-1,"n/m")</f>
        <v>-0.0238181733364755</v>
      </c>
      <c r="AL12" s="11" t="s">
        <v>55</v>
      </c>
      <c r="AM12" s="26" t="n">
        <v>600</v>
      </c>
      <c r="AN12" s="26" t="n">
        <v>550</v>
      </c>
      <c r="AO12" s="26" t="n">
        <v>500</v>
      </c>
      <c r="AP12" s="14" t="s">
        <v>56</v>
      </c>
    </row>
    <row r="13" customFormat="false" ht="15" hidden="false" customHeight="true" outlineLevel="0" collapsed="false">
      <c r="B13" s="27" t="s">
        <v>57</v>
      </c>
      <c r="H13" s="28" t="n">
        <f aca="false">IF(AND(ISNUMBER(H12),ISNUMBER(C12)),IFERROR(H12/C12-1,""),"")</f>
        <v>-0.0183396032831737</v>
      </c>
      <c r="I13" s="28" t="n">
        <f aca="false">IF(AND(ISNUMBER(I12),ISNUMBER(D12)),IFERROR(I12/D12-1,""),"")</f>
        <v>-0.0282443697897226</v>
      </c>
      <c r="J13" s="28" t="n">
        <f aca="false">IF(AND(ISNUMBER(J12),ISNUMBER(E12)),IFERROR(J12/E12-1,""),"")</f>
        <v>0.0313146739363144</v>
      </c>
      <c r="K13" s="28" t="n">
        <f aca="false">IF(AND(ISNUMBER(K12),ISNUMBER(F12)),IFERROR(K12/F12-1,""),"")</f>
        <v>0.0200158832872521</v>
      </c>
      <c r="L13" s="28" t="n">
        <f aca="false">IF(AND(ISNUMBER(L12),ISNUMBER(G12)),IFERROR(L12/G12-1,""),"")</f>
        <v>0.000470333366589193</v>
      </c>
      <c r="M13" s="28" t="n">
        <f aca="false">IF(AND(ISNUMBER(M12),ISNUMBER(H12)),IFERROR(M12/H12-1,""),"")</f>
        <v>0.0264193122269158</v>
      </c>
      <c r="N13" s="28" t="n">
        <f aca="false">IF(AND(ISNUMBER(N12),ISNUMBER(I12)),IFERROR(N12/I12-1,""),"")</f>
        <v>0.0336890027030872</v>
      </c>
      <c r="O13" s="28" t="n">
        <f aca="false">IF(AND(ISNUMBER(O12),ISNUMBER(J12)),IFERROR(O12/J12-1,""),"")</f>
        <v>-0.0385706575141509</v>
      </c>
      <c r="P13" s="28" t="n">
        <f aca="false">IF(AND(ISNUMBER(P12),ISNUMBER(K12)),IFERROR(P12/K12-1,""),"")</f>
        <v>-0.056576841558891</v>
      </c>
      <c r="Q13" s="28" t="n">
        <f aca="false">IF(AND(ISNUMBER(Q12),ISNUMBER(L12)),IFERROR(Q12/L12-1,""),"")</f>
        <v>-0.00840503732406406</v>
      </c>
      <c r="R13" s="28" t="n">
        <f aca="false">IF(AND(ISNUMBER(R12),ISNUMBER(M12)),IFERROR(R12/M12-1,""),"")</f>
        <v>-0.0747005331711663</v>
      </c>
      <c r="S13" s="28" t="n">
        <f aca="false">IF(AND(ISNUMBER(S12),ISNUMBER(N12)),IFERROR(S12/N12-1,""),"")</f>
        <v>-0.0666822648572766</v>
      </c>
      <c r="T13" s="28" t="n">
        <f aca="false">IF(AND(ISNUMBER(T12),ISNUMBER(O12)),IFERROR(T12/O12-1,""),"")</f>
        <v>-0.0609471714409098</v>
      </c>
      <c r="U13" s="28" t="n">
        <f aca="false">IF(AND(ISNUMBER(U12),ISNUMBER(P12)),IFERROR(U12/P12-1,""),"")</f>
        <v>-0.0450384362630477</v>
      </c>
      <c r="V13" s="28" t="n">
        <f aca="false">IF(AND(ISNUMBER(V12),ISNUMBER(Q12)),IFERROR(V12/Q12-1,""),"")</f>
        <v>-0.0623222136022756</v>
      </c>
      <c r="W13" s="28" t="n">
        <f aca="false">IF(AND(ISNUMBER(W12),ISNUMBER(R12)),IFERROR(W12/R12-1,""),"")</f>
        <v>0.00126858942026997</v>
      </c>
      <c r="X13" s="28" t="n">
        <f aca="false">IF(AND(ISNUMBER(X12),ISNUMBER(S12)),IFERROR(X12/S12-1,""),"")</f>
        <v>0.00958518278206233</v>
      </c>
      <c r="Y13" s="29" t="n">
        <v>0.035</v>
      </c>
      <c r="Z13" s="29" t="n">
        <v>0.04</v>
      </c>
      <c r="AA13" s="30" t="n">
        <f aca="false">IFERROR(AA12/V12-1,"")</f>
        <v>0.0210503197725735</v>
      </c>
      <c r="AB13" s="30" t="n">
        <f aca="false">CHOOSE(MATCH($AF$2,{"Bull","Base","Bear"},0),$AM$30,$AN$30,$AO$30)</f>
        <v>0.03</v>
      </c>
      <c r="AC13" s="30" t="n">
        <f aca="false">CHOOSE(MATCH($AF$2,{"Bull","Base","Bear"},0),$AM$31,$AN$31,$AO$31)</f>
        <v>0.03</v>
      </c>
      <c r="AD13" s="30" t="n">
        <f aca="false">CHOOSE(MATCH($AF$2,{"Bull","Base","Bear"},0),$AM$32,$AN$32,$AO$32)</f>
        <v>0.025</v>
      </c>
      <c r="AE13" s="30" t="n">
        <f aca="false">CHOOSE(MATCH($AF$2,{"Bull","Base","Bear"},0),$AM$33,$AN$33,$AO$33)</f>
        <v>0.025</v>
      </c>
      <c r="AF13" s="20" t="s">
        <v>58</v>
      </c>
      <c r="AL13" s="11" t="s">
        <v>59</v>
      </c>
      <c r="AN13" s="26" t="n">
        <v>210</v>
      </c>
      <c r="AP13" s="14" t="s">
        <v>60</v>
      </c>
    </row>
    <row r="14" customFormat="false" ht="15" hidden="false" customHeight="true" outlineLevel="0" collapsed="false">
      <c r="B14" s="27" t="s">
        <v>61</v>
      </c>
      <c r="C14" s="31" t="n">
        <v>-0.008</v>
      </c>
      <c r="D14" s="31" t="n">
        <v>-0.055</v>
      </c>
      <c r="E14" s="31" t="n">
        <v>-0.029</v>
      </c>
      <c r="F14" s="31" t="n">
        <v>0.009</v>
      </c>
      <c r="G14" s="31" t="n">
        <v>-0.022</v>
      </c>
      <c r="Y14" s="32"/>
      <c r="Z14" s="32"/>
      <c r="AA14" s="32"/>
      <c r="AB14" s="32"/>
      <c r="AC14" s="32"/>
      <c r="AD14" s="32"/>
      <c r="AE14" s="32"/>
      <c r="AL14" s="11" t="s">
        <v>62</v>
      </c>
      <c r="AN14" s="26" t="n">
        <v>14</v>
      </c>
      <c r="AP14" s="14" t="s">
        <v>63</v>
      </c>
    </row>
    <row r="15" customFormat="false" ht="15" hidden="false" customHeight="true" outlineLevel="0" collapsed="false">
      <c r="B15" s="11" t="s">
        <v>64</v>
      </c>
      <c r="C15" s="33" t="n">
        <v>48366</v>
      </c>
      <c r="D15" s="33" t="n">
        <v>50274</v>
      </c>
      <c r="E15" s="33" t="n">
        <v>49744</v>
      </c>
      <c r="F15" s="33" t="n">
        <v>48622</v>
      </c>
      <c r="G15" s="33" t="n">
        <v>49257</v>
      </c>
      <c r="H15" s="33" t="n">
        <v>49107</v>
      </c>
      <c r="I15" s="33" t="n">
        <v>51220</v>
      </c>
      <c r="J15" s="33" t="n">
        <v>53637</v>
      </c>
      <c r="K15" s="33" t="n">
        <v>51382</v>
      </c>
      <c r="L15" s="33" t="n">
        <v>51322</v>
      </c>
      <c r="M15" s="33" t="n">
        <v>51392</v>
      </c>
      <c r="N15" s="33" t="n">
        <v>53519</v>
      </c>
      <c r="O15" s="33" t="n">
        <v>51921</v>
      </c>
      <c r="P15" s="33" t="n">
        <v>49109</v>
      </c>
      <c r="Q15" s="33" t="n">
        <v>51508</v>
      </c>
      <c r="R15" s="33" t="n">
        <v>48400</v>
      </c>
      <c r="S15" s="33" t="n">
        <v>50782</v>
      </c>
      <c r="T15" s="33" t="n">
        <v>50094</v>
      </c>
      <c r="U15" s="33" t="n">
        <v>48348</v>
      </c>
      <c r="V15" s="33" t="n">
        <v>49420</v>
      </c>
      <c r="W15" s="33" t="n">
        <v>49834</v>
      </c>
      <c r="X15" s="33" t="n">
        <v>52229</v>
      </c>
      <c r="Y15" s="32"/>
      <c r="Z15" s="32"/>
      <c r="AA15" s="32"/>
      <c r="AB15" s="32"/>
      <c r="AC15" s="32"/>
      <c r="AD15" s="32"/>
      <c r="AE15" s="32"/>
      <c r="AL15" s="11" t="s">
        <v>65</v>
      </c>
      <c r="AM15" s="34" t="n">
        <v>0.23</v>
      </c>
      <c r="AN15" s="34" t="n">
        <v>0.235</v>
      </c>
      <c r="AO15" s="34" t="n">
        <v>0.24</v>
      </c>
      <c r="AP15" s="14" t="s">
        <v>66</v>
      </c>
    </row>
    <row r="16" customFormat="false" ht="15" hidden="false" customHeight="true" outlineLevel="0" collapsed="false">
      <c r="B16" s="27" t="s">
        <v>67</v>
      </c>
      <c r="H16" s="28" t="n">
        <f aca="false">IF(AND(ISNUMBER(H15),ISNUMBER(C15)),IFERROR(H15/C15-1,""),"")</f>
        <v>0.0153206798163998</v>
      </c>
      <c r="I16" s="28" t="n">
        <f aca="false">IF(AND(ISNUMBER(I15),ISNUMBER(D15)),IFERROR(I15/D15-1,""),"")</f>
        <v>0.0188168834785376</v>
      </c>
      <c r="J16" s="28" t="n">
        <f aca="false">IF(AND(ISNUMBER(J15),ISNUMBER(E15)),IFERROR(J15/E15-1,""),"")</f>
        <v>0.0782606947571567</v>
      </c>
      <c r="K16" s="28" t="n">
        <f aca="false">IF(AND(ISNUMBER(K15),ISNUMBER(F15)),IFERROR(K15/F15-1,""),"")</f>
        <v>0.0567644276253547</v>
      </c>
      <c r="L16" s="28" t="n">
        <f aca="false">IF(AND(ISNUMBER(L15),ISNUMBER(G15)),IFERROR(L15/G15-1,""),"")</f>
        <v>0.0419229754146619</v>
      </c>
      <c r="M16" s="28" t="n">
        <f aca="false">IF(AND(ISNUMBER(M15),ISNUMBER(H15)),IFERROR(M15/H15-1,""),"")</f>
        <v>0.0465310444539475</v>
      </c>
      <c r="N16" s="28" t="n">
        <f aca="false">IF(AND(ISNUMBER(N15),ISNUMBER(I15)),IFERROR(N15/I15-1,""),"")</f>
        <v>0.0448848106208513</v>
      </c>
      <c r="O16" s="28" t="n">
        <f aca="false">IF(AND(ISNUMBER(O15),ISNUMBER(J15)),IFERROR(O15/J15-1,""),"")</f>
        <v>-0.0319928407629062</v>
      </c>
      <c r="P16" s="28" t="n">
        <f aca="false">IF(AND(ISNUMBER(P15),ISNUMBER(K15)),IFERROR(P15/K15-1,""),"")</f>
        <v>-0.0442372815382819</v>
      </c>
      <c r="Q16" s="28" t="n">
        <f aca="false">IF(AND(ISNUMBER(Q15),ISNUMBER(L15)),IFERROR(Q15/L15-1,""),"")</f>
        <v>0.003624176766299</v>
      </c>
      <c r="R16" s="28" t="n">
        <f aca="false">IF(AND(ISNUMBER(R15),ISNUMBER(M15)),IFERROR(R15/M15-1,""),"")</f>
        <v>-0.0582191780821918</v>
      </c>
      <c r="S16" s="28" t="n">
        <f aca="false">IF(AND(ISNUMBER(S15),ISNUMBER(N15)),IFERROR(S15/N15-1,""),"")</f>
        <v>-0.0511407163810983</v>
      </c>
      <c r="T16" s="28" t="n">
        <f aca="false">IF(AND(ISNUMBER(T15),ISNUMBER(O15)),IFERROR(T15/O15-1,""),"")</f>
        <v>-0.0351880741896342</v>
      </c>
      <c r="U16" s="28" t="n">
        <f aca="false">IF(AND(ISNUMBER(U15),ISNUMBER(P15)),IFERROR(U15/P15-1,""),"")</f>
        <v>-0.0154961412368405</v>
      </c>
      <c r="V16" s="28" t="n">
        <f aca="false">IF(AND(ISNUMBER(V15),ISNUMBER(Q15)),IFERROR(V15/Q15-1,""),"")</f>
        <v>-0.0405373922497476</v>
      </c>
      <c r="W16" s="28" t="n">
        <f aca="false">IF(AND(ISNUMBER(W15),ISNUMBER(R15)),IFERROR(W15/R15-1,""),"")</f>
        <v>0.0296280991735538</v>
      </c>
      <c r="X16" s="28" t="n">
        <f aca="false">IF(AND(ISNUMBER(X15),ISNUMBER(S15)),IFERROR(X15/S15-1,""),"")</f>
        <v>0.0284943483911622</v>
      </c>
      <c r="Y16" s="32"/>
      <c r="Z16" s="32"/>
      <c r="AA16" s="32"/>
      <c r="AB16" s="32"/>
      <c r="AC16" s="32"/>
      <c r="AD16" s="32"/>
      <c r="AE16" s="32"/>
      <c r="AL16" s="11" t="s">
        <v>68</v>
      </c>
      <c r="AN16" s="35" t="n">
        <v>118</v>
      </c>
      <c r="AP16" s="14" t="s">
        <v>69</v>
      </c>
    </row>
    <row r="17" customFormat="false" ht="15" hidden="false" customHeight="true" outlineLevel="0" collapsed="false">
      <c r="B17" s="11" t="s">
        <v>70</v>
      </c>
      <c r="C17" s="33" t="n">
        <v>1451</v>
      </c>
      <c r="D17" s="33" t="n">
        <v>1439</v>
      </c>
      <c r="E17" s="33" t="n">
        <v>1408</v>
      </c>
      <c r="F17" s="33" t="n">
        <v>1398</v>
      </c>
      <c r="G17" s="33" t="n">
        <v>1424</v>
      </c>
      <c r="H17" s="33" t="n">
        <v>1403</v>
      </c>
      <c r="I17" s="33" t="n">
        <v>1372</v>
      </c>
      <c r="J17" s="33" t="n">
        <v>1347</v>
      </c>
      <c r="K17" s="33" t="n">
        <v>1350</v>
      </c>
      <c r="L17" s="33" t="n">
        <v>1368</v>
      </c>
      <c r="M17" s="33" t="n">
        <v>1376</v>
      </c>
      <c r="N17" s="33" t="n">
        <v>1358</v>
      </c>
      <c r="O17" s="33" t="n">
        <v>1338</v>
      </c>
      <c r="P17" s="33" t="n">
        <v>1332</v>
      </c>
      <c r="Q17" s="33" t="n">
        <v>1351</v>
      </c>
      <c r="R17" s="33" t="n">
        <v>1352</v>
      </c>
      <c r="S17" s="33" t="n">
        <v>1335</v>
      </c>
      <c r="T17" s="33" t="n">
        <v>1302</v>
      </c>
      <c r="U17" s="33" t="n">
        <v>1292</v>
      </c>
      <c r="V17" s="33" t="n">
        <v>1321</v>
      </c>
      <c r="W17" s="33" t="n">
        <v>1315</v>
      </c>
      <c r="X17" s="33" t="n">
        <v>1311</v>
      </c>
      <c r="Y17" s="32"/>
      <c r="Z17" s="32"/>
      <c r="AA17" s="32"/>
      <c r="AB17" s="32"/>
      <c r="AC17" s="32"/>
      <c r="AD17" s="32"/>
      <c r="AE17" s="32"/>
      <c r="AL17" s="11" t="s">
        <v>71</v>
      </c>
      <c r="AM17" s="26" t="n">
        <v>150</v>
      </c>
      <c r="AN17" s="26" t="n">
        <v>100</v>
      </c>
      <c r="AO17" s="26" t="n">
        <v>50</v>
      </c>
      <c r="AP17" s="14" t="s">
        <v>72</v>
      </c>
    </row>
    <row r="18" customFormat="false" ht="15" hidden="false" customHeight="true" outlineLevel="0" collapsed="false">
      <c r="B18" s="11" t="s">
        <v>73</v>
      </c>
      <c r="C18" s="36" t="n">
        <f aca="false">IFERROR(C12*C11/100000,"")</f>
        <v>44.91264</v>
      </c>
      <c r="D18" s="36" t="n">
        <f aca="false">IFERROR(D12*D11/100000,"")</f>
        <v>46.29312</v>
      </c>
      <c r="E18" s="36" t="n">
        <f aca="false">IFERROR(E12*E11/100000,"")</f>
        <v>44.84032</v>
      </c>
      <c r="F18" s="36" t="n">
        <f aca="false">IFERROR(F12*F11/100000,"")</f>
        <v>41.47756</v>
      </c>
      <c r="G18" s="36" t="n">
        <f aca="false">IFERROR(G12*G11/100000,"")</f>
        <v>177.161575</v>
      </c>
      <c r="H18" s="36" t="n">
        <f aca="false">IFERROR(H12*H11/100000,"")</f>
        <v>44.08896</v>
      </c>
      <c r="I18" s="36" t="n">
        <f aca="false">IFERROR(I12*I11/100000,"")</f>
        <v>44.63415</v>
      </c>
      <c r="J18" s="36" t="n">
        <f aca="false">IFERROR(J12*J11/100000,"")</f>
        <v>45.160625</v>
      </c>
      <c r="K18" s="36" t="n">
        <f aca="false">IFERROR(K12*K11/100000,"")</f>
        <v>42.30777</v>
      </c>
      <c r="L18" s="36" t="n">
        <f aca="false">IFERROR(L12*L11/100000,"")</f>
        <v>176.19196</v>
      </c>
      <c r="M18" s="36" t="n">
        <f aca="false">IFERROR(M12*M11/100000,"")</f>
        <v>44.900215</v>
      </c>
      <c r="N18" s="36" t="n">
        <f aca="false">IFERROR(N12*N11/100000,"")</f>
        <v>46.50112</v>
      </c>
      <c r="O18" s="36" t="n">
        <f aca="false">IFERROR(O12*O11/100000,"")</f>
        <v>44.11345</v>
      </c>
      <c r="P18" s="36" t="n">
        <f aca="false">IFERROR(P12*P11/100000,"")</f>
        <v>40.241295</v>
      </c>
      <c r="Q18" s="36" t="n">
        <f aca="false">IFERROR(Q12*Q11/100000,"")</f>
        <v>175.75515</v>
      </c>
      <c r="R18" s="36" t="n">
        <f aca="false">IFERROR(R12*R11/100000,"")</f>
        <v>41.21901</v>
      </c>
      <c r="S18" s="36" t="n">
        <f aca="false">IFERROR(S12*S11/100000,"")</f>
        <v>43.061255</v>
      </c>
      <c r="T18" s="36" t="n">
        <f aca="false">IFERROR(T12*T11/100000,"")</f>
        <v>41.75104</v>
      </c>
      <c r="U18" s="36" t="n">
        <f aca="false">IFERROR(U12*U11/100000,"")</f>
        <v>38.11646</v>
      </c>
      <c r="V18" s="36" t="n">
        <f aca="false">IFERROR(V12*V11/100000,"")</f>
        <v>164.14902</v>
      </c>
      <c r="W18" s="36" t="n">
        <f aca="false">IFERROR(W12*W11/100000,"")</f>
        <v>40.94375</v>
      </c>
      <c r="X18" s="36" t="n">
        <f aca="false">IFERROR(X12*X11/100000,"")</f>
        <v>43.474005</v>
      </c>
      <c r="Y18" s="18" t="n">
        <f aca="false">IFERROR(Y12*Y11/100000,"")</f>
        <v>43.2123264</v>
      </c>
      <c r="Z18" s="18" t="n">
        <f aca="false">IFERROR(Z12*Z11/100000,"")</f>
        <v>39.6411184</v>
      </c>
      <c r="AA18" s="18" t="n">
        <f aca="false">SUM(W18,X18,Y18,Z18)</f>
        <v>167.2711998</v>
      </c>
      <c r="AB18" s="18" t="n">
        <f aca="false">IFERROR(AB12*AB11/100000,"")</f>
        <v>172.97574749039</v>
      </c>
      <c r="AC18" s="18" t="n">
        <f aca="false">IFERROR(AC12*AC11/100000,"")</f>
        <v>178.165019915102</v>
      </c>
      <c r="AD18" s="18" t="n">
        <f aca="false">IFERROR(AD12*AD11/100000,"")</f>
        <v>182.61914541298</v>
      </c>
      <c r="AE18" s="18" t="n">
        <f aca="false">IFERROR(AE12*AE11/100000,"")</f>
        <v>187.184624048304</v>
      </c>
      <c r="AL18" s="11" t="s">
        <v>74</v>
      </c>
      <c r="AM18" s="37" t="n">
        <v>1.5</v>
      </c>
      <c r="AN18" s="37" t="n">
        <v>1.25</v>
      </c>
      <c r="AO18" s="37" t="n">
        <v>1</v>
      </c>
      <c r="AP18" s="14" t="s">
        <v>75</v>
      </c>
    </row>
    <row r="19" customFormat="false" ht="15" hidden="false" customHeight="true" outlineLevel="0" collapsed="false">
      <c r="B19" s="11" t="s">
        <v>76</v>
      </c>
      <c r="C19" s="38" t="n">
        <v>20.76</v>
      </c>
      <c r="D19" s="38" t="n">
        <v>21.34</v>
      </c>
      <c r="E19" s="38" t="n">
        <v>21.43</v>
      </c>
      <c r="F19" s="38" t="n">
        <v>21.19</v>
      </c>
      <c r="G19" s="38" t="n">
        <v>21.18</v>
      </c>
      <c r="H19" s="38" t="n">
        <v>21.06</v>
      </c>
      <c r="I19" s="38" t="n">
        <v>21.63</v>
      </c>
      <c r="J19" s="38" t="n">
        <v>22.81</v>
      </c>
      <c r="K19" s="38" t="n">
        <v>23.37</v>
      </c>
      <c r="L19" s="38" t="n">
        <v>22.21</v>
      </c>
      <c r="M19" s="38" t="n">
        <v>23.13</v>
      </c>
      <c r="N19" s="38" t="n">
        <v>23.56</v>
      </c>
      <c r="O19" s="38" t="n">
        <v>24.34</v>
      </c>
      <c r="P19" s="38" t="n">
        <v>24.84</v>
      </c>
      <c r="Q19" s="38" t="n">
        <v>23.94</v>
      </c>
      <c r="R19" s="38" t="n">
        <v>24.73</v>
      </c>
      <c r="S19" s="38" t="n">
        <v>24.99</v>
      </c>
      <c r="T19" s="38" t="n">
        <v>25.77</v>
      </c>
      <c r="U19" s="38" t="n">
        <v>26.12</v>
      </c>
      <c r="V19" s="38" t="n">
        <v>25.39</v>
      </c>
      <c r="W19" s="38" t="n">
        <v>25.71</v>
      </c>
      <c r="X19" s="38" t="n">
        <v>26.09</v>
      </c>
      <c r="Y19" s="39" t="n">
        <f aca="false">T19*(1+Y20)</f>
        <v>26.9043337334934</v>
      </c>
      <c r="Z19" s="39" t="n">
        <f aca="false">U19*(1+Z20)</f>
        <v>27.2697398959584</v>
      </c>
      <c r="AA19" s="39" t="n">
        <f aca="false">IFERROR((W18*W19+X18*X19+Y18*Y19+Z18*Z19)/AA18,"")</f>
        <v>26.4869412491004</v>
      </c>
      <c r="AB19" s="39" t="n">
        <f aca="false">AA19*(1+AB20)</f>
        <v>27.8112883115554</v>
      </c>
      <c r="AC19" s="39" t="n">
        <f aca="false">AB19*(1+AC20)</f>
        <v>29.0627962855754</v>
      </c>
      <c r="AD19" s="39" t="n">
        <f aca="false">AC19*(1+AD20)</f>
        <v>30.3706221184263</v>
      </c>
      <c r="AE19" s="39" t="n">
        <f aca="false">AD19*(1+AE20)</f>
        <v>31.5854470031634</v>
      </c>
      <c r="AF19" s="20" t="s">
        <v>77</v>
      </c>
      <c r="AH19" s="25" t="n">
        <f aca="false">IFERROR((AE19/V19)^(1/5)-1,"n/m")</f>
        <v>0.0446357041651431</v>
      </c>
      <c r="AI19" s="25" t="n">
        <f aca="false">IFERROR((V19/G19)^(1/3)-1,"n/m")</f>
        <v>0.0622960868947899</v>
      </c>
    </row>
    <row r="20" customFormat="false" ht="15" hidden="false" customHeight="true" outlineLevel="0" collapsed="false">
      <c r="B20" s="27" t="s">
        <v>78</v>
      </c>
      <c r="H20" s="28" t="n">
        <f aca="false">IF(AND(ISNUMBER(H19),ISNUMBER(C19)),IFERROR(H19/C19-1,""),"")</f>
        <v>0.0144508670520229</v>
      </c>
      <c r="I20" s="28" t="n">
        <f aca="false">IF(AND(ISNUMBER(I19),ISNUMBER(D19)),IFERROR(I19/D19-1,""),"")</f>
        <v>0.0135895032802249</v>
      </c>
      <c r="J20" s="28" t="n">
        <f aca="false">IF(AND(ISNUMBER(J19),ISNUMBER(E19)),IFERROR(J19/E19-1,""),"")</f>
        <v>0.0643957069528698</v>
      </c>
      <c r="K20" s="28" t="n">
        <f aca="false">IF(AND(ISNUMBER(K19),ISNUMBER(F19)),IFERROR(K19/F19-1,""),"")</f>
        <v>0.102878716375649</v>
      </c>
      <c r="L20" s="28" t="n">
        <f aca="false">IF(AND(ISNUMBER(L19),ISNUMBER(G19)),IFERROR(L19/G19-1,""),"")</f>
        <v>0.0486307837582625</v>
      </c>
      <c r="M20" s="28" t="n">
        <f aca="false">IF(AND(ISNUMBER(M19),ISNUMBER(H19)),IFERROR(M19/H19-1,""),"")</f>
        <v>0.0982905982905984</v>
      </c>
      <c r="N20" s="28" t="n">
        <f aca="false">IF(AND(ISNUMBER(N19),ISNUMBER(I19)),IFERROR(N19/I19-1,""),"")</f>
        <v>0.0892279241793805</v>
      </c>
      <c r="O20" s="28" t="n">
        <f aca="false">IF(AND(ISNUMBER(O19),ISNUMBER(J19)),IFERROR(O19/J19-1,""),"")</f>
        <v>0.0670758439281018</v>
      </c>
      <c r="P20" s="28" t="n">
        <f aca="false">IF(AND(ISNUMBER(P19),ISNUMBER(K19)),IFERROR(P19/K19-1,""),"")</f>
        <v>0.0629011553273426</v>
      </c>
      <c r="Q20" s="28" t="n">
        <f aca="false">IF(AND(ISNUMBER(Q19),ISNUMBER(L19)),IFERROR(Q19/L19-1,""),"")</f>
        <v>0.0778928410625845</v>
      </c>
      <c r="R20" s="28" t="n">
        <f aca="false">IF(AND(ISNUMBER(R19),ISNUMBER(M19)),IFERROR(R19/M19-1,""),"")</f>
        <v>0.0691742325983571</v>
      </c>
      <c r="S20" s="28" t="n">
        <f aca="false">IF(AND(ISNUMBER(S19),ISNUMBER(N19)),IFERROR(S19/N19-1,""),"")</f>
        <v>0.0606960950764006</v>
      </c>
      <c r="T20" s="28" t="n">
        <f aca="false">IF(AND(ISNUMBER(T19),ISNUMBER(O19)),IFERROR(T19/O19-1,""),"")</f>
        <v>0.0587510271158587</v>
      </c>
      <c r="U20" s="28" t="n">
        <f aca="false">IF(AND(ISNUMBER(U19),ISNUMBER(P19)),IFERROR(U19/P19-1,""),"")</f>
        <v>0.0515297906602255</v>
      </c>
      <c r="V20" s="28" t="n">
        <f aca="false">IF(AND(ISNUMBER(V19),ISNUMBER(Q19)),IFERROR(V19/Q19-1,""),"")</f>
        <v>0.0605680868838763</v>
      </c>
      <c r="W20" s="28" t="n">
        <f aca="false">IF(AND(ISNUMBER(W19),ISNUMBER(R19)),IFERROR(W19/R19-1,""),"")</f>
        <v>0.0396279822078447</v>
      </c>
      <c r="X20" s="28" t="n">
        <f aca="false">IF(AND(ISNUMBER(X19),ISNUMBER(S19)),IFERROR(X19/S19-1,""),"")</f>
        <v>0.0440176070428171</v>
      </c>
      <c r="Y20" s="30" t="n">
        <f aca="false">$X$20</f>
        <v>0.0440176070428171</v>
      </c>
      <c r="Z20" s="30" t="n">
        <f aca="false">$X$20</f>
        <v>0.0440176070428171</v>
      </c>
      <c r="AA20" s="30" t="n">
        <f aca="false">IFERROR(AA19/V19-1,"")</f>
        <v>0.0432036726703591</v>
      </c>
      <c r="AB20" s="30" t="n">
        <f aca="false">CHOOSE(MATCH($AF$2,{"Bull","Base","Bear"},0),$AM$35,$AN$35,$AO$35)</f>
        <v>0.05</v>
      </c>
      <c r="AC20" s="30" t="n">
        <f aca="false">CHOOSE(MATCH($AF$2,{"Bull","Base","Bear"},0),$AM$36,$AN$36,$AO$36)</f>
        <v>0.045</v>
      </c>
      <c r="AD20" s="30" t="n">
        <f aca="false">CHOOSE(MATCH($AF$2,{"Bull","Base","Bear"},0),$AM$37,$AN$37,$AO$37)</f>
        <v>0.045</v>
      </c>
      <c r="AE20" s="30" t="n">
        <f aca="false">CHOOSE(MATCH($AF$2,{"Bull","Base","Bear"},0),$AM$38,$AN$38,$AO$38)</f>
        <v>0.04</v>
      </c>
      <c r="AL20" s="16" t="s">
        <v>79</v>
      </c>
      <c r="AM20" s="21" t="s">
        <v>49</v>
      </c>
      <c r="AN20" s="21" t="s">
        <v>50</v>
      </c>
      <c r="AO20" s="21" t="s">
        <v>51</v>
      </c>
    </row>
    <row r="21" customFormat="false" ht="15" hidden="false" customHeight="true" outlineLevel="0" collapsed="false">
      <c r="B21" s="27" t="s">
        <v>80</v>
      </c>
      <c r="C21" s="31" t="n">
        <v>0.087</v>
      </c>
      <c r="D21" s="31" t="n">
        <v>0.106</v>
      </c>
      <c r="E21" s="31" t="n">
        <v>0.07</v>
      </c>
      <c r="F21" s="31" t="n">
        <v>0.014</v>
      </c>
      <c r="G21" s="31" t="n">
        <v>0.07</v>
      </c>
      <c r="Y21" s="32"/>
      <c r="Z21" s="32"/>
      <c r="AA21" s="32"/>
      <c r="AB21" s="32"/>
      <c r="AC21" s="32"/>
      <c r="AD21" s="32"/>
      <c r="AE21" s="32"/>
      <c r="AL21" s="11" t="s">
        <v>81</v>
      </c>
      <c r="AM21" s="34" t="n">
        <v>0.08</v>
      </c>
      <c r="AN21" s="34" t="n">
        <v>0.07</v>
      </c>
      <c r="AO21" s="34" t="n">
        <v>0.06</v>
      </c>
      <c r="AP21" s="14" t="s">
        <v>82</v>
      </c>
    </row>
    <row r="22" customFormat="false" ht="15" hidden="false" customHeight="true" outlineLevel="0" collapsed="false">
      <c r="B22" s="11" t="s">
        <v>83</v>
      </c>
      <c r="C22" s="40" t="n">
        <f aca="false">IFERROR(C23/(C18*C19),"")</f>
        <v>0.965265037995303</v>
      </c>
      <c r="D22" s="40" t="n">
        <f aca="false">IFERROR(D23/(D18*D19),"")</f>
        <v>0.960628231055341</v>
      </c>
      <c r="E22" s="40" t="n">
        <f aca="false">IFERROR(E23/(E18*E19),"")</f>
        <v>0.968855048654997</v>
      </c>
      <c r="F22" s="40" t="n">
        <f aca="false">IFERROR(F23/(F18*F19),"")</f>
        <v>0.968245312498822</v>
      </c>
      <c r="G22" s="40" t="n">
        <f aca="false">IFERROR(G23/(G18*G19),"")</f>
        <v>0.967677761592299</v>
      </c>
      <c r="H22" s="40" t="n">
        <f aca="false">IFERROR(H23/(H18*H19),"")</f>
        <v>0.972522211399246</v>
      </c>
      <c r="I22" s="40" t="n">
        <f aca="false">IFERROR(I23/(I18*I19),"")</f>
        <v>0.973652684391085</v>
      </c>
      <c r="J22" s="40" t="n">
        <f aca="false">IFERROR(J23/(J18*J19),"")</f>
        <v>0.975620310223354</v>
      </c>
      <c r="K22" s="40" t="n">
        <f aca="false">IFERROR(K23/(K18*K19),"")</f>
        <v>0.977008358734026</v>
      </c>
      <c r="L22" s="40" t="n">
        <f aca="false">IFERROR(L23/(L18*L19),"")</f>
        <v>0.974644066883901</v>
      </c>
      <c r="M22" s="40" t="n">
        <f aca="false">IFERROR(M23/(M18*M19),"")</f>
        <v>0.973480154228368</v>
      </c>
      <c r="N22" s="40" t="n">
        <f aca="false">IFERROR(N23/(N18*N19),"")</f>
        <v>0.971187152536985</v>
      </c>
      <c r="O22" s="40" t="n">
        <f aca="false">IFERROR(O23/(O18*O19),"")</f>
        <v>0.982564030603496</v>
      </c>
      <c r="P22" s="40" t="n">
        <f aca="false">IFERROR(P23/(P18*P19),"")</f>
        <v>0.985400301332291</v>
      </c>
      <c r="Q22" s="40" t="n">
        <f aca="false">IFERROR(Q23/(Q18*Q19),"")</f>
        <v>0.97799725053292</v>
      </c>
      <c r="R22" s="40" t="n">
        <f aca="false">IFERROR(R23/(R18*R19),"")</f>
        <v>0.975134925350836</v>
      </c>
      <c r="S22" s="40" t="n">
        <f aca="false">IFERROR(S23/(S18*S19),"")</f>
        <v>0.98225002423889</v>
      </c>
      <c r="T22" s="40" t="n">
        <f aca="false">IFERROR(T23/(T18*T19),"")</f>
        <v>0.985199422684143</v>
      </c>
      <c r="U22" s="40" t="n">
        <f aca="false">IFERROR(U23/(U18*U19),"")</f>
        <v>0.994373318289227</v>
      </c>
      <c r="V22" s="40" t="n">
        <f aca="false">IFERROR(V23/(V18*V19),"")</f>
        <v>0.983985670923963</v>
      </c>
      <c r="W22" s="40" t="n">
        <f aca="false">IFERROR(W23/(W18*W19),"")</f>
        <v>0.976570095592604</v>
      </c>
      <c r="X22" s="40" t="n">
        <f aca="false">IFERROR(X23/(X18*X19),"")</f>
        <v>0.982158231314318</v>
      </c>
      <c r="Y22" s="41" t="n">
        <f aca="false">T22</f>
        <v>0.985199422684143</v>
      </c>
      <c r="Z22" s="41" t="n">
        <f aca="false">U22</f>
        <v>0.994373318289227</v>
      </c>
      <c r="AA22" s="41" t="n">
        <f aca="false">IFERROR(AA23/(AA18*AA19),"")</f>
        <v>0.984608924660935</v>
      </c>
      <c r="AB22" s="41" t="n">
        <f aca="false">AA22</f>
        <v>0.984608924660935</v>
      </c>
      <c r="AC22" s="41" t="n">
        <f aca="false">AB22</f>
        <v>0.984608924660935</v>
      </c>
      <c r="AD22" s="41" t="n">
        <f aca="false">AC22</f>
        <v>0.984608924660935</v>
      </c>
      <c r="AE22" s="41" t="n">
        <f aca="false">AD22</f>
        <v>0.984608924660935</v>
      </c>
      <c r="AF22" s="20" t="s">
        <v>84</v>
      </c>
      <c r="AL22" s="11" t="s">
        <v>85</v>
      </c>
      <c r="AM22" s="34" t="n">
        <v>0.13</v>
      </c>
      <c r="AN22" s="34" t="n">
        <v>0.12</v>
      </c>
      <c r="AO22" s="34" t="n">
        <v>0.11</v>
      </c>
      <c r="AP22" s="14" t="s">
        <v>86</v>
      </c>
    </row>
    <row r="23" customFormat="false" ht="15" hidden="false" customHeight="true" outlineLevel="0" collapsed="false">
      <c r="B23" s="22" t="s">
        <v>87</v>
      </c>
      <c r="C23" s="23" t="n">
        <v>900</v>
      </c>
      <c r="D23" s="23" t="n">
        <v>949</v>
      </c>
      <c r="E23" s="23" t="n">
        <v>931</v>
      </c>
      <c r="F23" s="23" t="n">
        <v>851</v>
      </c>
      <c r="G23" s="23" t="n">
        <v>3631</v>
      </c>
      <c r="H23" s="23" t="n">
        <v>903</v>
      </c>
      <c r="I23" s="23" t="n">
        <v>940</v>
      </c>
      <c r="J23" s="23" t="n">
        <v>1005</v>
      </c>
      <c r="K23" s="23" t="n">
        <v>966</v>
      </c>
      <c r="L23" s="23" t="n">
        <v>3814</v>
      </c>
      <c r="M23" s="23" t="n">
        <v>1011</v>
      </c>
      <c r="N23" s="23" t="n">
        <v>1064</v>
      </c>
      <c r="O23" s="23" t="n">
        <v>1055</v>
      </c>
      <c r="P23" s="23" t="n">
        <v>985</v>
      </c>
      <c r="Q23" s="23" t="n">
        <v>4115</v>
      </c>
      <c r="R23" s="23" t="n">
        <v>994</v>
      </c>
      <c r="S23" s="23" t="n">
        <v>1057</v>
      </c>
      <c r="T23" s="23" t="n">
        <v>1060</v>
      </c>
      <c r="U23" s="23" t="n">
        <v>990</v>
      </c>
      <c r="V23" s="23" t="n">
        <v>4101</v>
      </c>
      <c r="W23" s="23" t="n">
        <v>1028</v>
      </c>
      <c r="X23" s="23" t="n">
        <v>1114</v>
      </c>
      <c r="Y23" s="24" t="n">
        <f aca="false">Y18*Y19*Y22</f>
        <v>1145.39171668667</v>
      </c>
      <c r="Z23" s="24" t="n">
        <f aca="false">Z18*Z19*Z22</f>
        <v>1074.92052821128</v>
      </c>
      <c r="AA23" s="24" t="n">
        <f aca="false">SUM(W23,X23,Y23,Z23)</f>
        <v>4362.31224489796</v>
      </c>
      <c r="AB23" s="24" t="n">
        <f aca="false">AB18*AB19*AB22</f>
        <v>4736.63687091633</v>
      </c>
      <c r="AC23" s="24" t="n">
        <f aca="false">AC18*AC19*AC22</f>
        <v>5098.2790960108</v>
      </c>
      <c r="AD23" s="24" t="n">
        <f aca="false">AD18*AD19*AD22</f>
        <v>5460.89419671457</v>
      </c>
      <c r="AE23" s="24" t="n">
        <f aca="false">AE18*AE19*AE22</f>
        <v>5821.31321369773</v>
      </c>
      <c r="AH23" s="25" t="n">
        <f aca="false">IFERROR((AE23/V23)^(1/5)-1,"n/m")</f>
        <v>0.0725714671043356</v>
      </c>
      <c r="AI23" s="25" t="n">
        <f aca="false">IFERROR((V23/G23)^(1/3)-1,"n/m")</f>
        <v>0.0414086328036081</v>
      </c>
      <c r="AL23" s="11" t="s">
        <v>88</v>
      </c>
      <c r="AN23" s="26" t="n">
        <v>600</v>
      </c>
      <c r="AP23" s="14" t="s">
        <v>89</v>
      </c>
    </row>
    <row r="24" customFormat="false" ht="15" hidden="false" customHeight="true" outlineLevel="0" collapsed="false">
      <c r="B24" s="27" t="s">
        <v>90</v>
      </c>
      <c r="H24" s="28" t="n">
        <f aca="false">IF(AND(ISNUMBER(H23),ISNUMBER(C23)),IFERROR(H23/C23-1,""),"")</f>
        <v>0.00333333333333341</v>
      </c>
      <c r="I24" s="28" t="n">
        <f aca="false">IF(AND(ISNUMBER(I23),ISNUMBER(D23)),IFERROR(I23/D23-1,""),"")</f>
        <v>-0.00948366701791359</v>
      </c>
      <c r="J24" s="28" t="n">
        <f aca="false">IF(AND(ISNUMBER(J23),ISNUMBER(E23)),IFERROR(J23/E23-1,""),"")</f>
        <v>0.079484425349087</v>
      </c>
      <c r="K24" s="28" t="n">
        <f aca="false">IF(AND(ISNUMBER(K23),ISNUMBER(F23)),IFERROR(K23/F23-1,""),"")</f>
        <v>0.135135135135135</v>
      </c>
      <c r="L24" s="28" t="n">
        <f aca="false">IF(AND(ISNUMBER(L23),ISNUMBER(G23)),IFERROR(L23/G23-1,""),"")</f>
        <v>0.0503993390250619</v>
      </c>
      <c r="M24" s="28" t="n">
        <f aca="false">IF(AND(ISNUMBER(M23),ISNUMBER(H23)),IFERROR(M23/H23-1,""),"")</f>
        <v>0.119601328903654</v>
      </c>
      <c r="N24" s="28" t="n">
        <f aca="false">IF(AND(ISNUMBER(N23),ISNUMBER(I23)),IFERROR(N23/I23-1,""),"")</f>
        <v>0.131914893617021</v>
      </c>
      <c r="O24" s="28" t="n">
        <f aca="false">IF(AND(ISNUMBER(O23),ISNUMBER(J23)),IFERROR(O23/J23-1,""),"")</f>
        <v>0.0497512437810945</v>
      </c>
      <c r="P24" s="28" t="n">
        <f aca="false">IF(AND(ISNUMBER(P23),ISNUMBER(K23)),IFERROR(P23/K23-1,""),"")</f>
        <v>0.0196687370600415</v>
      </c>
      <c r="Q24" s="28" t="n">
        <f aca="false">IF(AND(ISNUMBER(Q23),ISNUMBER(L23)),IFERROR(Q23/L23-1,""),"")</f>
        <v>0.0789197692711066</v>
      </c>
      <c r="R24" s="28" t="n">
        <f aca="false">IF(AND(ISNUMBER(R23),ISNUMBER(M23)),IFERROR(R23/M23-1,""),"")</f>
        <v>-0.0168150346191889</v>
      </c>
      <c r="S24" s="28" t="n">
        <f aca="false">IF(AND(ISNUMBER(S23),ISNUMBER(N23)),IFERROR(S23/N23-1,""),"")</f>
        <v>-0.00657894736842102</v>
      </c>
      <c r="T24" s="28" t="n">
        <f aca="false">IF(AND(ISNUMBER(T23),ISNUMBER(O23)),IFERROR(T23/O23-1,""),"")</f>
        <v>0.00473933649289093</v>
      </c>
      <c r="U24" s="28" t="n">
        <f aca="false">IF(AND(ISNUMBER(U23),ISNUMBER(P23)),IFERROR(U23/P23-1,""),"")</f>
        <v>0.0050761421319796</v>
      </c>
      <c r="V24" s="28" t="n">
        <f aca="false">IF(AND(ISNUMBER(V23),ISNUMBER(Q23)),IFERROR(V23/Q23-1,""),"")</f>
        <v>-0.00340218712029161</v>
      </c>
      <c r="W24" s="28" t="n">
        <f aca="false">IF(AND(ISNUMBER(W23),ISNUMBER(R23)),IFERROR(W23/R23-1,""),"")</f>
        <v>0.0342052313883299</v>
      </c>
      <c r="X24" s="28" t="n">
        <f aca="false">IF(AND(ISNUMBER(X23),ISNUMBER(S23)),IFERROR(X23/S23-1,""),"")</f>
        <v>0.0539262062440871</v>
      </c>
      <c r="Y24" s="30" t="n">
        <f aca="false">IFERROR(Y23/T23-1,"")</f>
        <v>0.0805582232893156</v>
      </c>
      <c r="Z24" s="30" t="n">
        <f aca="false">IFERROR(Z23/U23-1,"")</f>
        <v>0.0857783113245301</v>
      </c>
      <c r="AA24" s="30" t="n">
        <f aca="false">IFERROR(AA23/V23-1,"")</f>
        <v>0.0637191526208143</v>
      </c>
      <c r="AB24" s="30" t="n">
        <f aca="false">IFERROR(AB23/AA23-1,"")</f>
        <v>0.085808764940239</v>
      </c>
      <c r="AC24" s="30" t="n">
        <f aca="false">IFERROR(AC23/AB23-1,"")</f>
        <v>0.0763499999999999</v>
      </c>
      <c r="AD24" s="30" t="n">
        <f aca="false">IFERROR(AD23/AC23-1,"")</f>
        <v>0.0711250000000001</v>
      </c>
      <c r="AE24" s="30" t="n">
        <f aca="false">IFERROR(AE23/AD23-1,"")</f>
        <v>0.0659999999999998</v>
      </c>
      <c r="AL24" s="11" t="s">
        <v>91</v>
      </c>
      <c r="AM24" s="34" t="n">
        <v>0.12</v>
      </c>
      <c r="AN24" s="34" t="n">
        <v>0.1</v>
      </c>
      <c r="AO24" s="34" t="n">
        <v>0.08</v>
      </c>
      <c r="AP24" s="14" t="s">
        <v>92</v>
      </c>
    </row>
    <row r="25" customFormat="false" ht="15" hidden="false" customHeight="true" outlineLevel="0" collapsed="false">
      <c r="B25" s="11" t="s">
        <v>93</v>
      </c>
      <c r="C25" s="42" t="n">
        <f aca="false">IF(AND(ISNUMBER(C26),ISNUMBER(C23)),IFERROR(C26/C23,""),"")</f>
        <v>0.23</v>
      </c>
      <c r="D25" s="42" t="n">
        <f aca="false">IF(AND(ISNUMBER(D26),ISNUMBER(D23)),IFERROR(D26/D23,""),"")</f>
        <v>0.30663856691254</v>
      </c>
      <c r="E25" s="42" t="n">
        <f aca="false">IF(AND(ISNUMBER(E26),ISNUMBER(E23)),IFERROR(E26/E23,""),"")</f>
        <v>0.294307196562836</v>
      </c>
      <c r="F25" s="42" t="n">
        <f aca="false">IF(AND(ISNUMBER(F26),ISNUMBER(F23)),IFERROR(F26/F23,""),"")</f>
        <v>0.284371327849589</v>
      </c>
      <c r="G25" s="42" t="n">
        <f aca="false">IF(AND(ISNUMBER(G26),ISNUMBER(G23)),IFERROR(G26/G23,""),"")</f>
        <v>0.279261911319196</v>
      </c>
      <c r="H25" s="42" t="n">
        <f aca="false">IF(AND(ISNUMBER(H26),ISNUMBER(H23)),IFERROR(H26/H23,""),"")</f>
        <v>0.24031007751938</v>
      </c>
      <c r="I25" s="42" t="n">
        <f aca="false">IF(AND(ISNUMBER(I26),ISNUMBER(I23)),IFERROR(I26/I23,""),"")</f>
        <v>0.208510638297872</v>
      </c>
      <c r="J25" s="42" t="n">
        <f aca="false">IF(AND(ISNUMBER(J26),ISNUMBER(J23)),IFERROR(J26/J23,""),"")</f>
        <v>0.221890547263682</v>
      </c>
      <c r="K25" s="42" t="n">
        <f aca="false">IF(AND(ISNUMBER(K26),ISNUMBER(K23)),IFERROR(K26/K23,""),"")</f>
        <v>0.228778467908903</v>
      </c>
      <c r="L25" s="42" t="n">
        <f aca="false">IF(AND(ISNUMBER(L26),ISNUMBER(L23)),IFERROR(L26/L23,""),"")</f>
        <v>0.224698479286838</v>
      </c>
      <c r="M25" s="42" t="n">
        <f aca="false">IF(AND(ISNUMBER(M26),ISNUMBER(M23)),IFERROR(M26/M23,""),"")</f>
        <v>0.207715133531157</v>
      </c>
      <c r="N25" s="42" t="n">
        <f aca="false">IF(AND(ISNUMBER(N26),ISNUMBER(N23)),IFERROR(N26/N23,""),"")</f>
        <v>0.195488721804511</v>
      </c>
      <c r="O25" s="42" t="n">
        <f aca="false">IF(AND(ISNUMBER(O26),ISNUMBER(O23)),IFERROR(O26/O23,""),"")</f>
        <v>0.184834123222749</v>
      </c>
      <c r="P25" s="42" t="n">
        <f aca="false">IF(AND(ISNUMBER(P26),ISNUMBER(P23)),IFERROR(P26/P23,""),"")</f>
        <v>0.173604060913706</v>
      </c>
      <c r="Q25" s="42" t="n">
        <f aca="false">IF(AND(ISNUMBER(Q26),ISNUMBER(Q23)),IFERROR(Q26/Q23,""),"")</f>
        <v>0.190765492102066</v>
      </c>
      <c r="R25" s="42" t="n">
        <f aca="false">IF(AND(ISNUMBER(R26),ISNUMBER(R23)),IFERROR(R26/R23,""),"")</f>
        <v>0.179074446680081</v>
      </c>
      <c r="S25" s="42" t="n">
        <f aca="false">IF(AND(ISNUMBER(S26),ISNUMBER(S23)),IFERROR(S26/S23,""),"")</f>
        <v>0.173131504257332</v>
      </c>
      <c r="T25" s="42" t="n">
        <f aca="false">IF(AND(ISNUMBER(T26),ISNUMBER(T23)),IFERROR(T26/T23,""),"")</f>
        <v>0.183018867924528</v>
      </c>
      <c r="U25" s="42" t="n">
        <f aca="false">IF(AND(ISNUMBER(U26),ISNUMBER(U23)),IFERROR(U26/U23,""),"")</f>
        <v>0.176767676767677</v>
      </c>
      <c r="V25" s="42" t="n">
        <f aca="false">IF(AND(ISNUMBER(V26),ISNUMBER(V23)),IFERROR(V26/V23,""),"")</f>
        <v>0.178249207510363</v>
      </c>
      <c r="W25" s="42" t="n">
        <f aca="false">IF(AND(ISNUMBER(W26),ISNUMBER(W23)),IFERROR(W26/W23,""),"")</f>
        <v>0.195525291828794</v>
      </c>
      <c r="X25" s="42" t="n">
        <f aca="false">IF(AND(ISNUMBER(X26),ISNUMBER(X23)),IFERROR(X26/X23,""),"")</f>
        <v>0.281867145421903</v>
      </c>
      <c r="Y25" s="30" t="n">
        <f aca="false">$X$25</f>
        <v>0.281867145421903</v>
      </c>
      <c r="Z25" s="30" t="n">
        <f aca="false">$X$25</f>
        <v>0.281867145421903</v>
      </c>
      <c r="AA25" s="30" t="n">
        <f aca="false">IFERROR(AA26/AA23,"")</f>
        <v>0.261520269611368</v>
      </c>
      <c r="AB25" s="30" t="n">
        <f aca="false">AVERAGE($L$25,$Q$25,$V$25)</f>
        <v>0.197904392966422</v>
      </c>
      <c r="AC25" s="30" t="n">
        <f aca="false">AVERAGE($L$25,$Q$25,$V$25)</f>
        <v>0.197904392966422</v>
      </c>
      <c r="AD25" s="30" t="n">
        <f aca="false">AVERAGE($L$25,$Q$25,$V$25)</f>
        <v>0.197904392966422</v>
      </c>
      <c r="AE25" s="30" t="n">
        <f aca="false">AVERAGE($L$25,$Q$25,$V$25)</f>
        <v>0.197904392966422</v>
      </c>
      <c r="AF25" s="20" t="s">
        <v>94</v>
      </c>
      <c r="AL25" s="11" t="s">
        <v>95</v>
      </c>
      <c r="AN25" s="26" t="n">
        <v>4125</v>
      </c>
      <c r="AP25" s="14" t="s">
        <v>96</v>
      </c>
    </row>
    <row r="26" customFormat="false" ht="15" hidden="false" customHeight="true" outlineLevel="0" collapsed="false">
      <c r="B26" s="11" t="s">
        <v>97</v>
      </c>
      <c r="C26" s="33" t="n">
        <v>207</v>
      </c>
      <c r="D26" s="33" t="n">
        <v>291</v>
      </c>
      <c r="E26" s="33" t="n">
        <v>274</v>
      </c>
      <c r="F26" s="33" t="n">
        <v>242</v>
      </c>
      <c r="G26" s="33" t="n">
        <v>1014</v>
      </c>
      <c r="H26" s="33" t="n">
        <v>217</v>
      </c>
      <c r="I26" s="33" t="n">
        <v>196</v>
      </c>
      <c r="J26" s="33" t="n">
        <v>223</v>
      </c>
      <c r="K26" s="33" t="n">
        <v>221</v>
      </c>
      <c r="L26" s="33" t="n">
        <v>857</v>
      </c>
      <c r="M26" s="33" t="n">
        <v>210</v>
      </c>
      <c r="N26" s="33" t="n">
        <v>208</v>
      </c>
      <c r="O26" s="33" t="n">
        <v>195</v>
      </c>
      <c r="P26" s="33" t="n">
        <v>171</v>
      </c>
      <c r="Q26" s="33" t="n">
        <v>785</v>
      </c>
      <c r="R26" s="33" t="n">
        <v>178</v>
      </c>
      <c r="S26" s="33" t="n">
        <v>183</v>
      </c>
      <c r="T26" s="33" t="n">
        <v>194</v>
      </c>
      <c r="U26" s="33" t="n">
        <v>175</v>
      </c>
      <c r="V26" s="33" t="n">
        <v>731</v>
      </c>
      <c r="W26" s="33" t="n">
        <v>201</v>
      </c>
      <c r="X26" s="33" t="n">
        <v>314</v>
      </c>
      <c r="Y26" s="43" t="n">
        <f aca="false">Y23*Y25</f>
        <v>322.848293572366</v>
      </c>
      <c r="Z26" s="43" t="n">
        <f aca="false">Z23*Z25</f>
        <v>302.984780842319</v>
      </c>
      <c r="AA26" s="43" t="n">
        <f aca="false">SUM(W26,X26,Y26,Z26)</f>
        <v>1140.83307441469</v>
      </c>
      <c r="AB26" s="43" t="n">
        <f aca="false">AB23*AB25</f>
        <v>937.401244641071</v>
      </c>
      <c r="AC26" s="43" t="n">
        <f aca="false">AC23*AC25</f>
        <v>1008.97182966942</v>
      </c>
      <c r="AD26" s="43" t="n">
        <f aca="false">AD23*AD25</f>
        <v>1080.73495105465</v>
      </c>
      <c r="AE26" s="43" t="n">
        <f aca="false">AE23*AE25</f>
        <v>1152.06345782426</v>
      </c>
      <c r="AL26" s="11" t="s">
        <v>98</v>
      </c>
      <c r="AN26" s="26" t="n">
        <v>906</v>
      </c>
      <c r="AP26" s="14" t="s">
        <v>99</v>
      </c>
    </row>
    <row r="27" customFormat="false" ht="15" hidden="false" customHeight="true" outlineLevel="0" collapsed="false">
      <c r="B27" s="22" t="s">
        <v>100</v>
      </c>
      <c r="C27" s="23" t="n">
        <v>1107</v>
      </c>
      <c r="D27" s="23" t="n">
        <v>1240</v>
      </c>
      <c r="E27" s="23" t="n">
        <v>1205</v>
      </c>
      <c r="F27" s="23" t="n">
        <v>1093</v>
      </c>
      <c r="G27" s="23" t="n">
        <v>4645</v>
      </c>
      <c r="H27" s="23" t="n">
        <v>1120</v>
      </c>
      <c r="I27" s="23" t="n">
        <v>1136</v>
      </c>
      <c r="J27" s="23" t="n">
        <v>1228</v>
      </c>
      <c r="K27" s="23" t="n">
        <v>1187</v>
      </c>
      <c r="L27" s="23" t="n">
        <v>4671</v>
      </c>
      <c r="M27" s="23" t="n">
        <v>1221</v>
      </c>
      <c r="N27" s="23" t="n">
        <v>1272</v>
      </c>
      <c r="O27" s="23" t="n">
        <v>1251</v>
      </c>
      <c r="P27" s="23" t="n">
        <v>1156</v>
      </c>
      <c r="Q27" s="23" t="n">
        <v>4899</v>
      </c>
      <c r="R27" s="23" t="n">
        <v>1172</v>
      </c>
      <c r="S27" s="23" t="n">
        <v>1240</v>
      </c>
      <c r="T27" s="23" t="n">
        <v>1255</v>
      </c>
      <c r="U27" s="23" t="n">
        <v>1165</v>
      </c>
      <c r="V27" s="23" t="n">
        <v>4832</v>
      </c>
      <c r="W27" s="23" t="n">
        <v>1229</v>
      </c>
      <c r="X27" s="23" t="n">
        <v>1428</v>
      </c>
      <c r="Y27" s="24" t="n">
        <f aca="false">Y23+Y26</f>
        <v>1468.24001025904</v>
      </c>
      <c r="Z27" s="24" t="n">
        <f aca="false">Z23+Z26</f>
        <v>1377.9053090536</v>
      </c>
      <c r="AA27" s="24" t="n">
        <f aca="false">SUM(W27,X27,Y27,Z27)</f>
        <v>5503.14531931264</v>
      </c>
      <c r="AB27" s="24" t="n">
        <f aca="false">AB23+AB26</f>
        <v>5674.03811555741</v>
      </c>
      <c r="AC27" s="24" t="n">
        <f aca="false">AC23+AC26</f>
        <v>6107.25092568021</v>
      </c>
      <c r="AD27" s="24" t="n">
        <f aca="false">AD23+AD26</f>
        <v>6541.62914776922</v>
      </c>
      <c r="AE27" s="24" t="n">
        <f aca="false">AE23+AE26</f>
        <v>6973.37667152199</v>
      </c>
      <c r="AH27" s="25" t="n">
        <f aca="false">IFERROR((AE27/V27)^(1/5)-1,"n/m")</f>
        <v>0.0761262859146772</v>
      </c>
      <c r="AI27" s="25" t="n">
        <f aca="false">IFERROR((V27/G27)^(1/3)-1,"n/m")</f>
        <v>0.0132432885203304</v>
      </c>
      <c r="AL27" s="11" t="s">
        <v>101</v>
      </c>
      <c r="AN27" s="34" t="n">
        <v>0.827</v>
      </c>
      <c r="AP27" s="14" t="s">
        <v>102</v>
      </c>
    </row>
    <row r="28" customFormat="false" ht="15" hidden="false" customHeight="true" outlineLevel="0" collapsed="false">
      <c r="B28" s="27" t="s">
        <v>103</v>
      </c>
      <c r="H28" s="28" t="n">
        <f aca="false">IF(AND(ISNUMBER(H27),ISNUMBER(C27)),IFERROR(H27/C27-1,""),"")</f>
        <v>0.0117434507678411</v>
      </c>
      <c r="I28" s="28" t="n">
        <f aca="false">IF(AND(ISNUMBER(I27),ISNUMBER(D27)),IFERROR(I27/D27-1,""),"")</f>
        <v>-0.0838709677419355</v>
      </c>
      <c r="J28" s="28" t="n">
        <f aca="false">IF(AND(ISNUMBER(J27),ISNUMBER(E27)),IFERROR(J27/E27-1,""),"")</f>
        <v>0.0190871369294605</v>
      </c>
      <c r="K28" s="28" t="n">
        <f aca="false">IF(AND(ISNUMBER(K27),ISNUMBER(F27)),IFERROR(K27/F27-1,""),"")</f>
        <v>0.0860018298261664</v>
      </c>
      <c r="L28" s="28" t="n">
        <f aca="false">IF(AND(ISNUMBER(L27),ISNUMBER(G27)),IFERROR(L27/G27-1,""),"")</f>
        <v>0.00559741657696455</v>
      </c>
      <c r="M28" s="28" t="n">
        <f aca="false">IF(AND(ISNUMBER(M27),ISNUMBER(H27)),IFERROR(M27/H27-1,""),"")</f>
        <v>0.0901785714285714</v>
      </c>
      <c r="N28" s="28" t="n">
        <f aca="false">IF(AND(ISNUMBER(N27),ISNUMBER(I27)),IFERROR(N27/I27-1,""),"")</f>
        <v>0.119718309859155</v>
      </c>
      <c r="O28" s="28" t="n">
        <f aca="false">IF(AND(ISNUMBER(O27),ISNUMBER(J27)),IFERROR(O27/J27-1,""),"")</f>
        <v>0.018729641693811</v>
      </c>
      <c r="P28" s="28" t="n">
        <f aca="false">IF(AND(ISNUMBER(P27),ISNUMBER(K27)),IFERROR(P27/K27-1,""),"")</f>
        <v>-0.0261162594776748</v>
      </c>
      <c r="Q28" s="28" t="n">
        <f aca="false">IF(AND(ISNUMBER(Q27),ISNUMBER(L27)),IFERROR(Q27/L27-1,""),"")</f>
        <v>0.0488118175979448</v>
      </c>
      <c r="R28" s="28" t="n">
        <f aca="false">IF(AND(ISNUMBER(R27),ISNUMBER(M27)),IFERROR(R27/M27-1,""),"")</f>
        <v>-0.0401310401310402</v>
      </c>
      <c r="S28" s="28" t="n">
        <f aca="false">IF(AND(ISNUMBER(S27),ISNUMBER(N27)),IFERROR(S27/N27-1,""),"")</f>
        <v>-0.0251572327044025</v>
      </c>
      <c r="T28" s="28" t="n">
        <f aca="false">IF(AND(ISNUMBER(T27),ISNUMBER(O27)),IFERROR(T27/O27-1,""),"")</f>
        <v>0.00319744204636296</v>
      </c>
      <c r="U28" s="28" t="n">
        <f aca="false">IF(AND(ISNUMBER(U27),ISNUMBER(P27)),IFERROR(U27/P27-1,""),"")</f>
        <v>0.00778546712802775</v>
      </c>
      <c r="V28" s="28" t="n">
        <f aca="false">IF(AND(ISNUMBER(V27),ISNUMBER(Q27)),IFERROR(V27/Q27-1,""),"")</f>
        <v>-0.0136762604613186</v>
      </c>
      <c r="W28" s="28" t="n">
        <f aca="false">IF(AND(ISNUMBER(W27),ISNUMBER(R27)),IFERROR(W27/R27-1,""),"")</f>
        <v>0.0486348122866893</v>
      </c>
      <c r="X28" s="28" t="n">
        <f aca="false">IF(AND(ISNUMBER(X27),ISNUMBER(S27)),IFERROR(X27/S27-1,""),"")</f>
        <v>0.151612903225806</v>
      </c>
      <c r="Y28" s="30" t="n">
        <f aca="false">IFERROR(Y27/T27-1,"")</f>
        <v>0.169912358772144</v>
      </c>
      <c r="Z28" s="30" t="n">
        <f aca="false">IFERROR(Z27/U27-1,"")</f>
        <v>0.182751338243437</v>
      </c>
      <c r="AA28" s="30" t="n">
        <f aca="false">IFERROR(AA27/V27-1,"")</f>
        <v>0.138895968400796</v>
      </c>
      <c r="AB28" s="30" t="n">
        <f aca="false">IFERROR(AB27/AA27-1,"")</f>
        <v>0.0310536586495422</v>
      </c>
      <c r="AC28" s="30" t="n">
        <f aca="false">IFERROR(AC27/AB27-1,"")</f>
        <v>0.0763499999999999</v>
      </c>
      <c r="AD28" s="30" t="n">
        <f aca="false">IFERROR(AD27/AC27-1,"")</f>
        <v>0.0711250000000003</v>
      </c>
      <c r="AE28" s="30" t="n">
        <f aca="false">IFERROR(AE27/AD27-1,"")</f>
        <v>0.0659999999999998</v>
      </c>
    </row>
    <row r="29" customFormat="false" ht="15" hidden="false" customHeight="true" outlineLevel="0" collapsed="false">
      <c r="B29" s="11" t="s">
        <v>104</v>
      </c>
      <c r="C29" s="42" t="n">
        <f aca="false">IF(AND(ISNUMBER(C30),ISNUMBER(C27)),IFERROR(1-C30/C27,""),"")</f>
        <v>0.888888888888889</v>
      </c>
      <c r="D29" s="42" t="n">
        <f aca="false">IF(AND(ISNUMBER(D30),ISNUMBER(D27)),IFERROR(1-D30/D27,""),"")</f>
        <v>0.832258064516129</v>
      </c>
      <c r="E29" s="42" t="n">
        <f aca="false">IF(AND(ISNUMBER(E30),ISNUMBER(E27)),IFERROR(1-E30/E27,""),"")</f>
        <v>0.855601659751037</v>
      </c>
      <c r="F29" s="42" t="n">
        <f aca="false">IF(AND(ISNUMBER(F30),ISNUMBER(F27)),IFERROR(1-F30/F27,""),"")</f>
        <v>0.903019213174748</v>
      </c>
      <c r="G29" s="42" t="n">
        <f aca="false">IF(AND(ISNUMBER(G30),ISNUMBER(G27)),IFERROR(1-G30/G27,""),"")</f>
        <v>0.868460710441335</v>
      </c>
      <c r="H29" s="42" t="n">
        <f aca="false">IF(AND(ISNUMBER(H30),ISNUMBER(H27)),IFERROR(1-H30/H27,""),"")</f>
        <v>0.895535714285714</v>
      </c>
      <c r="I29" s="42" t="n">
        <f aca="false">IF(AND(ISNUMBER(I30),ISNUMBER(I27)),IFERROR(1-I30/I27,""),"")</f>
        <v>0.875</v>
      </c>
      <c r="J29" s="42" t="n">
        <f aca="false">IF(AND(ISNUMBER(J30),ISNUMBER(J27)),IFERROR(1-J30/J27,""),"")</f>
        <v>0.861563517915309</v>
      </c>
      <c r="K29" s="42" t="n">
        <f aca="false">IF(AND(ISNUMBER(K30),ISNUMBER(K27)),IFERROR(1-K30/K27,""),"")</f>
        <v>0.865206402695872</v>
      </c>
      <c r="L29" s="42" t="n">
        <f aca="false">IF(AND(ISNUMBER(L30),ISNUMBER(L27)),IFERROR(1-L30/L27,""),"")</f>
        <v>0.873902804538643</v>
      </c>
      <c r="M29" s="42" t="n">
        <f aca="false">IF(AND(ISNUMBER(M30),ISNUMBER(M27)),IFERROR(1-M30/M27,""),"")</f>
        <v>0.856674856674857</v>
      </c>
      <c r="N29" s="42" t="n">
        <f aca="false">IF(AND(ISNUMBER(N30),ISNUMBER(N27)),IFERROR(1-N30/N27,""),"")</f>
        <v>0.831761006289308</v>
      </c>
      <c r="O29" s="42" t="n">
        <f aca="false">IF(AND(ISNUMBER(O30),ISNUMBER(O27)),IFERROR(1-O30/O27,""),"")</f>
        <v>0.841726618705036</v>
      </c>
      <c r="P29" s="42" t="n">
        <f aca="false">IF(AND(ISNUMBER(P30),ISNUMBER(P27)),IFERROR(1-P30/P27,""),"")</f>
        <v>0.862456747404844</v>
      </c>
      <c r="Q29" s="42" t="n">
        <f aca="false">IF(AND(ISNUMBER(Q30),ISNUMBER(Q27)),IFERROR(1-Q30/Q27,""),"")</f>
        <v>0.847724025311288</v>
      </c>
      <c r="R29" s="42" t="n">
        <f aca="false">IF(AND(ISNUMBER(R30),ISNUMBER(R27)),IFERROR(1-R30/R27,""),"")</f>
        <v>0.859215017064846</v>
      </c>
      <c r="S29" s="42" t="n">
        <f aca="false">IF(AND(ISNUMBER(S30),ISNUMBER(S27)),IFERROR(1-S30/S27,""),"")</f>
        <v>0.829838709677419</v>
      </c>
      <c r="T29" s="42" t="n">
        <f aca="false">IF(AND(ISNUMBER(T30),ISNUMBER(T27)),IFERROR(1-T30/T27,""),"")</f>
        <v>0.827091633466136</v>
      </c>
      <c r="U29" s="42" t="n">
        <f aca="false">IF(AND(ISNUMBER(U30),ISNUMBER(U27)),IFERROR(1-U30/U27,""),"")</f>
        <v>0.844635193133047</v>
      </c>
      <c r="V29" s="42" t="n">
        <f aca="false">IF(AND(ISNUMBER(V30),ISNUMBER(V27)),IFERROR(1-V30/V27,""),"")</f>
        <v>0.839610927152318</v>
      </c>
      <c r="W29" s="42" t="n">
        <f aca="false">IF(AND(ISNUMBER(W30),ISNUMBER(W27)),IFERROR(1-W30/W27,""),"")</f>
        <v>0.838893409275834</v>
      </c>
      <c r="X29" s="42" t="n">
        <f aca="false">IF(AND(ISNUMBER(X30),ISNUMBER(X27)),IFERROR(1-X30/X27,""),"")</f>
        <v>0.799019607843137</v>
      </c>
      <c r="Y29" s="30" t="n">
        <f aca="false">T29+($X$29-$S$29)</f>
        <v>0.796272531631853</v>
      </c>
      <c r="Z29" s="30" t="n">
        <f aca="false">U29+($X$29-$S$29)</f>
        <v>0.813816091298765</v>
      </c>
      <c r="AA29" s="30" t="n">
        <f aca="false">IFERROR(1-AA30/AA27,"")</f>
        <v>0.810896395402355</v>
      </c>
      <c r="AB29" s="30" t="n">
        <f aca="false">CHOOSE(MATCH($AF$2,{"Bull","Base","Bear"},0),$AM$40,$AN$40,$AO$40)</f>
        <v>0.795</v>
      </c>
      <c r="AC29" s="30" t="n">
        <f aca="false">CHOOSE(MATCH($AF$2,{"Bull","Base","Bear"},0),$AM$41,$AN$41,$AO$41)</f>
        <v>0.785</v>
      </c>
      <c r="AD29" s="30" t="n">
        <f aca="false">CHOOSE(MATCH($AF$2,{"Bull","Base","Bear"},0),$AM$42,$AN$42,$AO$42)</f>
        <v>0.775</v>
      </c>
      <c r="AE29" s="30" t="n">
        <f aca="false">CHOOSE(MATCH($AF$2,{"Bull","Base","Bear"},0),$AM$43,$AN$43,$AO$43)</f>
        <v>0.77</v>
      </c>
      <c r="AF29" s="20" t="s">
        <v>105</v>
      </c>
      <c r="AH29" s="44" t="n">
        <f aca="false">IFERROR(AVERAGE(AA29,AB29,AC29,AD29,AE29),"n/m")</f>
        <v>0.787179279080471</v>
      </c>
      <c r="AI29" s="44" t="n">
        <f aca="false">IFERROR(AVERAGE(G29,L29,Q29,V29),"n/m")</f>
        <v>0.857424616860896</v>
      </c>
      <c r="AL29" s="16" t="s">
        <v>106</v>
      </c>
      <c r="AM29" s="45" t="n">
        <v>0.02</v>
      </c>
      <c r="AN29" s="21" t="s">
        <v>107</v>
      </c>
      <c r="AO29" s="45" t="n">
        <v>-0.02</v>
      </c>
      <c r="AP29" s="14" t="s">
        <v>108</v>
      </c>
    </row>
    <row r="30" customFormat="false" ht="15" hidden="false" customHeight="true" outlineLevel="0" collapsed="false">
      <c r="B30" s="22" t="s">
        <v>109</v>
      </c>
      <c r="C30" s="23" t="n">
        <v>123</v>
      </c>
      <c r="D30" s="23" t="n">
        <v>208</v>
      </c>
      <c r="E30" s="23" t="n">
        <v>174</v>
      </c>
      <c r="F30" s="23" t="n">
        <v>106</v>
      </c>
      <c r="G30" s="23" t="n">
        <v>611</v>
      </c>
      <c r="H30" s="23" t="n">
        <v>117</v>
      </c>
      <c r="I30" s="23" t="n">
        <v>142</v>
      </c>
      <c r="J30" s="23" t="n">
        <v>170</v>
      </c>
      <c r="K30" s="23" t="n">
        <v>160</v>
      </c>
      <c r="L30" s="23" t="n">
        <v>589</v>
      </c>
      <c r="M30" s="23" t="n">
        <v>175</v>
      </c>
      <c r="N30" s="23" t="n">
        <v>214</v>
      </c>
      <c r="O30" s="23" t="n">
        <v>198</v>
      </c>
      <c r="P30" s="23" t="n">
        <v>159</v>
      </c>
      <c r="Q30" s="23" t="n">
        <v>746</v>
      </c>
      <c r="R30" s="23" t="n">
        <v>165</v>
      </c>
      <c r="S30" s="23" t="n">
        <v>211</v>
      </c>
      <c r="T30" s="23" t="n">
        <v>217</v>
      </c>
      <c r="U30" s="23" t="n">
        <v>181</v>
      </c>
      <c r="V30" s="23" t="n">
        <v>775</v>
      </c>
      <c r="W30" s="23" t="n">
        <v>198</v>
      </c>
      <c r="X30" s="23" t="n">
        <v>287</v>
      </c>
      <c r="Y30" s="24" t="n">
        <f aca="false">Y27*(1-Y29)</f>
        <v>299.120820246896</v>
      </c>
      <c r="Z30" s="24" t="n">
        <f aca="false">Z27*(1-Z29)</f>
        <v>256.543796259783</v>
      </c>
      <c r="AA30" s="24" t="n">
        <f aca="false">SUM(W30,X30,Y30,Z30)</f>
        <v>1040.66461650668</v>
      </c>
      <c r="AB30" s="24" t="n">
        <f aca="false">AB27*(1-AB29)</f>
        <v>1163.17781368927</v>
      </c>
      <c r="AC30" s="24" t="n">
        <f aca="false">AC27*(1-AC29)</f>
        <v>1313.05894902125</v>
      </c>
      <c r="AD30" s="24" t="n">
        <f aca="false">AD27*(1-AD29)</f>
        <v>1471.86655824807</v>
      </c>
      <c r="AE30" s="24" t="n">
        <f aca="false">AE27*(1-AE29)</f>
        <v>1603.87663445006</v>
      </c>
      <c r="AH30" s="25" t="n">
        <f aca="false">IFERROR((AE30/V30)^(1/5)-1,"n/m")</f>
        <v>0.156575135961435</v>
      </c>
      <c r="AI30" s="25" t="n">
        <f aca="false">IFERROR((V30/G30)^(1/3)-1,"n/m")</f>
        <v>0.0824807055108985</v>
      </c>
      <c r="AL30" s="11" t="s">
        <v>110</v>
      </c>
      <c r="AM30" s="46" t="n">
        <f aca="false">AN30+$AM$29</f>
        <v>0.05</v>
      </c>
      <c r="AN30" s="34" t="n">
        <v>0.03</v>
      </c>
      <c r="AO30" s="46" t="n">
        <f aca="false">AN30+$AO$29</f>
        <v>0.01</v>
      </c>
    </row>
    <row r="31" customFormat="false" ht="15" hidden="false" customHeight="true" outlineLevel="0" collapsed="false">
      <c r="B31" s="27" t="s">
        <v>111</v>
      </c>
      <c r="H31" s="28" t="n">
        <f aca="false">IF(AND(ISNUMBER(H30),ISNUMBER(C30)),IFERROR(H30/C30-1,""),"")</f>
        <v>-0.0487804878048781</v>
      </c>
      <c r="I31" s="28" t="n">
        <f aca="false">IF(AND(ISNUMBER(I30),ISNUMBER(D30)),IFERROR(I30/D30-1,""),"")</f>
        <v>-0.317307692307692</v>
      </c>
      <c r="J31" s="28" t="n">
        <f aca="false">IF(AND(ISNUMBER(J30),ISNUMBER(E30)),IFERROR(J30/E30-1,""),"")</f>
        <v>-0.0229885057471264</v>
      </c>
      <c r="K31" s="28" t="n">
        <f aca="false">IF(AND(ISNUMBER(K30),ISNUMBER(F30)),IFERROR(K30/F30-1,""),"")</f>
        <v>0.509433962264151</v>
      </c>
      <c r="L31" s="28" t="n">
        <f aca="false">IF(AND(ISNUMBER(L30),ISNUMBER(G30)),IFERROR(L30/G30-1,""),"")</f>
        <v>-0.0360065466448445</v>
      </c>
      <c r="M31" s="28" t="n">
        <f aca="false">IF(AND(ISNUMBER(M30),ISNUMBER(H30)),IFERROR(M30/H30-1,""),"")</f>
        <v>0.495726495726496</v>
      </c>
      <c r="N31" s="28" t="n">
        <f aca="false">IF(AND(ISNUMBER(N30),ISNUMBER(I30)),IFERROR(N30/I30-1,""),"")</f>
        <v>0.507042253521127</v>
      </c>
      <c r="O31" s="28" t="n">
        <f aca="false">IF(AND(ISNUMBER(O30),ISNUMBER(J30)),IFERROR(O30/J30-1,""),"")</f>
        <v>0.164705882352941</v>
      </c>
      <c r="P31" s="28" t="n">
        <f aca="false">IF(AND(ISNUMBER(P30),ISNUMBER(K30)),IFERROR(P30/K30-1,""),"")</f>
        <v>-0.00624999999999998</v>
      </c>
      <c r="Q31" s="28" t="n">
        <f aca="false">IF(AND(ISNUMBER(Q30),ISNUMBER(L30)),IFERROR(Q30/L30-1,""),"")</f>
        <v>0.266553480475382</v>
      </c>
      <c r="R31" s="28" t="n">
        <f aca="false">IF(AND(ISNUMBER(R30),ISNUMBER(M30)),IFERROR(R30/M30-1,""),"")</f>
        <v>-0.0571428571428572</v>
      </c>
      <c r="S31" s="28" t="n">
        <f aca="false">IF(AND(ISNUMBER(S30),ISNUMBER(N30)),IFERROR(S30/N30-1,""),"")</f>
        <v>-0.014018691588785</v>
      </c>
      <c r="T31" s="28" t="n">
        <f aca="false">IF(AND(ISNUMBER(T30),ISNUMBER(O30)),IFERROR(T30/O30-1,""),"")</f>
        <v>0.095959595959596</v>
      </c>
      <c r="U31" s="28" t="n">
        <f aca="false">IF(AND(ISNUMBER(U30),ISNUMBER(P30)),IFERROR(U30/P30-1,""),"")</f>
        <v>0.138364779874214</v>
      </c>
      <c r="V31" s="28" t="n">
        <f aca="false">IF(AND(ISNUMBER(V30),ISNUMBER(Q30)),IFERROR(V30/Q30-1,""),"")</f>
        <v>0.0388739946380696</v>
      </c>
      <c r="W31" s="28" t="n">
        <f aca="false">IF(AND(ISNUMBER(W30),ISNUMBER(R30)),IFERROR(W30/R30-1,""),"")</f>
        <v>0.2</v>
      </c>
      <c r="X31" s="28" t="n">
        <f aca="false">IF(AND(ISNUMBER(X30),ISNUMBER(S30)),IFERROR(X30/S30-1,""),"")</f>
        <v>0.360189573459716</v>
      </c>
      <c r="Y31" s="30" t="n">
        <f aca="false">IFERROR(Y30/T30-1,"")</f>
        <v>0.378436959663115</v>
      </c>
      <c r="Z31" s="30" t="n">
        <f aca="false">IFERROR(Z30/U30-1,"")</f>
        <v>0.417369040109298</v>
      </c>
      <c r="AA31" s="30" t="n">
        <f aca="false">IFERROR(AA30/V30-1,"")</f>
        <v>0.342793053557005</v>
      </c>
      <c r="AB31" s="30" t="n">
        <f aca="false">IFERROR(AB30/AA30-1,"")</f>
        <v>0.117725917879137</v>
      </c>
      <c r="AC31" s="30" t="n">
        <f aca="false">IFERROR(AC30/AB30-1,"")</f>
        <v>0.12885487804878</v>
      </c>
      <c r="AD31" s="30" t="n">
        <f aca="false">IFERROR(AD30/AC30-1,"")</f>
        <v>0.120944767441861</v>
      </c>
      <c r="AE31" s="30" t="n">
        <f aca="false">IFERROR(AE30/AD30-1,"")</f>
        <v>0.0896888888888887</v>
      </c>
      <c r="AL31" s="11" t="s">
        <v>112</v>
      </c>
      <c r="AM31" s="46" t="n">
        <f aca="false">AN31+$AM$29</f>
        <v>0.05</v>
      </c>
      <c r="AN31" s="34" t="n">
        <v>0.03</v>
      </c>
      <c r="AO31" s="46" t="n">
        <f aca="false">AN31+$AO$29</f>
        <v>0.01</v>
      </c>
    </row>
    <row r="32" customFormat="false" ht="15" hidden="false" customHeight="true" outlineLevel="0" collapsed="false">
      <c r="B32" s="11" t="s">
        <v>113</v>
      </c>
      <c r="H32" s="42" t="n">
        <f aca="false">IFERROR((H30-C30)/(H27-C27),"")</f>
        <v>-0.461538461538462</v>
      </c>
      <c r="I32" s="42" t="n">
        <f aca="false">IFERROR((I30-D30)/(I27-D27),"")</f>
        <v>0.634615384615385</v>
      </c>
      <c r="J32" s="42" t="n">
        <f aca="false">IFERROR((J30-E30)/(J27-E27),"")</f>
        <v>-0.173913043478261</v>
      </c>
      <c r="K32" s="42" t="n">
        <f aca="false">IFERROR((K30-F30)/(K27-F27),"")</f>
        <v>0.574468085106383</v>
      </c>
      <c r="L32" s="42" t="n">
        <f aca="false">IFERROR((L30-G30)/(L27-G27),"")</f>
        <v>-0.846153846153846</v>
      </c>
      <c r="M32" s="42" t="n">
        <f aca="false">IFERROR((M30-H30)/(M27-H27),"")</f>
        <v>0.574257425742574</v>
      </c>
      <c r="N32" s="42" t="n">
        <f aca="false">IFERROR((N30-I30)/(N27-I27),"")</f>
        <v>0.529411764705882</v>
      </c>
      <c r="O32" s="42" t="n">
        <f aca="false">IFERROR((O30-J30)/(O27-J27),"")</f>
        <v>1.21739130434783</v>
      </c>
      <c r="P32" s="42" t="n">
        <f aca="false">IFERROR((P30-K30)/(P27-K27),"")</f>
        <v>0.032258064516129</v>
      </c>
      <c r="Q32" s="42" t="n">
        <f aca="false">IFERROR((Q30-L30)/(Q27-L27),"")</f>
        <v>0.68859649122807</v>
      </c>
      <c r="R32" s="42" t="n">
        <f aca="false">IFERROR((R30-M30)/(R27-M27),"")</f>
        <v>0.204081632653061</v>
      </c>
      <c r="S32" s="42" t="n">
        <f aca="false">IFERROR((S30-N30)/(S27-N27),"")</f>
        <v>0.09375</v>
      </c>
      <c r="T32" s="42" t="n">
        <f aca="false">IFERROR((T30-O30)/(T27-O27),"")</f>
        <v>4.75</v>
      </c>
      <c r="U32" s="42" t="n">
        <f aca="false">IFERROR((U30-P30)/(U27-P27),"")</f>
        <v>2.44444444444444</v>
      </c>
      <c r="V32" s="42" t="n">
        <f aca="false">IFERROR((V30-Q30)/(V27-Q27),"")</f>
        <v>-0.432835820895522</v>
      </c>
      <c r="W32" s="42" t="n">
        <f aca="false">IFERROR((W30-R30)/(W27-R27),"")</f>
        <v>0.578947368421053</v>
      </c>
      <c r="X32" s="42" t="n">
        <f aca="false">IFERROR((X30-S30)/(X27-S27),"")</f>
        <v>0.404255319148936</v>
      </c>
      <c r="Y32" s="30" t="n">
        <f aca="false">IFERROR((Y30-T30)/(Y27-T27),"")</f>
        <v>0.385109811930401</v>
      </c>
      <c r="Z32" s="30" t="n">
        <f aca="false">IFERROR((Z30-U30)/(Z27-U27),"")</f>
        <v>0.354823449896982</v>
      </c>
      <c r="AA32" s="30" t="n">
        <f aca="false">IFERROR((AA30-V30)/(AA27-V27),"")</f>
        <v>0.395837695446882</v>
      </c>
      <c r="AB32" s="30" t="n">
        <f aca="false">IFERROR((AB30-AA30)/(AB27-AA27),"")</f>
        <v>0.716900886840894</v>
      </c>
      <c r="AC32" s="30" t="n">
        <f aca="false">IFERROR((AC30-AB30)/(AC27-AB27),"")</f>
        <v>0.345975769482646</v>
      </c>
      <c r="AD32" s="30" t="n">
        <f aca="false">IFERROR((AD30-AC30)/(AD27-AC27),"")</f>
        <v>0.365597539543057</v>
      </c>
      <c r="AE32" s="30" t="n">
        <f aca="false">IFERROR((AE30-AD30)/(AE27-AD27),"")</f>
        <v>0.305757575757576</v>
      </c>
      <c r="AL32" s="11" t="s">
        <v>114</v>
      </c>
      <c r="AM32" s="46" t="n">
        <f aca="false">AN32+$AM$29</f>
        <v>0.045</v>
      </c>
      <c r="AN32" s="34" t="n">
        <v>0.025</v>
      </c>
      <c r="AO32" s="46" t="n">
        <f aca="false">AN32+$AO$29</f>
        <v>0.005</v>
      </c>
    </row>
    <row r="33" customFormat="false" ht="15" hidden="false" customHeight="true" outlineLevel="1" collapsed="false">
      <c r="B33" s="27" t="s">
        <v>115</v>
      </c>
      <c r="L33" s="47" t="n">
        <f aca="false">G23*(L18/G18-1)</f>
        <v>-19.8726618060378</v>
      </c>
      <c r="Q33" s="47" t="n">
        <f aca="false">L23*(Q18/L18-1)</f>
        <v>-9.45555824454191</v>
      </c>
      <c r="V33" s="47" t="n">
        <f aca="false">Q23*(V18/Q18-1)</f>
        <v>-271.737271710103</v>
      </c>
      <c r="Y33" s="32"/>
      <c r="Z33" s="32"/>
      <c r="AA33" s="43" t="n">
        <f aca="false">V23*(AA18/V18-1)</f>
        <v>78.0026549034532</v>
      </c>
      <c r="AB33" s="43" t="n">
        <f aca="false">AA23*(AB18/AA18-1)</f>
        <v>148.770489308074</v>
      </c>
      <c r="AC33" s="43" t="n">
        <f aca="false">AB23*(AC18/AB18-1)</f>
        <v>142.09910612749</v>
      </c>
      <c r="AD33" s="43" t="n">
        <f aca="false">AC23*(AD18/AC18-1)</f>
        <v>127.456977400269</v>
      </c>
      <c r="AE33" s="43" t="n">
        <f aca="false">AD23*(AE18/AD18-1)</f>
        <v>136.522354917864</v>
      </c>
      <c r="AF33" s="20" t="s">
        <v>116</v>
      </c>
      <c r="AL33" s="11" t="s">
        <v>117</v>
      </c>
      <c r="AM33" s="46" t="n">
        <f aca="false">AN33+$AM$29</f>
        <v>0.045</v>
      </c>
      <c r="AN33" s="34" t="n">
        <v>0.025</v>
      </c>
      <c r="AO33" s="46" t="n">
        <f aca="false">AN33+$AO$29</f>
        <v>0.005</v>
      </c>
    </row>
    <row r="34" customFormat="false" ht="15" hidden="false" customHeight="true" outlineLevel="1" collapsed="false">
      <c r="B34" s="27" t="s">
        <v>118</v>
      </c>
      <c r="L34" s="47" t="n">
        <f aca="false">L23-G23-L33</f>
        <v>202.872661806038</v>
      </c>
      <c r="Q34" s="47" t="n">
        <f aca="false">Q23-L23-Q33</f>
        <v>310.455558244542</v>
      </c>
      <c r="V34" s="47" t="n">
        <f aca="false">V23-Q23-V33</f>
        <v>257.737271710103</v>
      </c>
      <c r="Y34" s="32"/>
      <c r="Z34" s="32"/>
      <c r="AA34" s="43" t="n">
        <f aca="false">AA23-V23-AA33</f>
        <v>183.309589994506</v>
      </c>
      <c r="AB34" s="43" t="n">
        <f aca="false">AB23-AA23-AB33</f>
        <v>225.554136710301</v>
      </c>
      <c r="AC34" s="43" t="n">
        <f aca="false">AC23-AB23-AC33</f>
        <v>219.543118966971</v>
      </c>
      <c r="AD34" s="43" t="n">
        <f aca="false">AD23-AC23-AD33</f>
        <v>235.158123303499</v>
      </c>
      <c r="AE34" s="43" t="n">
        <f aca="false">AE23-AD23-AE33</f>
        <v>223.896662065296</v>
      </c>
      <c r="AL34" s="16" t="s">
        <v>119</v>
      </c>
      <c r="AM34" s="45" t="n">
        <v>0.01</v>
      </c>
      <c r="AN34" s="21" t="s">
        <v>107</v>
      </c>
      <c r="AO34" s="45" t="n">
        <v>-0.015</v>
      </c>
      <c r="AP34" s="14" t="s">
        <v>120</v>
      </c>
    </row>
    <row r="35" customFormat="false" ht="15" hidden="false" customHeight="true" outlineLevel="1" collapsed="false">
      <c r="B35" s="27" t="s">
        <v>121</v>
      </c>
      <c r="L35" s="47" t="n">
        <f aca="false">L26-G26</f>
        <v>-157</v>
      </c>
      <c r="Q35" s="47" t="n">
        <f aca="false">Q26-L26</f>
        <v>-72</v>
      </c>
      <c r="V35" s="47" t="n">
        <f aca="false">V26-Q26</f>
        <v>-54</v>
      </c>
      <c r="Y35" s="32"/>
      <c r="Z35" s="32"/>
      <c r="AA35" s="43" t="n">
        <f aca="false">AA26-V26</f>
        <v>409.833074414685</v>
      </c>
      <c r="AB35" s="43" t="n">
        <f aca="false">AB26-AA26</f>
        <v>-203.431829773614</v>
      </c>
      <c r="AC35" s="43" t="n">
        <f aca="false">AC26-AB26</f>
        <v>71.5705850283456</v>
      </c>
      <c r="AD35" s="43" t="n">
        <f aca="false">AD26-AC26</f>
        <v>71.7631213852375</v>
      </c>
      <c r="AE35" s="43" t="n">
        <f aca="false">AE26-AD26</f>
        <v>71.328506769607</v>
      </c>
      <c r="AL35" s="11" t="s">
        <v>110</v>
      </c>
      <c r="AM35" s="46" t="n">
        <f aca="false">AN35+$AM$34</f>
        <v>0.06</v>
      </c>
      <c r="AN35" s="34" t="n">
        <v>0.05</v>
      </c>
      <c r="AO35" s="46" t="n">
        <f aca="false">AN35+$AO$34</f>
        <v>0.035</v>
      </c>
    </row>
    <row r="36" customFormat="false" ht="15" hidden="false" customHeight="true" outlineLevel="0" collapsed="false">
      <c r="B36" s="11" t="s">
        <v>122</v>
      </c>
      <c r="C36" s="33" t="n">
        <v>48</v>
      </c>
      <c r="D36" s="33" t="n">
        <v>50</v>
      </c>
      <c r="E36" s="33" t="n">
        <v>51</v>
      </c>
      <c r="F36" s="33" t="n">
        <v>56</v>
      </c>
      <c r="G36" s="33" t="n">
        <v>205</v>
      </c>
      <c r="H36" s="33" t="n">
        <v>60</v>
      </c>
      <c r="I36" s="33" t="n">
        <v>62</v>
      </c>
      <c r="J36" s="33" t="n">
        <v>66</v>
      </c>
      <c r="K36" s="33" t="n">
        <v>69</v>
      </c>
      <c r="L36" s="33" t="n">
        <v>257</v>
      </c>
      <c r="M36" s="33" t="n">
        <v>73</v>
      </c>
      <c r="N36" s="33" t="n">
        <v>77</v>
      </c>
      <c r="O36" s="33" t="n">
        <v>80</v>
      </c>
      <c r="P36" s="33" t="n">
        <v>80</v>
      </c>
      <c r="Q36" s="33" t="n">
        <v>310</v>
      </c>
      <c r="R36" s="33" t="n">
        <v>80</v>
      </c>
      <c r="S36" s="33" t="n">
        <v>87</v>
      </c>
      <c r="T36" s="33" t="n">
        <v>89</v>
      </c>
      <c r="U36" s="33" t="n">
        <v>89</v>
      </c>
      <c r="V36" s="33" t="n">
        <v>345</v>
      </c>
      <c r="W36" s="33" t="n">
        <v>88</v>
      </c>
      <c r="X36" s="33" t="n">
        <v>91</v>
      </c>
      <c r="Y36" s="43" t="n">
        <f aca="false">T36*($W$36+$X$36)/($R$36+$S$36)</f>
        <v>95.3952095808383</v>
      </c>
      <c r="Z36" s="43" t="n">
        <f aca="false">U36*($W$36+$X$36)/($R$36+$S$36)</f>
        <v>95.3952095808383</v>
      </c>
      <c r="AA36" s="43" t="n">
        <f aca="false">SUM(W36,X36,Y36,Z36)</f>
        <v>369.790419161677</v>
      </c>
      <c r="AB36" s="43" t="n">
        <f aca="false">AB27*AB37</f>
        <v>397.182668089018</v>
      </c>
      <c r="AC36" s="43" t="n">
        <f aca="false">AC27*AC37</f>
        <v>427.507564797615</v>
      </c>
      <c r="AD36" s="43" t="n">
        <f aca="false">AD27*AD37</f>
        <v>457.914040343845</v>
      </c>
      <c r="AE36" s="43" t="n">
        <f aca="false">AE27*AE37</f>
        <v>488.136367006539</v>
      </c>
      <c r="AF36" s="20" t="s">
        <v>123</v>
      </c>
      <c r="AL36" s="11" t="s">
        <v>112</v>
      </c>
      <c r="AM36" s="46" t="n">
        <f aca="false">AN36+$AM$34</f>
        <v>0.055</v>
      </c>
      <c r="AN36" s="34" t="n">
        <v>0.045</v>
      </c>
      <c r="AO36" s="46" t="n">
        <f aca="false">AN36+$AO$34</f>
        <v>0.03</v>
      </c>
    </row>
    <row r="37" customFormat="false" ht="15" hidden="false" customHeight="true" outlineLevel="0" collapsed="false">
      <c r="B37" s="11" t="s">
        <v>124</v>
      </c>
      <c r="C37" s="42" t="n">
        <f aca="false">IF(AND(ISNUMBER(C36),ISNUMBER(C27)),IFERROR(C36/C27,""),"")</f>
        <v>0.043360433604336</v>
      </c>
      <c r="D37" s="42" t="n">
        <f aca="false">IF(AND(ISNUMBER(D36),ISNUMBER(D27)),IFERROR(D36/D27,""),"")</f>
        <v>0.0403225806451613</v>
      </c>
      <c r="E37" s="42" t="n">
        <f aca="false">IF(AND(ISNUMBER(E36),ISNUMBER(E27)),IFERROR(E36/E27,""),"")</f>
        <v>0.0423236514522822</v>
      </c>
      <c r="F37" s="42" t="n">
        <f aca="false">IF(AND(ISNUMBER(F36),ISNUMBER(F27)),IFERROR(F36/F27,""),"")</f>
        <v>0.0512351326623971</v>
      </c>
      <c r="G37" s="42" t="n">
        <f aca="false">IF(AND(ISNUMBER(G36),ISNUMBER(G27)),IFERROR(G36/G27,""),"")</f>
        <v>0.0441334768568353</v>
      </c>
      <c r="H37" s="42" t="n">
        <f aca="false">IF(AND(ISNUMBER(H36),ISNUMBER(H27)),IFERROR(H36/H27,""),"")</f>
        <v>0.0535714285714286</v>
      </c>
      <c r="I37" s="42" t="n">
        <f aca="false">IF(AND(ISNUMBER(I36),ISNUMBER(I27)),IFERROR(I36/I27,""),"")</f>
        <v>0.0545774647887324</v>
      </c>
      <c r="J37" s="42" t="n">
        <f aca="false">IF(AND(ISNUMBER(J36),ISNUMBER(J27)),IFERROR(J36/J27,""),"")</f>
        <v>0.0537459283387622</v>
      </c>
      <c r="K37" s="42" t="n">
        <f aca="false">IF(AND(ISNUMBER(K36),ISNUMBER(K27)),IFERROR(K36/K27,""),"")</f>
        <v>0.0581297388374052</v>
      </c>
      <c r="L37" s="42" t="n">
        <f aca="false">IF(AND(ISNUMBER(L36),ISNUMBER(L27)),IFERROR(L36/L27,""),"")</f>
        <v>0.0550203382573325</v>
      </c>
      <c r="M37" s="42" t="n">
        <f aca="false">IF(AND(ISNUMBER(M36),ISNUMBER(M27)),IFERROR(M36/M27,""),"")</f>
        <v>0.0597870597870598</v>
      </c>
      <c r="N37" s="42" t="n">
        <f aca="false">IF(AND(ISNUMBER(N36),ISNUMBER(N27)),IFERROR(N36/N27,""),"")</f>
        <v>0.0605345911949686</v>
      </c>
      <c r="O37" s="42" t="n">
        <f aca="false">IF(AND(ISNUMBER(O36),ISNUMBER(O27)),IFERROR(O36/O27,""),"")</f>
        <v>0.0639488409272582</v>
      </c>
      <c r="P37" s="42" t="n">
        <f aca="false">IF(AND(ISNUMBER(P36),ISNUMBER(P27)),IFERROR(P36/P27,""),"")</f>
        <v>0.069204152249135</v>
      </c>
      <c r="Q37" s="42" t="n">
        <f aca="false">IF(AND(ISNUMBER(Q36),ISNUMBER(Q27)),IFERROR(Q36/Q27,""),"")</f>
        <v>0.0632782200449071</v>
      </c>
      <c r="R37" s="42" t="n">
        <f aca="false">IF(AND(ISNUMBER(R36),ISNUMBER(R27)),IFERROR(R36/R27,""),"")</f>
        <v>0.068259385665529</v>
      </c>
      <c r="S37" s="42" t="n">
        <f aca="false">IF(AND(ISNUMBER(S36),ISNUMBER(S27)),IFERROR(S36/S27,""),"")</f>
        <v>0.0701612903225806</v>
      </c>
      <c r="T37" s="42" t="n">
        <f aca="false">IF(AND(ISNUMBER(T36),ISNUMBER(T27)),IFERROR(T36/T27,""),"")</f>
        <v>0.0709163346613546</v>
      </c>
      <c r="U37" s="42" t="n">
        <f aca="false">IF(AND(ISNUMBER(U36),ISNUMBER(U27)),IFERROR(U36/U27,""),"")</f>
        <v>0.0763948497854077</v>
      </c>
      <c r="V37" s="42" t="n">
        <f aca="false">IF(AND(ISNUMBER(V36),ISNUMBER(V27)),IFERROR(V36/V27,""),"")</f>
        <v>0.0713990066225166</v>
      </c>
      <c r="W37" s="42" t="n">
        <f aca="false">IF(AND(ISNUMBER(W36),ISNUMBER(W27)),IFERROR(W36/W27,""),"")</f>
        <v>0.0716029292107404</v>
      </c>
      <c r="X37" s="42" t="n">
        <f aca="false">IF(AND(ISNUMBER(X36),ISNUMBER(X27)),IFERROR(X36/X27,""),"")</f>
        <v>0.0637254901960784</v>
      </c>
      <c r="Y37" s="30" t="n">
        <f aca="false">IFERROR(Y36/Y27,"")</f>
        <v>0.0649724901339583</v>
      </c>
      <c r="Z37" s="30" t="n">
        <f aca="false">IFERROR(Z36/Z27,"")</f>
        <v>0.0692320502388943</v>
      </c>
      <c r="AA37" s="30" t="n">
        <f aca="false">IFERROR(AA36/AA27,"")</f>
        <v>0.0671961937592199</v>
      </c>
      <c r="AB37" s="29" t="n">
        <v>0.07</v>
      </c>
      <c r="AC37" s="29" t="n">
        <v>0.07</v>
      </c>
      <c r="AD37" s="29" t="n">
        <v>0.07</v>
      </c>
      <c r="AE37" s="29" t="n">
        <v>0.07</v>
      </c>
      <c r="AF37" s="20" t="s">
        <v>125</v>
      </c>
      <c r="AL37" s="11" t="s">
        <v>114</v>
      </c>
      <c r="AM37" s="46" t="n">
        <f aca="false">AN37+$AM$34</f>
        <v>0.055</v>
      </c>
      <c r="AN37" s="34" t="n">
        <v>0.045</v>
      </c>
      <c r="AO37" s="46" t="n">
        <f aca="false">AN37+$AO$34</f>
        <v>0.03</v>
      </c>
    </row>
    <row r="38" customFormat="false" ht="15" hidden="false" customHeight="true" outlineLevel="0" collapsed="false">
      <c r="B38" s="11" t="s">
        <v>126</v>
      </c>
      <c r="C38" s="33" t="n">
        <v>15</v>
      </c>
      <c r="D38" s="33" t="n">
        <v>15</v>
      </c>
      <c r="E38" s="33" t="n">
        <v>14</v>
      </c>
      <c r="F38" s="33" t="n">
        <v>15</v>
      </c>
      <c r="G38" s="33" t="n">
        <v>59</v>
      </c>
      <c r="H38" s="33" t="n">
        <v>4</v>
      </c>
      <c r="I38" s="33" t="n">
        <v>4</v>
      </c>
      <c r="J38" s="33" t="n">
        <v>5</v>
      </c>
      <c r="K38" s="33" t="n">
        <v>4</v>
      </c>
      <c r="L38" s="33" t="n">
        <v>17</v>
      </c>
      <c r="M38" s="33" t="n">
        <v>6</v>
      </c>
      <c r="N38" s="33" t="n">
        <v>6</v>
      </c>
      <c r="O38" s="33" t="n">
        <v>6</v>
      </c>
      <c r="P38" s="33" t="n">
        <v>6</v>
      </c>
      <c r="Q38" s="33" t="n">
        <v>25</v>
      </c>
      <c r="R38" s="33" t="n">
        <v>2</v>
      </c>
      <c r="S38" s="33" t="n">
        <v>2</v>
      </c>
      <c r="T38" s="33" t="n">
        <v>2</v>
      </c>
      <c r="U38" s="33" t="n">
        <v>2</v>
      </c>
      <c r="V38" s="33" t="n">
        <v>6</v>
      </c>
      <c r="W38" s="33" t="n">
        <v>4</v>
      </c>
      <c r="X38" s="33" t="n">
        <v>4</v>
      </c>
      <c r="Y38" s="43" t="n">
        <f aca="false">($AN$14-($W$38+$X$38))/2</f>
        <v>3</v>
      </c>
      <c r="Z38" s="43" t="n">
        <f aca="false">($AN$14-($W$38+$X$38))/2</f>
        <v>3</v>
      </c>
      <c r="AA38" s="43" t="n">
        <f aca="false">SUM(W38,X38,Y38,Z38)</f>
        <v>14</v>
      </c>
      <c r="AB38" s="48" t="n">
        <v>12</v>
      </c>
      <c r="AC38" s="48" t="n">
        <v>12</v>
      </c>
      <c r="AD38" s="48" t="n">
        <v>12</v>
      </c>
      <c r="AE38" s="48" t="n">
        <v>12</v>
      </c>
      <c r="AF38" s="20" t="s">
        <v>127</v>
      </c>
      <c r="AL38" s="11" t="s">
        <v>117</v>
      </c>
      <c r="AM38" s="46" t="n">
        <f aca="false">AN38+$AM$34</f>
        <v>0.05</v>
      </c>
      <c r="AN38" s="34" t="n">
        <v>0.04</v>
      </c>
      <c r="AO38" s="46" t="n">
        <f aca="false">AN38+$AO$34</f>
        <v>0.025</v>
      </c>
    </row>
    <row r="39" customFormat="false" ht="15" hidden="false" customHeight="true" outlineLevel="0" collapsed="false">
      <c r="B39" s="11" t="s">
        <v>128</v>
      </c>
      <c r="C39" s="33" t="n">
        <v>0</v>
      </c>
      <c r="D39" s="33" t="n">
        <v>0</v>
      </c>
      <c r="E39" s="33" t="n">
        <v>0</v>
      </c>
      <c r="F39" s="33" t="n">
        <v>55</v>
      </c>
      <c r="G39" s="33" t="n">
        <v>55</v>
      </c>
      <c r="H39" s="33" t="n">
        <v>0</v>
      </c>
      <c r="I39" s="33" t="n">
        <v>0</v>
      </c>
      <c r="J39" s="33" t="n">
        <v>0</v>
      </c>
      <c r="K39" s="33" t="n">
        <v>0</v>
      </c>
      <c r="L39" s="33" t="n">
        <v>0</v>
      </c>
      <c r="M39" s="33" t="n">
        <v>0</v>
      </c>
      <c r="N39" s="33" t="n">
        <v>0</v>
      </c>
      <c r="O39" s="33" t="n">
        <v>0</v>
      </c>
      <c r="P39" s="33" t="n">
        <v>34</v>
      </c>
      <c r="Q39" s="33" t="n">
        <v>34</v>
      </c>
      <c r="R39" s="33" t="n">
        <v>2</v>
      </c>
      <c r="S39" s="33" t="n">
        <v>0</v>
      </c>
      <c r="T39" s="33" t="n">
        <v>0</v>
      </c>
      <c r="U39" s="33" t="n">
        <v>13</v>
      </c>
      <c r="V39" s="33" t="n">
        <v>15</v>
      </c>
      <c r="W39" s="33" t="n">
        <v>0</v>
      </c>
      <c r="X39" s="33" t="n">
        <v>9</v>
      </c>
      <c r="Y39" s="48" t="n">
        <v>0</v>
      </c>
      <c r="Z39" s="48" t="n">
        <v>0</v>
      </c>
      <c r="AA39" s="43" t="n">
        <f aca="false">SUM(W39,X39,Y39,Z39)</f>
        <v>9</v>
      </c>
      <c r="AB39" s="48" t="n">
        <v>0</v>
      </c>
      <c r="AC39" s="48" t="n">
        <v>0</v>
      </c>
      <c r="AD39" s="48" t="n">
        <v>0</v>
      </c>
      <c r="AE39" s="48" t="n">
        <v>0</v>
      </c>
      <c r="AF39" s="20" t="s">
        <v>129</v>
      </c>
      <c r="AL39" s="16" t="s">
        <v>130</v>
      </c>
      <c r="AM39" s="45" t="n">
        <v>-0.01</v>
      </c>
      <c r="AN39" s="21" t="s">
        <v>107</v>
      </c>
      <c r="AO39" s="45" t="n">
        <v>0.015</v>
      </c>
      <c r="AP39" s="14" t="s">
        <v>131</v>
      </c>
    </row>
    <row r="40" customFormat="false" ht="15" hidden="false" customHeight="true" outlineLevel="0" collapsed="false">
      <c r="B40" s="11" t="s">
        <v>132</v>
      </c>
      <c r="C40" s="33" t="n">
        <v>0</v>
      </c>
      <c r="D40" s="33" t="n">
        <v>1</v>
      </c>
      <c r="E40" s="33" t="n">
        <v>1</v>
      </c>
      <c r="F40" s="33" t="n">
        <v>0</v>
      </c>
      <c r="G40" s="33" t="n">
        <v>2</v>
      </c>
      <c r="H40" s="33" t="n">
        <v>1</v>
      </c>
      <c r="I40" s="33" t="n">
        <v>0</v>
      </c>
      <c r="J40" s="33" t="n">
        <v>0</v>
      </c>
      <c r="K40" s="33" t="n">
        <v>0</v>
      </c>
      <c r="L40" s="33" t="n">
        <v>1</v>
      </c>
      <c r="M40" s="33" t="n">
        <v>0</v>
      </c>
      <c r="N40" s="33" t="n">
        <v>0</v>
      </c>
      <c r="O40" s="33" t="n">
        <v>0</v>
      </c>
      <c r="P40" s="33" t="n">
        <v>0</v>
      </c>
      <c r="Q40" s="33" t="n">
        <v>0</v>
      </c>
      <c r="R40" s="33" t="n">
        <v>0</v>
      </c>
      <c r="S40" s="33" t="n">
        <v>0</v>
      </c>
      <c r="T40" s="33" t="n">
        <v>0</v>
      </c>
      <c r="U40" s="33" t="n">
        <v>0</v>
      </c>
      <c r="V40" s="33" t="n">
        <v>0</v>
      </c>
      <c r="W40" s="33" t="n">
        <v>0</v>
      </c>
      <c r="X40" s="33" t="n">
        <v>0</v>
      </c>
      <c r="Y40" s="48" t="n">
        <v>0</v>
      </c>
      <c r="Z40" s="48" t="n">
        <v>0</v>
      </c>
      <c r="AA40" s="43" t="n">
        <f aca="false">SUM(W40,X40,Y40,Z40)</f>
        <v>0</v>
      </c>
      <c r="AB40" s="48" t="n">
        <v>0</v>
      </c>
      <c r="AC40" s="48" t="n">
        <v>0</v>
      </c>
      <c r="AD40" s="48" t="n">
        <v>0</v>
      </c>
      <c r="AE40" s="48" t="n">
        <v>0</v>
      </c>
      <c r="AL40" s="11" t="s">
        <v>110</v>
      </c>
      <c r="AM40" s="46" t="n">
        <f aca="false">AN40+$AM$39</f>
        <v>0.785</v>
      </c>
      <c r="AN40" s="34" t="n">
        <v>0.795</v>
      </c>
      <c r="AO40" s="46" t="n">
        <f aca="false">AN40+$AO$39</f>
        <v>0.81</v>
      </c>
    </row>
    <row r="41" customFormat="false" ht="15" hidden="false" customHeight="true" outlineLevel="0" collapsed="false">
      <c r="B41" s="22" t="s">
        <v>133</v>
      </c>
      <c r="C41" s="23" t="n">
        <v>186</v>
      </c>
      <c r="D41" s="23" t="n">
        <v>274</v>
      </c>
      <c r="E41" s="23" t="n">
        <v>240</v>
      </c>
      <c r="F41" s="23" t="n">
        <v>232</v>
      </c>
      <c r="G41" s="23" t="n">
        <v>932</v>
      </c>
      <c r="H41" s="23" t="n">
        <v>182</v>
      </c>
      <c r="I41" s="23" t="n">
        <v>208</v>
      </c>
      <c r="J41" s="23" t="n">
        <v>241</v>
      </c>
      <c r="K41" s="23" t="n">
        <v>233</v>
      </c>
      <c r="L41" s="23" t="n">
        <v>864</v>
      </c>
      <c r="M41" s="23" t="n">
        <v>255</v>
      </c>
      <c r="N41" s="23" t="n">
        <v>297</v>
      </c>
      <c r="O41" s="23" t="n">
        <v>284</v>
      </c>
      <c r="P41" s="23" t="n">
        <v>280</v>
      </c>
      <c r="Q41" s="23" t="n">
        <v>1115</v>
      </c>
      <c r="R41" s="23" t="n">
        <v>250</v>
      </c>
      <c r="S41" s="23" t="n">
        <v>300</v>
      </c>
      <c r="T41" s="23" t="n">
        <v>308</v>
      </c>
      <c r="U41" s="23" t="n">
        <v>285</v>
      </c>
      <c r="V41" s="23" t="n">
        <v>1142</v>
      </c>
      <c r="W41" s="23" t="n">
        <v>290</v>
      </c>
      <c r="X41" s="23" t="n">
        <v>390</v>
      </c>
      <c r="Y41" s="24" t="n">
        <f aca="false">Y30+Y36+Y38+Y39+Y40</f>
        <v>397.516029827734</v>
      </c>
      <c r="Z41" s="24" t="n">
        <f aca="false">Z30+Z36+Z38+Z39+Z40</f>
        <v>354.939005840621</v>
      </c>
      <c r="AA41" s="24" t="n">
        <f aca="false">SUM(W41,X41,Y41,Z41)</f>
        <v>1432.45503566836</v>
      </c>
      <c r="AB41" s="24" t="n">
        <f aca="false">AB30+AB36+AB38+AB39+AB40</f>
        <v>1572.36048177829</v>
      </c>
      <c r="AC41" s="24" t="n">
        <f aca="false">AC30+AC36+AC38+AC39+AC40</f>
        <v>1752.56651381886</v>
      </c>
      <c r="AD41" s="24" t="n">
        <f aca="false">AD30+AD36+AD38+AD39+AD40</f>
        <v>1941.78059859192</v>
      </c>
      <c r="AE41" s="24" t="n">
        <f aca="false">AE30+AE36+AE38+AE39+AE40</f>
        <v>2104.0130014566</v>
      </c>
      <c r="AF41" s="20" t="s">
        <v>134</v>
      </c>
      <c r="AH41" s="25" t="n">
        <f aca="false">IFERROR((AE41/V41)^(1/5)-1,"n/m")</f>
        <v>0.129994847076336</v>
      </c>
      <c r="AI41" s="25" t="n">
        <f aca="false">IFERROR((V41/G41)^(1/3)-1,"n/m")</f>
        <v>0.0700811911524009</v>
      </c>
      <c r="AL41" s="11" t="s">
        <v>112</v>
      </c>
      <c r="AM41" s="46" t="n">
        <f aca="false">AN41+$AM$39</f>
        <v>0.775</v>
      </c>
      <c r="AN41" s="34" t="n">
        <v>0.785</v>
      </c>
      <c r="AO41" s="46" t="n">
        <f aca="false">AN41+$AO$39</f>
        <v>0.8</v>
      </c>
    </row>
    <row r="42" customFormat="false" ht="15" hidden="false" customHeight="true" outlineLevel="0" collapsed="false">
      <c r="B42" s="11" t="s">
        <v>135</v>
      </c>
      <c r="C42" s="42" t="n">
        <f aca="false">IF(AND(ISNUMBER(C41),ISNUMBER(C27)),IFERROR(C41/C27,""),"")</f>
        <v>0.168021680216802</v>
      </c>
      <c r="D42" s="42" t="n">
        <f aca="false">IF(AND(ISNUMBER(D41),ISNUMBER(D27)),IFERROR(D41/D27,""),"")</f>
        <v>0.220967741935484</v>
      </c>
      <c r="E42" s="42" t="n">
        <f aca="false">IF(AND(ISNUMBER(E41),ISNUMBER(E27)),IFERROR(E41/E27,""),"")</f>
        <v>0.199170124481328</v>
      </c>
      <c r="F42" s="42" t="n">
        <f aca="false">IF(AND(ISNUMBER(F41),ISNUMBER(F27)),IFERROR(F41/F27,""),"")</f>
        <v>0.212259835315645</v>
      </c>
      <c r="G42" s="42" t="n">
        <f aca="false">IF(AND(ISNUMBER(G41),ISNUMBER(G27)),IFERROR(G41/G27,""),"")</f>
        <v>0.200645855758881</v>
      </c>
      <c r="H42" s="42" t="n">
        <f aca="false">IF(AND(ISNUMBER(H41),ISNUMBER(H27)),IFERROR(H41/H27,""),"")</f>
        <v>0.1625</v>
      </c>
      <c r="I42" s="42" t="n">
        <f aca="false">IF(AND(ISNUMBER(I41),ISNUMBER(I27)),IFERROR(I41/I27,""),"")</f>
        <v>0.183098591549296</v>
      </c>
      <c r="J42" s="42" t="n">
        <f aca="false">IF(AND(ISNUMBER(J41),ISNUMBER(J27)),IFERROR(J41/J27,""),"")</f>
        <v>0.196254071661238</v>
      </c>
      <c r="K42" s="42" t="n">
        <f aca="false">IF(AND(ISNUMBER(K41),ISNUMBER(K27)),IFERROR(K41/K27,""),"")</f>
        <v>0.196293176074137</v>
      </c>
      <c r="L42" s="42" t="n">
        <f aca="false">IF(AND(ISNUMBER(L41),ISNUMBER(L27)),IFERROR(L41/L27,""),"")</f>
        <v>0.184971098265896</v>
      </c>
      <c r="M42" s="42" t="n">
        <f aca="false">IF(AND(ISNUMBER(M41),ISNUMBER(M27)),IFERROR(M41/M27,""),"")</f>
        <v>0.208845208845209</v>
      </c>
      <c r="N42" s="42" t="n">
        <f aca="false">IF(AND(ISNUMBER(N41),ISNUMBER(N27)),IFERROR(N41/N27,""),"")</f>
        <v>0.233490566037736</v>
      </c>
      <c r="O42" s="42" t="n">
        <f aca="false">IF(AND(ISNUMBER(O41),ISNUMBER(O27)),IFERROR(O41/O27,""),"")</f>
        <v>0.227018385291767</v>
      </c>
      <c r="P42" s="42" t="n">
        <f aca="false">IF(AND(ISNUMBER(P41),ISNUMBER(P27)),IFERROR(P41/P27,""),"")</f>
        <v>0.242214532871972</v>
      </c>
      <c r="Q42" s="42" t="n">
        <f aca="false">IF(AND(ISNUMBER(Q41),ISNUMBER(Q27)),IFERROR(Q41/Q27,""),"")</f>
        <v>0.227597468871198</v>
      </c>
      <c r="R42" s="42" t="n">
        <f aca="false">IF(AND(ISNUMBER(R41),ISNUMBER(R27)),IFERROR(R41/R27,""),"")</f>
        <v>0.213310580204778</v>
      </c>
      <c r="S42" s="42" t="n">
        <f aca="false">IF(AND(ISNUMBER(S41),ISNUMBER(S27)),IFERROR(S41/S27,""),"")</f>
        <v>0.241935483870968</v>
      </c>
      <c r="T42" s="42" t="n">
        <f aca="false">IF(AND(ISNUMBER(T41),ISNUMBER(T27)),IFERROR(T41/T27,""),"")</f>
        <v>0.245418326693227</v>
      </c>
      <c r="U42" s="42" t="n">
        <f aca="false">IF(AND(ISNUMBER(U41),ISNUMBER(U27)),IFERROR(U41/U27,""),"")</f>
        <v>0.244635193133047</v>
      </c>
      <c r="V42" s="42" t="n">
        <f aca="false">IF(AND(ISNUMBER(V41),ISNUMBER(V27)),IFERROR(V41/V27,""),"")</f>
        <v>0.236341059602649</v>
      </c>
      <c r="W42" s="42" t="n">
        <f aca="false">IF(AND(ISNUMBER(W41),ISNUMBER(W27)),IFERROR(W41/W27,""),"")</f>
        <v>0.235964198535395</v>
      </c>
      <c r="X42" s="42" t="n">
        <f aca="false">IF(AND(ISNUMBER(X41),ISNUMBER(X27)),IFERROR(X41/X27,""),"")</f>
        <v>0.273109243697479</v>
      </c>
      <c r="Y42" s="30" t="n">
        <f aca="false">IFERROR(Y41/Y27,"")</f>
        <v>0.270743221169678</v>
      </c>
      <c r="Z42" s="30" t="n">
        <f aca="false">IFERROR(Z41/Z27,"")</f>
        <v>0.257593176765105</v>
      </c>
      <c r="AA42" s="30" t="n">
        <f aca="false">IFERROR(AA41/AA27,"")</f>
        <v>0.260297512159332</v>
      </c>
      <c r="AB42" s="30" t="n">
        <f aca="false">IFERROR(AB41/AB27,"")</f>
        <v>0.277114895909334</v>
      </c>
      <c r="AC42" s="30" t="n">
        <f aca="false">IFERROR(AC41/AC27,"")</f>
        <v>0.286964877511343</v>
      </c>
      <c r="AD42" s="30" t="n">
        <f aca="false">IFERROR(AD41/AD27,"")</f>
        <v>0.296834405425458</v>
      </c>
      <c r="AE42" s="30" t="n">
        <f aca="false">IFERROR(AE41/AE27,"")</f>
        <v>0.301720830605495</v>
      </c>
      <c r="AH42" s="44" t="n">
        <f aca="false">IFERROR(AVERAGE(AA42,AB42,AC42,AD42,AE42),"n/m")</f>
        <v>0.284586504322193</v>
      </c>
      <c r="AI42" s="44" t="n">
        <f aca="false">IFERROR(AVERAGE(G42,L42,Q42,V42),"n/m")</f>
        <v>0.212388870624656</v>
      </c>
      <c r="AL42" s="11" t="s">
        <v>114</v>
      </c>
      <c r="AM42" s="46" t="n">
        <f aca="false">AN42+$AM$39</f>
        <v>0.765</v>
      </c>
      <c r="AN42" s="34" t="n">
        <v>0.775</v>
      </c>
      <c r="AO42" s="46" t="n">
        <f aca="false">AN42+$AO$39</f>
        <v>0.79</v>
      </c>
    </row>
    <row r="43" customFormat="false" ht="15" hidden="false" customHeight="true" outlineLevel="0" collapsed="false">
      <c r="B43" s="27" t="s">
        <v>136</v>
      </c>
      <c r="H43" s="28" t="n">
        <f aca="false">IF(AND(ISNUMBER(H41),ISNUMBER(C41)),IFERROR(H41/C41-1,""),"")</f>
        <v>-0.021505376344086</v>
      </c>
      <c r="I43" s="28" t="n">
        <f aca="false">IF(AND(ISNUMBER(I41),ISNUMBER(D41)),IFERROR(I41/D41-1,""),"")</f>
        <v>-0.240875912408759</v>
      </c>
      <c r="J43" s="28" t="n">
        <f aca="false">IF(AND(ISNUMBER(J41),ISNUMBER(E41)),IFERROR(J41/E41-1,""),"")</f>
        <v>0.00416666666666665</v>
      </c>
      <c r="K43" s="28" t="n">
        <f aca="false">IF(AND(ISNUMBER(K41),ISNUMBER(F41)),IFERROR(K41/F41-1,""),"")</f>
        <v>0.0043103448275863</v>
      </c>
      <c r="L43" s="28" t="n">
        <f aca="false">IF(AND(ISNUMBER(L41),ISNUMBER(G41)),IFERROR(L41/G41-1,""),"")</f>
        <v>-0.072961373390558</v>
      </c>
      <c r="M43" s="28" t="n">
        <f aca="false">IF(AND(ISNUMBER(M41),ISNUMBER(H41)),IFERROR(M41/H41-1,""),"")</f>
        <v>0.401098901098901</v>
      </c>
      <c r="N43" s="28" t="n">
        <f aca="false">IF(AND(ISNUMBER(N41),ISNUMBER(I41)),IFERROR(N41/I41-1,""),"")</f>
        <v>0.427884615384615</v>
      </c>
      <c r="O43" s="28" t="n">
        <f aca="false">IF(AND(ISNUMBER(O41),ISNUMBER(J41)),IFERROR(O41/J41-1,""),"")</f>
        <v>0.178423236514523</v>
      </c>
      <c r="P43" s="28" t="n">
        <f aca="false">IF(AND(ISNUMBER(P41),ISNUMBER(K41)),IFERROR(P41/K41-1,""),"")</f>
        <v>0.201716738197425</v>
      </c>
      <c r="Q43" s="28" t="n">
        <f aca="false">IF(AND(ISNUMBER(Q41),ISNUMBER(L41)),IFERROR(Q41/L41-1,""),"")</f>
        <v>0.290509259259259</v>
      </c>
      <c r="R43" s="28" t="n">
        <f aca="false">IF(AND(ISNUMBER(R41),ISNUMBER(M41)),IFERROR(R41/M41-1,""),"")</f>
        <v>-0.0196078431372549</v>
      </c>
      <c r="S43" s="28" t="n">
        <f aca="false">IF(AND(ISNUMBER(S41),ISNUMBER(N41)),IFERROR(S41/N41-1,""),"")</f>
        <v>0.0101010101010102</v>
      </c>
      <c r="T43" s="28" t="n">
        <f aca="false">IF(AND(ISNUMBER(T41),ISNUMBER(O41)),IFERROR(T41/O41-1,""),"")</f>
        <v>0.0845070422535212</v>
      </c>
      <c r="U43" s="28" t="n">
        <f aca="false">IF(AND(ISNUMBER(U41),ISNUMBER(P41)),IFERROR(U41/P41-1,""),"")</f>
        <v>0.0178571428571428</v>
      </c>
      <c r="V43" s="28" t="n">
        <f aca="false">IF(AND(ISNUMBER(V41),ISNUMBER(Q41)),IFERROR(V41/Q41-1,""),"")</f>
        <v>0.0242152466367713</v>
      </c>
      <c r="W43" s="28" t="n">
        <f aca="false">IF(AND(ISNUMBER(W41),ISNUMBER(R41)),IFERROR(W41/R41-1,""),"")</f>
        <v>0.16</v>
      </c>
      <c r="X43" s="28" t="n">
        <f aca="false">IF(AND(ISNUMBER(X41),ISNUMBER(S41)),IFERROR(X41/S41-1,""),"")</f>
        <v>0.3</v>
      </c>
      <c r="Y43" s="30" t="n">
        <f aca="false">IFERROR(Y41/T41-1,"")</f>
        <v>0.290636460479657</v>
      </c>
      <c r="Z43" s="30" t="n">
        <f aca="false">IFERROR(Z41/U41-1,"")</f>
        <v>0.245400020493408</v>
      </c>
      <c r="AA43" s="30" t="n">
        <f aca="false">IFERROR(AA41/V41-1,"")</f>
        <v>0.254338910392605</v>
      </c>
      <c r="AB43" s="30" t="n">
        <f aca="false">IFERROR(AB41/AA41-1,"")</f>
        <v>0.0976682985687252</v>
      </c>
      <c r="AC43" s="30" t="n">
        <f aca="false">IFERROR(AC41/AB41-1,"")</f>
        <v>0.114608599064235</v>
      </c>
      <c r="AD43" s="30" t="n">
        <f aca="false">IFERROR(AD41/AC41-1,"")</f>
        <v>0.107963996391075</v>
      </c>
      <c r="AE43" s="30" t="n">
        <f aca="false">IFERROR(AE41/AD41-1,"")</f>
        <v>0.0835482664634299</v>
      </c>
      <c r="AL43" s="11" t="s">
        <v>117</v>
      </c>
      <c r="AM43" s="46" t="n">
        <f aca="false">AN43+$AM$39</f>
        <v>0.76</v>
      </c>
      <c r="AN43" s="34" t="n">
        <v>0.77</v>
      </c>
      <c r="AO43" s="46" t="n">
        <f aca="false">AN43+$AO$39</f>
        <v>0.785</v>
      </c>
    </row>
    <row r="44" customFormat="false" ht="15" hidden="false" customHeight="true" outlineLevel="0" collapsed="false">
      <c r="B44" s="49" t="s">
        <v>137</v>
      </c>
      <c r="C44" s="50" t="n">
        <f aca="false">IF(ABS(ROUND(C30+C36+C38+C39+C40-C41,1))&lt;=1,0,ROUND(C30+C36+C38+C39+C40-C41,1))</f>
        <v>0</v>
      </c>
      <c r="D44" s="50" t="n">
        <f aca="false">IF(ABS(ROUND(D30+D36+D38+D39+D40-D41,1))&lt;=1,0,ROUND(D30+D36+D38+D39+D40-D41,1))</f>
        <v>0</v>
      </c>
      <c r="E44" s="50" t="n">
        <f aca="false">IF(ABS(ROUND(E30+E36+E38+E39+E40-E41,1))&lt;=1,0,ROUND(E30+E36+E38+E39+E40-E41,1))</f>
        <v>0</v>
      </c>
      <c r="F44" s="50" t="n">
        <f aca="false">IF(ABS(ROUND(F30+F36+F38+F39+F40-F41,1))&lt;=1,0,ROUND(F30+F36+F38+F39+F40-F41,1))</f>
        <v>0</v>
      </c>
      <c r="G44" s="50" t="n">
        <f aca="false">IF(ABS(ROUND(G30+G36+G38+G39+G40-G41,1))&lt;=1,0,ROUND(G30+G36+G38+G39+G40-G41,1))</f>
        <v>0</v>
      </c>
      <c r="H44" s="50" t="n">
        <f aca="false">IF(ABS(ROUND(H30+H36+H38+H39+H40-H41,1))&lt;=1,0,ROUND(H30+H36+H38+H39+H40-H41,1))</f>
        <v>0</v>
      </c>
      <c r="I44" s="50" t="n">
        <f aca="false">IF(ABS(ROUND(I30+I36+I38+I39+I40-I41,1))&lt;=1,0,ROUND(I30+I36+I38+I39+I40-I41,1))</f>
        <v>0</v>
      </c>
      <c r="J44" s="50" t="n">
        <f aca="false">IF(ABS(ROUND(J30+J36+J38+J39+J40-J41,1))&lt;=1,0,ROUND(J30+J36+J38+J39+J40-J41,1))</f>
        <v>0</v>
      </c>
      <c r="K44" s="50" t="n">
        <f aca="false">IF(ABS(ROUND(K30+K36+K38+K39+K40-K41,1))&lt;=1,0,ROUND(K30+K36+K38+K39+K40-K41,1))</f>
        <v>0</v>
      </c>
      <c r="L44" s="50" t="n">
        <f aca="false">IF(ABS(ROUND(L30+L36+L38+L39+L40-L41,1))&lt;=1,0,ROUND(L30+L36+L38+L39+L40-L41,1))</f>
        <v>0</v>
      </c>
      <c r="M44" s="50" t="n">
        <f aca="false">IF(ABS(ROUND(M30+M36+M38+M39+M40-M41,1))&lt;=1,0,ROUND(M30+M36+M38+M39+M40-M41,1))</f>
        <v>0</v>
      </c>
      <c r="N44" s="50" t="n">
        <f aca="false">IF(ABS(ROUND(N30+N36+N38+N39+N40-N41,1))&lt;=1,0,ROUND(N30+N36+N38+N39+N40-N41,1))</f>
        <v>0</v>
      </c>
      <c r="O44" s="50" t="n">
        <f aca="false">IF(ABS(ROUND(O30+O36+O38+O39+O40-O41,1))&lt;=1,0,ROUND(O30+O36+O38+O39+O40-O41,1))</f>
        <v>0</v>
      </c>
      <c r="P44" s="50" t="n">
        <f aca="false">IF(ABS(ROUND(P30+P36+P38+P39+P40-P41,1))&lt;=1,0,ROUND(P30+P36+P38+P39+P40-P41,1))</f>
        <v>0</v>
      </c>
      <c r="Q44" s="50" t="n">
        <f aca="false">IF(ABS(ROUND(Q30+Q36+Q38+Q39+Q40-Q41,1))&lt;=1,0,ROUND(Q30+Q36+Q38+Q39+Q40-Q41,1))</f>
        <v>0</v>
      </c>
      <c r="R44" s="50" t="n">
        <f aca="false">IF(ABS(ROUND(R30+R36+R38+R39+R40-R41,1))&lt;=1,0,ROUND(R30+R36+R38+R39+R40-R41,1))</f>
        <v>0</v>
      </c>
      <c r="S44" s="50" t="n">
        <f aca="false">IF(ABS(ROUND(S30+S36+S38+S39+S40-S41,1))&lt;=1,0,ROUND(S30+S36+S38+S39+S40-S41,1))</f>
        <v>0</v>
      </c>
      <c r="T44" s="50" t="n">
        <f aca="false">IF(ABS(ROUND(T30+T36+T38+T39+T40-T41,1))&lt;=1,0,ROUND(T30+T36+T38+T39+T40-T41,1))</f>
        <v>0</v>
      </c>
      <c r="U44" s="50" t="n">
        <f aca="false">IF(ABS(ROUND(U30+U36+U38+U39+U40-U41,1))&lt;=1,0,ROUND(U30+U36+U38+U39+U40-U41,1))</f>
        <v>0</v>
      </c>
      <c r="V44" s="50" t="n">
        <f aca="false">IF(ABS(ROUND(V30+V36+V38+V39+V40-V41,1))&lt;=1,0,ROUND(V30+V36+V38+V39+V40-V41,1))</f>
        <v>0</v>
      </c>
      <c r="W44" s="50" t="n">
        <f aca="false">IF(ABS(ROUND(W30+W36+W38+W39+W40-W41,1))&lt;=1,0,ROUND(W30+W36+W38+W39+W40-W41,1))</f>
        <v>0</v>
      </c>
      <c r="X44" s="50" t="n">
        <f aca="false">IF(ABS(ROUND(X30+X36+X38+X39+X40-X41,1))&lt;=1,0,ROUND(X30+X36+X38+X39+X40-X41,1))</f>
        <v>0</v>
      </c>
      <c r="Y44" s="43" t="n">
        <f aca="false">IF(ABS(ROUND(Y30+Y36+Y38+Y39+Y40-Y41,1))&lt;=1,0,ROUND(Y30+Y36+Y38+Y39+Y40-Y41,1))</f>
        <v>0</v>
      </c>
      <c r="Z44" s="43" t="n">
        <f aca="false">IF(ABS(ROUND(Z30+Z36+Z38+Z39+Z40-Z41,1))&lt;=1,0,ROUND(Z30+Z36+Z38+Z39+Z40-Z41,1))</f>
        <v>0</v>
      </c>
      <c r="AA44" s="43" t="n">
        <f aca="false">IF(ABS(ROUND(AA30+AA36+AA38+AA39+AA40-AA41,1))&lt;=1,0,ROUND(AA30+AA36+AA38+AA39+AA40-AA41,1))</f>
        <v>0</v>
      </c>
      <c r="AB44" s="43" t="n">
        <f aca="false">IF(ABS(ROUND(AB30+AB36+AB38+AB39+AB40-AB41,1))&lt;=1,0,ROUND(AB30+AB36+AB38+AB39+AB40-AB41,1))</f>
        <v>0</v>
      </c>
      <c r="AC44" s="43" t="n">
        <f aca="false">IF(ABS(ROUND(AC30+AC36+AC38+AC39+AC40-AC41,1))&lt;=1,0,ROUND(AC30+AC36+AC38+AC39+AC40-AC41,1))</f>
        <v>0</v>
      </c>
      <c r="AD44" s="43" t="n">
        <f aca="false">IF(ABS(ROUND(AD30+AD36+AD38+AD39+AD40-AD41,1))&lt;=1,0,ROUND(AD30+AD36+AD38+AD39+AD40-AD41,1))</f>
        <v>0</v>
      </c>
      <c r="AE44" s="43" t="n">
        <f aca="false">IF(ABS(ROUND(AE30+AE36+AE38+AE39+AE40-AE41,1))&lt;=1,0,ROUND(AE30+AE36+AE38+AE39+AE40-AE41,1))</f>
        <v>0</v>
      </c>
      <c r="AL44" s="16" t="s">
        <v>138</v>
      </c>
      <c r="AM44" s="45" t="n">
        <v>0.02</v>
      </c>
      <c r="AN44" s="21" t="s">
        <v>107</v>
      </c>
      <c r="AO44" s="45" t="n">
        <v>-0.02</v>
      </c>
      <c r="AP44" s="14" t="s">
        <v>139</v>
      </c>
    </row>
    <row r="45" customFormat="false" ht="15" hidden="false" customHeight="true" outlineLevel="0" collapsed="false">
      <c r="B45" s="11" t="s">
        <v>140</v>
      </c>
      <c r="C45" s="33" t="n">
        <v>8</v>
      </c>
      <c r="D45" s="33" t="n">
        <v>9</v>
      </c>
      <c r="E45" s="33" t="n">
        <v>9</v>
      </c>
      <c r="F45" s="33" t="n">
        <v>8</v>
      </c>
      <c r="G45" s="33" t="n">
        <v>34</v>
      </c>
      <c r="H45" s="33" t="n">
        <v>8</v>
      </c>
      <c r="I45" s="33" t="n">
        <v>9</v>
      </c>
      <c r="J45" s="33" t="n">
        <v>9</v>
      </c>
      <c r="K45" s="33" t="n">
        <v>8</v>
      </c>
      <c r="L45" s="33" t="n">
        <v>34</v>
      </c>
      <c r="M45" s="33" t="n">
        <v>9</v>
      </c>
      <c r="N45" s="33" t="n">
        <v>9</v>
      </c>
      <c r="O45" s="33" t="n">
        <v>9</v>
      </c>
      <c r="P45" s="33" t="n">
        <v>9</v>
      </c>
      <c r="Q45" s="33" t="n">
        <v>36</v>
      </c>
      <c r="R45" s="33" t="n">
        <v>9</v>
      </c>
      <c r="S45" s="33" t="n">
        <v>9</v>
      </c>
      <c r="T45" s="33" t="n">
        <v>9</v>
      </c>
      <c r="U45" s="33" t="n">
        <v>9</v>
      </c>
      <c r="V45" s="33" t="n">
        <v>36</v>
      </c>
      <c r="W45" s="33" t="n">
        <v>9</v>
      </c>
      <c r="X45" s="33" t="n">
        <v>9</v>
      </c>
      <c r="Y45" s="43" t="n">
        <f aca="false">Y99*$V$45/($V$45+$V$60)</f>
        <v>9.1578947368421</v>
      </c>
      <c r="Z45" s="43" t="n">
        <f aca="false">Z99*$V$45/($V$45+$V$60)</f>
        <v>9.1578947368421</v>
      </c>
      <c r="AA45" s="43" t="n">
        <f aca="false">SUM(W45,X45,Y45,Z45)</f>
        <v>36.3157894736842</v>
      </c>
      <c r="AB45" s="43" t="n">
        <f aca="false">AB99*$V$45/($V$45+$V$60)</f>
        <v>37.2631578947368</v>
      </c>
      <c r="AC45" s="43" t="n">
        <f aca="false">AC99*$V$45/($V$45+$V$60)</f>
        <v>29.0526315789474</v>
      </c>
      <c r="AD45" s="43" t="n">
        <f aca="false">AD99*$V$45/($V$45+$V$60)</f>
        <v>22.7368421052632</v>
      </c>
      <c r="AE45" s="43" t="n">
        <f aca="false">AE99*$V$45/($V$45+$V$60)</f>
        <v>22.7368421052632</v>
      </c>
      <c r="AF45" s="20" t="s">
        <v>141</v>
      </c>
      <c r="AL45" s="11" t="s">
        <v>110</v>
      </c>
      <c r="AM45" s="46" t="n">
        <f aca="false">AN45+$AM$44</f>
        <v>0.05</v>
      </c>
      <c r="AN45" s="34" t="n">
        <v>0.03</v>
      </c>
      <c r="AO45" s="46" t="n">
        <f aca="false">AN45+$AO$44</f>
        <v>0.01</v>
      </c>
    </row>
    <row r="46" customFormat="false" ht="15" hidden="false" customHeight="true" outlineLevel="0" collapsed="false">
      <c r="B46" s="11" t="s">
        <v>142</v>
      </c>
      <c r="C46" s="33" t="n">
        <v>3</v>
      </c>
      <c r="D46" s="33" t="n">
        <v>2</v>
      </c>
      <c r="E46" s="33" t="n">
        <v>2</v>
      </c>
      <c r="F46" s="33" t="n">
        <v>1</v>
      </c>
      <c r="G46" s="33" t="n">
        <v>8</v>
      </c>
      <c r="H46" s="33" t="n">
        <v>6</v>
      </c>
      <c r="I46" s="33" t="n">
        <v>4</v>
      </c>
      <c r="J46" s="33" t="n">
        <v>0</v>
      </c>
      <c r="K46" s="33" t="n">
        <v>2</v>
      </c>
      <c r="L46" s="33" t="n">
        <v>12</v>
      </c>
      <c r="M46" s="33" t="n">
        <v>0</v>
      </c>
      <c r="N46" s="33" t="n">
        <v>1</v>
      </c>
      <c r="O46" s="33" t="n">
        <v>0</v>
      </c>
      <c r="P46" s="33" t="n">
        <v>5</v>
      </c>
      <c r="Q46" s="33" t="n">
        <v>8</v>
      </c>
      <c r="R46" s="33" t="n">
        <v>0</v>
      </c>
      <c r="S46" s="33" t="n">
        <v>4</v>
      </c>
      <c r="T46" s="33" t="n">
        <v>0</v>
      </c>
      <c r="U46" s="33" t="n">
        <v>1</v>
      </c>
      <c r="V46" s="33" t="n">
        <v>5</v>
      </c>
      <c r="W46" s="33" t="n">
        <v>0</v>
      </c>
      <c r="X46" s="33" t="n">
        <v>1</v>
      </c>
      <c r="Y46" s="48" t="n">
        <v>1</v>
      </c>
      <c r="Z46" s="48" t="n">
        <v>1</v>
      </c>
      <c r="AA46" s="43" t="n">
        <f aca="false">SUM(W46,X46,Y46,Z46)</f>
        <v>3</v>
      </c>
      <c r="AB46" s="48" t="n">
        <v>0</v>
      </c>
      <c r="AC46" s="48" t="n">
        <v>0</v>
      </c>
      <c r="AD46" s="48" t="n">
        <v>0</v>
      </c>
      <c r="AE46" s="48" t="n">
        <v>0</v>
      </c>
      <c r="AF46" s="20" t="s">
        <v>143</v>
      </c>
      <c r="AL46" s="11" t="s">
        <v>112</v>
      </c>
      <c r="AM46" s="46" t="n">
        <f aca="false">AN46+$AM$44</f>
        <v>0.05</v>
      </c>
      <c r="AN46" s="34" t="n">
        <v>0.03</v>
      </c>
      <c r="AO46" s="46" t="n">
        <f aca="false">AN46+$AO$44</f>
        <v>0.01</v>
      </c>
    </row>
    <row r="47" customFormat="false" ht="15" hidden="false" customHeight="true" outlineLevel="0" collapsed="false">
      <c r="B47" s="22" t="s">
        <v>144</v>
      </c>
      <c r="C47" s="23" t="n">
        <v>112</v>
      </c>
      <c r="D47" s="23" t="n">
        <v>197</v>
      </c>
      <c r="E47" s="23" t="n">
        <v>162</v>
      </c>
      <c r="F47" s="23" t="n">
        <v>152</v>
      </c>
      <c r="G47" s="23" t="n">
        <v>623</v>
      </c>
      <c r="H47" s="23" t="n">
        <v>103</v>
      </c>
      <c r="I47" s="23" t="n">
        <v>129</v>
      </c>
      <c r="J47" s="23" t="n">
        <v>161</v>
      </c>
      <c r="K47" s="23" t="n">
        <v>149</v>
      </c>
      <c r="L47" s="23" t="n">
        <v>542</v>
      </c>
      <c r="M47" s="23" t="n">
        <v>165</v>
      </c>
      <c r="N47" s="23" t="n">
        <v>203</v>
      </c>
      <c r="O47" s="23" t="n">
        <v>188</v>
      </c>
      <c r="P47" s="23" t="n">
        <v>179</v>
      </c>
      <c r="Q47" s="23" t="n">
        <v>735</v>
      </c>
      <c r="R47" s="23" t="n">
        <v>158</v>
      </c>
      <c r="S47" s="23" t="n">
        <v>199</v>
      </c>
      <c r="T47" s="23" t="n">
        <v>208</v>
      </c>
      <c r="U47" s="23" t="n">
        <v>184</v>
      </c>
      <c r="V47" s="23" t="n">
        <v>749</v>
      </c>
      <c r="W47" s="23" t="n">
        <v>189</v>
      </c>
      <c r="X47" s="23" t="n">
        <v>285</v>
      </c>
      <c r="Y47" s="24" t="n">
        <f aca="false">Y30-Y45-Y46+Y39</f>
        <v>288.962925510054</v>
      </c>
      <c r="Z47" s="24" t="n">
        <f aca="false">Z30-Z45-Z46+Z39</f>
        <v>246.385901522941</v>
      </c>
      <c r="AA47" s="24" t="n">
        <f aca="false">SUM(W47,X47,Y47,Z47)</f>
        <v>1009.34882703299</v>
      </c>
      <c r="AB47" s="24" t="n">
        <f aca="false">AB30-AB45-AB46+AB39</f>
        <v>1125.91465579453</v>
      </c>
      <c r="AC47" s="24" t="n">
        <f aca="false">AC30-AC45-AC46+AC39</f>
        <v>1284.0063174423</v>
      </c>
      <c r="AD47" s="24" t="n">
        <f aca="false">AD30-AD45-AD46+AD39</f>
        <v>1449.12971614281</v>
      </c>
      <c r="AE47" s="24" t="n">
        <f aca="false">AE30-AE45-AE46+AE39</f>
        <v>1581.13979234479</v>
      </c>
      <c r="AF47" s="20" t="s">
        <v>145</v>
      </c>
      <c r="AH47" s="25" t="n">
        <f aca="false">IFERROR((AE47/V47)^(1/5)-1,"n/m")</f>
        <v>0.161175035431497</v>
      </c>
      <c r="AI47" s="25" t="n">
        <f aca="false">IFERROR((V47/G47)^(1/3)-1,"n/m")</f>
        <v>0.0633214879878488</v>
      </c>
      <c r="AL47" s="11" t="s">
        <v>114</v>
      </c>
      <c r="AM47" s="46" t="n">
        <f aca="false">AN47+$AM$44</f>
        <v>0.05</v>
      </c>
      <c r="AN47" s="34" t="n">
        <v>0.03</v>
      </c>
      <c r="AO47" s="46" t="n">
        <f aca="false">AN47+$AO$44</f>
        <v>0.01</v>
      </c>
    </row>
    <row r="48" customFormat="false" ht="15" hidden="false" customHeight="true" outlineLevel="0" collapsed="false">
      <c r="B48" s="11" t="s">
        <v>146</v>
      </c>
      <c r="C48" s="42" t="n">
        <f aca="false">IFERROR(1-C47/C27,"")</f>
        <v>0.898825654923216</v>
      </c>
      <c r="D48" s="42" t="n">
        <f aca="false">IFERROR(1-D47/D27,"")</f>
        <v>0.841129032258065</v>
      </c>
      <c r="E48" s="42" t="n">
        <f aca="false">IFERROR(1-E47/E27,"")</f>
        <v>0.865560165975104</v>
      </c>
      <c r="F48" s="42" t="n">
        <f aca="false">IFERROR(1-F47/F27,"")</f>
        <v>0.860933211344922</v>
      </c>
      <c r="G48" s="42" t="n">
        <f aca="false">IFERROR(1-G47/G27,"")</f>
        <v>0.865877287405813</v>
      </c>
      <c r="H48" s="42" t="n">
        <f aca="false">IFERROR(1-H47/H27,"")</f>
        <v>0.908035714285714</v>
      </c>
      <c r="I48" s="42" t="n">
        <f aca="false">IFERROR(1-I47/I27,"")</f>
        <v>0.886443661971831</v>
      </c>
      <c r="J48" s="42" t="n">
        <f aca="false">IFERROR(1-J47/J27,"")</f>
        <v>0.868892508143323</v>
      </c>
      <c r="K48" s="42" t="n">
        <f aca="false">IFERROR(1-K47/K27,"")</f>
        <v>0.874473462510531</v>
      </c>
      <c r="L48" s="42" t="n">
        <f aca="false">IFERROR(1-L47/L27,"")</f>
        <v>0.883964889745237</v>
      </c>
      <c r="M48" s="42" t="n">
        <f aca="false">IFERROR(1-M47/M27,"")</f>
        <v>0.864864864864865</v>
      </c>
      <c r="N48" s="42" t="n">
        <f aca="false">IFERROR(1-N47/N27,"")</f>
        <v>0.840408805031447</v>
      </c>
      <c r="O48" s="42" t="n">
        <f aca="false">IFERROR(1-O47/O27,"")</f>
        <v>0.849720223820943</v>
      </c>
      <c r="P48" s="42" t="n">
        <f aca="false">IFERROR(1-P47/P27,"")</f>
        <v>0.845155709342561</v>
      </c>
      <c r="Q48" s="42" t="n">
        <f aca="false">IFERROR(1-Q47/Q27,"")</f>
        <v>0.84996938150643</v>
      </c>
      <c r="R48" s="42" t="n">
        <f aca="false">IFERROR(1-R47/R27,"")</f>
        <v>0.86518771331058</v>
      </c>
      <c r="S48" s="42" t="n">
        <f aca="false">IFERROR(1-S47/S27,"")</f>
        <v>0.839516129032258</v>
      </c>
      <c r="T48" s="42" t="n">
        <f aca="false">IFERROR(1-T47/T27,"")</f>
        <v>0.834262948207171</v>
      </c>
      <c r="U48" s="42" t="n">
        <f aca="false">IFERROR(1-U47/U27,"")</f>
        <v>0.84206008583691</v>
      </c>
      <c r="V48" s="42" t="n">
        <f aca="false">IFERROR(1-V47/V27,"")</f>
        <v>0.844991721854305</v>
      </c>
      <c r="W48" s="42" t="n">
        <f aca="false">IFERROR(1-W47/W27,"")</f>
        <v>0.846216436126932</v>
      </c>
      <c r="X48" s="42" t="n">
        <f aca="false">IFERROR(1-X47/X27,"")</f>
        <v>0.800420168067227</v>
      </c>
      <c r="Y48" s="30" t="n">
        <f aca="false">IFERROR(1-Y47/Y27,"")</f>
        <v>0.80319094733083</v>
      </c>
      <c r="Z48" s="30" t="n">
        <f aca="false">IFERROR(1-Z47/Z27,"")</f>
        <v>0.821188074460525</v>
      </c>
      <c r="AA48" s="30" t="n">
        <f aca="false">IFERROR(1-AA47/AA27,"")</f>
        <v>0.816586921030269</v>
      </c>
      <c r="AB48" s="30" t="n">
        <f aca="false">IFERROR(1-AB47/AB27,"")</f>
        <v>0.801567308350039</v>
      </c>
      <c r="AC48" s="30" t="n">
        <f aca="false">IFERROR(1-AC47/AC27,"")</f>
        <v>0.789757071869568</v>
      </c>
      <c r="AD48" s="30" t="n">
        <f aca="false">IFERROR(1-AD47/AD27,"")</f>
        <v>0.778475715542973</v>
      </c>
      <c r="AE48" s="30" t="n">
        <f aca="false">IFERROR(1-AE47/AE27,"")</f>
        <v>0.773260521147254</v>
      </c>
      <c r="AL48" s="11" t="s">
        <v>117</v>
      </c>
      <c r="AM48" s="46" t="n">
        <f aca="false">AN48+$AM$44</f>
        <v>0.05</v>
      </c>
      <c r="AN48" s="34" t="n">
        <v>0.03</v>
      </c>
      <c r="AO48" s="46" t="n">
        <f aca="false">AN48+$AO$44</f>
        <v>0.01</v>
      </c>
    </row>
    <row r="49" customFormat="false" ht="15" hidden="false" customHeight="true" outlineLevel="0" collapsed="false">
      <c r="B49" s="11"/>
      <c r="AL49" s="16" t="s">
        <v>147</v>
      </c>
      <c r="AM49" s="45" t="n">
        <v>0.0075</v>
      </c>
      <c r="AN49" s="21" t="s">
        <v>107</v>
      </c>
      <c r="AO49" s="45" t="n">
        <v>-0.0075</v>
      </c>
      <c r="AP49" s="14" t="s">
        <v>148</v>
      </c>
    </row>
    <row r="50" customFormat="false" ht="15" hidden="false" customHeight="true" outlineLevel="0" collapsed="false">
      <c r="B50" s="15" t="s">
        <v>149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6" t="s">
        <v>150</v>
      </c>
      <c r="AL50" s="11" t="s">
        <v>110</v>
      </c>
      <c r="AM50" s="46" t="n">
        <f aca="false">AN50+$AM$49</f>
        <v>0.0575</v>
      </c>
      <c r="AN50" s="34" t="n">
        <v>0.05</v>
      </c>
      <c r="AO50" s="46" t="n">
        <f aca="false">AN50+$AO$49</f>
        <v>0.0425</v>
      </c>
    </row>
    <row r="51" customFormat="false" ht="15" hidden="false" customHeight="true" outlineLevel="0" collapsed="false">
      <c r="B51" s="22" t="s">
        <v>151</v>
      </c>
      <c r="C51" s="23" t="n">
        <v>787</v>
      </c>
      <c r="D51" s="23" t="n">
        <v>807</v>
      </c>
      <c r="E51" s="23" t="n">
        <v>741</v>
      </c>
      <c r="F51" s="23" t="n">
        <v>738</v>
      </c>
      <c r="G51" s="23" t="n">
        <v>3073</v>
      </c>
      <c r="H51" s="23" t="n">
        <v>787</v>
      </c>
      <c r="I51" s="23" t="n">
        <v>781</v>
      </c>
      <c r="J51" s="23" t="n">
        <v>752</v>
      </c>
      <c r="K51" s="23" t="n">
        <v>753</v>
      </c>
      <c r="L51" s="23" t="n">
        <v>3073</v>
      </c>
      <c r="M51" s="23" t="n">
        <v>797</v>
      </c>
      <c r="N51" s="23" t="n">
        <v>808</v>
      </c>
      <c r="O51" s="23" t="n">
        <v>803</v>
      </c>
      <c r="P51" s="23" t="n">
        <v>765</v>
      </c>
      <c r="Q51" s="23" t="n">
        <v>3173</v>
      </c>
      <c r="R51" s="23" t="n">
        <v>782</v>
      </c>
      <c r="S51" s="23" t="n">
        <v>841</v>
      </c>
      <c r="T51" s="23" t="n">
        <v>857</v>
      </c>
      <c r="U51" s="23" t="n">
        <v>846</v>
      </c>
      <c r="V51" s="23" t="n">
        <v>3324</v>
      </c>
      <c r="W51" s="23" t="n">
        <v>868</v>
      </c>
      <c r="X51" s="23" t="n">
        <v>927</v>
      </c>
      <c r="Y51" s="24" t="n">
        <f aca="false">T51*(1+Y52)</f>
        <v>947.821934688848</v>
      </c>
      <c r="Z51" s="24" t="n">
        <f aca="false">U51*(1+Z52)</f>
        <v>935.656192236599</v>
      </c>
      <c r="AA51" s="24" t="n">
        <f aca="false">SUM(W51,X51,Y51,Z51)</f>
        <v>3678.47812692545</v>
      </c>
      <c r="AB51" s="24" t="n">
        <f aca="false">AA51*(1+AB52)</f>
        <v>3788.83247073321</v>
      </c>
      <c r="AC51" s="24" t="n">
        <f aca="false">AB51*(1+AC52)</f>
        <v>3902.49744485521</v>
      </c>
      <c r="AD51" s="24" t="n">
        <f aca="false">AC51*(1+AD52)</f>
        <v>4019.57236820086</v>
      </c>
      <c r="AE51" s="24" t="n">
        <f aca="false">AD51*(1+AE52)</f>
        <v>4140.15953924689</v>
      </c>
      <c r="AH51" s="25" t="n">
        <f aca="false">IFERROR((AE51/V51)^(1/5)-1,"n/m")</f>
        <v>0.0448915386141708</v>
      </c>
      <c r="AI51" s="25" t="n">
        <f aca="false">IFERROR((V51/G51)^(1/3)-1,"n/m")</f>
        <v>0.0265170131515791</v>
      </c>
      <c r="AL51" s="11" t="s">
        <v>112</v>
      </c>
      <c r="AM51" s="46" t="n">
        <f aca="false">AN51+$AM$49</f>
        <v>0.06</v>
      </c>
      <c r="AN51" s="34" t="n">
        <v>0.0525</v>
      </c>
      <c r="AO51" s="46" t="n">
        <f aca="false">AN51+$AO$49</f>
        <v>0.045</v>
      </c>
    </row>
    <row r="52" customFormat="false" ht="15" hidden="false" customHeight="true" outlineLevel="0" collapsed="false">
      <c r="B52" s="27" t="s">
        <v>152</v>
      </c>
      <c r="H52" s="28" t="n">
        <f aca="false">IF(AND(ISNUMBER(H51),ISNUMBER(C51)),IFERROR(H51/C51-1,""),"")</f>
        <v>0</v>
      </c>
      <c r="I52" s="28" t="n">
        <f aca="false">IF(AND(ISNUMBER(I51),ISNUMBER(D51)),IFERROR(I51/D51-1,""),"")</f>
        <v>-0.0322180916976456</v>
      </c>
      <c r="J52" s="28" t="n">
        <f aca="false">IF(AND(ISNUMBER(J51),ISNUMBER(E51)),IFERROR(J51/E51-1,""),"")</f>
        <v>0.0148448043184886</v>
      </c>
      <c r="K52" s="28" t="n">
        <f aca="false">IF(AND(ISNUMBER(K51),ISNUMBER(F51)),IFERROR(K51/F51-1,""),"")</f>
        <v>0.0203252032520325</v>
      </c>
      <c r="L52" s="28" t="n">
        <f aca="false">IF(AND(ISNUMBER(L51),ISNUMBER(G51)),IFERROR(L51/G51-1,""),"")</f>
        <v>0</v>
      </c>
      <c r="M52" s="28" t="n">
        <f aca="false">IF(AND(ISNUMBER(M51),ISNUMBER(H51)),IFERROR(M51/H51-1,""),"")</f>
        <v>0.0127064803049555</v>
      </c>
      <c r="N52" s="28" t="n">
        <f aca="false">IF(AND(ISNUMBER(N51),ISNUMBER(I51)),IFERROR(N51/I51-1,""),"")</f>
        <v>0.0345710627400768</v>
      </c>
      <c r="O52" s="28" t="n">
        <f aca="false">IF(AND(ISNUMBER(O51),ISNUMBER(J51)),IFERROR(O51/J51-1,""),"")</f>
        <v>0.0678191489361701</v>
      </c>
      <c r="P52" s="28" t="n">
        <f aca="false">IF(AND(ISNUMBER(P51),ISNUMBER(K51)),IFERROR(P51/K51-1,""),"")</f>
        <v>0.0159362549800797</v>
      </c>
      <c r="Q52" s="28" t="n">
        <f aca="false">IF(AND(ISNUMBER(Q51),ISNUMBER(L51)),IFERROR(Q51/L51-1,""),"")</f>
        <v>0.0325414904002603</v>
      </c>
      <c r="R52" s="28" t="n">
        <f aca="false">IF(AND(ISNUMBER(R51),ISNUMBER(M51)),IFERROR(R51/M51-1,""),"")</f>
        <v>-0.0188205771643664</v>
      </c>
      <c r="S52" s="28" t="n">
        <f aca="false">IF(AND(ISNUMBER(S51),ISNUMBER(N51)),IFERROR(S51/N51-1,""),"")</f>
        <v>0.0408415841584158</v>
      </c>
      <c r="T52" s="28" t="n">
        <f aca="false">IF(AND(ISNUMBER(T51),ISNUMBER(O51)),IFERROR(T51/O51-1,""),"")</f>
        <v>0.0672478206724783</v>
      </c>
      <c r="U52" s="28" t="n">
        <f aca="false">IF(AND(ISNUMBER(U51),ISNUMBER(P51)),IFERROR(U51/P51-1,""),"")</f>
        <v>0.105882352941177</v>
      </c>
      <c r="V52" s="28" t="n">
        <f aca="false">IF(AND(ISNUMBER(V51),ISNUMBER(Q51)),IFERROR(V51/Q51-1,""),"")</f>
        <v>0.047589032461393</v>
      </c>
      <c r="W52" s="28" t="n">
        <f aca="false">IF(AND(ISNUMBER(W51),ISNUMBER(R51)),IFERROR(W51/R51-1,""),"")</f>
        <v>0.10997442455243</v>
      </c>
      <c r="X52" s="28" t="n">
        <f aca="false">IF(AND(ISNUMBER(X51),ISNUMBER(S51)),IFERROR(X51/S51-1,""),"")</f>
        <v>0.102259215219976</v>
      </c>
      <c r="Y52" s="30" t="n">
        <f aca="false">($W$51+$X$51)/($R$51+$S$51)-1</f>
        <v>0.105976586568084</v>
      </c>
      <c r="Z52" s="30" t="n">
        <f aca="false">($W$51+$X$51)/($R$51+$S$51)-1</f>
        <v>0.105976586568084</v>
      </c>
      <c r="AA52" s="30" t="n">
        <f aca="false">IFERROR(AA51/V51-1,"")</f>
        <v>0.106642035777812</v>
      </c>
      <c r="AB52" s="30" t="n">
        <f aca="false">CHOOSE(MATCH($AF$2,{"Bull","Base","Bear"},0),$AM$45,$AN$45,$AO$45)</f>
        <v>0.03</v>
      </c>
      <c r="AC52" s="30" t="n">
        <f aca="false">CHOOSE(MATCH($AF$2,{"Bull","Base","Bear"},0),$AM$46,$AN$46,$AO$46)</f>
        <v>0.03</v>
      </c>
      <c r="AD52" s="30" t="n">
        <f aca="false">CHOOSE(MATCH($AF$2,{"Bull","Base","Bear"},0),$AM$47,$AN$47,$AO$47)</f>
        <v>0.03</v>
      </c>
      <c r="AE52" s="30" t="n">
        <f aca="false">CHOOSE(MATCH($AF$2,{"Bull","Base","Bear"},0),$AM$48,$AN$48,$AO$48)</f>
        <v>0.03</v>
      </c>
      <c r="AF52" s="20" t="s">
        <v>153</v>
      </c>
      <c r="AL52" s="11" t="s">
        <v>114</v>
      </c>
      <c r="AM52" s="46" t="n">
        <f aca="false">AN52+$AM$49</f>
        <v>0.0625</v>
      </c>
      <c r="AN52" s="34" t="n">
        <v>0.055</v>
      </c>
      <c r="AO52" s="46" t="n">
        <f aca="false">AN52+$AO$49</f>
        <v>0.0475</v>
      </c>
    </row>
    <row r="53" customFormat="false" ht="15" hidden="false" customHeight="true" outlineLevel="0" collapsed="false">
      <c r="B53" s="22" t="s">
        <v>154</v>
      </c>
      <c r="C53" s="23" t="n">
        <v>38</v>
      </c>
      <c r="D53" s="23" t="n">
        <v>49</v>
      </c>
      <c r="E53" s="23" t="n">
        <v>43</v>
      </c>
      <c r="F53" s="23" t="n">
        <v>39</v>
      </c>
      <c r="G53" s="23" t="n">
        <v>169</v>
      </c>
      <c r="H53" s="23" t="n">
        <v>37</v>
      </c>
      <c r="I53" s="23" t="n">
        <v>46</v>
      </c>
      <c r="J53" s="23" t="n">
        <v>44</v>
      </c>
      <c r="K53" s="23" t="n">
        <v>36</v>
      </c>
      <c r="L53" s="23" t="n">
        <v>163</v>
      </c>
      <c r="M53" s="23" t="n">
        <v>38</v>
      </c>
      <c r="N53" s="23" t="n">
        <v>49</v>
      </c>
      <c r="O53" s="23" t="n">
        <v>44</v>
      </c>
      <c r="P53" s="23" t="n">
        <v>27</v>
      </c>
      <c r="Q53" s="23" t="n">
        <v>158</v>
      </c>
      <c r="R53" s="23" t="n">
        <v>32</v>
      </c>
      <c r="S53" s="23" t="n">
        <v>44</v>
      </c>
      <c r="T53" s="23" t="n">
        <v>38</v>
      </c>
      <c r="U53" s="23" t="n">
        <v>32</v>
      </c>
      <c r="V53" s="23" t="n">
        <v>147</v>
      </c>
      <c r="W53" s="23" t="n">
        <v>33</v>
      </c>
      <c r="X53" s="23" t="n">
        <v>48</v>
      </c>
      <c r="Y53" s="24" t="n">
        <f aca="false">Y51*Y54</f>
        <v>40.4143764409412</v>
      </c>
      <c r="Z53" s="24" t="n">
        <f aca="false">Z51*Z54</f>
        <v>33.7992171226238</v>
      </c>
      <c r="AA53" s="24" t="n">
        <f aca="false">SUM(W53,X53,Y53,Z53)</f>
        <v>155.213593563565</v>
      </c>
      <c r="AB53" s="24" t="n">
        <f aca="false">AB51*AB54</f>
        <v>189.441623536661</v>
      </c>
      <c r="AC53" s="24" t="n">
        <f aca="false">AC51*AC54</f>
        <v>204.881115854898</v>
      </c>
      <c r="AD53" s="24" t="n">
        <f aca="false">AD51*AD54</f>
        <v>221.076480251047</v>
      </c>
      <c r="AE53" s="24" t="n">
        <f aca="false">AE51*AE54</f>
        <v>227.708774658579</v>
      </c>
      <c r="AH53" s="25" t="n">
        <f aca="false">IFERROR((AE53/V53)^(1/5)-1,"n/m")</f>
        <v>0.091471716667308</v>
      </c>
      <c r="AI53" s="25" t="n">
        <f aca="false">IFERROR((V53/G53)^(1/3)-1,"n/m")</f>
        <v>-0.0454246617448476</v>
      </c>
      <c r="AL53" s="11" t="s">
        <v>117</v>
      </c>
      <c r="AM53" s="46" t="n">
        <f aca="false">AN53+$AM$49</f>
        <v>0.0625</v>
      </c>
      <c r="AN53" s="34" t="n">
        <v>0.055</v>
      </c>
      <c r="AO53" s="46" t="n">
        <f aca="false">AN53+$AO$49</f>
        <v>0.0475</v>
      </c>
    </row>
    <row r="54" customFormat="false" ht="15" hidden="false" customHeight="true" outlineLevel="0" collapsed="false">
      <c r="B54" s="11" t="s">
        <v>155</v>
      </c>
      <c r="C54" s="42" t="n">
        <f aca="false">IF(AND(ISNUMBER(C53),ISNUMBER(C51)),IFERROR(C53/C51,""),"")</f>
        <v>0.048284625158831</v>
      </c>
      <c r="D54" s="42" t="n">
        <f aca="false">IF(AND(ISNUMBER(D53),ISNUMBER(D51)),IFERROR(D53/D51,""),"")</f>
        <v>0.0607187112763321</v>
      </c>
      <c r="E54" s="42" t="n">
        <f aca="false">IF(AND(ISNUMBER(E53),ISNUMBER(E51)),IFERROR(E53/E51,""),"")</f>
        <v>0.058029689608637</v>
      </c>
      <c r="F54" s="42" t="n">
        <f aca="false">IF(AND(ISNUMBER(F53),ISNUMBER(F51)),IFERROR(F53/F51,""),"")</f>
        <v>0.0528455284552846</v>
      </c>
      <c r="G54" s="42" t="n">
        <f aca="false">IF(AND(ISNUMBER(G53),ISNUMBER(G51)),IFERROR(G53/G51,""),"")</f>
        <v>0.05499511877644</v>
      </c>
      <c r="H54" s="42" t="n">
        <f aca="false">IF(AND(ISNUMBER(H53),ISNUMBER(H51)),IFERROR(H53/H51,""),"")</f>
        <v>0.0470139771283355</v>
      </c>
      <c r="I54" s="42" t="n">
        <f aca="false">IF(AND(ISNUMBER(I53),ISNUMBER(I51)),IFERROR(I53/I51,""),"")</f>
        <v>0.058898847631242</v>
      </c>
      <c r="J54" s="42" t="n">
        <f aca="false">IF(AND(ISNUMBER(J53),ISNUMBER(J51)),IFERROR(J53/J51,""),"")</f>
        <v>0.0585106382978723</v>
      </c>
      <c r="K54" s="42" t="n">
        <f aca="false">IF(AND(ISNUMBER(K53),ISNUMBER(K51)),IFERROR(K53/K51,""),"")</f>
        <v>0.047808764940239</v>
      </c>
      <c r="L54" s="42" t="n">
        <f aca="false">IF(AND(ISNUMBER(L53),ISNUMBER(L51)),IFERROR(L53/L51,""),"")</f>
        <v>0.0530426293524243</v>
      </c>
      <c r="M54" s="42" t="n">
        <f aca="false">IF(AND(ISNUMBER(M53),ISNUMBER(M51)),IFERROR(M53/M51,""),"")</f>
        <v>0.0476787954830615</v>
      </c>
      <c r="N54" s="42" t="n">
        <f aca="false">IF(AND(ISNUMBER(N53),ISNUMBER(N51)),IFERROR(N53/N51,""),"")</f>
        <v>0.0606435643564356</v>
      </c>
      <c r="O54" s="42" t="n">
        <f aca="false">IF(AND(ISNUMBER(O53),ISNUMBER(O51)),IFERROR(O53/O51,""),"")</f>
        <v>0.0547945205479452</v>
      </c>
      <c r="P54" s="42" t="n">
        <f aca="false">IF(AND(ISNUMBER(P53),ISNUMBER(P51)),IFERROR(P53/P51,""),"")</f>
        <v>0.0352941176470588</v>
      </c>
      <c r="Q54" s="42" t="n">
        <f aca="false">IF(AND(ISNUMBER(Q53),ISNUMBER(Q51)),IFERROR(Q53/Q51,""),"")</f>
        <v>0.0497951465490073</v>
      </c>
      <c r="R54" s="42" t="n">
        <f aca="false">IF(AND(ISNUMBER(R53),ISNUMBER(R51)),IFERROR(R53/R51,""),"")</f>
        <v>0.040920716112532</v>
      </c>
      <c r="S54" s="42" t="n">
        <f aca="false">IF(AND(ISNUMBER(S53),ISNUMBER(S51)),IFERROR(S53/S51,""),"")</f>
        <v>0.0523186682520809</v>
      </c>
      <c r="T54" s="42" t="n">
        <f aca="false">IF(AND(ISNUMBER(T53),ISNUMBER(T51)),IFERROR(T53/T51,""),"")</f>
        <v>0.044340723453909</v>
      </c>
      <c r="U54" s="42" t="n">
        <f aca="false">IF(AND(ISNUMBER(U53),ISNUMBER(U51)),IFERROR(U53/U51,""),"")</f>
        <v>0.0378250591016548</v>
      </c>
      <c r="V54" s="42" t="n">
        <f aca="false">IF(AND(ISNUMBER(V53),ISNUMBER(V51)),IFERROR(V53/V51,""),"")</f>
        <v>0.0442238267148014</v>
      </c>
      <c r="W54" s="42" t="n">
        <f aca="false">IF(AND(ISNUMBER(W53),ISNUMBER(W51)),IFERROR(W53/W51,""),"")</f>
        <v>0.0380184331797235</v>
      </c>
      <c r="X54" s="42" t="n">
        <f aca="false">IF(AND(ISNUMBER(X53),ISNUMBER(X51)),IFERROR(X53/X51,""),"")</f>
        <v>0.0517799352750809</v>
      </c>
      <c r="Y54" s="30" t="n">
        <f aca="false">T54+(($W$53+$X$53)/($W$51+$X$51)-($R$53+$S$53)/($R$51+$S$51))</f>
        <v>0.0426392078109149</v>
      </c>
      <c r="Z54" s="30" t="n">
        <f aca="false">U54+(($W$53+$X$53)/($W$51+$X$51)-($R$53+$S$53)/($R$51+$S$51))</f>
        <v>0.0361235434586608</v>
      </c>
      <c r="AA54" s="30" t="n">
        <f aca="false">IFERROR(AA53/AA51,"")</f>
        <v>0.0421950568164166</v>
      </c>
      <c r="AB54" s="30" t="n">
        <f aca="false">CHOOSE(MATCH($AF$2,{"Bull","Base","Bear"},0),$AM$50,$AN$50,$AO$50)</f>
        <v>0.05</v>
      </c>
      <c r="AC54" s="30" t="n">
        <f aca="false">CHOOSE(MATCH($AF$2,{"Bull","Base","Bear"},0),$AM$51,$AN$51,$AO$51)</f>
        <v>0.0525</v>
      </c>
      <c r="AD54" s="30" t="n">
        <f aca="false">CHOOSE(MATCH($AF$2,{"Bull","Base","Bear"},0),$AM$52,$AN$52,$AO$52)</f>
        <v>0.055</v>
      </c>
      <c r="AE54" s="30" t="n">
        <f aca="false">CHOOSE(MATCH($AF$2,{"Bull","Base","Bear"},0),$AM$53,$AN$53,$AO$53)</f>
        <v>0.055</v>
      </c>
      <c r="AF54" s="20" t="s">
        <v>156</v>
      </c>
      <c r="AH54" s="44" t="n">
        <f aca="false">IFERROR(AVERAGE(AA54,AB54,AC54,AD54,AE54),"n/m")</f>
        <v>0.0509390113632833</v>
      </c>
      <c r="AI54" s="44" t="n">
        <f aca="false">IFERROR(AVERAGE(G54,L54,Q54,V54),"n/m")</f>
        <v>0.0505141803481683</v>
      </c>
    </row>
    <row r="55" customFormat="false" ht="15" hidden="false" customHeight="true" outlineLevel="0" collapsed="false">
      <c r="B55" s="11" t="s">
        <v>157</v>
      </c>
      <c r="C55" s="33" t="n">
        <v>28</v>
      </c>
      <c r="D55" s="33" t="n">
        <v>27</v>
      </c>
      <c r="E55" s="33" t="n">
        <v>26</v>
      </c>
      <c r="F55" s="33" t="n">
        <v>27</v>
      </c>
      <c r="G55" s="33" t="n">
        <v>108</v>
      </c>
      <c r="H55" s="33" t="n">
        <v>27</v>
      </c>
      <c r="I55" s="33" t="n">
        <v>28</v>
      </c>
      <c r="J55" s="33" t="n">
        <v>29</v>
      </c>
      <c r="K55" s="33" t="n">
        <v>31</v>
      </c>
      <c r="L55" s="33" t="n">
        <v>115</v>
      </c>
      <c r="M55" s="33" t="n">
        <v>29</v>
      </c>
      <c r="N55" s="33" t="n">
        <v>30</v>
      </c>
      <c r="O55" s="33" t="n">
        <v>31</v>
      </c>
      <c r="P55" s="33" t="n">
        <v>29</v>
      </c>
      <c r="Q55" s="33" t="n">
        <v>119</v>
      </c>
      <c r="R55" s="33" t="n">
        <v>27</v>
      </c>
      <c r="S55" s="33" t="n">
        <v>29</v>
      </c>
      <c r="T55" s="33" t="n">
        <v>29</v>
      </c>
      <c r="U55" s="33" t="n">
        <v>29</v>
      </c>
      <c r="V55" s="33" t="n">
        <v>115</v>
      </c>
      <c r="W55" s="33" t="n">
        <v>27</v>
      </c>
      <c r="X55" s="33" t="n">
        <v>27</v>
      </c>
      <c r="Y55" s="43" t="n">
        <f aca="false">Y51*($W$55+$X$55)/($W$51+$X$51)</f>
        <v>28.5138632162662</v>
      </c>
      <c r="Z55" s="43" t="n">
        <f aca="false">Z51*($W$55+$X$55)/($W$51+$X$51)</f>
        <v>28.1478743068392</v>
      </c>
      <c r="AA55" s="43" t="n">
        <f aca="false">SUM(W55,X55,Y55,Z55)</f>
        <v>110.661737523105</v>
      </c>
      <c r="AB55" s="43" t="n">
        <f aca="false">AB51*AB56</f>
        <v>128.820304004929</v>
      </c>
      <c r="AC55" s="43" t="n">
        <f aca="false">AC51*AC56</f>
        <v>132.684913125077</v>
      </c>
      <c r="AD55" s="43" t="n">
        <f aca="false">AD51*AD56</f>
        <v>136.665460518829</v>
      </c>
      <c r="AE55" s="43" t="n">
        <f aca="false">AE51*AE56</f>
        <v>140.765424334394</v>
      </c>
    </row>
    <row r="56" customFormat="false" ht="15" hidden="false" customHeight="true" outlineLevel="0" collapsed="false">
      <c r="B56" s="11" t="s">
        <v>124</v>
      </c>
      <c r="C56" s="42" t="n">
        <f aca="false">IF(AND(ISNUMBER(C55),ISNUMBER(C51)),IFERROR(C55/C51,""),"")</f>
        <v>0.0355781448538755</v>
      </c>
      <c r="D56" s="42" t="n">
        <f aca="false">IF(AND(ISNUMBER(D55),ISNUMBER(D51)),IFERROR(D55/D51,""),"")</f>
        <v>0.033457249070632</v>
      </c>
      <c r="E56" s="42" t="n">
        <f aca="false">IF(AND(ISNUMBER(E55),ISNUMBER(E51)),IFERROR(E55/E51,""),"")</f>
        <v>0.0350877192982456</v>
      </c>
      <c r="F56" s="42" t="n">
        <f aca="false">IF(AND(ISNUMBER(F55),ISNUMBER(F51)),IFERROR(F55/F51,""),"")</f>
        <v>0.0365853658536585</v>
      </c>
      <c r="G56" s="42" t="n">
        <f aca="false">IF(AND(ISNUMBER(G55),ISNUMBER(G51)),IFERROR(G55/G51,""),"")</f>
        <v>0.0351448096322812</v>
      </c>
      <c r="H56" s="42" t="n">
        <f aca="false">IF(AND(ISNUMBER(H55),ISNUMBER(H51)),IFERROR(H55/H51,""),"")</f>
        <v>0.0343074968233799</v>
      </c>
      <c r="I56" s="42" t="n">
        <f aca="false">IF(AND(ISNUMBER(I55),ISNUMBER(I51)),IFERROR(I55/I51,""),"")</f>
        <v>0.0358514724711908</v>
      </c>
      <c r="J56" s="42" t="n">
        <f aca="false">IF(AND(ISNUMBER(J55),ISNUMBER(J51)),IFERROR(J55/J51,""),"")</f>
        <v>0.038563829787234</v>
      </c>
      <c r="K56" s="42" t="n">
        <f aca="false">IF(AND(ISNUMBER(K55),ISNUMBER(K51)),IFERROR(K55/K51,""),"")</f>
        <v>0.0411686586985392</v>
      </c>
      <c r="L56" s="42" t="n">
        <f aca="false">IF(AND(ISNUMBER(L55),ISNUMBER(L51)),IFERROR(L55/L51,""),"")</f>
        <v>0.0374227139602994</v>
      </c>
      <c r="M56" s="42" t="n">
        <f aca="false">IF(AND(ISNUMBER(M55),ISNUMBER(M51)),IFERROR(M55/M51,""),"")</f>
        <v>0.0363864491844417</v>
      </c>
      <c r="N56" s="42" t="n">
        <f aca="false">IF(AND(ISNUMBER(N55),ISNUMBER(N51)),IFERROR(N55/N51,""),"")</f>
        <v>0.0371287128712871</v>
      </c>
      <c r="O56" s="42" t="n">
        <f aca="false">IF(AND(ISNUMBER(O55),ISNUMBER(O51)),IFERROR(O55/O51,""),"")</f>
        <v>0.0386052303860523</v>
      </c>
      <c r="P56" s="42" t="n">
        <f aca="false">IF(AND(ISNUMBER(P55),ISNUMBER(P51)),IFERROR(P55/P51,""),"")</f>
        <v>0.0379084967320261</v>
      </c>
      <c r="Q56" s="42" t="n">
        <f aca="false">IF(AND(ISNUMBER(Q55),ISNUMBER(Q51)),IFERROR(Q55/Q51,""),"")</f>
        <v>0.0375039394894422</v>
      </c>
      <c r="R56" s="42" t="n">
        <f aca="false">IF(AND(ISNUMBER(R55),ISNUMBER(R51)),IFERROR(R55/R51,""),"")</f>
        <v>0.0345268542199488</v>
      </c>
      <c r="S56" s="42" t="n">
        <f aca="false">IF(AND(ISNUMBER(S55),ISNUMBER(S51)),IFERROR(S55/S51,""),"")</f>
        <v>0.0344827586206897</v>
      </c>
      <c r="T56" s="42" t="n">
        <f aca="false">IF(AND(ISNUMBER(T55),ISNUMBER(T51)),IFERROR(T55/T51,""),"")</f>
        <v>0.0338389731621937</v>
      </c>
      <c r="U56" s="42" t="n">
        <f aca="false">IF(AND(ISNUMBER(U55),ISNUMBER(U51)),IFERROR(U55/U51,""),"")</f>
        <v>0.0342789598108747</v>
      </c>
      <c r="V56" s="42" t="n">
        <f aca="false">IF(AND(ISNUMBER(V55),ISNUMBER(V51)),IFERROR(V55/V51,""),"")</f>
        <v>0.0345968712394705</v>
      </c>
      <c r="W56" s="42" t="n">
        <f aca="false">IF(AND(ISNUMBER(W55),ISNUMBER(W51)),IFERROR(W55/W51,""),"")</f>
        <v>0.0311059907834101</v>
      </c>
      <c r="X56" s="42" t="n">
        <f aca="false">IF(AND(ISNUMBER(X55),ISNUMBER(X51)),IFERROR(X55/X51,""),"")</f>
        <v>0.029126213592233</v>
      </c>
      <c r="Y56" s="30" t="n">
        <f aca="false">IFERROR(Y55/Y51,"")</f>
        <v>0.03008356545961</v>
      </c>
      <c r="Z56" s="30" t="n">
        <f aca="false">IFERROR(Z55/Z51,"")</f>
        <v>0.03008356545961</v>
      </c>
      <c r="AA56" s="30" t="n">
        <f aca="false">IFERROR(AA55/AA51,"")</f>
        <v>0.03008356545961</v>
      </c>
      <c r="AB56" s="29" t="n">
        <v>0.034</v>
      </c>
      <c r="AC56" s="29" t="n">
        <v>0.034</v>
      </c>
      <c r="AD56" s="29" t="n">
        <v>0.034</v>
      </c>
      <c r="AE56" s="29" t="n">
        <v>0.034</v>
      </c>
      <c r="AF56" s="20" t="s">
        <v>158</v>
      </c>
    </row>
    <row r="57" customFormat="false" ht="15" hidden="false" customHeight="true" outlineLevel="0" collapsed="false">
      <c r="B57" s="11" t="s">
        <v>159</v>
      </c>
      <c r="C57" s="33" t="n">
        <v>0</v>
      </c>
      <c r="D57" s="33" t="n">
        <v>0</v>
      </c>
      <c r="E57" s="33" t="n">
        <v>0</v>
      </c>
      <c r="F57" s="33" t="n">
        <v>0</v>
      </c>
      <c r="G57" s="33" t="n">
        <v>0</v>
      </c>
      <c r="H57" s="33" t="n">
        <v>0</v>
      </c>
      <c r="I57" s="33" t="n">
        <v>0</v>
      </c>
      <c r="J57" s="33" t="n">
        <v>0</v>
      </c>
      <c r="K57" s="33" t="n">
        <v>0</v>
      </c>
      <c r="L57" s="33" t="n">
        <v>0</v>
      </c>
      <c r="M57" s="33" t="n">
        <v>0</v>
      </c>
      <c r="N57" s="33" t="n">
        <v>0</v>
      </c>
      <c r="O57" s="33" t="n">
        <v>0</v>
      </c>
      <c r="P57" s="33" t="n">
        <v>0</v>
      </c>
      <c r="Q57" s="33" t="n">
        <v>-1</v>
      </c>
      <c r="R57" s="33" t="n">
        <v>0</v>
      </c>
      <c r="S57" s="33" t="n">
        <v>0</v>
      </c>
      <c r="T57" s="33" t="n">
        <v>0</v>
      </c>
      <c r="U57" s="33" t="n">
        <v>0</v>
      </c>
      <c r="V57" s="33" t="n">
        <v>-1</v>
      </c>
      <c r="W57" s="33" t="n">
        <v>0</v>
      </c>
      <c r="X57" s="33" t="n">
        <v>0</v>
      </c>
      <c r="Y57" s="48" t="n">
        <v>0</v>
      </c>
      <c r="Z57" s="48" t="n">
        <v>0</v>
      </c>
      <c r="AA57" s="43" t="n">
        <f aca="false">SUM(W57,X57,Y57,Z57)</f>
        <v>0</v>
      </c>
      <c r="AB57" s="48" t="n">
        <v>0</v>
      </c>
      <c r="AC57" s="48" t="n">
        <v>0</v>
      </c>
      <c r="AD57" s="48" t="n">
        <v>0</v>
      </c>
      <c r="AE57" s="48" t="n">
        <v>0</v>
      </c>
    </row>
    <row r="58" customFormat="false" ht="15" hidden="false" customHeight="true" outlineLevel="0" collapsed="false">
      <c r="B58" s="11" t="s">
        <v>160</v>
      </c>
      <c r="C58" s="33" t="n">
        <v>10</v>
      </c>
      <c r="D58" s="33" t="n">
        <v>22</v>
      </c>
      <c r="E58" s="33" t="n">
        <v>17</v>
      </c>
      <c r="F58" s="33" t="n">
        <v>12</v>
      </c>
      <c r="G58" s="33" t="n">
        <v>61</v>
      </c>
      <c r="H58" s="33" t="n">
        <v>10</v>
      </c>
      <c r="I58" s="33" t="n">
        <v>18</v>
      </c>
      <c r="J58" s="33" t="n">
        <v>15</v>
      </c>
      <c r="K58" s="33" t="n">
        <v>5</v>
      </c>
      <c r="L58" s="33" t="n">
        <v>48</v>
      </c>
      <c r="M58" s="33" t="n">
        <v>9</v>
      </c>
      <c r="N58" s="33" t="n">
        <v>19</v>
      </c>
      <c r="O58" s="33" t="n">
        <v>13</v>
      </c>
      <c r="P58" s="33" t="n">
        <v>-2</v>
      </c>
      <c r="Q58" s="33" t="n">
        <v>39</v>
      </c>
      <c r="R58" s="33" t="n">
        <v>6</v>
      </c>
      <c r="S58" s="33" t="n">
        <v>15</v>
      </c>
      <c r="T58" s="33" t="n">
        <v>9</v>
      </c>
      <c r="U58" s="33" t="n">
        <v>2</v>
      </c>
      <c r="V58" s="33" t="n">
        <v>32</v>
      </c>
      <c r="W58" s="33" t="n">
        <v>6</v>
      </c>
      <c r="X58" s="33" t="n">
        <v>21</v>
      </c>
      <c r="Y58" s="43" t="n">
        <f aca="false">Y53-Y55-Y57</f>
        <v>11.900513224675</v>
      </c>
      <c r="Z58" s="43" t="n">
        <f aca="false">Z53-Z55-Z57</f>
        <v>5.65134281578465</v>
      </c>
      <c r="AA58" s="43" t="n">
        <f aca="false">SUM(W58,X58,Y58,Z58)</f>
        <v>44.5518560404597</v>
      </c>
      <c r="AB58" s="43" t="n">
        <f aca="false">AB53-AB55-AB57</f>
        <v>60.6213195317314</v>
      </c>
      <c r="AC58" s="43" t="n">
        <f aca="false">AC53-AC55-AC57</f>
        <v>72.1962027298213</v>
      </c>
      <c r="AD58" s="43" t="n">
        <f aca="false">AD53-AD55-AD57</f>
        <v>84.4110197322181</v>
      </c>
      <c r="AE58" s="43" t="n">
        <f aca="false">AE53-AE55-AE57</f>
        <v>86.9433503241847</v>
      </c>
    </row>
    <row r="59" customFormat="false" ht="15" hidden="false" customHeight="true" outlineLevel="0" collapsed="false">
      <c r="B59" s="49" t="s">
        <v>161</v>
      </c>
      <c r="C59" s="50" t="n">
        <f aca="false">IF(ABS(ROUND(C58+C55+C57-C53,1))&lt;=1,0,ROUND(C58+C55+C57-C53,1))</f>
        <v>0</v>
      </c>
      <c r="D59" s="50" t="n">
        <f aca="false">IF(ABS(ROUND(D58+D55+D57-D53,1))&lt;=1,0,ROUND(D58+D55+D57-D53,1))</f>
        <v>0</v>
      </c>
      <c r="E59" s="50" t="n">
        <f aca="false">IF(ABS(ROUND(E58+E55+E57-E53,1))&lt;=1,0,ROUND(E58+E55+E57-E53,1))</f>
        <v>0</v>
      </c>
      <c r="F59" s="50" t="n">
        <f aca="false">IF(ABS(ROUND(F58+F55+F57-F53,1))&lt;=1,0,ROUND(F58+F55+F57-F53,1))</f>
        <v>0</v>
      </c>
      <c r="G59" s="50" t="n">
        <f aca="false">IF(ABS(ROUND(G58+G55+G57-G53,1))&lt;=1,0,ROUND(G58+G55+G57-G53,1))</f>
        <v>0</v>
      </c>
      <c r="H59" s="50" t="n">
        <f aca="false">IF(ABS(ROUND(H58+H55+H57-H53,1))&lt;=1,0,ROUND(H58+H55+H57-H53,1))</f>
        <v>0</v>
      </c>
      <c r="I59" s="50" t="n">
        <f aca="false">IF(ABS(ROUND(I58+I55+I57-I53,1))&lt;=1,0,ROUND(I58+I55+I57-I53,1))</f>
        <v>0</v>
      </c>
      <c r="J59" s="50" t="n">
        <f aca="false">IF(ABS(ROUND(J58+J55+J57-J53,1))&lt;=1,0,ROUND(J58+J55+J57-J53,1))</f>
        <v>0</v>
      </c>
      <c r="K59" s="50" t="n">
        <f aca="false">IF(ABS(ROUND(K58+K55+K57-K53,1))&lt;=1,0,ROUND(K58+K55+K57-K53,1))</f>
        <v>0</v>
      </c>
      <c r="L59" s="50" t="n">
        <f aca="false">IF(ABS(ROUND(L58+L55+L57-L53,1))&lt;=1,0,ROUND(L58+L55+L57-L53,1))</f>
        <v>0</v>
      </c>
      <c r="M59" s="50" t="n">
        <f aca="false">IF(ABS(ROUND(M58+M55+M57-M53,1))&lt;=1,0,ROUND(M58+M55+M57-M53,1))</f>
        <v>0</v>
      </c>
      <c r="N59" s="50" t="n">
        <f aca="false">IF(ABS(ROUND(N58+N55+N57-N53,1))&lt;=1,0,ROUND(N58+N55+N57-N53,1))</f>
        <v>0</v>
      </c>
      <c r="O59" s="50" t="n">
        <f aca="false">IF(ABS(ROUND(O58+O55+O57-O53,1))&lt;=1,0,ROUND(O58+O55+O57-O53,1))</f>
        <v>0</v>
      </c>
      <c r="P59" s="50" t="n">
        <f aca="false">IF(ABS(ROUND(P58+P55+P57-P53,1))&lt;=1,0,ROUND(P58+P55+P57-P53,1))</f>
        <v>0</v>
      </c>
      <c r="Q59" s="50" t="n">
        <f aca="false">IF(ABS(ROUND(Q58+Q55+Q57-Q53,1))&lt;=1,0,ROUND(Q58+Q55+Q57-Q53,1))</f>
        <v>0</v>
      </c>
      <c r="R59" s="50" t="n">
        <f aca="false">IF(ABS(ROUND(R58+R55+R57-R53,1))&lt;=1,0,ROUND(R58+R55+R57-R53,1))</f>
        <v>0</v>
      </c>
      <c r="S59" s="50" t="n">
        <f aca="false">IF(ABS(ROUND(S58+S55+S57-S53,1))&lt;=1,0,ROUND(S58+S55+S57-S53,1))</f>
        <v>0</v>
      </c>
      <c r="T59" s="50" t="n">
        <f aca="false">IF(ABS(ROUND(T58+T55+T57-T53,1))&lt;=1,0,ROUND(T58+T55+T57-T53,1))</f>
        <v>0</v>
      </c>
      <c r="U59" s="50" t="n">
        <f aca="false">IF(ABS(ROUND(U58+U55+U57-U53,1))&lt;=1,0,ROUND(U58+U55+U57-U53,1))</f>
        <v>0</v>
      </c>
      <c r="V59" s="50" t="n">
        <f aca="false">IF(ABS(ROUND(V58+V55+V57-V53,1))&lt;=1,0,ROUND(V58+V55+V57-V53,1))</f>
        <v>0</v>
      </c>
      <c r="W59" s="50" t="n">
        <f aca="false">IF(ABS(ROUND(W58+W55+W57-W53,1))&lt;=1,0,ROUND(W58+W55+W57-W53,1))</f>
        <v>0</v>
      </c>
      <c r="X59" s="50" t="n">
        <f aca="false">IF(ABS(ROUND(X58+X55+X57-X53,1))&lt;=1,0,ROUND(X58+X55+X57-X53,1))</f>
        <v>0</v>
      </c>
      <c r="Y59" s="43" t="n">
        <f aca="false">IF(ABS(ROUND(Y58+Y55+Y57-Y53,1))&lt;=1,0,ROUND(Y58+Y55+Y57-Y53,1))</f>
        <v>0</v>
      </c>
      <c r="Z59" s="43" t="n">
        <f aca="false">IF(ABS(ROUND(Z58+Z55+Z57-Z53,1))&lt;=1,0,ROUND(Z58+Z55+Z57-Z53,1))</f>
        <v>0</v>
      </c>
      <c r="AA59" s="43" t="n">
        <f aca="false">IF(ABS(ROUND(AA58+AA55+AA57-AA53,1))&lt;=1,0,ROUND(AA58+AA55+AA57-AA53,1))</f>
        <v>0</v>
      </c>
      <c r="AB59" s="43" t="n">
        <f aca="false">IF(ABS(ROUND(AB58+AB55+AB57-AB53,1))&lt;=1,0,ROUND(AB58+AB55+AB57-AB53,1))</f>
        <v>0</v>
      </c>
      <c r="AC59" s="43" t="n">
        <f aca="false">IF(ABS(ROUND(AC58+AC55+AC57-AC53,1))&lt;=1,0,ROUND(AC58+AC55+AC57-AC53,1))</f>
        <v>0</v>
      </c>
      <c r="AD59" s="43" t="n">
        <f aca="false">IF(ABS(ROUND(AD58+AD55+AD57-AD53,1))&lt;=1,0,ROUND(AD58+AD55+AD57-AD53,1))</f>
        <v>0</v>
      </c>
      <c r="AE59" s="43" t="n">
        <f aca="false">IF(ABS(ROUND(AE58+AE55+AE57-AE53,1))&lt;=1,0,ROUND(AE58+AE55+AE57-AE53,1))</f>
        <v>0</v>
      </c>
    </row>
    <row r="60" customFormat="false" ht="15" hidden="false" customHeight="true" outlineLevel="0" collapsed="false">
      <c r="B60" s="11" t="s">
        <v>162</v>
      </c>
      <c r="C60" s="33" t="n">
        <v>5</v>
      </c>
      <c r="D60" s="33" t="n">
        <v>5</v>
      </c>
      <c r="E60" s="33" t="n">
        <v>5</v>
      </c>
      <c r="F60" s="33" t="n">
        <v>5</v>
      </c>
      <c r="G60" s="33" t="n">
        <v>20</v>
      </c>
      <c r="H60" s="33" t="n">
        <v>5</v>
      </c>
      <c r="I60" s="33" t="n">
        <v>5</v>
      </c>
      <c r="J60" s="33" t="n">
        <v>6</v>
      </c>
      <c r="K60" s="33" t="n">
        <v>5</v>
      </c>
      <c r="L60" s="33" t="n">
        <v>21</v>
      </c>
      <c r="M60" s="33" t="n">
        <v>5</v>
      </c>
      <c r="N60" s="33" t="n">
        <v>5</v>
      </c>
      <c r="O60" s="33" t="n">
        <v>5</v>
      </c>
      <c r="P60" s="33" t="n">
        <v>5</v>
      </c>
      <c r="Q60" s="33" t="n">
        <v>21</v>
      </c>
      <c r="R60" s="33" t="n">
        <v>5</v>
      </c>
      <c r="S60" s="33" t="n">
        <v>5</v>
      </c>
      <c r="T60" s="33" t="n">
        <v>6</v>
      </c>
      <c r="U60" s="33" t="n">
        <v>5</v>
      </c>
      <c r="V60" s="33" t="n">
        <v>21</v>
      </c>
      <c r="W60" s="33" t="n">
        <v>6</v>
      </c>
      <c r="X60" s="33" t="n">
        <v>5</v>
      </c>
      <c r="Y60" s="43" t="n">
        <f aca="false">Y99-Y45</f>
        <v>5.3421052631579</v>
      </c>
      <c r="Z60" s="43" t="n">
        <f aca="false">Z99-Z45</f>
        <v>5.3421052631579</v>
      </c>
      <c r="AA60" s="43" t="n">
        <f aca="false">SUM(W60,X60,Y60,Z60)</f>
        <v>21.6842105263158</v>
      </c>
      <c r="AB60" s="43" t="n">
        <f aca="false">AB99-AB45</f>
        <v>21.7368421052632</v>
      </c>
      <c r="AC60" s="43" t="n">
        <f aca="false">AC99-AC45</f>
        <v>16.9473684210526</v>
      </c>
      <c r="AD60" s="43" t="n">
        <f aca="false">AD99-AD45</f>
        <v>13.2631578947368</v>
      </c>
      <c r="AE60" s="43" t="n">
        <f aca="false">AE99-AE45</f>
        <v>13.2631578947368</v>
      </c>
    </row>
    <row r="61" customFormat="false" ht="15" hidden="false" customHeight="true" outlineLevel="0" collapsed="false">
      <c r="B61" s="11" t="s">
        <v>163</v>
      </c>
      <c r="C61" s="33" t="n">
        <v>4</v>
      </c>
      <c r="D61" s="33" t="n">
        <v>2</v>
      </c>
      <c r="E61" s="33" t="n">
        <v>3</v>
      </c>
      <c r="F61" s="33" t="n">
        <v>67</v>
      </c>
      <c r="G61" s="33" t="n">
        <v>76</v>
      </c>
      <c r="H61" s="33" t="n">
        <v>8</v>
      </c>
      <c r="I61" s="33" t="n">
        <v>1</v>
      </c>
      <c r="J61" s="33" t="n">
        <v>2</v>
      </c>
      <c r="K61" s="33" t="n">
        <v>3</v>
      </c>
      <c r="L61" s="33" t="n">
        <v>14</v>
      </c>
      <c r="M61" s="33" t="n">
        <v>9</v>
      </c>
      <c r="N61" s="33" t="n">
        <v>4</v>
      </c>
      <c r="O61" s="33" t="n">
        <v>3</v>
      </c>
      <c r="P61" s="33" t="n">
        <v>4</v>
      </c>
      <c r="Q61" s="33" t="n">
        <v>19</v>
      </c>
      <c r="R61" s="33" t="n">
        <v>0</v>
      </c>
      <c r="S61" s="33" t="n">
        <v>-1</v>
      </c>
      <c r="T61" s="33" t="n">
        <v>5</v>
      </c>
      <c r="U61" s="33" t="n">
        <v>11</v>
      </c>
      <c r="V61" s="33" t="n">
        <v>14</v>
      </c>
      <c r="W61" s="33" t="n">
        <v>6</v>
      </c>
      <c r="X61" s="33" t="n">
        <v>22</v>
      </c>
      <c r="Y61" s="48" t="n">
        <v>8</v>
      </c>
      <c r="Z61" s="48" t="n">
        <v>8</v>
      </c>
      <c r="AA61" s="43" t="n">
        <f aca="false">SUM(W61,X61,Y61,Z61)</f>
        <v>44</v>
      </c>
      <c r="AB61" s="48" t="n">
        <v>15</v>
      </c>
      <c r="AC61" s="48" t="n">
        <v>15</v>
      </c>
      <c r="AD61" s="48" t="n">
        <v>15</v>
      </c>
      <c r="AE61" s="48" t="n">
        <v>15</v>
      </c>
      <c r="AF61" s="20" t="s">
        <v>164</v>
      </c>
    </row>
    <row r="62" customFormat="false" ht="15" hidden="false" customHeight="true" outlineLevel="0" collapsed="false">
      <c r="B62" s="11" t="s">
        <v>165</v>
      </c>
      <c r="C62" s="33" t="n">
        <v>0</v>
      </c>
      <c r="D62" s="33" t="n">
        <v>0</v>
      </c>
      <c r="E62" s="33" t="n">
        <v>-1</v>
      </c>
      <c r="F62" s="33" t="n">
        <v>0</v>
      </c>
      <c r="G62" s="33" t="n">
        <v>-1</v>
      </c>
      <c r="H62" s="33" t="n">
        <v>0</v>
      </c>
      <c r="I62" s="33" t="n">
        <v>0</v>
      </c>
      <c r="J62" s="33" t="n">
        <v>-1</v>
      </c>
      <c r="K62" s="33" t="n">
        <v>-1</v>
      </c>
      <c r="L62" s="33" t="n">
        <v>-2</v>
      </c>
      <c r="M62" s="33" t="n">
        <v>0</v>
      </c>
      <c r="N62" s="33" t="n">
        <v>0</v>
      </c>
      <c r="O62" s="33" t="n">
        <v>-1</v>
      </c>
      <c r="P62" s="33" t="n">
        <v>0</v>
      </c>
      <c r="Q62" s="33" t="n">
        <v>-1</v>
      </c>
      <c r="R62" s="33" t="n">
        <v>0</v>
      </c>
      <c r="S62" s="33" t="n">
        <v>0</v>
      </c>
      <c r="T62" s="33" t="n">
        <v>0</v>
      </c>
      <c r="U62" s="33" t="n">
        <v>0</v>
      </c>
      <c r="V62" s="33" t="n">
        <v>-1</v>
      </c>
      <c r="W62" s="33" t="n">
        <v>0</v>
      </c>
      <c r="X62" s="33" t="n">
        <v>0</v>
      </c>
      <c r="Y62" s="48" t="n">
        <v>0</v>
      </c>
      <c r="Z62" s="48" t="n">
        <v>0</v>
      </c>
      <c r="AA62" s="43" t="n">
        <f aca="false">SUM(W62,X62,Y62,Z62)</f>
        <v>0</v>
      </c>
      <c r="AB62" s="48" t="n">
        <v>0</v>
      </c>
      <c r="AC62" s="48" t="n">
        <v>0</v>
      </c>
      <c r="AD62" s="48" t="n">
        <v>0</v>
      </c>
      <c r="AE62" s="48" t="n">
        <v>0</v>
      </c>
    </row>
    <row r="63" customFormat="false" ht="15" hidden="false" customHeight="true" outlineLevel="0" collapsed="false">
      <c r="B63" s="22" t="s">
        <v>166</v>
      </c>
      <c r="C63" s="23" t="n">
        <v>1</v>
      </c>
      <c r="D63" s="23" t="n">
        <v>15</v>
      </c>
      <c r="E63" s="23" t="n">
        <v>10</v>
      </c>
      <c r="F63" s="23" t="n">
        <v>-60</v>
      </c>
      <c r="G63" s="23" t="n">
        <v>-34</v>
      </c>
      <c r="H63" s="23" t="n">
        <v>-3</v>
      </c>
      <c r="I63" s="23" t="n">
        <v>12</v>
      </c>
      <c r="J63" s="23" t="n">
        <v>8</v>
      </c>
      <c r="K63" s="23" t="n">
        <v>-2</v>
      </c>
      <c r="L63" s="23" t="n">
        <v>15</v>
      </c>
      <c r="M63" s="23" t="n">
        <v>-4</v>
      </c>
      <c r="N63" s="23" t="n">
        <v>10</v>
      </c>
      <c r="O63" s="23" t="n">
        <v>6</v>
      </c>
      <c r="P63" s="23" t="n">
        <v>-11</v>
      </c>
      <c r="Q63" s="23" t="n">
        <v>0</v>
      </c>
      <c r="R63" s="23" t="n">
        <v>1</v>
      </c>
      <c r="S63" s="23" t="n">
        <v>11</v>
      </c>
      <c r="T63" s="23" t="n">
        <v>-2</v>
      </c>
      <c r="U63" s="23" t="n">
        <v>-13</v>
      </c>
      <c r="V63" s="23" t="n">
        <v>-3</v>
      </c>
      <c r="W63" s="23" t="n">
        <v>-6</v>
      </c>
      <c r="X63" s="23" t="n">
        <v>-6</v>
      </c>
      <c r="Y63" s="24" t="n">
        <f aca="false">Y58-Y60-Y61-Y62</f>
        <v>-1.44159203848287</v>
      </c>
      <c r="Z63" s="24" t="n">
        <f aca="false">Z58-Z60-Z61-Z62</f>
        <v>-7.69076244737324</v>
      </c>
      <c r="AA63" s="24" t="n">
        <f aca="false">SUM(W63,X63,Y63,Z63)</f>
        <v>-21.1323544858561</v>
      </c>
      <c r="AB63" s="24" t="n">
        <f aca="false">AB58-AB60-AB61-AB62</f>
        <v>23.8844774264682</v>
      </c>
      <c r="AC63" s="24" t="n">
        <f aca="false">AC58-AC60-AC61-AC62</f>
        <v>40.2488343087687</v>
      </c>
      <c r="AD63" s="24" t="n">
        <f aca="false">AD58-AD60-AD61-AD62</f>
        <v>56.1478618374813</v>
      </c>
      <c r="AE63" s="24" t="n">
        <f aca="false">AE58-AE60-AE61-AE62</f>
        <v>58.6801924294478</v>
      </c>
    </row>
    <row r="64" customFormat="false" ht="15" hidden="false" customHeight="true" outlineLevel="0" collapsed="false">
      <c r="B64" s="11" t="s">
        <v>167</v>
      </c>
      <c r="C64" s="42" t="n">
        <f aca="false">IF(AND(ISNUMBER(C63),ISNUMBER(C51)),IFERROR(C63/C51,""),"")</f>
        <v>0.00127064803049555</v>
      </c>
      <c r="D64" s="42" t="n">
        <f aca="false">IF(AND(ISNUMBER(D63),ISNUMBER(D51)),IFERROR(D63/D51,""),"")</f>
        <v>0.0185873605947955</v>
      </c>
      <c r="E64" s="42" t="n">
        <f aca="false">IF(AND(ISNUMBER(E63),ISNUMBER(E51)),IFERROR(E63/E51,""),"")</f>
        <v>0.0134952766531714</v>
      </c>
      <c r="F64" s="42" t="n">
        <f aca="false">IF(AND(ISNUMBER(F63),ISNUMBER(F51)),IFERROR(F63/F51,""),"")</f>
        <v>-0.0813008130081301</v>
      </c>
      <c r="G64" s="42" t="n">
        <f aca="false">IF(AND(ISNUMBER(G63),ISNUMBER(G51)),IFERROR(G63/G51,""),"")</f>
        <v>-0.0110641067360885</v>
      </c>
      <c r="H64" s="42" t="n">
        <f aca="false">IF(AND(ISNUMBER(H63),ISNUMBER(H51)),IFERROR(H63/H51,""),"")</f>
        <v>-0.00381194409148666</v>
      </c>
      <c r="I64" s="42" t="n">
        <f aca="false">IF(AND(ISNUMBER(I63),ISNUMBER(I51)),IFERROR(I63/I51,""),"")</f>
        <v>0.0153649167733675</v>
      </c>
      <c r="J64" s="42" t="n">
        <f aca="false">IF(AND(ISNUMBER(J63),ISNUMBER(J51)),IFERROR(J63/J51,""),"")</f>
        <v>0.0106382978723404</v>
      </c>
      <c r="K64" s="42" t="n">
        <f aca="false">IF(AND(ISNUMBER(K63),ISNUMBER(K51)),IFERROR(K63/K51,""),"")</f>
        <v>-0.00265604249667995</v>
      </c>
      <c r="L64" s="42" t="n">
        <f aca="false">IF(AND(ISNUMBER(L63),ISNUMBER(L51)),IFERROR(L63/L51,""),"")</f>
        <v>0.00488122356003905</v>
      </c>
      <c r="M64" s="42" t="n">
        <f aca="false">IF(AND(ISNUMBER(M63),ISNUMBER(M51)),IFERROR(M63/M51,""),"")</f>
        <v>-0.00501882057716437</v>
      </c>
      <c r="N64" s="42" t="n">
        <f aca="false">IF(AND(ISNUMBER(N63),ISNUMBER(N51)),IFERROR(N63/N51,""),"")</f>
        <v>0.0123762376237624</v>
      </c>
      <c r="O64" s="42" t="n">
        <f aca="false">IF(AND(ISNUMBER(O63),ISNUMBER(O51)),IFERROR(O63/O51,""),"")</f>
        <v>0.0074719800747198</v>
      </c>
      <c r="P64" s="42" t="n">
        <f aca="false">IF(AND(ISNUMBER(P63),ISNUMBER(P51)),IFERROR(P63/P51,""),"")</f>
        <v>-0.0143790849673203</v>
      </c>
      <c r="Q64" s="42" t="n">
        <f aca="false">IF(AND(ISNUMBER(Q63),ISNUMBER(Q51)),IFERROR(Q63/Q51,""),"")</f>
        <v>0</v>
      </c>
      <c r="R64" s="42" t="n">
        <f aca="false">IF(AND(ISNUMBER(R63),ISNUMBER(R51)),IFERROR(R63/R51,""),"")</f>
        <v>0.00127877237851662</v>
      </c>
      <c r="S64" s="42" t="n">
        <f aca="false">IF(AND(ISNUMBER(S63),ISNUMBER(S51)),IFERROR(S63/S51,""),"")</f>
        <v>0.0130796670630202</v>
      </c>
      <c r="T64" s="42" t="n">
        <f aca="false">IF(AND(ISNUMBER(T63),ISNUMBER(T51)),IFERROR(T63/T51,""),"")</f>
        <v>-0.00233372228704784</v>
      </c>
      <c r="U64" s="42" t="n">
        <f aca="false">IF(AND(ISNUMBER(U63),ISNUMBER(U51)),IFERROR(U63/U51,""),"")</f>
        <v>-0.0153664302600473</v>
      </c>
      <c r="V64" s="42" t="n">
        <f aca="false">IF(AND(ISNUMBER(V63),ISNUMBER(V51)),IFERROR(V63/V51,""),"")</f>
        <v>-0.000902527075812274</v>
      </c>
      <c r="W64" s="42" t="n">
        <f aca="false">IF(AND(ISNUMBER(W63),ISNUMBER(W51)),IFERROR(W63/W51,""),"")</f>
        <v>-0.00691244239631336</v>
      </c>
      <c r="X64" s="42" t="n">
        <f aca="false">IF(AND(ISNUMBER(X63),ISNUMBER(X51)),IFERROR(X63/X51,""),"")</f>
        <v>-0.00647249190938511</v>
      </c>
      <c r="Y64" s="30" t="n">
        <f aca="false">IFERROR(Y63/Y51,"")</f>
        <v>-0.00152095239171281</v>
      </c>
      <c r="Z64" s="30" t="n">
        <f aca="false">IFERROR(Z63/Z51,"")</f>
        <v>-0.00821964575362794</v>
      </c>
      <c r="AA64" s="30" t="n">
        <f aca="false">IFERROR(AA63/AA51,"")</f>
        <v>-0.00574486343446577</v>
      </c>
      <c r="AB64" s="30" t="n">
        <f aca="false">IFERROR(AB63/AB51,"")</f>
        <v>0.00630391488960347</v>
      </c>
      <c r="AC64" s="30" t="n">
        <f aca="false">IFERROR(AC63/AC51,"")</f>
        <v>0.0103136093943713</v>
      </c>
      <c r="AD64" s="30" t="n">
        <f aca="false">IFERROR(AD63/AD51,"")</f>
        <v>0.0139686157367563</v>
      </c>
      <c r="AE64" s="30" t="n">
        <f aca="false">IFERROR(AE63/AE51,"")</f>
        <v>0.0141734133366566</v>
      </c>
    </row>
    <row r="65" customFormat="false" ht="15" hidden="false" customHeight="true" outlineLevel="0" collapsed="false">
      <c r="B65" s="11"/>
    </row>
    <row r="66" customFormat="false" ht="15" hidden="false" customHeight="true" outlineLevel="0" collapsed="false">
      <c r="B66" s="15" t="s">
        <v>168</v>
      </c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6" t="s">
        <v>169</v>
      </c>
    </row>
    <row r="67" customFormat="false" ht="15" hidden="false" customHeight="true" outlineLevel="0" collapsed="false">
      <c r="B67" s="11" t="s">
        <v>170</v>
      </c>
      <c r="C67" s="33" t="n">
        <v>-40</v>
      </c>
      <c r="D67" s="33" t="n">
        <v>-34</v>
      </c>
      <c r="E67" s="33" t="n">
        <v>-21</v>
      </c>
      <c r="F67" s="33" t="n">
        <v>-9</v>
      </c>
      <c r="G67" s="33" t="n">
        <v>-104</v>
      </c>
      <c r="H67" s="33" t="n">
        <v>-9</v>
      </c>
      <c r="I67" s="33" t="n">
        <v>-10</v>
      </c>
      <c r="J67" s="33" t="n">
        <v>-7</v>
      </c>
      <c r="K67" s="33" t="n">
        <v>-5</v>
      </c>
      <c r="L67" s="33" t="n">
        <v>-31</v>
      </c>
      <c r="M67" s="33" t="n">
        <v>-5</v>
      </c>
      <c r="N67" s="33" t="n">
        <v>-3</v>
      </c>
      <c r="O67" s="33" t="n">
        <v>5</v>
      </c>
      <c r="P67" s="33" t="n">
        <v>-4</v>
      </c>
      <c r="Q67" s="33" t="n">
        <v>-7</v>
      </c>
      <c r="R67" s="33" t="n">
        <v>-4</v>
      </c>
      <c r="S67" s="33" t="n">
        <v>-4</v>
      </c>
      <c r="T67" s="33" t="n">
        <v>-4</v>
      </c>
      <c r="U67" s="33" t="n">
        <v>-4</v>
      </c>
      <c r="V67" s="33" t="n">
        <v>-16</v>
      </c>
      <c r="W67" s="33" t="n">
        <v>-4</v>
      </c>
      <c r="X67" s="33" t="n">
        <v>-4</v>
      </c>
      <c r="Y67" s="43" t="n">
        <f aca="false">($W$67+$X$67)/2</f>
        <v>-4</v>
      </c>
      <c r="Z67" s="43" t="n">
        <f aca="false">($W$67+$X$67)/2</f>
        <v>-4</v>
      </c>
      <c r="AA67" s="43" t="n">
        <f aca="false">SUM(W67,X67,Y67,Z67)</f>
        <v>-16</v>
      </c>
      <c r="AB67" s="48" t="n">
        <v>-16</v>
      </c>
      <c r="AC67" s="48" t="n">
        <v>-16</v>
      </c>
      <c r="AD67" s="48" t="n">
        <v>-16</v>
      </c>
      <c r="AE67" s="48" t="n">
        <v>-16</v>
      </c>
      <c r="AF67" s="20" t="s">
        <v>171</v>
      </c>
    </row>
    <row r="68" customFormat="false" ht="15" hidden="false" customHeight="true" outlineLevel="0" collapsed="false">
      <c r="B68" s="11" t="s">
        <v>172</v>
      </c>
      <c r="C68" s="33" t="n">
        <v>-1</v>
      </c>
      <c r="D68" s="33" t="n">
        <v>-3</v>
      </c>
      <c r="E68" s="33" t="n">
        <v>0</v>
      </c>
      <c r="F68" s="33" t="n">
        <v>-1</v>
      </c>
      <c r="G68" s="33" t="n">
        <v>-5</v>
      </c>
      <c r="H68" s="33" t="n">
        <v>0</v>
      </c>
      <c r="I68" s="33" t="n">
        <v>-1</v>
      </c>
      <c r="J68" s="33" t="n">
        <v>1</v>
      </c>
      <c r="K68" s="33" t="n">
        <v>-1</v>
      </c>
      <c r="L68" s="33" t="n">
        <v>-1</v>
      </c>
      <c r="M68" s="33" t="n">
        <v>3</v>
      </c>
      <c r="N68" s="33" t="n">
        <v>0</v>
      </c>
      <c r="O68" s="33" t="n">
        <v>9</v>
      </c>
      <c r="P68" s="33" t="n">
        <v>0</v>
      </c>
      <c r="Q68" s="33" t="n">
        <v>12</v>
      </c>
      <c r="R68" s="33" t="n">
        <v>0</v>
      </c>
      <c r="S68" s="33" t="n">
        <v>0</v>
      </c>
      <c r="T68" s="33" t="n">
        <v>0</v>
      </c>
      <c r="U68" s="33" t="n">
        <v>0</v>
      </c>
      <c r="V68" s="33" t="n">
        <v>1</v>
      </c>
      <c r="W68" s="33" t="n">
        <v>0</v>
      </c>
      <c r="X68" s="33" t="n">
        <v>0</v>
      </c>
      <c r="Y68" s="48" t="n">
        <v>0</v>
      </c>
      <c r="Z68" s="48" t="n">
        <v>0</v>
      </c>
      <c r="AA68" s="43" t="n">
        <f aca="false">SUM(W68,X68,Y68,Z68)</f>
        <v>0</v>
      </c>
      <c r="AB68" s="48" t="n">
        <v>0</v>
      </c>
      <c r="AC68" s="48" t="n">
        <v>0</v>
      </c>
      <c r="AD68" s="48" t="n">
        <v>0</v>
      </c>
      <c r="AE68" s="48" t="n">
        <v>0</v>
      </c>
    </row>
    <row r="69" customFormat="false" ht="15" hidden="false" customHeight="true" outlineLevel="0" collapsed="false">
      <c r="B69" s="11" t="s">
        <v>173</v>
      </c>
      <c r="C69" s="33" t="n">
        <v>5</v>
      </c>
      <c r="D69" s="33" t="n">
        <v>5</v>
      </c>
      <c r="E69" s="33" t="n">
        <v>8</v>
      </c>
      <c r="F69" s="33" t="n">
        <v>7</v>
      </c>
      <c r="G69" s="33" t="n">
        <v>25</v>
      </c>
      <c r="H69" s="33" t="n">
        <v>1</v>
      </c>
      <c r="I69" s="33" t="n">
        <v>3</v>
      </c>
      <c r="J69" s="33" t="n">
        <v>0</v>
      </c>
      <c r="K69" s="33" t="n">
        <v>1</v>
      </c>
      <c r="L69" s="33" t="n">
        <v>5</v>
      </c>
      <c r="M69" s="33" t="n">
        <v>1</v>
      </c>
      <c r="N69" s="33" t="n">
        <v>1</v>
      </c>
      <c r="O69" s="33" t="n">
        <v>1</v>
      </c>
      <c r="P69" s="33" t="n">
        <v>1</v>
      </c>
      <c r="Q69" s="33" t="n">
        <v>4</v>
      </c>
      <c r="R69" s="33" t="n">
        <v>1</v>
      </c>
      <c r="S69" s="33" t="n">
        <v>1</v>
      </c>
      <c r="T69" s="33" t="n">
        <v>1</v>
      </c>
      <c r="U69" s="33" t="n">
        <v>1</v>
      </c>
      <c r="V69" s="33" t="n">
        <v>4</v>
      </c>
      <c r="W69" s="33" t="n">
        <v>1</v>
      </c>
      <c r="X69" s="33" t="n">
        <v>1</v>
      </c>
      <c r="Y69" s="43" t="n">
        <f aca="false">($W$69+$X$69)/2</f>
        <v>1</v>
      </c>
      <c r="Z69" s="43" t="n">
        <f aca="false">($W$69+$X$69)/2</f>
        <v>1</v>
      </c>
      <c r="AA69" s="43" t="n">
        <f aca="false">SUM(W69,X69,Y69,Z69)</f>
        <v>4</v>
      </c>
      <c r="AB69" s="48" t="n">
        <v>4</v>
      </c>
      <c r="AC69" s="48" t="n">
        <v>4</v>
      </c>
      <c r="AD69" s="48" t="n">
        <v>4</v>
      </c>
      <c r="AE69" s="48" t="n">
        <v>4</v>
      </c>
    </row>
    <row r="70" customFormat="false" ht="15" hidden="false" customHeight="true" outlineLevel="0" collapsed="false">
      <c r="B70" s="11" t="s">
        <v>174</v>
      </c>
      <c r="C70" s="33" t="n">
        <v>6</v>
      </c>
      <c r="D70" s="33" t="n">
        <v>5</v>
      </c>
      <c r="E70" s="33" t="n">
        <v>4</v>
      </c>
      <c r="F70" s="33" t="n">
        <v>73</v>
      </c>
      <c r="G70" s="33" t="n">
        <v>88</v>
      </c>
      <c r="H70" s="33" t="n">
        <v>32</v>
      </c>
      <c r="I70" s="33" t="n">
        <v>22</v>
      </c>
      <c r="J70" s="33" t="n">
        <v>7</v>
      </c>
      <c r="K70" s="33" t="n">
        <v>23</v>
      </c>
      <c r="L70" s="33" t="n">
        <v>84</v>
      </c>
      <c r="M70" s="33" t="n">
        <v>13</v>
      </c>
      <c r="N70" s="33" t="n">
        <v>12</v>
      </c>
      <c r="O70" s="33" t="n">
        <v>13</v>
      </c>
      <c r="P70" s="33" t="n">
        <v>15</v>
      </c>
      <c r="Q70" s="33" t="n">
        <v>53</v>
      </c>
      <c r="R70" s="33" t="n">
        <v>4</v>
      </c>
      <c r="S70" s="33" t="n">
        <v>6</v>
      </c>
      <c r="T70" s="33" t="n">
        <v>36</v>
      </c>
      <c r="U70" s="33" t="n">
        <v>22</v>
      </c>
      <c r="V70" s="33" t="n">
        <v>69</v>
      </c>
      <c r="W70" s="33" t="n">
        <v>4</v>
      </c>
      <c r="X70" s="33" t="n">
        <v>4</v>
      </c>
      <c r="Y70" s="48" t="n">
        <v>2</v>
      </c>
      <c r="Z70" s="48" t="n">
        <v>2</v>
      </c>
      <c r="AA70" s="43" t="n">
        <f aca="false">SUM(W70,X70,Y70,Z70)</f>
        <v>12</v>
      </c>
      <c r="AB70" s="48" t="n">
        <v>5</v>
      </c>
      <c r="AC70" s="48" t="n">
        <v>5</v>
      </c>
      <c r="AD70" s="48" t="n">
        <v>5</v>
      </c>
      <c r="AE70" s="48" t="n">
        <v>5</v>
      </c>
      <c r="AF70" s="20" t="s">
        <v>175</v>
      </c>
    </row>
    <row r="71" customFormat="false" ht="15" hidden="false" customHeight="true" outlineLevel="0" collapsed="false">
      <c r="B71" s="22" t="s">
        <v>176</v>
      </c>
      <c r="C71" s="23" t="n">
        <v>-50</v>
      </c>
      <c r="D71" s="23" t="n">
        <v>-41</v>
      </c>
      <c r="E71" s="23" t="n">
        <v>-33</v>
      </c>
      <c r="F71" s="23" t="n">
        <v>-88</v>
      </c>
      <c r="G71" s="23" t="n">
        <v>-212</v>
      </c>
      <c r="H71" s="23" t="n">
        <v>-42</v>
      </c>
      <c r="I71" s="23" t="n">
        <v>-34</v>
      </c>
      <c r="J71" s="23" t="n">
        <v>-15</v>
      </c>
      <c r="K71" s="23" t="n">
        <v>-28</v>
      </c>
      <c r="L71" s="23" t="n">
        <v>-119</v>
      </c>
      <c r="M71" s="23" t="n">
        <v>-23</v>
      </c>
      <c r="N71" s="23" t="n">
        <v>-16</v>
      </c>
      <c r="O71" s="23" t="n">
        <v>-18</v>
      </c>
      <c r="P71" s="23" t="n">
        <v>-19</v>
      </c>
      <c r="Q71" s="23" t="n">
        <v>-76</v>
      </c>
      <c r="R71" s="23" t="n">
        <v>-9</v>
      </c>
      <c r="S71" s="23" t="n">
        <v>-11</v>
      </c>
      <c r="T71" s="23" t="n">
        <v>-42</v>
      </c>
      <c r="U71" s="23" t="n">
        <v>-28</v>
      </c>
      <c r="V71" s="23" t="n">
        <v>-90</v>
      </c>
      <c r="W71" s="23" t="n">
        <v>-9</v>
      </c>
      <c r="X71" s="23" t="n">
        <v>-9</v>
      </c>
      <c r="Y71" s="24" t="n">
        <f aca="false">Y67-Y68-Y69-Y70</f>
        <v>-7</v>
      </c>
      <c r="Z71" s="24" t="n">
        <f aca="false">Z67-Z68-Z69-Z70</f>
        <v>-7</v>
      </c>
      <c r="AA71" s="24" t="n">
        <f aca="false">SUM(W71,X71,Y71,Z71)</f>
        <v>-32</v>
      </c>
      <c r="AB71" s="24" t="n">
        <f aca="false">AB67-AB68-AB69-AB70</f>
        <v>-25</v>
      </c>
      <c r="AC71" s="24" t="n">
        <f aca="false">AC67-AC68-AC69-AC70</f>
        <v>-25</v>
      </c>
      <c r="AD71" s="24" t="n">
        <f aca="false">AD67-AD68-AD69-AD70</f>
        <v>-25</v>
      </c>
      <c r="AE71" s="24" t="n">
        <f aca="false">AE67-AE68-AE69-AE70</f>
        <v>-25</v>
      </c>
    </row>
    <row r="72" customFormat="false" ht="15" hidden="false" customHeight="true" outlineLevel="0" collapsed="false">
      <c r="B72" s="11"/>
    </row>
    <row r="73" customFormat="false" ht="15" hidden="false" customHeight="true" outlineLevel="0" collapsed="false">
      <c r="B73" s="15" t="s">
        <v>177</v>
      </c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6" t="s">
        <v>178</v>
      </c>
    </row>
    <row r="74" customFormat="false" ht="15" hidden="false" customHeight="true" outlineLevel="0" collapsed="false">
      <c r="B74" s="51" t="s">
        <v>179</v>
      </c>
      <c r="C74" s="52" t="n">
        <f aca="false">N(C27)+N(C51)</f>
        <v>1894</v>
      </c>
      <c r="D74" s="52" t="n">
        <f aca="false">N(D27)+N(D51)</f>
        <v>2047</v>
      </c>
      <c r="E74" s="52" t="n">
        <f aca="false">N(E27)+N(E51)</f>
        <v>1946</v>
      </c>
      <c r="F74" s="52" t="n">
        <f aca="false">N(F27)+N(F51)</f>
        <v>1831</v>
      </c>
      <c r="G74" s="52" t="n">
        <f aca="false">N(G27)+N(G51)</f>
        <v>7718</v>
      </c>
      <c r="H74" s="52" t="n">
        <f aca="false">N(H27)+N(H51)</f>
        <v>1907</v>
      </c>
      <c r="I74" s="52" t="n">
        <f aca="false">N(I27)+N(I51)</f>
        <v>1917</v>
      </c>
      <c r="J74" s="52" t="n">
        <f aca="false">N(J27)+N(J51)</f>
        <v>1980</v>
      </c>
      <c r="K74" s="52" t="n">
        <f aca="false">N(K27)+N(K51)</f>
        <v>1940</v>
      </c>
      <c r="L74" s="52" t="n">
        <f aca="false">N(L27)+N(L51)</f>
        <v>7744</v>
      </c>
      <c r="M74" s="52" t="n">
        <f aca="false">N(M27)+N(M51)</f>
        <v>2018</v>
      </c>
      <c r="N74" s="52" t="n">
        <f aca="false">N(N27)+N(N51)</f>
        <v>2080</v>
      </c>
      <c r="O74" s="52" t="n">
        <f aca="false">N(O27)+N(O51)</f>
        <v>2054</v>
      </c>
      <c r="P74" s="52" t="n">
        <f aca="false">N(P27)+N(P51)</f>
        <v>1921</v>
      </c>
      <c r="Q74" s="52" t="n">
        <f aca="false">N(Q27)+N(Q51)</f>
        <v>8072</v>
      </c>
      <c r="R74" s="52" t="n">
        <f aca="false">N(R27)+N(R51)</f>
        <v>1954</v>
      </c>
      <c r="S74" s="52" t="n">
        <f aca="false">N(S27)+N(S51)</f>
        <v>2081</v>
      </c>
      <c r="T74" s="52" t="n">
        <f aca="false">N(T27)+N(T51)</f>
        <v>2112</v>
      </c>
      <c r="U74" s="52" t="n">
        <f aca="false">N(U27)+N(U51)</f>
        <v>2011</v>
      </c>
      <c r="V74" s="52" t="n">
        <f aca="false">N(V27)+N(V51)</f>
        <v>8156</v>
      </c>
      <c r="W74" s="52" t="n">
        <f aca="false">N(W27)+N(W51)</f>
        <v>2097</v>
      </c>
      <c r="X74" s="52" t="n">
        <f aca="false">N(X27)+N(X51)</f>
        <v>2355</v>
      </c>
      <c r="Y74" s="52" t="n">
        <f aca="false">N(Y27)+N(Y51)</f>
        <v>2416.06194494789</v>
      </c>
      <c r="Z74" s="52" t="n">
        <f aca="false">N(Z27)+N(Z51)</f>
        <v>2313.5615012902</v>
      </c>
      <c r="AA74" s="52" t="n">
        <f aca="false">N(AA27)+N(AA51)</f>
        <v>9181.62344623809</v>
      </c>
      <c r="AB74" s="52" t="n">
        <f aca="false">N(AB27)+N(AB51)</f>
        <v>9462.87058629062</v>
      </c>
      <c r="AC74" s="52" t="n">
        <f aca="false">N(AC27)+N(AC51)</f>
        <v>10009.7483705354</v>
      </c>
      <c r="AD74" s="52" t="n">
        <f aca="false">N(AD27)+N(AD51)</f>
        <v>10561.2015159701</v>
      </c>
      <c r="AE74" s="52" t="n">
        <f aca="false">N(AE27)+N(AE51)</f>
        <v>11113.5362107689</v>
      </c>
      <c r="AF74" s="20" t="s">
        <v>180</v>
      </c>
      <c r="AH74" s="25" t="n">
        <f aca="false">IFERROR((AE74/V74)^(1/5)-1,"n/m")</f>
        <v>0.0638368026834297</v>
      </c>
      <c r="AI74" s="25" t="n">
        <f aca="false">IFERROR((V74/G74)^(1/3)-1,"n/m")</f>
        <v>0.018569844179408</v>
      </c>
    </row>
    <row r="75" customFormat="false" ht="15" hidden="false" customHeight="true" outlineLevel="0" collapsed="false">
      <c r="B75" s="27" t="s">
        <v>181</v>
      </c>
      <c r="H75" s="28" t="n">
        <f aca="false">IF(AND(ISNUMBER(H74),ISNUMBER(C74)),IFERROR(H74/C74-1,""),"")</f>
        <v>0.00686378035902857</v>
      </c>
      <c r="I75" s="28" t="n">
        <f aca="false">IF(AND(ISNUMBER(I74),ISNUMBER(D74)),IFERROR(I74/D74-1,""),"")</f>
        <v>-0.0635075720566684</v>
      </c>
      <c r="J75" s="28" t="n">
        <f aca="false">IF(AND(ISNUMBER(J74),ISNUMBER(E74)),IFERROR(J74/E74-1,""),"")</f>
        <v>0.0174717368961974</v>
      </c>
      <c r="K75" s="28" t="n">
        <f aca="false">IF(AND(ISNUMBER(K74),ISNUMBER(F74)),IFERROR(K74/F74-1,""),"")</f>
        <v>0.0595303113052976</v>
      </c>
      <c r="L75" s="28" t="n">
        <f aca="false">IF(AND(ISNUMBER(L74),ISNUMBER(G74)),IFERROR(L74/G74-1,""),"")</f>
        <v>0.00336874838040946</v>
      </c>
      <c r="M75" s="28" t="n">
        <f aca="false">IF(AND(ISNUMBER(M74),ISNUMBER(H74)),IFERROR(M74/H74-1,""),"")</f>
        <v>0.0582066072364971</v>
      </c>
      <c r="N75" s="28" t="n">
        <f aca="false">IF(AND(ISNUMBER(N74),ISNUMBER(I74)),IFERROR(N74/I74-1,""),"")</f>
        <v>0.0850286906624935</v>
      </c>
      <c r="O75" s="28" t="n">
        <f aca="false">IF(AND(ISNUMBER(O74),ISNUMBER(J74)),IFERROR(O74/J74-1,""),"")</f>
        <v>0.0373737373737373</v>
      </c>
      <c r="P75" s="28" t="n">
        <f aca="false">IF(AND(ISNUMBER(P74),ISNUMBER(K74)),IFERROR(P74/K74-1,""),"")</f>
        <v>-0.00979381443298966</v>
      </c>
      <c r="Q75" s="28" t="n">
        <f aca="false">IF(AND(ISNUMBER(Q74),ISNUMBER(L74)),IFERROR(Q74/L74-1,""),"")</f>
        <v>0.0423553719008265</v>
      </c>
      <c r="R75" s="28" t="n">
        <f aca="false">IF(AND(ISNUMBER(R74),ISNUMBER(M74)),IFERROR(R74/M74-1,""),"")</f>
        <v>-0.0317145688800793</v>
      </c>
      <c r="S75" s="28" t="n">
        <f aca="false">IF(AND(ISNUMBER(S74),ISNUMBER(N74)),IFERROR(S74/N74-1,""),"")</f>
        <v>0.00048076923076934</v>
      </c>
      <c r="T75" s="28" t="n">
        <f aca="false">IF(AND(ISNUMBER(T74),ISNUMBER(O74)),IFERROR(T74/O74-1,""),"")</f>
        <v>0.0282375851996106</v>
      </c>
      <c r="U75" s="28" t="n">
        <f aca="false">IF(AND(ISNUMBER(U74),ISNUMBER(P74)),IFERROR(U74/P74-1,""),"")</f>
        <v>0.0468505986465382</v>
      </c>
      <c r="V75" s="28" t="n">
        <f aca="false">IF(AND(ISNUMBER(V74),ISNUMBER(Q74)),IFERROR(V74/Q74-1,""),"")</f>
        <v>0.010406342913776</v>
      </c>
      <c r="W75" s="28" t="n">
        <f aca="false">IF(AND(ISNUMBER(W74),ISNUMBER(R74)),IFERROR(W74/R74-1,""),"")</f>
        <v>0.0731832139201638</v>
      </c>
      <c r="X75" s="28" t="n">
        <f aca="false">IF(AND(ISNUMBER(X74),ISNUMBER(S74)),IFERROR(X74/S74-1,""),"")</f>
        <v>0.131667467563671</v>
      </c>
      <c r="Y75" s="30" t="n">
        <f aca="false">IFERROR(Y74/T74-1,"")</f>
        <v>0.143968723933659</v>
      </c>
      <c r="Z75" s="30" t="n">
        <f aca="false">IFERROR(Z74/U74-1,"")</f>
        <v>0.150453257727599</v>
      </c>
      <c r="AA75" s="30" t="n">
        <f aca="false">IFERROR(AA74/V74-1,"")</f>
        <v>0.125750790367593</v>
      </c>
      <c r="AB75" s="30" t="n">
        <f aca="false">IFERROR(AB74/AA74-1,"")</f>
        <v>0.0306315262980816</v>
      </c>
      <c r="AC75" s="30" t="n">
        <f aca="false">IFERROR(AC74/AB74-1,"")</f>
        <v>0.0577919542762315</v>
      </c>
      <c r="AD75" s="30" t="n">
        <f aca="false">IFERROR(AD74/AC74-1,"")</f>
        <v>0.0550916092014775</v>
      </c>
      <c r="AE75" s="30" t="n">
        <f aca="false">IFERROR(AE74/AD74-1,"")</f>
        <v>0.0522984713399872</v>
      </c>
    </row>
    <row r="76" customFormat="false" ht="15" hidden="false" customHeight="true" outlineLevel="0" collapsed="false">
      <c r="B76" s="49" t="s">
        <v>182</v>
      </c>
      <c r="C76" s="50" t="n">
        <f aca="false">IF(ABS(ROUND(C74-C106,1))&lt;=1,0,ROUND(C74-C106,1))</f>
        <v>0</v>
      </c>
      <c r="D76" s="50" t="n">
        <f aca="false">IF(ABS(ROUND(D74-D106,1))&lt;=1,0,ROUND(D74-D106,1))</f>
        <v>0</v>
      </c>
      <c r="E76" s="50" t="n">
        <f aca="false">IF(ABS(ROUND(E74-E106,1))&lt;=1,0,ROUND(E74-E106,1))</f>
        <v>0</v>
      </c>
      <c r="F76" s="50" t="n">
        <f aca="false">IF(ABS(ROUND(F74-F106,1))&lt;=1,0,ROUND(F74-F106,1))</f>
        <v>0</v>
      </c>
      <c r="G76" s="50" t="n">
        <f aca="false">IF(ABS(ROUND(G74-G106,1))&lt;=1,0,ROUND(G74-G106,1))</f>
        <v>0</v>
      </c>
      <c r="H76" s="50" t="n">
        <f aca="false">IF(ABS(ROUND(H74-H106,1))&lt;=1,0,ROUND(H74-H106,1))</f>
        <v>0</v>
      </c>
      <c r="I76" s="50" t="n">
        <f aca="false">IF(ABS(ROUND(I74-I106,1))&lt;=1,0,ROUND(I74-I106,1))</f>
        <v>0</v>
      </c>
      <c r="J76" s="50" t="n">
        <f aca="false">IF(ABS(ROUND(J74-J106,1))&lt;=1,0,ROUND(J74-J106,1))</f>
        <v>0</v>
      </c>
      <c r="K76" s="50" t="n">
        <f aca="false">IF(ABS(ROUND(K74-K106,1))&lt;=1,0,ROUND(K74-K106,1))</f>
        <v>0</v>
      </c>
      <c r="L76" s="50" t="n">
        <f aca="false">IF(ABS(ROUND(L74-L106,1))&lt;=1,0,ROUND(L74-L106,1))</f>
        <v>0</v>
      </c>
      <c r="M76" s="50" t="n">
        <f aca="false">IF(ABS(ROUND(M74-M106,1))&lt;=1,0,ROUND(M74-M106,1))</f>
        <v>0</v>
      </c>
      <c r="N76" s="50" t="n">
        <f aca="false">IF(ABS(ROUND(N74-N106,1))&lt;=1,0,ROUND(N74-N106,1))</f>
        <v>0</v>
      </c>
      <c r="O76" s="50" t="n">
        <f aca="false">IF(ABS(ROUND(O74-O106,1))&lt;=1,0,ROUND(O74-O106,1))</f>
        <v>0</v>
      </c>
      <c r="P76" s="50" t="n">
        <f aca="false">IF(ABS(ROUND(P74-P106,1))&lt;=1,0,ROUND(P74-P106,1))</f>
        <v>0</v>
      </c>
      <c r="Q76" s="50" t="n">
        <f aca="false">IF(ABS(ROUND(Q74-Q106,1))&lt;=1,0,ROUND(Q74-Q106,1))</f>
        <v>0</v>
      </c>
      <c r="R76" s="50" t="n">
        <f aca="false">IF(ABS(ROUND(R74-R106,1))&lt;=1,0,ROUND(R74-R106,1))</f>
        <v>0</v>
      </c>
      <c r="S76" s="50" t="n">
        <f aca="false">IF(ABS(ROUND(S74-S106,1))&lt;=1,0,ROUND(S74-S106,1))</f>
        <v>0</v>
      </c>
      <c r="T76" s="50" t="n">
        <f aca="false">IF(ABS(ROUND(T74-T106,1))&lt;=1,0,ROUND(T74-T106,1))</f>
        <v>0</v>
      </c>
      <c r="U76" s="50" t="n">
        <f aca="false">IF(ABS(ROUND(U74-U106,1))&lt;=1,0,ROUND(U74-U106,1))</f>
        <v>0</v>
      </c>
      <c r="V76" s="50" t="n">
        <f aca="false">IF(ABS(ROUND(V74-V106,1))&lt;=1,0,ROUND(V74-V106,1))</f>
        <v>0</v>
      </c>
      <c r="W76" s="50" t="n">
        <f aca="false">IF(ABS(ROUND(W74-W106,1))&lt;=1,0,ROUND(W74-W106,1))</f>
        <v>0</v>
      </c>
      <c r="X76" s="50" t="n">
        <f aca="false">IF(ABS(ROUND(X74-X106,1))&lt;=1,0,ROUND(X74-X106,1))</f>
        <v>0</v>
      </c>
      <c r="Y76" s="43" t="n">
        <f aca="false">IF(ABS(ROUND(Y74-Y106,1))&lt;=1,0,ROUND(Y74-Y106,1))</f>
        <v>0</v>
      </c>
      <c r="Z76" s="43" t="n">
        <f aca="false">IF(ABS(ROUND(Z74-Z106,1))&lt;=1,0,ROUND(Z74-Z106,1))</f>
        <v>0</v>
      </c>
      <c r="AA76" s="43" t="n">
        <f aca="false">IF(ABS(ROUND(AA74-AA106,1))&lt;=1,0,ROUND(AA74-AA106,1))</f>
        <v>0</v>
      </c>
      <c r="AB76" s="43" t="n">
        <f aca="false">IF(ABS(ROUND(AB74-AB106,1))&lt;=1,0,ROUND(AB74-AB106,1))</f>
        <v>0</v>
      </c>
      <c r="AC76" s="43" t="n">
        <f aca="false">IF(ABS(ROUND(AC74-AC106,1))&lt;=1,0,ROUND(AC74-AC106,1))</f>
        <v>0</v>
      </c>
      <c r="AD76" s="43" t="n">
        <f aca="false">IF(ABS(ROUND(AD74-AD106,1))&lt;=1,0,ROUND(AD74-AD106,1))</f>
        <v>0</v>
      </c>
      <c r="AE76" s="43" t="n">
        <f aca="false">IF(ABS(ROUND(AE74-AE106,1))&lt;=1,0,ROUND(AE74-AE106,1))</f>
        <v>0</v>
      </c>
    </row>
    <row r="77" customFormat="false" ht="15" hidden="false" customHeight="true" outlineLevel="0" collapsed="false">
      <c r="B77" s="51" t="s">
        <v>183</v>
      </c>
      <c r="C77" s="52" t="n">
        <f aca="false">N(C41)+N(C53)+N(C67)</f>
        <v>184</v>
      </c>
      <c r="D77" s="52" t="n">
        <f aca="false">N(D41)+N(D53)+N(D67)</f>
        <v>289</v>
      </c>
      <c r="E77" s="52" t="n">
        <f aca="false">N(E41)+N(E53)+N(E67)</f>
        <v>262</v>
      </c>
      <c r="F77" s="52" t="n">
        <f aca="false">N(F41)+N(F53)+N(F67)</f>
        <v>262</v>
      </c>
      <c r="G77" s="52" t="n">
        <f aca="false">N(G41)+N(G53)+N(G67)</f>
        <v>997</v>
      </c>
      <c r="H77" s="52" t="n">
        <f aca="false">N(H41)+N(H53)+N(H67)</f>
        <v>210</v>
      </c>
      <c r="I77" s="52" t="n">
        <f aca="false">N(I41)+N(I53)+N(I67)</f>
        <v>244</v>
      </c>
      <c r="J77" s="52" t="n">
        <f aca="false">N(J41)+N(J53)+N(J67)</f>
        <v>278</v>
      </c>
      <c r="K77" s="52" t="n">
        <f aca="false">N(K41)+N(K53)+N(K67)</f>
        <v>264</v>
      </c>
      <c r="L77" s="52" t="n">
        <f aca="false">N(L41)+N(L53)+N(L67)</f>
        <v>996</v>
      </c>
      <c r="M77" s="52" t="n">
        <f aca="false">N(M41)+N(M53)+N(M67)</f>
        <v>288</v>
      </c>
      <c r="N77" s="52" t="n">
        <f aca="false">N(N41)+N(N53)+N(N67)</f>
        <v>343</v>
      </c>
      <c r="O77" s="52" t="n">
        <f aca="false">N(O41)+N(O53)+N(O67)</f>
        <v>333</v>
      </c>
      <c r="P77" s="52" t="n">
        <f aca="false">N(P41)+N(P53)+N(P67)</f>
        <v>303</v>
      </c>
      <c r="Q77" s="52" t="n">
        <f aca="false">N(Q41)+N(Q53)+N(Q67)</f>
        <v>1266</v>
      </c>
      <c r="R77" s="52" t="n">
        <f aca="false">N(R41)+N(R53)+N(R67)</f>
        <v>278</v>
      </c>
      <c r="S77" s="52" t="n">
        <f aca="false">N(S41)+N(S53)+N(S67)</f>
        <v>340</v>
      </c>
      <c r="T77" s="52" t="n">
        <f aca="false">N(T41)+N(T53)+N(T67)</f>
        <v>342</v>
      </c>
      <c r="U77" s="52" t="n">
        <f aca="false">N(U41)+N(U53)+N(U67)</f>
        <v>313</v>
      </c>
      <c r="V77" s="52" t="n">
        <f aca="false">N(V41)+N(V53)+N(V67)</f>
        <v>1273</v>
      </c>
      <c r="W77" s="52" t="n">
        <f aca="false">N(W41)+N(W53)+N(W67)</f>
        <v>319</v>
      </c>
      <c r="X77" s="52" t="n">
        <f aca="false">N(X41)+N(X53)+N(X67)</f>
        <v>434</v>
      </c>
      <c r="Y77" s="52" t="n">
        <f aca="false">N(Y41)+N(Y53)+N(Y67)</f>
        <v>433.930406268675</v>
      </c>
      <c r="Z77" s="52" t="n">
        <f aca="false">N(Z41)+N(Z53)+N(Z67)</f>
        <v>384.738222963245</v>
      </c>
      <c r="AA77" s="52" t="n">
        <f aca="false">N(AA41)+N(AA53)+N(AA67)</f>
        <v>1571.66862923192</v>
      </c>
      <c r="AB77" s="52" t="n">
        <f aca="false">N(AB41)+N(AB53)+N(AB67)</f>
        <v>1745.80210531495</v>
      </c>
      <c r="AC77" s="52" t="n">
        <f aca="false">N(AC41)+N(AC53)+N(AC67)</f>
        <v>1941.44762967376</v>
      </c>
      <c r="AD77" s="52" t="n">
        <f aca="false">N(AD41)+N(AD53)+N(AD67)</f>
        <v>2146.85707884297</v>
      </c>
      <c r="AE77" s="52" t="n">
        <f aca="false">N(AE41)+N(AE53)+N(AE67)</f>
        <v>2315.72177611517</v>
      </c>
      <c r="AH77" s="25" t="n">
        <f aca="false">IFERROR((AE77/V77)^(1/5)-1,"n/m")</f>
        <v>0.127123734807049</v>
      </c>
      <c r="AI77" s="25" t="n">
        <f aca="false">IFERROR((V77/G77)^(1/3)-1,"n/m")</f>
        <v>0.0848701215626988</v>
      </c>
    </row>
    <row r="78" customFormat="false" ht="15" hidden="false" customHeight="true" outlineLevel="0" collapsed="false">
      <c r="B78" s="11" t="s">
        <v>184</v>
      </c>
      <c r="C78" s="42" t="n">
        <f aca="false">IF(AND(ISNUMBER(C77),ISNUMBER(C74)),IFERROR(C77/C74,""),"")</f>
        <v>0.0971488912354805</v>
      </c>
      <c r="D78" s="42" t="n">
        <f aca="false">IF(AND(ISNUMBER(D77),ISNUMBER(D74)),IFERROR(D77/D74,""),"")</f>
        <v>0.141182217879824</v>
      </c>
      <c r="E78" s="42" t="n">
        <f aca="false">IF(AND(ISNUMBER(E77),ISNUMBER(E74)),IFERROR(E77/E74,""),"")</f>
        <v>0.134635149023638</v>
      </c>
      <c r="F78" s="42" t="n">
        <f aca="false">IF(AND(ISNUMBER(F77),ISNUMBER(F74)),IFERROR(F77/F74,""),"")</f>
        <v>0.143091206990715</v>
      </c>
      <c r="G78" s="42" t="n">
        <f aca="false">IF(AND(ISNUMBER(G77),ISNUMBER(G74)),IFERROR(G77/G74,""),"")</f>
        <v>0.129178543664162</v>
      </c>
      <c r="H78" s="42" t="n">
        <f aca="false">IF(AND(ISNUMBER(H77),ISNUMBER(H74)),IFERROR(H77/H74,""),"")</f>
        <v>0.110120608285265</v>
      </c>
      <c r="I78" s="42" t="n">
        <f aca="false">IF(AND(ISNUMBER(I77),ISNUMBER(I74)),IFERROR(I77/I74,""),"")</f>
        <v>0.127282211789254</v>
      </c>
      <c r="J78" s="42" t="n">
        <f aca="false">IF(AND(ISNUMBER(J77),ISNUMBER(J74)),IFERROR(J77/J74,""),"")</f>
        <v>0.14040404040404</v>
      </c>
      <c r="K78" s="42" t="n">
        <f aca="false">IF(AND(ISNUMBER(K77),ISNUMBER(K74)),IFERROR(K77/K74,""),"")</f>
        <v>0.136082474226804</v>
      </c>
      <c r="L78" s="42" t="n">
        <f aca="false">IF(AND(ISNUMBER(L77),ISNUMBER(L74)),IFERROR(L77/L74,""),"")</f>
        <v>0.128615702479339</v>
      </c>
      <c r="M78" s="42" t="n">
        <f aca="false">IF(AND(ISNUMBER(M77),ISNUMBER(M74)),IFERROR(M77/M74,""),"")</f>
        <v>0.142715559960357</v>
      </c>
      <c r="N78" s="42" t="n">
        <f aca="false">IF(AND(ISNUMBER(N77),ISNUMBER(N74)),IFERROR(N77/N74,""),"")</f>
        <v>0.164903846153846</v>
      </c>
      <c r="O78" s="42" t="n">
        <f aca="false">IF(AND(ISNUMBER(O77),ISNUMBER(O74)),IFERROR(O77/O74,""),"")</f>
        <v>0.162122687439143</v>
      </c>
      <c r="P78" s="42" t="n">
        <f aca="false">IF(AND(ISNUMBER(P77),ISNUMBER(P74)),IFERROR(P77/P74,""),"")</f>
        <v>0.157730348776679</v>
      </c>
      <c r="Q78" s="42" t="n">
        <f aca="false">IF(AND(ISNUMBER(Q77),ISNUMBER(Q74)),IFERROR(Q77/Q74,""),"")</f>
        <v>0.156838453914767</v>
      </c>
      <c r="R78" s="42" t="n">
        <f aca="false">IF(AND(ISNUMBER(R77),ISNUMBER(R74)),IFERROR(R77/R74,""),"")</f>
        <v>0.142272262026612</v>
      </c>
      <c r="S78" s="42" t="n">
        <f aca="false">IF(AND(ISNUMBER(S77),ISNUMBER(S74)),IFERROR(S77/S74,""),"")</f>
        <v>0.163382988947621</v>
      </c>
      <c r="T78" s="42" t="n">
        <f aca="false">IF(AND(ISNUMBER(T77),ISNUMBER(T74)),IFERROR(T77/T74,""),"")</f>
        <v>0.161931818181818</v>
      </c>
      <c r="U78" s="42" t="n">
        <f aca="false">IF(AND(ISNUMBER(U77),ISNUMBER(U74)),IFERROR(U77/U74,""),"")</f>
        <v>0.155643958229736</v>
      </c>
      <c r="V78" s="42" t="n">
        <f aca="false">IF(AND(ISNUMBER(V77),ISNUMBER(V74)),IFERROR(V77/V74,""),"")</f>
        <v>0.156081412457087</v>
      </c>
      <c r="W78" s="42" t="n">
        <f aca="false">IF(AND(ISNUMBER(W77),ISNUMBER(W74)),IFERROR(W77/W74,""),"")</f>
        <v>0.152122079160706</v>
      </c>
      <c r="X78" s="42" t="n">
        <f aca="false">IF(AND(ISNUMBER(X77),ISNUMBER(X74)),IFERROR(X77/X74,""),"")</f>
        <v>0.184288747346072</v>
      </c>
      <c r="Y78" s="30" t="n">
        <f aca="false">IFERROR(Y77/Y74,"")</f>
        <v>0.1796023513288</v>
      </c>
      <c r="Z78" s="30" t="n">
        <f aca="false">IFERROR(Z77/Z74,"")</f>
        <v>0.166296950718055</v>
      </c>
      <c r="AA78" s="30" t="n">
        <f aca="false">IFERROR(AA77/AA74,"")</f>
        <v>0.171175461336945</v>
      </c>
      <c r="AB78" s="30" t="n">
        <f aca="false">IFERROR(AB77/AB74,"")</f>
        <v>0.184489694685689</v>
      </c>
      <c r="AC78" s="30" t="n">
        <f aca="false">IFERROR(AC77/AC74,"")</f>
        <v>0.193955687776186</v>
      </c>
      <c r="AD78" s="30" t="n">
        <f aca="false">IFERROR(AD77/AD74,"")</f>
        <v>0.203277730814681</v>
      </c>
      <c r="AE78" s="30" t="n">
        <f aca="false">IFERROR(AE77/AE74,"")</f>
        <v>0.208369481342156</v>
      </c>
      <c r="AH78" s="44" t="n">
        <f aca="false">IFERROR(AVERAGE(AA78,AB78,AC78,AD78,AE78),"n/m")</f>
        <v>0.192253611191132</v>
      </c>
      <c r="AI78" s="44" t="n">
        <f aca="false">IFERROR(AVERAGE(G78,L78,Q78,V78),"n/m")</f>
        <v>0.142678528128839</v>
      </c>
    </row>
    <row r="79" customFormat="false" ht="15" hidden="false" customHeight="true" outlineLevel="0" collapsed="false">
      <c r="B79" s="49" t="s">
        <v>185</v>
      </c>
      <c r="C79" s="50" t="n">
        <f aca="false">IF(ABS(ROUND(C77-C158,1))&lt;=1,0,ROUND(C77-C158,1))</f>
        <v>0</v>
      </c>
      <c r="D79" s="50" t="n">
        <f aca="false">IF(ABS(ROUND(D77-D158,1))&lt;=1,0,ROUND(D77-D158,1))</f>
        <v>0</v>
      </c>
      <c r="E79" s="50" t="n">
        <f aca="false">IF(ABS(ROUND(E77-E158,1))&lt;=1,0,ROUND(E77-E158,1))</f>
        <v>0</v>
      </c>
      <c r="F79" s="50" t="n">
        <f aca="false">IF(ABS(ROUND(F77-F158,1))&lt;=1,0,ROUND(F77-F158,1))</f>
        <v>0</v>
      </c>
      <c r="G79" s="50" t="n">
        <f aca="false">IF(ABS(ROUND(G77-G158,1))&lt;=1,0,ROUND(G77-G158,1))</f>
        <v>0</v>
      </c>
      <c r="H79" s="50" t="n">
        <f aca="false">IF(ABS(ROUND(H77-H158,1))&lt;=1,0,ROUND(H77-H158,1))</f>
        <v>0</v>
      </c>
      <c r="I79" s="50" t="n">
        <f aca="false">IF(ABS(ROUND(I77-I158,1))&lt;=1,0,ROUND(I77-I158,1))</f>
        <v>0</v>
      </c>
      <c r="J79" s="50" t="n">
        <f aca="false">IF(ABS(ROUND(J77-J158,1))&lt;=1,0,ROUND(J77-J158,1))</f>
        <v>0</v>
      </c>
      <c r="K79" s="50" t="n">
        <f aca="false">IF(ABS(ROUND(K77-K158,1))&lt;=1,0,ROUND(K77-K158,1))</f>
        <v>0</v>
      </c>
      <c r="L79" s="50" t="n">
        <f aca="false">IF(ABS(ROUND(L77-L158,1))&lt;=1,0,ROUND(L77-L158,1))</f>
        <v>0</v>
      </c>
      <c r="M79" s="50" t="n">
        <f aca="false">IF(ABS(ROUND(M77-M158,1))&lt;=1,0,ROUND(M77-M158,1))</f>
        <v>0</v>
      </c>
      <c r="N79" s="50" t="n">
        <f aca="false">IF(ABS(ROUND(N77-N158,1))&lt;=1,0,ROUND(N77-N158,1))</f>
        <v>0</v>
      </c>
      <c r="O79" s="50" t="n">
        <f aca="false">IF(ABS(ROUND(O77-O158,1))&lt;=1,0,ROUND(O77-O158,1))</f>
        <v>0</v>
      </c>
      <c r="P79" s="50" t="n">
        <f aca="false">IF(ABS(ROUND(P77-P158,1))&lt;=1,0,ROUND(P77-P158,1))</f>
        <v>0</v>
      </c>
      <c r="Q79" s="50" t="n">
        <f aca="false">IF(ABS(ROUND(Q77-Q158,1))&lt;=1,0,ROUND(Q77-Q158,1))</f>
        <v>0</v>
      </c>
      <c r="R79" s="50" t="n">
        <f aca="false">IF(ABS(ROUND(R77-R158,1))&lt;=1,0,ROUND(R77-R158,1))</f>
        <v>0</v>
      </c>
      <c r="S79" s="50" t="n">
        <f aca="false">IF(ABS(ROUND(S77-S158,1))&lt;=1,0,ROUND(S77-S158,1))</f>
        <v>0</v>
      </c>
      <c r="T79" s="50" t="n">
        <f aca="false">IF(ABS(ROUND(T77-T158,1))&lt;=1,0,ROUND(T77-T158,1))</f>
        <v>0</v>
      </c>
      <c r="U79" s="50" t="n">
        <f aca="false">IF(ABS(ROUND(U77-U158,1))&lt;=1,0,ROUND(U77-U158,1))</f>
        <v>0</v>
      </c>
      <c r="V79" s="50" t="n">
        <f aca="false">IF(ABS(ROUND(V77-V158,1))&lt;=1,0,ROUND(V77-V158,1))</f>
        <v>0</v>
      </c>
      <c r="W79" s="50" t="n">
        <f aca="false">IF(ABS(ROUND(W77-W158,1))&lt;=1,0,ROUND(W77-W158,1))</f>
        <v>0</v>
      </c>
      <c r="X79" s="50" t="n">
        <f aca="false">IF(ABS(ROUND(X77-X158,1))&lt;=1,0,ROUND(X77-X158,1))</f>
        <v>0</v>
      </c>
      <c r="Y79" s="43" t="n">
        <f aca="false">IF(ABS(ROUND(Y77-Y158,1))&lt;=1,0,ROUND(Y77-Y158,1))</f>
        <v>0</v>
      </c>
      <c r="Z79" s="43" t="n">
        <f aca="false">IF(ABS(ROUND(Z77-Z158,1))&lt;=1,0,ROUND(Z77-Z158,1))</f>
        <v>0</v>
      </c>
      <c r="AA79" s="43" t="n">
        <f aca="false">IF(ABS(ROUND(AA77-AA158,1))&lt;=1,0,ROUND(AA77-AA158,1))</f>
        <v>0</v>
      </c>
      <c r="AB79" s="43" t="n">
        <f aca="false">IF(ABS(ROUND(AB77-AB158,1))&lt;=1,0,ROUND(AB77-AB158,1))</f>
        <v>0</v>
      </c>
      <c r="AC79" s="43" t="n">
        <f aca="false">IF(ABS(ROUND(AC77-AC158,1))&lt;=1,0,ROUND(AC77-AC158,1))</f>
        <v>0</v>
      </c>
      <c r="AD79" s="43" t="n">
        <f aca="false">IF(ABS(ROUND(AD77-AD158,1))&lt;=1,0,ROUND(AD77-AD158,1))</f>
        <v>0</v>
      </c>
      <c r="AE79" s="43" t="n">
        <f aca="false">IF(ABS(ROUND(AE77-AE158,1))&lt;=1,0,ROUND(AE77-AE158,1))</f>
        <v>0</v>
      </c>
    </row>
    <row r="80" customFormat="false" ht="15" hidden="false" customHeight="true" outlineLevel="0" collapsed="false">
      <c r="B80" s="49" t="s">
        <v>186</v>
      </c>
      <c r="C80" s="50" t="n">
        <f aca="false">IF(ABS(ROUND(C47+C63+C71-C121,1))&lt;=1,0,ROUND(C47+C63+C71-C121,1))</f>
        <v>0</v>
      </c>
      <c r="D80" s="50" t="n">
        <f aca="false">IF(ABS(ROUND(D47+D63+D71-D121,1))&lt;=1,0,ROUND(D47+D63+D71-D121,1))</f>
        <v>0</v>
      </c>
      <c r="E80" s="50" t="n">
        <f aca="false">IF(ABS(ROUND(E47+E63+E71-E121,1))&lt;=1,0,ROUND(E47+E63+E71-E121,1))</f>
        <v>0</v>
      </c>
      <c r="F80" s="50" t="n">
        <f aca="false">IF(ABS(ROUND(F47+F63+F71-F121,1))&lt;=1,0,ROUND(F47+F63+F71-F121,1))</f>
        <v>0</v>
      </c>
      <c r="G80" s="50" t="n">
        <f aca="false">IF(ABS(ROUND(G47+G63+G71-G121,1))&lt;=1,0,ROUND(G47+G63+G71-G121,1))</f>
        <v>0</v>
      </c>
      <c r="H80" s="50" t="n">
        <f aca="false">IF(ABS(ROUND(H47+H63+H71-H121,1))&lt;=1,0,ROUND(H47+H63+H71-H121,1))</f>
        <v>0</v>
      </c>
      <c r="I80" s="50" t="n">
        <f aca="false">IF(ABS(ROUND(I47+I63+I71-I121,1))&lt;=1,0,ROUND(I47+I63+I71-I121,1))</f>
        <v>0</v>
      </c>
      <c r="J80" s="50" t="n">
        <f aca="false">IF(ABS(ROUND(J47+J63+J71-J121,1))&lt;=1,0,ROUND(J47+J63+J71-J121,1))</f>
        <v>0</v>
      </c>
      <c r="K80" s="50" t="n">
        <f aca="false">IF(ABS(ROUND(K47+K63+K71-K121,1))&lt;=1,0,ROUND(K47+K63+K71-K121,1))</f>
        <v>0</v>
      </c>
      <c r="L80" s="50" t="n">
        <f aca="false">IF(ABS(ROUND(L47+L63+L71-L121,1))&lt;=1,0,ROUND(L47+L63+L71-L121,1))</f>
        <v>0</v>
      </c>
      <c r="M80" s="50" t="n">
        <f aca="false">IF(ABS(ROUND(M47+M63+M71-M121,1))&lt;=1,0,ROUND(M47+M63+M71-M121,1))</f>
        <v>0</v>
      </c>
      <c r="N80" s="50" t="n">
        <f aca="false">IF(ABS(ROUND(N47+N63+N71-N121,1))&lt;=1,0,ROUND(N47+N63+N71-N121,1))</f>
        <v>0</v>
      </c>
      <c r="O80" s="50" t="n">
        <f aca="false">IF(ABS(ROUND(O47+O63+O71-O121,1))&lt;=1,0,ROUND(O47+O63+O71-O121,1))</f>
        <v>0</v>
      </c>
      <c r="P80" s="50" t="n">
        <f aca="false">IF(ABS(ROUND(P47+P63+P71-P121,1))&lt;=1,0,ROUND(P47+P63+P71-P121,1))</f>
        <v>0</v>
      </c>
      <c r="Q80" s="50" t="n">
        <f aca="false">IF(ABS(ROUND(Q47+Q63+Q71-Q121,1))&lt;=1,0,ROUND(Q47+Q63+Q71-Q121,1))</f>
        <v>0</v>
      </c>
      <c r="R80" s="50" t="n">
        <f aca="false">IF(ABS(ROUND(R47+R63+R71-R121,1))&lt;=1,0,ROUND(R47+R63+R71-R121,1))</f>
        <v>0</v>
      </c>
      <c r="S80" s="50" t="n">
        <f aca="false">IF(ABS(ROUND(S47+S63+S71-S121,1))&lt;=1,0,ROUND(S47+S63+S71-S121,1))</f>
        <v>0</v>
      </c>
      <c r="T80" s="50" t="n">
        <f aca="false">IF(ABS(ROUND(T47+T63+T71-T121,1))&lt;=1,0,ROUND(T47+T63+T71-T121,1))</f>
        <v>0</v>
      </c>
      <c r="U80" s="50" t="n">
        <f aca="false">IF(ABS(ROUND(U47+U63+U71-U121,1))&lt;=1,0,ROUND(U47+U63+U71-U121,1))</f>
        <v>0</v>
      </c>
      <c r="V80" s="50" t="n">
        <f aca="false">IF(ABS(ROUND(V47+V63+V71-V121,1))&lt;=1,0,ROUND(V47+V63+V71-V121,1))</f>
        <v>0</v>
      </c>
      <c r="W80" s="50" t="n">
        <f aca="false">IF(ABS(ROUND(W47+W63+W71-W121,1))&lt;=1,0,ROUND(W47+W63+W71-W121,1))</f>
        <v>0</v>
      </c>
      <c r="X80" s="50" t="n">
        <f aca="false">IF(ABS(ROUND(X47+X63+X71-X121,1))&lt;=1,0,ROUND(X47+X63+X71-X121,1))</f>
        <v>0</v>
      </c>
      <c r="Y80" s="43" t="n">
        <f aca="false">IF(ABS(ROUND(Y47+Y63+Y71-Y121,1))&lt;=1,0,ROUND(Y47+Y63+Y71-Y121,1))</f>
        <v>0</v>
      </c>
      <c r="Z80" s="43" t="n">
        <f aca="false">IF(ABS(ROUND(Z47+Z63+Z71-Z121,1))&lt;=1,0,ROUND(Z47+Z63+Z71-Z121,1))</f>
        <v>0</v>
      </c>
      <c r="AA80" s="43" t="n">
        <f aca="false">IF(ABS(ROUND(AA47+AA63+AA71-AA121,1))&lt;=1,0,ROUND(AA47+AA63+AA71-AA121,1))</f>
        <v>0</v>
      </c>
      <c r="AB80" s="43" t="n">
        <f aca="false">IF(ABS(ROUND(AB47+AB63+AB71-AB121,1))&lt;=1,0,ROUND(AB47+AB63+AB71-AB121,1))</f>
        <v>0</v>
      </c>
      <c r="AC80" s="43" t="n">
        <f aca="false">IF(ABS(ROUND(AC47+AC63+AC71-AC121,1))&lt;=1,0,ROUND(AC47+AC63+AC71-AC121,1))</f>
        <v>0</v>
      </c>
      <c r="AD80" s="43" t="n">
        <f aca="false">IF(ABS(ROUND(AD47+AD63+AD71-AD121,1))&lt;=1,0,ROUND(AD47+AD63+AD71-AD121,1))</f>
        <v>0</v>
      </c>
      <c r="AE80" s="43" t="n">
        <f aca="false">IF(ABS(ROUND(AE47+AE63+AE71-AE121,1))&lt;=1,0,ROUND(AE47+AE63+AE71-AE121,1))</f>
        <v>0</v>
      </c>
    </row>
    <row r="81" customFormat="false" ht="15" hidden="false" customHeight="true" outlineLevel="0" collapsed="false">
      <c r="B81" s="11" t="s">
        <v>187</v>
      </c>
      <c r="C81" s="50" t="n">
        <f aca="false">C77-N(C39)</f>
        <v>184</v>
      </c>
      <c r="D81" s="50" t="n">
        <f aca="false">D77-N(D39)</f>
        <v>289</v>
      </c>
      <c r="E81" s="50" t="n">
        <f aca="false">E77-N(E39)</f>
        <v>262</v>
      </c>
      <c r="F81" s="50" t="n">
        <f aca="false">F77-N(F39)</f>
        <v>207</v>
      </c>
      <c r="G81" s="50" t="n">
        <f aca="false">G77-N(G39)</f>
        <v>942</v>
      </c>
      <c r="H81" s="50" t="n">
        <f aca="false">H77-N(H39)</f>
        <v>210</v>
      </c>
      <c r="I81" s="50" t="n">
        <f aca="false">I77-N(I39)</f>
        <v>244</v>
      </c>
      <c r="J81" s="50" t="n">
        <f aca="false">J77-N(J39)</f>
        <v>278</v>
      </c>
      <c r="K81" s="50" t="n">
        <f aca="false">K77-N(K39)</f>
        <v>264</v>
      </c>
      <c r="L81" s="50" t="n">
        <f aca="false">L77-N(L39)</f>
        <v>996</v>
      </c>
      <c r="M81" s="50" t="n">
        <f aca="false">M77-N(M39)</f>
        <v>288</v>
      </c>
      <c r="N81" s="50" t="n">
        <f aca="false">N77-N(N39)</f>
        <v>343</v>
      </c>
      <c r="O81" s="50" t="n">
        <f aca="false">O77-N(O39)</f>
        <v>333</v>
      </c>
      <c r="P81" s="50" t="n">
        <f aca="false">P77-N(P39)</f>
        <v>269</v>
      </c>
      <c r="Q81" s="50" t="n">
        <f aca="false">Q77-N(Q39)</f>
        <v>1232</v>
      </c>
      <c r="R81" s="50" t="n">
        <f aca="false">R77-N(R39)</f>
        <v>276</v>
      </c>
      <c r="S81" s="50" t="n">
        <f aca="false">S77-N(S39)</f>
        <v>340</v>
      </c>
      <c r="T81" s="50" t="n">
        <f aca="false">T77-N(T39)</f>
        <v>342</v>
      </c>
      <c r="U81" s="50" t="n">
        <f aca="false">U77-N(U39)</f>
        <v>300</v>
      </c>
      <c r="V81" s="50" t="n">
        <f aca="false">V77-N(V39)</f>
        <v>1258</v>
      </c>
      <c r="W81" s="50" t="n">
        <f aca="false">W77-N(W39)</f>
        <v>319</v>
      </c>
      <c r="X81" s="50" t="n">
        <f aca="false">X77-N(X39)</f>
        <v>425</v>
      </c>
      <c r="Y81" s="43" t="n">
        <f aca="false">Y77-N(Y39)</f>
        <v>433.930406268675</v>
      </c>
      <c r="Z81" s="43" t="n">
        <f aca="false">Z77-N(Z39)</f>
        <v>384.738222963245</v>
      </c>
      <c r="AA81" s="43" t="n">
        <f aca="false">AA77-N(AA39)</f>
        <v>1562.66862923192</v>
      </c>
      <c r="AB81" s="43" t="n">
        <f aca="false">AB77-N(AB39)</f>
        <v>1745.80210531495</v>
      </c>
      <c r="AC81" s="43" t="n">
        <f aca="false">AC77-N(AC39)</f>
        <v>1941.44762967376</v>
      </c>
      <c r="AD81" s="43" t="n">
        <f aca="false">AD77-N(AD39)</f>
        <v>2146.85707884297</v>
      </c>
      <c r="AE81" s="43" t="n">
        <f aca="false">AE77-N(AE39)</f>
        <v>2315.72177611517</v>
      </c>
    </row>
    <row r="82" customFormat="false" ht="15" hidden="false" customHeight="true" outlineLevel="0" collapsed="false">
      <c r="B82" s="27" t="s">
        <v>188</v>
      </c>
      <c r="Y82" s="32"/>
      <c r="Z82" s="32"/>
      <c r="AA82" s="32"/>
      <c r="AB82" s="30" t="n">
        <f aca="false">IFERROR((AB27/$AN$25)^(1/6)-1,"")</f>
        <v>0.0545764027934053</v>
      </c>
      <c r="AC82" s="32"/>
      <c r="AD82" s="32"/>
      <c r="AE82" s="32"/>
      <c r="AF82" s="20" t="s">
        <v>189</v>
      </c>
    </row>
    <row r="83" customFormat="false" ht="15" hidden="false" customHeight="true" outlineLevel="0" collapsed="false">
      <c r="B83" s="27" t="s">
        <v>190</v>
      </c>
      <c r="Y83" s="32"/>
      <c r="Z83" s="32"/>
      <c r="AA83" s="32"/>
      <c r="AB83" s="30" t="n">
        <f aca="false">IFERROR((AB41/$AN$26)^(1/6)-1,"")</f>
        <v>0.0962358158117682</v>
      </c>
      <c r="AC83" s="32"/>
      <c r="AD83" s="32"/>
      <c r="AE83" s="32"/>
    </row>
    <row r="84" customFormat="false" ht="15" hidden="false" customHeight="true" outlineLevel="0" collapsed="false">
      <c r="B84" s="27" t="s">
        <v>191</v>
      </c>
      <c r="Y84" s="32"/>
      <c r="Z84" s="32"/>
      <c r="AA84" s="32"/>
      <c r="AB84" s="43" t="n">
        <f aca="false">($AN$27-AB29)*10000</f>
        <v>319.999999999999</v>
      </c>
      <c r="AC84" s="32"/>
      <c r="AD84" s="32"/>
      <c r="AE84" s="32"/>
    </row>
    <row r="85" customFormat="false" ht="15" hidden="false" customHeight="true" outlineLevel="0" collapsed="false">
      <c r="B85" s="11"/>
    </row>
    <row r="86" customFormat="false" ht="15" hidden="false" customHeight="true" outlineLevel="0" collapsed="false">
      <c r="B86" s="10" t="s">
        <v>192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 t="s">
        <v>193</v>
      </c>
    </row>
    <row r="87" customFormat="false" ht="15" hidden="false" customHeight="true" outlineLevel="0" collapsed="false">
      <c r="B87" s="11" t="s">
        <v>194</v>
      </c>
      <c r="C87" s="38" t="n">
        <v>356.95</v>
      </c>
      <c r="D87" s="38" t="n">
        <v>388.1</v>
      </c>
      <c r="E87" s="38" t="n">
        <v>378.26</v>
      </c>
      <c r="F87" s="38" t="n">
        <v>368.27</v>
      </c>
      <c r="G87" s="38" t="n">
        <v>373.1</v>
      </c>
      <c r="H87" s="38" t="n">
        <v>356.06</v>
      </c>
      <c r="I87" s="38" t="n">
        <v>348.86</v>
      </c>
      <c r="J87" s="38" t="n">
        <v>366.36</v>
      </c>
      <c r="K87" s="38" t="n">
        <v>378.49</v>
      </c>
      <c r="L87" s="38" t="n">
        <v>362.38</v>
      </c>
      <c r="M87" s="38" t="n">
        <v>373.88</v>
      </c>
      <c r="N87" s="38" t="n">
        <v>370.98</v>
      </c>
      <c r="O87" s="38" t="n">
        <v>379</v>
      </c>
      <c r="P87" s="38" t="n">
        <v>382.32</v>
      </c>
      <c r="Q87" s="38" t="n">
        <v>376.37</v>
      </c>
      <c r="R87" s="38" t="n">
        <v>384.27</v>
      </c>
      <c r="S87" s="38" t="n">
        <v>384.13</v>
      </c>
      <c r="T87" s="38" t="n">
        <v>391.13</v>
      </c>
      <c r="U87" s="38" t="n">
        <v>394.78</v>
      </c>
      <c r="V87" s="38" t="n">
        <v>388.49</v>
      </c>
      <c r="W87" s="38" t="n">
        <v>394.14</v>
      </c>
      <c r="X87" s="38" t="n">
        <v>429.98</v>
      </c>
      <c r="Y87" s="32"/>
      <c r="Z87" s="32"/>
      <c r="AA87" s="32"/>
      <c r="AB87" s="32"/>
      <c r="AC87" s="32"/>
      <c r="AD87" s="32"/>
      <c r="AE87" s="32"/>
    </row>
    <row r="88" customFormat="false" ht="15" hidden="false" customHeight="true" outlineLevel="0" collapsed="false">
      <c r="B88" s="11" t="s">
        <v>195</v>
      </c>
      <c r="M88" s="38" t="n">
        <v>309.57</v>
      </c>
      <c r="N88" s="38" t="n">
        <v>310.24</v>
      </c>
      <c r="O88" s="38" t="n">
        <v>319.75</v>
      </c>
      <c r="P88" s="38" t="n">
        <v>325.62</v>
      </c>
      <c r="Q88" s="38" t="n">
        <v>316.05</v>
      </c>
      <c r="R88" s="38" t="n">
        <v>325.74</v>
      </c>
      <c r="S88" s="38" t="n">
        <v>327.53</v>
      </c>
      <c r="T88" s="38" t="n">
        <v>330.48</v>
      </c>
      <c r="U88" s="38" t="n">
        <v>335.28</v>
      </c>
      <c r="V88" s="38" t="n">
        <v>329.69</v>
      </c>
      <c r="W88" s="38" t="n">
        <v>329.77</v>
      </c>
      <c r="X88" s="38" t="n">
        <v>335.27</v>
      </c>
      <c r="Y88" s="32"/>
      <c r="Z88" s="32"/>
      <c r="AA88" s="32"/>
      <c r="AB88" s="32"/>
      <c r="AC88" s="32"/>
      <c r="AD88" s="32"/>
      <c r="AE88" s="32"/>
    </row>
    <row r="89" customFormat="false" ht="15" hidden="false" customHeight="true" outlineLevel="0" collapsed="false">
      <c r="B89" s="11" t="s">
        <v>196</v>
      </c>
      <c r="C89" s="38" t="n">
        <v>25.38</v>
      </c>
      <c r="D89" s="38" t="n">
        <v>27.68</v>
      </c>
      <c r="E89" s="38" t="n">
        <v>27.52</v>
      </c>
      <c r="F89" s="38" t="n">
        <v>27.03</v>
      </c>
      <c r="G89" s="38" t="n">
        <v>26.9</v>
      </c>
      <c r="H89" s="38" t="n">
        <v>25.99</v>
      </c>
      <c r="I89" s="38" t="n">
        <v>26.01</v>
      </c>
      <c r="J89" s="38" t="n">
        <v>27.74</v>
      </c>
      <c r="K89" s="38" t="n">
        <v>28.6</v>
      </c>
      <c r="L89" s="38" t="n">
        <v>27.07</v>
      </c>
      <c r="M89" s="38" t="n">
        <v>27.8</v>
      </c>
      <c r="N89" s="38" t="n">
        <v>28.04</v>
      </c>
      <c r="O89" s="38" t="n">
        <v>28.77</v>
      </c>
      <c r="P89" s="38" t="n">
        <v>29.09</v>
      </c>
      <c r="Q89" s="38" t="n">
        <v>28.4</v>
      </c>
      <c r="R89" s="38" t="n">
        <v>29.06</v>
      </c>
      <c r="S89" s="38" t="n">
        <v>29.23</v>
      </c>
      <c r="T89" s="38" t="n">
        <v>30.42</v>
      </c>
      <c r="U89" s="38" t="n">
        <v>30.72</v>
      </c>
      <c r="V89" s="38" t="n">
        <v>29.84</v>
      </c>
      <c r="W89" s="38" t="n">
        <v>30.61</v>
      </c>
      <c r="X89" s="38" t="n">
        <v>33.32</v>
      </c>
      <c r="Y89" s="32"/>
      <c r="Z89" s="32"/>
      <c r="AA89" s="32"/>
      <c r="AB89" s="32"/>
      <c r="AC89" s="32"/>
      <c r="AD89" s="32"/>
      <c r="AE89" s="32"/>
    </row>
    <row r="90" customFormat="false" ht="15" hidden="false" customHeight="true" outlineLevel="0" collapsed="false">
      <c r="B90" s="11" t="s">
        <v>197</v>
      </c>
      <c r="C90" s="17" t="n">
        <v>835.1</v>
      </c>
      <c r="D90" s="17" t="n">
        <v>826.3</v>
      </c>
      <c r="E90" s="17" t="n">
        <v>831</v>
      </c>
      <c r="F90" s="17" t="n">
        <v>832.3</v>
      </c>
      <c r="G90" s="17" t="n">
        <v>831.1</v>
      </c>
      <c r="H90" s="17" t="n">
        <v>831.3</v>
      </c>
      <c r="I90" s="17" t="n">
        <v>836.7</v>
      </c>
      <c r="J90" s="17" t="n">
        <v>850</v>
      </c>
      <c r="K90" s="17" t="n">
        <v>852.6</v>
      </c>
      <c r="L90" s="17" t="n">
        <v>842.6</v>
      </c>
      <c r="M90" s="17" t="n">
        <v>848.3</v>
      </c>
      <c r="N90" s="17" t="n">
        <v>847.8</v>
      </c>
      <c r="O90" s="17" t="n">
        <v>855.7</v>
      </c>
      <c r="P90" s="17" t="n">
        <v>854.7</v>
      </c>
      <c r="Q90" s="17" t="n">
        <v>851.5</v>
      </c>
      <c r="R90" s="17" t="n">
        <v>845.6</v>
      </c>
      <c r="S90" s="17" t="n">
        <v>845.5</v>
      </c>
      <c r="T90" s="17" t="n">
        <v>866.7</v>
      </c>
      <c r="U90" s="17" t="n">
        <v>862.8</v>
      </c>
      <c r="V90" s="17" t="n">
        <v>854.9</v>
      </c>
      <c r="W90" s="17" t="n">
        <v>852.6</v>
      </c>
      <c r="X90" s="17" t="n">
        <v>853.6</v>
      </c>
      <c r="Y90" s="32"/>
      <c r="Z90" s="32"/>
      <c r="AA90" s="32"/>
      <c r="AB90" s="32"/>
      <c r="AC90" s="32"/>
      <c r="AD90" s="32"/>
      <c r="AE90" s="32"/>
    </row>
    <row r="91" customFormat="false" ht="15" hidden="false" customHeight="true" outlineLevel="0" collapsed="false">
      <c r="B91" s="11" t="s">
        <v>198</v>
      </c>
      <c r="C91" s="33" t="n">
        <v>24219</v>
      </c>
      <c r="D91" s="33" t="n">
        <v>23955</v>
      </c>
      <c r="E91" s="33" t="n">
        <v>23574</v>
      </c>
      <c r="F91" s="33" t="n">
        <v>23099</v>
      </c>
      <c r="G91" s="33" t="n">
        <v>23718</v>
      </c>
      <c r="H91" s="33" t="n">
        <v>23095</v>
      </c>
      <c r="I91" s="33" t="n">
        <v>22822</v>
      </c>
      <c r="J91" s="33" t="n">
        <v>22683</v>
      </c>
      <c r="K91" s="33" t="n">
        <v>22564</v>
      </c>
      <c r="L91" s="33" t="n">
        <v>22789</v>
      </c>
      <c r="M91" s="33" t="n">
        <v>22869</v>
      </c>
      <c r="N91" s="33" t="n">
        <v>22884</v>
      </c>
      <c r="O91" s="33" t="n">
        <v>22644</v>
      </c>
      <c r="P91" s="33" t="n">
        <v>22128</v>
      </c>
      <c r="Q91" s="33" t="n">
        <v>22642</v>
      </c>
      <c r="R91" s="33" t="n">
        <v>22434</v>
      </c>
      <c r="S91" s="33" t="n">
        <v>22765</v>
      </c>
      <c r="T91" s="33" t="n">
        <v>22442</v>
      </c>
      <c r="U91" s="33" t="n">
        <v>22002</v>
      </c>
      <c r="V91" s="33" t="n">
        <v>22418</v>
      </c>
      <c r="W91" s="33" t="n">
        <v>22294</v>
      </c>
      <c r="X91" s="33" t="n">
        <v>22287</v>
      </c>
      <c r="Y91" s="32"/>
      <c r="Z91" s="32"/>
      <c r="AA91" s="32"/>
      <c r="AB91" s="32"/>
      <c r="AC91" s="32"/>
      <c r="AD91" s="32"/>
      <c r="AE91" s="32"/>
    </row>
    <row r="92" customFormat="false" ht="15" hidden="false" customHeight="true" outlineLevel="0" collapsed="false">
      <c r="B92" s="11" t="s">
        <v>199</v>
      </c>
      <c r="C92" s="17" t="n">
        <v>5.9</v>
      </c>
      <c r="D92" s="17" t="n">
        <v>5.9</v>
      </c>
      <c r="E92" s="17" t="n">
        <v>6</v>
      </c>
      <c r="F92" s="17" t="n">
        <v>5.9</v>
      </c>
      <c r="G92" s="17" t="n">
        <v>5.9</v>
      </c>
      <c r="H92" s="17" t="n">
        <v>5.2</v>
      </c>
      <c r="I92" s="17" t="n">
        <v>5.1</v>
      </c>
      <c r="J92" s="17" t="n">
        <v>5.2</v>
      </c>
      <c r="K92" s="17" t="n">
        <v>5</v>
      </c>
      <c r="L92" s="17" t="n">
        <v>5</v>
      </c>
      <c r="M92" s="17" t="n">
        <v>4.2</v>
      </c>
      <c r="N92" s="17" t="n">
        <v>4</v>
      </c>
      <c r="O92" s="17" t="n">
        <v>4.2</v>
      </c>
      <c r="P92" s="17" t="n">
        <v>4.1</v>
      </c>
      <c r="Q92" s="17" t="n">
        <v>4.1</v>
      </c>
      <c r="R92" s="17" t="n">
        <v>4</v>
      </c>
      <c r="S92" s="17" t="n">
        <v>3.7</v>
      </c>
      <c r="T92" s="17" t="n">
        <v>3.6</v>
      </c>
      <c r="U92" s="17" t="n">
        <v>3.7</v>
      </c>
      <c r="V92" s="17" t="n">
        <v>3.7</v>
      </c>
      <c r="W92" s="17" t="n">
        <v>3.9</v>
      </c>
      <c r="X92" s="17" t="n">
        <v>4</v>
      </c>
      <c r="Y92" s="32"/>
      <c r="Z92" s="32"/>
      <c r="AA92" s="32"/>
      <c r="AB92" s="32"/>
      <c r="AC92" s="32"/>
      <c r="AD92" s="32"/>
      <c r="AE92" s="32"/>
    </row>
    <row r="93" customFormat="false" ht="15" hidden="false" customHeight="true" outlineLevel="0" collapsed="false">
      <c r="B93" s="11" t="s">
        <v>200</v>
      </c>
      <c r="C93" s="42" t="n">
        <f aca="false">IFERROR(C94/C27,"")</f>
        <v>0.122854561878952</v>
      </c>
      <c r="D93" s="42" t="n">
        <f aca="false">IFERROR(D94/D27,"")</f>
        <v>0.108064516129032</v>
      </c>
      <c r="E93" s="42" t="n">
        <f aca="false">IFERROR(E94/E27,"")</f>
        <v>0.102074688796681</v>
      </c>
      <c r="F93" s="42" t="n">
        <f aca="false">IFERROR(F94/F27,"")</f>
        <v>0.0969807868252516</v>
      </c>
      <c r="G93" s="42" t="n">
        <f aca="false">IFERROR(G94/G27,"")</f>
        <v>0.107427341227126</v>
      </c>
      <c r="H93" s="42" t="n">
        <f aca="false">IFERROR(H94/H27,"")</f>
        <v>0.0883928571428572</v>
      </c>
      <c r="I93" s="42" t="n">
        <f aca="false">IFERROR(I94/I27,"")</f>
        <v>0.0765845070422535</v>
      </c>
      <c r="J93" s="42" t="n">
        <f aca="false">IFERROR(J94/J27,"")</f>
        <v>0.0789902280130293</v>
      </c>
      <c r="K93" s="42" t="n">
        <f aca="false">IFERROR(K94/K27,"")</f>
        <v>0.0699241786015164</v>
      </c>
      <c r="L93" s="42" t="n">
        <f aca="false">IFERROR(L94/L27,"")</f>
        <v>0.0783558124598587</v>
      </c>
      <c r="M93" s="42" t="n">
        <f aca="false">IFERROR(M94/M27,"")</f>
        <v>0.0638820638820639</v>
      </c>
      <c r="N93" s="42" t="n">
        <f aca="false">IFERROR(N94/N27,"")</f>
        <v>0.0534591194968554</v>
      </c>
      <c r="O93" s="42" t="n">
        <f aca="false">IFERROR(O94/O27,"")</f>
        <v>0.0463629096722622</v>
      </c>
      <c r="P93" s="42" t="n">
        <f aca="false">IFERROR(P94/P27,"")</f>
        <v>0.0380622837370242</v>
      </c>
      <c r="Q93" s="42" t="n">
        <f aca="false">IFERROR(Q94/Q27,"")</f>
        <v>0.0506225760359257</v>
      </c>
      <c r="R93" s="42" t="n">
        <f aca="false">IFERROR(R94/R27,"")</f>
        <v>0.0315699658703072</v>
      </c>
      <c r="S93" s="42" t="n">
        <f aca="false">IFERROR(S94/S27,"")</f>
        <v>0.0258064516129032</v>
      </c>
      <c r="T93" s="42" t="n">
        <f aca="false">IFERROR(T94/T27,"")</f>
        <v>0.0239043824701195</v>
      </c>
      <c r="U93" s="42" t="n">
        <f aca="false">IFERROR(U94/U27,"")</f>
        <v>0.0206008583690987</v>
      </c>
      <c r="V93" s="42" t="n">
        <f aca="false">IFERROR(V94/V27,"")</f>
        <v>0.025455298013245</v>
      </c>
      <c r="W93" s="42" t="n">
        <f aca="false">IFERROR(W94/W27,"")</f>
        <v>0.0244100895036615</v>
      </c>
      <c r="X93" s="42" t="n">
        <f aca="false">IFERROR(X94/X27,"")</f>
        <v>0.0280112044817927</v>
      </c>
      <c r="Y93" s="32"/>
      <c r="Z93" s="32"/>
      <c r="AA93" s="32"/>
      <c r="AB93" s="32"/>
      <c r="AC93" s="32"/>
      <c r="AD93" s="32"/>
      <c r="AE93" s="32"/>
    </row>
    <row r="94" customFormat="false" ht="15" hidden="false" customHeight="true" outlineLevel="0" collapsed="false">
      <c r="B94" s="11" t="s">
        <v>201</v>
      </c>
      <c r="C94" s="33" t="n">
        <v>136</v>
      </c>
      <c r="D94" s="33" t="n">
        <v>134</v>
      </c>
      <c r="E94" s="33" t="n">
        <v>123</v>
      </c>
      <c r="F94" s="33" t="n">
        <v>106</v>
      </c>
      <c r="G94" s="33" t="n">
        <v>499</v>
      </c>
      <c r="H94" s="33" t="n">
        <v>99</v>
      </c>
      <c r="I94" s="33" t="n">
        <v>87</v>
      </c>
      <c r="J94" s="33" t="n">
        <v>97</v>
      </c>
      <c r="K94" s="33" t="n">
        <v>83</v>
      </c>
      <c r="L94" s="33" t="n">
        <v>366</v>
      </c>
      <c r="M94" s="33" t="n">
        <v>78</v>
      </c>
      <c r="N94" s="33" t="n">
        <v>68</v>
      </c>
      <c r="O94" s="33" t="n">
        <v>58</v>
      </c>
      <c r="P94" s="33" t="n">
        <v>44</v>
      </c>
      <c r="Q94" s="33" t="n">
        <v>248</v>
      </c>
      <c r="R94" s="33" t="n">
        <v>37</v>
      </c>
      <c r="S94" s="33" t="n">
        <v>32</v>
      </c>
      <c r="T94" s="33" t="n">
        <v>30</v>
      </c>
      <c r="U94" s="33" t="n">
        <v>24</v>
      </c>
      <c r="V94" s="33" t="n">
        <v>123</v>
      </c>
      <c r="W94" s="33" t="n">
        <v>30</v>
      </c>
      <c r="X94" s="33" t="n">
        <v>40</v>
      </c>
      <c r="Y94" s="32"/>
      <c r="Z94" s="32"/>
      <c r="AA94" s="32"/>
      <c r="AB94" s="32"/>
      <c r="AC94" s="32"/>
      <c r="AD94" s="32"/>
      <c r="AE94" s="32"/>
    </row>
    <row r="95" customFormat="false" ht="15" hidden="false" customHeight="true" outlineLevel="0" collapsed="false">
      <c r="B95" s="11" t="s">
        <v>202</v>
      </c>
      <c r="C95" s="42" t="n">
        <f aca="false">IFERROR(C96/C27,"")</f>
        <v>0.46973803071364</v>
      </c>
      <c r="D95" s="42" t="n">
        <f aca="false">IFERROR(D96/D27,"")</f>
        <v>0.441935483870968</v>
      </c>
      <c r="E95" s="42" t="n">
        <f aca="false">IFERROR(E96/E27,"")</f>
        <v>0.466390041493776</v>
      </c>
      <c r="F95" s="42" t="n">
        <f aca="false">IFERROR(F96/F27,"")</f>
        <v>0.499542543458371</v>
      </c>
      <c r="G95" s="42" t="n">
        <f aca="false">IFERROR(G96/G27,"")</f>
        <v>0.468460710441335</v>
      </c>
      <c r="H95" s="42" t="n">
        <f aca="false">IFERROR(H96/H27,"")</f>
        <v>0.495535714285714</v>
      </c>
      <c r="I95" s="42" t="n">
        <f aca="false">IFERROR(I96/I27,"")</f>
        <v>0.504401408450704</v>
      </c>
      <c r="J95" s="42" t="n">
        <f aca="false">IFERROR(J96/J27,"")</f>
        <v>0.501628664495114</v>
      </c>
      <c r="K95" s="42" t="n">
        <f aca="false">IFERROR(K96/K27,"")</f>
        <v>0.507160909856782</v>
      </c>
      <c r="L95" s="42" t="n">
        <f aca="false">IFERROR(L96/L27,"")</f>
        <v>0.502247912652537</v>
      </c>
      <c r="M95" s="42" t="n">
        <f aca="false">IFERROR(M96/M27,"")</f>
        <v>0.502047502047502</v>
      </c>
      <c r="N95" s="42" t="n">
        <f aca="false">IFERROR(N96/N27,"")</f>
        <v>0.502358490566038</v>
      </c>
      <c r="O95" s="42" t="n">
        <f aca="false">IFERROR(O96/O27,"")</f>
        <v>0.513189448441247</v>
      </c>
      <c r="P95" s="42" t="n">
        <f aca="false">IFERROR(P96/P27,"")</f>
        <v>0.53719723183391</v>
      </c>
      <c r="Q95" s="42" t="n">
        <f aca="false">IFERROR(Q96/Q27,"")</f>
        <v>0.513370075525617</v>
      </c>
      <c r="R95" s="42" t="n">
        <f aca="false">IFERROR(R96/R27,"")</f>
        <v>0.524744027303754</v>
      </c>
      <c r="S95" s="42" t="n">
        <f aca="false">IFERROR(S96/S27,"")</f>
        <v>0.518548387096774</v>
      </c>
      <c r="T95" s="42" t="n">
        <f aca="false">IFERROR(T96/T27,"")</f>
        <v>0.516334661354582</v>
      </c>
      <c r="U95" s="42" t="n">
        <f aca="false">IFERROR(U96/U27,"")</f>
        <v>0.527038626609442</v>
      </c>
      <c r="V95" s="42" t="n">
        <f aca="false">IFERROR(V96/V27,"")</f>
        <v>0.521523178807947</v>
      </c>
      <c r="W95" s="42" t="n">
        <f aca="false">IFERROR(W96/W27,"")</f>
        <v>0.522375915378356</v>
      </c>
      <c r="X95" s="42" t="n">
        <f aca="false">IFERROR(X96/X27,"")</f>
        <v>0.48249299719888</v>
      </c>
      <c r="Y95" s="32"/>
      <c r="Z95" s="32"/>
      <c r="AA95" s="32"/>
      <c r="AB95" s="32"/>
      <c r="AC95" s="32"/>
      <c r="AD95" s="32"/>
      <c r="AE95" s="32"/>
    </row>
    <row r="96" customFormat="false" ht="15" hidden="false" customHeight="true" outlineLevel="0" collapsed="false">
      <c r="B96" s="11" t="s">
        <v>203</v>
      </c>
      <c r="C96" s="33" t="n">
        <v>520</v>
      </c>
      <c r="D96" s="33" t="n">
        <v>548</v>
      </c>
      <c r="E96" s="33" t="n">
        <v>562</v>
      </c>
      <c r="F96" s="33" t="n">
        <v>546</v>
      </c>
      <c r="G96" s="33" t="n">
        <v>2176</v>
      </c>
      <c r="H96" s="33" t="n">
        <v>555</v>
      </c>
      <c r="I96" s="33" t="n">
        <v>573</v>
      </c>
      <c r="J96" s="33" t="n">
        <v>616</v>
      </c>
      <c r="K96" s="33" t="n">
        <v>602</v>
      </c>
      <c r="L96" s="33" t="n">
        <v>2346</v>
      </c>
      <c r="M96" s="33" t="n">
        <v>613</v>
      </c>
      <c r="N96" s="33" t="n">
        <v>639</v>
      </c>
      <c r="O96" s="33" t="n">
        <v>642</v>
      </c>
      <c r="P96" s="33" t="n">
        <v>621</v>
      </c>
      <c r="Q96" s="33" t="n">
        <v>2515</v>
      </c>
      <c r="R96" s="33" t="n">
        <v>615</v>
      </c>
      <c r="S96" s="33" t="n">
        <v>643</v>
      </c>
      <c r="T96" s="33" t="n">
        <v>648</v>
      </c>
      <c r="U96" s="33" t="n">
        <v>614</v>
      </c>
      <c r="V96" s="33" t="n">
        <v>2520</v>
      </c>
      <c r="W96" s="33" t="n">
        <v>642</v>
      </c>
      <c r="X96" s="33" t="n">
        <v>689</v>
      </c>
      <c r="Y96" s="32"/>
      <c r="Z96" s="32"/>
      <c r="AA96" s="32"/>
      <c r="AB96" s="32"/>
      <c r="AC96" s="32"/>
      <c r="AD96" s="32"/>
      <c r="AE96" s="32"/>
    </row>
    <row r="97" customFormat="false" ht="15" hidden="false" customHeight="true" outlineLevel="0" collapsed="false">
      <c r="B97" s="11"/>
    </row>
    <row r="98" customFormat="false" ht="15" hidden="false" customHeight="true" outlineLevel="0" collapsed="false">
      <c r="B98" s="10" t="s">
        <v>204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 t="s">
        <v>205</v>
      </c>
    </row>
    <row r="99" customFormat="false" ht="15" hidden="false" customHeight="true" outlineLevel="0" collapsed="false">
      <c r="B99" s="11" t="s">
        <v>206</v>
      </c>
      <c r="C99" s="33" t="n">
        <v>14</v>
      </c>
      <c r="D99" s="33" t="n">
        <v>13</v>
      </c>
      <c r="E99" s="33" t="n">
        <v>13</v>
      </c>
      <c r="F99" s="33" t="n">
        <v>14</v>
      </c>
      <c r="G99" s="33" t="n">
        <v>54</v>
      </c>
      <c r="H99" s="33" t="n">
        <v>13</v>
      </c>
      <c r="I99" s="33" t="n">
        <v>14</v>
      </c>
      <c r="J99" s="33" t="n">
        <v>15</v>
      </c>
      <c r="K99" s="33" t="n">
        <v>13</v>
      </c>
      <c r="L99" s="33" t="n">
        <v>55</v>
      </c>
      <c r="M99" s="33" t="n">
        <v>14</v>
      </c>
      <c r="N99" s="33" t="n">
        <v>14</v>
      </c>
      <c r="O99" s="33" t="n">
        <v>14</v>
      </c>
      <c r="P99" s="33" t="n">
        <v>14</v>
      </c>
      <c r="Q99" s="33" t="n">
        <v>57</v>
      </c>
      <c r="R99" s="33" t="n">
        <v>14</v>
      </c>
      <c r="S99" s="33" t="n">
        <v>15</v>
      </c>
      <c r="T99" s="33" t="n">
        <v>15</v>
      </c>
      <c r="U99" s="33" t="n">
        <v>15</v>
      </c>
      <c r="V99" s="33" t="n">
        <v>58</v>
      </c>
      <c r="W99" s="33" t="n">
        <v>15</v>
      </c>
      <c r="X99" s="33" t="n">
        <v>15</v>
      </c>
      <c r="Y99" s="43" t="n">
        <f aca="false">(AA99-(W99+X99))/2</f>
        <v>14.5</v>
      </c>
      <c r="Z99" s="43" t="n">
        <f aca="false">(AA99-(W99+X99))/2</f>
        <v>14.5</v>
      </c>
      <c r="AA99" s="48" t="n">
        <v>59</v>
      </c>
      <c r="AB99" s="48" t="n">
        <v>59</v>
      </c>
      <c r="AC99" s="48" t="n">
        <v>46</v>
      </c>
      <c r="AD99" s="48" t="n">
        <v>36</v>
      </c>
      <c r="AE99" s="48" t="n">
        <v>36</v>
      </c>
      <c r="AF99" s="20" t="s">
        <v>207</v>
      </c>
    </row>
    <row r="100" customFormat="false" ht="15" hidden="false" customHeight="true" outlineLevel="0" collapsed="false">
      <c r="B100" s="11" t="s">
        <v>208</v>
      </c>
      <c r="C100" s="50" t="n">
        <f aca="false">N(C36)+N(C45)+N(C55)+N(C60)+N(C69)</f>
        <v>94</v>
      </c>
      <c r="D100" s="50" t="n">
        <f aca="false">N(D36)+N(D45)+N(D55)+N(D60)+N(D69)</f>
        <v>96</v>
      </c>
      <c r="E100" s="50" t="n">
        <f aca="false">N(E36)+N(E45)+N(E55)+N(E60)+N(E69)</f>
        <v>99</v>
      </c>
      <c r="F100" s="50" t="n">
        <f aca="false">N(F36)+N(F45)+N(F55)+N(F60)+N(F69)</f>
        <v>103</v>
      </c>
      <c r="G100" s="50" t="n">
        <f aca="false">N(G36)+N(G45)+N(G55)+N(G60)+N(G69)</f>
        <v>392</v>
      </c>
      <c r="H100" s="50" t="n">
        <f aca="false">N(H36)+N(H45)+N(H55)+N(H60)+N(H69)</f>
        <v>101</v>
      </c>
      <c r="I100" s="50" t="n">
        <f aca="false">N(I36)+N(I45)+N(I55)+N(I60)+N(I69)</f>
        <v>107</v>
      </c>
      <c r="J100" s="50" t="n">
        <f aca="false">N(J36)+N(J45)+N(J55)+N(J60)+N(J69)</f>
        <v>110</v>
      </c>
      <c r="K100" s="50" t="n">
        <f aca="false">N(K36)+N(K45)+N(K55)+N(K60)+N(K69)</f>
        <v>114</v>
      </c>
      <c r="L100" s="50" t="n">
        <f aca="false">N(L36)+N(L45)+N(L55)+N(L60)+N(L69)</f>
        <v>432</v>
      </c>
      <c r="M100" s="50" t="n">
        <f aca="false">N(M36)+N(M45)+N(M55)+N(M60)+N(M69)</f>
        <v>117</v>
      </c>
      <c r="N100" s="50" t="n">
        <f aca="false">N(N36)+N(N45)+N(N55)+N(N60)+N(N69)</f>
        <v>122</v>
      </c>
      <c r="O100" s="50" t="n">
        <f aca="false">N(O36)+N(O45)+N(O55)+N(O60)+N(O69)</f>
        <v>126</v>
      </c>
      <c r="P100" s="50" t="n">
        <f aca="false">N(P36)+N(P45)+N(P55)+N(P60)+N(P69)</f>
        <v>124</v>
      </c>
      <c r="Q100" s="50" t="n">
        <f aca="false">N(Q36)+N(Q45)+N(Q55)+N(Q60)+N(Q69)</f>
        <v>490</v>
      </c>
      <c r="R100" s="50" t="n">
        <f aca="false">N(R36)+N(R45)+N(R55)+N(R60)+N(R69)</f>
        <v>122</v>
      </c>
      <c r="S100" s="50" t="n">
        <f aca="false">N(S36)+N(S45)+N(S55)+N(S60)+N(S69)</f>
        <v>131</v>
      </c>
      <c r="T100" s="50" t="n">
        <f aca="false">N(T36)+N(T45)+N(T55)+N(T60)+N(T69)</f>
        <v>134</v>
      </c>
      <c r="U100" s="50" t="n">
        <f aca="false">N(U36)+N(U45)+N(U55)+N(U60)+N(U69)</f>
        <v>133</v>
      </c>
      <c r="V100" s="50" t="n">
        <f aca="false">N(V36)+N(V45)+N(V55)+N(V60)+N(V69)</f>
        <v>521</v>
      </c>
      <c r="W100" s="50" t="n">
        <f aca="false">N(W36)+N(W45)+N(W55)+N(W60)+N(W69)</f>
        <v>131</v>
      </c>
      <c r="X100" s="50" t="n">
        <f aca="false">N(X36)+N(X45)+N(X55)+N(X60)+N(X69)</f>
        <v>133</v>
      </c>
      <c r="Y100" s="43" t="n">
        <f aca="false">N(Y36)+N(Y45)+N(Y55)+N(Y60)+N(Y69)</f>
        <v>139.409072797105</v>
      </c>
      <c r="Z100" s="43" t="n">
        <f aca="false">N(Z36)+N(Z45)+N(Z55)+N(Z60)+N(Z69)</f>
        <v>139.043083887678</v>
      </c>
      <c r="AA100" s="43" t="n">
        <f aca="false">N(AA36)+N(AA45)+N(AA55)+N(AA60)+N(AA69)</f>
        <v>542.452156684782</v>
      </c>
      <c r="AB100" s="43" t="n">
        <f aca="false">N(AB36)+N(AB45)+N(AB55)+N(AB60)+N(AB69)</f>
        <v>589.002972093947</v>
      </c>
      <c r="AC100" s="43" t="n">
        <f aca="false">N(AC36)+N(AC45)+N(AC55)+N(AC60)+N(AC69)</f>
        <v>610.192477922692</v>
      </c>
      <c r="AD100" s="43" t="n">
        <f aca="false">N(AD36)+N(AD45)+N(AD55)+N(AD60)+N(AD69)</f>
        <v>634.579500862675</v>
      </c>
      <c r="AE100" s="43" t="n">
        <f aca="false">N(AE36)+N(AE45)+N(AE55)+N(AE60)+N(AE69)</f>
        <v>668.901791340933</v>
      </c>
      <c r="AF100" s="20" t="s">
        <v>209</v>
      </c>
    </row>
    <row r="101" customFormat="false" ht="15" hidden="false" customHeight="true" outlineLevel="0" collapsed="false">
      <c r="B101" s="49" t="s">
        <v>210</v>
      </c>
      <c r="C101" s="50" t="n">
        <f aca="false">IF(ABS(ROUND(C100-C115,1))&lt;=2,0,ROUND(C100-C115,1))</f>
        <v>0</v>
      </c>
      <c r="D101" s="50" t="n">
        <f aca="false">IF(ABS(ROUND(D100-D115,1))&lt;=2,0,ROUND(D100-D115,1))</f>
        <v>0</v>
      </c>
      <c r="E101" s="50" t="n">
        <f aca="false">IF(ABS(ROUND(E100-E115,1))&lt;=2,0,ROUND(E100-E115,1))</f>
        <v>0</v>
      </c>
      <c r="F101" s="50" t="n">
        <f aca="false">IF(ABS(ROUND(F100-F115,1))&lt;=2,0,ROUND(F100-F115,1))</f>
        <v>0</v>
      </c>
      <c r="G101" s="50" t="n">
        <f aca="false">IF(ABS(ROUND(G100-G115,1))&lt;=2,0,ROUND(G100-G115,1))</f>
        <v>0</v>
      </c>
      <c r="H101" s="50" t="n">
        <f aca="false">IF(ABS(ROUND(H100-H115,1))&lt;=2,0,ROUND(H100-H115,1))</f>
        <v>0</v>
      </c>
      <c r="I101" s="50" t="n">
        <f aca="false">IF(ABS(ROUND(I100-I115,1))&lt;=2,0,ROUND(I100-I115,1))</f>
        <v>0</v>
      </c>
      <c r="J101" s="50" t="n">
        <f aca="false">IF(ABS(ROUND(J100-J115,1))&lt;=2,0,ROUND(J100-J115,1))</f>
        <v>0</v>
      </c>
      <c r="K101" s="50" t="n">
        <f aca="false">IF(ABS(ROUND(K100-K115,1))&lt;=2,0,ROUND(K100-K115,1))</f>
        <v>0</v>
      </c>
      <c r="L101" s="50" t="n">
        <f aca="false">IF(ABS(ROUND(L100-L115,1))&lt;=2,0,ROUND(L100-L115,1))</f>
        <v>0</v>
      </c>
      <c r="M101" s="50" t="n">
        <f aca="false">IF(ABS(ROUND(M100-M115,1))&lt;=2,0,ROUND(M100-M115,1))</f>
        <v>0</v>
      </c>
      <c r="N101" s="50" t="n">
        <f aca="false">IF(ABS(ROUND(N100-N115,1))&lt;=2,0,ROUND(N100-N115,1))</f>
        <v>0</v>
      </c>
      <c r="O101" s="50" t="n">
        <f aca="false">IF(ABS(ROUND(O100-O115,1))&lt;=2,0,ROUND(O100-O115,1))</f>
        <v>0</v>
      </c>
      <c r="P101" s="50" t="n">
        <f aca="false">IF(ABS(ROUND(P100-P115,1))&lt;=2,0,ROUND(P100-P115,1))</f>
        <v>0</v>
      </c>
      <c r="Q101" s="50" t="n">
        <f aca="false">IF(ABS(ROUND(Q100-Q115,1))&lt;=2,0,ROUND(Q100-Q115,1))</f>
        <v>0</v>
      </c>
      <c r="R101" s="50" t="n">
        <f aca="false">IF(ABS(ROUND(R100-R115,1))&lt;=2,0,ROUND(R100-R115,1))</f>
        <v>0</v>
      </c>
      <c r="S101" s="50" t="n">
        <f aca="false">IF(ABS(ROUND(S100-S115,1))&lt;=2,0,ROUND(S100-S115,1))</f>
        <v>0</v>
      </c>
      <c r="T101" s="50" t="n">
        <f aca="false">IF(ABS(ROUND(T100-T115,1))&lt;=2,0,ROUND(T100-T115,1))</f>
        <v>0</v>
      </c>
      <c r="U101" s="50" t="n">
        <f aca="false">IF(ABS(ROUND(U100-U115,1))&lt;=2,0,ROUND(U100-U115,1))</f>
        <v>0</v>
      </c>
      <c r="V101" s="50" t="n">
        <f aca="false">IF(ABS(ROUND(V100-V115,1))&lt;=2,0,ROUND(V100-V115,1))</f>
        <v>0</v>
      </c>
      <c r="W101" s="50" t="n">
        <f aca="false">IF(ABS(ROUND(W100-W115,1))&lt;=2,0,ROUND(W100-W115,1))</f>
        <v>0</v>
      </c>
      <c r="X101" s="50" t="n">
        <f aca="false">IF(ABS(ROUND(X100-X115,1))&lt;=2,0,ROUND(X100-X115,1))</f>
        <v>0</v>
      </c>
      <c r="Y101" s="43" t="n">
        <f aca="false">IF(ABS(ROUND(Y100-Y115,1))&lt;=2,0,ROUND(Y100-Y115,1))</f>
        <v>0</v>
      </c>
      <c r="Z101" s="43" t="n">
        <f aca="false">IF(ABS(ROUND(Z100-Z115,1))&lt;=2,0,ROUND(Z100-Z115,1))</f>
        <v>0</v>
      </c>
      <c r="AA101" s="43" t="n">
        <f aca="false">IF(ABS(ROUND(AA100-AA115,1))&lt;=2,0,ROUND(AA100-AA115,1))</f>
        <v>0</v>
      </c>
      <c r="AB101" s="43" t="n">
        <f aca="false">IF(ABS(ROUND(AB100-AB115,1))&lt;=2,0,ROUND(AB100-AB115,1))</f>
        <v>0</v>
      </c>
      <c r="AC101" s="43" t="n">
        <f aca="false">IF(ABS(ROUND(AC100-AC115,1))&lt;=2,0,ROUND(AC100-AC115,1))</f>
        <v>0</v>
      </c>
      <c r="AD101" s="43" t="n">
        <f aca="false">IF(ABS(ROUND(AD100-AD115,1))&lt;=2,0,ROUND(AD100-AD115,1))</f>
        <v>0</v>
      </c>
      <c r="AE101" s="43" t="n">
        <f aca="false">IF(ABS(ROUND(AE100-AE115,1))&lt;=2,0,ROUND(AE100-AE115,1))</f>
        <v>0</v>
      </c>
    </row>
    <row r="102" customFormat="false" ht="15" hidden="false" customHeight="true" outlineLevel="0" collapsed="false">
      <c r="B102" s="11" t="s">
        <v>211</v>
      </c>
      <c r="C102" s="42" t="n">
        <f aca="false">IF(AND(ISNUMBER(C115),ISNUMBER(C106)),IFERROR(C115/C106,""),"")</f>
        <v>0.0496304118268215</v>
      </c>
      <c r="D102" s="42" t="n">
        <f aca="false">IF(AND(ISNUMBER(D115),ISNUMBER(D106)),IFERROR(D115/D106,""),"")</f>
        <v>0.0468978993649243</v>
      </c>
      <c r="E102" s="42" t="n">
        <f aca="false">IF(AND(ISNUMBER(E115),ISNUMBER(E106)),IFERROR(E115/E106,""),"")</f>
        <v>0.0508735868448099</v>
      </c>
      <c r="F102" s="42" t="n">
        <f aca="false">IF(AND(ISNUMBER(F115),ISNUMBER(F106)),IFERROR(F115/F106,""),"")</f>
        <v>0.0562534134352813</v>
      </c>
      <c r="G102" s="42" t="n">
        <f aca="false">IF(AND(ISNUMBER(G115),ISNUMBER(G106)),IFERROR(G115/G106,""),"")</f>
        <v>0.0507903601969422</v>
      </c>
      <c r="H102" s="42" t="n">
        <f aca="false">IF(AND(ISNUMBER(H115),ISNUMBER(H106)),IFERROR(H115/H106,""),"")</f>
        <v>0.0529627687467226</v>
      </c>
      <c r="I102" s="42" t="n">
        <f aca="false">IF(AND(ISNUMBER(I115),ISNUMBER(I106)),IFERROR(I115/I106,""),"")</f>
        <v>0.0558163797600417</v>
      </c>
      <c r="J102" s="42" t="n">
        <f aca="false">IF(AND(ISNUMBER(J115),ISNUMBER(J106)),IFERROR(J115/J106,""),"")</f>
        <v>0.0555555555555556</v>
      </c>
      <c r="K102" s="42" t="n">
        <f aca="false">IF(AND(ISNUMBER(K115),ISNUMBER(K106)),IFERROR(K115/K106,""),"")</f>
        <v>0.0587628865979381</v>
      </c>
      <c r="L102" s="42" t="n">
        <f aca="false">IF(AND(ISNUMBER(L115),ISNUMBER(L106)),IFERROR(L115/L106,""),"")</f>
        <v>0.0557851239669422</v>
      </c>
      <c r="M102" s="42" t="n">
        <f aca="false">IF(AND(ISNUMBER(M115),ISNUMBER(M106)),IFERROR(M115/M106,""),"")</f>
        <v>0.057978196233895</v>
      </c>
      <c r="N102" s="42" t="n">
        <f aca="false">IF(AND(ISNUMBER(N115),ISNUMBER(N106)),IFERROR(N115/N106,""),"")</f>
        <v>0.0586820586820587</v>
      </c>
      <c r="O102" s="42" t="n">
        <f aca="false">IF(AND(ISNUMBER(O115),ISNUMBER(O106)),IFERROR(O115/O106,""),"")</f>
        <v>0.0613735996103264</v>
      </c>
      <c r="P102" s="42" t="n">
        <f aca="false">IF(AND(ISNUMBER(P115),ISNUMBER(P106)),IFERROR(P115/P106,""),"")</f>
        <v>0.0645497136907861</v>
      </c>
      <c r="Q102" s="42" t="n">
        <f aca="false">IF(AND(ISNUMBER(Q115),ISNUMBER(Q106)),IFERROR(Q115/Q106,""),"")</f>
        <v>0.0607036669970268</v>
      </c>
      <c r="R102" s="42" t="n">
        <f aca="false">IF(AND(ISNUMBER(R115),ISNUMBER(R106)),IFERROR(R115/R106,""),"")</f>
        <v>0.0629477993858751</v>
      </c>
      <c r="S102" s="42" t="n">
        <f aca="false">IF(AND(ISNUMBER(S115),ISNUMBER(S106)),IFERROR(S115/S106,""),"")</f>
        <v>0.0629807692307692</v>
      </c>
      <c r="T102" s="42" t="n">
        <f aca="false">IF(AND(ISNUMBER(T115),ISNUMBER(T106)),IFERROR(T115/T106,""),"")</f>
        <v>0.0634770251065846</v>
      </c>
      <c r="U102" s="42" t="n">
        <f aca="false">IF(AND(ISNUMBER(U115),ISNUMBER(U106)),IFERROR(U115/U106,""),"")</f>
        <v>0.0666335156638488</v>
      </c>
      <c r="V102" s="42" t="n">
        <f aca="false">IF(AND(ISNUMBER(V115),ISNUMBER(V106)),IFERROR(V115/V106,""),"")</f>
        <v>0.0638715213926689</v>
      </c>
      <c r="W102" s="42" t="n">
        <f aca="false">IF(AND(ISNUMBER(W115),ISNUMBER(W106)),IFERROR(W115/W106,""),"")</f>
        <v>0.0625</v>
      </c>
      <c r="X102" s="42" t="n">
        <f aca="false">IF(AND(ISNUMBER(X115),ISNUMBER(X106)),IFERROR(X115/X106,""),"")</f>
        <v>0.0569002123142251</v>
      </c>
      <c r="Y102" s="30" t="n">
        <f aca="false">IFERROR(Y115/Y106,"")</f>
        <v>0.0577009513719697</v>
      </c>
      <c r="Z102" s="30" t="n">
        <f aca="false">IFERROR(Z115/Z106,"")</f>
        <v>0.0600991518099421</v>
      </c>
      <c r="AA102" s="30" t="n">
        <f aca="false">IFERROR(AA115/AA106,"")</f>
        <v>0.0591955611584821</v>
      </c>
      <c r="AB102" s="30" t="n">
        <f aca="false">IFERROR(AB115/AB106,"")</f>
        <v>0.0622435831413851</v>
      </c>
      <c r="AC102" s="30" t="n">
        <f aca="false">IFERROR(AC115/AC106,"")</f>
        <v>0.0609598218991046</v>
      </c>
      <c r="AD102" s="30" t="n">
        <f aca="false">IFERROR(AD115/AD106,"")</f>
        <v>0.0600859191923474</v>
      </c>
      <c r="AE102" s="30" t="n">
        <f aca="false">IFERROR(AE115/AE106,"")</f>
        <v>0.060188024644467</v>
      </c>
      <c r="AH102" s="44" t="n">
        <f aca="false">IFERROR(AVERAGE(AA102,AB102,AC102,AD102,AE102),"n/m")</f>
        <v>0.0605345820071572</v>
      </c>
      <c r="AI102" s="44" t="n">
        <f aca="false">IFERROR(AVERAGE(G102,L102,Q102,V102),"n/m")</f>
        <v>0.057787668138395</v>
      </c>
    </row>
    <row r="103" customFormat="false" ht="15" hidden="false" customHeight="true" outlineLevel="0" collapsed="false">
      <c r="B103" s="11" t="s">
        <v>212</v>
      </c>
      <c r="C103" s="42" t="n">
        <f aca="false">IF(AND(ISNUMBER(C212),ISNUMBER(C106)),IFERROR(C212/C106,""),"")</f>
        <v>0.00316789862724393</v>
      </c>
      <c r="D103" s="42" t="n">
        <f aca="false">IF(AND(ISNUMBER(D212),ISNUMBER(D106)),IFERROR(D212/D106,""),"")</f>
        <v>0.00390815828041036</v>
      </c>
      <c r="E103" s="42" t="n">
        <f aca="false">IF(AND(ISNUMBER(E212),ISNUMBER(E106)),IFERROR(E212/E106,""),"")</f>
        <v>0.00359712230215827</v>
      </c>
      <c r="F103" s="42" t="n">
        <f aca="false">IF(AND(ISNUMBER(F212),ISNUMBER(F106)),IFERROR(F212/F106,""),"")</f>
        <v>0.0305843801201529</v>
      </c>
      <c r="G103" s="42" t="n">
        <f aca="false">IF(AND(ISNUMBER(G212),ISNUMBER(G106)),IFERROR(G212/G106,""),"")</f>
        <v>0.00997667789582793</v>
      </c>
      <c r="H103" s="42" t="n">
        <f aca="false">IF(AND(ISNUMBER(H212),ISNUMBER(H106)),IFERROR(H212/H106,""),"")</f>
        <v>0.0115364446775039</v>
      </c>
      <c r="I103" s="42" t="n">
        <f aca="false">IF(AND(ISNUMBER(I212),ISNUMBER(I106)),IFERROR(I212/I106,""),"")</f>
        <v>0.0099113197704747</v>
      </c>
      <c r="J103" s="42" t="n">
        <f aca="false">IF(AND(ISNUMBER(J212),ISNUMBER(J106)),IFERROR(J212/J106,""),"")</f>
        <v>0.00858585858585859</v>
      </c>
      <c r="K103" s="42" t="n">
        <f aca="false">IF(AND(ISNUMBER(K212),ISNUMBER(K106)),IFERROR(K212/K106,""),"")</f>
        <v>0.0103092783505155</v>
      </c>
      <c r="L103" s="42" t="n">
        <f aca="false">IF(AND(ISNUMBER(L212),ISNUMBER(L106)),IFERROR(L212/L106,""),"")</f>
        <v>0.0100723140495868</v>
      </c>
      <c r="M103" s="42" t="n">
        <f aca="false">IF(AND(ISNUMBER(M212),ISNUMBER(M106)),IFERROR(M212/M106,""),"")</f>
        <v>0.00941526263627354</v>
      </c>
      <c r="N103" s="42" t="n">
        <f aca="false">IF(AND(ISNUMBER(N212),ISNUMBER(N106)),IFERROR(N212/N106,""),"")</f>
        <v>0.0110630110630111</v>
      </c>
      <c r="O103" s="42" t="n">
        <f aca="false">IF(AND(ISNUMBER(O212),ISNUMBER(O106)),IFERROR(O212/O106,""),"")</f>
        <v>0.0107160253287871</v>
      </c>
      <c r="P103" s="42" t="n">
        <f aca="false">IF(AND(ISNUMBER(P212),ISNUMBER(P106)),IFERROR(P212/P106,""),"")</f>
        <v>0.0119729307652264</v>
      </c>
      <c r="Q103" s="42" t="n">
        <f aca="false">IF(AND(ISNUMBER(Q212),ISNUMBER(Q106)),IFERROR(Q212/Q106,""),"")</f>
        <v>0.0107779980178394</v>
      </c>
      <c r="R103" s="42" t="n">
        <f aca="false">IF(AND(ISNUMBER(R212),ISNUMBER(R106)),IFERROR(R212/R106,""),"")</f>
        <v>0.00767656090071648</v>
      </c>
      <c r="S103" s="42" t="n">
        <f aca="false">IF(AND(ISNUMBER(S212),ISNUMBER(S106)),IFERROR(S212/S106,""),"")</f>
        <v>0.00769230769230769</v>
      </c>
      <c r="T103" s="42" t="n">
        <f aca="false">IF(AND(ISNUMBER(T212),ISNUMBER(T106)),IFERROR(T212/T106,""),"")</f>
        <v>0.00710563713879678</v>
      </c>
      <c r="U103" s="42" t="n">
        <f aca="false">IF(AND(ISNUMBER(U212),ISNUMBER(U106)),IFERROR(U212/U106,""),"")</f>
        <v>0.0154152163102934</v>
      </c>
      <c r="V103" s="42" t="n">
        <f aca="false">IF(AND(ISNUMBER(V212),ISNUMBER(V106)),IFERROR(V212/V106,""),"")</f>
        <v>0.00943974500429079</v>
      </c>
      <c r="W103" s="42" t="n">
        <f aca="false">IF(AND(ISNUMBER(W212),ISNUMBER(W106)),IFERROR(W212/W106,""),"")</f>
        <v>0.00620229007633588</v>
      </c>
      <c r="X103" s="42" t="n">
        <f aca="false">IF(AND(ISNUMBER(X212),ISNUMBER(X106)),IFERROR(X212/X106,""),"")</f>
        <v>0.00721868365180467</v>
      </c>
      <c r="Y103" s="32"/>
      <c r="Z103" s="32"/>
      <c r="AA103" s="30" t="n">
        <f aca="false">IFERROR(AA212/AA106,"")</f>
        <v>0.00674005841383959</v>
      </c>
      <c r="AB103" s="29" t="n">
        <v>0.009</v>
      </c>
      <c r="AC103" s="29" t="n">
        <v>0.009</v>
      </c>
      <c r="AD103" s="29" t="n">
        <v>0.009</v>
      </c>
      <c r="AE103" s="29" t="n">
        <v>0.009</v>
      </c>
      <c r="AF103" s="20" t="s">
        <v>213</v>
      </c>
    </row>
    <row r="104" customFormat="false" ht="15" hidden="false" customHeight="true" outlineLevel="0" collapsed="false">
      <c r="B104" s="11"/>
    </row>
    <row r="105" customFormat="false" ht="15" hidden="false" customHeight="true" outlineLevel="0" collapsed="false">
      <c r="B105" s="10" t="s">
        <v>214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 t="s">
        <v>215</v>
      </c>
    </row>
    <row r="106" customFormat="false" ht="15" hidden="false" customHeight="true" outlineLevel="0" collapsed="false">
      <c r="B106" s="51" t="s">
        <v>216</v>
      </c>
      <c r="C106" s="53" t="n">
        <v>1894</v>
      </c>
      <c r="D106" s="53" t="n">
        <v>2047</v>
      </c>
      <c r="E106" s="53" t="n">
        <v>1946</v>
      </c>
      <c r="F106" s="53" t="n">
        <v>1831</v>
      </c>
      <c r="G106" s="53" t="n">
        <v>7718</v>
      </c>
      <c r="H106" s="53" t="n">
        <v>1907</v>
      </c>
      <c r="I106" s="53" t="n">
        <v>1917</v>
      </c>
      <c r="J106" s="53" t="n">
        <v>1980</v>
      </c>
      <c r="K106" s="53" t="n">
        <v>1940</v>
      </c>
      <c r="L106" s="53" t="n">
        <v>7744</v>
      </c>
      <c r="M106" s="53" t="n">
        <v>2018</v>
      </c>
      <c r="N106" s="53" t="n">
        <v>2079</v>
      </c>
      <c r="O106" s="53" t="n">
        <v>2053</v>
      </c>
      <c r="P106" s="53" t="n">
        <v>1921</v>
      </c>
      <c r="Q106" s="53" t="n">
        <v>8072</v>
      </c>
      <c r="R106" s="53" t="n">
        <v>1954</v>
      </c>
      <c r="S106" s="53" t="n">
        <v>2080</v>
      </c>
      <c r="T106" s="53" t="n">
        <v>2111</v>
      </c>
      <c r="U106" s="53" t="n">
        <v>2011</v>
      </c>
      <c r="V106" s="53" t="n">
        <v>8157</v>
      </c>
      <c r="W106" s="53" t="n">
        <v>2096</v>
      </c>
      <c r="X106" s="53" t="n">
        <v>2355</v>
      </c>
      <c r="Y106" s="52" t="n">
        <f aca="false">Y74</f>
        <v>2416.06194494789</v>
      </c>
      <c r="Z106" s="52" t="n">
        <f aca="false">Z74</f>
        <v>2313.5615012902</v>
      </c>
      <c r="AA106" s="52" t="n">
        <f aca="false">SUM(W106,X106,Y106,Z106)</f>
        <v>9180.62344623809</v>
      </c>
      <c r="AB106" s="52" t="n">
        <f aca="false">AB74</f>
        <v>9462.87058629062</v>
      </c>
      <c r="AC106" s="52" t="n">
        <f aca="false">AC74</f>
        <v>10009.7483705354</v>
      </c>
      <c r="AD106" s="52" t="n">
        <f aca="false">AD74</f>
        <v>10561.2015159701</v>
      </c>
      <c r="AE106" s="52" t="n">
        <f aca="false">AE74</f>
        <v>11113.5362107689</v>
      </c>
      <c r="AF106" s="20" t="s">
        <v>217</v>
      </c>
      <c r="AH106" s="25" t="n">
        <f aca="false">IFERROR((AE106/V106)^(1/5)-1,"n/m")</f>
        <v>0.0638107173830849</v>
      </c>
      <c r="AI106" s="25" t="n">
        <f aca="false">IFERROR((V106/G106)^(1/3)-1,"n/m")</f>
        <v>0.0186114711296435</v>
      </c>
    </row>
    <row r="107" customFormat="false" ht="15" hidden="false" customHeight="true" outlineLevel="0" collapsed="false">
      <c r="B107" s="11" t="s">
        <v>218</v>
      </c>
      <c r="C107" s="33" t="n">
        <v>725</v>
      </c>
      <c r="D107" s="33" t="n">
        <v>752</v>
      </c>
      <c r="E107" s="33" t="n">
        <v>739</v>
      </c>
      <c r="F107" s="33" t="n">
        <v>729</v>
      </c>
      <c r="G107" s="33" t="n">
        <v>2945</v>
      </c>
      <c r="H107" s="33" t="n">
        <v>762</v>
      </c>
      <c r="I107" s="33" t="n">
        <v>783</v>
      </c>
      <c r="J107" s="33" t="n">
        <v>809</v>
      </c>
      <c r="K107" s="33" t="n">
        <v>805</v>
      </c>
      <c r="L107" s="33" t="n">
        <v>3159</v>
      </c>
      <c r="M107" s="33" t="n">
        <v>834</v>
      </c>
      <c r="N107" s="33" t="n">
        <v>854</v>
      </c>
      <c r="O107" s="33" t="n">
        <v>852</v>
      </c>
      <c r="P107" s="33" t="n">
        <v>837</v>
      </c>
      <c r="Q107" s="33" t="n">
        <v>3377</v>
      </c>
      <c r="R107" s="33" t="n">
        <v>832</v>
      </c>
      <c r="S107" s="33" t="n">
        <v>871</v>
      </c>
      <c r="T107" s="33" t="n">
        <v>876</v>
      </c>
      <c r="U107" s="33" t="n">
        <v>845</v>
      </c>
      <c r="V107" s="33" t="n">
        <v>3424</v>
      </c>
      <c r="W107" s="33" t="n">
        <v>880</v>
      </c>
      <c r="X107" s="33" t="n">
        <v>929</v>
      </c>
      <c r="Y107" s="43" t="n">
        <f aca="false">T107/(T113-T112)*(Y113-Y112)</f>
        <v>982.471880159882</v>
      </c>
      <c r="Z107" s="43" t="n">
        <f aca="false">U107/(U113-U112)*(Z113-Z112)</f>
        <v>952.38662204567</v>
      </c>
      <c r="AA107" s="43" t="n">
        <f aca="false">SUM(W107,X107,Y107,Z107)</f>
        <v>3743.85850220555</v>
      </c>
      <c r="AB107" s="43" t="n">
        <f aca="false">AA107/(AA113-AA112)*(AB113-AB112)</f>
        <v>3792.98861255876</v>
      </c>
      <c r="AC107" s="43" t="n">
        <f aca="false">AB107/(AB113-AB112)*(AC113-AC112)</f>
        <v>3965.35349267206</v>
      </c>
      <c r="AD107" s="43" t="n">
        <f aca="false">AC107/(AC113-AC112)*(AD113-AD112)</f>
        <v>4135.17211992492</v>
      </c>
      <c r="AE107" s="43" t="n">
        <f aca="false">AD107/(AD113-AD112)*(AE113-AE112)</f>
        <v>4323.3574539605</v>
      </c>
      <c r="AF107" s="20" t="s">
        <v>219</v>
      </c>
    </row>
    <row r="108" customFormat="false" ht="15" hidden="false" customHeight="true" outlineLevel="0" collapsed="false">
      <c r="B108" s="11" t="s">
        <v>220</v>
      </c>
      <c r="C108" s="33" t="n">
        <v>510</v>
      </c>
      <c r="D108" s="33" t="n">
        <v>525</v>
      </c>
      <c r="E108" s="33" t="n">
        <v>480</v>
      </c>
      <c r="F108" s="33" t="n">
        <v>449</v>
      </c>
      <c r="G108" s="33" t="n">
        <v>1964</v>
      </c>
      <c r="H108" s="33" t="n">
        <v>457</v>
      </c>
      <c r="I108" s="33" t="n">
        <v>444</v>
      </c>
      <c r="J108" s="33" t="n">
        <v>437</v>
      </c>
      <c r="K108" s="33" t="n">
        <v>422</v>
      </c>
      <c r="L108" s="33" t="n">
        <v>1760</v>
      </c>
      <c r="M108" s="33" t="n">
        <v>438</v>
      </c>
      <c r="N108" s="33" t="n">
        <v>436</v>
      </c>
      <c r="O108" s="33" t="n">
        <v>430</v>
      </c>
      <c r="P108" s="33" t="n">
        <v>398</v>
      </c>
      <c r="Q108" s="33" t="n">
        <v>1701</v>
      </c>
      <c r="R108" s="33" t="n">
        <v>399</v>
      </c>
      <c r="S108" s="33" t="n">
        <v>426</v>
      </c>
      <c r="T108" s="33" t="n">
        <v>424</v>
      </c>
      <c r="U108" s="33" t="n">
        <v>412</v>
      </c>
      <c r="V108" s="33" t="n">
        <v>1662</v>
      </c>
      <c r="W108" s="33" t="n">
        <v>423</v>
      </c>
      <c r="X108" s="33" t="n">
        <v>464</v>
      </c>
      <c r="Y108" s="43" t="n">
        <f aca="false">T108/(T113-T112)*(Y113-Y112)</f>
        <v>475.534334689258</v>
      </c>
      <c r="Z108" s="43" t="n">
        <f aca="false">U108/(U113-U112)*(Z113-Z112)</f>
        <v>464.358921044753</v>
      </c>
      <c r="AA108" s="43" t="n">
        <f aca="false">SUM(W108,X108,Y108,Z108)</f>
        <v>1826.89325573401</v>
      </c>
      <c r="AB108" s="43" t="n">
        <f aca="false">AA108/(AA113-AA112)*(AB113-AB112)</f>
        <v>1850.86731009661</v>
      </c>
      <c r="AC108" s="43" t="n">
        <f aca="false">AB108/(AB113-AB112)*(AC113-AC112)</f>
        <v>1934.97632137972</v>
      </c>
      <c r="AD108" s="43" t="n">
        <f aca="false">AC108/(AC113-AC112)*(AD113-AD112)</f>
        <v>2017.84283587098</v>
      </c>
      <c r="AE108" s="43" t="n">
        <f aca="false">AD108/(AD113-AD112)*(AE113-AE112)</f>
        <v>2109.6717651361</v>
      </c>
    </row>
    <row r="109" customFormat="false" ht="15" hidden="false" customHeight="true" outlineLevel="0" collapsed="false">
      <c r="B109" s="11" t="s">
        <v>221</v>
      </c>
      <c r="C109" s="33" t="n">
        <v>418</v>
      </c>
      <c r="D109" s="33" t="n">
        <v>434</v>
      </c>
      <c r="E109" s="33" t="n">
        <v>425</v>
      </c>
      <c r="F109" s="33" t="n">
        <v>410</v>
      </c>
      <c r="G109" s="33" t="n">
        <v>1687</v>
      </c>
      <c r="H109" s="33" t="n">
        <v>427</v>
      </c>
      <c r="I109" s="33" t="n">
        <v>390</v>
      </c>
      <c r="J109" s="33" t="n">
        <v>406</v>
      </c>
      <c r="K109" s="33" t="n">
        <v>400</v>
      </c>
      <c r="L109" s="33" t="n">
        <v>1623</v>
      </c>
      <c r="M109" s="33" t="n">
        <v>413</v>
      </c>
      <c r="N109" s="33" t="n">
        <v>402</v>
      </c>
      <c r="O109" s="33" t="n">
        <v>399</v>
      </c>
      <c r="P109" s="33" t="n">
        <v>376</v>
      </c>
      <c r="Q109" s="33" t="n">
        <v>1589</v>
      </c>
      <c r="R109" s="33" t="n">
        <v>393</v>
      </c>
      <c r="S109" s="33" t="n">
        <v>384</v>
      </c>
      <c r="T109" s="33" t="n">
        <v>406</v>
      </c>
      <c r="U109" s="33" t="n">
        <v>387</v>
      </c>
      <c r="V109" s="33" t="n">
        <v>1571</v>
      </c>
      <c r="W109" s="33" t="n">
        <v>423</v>
      </c>
      <c r="X109" s="33" t="n">
        <v>476</v>
      </c>
      <c r="Y109" s="43" t="n">
        <f aca="false">T109/(T113-T112)*(Y113-Y112)</f>
        <v>455.346556329808</v>
      </c>
      <c r="Z109" s="43" t="n">
        <f aca="false">U109/(U113-U112)*(Z113-Z112)</f>
        <v>436.181802049319</v>
      </c>
      <c r="AA109" s="43" t="n">
        <f aca="false">SUM(W109,X109,Y109,Z109)</f>
        <v>1790.52835837913</v>
      </c>
      <c r="AB109" s="43" t="n">
        <f aca="false">AA109/(AA113-AA112)*(AB113-AB112)</f>
        <v>1814.02520148521</v>
      </c>
      <c r="AC109" s="43" t="n">
        <f aca="false">AB109/(AB113-AB112)*(AC113-AC112)</f>
        <v>1896.45999586905</v>
      </c>
      <c r="AD109" s="43" t="n">
        <f aca="false">AC109/(AC113-AC112)*(AD113-AD112)</f>
        <v>1977.67702575897</v>
      </c>
      <c r="AE109" s="43" t="n">
        <f aca="false">AD109/(AD113-AD112)*(AE113-AE112)</f>
        <v>2067.67807067646</v>
      </c>
    </row>
    <row r="110" customFormat="false" ht="15" hidden="false" customHeight="true" outlineLevel="0" collapsed="false">
      <c r="B110" s="11" t="s">
        <v>222</v>
      </c>
      <c r="C110" s="33" t="n">
        <v>16</v>
      </c>
      <c r="D110" s="33" t="n">
        <v>13</v>
      </c>
      <c r="E110" s="33" t="n">
        <v>15</v>
      </c>
      <c r="F110" s="33" t="n">
        <v>14</v>
      </c>
      <c r="G110" s="33" t="n">
        <v>58</v>
      </c>
      <c r="H110" s="33" t="n">
        <v>15</v>
      </c>
      <c r="I110" s="33" t="n">
        <v>15</v>
      </c>
      <c r="J110" s="33" t="n">
        <v>15</v>
      </c>
      <c r="K110" s="33" t="n">
        <v>15</v>
      </c>
      <c r="L110" s="33" t="n">
        <v>60</v>
      </c>
      <c r="M110" s="33" t="n">
        <v>19</v>
      </c>
      <c r="N110" s="33" t="n">
        <v>21</v>
      </c>
      <c r="O110" s="33" t="n">
        <v>21</v>
      </c>
      <c r="P110" s="33" t="n">
        <v>19</v>
      </c>
      <c r="Q110" s="33" t="n">
        <v>80</v>
      </c>
      <c r="R110" s="33" t="n">
        <v>19</v>
      </c>
      <c r="S110" s="33" t="n">
        <v>21</v>
      </c>
      <c r="T110" s="33" t="n">
        <v>21</v>
      </c>
      <c r="U110" s="33" t="n">
        <v>22</v>
      </c>
      <c r="V110" s="33" t="n">
        <v>83</v>
      </c>
      <c r="W110" s="33" t="n">
        <v>21</v>
      </c>
      <c r="X110" s="33" t="n">
        <v>22</v>
      </c>
      <c r="Y110" s="43" t="n">
        <f aca="false">T110/(T113-T112)*(Y113-Y112)</f>
        <v>23.5524080860246</v>
      </c>
      <c r="Z110" s="43" t="n">
        <f aca="false">U110/(U113-U112)*(Z113-Z112)</f>
        <v>24.795864715982</v>
      </c>
      <c r="AA110" s="43" t="n">
        <f aca="false">SUM(W110,X110,Y110,Z110)</f>
        <v>91.3482728020065</v>
      </c>
      <c r="AB110" s="43" t="n">
        <f aca="false">AA110/(AA113-AA112)*(AB113-AB112)</f>
        <v>92.5470228938419</v>
      </c>
      <c r="AC110" s="43" t="n">
        <f aca="false">AB110/(AB113-AB112)*(AC113-AC112)</f>
        <v>96.7526396608215</v>
      </c>
      <c r="AD110" s="43" t="n">
        <f aca="false">AC110/(AC113-AC112)*(AD113-AD112)</f>
        <v>100.896129132984</v>
      </c>
      <c r="AE110" s="43" t="n">
        <f aca="false">AD110/(AD113-AD112)*(AE113-AE112)</f>
        <v>105.487757053936</v>
      </c>
    </row>
    <row r="111" customFormat="false" ht="15" hidden="false" customHeight="true" outlineLevel="0" collapsed="false">
      <c r="B111" s="11" t="s">
        <v>223</v>
      </c>
      <c r="C111" s="33" t="n">
        <v>56</v>
      </c>
      <c r="D111" s="33" t="n">
        <v>48</v>
      </c>
      <c r="E111" s="33" t="n">
        <v>41</v>
      </c>
      <c r="F111" s="33" t="n">
        <v>38</v>
      </c>
      <c r="G111" s="33" t="n">
        <v>183</v>
      </c>
      <c r="H111" s="33" t="n">
        <v>44</v>
      </c>
      <c r="I111" s="33" t="n">
        <v>46</v>
      </c>
      <c r="J111" s="33" t="n">
        <v>39</v>
      </c>
      <c r="K111" s="33" t="n">
        <v>38</v>
      </c>
      <c r="L111" s="33" t="n">
        <v>167</v>
      </c>
      <c r="M111" s="33" t="n">
        <v>38</v>
      </c>
      <c r="N111" s="33" t="n">
        <v>33</v>
      </c>
      <c r="O111" s="33" t="n">
        <v>33</v>
      </c>
      <c r="P111" s="33" t="n">
        <v>29</v>
      </c>
      <c r="Q111" s="33" t="n">
        <v>134</v>
      </c>
      <c r="R111" s="33" t="n">
        <v>35</v>
      </c>
      <c r="S111" s="33" t="n">
        <v>40</v>
      </c>
      <c r="T111" s="33" t="n">
        <v>43</v>
      </c>
      <c r="U111" s="33" t="n">
        <v>48</v>
      </c>
      <c r="V111" s="33" t="n">
        <v>167</v>
      </c>
      <c r="W111" s="33" t="n">
        <v>34</v>
      </c>
      <c r="X111" s="33" t="n">
        <v>40</v>
      </c>
      <c r="Y111" s="43" t="n">
        <f aca="false">T111/(T113-T112)*(Y113-Y112)</f>
        <v>48.2263594142408</v>
      </c>
      <c r="Z111" s="43" t="n">
        <f aca="false">U111/(U113-U112)*(Z113-Z112)</f>
        <v>54.1000684712334</v>
      </c>
      <c r="AA111" s="43" t="n">
        <f aca="false">SUM(W111,X111,Y111,Z111)</f>
        <v>176.326427885474</v>
      </c>
      <c r="AB111" s="43" t="n">
        <f aca="false">AA111/(AA113-AA112)*(AB113-AB112)</f>
        <v>178.640333941244</v>
      </c>
      <c r="AC111" s="43" t="n">
        <f aca="false">AB111/(AB113-AB112)*(AC113-AC112)</f>
        <v>186.758291280012</v>
      </c>
      <c r="AD111" s="43" t="n">
        <f aca="false">AC111/(AC113-AC112)*(AD113-AD112)</f>
        <v>194.756326439265</v>
      </c>
      <c r="AE111" s="43" t="n">
        <f aca="false">AD111/(AD113-AD112)*(AE113-AE112)</f>
        <v>203.619387826703</v>
      </c>
    </row>
    <row r="112" customFormat="false" ht="15" hidden="false" customHeight="true" outlineLevel="0" collapsed="false">
      <c r="B112" s="11" t="s">
        <v>224</v>
      </c>
      <c r="C112" s="33" t="n">
        <v>-1</v>
      </c>
      <c r="D112" s="33" t="n">
        <v>-1</v>
      </c>
      <c r="E112" s="33" t="n">
        <v>-1</v>
      </c>
      <c r="F112" s="33" t="n">
        <v>-57</v>
      </c>
      <c r="G112" s="33" t="n">
        <v>-60</v>
      </c>
      <c r="H112" s="33" t="n">
        <v>-3</v>
      </c>
      <c r="I112" s="33" t="n">
        <v>-2</v>
      </c>
      <c r="J112" s="33" t="n">
        <v>1</v>
      </c>
      <c r="K112" s="33" t="n">
        <v>-1</v>
      </c>
      <c r="L112" s="33" t="n">
        <v>-5</v>
      </c>
      <c r="M112" s="33" t="n">
        <v>-2</v>
      </c>
      <c r="N112" s="33" t="n">
        <v>-4</v>
      </c>
      <c r="O112" s="33" t="n">
        <v>0</v>
      </c>
      <c r="P112" s="33" t="n">
        <v>-35</v>
      </c>
      <c r="Q112" s="33" t="n">
        <v>-40</v>
      </c>
      <c r="R112" s="33" t="n">
        <v>-2</v>
      </c>
      <c r="S112" s="33" t="n">
        <v>-1</v>
      </c>
      <c r="T112" s="33" t="n">
        <v>1</v>
      </c>
      <c r="U112" s="33" t="n">
        <v>-14</v>
      </c>
      <c r="V112" s="33" t="n">
        <v>-17</v>
      </c>
      <c r="W112" s="33" t="n">
        <v>-1</v>
      </c>
      <c r="X112" s="33" t="n">
        <v>-7</v>
      </c>
      <c r="Y112" s="48" t="n">
        <v>0</v>
      </c>
      <c r="Z112" s="48" t="n">
        <v>0</v>
      </c>
      <c r="AA112" s="43" t="n">
        <f aca="false">SUM(W112,X112,Y112,Z112)</f>
        <v>-8</v>
      </c>
      <c r="AB112" s="48" t="n">
        <v>0</v>
      </c>
      <c r="AC112" s="48" t="n">
        <v>0</v>
      </c>
      <c r="AD112" s="48" t="n">
        <v>0</v>
      </c>
      <c r="AE112" s="48" t="n">
        <v>0</v>
      </c>
      <c r="AF112" s="20" t="s">
        <v>225</v>
      </c>
    </row>
    <row r="113" customFormat="false" ht="15" hidden="false" customHeight="true" outlineLevel="0" collapsed="false">
      <c r="B113" s="22" t="s">
        <v>226</v>
      </c>
      <c r="C113" s="54" t="n">
        <f aca="false">SUM(C107:C112)</f>
        <v>1724</v>
      </c>
      <c r="D113" s="54" t="n">
        <f aca="false">SUM(D107:D112)</f>
        <v>1771</v>
      </c>
      <c r="E113" s="54" t="n">
        <f aca="false">SUM(E107:E112)</f>
        <v>1699</v>
      </c>
      <c r="F113" s="54" t="n">
        <f aca="false">SUM(F107:F112)</f>
        <v>1583</v>
      </c>
      <c r="G113" s="54" t="n">
        <f aca="false">SUM(G107:G112)</f>
        <v>6777</v>
      </c>
      <c r="H113" s="54" t="n">
        <f aca="false">SUM(H107:H112)</f>
        <v>1702</v>
      </c>
      <c r="I113" s="54" t="n">
        <f aca="false">SUM(I107:I112)</f>
        <v>1676</v>
      </c>
      <c r="J113" s="54" t="n">
        <f aca="false">SUM(J107:J112)</f>
        <v>1707</v>
      </c>
      <c r="K113" s="54" t="n">
        <f aca="false">SUM(K107:K112)</f>
        <v>1679</v>
      </c>
      <c r="L113" s="54" t="n">
        <f aca="false">SUM(L107:L112)</f>
        <v>6764</v>
      </c>
      <c r="M113" s="54" t="n">
        <f aca="false">SUM(M107:M112)</f>
        <v>1740</v>
      </c>
      <c r="N113" s="54" t="n">
        <f aca="false">SUM(N107:N112)</f>
        <v>1742</v>
      </c>
      <c r="O113" s="54" t="n">
        <f aca="false">SUM(O107:O112)</f>
        <v>1735</v>
      </c>
      <c r="P113" s="54" t="n">
        <f aca="false">SUM(P107:P112)</f>
        <v>1624</v>
      </c>
      <c r="Q113" s="54" t="n">
        <f aca="false">SUM(Q107:Q112)</f>
        <v>6841</v>
      </c>
      <c r="R113" s="54" t="n">
        <f aca="false">SUM(R107:R112)</f>
        <v>1676</v>
      </c>
      <c r="S113" s="54" t="n">
        <f aca="false">SUM(S107:S112)</f>
        <v>1741</v>
      </c>
      <c r="T113" s="54" t="n">
        <f aca="false">SUM(T107:T112)</f>
        <v>1771</v>
      </c>
      <c r="U113" s="54" t="n">
        <f aca="false">SUM(U107:U112)</f>
        <v>1700</v>
      </c>
      <c r="V113" s="54" t="n">
        <f aca="false">SUM(V107:V112)</f>
        <v>6890</v>
      </c>
      <c r="W113" s="54" t="n">
        <f aca="false">SUM(W107:W112)</f>
        <v>1780</v>
      </c>
      <c r="X113" s="54" t="n">
        <f aca="false">SUM(X107:X112)</f>
        <v>1924</v>
      </c>
      <c r="Y113" s="24" t="n">
        <f aca="false">Y106-Y123-Y77</f>
        <v>1985.13153867921</v>
      </c>
      <c r="Z113" s="24" t="n">
        <f aca="false">Z106-Z123-Z77</f>
        <v>1931.82327832696</v>
      </c>
      <c r="AA113" s="24" t="n">
        <f aca="false">SUM(W113,X113,Y113,Z113)</f>
        <v>7620.95481700617</v>
      </c>
      <c r="AB113" s="24" t="n">
        <f aca="false">AB106-AB123-AB77</f>
        <v>7729.06848097567</v>
      </c>
      <c r="AC113" s="24" t="n">
        <f aca="false">AC106-AC123-AC77</f>
        <v>8080.30074086166</v>
      </c>
      <c r="AD113" s="24" t="n">
        <f aca="false">AD106-AD123-AD77</f>
        <v>8426.34443712711</v>
      </c>
      <c r="AE113" s="24" t="n">
        <f aca="false">AE106-AE123-AE77</f>
        <v>8809.8144346537</v>
      </c>
      <c r="AF113" s="20" t="s">
        <v>227</v>
      </c>
    </row>
    <row r="114" customFormat="false" ht="15" hidden="false" customHeight="true" outlineLevel="0" collapsed="false">
      <c r="B114" s="11" t="s">
        <v>228</v>
      </c>
      <c r="C114" s="42" t="n">
        <f aca="false">IF(AND(ISNUMBER(C113),ISNUMBER(C106)),IFERROR(C113/C106,""),"")</f>
        <v>0.910242872228089</v>
      </c>
      <c r="D114" s="42" t="n">
        <f aca="false">IF(AND(ISNUMBER(D113),ISNUMBER(D106)),IFERROR(D113/D106,""),"")</f>
        <v>0.865168539325843</v>
      </c>
      <c r="E114" s="42" t="n">
        <f aca="false">IF(AND(ISNUMBER(E113),ISNUMBER(E106)),IFERROR(E113/E106,""),"")</f>
        <v>0.873072970195272</v>
      </c>
      <c r="F114" s="42" t="n">
        <f aca="false">IF(AND(ISNUMBER(F113),ISNUMBER(F106)),IFERROR(F113/F106,""),"")</f>
        <v>0.864554888039323</v>
      </c>
      <c r="G114" s="42" t="n">
        <f aca="false">IF(AND(ISNUMBER(G113),ISNUMBER(G106)),IFERROR(G113/G106,""),"")</f>
        <v>0.878077222078259</v>
      </c>
      <c r="H114" s="42" t="n">
        <f aca="false">IF(AND(ISNUMBER(H113),ISNUMBER(H106)),IFERROR(H113/H106,""),"")</f>
        <v>0.892501310959623</v>
      </c>
      <c r="I114" s="42" t="n">
        <f aca="false">IF(AND(ISNUMBER(I113),ISNUMBER(I106)),IFERROR(I113/I106,""),"")</f>
        <v>0.874282733437663</v>
      </c>
      <c r="J114" s="42" t="n">
        <f aca="false">IF(AND(ISNUMBER(J113),ISNUMBER(J106)),IFERROR(J113/J106,""),"")</f>
        <v>0.862121212121212</v>
      </c>
      <c r="K114" s="42" t="n">
        <f aca="false">IF(AND(ISNUMBER(K113),ISNUMBER(K106)),IFERROR(K113/K106,""),"")</f>
        <v>0.865463917525773</v>
      </c>
      <c r="L114" s="42" t="n">
        <f aca="false">IF(AND(ISNUMBER(L113),ISNUMBER(L106)),IFERROR(L113/L106,""),"")</f>
        <v>0.873450413223141</v>
      </c>
      <c r="M114" s="42" t="n">
        <f aca="false">IF(AND(ISNUMBER(M113),ISNUMBER(M106)),IFERROR(M113/M106,""),"")</f>
        <v>0.862239841427156</v>
      </c>
      <c r="N114" s="42" t="n">
        <f aca="false">IF(AND(ISNUMBER(N113),ISNUMBER(N106)),IFERROR(N113/N106,""),"")</f>
        <v>0.837902837902838</v>
      </c>
      <c r="O114" s="42" t="n">
        <f aca="false">IF(AND(ISNUMBER(O113),ISNUMBER(O106)),IFERROR(O113/O106,""),"")</f>
        <v>0.845104724792986</v>
      </c>
      <c r="P114" s="42" t="n">
        <f aca="false">IF(AND(ISNUMBER(P113),ISNUMBER(P106)),IFERROR(P113/P106,""),"")</f>
        <v>0.845393024466424</v>
      </c>
      <c r="Q114" s="42" t="n">
        <f aca="false">IF(AND(ISNUMBER(Q113),ISNUMBER(Q106)),IFERROR(Q113/Q106,""),"")</f>
        <v>0.847497522299306</v>
      </c>
      <c r="R114" s="42" t="n">
        <f aca="false">IF(AND(ISNUMBER(R113),ISNUMBER(R106)),IFERROR(R113/R106,""),"")</f>
        <v>0.857727737973388</v>
      </c>
      <c r="S114" s="42" t="n">
        <f aca="false">IF(AND(ISNUMBER(S113),ISNUMBER(S106)),IFERROR(S113/S106,""),"")</f>
        <v>0.837019230769231</v>
      </c>
      <c r="T114" s="42" t="n">
        <f aca="false">IF(AND(ISNUMBER(T113),ISNUMBER(T106)),IFERROR(T113/T106,""),"")</f>
        <v>0.838938891520606</v>
      </c>
      <c r="U114" s="42" t="n">
        <f aca="false">IF(AND(ISNUMBER(U113),ISNUMBER(U106)),IFERROR(U113/U106,""),"")</f>
        <v>0.845350571854799</v>
      </c>
      <c r="V114" s="42" t="n">
        <f aca="false">IF(AND(ISNUMBER(V113),ISNUMBER(V106)),IFERROR(V113/V106,""),"")</f>
        <v>0.844673286747579</v>
      </c>
      <c r="W114" s="42" t="n">
        <f aca="false">IF(AND(ISNUMBER(W113),ISNUMBER(W106)),IFERROR(W113/W106,""),"")</f>
        <v>0.849236641221374</v>
      </c>
      <c r="X114" s="42" t="n">
        <f aca="false">IF(AND(ISNUMBER(X113),ISNUMBER(X106)),IFERROR(X113/X106,""),"")</f>
        <v>0.816985138004246</v>
      </c>
      <c r="Y114" s="30" t="n">
        <f aca="false">IFERROR(Y113/Y106,"")</f>
        <v>0.821639338689236</v>
      </c>
      <c r="Z114" s="30" t="n">
        <f aca="false">IFERROR(Z113/Z106,"")</f>
        <v>0.834999751357221</v>
      </c>
      <c r="AA114" s="30" t="n">
        <f aca="false">IFERROR(AA113/AA106,"")</f>
        <v>0.830112994137558</v>
      </c>
      <c r="AB114" s="30" t="n">
        <f aca="false">IFERROR(AB113/AB106,"")</f>
        <v>0.81677841945479</v>
      </c>
      <c r="AC114" s="30" t="n">
        <f aca="false">IFERROR(AC113/AC106,"")</f>
        <v>0.807243143558607</v>
      </c>
      <c r="AD114" s="30" t="n">
        <f aca="false">IFERROR(AD113/AD106,"")</f>
        <v>0.797858503541027</v>
      </c>
      <c r="AE114" s="30" t="n">
        <f aca="false">IFERROR(AE113/AE106,"")</f>
        <v>0.792710282989595</v>
      </c>
    </row>
    <row r="115" customFormat="false" ht="15" hidden="false" customHeight="true" outlineLevel="0" collapsed="false">
      <c r="B115" s="11" t="s">
        <v>229</v>
      </c>
      <c r="C115" s="33" t="n">
        <v>94</v>
      </c>
      <c r="D115" s="33" t="n">
        <v>96</v>
      </c>
      <c r="E115" s="33" t="n">
        <v>99</v>
      </c>
      <c r="F115" s="33" t="n">
        <v>103</v>
      </c>
      <c r="G115" s="33" t="n">
        <v>392</v>
      </c>
      <c r="H115" s="33" t="n">
        <v>101</v>
      </c>
      <c r="I115" s="33" t="n">
        <v>107</v>
      </c>
      <c r="J115" s="33" t="n">
        <v>110</v>
      </c>
      <c r="K115" s="33" t="n">
        <v>114</v>
      </c>
      <c r="L115" s="33" t="n">
        <v>432</v>
      </c>
      <c r="M115" s="33" t="n">
        <v>117</v>
      </c>
      <c r="N115" s="33" t="n">
        <v>122</v>
      </c>
      <c r="O115" s="33" t="n">
        <v>126</v>
      </c>
      <c r="P115" s="33" t="n">
        <v>124</v>
      </c>
      <c r="Q115" s="33" t="n">
        <v>490</v>
      </c>
      <c r="R115" s="33" t="n">
        <v>123</v>
      </c>
      <c r="S115" s="33" t="n">
        <v>131</v>
      </c>
      <c r="T115" s="33" t="n">
        <v>134</v>
      </c>
      <c r="U115" s="33" t="n">
        <v>134</v>
      </c>
      <c r="V115" s="33" t="n">
        <v>521</v>
      </c>
      <c r="W115" s="33" t="n">
        <v>131</v>
      </c>
      <c r="X115" s="33" t="n">
        <v>134</v>
      </c>
      <c r="Y115" s="43" t="n">
        <f aca="false">Y100</f>
        <v>139.409072797105</v>
      </c>
      <c r="Z115" s="43" t="n">
        <f aca="false">Z100</f>
        <v>139.043083887678</v>
      </c>
      <c r="AA115" s="43" t="n">
        <f aca="false">SUM(W115,X115,Y115,Z115)</f>
        <v>543.452156684782</v>
      </c>
      <c r="AB115" s="43" t="n">
        <f aca="false">AB100</f>
        <v>589.002972093947</v>
      </c>
      <c r="AC115" s="43" t="n">
        <f aca="false">AC100</f>
        <v>610.192477922692</v>
      </c>
      <c r="AD115" s="43" t="n">
        <f aca="false">AD100</f>
        <v>634.579500862675</v>
      </c>
      <c r="AE115" s="43" t="n">
        <f aca="false">AE100</f>
        <v>668.901791340933</v>
      </c>
    </row>
    <row r="116" customFormat="false" ht="15" hidden="false" customHeight="true" outlineLevel="0" collapsed="false">
      <c r="B116" s="11" t="s">
        <v>230</v>
      </c>
      <c r="C116" s="33" t="n">
        <v>0</v>
      </c>
      <c r="D116" s="33" t="n">
        <v>0</v>
      </c>
      <c r="E116" s="33" t="n">
        <v>0</v>
      </c>
      <c r="F116" s="33" t="n">
        <v>64</v>
      </c>
      <c r="G116" s="33" t="n">
        <v>64</v>
      </c>
      <c r="H116" s="33" t="n">
        <v>0</v>
      </c>
      <c r="I116" s="33" t="n">
        <v>0</v>
      </c>
      <c r="J116" s="33" t="n">
        <v>0</v>
      </c>
      <c r="K116" s="33" t="n">
        <v>0</v>
      </c>
      <c r="L116" s="33" t="n">
        <v>0</v>
      </c>
      <c r="M116" s="33" t="n">
        <v>0</v>
      </c>
      <c r="N116" s="33" t="n">
        <v>0</v>
      </c>
      <c r="O116" s="33" t="n">
        <v>0</v>
      </c>
      <c r="P116" s="33" t="n">
        <v>0</v>
      </c>
      <c r="Q116" s="33" t="n">
        <v>0</v>
      </c>
      <c r="R116" s="33" t="n">
        <v>0</v>
      </c>
      <c r="S116" s="33" t="n">
        <v>0</v>
      </c>
      <c r="T116" s="33" t="n">
        <v>0</v>
      </c>
      <c r="U116" s="33" t="n">
        <v>0</v>
      </c>
      <c r="V116" s="33" t="n">
        <v>0</v>
      </c>
      <c r="W116" s="33" t="n">
        <v>0</v>
      </c>
      <c r="X116" s="33" t="n">
        <v>0</v>
      </c>
      <c r="Y116" s="48" t="n">
        <v>0</v>
      </c>
      <c r="Z116" s="48" t="n">
        <v>0</v>
      </c>
      <c r="AA116" s="43" t="n">
        <f aca="false">SUM(W116,X116,Y116,Z116)</f>
        <v>0</v>
      </c>
      <c r="AB116" s="48" t="n">
        <v>0</v>
      </c>
      <c r="AC116" s="48" t="n">
        <v>0</v>
      </c>
      <c r="AD116" s="48" t="n">
        <v>0</v>
      </c>
      <c r="AE116" s="48" t="n">
        <v>0</v>
      </c>
    </row>
    <row r="117" customFormat="false" ht="15" hidden="false" customHeight="true" outlineLevel="0" collapsed="false">
      <c r="B117" s="11" t="s">
        <v>231</v>
      </c>
      <c r="C117" s="33" t="n">
        <v>0</v>
      </c>
      <c r="D117" s="33" t="n">
        <v>0</v>
      </c>
      <c r="E117" s="33" t="n">
        <v>0</v>
      </c>
      <c r="F117" s="33" t="n">
        <v>0</v>
      </c>
      <c r="G117" s="33" t="n">
        <v>0</v>
      </c>
      <c r="H117" s="33" t="n">
        <v>0</v>
      </c>
      <c r="I117" s="33" t="n">
        <v>0</v>
      </c>
      <c r="J117" s="33" t="n">
        <v>0</v>
      </c>
      <c r="K117" s="33" t="n">
        <v>8</v>
      </c>
      <c r="L117" s="33" t="n">
        <v>8</v>
      </c>
      <c r="M117" s="33" t="n">
        <v>0</v>
      </c>
      <c r="N117" s="33" t="n">
        <v>0</v>
      </c>
      <c r="O117" s="33" t="n">
        <v>0</v>
      </c>
      <c r="P117" s="33" t="n">
        <v>0</v>
      </c>
      <c r="Q117" s="33" t="n">
        <v>0</v>
      </c>
      <c r="R117" s="33" t="n">
        <v>-11</v>
      </c>
      <c r="S117" s="33" t="n">
        <v>-2</v>
      </c>
      <c r="T117" s="33" t="n">
        <v>0</v>
      </c>
      <c r="U117" s="33" t="n">
        <v>0</v>
      </c>
      <c r="V117" s="33" t="n">
        <v>-13</v>
      </c>
      <c r="W117" s="33" t="n">
        <v>0</v>
      </c>
      <c r="X117" s="33" t="n">
        <v>0</v>
      </c>
      <c r="Y117" s="48" t="n">
        <v>0</v>
      </c>
      <c r="Z117" s="48" t="n">
        <v>0</v>
      </c>
      <c r="AA117" s="43" t="n">
        <f aca="false">SUM(W117,X117,Y117,Z117)</f>
        <v>0</v>
      </c>
      <c r="AB117" s="48" t="n">
        <v>0</v>
      </c>
      <c r="AC117" s="48" t="n">
        <v>0</v>
      </c>
      <c r="AD117" s="48" t="n">
        <v>0</v>
      </c>
      <c r="AE117" s="48" t="n">
        <v>0</v>
      </c>
    </row>
    <row r="118" customFormat="false" ht="15" hidden="false" customHeight="true" outlineLevel="0" collapsed="false">
      <c r="B118" s="11" t="s">
        <v>232</v>
      </c>
      <c r="C118" s="33" t="n">
        <v>0</v>
      </c>
      <c r="D118" s="33" t="n">
        <v>0</v>
      </c>
      <c r="E118" s="33" t="n">
        <v>0</v>
      </c>
      <c r="F118" s="33" t="n">
        <v>0</v>
      </c>
      <c r="G118" s="33" t="n">
        <v>0</v>
      </c>
      <c r="H118" s="33" t="n">
        <v>0</v>
      </c>
      <c r="I118" s="33" t="n">
        <v>0</v>
      </c>
      <c r="J118" s="33" t="n">
        <v>0</v>
      </c>
      <c r="K118" s="33" t="n">
        <v>0</v>
      </c>
      <c r="L118" s="33" t="n">
        <v>0</v>
      </c>
      <c r="M118" s="33" t="n">
        <v>0</v>
      </c>
      <c r="N118" s="33" t="n">
        <v>0</v>
      </c>
      <c r="O118" s="33" t="n">
        <v>0</v>
      </c>
      <c r="P118" s="33" t="n">
        <v>0</v>
      </c>
      <c r="Q118" s="33" t="n">
        <v>0</v>
      </c>
      <c r="R118" s="33" t="n">
        <v>0</v>
      </c>
      <c r="S118" s="33" t="n">
        <v>0</v>
      </c>
      <c r="T118" s="33" t="n">
        <v>35</v>
      </c>
      <c r="U118" s="33" t="n">
        <v>0</v>
      </c>
      <c r="V118" s="33" t="n">
        <v>35</v>
      </c>
      <c r="W118" s="33" t="n">
        <v>0</v>
      </c>
      <c r="X118" s="33" t="n">
        <v>1</v>
      </c>
      <c r="Y118" s="48" t="n">
        <v>0</v>
      </c>
      <c r="Z118" s="48" t="n">
        <v>0</v>
      </c>
      <c r="AA118" s="43" t="n">
        <f aca="false">SUM(W118,X118,Y118,Z118)</f>
        <v>1</v>
      </c>
      <c r="AB118" s="48" t="n">
        <v>0</v>
      </c>
      <c r="AC118" s="48" t="n">
        <v>0</v>
      </c>
      <c r="AD118" s="48" t="n">
        <v>0</v>
      </c>
      <c r="AE118" s="48" t="n">
        <v>0</v>
      </c>
    </row>
    <row r="119" customFormat="false" ht="15" hidden="false" customHeight="true" outlineLevel="0" collapsed="false">
      <c r="B119" s="11" t="s">
        <v>233</v>
      </c>
      <c r="C119" s="33" t="n">
        <v>7</v>
      </c>
      <c r="D119" s="33" t="n">
        <v>7</v>
      </c>
      <c r="E119" s="33" t="n">
        <v>2</v>
      </c>
      <c r="F119" s="33" t="n">
        <v>42</v>
      </c>
      <c r="G119" s="33" t="n">
        <v>58</v>
      </c>
      <c r="H119" s="33" t="n">
        <v>22</v>
      </c>
      <c r="I119" s="33" t="n">
        <v>17</v>
      </c>
      <c r="J119" s="33" t="n">
        <v>8</v>
      </c>
      <c r="K119" s="33" t="n">
        <v>11</v>
      </c>
      <c r="L119" s="33" t="n">
        <v>58</v>
      </c>
      <c r="M119" s="33" t="n">
        <v>14</v>
      </c>
      <c r="N119" s="33" t="n">
        <v>12</v>
      </c>
      <c r="O119" s="33" t="n">
        <v>13</v>
      </c>
      <c r="P119" s="33" t="n">
        <v>14</v>
      </c>
      <c r="Q119" s="33" t="n">
        <v>53</v>
      </c>
      <c r="R119" s="33" t="n">
        <v>3</v>
      </c>
      <c r="S119" s="33" t="n">
        <v>3</v>
      </c>
      <c r="T119" s="33" t="n">
        <v>1</v>
      </c>
      <c r="U119" s="33" t="n">
        <v>1</v>
      </c>
      <c r="V119" s="33" t="n">
        <v>8</v>
      </c>
      <c r="W119" s="33" t="n">
        <v>2</v>
      </c>
      <c r="X119" s="33" t="n">
        <v>2</v>
      </c>
      <c r="Y119" s="48" t="n">
        <v>0</v>
      </c>
      <c r="Z119" s="48" t="n">
        <v>0</v>
      </c>
      <c r="AA119" s="43" t="n">
        <f aca="false">SUM(W119,X119,Y119,Z119)</f>
        <v>4</v>
      </c>
      <c r="AB119" s="48" t="n">
        <v>0</v>
      </c>
      <c r="AC119" s="48" t="n">
        <v>0</v>
      </c>
      <c r="AD119" s="48" t="n">
        <v>0</v>
      </c>
      <c r="AE119" s="48" t="n">
        <v>0</v>
      </c>
    </row>
    <row r="120" customFormat="false" ht="15" hidden="false" customHeight="true" outlineLevel="0" collapsed="false">
      <c r="B120" s="11" t="s">
        <v>234</v>
      </c>
      <c r="C120" s="33" t="n">
        <v>6</v>
      </c>
      <c r="D120" s="33" t="n">
        <v>2</v>
      </c>
      <c r="E120" s="33" t="n">
        <v>7</v>
      </c>
      <c r="F120" s="33" t="n">
        <v>35</v>
      </c>
      <c r="G120" s="33" t="n">
        <v>50</v>
      </c>
      <c r="H120" s="33" t="n">
        <v>24</v>
      </c>
      <c r="I120" s="33" t="n">
        <v>10</v>
      </c>
      <c r="J120" s="33" t="n">
        <v>1</v>
      </c>
      <c r="K120" s="33" t="n">
        <v>9</v>
      </c>
      <c r="L120" s="33" t="n">
        <v>44</v>
      </c>
      <c r="M120" s="33" t="n">
        <v>8</v>
      </c>
      <c r="N120" s="33" t="n">
        <v>6</v>
      </c>
      <c r="O120" s="33" t="n">
        <v>3</v>
      </c>
      <c r="P120" s="33" t="n">
        <v>10</v>
      </c>
      <c r="Q120" s="33" t="n">
        <v>27</v>
      </c>
      <c r="R120" s="33" t="n">
        <v>12</v>
      </c>
      <c r="S120" s="33" t="n">
        <v>8</v>
      </c>
      <c r="T120" s="33" t="n">
        <v>6</v>
      </c>
      <c r="U120" s="33" t="n">
        <v>33</v>
      </c>
      <c r="V120" s="33" t="n">
        <v>59</v>
      </c>
      <c r="W120" s="33" t="n">
        <v>9</v>
      </c>
      <c r="X120" s="33" t="n">
        <v>22</v>
      </c>
      <c r="Y120" s="43" t="n">
        <f aca="false">Y46+Y61+Y70</f>
        <v>11</v>
      </c>
      <c r="Z120" s="43" t="n">
        <f aca="false">Z46+Z61+Z70</f>
        <v>11</v>
      </c>
      <c r="AA120" s="43" t="n">
        <f aca="false">SUM(W120,X120,Y120,Z120)</f>
        <v>53</v>
      </c>
      <c r="AB120" s="43" t="n">
        <f aca="false">AB46+AB61+AB70</f>
        <v>20</v>
      </c>
      <c r="AC120" s="43" t="n">
        <f aca="false">AC46+AC61+AC70</f>
        <v>20</v>
      </c>
      <c r="AD120" s="43" t="n">
        <f aca="false">AD46+AD61+AD70</f>
        <v>20</v>
      </c>
      <c r="AE120" s="43" t="n">
        <f aca="false">AE46+AE61+AE70</f>
        <v>20</v>
      </c>
      <c r="AF120" s="20" t="s">
        <v>235</v>
      </c>
    </row>
    <row r="121" customFormat="false" ht="15" hidden="false" customHeight="true" outlineLevel="0" collapsed="false">
      <c r="B121" s="51" t="s">
        <v>236</v>
      </c>
      <c r="C121" s="53" t="n">
        <v>63</v>
      </c>
      <c r="D121" s="53" t="n">
        <v>171</v>
      </c>
      <c r="E121" s="53" t="n">
        <v>139</v>
      </c>
      <c r="F121" s="53" t="n">
        <v>4</v>
      </c>
      <c r="G121" s="53" t="n">
        <v>377</v>
      </c>
      <c r="H121" s="53" t="n">
        <v>58</v>
      </c>
      <c r="I121" s="53" t="n">
        <v>107</v>
      </c>
      <c r="J121" s="53" t="n">
        <v>154</v>
      </c>
      <c r="K121" s="53" t="n">
        <v>119</v>
      </c>
      <c r="L121" s="53" t="n">
        <v>438</v>
      </c>
      <c r="M121" s="53" t="n">
        <v>138</v>
      </c>
      <c r="N121" s="53" t="n">
        <v>197</v>
      </c>
      <c r="O121" s="53" t="n">
        <v>176</v>
      </c>
      <c r="P121" s="53" t="n">
        <v>148</v>
      </c>
      <c r="Q121" s="53" t="n">
        <v>660</v>
      </c>
      <c r="R121" s="53" t="n">
        <v>151</v>
      </c>
      <c r="S121" s="53" t="n">
        <v>198</v>
      </c>
      <c r="T121" s="53" t="n">
        <v>164</v>
      </c>
      <c r="U121" s="53" t="n">
        <v>143</v>
      </c>
      <c r="V121" s="53" t="n">
        <v>656</v>
      </c>
      <c r="W121" s="53" t="n">
        <v>174</v>
      </c>
      <c r="X121" s="53" t="n">
        <v>271</v>
      </c>
      <c r="Y121" s="52" t="n">
        <f aca="false">Y106-Y113-SUM(Y115:Y120)</f>
        <v>280.521333471571</v>
      </c>
      <c r="Z121" s="52" t="n">
        <f aca="false">Z106-Z113-SUM(Z115:Z120)</f>
        <v>231.695139075568</v>
      </c>
      <c r="AA121" s="52" t="n">
        <f aca="false">SUM(W121,X121,Y121,Z121)</f>
        <v>957.216472547138</v>
      </c>
      <c r="AB121" s="52" t="n">
        <f aca="false">AB106-AB113-SUM(AB115:AB120)</f>
        <v>1124.799133221</v>
      </c>
      <c r="AC121" s="52" t="n">
        <f aca="false">AC106-AC113-SUM(AC115:AC120)</f>
        <v>1299.25515175107</v>
      </c>
      <c r="AD121" s="52" t="n">
        <f aca="false">AD106-AD113-SUM(AD115:AD120)</f>
        <v>1480.27757798029</v>
      </c>
      <c r="AE121" s="52" t="n">
        <f aca="false">AE106-AE113-SUM(AE115:AE120)</f>
        <v>1614.81998477424</v>
      </c>
      <c r="AH121" s="25" t="n">
        <f aca="false">IFERROR((AE121/V121)^(1/5)-1,"n/m")</f>
        <v>0.197413238148814</v>
      </c>
      <c r="AI121" s="25" t="n">
        <f aca="false">IFERROR((V121/G121)^(1/3)-1,"n/m")</f>
        <v>0.202783595964368</v>
      </c>
    </row>
    <row r="122" customFormat="false" ht="15" hidden="false" customHeight="true" outlineLevel="0" collapsed="false">
      <c r="B122" s="49" t="s">
        <v>237</v>
      </c>
      <c r="C122" s="50" t="n">
        <f aca="false">IF(ABS(ROUND(C106-C113-SUM(C115:C120)-C121,1))&lt;=1,0,ROUND(C106-C113-SUM(C115:C120)-C121,1))</f>
        <v>0</v>
      </c>
      <c r="D122" s="50" t="n">
        <f aca="false">IF(ABS(ROUND(D106-D113-SUM(D115:D120)-D121,1))&lt;=1,0,ROUND(D106-D113-SUM(D115:D120)-D121,1))</f>
        <v>0</v>
      </c>
      <c r="E122" s="50" t="n">
        <f aca="false">IF(ABS(ROUND(E106-E113-SUM(E115:E120)-E121,1))&lt;=1,0,ROUND(E106-E113-SUM(E115:E120)-E121,1))</f>
        <v>0</v>
      </c>
      <c r="F122" s="50" t="n">
        <f aca="false">IF(ABS(ROUND(F106-F113-SUM(F115:F120)-F121,1))&lt;=1,0,ROUND(F106-F113-SUM(F115:F120)-F121,1))</f>
        <v>0</v>
      </c>
      <c r="G122" s="50" t="n">
        <f aca="false">IF(ABS(ROUND(G106-G113-SUM(G115:G120)-G121,1))&lt;=1,0,ROUND(G106-G113-SUM(G115:G120)-G121,1))</f>
        <v>0</v>
      </c>
      <c r="H122" s="50" t="n">
        <f aca="false">IF(ABS(ROUND(H106-H113-SUM(H115:H120)-H121,1))&lt;=1,0,ROUND(H106-H113-SUM(H115:H120)-H121,1))</f>
        <v>0</v>
      </c>
      <c r="I122" s="50" t="n">
        <f aca="false">IF(ABS(ROUND(I106-I113-SUM(I115:I120)-I121,1))&lt;=1,0,ROUND(I106-I113-SUM(I115:I120)-I121,1))</f>
        <v>0</v>
      </c>
      <c r="J122" s="50" t="n">
        <f aca="false">IF(ABS(ROUND(J106-J113-SUM(J115:J120)-J121,1))&lt;=1,0,ROUND(J106-J113-SUM(J115:J120)-J121,1))</f>
        <v>0</v>
      </c>
      <c r="K122" s="50" t="n">
        <f aca="false">IF(ABS(ROUND(K106-K113-SUM(K115:K120)-K121,1))&lt;=1,0,ROUND(K106-K113-SUM(K115:K120)-K121,1))</f>
        <v>0</v>
      </c>
      <c r="L122" s="50" t="n">
        <f aca="false">IF(ABS(ROUND(L106-L113-SUM(L115:L120)-L121,1))&lt;=1,0,ROUND(L106-L113-SUM(L115:L120)-L121,1))</f>
        <v>0</v>
      </c>
      <c r="M122" s="50" t="n">
        <f aca="false">IF(ABS(ROUND(M106-M113-SUM(M115:M120)-M121,1))&lt;=1,0,ROUND(M106-M113-SUM(M115:M120)-M121,1))</f>
        <v>0</v>
      </c>
      <c r="N122" s="50" t="n">
        <f aca="false">IF(ABS(ROUND(N106-N113-SUM(N115:N120)-N121,1))&lt;=1,0,ROUND(N106-N113-SUM(N115:N120)-N121,1))</f>
        <v>0</v>
      </c>
      <c r="O122" s="50" t="n">
        <f aca="false">IF(ABS(ROUND(O106-O113-SUM(O115:O120)-O121,1))&lt;=1,0,ROUND(O106-O113-SUM(O115:O120)-O121,1))</f>
        <v>0</v>
      </c>
      <c r="P122" s="50" t="n">
        <f aca="false">IF(ABS(ROUND(P106-P113-SUM(P115:P120)-P121,1))&lt;=1,0,ROUND(P106-P113-SUM(P115:P120)-P121,1))</f>
        <v>0</v>
      </c>
      <c r="Q122" s="50" t="n">
        <f aca="false">IF(ABS(ROUND(Q106-Q113-SUM(Q115:Q120)-Q121,1))&lt;=1,0,ROUND(Q106-Q113-SUM(Q115:Q120)-Q121,1))</f>
        <v>0</v>
      </c>
      <c r="R122" s="50" t="n">
        <f aca="false">IF(ABS(ROUND(R106-R113-SUM(R115:R120)-R121,1))&lt;=1,0,ROUND(R106-R113-SUM(R115:R120)-R121,1))</f>
        <v>0</v>
      </c>
      <c r="S122" s="50" t="n">
        <f aca="false">IF(ABS(ROUND(S106-S113-SUM(S115:S120)-S121,1))&lt;=1,0,ROUND(S106-S113-SUM(S115:S120)-S121,1))</f>
        <v>0</v>
      </c>
      <c r="T122" s="50" t="n">
        <f aca="false">IF(ABS(ROUND(T106-T113-SUM(T115:T120)-T121,1))&lt;=1,0,ROUND(T106-T113-SUM(T115:T120)-T121,1))</f>
        <v>0</v>
      </c>
      <c r="U122" s="50" t="n">
        <f aca="false">IF(ABS(ROUND(U106-U113-SUM(U115:U120)-U121,1))&lt;=1,0,ROUND(U106-U113-SUM(U115:U120)-U121,1))</f>
        <v>0</v>
      </c>
      <c r="V122" s="50" t="n">
        <f aca="false">IF(ABS(ROUND(V106-V113-SUM(V115:V120)-V121,1))&lt;=1,0,ROUND(V106-V113-SUM(V115:V120)-V121,1))</f>
        <v>0</v>
      </c>
      <c r="W122" s="50" t="n">
        <f aca="false">IF(ABS(ROUND(W106-W113-SUM(W115:W120)-W121,1))&lt;=1,0,ROUND(W106-W113-SUM(W115:W120)-W121,1))</f>
        <v>0</v>
      </c>
      <c r="X122" s="50" t="n">
        <f aca="false">IF(ABS(ROUND(X106-X113-SUM(X115:X120)-X121,1))&lt;=1,0,ROUND(X106-X113-SUM(X115:X120)-X121,1))</f>
        <v>0</v>
      </c>
      <c r="Y122" s="43" t="n">
        <f aca="false">IF(ABS(ROUND(Y106-Y113-SUM(Y115:Y120)-Y121,1))&lt;=1,0,ROUND(Y106-Y113-SUM(Y115:Y120)-Y121,1))</f>
        <v>0</v>
      </c>
      <c r="Z122" s="43" t="n">
        <f aca="false">IF(ABS(ROUND(Z106-Z113-SUM(Z115:Z120)-Z121,1))&lt;=1,0,ROUND(Z106-Z113-SUM(Z115:Z120)-Z121,1))</f>
        <v>0</v>
      </c>
      <c r="AA122" s="43" t="n">
        <f aca="false">IF(ABS(ROUND(AA106-AA113-SUM(AA115:AA120)-AA121,1))&lt;=1,0,ROUND(AA106-AA113-SUM(AA115:AA120)-AA121,1))</f>
        <v>0</v>
      </c>
      <c r="AB122" s="43" t="n">
        <f aca="false">IF(ABS(ROUND(AB106-AB113-SUM(AB115:AB120)-AB121,1))&lt;=1,0,ROUND(AB106-AB113-SUM(AB115:AB120)-AB121,1))</f>
        <v>0</v>
      </c>
      <c r="AC122" s="43" t="n">
        <f aca="false">IF(ABS(ROUND(AC106-AC113-SUM(AC115:AC120)-AC121,1))&lt;=1,0,ROUND(AC106-AC113-SUM(AC115:AC120)-AC121,1))</f>
        <v>0</v>
      </c>
      <c r="AD122" s="43" t="n">
        <f aca="false">IF(ABS(ROUND(AD106-AD113-SUM(AD115:AD120)-AD121,1))&lt;=1,0,ROUND(AD106-AD113-SUM(AD115:AD120)-AD121,1))</f>
        <v>0</v>
      </c>
      <c r="AE122" s="43" t="n">
        <f aca="false">IF(ABS(ROUND(AE106-AE113-SUM(AE115:AE120)-AE121,1))&lt;=1,0,ROUND(AE106-AE113-SUM(AE115:AE120)-AE121,1))</f>
        <v>0</v>
      </c>
    </row>
    <row r="123" customFormat="false" ht="15" hidden="false" customHeight="true" outlineLevel="0" collapsed="false">
      <c r="B123" s="11" t="s">
        <v>238</v>
      </c>
      <c r="C123" s="33" t="n">
        <v>-14</v>
      </c>
      <c r="D123" s="33" t="n">
        <v>-13</v>
      </c>
      <c r="E123" s="33" t="n">
        <v>-15</v>
      </c>
      <c r="F123" s="33" t="n">
        <v>-13</v>
      </c>
      <c r="G123" s="33" t="n">
        <v>-55</v>
      </c>
      <c r="H123" s="33" t="n">
        <v>-5</v>
      </c>
      <c r="I123" s="33" t="n">
        <v>-3</v>
      </c>
      <c r="J123" s="33" t="n">
        <v>-4</v>
      </c>
      <c r="K123" s="33" t="n">
        <v>-3</v>
      </c>
      <c r="L123" s="33" t="n">
        <v>-15</v>
      </c>
      <c r="M123" s="33" t="n">
        <v>-10</v>
      </c>
      <c r="N123" s="33" t="n">
        <v>-6</v>
      </c>
      <c r="O123" s="33" t="n">
        <v>-15</v>
      </c>
      <c r="P123" s="33" t="n">
        <v>-6</v>
      </c>
      <c r="Q123" s="33" t="n">
        <v>-37</v>
      </c>
      <c r="R123" s="33" t="n">
        <v>-1</v>
      </c>
      <c r="S123" s="33" t="n">
        <v>-2</v>
      </c>
      <c r="T123" s="33" t="n">
        <v>-2</v>
      </c>
      <c r="U123" s="33" t="n">
        <v>-1</v>
      </c>
      <c r="V123" s="33" t="n">
        <v>-6</v>
      </c>
      <c r="W123" s="33" t="n">
        <v>-3</v>
      </c>
      <c r="X123" s="33" t="n">
        <v>-4</v>
      </c>
      <c r="Y123" s="43" t="n">
        <f aca="false">-(Y38+Y68+Y57)</f>
        <v>-3</v>
      </c>
      <c r="Z123" s="43" t="n">
        <f aca="false">-(Z38+Z68+Z57)</f>
        <v>-3</v>
      </c>
      <c r="AA123" s="43" t="n">
        <f aca="false">SUM(W123,X123,Y123,Z123)</f>
        <v>-13</v>
      </c>
      <c r="AB123" s="43" t="n">
        <f aca="false">-(AB38+AB68+AB57)</f>
        <v>-12</v>
      </c>
      <c r="AC123" s="43" t="n">
        <f aca="false">-(AC38+AC68+AC57)</f>
        <v>-12</v>
      </c>
      <c r="AD123" s="43" t="n">
        <f aca="false">-(AD38+AD68+AD57)</f>
        <v>-12</v>
      </c>
      <c r="AE123" s="43" t="n">
        <f aca="false">-(AE38+AE68+AE57)</f>
        <v>-12</v>
      </c>
      <c r="AF123" s="20" t="s">
        <v>239</v>
      </c>
    </row>
    <row r="124" customFormat="false" ht="15" hidden="false" customHeight="true" outlineLevel="0" collapsed="false">
      <c r="B124" s="11" t="s">
        <v>240</v>
      </c>
      <c r="C124" s="33" t="n">
        <v>0</v>
      </c>
      <c r="D124" s="33" t="n">
        <v>26</v>
      </c>
      <c r="E124" s="33" t="n">
        <v>0</v>
      </c>
      <c r="F124" s="33" t="n">
        <v>13</v>
      </c>
      <c r="G124" s="33" t="n">
        <v>39</v>
      </c>
      <c r="H124" s="33" t="n">
        <v>0</v>
      </c>
      <c r="I124" s="33" t="n">
        <v>23</v>
      </c>
      <c r="J124" s="33" t="n">
        <v>0</v>
      </c>
      <c r="K124" s="33" t="n">
        <v>2</v>
      </c>
      <c r="L124" s="33" t="n">
        <v>25</v>
      </c>
      <c r="M124" s="33" t="n">
        <v>0</v>
      </c>
      <c r="N124" s="33" t="n">
        <v>0</v>
      </c>
      <c r="O124" s="33" t="n">
        <v>0</v>
      </c>
      <c r="P124" s="33" t="n">
        <v>0</v>
      </c>
      <c r="Q124" s="33" t="n">
        <v>0</v>
      </c>
      <c r="R124" s="33" t="n">
        <v>5</v>
      </c>
      <c r="S124" s="33" t="n">
        <v>0</v>
      </c>
      <c r="T124" s="33" t="n">
        <v>0</v>
      </c>
      <c r="U124" s="33" t="n">
        <v>0</v>
      </c>
      <c r="V124" s="33" t="n">
        <v>6</v>
      </c>
      <c r="W124" s="33" t="n">
        <v>0</v>
      </c>
      <c r="X124" s="33" t="n">
        <v>5</v>
      </c>
      <c r="Y124" s="48" t="n">
        <v>0</v>
      </c>
      <c r="Z124" s="48" t="n">
        <v>0</v>
      </c>
      <c r="AA124" s="43" t="n">
        <f aca="false">SUM(W124,X124,Y124,Z124)</f>
        <v>5</v>
      </c>
      <c r="AB124" s="48" t="n">
        <v>0</v>
      </c>
      <c r="AC124" s="48" t="n">
        <v>0</v>
      </c>
      <c r="AD124" s="48" t="n">
        <v>0</v>
      </c>
      <c r="AE124" s="48" t="n">
        <v>0</v>
      </c>
    </row>
    <row r="125" customFormat="false" ht="15" hidden="false" customHeight="true" outlineLevel="0" collapsed="false">
      <c r="B125" s="11" t="s">
        <v>241</v>
      </c>
      <c r="C125" s="33" t="n">
        <v>37</v>
      </c>
      <c r="D125" s="33" t="n">
        <v>31</v>
      </c>
      <c r="E125" s="33" t="n">
        <v>35</v>
      </c>
      <c r="F125" s="33" t="n">
        <v>32</v>
      </c>
      <c r="G125" s="33" t="n">
        <v>135</v>
      </c>
      <c r="H125" s="33" t="n">
        <v>42</v>
      </c>
      <c r="I125" s="33" t="n">
        <v>43</v>
      </c>
      <c r="J125" s="33" t="n">
        <v>41</v>
      </c>
      <c r="K125" s="33" t="n">
        <v>42</v>
      </c>
      <c r="L125" s="33" t="n">
        <v>168</v>
      </c>
      <c r="M125" s="33" t="n">
        <v>58</v>
      </c>
      <c r="N125" s="33" t="n">
        <v>56</v>
      </c>
      <c r="O125" s="33" t="n">
        <v>56</v>
      </c>
      <c r="P125" s="33" t="n">
        <v>53</v>
      </c>
      <c r="Q125" s="33" t="n">
        <v>223</v>
      </c>
      <c r="R125" s="33" t="n">
        <v>56</v>
      </c>
      <c r="S125" s="33" t="n">
        <v>56</v>
      </c>
      <c r="T125" s="33" t="n">
        <v>54</v>
      </c>
      <c r="U125" s="33" t="n">
        <v>53</v>
      </c>
      <c r="V125" s="33" t="n">
        <v>219</v>
      </c>
      <c r="W125" s="33" t="n">
        <v>53</v>
      </c>
      <c r="X125" s="33" t="n">
        <v>51</v>
      </c>
      <c r="Y125" s="43" t="n">
        <f aca="false">($AN$13-($W$125+$X$125))/2</f>
        <v>53</v>
      </c>
      <c r="Z125" s="43" t="n">
        <f aca="false">($AN$13-($W$125+$X$125))/2</f>
        <v>53</v>
      </c>
      <c r="AA125" s="43" t="n">
        <f aca="false">SUM(W125,X125,Y125,Z125)</f>
        <v>210</v>
      </c>
      <c r="AB125" s="43" t="n">
        <f aca="false">AA319*AB320+AA321*AB322+AA323*AB324</f>
        <v>192.432773838152</v>
      </c>
      <c r="AC125" s="43" t="n">
        <f aca="false">AB319*AC320+AB321*AC322+AB323*AC324</f>
        <v>175.025631582184</v>
      </c>
      <c r="AD125" s="43" t="n">
        <f aca="false">AC319*AD320+AC321*AD322+AC323*AD324</f>
        <v>186.43447685461</v>
      </c>
      <c r="AE125" s="43" t="n">
        <f aca="false">AD319*AE320+AD321*AE322+AD323*AE324</f>
        <v>198.443567427686</v>
      </c>
      <c r="AF125" s="20" t="s">
        <v>242</v>
      </c>
    </row>
    <row r="126" customFormat="false" ht="15" hidden="false" customHeight="true" outlineLevel="0" collapsed="false">
      <c r="B126" s="22" t="s">
        <v>243</v>
      </c>
      <c r="C126" s="23" t="n">
        <v>40</v>
      </c>
      <c r="D126" s="23" t="n">
        <v>127</v>
      </c>
      <c r="E126" s="23" t="n">
        <v>119</v>
      </c>
      <c r="F126" s="23" t="n">
        <v>-28</v>
      </c>
      <c r="G126" s="23" t="n">
        <v>258</v>
      </c>
      <c r="H126" s="23" t="n">
        <v>21</v>
      </c>
      <c r="I126" s="23" t="n">
        <v>44</v>
      </c>
      <c r="J126" s="23" t="n">
        <v>117</v>
      </c>
      <c r="K126" s="23" t="n">
        <v>78</v>
      </c>
      <c r="L126" s="23" t="n">
        <v>260</v>
      </c>
      <c r="M126" s="23" t="n">
        <v>90</v>
      </c>
      <c r="N126" s="23" t="n">
        <v>147</v>
      </c>
      <c r="O126" s="23" t="n">
        <v>135</v>
      </c>
      <c r="P126" s="23" t="n">
        <v>102</v>
      </c>
      <c r="Q126" s="23" t="n">
        <v>473</v>
      </c>
      <c r="R126" s="23" t="n">
        <v>91</v>
      </c>
      <c r="S126" s="23" t="n">
        <v>143</v>
      </c>
      <c r="T126" s="23" t="n">
        <v>112</v>
      </c>
      <c r="U126" s="23" t="n">
        <v>91</v>
      </c>
      <c r="V126" s="23" t="n">
        <v>437</v>
      </c>
      <c r="W126" s="23" t="n">
        <v>124</v>
      </c>
      <c r="X126" s="23" t="n">
        <v>218</v>
      </c>
      <c r="Y126" s="24" t="n">
        <f aca="false">Y121-Y123-Y124-Y125</f>
        <v>230.521333471571</v>
      </c>
      <c r="Z126" s="24" t="n">
        <f aca="false">Z121-Z123-Z124-Z125</f>
        <v>181.695139075568</v>
      </c>
      <c r="AA126" s="24" t="n">
        <f aca="false">SUM(W126,X126,Y126,Z126)</f>
        <v>754.216472547138</v>
      </c>
      <c r="AB126" s="24" t="n">
        <f aca="false">AB121-AB123-AB124-AB125</f>
        <v>944.366359382848</v>
      </c>
      <c r="AC126" s="24" t="n">
        <f aca="false">AC121-AC123-AC124-AC125</f>
        <v>1136.22952016888</v>
      </c>
      <c r="AD126" s="24" t="n">
        <f aca="false">AD121-AD123-AD124-AD125</f>
        <v>1305.84310112568</v>
      </c>
      <c r="AE126" s="24" t="n">
        <f aca="false">AE121-AE123-AE124-AE125</f>
        <v>1428.37641734656</v>
      </c>
      <c r="AH126" s="25" t="n">
        <f aca="false">IFERROR((AE126/V126)^(1/5)-1,"n/m")</f>
        <v>0.267279025121798</v>
      </c>
      <c r="AI126" s="25" t="n">
        <f aca="false">IFERROR((V126/G126)^(1/3)-1,"n/m")</f>
        <v>0.19203015966802</v>
      </c>
    </row>
    <row r="127" customFormat="false" ht="15" hidden="false" customHeight="true" outlineLevel="0" collapsed="false">
      <c r="B127" s="11" t="s">
        <v>244</v>
      </c>
      <c r="C127" s="33" t="n">
        <v>8</v>
      </c>
      <c r="D127" s="33" t="n">
        <v>31</v>
      </c>
      <c r="E127" s="33" t="n">
        <v>27</v>
      </c>
      <c r="F127" s="33" t="n">
        <v>8</v>
      </c>
      <c r="G127" s="33" t="n">
        <v>74</v>
      </c>
      <c r="H127" s="33" t="n">
        <v>4</v>
      </c>
      <c r="I127" s="33" t="n">
        <v>13</v>
      </c>
      <c r="J127" s="33" t="n">
        <v>31</v>
      </c>
      <c r="K127" s="33" t="n">
        <v>20</v>
      </c>
      <c r="L127" s="33" t="n">
        <v>68</v>
      </c>
      <c r="M127" s="33" t="n">
        <v>23</v>
      </c>
      <c r="N127" s="33" t="n">
        <v>-3</v>
      </c>
      <c r="O127" s="33" t="n">
        <v>40</v>
      </c>
      <c r="P127" s="33" t="n">
        <v>26</v>
      </c>
      <c r="Q127" s="33" t="n">
        <v>86</v>
      </c>
      <c r="R127" s="33" t="n">
        <v>22</v>
      </c>
      <c r="S127" s="33" t="n">
        <v>37</v>
      </c>
      <c r="T127" s="33" t="n">
        <v>30</v>
      </c>
      <c r="U127" s="33" t="n">
        <v>32</v>
      </c>
      <c r="V127" s="33" t="n">
        <v>121</v>
      </c>
      <c r="W127" s="33" t="n">
        <v>23</v>
      </c>
      <c r="X127" s="33" t="n">
        <v>56</v>
      </c>
      <c r="Y127" s="43" t="n">
        <f aca="false">Y126*Y128</f>
        <v>54.1725133658192</v>
      </c>
      <c r="Z127" s="43" t="n">
        <f aca="false">Z126*Z128</f>
        <v>42.6983576827584</v>
      </c>
      <c r="AA127" s="43" t="n">
        <f aca="false">SUM(W127,X127,Y127,Z127)</f>
        <v>175.870871048578</v>
      </c>
      <c r="AB127" s="43" t="n">
        <f aca="false">AB126*AB128</f>
        <v>231.369758048798</v>
      </c>
      <c r="AC127" s="43" t="n">
        <f aca="false">AC126*AC128</f>
        <v>278.376232441376</v>
      </c>
      <c r="AD127" s="43" t="n">
        <f aca="false">AD126*AD128</f>
        <v>319.931559775792</v>
      </c>
      <c r="AE127" s="43" t="n">
        <f aca="false">AE126*AE128</f>
        <v>349.952222249906</v>
      </c>
    </row>
    <row r="128" customFormat="false" ht="15" hidden="false" customHeight="true" outlineLevel="0" collapsed="false">
      <c r="B128" s="11" t="s">
        <v>245</v>
      </c>
      <c r="C128" s="42" t="n">
        <f aca="false">IF(AND(ISNUMBER(C127),ISNUMBER(C126)),IFERROR(C127/C126,""),"")</f>
        <v>0.2</v>
      </c>
      <c r="D128" s="42" t="n">
        <f aca="false">IF(AND(ISNUMBER(D127),ISNUMBER(D126)),IFERROR(D127/D126,""),"")</f>
        <v>0.244094488188976</v>
      </c>
      <c r="E128" s="42" t="n">
        <f aca="false">IF(AND(ISNUMBER(E127),ISNUMBER(E126)),IFERROR(E127/E126,""),"")</f>
        <v>0.226890756302521</v>
      </c>
      <c r="F128" s="42" t="n">
        <f aca="false">IF(AND(ISNUMBER(F127),ISNUMBER(F126)),IFERROR(F127/F126,""),"")</f>
        <v>-0.285714285714286</v>
      </c>
      <c r="G128" s="42" t="n">
        <f aca="false">IF(AND(ISNUMBER(G127),ISNUMBER(G126)),IFERROR(G127/G126,""),"")</f>
        <v>0.286821705426357</v>
      </c>
      <c r="H128" s="42" t="n">
        <f aca="false">IF(AND(ISNUMBER(H127),ISNUMBER(H126)),IFERROR(H127/H126,""),"")</f>
        <v>0.19047619047619</v>
      </c>
      <c r="I128" s="42" t="n">
        <f aca="false">IF(AND(ISNUMBER(I127),ISNUMBER(I126)),IFERROR(I127/I126,""),"")</f>
        <v>0.295454545454545</v>
      </c>
      <c r="J128" s="42" t="n">
        <f aca="false">IF(AND(ISNUMBER(J127),ISNUMBER(J126)),IFERROR(J127/J126,""),"")</f>
        <v>0.264957264957265</v>
      </c>
      <c r="K128" s="42" t="n">
        <f aca="false">IF(AND(ISNUMBER(K127),ISNUMBER(K126)),IFERROR(K127/K126,""),"")</f>
        <v>0.256410256410256</v>
      </c>
      <c r="L128" s="42" t="n">
        <f aca="false">IF(AND(ISNUMBER(L127),ISNUMBER(L126)),IFERROR(L127/L126,""),"")</f>
        <v>0.261538461538462</v>
      </c>
      <c r="M128" s="42" t="n">
        <f aca="false">IF(AND(ISNUMBER(M127),ISNUMBER(M126)),IFERROR(M127/M126,""),"")</f>
        <v>0.255555555555556</v>
      </c>
      <c r="N128" s="42" t="n">
        <f aca="false">IF(AND(ISNUMBER(N127),ISNUMBER(N126)),IFERROR(N127/N126,""),"")</f>
        <v>-0.0204081632653061</v>
      </c>
      <c r="O128" s="42" t="n">
        <f aca="false">IF(AND(ISNUMBER(O127),ISNUMBER(O126)),IFERROR(O127/O126,""),"")</f>
        <v>0.296296296296296</v>
      </c>
      <c r="P128" s="42" t="n">
        <f aca="false">IF(AND(ISNUMBER(P127),ISNUMBER(P126)),IFERROR(P127/P126,""),"")</f>
        <v>0.254901960784314</v>
      </c>
      <c r="Q128" s="42" t="n">
        <f aca="false">IF(AND(ISNUMBER(Q127),ISNUMBER(Q126)),IFERROR(Q127/Q126,""),"")</f>
        <v>0.181818181818182</v>
      </c>
      <c r="R128" s="42" t="n">
        <f aca="false">IF(AND(ISNUMBER(R127),ISNUMBER(R126)),IFERROR(R127/R126,""),"")</f>
        <v>0.241758241758242</v>
      </c>
      <c r="S128" s="42" t="n">
        <f aca="false">IF(AND(ISNUMBER(S127),ISNUMBER(S126)),IFERROR(S127/S126,""),"")</f>
        <v>0.258741258741259</v>
      </c>
      <c r="T128" s="42" t="n">
        <f aca="false">IF(AND(ISNUMBER(T127),ISNUMBER(T126)),IFERROR(T127/T126,""),"")</f>
        <v>0.267857142857143</v>
      </c>
      <c r="U128" s="42" t="n">
        <f aca="false">IF(AND(ISNUMBER(U127),ISNUMBER(U126)),IFERROR(U127/U126,""),"")</f>
        <v>0.351648351648352</v>
      </c>
      <c r="V128" s="42" t="n">
        <f aca="false">IF(AND(ISNUMBER(V127),ISNUMBER(V126)),IFERROR(V127/V126,""),"")</f>
        <v>0.276887871853547</v>
      </c>
      <c r="W128" s="42" t="n">
        <f aca="false">IF(AND(ISNUMBER(W127),ISNUMBER(W126)),IFERROR(W127/W126,""),"")</f>
        <v>0.185483870967742</v>
      </c>
      <c r="X128" s="42" t="n">
        <f aca="false">IF(AND(ISNUMBER(X127),ISNUMBER(X126)),IFERROR(X127/X126,""),"")</f>
        <v>0.256880733944954</v>
      </c>
      <c r="Y128" s="30" t="n">
        <f aca="false">$AN$15</f>
        <v>0.235</v>
      </c>
      <c r="Z128" s="30" t="n">
        <f aca="false">$AN$15</f>
        <v>0.235</v>
      </c>
      <c r="AA128" s="30" t="n">
        <f aca="false">IFERROR(AA127/AA126,"")</f>
        <v>0.233183545374747</v>
      </c>
      <c r="AB128" s="29" t="n">
        <v>0.245</v>
      </c>
      <c r="AC128" s="29" t="n">
        <v>0.245</v>
      </c>
      <c r="AD128" s="29" t="n">
        <v>0.245</v>
      </c>
      <c r="AE128" s="29" t="n">
        <v>0.245</v>
      </c>
      <c r="AF128" s="20" t="s">
        <v>246</v>
      </c>
      <c r="AH128" s="44" t="n">
        <f aca="false">IFERROR(AVERAGE(AA128,AB128,AC128,AD128,AE128),"n/m")</f>
        <v>0.242636709074949</v>
      </c>
      <c r="AI128" s="44" t="n">
        <f aca="false">IFERROR(AVERAGE(G128,L128,Q128,V128),"n/m")</f>
        <v>0.251766555159137</v>
      </c>
    </row>
    <row r="129" customFormat="false" ht="15" hidden="false" customHeight="true" outlineLevel="0" collapsed="false">
      <c r="B129" s="22" t="s">
        <v>247</v>
      </c>
      <c r="C129" s="23" t="n">
        <v>32</v>
      </c>
      <c r="D129" s="23" t="n">
        <v>96</v>
      </c>
      <c r="E129" s="23" t="n">
        <v>92</v>
      </c>
      <c r="F129" s="23" t="n">
        <v>-36</v>
      </c>
      <c r="G129" s="23" t="n">
        <v>184</v>
      </c>
      <c r="H129" s="23" t="n">
        <v>17</v>
      </c>
      <c r="I129" s="23" t="n">
        <v>31</v>
      </c>
      <c r="J129" s="23" t="n">
        <v>86</v>
      </c>
      <c r="K129" s="23" t="n">
        <v>58</v>
      </c>
      <c r="L129" s="23" t="n">
        <v>192</v>
      </c>
      <c r="M129" s="23" t="n">
        <v>67</v>
      </c>
      <c r="N129" s="23" t="n">
        <v>150</v>
      </c>
      <c r="O129" s="23" t="n">
        <v>95</v>
      </c>
      <c r="P129" s="23" t="n">
        <v>76</v>
      </c>
      <c r="Q129" s="23" t="n">
        <v>387</v>
      </c>
      <c r="R129" s="23" t="n">
        <v>69</v>
      </c>
      <c r="S129" s="23" t="n">
        <v>106</v>
      </c>
      <c r="T129" s="23" t="n">
        <v>82</v>
      </c>
      <c r="U129" s="23" t="n">
        <v>59</v>
      </c>
      <c r="V129" s="23" t="n">
        <v>316</v>
      </c>
      <c r="W129" s="23" t="n">
        <v>101</v>
      </c>
      <c r="X129" s="23" t="n">
        <v>162</v>
      </c>
      <c r="Y129" s="24" t="n">
        <f aca="false">Y126-Y127</f>
        <v>176.348820105752</v>
      </c>
      <c r="Z129" s="24" t="n">
        <f aca="false">Z126-Z127</f>
        <v>138.996781392809</v>
      </c>
      <c r="AA129" s="24" t="n">
        <f aca="false">SUM(W129,X129,Y129,Z129)</f>
        <v>578.345601498561</v>
      </c>
      <c r="AB129" s="24" t="n">
        <f aca="false">AB126-AB127</f>
        <v>712.99660133405</v>
      </c>
      <c r="AC129" s="24" t="n">
        <f aca="false">AC126-AC127</f>
        <v>857.853287727507</v>
      </c>
      <c r="AD129" s="24" t="n">
        <f aca="false">AD126-AD127</f>
        <v>985.911541349891</v>
      </c>
      <c r="AE129" s="24" t="n">
        <f aca="false">AE126-AE127</f>
        <v>1078.42419509665</v>
      </c>
      <c r="AH129" s="25" t="n">
        <f aca="false">IFERROR((AE129/V129)^(1/5)-1,"n/m")</f>
        <v>0.278263853118525</v>
      </c>
      <c r="AI129" s="25" t="n">
        <f aca="false">IFERROR((V129/G129)^(1/3)-1,"n/m")</f>
        <v>0.197539240749684</v>
      </c>
    </row>
    <row r="130" customFormat="false" ht="15" hidden="false" customHeight="true" outlineLevel="0" collapsed="false">
      <c r="B130" s="11" t="s">
        <v>248</v>
      </c>
      <c r="C130" s="33" t="n">
        <v>456</v>
      </c>
      <c r="D130" s="33" t="n">
        <v>45</v>
      </c>
      <c r="E130" s="33" t="n">
        <v>39</v>
      </c>
      <c r="F130" s="33" t="n">
        <v>-58</v>
      </c>
      <c r="G130" s="33" t="n">
        <v>482</v>
      </c>
      <c r="H130" s="33" t="n">
        <v>-3</v>
      </c>
      <c r="I130" s="33" t="n">
        <v>2</v>
      </c>
      <c r="J130" s="33" t="n">
        <v>-2</v>
      </c>
      <c r="K130" s="33" t="n">
        <v>0</v>
      </c>
      <c r="L130" s="33" t="n">
        <v>-3</v>
      </c>
      <c r="M130" s="33" t="n">
        <v>0</v>
      </c>
      <c r="N130" s="33" t="n">
        <v>0</v>
      </c>
      <c r="O130" s="33" t="n">
        <v>0</v>
      </c>
      <c r="P130" s="33" t="n">
        <v>0</v>
      </c>
      <c r="Q130" s="33" t="n">
        <v>0</v>
      </c>
      <c r="R130" s="33" t="n">
        <v>0</v>
      </c>
      <c r="S130" s="33" t="n">
        <v>0</v>
      </c>
      <c r="T130" s="33" t="n">
        <v>0</v>
      </c>
      <c r="U130" s="33" t="n">
        <v>0</v>
      </c>
      <c r="V130" s="33" t="n">
        <v>0</v>
      </c>
      <c r="W130" s="33" t="n">
        <v>0</v>
      </c>
      <c r="X130" s="33" t="n">
        <v>0</v>
      </c>
      <c r="Y130" s="48" t="n">
        <v>0</v>
      </c>
      <c r="Z130" s="48" t="n">
        <v>0</v>
      </c>
      <c r="AA130" s="43" t="n">
        <f aca="false">SUM(W130,X130,Y130,Z130)</f>
        <v>0</v>
      </c>
      <c r="AB130" s="48" t="n">
        <v>0</v>
      </c>
      <c r="AC130" s="48" t="n">
        <v>0</v>
      </c>
      <c r="AD130" s="48" t="n">
        <v>0</v>
      </c>
      <c r="AE130" s="48" t="n">
        <v>0</v>
      </c>
      <c r="AF130" s="20" t="s">
        <v>249</v>
      </c>
    </row>
    <row r="131" customFormat="false" ht="15" hidden="false" customHeight="true" outlineLevel="0" collapsed="false">
      <c r="B131" s="51" t="s">
        <v>250</v>
      </c>
      <c r="C131" s="53" t="n">
        <v>488</v>
      </c>
      <c r="D131" s="53" t="n">
        <v>141</v>
      </c>
      <c r="E131" s="53" t="n">
        <v>131</v>
      </c>
      <c r="F131" s="53" t="n">
        <v>-94</v>
      </c>
      <c r="G131" s="53" t="n">
        <v>666</v>
      </c>
      <c r="H131" s="53" t="n">
        <v>14</v>
      </c>
      <c r="I131" s="53" t="n">
        <v>33</v>
      </c>
      <c r="J131" s="53" t="n">
        <v>84</v>
      </c>
      <c r="K131" s="53" t="n">
        <v>58</v>
      </c>
      <c r="L131" s="53" t="n">
        <v>189</v>
      </c>
      <c r="M131" s="53" t="n">
        <v>67</v>
      </c>
      <c r="N131" s="53" t="n">
        <v>150</v>
      </c>
      <c r="O131" s="53" t="n">
        <v>95</v>
      </c>
      <c r="P131" s="53" t="n">
        <v>76</v>
      </c>
      <c r="Q131" s="53" t="n">
        <v>387</v>
      </c>
      <c r="R131" s="53" t="n">
        <v>69</v>
      </c>
      <c r="S131" s="53" t="n">
        <v>106</v>
      </c>
      <c r="T131" s="53" t="n">
        <v>82</v>
      </c>
      <c r="U131" s="53" t="n">
        <v>59</v>
      </c>
      <c r="V131" s="53" t="n">
        <v>316</v>
      </c>
      <c r="W131" s="53" t="n">
        <v>101</v>
      </c>
      <c r="X131" s="53" t="n">
        <v>162</v>
      </c>
      <c r="Y131" s="52" t="n">
        <f aca="false">Y129+Y130</f>
        <v>176.348820105752</v>
      </c>
      <c r="Z131" s="52" t="n">
        <f aca="false">Z129+Z130</f>
        <v>138.996781392809</v>
      </c>
      <c r="AA131" s="52" t="n">
        <f aca="false">SUM(W131,X131,Y131,Z131)</f>
        <v>578.345601498561</v>
      </c>
      <c r="AB131" s="52" t="n">
        <f aca="false">AB129+AB130</f>
        <v>712.99660133405</v>
      </c>
      <c r="AC131" s="52" t="n">
        <f aca="false">AC129+AC130</f>
        <v>857.853287727507</v>
      </c>
      <c r="AD131" s="52" t="n">
        <f aca="false">AD129+AD130</f>
        <v>985.911541349891</v>
      </c>
      <c r="AE131" s="52" t="n">
        <f aca="false">AE129+AE130</f>
        <v>1078.42419509665</v>
      </c>
      <c r="AH131" s="25" t="n">
        <f aca="false">IFERROR((AE131/V131)^(1/5)-1,"n/m")</f>
        <v>0.278263853118525</v>
      </c>
      <c r="AI131" s="25" t="n">
        <f aca="false">IFERROR((V131/G131)^(1/3)-1,"n/m")</f>
        <v>-0.220042477398411</v>
      </c>
    </row>
    <row r="132" customFormat="false" ht="15" hidden="false" customHeight="true" outlineLevel="0" collapsed="false">
      <c r="B132" s="49" t="s">
        <v>251</v>
      </c>
      <c r="C132" s="50" t="n">
        <f aca="false">IF(ABS(ROUND(C121-C123-C124-C125-C127+C130-C131,1))&lt;=1,0,ROUND(C121-C123-C124-C125-C127+C130-C131,1))</f>
        <v>0</v>
      </c>
      <c r="D132" s="50" t="n">
        <f aca="false">IF(ABS(ROUND(D121-D123-D124-D125-D127+D130-D131,1))&lt;=1,0,ROUND(D121-D123-D124-D125-D127+D130-D131,1))</f>
        <v>0</v>
      </c>
      <c r="E132" s="50" t="n">
        <f aca="false">IF(ABS(ROUND(E121-E123-E124-E125-E127+E130-E131,1))&lt;=1,0,ROUND(E121-E123-E124-E125-E127+E130-E131,1))</f>
        <v>0</v>
      </c>
      <c r="F132" s="50" t="n">
        <f aca="false">IF(ABS(ROUND(F121-F123-F124-F125-F127+F130-F131,1))&lt;=1,0,ROUND(F121-F123-F124-F125-F127+F130-F131,1))</f>
        <v>0</v>
      </c>
      <c r="G132" s="50" t="n">
        <f aca="false">IF(ABS(ROUND(G121-G123-G124-G125-G127+G130-G131,1))&lt;=1,0,ROUND(G121-G123-G124-G125-G127+G130-G131,1))</f>
        <v>0</v>
      </c>
      <c r="H132" s="50" t="n">
        <f aca="false">IF(ABS(ROUND(H121-H123-H124-H125-H127+H130-H131,1))&lt;=1,0,ROUND(H121-H123-H124-H125-H127+H130-H131,1))</f>
        <v>0</v>
      </c>
      <c r="I132" s="50" t="n">
        <f aca="false">IF(ABS(ROUND(I121-I123-I124-I125-I127+I130-I131,1))&lt;=1,0,ROUND(I121-I123-I124-I125-I127+I130-I131,1))</f>
        <v>0</v>
      </c>
      <c r="J132" s="50" t="n">
        <f aca="false">IF(ABS(ROUND(J121-J123-J124-J125-J127+J130-J131,1))&lt;=1,0,ROUND(J121-J123-J124-J125-J127+J130-J131,1))</f>
        <v>0</v>
      </c>
      <c r="K132" s="50" t="n">
        <f aca="false">IF(ABS(ROUND(K121-K123-K124-K125-K127+K130-K131,1))&lt;=1,0,ROUND(K121-K123-K124-K125-K127+K130-K131,1))</f>
        <v>0</v>
      </c>
      <c r="L132" s="50" t="n">
        <f aca="false">IF(ABS(ROUND(L121-L123-L124-L125-L127+L130-L131,1))&lt;=1,0,ROUND(L121-L123-L124-L125-L127+L130-L131,1))</f>
        <v>0</v>
      </c>
      <c r="M132" s="50" t="n">
        <f aca="false">IF(ABS(ROUND(M121-M123-M124-M125-M127+M130-M131,1))&lt;=1,0,ROUND(M121-M123-M124-M125-M127+M130-M131,1))</f>
        <v>0</v>
      </c>
      <c r="N132" s="50" t="n">
        <f aca="false">IF(ABS(ROUND(N121-N123-N124-N125-N127+N130-N131,1))&lt;=1,0,ROUND(N121-N123-N124-N125-N127+N130-N131,1))</f>
        <v>0</v>
      </c>
      <c r="O132" s="50" t="n">
        <f aca="false">IF(ABS(ROUND(O121-O123-O124-O125-O127+O130-O131,1))&lt;=1,0,ROUND(O121-O123-O124-O125-O127+O130-O131,1))</f>
        <v>0</v>
      </c>
      <c r="P132" s="50" t="n">
        <f aca="false">IF(ABS(ROUND(P121-P123-P124-P125-P127+P130-P131,1))&lt;=1,0,ROUND(P121-P123-P124-P125-P127+P130-P131,1))</f>
        <v>0</v>
      </c>
      <c r="Q132" s="50" t="n">
        <f aca="false">IF(ABS(ROUND(Q121-Q123-Q124-Q125-Q127+Q130-Q131,1))&lt;=1,0,ROUND(Q121-Q123-Q124-Q125-Q127+Q130-Q131,1))</f>
        <v>0</v>
      </c>
      <c r="R132" s="50" t="n">
        <f aca="false">IF(ABS(ROUND(R121-R123-R124-R125-R127+R130-R131,1))&lt;=1,0,ROUND(R121-R123-R124-R125-R127+R130-R131,1))</f>
        <v>0</v>
      </c>
      <c r="S132" s="50" t="n">
        <f aca="false">IF(ABS(ROUND(S121-S123-S124-S125-S127+S130-S131,1))&lt;=1,0,ROUND(S121-S123-S124-S125-S127+S130-S131,1))</f>
        <v>0</v>
      </c>
      <c r="T132" s="50" t="n">
        <f aca="false">IF(ABS(ROUND(T121-T123-T124-T125-T127+T130-T131,1))&lt;=1,0,ROUND(T121-T123-T124-T125-T127+T130-T131,1))</f>
        <v>0</v>
      </c>
      <c r="U132" s="50" t="n">
        <f aca="false">IF(ABS(ROUND(U121-U123-U124-U125-U127+U130-U131,1))&lt;=1,0,ROUND(U121-U123-U124-U125-U127+U130-U131,1))</f>
        <v>0</v>
      </c>
      <c r="V132" s="50" t="n">
        <f aca="false">IF(ABS(ROUND(V121-V123-V124-V125-V127+V130-V131,1))&lt;=1,0,ROUND(V121-V123-V124-V125-V127+V130-V131,1))</f>
        <v>0</v>
      </c>
      <c r="W132" s="50" t="n">
        <f aca="false">IF(ABS(ROUND(W121-W123-W124-W125-W127+W130-W131,1))&lt;=1,0,ROUND(W121-W123-W124-W125-W127+W130-W131,1))</f>
        <v>0</v>
      </c>
      <c r="X132" s="50" t="n">
        <f aca="false">IF(ABS(ROUND(X121-X123-X124-X125-X127+X130-X131,1))&lt;=1,0,ROUND(X121-X123-X124-X125-X127+X130-X131,1))</f>
        <v>0</v>
      </c>
      <c r="Y132" s="43" t="n">
        <f aca="false">IF(ABS(ROUND(Y121-Y123-Y124-Y125-Y127+Y130-Y131,1))&lt;=1,0,ROUND(Y121-Y123-Y124-Y125-Y127+Y130-Y131,1))</f>
        <v>0</v>
      </c>
      <c r="Z132" s="43" t="n">
        <f aca="false">IF(ABS(ROUND(Z121-Z123-Z124-Z125-Z127+Z130-Z131,1))&lt;=1,0,ROUND(Z121-Z123-Z124-Z125-Z127+Z130-Z131,1))</f>
        <v>0</v>
      </c>
      <c r="AA132" s="43" t="n">
        <f aca="false">IF(ABS(ROUND(AA121-AA123-AA124-AA125-AA127+AA130-AA131,1))&lt;=1,0,ROUND(AA121-AA123-AA124-AA125-AA127+AA130-AA131,1))</f>
        <v>0</v>
      </c>
      <c r="AB132" s="43" t="n">
        <f aca="false">IF(ABS(ROUND(AB121-AB123-AB124-AB125-AB127+AB130-AB131,1))&lt;=1,0,ROUND(AB121-AB123-AB124-AB125-AB127+AB130-AB131,1))</f>
        <v>0</v>
      </c>
      <c r="AC132" s="43" t="n">
        <f aca="false">IF(ABS(ROUND(AC121-AC123-AC124-AC125-AC127+AC130-AC131,1))&lt;=1,0,ROUND(AC121-AC123-AC124-AC125-AC127+AC130-AC131,1))</f>
        <v>0</v>
      </c>
      <c r="AD132" s="43" t="n">
        <f aca="false">IF(ABS(ROUND(AD121-AD123-AD124-AD125-AD127+AD130-AD131,1))&lt;=1,0,ROUND(AD121-AD123-AD124-AD125-AD127+AD130-AD131,1))</f>
        <v>0</v>
      </c>
      <c r="AE132" s="43" t="n">
        <f aca="false">IF(ABS(ROUND(AE121-AE123-AE124-AE125-AE127+AE130-AE131,1))&lt;=1,0,ROUND(AE121-AE123-AE124-AE125-AE127+AE130-AE131,1))</f>
        <v>0</v>
      </c>
    </row>
    <row r="133" customFormat="false" ht="15" hidden="false" customHeight="true" outlineLevel="0" collapsed="false">
      <c r="B133" s="55" t="s">
        <v>252</v>
      </c>
      <c r="Y133" s="32"/>
      <c r="Z133" s="32"/>
      <c r="AA133" s="32"/>
      <c r="AB133" s="32"/>
      <c r="AC133" s="32"/>
      <c r="AD133" s="32"/>
      <c r="AE133" s="32"/>
    </row>
    <row r="134" customFormat="false" ht="15" hidden="false" customHeight="true" outlineLevel="0" collapsed="false">
      <c r="B134" s="11" t="s">
        <v>253</v>
      </c>
      <c r="C134" s="17" t="n">
        <v>115</v>
      </c>
      <c r="D134" s="17" t="n">
        <v>115</v>
      </c>
      <c r="E134" s="17" t="n">
        <v>115</v>
      </c>
      <c r="F134" s="17" t="n">
        <v>115</v>
      </c>
      <c r="G134" s="17" t="n">
        <v>115</v>
      </c>
      <c r="H134" s="17" t="n">
        <v>116</v>
      </c>
      <c r="I134" s="17" t="n">
        <v>116</v>
      </c>
      <c r="J134" s="17" t="n">
        <v>116</v>
      </c>
      <c r="K134" s="17" t="n">
        <v>116</v>
      </c>
      <c r="L134" s="17" t="n">
        <v>116</v>
      </c>
      <c r="M134" s="17" t="n">
        <v>116</v>
      </c>
      <c r="N134" s="17" t="n">
        <v>116</v>
      </c>
      <c r="O134" s="17" t="n">
        <v>116</v>
      </c>
      <c r="P134" s="17" t="n">
        <v>116</v>
      </c>
      <c r="Q134" s="17" t="n">
        <v>116</v>
      </c>
      <c r="R134" s="17" t="n">
        <v>117</v>
      </c>
      <c r="S134" s="17" t="n">
        <v>118</v>
      </c>
      <c r="T134" s="17" t="n">
        <v>118</v>
      </c>
      <c r="U134" s="17" t="n">
        <v>117</v>
      </c>
      <c r="V134" s="17" t="n">
        <v>118</v>
      </c>
      <c r="W134" s="17" t="n">
        <v>117</v>
      </c>
      <c r="X134" s="17" t="n">
        <v>117</v>
      </c>
      <c r="Y134" s="18" t="n">
        <f aca="false">$X$134-AA251*0.25+AA252*0.25</f>
        <v>116.911111111111</v>
      </c>
      <c r="Z134" s="18" t="n">
        <f aca="false">$X$134-AA251*0.75+AA252*0.75</f>
        <v>116.733333333333</v>
      </c>
      <c r="AA134" s="18" t="n">
        <f aca="false">AVERAGE(W134,X134,Y134,Z134)</f>
        <v>116.911111111111</v>
      </c>
      <c r="AB134" s="18" t="n">
        <f aca="false">AVERAGE(AB253,AB254)</f>
        <v>116.044765241299</v>
      </c>
      <c r="AC134" s="18" t="n">
        <f aca="false">AVERAGE(AC253,AC254)</f>
        <v>113.073368239842</v>
      </c>
      <c r="AD134" s="18" t="n">
        <f aca="false">AVERAGE(AD253,AD254)</f>
        <v>108.397166653916</v>
      </c>
      <c r="AE134" s="18" t="n">
        <f aca="false">AVERAGE(AE253,AE254)</f>
        <v>103.710241857677</v>
      </c>
      <c r="AF134" s="20" t="s">
        <v>254</v>
      </c>
    </row>
    <row r="135" customFormat="false" ht="15" hidden="false" customHeight="true" outlineLevel="0" collapsed="false">
      <c r="B135" s="11" t="s">
        <v>255</v>
      </c>
      <c r="C135" s="17" t="n">
        <v>116</v>
      </c>
      <c r="D135" s="17" t="n">
        <v>116</v>
      </c>
      <c r="E135" s="17" t="n">
        <v>116</v>
      </c>
      <c r="F135" s="17" t="n">
        <v>115</v>
      </c>
      <c r="G135" s="17" t="n">
        <v>116</v>
      </c>
      <c r="H135" s="17" t="n">
        <v>116</v>
      </c>
      <c r="I135" s="17" t="n">
        <v>118</v>
      </c>
      <c r="J135" s="17" t="n">
        <v>119</v>
      </c>
      <c r="K135" s="17" t="n">
        <v>120</v>
      </c>
      <c r="L135" s="17" t="n">
        <v>118</v>
      </c>
      <c r="M135" s="17" t="n">
        <v>120</v>
      </c>
      <c r="N135" s="17" t="n">
        <v>120</v>
      </c>
      <c r="O135" s="17" t="n">
        <v>120</v>
      </c>
      <c r="P135" s="17" t="n">
        <v>120</v>
      </c>
      <c r="Q135" s="17" t="n">
        <v>120</v>
      </c>
      <c r="R135" s="17" t="n">
        <v>120</v>
      </c>
      <c r="S135" s="17" t="n">
        <v>119</v>
      </c>
      <c r="T135" s="17" t="n">
        <v>120</v>
      </c>
      <c r="U135" s="17" t="n">
        <v>119</v>
      </c>
      <c r="V135" s="17" t="n">
        <v>119</v>
      </c>
      <c r="W135" s="17" t="n">
        <v>119</v>
      </c>
      <c r="X135" s="17" t="n">
        <v>118</v>
      </c>
      <c r="Y135" s="18" t="n">
        <f aca="false">Y134+($X$135-$X$134)</f>
        <v>117.911111111111</v>
      </c>
      <c r="Z135" s="18" t="n">
        <f aca="false">Z134+($X$135-$X$134)</f>
        <v>117.733333333333</v>
      </c>
      <c r="AA135" s="18" t="n">
        <f aca="false">AVERAGE(W135,X135,Y135,Z135)</f>
        <v>118.161111111111</v>
      </c>
      <c r="AB135" s="18" t="n">
        <f aca="false">AB134+AB312</f>
        <v>117.244765241299</v>
      </c>
      <c r="AC135" s="18" t="n">
        <f aca="false">AC134+AC312</f>
        <v>114.273368239842</v>
      </c>
      <c r="AD135" s="18" t="n">
        <f aca="false">AD134+AD312</f>
        <v>109.597166653916</v>
      </c>
      <c r="AE135" s="18" t="n">
        <f aca="false">AE134+AE312</f>
        <v>104.910241857677</v>
      </c>
      <c r="AF135" s="20" t="s">
        <v>256</v>
      </c>
    </row>
    <row r="136" customFormat="false" ht="15" hidden="false" customHeight="true" outlineLevel="0" collapsed="false">
      <c r="B136" s="11" t="s">
        <v>257</v>
      </c>
      <c r="C136" s="56" t="n">
        <f aca="false">IF(AND(ISNUMBER(C131),ISNUMBER(C134)),IFERROR(C131/C134,""),"")</f>
        <v>4.24347826086957</v>
      </c>
      <c r="D136" s="56" t="n">
        <f aca="false">IF(AND(ISNUMBER(D131),ISNUMBER(D134)),IFERROR(D131/D134,""),"")</f>
        <v>1.22608695652174</v>
      </c>
      <c r="E136" s="56" t="n">
        <f aca="false">IF(AND(ISNUMBER(E131),ISNUMBER(E134)),IFERROR(E131/E134,""),"")</f>
        <v>1.13913043478261</v>
      </c>
      <c r="F136" s="56" t="n">
        <f aca="false">IF(AND(ISNUMBER(F131),ISNUMBER(F134)),IFERROR(F131/F134,""),"")</f>
        <v>-0.817391304347826</v>
      </c>
      <c r="G136" s="56" t="n">
        <f aca="false">IF(AND(ISNUMBER(G131),ISNUMBER(G134)),IFERROR(G131/G134,""),"")</f>
        <v>5.79130434782609</v>
      </c>
      <c r="H136" s="56" t="n">
        <f aca="false">IF(AND(ISNUMBER(H131),ISNUMBER(H134)),IFERROR(H131/H134,""),"")</f>
        <v>0.120689655172414</v>
      </c>
      <c r="I136" s="56" t="n">
        <f aca="false">IF(AND(ISNUMBER(I131),ISNUMBER(I134)),IFERROR(I131/I134,""),"")</f>
        <v>0.28448275862069</v>
      </c>
      <c r="J136" s="56" t="n">
        <f aca="false">IF(AND(ISNUMBER(J131),ISNUMBER(J134)),IFERROR(J131/J134,""),"")</f>
        <v>0.724137931034483</v>
      </c>
      <c r="K136" s="56" t="n">
        <f aca="false">IF(AND(ISNUMBER(K131),ISNUMBER(K134)),IFERROR(K131/K134,""),"")</f>
        <v>0.5</v>
      </c>
      <c r="L136" s="56" t="n">
        <f aca="false">IF(AND(ISNUMBER(L131),ISNUMBER(L134)),IFERROR(L131/L134,""),"")</f>
        <v>1.62931034482759</v>
      </c>
      <c r="M136" s="56" t="n">
        <f aca="false">IF(AND(ISNUMBER(M131),ISNUMBER(M134)),IFERROR(M131/M134,""),"")</f>
        <v>0.577586206896552</v>
      </c>
      <c r="N136" s="56" t="n">
        <f aca="false">IF(AND(ISNUMBER(N131),ISNUMBER(N134)),IFERROR(N131/N134,""),"")</f>
        <v>1.29310344827586</v>
      </c>
      <c r="O136" s="56" t="n">
        <f aca="false">IF(AND(ISNUMBER(O131),ISNUMBER(O134)),IFERROR(O131/O134,""),"")</f>
        <v>0.818965517241379</v>
      </c>
      <c r="P136" s="56" t="n">
        <f aca="false">IF(AND(ISNUMBER(P131),ISNUMBER(P134)),IFERROR(P131/P134,""),"")</f>
        <v>0.655172413793103</v>
      </c>
      <c r="Q136" s="56" t="n">
        <f aca="false">IF(AND(ISNUMBER(Q131),ISNUMBER(Q134)),IFERROR(Q131/Q134,""),"")</f>
        <v>3.33620689655172</v>
      </c>
      <c r="R136" s="56" t="n">
        <f aca="false">IF(AND(ISNUMBER(R131),ISNUMBER(R134)),IFERROR(R131/R134,""),"")</f>
        <v>0.58974358974359</v>
      </c>
      <c r="S136" s="56" t="n">
        <f aca="false">IF(AND(ISNUMBER(S131),ISNUMBER(S134)),IFERROR(S131/S134,""),"")</f>
        <v>0.898305084745763</v>
      </c>
      <c r="T136" s="56" t="n">
        <f aca="false">IF(AND(ISNUMBER(T131),ISNUMBER(T134)),IFERROR(T131/T134,""),"")</f>
        <v>0.694915254237288</v>
      </c>
      <c r="U136" s="56" t="n">
        <f aca="false">IF(AND(ISNUMBER(U131),ISNUMBER(U134)),IFERROR(U131/U134,""),"")</f>
        <v>0.504273504273504</v>
      </c>
      <c r="V136" s="56" t="n">
        <f aca="false">IF(AND(ISNUMBER(V131),ISNUMBER(V134)),IFERROR(V131/V134,""),"")</f>
        <v>2.67796610169492</v>
      </c>
      <c r="W136" s="56" t="n">
        <f aca="false">IF(AND(ISNUMBER(W131),ISNUMBER(W134)),IFERROR(W131/W134,""),"")</f>
        <v>0.863247863247863</v>
      </c>
      <c r="X136" s="56" t="n">
        <f aca="false">IF(AND(ISNUMBER(X131),ISNUMBER(X134)),IFERROR(X131/X134,""),"")</f>
        <v>1.38461538461538</v>
      </c>
      <c r="Y136" s="39" t="n">
        <f aca="false">IFERROR(Y131/Y134,"")</f>
        <v>1.50840085625524</v>
      </c>
      <c r="Z136" s="39" t="n">
        <f aca="false">IFERROR(Z131/Z134,"")</f>
        <v>1.19072057161173</v>
      </c>
      <c r="AA136" s="39" t="n">
        <f aca="false">IFERROR(AA131/AA134,"")</f>
        <v>4.9468831148898</v>
      </c>
      <c r="AB136" s="39" t="n">
        <f aca="false">IFERROR(AB131/AB134,"")</f>
        <v>6.14415135272558</v>
      </c>
      <c r="AC136" s="39" t="n">
        <f aca="false">IFERROR(AC131/AC134,"")</f>
        <v>7.58669615207625</v>
      </c>
      <c r="AD136" s="39" t="n">
        <f aca="false">IFERROR(AD131/AD134,"")</f>
        <v>9.09536265369048</v>
      </c>
      <c r="AE136" s="39" t="n">
        <f aca="false">IFERROR(AE131/AE134,"")</f>
        <v>10.3984348679524</v>
      </c>
    </row>
    <row r="137" customFormat="false" ht="15" hidden="false" customHeight="true" outlineLevel="0" collapsed="false">
      <c r="B137" s="11" t="s">
        <v>258</v>
      </c>
      <c r="C137" s="56" t="n">
        <f aca="false">IF(AND(ISNUMBER(C131),ISNUMBER(C135)),IFERROR(C131/C135,""),"")</f>
        <v>4.20689655172414</v>
      </c>
      <c r="D137" s="56" t="n">
        <f aca="false">IF(AND(ISNUMBER(D131),ISNUMBER(D135)),IFERROR(D131/D135,""),"")</f>
        <v>1.21551724137931</v>
      </c>
      <c r="E137" s="56" t="n">
        <f aca="false">IF(AND(ISNUMBER(E131),ISNUMBER(E135)),IFERROR(E131/E135,""),"")</f>
        <v>1.12931034482759</v>
      </c>
      <c r="F137" s="56" t="n">
        <f aca="false">IF(AND(ISNUMBER(F131),ISNUMBER(F135)),IFERROR(F131/F135,""),"")</f>
        <v>-0.817391304347826</v>
      </c>
      <c r="G137" s="56" t="n">
        <f aca="false">IF(AND(ISNUMBER(G131),ISNUMBER(G135)),IFERROR(G131/G135,""),"")</f>
        <v>5.74137931034483</v>
      </c>
      <c r="H137" s="56" t="n">
        <f aca="false">IF(AND(ISNUMBER(H131),ISNUMBER(H135)),IFERROR(H131/H135,""),"")</f>
        <v>0.120689655172414</v>
      </c>
      <c r="I137" s="56" t="n">
        <f aca="false">IF(AND(ISNUMBER(I131),ISNUMBER(I135)),IFERROR(I131/I135,""),"")</f>
        <v>0.279661016949153</v>
      </c>
      <c r="J137" s="56" t="n">
        <f aca="false">IF(AND(ISNUMBER(J131),ISNUMBER(J135)),IFERROR(J131/J135,""),"")</f>
        <v>0.705882352941177</v>
      </c>
      <c r="K137" s="56" t="n">
        <f aca="false">IF(AND(ISNUMBER(K131),ISNUMBER(K135)),IFERROR(K131/K135,""),"")</f>
        <v>0.483333333333333</v>
      </c>
      <c r="L137" s="56" t="n">
        <f aca="false">IF(AND(ISNUMBER(L131),ISNUMBER(L135)),IFERROR(L131/L135,""),"")</f>
        <v>1.60169491525424</v>
      </c>
      <c r="M137" s="56" t="n">
        <f aca="false">IF(AND(ISNUMBER(M131),ISNUMBER(M135)),IFERROR(M131/M135,""),"")</f>
        <v>0.558333333333333</v>
      </c>
      <c r="N137" s="56" t="n">
        <f aca="false">IF(AND(ISNUMBER(N131),ISNUMBER(N135)),IFERROR(N131/N135,""),"")</f>
        <v>1.25</v>
      </c>
      <c r="O137" s="56" t="n">
        <f aca="false">IF(AND(ISNUMBER(O131),ISNUMBER(O135)),IFERROR(O131/O135,""),"")</f>
        <v>0.791666666666667</v>
      </c>
      <c r="P137" s="56" t="n">
        <f aca="false">IF(AND(ISNUMBER(P131),ISNUMBER(P135)),IFERROR(P131/P135,""),"")</f>
        <v>0.633333333333333</v>
      </c>
      <c r="Q137" s="56" t="n">
        <f aca="false">IF(AND(ISNUMBER(Q131),ISNUMBER(Q135)),IFERROR(Q131/Q135,""),"")</f>
        <v>3.225</v>
      </c>
      <c r="R137" s="56" t="n">
        <f aca="false">IF(AND(ISNUMBER(R131),ISNUMBER(R135)),IFERROR(R131/R135,""),"")</f>
        <v>0.575</v>
      </c>
      <c r="S137" s="56" t="n">
        <f aca="false">IF(AND(ISNUMBER(S131),ISNUMBER(S135)),IFERROR(S131/S135,""),"")</f>
        <v>0.890756302521009</v>
      </c>
      <c r="T137" s="56" t="n">
        <f aca="false">IF(AND(ISNUMBER(T131),ISNUMBER(T135)),IFERROR(T131/T135,""),"")</f>
        <v>0.683333333333333</v>
      </c>
      <c r="U137" s="56" t="n">
        <f aca="false">IF(AND(ISNUMBER(U131),ISNUMBER(U135)),IFERROR(U131/U135,""),"")</f>
        <v>0.495798319327731</v>
      </c>
      <c r="V137" s="56" t="n">
        <f aca="false">IF(AND(ISNUMBER(V131),ISNUMBER(V135)),IFERROR(V131/V135,""),"")</f>
        <v>2.65546218487395</v>
      </c>
      <c r="W137" s="56" t="n">
        <f aca="false">IF(AND(ISNUMBER(W131),ISNUMBER(W135)),IFERROR(W131/W135,""),"")</f>
        <v>0.848739495798319</v>
      </c>
      <c r="X137" s="56" t="n">
        <f aca="false">IF(AND(ISNUMBER(X131),ISNUMBER(X135)),IFERROR(X131/X135,""),"")</f>
        <v>1.3728813559322</v>
      </c>
      <c r="Y137" s="39" t="n">
        <f aca="false">IFERROR(Y131/Y135,"")</f>
        <v>1.49560816146981</v>
      </c>
      <c r="Z137" s="39" t="n">
        <f aca="false">IFERROR(Z131/Z135,"")</f>
        <v>1.18060686347233</v>
      </c>
      <c r="AA137" s="39" t="n">
        <f aca="false">IFERROR(AA131/AA135,"")</f>
        <v>4.89455114343603</v>
      </c>
      <c r="AB137" s="39" t="n">
        <f aca="false">IFERROR(AB131/AB135,"")</f>
        <v>6.08126597265683</v>
      </c>
      <c r="AC137" s="39" t="n">
        <f aca="false">IFERROR(AC131/AC135,"")</f>
        <v>7.50702723601364</v>
      </c>
      <c r="AD137" s="39" t="n">
        <f aca="false">IFERROR(AD131/AD135,"")</f>
        <v>8.99577581657001</v>
      </c>
      <c r="AE137" s="39" t="n">
        <f aca="false">IFERROR(AE131/AE135,"")</f>
        <v>10.2794939369186</v>
      </c>
    </row>
    <row r="138" customFormat="false" ht="15" hidden="false" customHeight="true" outlineLevel="0" collapsed="false">
      <c r="B138" s="51" t="s">
        <v>259</v>
      </c>
      <c r="C138" s="57" t="n">
        <f aca="false">IF(AND(ISNUMBER(C129),ISNUMBER(C135)),IFERROR(C129/C135,""),"")</f>
        <v>0.275862068965517</v>
      </c>
      <c r="D138" s="57" t="n">
        <f aca="false">IF(AND(ISNUMBER(D129),ISNUMBER(D135)),IFERROR(D129/D135,""),"")</f>
        <v>0.827586206896552</v>
      </c>
      <c r="E138" s="57" t="n">
        <f aca="false">IF(AND(ISNUMBER(E129),ISNUMBER(E135)),IFERROR(E129/E135,""),"")</f>
        <v>0.793103448275862</v>
      </c>
      <c r="F138" s="57" t="n">
        <f aca="false">IF(AND(ISNUMBER(F129),ISNUMBER(F135)),IFERROR(F129/F135,""),"")</f>
        <v>-0.31304347826087</v>
      </c>
      <c r="G138" s="57" t="n">
        <f aca="false">IF(AND(ISNUMBER(G129),ISNUMBER(G135)),IFERROR(G129/G135,""),"")</f>
        <v>1.58620689655172</v>
      </c>
      <c r="H138" s="57" t="n">
        <f aca="false">IF(AND(ISNUMBER(H129),ISNUMBER(H135)),IFERROR(H129/H135,""),"")</f>
        <v>0.146551724137931</v>
      </c>
      <c r="I138" s="57" t="n">
        <f aca="false">IF(AND(ISNUMBER(I129),ISNUMBER(I135)),IFERROR(I129/I135,""),"")</f>
        <v>0.26271186440678</v>
      </c>
      <c r="J138" s="57" t="n">
        <f aca="false">IF(AND(ISNUMBER(J129),ISNUMBER(J135)),IFERROR(J129/J135,""),"")</f>
        <v>0.722689075630252</v>
      </c>
      <c r="K138" s="57" t="n">
        <f aca="false">IF(AND(ISNUMBER(K129),ISNUMBER(K135)),IFERROR(K129/K135,""),"")</f>
        <v>0.483333333333333</v>
      </c>
      <c r="L138" s="57" t="n">
        <f aca="false">IF(AND(ISNUMBER(L129),ISNUMBER(L135)),IFERROR(L129/L135,""),"")</f>
        <v>1.6271186440678</v>
      </c>
      <c r="M138" s="57" t="n">
        <f aca="false">IF(AND(ISNUMBER(M129),ISNUMBER(M135)),IFERROR(M129/M135,""),"")</f>
        <v>0.558333333333333</v>
      </c>
      <c r="N138" s="57" t="n">
        <f aca="false">IF(AND(ISNUMBER(N129),ISNUMBER(N135)),IFERROR(N129/N135,""),"")</f>
        <v>1.25</v>
      </c>
      <c r="O138" s="57" t="n">
        <f aca="false">IF(AND(ISNUMBER(O129),ISNUMBER(O135)),IFERROR(O129/O135,""),"")</f>
        <v>0.791666666666667</v>
      </c>
      <c r="P138" s="57" t="n">
        <f aca="false">IF(AND(ISNUMBER(P129),ISNUMBER(P135)),IFERROR(P129/P135,""),"")</f>
        <v>0.633333333333333</v>
      </c>
      <c r="Q138" s="57" t="n">
        <f aca="false">IF(AND(ISNUMBER(Q129),ISNUMBER(Q135)),IFERROR(Q129/Q135,""),"")</f>
        <v>3.225</v>
      </c>
      <c r="R138" s="57" t="n">
        <f aca="false">IF(AND(ISNUMBER(R129),ISNUMBER(R135)),IFERROR(R129/R135,""),"")</f>
        <v>0.575</v>
      </c>
      <c r="S138" s="57" t="n">
        <f aca="false">IF(AND(ISNUMBER(S129),ISNUMBER(S135)),IFERROR(S129/S135,""),"")</f>
        <v>0.890756302521009</v>
      </c>
      <c r="T138" s="57" t="n">
        <f aca="false">IF(AND(ISNUMBER(T129),ISNUMBER(T135)),IFERROR(T129/T135,""),"")</f>
        <v>0.683333333333333</v>
      </c>
      <c r="U138" s="57" t="n">
        <f aca="false">IF(AND(ISNUMBER(U129),ISNUMBER(U135)),IFERROR(U129/U135,""),"")</f>
        <v>0.495798319327731</v>
      </c>
      <c r="V138" s="57" t="n">
        <f aca="false">IF(AND(ISNUMBER(V129),ISNUMBER(V135)),IFERROR(V129/V135,""),"")</f>
        <v>2.65546218487395</v>
      </c>
      <c r="W138" s="57" t="n">
        <f aca="false">IF(AND(ISNUMBER(W129),ISNUMBER(W135)),IFERROR(W129/W135,""),"")</f>
        <v>0.848739495798319</v>
      </c>
      <c r="X138" s="57" t="n">
        <f aca="false">IF(AND(ISNUMBER(X129),ISNUMBER(X135)),IFERROR(X129/X135,""),"")</f>
        <v>1.3728813559322</v>
      </c>
      <c r="Y138" s="57" t="n">
        <f aca="false">IFERROR(Y129/Y135,"")</f>
        <v>1.49560816146981</v>
      </c>
      <c r="Z138" s="57" t="n">
        <f aca="false">IFERROR(Z129/Z135,"")</f>
        <v>1.18060686347233</v>
      </c>
      <c r="AA138" s="57" t="n">
        <f aca="false">IFERROR(AA129/AA135,"")</f>
        <v>4.89455114343603</v>
      </c>
      <c r="AB138" s="57" t="n">
        <f aca="false">IFERROR(AB129/AB135,"")</f>
        <v>6.08126597265683</v>
      </c>
      <c r="AC138" s="57" t="n">
        <f aca="false">IFERROR(AC129/AC135,"")</f>
        <v>7.50702723601364</v>
      </c>
      <c r="AD138" s="57" t="n">
        <f aca="false">IFERROR(AD129/AD135,"")</f>
        <v>8.99577581657001</v>
      </c>
      <c r="AE138" s="57" t="n">
        <f aca="false">IFERROR(AE129/AE135,"")</f>
        <v>10.2794939369186</v>
      </c>
      <c r="AF138" s="20" t="s">
        <v>260</v>
      </c>
      <c r="AH138" s="25" t="n">
        <f aca="false">IFERROR((AE138/V138)^(1/5)-1,"n/m")</f>
        <v>0.310890217918629</v>
      </c>
      <c r="AI138" s="25" t="n">
        <f aca="false">IFERROR((V138/G138)^(1/3)-1,"n/m")</f>
        <v>0.187390115098205</v>
      </c>
    </row>
    <row r="139" customFormat="false" ht="15" hidden="false" customHeight="true" outlineLevel="0" collapsed="false">
      <c r="B139" s="27" t="s">
        <v>261</v>
      </c>
      <c r="H139" s="28" t="n">
        <f aca="false">IF(AND(ISNUMBER(H138),ISNUMBER(C138)),IFERROR(H138/C138-1,""),"")</f>
        <v>-0.46875</v>
      </c>
      <c r="I139" s="28" t="n">
        <f aca="false">IF(AND(ISNUMBER(I138),ISNUMBER(D138)),IFERROR(I138/D138-1,""),"")</f>
        <v>-0.682556497175141</v>
      </c>
      <c r="J139" s="28" t="n">
        <f aca="false">IF(AND(ISNUMBER(J138),ISNUMBER(E138)),IFERROR(J138/E138-1,""),"")</f>
        <v>-0.0887833394227257</v>
      </c>
      <c r="K139" s="28" t="n">
        <f aca="false">IF(AND(ISNUMBER(K138),ISNUMBER(F138)),IFERROR(K138/F138-1,""),"")</f>
        <v>-2.54398148148148</v>
      </c>
      <c r="L139" s="28" t="n">
        <f aca="false">IF(AND(ISNUMBER(L138),ISNUMBER(G138)),IFERROR(L138/G138-1,""),"")</f>
        <v>0.025792188651437</v>
      </c>
      <c r="M139" s="28" t="n">
        <f aca="false">IF(AND(ISNUMBER(M138),ISNUMBER(H138)),IFERROR(M138/H138-1,""),"")</f>
        <v>2.80980392156863</v>
      </c>
      <c r="N139" s="28" t="n">
        <f aca="false">IF(AND(ISNUMBER(N138),ISNUMBER(I138)),IFERROR(N138/I138-1,""),"")</f>
        <v>3.75806451612903</v>
      </c>
      <c r="O139" s="28" t="n">
        <f aca="false">IF(AND(ISNUMBER(O138),ISNUMBER(J138)),IFERROR(O138/J138-1,""),"")</f>
        <v>0.0954457364341086</v>
      </c>
      <c r="P139" s="28" t="n">
        <f aca="false">IF(AND(ISNUMBER(P138),ISNUMBER(K138)),IFERROR(P138/K138-1,""),"")</f>
        <v>0.310344827586207</v>
      </c>
      <c r="Q139" s="28" t="n">
        <f aca="false">IF(AND(ISNUMBER(Q138),ISNUMBER(L138)),IFERROR(Q138/L138-1,""),"")</f>
        <v>0.98203125</v>
      </c>
      <c r="R139" s="28" t="n">
        <f aca="false">IF(AND(ISNUMBER(R138),ISNUMBER(M138)),IFERROR(R138/M138-1,""),"")</f>
        <v>0.0298507462686566</v>
      </c>
      <c r="S139" s="28" t="n">
        <f aca="false">IF(AND(ISNUMBER(S138),ISNUMBER(N138)),IFERROR(S138/N138-1,""),"")</f>
        <v>-0.287394957983193</v>
      </c>
      <c r="T139" s="28" t="n">
        <f aca="false">IF(AND(ISNUMBER(T138),ISNUMBER(O138)),IFERROR(T138/O138-1,""),"")</f>
        <v>-0.136842105263158</v>
      </c>
      <c r="U139" s="28" t="n">
        <f aca="false">IF(AND(ISNUMBER(U138),ISNUMBER(P138)),IFERROR(U138/P138-1,""),"")</f>
        <v>-0.217160548429898</v>
      </c>
      <c r="V139" s="28" t="n">
        <f aca="false">IF(AND(ISNUMBER(V138),ISNUMBER(Q138)),IFERROR(V138/Q138-1,""),"")</f>
        <v>-0.176600872907303</v>
      </c>
      <c r="W139" s="28" t="n">
        <f aca="false">IF(AND(ISNUMBER(W138),ISNUMBER(R138)),IFERROR(W138/R138-1,""),"")</f>
        <v>0.476068688344903</v>
      </c>
      <c r="X139" s="28" t="n">
        <f aca="false">IF(AND(ISNUMBER(X138),ISNUMBER(S138)),IFERROR(X138/S138-1,""),"")</f>
        <v>0.541253597697474</v>
      </c>
      <c r="Y139" s="30" t="n">
        <f aca="false">IFERROR(Y138/T138-1,"")</f>
        <v>1.18869487044363</v>
      </c>
      <c r="Z139" s="30" t="n">
        <f aca="false">IFERROR(Z138/U138-1,"")</f>
        <v>1.38122401276623</v>
      </c>
      <c r="AA139" s="30" t="n">
        <f aca="false">IFERROR(AA138/V138-1,"")</f>
        <v>0.843201221736987</v>
      </c>
      <c r="AB139" s="30" t="n">
        <f aca="false">IFERROR(AB138/AA138-1,"")</f>
        <v>0.24245631406105</v>
      </c>
      <c r="AC139" s="30" t="n">
        <f aca="false">IFERROR(AC138/AB138-1,"")</f>
        <v>0.234451390511031</v>
      </c>
      <c r="AD139" s="30" t="n">
        <f aca="false">IFERROR(AD138/AC138-1,"")</f>
        <v>0.198313997505479</v>
      </c>
      <c r="AE139" s="30" t="n">
        <f aca="false">IFERROR(AE138/AD138-1,"")</f>
        <v>0.142702324571491</v>
      </c>
    </row>
    <row r="140" customFormat="false" ht="15" hidden="false" customHeight="true" outlineLevel="0" collapsed="false">
      <c r="B140" s="58" t="s">
        <v>262</v>
      </c>
      <c r="C140" s="38" t="n">
        <v>0.28</v>
      </c>
      <c r="D140" s="38" t="n">
        <v>0.83</v>
      </c>
      <c r="E140" s="38" t="n">
        <v>0.79</v>
      </c>
      <c r="F140" s="38" t="n">
        <v>-0.31</v>
      </c>
      <c r="G140" s="38" t="n">
        <v>1.59</v>
      </c>
      <c r="H140" s="38" t="n">
        <v>0.15</v>
      </c>
      <c r="I140" s="38" t="n">
        <v>0.27</v>
      </c>
      <c r="J140" s="38" t="n">
        <v>0.72</v>
      </c>
      <c r="K140" s="38" t="n">
        <v>0.49</v>
      </c>
      <c r="L140" s="38" t="n">
        <v>1.62</v>
      </c>
      <c r="M140" s="38" t="n">
        <v>0.56</v>
      </c>
      <c r="N140" s="38" t="n">
        <v>1.25</v>
      </c>
      <c r="O140" s="38" t="n">
        <v>0.79</v>
      </c>
      <c r="P140" s="38" t="n">
        <v>0.63</v>
      </c>
      <c r="Q140" s="38" t="n">
        <v>3.23</v>
      </c>
      <c r="R140" s="38" t="n">
        <v>0.58</v>
      </c>
      <c r="S140" s="38" t="n">
        <v>0.89</v>
      </c>
      <c r="T140" s="38" t="n">
        <v>0.68</v>
      </c>
      <c r="U140" s="38" t="n">
        <v>0.5</v>
      </c>
      <c r="V140" s="38" t="n">
        <v>2.64</v>
      </c>
      <c r="W140" s="38" t="n">
        <v>0.85</v>
      </c>
      <c r="X140" s="38" t="n">
        <v>1.36</v>
      </c>
      <c r="Y140" s="32"/>
      <c r="Z140" s="32"/>
      <c r="AA140" s="32"/>
      <c r="AB140" s="32"/>
      <c r="AC140" s="32"/>
      <c r="AD140" s="32"/>
      <c r="AE140" s="32"/>
      <c r="AF140" s="20" t="s">
        <v>263</v>
      </c>
    </row>
    <row r="141" customFormat="false" ht="15" hidden="false" customHeight="true" outlineLevel="0" collapsed="false">
      <c r="B141" s="11"/>
    </row>
    <row r="142" customFormat="false" ht="15" hidden="false" customHeight="true" outlineLevel="0" collapsed="false">
      <c r="B142" s="10" t="s">
        <v>264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 t="s">
        <v>265</v>
      </c>
    </row>
    <row r="143" customFormat="false" ht="15" hidden="false" customHeight="true" outlineLevel="0" collapsed="false">
      <c r="B143" s="11" t="s">
        <v>266</v>
      </c>
      <c r="C143" s="50" t="n">
        <f aca="false">C129</f>
        <v>32</v>
      </c>
      <c r="D143" s="50" t="n">
        <f aca="false">D129</f>
        <v>96</v>
      </c>
      <c r="E143" s="50" t="n">
        <f aca="false">E129</f>
        <v>92</v>
      </c>
      <c r="F143" s="50" t="n">
        <f aca="false">F129</f>
        <v>-36</v>
      </c>
      <c r="G143" s="50" t="n">
        <f aca="false">G129</f>
        <v>184</v>
      </c>
      <c r="H143" s="50" t="n">
        <f aca="false">H129</f>
        <v>17</v>
      </c>
      <c r="I143" s="50" t="n">
        <f aca="false">I129</f>
        <v>31</v>
      </c>
      <c r="J143" s="50" t="n">
        <f aca="false">J129</f>
        <v>86</v>
      </c>
      <c r="K143" s="50" t="n">
        <f aca="false">K129</f>
        <v>58</v>
      </c>
      <c r="L143" s="50" t="n">
        <f aca="false">L129</f>
        <v>192</v>
      </c>
      <c r="M143" s="50" t="n">
        <f aca="false">M129</f>
        <v>67</v>
      </c>
      <c r="N143" s="50" t="n">
        <f aca="false">N129</f>
        <v>150</v>
      </c>
      <c r="O143" s="50" t="n">
        <f aca="false">O129</f>
        <v>95</v>
      </c>
      <c r="P143" s="50" t="n">
        <f aca="false">P129</f>
        <v>76</v>
      </c>
      <c r="Q143" s="50" t="n">
        <f aca="false">Q129</f>
        <v>387</v>
      </c>
      <c r="R143" s="50" t="n">
        <f aca="false">R129</f>
        <v>69</v>
      </c>
      <c r="S143" s="50" t="n">
        <f aca="false">S129</f>
        <v>106</v>
      </c>
      <c r="T143" s="50" t="n">
        <f aca="false">T129</f>
        <v>82</v>
      </c>
      <c r="U143" s="50" t="n">
        <f aca="false">U129</f>
        <v>59</v>
      </c>
      <c r="V143" s="50" t="n">
        <f aca="false">V129</f>
        <v>316</v>
      </c>
      <c r="W143" s="50" t="n">
        <f aca="false">W129</f>
        <v>101</v>
      </c>
      <c r="X143" s="50" t="n">
        <f aca="false">X129</f>
        <v>162</v>
      </c>
      <c r="Y143" s="43" t="n">
        <f aca="false">Y129</f>
        <v>176.348820105752</v>
      </c>
      <c r="Z143" s="43" t="n">
        <f aca="false">Z129</f>
        <v>138.996781392809</v>
      </c>
      <c r="AA143" s="43" t="n">
        <f aca="false">AA129</f>
        <v>578.345601498561</v>
      </c>
      <c r="AB143" s="43" t="n">
        <f aca="false">AB129</f>
        <v>712.99660133405</v>
      </c>
      <c r="AC143" s="43" t="n">
        <f aca="false">AC129</f>
        <v>857.853287727507</v>
      </c>
      <c r="AD143" s="43" t="n">
        <f aca="false">AD129</f>
        <v>985.911541349891</v>
      </c>
      <c r="AE143" s="43" t="n">
        <f aca="false">AE129</f>
        <v>1078.42419509665</v>
      </c>
    </row>
    <row r="144" customFormat="false" ht="15" hidden="false" customHeight="true" outlineLevel="0" collapsed="false">
      <c r="B144" s="11" t="s">
        <v>267</v>
      </c>
      <c r="C144" s="33" t="n">
        <v>32</v>
      </c>
      <c r="D144" s="33" t="n">
        <v>96</v>
      </c>
      <c r="E144" s="33" t="n">
        <v>92</v>
      </c>
      <c r="F144" s="33" t="n">
        <v>-36</v>
      </c>
      <c r="G144" s="33" t="n">
        <v>184</v>
      </c>
      <c r="H144" s="33" t="n">
        <v>17</v>
      </c>
      <c r="I144" s="33" t="n">
        <v>31</v>
      </c>
      <c r="J144" s="33" t="n">
        <v>86</v>
      </c>
      <c r="K144" s="33" t="n">
        <v>58</v>
      </c>
      <c r="L144" s="33" t="n">
        <v>192</v>
      </c>
      <c r="M144" s="33" t="n">
        <v>67</v>
      </c>
      <c r="N144" s="33" t="n">
        <v>150</v>
      </c>
      <c r="O144" s="33" t="n">
        <v>95</v>
      </c>
      <c r="P144" s="33" t="n">
        <v>76</v>
      </c>
      <c r="Q144" s="33" t="n">
        <v>387</v>
      </c>
      <c r="R144" s="33" t="n">
        <v>69</v>
      </c>
      <c r="S144" s="33" t="n">
        <v>106</v>
      </c>
      <c r="T144" s="33" t="n">
        <v>82</v>
      </c>
      <c r="U144" s="33" t="n">
        <v>59</v>
      </c>
      <c r="V144" s="33" t="n">
        <v>316</v>
      </c>
      <c r="W144" s="33" t="n">
        <v>101</v>
      </c>
      <c r="X144" s="33" t="n">
        <v>162</v>
      </c>
      <c r="Y144" s="43" t="n">
        <f aca="false">Y143</f>
        <v>176.348820105752</v>
      </c>
      <c r="Z144" s="43" t="n">
        <f aca="false">Z143</f>
        <v>138.996781392809</v>
      </c>
      <c r="AA144" s="43" t="n">
        <f aca="false">AA143</f>
        <v>578.345601498561</v>
      </c>
      <c r="AB144" s="43" t="n">
        <f aca="false">AB143</f>
        <v>712.99660133405</v>
      </c>
      <c r="AC144" s="43" t="n">
        <f aca="false">AC143</f>
        <v>857.853287727507</v>
      </c>
      <c r="AD144" s="43" t="n">
        <f aca="false">AD143</f>
        <v>985.911541349891</v>
      </c>
      <c r="AE144" s="43" t="n">
        <f aca="false">AE143</f>
        <v>1078.42419509665</v>
      </c>
    </row>
    <row r="145" customFormat="false" ht="15" hidden="false" customHeight="true" outlineLevel="0" collapsed="false">
      <c r="B145" s="11" t="s">
        <v>268</v>
      </c>
      <c r="C145" s="50" t="n">
        <f aca="false">C144-C143</f>
        <v>0</v>
      </c>
      <c r="D145" s="50" t="n">
        <f aca="false">D144-D143</f>
        <v>0</v>
      </c>
      <c r="E145" s="50" t="n">
        <f aca="false">E144-E143</f>
        <v>0</v>
      </c>
      <c r="F145" s="50" t="n">
        <f aca="false">F144-F143</f>
        <v>0</v>
      </c>
      <c r="G145" s="50" t="n">
        <f aca="false">G144-G143</f>
        <v>0</v>
      </c>
      <c r="H145" s="50" t="n">
        <f aca="false">H144-H143</f>
        <v>0</v>
      </c>
      <c r="I145" s="50" t="n">
        <f aca="false">I144-I143</f>
        <v>0</v>
      </c>
      <c r="J145" s="50" t="n">
        <f aca="false">J144-J143</f>
        <v>0</v>
      </c>
      <c r="K145" s="50" t="n">
        <f aca="false">K144-K143</f>
        <v>0</v>
      </c>
      <c r="L145" s="50" t="n">
        <f aca="false">L144-L143</f>
        <v>0</v>
      </c>
      <c r="M145" s="50" t="n">
        <f aca="false">M144-M143</f>
        <v>0</v>
      </c>
      <c r="N145" s="50" t="n">
        <f aca="false">N144-N143</f>
        <v>0</v>
      </c>
      <c r="O145" s="50" t="n">
        <f aca="false">O144-O143</f>
        <v>0</v>
      </c>
      <c r="P145" s="50" t="n">
        <f aca="false">P144-P143</f>
        <v>0</v>
      </c>
      <c r="Q145" s="50" t="n">
        <f aca="false">Q144-Q143</f>
        <v>0</v>
      </c>
      <c r="R145" s="50" t="n">
        <f aca="false">R144-R143</f>
        <v>0</v>
      </c>
      <c r="S145" s="50" t="n">
        <f aca="false">S144-S143</f>
        <v>0</v>
      </c>
      <c r="T145" s="50" t="n">
        <f aca="false">T144-T143</f>
        <v>0</v>
      </c>
      <c r="U145" s="50" t="n">
        <f aca="false">U144-U143</f>
        <v>0</v>
      </c>
      <c r="V145" s="50" t="n">
        <f aca="false">V144-V143</f>
        <v>0</v>
      </c>
      <c r="W145" s="50" t="n">
        <f aca="false">W144-W143</f>
        <v>0</v>
      </c>
      <c r="X145" s="50" t="n">
        <f aca="false">X144-X143</f>
        <v>0</v>
      </c>
      <c r="Y145" s="43" t="n">
        <f aca="false">Y144-Y143</f>
        <v>0</v>
      </c>
      <c r="Z145" s="43" t="n">
        <f aca="false">Z144-Z143</f>
        <v>0</v>
      </c>
      <c r="AA145" s="43" t="n">
        <f aca="false">AA144-AA143</f>
        <v>0</v>
      </c>
      <c r="AB145" s="43" t="n">
        <f aca="false">AB144-AB143</f>
        <v>0</v>
      </c>
      <c r="AC145" s="43" t="n">
        <f aca="false">AC144-AC143</f>
        <v>0</v>
      </c>
      <c r="AD145" s="43" t="n">
        <f aca="false">AD144-AD143</f>
        <v>0</v>
      </c>
      <c r="AE145" s="43" t="n">
        <f aca="false">AE144-AE143</f>
        <v>0</v>
      </c>
    </row>
    <row r="146" customFormat="false" ht="15" hidden="false" customHeight="true" outlineLevel="0" collapsed="false">
      <c r="B146" s="11" t="s">
        <v>269</v>
      </c>
      <c r="C146" s="33" t="n">
        <v>0</v>
      </c>
      <c r="D146" s="33" t="n">
        <v>26</v>
      </c>
      <c r="E146" s="33" t="n">
        <v>0</v>
      </c>
      <c r="F146" s="33" t="n">
        <v>13</v>
      </c>
      <c r="G146" s="33" t="n">
        <v>39</v>
      </c>
      <c r="H146" s="33" t="n">
        <v>0</v>
      </c>
      <c r="I146" s="33" t="n">
        <v>23</v>
      </c>
      <c r="J146" s="33" t="n">
        <v>0</v>
      </c>
      <c r="K146" s="33" t="n">
        <v>2</v>
      </c>
      <c r="L146" s="33" t="n">
        <v>25</v>
      </c>
      <c r="M146" s="33" t="n">
        <v>0</v>
      </c>
      <c r="N146" s="33" t="n">
        <v>0</v>
      </c>
      <c r="O146" s="33" t="n">
        <v>0</v>
      </c>
      <c r="P146" s="33" t="n">
        <v>0</v>
      </c>
      <c r="Q146" s="33" t="n">
        <v>0</v>
      </c>
      <c r="R146" s="33" t="n">
        <v>5</v>
      </c>
      <c r="S146" s="33" t="n">
        <v>0</v>
      </c>
      <c r="T146" s="33" t="n">
        <v>0</v>
      </c>
      <c r="U146" s="33" t="n">
        <v>0</v>
      </c>
      <c r="V146" s="33" t="n">
        <v>6</v>
      </c>
      <c r="W146" s="33" t="n">
        <v>0</v>
      </c>
      <c r="X146" s="33" t="n">
        <v>5</v>
      </c>
      <c r="Y146" s="43" t="n">
        <f aca="false">Y124</f>
        <v>0</v>
      </c>
      <c r="Z146" s="43" t="n">
        <f aca="false">Z124</f>
        <v>0</v>
      </c>
      <c r="AA146" s="43" t="n">
        <f aca="false">SUM(W146,X146,Y146,Z146)</f>
        <v>5</v>
      </c>
      <c r="AB146" s="43" t="n">
        <f aca="false">AB124</f>
        <v>0</v>
      </c>
      <c r="AC146" s="43" t="n">
        <f aca="false">AC124</f>
        <v>0</v>
      </c>
      <c r="AD146" s="43" t="n">
        <f aca="false">AD124</f>
        <v>0</v>
      </c>
      <c r="AE146" s="43" t="n">
        <f aca="false">AE124</f>
        <v>0</v>
      </c>
    </row>
    <row r="147" customFormat="false" ht="15" hidden="false" customHeight="true" outlineLevel="0" collapsed="false">
      <c r="B147" s="11" t="s">
        <v>270</v>
      </c>
      <c r="C147" s="33" t="n">
        <v>37</v>
      </c>
      <c r="D147" s="33" t="n">
        <v>31</v>
      </c>
      <c r="E147" s="33" t="n">
        <v>35</v>
      </c>
      <c r="F147" s="33" t="n">
        <v>32</v>
      </c>
      <c r="G147" s="33" t="n">
        <v>135</v>
      </c>
      <c r="H147" s="33" t="n">
        <v>42</v>
      </c>
      <c r="I147" s="33" t="n">
        <v>43</v>
      </c>
      <c r="J147" s="33" t="n">
        <v>41</v>
      </c>
      <c r="K147" s="33" t="n">
        <v>42</v>
      </c>
      <c r="L147" s="33" t="n">
        <v>168</v>
      </c>
      <c r="M147" s="33" t="n">
        <v>58</v>
      </c>
      <c r="N147" s="33" t="n">
        <v>56</v>
      </c>
      <c r="O147" s="33" t="n">
        <v>56</v>
      </c>
      <c r="P147" s="33" t="n">
        <v>53</v>
      </c>
      <c r="Q147" s="33" t="n">
        <v>223</v>
      </c>
      <c r="R147" s="33" t="n">
        <v>56</v>
      </c>
      <c r="S147" s="33" t="n">
        <v>56</v>
      </c>
      <c r="T147" s="33" t="n">
        <v>54</v>
      </c>
      <c r="U147" s="33" t="n">
        <v>53</v>
      </c>
      <c r="V147" s="33" t="n">
        <v>219</v>
      </c>
      <c r="W147" s="33" t="n">
        <v>53</v>
      </c>
      <c r="X147" s="33" t="n">
        <v>51</v>
      </c>
      <c r="Y147" s="43" t="n">
        <f aca="false">Y125</f>
        <v>53</v>
      </c>
      <c r="Z147" s="43" t="n">
        <f aca="false">Z125</f>
        <v>53</v>
      </c>
      <c r="AA147" s="43" t="n">
        <f aca="false">SUM(W147,X147,Y147,Z147)</f>
        <v>210</v>
      </c>
      <c r="AB147" s="43" t="n">
        <f aca="false">AB125</f>
        <v>192.432773838152</v>
      </c>
      <c r="AC147" s="43" t="n">
        <f aca="false">AC125</f>
        <v>175.025631582184</v>
      </c>
      <c r="AD147" s="43" t="n">
        <f aca="false">AD125</f>
        <v>186.43447685461</v>
      </c>
      <c r="AE147" s="43" t="n">
        <f aca="false">AE125</f>
        <v>198.443567427686</v>
      </c>
    </row>
    <row r="148" customFormat="false" ht="15" hidden="false" customHeight="true" outlineLevel="0" collapsed="false">
      <c r="B148" s="11" t="s">
        <v>271</v>
      </c>
      <c r="C148" s="33" t="n">
        <v>8</v>
      </c>
      <c r="D148" s="33" t="n">
        <v>31</v>
      </c>
      <c r="E148" s="33" t="n">
        <v>27</v>
      </c>
      <c r="F148" s="33" t="n">
        <v>8</v>
      </c>
      <c r="G148" s="33" t="n">
        <v>74</v>
      </c>
      <c r="H148" s="33" t="n">
        <v>4</v>
      </c>
      <c r="I148" s="33" t="n">
        <v>13</v>
      </c>
      <c r="J148" s="33" t="n">
        <v>31</v>
      </c>
      <c r="K148" s="33" t="n">
        <v>20</v>
      </c>
      <c r="L148" s="33" t="n">
        <v>68</v>
      </c>
      <c r="M148" s="33" t="n">
        <v>23</v>
      </c>
      <c r="N148" s="33" t="n">
        <v>-3</v>
      </c>
      <c r="O148" s="33" t="n">
        <v>40</v>
      </c>
      <c r="P148" s="33" t="n">
        <v>26</v>
      </c>
      <c r="Q148" s="33" t="n">
        <v>86</v>
      </c>
      <c r="R148" s="33" t="n">
        <v>22</v>
      </c>
      <c r="S148" s="33" t="n">
        <v>37</v>
      </c>
      <c r="T148" s="33" t="n">
        <v>30</v>
      </c>
      <c r="U148" s="33" t="n">
        <v>32</v>
      </c>
      <c r="V148" s="33" t="n">
        <v>121</v>
      </c>
      <c r="W148" s="33" t="n">
        <v>23</v>
      </c>
      <c r="X148" s="33" t="n">
        <v>56</v>
      </c>
      <c r="Y148" s="43" t="n">
        <f aca="false">Y127</f>
        <v>54.1725133658192</v>
      </c>
      <c r="Z148" s="43" t="n">
        <f aca="false">Z127</f>
        <v>42.6983576827584</v>
      </c>
      <c r="AA148" s="43" t="n">
        <f aca="false">SUM(W148,X148,Y148,Z148)</f>
        <v>175.870871048578</v>
      </c>
      <c r="AB148" s="43" t="n">
        <f aca="false">AB127</f>
        <v>231.369758048798</v>
      </c>
      <c r="AC148" s="43" t="n">
        <f aca="false">AC127</f>
        <v>278.376232441376</v>
      </c>
      <c r="AD148" s="43" t="n">
        <f aca="false">AD127</f>
        <v>319.931559775792</v>
      </c>
      <c r="AE148" s="43" t="n">
        <f aca="false">AE127</f>
        <v>349.952222249906</v>
      </c>
    </row>
    <row r="149" customFormat="false" ht="15" hidden="false" customHeight="true" outlineLevel="0" collapsed="false">
      <c r="B149" s="11" t="s">
        <v>272</v>
      </c>
      <c r="C149" s="33" t="n">
        <v>94</v>
      </c>
      <c r="D149" s="33" t="n">
        <v>96</v>
      </c>
      <c r="E149" s="33" t="n">
        <v>99</v>
      </c>
      <c r="F149" s="33" t="n">
        <v>103</v>
      </c>
      <c r="G149" s="33" t="n">
        <v>392</v>
      </c>
      <c r="H149" s="33" t="n">
        <v>101</v>
      </c>
      <c r="I149" s="33" t="n">
        <v>107</v>
      </c>
      <c r="J149" s="33" t="n">
        <v>110</v>
      </c>
      <c r="K149" s="33" t="n">
        <v>114</v>
      </c>
      <c r="L149" s="33" t="n">
        <v>432</v>
      </c>
      <c r="M149" s="33" t="n">
        <v>117</v>
      </c>
      <c r="N149" s="33" t="n">
        <v>122</v>
      </c>
      <c r="O149" s="33" t="n">
        <v>126</v>
      </c>
      <c r="P149" s="33" t="n">
        <v>124</v>
      </c>
      <c r="Q149" s="33" t="n">
        <v>490</v>
      </c>
      <c r="R149" s="33" t="n">
        <v>123</v>
      </c>
      <c r="S149" s="33" t="n">
        <v>131</v>
      </c>
      <c r="T149" s="33" t="n">
        <v>134</v>
      </c>
      <c r="U149" s="33" t="n">
        <v>134</v>
      </c>
      <c r="V149" s="33" t="n">
        <v>521</v>
      </c>
      <c r="W149" s="33" t="n">
        <v>131</v>
      </c>
      <c r="X149" s="33" t="n">
        <v>134</v>
      </c>
      <c r="Y149" s="43" t="n">
        <f aca="false">Y115</f>
        <v>139.409072797105</v>
      </c>
      <c r="Z149" s="43" t="n">
        <f aca="false">Z115</f>
        <v>139.043083887678</v>
      </c>
      <c r="AA149" s="43" t="n">
        <f aca="false">SUM(W149,X149,Y149,Z149)</f>
        <v>543.452156684782</v>
      </c>
      <c r="AB149" s="43" t="n">
        <f aca="false">AB115</f>
        <v>589.002972093947</v>
      </c>
      <c r="AC149" s="43" t="n">
        <f aca="false">AC115</f>
        <v>610.192477922692</v>
      </c>
      <c r="AD149" s="43" t="n">
        <f aca="false">AD115</f>
        <v>634.579500862675</v>
      </c>
      <c r="AE149" s="43" t="n">
        <f aca="false">AE115</f>
        <v>668.901791340933</v>
      </c>
    </row>
    <row r="150" customFormat="false" ht="15" hidden="false" customHeight="true" outlineLevel="0" collapsed="false">
      <c r="B150" s="51" t="s">
        <v>273</v>
      </c>
      <c r="C150" s="52" t="n">
        <f aca="false">C143+C145+C146+C147+C148+C149</f>
        <v>171</v>
      </c>
      <c r="D150" s="52" t="n">
        <f aca="false">D143+D145+D146+D147+D148+D149</f>
        <v>280</v>
      </c>
      <c r="E150" s="52" t="n">
        <f aca="false">E143+E145+E146+E147+E148+E149</f>
        <v>253</v>
      </c>
      <c r="F150" s="52" t="n">
        <f aca="false">F143+F145+F146+F147+F148+F149</f>
        <v>120</v>
      </c>
      <c r="G150" s="52" t="n">
        <f aca="false">G143+G145+G146+G147+G148+G149</f>
        <v>824</v>
      </c>
      <c r="H150" s="52" t="n">
        <f aca="false">H143+H145+H146+H147+H148+H149</f>
        <v>164</v>
      </c>
      <c r="I150" s="52" t="n">
        <f aca="false">I143+I145+I146+I147+I148+I149</f>
        <v>217</v>
      </c>
      <c r="J150" s="52" t="n">
        <f aca="false">J143+J145+J146+J147+J148+J149</f>
        <v>268</v>
      </c>
      <c r="K150" s="52" t="n">
        <f aca="false">K143+K145+K146+K147+K148+K149</f>
        <v>236</v>
      </c>
      <c r="L150" s="52" t="n">
        <f aca="false">L143+L145+L146+L147+L148+L149</f>
        <v>885</v>
      </c>
      <c r="M150" s="52" t="n">
        <f aca="false">M143+M145+M146+M147+M148+M149</f>
        <v>265</v>
      </c>
      <c r="N150" s="52" t="n">
        <f aca="false">N143+N145+N146+N147+N148+N149</f>
        <v>325</v>
      </c>
      <c r="O150" s="52" t="n">
        <f aca="false">O143+O145+O146+O147+O148+O149</f>
        <v>317</v>
      </c>
      <c r="P150" s="52" t="n">
        <f aca="false">P143+P145+P146+P147+P148+P149</f>
        <v>279</v>
      </c>
      <c r="Q150" s="52" t="n">
        <f aca="false">Q143+Q145+Q146+Q147+Q148+Q149</f>
        <v>1186</v>
      </c>
      <c r="R150" s="52" t="n">
        <f aca="false">R143+R145+R146+R147+R148+R149</f>
        <v>275</v>
      </c>
      <c r="S150" s="52" t="n">
        <f aca="false">S143+S145+S146+S147+S148+S149</f>
        <v>330</v>
      </c>
      <c r="T150" s="52" t="n">
        <f aca="false">T143+T145+T146+T147+T148+T149</f>
        <v>300</v>
      </c>
      <c r="U150" s="52" t="n">
        <f aca="false">U143+U145+U146+U147+U148+U149</f>
        <v>278</v>
      </c>
      <c r="V150" s="52" t="n">
        <f aca="false">V143+V145+V146+V147+V148+V149</f>
        <v>1183</v>
      </c>
      <c r="W150" s="52" t="n">
        <f aca="false">W143+W145+W146+W147+W148+W149</f>
        <v>308</v>
      </c>
      <c r="X150" s="52" t="n">
        <f aca="false">X143+X145+X146+X147+X148+X149</f>
        <v>408</v>
      </c>
      <c r="Y150" s="52" t="n">
        <f aca="false">Y143+Y145+Y146+Y147+Y148+Y149</f>
        <v>422.930406268675</v>
      </c>
      <c r="Z150" s="52" t="n">
        <f aca="false">Z143+Z145+Z146+Z147+Z148+Z149</f>
        <v>373.738222963245</v>
      </c>
      <c r="AA150" s="52" t="n">
        <f aca="false">AA143+AA145+AA146+AA147+AA148+AA149</f>
        <v>1512.66862923192</v>
      </c>
      <c r="AB150" s="52" t="n">
        <f aca="false">AB143+AB145+AB146+AB147+AB148+AB149</f>
        <v>1725.80210531495</v>
      </c>
      <c r="AC150" s="52" t="n">
        <f aca="false">AC143+AC145+AC146+AC147+AC148+AC149</f>
        <v>1921.44762967376</v>
      </c>
      <c r="AD150" s="52" t="n">
        <f aca="false">AD143+AD145+AD146+AD147+AD148+AD149</f>
        <v>2126.85707884297</v>
      </c>
      <c r="AE150" s="52" t="n">
        <f aca="false">AE143+AE145+AE146+AE147+AE148+AE149</f>
        <v>2295.72177611518</v>
      </c>
      <c r="AH150" s="25" t="n">
        <f aca="false">IFERROR((AE150/V150)^(1/5)-1,"n/m")</f>
        <v>0.141791752974669</v>
      </c>
      <c r="AI150" s="25" t="n">
        <f aca="false">IFERROR((V150/G150)^(1/3)-1,"n/m")</f>
        <v>0.128112758575817</v>
      </c>
    </row>
    <row r="151" customFormat="false" ht="15" hidden="false" customHeight="true" outlineLevel="0" collapsed="false">
      <c r="B151" s="11" t="s">
        <v>274</v>
      </c>
      <c r="C151" s="33" t="n">
        <v>0</v>
      </c>
      <c r="D151" s="33" t="n">
        <v>0</v>
      </c>
      <c r="E151" s="33" t="n">
        <v>0</v>
      </c>
      <c r="F151" s="33" t="n">
        <v>64</v>
      </c>
      <c r="G151" s="33" t="n">
        <v>64</v>
      </c>
      <c r="H151" s="33" t="n">
        <v>0</v>
      </c>
      <c r="I151" s="33" t="n">
        <v>0</v>
      </c>
      <c r="J151" s="33" t="n">
        <v>0</v>
      </c>
      <c r="K151" s="33" t="n">
        <v>0</v>
      </c>
      <c r="L151" s="33" t="n">
        <v>0</v>
      </c>
      <c r="M151" s="33" t="n">
        <v>0</v>
      </c>
      <c r="N151" s="33" t="n">
        <v>0</v>
      </c>
      <c r="O151" s="33" t="n">
        <v>0</v>
      </c>
      <c r="P151" s="33" t="n">
        <v>0</v>
      </c>
      <c r="Q151" s="33" t="n">
        <v>0</v>
      </c>
      <c r="R151" s="33" t="n">
        <v>0</v>
      </c>
      <c r="S151" s="33" t="n">
        <v>0</v>
      </c>
      <c r="T151" s="33" t="n">
        <v>0</v>
      </c>
      <c r="U151" s="33" t="n">
        <v>0</v>
      </c>
      <c r="V151" s="33" t="n">
        <v>0</v>
      </c>
      <c r="W151" s="33" t="n">
        <v>0</v>
      </c>
      <c r="X151" s="33" t="n">
        <v>0</v>
      </c>
      <c r="Y151" s="43" t="n">
        <f aca="false">Y116</f>
        <v>0</v>
      </c>
      <c r="Z151" s="43" t="n">
        <f aca="false">Z116</f>
        <v>0</v>
      </c>
      <c r="AA151" s="43" t="n">
        <f aca="false">SUM(W151,X151,Y151,Z151)</f>
        <v>0</v>
      </c>
      <c r="AB151" s="43" t="n">
        <f aca="false">AB116</f>
        <v>0</v>
      </c>
      <c r="AC151" s="43" t="n">
        <f aca="false">AC116</f>
        <v>0</v>
      </c>
      <c r="AD151" s="43" t="n">
        <f aca="false">AD116</f>
        <v>0</v>
      </c>
      <c r="AE151" s="43" t="n">
        <f aca="false">AE116</f>
        <v>0</v>
      </c>
    </row>
    <row r="152" customFormat="false" ht="15" hidden="false" customHeight="true" outlineLevel="0" collapsed="false">
      <c r="B152" s="11" t="s">
        <v>275</v>
      </c>
      <c r="C152" s="33" t="n">
        <v>0</v>
      </c>
      <c r="D152" s="33" t="n">
        <v>0</v>
      </c>
      <c r="E152" s="33" t="n">
        <v>0</v>
      </c>
      <c r="F152" s="33" t="n">
        <v>0</v>
      </c>
      <c r="G152" s="33" t="n">
        <v>0</v>
      </c>
      <c r="H152" s="33" t="n">
        <v>0</v>
      </c>
      <c r="I152" s="33" t="n">
        <v>0</v>
      </c>
      <c r="J152" s="33" t="n">
        <v>0</v>
      </c>
      <c r="K152" s="33" t="n">
        <v>8</v>
      </c>
      <c r="L152" s="33" t="n">
        <v>8</v>
      </c>
      <c r="M152" s="33" t="n">
        <v>0</v>
      </c>
      <c r="N152" s="33" t="n">
        <v>0</v>
      </c>
      <c r="O152" s="33" t="n">
        <v>0</v>
      </c>
      <c r="P152" s="33" t="n">
        <v>0</v>
      </c>
      <c r="Q152" s="33" t="n">
        <v>0</v>
      </c>
      <c r="R152" s="33" t="n">
        <v>-11</v>
      </c>
      <c r="S152" s="33" t="n">
        <v>-2</v>
      </c>
      <c r="T152" s="33" t="n">
        <v>0</v>
      </c>
      <c r="U152" s="33" t="n">
        <v>0</v>
      </c>
      <c r="V152" s="33" t="n">
        <v>-13</v>
      </c>
      <c r="W152" s="33" t="n">
        <v>0</v>
      </c>
      <c r="X152" s="33" t="n">
        <v>0</v>
      </c>
      <c r="Y152" s="43" t="n">
        <f aca="false">Y117</f>
        <v>0</v>
      </c>
      <c r="Z152" s="43" t="n">
        <f aca="false">Z117</f>
        <v>0</v>
      </c>
      <c r="AA152" s="43" t="n">
        <f aca="false">SUM(W152,X152,Y152,Z152)</f>
        <v>0</v>
      </c>
      <c r="AB152" s="43" t="n">
        <f aca="false">AB117</f>
        <v>0</v>
      </c>
      <c r="AC152" s="43" t="n">
        <f aca="false">AC117</f>
        <v>0</v>
      </c>
      <c r="AD152" s="43" t="n">
        <f aca="false">AD117</f>
        <v>0</v>
      </c>
      <c r="AE152" s="43" t="n">
        <f aca="false">AE117</f>
        <v>0</v>
      </c>
      <c r="AF152" s="20" t="s">
        <v>276</v>
      </c>
    </row>
    <row r="153" customFormat="false" ht="15" hidden="false" customHeight="true" outlineLevel="0" collapsed="false">
      <c r="B153" s="11" t="s">
        <v>277</v>
      </c>
      <c r="C153" s="33" t="n">
        <v>0</v>
      </c>
      <c r="D153" s="33" t="n">
        <v>0</v>
      </c>
      <c r="E153" s="33" t="n">
        <v>0</v>
      </c>
      <c r="F153" s="33" t="n">
        <v>0</v>
      </c>
      <c r="G153" s="33" t="n">
        <v>0</v>
      </c>
      <c r="H153" s="33" t="n">
        <v>0</v>
      </c>
      <c r="I153" s="33" t="n">
        <v>0</v>
      </c>
      <c r="J153" s="33" t="n">
        <v>0</v>
      </c>
      <c r="K153" s="33" t="n">
        <v>0</v>
      </c>
      <c r="L153" s="33" t="n">
        <v>0</v>
      </c>
      <c r="M153" s="33" t="n">
        <v>0</v>
      </c>
      <c r="N153" s="33" t="n">
        <v>0</v>
      </c>
      <c r="O153" s="33" t="n">
        <v>0</v>
      </c>
      <c r="P153" s="33" t="n">
        <v>0</v>
      </c>
      <c r="Q153" s="33" t="n">
        <v>0</v>
      </c>
      <c r="R153" s="33" t="n">
        <v>0</v>
      </c>
      <c r="S153" s="33" t="n">
        <v>0</v>
      </c>
      <c r="T153" s="33" t="n">
        <v>35</v>
      </c>
      <c r="U153" s="33" t="n">
        <v>0</v>
      </c>
      <c r="V153" s="33" t="n">
        <v>35</v>
      </c>
      <c r="W153" s="33" t="n">
        <v>0</v>
      </c>
      <c r="X153" s="33" t="n">
        <v>1</v>
      </c>
      <c r="Y153" s="43" t="n">
        <f aca="false">Y118</f>
        <v>0</v>
      </c>
      <c r="Z153" s="43" t="n">
        <f aca="false">Z118</f>
        <v>0</v>
      </c>
      <c r="AA153" s="43" t="n">
        <f aca="false">SUM(W153,X153,Y153,Z153)</f>
        <v>1</v>
      </c>
      <c r="AB153" s="43" t="n">
        <f aca="false">AB118</f>
        <v>0</v>
      </c>
      <c r="AC153" s="43" t="n">
        <f aca="false">AC118</f>
        <v>0</v>
      </c>
      <c r="AD153" s="43" t="n">
        <f aca="false">AD118</f>
        <v>0</v>
      </c>
      <c r="AE153" s="43" t="n">
        <f aca="false">AE118</f>
        <v>0</v>
      </c>
    </row>
    <row r="154" customFormat="false" ht="15" hidden="false" customHeight="true" outlineLevel="0" collapsed="false">
      <c r="B154" s="11" t="s">
        <v>278</v>
      </c>
      <c r="C154" s="33" t="n">
        <v>7</v>
      </c>
      <c r="D154" s="33" t="n">
        <v>7</v>
      </c>
      <c r="E154" s="33" t="n">
        <v>2</v>
      </c>
      <c r="F154" s="33" t="n">
        <v>42</v>
      </c>
      <c r="G154" s="33" t="n">
        <v>58</v>
      </c>
      <c r="H154" s="33" t="n">
        <v>22</v>
      </c>
      <c r="I154" s="33" t="n">
        <v>17</v>
      </c>
      <c r="J154" s="33" t="n">
        <v>8</v>
      </c>
      <c r="K154" s="33" t="n">
        <v>11</v>
      </c>
      <c r="L154" s="33" t="n">
        <v>58</v>
      </c>
      <c r="M154" s="33" t="n">
        <v>14</v>
      </c>
      <c r="N154" s="33" t="n">
        <v>12</v>
      </c>
      <c r="O154" s="33" t="n">
        <v>13</v>
      </c>
      <c r="P154" s="33" t="n">
        <v>14</v>
      </c>
      <c r="Q154" s="33" t="n">
        <v>53</v>
      </c>
      <c r="R154" s="33" t="n">
        <v>3</v>
      </c>
      <c r="S154" s="33" t="n">
        <v>3</v>
      </c>
      <c r="T154" s="33" t="n">
        <v>1</v>
      </c>
      <c r="U154" s="33" t="n">
        <v>1</v>
      </c>
      <c r="V154" s="33" t="n">
        <v>8</v>
      </c>
      <c r="W154" s="33" t="n">
        <v>2</v>
      </c>
      <c r="X154" s="33" t="n">
        <v>2</v>
      </c>
      <c r="Y154" s="43" t="n">
        <f aca="false">Y119</f>
        <v>0</v>
      </c>
      <c r="Z154" s="43" t="n">
        <f aca="false">Z119</f>
        <v>0</v>
      </c>
      <c r="AA154" s="43" t="n">
        <f aca="false">SUM(W154,X154,Y154,Z154)</f>
        <v>4</v>
      </c>
      <c r="AB154" s="43" t="n">
        <f aca="false">AB119</f>
        <v>0</v>
      </c>
      <c r="AC154" s="43" t="n">
        <f aca="false">AC119</f>
        <v>0</v>
      </c>
      <c r="AD154" s="43" t="n">
        <f aca="false">AD119</f>
        <v>0</v>
      </c>
      <c r="AE154" s="43" t="n">
        <f aca="false">AE119</f>
        <v>0</v>
      </c>
    </row>
    <row r="155" customFormat="false" ht="15" hidden="false" customHeight="true" outlineLevel="0" collapsed="false">
      <c r="B155" s="11" t="s">
        <v>279</v>
      </c>
      <c r="C155" s="33" t="n">
        <v>6</v>
      </c>
      <c r="D155" s="33" t="n">
        <v>2</v>
      </c>
      <c r="E155" s="33" t="n">
        <v>7</v>
      </c>
      <c r="F155" s="33" t="n">
        <v>35</v>
      </c>
      <c r="G155" s="33" t="n">
        <v>50</v>
      </c>
      <c r="H155" s="33" t="n">
        <v>24</v>
      </c>
      <c r="I155" s="33" t="n">
        <v>10</v>
      </c>
      <c r="J155" s="33" t="n">
        <v>1</v>
      </c>
      <c r="K155" s="33" t="n">
        <v>9</v>
      </c>
      <c r="L155" s="33" t="n">
        <v>44</v>
      </c>
      <c r="M155" s="33" t="n">
        <v>8</v>
      </c>
      <c r="N155" s="33" t="n">
        <v>6</v>
      </c>
      <c r="O155" s="33" t="n">
        <v>3</v>
      </c>
      <c r="P155" s="33" t="n">
        <v>10</v>
      </c>
      <c r="Q155" s="33" t="n">
        <v>27</v>
      </c>
      <c r="R155" s="33" t="n">
        <v>12</v>
      </c>
      <c r="S155" s="33" t="n">
        <v>8</v>
      </c>
      <c r="T155" s="33" t="n">
        <v>6</v>
      </c>
      <c r="U155" s="33" t="n">
        <v>33</v>
      </c>
      <c r="V155" s="33" t="n">
        <v>59</v>
      </c>
      <c r="W155" s="33" t="n">
        <v>9</v>
      </c>
      <c r="X155" s="33" t="n">
        <v>22</v>
      </c>
      <c r="Y155" s="43" t="n">
        <f aca="false">Y120</f>
        <v>11</v>
      </c>
      <c r="Z155" s="43" t="n">
        <f aca="false">Z120</f>
        <v>11</v>
      </c>
      <c r="AA155" s="43" t="n">
        <f aca="false">SUM(W155,X155,Y155,Z155)</f>
        <v>53</v>
      </c>
      <c r="AB155" s="43" t="n">
        <f aca="false">AB120</f>
        <v>20</v>
      </c>
      <c r="AC155" s="43" t="n">
        <f aca="false">AC120</f>
        <v>20</v>
      </c>
      <c r="AD155" s="43" t="n">
        <f aca="false">AD120</f>
        <v>20</v>
      </c>
      <c r="AE155" s="43" t="n">
        <f aca="false">AE120</f>
        <v>20</v>
      </c>
    </row>
    <row r="156" customFormat="false" ht="15" hidden="false" customHeight="true" outlineLevel="0" collapsed="false">
      <c r="B156" s="11" t="s">
        <v>280</v>
      </c>
      <c r="C156" s="50" t="n">
        <f aca="false">IF(ISNUMBER(C160),C160-(C150+C151+C152+C153+C154+C155),0)</f>
        <v>0</v>
      </c>
      <c r="D156" s="50" t="n">
        <f aca="false">IF(ISNUMBER(D160),D160-(D150+D151+D152+D153+D154+D155),0)</f>
        <v>0</v>
      </c>
      <c r="E156" s="50" t="n">
        <f aca="false">IF(ISNUMBER(E160),E160-(E150+E151+E152+E153+E154+E155),0)</f>
        <v>0</v>
      </c>
      <c r="F156" s="50" t="n">
        <f aca="false">IF(ISNUMBER(F160),F160-(F150+F151+F152+F153+F154+F155),0)</f>
        <v>1</v>
      </c>
      <c r="G156" s="50" t="n">
        <f aca="false">IF(ISNUMBER(G160),G160-(G150+G151+G152+G153+G154+G155),0)</f>
        <v>1</v>
      </c>
      <c r="H156" s="50" t="n">
        <f aca="false">IF(ISNUMBER(H160),H160-(H150+H151+H152+H153+H154+H155),0)</f>
        <v>0</v>
      </c>
      <c r="I156" s="50" t="n">
        <f aca="false">IF(ISNUMBER(I160),I160-(I150+I151+I152+I153+I154+I155),0)</f>
        <v>0</v>
      </c>
      <c r="J156" s="50" t="n">
        <f aca="false">IF(ISNUMBER(J160),J160-(J150+J151+J152+J153+J154+J155),0)</f>
        <v>1</v>
      </c>
      <c r="K156" s="50" t="n">
        <f aca="false">IF(ISNUMBER(K160),K160-(K150+K151+K152+K153+K154+K155),0)</f>
        <v>0</v>
      </c>
      <c r="L156" s="50" t="n">
        <f aca="false">IF(ISNUMBER(L160),L160-(L150+L151+L152+L153+L154+L155),0)</f>
        <v>1</v>
      </c>
      <c r="M156" s="50" t="n">
        <f aca="false">IF(ISNUMBER(M160),M160-(M150+M151+M152+M153+M154+M155),0)</f>
        <v>1</v>
      </c>
      <c r="N156" s="50" t="n">
        <f aca="false">IF(ISNUMBER(N160),N160-(N150+N151+N152+N153+N154+N155),0)</f>
        <v>0</v>
      </c>
      <c r="O156" s="50" t="n">
        <f aca="false">IF(ISNUMBER(O160),O160-(O150+O151+O152+O153+O154+O155),0)</f>
        <v>0</v>
      </c>
      <c r="P156" s="50" t="n">
        <f aca="false">IF(ISNUMBER(P160),P160-(P150+P151+P152+P153+P154+P155),0)</f>
        <v>0</v>
      </c>
      <c r="Q156" s="50" t="n">
        <f aca="false">IF(ISNUMBER(Q160),Q160-(Q150+Q151+Q152+Q153+Q154+Q155),0)</f>
        <v>0</v>
      </c>
      <c r="R156" s="50" t="n">
        <f aca="false">IF(ISNUMBER(R160),R160-(R150+R151+R152+R153+R154+R155),0)</f>
        <v>-1</v>
      </c>
      <c r="S156" s="50" t="n">
        <f aca="false">IF(ISNUMBER(S160),S160-(S150+S151+S152+S153+S154+S155),0)</f>
        <v>1</v>
      </c>
      <c r="T156" s="50" t="n">
        <f aca="false">IF(ISNUMBER(T160),T160-(T150+T151+T152+T153+T154+T155),0)</f>
        <v>0</v>
      </c>
      <c r="U156" s="50" t="n">
        <f aca="false">IF(ISNUMBER(U160),U160-(U150+U151+U152+U153+U154+U155),0)</f>
        <v>0</v>
      </c>
      <c r="V156" s="50" t="n">
        <f aca="false">IF(ISNUMBER(V160),V160-(V150+V151+V152+V153+V154+V155),0)</f>
        <v>0</v>
      </c>
      <c r="W156" s="50" t="n">
        <f aca="false">IF(ISNUMBER(W160),W160-(W150+W151+W152+W153+W154+W155),0)</f>
        <v>0</v>
      </c>
      <c r="X156" s="50" t="n">
        <f aca="false">IF(ISNUMBER(X160),X160-(X150+X151+X152+X153+X154+X155),0)</f>
        <v>1</v>
      </c>
      <c r="Y156" s="48" t="n">
        <v>0</v>
      </c>
      <c r="Z156" s="48" t="n">
        <v>0</v>
      </c>
      <c r="AA156" s="43" t="n">
        <f aca="false">SUM(W156,X156,Y156,Z156)</f>
        <v>1</v>
      </c>
      <c r="AB156" s="48" t="n">
        <v>0</v>
      </c>
      <c r="AC156" s="48" t="n">
        <v>0</v>
      </c>
      <c r="AD156" s="48" t="n">
        <v>0</v>
      </c>
      <c r="AE156" s="48" t="n">
        <v>0</v>
      </c>
      <c r="AF156" s="20" t="s">
        <v>281</v>
      </c>
    </row>
    <row r="157" customFormat="false" ht="15" hidden="false" customHeight="true" outlineLevel="0" collapsed="false">
      <c r="B157" s="11" t="s">
        <v>282</v>
      </c>
      <c r="C157" s="50" t="n">
        <f aca="false">N(C151)+N(C152)+N(C153)+N(C154)+N(C155)+N(C156)</f>
        <v>13</v>
      </c>
      <c r="D157" s="50" t="n">
        <f aca="false">N(D151)+N(D152)+N(D153)+N(D154)+N(D155)+N(D156)</f>
        <v>9</v>
      </c>
      <c r="E157" s="50" t="n">
        <f aca="false">N(E151)+N(E152)+N(E153)+N(E154)+N(E155)+N(E156)</f>
        <v>9</v>
      </c>
      <c r="F157" s="50" t="n">
        <f aca="false">N(F151)+N(F152)+N(F153)+N(F154)+N(F155)+N(F156)</f>
        <v>142</v>
      </c>
      <c r="G157" s="50" t="n">
        <f aca="false">N(G151)+N(G152)+N(G153)+N(G154)+N(G155)+N(G156)</f>
        <v>173</v>
      </c>
      <c r="H157" s="50" t="n">
        <f aca="false">N(H151)+N(H152)+N(H153)+N(H154)+N(H155)+N(H156)</f>
        <v>46</v>
      </c>
      <c r="I157" s="50" t="n">
        <f aca="false">N(I151)+N(I152)+N(I153)+N(I154)+N(I155)+N(I156)</f>
        <v>27</v>
      </c>
      <c r="J157" s="50" t="n">
        <f aca="false">N(J151)+N(J152)+N(J153)+N(J154)+N(J155)+N(J156)</f>
        <v>10</v>
      </c>
      <c r="K157" s="50" t="n">
        <f aca="false">N(K151)+N(K152)+N(K153)+N(K154)+N(K155)+N(K156)</f>
        <v>28</v>
      </c>
      <c r="L157" s="50" t="n">
        <f aca="false">N(L151)+N(L152)+N(L153)+N(L154)+N(L155)+N(L156)</f>
        <v>111</v>
      </c>
      <c r="M157" s="50" t="n">
        <f aca="false">N(M151)+N(M152)+N(M153)+N(M154)+N(M155)+N(M156)</f>
        <v>23</v>
      </c>
      <c r="N157" s="50" t="n">
        <f aca="false">N(N151)+N(N152)+N(N153)+N(N154)+N(N155)+N(N156)</f>
        <v>18</v>
      </c>
      <c r="O157" s="50" t="n">
        <f aca="false">N(O151)+N(O152)+N(O153)+N(O154)+N(O155)+N(O156)</f>
        <v>16</v>
      </c>
      <c r="P157" s="50" t="n">
        <f aca="false">N(P151)+N(P152)+N(P153)+N(P154)+N(P155)+N(P156)</f>
        <v>24</v>
      </c>
      <c r="Q157" s="50" t="n">
        <f aca="false">N(Q151)+N(Q152)+N(Q153)+N(Q154)+N(Q155)+N(Q156)</f>
        <v>80</v>
      </c>
      <c r="R157" s="50" t="n">
        <f aca="false">N(R151)+N(R152)+N(R153)+N(R154)+N(R155)+N(R156)</f>
        <v>3</v>
      </c>
      <c r="S157" s="50" t="n">
        <f aca="false">N(S151)+N(S152)+N(S153)+N(S154)+N(S155)+N(S156)</f>
        <v>10</v>
      </c>
      <c r="T157" s="50" t="n">
        <f aca="false">N(T151)+N(T152)+N(T153)+N(T154)+N(T155)+N(T156)</f>
        <v>42</v>
      </c>
      <c r="U157" s="50" t="n">
        <f aca="false">N(U151)+N(U152)+N(U153)+N(U154)+N(U155)+N(U156)</f>
        <v>34</v>
      </c>
      <c r="V157" s="50" t="n">
        <f aca="false">N(V151)+N(V152)+N(V153)+N(V154)+N(V155)+N(V156)</f>
        <v>89</v>
      </c>
      <c r="W157" s="50" t="n">
        <f aca="false">N(W151)+N(W152)+N(W153)+N(W154)+N(W155)+N(W156)</f>
        <v>11</v>
      </c>
      <c r="X157" s="50" t="n">
        <f aca="false">N(X151)+N(X152)+N(X153)+N(X154)+N(X155)+N(X156)</f>
        <v>26</v>
      </c>
      <c r="Y157" s="43" t="n">
        <f aca="false">N(Y151)+N(Y152)+N(Y153)+N(Y154)+N(Y155)+N(Y156)</f>
        <v>11</v>
      </c>
      <c r="Z157" s="43" t="n">
        <f aca="false">N(Z151)+N(Z152)+N(Z153)+N(Z154)+N(Z155)+N(Z156)</f>
        <v>11</v>
      </c>
      <c r="AA157" s="43" t="n">
        <f aca="false">N(AA151)+N(AA152)+N(AA153)+N(AA154)+N(AA155)+N(AA156)</f>
        <v>59</v>
      </c>
      <c r="AB157" s="43" t="n">
        <f aca="false">N(AB151)+N(AB152)+N(AB153)+N(AB154)+N(AB155)+N(AB156)</f>
        <v>20</v>
      </c>
      <c r="AC157" s="43" t="n">
        <f aca="false">N(AC151)+N(AC152)+N(AC153)+N(AC154)+N(AC155)+N(AC156)</f>
        <v>20</v>
      </c>
      <c r="AD157" s="43" t="n">
        <f aca="false">N(AD151)+N(AD152)+N(AD153)+N(AD154)+N(AD155)+N(AD156)</f>
        <v>20</v>
      </c>
      <c r="AE157" s="43" t="n">
        <f aca="false">N(AE151)+N(AE152)+N(AE153)+N(AE154)+N(AE155)+N(AE156)</f>
        <v>20</v>
      </c>
    </row>
    <row r="158" customFormat="false" ht="15" hidden="false" customHeight="true" outlineLevel="0" collapsed="false">
      <c r="B158" s="51" t="s">
        <v>283</v>
      </c>
      <c r="C158" s="52" t="n">
        <f aca="false">C150+C157</f>
        <v>184</v>
      </c>
      <c r="D158" s="52" t="n">
        <f aca="false">D150+D157</f>
        <v>289</v>
      </c>
      <c r="E158" s="52" t="n">
        <f aca="false">E150+E157</f>
        <v>262</v>
      </c>
      <c r="F158" s="52" t="n">
        <f aca="false">F150+F157</f>
        <v>262</v>
      </c>
      <c r="G158" s="52" t="n">
        <f aca="false">G150+G157</f>
        <v>997</v>
      </c>
      <c r="H158" s="52" t="n">
        <f aca="false">H150+H157</f>
        <v>210</v>
      </c>
      <c r="I158" s="52" t="n">
        <f aca="false">I150+I157</f>
        <v>244</v>
      </c>
      <c r="J158" s="52" t="n">
        <f aca="false">J150+J157</f>
        <v>278</v>
      </c>
      <c r="K158" s="52" t="n">
        <f aca="false">K150+K157</f>
        <v>264</v>
      </c>
      <c r="L158" s="52" t="n">
        <f aca="false">L150+L157</f>
        <v>996</v>
      </c>
      <c r="M158" s="52" t="n">
        <f aca="false">M150+M157</f>
        <v>288</v>
      </c>
      <c r="N158" s="52" t="n">
        <f aca="false">N150+N157</f>
        <v>343</v>
      </c>
      <c r="O158" s="52" t="n">
        <f aca="false">O150+O157</f>
        <v>333</v>
      </c>
      <c r="P158" s="52" t="n">
        <f aca="false">P150+P157</f>
        <v>303</v>
      </c>
      <c r="Q158" s="52" t="n">
        <f aca="false">Q150+Q157</f>
        <v>1266</v>
      </c>
      <c r="R158" s="52" t="n">
        <f aca="false">R150+R157</f>
        <v>278</v>
      </c>
      <c r="S158" s="52" t="n">
        <f aca="false">S150+S157</f>
        <v>340</v>
      </c>
      <c r="T158" s="52" t="n">
        <f aca="false">T150+T157</f>
        <v>342</v>
      </c>
      <c r="U158" s="52" t="n">
        <f aca="false">U150+U157</f>
        <v>312</v>
      </c>
      <c r="V158" s="52" t="n">
        <f aca="false">V150+V157</f>
        <v>1272</v>
      </c>
      <c r="W158" s="52" t="n">
        <f aca="false">W150+W157</f>
        <v>319</v>
      </c>
      <c r="X158" s="52" t="n">
        <f aca="false">X150+X157</f>
        <v>434</v>
      </c>
      <c r="Y158" s="52" t="n">
        <f aca="false">Y150+Y157</f>
        <v>433.930406268675</v>
      </c>
      <c r="Z158" s="52" t="n">
        <f aca="false">Z150+Z157</f>
        <v>384.738222963245</v>
      </c>
      <c r="AA158" s="52" t="n">
        <f aca="false">AA150+AA157</f>
        <v>1571.66862923192</v>
      </c>
      <c r="AB158" s="52" t="n">
        <f aca="false">AB150+AB157</f>
        <v>1745.80210531495</v>
      </c>
      <c r="AC158" s="52" t="n">
        <f aca="false">AC150+AC157</f>
        <v>1941.44762967376</v>
      </c>
      <c r="AD158" s="52" t="n">
        <f aca="false">AD150+AD157</f>
        <v>2146.85707884297</v>
      </c>
      <c r="AE158" s="52" t="n">
        <f aca="false">AE150+AE157</f>
        <v>2315.72177611518</v>
      </c>
      <c r="AF158" s="20" t="s">
        <v>284</v>
      </c>
      <c r="AH158" s="25" t="n">
        <f aca="false">IFERROR((AE158/V158)^(1/5)-1,"n/m")</f>
        <v>0.127300899816558</v>
      </c>
      <c r="AI158" s="25" t="n">
        <f aca="false">IFERROR((V158/G158)^(1/3)-1,"n/m")</f>
        <v>0.084585975368046</v>
      </c>
    </row>
    <row r="159" customFormat="false" ht="15" hidden="false" customHeight="true" outlineLevel="0" collapsed="false">
      <c r="B159" s="11" t="s">
        <v>184</v>
      </c>
      <c r="C159" s="42" t="n">
        <f aca="false">IF(AND(ISNUMBER(C158),ISNUMBER(C106)),IFERROR(C158/C106,""),"")</f>
        <v>0.0971488912354805</v>
      </c>
      <c r="D159" s="42" t="n">
        <f aca="false">IF(AND(ISNUMBER(D158),ISNUMBER(D106)),IFERROR(D158/D106,""),"")</f>
        <v>0.141182217879824</v>
      </c>
      <c r="E159" s="42" t="n">
        <f aca="false">IF(AND(ISNUMBER(E158),ISNUMBER(E106)),IFERROR(E158/E106,""),"")</f>
        <v>0.134635149023638</v>
      </c>
      <c r="F159" s="42" t="n">
        <f aca="false">IF(AND(ISNUMBER(F158),ISNUMBER(F106)),IFERROR(F158/F106,""),"")</f>
        <v>0.143091206990715</v>
      </c>
      <c r="G159" s="42" t="n">
        <f aca="false">IF(AND(ISNUMBER(G158),ISNUMBER(G106)),IFERROR(G158/G106,""),"")</f>
        <v>0.129178543664162</v>
      </c>
      <c r="H159" s="42" t="n">
        <f aca="false">IF(AND(ISNUMBER(H158),ISNUMBER(H106)),IFERROR(H158/H106,""),"")</f>
        <v>0.110120608285265</v>
      </c>
      <c r="I159" s="42" t="n">
        <f aca="false">IF(AND(ISNUMBER(I158),ISNUMBER(I106)),IFERROR(I158/I106,""),"")</f>
        <v>0.127282211789254</v>
      </c>
      <c r="J159" s="42" t="n">
        <f aca="false">IF(AND(ISNUMBER(J158),ISNUMBER(J106)),IFERROR(J158/J106,""),"")</f>
        <v>0.14040404040404</v>
      </c>
      <c r="K159" s="42" t="n">
        <f aca="false">IF(AND(ISNUMBER(K158),ISNUMBER(K106)),IFERROR(K158/K106,""),"")</f>
        <v>0.136082474226804</v>
      </c>
      <c r="L159" s="42" t="n">
        <f aca="false">IF(AND(ISNUMBER(L158),ISNUMBER(L106)),IFERROR(L158/L106,""),"")</f>
        <v>0.128615702479339</v>
      </c>
      <c r="M159" s="42" t="n">
        <f aca="false">IF(AND(ISNUMBER(M158),ISNUMBER(M106)),IFERROR(M158/M106,""),"")</f>
        <v>0.142715559960357</v>
      </c>
      <c r="N159" s="42" t="n">
        <f aca="false">IF(AND(ISNUMBER(N158),ISNUMBER(N106)),IFERROR(N158/N106,""),"")</f>
        <v>0.164983164983165</v>
      </c>
      <c r="O159" s="42" t="n">
        <f aca="false">IF(AND(ISNUMBER(O158),ISNUMBER(O106)),IFERROR(O158/O106,""),"")</f>
        <v>0.162201656113005</v>
      </c>
      <c r="P159" s="42" t="n">
        <f aca="false">IF(AND(ISNUMBER(P158),ISNUMBER(P106)),IFERROR(P158/P106,""),"")</f>
        <v>0.157730348776679</v>
      </c>
      <c r="Q159" s="42" t="n">
        <f aca="false">IF(AND(ISNUMBER(Q158),ISNUMBER(Q106)),IFERROR(Q158/Q106,""),"")</f>
        <v>0.156838453914767</v>
      </c>
      <c r="R159" s="42" t="n">
        <f aca="false">IF(AND(ISNUMBER(R158),ISNUMBER(R106)),IFERROR(R158/R106,""),"")</f>
        <v>0.142272262026612</v>
      </c>
      <c r="S159" s="42" t="n">
        <f aca="false">IF(AND(ISNUMBER(S158),ISNUMBER(S106)),IFERROR(S158/S106,""),"")</f>
        <v>0.163461538461538</v>
      </c>
      <c r="T159" s="42" t="n">
        <f aca="false">IF(AND(ISNUMBER(T158),ISNUMBER(T106)),IFERROR(T158/T106,""),"")</f>
        <v>0.162008526764567</v>
      </c>
      <c r="U159" s="42" t="n">
        <f aca="false">IF(AND(ISNUMBER(U158),ISNUMBER(U106)),IFERROR(U158/U106,""),"")</f>
        <v>0.155146693187469</v>
      </c>
      <c r="V159" s="42" t="n">
        <f aca="false">IF(AND(ISNUMBER(V158),ISNUMBER(V106)),IFERROR(V158/V106,""),"")</f>
        <v>0.155939683707245</v>
      </c>
      <c r="W159" s="42" t="n">
        <f aca="false">IF(AND(ISNUMBER(W158),ISNUMBER(W106)),IFERROR(W158/W106,""),"")</f>
        <v>0.15219465648855</v>
      </c>
      <c r="X159" s="42" t="n">
        <f aca="false">IF(AND(ISNUMBER(X158),ISNUMBER(X106)),IFERROR(X158/X106,""),"")</f>
        <v>0.184288747346072</v>
      </c>
      <c r="Y159" s="30" t="n">
        <f aca="false">IFERROR(Y158/Y106,"")</f>
        <v>0.1796023513288</v>
      </c>
      <c r="Z159" s="30" t="n">
        <f aca="false">IFERROR(Z158/Z106,"")</f>
        <v>0.166296950718055</v>
      </c>
      <c r="AA159" s="30" t="n">
        <f aca="false">IFERROR(AA158/AA106,"")</f>
        <v>0.171194106635093</v>
      </c>
      <c r="AB159" s="30" t="n">
        <f aca="false">IFERROR(AB158/AB106,"")</f>
        <v>0.184489694685689</v>
      </c>
      <c r="AC159" s="30" t="n">
        <f aca="false">IFERROR(AC158/AC106,"")</f>
        <v>0.193955687776187</v>
      </c>
      <c r="AD159" s="30" t="n">
        <f aca="false">IFERROR(AD158/AD106,"")</f>
        <v>0.203277730814681</v>
      </c>
      <c r="AE159" s="30" t="n">
        <f aca="false">IFERROR(AE158/AE106,"")</f>
        <v>0.208369481342156</v>
      </c>
      <c r="AH159" s="44" t="n">
        <f aca="false">IFERROR(AVERAGE(AA159,AB159,AC159,AD159,AE159),"n/m")</f>
        <v>0.192257340250761</v>
      </c>
      <c r="AI159" s="44" t="n">
        <f aca="false">IFERROR(AVERAGE(G159,L159,Q159,V159),"n/m")</f>
        <v>0.142643095941378</v>
      </c>
    </row>
    <row r="160" customFormat="false" ht="15" hidden="false" customHeight="true" outlineLevel="0" collapsed="false">
      <c r="B160" s="58" t="s">
        <v>285</v>
      </c>
      <c r="C160" s="33" t="n">
        <v>184</v>
      </c>
      <c r="D160" s="33" t="n">
        <v>289</v>
      </c>
      <c r="E160" s="33" t="n">
        <v>262</v>
      </c>
      <c r="F160" s="33" t="n">
        <v>262</v>
      </c>
      <c r="G160" s="33" t="n">
        <v>997</v>
      </c>
      <c r="H160" s="33" t="n">
        <v>210</v>
      </c>
      <c r="I160" s="33" t="n">
        <v>244</v>
      </c>
      <c r="J160" s="33" t="n">
        <v>278</v>
      </c>
      <c r="K160" s="33" t="n">
        <v>264</v>
      </c>
      <c r="L160" s="33" t="n">
        <v>996</v>
      </c>
      <c r="M160" s="33" t="n">
        <v>288</v>
      </c>
      <c r="N160" s="33" t="n">
        <v>343</v>
      </c>
      <c r="O160" s="33" t="n">
        <v>333</v>
      </c>
      <c r="P160" s="33" t="n">
        <v>303</v>
      </c>
      <c r="Q160" s="33" t="n">
        <v>1266</v>
      </c>
      <c r="R160" s="33" t="n">
        <v>278</v>
      </c>
      <c r="S160" s="33" t="n">
        <v>340</v>
      </c>
      <c r="T160" s="33" t="n">
        <v>342</v>
      </c>
      <c r="U160" s="33" t="n">
        <v>312</v>
      </c>
      <c r="V160" s="33" t="n">
        <v>1272</v>
      </c>
      <c r="W160" s="33" t="n">
        <v>319</v>
      </c>
      <c r="X160" s="33" t="n">
        <v>434</v>
      </c>
      <c r="Y160" s="32"/>
      <c r="Z160" s="32"/>
      <c r="AA160" s="32"/>
      <c r="AB160" s="32"/>
      <c r="AC160" s="32"/>
      <c r="AD160" s="32"/>
      <c r="AE160" s="32"/>
    </row>
    <row r="161" customFormat="false" ht="15" hidden="false" customHeight="true" outlineLevel="0" collapsed="false">
      <c r="B161" s="49" t="s">
        <v>286</v>
      </c>
      <c r="C161" s="50" t="n">
        <f aca="false">IF(ISNUMBER(C160),ROUND(C158-C160,1),"n/p")</f>
        <v>0</v>
      </c>
      <c r="D161" s="50" t="n">
        <f aca="false">IF(ISNUMBER(D160),ROUND(D158-D160,1),"n/p")</f>
        <v>0</v>
      </c>
      <c r="E161" s="50" t="n">
        <f aca="false">IF(ISNUMBER(E160),ROUND(E158-E160,1),"n/p")</f>
        <v>0</v>
      </c>
      <c r="F161" s="50" t="n">
        <f aca="false">IF(ISNUMBER(F160),ROUND(F158-F160,1),"n/p")</f>
        <v>0</v>
      </c>
      <c r="G161" s="50" t="n">
        <f aca="false">IF(ISNUMBER(G160),ROUND(G158-G160,1),"n/p")</f>
        <v>0</v>
      </c>
      <c r="H161" s="50" t="n">
        <f aca="false">IF(ISNUMBER(H160),ROUND(H158-H160,1),"n/p")</f>
        <v>0</v>
      </c>
      <c r="I161" s="50" t="n">
        <f aca="false">IF(ISNUMBER(I160),ROUND(I158-I160,1),"n/p")</f>
        <v>0</v>
      </c>
      <c r="J161" s="50" t="n">
        <f aca="false">IF(ISNUMBER(J160),ROUND(J158-J160,1),"n/p")</f>
        <v>0</v>
      </c>
      <c r="K161" s="50" t="n">
        <f aca="false">IF(ISNUMBER(K160),ROUND(K158-K160,1),"n/p")</f>
        <v>0</v>
      </c>
      <c r="L161" s="50" t="n">
        <f aca="false">IF(ISNUMBER(L160),ROUND(L158-L160,1),"n/p")</f>
        <v>0</v>
      </c>
      <c r="M161" s="50" t="n">
        <f aca="false">IF(ISNUMBER(M160),ROUND(M158-M160,1),"n/p")</f>
        <v>0</v>
      </c>
      <c r="N161" s="50" t="n">
        <f aca="false">IF(ISNUMBER(N160),ROUND(N158-N160,1),"n/p")</f>
        <v>0</v>
      </c>
      <c r="O161" s="50" t="n">
        <f aca="false">IF(ISNUMBER(O160),ROUND(O158-O160,1),"n/p")</f>
        <v>0</v>
      </c>
      <c r="P161" s="50" t="n">
        <f aca="false">IF(ISNUMBER(P160),ROUND(P158-P160,1),"n/p")</f>
        <v>0</v>
      </c>
      <c r="Q161" s="50" t="n">
        <f aca="false">IF(ISNUMBER(Q160),ROUND(Q158-Q160,1),"n/p")</f>
        <v>0</v>
      </c>
      <c r="R161" s="50" t="n">
        <f aca="false">IF(ISNUMBER(R160),ROUND(R158-R160,1),"n/p")</f>
        <v>0</v>
      </c>
      <c r="S161" s="50" t="n">
        <f aca="false">IF(ISNUMBER(S160),ROUND(S158-S160,1),"n/p")</f>
        <v>0</v>
      </c>
      <c r="T161" s="50" t="n">
        <f aca="false">IF(ISNUMBER(T160),ROUND(T158-T160,1),"n/p")</f>
        <v>0</v>
      </c>
      <c r="U161" s="50" t="n">
        <f aca="false">IF(ISNUMBER(U160),ROUND(U158-U160,1),"n/p")</f>
        <v>0</v>
      </c>
      <c r="V161" s="50" t="n">
        <f aca="false">IF(ISNUMBER(V160),ROUND(V158-V160,1),"n/p")</f>
        <v>0</v>
      </c>
      <c r="W161" s="50" t="n">
        <f aca="false">IF(ISNUMBER(W160),ROUND(W158-W160,1),"n/p")</f>
        <v>0</v>
      </c>
      <c r="X161" s="50" t="n">
        <f aca="false">IF(ISNUMBER(X160),ROUND(X158-X160,1),"n/p")</f>
        <v>0</v>
      </c>
      <c r="Y161" s="43" t="str">
        <f aca="false">IF(ISNUMBER(Y160),ROUND(Y158-Y160,1),"n/p")</f>
        <v>n/p</v>
      </c>
      <c r="Z161" s="43" t="str">
        <f aca="false">IF(ISNUMBER(Z160),ROUND(Z158-Z160,1),"n/p")</f>
        <v>n/p</v>
      </c>
      <c r="AA161" s="43" t="str">
        <f aca="false">IF(ISNUMBER(AA160),ROUND(AA158-AA160,1),"n/p")</f>
        <v>n/p</v>
      </c>
      <c r="AB161" s="43" t="str">
        <f aca="false">IF(ISNUMBER(AB160),ROUND(AB158-AB160,1),"n/p")</f>
        <v>n/p</v>
      </c>
      <c r="AC161" s="43" t="str">
        <f aca="false">IF(ISNUMBER(AC160),ROUND(AC158-AC160,1),"n/p")</f>
        <v>n/p</v>
      </c>
      <c r="AD161" s="43" t="str">
        <f aca="false">IF(ISNUMBER(AD160),ROUND(AD158-AD160,1),"n/p")</f>
        <v>n/p</v>
      </c>
      <c r="AE161" s="43" t="str">
        <f aca="false">IF(ISNUMBER(AE160),ROUND(AE158-AE160,1),"n/p")</f>
        <v>n/p</v>
      </c>
    </row>
    <row r="162" customFormat="false" ht="15" hidden="false" customHeight="true" outlineLevel="0" collapsed="false">
      <c r="B162" s="59" t="s">
        <v>287</v>
      </c>
      <c r="C162" s="60" t="s">
        <v>288</v>
      </c>
      <c r="H162" s="60" t="s">
        <v>289</v>
      </c>
      <c r="R162" s="60" t="s">
        <v>290</v>
      </c>
      <c r="AF162" s="20" t="s">
        <v>291</v>
      </c>
    </row>
    <row r="163" customFormat="false" ht="15" hidden="false" customHeight="true" outlineLevel="0" collapsed="false">
      <c r="B163" s="11" t="s">
        <v>292</v>
      </c>
      <c r="C163" s="50" t="n">
        <f aca="false">N(C39)</f>
        <v>0</v>
      </c>
      <c r="D163" s="50" t="n">
        <f aca="false">N(D39)</f>
        <v>0</v>
      </c>
      <c r="E163" s="50" t="n">
        <f aca="false">N(E39)</f>
        <v>0</v>
      </c>
      <c r="F163" s="50" t="n">
        <f aca="false">N(F39)</f>
        <v>55</v>
      </c>
      <c r="G163" s="50" t="n">
        <f aca="false">N(G39)</f>
        <v>55</v>
      </c>
      <c r="H163" s="50" t="n">
        <f aca="false">N(H39)</f>
        <v>0</v>
      </c>
      <c r="I163" s="50" t="n">
        <f aca="false">N(I39)</f>
        <v>0</v>
      </c>
      <c r="J163" s="50" t="n">
        <f aca="false">N(J39)</f>
        <v>0</v>
      </c>
      <c r="K163" s="50" t="n">
        <f aca="false">N(K39)</f>
        <v>0</v>
      </c>
      <c r="L163" s="50" t="n">
        <f aca="false">N(L39)</f>
        <v>0</v>
      </c>
      <c r="M163" s="50" t="n">
        <f aca="false">N(M39)</f>
        <v>0</v>
      </c>
      <c r="N163" s="50" t="n">
        <f aca="false">N(N39)</f>
        <v>0</v>
      </c>
      <c r="O163" s="50" t="n">
        <f aca="false">N(O39)</f>
        <v>0</v>
      </c>
      <c r="P163" s="50" t="n">
        <f aca="false">N(P39)</f>
        <v>34</v>
      </c>
      <c r="Q163" s="50" t="n">
        <f aca="false">N(Q39)</f>
        <v>34</v>
      </c>
      <c r="R163" s="50" t="n">
        <f aca="false">N(R39)</f>
        <v>2</v>
      </c>
      <c r="S163" s="50" t="n">
        <f aca="false">N(S39)</f>
        <v>0</v>
      </c>
      <c r="T163" s="50" t="n">
        <f aca="false">N(T39)</f>
        <v>0</v>
      </c>
      <c r="U163" s="50" t="n">
        <f aca="false">N(U39)</f>
        <v>13</v>
      </c>
      <c r="V163" s="50" t="n">
        <f aca="false">N(V39)</f>
        <v>15</v>
      </c>
      <c r="W163" s="50" t="n">
        <f aca="false">N(W39)</f>
        <v>0</v>
      </c>
      <c r="X163" s="50" t="n">
        <f aca="false">N(X39)</f>
        <v>9</v>
      </c>
      <c r="Y163" s="43" t="n">
        <f aca="false">N(Y39)</f>
        <v>0</v>
      </c>
      <c r="Z163" s="43" t="n">
        <f aca="false">N(Z39)</f>
        <v>0</v>
      </c>
      <c r="AA163" s="43" t="n">
        <f aca="false">N(AA39)</f>
        <v>9</v>
      </c>
      <c r="AB163" s="43" t="n">
        <f aca="false">N(AB39)</f>
        <v>0</v>
      </c>
      <c r="AC163" s="43" t="n">
        <f aca="false">N(AC39)</f>
        <v>0</v>
      </c>
      <c r="AD163" s="43" t="n">
        <f aca="false">N(AD39)</f>
        <v>0</v>
      </c>
      <c r="AE163" s="43" t="n">
        <f aca="false">N(AE39)</f>
        <v>0</v>
      </c>
    </row>
    <row r="164" customFormat="false" ht="15" hidden="false" customHeight="true" outlineLevel="0" collapsed="false">
      <c r="B164" s="11" t="s">
        <v>293</v>
      </c>
      <c r="C164" s="50" t="n">
        <f aca="false">C158-C163</f>
        <v>184</v>
      </c>
      <c r="D164" s="50" t="n">
        <f aca="false">D158-D163</f>
        <v>289</v>
      </c>
      <c r="E164" s="50" t="n">
        <f aca="false">E158-E163</f>
        <v>262</v>
      </c>
      <c r="F164" s="50" t="n">
        <f aca="false">F158-F163</f>
        <v>207</v>
      </c>
      <c r="G164" s="50" t="n">
        <f aca="false">G158-G163</f>
        <v>942</v>
      </c>
      <c r="H164" s="50" t="n">
        <f aca="false">H158-H163</f>
        <v>210</v>
      </c>
      <c r="I164" s="50" t="n">
        <f aca="false">I158-I163</f>
        <v>244</v>
      </c>
      <c r="J164" s="50" t="n">
        <f aca="false">J158-J163</f>
        <v>278</v>
      </c>
      <c r="K164" s="50" t="n">
        <f aca="false">K158-K163</f>
        <v>264</v>
      </c>
      <c r="L164" s="50" t="n">
        <f aca="false">L158-L163</f>
        <v>996</v>
      </c>
      <c r="M164" s="50" t="n">
        <f aca="false">M158-M163</f>
        <v>288</v>
      </c>
      <c r="N164" s="50" t="n">
        <f aca="false">N158-N163</f>
        <v>343</v>
      </c>
      <c r="O164" s="50" t="n">
        <f aca="false">O158-O163</f>
        <v>333</v>
      </c>
      <c r="P164" s="50" t="n">
        <f aca="false">P158-P163</f>
        <v>269</v>
      </c>
      <c r="Q164" s="50" t="n">
        <f aca="false">Q158-Q163</f>
        <v>1232</v>
      </c>
      <c r="R164" s="50" t="n">
        <f aca="false">R158-R163</f>
        <v>276</v>
      </c>
      <c r="S164" s="50" t="n">
        <f aca="false">S158-S163</f>
        <v>340</v>
      </c>
      <c r="T164" s="50" t="n">
        <f aca="false">T158-T163</f>
        <v>342</v>
      </c>
      <c r="U164" s="50" t="n">
        <f aca="false">U158-U163</f>
        <v>299</v>
      </c>
      <c r="V164" s="50" t="n">
        <f aca="false">V158-V163</f>
        <v>1257</v>
      </c>
      <c r="W164" s="50" t="n">
        <f aca="false">W158-W163</f>
        <v>319</v>
      </c>
      <c r="X164" s="50" t="n">
        <f aca="false">X158-X163</f>
        <v>425</v>
      </c>
      <c r="Y164" s="43" t="n">
        <f aca="false">Y158-Y163</f>
        <v>433.930406268675</v>
      </c>
      <c r="Z164" s="43" t="n">
        <f aca="false">Z158-Z163</f>
        <v>384.738222963245</v>
      </c>
      <c r="AA164" s="43" t="n">
        <f aca="false">AA158-AA163</f>
        <v>1562.66862923192</v>
      </c>
      <c r="AB164" s="43" t="n">
        <f aca="false">AB158-AB163</f>
        <v>1745.80210531495</v>
      </c>
      <c r="AC164" s="43" t="n">
        <f aca="false">AC158-AC163</f>
        <v>1941.44762967376</v>
      </c>
      <c r="AD164" s="43" t="n">
        <f aca="false">AD158-AD163</f>
        <v>2146.85707884297</v>
      </c>
      <c r="AE164" s="43" t="n">
        <f aca="false">AE158-AE163</f>
        <v>2315.72177611518</v>
      </c>
      <c r="AH164" s="25" t="n">
        <f aca="false">IFERROR((AE164/V164)^(1/5)-1,"n/m")</f>
        <v>0.129978604342761</v>
      </c>
      <c r="AI164" s="25" t="n">
        <f aca="false">IFERROR((V164/G164)^(1/3)-1,"n/m")</f>
        <v>0.100934441362668</v>
      </c>
    </row>
    <row r="165" customFormat="false" ht="15" hidden="false" customHeight="true" outlineLevel="0" collapsed="false">
      <c r="B165" s="55" t="s">
        <v>294</v>
      </c>
      <c r="Y165" s="32"/>
      <c r="Z165" s="32"/>
      <c r="AA165" s="32"/>
      <c r="AB165" s="32"/>
      <c r="AC165" s="32"/>
      <c r="AD165" s="32"/>
      <c r="AE165" s="32"/>
    </row>
    <row r="166" customFormat="false" ht="15" hidden="false" customHeight="true" outlineLevel="0" collapsed="false">
      <c r="B166" s="11" t="s">
        <v>295</v>
      </c>
      <c r="C166" s="50" t="n">
        <f aca="false">-C149</f>
        <v>-94</v>
      </c>
      <c r="D166" s="50" t="n">
        <f aca="false">-D149</f>
        <v>-96</v>
      </c>
      <c r="E166" s="50" t="n">
        <f aca="false">-E149</f>
        <v>-99</v>
      </c>
      <c r="F166" s="50" t="n">
        <f aca="false">-F149</f>
        <v>-103</v>
      </c>
      <c r="G166" s="50" t="n">
        <f aca="false">-G149</f>
        <v>-392</v>
      </c>
      <c r="H166" s="50" t="n">
        <f aca="false">-H149</f>
        <v>-101</v>
      </c>
      <c r="I166" s="50" t="n">
        <f aca="false">-I149</f>
        <v>-107</v>
      </c>
      <c r="J166" s="50" t="n">
        <f aca="false">-J149</f>
        <v>-110</v>
      </c>
      <c r="K166" s="50" t="n">
        <f aca="false">-K149</f>
        <v>-114</v>
      </c>
      <c r="L166" s="50" t="n">
        <f aca="false">-L149</f>
        <v>-432</v>
      </c>
      <c r="M166" s="50" t="n">
        <f aca="false">-M149</f>
        <v>-117</v>
      </c>
      <c r="N166" s="50" t="n">
        <f aca="false">-N149</f>
        <v>-122</v>
      </c>
      <c r="O166" s="50" t="n">
        <f aca="false">-O149</f>
        <v>-126</v>
      </c>
      <c r="P166" s="50" t="n">
        <f aca="false">-P149</f>
        <v>-124</v>
      </c>
      <c r="Q166" s="50" t="n">
        <f aca="false">-Q149</f>
        <v>-490</v>
      </c>
      <c r="R166" s="50" t="n">
        <f aca="false">-R149</f>
        <v>-123</v>
      </c>
      <c r="S166" s="50" t="n">
        <f aca="false">-S149</f>
        <v>-131</v>
      </c>
      <c r="T166" s="50" t="n">
        <f aca="false">-T149</f>
        <v>-134</v>
      </c>
      <c r="U166" s="50" t="n">
        <f aca="false">-U149</f>
        <v>-134</v>
      </c>
      <c r="V166" s="50" t="n">
        <f aca="false">-V149</f>
        <v>-521</v>
      </c>
      <c r="W166" s="50" t="n">
        <f aca="false">-W149</f>
        <v>-131</v>
      </c>
      <c r="X166" s="50" t="n">
        <f aca="false">-X149</f>
        <v>-134</v>
      </c>
      <c r="Y166" s="43" t="n">
        <f aca="false">-Y149</f>
        <v>-139.409072797105</v>
      </c>
      <c r="Z166" s="43" t="n">
        <f aca="false">-Z149</f>
        <v>-139.043083887678</v>
      </c>
      <c r="AA166" s="43" t="n">
        <f aca="false">-AA149</f>
        <v>-543.452156684782</v>
      </c>
      <c r="AB166" s="43" t="n">
        <f aca="false">-AB149</f>
        <v>-589.002972093947</v>
      </c>
      <c r="AC166" s="43" t="n">
        <f aca="false">-AC149</f>
        <v>-610.192477922692</v>
      </c>
      <c r="AD166" s="43" t="n">
        <f aca="false">-AD149</f>
        <v>-634.579500862675</v>
      </c>
      <c r="AE166" s="43" t="n">
        <f aca="false">-AE149</f>
        <v>-668.901791340933</v>
      </c>
    </row>
    <row r="167" customFormat="false" ht="15" hidden="false" customHeight="true" outlineLevel="0" collapsed="false">
      <c r="B167" s="51" t="s">
        <v>296</v>
      </c>
      <c r="C167" s="52" t="n">
        <f aca="false">C158+C166</f>
        <v>90</v>
      </c>
      <c r="D167" s="52" t="n">
        <f aca="false">D158+D166</f>
        <v>193</v>
      </c>
      <c r="E167" s="52" t="n">
        <f aca="false">E158+E166</f>
        <v>163</v>
      </c>
      <c r="F167" s="52" t="n">
        <f aca="false">F158+F166</f>
        <v>159</v>
      </c>
      <c r="G167" s="52" t="n">
        <f aca="false">G158+G166</f>
        <v>605</v>
      </c>
      <c r="H167" s="52" t="n">
        <f aca="false">H158+H166</f>
        <v>109</v>
      </c>
      <c r="I167" s="52" t="n">
        <f aca="false">I158+I166</f>
        <v>137</v>
      </c>
      <c r="J167" s="52" t="n">
        <f aca="false">J158+J166</f>
        <v>168</v>
      </c>
      <c r="K167" s="52" t="n">
        <f aca="false">K158+K166</f>
        <v>150</v>
      </c>
      <c r="L167" s="52" t="n">
        <f aca="false">L158+L166</f>
        <v>564</v>
      </c>
      <c r="M167" s="52" t="n">
        <f aca="false">M158+M166</f>
        <v>171</v>
      </c>
      <c r="N167" s="52" t="n">
        <f aca="false">N158+N166</f>
        <v>221</v>
      </c>
      <c r="O167" s="52" t="n">
        <f aca="false">O158+O166</f>
        <v>207</v>
      </c>
      <c r="P167" s="52" t="n">
        <f aca="false">P158+P166</f>
        <v>179</v>
      </c>
      <c r="Q167" s="52" t="n">
        <f aca="false">Q158+Q166</f>
        <v>776</v>
      </c>
      <c r="R167" s="52" t="n">
        <f aca="false">R158+R166</f>
        <v>155</v>
      </c>
      <c r="S167" s="52" t="n">
        <f aca="false">S158+S166</f>
        <v>209</v>
      </c>
      <c r="T167" s="52" t="n">
        <f aca="false">T158+T166</f>
        <v>208</v>
      </c>
      <c r="U167" s="52" t="n">
        <f aca="false">U158+U166</f>
        <v>178</v>
      </c>
      <c r="V167" s="52" t="n">
        <f aca="false">V158+V166</f>
        <v>751</v>
      </c>
      <c r="W167" s="52" t="n">
        <f aca="false">W158+W166</f>
        <v>188</v>
      </c>
      <c r="X167" s="52" t="n">
        <f aca="false">X158+X166</f>
        <v>300</v>
      </c>
      <c r="Y167" s="52" t="n">
        <f aca="false">Y158+Y166</f>
        <v>294.521333471571</v>
      </c>
      <c r="Z167" s="52" t="n">
        <f aca="false">Z158+Z166</f>
        <v>245.695139075568</v>
      </c>
      <c r="AA167" s="52" t="n">
        <f aca="false">AA158+AA166</f>
        <v>1028.21647254714</v>
      </c>
      <c r="AB167" s="52" t="n">
        <f aca="false">AB158+AB166</f>
        <v>1156.799133221</v>
      </c>
      <c r="AC167" s="52" t="n">
        <f aca="false">AC158+AC166</f>
        <v>1331.25515175107</v>
      </c>
      <c r="AD167" s="52" t="n">
        <f aca="false">AD158+AD166</f>
        <v>1512.27757798029</v>
      </c>
      <c r="AE167" s="52" t="n">
        <f aca="false">AE158+AE166</f>
        <v>1646.81998477424</v>
      </c>
      <c r="AH167" s="25" t="n">
        <f aca="false">IFERROR((AE167/V167)^(1/5)-1,"n/m")</f>
        <v>0.170041425643278</v>
      </c>
      <c r="AI167" s="25" t="n">
        <f aca="false">IFERROR((V167/G167)^(1/3)-1,"n/m")</f>
        <v>0.0747188200025244</v>
      </c>
    </row>
    <row r="168" customFormat="false" ht="15" hidden="false" customHeight="true" outlineLevel="0" collapsed="false">
      <c r="B168" s="11" t="s">
        <v>297</v>
      </c>
      <c r="C168" s="42" t="n">
        <f aca="false">IF(AND(ISNUMBER(C167),ISNUMBER(C106)),IFERROR(C167/C106,""),"")</f>
        <v>0.0475184794086589</v>
      </c>
      <c r="D168" s="42" t="n">
        <f aca="false">IF(AND(ISNUMBER(D167),ISNUMBER(D106)),IFERROR(D167/D106,""),"")</f>
        <v>0.0942843185148999</v>
      </c>
      <c r="E168" s="42" t="n">
        <f aca="false">IF(AND(ISNUMBER(E167),ISNUMBER(E106)),IFERROR(E167/E106,""),"")</f>
        <v>0.0837615621788284</v>
      </c>
      <c r="F168" s="42" t="n">
        <f aca="false">IF(AND(ISNUMBER(F167),ISNUMBER(F106)),IFERROR(F167/F106,""),"")</f>
        <v>0.0868377935554342</v>
      </c>
      <c r="G168" s="42" t="n">
        <f aca="false">IF(AND(ISNUMBER(G167),ISNUMBER(G106)),IFERROR(G167/G106,""),"")</f>
        <v>0.0783881834672195</v>
      </c>
      <c r="H168" s="42" t="n">
        <f aca="false">IF(AND(ISNUMBER(H167),ISNUMBER(H106)),IFERROR(H167/H106,""),"")</f>
        <v>0.0571578395385422</v>
      </c>
      <c r="I168" s="42" t="n">
        <f aca="false">IF(AND(ISNUMBER(I167),ISNUMBER(I106)),IFERROR(I167/I106,""),"")</f>
        <v>0.0714658320292123</v>
      </c>
      <c r="J168" s="42" t="n">
        <f aca="false">IF(AND(ISNUMBER(J167),ISNUMBER(J106)),IFERROR(J167/J106,""),"")</f>
        <v>0.0848484848484849</v>
      </c>
      <c r="K168" s="42" t="n">
        <f aca="false">IF(AND(ISNUMBER(K167),ISNUMBER(K106)),IFERROR(K167/K106,""),"")</f>
        <v>0.077319587628866</v>
      </c>
      <c r="L168" s="42" t="n">
        <f aca="false">IF(AND(ISNUMBER(L167),ISNUMBER(L106)),IFERROR(L167/L106,""),"")</f>
        <v>0.0728305785123967</v>
      </c>
      <c r="M168" s="42" t="n">
        <f aca="false">IF(AND(ISNUMBER(M167),ISNUMBER(M106)),IFERROR(M167/M106,""),"")</f>
        <v>0.0847373637264619</v>
      </c>
      <c r="N168" s="42" t="n">
        <f aca="false">IF(AND(ISNUMBER(N167),ISNUMBER(N106)),IFERROR(N167/N106,""),"")</f>
        <v>0.106301106301106</v>
      </c>
      <c r="O168" s="42" t="n">
        <f aca="false">IF(AND(ISNUMBER(O167),ISNUMBER(O106)),IFERROR(O167/O106,""),"")</f>
        <v>0.100828056502679</v>
      </c>
      <c r="P168" s="42" t="n">
        <f aca="false">IF(AND(ISNUMBER(P167),ISNUMBER(P106)),IFERROR(P167/P106,""),"")</f>
        <v>0.0931806350858928</v>
      </c>
      <c r="Q168" s="42" t="n">
        <f aca="false">IF(AND(ISNUMBER(Q167),ISNUMBER(Q106)),IFERROR(Q167/Q106,""),"")</f>
        <v>0.0961347869177403</v>
      </c>
      <c r="R168" s="42" t="n">
        <f aca="false">IF(AND(ISNUMBER(R167),ISNUMBER(R106)),IFERROR(R167/R106,""),"")</f>
        <v>0.079324462640737</v>
      </c>
      <c r="S168" s="42" t="n">
        <f aca="false">IF(AND(ISNUMBER(S167),ISNUMBER(S106)),IFERROR(S167/S106,""),"")</f>
        <v>0.100480769230769</v>
      </c>
      <c r="T168" s="42" t="n">
        <f aca="false">IF(AND(ISNUMBER(T167),ISNUMBER(T106)),IFERROR(T167/T106,""),"")</f>
        <v>0.098531501657982</v>
      </c>
      <c r="U168" s="42" t="n">
        <f aca="false">IF(AND(ISNUMBER(U167),ISNUMBER(U106)),IFERROR(U167/U106,""),"")</f>
        <v>0.0885131775236201</v>
      </c>
      <c r="V168" s="42" t="n">
        <f aca="false">IF(AND(ISNUMBER(V167),ISNUMBER(V106)),IFERROR(V167/V106,""),"")</f>
        <v>0.0920681623145764</v>
      </c>
      <c r="W168" s="42" t="n">
        <f aca="false">IF(AND(ISNUMBER(W167),ISNUMBER(W106)),IFERROR(W167/W106,""),"")</f>
        <v>0.0896946564885496</v>
      </c>
      <c r="X168" s="42" t="n">
        <f aca="false">IF(AND(ISNUMBER(X167),ISNUMBER(X106)),IFERROR(X167/X106,""),"")</f>
        <v>0.127388535031847</v>
      </c>
      <c r="Y168" s="30" t="n">
        <f aca="false">IFERROR(Y167/Y106,"")</f>
        <v>0.121901399956831</v>
      </c>
      <c r="Z168" s="30" t="n">
        <f aca="false">IFERROR(Z167/Z106,"")</f>
        <v>0.106197798908112</v>
      </c>
      <c r="AA168" s="30" t="n">
        <f aca="false">IFERROR(AA167/AA106,"")</f>
        <v>0.111998545476611</v>
      </c>
      <c r="AB168" s="30" t="n">
        <f aca="false">IFERROR(AB167/AB106,"")</f>
        <v>0.122246111544304</v>
      </c>
      <c r="AC168" s="30" t="n">
        <f aca="false">IFERROR(AC167/AC106,"")</f>
        <v>0.132995865877082</v>
      </c>
      <c r="AD168" s="30" t="n">
        <f aca="false">IFERROR(AD167/AD106,"")</f>
        <v>0.143191811622334</v>
      </c>
      <c r="AE168" s="30" t="n">
        <f aca="false">IFERROR(AE167/AE106,"")</f>
        <v>0.148181456697689</v>
      </c>
      <c r="AH168" s="44" t="n">
        <f aca="false">IFERROR(AVERAGE(AA168,AB168,AC168,AD168,AE168),"n/m")</f>
        <v>0.131722758243604</v>
      </c>
      <c r="AI168" s="44" t="n">
        <f aca="false">IFERROR(AVERAGE(G168,L168,Q168,V168),"n/m")</f>
        <v>0.0848554278029833</v>
      </c>
    </row>
    <row r="169" customFormat="false" ht="15" hidden="false" customHeight="true" outlineLevel="0" collapsed="false">
      <c r="B169" s="11"/>
    </row>
    <row r="170" customFormat="false" ht="15" hidden="false" customHeight="true" outlineLevel="0" collapsed="false">
      <c r="B170" s="10" t="s">
        <v>298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 t="s">
        <v>299</v>
      </c>
    </row>
    <row r="171" customFormat="false" ht="15" hidden="false" customHeight="true" outlineLevel="0" collapsed="false">
      <c r="B171" s="11" t="s">
        <v>266</v>
      </c>
      <c r="C171" s="50" t="n">
        <f aca="false">C143</f>
        <v>32</v>
      </c>
      <c r="D171" s="50" t="n">
        <f aca="false">D143</f>
        <v>96</v>
      </c>
      <c r="E171" s="50" t="n">
        <f aca="false">E143</f>
        <v>92</v>
      </c>
      <c r="F171" s="50" t="n">
        <f aca="false">F143</f>
        <v>-36</v>
      </c>
      <c r="G171" s="50" t="n">
        <f aca="false">G143</f>
        <v>184</v>
      </c>
      <c r="H171" s="50" t="n">
        <f aca="false">H143</f>
        <v>17</v>
      </c>
      <c r="I171" s="50" t="n">
        <f aca="false">I143</f>
        <v>31</v>
      </c>
      <c r="J171" s="50" t="n">
        <f aca="false">J143</f>
        <v>86</v>
      </c>
      <c r="K171" s="50" t="n">
        <f aca="false">K143</f>
        <v>58</v>
      </c>
      <c r="L171" s="50" t="n">
        <f aca="false">L143</f>
        <v>192</v>
      </c>
      <c r="M171" s="50" t="n">
        <f aca="false">M143</f>
        <v>67</v>
      </c>
      <c r="N171" s="50" t="n">
        <f aca="false">N143</f>
        <v>150</v>
      </c>
      <c r="O171" s="50" t="n">
        <f aca="false">O143</f>
        <v>95</v>
      </c>
      <c r="P171" s="50" t="n">
        <f aca="false">P143</f>
        <v>76</v>
      </c>
      <c r="Q171" s="50" t="n">
        <f aca="false">Q143</f>
        <v>387</v>
      </c>
      <c r="R171" s="50" t="n">
        <f aca="false">R143</f>
        <v>69</v>
      </c>
      <c r="S171" s="50" t="n">
        <f aca="false">S143</f>
        <v>106</v>
      </c>
      <c r="T171" s="50" t="n">
        <f aca="false">T143</f>
        <v>82</v>
      </c>
      <c r="U171" s="50" t="n">
        <f aca="false">U143</f>
        <v>59</v>
      </c>
      <c r="V171" s="50" t="n">
        <f aca="false">V143</f>
        <v>316</v>
      </c>
      <c r="W171" s="50" t="n">
        <f aca="false">W143</f>
        <v>101</v>
      </c>
      <c r="X171" s="50" t="n">
        <f aca="false">X143</f>
        <v>162</v>
      </c>
      <c r="Y171" s="43" t="n">
        <f aca="false">Y143</f>
        <v>176.348820105752</v>
      </c>
      <c r="Z171" s="43" t="n">
        <f aca="false">Z143</f>
        <v>138.996781392809</v>
      </c>
      <c r="AA171" s="43" t="n">
        <f aca="false">AA143</f>
        <v>578.345601498561</v>
      </c>
      <c r="AB171" s="43" t="n">
        <f aca="false">AB143</f>
        <v>712.99660133405</v>
      </c>
      <c r="AC171" s="43" t="n">
        <f aca="false">AC143</f>
        <v>857.853287727507</v>
      </c>
      <c r="AD171" s="43" t="n">
        <f aca="false">AD143</f>
        <v>985.911541349891</v>
      </c>
      <c r="AE171" s="43" t="n">
        <f aca="false">AE143</f>
        <v>1078.42419509665</v>
      </c>
    </row>
    <row r="172" customFormat="false" ht="15" hidden="false" customHeight="true" outlineLevel="0" collapsed="false">
      <c r="B172" s="11" t="s">
        <v>269</v>
      </c>
      <c r="C172" s="33" t="n">
        <v>0</v>
      </c>
      <c r="D172" s="33" t="n">
        <v>26</v>
      </c>
      <c r="E172" s="33" t="n">
        <v>0</v>
      </c>
      <c r="F172" s="33" t="n">
        <v>13</v>
      </c>
      <c r="G172" s="33" t="n">
        <v>39</v>
      </c>
      <c r="H172" s="33" t="n">
        <v>0</v>
      </c>
      <c r="I172" s="33" t="n">
        <v>23</v>
      </c>
      <c r="J172" s="33" t="n">
        <v>0</v>
      </c>
      <c r="K172" s="33" t="n">
        <v>2</v>
      </c>
      <c r="L172" s="33" t="n">
        <v>25</v>
      </c>
      <c r="M172" s="33" t="n">
        <v>0</v>
      </c>
      <c r="N172" s="33" t="n">
        <v>0</v>
      </c>
      <c r="O172" s="33" t="n">
        <v>0</v>
      </c>
      <c r="P172" s="33" t="n">
        <v>0</v>
      </c>
      <c r="Q172" s="33" t="n">
        <v>0</v>
      </c>
      <c r="R172" s="33" t="n">
        <v>5</v>
      </c>
      <c r="S172" s="33" t="n">
        <v>0</v>
      </c>
      <c r="T172" s="33" t="n">
        <v>0</v>
      </c>
      <c r="U172" s="33" t="n">
        <v>0</v>
      </c>
      <c r="V172" s="33" t="n">
        <v>6</v>
      </c>
      <c r="W172" s="33" t="n">
        <v>0</v>
      </c>
      <c r="X172" s="33" t="n">
        <v>5</v>
      </c>
      <c r="Y172" s="43" t="n">
        <f aca="false">Y124</f>
        <v>0</v>
      </c>
      <c r="Z172" s="43" t="n">
        <f aca="false">Z124</f>
        <v>0</v>
      </c>
      <c r="AA172" s="43" t="n">
        <f aca="false">SUM(W172,X172,Y172,Z172)</f>
        <v>5</v>
      </c>
      <c r="AB172" s="43" t="n">
        <f aca="false">AB124</f>
        <v>0</v>
      </c>
      <c r="AC172" s="43" t="n">
        <f aca="false">AC124</f>
        <v>0</v>
      </c>
      <c r="AD172" s="43" t="n">
        <f aca="false">AD124</f>
        <v>0</v>
      </c>
      <c r="AE172" s="43" t="n">
        <f aca="false">AE124</f>
        <v>0</v>
      </c>
    </row>
    <row r="173" customFormat="false" ht="15" hidden="false" customHeight="true" outlineLevel="0" collapsed="false">
      <c r="B173" s="11" t="s">
        <v>300</v>
      </c>
      <c r="C173" s="33" t="n">
        <v>14</v>
      </c>
      <c r="D173" s="33" t="n">
        <v>13</v>
      </c>
      <c r="E173" s="33" t="n">
        <v>13</v>
      </c>
      <c r="F173" s="33" t="n">
        <v>14</v>
      </c>
      <c r="G173" s="33" t="n">
        <v>54</v>
      </c>
      <c r="H173" s="33" t="n">
        <v>13</v>
      </c>
      <c r="I173" s="33" t="n">
        <v>14</v>
      </c>
      <c r="J173" s="33" t="n">
        <v>15</v>
      </c>
      <c r="K173" s="33" t="n">
        <v>13</v>
      </c>
      <c r="L173" s="33" t="n">
        <v>55</v>
      </c>
      <c r="M173" s="33" t="n">
        <v>14</v>
      </c>
      <c r="N173" s="33" t="n">
        <v>14</v>
      </c>
      <c r="O173" s="33" t="n">
        <v>14</v>
      </c>
      <c r="P173" s="33" t="n">
        <v>14</v>
      </c>
      <c r="Q173" s="33" t="n">
        <v>57</v>
      </c>
      <c r="R173" s="33" t="n">
        <v>14</v>
      </c>
      <c r="S173" s="33" t="n">
        <v>15</v>
      </c>
      <c r="T173" s="33" t="n">
        <v>15</v>
      </c>
      <c r="U173" s="33" t="n">
        <v>15</v>
      </c>
      <c r="V173" s="33" t="n">
        <v>58</v>
      </c>
      <c r="W173" s="33" t="n">
        <v>15</v>
      </c>
      <c r="X173" s="33" t="n">
        <v>15</v>
      </c>
      <c r="Y173" s="43" t="n">
        <f aca="false">Y99</f>
        <v>14.5</v>
      </c>
      <c r="Z173" s="43" t="n">
        <f aca="false">Z99</f>
        <v>14.5</v>
      </c>
      <c r="AA173" s="43" t="n">
        <f aca="false">SUM(W173,X173,Y173,Z173)</f>
        <v>59</v>
      </c>
      <c r="AB173" s="43" t="n">
        <f aca="false">AB99</f>
        <v>59</v>
      </c>
      <c r="AC173" s="43" t="n">
        <f aca="false">AC99</f>
        <v>46</v>
      </c>
      <c r="AD173" s="43" t="n">
        <f aca="false">AD99</f>
        <v>36</v>
      </c>
      <c r="AE173" s="43" t="n">
        <f aca="false">AE99</f>
        <v>36</v>
      </c>
    </row>
    <row r="174" customFormat="false" ht="15" hidden="false" customHeight="true" outlineLevel="0" collapsed="false">
      <c r="B174" s="11" t="s">
        <v>301</v>
      </c>
      <c r="C174" s="33" t="n">
        <v>0</v>
      </c>
      <c r="D174" s="33" t="n">
        <v>0</v>
      </c>
      <c r="E174" s="33" t="n">
        <v>0</v>
      </c>
      <c r="F174" s="33" t="n">
        <v>64</v>
      </c>
      <c r="G174" s="33" t="n">
        <v>64</v>
      </c>
      <c r="H174" s="33" t="n">
        <v>0</v>
      </c>
      <c r="I174" s="33" t="n">
        <v>0</v>
      </c>
      <c r="J174" s="33" t="n">
        <v>0</v>
      </c>
      <c r="K174" s="33" t="n">
        <v>0</v>
      </c>
      <c r="L174" s="33" t="n">
        <v>0</v>
      </c>
      <c r="M174" s="33" t="n">
        <v>0</v>
      </c>
      <c r="N174" s="33" t="n">
        <v>0</v>
      </c>
      <c r="O174" s="33" t="n">
        <v>0</v>
      </c>
      <c r="P174" s="33" t="n">
        <v>0</v>
      </c>
      <c r="Q174" s="33" t="n">
        <v>0</v>
      </c>
      <c r="R174" s="33" t="n">
        <v>0</v>
      </c>
      <c r="S174" s="33" t="n">
        <v>0</v>
      </c>
      <c r="T174" s="33" t="n">
        <v>0</v>
      </c>
      <c r="U174" s="33" t="n">
        <v>0</v>
      </c>
      <c r="V174" s="33" t="n">
        <v>0</v>
      </c>
      <c r="W174" s="33" t="n">
        <v>0</v>
      </c>
      <c r="X174" s="33" t="n">
        <v>0</v>
      </c>
      <c r="Y174" s="43" t="n">
        <f aca="false">Y116</f>
        <v>0</v>
      </c>
      <c r="Z174" s="43" t="n">
        <f aca="false">Z116</f>
        <v>0</v>
      </c>
      <c r="AA174" s="43" t="n">
        <f aca="false">SUM(W174,X174,Y174,Z174)</f>
        <v>0</v>
      </c>
      <c r="AB174" s="43" t="n">
        <f aca="false">AB116</f>
        <v>0</v>
      </c>
      <c r="AC174" s="43" t="n">
        <f aca="false">AC116</f>
        <v>0</v>
      </c>
      <c r="AD174" s="43" t="n">
        <f aca="false">AD116</f>
        <v>0</v>
      </c>
      <c r="AE174" s="43" t="n">
        <f aca="false">AE116</f>
        <v>0</v>
      </c>
    </row>
    <row r="175" customFormat="false" ht="15" hidden="false" customHeight="true" outlineLevel="0" collapsed="false">
      <c r="B175" s="11" t="s">
        <v>302</v>
      </c>
      <c r="C175" s="33" t="n">
        <v>0</v>
      </c>
      <c r="D175" s="33" t="n">
        <v>0</v>
      </c>
      <c r="E175" s="33" t="n">
        <v>0</v>
      </c>
      <c r="F175" s="33" t="n">
        <v>0</v>
      </c>
      <c r="G175" s="33" t="n">
        <v>0</v>
      </c>
      <c r="H175" s="33" t="n">
        <v>0</v>
      </c>
      <c r="I175" s="33" t="n">
        <v>0</v>
      </c>
      <c r="J175" s="33" t="n">
        <v>0</v>
      </c>
      <c r="K175" s="33" t="n">
        <v>8</v>
      </c>
      <c r="L175" s="33" t="n">
        <v>8</v>
      </c>
      <c r="M175" s="33" t="n">
        <v>0</v>
      </c>
      <c r="N175" s="33" t="n">
        <v>0</v>
      </c>
      <c r="O175" s="33" t="n">
        <v>0</v>
      </c>
      <c r="P175" s="33" t="n">
        <v>0</v>
      </c>
      <c r="Q175" s="33" t="n">
        <v>0</v>
      </c>
      <c r="R175" s="33" t="n">
        <v>-11</v>
      </c>
      <c r="S175" s="33" t="n">
        <v>-2</v>
      </c>
      <c r="T175" s="33" t="n">
        <v>35</v>
      </c>
      <c r="U175" s="33" t="n">
        <v>0</v>
      </c>
      <c r="V175" s="33" t="n">
        <v>22</v>
      </c>
      <c r="W175" s="33" t="n">
        <v>0</v>
      </c>
      <c r="X175" s="33" t="n">
        <v>1</v>
      </c>
      <c r="Y175" s="43" t="n">
        <f aca="false">Y117+Y118</f>
        <v>0</v>
      </c>
      <c r="Z175" s="43" t="n">
        <f aca="false">Z117+Z118</f>
        <v>0</v>
      </c>
      <c r="AA175" s="43" t="n">
        <f aca="false">SUM(W175,X175,Y175,Z175)</f>
        <v>1</v>
      </c>
      <c r="AB175" s="43" t="n">
        <f aca="false">AB117+AB118</f>
        <v>0</v>
      </c>
      <c r="AC175" s="43" t="n">
        <f aca="false">AC117+AC118</f>
        <v>0</v>
      </c>
      <c r="AD175" s="43" t="n">
        <f aca="false">AD117+AD118</f>
        <v>0</v>
      </c>
      <c r="AE175" s="43" t="n">
        <f aca="false">AE117+AE118</f>
        <v>0</v>
      </c>
    </row>
    <row r="176" customFormat="false" ht="15" hidden="false" customHeight="true" outlineLevel="0" collapsed="false">
      <c r="B176" s="11" t="s">
        <v>278</v>
      </c>
      <c r="C176" s="33" t="n">
        <v>7</v>
      </c>
      <c r="D176" s="33" t="n">
        <v>7</v>
      </c>
      <c r="E176" s="33" t="n">
        <v>2</v>
      </c>
      <c r="F176" s="33" t="n">
        <v>42</v>
      </c>
      <c r="G176" s="33" t="n">
        <v>58</v>
      </c>
      <c r="H176" s="33" t="n">
        <v>22</v>
      </c>
      <c r="I176" s="33" t="n">
        <v>17</v>
      </c>
      <c r="J176" s="33" t="n">
        <v>8</v>
      </c>
      <c r="K176" s="33" t="n">
        <v>11</v>
      </c>
      <c r="L176" s="33" t="n">
        <v>58</v>
      </c>
      <c r="M176" s="33" t="n">
        <v>14</v>
      </c>
      <c r="N176" s="33" t="n">
        <v>12</v>
      </c>
      <c r="O176" s="33" t="n">
        <v>13</v>
      </c>
      <c r="P176" s="33" t="n">
        <v>14</v>
      </c>
      <c r="Q176" s="33" t="n">
        <v>53</v>
      </c>
      <c r="R176" s="33" t="n">
        <v>3</v>
      </c>
      <c r="S176" s="33" t="n">
        <v>3</v>
      </c>
      <c r="T176" s="33" t="n">
        <v>1</v>
      </c>
      <c r="U176" s="33" t="n">
        <v>1</v>
      </c>
      <c r="V176" s="33" t="n">
        <v>8</v>
      </c>
      <c r="W176" s="33" t="n">
        <v>2</v>
      </c>
      <c r="X176" s="33" t="n">
        <v>2</v>
      </c>
      <c r="Y176" s="43" t="n">
        <f aca="false">Y119</f>
        <v>0</v>
      </c>
      <c r="Z176" s="43" t="n">
        <f aca="false">Z119</f>
        <v>0</v>
      </c>
      <c r="AA176" s="43" t="n">
        <f aca="false">SUM(W176,X176,Y176,Z176)</f>
        <v>4</v>
      </c>
      <c r="AB176" s="43" t="n">
        <f aca="false">AB119</f>
        <v>0</v>
      </c>
      <c r="AC176" s="43" t="n">
        <f aca="false">AC119</f>
        <v>0</v>
      </c>
      <c r="AD176" s="43" t="n">
        <f aca="false">AD119</f>
        <v>0</v>
      </c>
      <c r="AE176" s="43" t="n">
        <f aca="false">AE119</f>
        <v>0</v>
      </c>
    </row>
    <row r="177" customFormat="false" ht="15" hidden="false" customHeight="true" outlineLevel="0" collapsed="false">
      <c r="B177" s="11" t="s">
        <v>279</v>
      </c>
      <c r="C177" s="33" t="n">
        <v>6</v>
      </c>
      <c r="D177" s="33" t="n">
        <v>2</v>
      </c>
      <c r="E177" s="33" t="n">
        <v>7</v>
      </c>
      <c r="F177" s="33" t="n">
        <v>35</v>
      </c>
      <c r="G177" s="33" t="n">
        <v>50</v>
      </c>
      <c r="H177" s="33" t="n">
        <v>24</v>
      </c>
      <c r="I177" s="33" t="n">
        <v>10</v>
      </c>
      <c r="J177" s="33" t="n">
        <v>1</v>
      </c>
      <c r="K177" s="33" t="n">
        <v>9</v>
      </c>
      <c r="L177" s="33" t="n">
        <v>44</v>
      </c>
      <c r="M177" s="33" t="n">
        <v>8</v>
      </c>
      <c r="N177" s="33" t="n">
        <v>6</v>
      </c>
      <c r="O177" s="33" t="n">
        <v>3</v>
      </c>
      <c r="P177" s="33" t="n">
        <v>10</v>
      </c>
      <c r="Q177" s="33" t="n">
        <v>27</v>
      </c>
      <c r="R177" s="33" t="n">
        <v>12</v>
      </c>
      <c r="S177" s="33" t="n">
        <v>8</v>
      </c>
      <c r="T177" s="33" t="n">
        <v>6</v>
      </c>
      <c r="U177" s="33" t="n">
        <v>33</v>
      </c>
      <c r="V177" s="33" t="n">
        <v>59</v>
      </c>
      <c r="W177" s="33" t="n">
        <v>9</v>
      </c>
      <c r="X177" s="33" t="n">
        <v>22</v>
      </c>
      <c r="Y177" s="43" t="n">
        <f aca="false">Y120</f>
        <v>11</v>
      </c>
      <c r="Z177" s="43" t="n">
        <f aca="false">Z120</f>
        <v>11</v>
      </c>
      <c r="AA177" s="43" t="n">
        <f aca="false">SUM(W177,X177,Y177,Z177)</f>
        <v>53</v>
      </c>
      <c r="AB177" s="43" t="n">
        <f aca="false">AB120</f>
        <v>20</v>
      </c>
      <c r="AC177" s="43" t="n">
        <f aca="false">AC120</f>
        <v>20</v>
      </c>
      <c r="AD177" s="43" t="n">
        <f aca="false">AD120</f>
        <v>20</v>
      </c>
      <c r="AE177" s="43" t="n">
        <f aca="false">AE120</f>
        <v>20</v>
      </c>
    </row>
    <row r="178" customFormat="false" ht="15" hidden="false" customHeight="true" outlineLevel="0" collapsed="false">
      <c r="B178" s="11" t="s">
        <v>303</v>
      </c>
      <c r="C178" s="33" t="n">
        <v>0</v>
      </c>
      <c r="D178" s="33" t="n">
        <v>0</v>
      </c>
      <c r="E178" s="33" t="n">
        <v>0</v>
      </c>
      <c r="F178" s="33" t="n">
        <v>0</v>
      </c>
      <c r="G178" s="33" t="n">
        <v>0</v>
      </c>
      <c r="H178" s="33" t="n">
        <v>0</v>
      </c>
      <c r="I178" s="33" t="n">
        <v>0</v>
      </c>
      <c r="J178" s="33" t="n">
        <v>0</v>
      </c>
      <c r="K178" s="33" t="n">
        <v>0</v>
      </c>
      <c r="L178" s="33" t="n">
        <v>0</v>
      </c>
      <c r="M178" s="33" t="n">
        <v>0</v>
      </c>
      <c r="N178" s="33" t="n">
        <v>0</v>
      </c>
      <c r="O178" s="33" t="n">
        <v>0</v>
      </c>
      <c r="P178" s="33" t="n">
        <v>0</v>
      </c>
      <c r="Q178" s="33" t="n">
        <v>0</v>
      </c>
      <c r="R178" s="33" t="n">
        <v>0</v>
      </c>
      <c r="S178" s="33" t="n">
        <v>0</v>
      </c>
      <c r="T178" s="33" t="n">
        <v>0</v>
      </c>
      <c r="U178" s="33" t="n">
        <v>0</v>
      </c>
      <c r="V178" s="33" t="n">
        <v>0</v>
      </c>
      <c r="W178" s="33" t="n">
        <v>0</v>
      </c>
      <c r="X178" s="33" t="n">
        <v>0</v>
      </c>
      <c r="Y178" s="48" t="n">
        <v>0</v>
      </c>
      <c r="Z178" s="48" t="n">
        <v>0</v>
      </c>
      <c r="AA178" s="43" t="n">
        <f aca="false">SUM(W178,X178,Y178,Z178)</f>
        <v>0</v>
      </c>
      <c r="AB178" s="48" t="n">
        <v>0</v>
      </c>
      <c r="AC178" s="48" t="n">
        <v>0</v>
      </c>
      <c r="AD178" s="48" t="n">
        <v>0</v>
      </c>
      <c r="AE178" s="48" t="n">
        <v>0</v>
      </c>
    </row>
    <row r="179" customFormat="false" ht="15" hidden="false" customHeight="true" outlineLevel="0" collapsed="false">
      <c r="B179" s="11" t="s">
        <v>304</v>
      </c>
      <c r="C179" s="50" t="n">
        <f aca="false">SUM(C172:C178)</f>
        <v>27</v>
      </c>
      <c r="D179" s="50" t="n">
        <f aca="false">SUM(D172:D178)</f>
        <v>48</v>
      </c>
      <c r="E179" s="50" t="n">
        <f aca="false">SUM(E172:E178)</f>
        <v>22</v>
      </c>
      <c r="F179" s="50" t="n">
        <f aca="false">SUM(F172:F178)</f>
        <v>168</v>
      </c>
      <c r="G179" s="50" t="n">
        <f aca="false">SUM(G172:G178)</f>
        <v>265</v>
      </c>
      <c r="H179" s="50" t="n">
        <f aca="false">SUM(H172:H178)</f>
        <v>59</v>
      </c>
      <c r="I179" s="50" t="n">
        <f aca="false">SUM(I172:I178)</f>
        <v>64</v>
      </c>
      <c r="J179" s="50" t="n">
        <f aca="false">SUM(J172:J178)</f>
        <v>24</v>
      </c>
      <c r="K179" s="50" t="n">
        <f aca="false">SUM(K172:K178)</f>
        <v>43</v>
      </c>
      <c r="L179" s="50" t="n">
        <f aca="false">SUM(L172:L178)</f>
        <v>190</v>
      </c>
      <c r="M179" s="50" t="n">
        <f aca="false">SUM(M172:M178)</f>
        <v>36</v>
      </c>
      <c r="N179" s="50" t="n">
        <f aca="false">SUM(N172:N178)</f>
        <v>32</v>
      </c>
      <c r="O179" s="50" t="n">
        <f aca="false">SUM(O172:O178)</f>
        <v>30</v>
      </c>
      <c r="P179" s="50" t="n">
        <f aca="false">SUM(P172:P178)</f>
        <v>38</v>
      </c>
      <c r="Q179" s="50" t="n">
        <f aca="false">SUM(Q172:Q178)</f>
        <v>137</v>
      </c>
      <c r="R179" s="50" t="n">
        <f aca="false">SUM(R172:R178)</f>
        <v>23</v>
      </c>
      <c r="S179" s="50" t="n">
        <f aca="false">SUM(S172:S178)</f>
        <v>24</v>
      </c>
      <c r="T179" s="50" t="n">
        <f aca="false">SUM(T172:T178)</f>
        <v>57</v>
      </c>
      <c r="U179" s="50" t="n">
        <f aca="false">SUM(U172:U178)</f>
        <v>49</v>
      </c>
      <c r="V179" s="50" t="n">
        <f aca="false">SUM(V172:V178)</f>
        <v>153</v>
      </c>
      <c r="W179" s="50" t="n">
        <f aca="false">SUM(W172:W178)</f>
        <v>26</v>
      </c>
      <c r="X179" s="50" t="n">
        <f aca="false">SUM(X172:X178)</f>
        <v>45</v>
      </c>
      <c r="Y179" s="43" t="n">
        <f aca="false">SUM(Y172:Y178)</f>
        <v>25.5</v>
      </c>
      <c r="Z179" s="43" t="n">
        <f aca="false">SUM(Z172:Z178)</f>
        <v>25.5</v>
      </c>
      <c r="AA179" s="43" t="n">
        <f aca="false">SUM(AA172:AA178)</f>
        <v>122</v>
      </c>
      <c r="AB179" s="43" t="n">
        <f aca="false">SUM(AB172:AB178)</f>
        <v>79</v>
      </c>
      <c r="AC179" s="43" t="n">
        <f aca="false">SUM(AC172:AC178)</f>
        <v>66</v>
      </c>
      <c r="AD179" s="43" t="n">
        <f aca="false">SUM(AD172:AD178)</f>
        <v>56</v>
      </c>
      <c r="AE179" s="43" t="n">
        <f aca="false">SUM(AE172:AE178)</f>
        <v>56</v>
      </c>
    </row>
    <row r="180" customFormat="false" ht="15" hidden="false" customHeight="true" outlineLevel="0" collapsed="false">
      <c r="B180" s="11" t="s">
        <v>305</v>
      </c>
      <c r="C180" s="42" t="n">
        <f aca="false">IFERROR(-C181/C179,"")</f>
        <v>0.222222222222222</v>
      </c>
      <c r="D180" s="42" t="n">
        <f aca="false">IFERROR(-D181/D179,"")</f>
        <v>0.25</v>
      </c>
      <c r="E180" s="42" t="n">
        <f aca="false">IFERROR(-E181/E179,"")</f>
        <v>0.181818181818182</v>
      </c>
      <c r="F180" s="42" t="n">
        <f aca="false">IFERROR(-F181/F179,"")</f>
        <v>0.113095238095238</v>
      </c>
      <c r="G180" s="42" t="n">
        <f aca="false">IFERROR(-G181/G179,"")</f>
        <v>0.154716981132075</v>
      </c>
      <c r="H180" s="42" t="n">
        <f aca="false">IFERROR(-H181/H179,"")</f>
        <v>0.186440677966102</v>
      </c>
      <c r="I180" s="42" t="n">
        <f aca="false">IFERROR(-I181/I179,"")</f>
        <v>0.1875</v>
      </c>
      <c r="J180" s="42" t="n">
        <f aca="false">IFERROR(-J181/J179,"")</f>
        <v>0.208333333333333</v>
      </c>
      <c r="K180" s="42" t="n">
        <f aca="false">IFERROR(-K181/K179,"")</f>
        <v>0.186046511627907</v>
      </c>
      <c r="L180" s="42" t="n">
        <f aca="false">IFERROR(-L181/L179,"")</f>
        <v>0.189473684210526</v>
      </c>
      <c r="M180" s="42" t="n">
        <f aca="false">IFERROR(-M181/M179,"")</f>
        <v>0.194444444444444</v>
      </c>
      <c r="N180" s="42" t="n">
        <f aca="false">IFERROR(-N181/N179,"")</f>
        <v>0.1875</v>
      </c>
      <c r="O180" s="42" t="n">
        <f aca="false">IFERROR(-O181/O179,"")</f>
        <v>0.166666666666667</v>
      </c>
      <c r="P180" s="42" t="n">
        <f aca="false">IFERROR(-P181/P179,"")</f>
        <v>0.157894736842105</v>
      </c>
      <c r="Q180" s="42" t="n">
        <f aca="false">IFERROR(-Q181/Q179,"")</f>
        <v>0.175182481751825</v>
      </c>
      <c r="R180" s="42" t="n">
        <f aca="false">IFERROR(-R181/R179,"")</f>
        <v>0.217391304347826</v>
      </c>
      <c r="S180" s="42" t="n">
        <f aca="false">IFERROR(-S181/S179,"")</f>
        <v>0.208333333333333</v>
      </c>
      <c r="T180" s="42" t="n">
        <f aca="false">IFERROR(-T181/T179,"")</f>
        <v>0.210526315789474</v>
      </c>
      <c r="U180" s="42" t="n">
        <f aca="false">IFERROR(-U181/U179,"")</f>
        <v>0.0612244897959184</v>
      </c>
      <c r="V180" s="42" t="n">
        <f aca="false">IFERROR(-V181/V179,"")</f>
        <v>0.156862745098039</v>
      </c>
      <c r="W180" s="42" t="n">
        <f aca="false">IFERROR(-W181/W179,"")</f>
        <v>0.115384615384615</v>
      </c>
      <c r="X180" s="42" t="n">
        <f aca="false">IFERROR(-X181/X179,"")</f>
        <v>0.111111111111111</v>
      </c>
      <c r="Y180" s="29" t="n">
        <v>0.24</v>
      </c>
      <c r="Z180" s="29" t="n">
        <v>0.24</v>
      </c>
      <c r="AA180" s="30" t="n">
        <f aca="false">IFERROR(-AA181/AA179,"")</f>
        <v>0.165901639344262</v>
      </c>
      <c r="AB180" s="29" t="n">
        <v>0.24</v>
      </c>
      <c r="AC180" s="29" t="n">
        <v>0.24</v>
      </c>
      <c r="AD180" s="29" t="n">
        <v>0.24</v>
      </c>
      <c r="AE180" s="29" t="n">
        <v>0.24</v>
      </c>
      <c r="AF180" s="20" t="s">
        <v>306</v>
      </c>
    </row>
    <row r="181" customFormat="false" ht="15" hidden="false" customHeight="true" outlineLevel="0" collapsed="false">
      <c r="B181" s="11" t="s">
        <v>307</v>
      </c>
      <c r="C181" s="33" t="n">
        <v>-6</v>
      </c>
      <c r="D181" s="33" t="n">
        <v>-12</v>
      </c>
      <c r="E181" s="33" t="n">
        <v>-4</v>
      </c>
      <c r="F181" s="33" t="n">
        <v>-19</v>
      </c>
      <c r="G181" s="33" t="n">
        <v>-41</v>
      </c>
      <c r="H181" s="33" t="n">
        <v>-11</v>
      </c>
      <c r="I181" s="33" t="n">
        <v>-12</v>
      </c>
      <c r="J181" s="33" t="n">
        <v>-5</v>
      </c>
      <c r="K181" s="33" t="n">
        <v>-8</v>
      </c>
      <c r="L181" s="33" t="n">
        <v>-36</v>
      </c>
      <c r="M181" s="33" t="n">
        <v>-7</v>
      </c>
      <c r="N181" s="33" t="n">
        <v>-6</v>
      </c>
      <c r="O181" s="33" t="n">
        <v>-5</v>
      </c>
      <c r="P181" s="33" t="n">
        <v>-6</v>
      </c>
      <c r="Q181" s="33" t="n">
        <v>-24</v>
      </c>
      <c r="R181" s="33" t="n">
        <v>-5</v>
      </c>
      <c r="S181" s="33" t="n">
        <v>-5</v>
      </c>
      <c r="T181" s="33" t="n">
        <v>-12</v>
      </c>
      <c r="U181" s="33" t="n">
        <v>-3</v>
      </c>
      <c r="V181" s="33" t="n">
        <v>-24</v>
      </c>
      <c r="W181" s="33" t="n">
        <v>-3</v>
      </c>
      <c r="X181" s="33" t="n">
        <v>-5</v>
      </c>
      <c r="Y181" s="43" t="n">
        <f aca="false">-Y179*Y180</f>
        <v>-6.12</v>
      </c>
      <c r="Z181" s="43" t="n">
        <f aca="false">-Z179*Z180</f>
        <v>-6.12</v>
      </c>
      <c r="AA181" s="43" t="n">
        <f aca="false">SUM(W181,X181,Y181,Z181)</f>
        <v>-20.24</v>
      </c>
      <c r="AB181" s="43" t="n">
        <f aca="false">-AB179*AB180</f>
        <v>-18.96</v>
      </c>
      <c r="AC181" s="43" t="n">
        <f aca="false">-AC179*AC180</f>
        <v>-15.84</v>
      </c>
      <c r="AD181" s="43" t="n">
        <f aca="false">-AD179*AD180</f>
        <v>-13.44</v>
      </c>
      <c r="AE181" s="43" t="n">
        <f aca="false">-AE179*AE180</f>
        <v>-13.44</v>
      </c>
    </row>
    <row r="182" customFormat="false" ht="15" hidden="false" customHeight="true" outlineLevel="0" collapsed="false">
      <c r="B182" s="11" t="s">
        <v>308</v>
      </c>
      <c r="C182" s="33" t="n">
        <v>0</v>
      </c>
      <c r="D182" s="33" t="n">
        <v>0</v>
      </c>
      <c r="E182" s="33" t="n">
        <v>0</v>
      </c>
      <c r="F182" s="33" t="n">
        <v>0</v>
      </c>
      <c r="G182" s="33" t="n">
        <v>0</v>
      </c>
      <c r="H182" s="33" t="n">
        <v>0</v>
      </c>
      <c r="I182" s="33" t="n">
        <v>0</v>
      </c>
      <c r="J182" s="33" t="n">
        <v>0</v>
      </c>
      <c r="K182" s="33" t="n">
        <v>0</v>
      </c>
      <c r="L182" s="33" t="n">
        <v>0</v>
      </c>
      <c r="M182" s="33" t="n">
        <v>0</v>
      </c>
      <c r="N182" s="33" t="n">
        <v>-41</v>
      </c>
      <c r="O182" s="33" t="n">
        <v>2</v>
      </c>
      <c r="P182" s="33" t="n">
        <v>-1</v>
      </c>
      <c r="Q182" s="33" t="n">
        <v>-41</v>
      </c>
      <c r="R182" s="33" t="n">
        <v>1</v>
      </c>
      <c r="S182" s="33" t="n">
        <v>0</v>
      </c>
      <c r="T182" s="33" t="n">
        <v>0</v>
      </c>
      <c r="U182" s="33" t="n">
        <v>0</v>
      </c>
      <c r="V182" s="33" t="n">
        <v>1</v>
      </c>
      <c r="W182" s="33" t="n">
        <v>-3</v>
      </c>
      <c r="X182" s="33" t="n">
        <v>-2</v>
      </c>
      <c r="Y182" s="48" t="n">
        <v>0</v>
      </c>
      <c r="Z182" s="48" t="n">
        <v>0</v>
      </c>
      <c r="AA182" s="43" t="n">
        <f aca="false">SUM(W182,X182,Y182,Z182)</f>
        <v>-5</v>
      </c>
      <c r="AB182" s="48" t="n">
        <v>0</v>
      </c>
      <c r="AC182" s="48" t="n">
        <v>0</v>
      </c>
      <c r="AD182" s="48" t="n">
        <v>0</v>
      </c>
      <c r="AE182" s="48" t="n">
        <v>0</v>
      </c>
      <c r="AF182" s="20" t="s">
        <v>309</v>
      </c>
    </row>
    <row r="183" customFormat="false" ht="15" hidden="false" customHeight="true" outlineLevel="0" collapsed="false">
      <c r="B183" s="11" t="s">
        <v>310</v>
      </c>
      <c r="C183" s="50" t="n">
        <f aca="false">IF(ISNUMBER(C185),C185-(C171+C179+C181+C182),0)</f>
        <v>0</v>
      </c>
      <c r="D183" s="50" t="n">
        <f aca="false">IF(ISNUMBER(D185),D185-(D171+D179+D181+D182),0)</f>
        <v>0</v>
      </c>
      <c r="E183" s="50" t="n">
        <f aca="false">IF(ISNUMBER(E185),E185-(E171+E179+E181+E182),0)</f>
        <v>0</v>
      </c>
      <c r="F183" s="50" t="n">
        <f aca="false">IF(ISNUMBER(F185),F185-(F171+F179+F181+F182),0)</f>
        <v>0</v>
      </c>
      <c r="G183" s="50" t="n">
        <f aca="false">IF(ISNUMBER(G185),G185-(G171+G179+G181+G182),0)</f>
        <v>0</v>
      </c>
      <c r="H183" s="50" t="n">
        <f aca="false">IF(ISNUMBER(H185),H185-(H171+H179+H181+H182),0)</f>
        <v>0</v>
      </c>
      <c r="I183" s="50" t="n">
        <f aca="false">IF(ISNUMBER(I185),I185-(I171+I179+I181+I182),0)</f>
        <v>0</v>
      </c>
      <c r="J183" s="50" t="n">
        <f aca="false">IF(ISNUMBER(J185),J185-(J171+J179+J181+J182),0)</f>
        <v>0</v>
      </c>
      <c r="K183" s="50" t="n">
        <f aca="false">IF(ISNUMBER(K185),K185-(K171+K179+K181+K182),0)</f>
        <v>0</v>
      </c>
      <c r="L183" s="50" t="n">
        <f aca="false">IF(ISNUMBER(L185),L185-(L171+L179+L181+L182),0)</f>
        <v>0</v>
      </c>
      <c r="M183" s="50" t="n">
        <f aca="false">IF(ISNUMBER(M185),M185-(M171+M179+M181+M182),0)</f>
        <v>1</v>
      </c>
      <c r="N183" s="50" t="n">
        <f aca="false">IF(ISNUMBER(N185),N185-(N171+N179+N181+N182),0)</f>
        <v>0</v>
      </c>
      <c r="O183" s="50" t="n">
        <f aca="false">IF(ISNUMBER(O185),O185-(O171+O179+O181+O182),0)</f>
        <v>0</v>
      </c>
      <c r="P183" s="50" t="n">
        <f aca="false">IF(ISNUMBER(P185),P185-(P171+P179+P181+P182),0)</f>
        <v>0</v>
      </c>
      <c r="Q183" s="50" t="n">
        <f aca="false">IF(ISNUMBER(Q185),Q185-(Q171+Q179+Q181+Q182),0)</f>
        <v>1</v>
      </c>
      <c r="R183" s="50" t="n">
        <f aca="false">IF(ISNUMBER(R185),R185-(R171+R179+R181+R182),0)</f>
        <v>-1</v>
      </c>
      <c r="S183" s="50" t="n">
        <f aca="false">IF(ISNUMBER(S185),S185-(S171+S179+S181+S182),0)</f>
        <v>0</v>
      </c>
      <c r="T183" s="50" t="n">
        <f aca="false">IF(ISNUMBER(T185),T185-(T171+T179+T181+T182),0)</f>
        <v>1</v>
      </c>
      <c r="U183" s="50" t="n">
        <f aca="false">IF(ISNUMBER(U185),U185-(U171+U179+U181+U182),0)</f>
        <v>0</v>
      </c>
      <c r="V183" s="50" t="n">
        <f aca="false">IF(ISNUMBER(V185),V185-(V171+V179+V181+V182),0)</f>
        <v>-1</v>
      </c>
      <c r="W183" s="50" t="n">
        <f aca="false">IF(ISNUMBER(W185),W185-(W171+W179+W181+W182),0)</f>
        <v>0</v>
      </c>
      <c r="X183" s="50" t="n">
        <f aca="false">IF(ISNUMBER(X185),X185-(X171+X179+X181+X182),0)</f>
        <v>1</v>
      </c>
      <c r="Y183" s="48" t="n">
        <v>0</v>
      </c>
      <c r="Z183" s="48" t="n">
        <v>0</v>
      </c>
      <c r="AA183" s="43" t="n">
        <f aca="false">SUM(W183,X183,Y183,Z183)</f>
        <v>1</v>
      </c>
      <c r="AB183" s="48" t="n">
        <v>0</v>
      </c>
      <c r="AC183" s="48" t="n">
        <v>0</v>
      </c>
      <c r="AD183" s="48" t="n">
        <v>0</v>
      </c>
      <c r="AE183" s="48" t="n">
        <v>0</v>
      </c>
    </row>
    <row r="184" customFormat="false" ht="15" hidden="false" customHeight="true" outlineLevel="0" collapsed="false">
      <c r="B184" s="51" t="s">
        <v>311</v>
      </c>
      <c r="C184" s="52" t="n">
        <f aca="false">C171+C179+C181+C182+C183</f>
        <v>53</v>
      </c>
      <c r="D184" s="52" t="n">
        <f aca="false">D171+D179+D181+D182+D183</f>
        <v>132</v>
      </c>
      <c r="E184" s="52" t="n">
        <f aca="false">E171+E179+E181+E182+E183</f>
        <v>110</v>
      </c>
      <c r="F184" s="52" t="n">
        <f aca="false">F171+F179+F181+F182+F183</f>
        <v>113</v>
      </c>
      <c r="G184" s="52" t="n">
        <f aca="false">G171+G179+G181+G182+G183</f>
        <v>408</v>
      </c>
      <c r="H184" s="52" t="n">
        <f aca="false">H171+H179+H181+H182+H183</f>
        <v>65</v>
      </c>
      <c r="I184" s="52" t="n">
        <f aca="false">I171+I179+I181+I182+I183</f>
        <v>83</v>
      </c>
      <c r="J184" s="52" t="n">
        <f aca="false">J171+J179+J181+J182+J183</f>
        <v>105</v>
      </c>
      <c r="K184" s="52" t="n">
        <f aca="false">K171+K179+K181+K182+K183</f>
        <v>93</v>
      </c>
      <c r="L184" s="52" t="n">
        <f aca="false">L171+L179+L181+L182+L183</f>
        <v>346</v>
      </c>
      <c r="M184" s="52" t="n">
        <f aca="false">M171+M179+M181+M182+M183</f>
        <v>97</v>
      </c>
      <c r="N184" s="52" t="n">
        <f aca="false">N171+N179+N181+N182+N183</f>
        <v>135</v>
      </c>
      <c r="O184" s="52" t="n">
        <f aca="false">O171+O179+O181+O182+O183</f>
        <v>122</v>
      </c>
      <c r="P184" s="52" t="n">
        <f aca="false">P171+P179+P181+P182+P183</f>
        <v>107</v>
      </c>
      <c r="Q184" s="52" t="n">
        <f aca="false">Q171+Q179+Q181+Q182+Q183</f>
        <v>460</v>
      </c>
      <c r="R184" s="52" t="n">
        <f aca="false">R171+R179+R181+R182+R183</f>
        <v>87</v>
      </c>
      <c r="S184" s="52" t="n">
        <f aca="false">S171+S179+S181+S182+S183</f>
        <v>125</v>
      </c>
      <c r="T184" s="52" t="n">
        <f aca="false">T171+T179+T181+T182+T183</f>
        <v>128</v>
      </c>
      <c r="U184" s="52" t="n">
        <f aca="false">U171+U179+U181+U182+U183</f>
        <v>105</v>
      </c>
      <c r="V184" s="52" t="n">
        <f aca="false">V171+V179+V181+V182+V183</f>
        <v>445</v>
      </c>
      <c r="W184" s="52" t="n">
        <f aca="false">W171+W179+W181+W182+W183</f>
        <v>121</v>
      </c>
      <c r="X184" s="52" t="n">
        <f aca="false">X171+X179+X181+X182+X183</f>
        <v>201</v>
      </c>
      <c r="Y184" s="52" t="n">
        <f aca="false">Y171+Y179+Y181+Y182+Y183</f>
        <v>195.728820105752</v>
      </c>
      <c r="Z184" s="52" t="n">
        <f aca="false">Z171+Z179+Z181+Z182+Z183</f>
        <v>158.376781392809</v>
      </c>
      <c r="AA184" s="52" t="n">
        <f aca="false">AA171+AA179+AA181+AA182+AA183</f>
        <v>676.105601498561</v>
      </c>
      <c r="AB184" s="52" t="n">
        <f aca="false">AB171+AB179+AB181+AB182+AB183</f>
        <v>773.03660133405</v>
      </c>
      <c r="AC184" s="52" t="n">
        <f aca="false">AC171+AC179+AC181+AC182+AC183</f>
        <v>908.013287727507</v>
      </c>
      <c r="AD184" s="52" t="n">
        <f aca="false">AD171+AD179+AD181+AD182+AD183</f>
        <v>1028.47154134989</v>
      </c>
      <c r="AE184" s="52" t="n">
        <f aca="false">AE171+AE179+AE181+AE182+AE183</f>
        <v>1120.98419509665</v>
      </c>
      <c r="AH184" s="25" t="n">
        <f aca="false">IFERROR((AE184/V184)^(1/5)-1,"n/m")</f>
        <v>0.202950884175532</v>
      </c>
      <c r="AI184" s="25" t="n">
        <f aca="false">IFERROR((V184/G184)^(1/3)-1,"n/m")</f>
        <v>0.0293584072650535</v>
      </c>
    </row>
    <row r="185" customFormat="false" ht="15" hidden="false" customHeight="true" outlineLevel="0" collapsed="false">
      <c r="B185" s="58" t="s">
        <v>312</v>
      </c>
      <c r="C185" s="33" t="n">
        <v>53</v>
      </c>
      <c r="D185" s="33" t="n">
        <v>132</v>
      </c>
      <c r="E185" s="33" t="n">
        <v>110</v>
      </c>
      <c r="F185" s="33" t="n">
        <v>113</v>
      </c>
      <c r="G185" s="33" t="n">
        <v>408</v>
      </c>
      <c r="H185" s="33" t="n">
        <v>65</v>
      </c>
      <c r="I185" s="33" t="n">
        <v>83</v>
      </c>
      <c r="J185" s="33" t="n">
        <v>105</v>
      </c>
      <c r="K185" s="33" t="n">
        <v>93</v>
      </c>
      <c r="L185" s="33" t="n">
        <v>346</v>
      </c>
      <c r="M185" s="33" t="n">
        <v>97</v>
      </c>
      <c r="N185" s="33" t="n">
        <v>135</v>
      </c>
      <c r="O185" s="33" t="n">
        <v>122</v>
      </c>
      <c r="P185" s="33" t="n">
        <v>107</v>
      </c>
      <c r="Q185" s="33" t="n">
        <v>460</v>
      </c>
      <c r="R185" s="33" t="n">
        <v>87</v>
      </c>
      <c r="S185" s="33" t="n">
        <v>125</v>
      </c>
      <c r="T185" s="33" t="n">
        <v>128</v>
      </c>
      <c r="U185" s="33" t="n">
        <v>105</v>
      </c>
      <c r="V185" s="33" t="n">
        <v>445</v>
      </c>
      <c r="W185" s="33" t="n">
        <v>121</v>
      </c>
      <c r="X185" s="33" t="n">
        <v>201</v>
      </c>
      <c r="Y185" s="32"/>
      <c r="Z185" s="32"/>
      <c r="AA185" s="32"/>
      <c r="AB185" s="32"/>
      <c r="AC185" s="32"/>
      <c r="AD185" s="32"/>
      <c r="AE185" s="32"/>
    </row>
    <row r="186" customFormat="false" ht="15" hidden="false" customHeight="true" outlineLevel="0" collapsed="false">
      <c r="B186" s="49" t="s">
        <v>313</v>
      </c>
      <c r="C186" s="50" t="n">
        <f aca="false">IF(ISNUMBER(C185),ROUND(C184-C185,1),"n/p")</f>
        <v>0</v>
      </c>
      <c r="D186" s="50" t="n">
        <f aca="false">IF(ISNUMBER(D185),ROUND(D184-D185,1),"n/p")</f>
        <v>0</v>
      </c>
      <c r="E186" s="50" t="n">
        <f aca="false">IF(ISNUMBER(E185),ROUND(E184-E185,1),"n/p")</f>
        <v>0</v>
      </c>
      <c r="F186" s="50" t="n">
        <f aca="false">IF(ISNUMBER(F185),ROUND(F184-F185,1),"n/p")</f>
        <v>0</v>
      </c>
      <c r="G186" s="50" t="n">
        <f aca="false">IF(ISNUMBER(G185),ROUND(G184-G185,1),"n/p")</f>
        <v>0</v>
      </c>
      <c r="H186" s="50" t="n">
        <f aca="false">IF(ISNUMBER(H185),ROUND(H184-H185,1),"n/p")</f>
        <v>0</v>
      </c>
      <c r="I186" s="50" t="n">
        <f aca="false">IF(ISNUMBER(I185),ROUND(I184-I185,1),"n/p")</f>
        <v>0</v>
      </c>
      <c r="J186" s="50" t="n">
        <f aca="false">IF(ISNUMBER(J185),ROUND(J184-J185,1),"n/p")</f>
        <v>0</v>
      </c>
      <c r="K186" s="50" t="n">
        <f aca="false">IF(ISNUMBER(K185),ROUND(K184-K185,1),"n/p")</f>
        <v>0</v>
      </c>
      <c r="L186" s="50" t="n">
        <f aca="false">IF(ISNUMBER(L185),ROUND(L184-L185,1),"n/p")</f>
        <v>0</v>
      </c>
      <c r="M186" s="50" t="n">
        <f aca="false">IF(ISNUMBER(M185),ROUND(M184-M185,1),"n/p")</f>
        <v>0</v>
      </c>
      <c r="N186" s="50" t="n">
        <f aca="false">IF(ISNUMBER(N185),ROUND(N184-N185,1),"n/p")</f>
        <v>0</v>
      </c>
      <c r="O186" s="50" t="n">
        <f aca="false">IF(ISNUMBER(O185),ROUND(O184-O185,1),"n/p")</f>
        <v>0</v>
      </c>
      <c r="P186" s="50" t="n">
        <f aca="false">IF(ISNUMBER(P185),ROUND(P184-P185,1),"n/p")</f>
        <v>0</v>
      </c>
      <c r="Q186" s="50" t="n">
        <f aca="false">IF(ISNUMBER(Q185),ROUND(Q184-Q185,1),"n/p")</f>
        <v>0</v>
      </c>
      <c r="R186" s="50" t="n">
        <f aca="false">IF(ISNUMBER(R185),ROUND(R184-R185,1),"n/p")</f>
        <v>0</v>
      </c>
      <c r="S186" s="50" t="n">
        <f aca="false">IF(ISNUMBER(S185),ROUND(S184-S185,1),"n/p")</f>
        <v>0</v>
      </c>
      <c r="T186" s="50" t="n">
        <f aca="false">IF(ISNUMBER(T185),ROUND(T184-T185,1),"n/p")</f>
        <v>0</v>
      </c>
      <c r="U186" s="50" t="n">
        <f aca="false">IF(ISNUMBER(U185),ROUND(U184-U185,1),"n/p")</f>
        <v>0</v>
      </c>
      <c r="V186" s="50" t="n">
        <f aca="false">IF(ISNUMBER(V185),ROUND(V184-V185,1),"n/p")</f>
        <v>0</v>
      </c>
      <c r="W186" s="50" t="n">
        <f aca="false">IF(ISNUMBER(W185),ROUND(W184-W185,1),"n/p")</f>
        <v>0</v>
      </c>
      <c r="X186" s="50" t="n">
        <f aca="false">IF(ISNUMBER(X185),ROUND(X184-X185,1),"n/p")</f>
        <v>0</v>
      </c>
      <c r="Y186" s="43" t="str">
        <f aca="false">IF(ISNUMBER(Y185),ROUND(Y184-Y185,1),"n/p")</f>
        <v>n/p</v>
      </c>
      <c r="Z186" s="43" t="str">
        <f aca="false">IF(ISNUMBER(Z185),ROUND(Z184-Z185,1),"n/p")</f>
        <v>n/p</v>
      </c>
      <c r="AA186" s="43" t="str">
        <f aca="false">IF(ISNUMBER(AA185),ROUND(AA184-AA185,1),"n/p")</f>
        <v>n/p</v>
      </c>
      <c r="AB186" s="43" t="str">
        <f aca="false">IF(ISNUMBER(AB185),ROUND(AB184-AB185,1),"n/p")</f>
        <v>n/p</v>
      </c>
      <c r="AC186" s="43" t="str">
        <f aca="false">IF(ISNUMBER(AC185),ROUND(AC184-AC185,1),"n/p")</f>
        <v>n/p</v>
      </c>
      <c r="AD186" s="43" t="str">
        <f aca="false">IF(ISNUMBER(AD185),ROUND(AD184-AD185,1),"n/p")</f>
        <v>n/p</v>
      </c>
      <c r="AE186" s="43" t="str">
        <f aca="false">IF(ISNUMBER(AE185),ROUND(AE184-AE185,1),"n/p")</f>
        <v>n/p</v>
      </c>
    </row>
    <row r="187" customFormat="false" ht="15" hidden="false" customHeight="true" outlineLevel="0" collapsed="false">
      <c r="B187" s="11" t="s">
        <v>314</v>
      </c>
      <c r="C187" s="17" t="n">
        <v>116</v>
      </c>
      <c r="D187" s="17" t="n">
        <v>116</v>
      </c>
      <c r="E187" s="17" t="n">
        <v>116</v>
      </c>
      <c r="F187" s="17" t="n">
        <v>116</v>
      </c>
      <c r="G187" s="17" t="n">
        <v>116</v>
      </c>
      <c r="H187" s="17" t="n">
        <v>116</v>
      </c>
      <c r="I187" s="17" t="n">
        <v>118</v>
      </c>
      <c r="J187" s="17" t="n">
        <v>119</v>
      </c>
      <c r="K187" s="17" t="n">
        <v>120</v>
      </c>
      <c r="L187" s="17" t="n">
        <v>118</v>
      </c>
      <c r="M187" s="17" t="n">
        <v>120</v>
      </c>
      <c r="N187" s="17" t="n">
        <v>120</v>
      </c>
      <c r="O187" s="17" t="n">
        <v>120</v>
      </c>
      <c r="P187" s="17" t="n">
        <v>120</v>
      </c>
      <c r="Q187" s="17" t="n">
        <v>120</v>
      </c>
      <c r="R187" s="17" t="n">
        <v>120</v>
      </c>
      <c r="S187" s="17" t="n">
        <v>119</v>
      </c>
      <c r="T187" s="17" t="n">
        <v>120</v>
      </c>
      <c r="U187" s="17" t="n">
        <v>119</v>
      </c>
      <c r="V187" s="17" t="n">
        <v>119</v>
      </c>
      <c r="W187" s="17" t="n">
        <v>119</v>
      </c>
      <c r="X187" s="17" t="n">
        <v>118</v>
      </c>
      <c r="Y187" s="18" t="n">
        <f aca="false">Y135</f>
        <v>117.911111111111</v>
      </c>
      <c r="Z187" s="18" t="n">
        <f aca="false">Z135</f>
        <v>117.733333333333</v>
      </c>
      <c r="AA187" s="18" t="n">
        <f aca="false">AA135</f>
        <v>118.161111111111</v>
      </c>
      <c r="AB187" s="18" t="n">
        <f aca="false">AB135</f>
        <v>117.244765241299</v>
      </c>
      <c r="AC187" s="18" t="n">
        <f aca="false">AC135</f>
        <v>114.273368239842</v>
      </c>
      <c r="AD187" s="18" t="n">
        <f aca="false">AD135</f>
        <v>109.597166653916</v>
      </c>
      <c r="AE187" s="18" t="n">
        <f aca="false">AE135</f>
        <v>104.910241857677</v>
      </c>
    </row>
    <row r="188" customFormat="false" ht="15" hidden="false" customHeight="true" outlineLevel="0" collapsed="false">
      <c r="B188" s="51" t="s">
        <v>315</v>
      </c>
      <c r="C188" s="57" t="n">
        <f aca="false">IF(AND(ISNUMBER(C184),ISNUMBER(C187)),IFERROR(C184/C187,""),"")</f>
        <v>0.456896551724138</v>
      </c>
      <c r="D188" s="57" t="n">
        <f aca="false">IF(AND(ISNUMBER(D184),ISNUMBER(D187)),IFERROR(D184/D187,""),"")</f>
        <v>1.13793103448276</v>
      </c>
      <c r="E188" s="57" t="n">
        <f aca="false">IF(AND(ISNUMBER(E184),ISNUMBER(E187)),IFERROR(E184/E187,""),"")</f>
        <v>0.948275862068966</v>
      </c>
      <c r="F188" s="57" t="n">
        <f aca="false">IF(AND(ISNUMBER(F184),ISNUMBER(F187)),IFERROR(F184/F187,""),"")</f>
        <v>0.974137931034483</v>
      </c>
      <c r="G188" s="57" t="n">
        <f aca="false">IF(AND(ISNUMBER(G184),ISNUMBER(G187)),IFERROR(G184/G187,""),"")</f>
        <v>3.51724137931034</v>
      </c>
      <c r="H188" s="57" t="n">
        <f aca="false">IF(AND(ISNUMBER(H184),ISNUMBER(H187)),IFERROR(H184/H187,""),"")</f>
        <v>0.560344827586207</v>
      </c>
      <c r="I188" s="57" t="n">
        <f aca="false">IF(AND(ISNUMBER(I184),ISNUMBER(I187)),IFERROR(I184/I187,""),"")</f>
        <v>0.703389830508475</v>
      </c>
      <c r="J188" s="57" t="n">
        <f aca="false">IF(AND(ISNUMBER(J184),ISNUMBER(J187)),IFERROR(J184/J187,""),"")</f>
        <v>0.882352941176471</v>
      </c>
      <c r="K188" s="57" t="n">
        <f aca="false">IF(AND(ISNUMBER(K184),ISNUMBER(K187)),IFERROR(K184/K187,""),"")</f>
        <v>0.775</v>
      </c>
      <c r="L188" s="57" t="n">
        <f aca="false">IF(AND(ISNUMBER(L184),ISNUMBER(L187)),IFERROR(L184/L187,""),"")</f>
        <v>2.93220338983051</v>
      </c>
      <c r="M188" s="57" t="n">
        <f aca="false">IF(AND(ISNUMBER(M184),ISNUMBER(M187)),IFERROR(M184/M187,""),"")</f>
        <v>0.808333333333333</v>
      </c>
      <c r="N188" s="57" t="n">
        <f aca="false">IF(AND(ISNUMBER(N184),ISNUMBER(N187)),IFERROR(N184/N187,""),"")</f>
        <v>1.125</v>
      </c>
      <c r="O188" s="57" t="n">
        <f aca="false">IF(AND(ISNUMBER(O184),ISNUMBER(O187)),IFERROR(O184/O187,""),"")</f>
        <v>1.01666666666667</v>
      </c>
      <c r="P188" s="57" t="n">
        <f aca="false">IF(AND(ISNUMBER(P184),ISNUMBER(P187)),IFERROR(P184/P187,""),"")</f>
        <v>0.891666666666667</v>
      </c>
      <c r="Q188" s="57" t="n">
        <f aca="false">IF(AND(ISNUMBER(Q184),ISNUMBER(Q187)),IFERROR(Q184/Q187,""),"")</f>
        <v>3.83333333333333</v>
      </c>
      <c r="R188" s="57" t="n">
        <f aca="false">IF(AND(ISNUMBER(R184),ISNUMBER(R187)),IFERROR(R184/R187,""),"")</f>
        <v>0.725</v>
      </c>
      <c r="S188" s="57" t="n">
        <f aca="false">IF(AND(ISNUMBER(S184),ISNUMBER(S187)),IFERROR(S184/S187,""),"")</f>
        <v>1.05042016806723</v>
      </c>
      <c r="T188" s="57" t="n">
        <f aca="false">IF(AND(ISNUMBER(T184),ISNUMBER(T187)),IFERROR(T184/T187,""),"")</f>
        <v>1.06666666666667</v>
      </c>
      <c r="U188" s="57" t="n">
        <f aca="false">IF(AND(ISNUMBER(U184),ISNUMBER(U187)),IFERROR(U184/U187,""),"")</f>
        <v>0.882352941176471</v>
      </c>
      <c r="V188" s="57" t="n">
        <f aca="false">IF(AND(ISNUMBER(V184),ISNUMBER(V187)),IFERROR(V184/V187,""),"")</f>
        <v>3.73949579831933</v>
      </c>
      <c r="W188" s="57" t="n">
        <f aca="false">IF(AND(ISNUMBER(W184),ISNUMBER(W187)),IFERROR(W184/W187,""),"")</f>
        <v>1.01680672268908</v>
      </c>
      <c r="X188" s="57" t="n">
        <f aca="false">IF(AND(ISNUMBER(X184),ISNUMBER(X187)),IFERROR(X184/X187,""),"")</f>
        <v>1.70338983050847</v>
      </c>
      <c r="Y188" s="57" t="n">
        <f aca="false">IFERROR(Y184/Y187,"")</f>
        <v>1.6599692621106</v>
      </c>
      <c r="Z188" s="57" t="n">
        <f aca="false">IFERROR(Z184/Z187,"")</f>
        <v>1.34521614999555</v>
      </c>
      <c r="AA188" s="57" t="n">
        <f aca="false">IFERROR(AA184/AA187,"")</f>
        <v>5.72189610558752</v>
      </c>
      <c r="AB188" s="57" t="n">
        <f aca="false">IFERROR(AB184/AB187,"")</f>
        <v>6.59335706581935</v>
      </c>
      <c r="AC188" s="57" t="n">
        <f aca="false">IFERROR(AC184/AC187,"")</f>
        <v>7.94597465458209</v>
      </c>
      <c r="AD188" s="57" t="n">
        <f aca="false">IFERROR(AD184/AD187,"")</f>
        <v>9.38410702347425</v>
      </c>
      <c r="AE188" s="57" t="n">
        <f aca="false">IFERROR(AE184/AE187,"")</f>
        <v>10.6851740616269</v>
      </c>
      <c r="AH188" s="25" t="n">
        <f aca="false">IFERROR((AE188/V188)^(1/5)-1,"n/m")</f>
        <v>0.233654963218343</v>
      </c>
      <c r="AI188" s="25" t="n">
        <f aca="false">IFERROR((V188/G188)^(1/3)-1,"n/m")</f>
        <v>0.0206346114508977</v>
      </c>
    </row>
    <row r="189" customFormat="false" ht="15" hidden="false" customHeight="true" outlineLevel="0" collapsed="false">
      <c r="B189" s="58" t="s">
        <v>316</v>
      </c>
      <c r="C189" s="38" t="n">
        <v>0.46</v>
      </c>
      <c r="D189" s="38" t="n">
        <v>1.14</v>
      </c>
      <c r="E189" s="38" t="n">
        <v>0.95</v>
      </c>
      <c r="F189" s="38" t="n">
        <v>0.98</v>
      </c>
      <c r="G189" s="38" t="n">
        <v>3.53</v>
      </c>
      <c r="H189" s="38" t="n">
        <v>0.56</v>
      </c>
      <c r="I189" s="38" t="n">
        <v>0.71</v>
      </c>
      <c r="J189" s="38" t="n">
        <v>0.88</v>
      </c>
      <c r="K189" s="38" t="n">
        <v>0.77</v>
      </c>
      <c r="L189" s="38" t="n">
        <v>2.92</v>
      </c>
      <c r="M189" s="38" t="n">
        <v>0.81</v>
      </c>
      <c r="N189" s="38" t="n">
        <v>1.12</v>
      </c>
      <c r="O189" s="38" t="n">
        <v>1.02</v>
      </c>
      <c r="P189" s="38" t="n">
        <v>0.89</v>
      </c>
      <c r="Q189" s="38" t="n">
        <v>3.83</v>
      </c>
      <c r="R189" s="38" t="n">
        <v>0.73</v>
      </c>
      <c r="S189" s="38" t="n">
        <v>1.05</v>
      </c>
      <c r="T189" s="38" t="n">
        <v>1.07</v>
      </c>
      <c r="U189" s="38" t="n">
        <v>0.88</v>
      </c>
      <c r="V189" s="38" t="n">
        <v>3.73</v>
      </c>
      <c r="W189" s="38" t="n">
        <v>1.01</v>
      </c>
      <c r="X189" s="38" t="n">
        <v>1.7</v>
      </c>
      <c r="Y189" s="32"/>
      <c r="Z189" s="32"/>
      <c r="AA189" s="32"/>
      <c r="AB189" s="32"/>
      <c r="AC189" s="32"/>
      <c r="AD189" s="32"/>
      <c r="AE189" s="32"/>
    </row>
    <row r="190" customFormat="false" ht="15" hidden="false" customHeight="true" outlineLevel="0" collapsed="false">
      <c r="B190" s="49" t="s">
        <v>317</v>
      </c>
      <c r="C190" s="56" t="n">
        <f aca="false">IF(ISNUMBER(C189),IF(ABS(C188-C189)&lt;=0.015,0,ROUND(C188-C189,2)),"n/p")</f>
        <v>0</v>
      </c>
      <c r="D190" s="56" t="n">
        <f aca="false">IF(ISNUMBER(D189),IF(ABS(D188-D189)&lt;=0.015,0,ROUND(D188-D189,2)),"n/p")</f>
        <v>0</v>
      </c>
      <c r="E190" s="56" t="n">
        <f aca="false">IF(ISNUMBER(E189),IF(ABS(E188-E189)&lt;=0.015,0,ROUND(E188-E189,2)),"n/p")</f>
        <v>0</v>
      </c>
      <c r="F190" s="56" t="n">
        <f aca="false">IF(ISNUMBER(F189),IF(ABS(F188-F189)&lt;=0.015,0,ROUND(F188-F189,2)),"n/p")</f>
        <v>0</v>
      </c>
      <c r="G190" s="56" t="n">
        <f aca="false">IF(ISNUMBER(G189),IF(ABS(G188-G189)&lt;=0.015,0,ROUND(G188-G189,2)),"n/p")</f>
        <v>0</v>
      </c>
      <c r="H190" s="56" t="n">
        <f aca="false">IF(ISNUMBER(H189),IF(ABS(H188-H189)&lt;=0.015,0,ROUND(H188-H189,2)),"n/p")</f>
        <v>0</v>
      </c>
      <c r="I190" s="56" t="n">
        <f aca="false">IF(ISNUMBER(I189),IF(ABS(I188-I189)&lt;=0.015,0,ROUND(I188-I189,2)),"n/p")</f>
        <v>0</v>
      </c>
      <c r="J190" s="56" t="n">
        <f aca="false">IF(ISNUMBER(J189),IF(ABS(J188-J189)&lt;=0.015,0,ROUND(J188-J189,2)),"n/p")</f>
        <v>0</v>
      </c>
      <c r="K190" s="56" t="n">
        <f aca="false">IF(ISNUMBER(K189),IF(ABS(K188-K189)&lt;=0.015,0,ROUND(K188-K189,2)),"n/p")</f>
        <v>0</v>
      </c>
      <c r="L190" s="56" t="n">
        <f aca="false">IF(ISNUMBER(L189),IF(ABS(L188-L189)&lt;=0.015,0,ROUND(L188-L189,2)),"n/p")</f>
        <v>0</v>
      </c>
      <c r="M190" s="56" t="n">
        <f aca="false">IF(ISNUMBER(M189),IF(ABS(M188-M189)&lt;=0.015,0,ROUND(M188-M189,2)),"n/p")</f>
        <v>0</v>
      </c>
      <c r="N190" s="56" t="n">
        <f aca="false">IF(ISNUMBER(N189),IF(ABS(N188-N189)&lt;=0.015,0,ROUND(N188-N189,2)),"n/p")</f>
        <v>0</v>
      </c>
      <c r="O190" s="56" t="n">
        <f aca="false">IF(ISNUMBER(O189),IF(ABS(O188-O189)&lt;=0.015,0,ROUND(O188-O189,2)),"n/p")</f>
        <v>0</v>
      </c>
      <c r="P190" s="56" t="n">
        <f aca="false">IF(ISNUMBER(P189),IF(ABS(P188-P189)&lt;=0.015,0,ROUND(P188-P189,2)),"n/p")</f>
        <v>0</v>
      </c>
      <c r="Q190" s="56" t="n">
        <f aca="false">IF(ISNUMBER(Q189),IF(ABS(Q188-Q189)&lt;=0.015,0,ROUND(Q188-Q189,2)),"n/p")</f>
        <v>0</v>
      </c>
      <c r="R190" s="56" t="n">
        <f aca="false">IF(ISNUMBER(R189),IF(ABS(R188-R189)&lt;=0.015,0,ROUND(R188-R189,2)),"n/p")</f>
        <v>0</v>
      </c>
      <c r="S190" s="56" t="n">
        <f aca="false">IF(ISNUMBER(S189),IF(ABS(S188-S189)&lt;=0.015,0,ROUND(S188-S189,2)),"n/p")</f>
        <v>0</v>
      </c>
      <c r="T190" s="56" t="n">
        <f aca="false">IF(ISNUMBER(T189),IF(ABS(T188-T189)&lt;=0.015,0,ROUND(T188-T189,2)),"n/p")</f>
        <v>0</v>
      </c>
      <c r="U190" s="56" t="n">
        <f aca="false">IF(ISNUMBER(U189),IF(ABS(U188-U189)&lt;=0.015,0,ROUND(U188-U189,2)),"n/p")</f>
        <v>0</v>
      </c>
      <c r="V190" s="56" t="n">
        <f aca="false">IF(ISNUMBER(V189),IF(ABS(V188-V189)&lt;=0.015,0,ROUND(V188-V189,2)),"n/p")</f>
        <v>0</v>
      </c>
      <c r="W190" s="56" t="n">
        <f aca="false">IF(ISNUMBER(W189),IF(ABS(W188-W189)&lt;=0.015,0,ROUND(W188-W189,2)),"n/p")</f>
        <v>0</v>
      </c>
      <c r="X190" s="56" t="n">
        <f aca="false">IF(ISNUMBER(X189),IF(ABS(X188-X189)&lt;=0.015,0,ROUND(X188-X189,2)),"n/p")</f>
        <v>0</v>
      </c>
      <c r="Y190" s="39" t="str">
        <f aca="false">IF(ISNUMBER(Y189),IF(ABS(Y188-Y189)&lt;=0.015,0,ROUND(Y188-Y189,2)),"n/p")</f>
        <v>n/p</v>
      </c>
      <c r="Z190" s="39" t="str">
        <f aca="false">IF(ISNUMBER(Z189),IF(ABS(Z188-Z189)&lt;=0.015,0,ROUND(Z188-Z189,2)),"n/p")</f>
        <v>n/p</v>
      </c>
      <c r="AA190" s="39" t="str">
        <f aca="false">IF(ISNUMBER(AA189),IF(ABS(AA188-AA189)&lt;=0.015,0,ROUND(AA188-AA189,2)),"n/p")</f>
        <v>n/p</v>
      </c>
      <c r="AB190" s="39" t="str">
        <f aca="false">IF(ISNUMBER(AB189),IF(ABS(AB188-AB189)&lt;=0.015,0,ROUND(AB188-AB189,2)),"n/p")</f>
        <v>n/p</v>
      </c>
      <c r="AC190" s="39" t="str">
        <f aca="false">IF(ISNUMBER(AC189),IF(ABS(AC188-AC189)&lt;=0.015,0,ROUND(AC188-AC189,2)),"n/p")</f>
        <v>n/p</v>
      </c>
      <c r="AD190" s="39" t="str">
        <f aca="false">IF(ISNUMBER(AD189),IF(ABS(AD188-AD189)&lt;=0.015,0,ROUND(AD188-AD189,2)),"n/p")</f>
        <v>n/p</v>
      </c>
      <c r="AE190" s="39" t="str">
        <f aca="false">IF(ISNUMBER(AE189),IF(ABS(AE188-AE189)&lt;=0.015,0,ROUND(AE188-AE189,2)),"n/p")</f>
        <v>n/p</v>
      </c>
      <c r="AF190" s="20" t="s">
        <v>318</v>
      </c>
    </row>
    <row r="191" customFormat="false" ht="15" hidden="false" customHeight="true" outlineLevel="0" collapsed="false">
      <c r="B191" s="59" t="s">
        <v>319</v>
      </c>
      <c r="C191" s="60" t="s">
        <v>320</v>
      </c>
      <c r="R191" s="60" t="s">
        <v>321</v>
      </c>
    </row>
    <row r="192" customFormat="false" ht="15" hidden="false" customHeight="true" outlineLevel="0" collapsed="false">
      <c r="B192" s="11"/>
    </row>
    <row r="193" customFormat="false" ht="15" hidden="false" customHeight="true" outlineLevel="0" collapsed="false">
      <c r="B193" s="10" t="s">
        <v>322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 t="s">
        <v>323</v>
      </c>
    </row>
    <row r="194" customFormat="false" ht="15" hidden="false" customHeight="true" outlineLevel="0" collapsed="false">
      <c r="B194" s="27" t="s">
        <v>181</v>
      </c>
      <c r="H194" s="28" t="n">
        <f aca="false">IF(AND(ISNUMBER(H106),ISNUMBER(C106)),IFERROR(H106/C106-1,""),"")</f>
        <v>0.00686378035902857</v>
      </c>
      <c r="I194" s="28" t="n">
        <f aca="false">IF(AND(ISNUMBER(I106),ISNUMBER(D106)),IFERROR(I106/D106-1,""),"")</f>
        <v>-0.0635075720566684</v>
      </c>
      <c r="J194" s="28" t="n">
        <f aca="false">IF(AND(ISNUMBER(J106),ISNUMBER(E106)),IFERROR(J106/E106-1,""),"")</f>
        <v>0.0174717368961974</v>
      </c>
      <c r="K194" s="28" t="n">
        <f aca="false">IF(AND(ISNUMBER(K106),ISNUMBER(F106)),IFERROR(K106/F106-1,""),"")</f>
        <v>0.0595303113052976</v>
      </c>
      <c r="L194" s="28" t="n">
        <f aca="false">IF(AND(ISNUMBER(L106),ISNUMBER(G106)),IFERROR(L106/G106-1,""),"")</f>
        <v>0.00336874838040946</v>
      </c>
      <c r="M194" s="28" t="n">
        <f aca="false">IF(AND(ISNUMBER(M106),ISNUMBER(H106)),IFERROR(M106/H106-1,""),"")</f>
        <v>0.0582066072364971</v>
      </c>
      <c r="N194" s="28" t="n">
        <f aca="false">IF(AND(ISNUMBER(N106),ISNUMBER(I106)),IFERROR(N106/I106-1,""),"")</f>
        <v>0.0845070422535212</v>
      </c>
      <c r="O194" s="28" t="n">
        <f aca="false">IF(AND(ISNUMBER(O106),ISNUMBER(J106)),IFERROR(O106/J106-1,""),"")</f>
        <v>0.0368686868686869</v>
      </c>
      <c r="P194" s="28" t="n">
        <f aca="false">IF(AND(ISNUMBER(P106),ISNUMBER(K106)),IFERROR(P106/K106-1,""),"")</f>
        <v>-0.00979381443298966</v>
      </c>
      <c r="Q194" s="28" t="n">
        <f aca="false">IF(AND(ISNUMBER(Q106),ISNUMBER(L106)),IFERROR(Q106/L106-1,""),"")</f>
        <v>0.0423553719008265</v>
      </c>
      <c r="R194" s="28" t="n">
        <f aca="false">IF(AND(ISNUMBER(R106),ISNUMBER(M106)),IFERROR(R106/M106-1,""),"")</f>
        <v>-0.0317145688800793</v>
      </c>
      <c r="S194" s="28" t="n">
        <f aca="false">IF(AND(ISNUMBER(S106),ISNUMBER(N106)),IFERROR(S106/N106-1,""),"")</f>
        <v>0.000481000481000526</v>
      </c>
      <c r="T194" s="28" t="n">
        <f aca="false">IF(AND(ISNUMBER(T106),ISNUMBER(O106)),IFERROR(T106/O106-1,""),"")</f>
        <v>0.0282513395031661</v>
      </c>
      <c r="U194" s="28" t="n">
        <f aca="false">IF(AND(ISNUMBER(U106),ISNUMBER(P106)),IFERROR(U106/P106-1,""),"")</f>
        <v>0.0468505986465382</v>
      </c>
      <c r="V194" s="28" t="n">
        <f aca="false">IF(AND(ISNUMBER(V106),ISNUMBER(Q106)),IFERROR(V106/Q106-1,""),"")</f>
        <v>0.0105302279484638</v>
      </c>
      <c r="W194" s="28" t="n">
        <f aca="false">IF(AND(ISNUMBER(W106),ISNUMBER(R106)),IFERROR(W106/R106-1,""),"")</f>
        <v>0.0726714431934494</v>
      </c>
      <c r="X194" s="28" t="n">
        <f aca="false">IF(AND(ISNUMBER(X106),ISNUMBER(S106)),IFERROR(X106/S106-1,""),"")</f>
        <v>0.132211538461539</v>
      </c>
      <c r="Y194" s="30" t="n">
        <f aca="false">IFERROR(Y106/T106-1,"")</f>
        <v>0.14451063237702</v>
      </c>
      <c r="Z194" s="30" t="n">
        <f aca="false">IFERROR(Z106/U106-1,"")</f>
        <v>0.150453257727599</v>
      </c>
      <c r="AA194" s="30" t="n">
        <f aca="false">IFERROR(AA106/V106-1,"")</f>
        <v>0.12549018588183</v>
      </c>
      <c r="AB194" s="30" t="n">
        <f aca="false">IFERROR(AB106/AA106-1,"")</f>
        <v>0.0307437879034436</v>
      </c>
      <c r="AC194" s="30" t="n">
        <f aca="false">IFERROR(AC106/AB106-1,"")</f>
        <v>0.0577919542762315</v>
      </c>
      <c r="AD194" s="30" t="n">
        <f aca="false">IFERROR(AD106/AC106-1,"")</f>
        <v>0.0550916092014775</v>
      </c>
      <c r="AE194" s="30" t="n">
        <f aca="false">IFERROR(AE106/AD106-1,"")</f>
        <v>0.0522984713399872</v>
      </c>
    </row>
    <row r="195" customFormat="false" ht="15" hidden="false" customHeight="true" outlineLevel="0" collapsed="false">
      <c r="B195" s="27" t="s">
        <v>324</v>
      </c>
      <c r="C195" s="28" t="n">
        <f aca="false">IF(ISNUMBER(C13),C13,IF(ISNUMBER(C14),C14,""))</f>
        <v>-0.008</v>
      </c>
      <c r="D195" s="28" t="n">
        <f aca="false">IF(ISNUMBER(D13),D13,IF(ISNUMBER(D14),D14,""))</f>
        <v>-0.055</v>
      </c>
      <c r="E195" s="28" t="n">
        <f aca="false">IF(ISNUMBER(E13),E13,IF(ISNUMBER(E14),E14,""))</f>
        <v>-0.029</v>
      </c>
      <c r="F195" s="28" t="n">
        <f aca="false">IF(ISNUMBER(F13),F13,IF(ISNUMBER(F14),F14,""))</f>
        <v>0.009</v>
      </c>
      <c r="G195" s="28" t="n">
        <f aca="false">IF(ISNUMBER(G13),G13,IF(ISNUMBER(G14),G14,""))</f>
        <v>-0.022</v>
      </c>
      <c r="H195" s="28" t="n">
        <f aca="false">IF(ISNUMBER(H13),H13,IF(ISNUMBER(H14),H14,""))</f>
        <v>-0.0183396032831737</v>
      </c>
      <c r="I195" s="28" t="n">
        <f aca="false">IF(ISNUMBER(I13),I13,IF(ISNUMBER(I14),I14,""))</f>
        <v>-0.0282443697897226</v>
      </c>
      <c r="J195" s="28" t="n">
        <f aca="false">IF(ISNUMBER(J13),J13,IF(ISNUMBER(J14),J14,""))</f>
        <v>0.0313146739363144</v>
      </c>
      <c r="K195" s="28" t="n">
        <f aca="false">IF(ISNUMBER(K13),K13,IF(ISNUMBER(K14),K14,""))</f>
        <v>0.0200158832872521</v>
      </c>
      <c r="L195" s="28" t="n">
        <f aca="false">IF(ISNUMBER(L13),L13,IF(ISNUMBER(L14),L14,""))</f>
        <v>0.000470333366589193</v>
      </c>
      <c r="M195" s="28" t="n">
        <f aca="false">IF(ISNUMBER(M13),M13,IF(ISNUMBER(M14),M14,""))</f>
        <v>0.0264193122269158</v>
      </c>
      <c r="N195" s="28" t="n">
        <f aca="false">IF(ISNUMBER(N13),N13,IF(ISNUMBER(N14),N14,""))</f>
        <v>0.0336890027030872</v>
      </c>
      <c r="O195" s="28" t="n">
        <f aca="false">IF(ISNUMBER(O13),O13,IF(ISNUMBER(O14),O14,""))</f>
        <v>-0.0385706575141509</v>
      </c>
      <c r="P195" s="28" t="n">
        <f aca="false">IF(ISNUMBER(P13),P13,IF(ISNUMBER(P14),P14,""))</f>
        <v>-0.056576841558891</v>
      </c>
      <c r="Q195" s="28" t="n">
        <f aca="false">IF(ISNUMBER(Q13),Q13,IF(ISNUMBER(Q14),Q14,""))</f>
        <v>-0.00840503732406406</v>
      </c>
      <c r="R195" s="28" t="n">
        <f aca="false">IF(ISNUMBER(R13),R13,IF(ISNUMBER(R14),R14,""))</f>
        <v>-0.0747005331711663</v>
      </c>
      <c r="S195" s="28" t="n">
        <f aca="false">IF(ISNUMBER(S13),S13,IF(ISNUMBER(S14),S14,""))</f>
        <v>-0.0666822648572766</v>
      </c>
      <c r="T195" s="28" t="n">
        <f aca="false">IF(ISNUMBER(T13),T13,IF(ISNUMBER(T14),T14,""))</f>
        <v>-0.0609471714409098</v>
      </c>
      <c r="U195" s="28" t="n">
        <f aca="false">IF(ISNUMBER(U13),U13,IF(ISNUMBER(U14),U14,""))</f>
        <v>-0.0450384362630477</v>
      </c>
      <c r="V195" s="28" t="n">
        <f aca="false">IF(ISNUMBER(V13),V13,IF(ISNUMBER(V14),V14,""))</f>
        <v>-0.0623222136022756</v>
      </c>
      <c r="W195" s="28" t="n">
        <f aca="false">IF(ISNUMBER(W13),W13,IF(ISNUMBER(W14),W14,""))</f>
        <v>0.00126858942026997</v>
      </c>
      <c r="X195" s="28" t="n">
        <f aca="false">IF(ISNUMBER(X13),X13,IF(ISNUMBER(X14),X14,""))</f>
        <v>0.00958518278206233</v>
      </c>
      <c r="Y195" s="30" t="n">
        <f aca="false">IF(ISNUMBER(Y13),Y13,IF(ISNUMBER(Y14),Y14,""))</f>
        <v>0.035</v>
      </c>
      <c r="Z195" s="30" t="n">
        <f aca="false">IF(ISNUMBER(Z13),Z13,IF(ISNUMBER(Z14),Z14,""))</f>
        <v>0.04</v>
      </c>
      <c r="AA195" s="30" t="n">
        <f aca="false">IF(ISNUMBER(AA13),AA13,IF(ISNUMBER(AA14),AA14,""))</f>
        <v>0.0210503197725735</v>
      </c>
      <c r="AB195" s="30" t="n">
        <f aca="false">IF(ISNUMBER(AB13),AB13,IF(ISNUMBER(AB14),AB14,""))</f>
        <v>0.03</v>
      </c>
      <c r="AC195" s="30" t="n">
        <f aca="false">IF(ISNUMBER(AC13),AC13,IF(ISNUMBER(AC14),AC14,""))</f>
        <v>0.03</v>
      </c>
      <c r="AD195" s="30" t="n">
        <f aca="false">IF(ISNUMBER(AD13),AD13,IF(ISNUMBER(AD14),AD14,""))</f>
        <v>0.025</v>
      </c>
      <c r="AE195" s="30" t="n">
        <f aca="false">IF(ISNUMBER(AE13),AE13,IF(ISNUMBER(AE14),AE14,""))</f>
        <v>0.025</v>
      </c>
      <c r="AF195" s="20" t="s">
        <v>325</v>
      </c>
    </row>
    <row r="196" customFormat="false" ht="15" hidden="false" customHeight="true" outlineLevel="0" collapsed="false">
      <c r="B196" s="27" t="s">
        <v>326</v>
      </c>
      <c r="C196" s="28" t="n">
        <f aca="false">IF(ISNUMBER(C20),C20,IF(ISNUMBER(C21),C21,""))</f>
        <v>0.087</v>
      </c>
      <c r="D196" s="28" t="n">
        <f aca="false">IF(ISNUMBER(D20),D20,IF(ISNUMBER(D21),D21,""))</f>
        <v>0.106</v>
      </c>
      <c r="E196" s="28" t="n">
        <f aca="false">IF(ISNUMBER(E20),E20,IF(ISNUMBER(E21),E21,""))</f>
        <v>0.07</v>
      </c>
      <c r="F196" s="28" t="n">
        <f aca="false">IF(ISNUMBER(F20),F20,IF(ISNUMBER(F21),F21,""))</f>
        <v>0.014</v>
      </c>
      <c r="G196" s="28" t="n">
        <f aca="false">IF(ISNUMBER(G20),G20,IF(ISNUMBER(G21),G21,""))</f>
        <v>0.07</v>
      </c>
      <c r="H196" s="28" t="n">
        <f aca="false">IF(ISNUMBER(H20),H20,IF(ISNUMBER(H21),H21,""))</f>
        <v>0.0144508670520229</v>
      </c>
      <c r="I196" s="28" t="n">
        <f aca="false">IF(ISNUMBER(I20),I20,IF(ISNUMBER(I21),I21,""))</f>
        <v>0.0135895032802249</v>
      </c>
      <c r="J196" s="28" t="n">
        <f aca="false">IF(ISNUMBER(J20),J20,IF(ISNUMBER(J21),J21,""))</f>
        <v>0.0643957069528698</v>
      </c>
      <c r="K196" s="28" t="n">
        <f aca="false">IF(ISNUMBER(K20),K20,IF(ISNUMBER(K21),K21,""))</f>
        <v>0.102878716375649</v>
      </c>
      <c r="L196" s="28" t="n">
        <f aca="false">IF(ISNUMBER(L20),L20,IF(ISNUMBER(L21),L21,""))</f>
        <v>0.0486307837582625</v>
      </c>
      <c r="M196" s="28" t="n">
        <f aca="false">IF(ISNUMBER(M20),M20,IF(ISNUMBER(M21),M21,""))</f>
        <v>0.0982905982905984</v>
      </c>
      <c r="N196" s="28" t="n">
        <f aca="false">IF(ISNUMBER(N20),N20,IF(ISNUMBER(N21),N21,""))</f>
        <v>0.0892279241793805</v>
      </c>
      <c r="O196" s="28" t="n">
        <f aca="false">IF(ISNUMBER(O20),O20,IF(ISNUMBER(O21),O21,""))</f>
        <v>0.0670758439281018</v>
      </c>
      <c r="P196" s="28" t="n">
        <f aca="false">IF(ISNUMBER(P20),P20,IF(ISNUMBER(P21),P21,""))</f>
        <v>0.0629011553273426</v>
      </c>
      <c r="Q196" s="28" t="n">
        <f aca="false">IF(ISNUMBER(Q20),Q20,IF(ISNUMBER(Q21),Q21,""))</f>
        <v>0.0778928410625845</v>
      </c>
      <c r="R196" s="28" t="n">
        <f aca="false">IF(ISNUMBER(R20),R20,IF(ISNUMBER(R21),R21,""))</f>
        <v>0.0691742325983571</v>
      </c>
      <c r="S196" s="28" t="n">
        <f aca="false">IF(ISNUMBER(S20),S20,IF(ISNUMBER(S21),S21,""))</f>
        <v>0.0606960950764006</v>
      </c>
      <c r="T196" s="28" t="n">
        <f aca="false">IF(ISNUMBER(T20),T20,IF(ISNUMBER(T21),T21,""))</f>
        <v>0.0587510271158587</v>
      </c>
      <c r="U196" s="28" t="n">
        <f aca="false">IF(ISNUMBER(U20),U20,IF(ISNUMBER(U21),U21,""))</f>
        <v>0.0515297906602255</v>
      </c>
      <c r="V196" s="28" t="n">
        <f aca="false">IF(ISNUMBER(V20),V20,IF(ISNUMBER(V21),V21,""))</f>
        <v>0.0605680868838763</v>
      </c>
      <c r="W196" s="28" t="n">
        <f aca="false">IF(ISNUMBER(W20),W20,IF(ISNUMBER(W21),W21,""))</f>
        <v>0.0396279822078447</v>
      </c>
      <c r="X196" s="28" t="n">
        <f aca="false">IF(ISNUMBER(X20),X20,IF(ISNUMBER(X21),X21,""))</f>
        <v>0.0440176070428171</v>
      </c>
      <c r="Y196" s="30" t="n">
        <f aca="false">IF(ISNUMBER(Y20),Y20,IF(ISNUMBER(Y21),Y21,""))</f>
        <v>0.0440176070428171</v>
      </c>
      <c r="Z196" s="30" t="n">
        <f aca="false">IF(ISNUMBER(Z20),Z20,IF(ISNUMBER(Z21),Z21,""))</f>
        <v>0.0440176070428171</v>
      </c>
      <c r="AA196" s="30" t="n">
        <f aca="false">IF(ISNUMBER(AA20),AA20,IF(ISNUMBER(AA21),AA21,""))</f>
        <v>0.0432036726703591</v>
      </c>
      <c r="AB196" s="30" t="n">
        <f aca="false">IF(ISNUMBER(AB20),AB20,IF(ISNUMBER(AB21),AB21,""))</f>
        <v>0.05</v>
      </c>
      <c r="AC196" s="30" t="n">
        <f aca="false">IF(ISNUMBER(AC20),AC20,IF(ISNUMBER(AC21),AC21,""))</f>
        <v>0.045</v>
      </c>
      <c r="AD196" s="30" t="n">
        <f aca="false">IF(ISNUMBER(AD20),AD20,IF(ISNUMBER(AD21),AD21,""))</f>
        <v>0.045</v>
      </c>
      <c r="AE196" s="30" t="n">
        <f aca="false">IF(ISNUMBER(AE20),AE20,IF(ISNUMBER(AE21),AE21,""))</f>
        <v>0.04</v>
      </c>
    </row>
    <row r="197" customFormat="false" ht="15" hidden="false" customHeight="true" outlineLevel="0" collapsed="false">
      <c r="B197" s="27" t="s">
        <v>327</v>
      </c>
      <c r="H197" s="28" t="n">
        <f aca="false">IF(AND(ISNUMBER(H158),ISNUMBER(C158)),IFERROR(H158/C158-1,""),"")</f>
        <v>0.141304347826087</v>
      </c>
      <c r="I197" s="28" t="n">
        <f aca="false">IF(AND(ISNUMBER(I158),ISNUMBER(D158)),IFERROR(I158/D158-1,""),"")</f>
        <v>-0.155709342560554</v>
      </c>
      <c r="J197" s="28" t="n">
        <f aca="false">IF(AND(ISNUMBER(J158),ISNUMBER(E158)),IFERROR(J158/E158-1,""),"")</f>
        <v>0.0610687022900764</v>
      </c>
      <c r="K197" s="28" t="n">
        <f aca="false">IF(AND(ISNUMBER(K158),ISNUMBER(F158)),IFERROR(K158/F158-1,""),"")</f>
        <v>0.00763358778625944</v>
      </c>
      <c r="L197" s="28" t="n">
        <f aca="false">IF(AND(ISNUMBER(L158),ISNUMBER(G158)),IFERROR(L158/G158-1,""),"")</f>
        <v>-0.00100300902708128</v>
      </c>
      <c r="M197" s="28" t="n">
        <f aca="false">IF(AND(ISNUMBER(M158),ISNUMBER(H158)),IFERROR(M158/H158-1,""),"")</f>
        <v>0.371428571428571</v>
      </c>
      <c r="N197" s="28" t="n">
        <f aca="false">IF(AND(ISNUMBER(N158),ISNUMBER(I158)),IFERROR(N158/I158-1,""),"")</f>
        <v>0.405737704918033</v>
      </c>
      <c r="O197" s="28" t="n">
        <f aca="false">IF(AND(ISNUMBER(O158),ISNUMBER(J158)),IFERROR(O158/J158-1,""),"")</f>
        <v>0.197841726618705</v>
      </c>
      <c r="P197" s="28" t="n">
        <f aca="false">IF(AND(ISNUMBER(P158),ISNUMBER(K158)),IFERROR(P158/K158-1,""),"")</f>
        <v>0.147727272727273</v>
      </c>
      <c r="Q197" s="28" t="n">
        <f aca="false">IF(AND(ISNUMBER(Q158),ISNUMBER(L158)),IFERROR(Q158/L158-1,""),"")</f>
        <v>0.271084337349398</v>
      </c>
      <c r="R197" s="28" t="n">
        <f aca="false">IF(AND(ISNUMBER(R158),ISNUMBER(M158)),IFERROR(R158/M158-1,""),"")</f>
        <v>-0.0347222222222222</v>
      </c>
      <c r="S197" s="28" t="n">
        <f aca="false">IF(AND(ISNUMBER(S158),ISNUMBER(N158)),IFERROR(S158/N158-1,""),"")</f>
        <v>-0.00874635568513116</v>
      </c>
      <c r="T197" s="28" t="n">
        <f aca="false">IF(AND(ISNUMBER(T158),ISNUMBER(O158)),IFERROR(T158/O158-1,""),"")</f>
        <v>0.027027027027027</v>
      </c>
      <c r="U197" s="28" t="n">
        <f aca="false">IF(AND(ISNUMBER(U158),ISNUMBER(P158)),IFERROR(U158/P158-1,""),"")</f>
        <v>0.0297029702970297</v>
      </c>
      <c r="V197" s="28" t="n">
        <f aca="false">IF(AND(ISNUMBER(V158),ISNUMBER(Q158)),IFERROR(V158/Q158-1,""),"")</f>
        <v>0.00473933649289093</v>
      </c>
      <c r="W197" s="28" t="n">
        <f aca="false">IF(AND(ISNUMBER(W158),ISNUMBER(R158)),IFERROR(W158/R158-1,""),"")</f>
        <v>0.147482014388489</v>
      </c>
      <c r="X197" s="28" t="n">
        <f aca="false">IF(AND(ISNUMBER(X158),ISNUMBER(S158)),IFERROR(X158/S158-1,""),"")</f>
        <v>0.276470588235294</v>
      </c>
      <c r="Y197" s="30" t="n">
        <f aca="false">IFERROR(Y158/T158-1,"")</f>
        <v>0.268802357510747</v>
      </c>
      <c r="Z197" s="30" t="n">
        <f aca="false">IFERROR(Z158/U158-1,"")</f>
        <v>0.233135330010401</v>
      </c>
      <c r="AA197" s="30" t="n">
        <f aca="false">IFERROR(AA158/V158-1,"")</f>
        <v>0.235588544993648</v>
      </c>
      <c r="AB197" s="30" t="n">
        <f aca="false">IFERROR(AB158/AA158-1,"")</f>
        <v>0.110795286515406</v>
      </c>
      <c r="AC197" s="30" t="n">
        <f aca="false">IFERROR(AC158/AB158-1,"")</f>
        <v>0.112066266710978</v>
      </c>
      <c r="AD197" s="30" t="n">
        <f aca="false">IFERROR(AD158/AC158-1,"")</f>
        <v>0.105802209665437</v>
      </c>
      <c r="AE197" s="30" t="n">
        <f aca="false">IFERROR(AE158/AD158-1,"")</f>
        <v>0.0786567018998841</v>
      </c>
    </row>
    <row r="198" customFormat="false" ht="15" hidden="false" customHeight="true" outlineLevel="0" collapsed="false">
      <c r="B198" s="27" t="s">
        <v>328</v>
      </c>
      <c r="H198" s="28" t="n">
        <f aca="false">IF(AND(ISNUMBER(H121),ISNUMBER(C121)),IFERROR(H121/C121-1,""),"")</f>
        <v>-0.0793650793650794</v>
      </c>
      <c r="I198" s="28" t="n">
        <f aca="false">IF(AND(ISNUMBER(I121),ISNUMBER(D121)),IFERROR(I121/D121-1,""),"")</f>
        <v>-0.374269005847953</v>
      </c>
      <c r="J198" s="28" t="n">
        <f aca="false">IF(AND(ISNUMBER(J121),ISNUMBER(E121)),IFERROR(J121/E121-1,""),"")</f>
        <v>0.107913669064748</v>
      </c>
      <c r="K198" s="28" t="n">
        <f aca="false">IF(AND(ISNUMBER(K121),ISNUMBER(F121)),IFERROR(K121/F121-1,""),"")</f>
        <v>28.75</v>
      </c>
      <c r="L198" s="28" t="n">
        <f aca="false">IF(AND(ISNUMBER(L121),ISNUMBER(G121)),IFERROR(L121/G121-1,""),"")</f>
        <v>0.161803713527851</v>
      </c>
      <c r="M198" s="28" t="n">
        <f aca="false">IF(AND(ISNUMBER(M121),ISNUMBER(H121)),IFERROR(M121/H121-1,""),"")</f>
        <v>1.37931034482759</v>
      </c>
      <c r="N198" s="28" t="n">
        <f aca="false">IF(AND(ISNUMBER(N121),ISNUMBER(I121)),IFERROR(N121/I121-1,""),"")</f>
        <v>0.841121495327103</v>
      </c>
      <c r="O198" s="28" t="n">
        <f aca="false">IF(AND(ISNUMBER(O121),ISNUMBER(J121)),IFERROR(O121/J121-1,""),"")</f>
        <v>0.142857142857143</v>
      </c>
      <c r="P198" s="28" t="n">
        <f aca="false">IF(AND(ISNUMBER(P121),ISNUMBER(K121)),IFERROR(P121/K121-1,""),"")</f>
        <v>0.243697478991597</v>
      </c>
      <c r="Q198" s="28" t="n">
        <f aca="false">IF(AND(ISNUMBER(Q121),ISNUMBER(L121)),IFERROR(Q121/L121-1,""),"")</f>
        <v>0.506849315068493</v>
      </c>
      <c r="R198" s="28" t="n">
        <f aca="false">IF(AND(ISNUMBER(R121),ISNUMBER(M121)),IFERROR(R121/M121-1,""),"")</f>
        <v>0.0942028985507246</v>
      </c>
      <c r="S198" s="28" t="n">
        <f aca="false">IF(AND(ISNUMBER(S121),ISNUMBER(N121)),IFERROR(S121/N121-1,""),"")</f>
        <v>0.0050761421319796</v>
      </c>
      <c r="T198" s="28" t="n">
        <f aca="false">IF(AND(ISNUMBER(T121),ISNUMBER(O121)),IFERROR(T121/O121-1,""),"")</f>
        <v>-0.0681818181818182</v>
      </c>
      <c r="U198" s="28" t="n">
        <f aca="false">IF(AND(ISNUMBER(U121),ISNUMBER(P121)),IFERROR(U121/P121-1,""),"")</f>
        <v>-0.0337837837837838</v>
      </c>
      <c r="V198" s="28" t="n">
        <f aca="false">IF(AND(ISNUMBER(V121),ISNUMBER(Q121)),IFERROR(V121/Q121-1,""),"")</f>
        <v>-0.0060606060606061</v>
      </c>
      <c r="W198" s="28" t="n">
        <f aca="false">IF(AND(ISNUMBER(W121),ISNUMBER(R121)),IFERROR(W121/R121-1,""),"")</f>
        <v>0.152317880794702</v>
      </c>
      <c r="X198" s="28" t="n">
        <f aca="false">IF(AND(ISNUMBER(X121),ISNUMBER(S121)),IFERROR(X121/S121-1,""),"")</f>
        <v>0.368686868686869</v>
      </c>
      <c r="Y198" s="30" t="n">
        <f aca="false">IFERROR(Y121/T121-1,"")</f>
        <v>0.710495935802261</v>
      </c>
      <c r="Z198" s="30" t="n">
        <f aca="false">IFERROR(Z121/U121-1,"")</f>
        <v>0.620245727801172</v>
      </c>
      <c r="AA198" s="30" t="n">
        <f aca="false">IFERROR(AA121/V121-1,"")</f>
        <v>0.459171452053565</v>
      </c>
      <c r="AB198" s="30" t="n">
        <f aca="false">IFERROR(AB121/AA121-1,"")</f>
        <v>0.175072896758584</v>
      </c>
      <c r="AC198" s="30" t="n">
        <f aca="false">IFERROR(AC121/AB121-1,"")</f>
        <v>0.155099709252524</v>
      </c>
      <c r="AD198" s="30" t="n">
        <f aca="false">IFERROR(AD121/AC121-1,"")</f>
        <v>0.13932784948765</v>
      </c>
      <c r="AE198" s="30" t="n">
        <f aca="false">IFERROR(AE121/AD121-1,"")</f>
        <v>0.0908899849564158</v>
      </c>
    </row>
    <row r="199" customFormat="false" ht="15" hidden="false" customHeight="true" outlineLevel="0" collapsed="false">
      <c r="B199" s="27" t="s">
        <v>329</v>
      </c>
      <c r="H199" s="28" t="n">
        <f aca="false">IF(AND(ISNUMBER(H131),ISNUMBER(C131)),IFERROR(H131/C131-1,""),"")</f>
        <v>-0.971311475409836</v>
      </c>
      <c r="I199" s="28" t="n">
        <f aca="false">IF(AND(ISNUMBER(I131),ISNUMBER(D131)),IFERROR(I131/D131-1,""),"")</f>
        <v>-0.765957446808511</v>
      </c>
      <c r="J199" s="28" t="n">
        <f aca="false">IF(AND(ISNUMBER(J131),ISNUMBER(E131)),IFERROR(J131/E131-1,""),"")</f>
        <v>-0.358778625954199</v>
      </c>
      <c r="K199" s="28" t="n">
        <f aca="false">IF(AND(ISNUMBER(K131),ISNUMBER(F131)),IFERROR(K131/F131-1,""),"")</f>
        <v>-1.61702127659574</v>
      </c>
      <c r="L199" s="28" t="n">
        <f aca="false">IF(AND(ISNUMBER(L131),ISNUMBER(G131)),IFERROR(L131/G131-1,""),"")</f>
        <v>-0.716216216216216</v>
      </c>
      <c r="M199" s="28" t="n">
        <f aca="false">IF(AND(ISNUMBER(M131),ISNUMBER(H131)),IFERROR(M131/H131-1,""),"")</f>
        <v>3.78571428571429</v>
      </c>
      <c r="N199" s="28" t="n">
        <f aca="false">IF(AND(ISNUMBER(N131),ISNUMBER(I131)),IFERROR(N131/I131-1,""),"")</f>
        <v>3.54545454545455</v>
      </c>
      <c r="O199" s="28" t="n">
        <f aca="false">IF(AND(ISNUMBER(O131),ISNUMBER(J131)),IFERROR(O131/J131-1,""),"")</f>
        <v>0.130952380952381</v>
      </c>
      <c r="P199" s="28" t="n">
        <f aca="false">IF(AND(ISNUMBER(P131),ISNUMBER(K131)),IFERROR(P131/K131-1,""),"")</f>
        <v>0.310344827586207</v>
      </c>
      <c r="Q199" s="28" t="n">
        <f aca="false">IF(AND(ISNUMBER(Q131),ISNUMBER(L131)),IFERROR(Q131/L131-1,""),"")</f>
        <v>1.04761904761905</v>
      </c>
      <c r="R199" s="28" t="n">
        <f aca="false">IF(AND(ISNUMBER(R131),ISNUMBER(M131)),IFERROR(R131/M131-1,""),"")</f>
        <v>0.0298507462686568</v>
      </c>
      <c r="S199" s="28" t="n">
        <f aca="false">IF(AND(ISNUMBER(S131),ISNUMBER(N131)),IFERROR(S131/N131-1,""),"")</f>
        <v>-0.293333333333333</v>
      </c>
      <c r="T199" s="28" t="n">
        <f aca="false">IF(AND(ISNUMBER(T131),ISNUMBER(O131)),IFERROR(T131/O131-1,""),"")</f>
        <v>-0.136842105263158</v>
      </c>
      <c r="U199" s="28" t="n">
        <f aca="false">IF(AND(ISNUMBER(U131),ISNUMBER(P131)),IFERROR(U131/P131-1,""),"")</f>
        <v>-0.223684210526316</v>
      </c>
      <c r="V199" s="28" t="n">
        <f aca="false">IF(AND(ISNUMBER(V131),ISNUMBER(Q131)),IFERROR(V131/Q131-1,""),"")</f>
        <v>-0.183462532299742</v>
      </c>
      <c r="W199" s="28" t="n">
        <f aca="false">IF(AND(ISNUMBER(W131),ISNUMBER(R131)),IFERROR(W131/R131-1,""),"")</f>
        <v>0.463768115942029</v>
      </c>
      <c r="X199" s="28" t="n">
        <f aca="false">IF(AND(ISNUMBER(X131),ISNUMBER(S131)),IFERROR(X131/S131-1,""),"")</f>
        <v>0.528301886792453</v>
      </c>
      <c r="Y199" s="30" t="n">
        <f aca="false">IFERROR(Y131/T131-1,"")</f>
        <v>1.15059536714331</v>
      </c>
      <c r="Z199" s="30" t="n">
        <f aca="false">IFERROR(Z131/U131-1,"")</f>
        <v>1.35587765072558</v>
      </c>
      <c r="AA199" s="30" t="n">
        <f aca="false">IFERROR(AA131/V131-1,"")</f>
        <v>0.83020759967899</v>
      </c>
      <c r="AB199" s="30" t="n">
        <f aca="false">IFERROR(AB131/AA131-1,"")</f>
        <v>0.232820997491107</v>
      </c>
      <c r="AC199" s="30" t="n">
        <f aca="false">IFERROR(AC131/AB131-1,"")</f>
        <v>0.20316602648936</v>
      </c>
      <c r="AD199" s="30" t="n">
        <f aca="false">IFERROR(AD131/AC131-1,"")</f>
        <v>0.149277569316796</v>
      </c>
      <c r="AE199" s="30" t="n">
        <f aca="false">IFERROR(AE131/AD131-1,"")</f>
        <v>0.0938346391808056</v>
      </c>
    </row>
    <row r="200" customFormat="false" ht="15" hidden="false" customHeight="true" outlineLevel="0" collapsed="false">
      <c r="B200" s="27" t="s">
        <v>330</v>
      </c>
      <c r="H200" s="28" t="n">
        <f aca="false">IF(AND(ISNUMBER(H188),ISNUMBER(C188)),IFERROR(H188/C188-1,""),"")</f>
        <v>0.226415094339622</v>
      </c>
      <c r="I200" s="28" t="n">
        <f aca="false">IF(AND(ISNUMBER(I188),ISNUMBER(D188)),IFERROR(I188/D188-1,""),"")</f>
        <v>-0.381869542886492</v>
      </c>
      <c r="J200" s="28" t="n">
        <f aca="false">IF(AND(ISNUMBER(J188),ISNUMBER(E188)),IFERROR(J188/E188-1,""),"")</f>
        <v>-0.0695187165775402</v>
      </c>
      <c r="K200" s="28" t="n">
        <f aca="false">IF(AND(ISNUMBER(K188),ISNUMBER(F188)),IFERROR(K188/F188-1,""),"")</f>
        <v>-0.204424778761062</v>
      </c>
      <c r="L200" s="28" t="n">
        <f aca="false">IF(AND(ISNUMBER(L188),ISNUMBER(G188)),IFERROR(L188/G188-1,""),"")</f>
        <v>-0.166334330342306</v>
      </c>
      <c r="M200" s="28" t="n">
        <f aca="false">IF(AND(ISNUMBER(M188),ISNUMBER(H188)),IFERROR(M188/H188-1,""),"")</f>
        <v>0.442564102564103</v>
      </c>
      <c r="N200" s="28" t="n">
        <f aca="false">IF(AND(ISNUMBER(N188),ISNUMBER(I188)),IFERROR(N188/I188-1,""),"")</f>
        <v>0.599397590361446</v>
      </c>
      <c r="O200" s="28" t="n">
        <f aca="false">IF(AND(ISNUMBER(O188),ISNUMBER(J188)),IFERROR(O188/J188-1,""),"")</f>
        <v>0.152222222222222</v>
      </c>
      <c r="P200" s="28" t="n">
        <f aca="false">IF(AND(ISNUMBER(P188),ISNUMBER(K188)),IFERROR(P188/K188-1,""),"")</f>
        <v>0.150537634408602</v>
      </c>
      <c r="Q200" s="28" t="n">
        <f aca="false">IF(AND(ISNUMBER(Q188),ISNUMBER(L188)),IFERROR(Q188/L188-1,""),"")</f>
        <v>0.307321772639692</v>
      </c>
      <c r="R200" s="28" t="n">
        <f aca="false">IF(AND(ISNUMBER(R188),ISNUMBER(M188)),IFERROR(R188/M188-1,""),"")</f>
        <v>-0.103092783505155</v>
      </c>
      <c r="S200" s="28" t="n">
        <f aca="false">IF(AND(ISNUMBER(S188),ISNUMBER(N188)),IFERROR(S188/N188-1,""),"")</f>
        <v>-0.0662931839402428</v>
      </c>
      <c r="T200" s="28" t="n">
        <f aca="false">IF(AND(ISNUMBER(T188),ISNUMBER(O188)),IFERROR(T188/O188-1,""),"")</f>
        <v>0.0491803278688525</v>
      </c>
      <c r="U200" s="28" t="n">
        <f aca="false">IF(AND(ISNUMBER(U188),ISNUMBER(P188)),IFERROR(U188/P188-1,""),"")</f>
        <v>-0.0104452996151733</v>
      </c>
      <c r="V200" s="28" t="n">
        <f aca="false">IF(AND(ISNUMBER(V188),ISNUMBER(Q188)),IFERROR(V188/Q188-1,""),"")</f>
        <v>-0.0244793569601754</v>
      </c>
      <c r="W200" s="28" t="n">
        <f aca="false">IF(AND(ISNUMBER(W188),ISNUMBER(R188)),IFERROR(W188/R188-1,""),"")</f>
        <v>0.402492031295277</v>
      </c>
      <c r="X200" s="28" t="n">
        <f aca="false">IF(AND(ISNUMBER(X188),ISNUMBER(S188)),IFERROR(X188/S188-1,""),"")</f>
        <v>0.621627118644068</v>
      </c>
      <c r="Y200" s="30" t="n">
        <f aca="false">IFERROR(Y188/T188-1,"")</f>
        <v>0.556221183228685</v>
      </c>
      <c r="Z200" s="30" t="n">
        <f aca="false">IFERROR(Z188/U188-1,"")</f>
        <v>0.524578303328288</v>
      </c>
      <c r="AA200" s="30" t="n">
        <f aca="false">IFERROR(AA188/V188-1,"")</f>
        <v>0.530125025988573</v>
      </c>
      <c r="AB200" s="30" t="n">
        <f aca="false">IFERROR(AB188/AA188-1,"")</f>
        <v>0.15230282831959</v>
      </c>
      <c r="AC200" s="30" t="n">
        <f aca="false">IFERROR(AC188/AB188-1,"")</f>
        <v>0.205148541973383</v>
      </c>
      <c r="AD200" s="30" t="n">
        <f aca="false">IFERROR(AD188/AC188-1,"")</f>
        <v>0.180988793874752</v>
      </c>
      <c r="AE200" s="30" t="n">
        <f aca="false">IFERROR(AE188/AD188-1,"")</f>
        <v>0.138645801342419</v>
      </c>
    </row>
    <row r="201" customFormat="false" ht="15" hidden="false" customHeight="true" outlineLevel="0" collapsed="false">
      <c r="B201" s="11" t="s">
        <v>184</v>
      </c>
      <c r="C201" s="42" t="n">
        <f aca="false">IF(AND(ISNUMBER(C158),ISNUMBER(C106)),IFERROR(C158/C106,""),"")</f>
        <v>0.0971488912354805</v>
      </c>
      <c r="D201" s="42" t="n">
        <f aca="false">IF(AND(ISNUMBER(D158),ISNUMBER(D106)),IFERROR(D158/D106,""),"")</f>
        <v>0.141182217879824</v>
      </c>
      <c r="E201" s="42" t="n">
        <f aca="false">IF(AND(ISNUMBER(E158),ISNUMBER(E106)),IFERROR(E158/E106,""),"")</f>
        <v>0.134635149023638</v>
      </c>
      <c r="F201" s="42" t="n">
        <f aca="false">IF(AND(ISNUMBER(F158),ISNUMBER(F106)),IFERROR(F158/F106,""),"")</f>
        <v>0.143091206990715</v>
      </c>
      <c r="G201" s="42" t="n">
        <f aca="false">IF(AND(ISNUMBER(G158),ISNUMBER(G106)),IFERROR(G158/G106,""),"")</f>
        <v>0.129178543664162</v>
      </c>
      <c r="H201" s="42" t="n">
        <f aca="false">IF(AND(ISNUMBER(H158),ISNUMBER(H106)),IFERROR(H158/H106,""),"")</f>
        <v>0.110120608285265</v>
      </c>
      <c r="I201" s="42" t="n">
        <f aca="false">IF(AND(ISNUMBER(I158),ISNUMBER(I106)),IFERROR(I158/I106,""),"")</f>
        <v>0.127282211789254</v>
      </c>
      <c r="J201" s="42" t="n">
        <f aca="false">IF(AND(ISNUMBER(J158),ISNUMBER(J106)),IFERROR(J158/J106,""),"")</f>
        <v>0.14040404040404</v>
      </c>
      <c r="K201" s="42" t="n">
        <f aca="false">IF(AND(ISNUMBER(K158),ISNUMBER(K106)),IFERROR(K158/K106,""),"")</f>
        <v>0.136082474226804</v>
      </c>
      <c r="L201" s="42" t="n">
        <f aca="false">IF(AND(ISNUMBER(L158),ISNUMBER(L106)),IFERROR(L158/L106,""),"")</f>
        <v>0.128615702479339</v>
      </c>
      <c r="M201" s="42" t="n">
        <f aca="false">IF(AND(ISNUMBER(M158),ISNUMBER(M106)),IFERROR(M158/M106,""),"")</f>
        <v>0.142715559960357</v>
      </c>
      <c r="N201" s="42" t="n">
        <f aca="false">IF(AND(ISNUMBER(N158),ISNUMBER(N106)),IFERROR(N158/N106,""),"")</f>
        <v>0.164983164983165</v>
      </c>
      <c r="O201" s="42" t="n">
        <f aca="false">IF(AND(ISNUMBER(O158),ISNUMBER(O106)),IFERROR(O158/O106,""),"")</f>
        <v>0.162201656113005</v>
      </c>
      <c r="P201" s="42" t="n">
        <f aca="false">IF(AND(ISNUMBER(P158),ISNUMBER(P106)),IFERROR(P158/P106,""),"")</f>
        <v>0.157730348776679</v>
      </c>
      <c r="Q201" s="42" t="n">
        <f aca="false">IF(AND(ISNUMBER(Q158),ISNUMBER(Q106)),IFERROR(Q158/Q106,""),"")</f>
        <v>0.156838453914767</v>
      </c>
      <c r="R201" s="42" t="n">
        <f aca="false">IF(AND(ISNUMBER(R158),ISNUMBER(R106)),IFERROR(R158/R106,""),"")</f>
        <v>0.142272262026612</v>
      </c>
      <c r="S201" s="42" t="n">
        <f aca="false">IF(AND(ISNUMBER(S158),ISNUMBER(S106)),IFERROR(S158/S106,""),"")</f>
        <v>0.163461538461538</v>
      </c>
      <c r="T201" s="42" t="n">
        <f aca="false">IF(AND(ISNUMBER(T158),ISNUMBER(T106)),IFERROR(T158/T106,""),"")</f>
        <v>0.162008526764567</v>
      </c>
      <c r="U201" s="42" t="n">
        <f aca="false">IF(AND(ISNUMBER(U158),ISNUMBER(U106)),IFERROR(U158/U106,""),"")</f>
        <v>0.155146693187469</v>
      </c>
      <c r="V201" s="42" t="n">
        <f aca="false">IF(AND(ISNUMBER(V158),ISNUMBER(V106)),IFERROR(V158/V106,""),"")</f>
        <v>0.155939683707245</v>
      </c>
      <c r="W201" s="42" t="n">
        <f aca="false">IF(AND(ISNUMBER(W158),ISNUMBER(W106)),IFERROR(W158/W106,""),"")</f>
        <v>0.15219465648855</v>
      </c>
      <c r="X201" s="42" t="n">
        <f aca="false">IF(AND(ISNUMBER(X158),ISNUMBER(X106)),IFERROR(X158/X106,""),"")</f>
        <v>0.184288747346072</v>
      </c>
      <c r="Y201" s="30" t="n">
        <f aca="false">IFERROR(Y158/Y106,"")</f>
        <v>0.1796023513288</v>
      </c>
      <c r="Z201" s="30" t="n">
        <f aca="false">IFERROR(Z158/Z106,"")</f>
        <v>0.166296950718055</v>
      </c>
      <c r="AA201" s="30" t="n">
        <f aca="false">IFERROR(AA158/AA106,"")</f>
        <v>0.171194106635093</v>
      </c>
      <c r="AB201" s="30" t="n">
        <f aca="false">IFERROR(AB158/AB106,"")</f>
        <v>0.184489694685689</v>
      </c>
      <c r="AC201" s="30" t="n">
        <f aca="false">IFERROR(AC158/AC106,"")</f>
        <v>0.193955687776187</v>
      </c>
      <c r="AD201" s="30" t="n">
        <f aca="false">IFERROR(AD158/AD106,"")</f>
        <v>0.203277730814681</v>
      </c>
      <c r="AE201" s="30" t="n">
        <f aca="false">IFERROR(AE158/AE106,"")</f>
        <v>0.208369481342156</v>
      </c>
      <c r="AH201" s="44" t="n">
        <f aca="false">IFERROR(AVERAGE(AA201,AB201,AC201,AD201,AE201),"n/m")</f>
        <v>0.192257340250761</v>
      </c>
      <c r="AI201" s="44" t="n">
        <f aca="false">IFERROR(AVERAGE(G201,L201,Q201,V201),"n/m")</f>
        <v>0.142643095941378</v>
      </c>
    </row>
    <row r="202" customFormat="false" ht="15" hidden="false" customHeight="true" outlineLevel="0" collapsed="false">
      <c r="B202" s="11" t="s">
        <v>331</v>
      </c>
      <c r="C202" s="42" t="n">
        <f aca="false">C29</f>
        <v>0.888888888888889</v>
      </c>
      <c r="D202" s="42" t="n">
        <f aca="false">D29</f>
        <v>0.832258064516129</v>
      </c>
      <c r="E202" s="42" t="n">
        <f aca="false">E29</f>
        <v>0.855601659751037</v>
      </c>
      <c r="F202" s="42" t="n">
        <f aca="false">F29</f>
        <v>0.903019213174748</v>
      </c>
      <c r="G202" s="42" t="n">
        <f aca="false">G29</f>
        <v>0.868460710441335</v>
      </c>
      <c r="H202" s="42" t="n">
        <f aca="false">H29</f>
        <v>0.895535714285714</v>
      </c>
      <c r="I202" s="42" t="n">
        <f aca="false">I29</f>
        <v>0.875</v>
      </c>
      <c r="J202" s="42" t="n">
        <f aca="false">J29</f>
        <v>0.861563517915309</v>
      </c>
      <c r="K202" s="42" t="n">
        <f aca="false">K29</f>
        <v>0.865206402695872</v>
      </c>
      <c r="L202" s="42" t="n">
        <f aca="false">L29</f>
        <v>0.873902804538643</v>
      </c>
      <c r="M202" s="42" t="n">
        <f aca="false">M29</f>
        <v>0.856674856674857</v>
      </c>
      <c r="N202" s="42" t="n">
        <f aca="false">N29</f>
        <v>0.831761006289308</v>
      </c>
      <c r="O202" s="42" t="n">
        <f aca="false">O29</f>
        <v>0.841726618705036</v>
      </c>
      <c r="P202" s="42" t="n">
        <f aca="false">P29</f>
        <v>0.862456747404844</v>
      </c>
      <c r="Q202" s="42" t="n">
        <f aca="false">Q29</f>
        <v>0.847724025311288</v>
      </c>
      <c r="R202" s="42" t="n">
        <f aca="false">R29</f>
        <v>0.859215017064846</v>
      </c>
      <c r="S202" s="42" t="n">
        <f aca="false">S29</f>
        <v>0.829838709677419</v>
      </c>
      <c r="T202" s="42" t="n">
        <f aca="false">T29</f>
        <v>0.827091633466136</v>
      </c>
      <c r="U202" s="42" t="n">
        <f aca="false">U29</f>
        <v>0.844635193133047</v>
      </c>
      <c r="V202" s="42" t="n">
        <f aca="false">V29</f>
        <v>0.839610927152318</v>
      </c>
      <c r="W202" s="42" t="n">
        <f aca="false">W29</f>
        <v>0.838893409275834</v>
      </c>
      <c r="X202" s="42" t="n">
        <f aca="false">X29</f>
        <v>0.799019607843137</v>
      </c>
      <c r="Y202" s="30" t="n">
        <f aca="false">Y29</f>
        <v>0.796272531631853</v>
      </c>
      <c r="Z202" s="30" t="n">
        <f aca="false">Z29</f>
        <v>0.813816091298765</v>
      </c>
      <c r="AA202" s="30" t="n">
        <f aca="false">AA29</f>
        <v>0.810896395402355</v>
      </c>
      <c r="AB202" s="30" t="n">
        <f aca="false">AB29</f>
        <v>0.795</v>
      </c>
      <c r="AC202" s="30" t="n">
        <f aca="false">AC29</f>
        <v>0.785</v>
      </c>
      <c r="AD202" s="30" t="n">
        <f aca="false">AD29</f>
        <v>0.775</v>
      </c>
      <c r="AE202" s="30" t="n">
        <f aca="false">AE29</f>
        <v>0.77</v>
      </c>
      <c r="AH202" s="44" t="n">
        <f aca="false">IFERROR(AVERAGE(AA202,AB202,AC202,AD202,AE202),"n/m")</f>
        <v>0.787179279080471</v>
      </c>
      <c r="AI202" s="44" t="n">
        <f aca="false">IFERROR(AVERAGE(G202,L202,Q202,V202),"n/m")</f>
        <v>0.857424616860896</v>
      </c>
    </row>
    <row r="203" customFormat="false" ht="15" hidden="false" customHeight="true" outlineLevel="0" collapsed="false">
      <c r="B203" s="11" t="s">
        <v>332</v>
      </c>
      <c r="H203" s="42" t="n">
        <f aca="false">IFERROR((H158-C158)/(H106-C106),"")</f>
        <v>2</v>
      </c>
      <c r="I203" s="42" t="n">
        <f aca="false">IFERROR((I158-D158)/(I106-D106),"")</f>
        <v>0.346153846153846</v>
      </c>
      <c r="J203" s="42" t="n">
        <f aca="false">IFERROR((J158-E158)/(J106-E106),"")</f>
        <v>0.470588235294118</v>
      </c>
      <c r="K203" s="42" t="n">
        <f aca="false">IFERROR((K158-F158)/(K106-F106),"")</f>
        <v>0.018348623853211</v>
      </c>
      <c r="L203" s="42" t="n">
        <f aca="false">IFERROR((L158-G158)/(L106-G106),"")</f>
        <v>-0.0384615384615385</v>
      </c>
      <c r="M203" s="42" t="n">
        <f aca="false">IFERROR((M158-H158)/(M106-H106),"")</f>
        <v>0.702702702702703</v>
      </c>
      <c r="N203" s="42" t="n">
        <f aca="false">IFERROR((N158-I158)/(N106-I106),"")</f>
        <v>0.611111111111111</v>
      </c>
      <c r="O203" s="42" t="n">
        <f aca="false">IFERROR((O158-J158)/(O106-J106),"")</f>
        <v>0.753424657534247</v>
      </c>
      <c r="P203" s="42" t="n">
        <f aca="false">IFERROR((P158-K158)/(P106-K106),"")</f>
        <v>-2.05263157894737</v>
      </c>
      <c r="Q203" s="42" t="n">
        <f aca="false">IFERROR((Q158-L158)/(Q106-L106),"")</f>
        <v>0.823170731707317</v>
      </c>
      <c r="R203" s="42" t="n">
        <f aca="false">IFERROR((R158-M158)/(R106-M106),"")</f>
        <v>0.15625</v>
      </c>
      <c r="S203" s="42" t="n">
        <f aca="false">IFERROR((S158-N158)/(S106-N106),"")</f>
        <v>-3</v>
      </c>
      <c r="T203" s="42" t="n">
        <f aca="false">IFERROR((T158-O158)/(T106-O106),"")</f>
        <v>0.155172413793103</v>
      </c>
      <c r="U203" s="42" t="n">
        <f aca="false">IFERROR((U158-P158)/(U106-P106),"")</f>
        <v>0.1</v>
      </c>
      <c r="V203" s="42" t="n">
        <f aca="false">IFERROR((V158-Q158)/(V106-Q106),"")</f>
        <v>0.0705882352941177</v>
      </c>
      <c r="W203" s="42" t="n">
        <f aca="false">IFERROR((W158-R158)/(W106-R106),"")</f>
        <v>0.288732394366197</v>
      </c>
      <c r="X203" s="42" t="n">
        <f aca="false">IFERROR((X158-S158)/(X106-S106),"")</f>
        <v>0.341818181818182</v>
      </c>
      <c r="Y203" s="30" t="n">
        <f aca="false">IFERROR((Y158-T158)/(Y106-T106),"")</f>
        <v>0.30134996446174</v>
      </c>
      <c r="Z203" s="30" t="n">
        <f aca="false">IFERROR((Z158-U158)/(Z106-U106),"")</f>
        <v>0.240408058041324</v>
      </c>
      <c r="AA203" s="30" t="n">
        <f aca="false">IFERROR((AA158-V158)/(AA106-V106),"")</f>
        <v>0.292752799218531</v>
      </c>
      <c r="AB203" s="30" t="n">
        <f aca="false">IFERROR((AB158-AA158)/(AB106-AA106),"")</f>
        <v>0.616953908020542</v>
      </c>
      <c r="AC203" s="30" t="n">
        <f aca="false">IFERROR((AC158-AB158)/(AC106-AB106),"")</f>
        <v>0.357749994597027</v>
      </c>
      <c r="AD203" s="30" t="n">
        <f aca="false">IFERROR((AD158-AC158)/(AD106-AC106),"")</f>
        <v>0.372487582797813</v>
      </c>
      <c r="AE203" s="30" t="n">
        <f aca="false">IFERROR((AE158-AD158)/(AE106-AD106),"")</f>
        <v>0.305728933674395</v>
      </c>
    </row>
    <row r="204" customFormat="false" ht="15" hidden="false" customHeight="true" outlineLevel="0" collapsed="false">
      <c r="B204" s="11" t="s">
        <v>333</v>
      </c>
      <c r="C204" s="42" t="n">
        <f aca="false">IF(AND(ISNUMBER(C121),ISNUMBER(C106)),IFERROR(C121/C106,""),"")</f>
        <v>0.0332629355860613</v>
      </c>
      <c r="D204" s="42" t="n">
        <f aca="false">IF(AND(ISNUMBER(D121),ISNUMBER(D106)),IFERROR(D121/D106,""),"")</f>
        <v>0.0835368832437714</v>
      </c>
      <c r="E204" s="42" t="n">
        <f aca="false">IF(AND(ISNUMBER(E121),ISNUMBER(E106)),IFERROR(E121/E106,""),"")</f>
        <v>0.0714285714285714</v>
      </c>
      <c r="F204" s="42" t="n">
        <f aca="false">IF(AND(ISNUMBER(F121),ISNUMBER(F106)),IFERROR(F121/F106,""),"")</f>
        <v>0.00218459858001092</v>
      </c>
      <c r="G204" s="42" t="n">
        <f aca="false">IF(AND(ISNUMBER(G121),ISNUMBER(G106)),IFERROR(G121/G106,""),"")</f>
        <v>0.0488468515159368</v>
      </c>
      <c r="H204" s="42" t="n">
        <f aca="false">IF(AND(ISNUMBER(H121),ISNUMBER(H106)),IFERROR(H121/H106,""),"")</f>
        <v>0.0304142632406922</v>
      </c>
      <c r="I204" s="42" t="n">
        <f aca="false">IF(AND(ISNUMBER(I121),ISNUMBER(I106)),IFERROR(I121/I106,""),"")</f>
        <v>0.0558163797600417</v>
      </c>
      <c r="J204" s="42" t="n">
        <f aca="false">IF(AND(ISNUMBER(J121),ISNUMBER(J106)),IFERROR(J121/J106,""),"")</f>
        <v>0.0777777777777778</v>
      </c>
      <c r="K204" s="42" t="n">
        <f aca="false">IF(AND(ISNUMBER(K121),ISNUMBER(K106)),IFERROR(K121/K106,""),"")</f>
        <v>0.061340206185567</v>
      </c>
      <c r="L204" s="42" t="n">
        <f aca="false">IF(AND(ISNUMBER(L121),ISNUMBER(L106)),IFERROR(L121/L106,""),"")</f>
        <v>0.0565599173553719</v>
      </c>
      <c r="M204" s="42" t="n">
        <f aca="false">IF(AND(ISNUMBER(M121),ISNUMBER(M106)),IFERROR(M121/M106,""),"")</f>
        <v>0.068384539147671</v>
      </c>
      <c r="N204" s="42" t="n">
        <f aca="false">IF(AND(ISNUMBER(N121),ISNUMBER(N106)),IFERROR(N121/N106,""),"")</f>
        <v>0.0947570947570948</v>
      </c>
      <c r="O204" s="42" t="n">
        <f aca="false">IF(AND(ISNUMBER(O121),ISNUMBER(O106)),IFERROR(O121/O106,""),"")</f>
        <v>0.0857282026302971</v>
      </c>
      <c r="P204" s="42" t="n">
        <f aca="false">IF(AND(ISNUMBER(P121),ISNUMBER(P106)),IFERROR(P121/P106,""),"")</f>
        <v>0.0770432066631963</v>
      </c>
      <c r="Q204" s="42" t="n">
        <f aca="false">IF(AND(ISNUMBER(Q121),ISNUMBER(Q106)),IFERROR(Q121/Q106,""),"")</f>
        <v>0.0817641228939544</v>
      </c>
      <c r="R204" s="42" t="n">
        <f aca="false">IF(AND(ISNUMBER(R121),ISNUMBER(R106)),IFERROR(R121/R106,""),"")</f>
        <v>0.0772773797338792</v>
      </c>
      <c r="S204" s="42" t="n">
        <f aca="false">IF(AND(ISNUMBER(S121),ISNUMBER(S106)),IFERROR(S121/S106,""),"")</f>
        <v>0.0951923076923077</v>
      </c>
      <c r="T204" s="42" t="n">
        <f aca="false">IF(AND(ISNUMBER(T121),ISNUMBER(T106)),IFERROR(T121/T106,""),"")</f>
        <v>0.0776882993841781</v>
      </c>
      <c r="U204" s="42" t="n">
        <f aca="false">IF(AND(ISNUMBER(U121),ISNUMBER(U106)),IFERROR(U121/U106,""),"")</f>
        <v>0.0711089010442566</v>
      </c>
      <c r="V204" s="42" t="n">
        <f aca="false">IF(AND(ISNUMBER(V121),ISNUMBER(V106)),IFERROR(V121/V106,""),"")</f>
        <v>0.080421723672919</v>
      </c>
      <c r="W204" s="42" t="n">
        <f aca="false">IF(AND(ISNUMBER(W121),ISNUMBER(W106)),IFERROR(W121/W106,""),"")</f>
        <v>0.0830152671755725</v>
      </c>
      <c r="X204" s="42" t="n">
        <f aca="false">IF(AND(ISNUMBER(X121),ISNUMBER(X106)),IFERROR(X121/X106,""),"")</f>
        <v>0.115074309978769</v>
      </c>
      <c r="Y204" s="30" t="n">
        <f aca="false">IFERROR(Y121/Y106,"")</f>
        <v>0.116106846539326</v>
      </c>
      <c r="Z204" s="30" t="n">
        <f aca="false">IFERROR(Z121/Z106,"")</f>
        <v>0.100146522556828</v>
      </c>
      <c r="AA204" s="30" t="n">
        <f aca="false">IFERROR(AA121/AA106,"")</f>
        <v>0.10426486590509</v>
      </c>
      <c r="AB204" s="30" t="n">
        <f aca="false">IFERROR(AB121/AB106,"")</f>
        <v>0.11886447383636</v>
      </c>
      <c r="AC204" s="30" t="n">
        <f aca="false">IFERROR(AC121/AC106,"")</f>
        <v>0.129798982317631</v>
      </c>
      <c r="AD204" s="30" t="n">
        <f aca="false">IFERROR(AD121/AD106,"")</f>
        <v>0.140161853340446</v>
      </c>
      <c r="AE204" s="30" t="n">
        <f aca="false">IFERROR(AE121/AE106,"")</f>
        <v>0.145302085146355</v>
      </c>
      <c r="AH204" s="44" t="n">
        <f aca="false">IFERROR(AVERAGE(AA204,AB204,AC204,AD204,AE204),"n/m")</f>
        <v>0.127678452109176</v>
      </c>
      <c r="AI204" s="44" t="n">
        <f aca="false">IFERROR(AVERAGE(G204,L204,Q204,V204),"n/m")</f>
        <v>0.0668981538595455</v>
      </c>
    </row>
    <row r="205" customFormat="false" ht="15" hidden="false" customHeight="true" outlineLevel="0" collapsed="false">
      <c r="B205" s="11" t="s">
        <v>334</v>
      </c>
      <c r="C205" s="42" t="n">
        <f aca="false">IF(AND(ISNUMBER(C131),ISNUMBER(C106)),IFERROR(C131/C106,""),"")</f>
        <v>0.25765575501584</v>
      </c>
      <c r="D205" s="42" t="n">
        <f aca="false">IF(AND(ISNUMBER(D131),ISNUMBER(D106)),IFERROR(D131/D106,""),"")</f>
        <v>0.0688812896922325</v>
      </c>
      <c r="E205" s="42" t="n">
        <f aca="false">IF(AND(ISNUMBER(E131),ISNUMBER(E106)),IFERROR(E131/E106,""),"")</f>
        <v>0.0673175745118191</v>
      </c>
      <c r="F205" s="42" t="n">
        <f aca="false">IF(AND(ISNUMBER(F131),ISNUMBER(F106)),IFERROR(F131/F106,""),"")</f>
        <v>-0.0513380666302567</v>
      </c>
      <c r="G205" s="42" t="n">
        <f aca="false">IF(AND(ISNUMBER(G131),ISNUMBER(G106)),IFERROR(G131/G106,""),"")</f>
        <v>0.0862917854366416</v>
      </c>
      <c r="H205" s="42" t="n">
        <f aca="false">IF(AND(ISNUMBER(H131),ISNUMBER(H106)),IFERROR(H131/H106,""),"")</f>
        <v>0.00734137388568432</v>
      </c>
      <c r="I205" s="42" t="n">
        <f aca="false">IF(AND(ISNUMBER(I131),ISNUMBER(I106)),IFERROR(I131/I106,""),"")</f>
        <v>0.0172143974960876</v>
      </c>
      <c r="J205" s="42" t="n">
        <f aca="false">IF(AND(ISNUMBER(J131),ISNUMBER(J106)),IFERROR(J131/J106,""),"")</f>
        <v>0.0424242424242424</v>
      </c>
      <c r="K205" s="42" t="n">
        <f aca="false">IF(AND(ISNUMBER(K131),ISNUMBER(K106)),IFERROR(K131/K106,""),"")</f>
        <v>0.0298969072164948</v>
      </c>
      <c r="L205" s="42" t="n">
        <f aca="false">IF(AND(ISNUMBER(L131),ISNUMBER(L106)),IFERROR(L131/L106,""),"")</f>
        <v>0.0244059917355372</v>
      </c>
      <c r="M205" s="42" t="n">
        <f aca="false">IF(AND(ISNUMBER(M131),ISNUMBER(M106)),IFERROR(M131/M106,""),"")</f>
        <v>0.033201189296333</v>
      </c>
      <c r="N205" s="42" t="n">
        <f aca="false">IF(AND(ISNUMBER(N131),ISNUMBER(N106)),IFERROR(N131/N106,""),"")</f>
        <v>0.0721500721500721</v>
      </c>
      <c r="O205" s="42" t="n">
        <f aca="false">IF(AND(ISNUMBER(O131),ISNUMBER(O106)),IFERROR(O131/O106,""),"")</f>
        <v>0.0462737457379445</v>
      </c>
      <c r="P205" s="42" t="n">
        <f aca="false">IF(AND(ISNUMBER(P131),ISNUMBER(P106)),IFERROR(P131/P106,""),"")</f>
        <v>0.0395627277459656</v>
      </c>
      <c r="Q205" s="42" t="n">
        <f aca="false">IF(AND(ISNUMBER(Q131),ISNUMBER(Q106)),IFERROR(Q131/Q106,""),"")</f>
        <v>0.0479435084241824</v>
      </c>
      <c r="R205" s="42" t="n">
        <f aca="false">IF(AND(ISNUMBER(R131),ISNUMBER(R106)),IFERROR(R131/R106,""),"")</f>
        <v>0.0353121801432958</v>
      </c>
      <c r="S205" s="42" t="n">
        <f aca="false">IF(AND(ISNUMBER(S131),ISNUMBER(S106)),IFERROR(S131/S106,""),"")</f>
        <v>0.0509615384615385</v>
      </c>
      <c r="T205" s="42" t="n">
        <f aca="false">IF(AND(ISNUMBER(T131),ISNUMBER(T106)),IFERROR(T131/T106,""),"")</f>
        <v>0.0388441496920891</v>
      </c>
      <c r="U205" s="42" t="n">
        <f aca="false">IF(AND(ISNUMBER(U131),ISNUMBER(U106)),IFERROR(U131/U106,""),"")</f>
        <v>0.0293386374937842</v>
      </c>
      <c r="V205" s="42" t="n">
        <f aca="false">IF(AND(ISNUMBER(V131),ISNUMBER(V106)),IFERROR(V131/V106,""),"")</f>
        <v>0.0387397327448817</v>
      </c>
      <c r="W205" s="42" t="n">
        <f aca="false">IF(AND(ISNUMBER(W131),ISNUMBER(W106)),IFERROR(W131/W106,""),"")</f>
        <v>0.0481870229007634</v>
      </c>
      <c r="X205" s="42" t="n">
        <f aca="false">IF(AND(ISNUMBER(X131),ISNUMBER(X106)),IFERROR(X131/X106,""),"")</f>
        <v>0.0687898089171975</v>
      </c>
      <c r="Y205" s="30" t="n">
        <f aca="false">IFERROR(Y131/Y106,"")</f>
        <v>0.0729901898726174</v>
      </c>
      <c r="Z205" s="30" t="n">
        <f aca="false">IFERROR(Z131/Z106,"")</f>
        <v>0.0600791382962134</v>
      </c>
      <c r="AA205" s="30" t="n">
        <f aca="false">IFERROR(AA131/AA106,"")</f>
        <v>0.062996331881529</v>
      </c>
      <c r="AB205" s="30" t="n">
        <f aca="false">IFERROR(AB131/AB106,"")</f>
        <v>0.0753467560221111</v>
      </c>
      <c r="AC205" s="30" t="n">
        <f aca="false">IFERROR(AC131/AC106,"")</f>
        <v>0.0857017834986416</v>
      </c>
      <c r="AD205" s="30" t="n">
        <f aca="false">IFERROR(AD131/AD106,"")</f>
        <v>0.0933522137475597</v>
      </c>
      <c r="AE205" s="30" t="n">
        <f aca="false">IFERROR(AE131/AE106,"")</f>
        <v>0.0970369983634615</v>
      </c>
      <c r="AH205" s="44" t="n">
        <f aca="false">IFERROR(AVERAGE(AA205,AB205,AC205,AD205,AE205),"n/m")</f>
        <v>0.0828868167026606</v>
      </c>
      <c r="AI205" s="44" t="n">
        <f aca="false">IFERROR(AVERAGE(G205,L205,Q205,V205),"n/m")</f>
        <v>0.0493452545853107</v>
      </c>
    </row>
    <row r="206" customFormat="false" ht="15" hidden="false" customHeight="true" outlineLevel="0" collapsed="false">
      <c r="B206" s="11" t="s">
        <v>155</v>
      </c>
      <c r="C206" s="42" t="n">
        <f aca="false">C54</f>
        <v>0.048284625158831</v>
      </c>
      <c r="D206" s="42" t="n">
        <f aca="false">D54</f>
        <v>0.0607187112763321</v>
      </c>
      <c r="E206" s="42" t="n">
        <f aca="false">E54</f>
        <v>0.058029689608637</v>
      </c>
      <c r="F206" s="42" t="n">
        <f aca="false">F54</f>
        <v>0.0528455284552846</v>
      </c>
      <c r="G206" s="42" t="n">
        <f aca="false">G54</f>
        <v>0.05499511877644</v>
      </c>
      <c r="H206" s="42" t="n">
        <f aca="false">H54</f>
        <v>0.0470139771283355</v>
      </c>
      <c r="I206" s="42" t="n">
        <f aca="false">I54</f>
        <v>0.058898847631242</v>
      </c>
      <c r="J206" s="42" t="n">
        <f aca="false">J54</f>
        <v>0.0585106382978723</v>
      </c>
      <c r="K206" s="42" t="n">
        <f aca="false">K54</f>
        <v>0.047808764940239</v>
      </c>
      <c r="L206" s="42" t="n">
        <f aca="false">L54</f>
        <v>0.0530426293524243</v>
      </c>
      <c r="M206" s="42" t="n">
        <f aca="false">M54</f>
        <v>0.0476787954830615</v>
      </c>
      <c r="N206" s="42" t="n">
        <f aca="false">N54</f>
        <v>0.0606435643564356</v>
      </c>
      <c r="O206" s="42" t="n">
        <f aca="false">O54</f>
        <v>0.0547945205479452</v>
      </c>
      <c r="P206" s="42" t="n">
        <f aca="false">P54</f>
        <v>0.0352941176470588</v>
      </c>
      <c r="Q206" s="42" t="n">
        <f aca="false">Q54</f>
        <v>0.0497951465490073</v>
      </c>
      <c r="R206" s="42" t="n">
        <f aca="false">R54</f>
        <v>0.040920716112532</v>
      </c>
      <c r="S206" s="42" t="n">
        <f aca="false">S54</f>
        <v>0.0523186682520809</v>
      </c>
      <c r="T206" s="42" t="n">
        <f aca="false">T54</f>
        <v>0.044340723453909</v>
      </c>
      <c r="U206" s="42" t="n">
        <f aca="false">U54</f>
        <v>0.0378250591016548</v>
      </c>
      <c r="V206" s="42" t="n">
        <f aca="false">V54</f>
        <v>0.0442238267148014</v>
      </c>
      <c r="W206" s="42" t="n">
        <f aca="false">W54</f>
        <v>0.0380184331797235</v>
      </c>
      <c r="X206" s="42" t="n">
        <f aca="false">X54</f>
        <v>0.0517799352750809</v>
      </c>
      <c r="Y206" s="30" t="n">
        <f aca="false">Y54</f>
        <v>0.0426392078109149</v>
      </c>
      <c r="Z206" s="30" t="n">
        <f aca="false">Z54</f>
        <v>0.0361235434586608</v>
      </c>
      <c r="AA206" s="30" t="n">
        <f aca="false">AA54</f>
        <v>0.0421950568164166</v>
      </c>
      <c r="AB206" s="30" t="n">
        <f aca="false">AB54</f>
        <v>0.05</v>
      </c>
      <c r="AC206" s="30" t="n">
        <f aca="false">AC54</f>
        <v>0.0525</v>
      </c>
      <c r="AD206" s="30" t="n">
        <f aca="false">AD54</f>
        <v>0.055</v>
      </c>
      <c r="AE206" s="30" t="n">
        <f aca="false">AE54</f>
        <v>0.055</v>
      </c>
      <c r="AH206" s="44" t="n">
        <f aca="false">IFERROR(AVERAGE(AA206,AB206,AC206,AD206,AE206),"n/m")</f>
        <v>0.0509390113632833</v>
      </c>
      <c r="AI206" s="44" t="n">
        <f aca="false">IFERROR(AVERAGE(G206,L206,Q206,V206),"n/m")</f>
        <v>0.0505141803481683</v>
      </c>
    </row>
    <row r="207" customFormat="false" ht="15" hidden="false" customHeight="true" outlineLevel="0" collapsed="false">
      <c r="B207" s="11"/>
    </row>
    <row r="208" customFormat="false" ht="15" hidden="false" customHeight="true" outlineLevel="0" collapsed="false">
      <c r="B208" s="10" t="s">
        <v>335</v>
      </c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 t="s">
        <v>336</v>
      </c>
    </row>
    <row r="209" customFormat="false" ht="15" hidden="false" customHeight="true" outlineLevel="0" collapsed="false">
      <c r="B209" s="11" t="s">
        <v>337</v>
      </c>
      <c r="C209" s="33" t="n">
        <v>32</v>
      </c>
      <c r="D209" s="33" t="n">
        <v>96</v>
      </c>
      <c r="E209" s="33" t="n">
        <v>92</v>
      </c>
      <c r="F209" s="33" t="n">
        <v>-36</v>
      </c>
      <c r="G209" s="33" t="n">
        <v>184</v>
      </c>
      <c r="H209" s="33" t="n">
        <v>17</v>
      </c>
      <c r="I209" s="33" t="n">
        <v>31</v>
      </c>
      <c r="J209" s="33" t="n">
        <v>86</v>
      </c>
      <c r="K209" s="33" t="n">
        <v>58</v>
      </c>
      <c r="L209" s="33" t="n">
        <v>192</v>
      </c>
      <c r="M209" s="33" t="n">
        <v>67</v>
      </c>
      <c r="N209" s="33" t="n">
        <v>150</v>
      </c>
      <c r="O209" s="33" t="n">
        <v>95</v>
      </c>
      <c r="P209" s="33" t="n">
        <v>75</v>
      </c>
      <c r="Q209" s="33" t="n">
        <v>387</v>
      </c>
      <c r="R209" s="33" t="n">
        <v>69</v>
      </c>
      <c r="S209" s="33" t="n">
        <v>106</v>
      </c>
      <c r="T209" s="33" t="n">
        <v>82</v>
      </c>
      <c r="U209" s="33" t="n">
        <v>59</v>
      </c>
      <c r="V209" s="33" t="n">
        <v>316</v>
      </c>
      <c r="W209" s="33" t="n">
        <v>101</v>
      </c>
      <c r="X209" s="33" t="n">
        <v>162</v>
      </c>
      <c r="Y209" s="32"/>
      <c r="Z209" s="32"/>
      <c r="AA209" s="43" t="n">
        <f aca="false">AA129</f>
        <v>578.345601498561</v>
      </c>
      <c r="AB209" s="43" t="n">
        <f aca="false">AB129</f>
        <v>712.99660133405</v>
      </c>
      <c r="AC209" s="43" t="n">
        <f aca="false">AC129</f>
        <v>857.853287727507</v>
      </c>
      <c r="AD209" s="43" t="n">
        <f aca="false">AD129</f>
        <v>985.911541349891</v>
      </c>
      <c r="AE209" s="43" t="n">
        <f aca="false">AE129</f>
        <v>1078.42419509665</v>
      </c>
    </row>
    <row r="210" customFormat="false" ht="15" hidden="false" customHeight="true" outlineLevel="0" collapsed="false">
      <c r="B210" s="55" t="s">
        <v>338</v>
      </c>
      <c r="Y210" s="32"/>
      <c r="Z210" s="32"/>
      <c r="AA210" s="32"/>
      <c r="AB210" s="32"/>
      <c r="AC210" s="32"/>
      <c r="AD210" s="32"/>
      <c r="AE210" s="32"/>
    </row>
    <row r="211" customFormat="false" ht="15" hidden="false" customHeight="true" outlineLevel="0" collapsed="false">
      <c r="B211" s="11" t="s">
        <v>339</v>
      </c>
      <c r="C211" s="33" t="n">
        <v>94</v>
      </c>
      <c r="D211" s="33" t="n">
        <v>96</v>
      </c>
      <c r="E211" s="33" t="n">
        <v>99</v>
      </c>
      <c r="F211" s="33" t="n">
        <v>103</v>
      </c>
      <c r="G211" s="33" t="n">
        <v>392</v>
      </c>
      <c r="H211" s="33" t="n">
        <v>101</v>
      </c>
      <c r="I211" s="33" t="n">
        <v>107</v>
      </c>
      <c r="J211" s="33" t="n">
        <v>110</v>
      </c>
      <c r="K211" s="33" t="n">
        <v>114</v>
      </c>
      <c r="L211" s="33" t="n">
        <v>432</v>
      </c>
      <c r="M211" s="33" t="n">
        <v>117</v>
      </c>
      <c r="N211" s="33" t="n">
        <v>122</v>
      </c>
      <c r="O211" s="33" t="n">
        <v>126</v>
      </c>
      <c r="P211" s="33" t="n">
        <v>125</v>
      </c>
      <c r="Q211" s="33" t="n">
        <v>490</v>
      </c>
      <c r="R211" s="33" t="n">
        <v>123</v>
      </c>
      <c r="S211" s="33" t="n">
        <v>131</v>
      </c>
      <c r="T211" s="33" t="n">
        <v>134</v>
      </c>
      <c r="U211" s="33" t="n">
        <v>133</v>
      </c>
      <c r="V211" s="33" t="n">
        <v>521</v>
      </c>
      <c r="W211" s="33" t="n">
        <v>131</v>
      </c>
      <c r="X211" s="33" t="n">
        <v>134</v>
      </c>
      <c r="Y211" s="32"/>
      <c r="Z211" s="32"/>
      <c r="AA211" s="43" t="n">
        <f aca="false">AA115</f>
        <v>543.452156684782</v>
      </c>
      <c r="AB211" s="43" t="n">
        <f aca="false">AB115</f>
        <v>589.002972093947</v>
      </c>
      <c r="AC211" s="43" t="n">
        <f aca="false">AC115</f>
        <v>610.192477922692</v>
      </c>
      <c r="AD211" s="43" t="n">
        <f aca="false">AD115</f>
        <v>634.579500862675</v>
      </c>
      <c r="AE211" s="43" t="n">
        <f aca="false">AE115</f>
        <v>668.901791340933</v>
      </c>
    </row>
    <row r="212" customFormat="false" ht="15" hidden="false" customHeight="true" outlineLevel="0" collapsed="false">
      <c r="B212" s="11" t="s">
        <v>340</v>
      </c>
      <c r="C212" s="33" t="n">
        <v>6</v>
      </c>
      <c r="D212" s="33" t="n">
        <v>8</v>
      </c>
      <c r="E212" s="33" t="n">
        <v>7</v>
      </c>
      <c r="F212" s="33" t="n">
        <v>56</v>
      </c>
      <c r="G212" s="33" t="n">
        <v>77</v>
      </c>
      <c r="H212" s="33" t="n">
        <v>22</v>
      </c>
      <c r="I212" s="33" t="n">
        <v>19</v>
      </c>
      <c r="J212" s="33" t="n">
        <v>17</v>
      </c>
      <c r="K212" s="33" t="n">
        <v>20</v>
      </c>
      <c r="L212" s="33" t="n">
        <v>78</v>
      </c>
      <c r="M212" s="33" t="n">
        <v>19</v>
      </c>
      <c r="N212" s="33" t="n">
        <v>23</v>
      </c>
      <c r="O212" s="33" t="n">
        <v>22</v>
      </c>
      <c r="P212" s="33" t="n">
        <v>23</v>
      </c>
      <c r="Q212" s="33" t="n">
        <v>87</v>
      </c>
      <c r="R212" s="33" t="n">
        <v>15</v>
      </c>
      <c r="S212" s="33" t="n">
        <v>16</v>
      </c>
      <c r="T212" s="33" t="n">
        <v>15</v>
      </c>
      <c r="U212" s="33" t="n">
        <v>31</v>
      </c>
      <c r="V212" s="33" t="n">
        <v>77</v>
      </c>
      <c r="W212" s="33" t="n">
        <v>13</v>
      </c>
      <c r="X212" s="33" t="n">
        <v>17</v>
      </c>
      <c r="Y212" s="32"/>
      <c r="Z212" s="32"/>
      <c r="AA212" s="43" t="n">
        <f aca="false">(W212+X212)+(Y106+Z106)*(W212+X212)/(W106+X106)</f>
        <v>61.87793830311</v>
      </c>
      <c r="AB212" s="43" t="n">
        <f aca="false">AB106*AB103</f>
        <v>85.1658352766155</v>
      </c>
      <c r="AC212" s="43" t="n">
        <f aca="false">AC106*AC103</f>
        <v>90.0877353348188</v>
      </c>
      <c r="AD212" s="43" t="n">
        <f aca="false">AD106*AD103</f>
        <v>95.0508136437307</v>
      </c>
      <c r="AE212" s="43" t="n">
        <f aca="false">AE106*AE103</f>
        <v>100.02182589692</v>
      </c>
      <c r="AF212" s="20" t="s">
        <v>341</v>
      </c>
    </row>
    <row r="213" customFormat="false" ht="15" hidden="false" customHeight="true" outlineLevel="0" collapsed="false">
      <c r="B213" s="11" t="s">
        <v>342</v>
      </c>
      <c r="C213" s="33" t="n">
        <v>5</v>
      </c>
      <c r="D213" s="33" t="n">
        <v>17</v>
      </c>
      <c r="E213" s="33" t="n">
        <v>8</v>
      </c>
      <c r="F213" s="33" t="n">
        <v>50</v>
      </c>
      <c r="G213" s="33" t="n">
        <v>80</v>
      </c>
      <c r="H213" s="33" t="n">
        <v>-2</v>
      </c>
      <c r="I213" s="33" t="n">
        <v>-4</v>
      </c>
      <c r="J213" s="33" t="n">
        <v>22</v>
      </c>
      <c r="K213" s="33" t="n">
        <v>15</v>
      </c>
      <c r="L213" s="33" t="n">
        <v>31</v>
      </c>
      <c r="M213" s="33" t="n">
        <v>8</v>
      </c>
      <c r="N213" s="33" t="n">
        <v>17</v>
      </c>
      <c r="O213" s="33" t="n">
        <v>14</v>
      </c>
      <c r="P213" s="33" t="n">
        <v>18</v>
      </c>
      <c r="Q213" s="33" t="n">
        <v>57</v>
      </c>
      <c r="R213" s="33" t="n">
        <v>4</v>
      </c>
      <c r="S213" s="33" t="n">
        <v>2</v>
      </c>
      <c r="T213" s="33" t="n">
        <v>66</v>
      </c>
      <c r="U213" s="33" t="n">
        <v>27</v>
      </c>
      <c r="V213" s="33" t="n">
        <v>99</v>
      </c>
      <c r="W213" s="33" t="n">
        <v>9</v>
      </c>
      <c r="X213" s="33" t="n">
        <v>12</v>
      </c>
      <c r="Y213" s="32"/>
      <c r="Z213" s="32"/>
      <c r="AA213" s="43" t="n">
        <f aca="false">(W213+X213)+(Y127+Z127)*AA310</f>
        <v>45.2177177621444</v>
      </c>
      <c r="AB213" s="43" t="n">
        <f aca="false">AB127*AB310</f>
        <v>57.8424395121994</v>
      </c>
      <c r="AC213" s="43" t="n">
        <f aca="false">AC127*AC310</f>
        <v>69.5940581103441</v>
      </c>
      <c r="AD213" s="43" t="n">
        <f aca="false">AD127*AD310</f>
        <v>79.9828899439481</v>
      </c>
      <c r="AE213" s="43" t="n">
        <f aca="false">AE127*AE310</f>
        <v>87.4880555624766</v>
      </c>
      <c r="AF213" s="20" t="s">
        <v>343</v>
      </c>
    </row>
    <row r="214" customFormat="false" ht="15" hidden="false" customHeight="true" outlineLevel="0" collapsed="false">
      <c r="B214" s="11" t="s">
        <v>344</v>
      </c>
      <c r="C214" s="33" t="n">
        <v>-1</v>
      </c>
      <c r="D214" s="33" t="n">
        <v>-1</v>
      </c>
      <c r="E214" s="33" t="n">
        <v>-1</v>
      </c>
      <c r="F214" s="33" t="n">
        <v>-57</v>
      </c>
      <c r="G214" s="33" t="n">
        <v>-60</v>
      </c>
      <c r="H214" s="33" t="n">
        <v>-3</v>
      </c>
      <c r="I214" s="33" t="n">
        <v>-2</v>
      </c>
      <c r="J214" s="33" t="n">
        <v>1</v>
      </c>
      <c r="K214" s="33" t="n">
        <v>-1</v>
      </c>
      <c r="L214" s="33" t="n">
        <v>-5</v>
      </c>
      <c r="M214" s="33" t="n">
        <v>-2</v>
      </c>
      <c r="N214" s="33" t="n">
        <v>-3</v>
      </c>
      <c r="O214" s="33" t="n">
        <v>0</v>
      </c>
      <c r="P214" s="33" t="n">
        <v>-35</v>
      </c>
      <c r="Q214" s="33" t="n">
        <v>-40</v>
      </c>
      <c r="R214" s="33" t="n">
        <v>-2</v>
      </c>
      <c r="S214" s="33" t="n">
        <v>-1</v>
      </c>
      <c r="T214" s="33" t="n">
        <v>1</v>
      </c>
      <c r="U214" s="33" t="n">
        <v>-15</v>
      </c>
      <c r="V214" s="33" t="n">
        <v>-17</v>
      </c>
      <c r="W214" s="33" t="n">
        <v>-1</v>
      </c>
      <c r="X214" s="33" t="n">
        <v>-7</v>
      </c>
      <c r="Y214" s="32"/>
      <c r="Z214" s="32"/>
      <c r="AA214" s="43" t="n">
        <f aca="false">(W214+X214)+Y112+Z112</f>
        <v>-8</v>
      </c>
      <c r="AB214" s="43" t="n">
        <f aca="false">AB112</f>
        <v>0</v>
      </c>
      <c r="AC214" s="43" t="n">
        <f aca="false">AC112</f>
        <v>0</v>
      </c>
      <c r="AD214" s="43" t="n">
        <f aca="false">AD112</f>
        <v>0</v>
      </c>
      <c r="AE214" s="43" t="n">
        <f aca="false">AE112</f>
        <v>0</v>
      </c>
    </row>
    <row r="215" customFormat="false" ht="15" hidden="false" customHeight="true" outlineLevel="0" collapsed="false">
      <c r="B215" s="11" t="s">
        <v>345</v>
      </c>
      <c r="C215" s="50" t="n">
        <f aca="false">C217-(C209+C211+C212+C213+C214+C216)</f>
        <v>10</v>
      </c>
      <c r="D215" s="50" t="n">
        <f aca="false">D217-(D209+D211+D212+D213+D214+D216)</f>
        <v>35</v>
      </c>
      <c r="E215" s="50" t="n">
        <f aca="false">E217-(E209+E211+E212+E213+E214+E216)</f>
        <v>13</v>
      </c>
      <c r="F215" s="50" t="n">
        <f aca="false">F217-(F209+F211+F212+F213+F214+F216)</f>
        <v>92</v>
      </c>
      <c r="G215" s="50" t="n">
        <f aca="false">G217-(G209+G211+G212+G213+G214+G216)</f>
        <v>150</v>
      </c>
      <c r="H215" s="50" t="n">
        <f aca="false">H217-(H209+H211+H212+H213+H214+H216)</f>
        <v>20</v>
      </c>
      <c r="I215" s="50" t="n">
        <f aca="false">I217-(I209+I211+I212+I213+I214+I216)</f>
        <v>26</v>
      </c>
      <c r="J215" s="50" t="n">
        <f aca="false">J217-(J209+J211+J212+J213+J214+J216)</f>
        <v>8</v>
      </c>
      <c r="K215" s="50" t="n">
        <f aca="false">K217-(K209+K211+K212+K213+K214+K216)</f>
        <v>11</v>
      </c>
      <c r="L215" s="50" t="n">
        <f aca="false">L217-(L209+L211+L212+L213+L214+L216)</f>
        <v>65</v>
      </c>
      <c r="M215" s="50" t="n">
        <f aca="false">M217-(M209+M211+M212+M213+M214+M216)</f>
        <v>4</v>
      </c>
      <c r="N215" s="50" t="n">
        <f aca="false">N217-(N209+N211+N212+N213+N214+N216)</f>
        <v>8</v>
      </c>
      <c r="O215" s="50" t="n">
        <f aca="false">O217-(O209+O211+O212+O213+O214+O216)</f>
        <v>-2</v>
      </c>
      <c r="P215" s="50" t="n">
        <f aca="false">P217-(P209+P211+P212+P213+P214+P216)</f>
        <v>11</v>
      </c>
      <c r="Q215" s="50" t="n">
        <f aca="false">Q217-(Q209+Q211+Q212+Q213+Q214+Q216)</f>
        <v>21</v>
      </c>
      <c r="R215" s="50" t="n">
        <f aca="false">R217-(R209+R211+R212+R213+R214+R216)</f>
        <v>11</v>
      </c>
      <c r="S215" s="50" t="n">
        <f aca="false">S217-(S209+S211+S212+S213+S214+S216)</f>
        <v>9</v>
      </c>
      <c r="T215" s="50" t="n">
        <f aca="false">T217-(T209+T211+T212+T213+T214+T216)</f>
        <v>5</v>
      </c>
      <c r="U215" s="50" t="n">
        <f aca="false">U217-(U209+U211+U212+U213+U214+U216)</f>
        <v>10</v>
      </c>
      <c r="V215" s="50" t="n">
        <f aca="false">V217-(V209+V211+V212+V213+V214+V216)</f>
        <v>35</v>
      </c>
      <c r="W215" s="50" t="n">
        <f aca="false">W217-(W209+W211+W212+W213+W214+W216)</f>
        <v>10</v>
      </c>
      <c r="X215" s="50" t="n">
        <f aca="false">X217-(X209+X211+X212+X213+X214+X216)</f>
        <v>14</v>
      </c>
      <c r="Y215" s="32"/>
      <c r="Z215" s="32"/>
      <c r="AA215" s="43" t="n">
        <f aca="false">(W215+X215)+AA311</f>
        <v>29</v>
      </c>
      <c r="AB215" s="43" t="n">
        <f aca="false">AB311</f>
        <v>10</v>
      </c>
      <c r="AC215" s="43" t="n">
        <f aca="false">AC311</f>
        <v>10</v>
      </c>
      <c r="AD215" s="43" t="n">
        <f aca="false">AD311</f>
        <v>10</v>
      </c>
      <c r="AE215" s="43" t="n">
        <f aca="false">AE311</f>
        <v>10</v>
      </c>
    </row>
    <row r="216" customFormat="false" ht="15" hidden="false" customHeight="true" outlineLevel="0" collapsed="false">
      <c r="B216" s="11" t="s">
        <v>346</v>
      </c>
      <c r="C216" s="33" t="n">
        <v>42</v>
      </c>
      <c r="D216" s="33" t="n">
        <v>-82</v>
      </c>
      <c r="E216" s="33" t="n">
        <v>53</v>
      </c>
      <c r="F216" s="33" t="n">
        <v>-12</v>
      </c>
      <c r="G216" s="33" t="n">
        <v>1</v>
      </c>
      <c r="H216" s="33" t="n">
        <v>-79</v>
      </c>
      <c r="I216" s="33" t="n">
        <v>-46</v>
      </c>
      <c r="J216" s="33" t="n">
        <v>-8</v>
      </c>
      <c r="K216" s="33" t="n">
        <v>34</v>
      </c>
      <c r="L216" s="33" t="n">
        <v>-99</v>
      </c>
      <c r="M216" s="33" t="n">
        <v>-68</v>
      </c>
      <c r="N216" s="33" t="n">
        <v>-107</v>
      </c>
      <c r="O216" s="33" t="n">
        <v>9</v>
      </c>
      <c r="P216" s="33" t="n">
        <v>-28</v>
      </c>
      <c r="Q216" s="33" t="n">
        <v>-194</v>
      </c>
      <c r="R216" s="33" t="n">
        <v>-78</v>
      </c>
      <c r="S216" s="33" t="n">
        <v>-16</v>
      </c>
      <c r="T216" s="33" t="n">
        <v>68</v>
      </c>
      <c r="U216" s="33" t="n">
        <v>-19</v>
      </c>
      <c r="V216" s="33" t="n">
        <v>-45</v>
      </c>
      <c r="W216" s="33" t="n">
        <v>-80</v>
      </c>
      <c r="X216" s="33" t="n">
        <v>-24</v>
      </c>
      <c r="Y216" s="32"/>
      <c r="Z216" s="32"/>
      <c r="AA216" s="43" t="n">
        <f aca="false">(W216+X216)-(AA261-X261)+(AA271-X271)+(AA272-X272)</f>
        <v>72.7711089883673</v>
      </c>
      <c r="AB216" s="43" t="n">
        <f aca="false">-(AB261-AA261)+(AB271-AA271)+(AB272-AA272)</f>
        <v>-1.91684294272807</v>
      </c>
      <c r="AC216" s="43" t="n">
        <f aca="false">-(AC261-AB261)+(AC271-AB271)+(AC272-AB272)</f>
        <v>5.99505426870871</v>
      </c>
      <c r="AD216" s="43" t="n">
        <f aca="false">-(AD261-AC261)+(AD271-AC271)+(AD272-AC272)</f>
        <v>5.48856092718211</v>
      </c>
      <c r="AE216" s="43" t="n">
        <f aca="false">-(AE261-AD261)+(AE271-AD271)+(AE272-AD272)</f>
        <v>8.02289093798686</v>
      </c>
      <c r="AF216" s="20" t="s">
        <v>347</v>
      </c>
    </row>
    <row r="217" customFormat="false" ht="15" hidden="false" customHeight="true" outlineLevel="0" collapsed="false">
      <c r="B217" s="22" t="s">
        <v>348</v>
      </c>
      <c r="C217" s="23" t="n">
        <v>188</v>
      </c>
      <c r="D217" s="23" t="n">
        <v>169</v>
      </c>
      <c r="E217" s="23" t="n">
        <v>271</v>
      </c>
      <c r="F217" s="23" t="n">
        <v>196</v>
      </c>
      <c r="G217" s="23" t="n">
        <v>824</v>
      </c>
      <c r="H217" s="23" t="n">
        <v>76</v>
      </c>
      <c r="I217" s="23" t="n">
        <v>131</v>
      </c>
      <c r="J217" s="23" t="n">
        <v>236</v>
      </c>
      <c r="K217" s="23" t="n">
        <v>251</v>
      </c>
      <c r="L217" s="23" t="n">
        <v>694</v>
      </c>
      <c r="M217" s="23" t="n">
        <v>145</v>
      </c>
      <c r="N217" s="23" t="n">
        <v>210</v>
      </c>
      <c r="O217" s="23" t="n">
        <v>264</v>
      </c>
      <c r="P217" s="23" t="n">
        <v>189</v>
      </c>
      <c r="Q217" s="23" t="n">
        <v>808</v>
      </c>
      <c r="R217" s="23" t="n">
        <v>142</v>
      </c>
      <c r="S217" s="23" t="n">
        <v>247</v>
      </c>
      <c r="T217" s="23" t="n">
        <v>371</v>
      </c>
      <c r="U217" s="23" t="n">
        <v>226</v>
      </c>
      <c r="V217" s="23" t="n">
        <v>986</v>
      </c>
      <c r="W217" s="23" t="n">
        <v>183</v>
      </c>
      <c r="X217" s="23" t="n">
        <v>308</v>
      </c>
      <c r="Y217" s="61"/>
      <c r="Z217" s="61"/>
      <c r="AA217" s="24" t="n">
        <f aca="false">SUM(AA209:AA216)</f>
        <v>1322.66452323696</v>
      </c>
      <c r="AB217" s="24" t="n">
        <f aca="false">SUM(AB209:AB216)</f>
        <v>1453.09100527408</v>
      </c>
      <c r="AC217" s="24" t="n">
        <f aca="false">SUM(AC209:AC216)</f>
        <v>1643.72261336407</v>
      </c>
      <c r="AD217" s="24" t="n">
        <f aca="false">SUM(AD209:AD216)</f>
        <v>1811.01330672743</v>
      </c>
      <c r="AE217" s="24" t="n">
        <f aca="false">SUM(AE209:AE216)</f>
        <v>1952.85875883497</v>
      </c>
      <c r="AH217" s="25" t="n">
        <f aca="false">IFERROR((AE217/V217)^(1/5)-1,"n/m")</f>
        <v>0.146459675317471</v>
      </c>
      <c r="AI217" s="25" t="n">
        <f aca="false">IFERROR((V217/G217)^(1/3)-1,"n/m")</f>
        <v>0.0616545720962232</v>
      </c>
    </row>
    <row r="218" customFormat="false" ht="15" hidden="false" customHeight="true" outlineLevel="0" collapsed="false">
      <c r="B218" s="11" t="s">
        <v>349</v>
      </c>
      <c r="C218" s="33" t="n">
        <v>-123</v>
      </c>
      <c r="D218" s="33" t="n">
        <v>-119</v>
      </c>
      <c r="E218" s="33" t="n">
        <v>-112</v>
      </c>
      <c r="F218" s="33" t="n">
        <v>-167</v>
      </c>
      <c r="G218" s="33" t="n">
        <v>-521</v>
      </c>
      <c r="H218" s="33" t="n">
        <v>-224</v>
      </c>
      <c r="I218" s="33" t="n">
        <v>-131</v>
      </c>
      <c r="J218" s="33" t="n">
        <v>-139</v>
      </c>
      <c r="K218" s="33" t="n">
        <v>-1039</v>
      </c>
      <c r="L218" s="33" t="n">
        <v>-1533</v>
      </c>
      <c r="M218" s="33" t="n">
        <v>-306</v>
      </c>
      <c r="N218" s="33" t="n">
        <v>-190</v>
      </c>
      <c r="O218" s="33" t="n">
        <v>-127</v>
      </c>
      <c r="P218" s="33" t="n">
        <v>-166</v>
      </c>
      <c r="Q218" s="33" t="n">
        <v>-789</v>
      </c>
      <c r="R218" s="33" t="n">
        <v>-199</v>
      </c>
      <c r="S218" s="33" t="n">
        <v>-196</v>
      </c>
      <c r="T218" s="33" t="n">
        <v>-156</v>
      </c>
      <c r="U218" s="33" t="n">
        <v>-106</v>
      </c>
      <c r="V218" s="33" t="n">
        <v>-657</v>
      </c>
      <c r="W218" s="33" t="n">
        <v>-111</v>
      </c>
      <c r="X218" s="33" t="n">
        <v>-127</v>
      </c>
      <c r="Y218" s="32"/>
      <c r="Z218" s="32"/>
      <c r="AA218" s="43" t="n">
        <f aca="false">-CHOOSE(MATCH($AF$2,{"Bull","Base","Bear"},0),$AM$12,$AN$12,$AO$12)</f>
        <v>-550</v>
      </c>
      <c r="AB218" s="43" t="n">
        <f aca="false">-AB106*AB244</f>
        <v>-709.715293971796</v>
      </c>
      <c r="AC218" s="43" t="n">
        <f aca="false">-AC106*AC244</f>
        <v>-750.731127790156</v>
      </c>
      <c r="AD218" s="43" t="n">
        <f aca="false">-AD106*AD244</f>
        <v>-792.090113697756</v>
      </c>
      <c r="AE218" s="43" t="n">
        <f aca="false">-AE106*AE244</f>
        <v>-833.515215807666</v>
      </c>
      <c r="AF218" s="20" t="s">
        <v>350</v>
      </c>
    </row>
    <row r="219" customFormat="false" ht="15" hidden="false" customHeight="true" outlineLevel="0" collapsed="false">
      <c r="B219" s="11" t="s">
        <v>351</v>
      </c>
      <c r="C219" s="33" t="n">
        <v>3</v>
      </c>
      <c r="D219" s="33" t="n">
        <v>4</v>
      </c>
      <c r="E219" s="33" t="n">
        <v>3</v>
      </c>
      <c r="F219" s="33" t="n">
        <v>78</v>
      </c>
      <c r="G219" s="33" t="n">
        <v>88</v>
      </c>
      <c r="H219" s="33" t="n">
        <v>8</v>
      </c>
      <c r="I219" s="33" t="n">
        <v>5</v>
      </c>
      <c r="J219" s="33" t="n">
        <v>6</v>
      </c>
      <c r="K219" s="33" t="n">
        <v>10</v>
      </c>
      <c r="L219" s="33" t="n">
        <v>29</v>
      </c>
      <c r="M219" s="33" t="n">
        <v>7</v>
      </c>
      <c r="N219" s="33" t="n">
        <v>6</v>
      </c>
      <c r="O219" s="33" t="n">
        <v>4</v>
      </c>
      <c r="P219" s="33" t="n">
        <v>58</v>
      </c>
      <c r="Q219" s="33" t="n">
        <v>75</v>
      </c>
      <c r="R219" s="33" t="n">
        <v>7</v>
      </c>
      <c r="S219" s="33" t="n">
        <v>5</v>
      </c>
      <c r="T219" s="33" t="n">
        <v>6</v>
      </c>
      <c r="U219" s="33" t="n">
        <v>23</v>
      </c>
      <c r="V219" s="33" t="n">
        <v>41</v>
      </c>
      <c r="W219" s="33" t="n">
        <v>7</v>
      </c>
      <c r="X219" s="33" t="n">
        <v>26</v>
      </c>
      <c r="Y219" s="32"/>
      <c r="Z219" s="32"/>
      <c r="AA219" s="43" t="n">
        <f aca="false">(W219+X219)</f>
        <v>33</v>
      </c>
      <c r="AB219" s="48" t="n">
        <v>40</v>
      </c>
      <c r="AC219" s="48" t="n">
        <v>40</v>
      </c>
      <c r="AD219" s="48" t="n">
        <v>40</v>
      </c>
      <c r="AE219" s="48" t="n">
        <v>40</v>
      </c>
      <c r="AF219" s="20" t="s">
        <v>352</v>
      </c>
    </row>
    <row r="220" customFormat="false" ht="15" hidden="false" customHeight="true" outlineLevel="0" collapsed="false">
      <c r="B220" s="11" t="s">
        <v>353</v>
      </c>
      <c r="C220" s="50" t="n">
        <f aca="false">C221-C218-C219</f>
        <v>0</v>
      </c>
      <c r="D220" s="50" t="n">
        <f aca="false">D221-D218-D219</f>
        <v>19</v>
      </c>
      <c r="E220" s="50" t="n">
        <f aca="false">E221-E218-E219</f>
        <v>10</v>
      </c>
      <c r="F220" s="50" t="n">
        <f aca="false">F221-F218-F219</f>
        <v>0</v>
      </c>
      <c r="G220" s="50" t="n">
        <f aca="false">G221-G218-G219</f>
        <v>29</v>
      </c>
      <c r="H220" s="50" t="n">
        <f aca="false">H221-H218-H219</f>
        <v>0</v>
      </c>
      <c r="I220" s="50" t="n">
        <f aca="false">I221-I218-I219</f>
        <v>0</v>
      </c>
      <c r="J220" s="50" t="n">
        <f aca="false">J221-J218-J219</f>
        <v>2</v>
      </c>
      <c r="K220" s="50" t="n">
        <f aca="false">K221-K218-K219</f>
        <v>0</v>
      </c>
      <c r="L220" s="50" t="n">
        <f aca="false">L221-L218-L219</f>
        <v>2</v>
      </c>
      <c r="M220" s="50" t="n">
        <f aca="false">M221-M218-M219</f>
        <v>0</v>
      </c>
      <c r="N220" s="50" t="n">
        <f aca="false">N221-N218-N219</f>
        <v>0</v>
      </c>
      <c r="O220" s="50" t="n">
        <f aca="false">O221-O218-O219</f>
        <v>8</v>
      </c>
      <c r="P220" s="50" t="n">
        <f aca="false">P221-P218-P219</f>
        <v>4</v>
      </c>
      <c r="Q220" s="50" t="n">
        <f aca="false">Q221-Q218-Q219</f>
        <v>12</v>
      </c>
      <c r="R220" s="50" t="n">
        <f aca="false">R221-R218-R219</f>
        <v>1</v>
      </c>
      <c r="S220" s="50" t="n">
        <f aca="false">S221-S218-S219</f>
        <v>0</v>
      </c>
      <c r="T220" s="50" t="n">
        <f aca="false">T221-T218-T219</f>
        <v>0</v>
      </c>
      <c r="U220" s="50" t="n">
        <f aca="false">U221-U218-U219</f>
        <v>-1</v>
      </c>
      <c r="V220" s="50" t="n">
        <f aca="false">V221-V218-V219</f>
        <v>0</v>
      </c>
      <c r="W220" s="50" t="n">
        <f aca="false">W221-W218-W219</f>
        <v>-3</v>
      </c>
      <c r="X220" s="50" t="n">
        <f aca="false">X221-X218-X219</f>
        <v>0</v>
      </c>
      <c r="Y220" s="32"/>
      <c r="Z220" s="32"/>
      <c r="AA220" s="43" t="n">
        <f aca="false">(W220+X220)</f>
        <v>-3</v>
      </c>
      <c r="AB220" s="48" t="n">
        <v>0</v>
      </c>
      <c r="AC220" s="48" t="n">
        <v>0</v>
      </c>
      <c r="AD220" s="48" t="n">
        <v>0</v>
      </c>
      <c r="AE220" s="48" t="n">
        <v>0</v>
      </c>
    </row>
    <row r="221" customFormat="false" ht="15" hidden="false" customHeight="true" outlineLevel="0" collapsed="false">
      <c r="B221" s="22" t="s">
        <v>354</v>
      </c>
      <c r="C221" s="23" t="n">
        <v>-120</v>
      </c>
      <c r="D221" s="23" t="n">
        <v>-96</v>
      </c>
      <c r="E221" s="23" t="n">
        <v>-99</v>
      </c>
      <c r="F221" s="23" t="n">
        <v>-89</v>
      </c>
      <c r="G221" s="23" t="n">
        <v>-404</v>
      </c>
      <c r="H221" s="23" t="n">
        <v>-216</v>
      </c>
      <c r="I221" s="23" t="n">
        <v>-126</v>
      </c>
      <c r="J221" s="23" t="n">
        <v>-131</v>
      </c>
      <c r="K221" s="23" t="n">
        <v>-1029</v>
      </c>
      <c r="L221" s="23" t="n">
        <v>-1502</v>
      </c>
      <c r="M221" s="23" t="n">
        <v>-299</v>
      </c>
      <c r="N221" s="23" t="n">
        <v>-184</v>
      </c>
      <c r="O221" s="23" t="n">
        <v>-115</v>
      </c>
      <c r="P221" s="23" t="n">
        <v>-104</v>
      </c>
      <c r="Q221" s="23" t="n">
        <v>-702</v>
      </c>
      <c r="R221" s="23" t="n">
        <v>-191</v>
      </c>
      <c r="S221" s="23" t="n">
        <v>-191</v>
      </c>
      <c r="T221" s="23" t="n">
        <v>-150</v>
      </c>
      <c r="U221" s="23" t="n">
        <v>-84</v>
      </c>
      <c r="V221" s="23" t="n">
        <v>-616</v>
      </c>
      <c r="W221" s="23" t="n">
        <v>-107</v>
      </c>
      <c r="X221" s="23" t="n">
        <v>-101</v>
      </c>
      <c r="Y221" s="61"/>
      <c r="Z221" s="61"/>
      <c r="AA221" s="24" t="n">
        <f aca="false">SUM(AA218:AA220)</f>
        <v>-520</v>
      </c>
      <c r="AB221" s="24" t="n">
        <f aca="false">SUM(AB218:AB220)</f>
        <v>-669.715293971796</v>
      </c>
      <c r="AC221" s="24" t="n">
        <f aca="false">SUM(AC218:AC220)</f>
        <v>-710.731127790156</v>
      </c>
      <c r="AD221" s="24" t="n">
        <f aca="false">SUM(AD218:AD220)</f>
        <v>-752.090113697756</v>
      </c>
      <c r="AE221" s="24" t="n">
        <f aca="false">SUM(AE218:AE220)</f>
        <v>-793.515215807666</v>
      </c>
    </row>
    <row r="222" customFormat="false" ht="15" hidden="false" customHeight="true" outlineLevel="0" collapsed="false">
      <c r="B222" s="11" t="s">
        <v>355</v>
      </c>
      <c r="C222" s="33" t="n">
        <v>0</v>
      </c>
      <c r="D222" s="33" t="n">
        <v>275</v>
      </c>
      <c r="E222" s="33" t="n">
        <v>0</v>
      </c>
      <c r="F222" s="33" t="n">
        <v>0</v>
      </c>
      <c r="G222" s="33" t="n">
        <v>275</v>
      </c>
      <c r="H222" s="33" t="n">
        <v>0</v>
      </c>
      <c r="I222" s="33" t="n">
        <v>1977</v>
      </c>
      <c r="J222" s="33" t="n">
        <v>0</v>
      </c>
      <c r="K222" s="33" t="n">
        <v>985</v>
      </c>
      <c r="L222" s="33" t="n">
        <v>2962</v>
      </c>
      <c r="M222" s="33" t="n">
        <v>0</v>
      </c>
      <c r="N222" s="33" t="n">
        <v>0</v>
      </c>
      <c r="O222" s="33" t="n">
        <v>0</v>
      </c>
      <c r="P222" s="33" t="n">
        <v>0</v>
      </c>
      <c r="Q222" s="33" t="n">
        <v>0</v>
      </c>
      <c r="R222" s="33" t="n">
        <v>0</v>
      </c>
      <c r="S222" s="33" t="n">
        <v>0</v>
      </c>
      <c r="T222" s="33" t="n">
        <v>0</v>
      </c>
      <c r="U222" s="33" t="n">
        <v>0</v>
      </c>
      <c r="V222" s="33" t="n">
        <v>0</v>
      </c>
      <c r="W222" s="33" t="n">
        <v>0</v>
      </c>
      <c r="X222" s="33" t="n">
        <v>885</v>
      </c>
      <c r="Y222" s="32"/>
      <c r="Z222" s="32"/>
      <c r="AA222" s="43" t="n">
        <f aca="false">(W222+X222)+MAX(0,AA321-X321)</f>
        <v>885</v>
      </c>
      <c r="AB222" s="43" t="n">
        <f aca="false">AB318+MAX(0,AB321-AA321)</f>
        <v>0</v>
      </c>
      <c r="AC222" s="43" t="n">
        <f aca="false">AC318+MAX(0,AC321-AB321)</f>
        <v>1064.55690544852</v>
      </c>
      <c r="AD222" s="43" t="n">
        <f aca="false">AD318+MAX(0,AD321-AC321)</f>
        <v>246.761811461511</v>
      </c>
      <c r="AE222" s="43" t="n">
        <f aca="false">AE318+MAX(0,AE321-AD321)</f>
        <v>201.080871590259</v>
      </c>
    </row>
    <row r="223" customFormat="false" ht="15" hidden="false" customHeight="true" outlineLevel="0" collapsed="false">
      <c r="B223" s="11" t="s">
        <v>356</v>
      </c>
      <c r="C223" s="33" t="n">
        <v>-16</v>
      </c>
      <c r="D223" s="33" t="n">
        <v>-942</v>
      </c>
      <c r="E223" s="33" t="n">
        <v>-14</v>
      </c>
      <c r="F223" s="33" t="n">
        <v>-432</v>
      </c>
      <c r="G223" s="33" t="n">
        <v>-1404</v>
      </c>
      <c r="H223" s="33" t="n">
        <v>-16</v>
      </c>
      <c r="I223" s="33" t="n">
        <v>-2022</v>
      </c>
      <c r="J223" s="33" t="n">
        <v>-15</v>
      </c>
      <c r="K223" s="33" t="n">
        <v>-135</v>
      </c>
      <c r="L223" s="33" t="n">
        <v>-2188</v>
      </c>
      <c r="M223" s="33" t="n">
        <v>-21</v>
      </c>
      <c r="N223" s="33" t="n">
        <v>-18</v>
      </c>
      <c r="O223" s="33" t="n">
        <v>-25</v>
      </c>
      <c r="P223" s="33" t="n">
        <v>-18</v>
      </c>
      <c r="Q223" s="33" t="n">
        <v>-82</v>
      </c>
      <c r="R223" s="33" t="n">
        <v>-18</v>
      </c>
      <c r="S223" s="33" t="n">
        <v>-18</v>
      </c>
      <c r="T223" s="33" t="n">
        <v>-70</v>
      </c>
      <c r="U223" s="33" t="n">
        <v>-82</v>
      </c>
      <c r="V223" s="33" t="n">
        <v>-188</v>
      </c>
      <c r="W223" s="33" t="n">
        <v>-50</v>
      </c>
      <c r="X223" s="33" t="n">
        <v>-974</v>
      </c>
      <c r="Y223" s="32"/>
      <c r="Z223" s="32"/>
      <c r="AA223" s="43" t="n">
        <f aca="false">(W223+X223)+MIN(0,AA321-X321)</f>
        <v>-1457.66452323696</v>
      </c>
      <c r="AB223" s="43" t="n">
        <f aca="false">AB316+MIN(0,AB321-AA321)</f>
        <v>-321.082845119352</v>
      </c>
      <c r="AC223" s="43" t="n">
        <f aca="false">AC316+MIN(0,AC321-AB321)</f>
        <v>-830</v>
      </c>
      <c r="AD223" s="43" t="n">
        <f aca="false">AD316+MIN(0,AD321-AC321)</f>
        <v>0</v>
      </c>
      <c r="AE223" s="43" t="n">
        <f aca="false">AE316+MIN(0,AE321-AD321)</f>
        <v>0</v>
      </c>
      <c r="AF223" s="20" t="s">
        <v>357</v>
      </c>
    </row>
    <row r="224" customFormat="false" ht="15" hidden="false" customHeight="true" outlineLevel="0" collapsed="false">
      <c r="B224" s="11" t="s">
        <v>358</v>
      </c>
      <c r="C224" s="33" t="n">
        <v>0</v>
      </c>
      <c r="D224" s="33" t="n">
        <v>0</v>
      </c>
      <c r="E224" s="33" t="n">
        <v>0</v>
      </c>
      <c r="F224" s="33" t="n">
        <v>0</v>
      </c>
      <c r="G224" s="33" t="n">
        <v>0</v>
      </c>
      <c r="H224" s="33" t="n">
        <v>0</v>
      </c>
      <c r="I224" s="33" t="n">
        <v>0</v>
      </c>
      <c r="J224" s="33" t="n">
        <v>0</v>
      </c>
      <c r="K224" s="33" t="n">
        <v>0</v>
      </c>
      <c r="L224" s="33" t="n">
        <v>0</v>
      </c>
      <c r="M224" s="33" t="n">
        <v>0</v>
      </c>
      <c r="N224" s="33" t="n">
        <v>0</v>
      </c>
      <c r="O224" s="33" t="n">
        <v>0</v>
      </c>
      <c r="P224" s="33" t="n">
        <v>0</v>
      </c>
      <c r="Q224" s="33" t="n">
        <v>0</v>
      </c>
      <c r="R224" s="33" t="n">
        <v>0</v>
      </c>
      <c r="S224" s="33" t="n">
        <v>-10</v>
      </c>
      <c r="T224" s="33" t="n">
        <v>-47</v>
      </c>
      <c r="U224" s="33" t="n">
        <v>-68</v>
      </c>
      <c r="V224" s="33" t="n">
        <v>-125</v>
      </c>
      <c r="W224" s="33" t="n">
        <v>-30</v>
      </c>
      <c r="X224" s="33" t="n">
        <v>-70</v>
      </c>
      <c r="Y224" s="32"/>
      <c r="Z224" s="32"/>
      <c r="AA224" s="43" t="n">
        <f aca="false">(W224+X224)-CHOOSE(MATCH($AF$2,{"Bull","Base","Bear"},0),$AM$17,$AN$17,$AO$17)</f>
        <v>-200</v>
      </c>
      <c r="AB224" s="43" t="n">
        <f aca="false">-AB333</f>
        <v>-422.292866182936</v>
      </c>
      <c r="AC224" s="43" t="n">
        <f aca="false">-AC333</f>
        <v>-1127.54839102243</v>
      </c>
      <c r="AD224" s="43" t="n">
        <f aca="false">-AD333</f>
        <v>-1265.68500449118</v>
      </c>
      <c r="AE224" s="43" t="n">
        <f aca="false">-AE333</f>
        <v>-1320.42441461756</v>
      </c>
      <c r="AF224" s="20" t="s">
        <v>359</v>
      </c>
    </row>
    <row r="225" customFormat="false" ht="15" hidden="false" customHeight="true" outlineLevel="0" collapsed="false">
      <c r="B225" s="11" t="s">
        <v>360</v>
      </c>
      <c r="C225" s="33" t="n">
        <v>-12</v>
      </c>
      <c r="D225" s="33" t="n">
        <v>-1</v>
      </c>
      <c r="E225" s="33" t="n">
        <v>0</v>
      </c>
      <c r="F225" s="33" t="n">
        <v>-14</v>
      </c>
      <c r="G225" s="33" t="n">
        <v>-27</v>
      </c>
      <c r="H225" s="33" t="n">
        <v>-12</v>
      </c>
      <c r="I225" s="33" t="n">
        <v>0</v>
      </c>
      <c r="J225" s="33" t="n">
        <v>0</v>
      </c>
      <c r="K225" s="33" t="n">
        <v>-7</v>
      </c>
      <c r="L225" s="33" t="n">
        <v>-19</v>
      </c>
      <c r="M225" s="33" t="n">
        <v>-15</v>
      </c>
      <c r="N225" s="33" t="n">
        <v>-2</v>
      </c>
      <c r="O225" s="33" t="n">
        <v>-4</v>
      </c>
      <c r="P225" s="33" t="n">
        <v>-108</v>
      </c>
      <c r="Q225" s="33" t="n">
        <v>-129</v>
      </c>
      <c r="R225" s="33" t="n">
        <v>-47</v>
      </c>
      <c r="S225" s="33" t="n">
        <v>-1</v>
      </c>
      <c r="T225" s="33" t="n">
        <v>1</v>
      </c>
      <c r="U225" s="33" t="n">
        <v>-3</v>
      </c>
      <c r="V225" s="33" t="n">
        <v>-50</v>
      </c>
      <c r="W225" s="33" t="n">
        <v>-88</v>
      </c>
      <c r="X225" s="33" t="n">
        <v>0</v>
      </c>
      <c r="Y225" s="32"/>
      <c r="Z225" s="32"/>
      <c r="AA225" s="43" t="n">
        <f aca="false">(W225+X225)</f>
        <v>-88</v>
      </c>
      <c r="AB225" s="48" t="n">
        <v>-40</v>
      </c>
      <c r="AC225" s="48" t="n">
        <v>-40</v>
      </c>
      <c r="AD225" s="48" t="n">
        <v>-40</v>
      </c>
      <c r="AE225" s="48" t="n">
        <v>-40</v>
      </c>
    </row>
    <row r="226" customFormat="false" ht="15" hidden="false" customHeight="true" outlineLevel="0" collapsed="false">
      <c r="B226" s="11" t="s">
        <v>361</v>
      </c>
      <c r="C226" s="50" t="n">
        <f aca="false">C227-(C222+C223+C224+C225)</f>
        <v>4</v>
      </c>
      <c r="D226" s="50" t="n">
        <f aca="false">D227-(D222+D223+D224+D225)</f>
        <v>19</v>
      </c>
      <c r="E226" s="50" t="n">
        <f aca="false">E227-(E222+E223+E224+E225)</f>
        <v>-19</v>
      </c>
      <c r="F226" s="50" t="n">
        <f aca="false">F227-(F222+F223+F224+F225)</f>
        <v>291</v>
      </c>
      <c r="G226" s="50" t="n">
        <f aca="false">G227-(G222+G223+G224+G225)</f>
        <v>295</v>
      </c>
      <c r="H226" s="50" t="n">
        <f aca="false">H227-(H222+H223+H224+H225)</f>
        <v>18</v>
      </c>
      <c r="I226" s="50" t="n">
        <f aca="false">I227-(I222+I223+I224+I225)</f>
        <v>19</v>
      </c>
      <c r="J226" s="50" t="n">
        <f aca="false">J227-(J222+J223+J224+J225)</f>
        <v>-21</v>
      </c>
      <c r="K226" s="50" t="n">
        <f aca="false">K227-(K222+K223+K224+K225)</f>
        <v>-10</v>
      </c>
      <c r="L226" s="50" t="n">
        <f aca="false">L227-(L222+L223+L224+L225)</f>
        <v>6</v>
      </c>
      <c r="M226" s="50" t="n">
        <f aca="false">M227-(M222+M223+M224+M225)</f>
        <v>7</v>
      </c>
      <c r="N226" s="50" t="n">
        <f aca="false">N227-(N222+N223+N224+N225)</f>
        <v>14</v>
      </c>
      <c r="O226" s="50" t="n">
        <f aca="false">O227-(O222+O223+O224+O225)</f>
        <v>5</v>
      </c>
      <c r="P226" s="50" t="n">
        <f aca="false">P227-(P222+P223+P224+P225)</f>
        <v>-41</v>
      </c>
      <c r="Q226" s="50" t="n">
        <f aca="false">Q227-(Q222+Q223+Q224+Q225)</f>
        <v>-15</v>
      </c>
      <c r="R226" s="50" t="n">
        <f aca="false">R227-(R222+R223+R224+R225)</f>
        <v>35</v>
      </c>
      <c r="S226" s="50" t="n">
        <f aca="false">S227-(S222+S223+S224+S225)</f>
        <v>-15</v>
      </c>
      <c r="T226" s="50" t="n">
        <f aca="false">T227-(T222+T223+T224+T225)</f>
        <v>5</v>
      </c>
      <c r="U226" s="50" t="n">
        <f aca="false">U227-(U222+U223+U224+U225)</f>
        <v>-1</v>
      </c>
      <c r="V226" s="50" t="n">
        <f aca="false">V227-(V222+V223+V224+V225)</f>
        <v>24</v>
      </c>
      <c r="W226" s="50" t="n">
        <f aca="false">W227-(W222+W223+W224+W225)</f>
        <v>21</v>
      </c>
      <c r="X226" s="50" t="n">
        <f aca="false">X227-(X222+X223+X224+X225)</f>
        <v>6</v>
      </c>
      <c r="Y226" s="32"/>
      <c r="Z226" s="32"/>
      <c r="AA226" s="43" t="n">
        <f aca="false">(W226+X226)</f>
        <v>27</v>
      </c>
      <c r="AB226" s="48" t="n">
        <v>0</v>
      </c>
      <c r="AC226" s="48" t="n">
        <v>0</v>
      </c>
      <c r="AD226" s="48" t="n">
        <v>0</v>
      </c>
      <c r="AE226" s="48" t="n">
        <v>0</v>
      </c>
    </row>
    <row r="227" customFormat="false" ht="15" hidden="false" customHeight="true" outlineLevel="0" collapsed="false">
      <c r="B227" s="22" t="s">
        <v>362</v>
      </c>
      <c r="C227" s="23" t="n">
        <v>-24</v>
      </c>
      <c r="D227" s="23" t="n">
        <v>-649</v>
      </c>
      <c r="E227" s="23" t="n">
        <v>-33</v>
      </c>
      <c r="F227" s="23" t="n">
        <v>-155</v>
      </c>
      <c r="G227" s="23" t="n">
        <v>-861</v>
      </c>
      <c r="H227" s="23" t="n">
        <v>-10</v>
      </c>
      <c r="I227" s="23" t="n">
        <v>-26</v>
      </c>
      <c r="J227" s="23" t="n">
        <v>-36</v>
      </c>
      <c r="K227" s="23" t="n">
        <v>833</v>
      </c>
      <c r="L227" s="23" t="n">
        <v>761</v>
      </c>
      <c r="M227" s="23" t="n">
        <v>-29</v>
      </c>
      <c r="N227" s="23" t="n">
        <v>-6</v>
      </c>
      <c r="O227" s="23" t="n">
        <v>-24</v>
      </c>
      <c r="P227" s="23" t="n">
        <v>-167</v>
      </c>
      <c r="Q227" s="23" t="n">
        <v>-226</v>
      </c>
      <c r="R227" s="23" t="n">
        <v>-30</v>
      </c>
      <c r="S227" s="23" t="n">
        <v>-44</v>
      </c>
      <c r="T227" s="23" t="n">
        <v>-111</v>
      </c>
      <c r="U227" s="23" t="n">
        <v>-154</v>
      </c>
      <c r="V227" s="23" t="n">
        <v>-339</v>
      </c>
      <c r="W227" s="23" t="n">
        <v>-147</v>
      </c>
      <c r="X227" s="23" t="n">
        <v>-153</v>
      </c>
      <c r="Y227" s="61"/>
      <c r="Z227" s="61"/>
      <c r="AA227" s="24" t="n">
        <f aca="false">SUM(AA222:AA226)</f>
        <v>-833.664523236965</v>
      </c>
      <c r="AB227" s="24" t="n">
        <f aca="false">SUM(AB222:AB226)</f>
        <v>-783.375711302288</v>
      </c>
      <c r="AC227" s="24" t="n">
        <f aca="false">SUM(AC222:AC226)</f>
        <v>-932.991485573914</v>
      </c>
      <c r="AD227" s="24" t="n">
        <f aca="false">SUM(AD222:AD226)</f>
        <v>-1058.92319302967</v>
      </c>
      <c r="AE227" s="24" t="n">
        <f aca="false">SUM(AE222:AE226)</f>
        <v>-1159.3435430273</v>
      </c>
    </row>
    <row r="228" customFormat="false" ht="15" hidden="false" customHeight="true" outlineLevel="0" collapsed="false">
      <c r="B228" s="11" t="s">
        <v>363</v>
      </c>
      <c r="C228" s="33" t="n">
        <v>704</v>
      </c>
      <c r="D228" s="33" t="n">
        <v>15</v>
      </c>
      <c r="E228" s="33" t="n">
        <v>-20</v>
      </c>
      <c r="F228" s="33" t="n">
        <v>-43</v>
      </c>
      <c r="G228" s="33" t="n">
        <v>656</v>
      </c>
      <c r="H228" s="33" t="n">
        <v>-7</v>
      </c>
      <c r="I228" s="33" t="n">
        <v>0</v>
      </c>
      <c r="J228" s="33" t="n">
        <v>-2</v>
      </c>
      <c r="K228" s="33" t="n">
        <v>0</v>
      </c>
      <c r="L228" s="33" t="n">
        <v>-9</v>
      </c>
      <c r="M228" s="33" t="n">
        <v>0</v>
      </c>
      <c r="N228" s="33" t="n">
        <v>0</v>
      </c>
      <c r="O228" s="33" t="n">
        <v>0</v>
      </c>
      <c r="P228" s="33" t="n">
        <v>0</v>
      </c>
      <c r="Q228" s="33" t="n">
        <v>0</v>
      </c>
      <c r="R228" s="33" t="n">
        <v>0</v>
      </c>
      <c r="S228" s="33" t="n">
        <v>0</v>
      </c>
      <c r="T228" s="33" t="n">
        <v>0</v>
      </c>
      <c r="U228" s="33" t="n">
        <v>0</v>
      </c>
      <c r="V228" s="33" t="n">
        <v>0</v>
      </c>
      <c r="W228" s="33" t="n">
        <v>0</v>
      </c>
      <c r="X228" s="33" t="n">
        <v>0</v>
      </c>
      <c r="Y228" s="32"/>
      <c r="Z228" s="32"/>
      <c r="AA228" s="43" t="n">
        <f aca="false">(W228+X228)</f>
        <v>0</v>
      </c>
      <c r="AB228" s="48" t="n">
        <v>0</v>
      </c>
      <c r="AC228" s="48" t="n">
        <v>0</v>
      </c>
      <c r="AD228" s="48" t="n">
        <v>0</v>
      </c>
      <c r="AE228" s="48" t="n">
        <v>0</v>
      </c>
    </row>
    <row r="229" customFormat="false" ht="15" hidden="false" customHeight="true" outlineLevel="0" collapsed="false">
      <c r="B229" s="11" t="s">
        <v>364</v>
      </c>
      <c r="C229" s="50" t="n">
        <f aca="false">C230-(C217+C221+C227+C228)</f>
        <v>-3</v>
      </c>
      <c r="D229" s="50" t="n">
        <f aca="false">D230-(D217+D221+D227+D228)</f>
        <v>-11</v>
      </c>
      <c r="E229" s="50" t="n">
        <f aca="false">E230-(E217+E221+E227+E228)</f>
        <v>-11</v>
      </c>
      <c r="F229" s="50" t="n">
        <f aca="false">F230-(F217+F221+F227+F228)</f>
        <v>7</v>
      </c>
      <c r="G229" s="50" t="n">
        <f aca="false">G230-(G217+G221+G227+G228)</f>
        <v>-18</v>
      </c>
      <c r="H229" s="50" t="n">
        <f aca="false">H230-(H217+H221+H227+H228)</f>
        <v>2</v>
      </c>
      <c r="I229" s="50" t="n">
        <f aca="false">I230-(I217+I221+I227+I228)</f>
        <v>3</v>
      </c>
      <c r="J229" s="50" t="n">
        <f aca="false">J230-(J217+J221+J227+J228)</f>
        <v>-3</v>
      </c>
      <c r="K229" s="50" t="n">
        <f aca="false">K230-(K217+K221+K227+K228)</f>
        <v>3</v>
      </c>
      <c r="L229" s="50" t="n">
        <f aca="false">L230-(L217+L221+L227+L228)</f>
        <v>5</v>
      </c>
      <c r="M229" s="50" t="n">
        <f aca="false">M230-(M217+M221+M227+M228)</f>
        <v>-1</v>
      </c>
      <c r="N229" s="50" t="n">
        <f aca="false">N230-(N217+N221+N227+N228)</f>
        <v>1</v>
      </c>
      <c r="O229" s="50" t="n">
        <f aca="false">O230-(O217+O221+O227+O228)</f>
        <v>4</v>
      </c>
      <c r="P229" s="50" t="n">
        <f aca="false">P230-(P217+P221+P227+P228)</f>
        <v>-5</v>
      </c>
      <c r="Q229" s="50" t="n">
        <f aca="false">Q230-(Q217+Q221+Q227+Q228)</f>
        <v>-1</v>
      </c>
      <c r="R229" s="50" t="n">
        <f aca="false">R230-(R217+R221+R227+R228)</f>
        <v>2</v>
      </c>
      <c r="S229" s="50" t="n">
        <f aca="false">S230-(S217+S221+S227+S228)</f>
        <v>0</v>
      </c>
      <c r="T229" s="50" t="n">
        <f aca="false">T230-(T217+T221+T227+T228)</f>
        <v>-2</v>
      </c>
      <c r="U229" s="50" t="n">
        <f aca="false">U230-(U217+U221+U227+U228)</f>
        <v>1</v>
      </c>
      <c r="V229" s="50" t="n">
        <f aca="false">V230-(V217+V221+V227+V228)</f>
        <v>1</v>
      </c>
      <c r="W229" s="50" t="n">
        <f aca="false">W230-(W217+W221+W227+W228)</f>
        <v>-2</v>
      </c>
      <c r="X229" s="50" t="n">
        <f aca="false">X230-(X217+X221+X227+X228)</f>
        <v>3</v>
      </c>
      <c r="Y229" s="32"/>
      <c r="Z229" s="32"/>
      <c r="AA229" s="43" t="n">
        <f aca="false">(W229+X229)</f>
        <v>1</v>
      </c>
      <c r="AB229" s="48" t="n">
        <v>0</v>
      </c>
      <c r="AC229" s="48" t="n">
        <v>0</v>
      </c>
      <c r="AD229" s="48" t="n">
        <v>0</v>
      </c>
      <c r="AE229" s="48" t="n">
        <v>0</v>
      </c>
    </row>
    <row r="230" customFormat="false" ht="15" hidden="false" customHeight="true" outlineLevel="0" collapsed="false">
      <c r="B230" s="11" t="s">
        <v>365</v>
      </c>
      <c r="C230" s="50" t="n">
        <f aca="false">C232-C231</f>
        <v>745</v>
      </c>
      <c r="D230" s="50" t="n">
        <f aca="false">D232-D231</f>
        <v>-572</v>
      </c>
      <c r="E230" s="50" t="n">
        <f aca="false">E232-E231</f>
        <v>108</v>
      </c>
      <c r="F230" s="50" t="n">
        <f aca="false">F232-F231</f>
        <v>-84</v>
      </c>
      <c r="G230" s="50" t="n">
        <f aca="false">G232-G231</f>
        <v>197</v>
      </c>
      <c r="H230" s="50" t="n">
        <f aca="false">H232-H231</f>
        <v>-155</v>
      </c>
      <c r="I230" s="50" t="n">
        <f aca="false">I232-I231</f>
        <v>-18</v>
      </c>
      <c r="J230" s="50" t="n">
        <f aca="false">J232-J231</f>
        <v>64</v>
      </c>
      <c r="K230" s="50" t="n">
        <f aca="false">K232-K231</f>
        <v>58</v>
      </c>
      <c r="L230" s="50" t="n">
        <f aca="false">L232-L231</f>
        <v>-51</v>
      </c>
      <c r="M230" s="50" t="n">
        <f aca="false">M232-M231</f>
        <v>-184</v>
      </c>
      <c r="N230" s="50" t="n">
        <f aca="false">N232-N231</f>
        <v>21</v>
      </c>
      <c r="O230" s="50" t="n">
        <f aca="false">O232-O231</f>
        <v>129</v>
      </c>
      <c r="P230" s="50" t="n">
        <f aca="false">P232-P231</f>
        <v>-87</v>
      </c>
      <c r="Q230" s="50" t="n">
        <f aca="false">Q232-Q231</f>
        <v>-121</v>
      </c>
      <c r="R230" s="50" t="n">
        <f aca="false">R232-R231</f>
        <v>-77</v>
      </c>
      <c r="S230" s="50" t="n">
        <f aca="false">S232-S231</f>
        <v>12</v>
      </c>
      <c r="T230" s="50" t="n">
        <f aca="false">T232-T231</f>
        <v>108</v>
      </c>
      <c r="U230" s="50" t="n">
        <f aca="false">U232-U231</f>
        <v>-11</v>
      </c>
      <c r="V230" s="50" t="n">
        <f aca="false">V232-V231</f>
        <v>32</v>
      </c>
      <c r="W230" s="50" t="n">
        <f aca="false">W232-W231</f>
        <v>-73</v>
      </c>
      <c r="X230" s="50" t="n">
        <f aca="false">X232-X231</f>
        <v>57</v>
      </c>
      <c r="Y230" s="32"/>
      <c r="Z230" s="32"/>
      <c r="AA230" s="43" t="n">
        <f aca="false">AA217+AA221+AA227+AA228+AA229</f>
        <v>-30</v>
      </c>
      <c r="AB230" s="43" t="n">
        <f aca="false">AB217+AB221+AB227+AB228+AB229</f>
        <v>0</v>
      </c>
      <c r="AC230" s="43" t="n">
        <f aca="false">AC217+AC221+AC227+AC228+AC229</f>
        <v>0</v>
      </c>
      <c r="AD230" s="43" t="n">
        <f aca="false">AD217+AD221+AD227+AD228+AD229</f>
        <v>0</v>
      </c>
      <c r="AE230" s="43" t="n">
        <f aca="false">AE217+AE221+AE227+AE228+AE229</f>
        <v>0</v>
      </c>
    </row>
    <row r="231" customFormat="false" ht="15" hidden="false" customHeight="true" outlineLevel="0" collapsed="false">
      <c r="B231" s="11" t="s">
        <v>366</v>
      </c>
      <c r="C231" s="33" t="n">
        <v>273</v>
      </c>
      <c r="D231" s="33" t="n">
        <v>1018</v>
      </c>
      <c r="E231" s="33" t="n">
        <v>446</v>
      </c>
      <c r="F231" s="33" t="n">
        <v>554</v>
      </c>
      <c r="G231" s="33" t="n">
        <v>273</v>
      </c>
      <c r="H231" s="33" t="n">
        <v>470</v>
      </c>
      <c r="I231" s="33" t="n">
        <v>315</v>
      </c>
      <c r="J231" s="33" t="n">
        <v>297</v>
      </c>
      <c r="K231" s="33" t="n">
        <v>361</v>
      </c>
      <c r="L231" s="33" t="n">
        <v>470</v>
      </c>
      <c r="M231" s="33" t="n">
        <v>419</v>
      </c>
      <c r="N231" s="33" t="n">
        <v>235</v>
      </c>
      <c r="O231" s="33" t="n">
        <v>256</v>
      </c>
      <c r="P231" s="33" t="n">
        <v>385</v>
      </c>
      <c r="Q231" s="33" t="n">
        <v>419</v>
      </c>
      <c r="R231" s="33" t="n">
        <v>298</v>
      </c>
      <c r="S231" s="33" t="n">
        <v>221</v>
      </c>
      <c r="T231" s="33" t="n">
        <v>233</v>
      </c>
      <c r="U231" s="33" t="n">
        <v>341</v>
      </c>
      <c r="V231" s="33" t="n">
        <v>298</v>
      </c>
      <c r="W231" s="33" t="n">
        <v>330</v>
      </c>
      <c r="X231" s="33" t="n">
        <v>257</v>
      </c>
      <c r="Y231" s="32"/>
      <c r="Z231" s="32"/>
      <c r="AA231" s="43" t="n">
        <f aca="false">V232</f>
        <v>330</v>
      </c>
      <c r="AB231" s="43" t="n">
        <f aca="false">AA232</f>
        <v>300</v>
      </c>
      <c r="AC231" s="43" t="n">
        <f aca="false">AB232</f>
        <v>300</v>
      </c>
      <c r="AD231" s="43" t="n">
        <f aca="false">AC232</f>
        <v>300</v>
      </c>
      <c r="AE231" s="43" t="n">
        <f aca="false">AD232</f>
        <v>300</v>
      </c>
    </row>
    <row r="232" customFormat="false" ht="15" hidden="false" customHeight="true" outlineLevel="0" collapsed="false">
      <c r="B232" s="22" t="s">
        <v>367</v>
      </c>
      <c r="C232" s="23" t="n">
        <v>1018</v>
      </c>
      <c r="D232" s="23" t="n">
        <v>446</v>
      </c>
      <c r="E232" s="23" t="n">
        <v>554</v>
      </c>
      <c r="F232" s="23" t="n">
        <v>470</v>
      </c>
      <c r="G232" s="23" t="n">
        <v>470</v>
      </c>
      <c r="H232" s="23" t="n">
        <v>315</v>
      </c>
      <c r="I232" s="23" t="n">
        <v>297</v>
      </c>
      <c r="J232" s="23" t="n">
        <v>361</v>
      </c>
      <c r="K232" s="23" t="n">
        <v>419</v>
      </c>
      <c r="L232" s="23" t="n">
        <v>419</v>
      </c>
      <c r="M232" s="23" t="n">
        <v>235</v>
      </c>
      <c r="N232" s="23" t="n">
        <v>256</v>
      </c>
      <c r="O232" s="23" t="n">
        <v>385</v>
      </c>
      <c r="P232" s="23" t="n">
        <v>298</v>
      </c>
      <c r="Q232" s="23" t="n">
        <v>298</v>
      </c>
      <c r="R232" s="23" t="n">
        <v>221</v>
      </c>
      <c r="S232" s="23" t="n">
        <v>233</v>
      </c>
      <c r="T232" s="23" t="n">
        <v>341</v>
      </c>
      <c r="U232" s="23" t="n">
        <v>330</v>
      </c>
      <c r="V232" s="23" t="n">
        <v>330</v>
      </c>
      <c r="W232" s="23" t="n">
        <v>257</v>
      </c>
      <c r="X232" s="23" t="n">
        <v>314</v>
      </c>
      <c r="Y232" s="61"/>
      <c r="Z232" s="61"/>
      <c r="AA232" s="24" t="n">
        <f aca="false">AA231+AA230</f>
        <v>300</v>
      </c>
      <c r="AB232" s="24" t="n">
        <f aca="false">AB231+AB230</f>
        <v>300</v>
      </c>
      <c r="AC232" s="24" t="n">
        <f aca="false">AC231+AC230</f>
        <v>300</v>
      </c>
      <c r="AD232" s="24" t="n">
        <f aca="false">AD231+AD230</f>
        <v>300</v>
      </c>
      <c r="AE232" s="24" t="n">
        <f aca="false">AE231+AE230</f>
        <v>300</v>
      </c>
    </row>
    <row r="233" customFormat="false" ht="15" hidden="false" customHeight="true" outlineLevel="0" collapsed="false">
      <c r="B233" s="49" t="s">
        <v>368</v>
      </c>
      <c r="C233" s="50" t="n">
        <f aca="false">IF(ISNUMBER(C217),ROUND(C217+C221+C227+C228+C229-C230,1),"")</f>
        <v>0</v>
      </c>
      <c r="D233" s="50" t="n">
        <f aca="false">IF(ISNUMBER(D217),ROUND(D217+D221+D227+D228+D229-D230,1),"")</f>
        <v>0</v>
      </c>
      <c r="E233" s="50" t="n">
        <f aca="false">IF(ISNUMBER(E217),ROUND(E217+E221+E227+E228+E229-E230,1),"")</f>
        <v>0</v>
      </c>
      <c r="F233" s="50" t="n">
        <f aca="false">IF(ISNUMBER(F217),ROUND(F217+F221+F227+F228+F229-F230,1),"")</f>
        <v>0</v>
      </c>
      <c r="G233" s="50" t="n">
        <f aca="false">IF(ISNUMBER(G217),ROUND(G217+G221+G227+G228+G229-G230,1),"")</f>
        <v>0</v>
      </c>
      <c r="H233" s="50" t="n">
        <f aca="false">IF(ISNUMBER(H217),ROUND(H217+H221+H227+H228+H229-H230,1),"")</f>
        <v>0</v>
      </c>
      <c r="I233" s="50" t="n">
        <f aca="false">IF(ISNUMBER(I217),ROUND(I217+I221+I227+I228+I229-I230,1),"")</f>
        <v>0</v>
      </c>
      <c r="J233" s="50" t="n">
        <f aca="false">IF(ISNUMBER(J217),ROUND(J217+J221+J227+J228+J229-J230,1),"")</f>
        <v>0</v>
      </c>
      <c r="K233" s="50" t="n">
        <f aca="false">IF(ISNUMBER(K217),ROUND(K217+K221+K227+K228+K229-K230,1),"")</f>
        <v>0</v>
      </c>
      <c r="L233" s="50" t="n">
        <f aca="false">IF(ISNUMBER(L217),ROUND(L217+L221+L227+L228+L229-L230,1),"")</f>
        <v>0</v>
      </c>
      <c r="M233" s="50" t="n">
        <f aca="false">IF(ISNUMBER(M217),ROUND(M217+M221+M227+M228+M229-M230,1),"")</f>
        <v>0</v>
      </c>
      <c r="N233" s="50" t="n">
        <f aca="false">IF(ISNUMBER(N217),ROUND(N217+N221+N227+N228+N229-N230,1),"")</f>
        <v>0</v>
      </c>
      <c r="O233" s="50" t="n">
        <f aca="false">IF(ISNUMBER(O217),ROUND(O217+O221+O227+O228+O229-O230,1),"")</f>
        <v>0</v>
      </c>
      <c r="P233" s="50" t="n">
        <f aca="false">IF(ISNUMBER(P217),ROUND(P217+P221+P227+P228+P229-P230,1),"")</f>
        <v>0</v>
      </c>
      <c r="Q233" s="50" t="n">
        <f aca="false">IF(ISNUMBER(Q217),ROUND(Q217+Q221+Q227+Q228+Q229-Q230,1),"")</f>
        <v>0</v>
      </c>
      <c r="R233" s="50" t="n">
        <f aca="false">IF(ISNUMBER(R217),ROUND(R217+R221+R227+R228+R229-R230,1),"")</f>
        <v>0</v>
      </c>
      <c r="S233" s="50" t="n">
        <f aca="false">IF(ISNUMBER(S217),ROUND(S217+S221+S227+S228+S229-S230,1),"")</f>
        <v>0</v>
      </c>
      <c r="T233" s="50" t="n">
        <f aca="false">IF(ISNUMBER(T217),ROUND(T217+T221+T227+T228+T229-T230,1),"")</f>
        <v>0</v>
      </c>
      <c r="U233" s="50" t="n">
        <f aca="false">IF(ISNUMBER(U217),ROUND(U217+U221+U227+U228+U229-U230,1),"")</f>
        <v>0</v>
      </c>
      <c r="V233" s="50" t="n">
        <f aca="false">IF(ISNUMBER(V217),ROUND(V217+V221+V227+V228+V229-V230,1),"")</f>
        <v>0</v>
      </c>
      <c r="W233" s="50" t="n">
        <f aca="false">IF(ISNUMBER(W217),ROUND(W217+W221+W227+W228+W229-W230,1),"")</f>
        <v>0</v>
      </c>
      <c r="X233" s="50" t="n">
        <f aca="false">IF(ISNUMBER(X217),ROUND(X217+X221+X227+X228+X229-X230,1),"")</f>
        <v>0</v>
      </c>
      <c r="Y233" s="43" t="str">
        <f aca="false">IF(ISNUMBER(Y217),ROUND(Y217+Y221+Y227+Y228+Y229-Y230,1),"")</f>
        <v/>
      </c>
      <c r="Z233" s="43" t="str">
        <f aca="false">IF(ISNUMBER(Z217),ROUND(Z217+Z221+Z227+Z228+Z229-Z230,1),"")</f>
        <v/>
      </c>
      <c r="AA233" s="43" t="n">
        <f aca="false">IF(ISNUMBER(AA217),ROUND(AA217+AA221+AA227+AA228+AA229-AA230,1),"")</f>
        <v>0</v>
      </c>
      <c r="AB233" s="43" t="n">
        <f aca="false">IF(ISNUMBER(AB217),ROUND(AB217+AB221+AB227+AB228+AB229-AB230,1),"")</f>
        <v>0</v>
      </c>
      <c r="AC233" s="43" t="n">
        <f aca="false">IF(ISNUMBER(AC217),ROUND(AC217+AC221+AC227+AC228+AC229-AC230,1),"")</f>
        <v>0</v>
      </c>
      <c r="AD233" s="43" t="n">
        <f aca="false">IF(ISNUMBER(AD217),ROUND(AD217+AD221+AD227+AD228+AD229-AD230,1),"")</f>
        <v>0</v>
      </c>
      <c r="AE233" s="43" t="n">
        <f aca="false">IF(ISNUMBER(AE217),ROUND(AE217+AE221+AE227+AE228+AE229-AE230,1),"")</f>
        <v>0</v>
      </c>
    </row>
    <row r="234" customFormat="false" ht="15" hidden="false" customHeight="true" outlineLevel="0" collapsed="false">
      <c r="B234" s="49" t="s">
        <v>369</v>
      </c>
      <c r="C234" s="50" t="n">
        <f aca="false">IF(ISNUMBER(C231),ROUND(C231+C230-C232,1),"")</f>
        <v>0</v>
      </c>
      <c r="D234" s="50" t="n">
        <f aca="false">IF(ISNUMBER(D231),ROUND(D231+D230-D232,1),"")</f>
        <v>0</v>
      </c>
      <c r="E234" s="50" t="n">
        <f aca="false">IF(ISNUMBER(E231),ROUND(E231+E230-E232,1),"")</f>
        <v>0</v>
      </c>
      <c r="F234" s="50" t="n">
        <f aca="false">IF(ISNUMBER(F231),ROUND(F231+F230-F232,1),"")</f>
        <v>0</v>
      </c>
      <c r="G234" s="50" t="n">
        <f aca="false">IF(ISNUMBER(G231),ROUND(G231+G230-G232,1),"")</f>
        <v>0</v>
      </c>
      <c r="H234" s="50" t="n">
        <f aca="false">IF(ISNUMBER(H231),ROUND(H231+H230-H232,1),"")</f>
        <v>0</v>
      </c>
      <c r="I234" s="50" t="n">
        <f aca="false">IF(ISNUMBER(I231),ROUND(I231+I230-I232,1),"")</f>
        <v>0</v>
      </c>
      <c r="J234" s="50" t="n">
        <f aca="false">IF(ISNUMBER(J231),ROUND(J231+J230-J232,1),"")</f>
        <v>0</v>
      </c>
      <c r="K234" s="50" t="n">
        <f aca="false">IF(ISNUMBER(K231),ROUND(K231+K230-K232,1),"")</f>
        <v>0</v>
      </c>
      <c r="L234" s="50" t="n">
        <f aca="false">IF(ISNUMBER(L231),ROUND(L231+L230-L232,1),"")</f>
        <v>0</v>
      </c>
      <c r="M234" s="50" t="n">
        <f aca="false">IF(ISNUMBER(M231),ROUND(M231+M230-M232,1),"")</f>
        <v>0</v>
      </c>
      <c r="N234" s="50" t="n">
        <f aca="false">IF(ISNUMBER(N231),ROUND(N231+N230-N232,1),"")</f>
        <v>0</v>
      </c>
      <c r="O234" s="50" t="n">
        <f aca="false">IF(ISNUMBER(O231),ROUND(O231+O230-O232,1),"")</f>
        <v>0</v>
      </c>
      <c r="P234" s="50" t="n">
        <f aca="false">IF(ISNUMBER(P231),ROUND(P231+P230-P232,1),"")</f>
        <v>0</v>
      </c>
      <c r="Q234" s="50" t="n">
        <f aca="false">IF(ISNUMBER(Q231),ROUND(Q231+Q230-Q232,1),"")</f>
        <v>0</v>
      </c>
      <c r="R234" s="50" t="n">
        <f aca="false">IF(ISNUMBER(R231),ROUND(R231+R230-R232,1),"")</f>
        <v>0</v>
      </c>
      <c r="S234" s="50" t="n">
        <f aca="false">IF(ISNUMBER(S231),ROUND(S231+S230-S232,1),"")</f>
        <v>0</v>
      </c>
      <c r="T234" s="50" t="n">
        <f aca="false">IF(ISNUMBER(T231),ROUND(T231+T230-T232,1),"")</f>
        <v>0</v>
      </c>
      <c r="U234" s="50" t="n">
        <f aca="false">IF(ISNUMBER(U231),ROUND(U231+U230-U232,1),"")</f>
        <v>0</v>
      </c>
      <c r="V234" s="50" t="n">
        <f aca="false">IF(ISNUMBER(V231),ROUND(V231+V230-V232,1),"")</f>
        <v>0</v>
      </c>
      <c r="W234" s="50" t="n">
        <f aca="false">IF(ISNUMBER(W231),ROUND(W231+W230-W232,1),"")</f>
        <v>0</v>
      </c>
      <c r="X234" s="50" t="n">
        <f aca="false">IF(ISNUMBER(X231),ROUND(X231+X230-X232,1),"")</f>
        <v>0</v>
      </c>
      <c r="Y234" s="43" t="str">
        <f aca="false">IF(ISNUMBER(Y231),ROUND(Y231+Y230-Y232,1),"")</f>
        <v/>
      </c>
      <c r="Z234" s="43" t="str">
        <f aca="false">IF(ISNUMBER(Z231),ROUND(Z231+Z230-Z232,1),"")</f>
        <v/>
      </c>
      <c r="AA234" s="43" t="n">
        <f aca="false">IF(ISNUMBER(AA231),ROUND(AA231+AA230-AA232,1),"")</f>
        <v>0</v>
      </c>
      <c r="AB234" s="43" t="n">
        <f aca="false">IF(ISNUMBER(AB231),ROUND(AB231+AB230-AB232,1),"")</f>
        <v>0</v>
      </c>
      <c r="AC234" s="43" t="n">
        <f aca="false">IF(ISNUMBER(AC231),ROUND(AC231+AC230-AC232,1),"")</f>
        <v>0</v>
      </c>
      <c r="AD234" s="43" t="n">
        <f aca="false">IF(ISNUMBER(AD231),ROUND(AD231+AD230-AD232,1),"")</f>
        <v>0</v>
      </c>
      <c r="AE234" s="43" t="n">
        <f aca="false">IF(ISNUMBER(AE231),ROUND(AE231+AE230-AE232,1),"")</f>
        <v>0</v>
      </c>
    </row>
    <row r="235" customFormat="false" ht="15" hidden="false" customHeight="true" outlineLevel="0" collapsed="false">
      <c r="B235" s="55" t="s">
        <v>370</v>
      </c>
      <c r="Y235" s="32"/>
      <c r="Z235" s="32"/>
      <c r="AA235" s="32"/>
      <c r="AB235" s="32"/>
      <c r="AC235" s="32"/>
      <c r="AD235" s="32"/>
      <c r="AE235" s="32"/>
    </row>
    <row r="236" customFormat="false" ht="15" hidden="false" customHeight="true" outlineLevel="0" collapsed="false">
      <c r="B236" s="22" t="s">
        <v>371</v>
      </c>
      <c r="C236" s="54" t="n">
        <f aca="false">IF(ISNUMBER(C217),C217+C218+C219,"")</f>
        <v>68</v>
      </c>
      <c r="D236" s="54" t="n">
        <f aca="false">IF(ISNUMBER(D217),D217+D218+D219,"")</f>
        <v>54</v>
      </c>
      <c r="E236" s="54" t="n">
        <f aca="false">IF(ISNUMBER(E217),E217+E218+E219,"")</f>
        <v>162</v>
      </c>
      <c r="F236" s="54" t="n">
        <f aca="false">IF(ISNUMBER(F217),F217+F218+F219,"")</f>
        <v>107</v>
      </c>
      <c r="G236" s="54" t="n">
        <f aca="false">IF(ISNUMBER(G217),G217+G218+G219,"")</f>
        <v>391</v>
      </c>
      <c r="H236" s="54" t="n">
        <f aca="false">IF(ISNUMBER(H217),H217+H218+H219,"")</f>
        <v>-140</v>
      </c>
      <c r="I236" s="54" t="n">
        <f aca="false">IF(ISNUMBER(I217),I217+I218+I219,"")</f>
        <v>5</v>
      </c>
      <c r="J236" s="54" t="n">
        <f aca="false">IF(ISNUMBER(J217),J217+J218+J219,"")</f>
        <v>103</v>
      </c>
      <c r="K236" s="54" t="n">
        <f aca="false">IF(ISNUMBER(K217),K217+K218+K219,"")</f>
        <v>-778</v>
      </c>
      <c r="L236" s="54" t="n">
        <f aca="false">IF(ISNUMBER(L217),L217+L218+L219,"")</f>
        <v>-810</v>
      </c>
      <c r="M236" s="54" t="n">
        <f aca="false">IF(ISNUMBER(M217),M217+M218+M219,"")</f>
        <v>-154</v>
      </c>
      <c r="N236" s="54" t="n">
        <f aca="false">IF(ISNUMBER(N217),N217+N218+N219,"")</f>
        <v>26</v>
      </c>
      <c r="O236" s="54" t="n">
        <f aca="false">IF(ISNUMBER(O217),O217+O218+O219,"")</f>
        <v>141</v>
      </c>
      <c r="P236" s="54" t="n">
        <f aca="false">IF(ISNUMBER(P217),P217+P218+P219,"")</f>
        <v>81</v>
      </c>
      <c r="Q236" s="54" t="n">
        <f aca="false">IF(ISNUMBER(Q217),Q217+Q218+Q219,"")</f>
        <v>94</v>
      </c>
      <c r="R236" s="54" t="n">
        <f aca="false">IF(ISNUMBER(R217),R217+R218+R219,"")</f>
        <v>-50</v>
      </c>
      <c r="S236" s="54" t="n">
        <f aca="false">IF(ISNUMBER(S217),S217+S218+S219,"")</f>
        <v>56</v>
      </c>
      <c r="T236" s="54" t="n">
        <f aca="false">IF(ISNUMBER(T217),T217+T218+T219,"")</f>
        <v>221</v>
      </c>
      <c r="U236" s="54" t="n">
        <f aca="false">IF(ISNUMBER(U217),U217+U218+U219,"")</f>
        <v>143</v>
      </c>
      <c r="V236" s="54" t="n">
        <f aca="false">IF(ISNUMBER(V217),V217+V218+V219,"")</f>
        <v>370</v>
      </c>
      <c r="W236" s="54" t="n">
        <f aca="false">IF(ISNUMBER(W217),W217+W218+W219,"")</f>
        <v>79</v>
      </c>
      <c r="X236" s="54" t="n">
        <f aca="false">IF(ISNUMBER(X217),X217+X218+X219,"")</f>
        <v>207</v>
      </c>
      <c r="Y236" s="24" t="str">
        <f aca="false">IF(ISNUMBER(Y217),Y217+Y218+Y219,"")</f>
        <v/>
      </c>
      <c r="Z236" s="24" t="str">
        <f aca="false">IF(ISNUMBER(Z217),Z217+Z218+Z219,"")</f>
        <v/>
      </c>
      <c r="AA236" s="24" t="n">
        <f aca="false">IF(ISNUMBER(AA217),AA217+AA218+AA219,"")</f>
        <v>805.664523236965</v>
      </c>
      <c r="AB236" s="24" t="n">
        <f aca="false">IF(ISNUMBER(AB217),AB217+AB218+AB219,"")</f>
        <v>783.375711302288</v>
      </c>
      <c r="AC236" s="24" t="n">
        <f aca="false">IF(ISNUMBER(AC217),AC217+AC218+AC219,"")</f>
        <v>932.991485573914</v>
      </c>
      <c r="AD236" s="24" t="n">
        <f aca="false">IF(ISNUMBER(AD217),AD217+AD218+AD219,"")</f>
        <v>1058.92319302967</v>
      </c>
      <c r="AE236" s="24" t="n">
        <f aca="false">IF(ISNUMBER(AE217),AE217+AE218+AE219,"")</f>
        <v>1159.3435430273</v>
      </c>
      <c r="AF236" s="20" t="s">
        <v>372</v>
      </c>
      <c r="AH236" s="25" t="n">
        <f aca="false">IFERROR((AE236/V236)^(1/5)-1,"n/m")</f>
        <v>0.256614552054372</v>
      </c>
      <c r="AI236" s="25" t="n">
        <f aca="false">IFERROR((V236/G236)^(1/3)-1,"n/m")</f>
        <v>-0.0182332439288914</v>
      </c>
    </row>
    <row r="237" customFormat="false" ht="15" hidden="false" customHeight="true" outlineLevel="0" collapsed="false">
      <c r="B237" s="58" t="s">
        <v>373</v>
      </c>
      <c r="C237" s="33" t="n">
        <v>68</v>
      </c>
      <c r="F237" s="33" t="n">
        <v>107</v>
      </c>
      <c r="G237" s="33" t="n">
        <v>391</v>
      </c>
      <c r="H237" s="33" t="n">
        <v>-140</v>
      </c>
      <c r="Y237" s="32"/>
      <c r="Z237" s="32"/>
      <c r="AA237" s="32"/>
      <c r="AB237" s="32"/>
      <c r="AC237" s="32"/>
      <c r="AD237" s="32"/>
      <c r="AE237" s="32"/>
    </row>
    <row r="238" customFormat="false" ht="15" hidden="false" customHeight="true" outlineLevel="0" collapsed="false">
      <c r="B238" s="49" t="s">
        <v>374</v>
      </c>
      <c r="C238" s="50" t="n">
        <f aca="false">IF(ISNUMBER(C237),ROUND(C236-C237,1),"n/p")</f>
        <v>0</v>
      </c>
      <c r="D238" s="50" t="str">
        <f aca="false">IF(ISNUMBER(D237),ROUND(D236-D237,1),"n/p")</f>
        <v>n/p</v>
      </c>
      <c r="E238" s="50" t="str">
        <f aca="false">IF(ISNUMBER(E237),ROUND(E236-E237,1),"n/p")</f>
        <v>n/p</v>
      </c>
      <c r="F238" s="50" t="n">
        <f aca="false">IF(ISNUMBER(F237),ROUND(F236-F237,1),"n/p")</f>
        <v>0</v>
      </c>
      <c r="G238" s="50" t="n">
        <f aca="false">IF(ISNUMBER(G237),ROUND(G236-G237,1),"n/p")</f>
        <v>0</v>
      </c>
      <c r="H238" s="50" t="n">
        <f aca="false">IF(ISNUMBER(H237),ROUND(H236-H237,1),"n/p")</f>
        <v>0</v>
      </c>
      <c r="I238" s="50" t="str">
        <f aca="false">IF(ISNUMBER(I237),ROUND(I236-I237,1),"n/p")</f>
        <v>n/p</v>
      </c>
      <c r="J238" s="50" t="str">
        <f aca="false">IF(ISNUMBER(J237),ROUND(J236-J237,1),"n/p")</f>
        <v>n/p</v>
      </c>
      <c r="K238" s="50" t="str">
        <f aca="false">IF(ISNUMBER(K237),ROUND(K236-K237,1),"n/p")</f>
        <v>n/p</v>
      </c>
      <c r="L238" s="50" t="str">
        <f aca="false">IF(ISNUMBER(L237),ROUND(L236-L237,1),"n/p")</f>
        <v>n/p</v>
      </c>
      <c r="M238" s="50" t="str">
        <f aca="false">IF(ISNUMBER(M237),ROUND(M236-M237,1),"n/p")</f>
        <v>n/p</v>
      </c>
      <c r="N238" s="50" t="str">
        <f aca="false">IF(ISNUMBER(N237),ROUND(N236-N237,1),"n/p")</f>
        <v>n/p</v>
      </c>
      <c r="O238" s="50" t="str">
        <f aca="false">IF(ISNUMBER(O237),ROUND(O236-O237,1),"n/p")</f>
        <v>n/p</v>
      </c>
      <c r="P238" s="50" t="str">
        <f aca="false">IF(ISNUMBER(P237),ROUND(P236-P237,1),"n/p")</f>
        <v>n/p</v>
      </c>
      <c r="Q238" s="50" t="str">
        <f aca="false">IF(ISNUMBER(Q237),ROUND(Q236-Q237,1),"n/p")</f>
        <v>n/p</v>
      </c>
      <c r="R238" s="50" t="str">
        <f aca="false">IF(ISNUMBER(R237),ROUND(R236-R237,1),"n/p")</f>
        <v>n/p</v>
      </c>
      <c r="S238" s="50" t="str">
        <f aca="false">IF(ISNUMBER(S237),ROUND(S236-S237,1),"n/p")</f>
        <v>n/p</v>
      </c>
      <c r="T238" s="50" t="str">
        <f aca="false">IF(ISNUMBER(T237),ROUND(T236-T237,1),"n/p")</f>
        <v>n/p</v>
      </c>
      <c r="U238" s="50" t="str">
        <f aca="false">IF(ISNUMBER(U237),ROUND(U236-U237,1),"n/p")</f>
        <v>n/p</v>
      </c>
      <c r="V238" s="50" t="str">
        <f aca="false">IF(ISNUMBER(V237),ROUND(V236-V237,1),"n/p")</f>
        <v>n/p</v>
      </c>
      <c r="W238" s="50" t="str">
        <f aca="false">IF(ISNUMBER(W237),ROUND(W236-W237,1),"n/p")</f>
        <v>n/p</v>
      </c>
      <c r="X238" s="50" t="str">
        <f aca="false">IF(ISNUMBER(X237),ROUND(X236-X237,1),"n/p")</f>
        <v>n/p</v>
      </c>
      <c r="Y238" s="43" t="str">
        <f aca="false">IF(ISNUMBER(Y237),ROUND(Y236-Y237,1),"n/p")</f>
        <v>n/p</v>
      </c>
      <c r="Z238" s="43" t="str">
        <f aca="false">IF(ISNUMBER(Z237),ROUND(Z236-Z237,1),"n/p")</f>
        <v>n/p</v>
      </c>
      <c r="AA238" s="43" t="str">
        <f aca="false">IF(ISNUMBER(AA237),ROUND(AA236-AA237,1),"n/p")</f>
        <v>n/p</v>
      </c>
      <c r="AB238" s="43" t="str">
        <f aca="false">IF(ISNUMBER(AB237),ROUND(AB236-AB237,1),"n/p")</f>
        <v>n/p</v>
      </c>
      <c r="AC238" s="43" t="str">
        <f aca="false">IF(ISNUMBER(AC237),ROUND(AC236-AC237,1),"n/p")</f>
        <v>n/p</v>
      </c>
      <c r="AD238" s="43" t="str">
        <f aca="false">IF(ISNUMBER(AD237),ROUND(AD236-AD237,1),"n/p")</f>
        <v>n/p</v>
      </c>
      <c r="AE238" s="43" t="str">
        <f aca="false">IF(ISNUMBER(AE237),ROUND(AE236-AE237,1),"n/p")</f>
        <v>n/p</v>
      </c>
    </row>
    <row r="239" customFormat="false" ht="15" hidden="false" customHeight="true" outlineLevel="0" collapsed="false">
      <c r="B239" s="27" t="s">
        <v>375</v>
      </c>
      <c r="H239" s="28" t="n">
        <f aca="false">IF(AND(ISNUMBER(H236),ISNUMBER(C236)),IFERROR(H236/C236-1,""),"")</f>
        <v>-3.05882352941176</v>
      </c>
      <c r="I239" s="28" t="n">
        <f aca="false">IF(AND(ISNUMBER(I236),ISNUMBER(D236)),IFERROR(I236/D236-1,""),"")</f>
        <v>-0.907407407407407</v>
      </c>
      <c r="J239" s="28" t="n">
        <f aca="false">IF(AND(ISNUMBER(J236),ISNUMBER(E236)),IFERROR(J236/E236-1,""),"")</f>
        <v>-0.364197530864198</v>
      </c>
      <c r="K239" s="28" t="n">
        <f aca="false">IF(AND(ISNUMBER(K236),ISNUMBER(F236)),IFERROR(K236/F236-1,""),"")</f>
        <v>-8.27102803738318</v>
      </c>
      <c r="L239" s="28" t="n">
        <f aca="false">IF(AND(ISNUMBER(L236),ISNUMBER(G236)),IFERROR(L236/G236-1,""),"")</f>
        <v>-3.07161125319693</v>
      </c>
      <c r="M239" s="28" t="n">
        <f aca="false">IF(AND(ISNUMBER(M236),ISNUMBER(H236)),IFERROR(M236/H236-1,""),"")</f>
        <v>0.1</v>
      </c>
      <c r="N239" s="28" t="n">
        <f aca="false">IF(AND(ISNUMBER(N236),ISNUMBER(I236)),IFERROR(N236/I236-1,""),"")</f>
        <v>4.2</v>
      </c>
      <c r="O239" s="28" t="n">
        <f aca="false">IF(AND(ISNUMBER(O236),ISNUMBER(J236)),IFERROR(O236/J236-1,""),"")</f>
        <v>0.368932038834952</v>
      </c>
      <c r="P239" s="28" t="n">
        <f aca="false">IF(AND(ISNUMBER(P236),ISNUMBER(K236)),IFERROR(P236/K236-1,""),"")</f>
        <v>-1.10411311053985</v>
      </c>
      <c r="Q239" s="28" t="n">
        <f aca="false">IF(AND(ISNUMBER(Q236),ISNUMBER(L236)),IFERROR(Q236/L236-1,""),"")</f>
        <v>-1.11604938271605</v>
      </c>
      <c r="R239" s="28" t="n">
        <f aca="false">IF(AND(ISNUMBER(R236),ISNUMBER(M236)),IFERROR(R236/M236-1,""),"")</f>
        <v>-0.675324675324675</v>
      </c>
      <c r="S239" s="28" t="n">
        <f aca="false">IF(AND(ISNUMBER(S236),ISNUMBER(N236)),IFERROR(S236/N236-1,""),"")</f>
        <v>1.15384615384615</v>
      </c>
      <c r="T239" s="28" t="n">
        <f aca="false">IF(AND(ISNUMBER(T236),ISNUMBER(O236)),IFERROR(T236/O236-1,""),"")</f>
        <v>0.567375886524823</v>
      </c>
      <c r="U239" s="28" t="n">
        <f aca="false">IF(AND(ISNUMBER(U236),ISNUMBER(P236)),IFERROR(U236/P236-1,""),"")</f>
        <v>0.765432098765432</v>
      </c>
      <c r="V239" s="28" t="n">
        <f aca="false">IF(AND(ISNUMBER(V236),ISNUMBER(Q236)),IFERROR(V236/Q236-1,""),"")</f>
        <v>2.93617021276596</v>
      </c>
      <c r="W239" s="28" t="n">
        <f aca="false">IF(AND(ISNUMBER(W236),ISNUMBER(R236)),IFERROR(W236/R236-1,""),"")</f>
        <v>-2.58</v>
      </c>
      <c r="X239" s="28" t="n">
        <f aca="false">IF(AND(ISNUMBER(X236),ISNUMBER(S236)),IFERROR(X236/S236-1,""),"")</f>
        <v>2.69642857142857</v>
      </c>
      <c r="Y239" s="30" t="str">
        <f aca="false">IFERROR(Y236/T236-1,"")</f>
        <v/>
      </c>
      <c r="Z239" s="30" t="str">
        <f aca="false">IFERROR(Z236/U236-1,"")</f>
        <v/>
      </c>
      <c r="AA239" s="30" t="n">
        <f aca="false">IFERROR(AA236/V236-1,"")</f>
        <v>1.17747168442423</v>
      </c>
      <c r="AB239" s="30" t="n">
        <f aca="false">IFERROR(AB236/AA236-1,"")</f>
        <v>-0.0276651277198176</v>
      </c>
      <c r="AC239" s="30" t="n">
        <f aca="false">IFERROR(AC236/AB236-1,"")</f>
        <v>0.190988528381744</v>
      </c>
      <c r="AD239" s="30" t="n">
        <f aca="false">IFERROR(AD236/AC236-1,"")</f>
        <v>0.134976266560773</v>
      </c>
      <c r="AE239" s="30" t="n">
        <f aca="false">IFERROR(AE236/AD236-1,"")</f>
        <v>0.0948325153879377</v>
      </c>
    </row>
    <row r="240" customFormat="false" ht="15" hidden="false" customHeight="true" outlineLevel="0" collapsed="false">
      <c r="B240" s="11" t="s">
        <v>376</v>
      </c>
      <c r="C240" s="42" t="n">
        <f aca="false">IF(AND(ISNUMBER(C236),ISNUMBER(C106)),IFERROR(C236/C106,""),"")</f>
        <v>0.0359028511087645</v>
      </c>
      <c r="D240" s="42" t="n">
        <f aca="false">IF(AND(ISNUMBER(D236),ISNUMBER(D106)),IFERROR(D236/D106,""),"")</f>
        <v>0.0263800683927699</v>
      </c>
      <c r="E240" s="42" t="n">
        <f aca="false">IF(AND(ISNUMBER(E236),ISNUMBER(E106)),IFERROR(E236/E106,""),"")</f>
        <v>0.0832476875642343</v>
      </c>
      <c r="F240" s="42" t="n">
        <f aca="false">IF(AND(ISNUMBER(F236),ISNUMBER(F106)),IFERROR(F236/F106,""),"")</f>
        <v>0.0584380120152922</v>
      </c>
      <c r="G240" s="42" t="n">
        <f aca="false">IF(AND(ISNUMBER(G236),ISNUMBER(G106)),IFERROR(G236/G106,""),"")</f>
        <v>0.0506607929515419</v>
      </c>
      <c r="H240" s="42" t="n">
        <f aca="false">IF(AND(ISNUMBER(H236),ISNUMBER(H106)),IFERROR(H236/H106,""),"")</f>
        <v>-0.0734137388568432</v>
      </c>
      <c r="I240" s="42" t="n">
        <f aca="false">IF(AND(ISNUMBER(I236),ISNUMBER(I106)),IFERROR(I236/I106,""),"")</f>
        <v>0.00260824204486176</v>
      </c>
      <c r="J240" s="42" t="n">
        <f aca="false">IF(AND(ISNUMBER(J236),ISNUMBER(J106)),IFERROR(J236/J106,""),"")</f>
        <v>0.052020202020202</v>
      </c>
      <c r="K240" s="42" t="n">
        <f aca="false">IF(AND(ISNUMBER(K236),ISNUMBER(K106)),IFERROR(K236/K106,""),"")</f>
        <v>-0.401030927835052</v>
      </c>
      <c r="L240" s="42" t="n">
        <f aca="false">IF(AND(ISNUMBER(L236),ISNUMBER(L106)),IFERROR(L236/L106,""),"")</f>
        <v>-0.104597107438017</v>
      </c>
      <c r="M240" s="42" t="n">
        <f aca="false">IF(AND(ISNUMBER(M236),ISNUMBER(M106)),IFERROR(M236/M106,""),"")</f>
        <v>-0.0763131813676908</v>
      </c>
      <c r="N240" s="42" t="n">
        <f aca="false">IF(AND(ISNUMBER(N236),ISNUMBER(N106)),IFERROR(N236/N106,""),"")</f>
        <v>0.0125060125060125</v>
      </c>
      <c r="O240" s="42" t="n">
        <f aca="false">IF(AND(ISNUMBER(O236),ISNUMBER(O106)),IFERROR(O236/O106,""),"")</f>
        <v>0.0686799805163176</v>
      </c>
      <c r="P240" s="42" t="n">
        <f aca="false">IF(AND(ISNUMBER(P236),ISNUMBER(P106)),IFERROR(P236/P106,""),"")</f>
        <v>0.0421655387818844</v>
      </c>
      <c r="Q240" s="42" t="n">
        <f aca="false">IF(AND(ISNUMBER(Q236),ISNUMBER(Q106)),IFERROR(Q236/Q106,""),"")</f>
        <v>0.0116451932606541</v>
      </c>
      <c r="R240" s="42" t="n">
        <f aca="false">IF(AND(ISNUMBER(R236),ISNUMBER(R106)),IFERROR(R236/R106,""),"")</f>
        <v>-0.0255885363357216</v>
      </c>
      <c r="S240" s="42" t="n">
        <f aca="false">IF(AND(ISNUMBER(S236),ISNUMBER(S106)),IFERROR(S236/S106,""),"")</f>
        <v>0.0269230769230769</v>
      </c>
      <c r="T240" s="42" t="n">
        <f aca="false">IF(AND(ISNUMBER(T236),ISNUMBER(T106)),IFERROR(T236/T106,""),"")</f>
        <v>0.104689720511606</v>
      </c>
      <c r="U240" s="42" t="n">
        <f aca="false">IF(AND(ISNUMBER(U236),ISNUMBER(U106)),IFERROR(U236/U106,""),"")</f>
        <v>0.0711089010442566</v>
      </c>
      <c r="V240" s="42" t="n">
        <f aca="false">IF(AND(ISNUMBER(V236),ISNUMBER(V106)),IFERROR(V236/V106,""),"")</f>
        <v>0.0453598136569817</v>
      </c>
      <c r="W240" s="42" t="n">
        <f aca="false">IF(AND(ISNUMBER(W236),ISNUMBER(W106)),IFERROR(W236/W106,""),"")</f>
        <v>0.0376908396946565</v>
      </c>
      <c r="X240" s="42" t="n">
        <f aca="false">IF(AND(ISNUMBER(X236),ISNUMBER(X106)),IFERROR(X236/X106,""),"")</f>
        <v>0.0878980891719745</v>
      </c>
      <c r="Y240" s="30" t="str">
        <f aca="false">IFERROR(Y236/Y106,"")</f>
        <v/>
      </c>
      <c r="Z240" s="30" t="str">
        <f aca="false">IFERROR(Z236/Z106,"")</f>
        <v/>
      </c>
      <c r="AA240" s="30" t="n">
        <f aca="false">IFERROR(AA236/AA106,"")</f>
        <v>0.0877570600684095</v>
      </c>
      <c r="AB240" s="30" t="n">
        <f aca="false">IFERROR(AB236/AB106,"")</f>
        <v>0.0827841514008664</v>
      </c>
      <c r="AC240" s="30" t="n">
        <f aca="false">IFERROR(AC236/AC106,"")</f>
        <v>0.0932082856668263</v>
      </c>
      <c r="AD240" s="30" t="n">
        <f aca="false">IFERROR(AD236/AD106,"")</f>
        <v>0.100265409331355</v>
      </c>
      <c r="AE240" s="30" t="n">
        <f aca="false">IFERROR(AE236/AE106,"")</f>
        <v>0.10431815050046</v>
      </c>
      <c r="AH240" s="44" t="n">
        <f aca="false">IFERROR(AVERAGE(AA240,AB240,AC240,AD240,AE240),"n/m")</f>
        <v>0.0936666113935835</v>
      </c>
      <c r="AI240" s="44" t="n">
        <f aca="false">IFERROR(AVERAGE(G240,L240,Q240,V240),"n/m")</f>
        <v>0.00076717310779029</v>
      </c>
    </row>
    <row r="241" customFormat="false" ht="15" hidden="false" customHeight="true" outlineLevel="0" collapsed="false">
      <c r="B241" s="11" t="s">
        <v>377</v>
      </c>
      <c r="C241" s="42" t="n">
        <f aca="false">IF(AND(ISNUMBER(C236),ISNUMBER(C184)),IFERROR(C236/C184,""),"")</f>
        <v>1.28301886792453</v>
      </c>
      <c r="D241" s="42" t="n">
        <f aca="false">IF(AND(ISNUMBER(D236),ISNUMBER(D184)),IFERROR(D236/D184,""),"")</f>
        <v>0.409090909090909</v>
      </c>
      <c r="E241" s="42" t="n">
        <f aca="false">IF(AND(ISNUMBER(E236),ISNUMBER(E184)),IFERROR(E236/E184,""),"")</f>
        <v>1.47272727272727</v>
      </c>
      <c r="F241" s="42" t="n">
        <f aca="false">IF(AND(ISNUMBER(F236),ISNUMBER(F184)),IFERROR(F236/F184,""),"")</f>
        <v>0.946902654867257</v>
      </c>
      <c r="G241" s="42" t="n">
        <f aca="false">IF(AND(ISNUMBER(G236),ISNUMBER(G184)),IFERROR(G236/G184,""),"")</f>
        <v>0.958333333333333</v>
      </c>
      <c r="H241" s="42" t="n">
        <f aca="false">IF(AND(ISNUMBER(H236),ISNUMBER(H184)),IFERROR(H236/H184,""),"")</f>
        <v>-2.15384615384615</v>
      </c>
      <c r="I241" s="42" t="n">
        <f aca="false">IF(AND(ISNUMBER(I236),ISNUMBER(I184)),IFERROR(I236/I184,""),"")</f>
        <v>0.0602409638554217</v>
      </c>
      <c r="J241" s="42" t="n">
        <f aca="false">IF(AND(ISNUMBER(J236),ISNUMBER(J184)),IFERROR(J236/J184,""),"")</f>
        <v>0.980952380952381</v>
      </c>
      <c r="K241" s="42" t="n">
        <f aca="false">IF(AND(ISNUMBER(K236),ISNUMBER(K184)),IFERROR(K236/K184,""),"")</f>
        <v>-8.36559139784946</v>
      </c>
      <c r="L241" s="42" t="n">
        <f aca="false">IF(AND(ISNUMBER(L236),ISNUMBER(L184)),IFERROR(L236/L184,""),"")</f>
        <v>-2.34104046242775</v>
      </c>
      <c r="M241" s="42" t="n">
        <f aca="false">IF(AND(ISNUMBER(M236),ISNUMBER(M184)),IFERROR(M236/M184,""),"")</f>
        <v>-1.58762886597938</v>
      </c>
      <c r="N241" s="42" t="n">
        <f aca="false">IF(AND(ISNUMBER(N236),ISNUMBER(N184)),IFERROR(N236/N184,""),"")</f>
        <v>0.192592592592593</v>
      </c>
      <c r="O241" s="42" t="n">
        <f aca="false">IF(AND(ISNUMBER(O236),ISNUMBER(O184)),IFERROR(O236/O184,""),"")</f>
        <v>1.15573770491803</v>
      </c>
      <c r="P241" s="42" t="n">
        <f aca="false">IF(AND(ISNUMBER(P236),ISNUMBER(P184)),IFERROR(P236/P184,""),"")</f>
        <v>0.757009345794393</v>
      </c>
      <c r="Q241" s="42" t="n">
        <f aca="false">IF(AND(ISNUMBER(Q236),ISNUMBER(Q184)),IFERROR(Q236/Q184,""),"")</f>
        <v>0.204347826086957</v>
      </c>
      <c r="R241" s="42" t="n">
        <f aca="false">IF(AND(ISNUMBER(R236),ISNUMBER(R184)),IFERROR(R236/R184,""),"")</f>
        <v>-0.574712643678161</v>
      </c>
      <c r="S241" s="42" t="n">
        <f aca="false">IF(AND(ISNUMBER(S236),ISNUMBER(S184)),IFERROR(S236/S184,""),"")</f>
        <v>0.448</v>
      </c>
      <c r="T241" s="42" t="n">
        <f aca="false">IF(AND(ISNUMBER(T236),ISNUMBER(T184)),IFERROR(T236/T184,""),"")</f>
        <v>1.7265625</v>
      </c>
      <c r="U241" s="42" t="n">
        <f aca="false">IF(AND(ISNUMBER(U236),ISNUMBER(U184)),IFERROR(U236/U184,""),"")</f>
        <v>1.36190476190476</v>
      </c>
      <c r="V241" s="42" t="n">
        <f aca="false">IF(AND(ISNUMBER(V236),ISNUMBER(V184)),IFERROR(V236/V184,""),"")</f>
        <v>0.831460674157303</v>
      </c>
      <c r="W241" s="42" t="n">
        <f aca="false">IF(AND(ISNUMBER(W236),ISNUMBER(W184)),IFERROR(W236/W184,""),"")</f>
        <v>0.652892561983471</v>
      </c>
      <c r="X241" s="42" t="n">
        <f aca="false">IF(AND(ISNUMBER(X236),ISNUMBER(X184)),IFERROR(X236/X184,""),"")</f>
        <v>1.02985074626866</v>
      </c>
      <c r="Y241" s="30" t="str">
        <f aca="false">IFERROR(Y236/Y184,"")</f>
        <v/>
      </c>
      <c r="Z241" s="30" t="str">
        <f aca="false">IFERROR(Z236/Z184,"")</f>
        <v/>
      </c>
      <c r="AA241" s="30" t="n">
        <f aca="false">IFERROR(AA236/AA184,"")</f>
        <v>1.19162527488493</v>
      </c>
      <c r="AB241" s="30" t="n">
        <f aca="false">IFERROR(AB236/AB184,"")</f>
        <v>1.01337467068234</v>
      </c>
      <c r="AC241" s="30" t="n">
        <f aca="false">IFERROR(AC236/AC184,"")</f>
        <v>1.02750862590229</v>
      </c>
      <c r="AD241" s="30" t="n">
        <f aca="false">IFERROR(AD236/AD184,"")</f>
        <v>1.02960864783853</v>
      </c>
      <c r="AE241" s="30" t="n">
        <f aca="false">IFERROR(AE236/AE184,"")</f>
        <v>1.03421934769325</v>
      </c>
      <c r="AH241" s="44" t="n">
        <f aca="false">IFERROR(AVERAGE(AA241,AB241,AC241,AD241,AE241),"n/m")</f>
        <v>1.05926731340027</v>
      </c>
      <c r="AI241" s="44" t="n">
        <f aca="false">IFERROR(AVERAGE(G241,L241,Q241,V241),"n/m")</f>
        <v>-0.0867246572125381</v>
      </c>
    </row>
    <row r="242" customFormat="false" ht="15" hidden="false" customHeight="true" outlineLevel="0" collapsed="false">
      <c r="B242" s="11" t="s">
        <v>378</v>
      </c>
      <c r="C242" s="56" t="n">
        <f aca="false">IF(AND(ISNUMBER(C236),ISNUMBER(C135)),IFERROR(C236/C135,""),"")</f>
        <v>0.586206896551724</v>
      </c>
      <c r="D242" s="56" t="n">
        <f aca="false">IF(AND(ISNUMBER(D236),ISNUMBER(D135)),IFERROR(D236/D135,""),"")</f>
        <v>0.46551724137931</v>
      </c>
      <c r="E242" s="56" t="n">
        <f aca="false">IF(AND(ISNUMBER(E236),ISNUMBER(E135)),IFERROR(E236/E135,""),"")</f>
        <v>1.39655172413793</v>
      </c>
      <c r="F242" s="56" t="n">
        <f aca="false">IF(AND(ISNUMBER(F236),ISNUMBER(F135)),IFERROR(F236/F135,""),"")</f>
        <v>0.930434782608696</v>
      </c>
      <c r="G242" s="56" t="n">
        <f aca="false">IF(AND(ISNUMBER(G236),ISNUMBER(G135)),IFERROR(G236/G135,""),"")</f>
        <v>3.37068965517241</v>
      </c>
      <c r="H242" s="56" t="n">
        <f aca="false">IF(AND(ISNUMBER(H236),ISNUMBER(H135)),IFERROR(H236/H135,""),"")</f>
        <v>-1.20689655172414</v>
      </c>
      <c r="I242" s="56" t="n">
        <f aca="false">IF(AND(ISNUMBER(I236),ISNUMBER(I135)),IFERROR(I236/I135,""),"")</f>
        <v>0.0423728813559322</v>
      </c>
      <c r="J242" s="56" t="n">
        <f aca="false">IF(AND(ISNUMBER(J236),ISNUMBER(J135)),IFERROR(J236/J135,""),"")</f>
        <v>0.865546218487395</v>
      </c>
      <c r="K242" s="56" t="n">
        <f aca="false">IF(AND(ISNUMBER(K236),ISNUMBER(K135)),IFERROR(K236/K135,""),"")</f>
        <v>-6.48333333333333</v>
      </c>
      <c r="L242" s="56" t="n">
        <f aca="false">IF(AND(ISNUMBER(L236),ISNUMBER(L135)),IFERROR(L236/L135,""),"")</f>
        <v>-6.86440677966102</v>
      </c>
      <c r="M242" s="56" t="n">
        <f aca="false">IF(AND(ISNUMBER(M236),ISNUMBER(M135)),IFERROR(M236/M135,""),"")</f>
        <v>-1.28333333333333</v>
      </c>
      <c r="N242" s="56" t="n">
        <f aca="false">IF(AND(ISNUMBER(N236),ISNUMBER(N135)),IFERROR(N236/N135,""),"")</f>
        <v>0.216666666666667</v>
      </c>
      <c r="O242" s="56" t="n">
        <f aca="false">IF(AND(ISNUMBER(O236),ISNUMBER(O135)),IFERROR(O236/O135,""),"")</f>
        <v>1.175</v>
      </c>
      <c r="P242" s="56" t="n">
        <f aca="false">IF(AND(ISNUMBER(P236),ISNUMBER(P135)),IFERROR(P236/P135,""),"")</f>
        <v>0.675</v>
      </c>
      <c r="Q242" s="56" t="n">
        <f aca="false">IF(AND(ISNUMBER(Q236),ISNUMBER(Q135)),IFERROR(Q236/Q135,""),"")</f>
        <v>0.783333333333333</v>
      </c>
      <c r="R242" s="56" t="n">
        <f aca="false">IF(AND(ISNUMBER(R236),ISNUMBER(R135)),IFERROR(R236/R135,""),"")</f>
        <v>-0.416666666666667</v>
      </c>
      <c r="S242" s="56" t="n">
        <f aca="false">IF(AND(ISNUMBER(S236),ISNUMBER(S135)),IFERROR(S236/S135,""),"")</f>
        <v>0.470588235294118</v>
      </c>
      <c r="T242" s="56" t="n">
        <f aca="false">IF(AND(ISNUMBER(T236),ISNUMBER(T135)),IFERROR(T236/T135,""),"")</f>
        <v>1.84166666666667</v>
      </c>
      <c r="U242" s="56" t="n">
        <f aca="false">IF(AND(ISNUMBER(U236),ISNUMBER(U135)),IFERROR(U236/U135,""),"")</f>
        <v>1.20168067226891</v>
      </c>
      <c r="V242" s="56" t="n">
        <f aca="false">IF(AND(ISNUMBER(V236),ISNUMBER(V135)),IFERROR(V236/V135,""),"")</f>
        <v>3.10924369747899</v>
      </c>
      <c r="W242" s="56" t="n">
        <f aca="false">IF(AND(ISNUMBER(W236),ISNUMBER(W135)),IFERROR(W236/W135,""),"")</f>
        <v>0.663865546218487</v>
      </c>
      <c r="X242" s="56" t="n">
        <f aca="false">IF(AND(ISNUMBER(X236),ISNUMBER(X135)),IFERROR(X236/X135,""),"")</f>
        <v>1.75423728813559</v>
      </c>
      <c r="Y242" s="39" t="str">
        <f aca="false">IFERROR(Y236/Y135,"")</f>
        <v/>
      </c>
      <c r="Z242" s="39" t="str">
        <f aca="false">IFERROR(Z236/Z135,"")</f>
        <v/>
      </c>
      <c r="AA242" s="39" t="n">
        <f aca="false">IFERROR(AA236/AA135,"")</f>
        <v>6.81835601968375</v>
      </c>
      <c r="AB242" s="39" t="n">
        <f aca="false">IFERROR(AB236/AB135,"")</f>
        <v>6.68154104526576</v>
      </c>
      <c r="AC242" s="39" t="n">
        <f aca="false">IFERROR(AC236/AC135,"")</f>
        <v>8.16455749878409</v>
      </c>
      <c r="AD242" s="39" t="n">
        <f aca="false">IFERROR(AD236/AD135,"")</f>
        <v>9.66195774361138</v>
      </c>
      <c r="AE242" s="39" t="n">
        <f aca="false">IFERROR(AE236/AE135,"")</f>
        <v>11.0508137480046</v>
      </c>
    </row>
    <row r="243" customFormat="false" ht="15" hidden="false" customHeight="true" outlineLevel="0" collapsed="false">
      <c r="B243" s="55" t="s">
        <v>379</v>
      </c>
      <c r="Y243" s="32"/>
      <c r="Z243" s="32"/>
      <c r="AA243" s="32"/>
      <c r="AB243" s="32"/>
      <c r="AC243" s="32"/>
      <c r="AD243" s="32"/>
      <c r="AE243" s="32"/>
    </row>
    <row r="244" customFormat="false" ht="15" hidden="false" customHeight="true" outlineLevel="0" collapsed="false">
      <c r="B244" s="11" t="s">
        <v>380</v>
      </c>
      <c r="C244" s="42" t="n">
        <f aca="false">IFERROR(-N(C218)/C106,"")</f>
        <v>0.0649419218585005</v>
      </c>
      <c r="D244" s="42" t="n">
        <f aca="false">IFERROR(-N(D218)/D106,"")</f>
        <v>0.0581338544211041</v>
      </c>
      <c r="E244" s="42" t="n">
        <f aca="false">IFERROR(-N(E218)/E106,"")</f>
        <v>0.0575539568345324</v>
      </c>
      <c r="F244" s="42" t="n">
        <f aca="false">IFERROR(-N(F218)/F106,"")</f>
        <v>0.091206990715456</v>
      </c>
      <c r="G244" s="42" t="n">
        <f aca="false">IFERROR(-N(G218)/G106,"")</f>
        <v>0.067504534853589</v>
      </c>
      <c r="H244" s="42" t="n">
        <f aca="false">IFERROR(-N(H218)/H106,"")</f>
        <v>0.117461982170949</v>
      </c>
      <c r="I244" s="42" t="n">
        <f aca="false">IFERROR(-N(I218)/I106,"")</f>
        <v>0.0683359415753782</v>
      </c>
      <c r="J244" s="42" t="n">
        <f aca="false">IFERROR(-N(J218)/J106,"")</f>
        <v>0.0702020202020202</v>
      </c>
      <c r="K244" s="42" t="n">
        <f aca="false">IFERROR(-N(K218)/K106,"")</f>
        <v>0.535567010309278</v>
      </c>
      <c r="L244" s="42" t="n">
        <f aca="false">IFERROR(-N(L218)/L106,"")</f>
        <v>0.197959710743802</v>
      </c>
      <c r="M244" s="42" t="n">
        <f aca="false">IFERROR(-N(M218)/M106,"")</f>
        <v>0.151635282457879</v>
      </c>
      <c r="N244" s="42" t="n">
        <f aca="false">IFERROR(-N(N218)/N106,"")</f>
        <v>0.0913900913900914</v>
      </c>
      <c r="O244" s="42" t="n">
        <f aca="false">IFERROR(-N(O218)/O106,"")</f>
        <v>0.0618606916707258</v>
      </c>
      <c r="P244" s="42" t="n">
        <f aca="false">IFERROR(-N(P218)/P106,"")</f>
        <v>0.0864133263925039</v>
      </c>
      <c r="Q244" s="42" t="n">
        <f aca="false">IFERROR(-N(Q218)/Q106,"")</f>
        <v>0.0977452923686819</v>
      </c>
      <c r="R244" s="42" t="n">
        <f aca="false">IFERROR(-N(R218)/R106,"")</f>
        <v>0.101842374616172</v>
      </c>
      <c r="S244" s="42" t="n">
        <f aca="false">IFERROR(-N(S218)/S106,"")</f>
        <v>0.0942307692307692</v>
      </c>
      <c r="T244" s="42" t="n">
        <f aca="false">IFERROR(-N(T218)/T106,"")</f>
        <v>0.0738986262434865</v>
      </c>
      <c r="U244" s="42" t="n">
        <f aca="false">IFERROR(-N(U218)/U106,"")</f>
        <v>0.052710094480358</v>
      </c>
      <c r="V244" s="42" t="n">
        <f aca="false">IFERROR(-N(V218)/V106,"")</f>
        <v>0.0805443177638838</v>
      </c>
      <c r="W244" s="42" t="n">
        <f aca="false">IFERROR(-N(W218)/W106,"")</f>
        <v>0.0529580152671756</v>
      </c>
      <c r="X244" s="42" t="n">
        <f aca="false">IFERROR(-N(X218)/X106,"")</f>
        <v>0.053927813163482</v>
      </c>
      <c r="Y244" s="32"/>
      <c r="Z244" s="32"/>
      <c r="AA244" s="30" t="n">
        <f aca="false">IFERROR(-N(AA218)/AA106,"")</f>
        <v>0.0599087854131923</v>
      </c>
      <c r="AB244" s="29" t="n">
        <v>0.075</v>
      </c>
      <c r="AC244" s="29" t="n">
        <v>0.075</v>
      </c>
      <c r="AD244" s="29" t="n">
        <v>0.075</v>
      </c>
      <c r="AE244" s="29" t="n">
        <v>0.075</v>
      </c>
      <c r="AF244" s="20" t="s">
        <v>381</v>
      </c>
      <c r="AH244" s="44" t="n">
        <f aca="false">IFERROR(AVERAGE(AA244,AB244,AC244,AD244,AE244),"n/m")</f>
        <v>0.0719817570826385</v>
      </c>
      <c r="AI244" s="44" t="n">
        <f aca="false">IFERROR(AVERAGE(G244,L244,Q244,V244),"n/m")</f>
        <v>0.110938463932489</v>
      </c>
    </row>
    <row r="245" customFormat="false" ht="15" hidden="false" customHeight="true" outlineLevel="0" collapsed="false">
      <c r="B245" s="11" t="s">
        <v>382</v>
      </c>
      <c r="C245" s="42" t="n">
        <f aca="false">IFERROR(-(N(C218)+N(C219))/C106,"")</f>
        <v>0.0633579725448786</v>
      </c>
      <c r="D245" s="42" t="n">
        <f aca="false">IFERROR(-(N(D218)+N(D219))/D106,"")</f>
        <v>0.0561797752808989</v>
      </c>
      <c r="E245" s="42" t="n">
        <f aca="false">IFERROR(-(N(E218)+N(E219))/E106,"")</f>
        <v>0.0560123329907503</v>
      </c>
      <c r="F245" s="42" t="n">
        <f aca="false">IFERROR(-(N(F218)+N(F219))/F106,"")</f>
        <v>0.048607318405243</v>
      </c>
      <c r="G245" s="42" t="n">
        <f aca="false">IFERROR(-(N(G218)+N(G219))/G106,"")</f>
        <v>0.0561026172583571</v>
      </c>
      <c r="H245" s="42" t="n">
        <f aca="false">IFERROR(-(N(H218)+N(H219))/H106,"")</f>
        <v>0.11326691137913</v>
      </c>
      <c r="I245" s="42" t="n">
        <f aca="false">IFERROR(-(N(I218)+N(I219))/I106,"")</f>
        <v>0.0657276995305164</v>
      </c>
      <c r="J245" s="42" t="n">
        <f aca="false">IFERROR(-(N(J218)+N(J219))/J106,"")</f>
        <v>0.0671717171717172</v>
      </c>
      <c r="K245" s="42" t="n">
        <f aca="false">IFERROR(-(N(K218)+N(K219))/K106,"")</f>
        <v>0.530412371134021</v>
      </c>
      <c r="L245" s="42" t="n">
        <f aca="false">IFERROR(-(N(L218)+N(L219))/L106,"")</f>
        <v>0.194214876033058</v>
      </c>
      <c r="M245" s="42" t="n">
        <f aca="false">IFERROR(-(N(M218)+N(M219))/M106,"")</f>
        <v>0.14816650148662</v>
      </c>
      <c r="N245" s="42" t="n">
        <f aca="false">IFERROR(-(N(N218)+N(N219))/N106,"")</f>
        <v>0.0885040885040885</v>
      </c>
      <c r="O245" s="42" t="n">
        <f aca="false">IFERROR(-(N(O218)+N(O219))/O106,"")</f>
        <v>0.0599123234291281</v>
      </c>
      <c r="P245" s="42" t="n">
        <f aca="false">IFERROR(-(N(P218)+N(P219))/P106,"")</f>
        <v>0.0562207183758459</v>
      </c>
      <c r="Q245" s="42" t="n">
        <f aca="false">IFERROR(-(N(Q218)+N(Q219))/Q106,"")</f>
        <v>0.0884539147670961</v>
      </c>
      <c r="R245" s="42" t="n">
        <f aca="false">IFERROR(-(N(R218)+N(R219))/R106,"")</f>
        <v>0.0982599795291709</v>
      </c>
      <c r="S245" s="42" t="n">
        <f aca="false">IFERROR(-(N(S218)+N(S219))/S106,"")</f>
        <v>0.0918269230769231</v>
      </c>
      <c r="T245" s="42" t="n">
        <f aca="false">IFERROR(-(N(T218)+N(T219))/T106,"")</f>
        <v>0.0710563713879678</v>
      </c>
      <c r="U245" s="42" t="n">
        <f aca="false">IFERROR(-(N(U218)+N(U219))/U106,"")</f>
        <v>0.0412729985082049</v>
      </c>
      <c r="V245" s="42" t="n">
        <f aca="false">IFERROR(-(N(V218)+N(V219))/V106,"")</f>
        <v>0.0755179600343263</v>
      </c>
      <c r="W245" s="42" t="n">
        <f aca="false">IFERROR(-(N(W218)+N(W219))/W106,"")</f>
        <v>0.049618320610687</v>
      </c>
      <c r="X245" s="42" t="n">
        <f aca="false">IFERROR(-(N(X218)+N(X219))/X106,"")</f>
        <v>0.0428874734607219</v>
      </c>
      <c r="Y245" s="30" t="n">
        <f aca="false">IFERROR(-(N(Y218)+N(Y219))/Y106,"")</f>
        <v>-0</v>
      </c>
      <c r="Z245" s="30" t="n">
        <f aca="false">IFERROR(-(N(Z218)+N(Z219))/Z106,"")</f>
        <v>-0</v>
      </c>
      <c r="AA245" s="30" t="n">
        <f aca="false">IFERROR(-(N(AA218)+N(AA219))/AA106,"")</f>
        <v>0.0563142582884008</v>
      </c>
      <c r="AB245" s="30" t="n">
        <f aca="false">IFERROR(-(N(AB218)+N(AB219))/AB106,"")</f>
        <v>0.0707729528650693</v>
      </c>
      <c r="AC245" s="30" t="n">
        <f aca="false">IFERROR(-(N(AC218)+N(AC219))/AC106,"")</f>
        <v>0.071003895550687</v>
      </c>
      <c r="AD245" s="30" t="n">
        <f aca="false">IFERROR(-(N(AD218)+N(AD219))/AD106,"")</f>
        <v>0.0712125521476402</v>
      </c>
      <c r="AE245" s="30" t="n">
        <f aca="false">IFERROR(-(N(AE218)+N(AE219))/AE106,"")</f>
        <v>0.0714007855608334</v>
      </c>
    </row>
    <row r="246" customFormat="false" ht="15" hidden="false" customHeight="true" outlineLevel="0" collapsed="false">
      <c r="B246" s="11" t="s">
        <v>383</v>
      </c>
      <c r="C246" s="62" t="n">
        <f aca="false">IFERROR(-N(C218)/C115,"")</f>
        <v>1.30851063829787</v>
      </c>
      <c r="D246" s="62" t="n">
        <f aca="false">IFERROR(-N(D218)/D115,"")</f>
        <v>1.23958333333333</v>
      </c>
      <c r="E246" s="62" t="n">
        <f aca="false">IFERROR(-N(E218)/E115,"")</f>
        <v>1.13131313131313</v>
      </c>
      <c r="F246" s="62" t="n">
        <f aca="false">IFERROR(-N(F218)/F115,"")</f>
        <v>1.62135922330097</v>
      </c>
      <c r="G246" s="62" t="n">
        <f aca="false">IFERROR(-N(G218)/G115,"")</f>
        <v>1.32908163265306</v>
      </c>
      <c r="H246" s="62" t="n">
        <f aca="false">IFERROR(-N(H218)/H115,"")</f>
        <v>2.21782178217822</v>
      </c>
      <c r="I246" s="62" t="n">
        <f aca="false">IFERROR(-N(I218)/I115,"")</f>
        <v>1.22429906542056</v>
      </c>
      <c r="J246" s="62" t="n">
        <f aca="false">IFERROR(-N(J218)/J115,"")</f>
        <v>1.26363636363636</v>
      </c>
      <c r="K246" s="62" t="n">
        <f aca="false">IFERROR(-N(K218)/K115,"")</f>
        <v>9.1140350877193</v>
      </c>
      <c r="L246" s="62" t="n">
        <f aca="false">IFERROR(-N(L218)/L115,"")</f>
        <v>3.54861111111111</v>
      </c>
      <c r="M246" s="62" t="n">
        <f aca="false">IFERROR(-N(M218)/M115,"")</f>
        <v>2.61538461538462</v>
      </c>
      <c r="N246" s="62" t="n">
        <f aca="false">IFERROR(-N(N218)/N115,"")</f>
        <v>1.55737704918033</v>
      </c>
      <c r="O246" s="62" t="n">
        <f aca="false">IFERROR(-N(O218)/O115,"")</f>
        <v>1.00793650793651</v>
      </c>
      <c r="P246" s="62" t="n">
        <f aca="false">IFERROR(-N(P218)/P115,"")</f>
        <v>1.33870967741935</v>
      </c>
      <c r="Q246" s="62" t="n">
        <f aca="false">IFERROR(-N(Q218)/Q115,"")</f>
        <v>1.61020408163265</v>
      </c>
      <c r="R246" s="62" t="n">
        <f aca="false">IFERROR(-N(R218)/R115,"")</f>
        <v>1.61788617886179</v>
      </c>
      <c r="S246" s="62" t="n">
        <f aca="false">IFERROR(-N(S218)/S115,"")</f>
        <v>1.49618320610687</v>
      </c>
      <c r="T246" s="62" t="n">
        <f aca="false">IFERROR(-N(T218)/T115,"")</f>
        <v>1.16417910447761</v>
      </c>
      <c r="U246" s="62" t="n">
        <f aca="false">IFERROR(-N(U218)/U115,"")</f>
        <v>0.791044776119403</v>
      </c>
      <c r="V246" s="62" t="n">
        <f aca="false">IFERROR(-N(V218)/V115,"")</f>
        <v>1.26103646833013</v>
      </c>
      <c r="W246" s="62" t="n">
        <f aca="false">IFERROR(-N(W218)/W115,"")</f>
        <v>0.847328244274809</v>
      </c>
      <c r="X246" s="62" t="n">
        <f aca="false">IFERROR(-N(X218)/X115,"")</f>
        <v>0.947761194029851</v>
      </c>
      <c r="Y246" s="63" t="n">
        <f aca="false">IFERROR(-N(Y218)/Y115,"")</f>
        <v>-0</v>
      </c>
      <c r="Z246" s="63" t="n">
        <f aca="false">IFERROR(-N(Z218)/Z115,"")</f>
        <v>-0</v>
      </c>
      <c r="AA246" s="63" t="n">
        <f aca="false">IFERROR(-N(AA218)/AA115,"")</f>
        <v>1.01204861041524</v>
      </c>
      <c r="AB246" s="63" t="n">
        <f aca="false">IFERROR(-N(AB218)/AB115,"")</f>
        <v>1.20494348517242</v>
      </c>
      <c r="AC246" s="63" t="n">
        <f aca="false">IFERROR(-N(AC218)/AC115,"")</f>
        <v>1.23031855513183</v>
      </c>
      <c r="AD246" s="63" t="n">
        <f aca="false">IFERROR(-N(AD218)/AD115,"")</f>
        <v>1.24821257639264</v>
      </c>
      <c r="AE246" s="63" t="n">
        <f aca="false">IFERROR(-N(AE218)/AE115,"")</f>
        <v>1.24609505699893</v>
      </c>
    </row>
    <row r="247" customFormat="false" ht="15" hidden="false" customHeight="true" outlineLevel="0" collapsed="false">
      <c r="B247" s="11"/>
    </row>
    <row r="248" customFormat="false" ht="15" hidden="false" customHeight="true" outlineLevel="0" collapsed="false">
      <c r="B248" s="10" t="s">
        <v>384</v>
      </c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 t="s">
        <v>385</v>
      </c>
    </row>
    <row r="249" customFormat="false" ht="15" hidden="false" customHeight="true" outlineLevel="0" collapsed="false">
      <c r="B249" s="11" t="s">
        <v>386</v>
      </c>
      <c r="Y249" s="32"/>
      <c r="Z249" s="32"/>
      <c r="AA249" s="39" t="n">
        <f aca="false">AA365</f>
        <v>180</v>
      </c>
      <c r="AB249" s="39" t="n">
        <f aca="false">AA249*(1+AB313)</f>
        <v>194.4</v>
      </c>
      <c r="AC249" s="39" t="n">
        <f aca="false">AB249*(1+AC313)</f>
        <v>209.952</v>
      </c>
      <c r="AD249" s="39" t="n">
        <f aca="false">AC249*(1+AD313)</f>
        <v>226.74816</v>
      </c>
      <c r="AE249" s="39" t="n">
        <f aca="false">AD249*(1+AE313)</f>
        <v>244.8880128</v>
      </c>
      <c r="AF249" s="20" t="s">
        <v>387</v>
      </c>
    </row>
    <row r="250" customFormat="false" ht="15" hidden="false" customHeight="true" outlineLevel="0" collapsed="false">
      <c r="B250" s="11" t="s">
        <v>388</v>
      </c>
      <c r="Y250" s="32"/>
      <c r="Z250" s="32"/>
      <c r="AA250" s="43" t="n">
        <f aca="false">CHOOSE(MATCH($AF$2,{"Bull","Base","Bear"},0),$AM$17,$AN$17,$AO$17)</f>
        <v>100</v>
      </c>
      <c r="AB250" s="43" t="n">
        <f aca="false">-AB224</f>
        <v>422.292866182936</v>
      </c>
      <c r="AC250" s="43" t="n">
        <f aca="false">-AC224</f>
        <v>1127.54839102243</v>
      </c>
      <c r="AD250" s="43" t="n">
        <f aca="false">-AD224</f>
        <v>1265.68500449118</v>
      </c>
      <c r="AE250" s="43" t="n">
        <f aca="false">-AE224</f>
        <v>1320.42441461756</v>
      </c>
    </row>
    <row r="251" customFormat="false" ht="15" hidden="false" customHeight="true" outlineLevel="0" collapsed="false">
      <c r="B251" s="11" t="s">
        <v>389</v>
      </c>
      <c r="Y251" s="32"/>
      <c r="Z251" s="32"/>
      <c r="AA251" s="41" t="n">
        <f aca="false">IFERROR(AA250/AA249,0)</f>
        <v>0.555555555555556</v>
      </c>
      <c r="AB251" s="41" t="n">
        <f aca="false">IFERROR(AB250/AB249,0)</f>
        <v>2.17228840629082</v>
      </c>
      <c r="AC251" s="41" t="n">
        <f aca="false">IFERROR(AC250/AC249,0)</f>
        <v>5.37050559662413</v>
      </c>
      <c r="AD251" s="41" t="n">
        <f aca="false">IFERROR(AD250/AD249,0)</f>
        <v>5.58189757522699</v>
      </c>
      <c r="AE251" s="41" t="n">
        <f aca="false">IFERROR(AE250/AE249,0)</f>
        <v>5.39195201725104</v>
      </c>
    </row>
    <row r="252" customFormat="false" ht="15" hidden="false" customHeight="true" outlineLevel="0" collapsed="false">
      <c r="B252" s="11" t="s">
        <v>390</v>
      </c>
      <c r="Y252" s="32"/>
      <c r="Z252" s="32"/>
      <c r="AA252" s="64" t="n">
        <v>0.2</v>
      </c>
      <c r="AB252" s="64" t="n">
        <v>0.8</v>
      </c>
      <c r="AC252" s="64" t="n">
        <v>0.8</v>
      </c>
      <c r="AD252" s="64" t="n">
        <v>0.8</v>
      </c>
      <c r="AE252" s="64" t="n">
        <v>0.8</v>
      </c>
      <c r="AF252" s="20" t="s">
        <v>391</v>
      </c>
    </row>
    <row r="253" customFormat="false" ht="15" hidden="false" customHeight="true" outlineLevel="0" collapsed="false">
      <c r="B253" s="11" t="s">
        <v>392</v>
      </c>
      <c r="Y253" s="32"/>
      <c r="Z253" s="32"/>
      <c r="AA253" s="41" t="n">
        <f aca="false">X296</f>
        <v>117.086465</v>
      </c>
      <c r="AB253" s="41" t="n">
        <f aca="false">AA254</f>
        <v>116.730909444444</v>
      </c>
      <c r="AC253" s="41" t="n">
        <f aca="false">AB254</f>
        <v>115.358621038154</v>
      </c>
      <c r="AD253" s="41" t="n">
        <f aca="false">AC254</f>
        <v>110.78811544153</v>
      </c>
      <c r="AE253" s="41" t="n">
        <f aca="false">AD254</f>
        <v>106.006217866303</v>
      </c>
      <c r="AF253" s="20" t="s">
        <v>393</v>
      </c>
    </row>
    <row r="254" customFormat="false" ht="15" hidden="false" customHeight="true" outlineLevel="0" collapsed="false">
      <c r="B254" s="11" t="s">
        <v>394</v>
      </c>
      <c r="Y254" s="32"/>
      <c r="Z254" s="32"/>
      <c r="AA254" s="41" t="n">
        <f aca="false">AA253-AA251+AA252</f>
        <v>116.730909444444</v>
      </c>
      <c r="AB254" s="41" t="n">
        <f aca="false">AB253-AB251+AB252</f>
        <v>115.358621038154</v>
      </c>
      <c r="AC254" s="41" t="n">
        <f aca="false">AC253-AC251+AC252</f>
        <v>110.78811544153</v>
      </c>
      <c r="AD254" s="41" t="n">
        <f aca="false">AD253-AD251+AD252</f>
        <v>106.006217866303</v>
      </c>
      <c r="AE254" s="41" t="n">
        <f aca="false">AE253-AE251+AE252</f>
        <v>101.414265849051</v>
      </c>
    </row>
    <row r="255" customFormat="false" ht="15" hidden="false" customHeight="true" outlineLevel="0" collapsed="false">
      <c r="B255" s="11" t="s">
        <v>395</v>
      </c>
      <c r="Y255" s="32"/>
      <c r="Z255" s="32"/>
      <c r="AA255" s="30" t="n">
        <f aca="false">IFERROR(AA251/AA253,"")</f>
        <v>0.00474483157003293</v>
      </c>
      <c r="AB255" s="30" t="n">
        <f aca="false">IFERROR(AB251/AB253,"")</f>
        <v>0.0186093676184771</v>
      </c>
      <c r="AC255" s="30" t="n">
        <f aca="false">IFERROR(AC251/AC253,"")</f>
        <v>0.0465548699203668</v>
      </c>
      <c r="AD255" s="30" t="n">
        <f aca="false">IFERROR(AD251/AD253,"")</f>
        <v>0.0503835411675807</v>
      </c>
      <c r="AE255" s="30" t="n">
        <f aca="false">IFERROR(AE251/AE253,"")</f>
        <v>0.0508644881949425</v>
      </c>
    </row>
    <row r="256" customFormat="false" ht="15" hidden="false" customHeight="true" outlineLevel="0" collapsed="false">
      <c r="B256" s="11" t="s">
        <v>396</v>
      </c>
      <c r="Y256" s="32"/>
      <c r="Z256" s="32"/>
      <c r="AA256" s="41" t="n">
        <f aca="false">AA251</f>
        <v>0.555555555555556</v>
      </c>
      <c r="AB256" s="41" t="n">
        <f aca="false">AA256+AB251</f>
        <v>2.72784396184638</v>
      </c>
      <c r="AC256" s="41" t="n">
        <f aca="false">AB256+AC251</f>
        <v>8.09834955847051</v>
      </c>
      <c r="AD256" s="41" t="n">
        <f aca="false">AC256+AD251</f>
        <v>13.6802471336975</v>
      </c>
      <c r="AE256" s="41" t="n">
        <f aca="false">AD256+AE251</f>
        <v>19.0721991509485</v>
      </c>
    </row>
    <row r="257" customFormat="false" ht="15" hidden="false" customHeight="true" outlineLevel="0" collapsed="false">
      <c r="B257" s="11"/>
    </row>
    <row r="258" customFormat="false" ht="15" hidden="false" customHeight="true" outlineLevel="0" collapsed="false">
      <c r="B258" s="10" t="s">
        <v>397</v>
      </c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 t="s">
        <v>398</v>
      </c>
    </row>
    <row r="259" customFormat="false" ht="15" hidden="false" customHeight="true" outlineLevel="0" collapsed="false">
      <c r="B259" s="55" t="s">
        <v>399</v>
      </c>
      <c r="Y259" s="32"/>
      <c r="Z259" s="32"/>
      <c r="AA259" s="32"/>
      <c r="AB259" s="32"/>
      <c r="AC259" s="32"/>
      <c r="AD259" s="32"/>
      <c r="AE259" s="32"/>
    </row>
    <row r="260" customFormat="false" ht="15" hidden="false" customHeight="true" outlineLevel="0" collapsed="false">
      <c r="B260" s="11" t="s">
        <v>400</v>
      </c>
      <c r="F260" s="33" t="n">
        <v>460</v>
      </c>
      <c r="G260" s="33" t="n">
        <v>460</v>
      </c>
      <c r="H260" s="33" t="n">
        <v>309</v>
      </c>
      <c r="I260" s="33" t="n">
        <v>290</v>
      </c>
      <c r="J260" s="33" t="n">
        <v>355</v>
      </c>
      <c r="K260" s="33" t="n">
        <v>412</v>
      </c>
      <c r="L260" s="33" t="n">
        <v>412</v>
      </c>
      <c r="M260" s="33" t="n">
        <v>229</v>
      </c>
      <c r="N260" s="33" t="n">
        <v>250</v>
      </c>
      <c r="O260" s="33" t="n">
        <v>378</v>
      </c>
      <c r="P260" s="33" t="n">
        <v>246</v>
      </c>
      <c r="Q260" s="33" t="n">
        <v>246</v>
      </c>
      <c r="R260" s="33" t="n">
        <v>212</v>
      </c>
      <c r="S260" s="33" t="n">
        <v>225</v>
      </c>
      <c r="T260" s="33" t="n">
        <v>335</v>
      </c>
      <c r="U260" s="33" t="n">
        <v>310</v>
      </c>
      <c r="V260" s="33" t="n">
        <v>310</v>
      </c>
      <c r="W260" s="33" t="n">
        <v>237</v>
      </c>
      <c r="X260" s="33" t="n">
        <v>298</v>
      </c>
      <c r="Y260" s="32"/>
      <c r="Z260" s="32"/>
      <c r="AA260" s="43" t="n">
        <f aca="false">AA232-AA295</f>
        <v>284</v>
      </c>
      <c r="AB260" s="43" t="n">
        <f aca="false">AB232-AB295</f>
        <v>284</v>
      </c>
      <c r="AC260" s="43" t="n">
        <f aca="false">AC232-AC295</f>
        <v>284</v>
      </c>
      <c r="AD260" s="43" t="n">
        <f aca="false">AD232-AD295</f>
        <v>284</v>
      </c>
      <c r="AE260" s="43" t="n">
        <f aca="false">AE232-AE295</f>
        <v>284</v>
      </c>
    </row>
    <row r="261" customFormat="false" ht="15" hidden="false" customHeight="true" outlineLevel="0" collapsed="false">
      <c r="B261" s="11" t="s">
        <v>401</v>
      </c>
      <c r="F261" s="33" t="n">
        <v>954</v>
      </c>
      <c r="G261" s="33" t="n">
        <v>954</v>
      </c>
      <c r="H261" s="33" t="n">
        <v>1019</v>
      </c>
      <c r="I261" s="33" t="n">
        <v>1008</v>
      </c>
      <c r="J261" s="33" t="n">
        <v>1059</v>
      </c>
      <c r="K261" s="33" t="n">
        <v>973</v>
      </c>
      <c r="L261" s="33" t="n">
        <v>973</v>
      </c>
      <c r="M261" s="33" t="n">
        <v>1077</v>
      </c>
      <c r="N261" s="33" t="n">
        <v>1088</v>
      </c>
      <c r="O261" s="33" t="n">
        <v>1064</v>
      </c>
      <c r="P261" s="33" t="n">
        <v>977</v>
      </c>
      <c r="Q261" s="33" t="n">
        <v>977</v>
      </c>
      <c r="R261" s="33" t="n">
        <v>1083</v>
      </c>
      <c r="S261" s="33" t="n">
        <v>1132</v>
      </c>
      <c r="T261" s="33" t="n">
        <v>1103</v>
      </c>
      <c r="U261" s="33" t="n">
        <v>1035</v>
      </c>
      <c r="V261" s="33" t="n">
        <v>1035</v>
      </c>
      <c r="W261" s="33" t="n">
        <v>1163</v>
      </c>
      <c r="X261" s="33" t="n">
        <v>1267</v>
      </c>
      <c r="Y261" s="32"/>
      <c r="Z261" s="32"/>
      <c r="AA261" s="43" t="n">
        <f aca="false">AA299*AA301/365</f>
        <v>1157.01007815603</v>
      </c>
      <c r="AB261" s="43" t="n">
        <f aca="false">AB299*AB301/365</f>
        <v>1192.58095060101</v>
      </c>
      <c r="AC261" s="43" t="n">
        <f aca="false">AC299*AC301/365</f>
        <v>1261.50253436885</v>
      </c>
      <c r="AD261" s="43" t="n">
        <f aca="false">AD299*AD301/365</f>
        <v>1331.00073899897</v>
      </c>
      <c r="AE261" s="43" t="n">
        <f aca="false">AE299*AE301/365</f>
        <v>1400.61004300101</v>
      </c>
      <c r="AF261" s="20" t="s">
        <v>402</v>
      </c>
    </row>
    <row r="262" customFormat="false" ht="15" hidden="false" customHeight="true" outlineLevel="0" collapsed="false">
      <c r="B262" s="11" t="s">
        <v>403</v>
      </c>
      <c r="C262" s="50" t="str">
        <f aca="false">IF(ISNUMBER(C292),C292-C260-C261,"")</f>
        <v/>
      </c>
      <c r="D262" s="50" t="str">
        <f aca="false">IF(ISNUMBER(D292),D292-D260-D261,"")</f>
        <v/>
      </c>
      <c r="E262" s="50" t="str">
        <f aca="false">IF(ISNUMBER(E292),E292-E260-E261,"")</f>
        <v/>
      </c>
      <c r="F262" s="50" t="n">
        <f aca="false">IF(ISNUMBER(F292),F292-F260-F261,"")</f>
        <v>216</v>
      </c>
      <c r="G262" s="50" t="n">
        <f aca="false">IF(ISNUMBER(G292),G292-G260-G261,"")</f>
        <v>216</v>
      </c>
      <c r="H262" s="50" t="n">
        <f aca="false">IF(ISNUMBER(H292),H292-H260-H261,"")</f>
        <v>237</v>
      </c>
      <c r="I262" s="50" t="n">
        <f aca="false">IF(ISNUMBER(I292),I292-I260-I261,"")</f>
        <v>224</v>
      </c>
      <c r="J262" s="50" t="n">
        <f aca="false">IF(ISNUMBER(J292),J292-J260-J261,"")</f>
        <v>199</v>
      </c>
      <c r="K262" s="50" t="n">
        <f aca="false">IF(ISNUMBER(K292),K292-K260-K261,"")</f>
        <v>208</v>
      </c>
      <c r="L262" s="50" t="n">
        <f aca="false">IF(ISNUMBER(L292),L292-L260-L261,"")</f>
        <v>208</v>
      </c>
      <c r="M262" s="50" t="n">
        <f aca="false">IF(ISNUMBER(M292),M292-M260-M261,"")</f>
        <v>222</v>
      </c>
      <c r="N262" s="50" t="n">
        <f aca="false">IF(ISNUMBER(N292),N292-N260-N261,"")</f>
        <v>210</v>
      </c>
      <c r="O262" s="50" t="n">
        <f aca="false">IF(ISNUMBER(O292),O292-O260-O261,"")</f>
        <v>212</v>
      </c>
      <c r="P262" s="50" t="n">
        <f aca="false">IF(ISNUMBER(P292),P292-P260-P261,"")</f>
        <v>282</v>
      </c>
      <c r="Q262" s="50" t="n">
        <f aca="false">IF(ISNUMBER(Q292),Q292-Q260-Q261,"")</f>
        <v>282</v>
      </c>
      <c r="R262" s="50" t="n">
        <f aca="false">IF(ISNUMBER(R292),R292-R260-R261,"")</f>
        <v>285</v>
      </c>
      <c r="S262" s="50" t="n">
        <f aca="false">IF(ISNUMBER(S292),S292-S260-S261,"")</f>
        <v>266</v>
      </c>
      <c r="T262" s="50" t="n">
        <f aca="false">IF(ISNUMBER(T292),T292-T260-T261,"")</f>
        <v>261</v>
      </c>
      <c r="U262" s="50" t="n">
        <f aca="false">IF(ISNUMBER(U292),U292-U260-U261,"")</f>
        <v>285</v>
      </c>
      <c r="V262" s="50" t="n">
        <f aca="false">IF(ISNUMBER(V292),V292-V260-V261,"")</f>
        <v>285</v>
      </c>
      <c r="W262" s="50" t="n">
        <f aca="false">IF(ISNUMBER(W292),W292-W260-W261,"")</f>
        <v>275</v>
      </c>
      <c r="X262" s="50" t="n">
        <f aca="false">IF(ISNUMBER(X292),X292-X260-X261,"")</f>
        <v>249</v>
      </c>
      <c r="Y262" s="32"/>
      <c r="Z262" s="32"/>
      <c r="AA262" s="43" t="n">
        <f aca="false">X262</f>
        <v>249</v>
      </c>
      <c r="AB262" s="43" t="n">
        <f aca="false">AA262</f>
        <v>249</v>
      </c>
      <c r="AC262" s="43" t="n">
        <f aca="false">AB262</f>
        <v>249</v>
      </c>
      <c r="AD262" s="43" t="n">
        <f aca="false">AC262</f>
        <v>249</v>
      </c>
      <c r="AE262" s="43" t="n">
        <f aca="false">AD262</f>
        <v>249</v>
      </c>
    </row>
    <row r="263" customFormat="false" ht="15" hidden="false" customHeight="true" outlineLevel="0" collapsed="false">
      <c r="B263" s="22" t="s">
        <v>404</v>
      </c>
      <c r="C263" s="54" t="str">
        <f aca="false">IF(ISNUMBER(C260),SUM(C260:C262),"")</f>
        <v/>
      </c>
      <c r="D263" s="54" t="str">
        <f aca="false">IF(ISNUMBER(D260),SUM(D260:D262),"")</f>
        <v/>
      </c>
      <c r="E263" s="54" t="str">
        <f aca="false">IF(ISNUMBER(E260),SUM(E260:E262),"")</f>
        <v/>
      </c>
      <c r="F263" s="54" t="n">
        <f aca="false">IF(ISNUMBER(F260),SUM(F260:F262),"")</f>
        <v>1630</v>
      </c>
      <c r="G263" s="54" t="n">
        <f aca="false">IF(ISNUMBER(G260),SUM(G260:G262),"")</f>
        <v>1630</v>
      </c>
      <c r="H263" s="54" t="n">
        <f aca="false">IF(ISNUMBER(H260),SUM(H260:H262),"")</f>
        <v>1565</v>
      </c>
      <c r="I263" s="54" t="n">
        <f aca="false">IF(ISNUMBER(I260),SUM(I260:I262),"")</f>
        <v>1522</v>
      </c>
      <c r="J263" s="54" t="n">
        <f aca="false">IF(ISNUMBER(J260),SUM(J260:J262),"")</f>
        <v>1613</v>
      </c>
      <c r="K263" s="54" t="n">
        <f aca="false">IF(ISNUMBER(K260),SUM(K260:K262),"")</f>
        <v>1593</v>
      </c>
      <c r="L263" s="54" t="n">
        <f aca="false">IF(ISNUMBER(L260),SUM(L260:L262),"")</f>
        <v>1593</v>
      </c>
      <c r="M263" s="54" t="n">
        <f aca="false">IF(ISNUMBER(M260),SUM(M260:M262),"")</f>
        <v>1528</v>
      </c>
      <c r="N263" s="54" t="n">
        <f aca="false">IF(ISNUMBER(N260),SUM(N260:N262),"")</f>
        <v>1548</v>
      </c>
      <c r="O263" s="54" t="n">
        <f aca="false">IF(ISNUMBER(O260),SUM(O260:O262),"")</f>
        <v>1654</v>
      </c>
      <c r="P263" s="54" t="n">
        <f aca="false">IF(ISNUMBER(P260),SUM(P260:P262),"")</f>
        <v>1505</v>
      </c>
      <c r="Q263" s="54" t="n">
        <f aca="false">IF(ISNUMBER(Q260),SUM(Q260:Q262),"")</f>
        <v>1505</v>
      </c>
      <c r="R263" s="54" t="n">
        <f aca="false">IF(ISNUMBER(R260),SUM(R260:R262),"")</f>
        <v>1580</v>
      </c>
      <c r="S263" s="54" t="n">
        <f aca="false">IF(ISNUMBER(S260),SUM(S260:S262),"")</f>
        <v>1623</v>
      </c>
      <c r="T263" s="54" t="n">
        <f aca="false">IF(ISNUMBER(T260),SUM(T260:T262),"")</f>
        <v>1699</v>
      </c>
      <c r="U263" s="54" t="n">
        <f aca="false">IF(ISNUMBER(U260),SUM(U260:U262),"")</f>
        <v>1630</v>
      </c>
      <c r="V263" s="54" t="n">
        <f aca="false">IF(ISNUMBER(V260),SUM(V260:V262),"")</f>
        <v>1630</v>
      </c>
      <c r="W263" s="54" t="n">
        <f aca="false">IF(ISNUMBER(W260),SUM(W260:W262),"")</f>
        <v>1675</v>
      </c>
      <c r="X263" s="54" t="n">
        <f aca="false">IF(ISNUMBER(X260),SUM(X260:X262),"")</f>
        <v>1814</v>
      </c>
      <c r="Y263" s="24" t="str">
        <f aca="false">IF(ISNUMBER(Y260),SUM(Y260:Y262),"")</f>
        <v/>
      </c>
      <c r="Z263" s="24" t="str">
        <f aca="false">IF(ISNUMBER(Z260),SUM(Z260:Z262),"")</f>
        <v/>
      </c>
      <c r="AA263" s="24" t="n">
        <f aca="false">IF(ISNUMBER(AA260),SUM(AA260:AA262),"")</f>
        <v>1690.01007815603</v>
      </c>
      <c r="AB263" s="24" t="n">
        <f aca="false">IF(ISNUMBER(AB260),SUM(AB260:AB262),"")</f>
        <v>1725.58095060101</v>
      </c>
      <c r="AC263" s="24" t="n">
        <f aca="false">IF(ISNUMBER(AC260),SUM(AC260:AC262),"")</f>
        <v>1794.50253436885</v>
      </c>
      <c r="AD263" s="24" t="n">
        <f aca="false">IF(ISNUMBER(AD260),SUM(AD260:AD262),"")</f>
        <v>1864.00073899897</v>
      </c>
      <c r="AE263" s="24" t="n">
        <f aca="false">IF(ISNUMBER(AE260),SUM(AE260:AE262),"")</f>
        <v>1933.61004300101</v>
      </c>
    </row>
    <row r="264" customFormat="false" ht="15" hidden="false" customHeight="true" outlineLevel="0" collapsed="false">
      <c r="B264" s="11" t="s">
        <v>405</v>
      </c>
      <c r="F264" s="33" t="n">
        <v>1832</v>
      </c>
      <c r="G264" s="33" t="n">
        <v>1832</v>
      </c>
      <c r="H264" s="33" t="n">
        <v>1978</v>
      </c>
      <c r="I264" s="33" t="n">
        <v>2037</v>
      </c>
      <c r="J264" s="33" t="n">
        <v>2072</v>
      </c>
      <c r="K264" s="33" t="n">
        <v>3075</v>
      </c>
      <c r="L264" s="33" t="n">
        <v>3075</v>
      </c>
      <c r="M264" s="33" t="n">
        <v>3257</v>
      </c>
      <c r="N264" s="33" t="n">
        <v>3305</v>
      </c>
      <c r="O264" s="33" t="n">
        <v>3357</v>
      </c>
      <c r="P264" s="33" t="n">
        <v>3402</v>
      </c>
      <c r="Q264" s="33" t="n">
        <v>3402</v>
      </c>
      <c r="R264" s="33" t="n">
        <v>3539</v>
      </c>
      <c r="S264" s="33" t="n">
        <v>3646</v>
      </c>
      <c r="T264" s="33" t="n">
        <v>3642</v>
      </c>
      <c r="U264" s="33" t="n">
        <v>3664</v>
      </c>
      <c r="V264" s="33" t="n">
        <v>3664</v>
      </c>
      <c r="W264" s="33" t="n">
        <v>3652</v>
      </c>
      <c r="X264" s="33" t="n">
        <v>3658</v>
      </c>
      <c r="Y264" s="32"/>
      <c r="Z264" s="32"/>
      <c r="AA264" s="43" t="n">
        <f aca="false">X264-(AA218-(W218+X218))-(AA219-(W219+X219))-((Y115+Z115)-(Y99+Z99))</f>
        <v>3720.54784331522</v>
      </c>
      <c r="AB264" s="43" t="n">
        <f aca="false">AA264-AB218-AB219-(AB115-AB99)</f>
        <v>3860.26016519307</v>
      </c>
      <c r="AC264" s="43" t="n">
        <f aca="false">AB264-AC218-AC219-(AC115-AC99)</f>
        <v>4006.79881506053</v>
      </c>
      <c r="AD264" s="43" t="n">
        <f aca="false">AC264-AD218-AD219-(AD115-AD99)</f>
        <v>4160.30942789561</v>
      </c>
      <c r="AE264" s="43" t="n">
        <f aca="false">AD264-AE218-AE219-(AE115-AE99)</f>
        <v>4320.92285236234</v>
      </c>
      <c r="AF264" s="20" t="s">
        <v>406</v>
      </c>
    </row>
    <row r="265" customFormat="false" ht="15" hidden="false" customHeight="true" outlineLevel="0" collapsed="false">
      <c r="B265" s="11" t="s">
        <v>407</v>
      </c>
      <c r="F265" s="33" t="n">
        <v>719</v>
      </c>
      <c r="G265" s="33" t="n">
        <v>719</v>
      </c>
      <c r="H265" s="33" t="n">
        <v>717</v>
      </c>
      <c r="I265" s="33" t="n">
        <v>704</v>
      </c>
      <c r="J265" s="33" t="n">
        <v>695</v>
      </c>
      <c r="K265" s="33" t="n">
        <v>708</v>
      </c>
      <c r="L265" s="33" t="n">
        <v>708</v>
      </c>
      <c r="M265" s="33" t="n">
        <v>727</v>
      </c>
      <c r="N265" s="33" t="n">
        <v>742</v>
      </c>
      <c r="O265" s="33" t="n">
        <v>750</v>
      </c>
      <c r="P265" s="33" t="n">
        <v>727</v>
      </c>
      <c r="Q265" s="33" t="n">
        <v>727</v>
      </c>
      <c r="R265" s="33" t="n">
        <v>709</v>
      </c>
      <c r="S265" s="33" t="n">
        <v>756</v>
      </c>
      <c r="T265" s="33" t="n">
        <v>762</v>
      </c>
      <c r="U265" s="33" t="n">
        <v>777</v>
      </c>
      <c r="V265" s="33" t="n">
        <v>777</v>
      </c>
      <c r="W265" s="33" t="n">
        <v>758</v>
      </c>
      <c r="X265" s="33" t="n">
        <v>782</v>
      </c>
      <c r="Y265" s="32"/>
      <c r="Z265" s="32"/>
      <c r="AA265" s="43" t="n">
        <f aca="false">X265</f>
        <v>782</v>
      </c>
      <c r="AB265" s="43" t="n">
        <f aca="false">AA265</f>
        <v>782</v>
      </c>
      <c r="AC265" s="43" t="n">
        <f aca="false">AB265</f>
        <v>782</v>
      </c>
      <c r="AD265" s="43" t="n">
        <f aca="false">AC265</f>
        <v>782</v>
      </c>
      <c r="AE265" s="43" t="n">
        <f aca="false">AD265</f>
        <v>782</v>
      </c>
    </row>
    <row r="266" customFormat="false" ht="15" hidden="false" customHeight="true" outlineLevel="0" collapsed="false">
      <c r="B266" s="11" t="s">
        <v>408</v>
      </c>
      <c r="F266" s="33" t="n">
        <v>1472</v>
      </c>
      <c r="G266" s="33" t="n">
        <v>1472</v>
      </c>
      <c r="H266" s="33" t="n">
        <v>1483</v>
      </c>
      <c r="I266" s="33" t="n">
        <v>1493</v>
      </c>
      <c r="J266" s="33" t="n">
        <v>1465</v>
      </c>
      <c r="K266" s="33" t="n">
        <v>1498</v>
      </c>
      <c r="L266" s="33" t="n">
        <v>1498</v>
      </c>
      <c r="M266" s="33" t="n">
        <v>1484</v>
      </c>
      <c r="N266" s="33" t="n">
        <v>1481</v>
      </c>
      <c r="O266" s="33" t="n">
        <v>1516</v>
      </c>
      <c r="P266" s="33" t="n">
        <v>1461</v>
      </c>
      <c r="Q266" s="33" t="n">
        <v>1461</v>
      </c>
      <c r="R266" s="33" t="n">
        <v>1491</v>
      </c>
      <c r="S266" s="33" t="n">
        <v>1553</v>
      </c>
      <c r="T266" s="33" t="n">
        <v>1546</v>
      </c>
      <c r="U266" s="33" t="n">
        <v>1547</v>
      </c>
      <c r="V266" s="33" t="n">
        <v>1547</v>
      </c>
      <c r="W266" s="33" t="n">
        <v>1532</v>
      </c>
      <c r="X266" s="33" t="n">
        <v>1528</v>
      </c>
      <c r="Y266" s="32"/>
      <c r="Z266" s="32"/>
      <c r="AA266" s="43" t="n">
        <f aca="false">X266</f>
        <v>1528</v>
      </c>
      <c r="AB266" s="43" t="n">
        <f aca="false">AA266</f>
        <v>1528</v>
      </c>
      <c r="AC266" s="43" t="n">
        <f aca="false">AB266</f>
        <v>1528</v>
      </c>
      <c r="AD266" s="43" t="n">
        <f aca="false">AC266</f>
        <v>1528</v>
      </c>
      <c r="AE266" s="43" t="n">
        <f aca="false">AD266</f>
        <v>1528</v>
      </c>
      <c r="AF266" s="20" t="s">
        <v>409</v>
      </c>
    </row>
    <row r="267" customFormat="false" ht="15" hidden="false" customHeight="true" outlineLevel="0" collapsed="false">
      <c r="B267" s="11" t="s">
        <v>410</v>
      </c>
      <c r="F267" s="33" t="n">
        <v>407</v>
      </c>
      <c r="G267" s="33" t="n">
        <v>407</v>
      </c>
      <c r="H267" s="33" t="n">
        <v>396</v>
      </c>
      <c r="I267" s="33" t="n">
        <v>383</v>
      </c>
      <c r="J267" s="33" t="n">
        <v>366</v>
      </c>
      <c r="K267" s="33" t="n">
        <v>422</v>
      </c>
      <c r="L267" s="33" t="n">
        <v>422</v>
      </c>
      <c r="M267" s="33" t="n">
        <v>406</v>
      </c>
      <c r="N267" s="33" t="n">
        <v>392</v>
      </c>
      <c r="O267" s="33" t="n">
        <v>381</v>
      </c>
      <c r="P267" s="33" t="n">
        <v>361</v>
      </c>
      <c r="Q267" s="33" t="n">
        <v>361</v>
      </c>
      <c r="R267" s="33" t="n">
        <v>350</v>
      </c>
      <c r="S267" s="33" t="n">
        <v>340</v>
      </c>
      <c r="T267" s="33" t="n">
        <v>325</v>
      </c>
      <c r="U267" s="33" t="n">
        <v>311</v>
      </c>
      <c r="V267" s="33" t="n">
        <v>311</v>
      </c>
      <c r="W267" s="33" t="n">
        <v>295</v>
      </c>
      <c r="X267" s="33" t="n">
        <v>280</v>
      </c>
      <c r="Y267" s="32"/>
      <c r="Z267" s="32"/>
      <c r="AA267" s="43" t="n">
        <f aca="false">X267-(Y99+Z99)</f>
        <v>251</v>
      </c>
      <c r="AB267" s="43" t="n">
        <f aca="false">AA267-AB99</f>
        <v>192</v>
      </c>
      <c r="AC267" s="43" t="n">
        <f aca="false">AB267-AC99</f>
        <v>146</v>
      </c>
      <c r="AD267" s="43" t="n">
        <f aca="false">AC267-AD99</f>
        <v>110</v>
      </c>
      <c r="AE267" s="43" t="n">
        <f aca="false">AD267-AE99</f>
        <v>74</v>
      </c>
    </row>
    <row r="268" customFormat="false" ht="15" hidden="false" customHeight="true" outlineLevel="0" collapsed="false">
      <c r="B268" s="11" t="s">
        <v>411</v>
      </c>
      <c r="C268" s="50" t="str">
        <f aca="false">IF(ISNUMBER(C291),C291-C263-SUM(C264:C267),"")</f>
        <v/>
      </c>
      <c r="D268" s="50" t="str">
        <f aca="false">IF(ISNUMBER(D291),D291-D263-SUM(D264:D267),"")</f>
        <v/>
      </c>
      <c r="E268" s="50" t="str">
        <f aca="false">IF(ISNUMBER(E291),E291-E263-SUM(E264:E267),"")</f>
        <v/>
      </c>
      <c r="F268" s="50" t="n">
        <f aca="false">IF(ISNUMBER(F291),F291-F263-SUM(F264:F267),"")</f>
        <v>209</v>
      </c>
      <c r="G268" s="50" t="n">
        <f aca="false">IF(ISNUMBER(G291),G291-G263-SUM(G264:G267),"")</f>
        <v>209</v>
      </c>
      <c r="H268" s="50" t="n">
        <f aca="false">IF(ISNUMBER(H291),H291-H263-SUM(H264:H267),"")</f>
        <v>209</v>
      </c>
      <c r="I268" s="50" t="n">
        <f aca="false">IF(ISNUMBER(I291),I291-I263-SUM(I264:I267),"")</f>
        <v>213</v>
      </c>
      <c r="J268" s="50" t="n">
        <f aca="false">IF(ISNUMBER(J291),J291-J263-SUM(J264:J267),"")</f>
        <v>217</v>
      </c>
      <c r="K268" s="50" t="n">
        <f aca="false">IF(ISNUMBER(K291),K291-K263-SUM(K264:K267),"")</f>
        <v>196</v>
      </c>
      <c r="L268" s="50" t="n">
        <f aca="false">IF(ISNUMBER(L291),L291-L263-SUM(L264:L267),"")</f>
        <v>196</v>
      </c>
      <c r="M268" s="50" t="n">
        <f aca="false">IF(ISNUMBER(M291),M291-M263-SUM(M264:M267),"")</f>
        <v>201</v>
      </c>
      <c r="N268" s="50" t="n">
        <f aca="false">IF(ISNUMBER(N291),N291-N263-SUM(N264:N267),"")</f>
        <v>261</v>
      </c>
      <c r="O268" s="50" t="n">
        <f aca="false">IF(ISNUMBER(O291),O291-O263-SUM(O264:O267),"")</f>
        <v>265</v>
      </c>
      <c r="P268" s="50" t="n">
        <f aca="false">IF(ISNUMBER(P291),P291-P263-SUM(P264:P267),"")</f>
        <v>256</v>
      </c>
      <c r="Q268" s="50" t="n">
        <f aca="false">IF(ISNUMBER(Q291),Q291-Q263-SUM(Q264:Q267),"")</f>
        <v>256</v>
      </c>
      <c r="R268" s="50" t="n">
        <f aca="false">IF(ISNUMBER(R291),R291-R263-SUM(R264:R267),"")</f>
        <v>210</v>
      </c>
      <c r="S268" s="50" t="n">
        <f aca="false">IF(ISNUMBER(S291),S291-S263-SUM(S264:S267),"")</f>
        <v>215</v>
      </c>
      <c r="T268" s="50" t="n">
        <f aca="false">IF(ISNUMBER(T291),T291-T263-SUM(T264:T267),"")</f>
        <v>215</v>
      </c>
      <c r="U268" s="50" t="n">
        <f aca="false">IF(ISNUMBER(U291),U291-U263-SUM(U264:U267),"")</f>
        <v>265</v>
      </c>
      <c r="V268" s="50" t="n">
        <f aca="false">IF(ISNUMBER(V291),V291-V263-SUM(V264:V267),"")</f>
        <v>265</v>
      </c>
      <c r="W268" s="50" t="n">
        <f aca="false">IF(ISNUMBER(W291),W291-W263-SUM(W264:W267),"")</f>
        <v>271</v>
      </c>
      <c r="X268" s="50" t="n">
        <f aca="false">IF(ISNUMBER(X291),X291-X263-SUM(X264:X267),"")</f>
        <v>271</v>
      </c>
      <c r="Y268" s="32"/>
      <c r="Z268" s="32"/>
      <c r="AA268" s="43" t="n">
        <f aca="false">X268</f>
        <v>271</v>
      </c>
      <c r="AB268" s="43" t="n">
        <f aca="false">AA268</f>
        <v>271</v>
      </c>
      <c r="AC268" s="43" t="n">
        <f aca="false">AB268</f>
        <v>271</v>
      </c>
      <c r="AD268" s="43" t="n">
        <f aca="false">AC268</f>
        <v>271</v>
      </c>
      <c r="AE268" s="43" t="n">
        <f aca="false">AD268</f>
        <v>271</v>
      </c>
    </row>
    <row r="269" customFormat="false" ht="15" hidden="false" customHeight="true" outlineLevel="0" collapsed="false">
      <c r="B269" s="51" t="s">
        <v>412</v>
      </c>
      <c r="C269" s="52" t="str">
        <f aca="false">IF(ISNUMBER(C260),C263+SUM(C264:C268),"")</f>
        <v/>
      </c>
      <c r="D269" s="52" t="str">
        <f aca="false">IF(ISNUMBER(D260),D263+SUM(D264:D268),"")</f>
        <v/>
      </c>
      <c r="E269" s="52" t="str">
        <f aca="false">IF(ISNUMBER(E260),E263+SUM(E264:E268),"")</f>
        <v/>
      </c>
      <c r="F269" s="52" t="n">
        <f aca="false">IF(ISNUMBER(F260),F263+SUM(F264:F268),"")</f>
        <v>6269</v>
      </c>
      <c r="G269" s="52" t="n">
        <f aca="false">IF(ISNUMBER(G260),G263+SUM(G264:G268),"")</f>
        <v>6269</v>
      </c>
      <c r="H269" s="52" t="n">
        <f aca="false">IF(ISNUMBER(H260),H263+SUM(H264:H268),"")</f>
        <v>6348</v>
      </c>
      <c r="I269" s="52" t="n">
        <f aca="false">IF(ISNUMBER(I260),I263+SUM(I264:I268),"")</f>
        <v>6352</v>
      </c>
      <c r="J269" s="52" t="n">
        <f aca="false">IF(ISNUMBER(J260),J263+SUM(J264:J268),"")</f>
        <v>6428</v>
      </c>
      <c r="K269" s="52" t="n">
        <f aca="false">IF(ISNUMBER(K260),K263+SUM(K264:K268),"")</f>
        <v>7492</v>
      </c>
      <c r="L269" s="52" t="n">
        <f aca="false">IF(ISNUMBER(L260),L263+SUM(L264:L268),"")</f>
        <v>7492</v>
      </c>
      <c r="M269" s="52" t="n">
        <f aca="false">IF(ISNUMBER(M260),M263+SUM(M264:M268),"")</f>
        <v>7603</v>
      </c>
      <c r="N269" s="52" t="n">
        <f aca="false">IF(ISNUMBER(N260),N263+SUM(N264:N268),"")</f>
        <v>7729</v>
      </c>
      <c r="O269" s="52" t="n">
        <f aca="false">IF(ISNUMBER(O260),O263+SUM(O264:O268),"")</f>
        <v>7923</v>
      </c>
      <c r="P269" s="52" t="n">
        <f aca="false">IF(ISNUMBER(P260),P263+SUM(P264:P268),"")</f>
        <v>7712</v>
      </c>
      <c r="Q269" s="52" t="n">
        <f aca="false">IF(ISNUMBER(Q260),Q263+SUM(Q264:Q268),"")</f>
        <v>7712</v>
      </c>
      <c r="R269" s="52" t="n">
        <f aca="false">IF(ISNUMBER(R260),R263+SUM(R264:R268),"")</f>
        <v>7879</v>
      </c>
      <c r="S269" s="52" t="n">
        <f aca="false">IF(ISNUMBER(S260),S263+SUM(S264:S268),"")</f>
        <v>8133</v>
      </c>
      <c r="T269" s="52" t="n">
        <f aca="false">IF(ISNUMBER(T260),T263+SUM(T264:T268),"")</f>
        <v>8189</v>
      </c>
      <c r="U269" s="52" t="n">
        <f aca="false">IF(ISNUMBER(U260),U263+SUM(U264:U268),"")</f>
        <v>8194</v>
      </c>
      <c r="V269" s="52" t="n">
        <f aca="false">IF(ISNUMBER(V260),V263+SUM(V264:V268),"")</f>
        <v>8194</v>
      </c>
      <c r="W269" s="52" t="n">
        <f aca="false">IF(ISNUMBER(W260),W263+SUM(W264:W268),"")</f>
        <v>8183</v>
      </c>
      <c r="X269" s="52" t="n">
        <f aca="false">IF(ISNUMBER(X260),X263+SUM(X264:X268),"")</f>
        <v>8333</v>
      </c>
      <c r="Y269" s="52" t="str">
        <f aca="false">IF(ISNUMBER(Y260),Y263+SUM(Y264:Y268),"")</f>
        <v/>
      </c>
      <c r="Z269" s="52" t="str">
        <f aca="false">IF(ISNUMBER(Z260),Z263+SUM(Z264:Z268),"")</f>
        <v/>
      </c>
      <c r="AA269" s="52" t="n">
        <f aca="false">IF(ISNUMBER(AA260),AA263+SUM(AA264:AA268),"")</f>
        <v>8242.55792147125</v>
      </c>
      <c r="AB269" s="52" t="n">
        <f aca="false">IF(ISNUMBER(AB260),AB263+SUM(AB264:AB268),"")</f>
        <v>8358.84111579408</v>
      </c>
      <c r="AC269" s="52" t="n">
        <f aca="false">IF(ISNUMBER(AC260),AC263+SUM(AC264:AC268),"")</f>
        <v>8528.30134942938</v>
      </c>
      <c r="AD269" s="52" t="n">
        <f aca="false">IF(ISNUMBER(AD260),AD263+SUM(AD264:AD268),"")</f>
        <v>8715.31016689458</v>
      </c>
      <c r="AE269" s="52" t="n">
        <f aca="false">IF(ISNUMBER(AE260),AE263+SUM(AE264:AE268),"")</f>
        <v>8909.53289536335</v>
      </c>
    </row>
    <row r="270" customFormat="false" ht="15" hidden="false" customHeight="true" outlineLevel="0" collapsed="false">
      <c r="B270" s="55" t="s">
        <v>413</v>
      </c>
      <c r="Y270" s="32"/>
      <c r="Z270" s="32"/>
      <c r="AA270" s="32"/>
      <c r="AB270" s="32"/>
      <c r="AC270" s="32"/>
      <c r="AD270" s="32"/>
      <c r="AE270" s="32"/>
    </row>
    <row r="271" customFormat="false" ht="15" hidden="false" customHeight="true" outlineLevel="0" collapsed="false">
      <c r="B271" s="11" t="s">
        <v>414</v>
      </c>
      <c r="F271" s="33" t="n">
        <v>521</v>
      </c>
      <c r="G271" s="33" t="n">
        <v>521</v>
      </c>
      <c r="H271" s="33" t="n">
        <v>505</v>
      </c>
      <c r="I271" s="33" t="n">
        <v>464</v>
      </c>
      <c r="J271" s="33" t="n">
        <v>473</v>
      </c>
      <c r="K271" s="33" t="n">
        <v>532</v>
      </c>
      <c r="L271" s="33" t="n">
        <v>532</v>
      </c>
      <c r="M271" s="33" t="n">
        <v>570</v>
      </c>
      <c r="N271" s="33" t="n">
        <v>477</v>
      </c>
      <c r="O271" s="33" t="n">
        <v>445</v>
      </c>
      <c r="P271" s="33" t="n">
        <v>477</v>
      </c>
      <c r="Q271" s="33" t="n">
        <v>477</v>
      </c>
      <c r="R271" s="33" t="n">
        <v>501</v>
      </c>
      <c r="S271" s="33" t="n">
        <v>498</v>
      </c>
      <c r="T271" s="33" t="n">
        <v>465</v>
      </c>
      <c r="U271" s="33" t="n">
        <v>455</v>
      </c>
      <c r="V271" s="33" t="n">
        <v>455</v>
      </c>
      <c r="W271" s="33" t="n">
        <v>462</v>
      </c>
      <c r="X271" s="33" t="n">
        <v>486</v>
      </c>
      <c r="Y271" s="32"/>
      <c r="Z271" s="32"/>
      <c r="AA271" s="43" t="n">
        <f aca="false">AA300*AA302/365</f>
        <v>521.983206644258</v>
      </c>
      <c r="AB271" s="43" t="n">
        <f aca="false">AB300*AB302/365</f>
        <v>529.388252121621</v>
      </c>
      <c r="AC271" s="43" t="n">
        <f aca="false">AC300*AC302/365</f>
        <v>553.445256223401</v>
      </c>
      <c r="AD271" s="43" t="n">
        <f aca="false">AD300*AD302/365</f>
        <v>577.146879255282</v>
      </c>
      <c r="AE271" s="43" t="n">
        <f aca="false">AE300*AE302/365</f>
        <v>603.41194757902</v>
      </c>
    </row>
    <row r="272" customFormat="false" ht="15" hidden="false" customHeight="true" outlineLevel="0" collapsed="false">
      <c r="B272" s="11" t="s">
        <v>415</v>
      </c>
      <c r="F272" s="33" t="n">
        <v>774</v>
      </c>
      <c r="G272" s="33" t="n">
        <v>774</v>
      </c>
      <c r="H272" s="33" t="n">
        <v>792</v>
      </c>
      <c r="I272" s="33" t="n">
        <v>800</v>
      </c>
      <c r="J272" s="33" t="n">
        <v>827</v>
      </c>
      <c r="K272" s="33" t="n">
        <v>775</v>
      </c>
      <c r="L272" s="33" t="n">
        <v>775</v>
      </c>
      <c r="M272" s="33" t="n">
        <v>782</v>
      </c>
      <c r="N272" s="33" t="n">
        <v>772</v>
      </c>
      <c r="O272" s="33" t="n">
        <v>805</v>
      </c>
      <c r="P272" s="33" t="n">
        <v>708</v>
      </c>
      <c r="Q272" s="33" t="n">
        <v>708</v>
      </c>
      <c r="R272" s="33" t="n">
        <v>758</v>
      </c>
      <c r="S272" s="33" t="n">
        <v>777</v>
      </c>
      <c r="T272" s="33" t="n">
        <v>816</v>
      </c>
      <c r="U272" s="33" t="n">
        <v>760</v>
      </c>
      <c r="V272" s="33" t="n">
        <v>760</v>
      </c>
      <c r="W272" s="33" t="n">
        <v>800</v>
      </c>
      <c r="X272" s="33" t="n">
        <v>823</v>
      </c>
      <c r="Y272" s="32"/>
      <c r="Z272" s="32"/>
      <c r="AA272" s="43" t="n">
        <f aca="false">AA299*AA303</f>
        <v>853.797980500142</v>
      </c>
      <c r="AB272" s="43" t="n">
        <f aca="false">AB299*AB303</f>
        <v>880.046964525027</v>
      </c>
      <c r="AC272" s="43" t="n">
        <f aca="false">AC299*AC303</f>
        <v>930.906598459794</v>
      </c>
      <c r="AD272" s="43" t="n">
        <f aca="false">AD299*AD303</f>
        <v>982.191740985218</v>
      </c>
      <c r="AE272" s="43" t="n">
        <f aca="false">AE299*AE303</f>
        <v>1033.55886760151</v>
      </c>
    </row>
    <row r="273" customFormat="false" ht="15" hidden="false" customHeight="true" outlineLevel="0" collapsed="false">
      <c r="B273" s="11" t="s">
        <v>416</v>
      </c>
      <c r="F273" s="33" t="n">
        <v>59</v>
      </c>
      <c r="G273" s="33" t="n">
        <v>59</v>
      </c>
      <c r="H273" s="33" t="n">
        <v>66</v>
      </c>
      <c r="I273" s="33" t="n">
        <v>66</v>
      </c>
      <c r="J273" s="33" t="n">
        <v>66</v>
      </c>
      <c r="K273" s="33" t="n">
        <v>69</v>
      </c>
      <c r="L273" s="33" t="n">
        <v>69</v>
      </c>
      <c r="M273" s="33" t="n">
        <v>63</v>
      </c>
      <c r="N273" s="33" t="n">
        <v>64</v>
      </c>
      <c r="O273" s="33" t="n">
        <v>68</v>
      </c>
      <c r="P273" s="33" t="n">
        <v>62</v>
      </c>
      <c r="Q273" s="33" t="n">
        <v>62</v>
      </c>
      <c r="R273" s="33" t="n">
        <v>61</v>
      </c>
      <c r="S273" s="33" t="n">
        <v>63</v>
      </c>
      <c r="T273" s="33" t="n">
        <v>125</v>
      </c>
      <c r="U273" s="33" t="n">
        <v>60</v>
      </c>
      <c r="V273" s="33" t="n">
        <v>60</v>
      </c>
      <c r="W273" s="33" t="n">
        <v>104</v>
      </c>
      <c r="X273" s="33" t="n">
        <v>159</v>
      </c>
      <c r="Y273" s="32"/>
      <c r="Z273" s="32"/>
      <c r="AA273" s="43" t="n">
        <f aca="false">MIN(AA315,-AB316)</f>
        <v>-0</v>
      </c>
      <c r="AB273" s="43" t="n">
        <f aca="false">MIN(AB315,-AC316)</f>
        <v>830</v>
      </c>
      <c r="AC273" s="43" t="n">
        <f aca="false">MIN(AC315,-AD316)</f>
        <v>-0</v>
      </c>
      <c r="AD273" s="43" t="n">
        <f aca="false">MIN(AD315,-AE316)</f>
        <v>-0</v>
      </c>
      <c r="AE273" s="43" t="n">
        <f aca="false">MIN(AE315,0)</f>
        <v>0</v>
      </c>
      <c r="AF273" s="20" t="s">
        <v>417</v>
      </c>
    </row>
    <row r="274" customFormat="false" ht="15" hidden="false" customHeight="true" outlineLevel="0" collapsed="false">
      <c r="B274" s="11" t="s">
        <v>418</v>
      </c>
      <c r="F274" s="33" t="n">
        <v>107</v>
      </c>
      <c r="G274" s="33" t="n">
        <v>107</v>
      </c>
      <c r="H274" s="33" t="n">
        <v>110</v>
      </c>
      <c r="I274" s="33" t="n">
        <v>110</v>
      </c>
      <c r="J274" s="33" t="n">
        <v>111</v>
      </c>
      <c r="K274" s="33" t="n">
        <v>121</v>
      </c>
      <c r="L274" s="33" t="n">
        <v>121</v>
      </c>
      <c r="M274" s="33" t="n">
        <v>129</v>
      </c>
      <c r="N274" s="33" t="n">
        <v>129</v>
      </c>
      <c r="O274" s="33" t="n">
        <v>134</v>
      </c>
      <c r="P274" s="33" t="n">
        <v>127</v>
      </c>
      <c r="Q274" s="33" t="n">
        <v>127</v>
      </c>
      <c r="R274" s="33" t="n">
        <v>131</v>
      </c>
      <c r="S274" s="33" t="n">
        <v>148</v>
      </c>
      <c r="T274" s="33" t="n">
        <v>152</v>
      </c>
      <c r="U274" s="33" t="n">
        <v>166</v>
      </c>
      <c r="V274" s="33" t="n">
        <v>166</v>
      </c>
      <c r="W274" s="33" t="n">
        <v>164</v>
      </c>
      <c r="X274" s="33" t="n">
        <v>170</v>
      </c>
      <c r="Y274" s="32"/>
      <c r="Z274" s="32"/>
      <c r="AA274" s="43" t="n">
        <f aca="false">X274</f>
        <v>170</v>
      </c>
      <c r="AB274" s="43" t="n">
        <f aca="false">AA274</f>
        <v>170</v>
      </c>
      <c r="AC274" s="43" t="n">
        <f aca="false">AB274</f>
        <v>170</v>
      </c>
      <c r="AD274" s="43" t="n">
        <f aca="false">AC274</f>
        <v>170</v>
      </c>
      <c r="AE274" s="43" t="n">
        <f aca="false">AD274</f>
        <v>170</v>
      </c>
    </row>
    <row r="275" customFormat="false" ht="15" hidden="false" customHeight="true" outlineLevel="0" collapsed="false">
      <c r="B275" s="11" t="s">
        <v>419</v>
      </c>
      <c r="C275" s="50" t="str">
        <f aca="false">IF(ISNUMBER(C293),C293-SUM(C271:C274),"")</f>
        <v/>
      </c>
      <c r="D275" s="50" t="str">
        <f aca="false">IF(ISNUMBER(D293),D293-SUM(D271:D274),"")</f>
        <v/>
      </c>
      <c r="E275" s="50" t="str">
        <f aca="false">IF(ISNUMBER(E293),E293-SUM(E271:E274),"")</f>
        <v/>
      </c>
      <c r="F275" s="50" t="n">
        <f aca="false">IF(ISNUMBER(F293),F293-SUM(F271:F274),"")</f>
        <v>46</v>
      </c>
      <c r="G275" s="50" t="n">
        <f aca="false">IF(ISNUMBER(G293),G293-SUM(G271:G274),"")</f>
        <v>46</v>
      </c>
      <c r="H275" s="50" t="n">
        <f aca="false">IF(ISNUMBER(H293),H293-SUM(H271:H274),"")</f>
        <v>73</v>
      </c>
      <c r="I275" s="50" t="n">
        <f aca="false">IF(ISNUMBER(I293),I293-SUM(I271:I274),"")</f>
        <v>93</v>
      </c>
      <c r="J275" s="50" t="n">
        <f aca="false">IF(ISNUMBER(J293),J293-SUM(J271:J274),"")</f>
        <v>45</v>
      </c>
      <c r="K275" s="50" t="n">
        <f aca="false">IF(ISNUMBER(K293),K293-SUM(K271:K274),"")</f>
        <v>93</v>
      </c>
      <c r="L275" s="50" t="n">
        <f aca="false">IF(ISNUMBER(L293),L293-SUM(L271:L274),"")</f>
        <v>93</v>
      </c>
      <c r="M275" s="50" t="n">
        <f aca="false">IF(ISNUMBER(M293),M293-SUM(M271:M274),"")</f>
        <v>78</v>
      </c>
      <c r="N275" s="50" t="n">
        <f aca="false">IF(ISNUMBER(N293),N293-SUM(N271:N274),"")</f>
        <v>100</v>
      </c>
      <c r="O275" s="50" t="n">
        <f aca="false">IF(ISNUMBER(O293),O293-SUM(O271:O274),"")</f>
        <v>111</v>
      </c>
      <c r="P275" s="50" t="n">
        <f aca="false">IF(ISNUMBER(P293),P293-SUM(P271:P274),"")</f>
        <v>46</v>
      </c>
      <c r="Q275" s="50" t="n">
        <f aca="false">IF(ISNUMBER(Q293),Q293-SUM(Q271:Q274),"")</f>
        <v>46</v>
      </c>
      <c r="R275" s="50" t="n">
        <f aca="false">IF(ISNUMBER(R293),R293-SUM(R271:R274),"")</f>
        <v>100</v>
      </c>
      <c r="S275" s="50" t="n">
        <f aca="false">IF(ISNUMBER(S293),S293-SUM(S271:S274),"")</f>
        <v>113</v>
      </c>
      <c r="T275" s="50" t="n">
        <f aca="false">IF(ISNUMBER(T293),T293-SUM(T271:T274),"")</f>
        <v>109</v>
      </c>
      <c r="U275" s="50" t="n">
        <f aca="false">IF(ISNUMBER(U293),U293-SUM(U271:U274),"")</f>
        <v>114</v>
      </c>
      <c r="V275" s="50" t="n">
        <f aca="false">IF(ISNUMBER(V293),V293-SUM(V271:V274),"")</f>
        <v>114</v>
      </c>
      <c r="W275" s="50" t="n">
        <f aca="false">IF(ISNUMBER(W293),W293-SUM(W271:W274),"")</f>
        <v>161</v>
      </c>
      <c r="X275" s="50" t="n">
        <f aca="false">IF(ISNUMBER(X293),X293-SUM(X271:X274),"")</f>
        <v>156</v>
      </c>
      <c r="Y275" s="32"/>
      <c r="Z275" s="32"/>
      <c r="AA275" s="43" t="n">
        <f aca="false">X275</f>
        <v>156</v>
      </c>
      <c r="AB275" s="43" t="n">
        <f aca="false">AA275</f>
        <v>156</v>
      </c>
      <c r="AC275" s="43" t="n">
        <f aca="false">AB275</f>
        <v>156</v>
      </c>
      <c r="AD275" s="43" t="n">
        <f aca="false">AC275</f>
        <v>156</v>
      </c>
      <c r="AE275" s="43" t="n">
        <f aca="false">AD275</f>
        <v>156</v>
      </c>
    </row>
    <row r="276" customFormat="false" ht="15" hidden="false" customHeight="true" outlineLevel="0" collapsed="false">
      <c r="B276" s="22" t="s">
        <v>420</v>
      </c>
      <c r="C276" s="54" t="str">
        <f aca="false">IF(ISNUMBER(C271),SUM(C271:C275),"")</f>
        <v/>
      </c>
      <c r="D276" s="54" t="str">
        <f aca="false">IF(ISNUMBER(D271),SUM(D271:D275),"")</f>
        <v/>
      </c>
      <c r="E276" s="54" t="str">
        <f aca="false">IF(ISNUMBER(E271),SUM(E271:E275),"")</f>
        <v/>
      </c>
      <c r="F276" s="54" t="n">
        <f aca="false">IF(ISNUMBER(F271),SUM(F271:F275),"")</f>
        <v>1507</v>
      </c>
      <c r="G276" s="54" t="n">
        <f aca="false">IF(ISNUMBER(G271),SUM(G271:G275),"")</f>
        <v>1507</v>
      </c>
      <c r="H276" s="54" t="n">
        <f aca="false">IF(ISNUMBER(H271),SUM(H271:H275),"")</f>
        <v>1546</v>
      </c>
      <c r="I276" s="54" t="n">
        <f aca="false">IF(ISNUMBER(I271),SUM(I271:I275),"")</f>
        <v>1533</v>
      </c>
      <c r="J276" s="54" t="n">
        <f aca="false">IF(ISNUMBER(J271),SUM(J271:J275),"")</f>
        <v>1522</v>
      </c>
      <c r="K276" s="54" t="n">
        <f aca="false">IF(ISNUMBER(K271),SUM(K271:K275),"")</f>
        <v>1590</v>
      </c>
      <c r="L276" s="54" t="n">
        <f aca="false">IF(ISNUMBER(L271),SUM(L271:L275),"")</f>
        <v>1590</v>
      </c>
      <c r="M276" s="54" t="n">
        <f aca="false">IF(ISNUMBER(M271),SUM(M271:M275),"")</f>
        <v>1622</v>
      </c>
      <c r="N276" s="54" t="n">
        <f aca="false">IF(ISNUMBER(N271),SUM(N271:N275),"")</f>
        <v>1542</v>
      </c>
      <c r="O276" s="54" t="n">
        <f aca="false">IF(ISNUMBER(O271),SUM(O271:O275),"")</f>
        <v>1563</v>
      </c>
      <c r="P276" s="54" t="n">
        <f aca="false">IF(ISNUMBER(P271),SUM(P271:P275),"")</f>
        <v>1420</v>
      </c>
      <c r="Q276" s="54" t="n">
        <f aca="false">IF(ISNUMBER(Q271),SUM(Q271:Q275),"")</f>
        <v>1420</v>
      </c>
      <c r="R276" s="54" t="n">
        <f aca="false">IF(ISNUMBER(R271),SUM(R271:R275),"")</f>
        <v>1551</v>
      </c>
      <c r="S276" s="54" t="n">
        <f aca="false">IF(ISNUMBER(S271),SUM(S271:S275),"")</f>
        <v>1599</v>
      </c>
      <c r="T276" s="54" t="n">
        <f aca="false">IF(ISNUMBER(T271),SUM(T271:T275),"")</f>
        <v>1667</v>
      </c>
      <c r="U276" s="54" t="n">
        <f aca="false">IF(ISNUMBER(U271),SUM(U271:U275),"")</f>
        <v>1555</v>
      </c>
      <c r="V276" s="54" t="n">
        <f aca="false">IF(ISNUMBER(V271),SUM(V271:V275),"")</f>
        <v>1555</v>
      </c>
      <c r="W276" s="54" t="n">
        <f aca="false">IF(ISNUMBER(W271),SUM(W271:W275),"")</f>
        <v>1691</v>
      </c>
      <c r="X276" s="54" t="n">
        <f aca="false">IF(ISNUMBER(X271),SUM(X271:X275),"")</f>
        <v>1794</v>
      </c>
      <c r="Y276" s="24" t="str">
        <f aca="false">IF(ISNUMBER(Y271),SUM(Y271:Y275),"")</f>
        <v/>
      </c>
      <c r="Z276" s="24" t="str">
        <f aca="false">IF(ISNUMBER(Z271),SUM(Z271:Z275),"")</f>
        <v/>
      </c>
      <c r="AA276" s="24" t="n">
        <f aca="false">IF(ISNUMBER(AA271),SUM(AA271:AA275),"")</f>
        <v>1701.7811871444</v>
      </c>
      <c r="AB276" s="24" t="n">
        <f aca="false">IF(ISNUMBER(AB271),SUM(AB271:AB275),"")</f>
        <v>2565.43521664665</v>
      </c>
      <c r="AC276" s="24" t="n">
        <f aca="false">IF(ISNUMBER(AC271),SUM(AC271:AC275),"")</f>
        <v>1810.3518546832</v>
      </c>
      <c r="AD276" s="24" t="n">
        <f aca="false">IF(ISNUMBER(AD271),SUM(AD271:AD275),"")</f>
        <v>1885.3386202405</v>
      </c>
      <c r="AE276" s="24" t="n">
        <f aca="false">IF(ISNUMBER(AE271),SUM(AE271:AE275),"")</f>
        <v>1962.97081518053</v>
      </c>
    </row>
    <row r="277" customFormat="false" ht="15" hidden="false" customHeight="true" outlineLevel="0" collapsed="false">
      <c r="B277" s="11" t="s">
        <v>421</v>
      </c>
      <c r="F277" s="33" t="n">
        <v>2473</v>
      </c>
      <c r="G277" s="33" t="n">
        <v>2473</v>
      </c>
      <c r="H277" s="33" t="n">
        <v>2478</v>
      </c>
      <c r="I277" s="33" t="n">
        <v>2452</v>
      </c>
      <c r="J277" s="33" t="n">
        <v>2447</v>
      </c>
      <c r="K277" s="33" t="n">
        <v>3335</v>
      </c>
      <c r="L277" s="33" t="n">
        <v>3335</v>
      </c>
      <c r="M277" s="33" t="n">
        <v>3323</v>
      </c>
      <c r="N277" s="33" t="n">
        <v>3330</v>
      </c>
      <c r="O277" s="33" t="n">
        <v>3343</v>
      </c>
      <c r="P277" s="33" t="n">
        <v>3325</v>
      </c>
      <c r="Q277" s="33" t="n">
        <v>3325</v>
      </c>
      <c r="R277" s="33" t="n">
        <v>3336</v>
      </c>
      <c r="S277" s="33" t="n">
        <v>3344</v>
      </c>
      <c r="T277" s="33" t="n">
        <v>3222</v>
      </c>
      <c r="U277" s="33" t="n">
        <v>3253</v>
      </c>
      <c r="V277" s="33" t="n">
        <v>3253</v>
      </c>
      <c r="W277" s="33" t="n">
        <v>3172</v>
      </c>
      <c r="X277" s="33" t="n">
        <v>3047</v>
      </c>
      <c r="Y277" s="32"/>
      <c r="Z277" s="32"/>
      <c r="AA277" s="43" t="n">
        <f aca="false">AA315-AA273</f>
        <v>2777.33547676304</v>
      </c>
      <c r="AB277" s="43" t="n">
        <f aca="false">AB315-AB273</f>
        <v>1636.25263164368</v>
      </c>
      <c r="AC277" s="43" t="n">
        <f aca="false">AC315-AC273</f>
        <v>2710.8095370922</v>
      </c>
      <c r="AD277" s="43" t="n">
        <f aca="false">AD315-AD273</f>
        <v>2967.57134855371</v>
      </c>
      <c r="AE277" s="43" t="n">
        <f aca="false">AE315-AE273</f>
        <v>3178.65222014397</v>
      </c>
    </row>
    <row r="278" customFormat="false" ht="15" hidden="false" customHeight="true" outlineLevel="0" collapsed="false">
      <c r="B278" s="11" t="s">
        <v>422</v>
      </c>
      <c r="F278" s="33" t="n">
        <v>319</v>
      </c>
      <c r="G278" s="33" t="n">
        <v>319</v>
      </c>
      <c r="H278" s="33" t="n">
        <v>307</v>
      </c>
      <c r="I278" s="33" t="n">
        <v>301</v>
      </c>
      <c r="J278" s="33" t="n">
        <v>326</v>
      </c>
      <c r="K278" s="33" t="n">
        <v>337</v>
      </c>
      <c r="L278" s="33" t="n">
        <v>337</v>
      </c>
      <c r="M278" s="33" t="n">
        <v>342</v>
      </c>
      <c r="N278" s="33" t="n">
        <v>364</v>
      </c>
      <c r="O278" s="33" t="n">
        <v>371</v>
      </c>
      <c r="P278" s="33" t="n">
        <v>393</v>
      </c>
      <c r="Q278" s="33" t="n">
        <v>393</v>
      </c>
      <c r="R278" s="33" t="n">
        <v>392</v>
      </c>
      <c r="S278" s="33" t="n">
        <v>383</v>
      </c>
      <c r="T278" s="33" t="n">
        <v>449</v>
      </c>
      <c r="U278" s="33" t="n">
        <v>482</v>
      </c>
      <c r="V278" s="33" t="n">
        <v>482</v>
      </c>
      <c r="W278" s="33" t="n">
        <v>494</v>
      </c>
      <c r="X278" s="33" t="n">
        <v>508</v>
      </c>
      <c r="Y278" s="32"/>
      <c r="Z278" s="32"/>
      <c r="AA278" s="43" t="n">
        <f aca="false">X278+(AA213-(W213+X213))</f>
        <v>532.217717762144</v>
      </c>
      <c r="AB278" s="43" t="n">
        <f aca="false">AA278+AB213</f>
        <v>590.060157274344</v>
      </c>
      <c r="AC278" s="43" t="n">
        <f aca="false">AB278+AC213</f>
        <v>659.654215384688</v>
      </c>
      <c r="AD278" s="43" t="n">
        <f aca="false">AC278+AD213</f>
        <v>739.637105328636</v>
      </c>
      <c r="AE278" s="43" t="n">
        <f aca="false">AD278+AE213</f>
        <v>827.125160891113</v>
      </c>
    </row>
    <row r="279" customFormat="false" ht="15" hidden="false" customHeight="true" outlineLevel="0" collapsed="false">
      <c r="B279" s="11" t="s">
        <v>423</v>
      </c>
      <c r="F279" s="33" t="n">
        <v>93</v>
      </c>
      <c r="G279" s="33" t="n">
        <v>93</v>
      </c>
      <c r="H279" s="33" t="n">
        <v>92</v>
      </c>
      <c r="I279" s="33" t="n">
        <v>91</v>
      </c>
      <c r="J279" s="33" t="n">
        <v>90</v>
      </c>
      <c r="K279" s="33" t="n">
        <v>91</v>
      </c>
      <c r="L279" s="33" t="n">
        <v>91</v>
      </c>
      <c r="M279" s="33" t="n">
        <v>89</v>
      </c>
      <c r="N279" s="33" t="n">
        <v>88</v>
      </c>
      <c r="O279" s="33" t="n">
        <v>88</v>
      </c>
      <c r="P279" s="33" t="n">
        <v>85</v>
      </c>
      <c r="Q279" s="33" t="n">
        <v>85</v>
      </c>
      <c r="R279" s="33" t="n">
        <v>85</v>
      </c>
      <c r="S279" s="33" t="n">
        <v>85</v>
      </c>
      <c r="T279" s="33" t="n">
        <v>84</v>
      </c>
      <c r="U279" s="33" t="n">
        <v>86</v>
      </c>
      <c r="V279" s="33" t="n">
        <v>86</v>
      </c>
      <c r="W279" s="33" t="n">
        <v>84</v>
      </c>
      <c r="X279" s="33" t="n">
        <v>83</v>
      </c>
      <c r="Y279" s="32"/>
      <c r="Z279" s="32"/>
      <c r="AA279" s="43" t="n">
        <f aca="false">X279</f>
        <v>83</v>
      </c>
      <c r="AB279" s="43" t="n">
        <f aca="false">AA279</f>
        <v>83</v>
      </c>
      <c r="AC279" s="43" t="n">
        <f aca="false">AB279</f>
        <v>83</v>
      </c>
      <c r="AD279" s="43" t="n">
        <f aca="false">AC279</f>
        <v>83</v>
      </c>
      <c r="AE279" s="43" t="n">
        <f aca="false">AD279</f>
        <v>83</v>
      </c>
    </row>
    <row r="280" customFormat="false" ht="15" hidden="false" customHeight="true" outlineLevel="0" collapsed="false">
      <c r="B280" s="11" t="s">
        <v>424</v>
      </c>
      <c r="F280" s="33" t="n">
        <v>606</v>
      </c>
      <c r="G280" s="33" t="n">
        <v>606</v>
      </c>
      <c r="H280" s="33" t="n">
        <v>606</v>
      </c>
      <c r="I280" s="33" t="n">
        <v>592</v>
      </c>
      <c r="J280" s="33" t="n">
        <v>584</v>
      </c>
      <c r="K280" s="33" t="n">
        <v>588</v>
      </c>
      <c r="L280" s="33" t="n">
        <v>588</v>
      </c>
      <c r="M280" s="33" t="n">
        <v>598</v>
      </c>
      <c r="N280" s="33" t="n">
        <v>613</v>
      </c>
      <c r="O280" s="33" t="n">
        <v>614</v>
      </c>
      <c r="P280" s="33" t="n">
        <v>603</v>
      </c>
      <c r="Q280" s="33" t="n">
        <v>603</v>
      </c>
      <c r="R280" s="33" t="n">
        <v>583</v>
      </c>
      <c r="S280" s="33" t="n">
        <v>612</v>
      </c>
      <c r="T280" s="33" t="n">
        <v>611</v>
      </c>
      <c r="U280" s="33" t="n">
        <v>611</v>
      </c>
      <c r="V280" s="33" t="n">
        <v>611</v>
      </c>
      <c r="W280" s="33" t="n">
        <v>591</v>
      </c>
      <c r="X280" s="33" t="n">
        <v>612</v>
      </c>
      <c r="Y280" s="32"/>
      <c r="Z280" s="32"/>
      <c r="AA280" s="43" t="n">
        <f aca="false">X280</f>
        <v>612</v>
      </c>
      <c r="AB280" s="43" t="n">
        <f aca="false">AA280</f>
        <v>612</v>
      </c>
      <c r="AC280" s="43" t="n">
        <f aca="false">AB280</f>
        <v>612</v>
      </c>
      <c r="AD280" s="43" t="n">
        <f aca="false">AC280</f>
        <v>612</v>
      </c>
      <c r="AE280" s="43" t="n">
        <f aca="false">AD280</f>
        <v>612</v>
      </c>
    </row>
    <row r="281" customFormat="false" ht="15" hidden="false" customHeight="true" outlineLevel="0" collapsed="false">
      <c r="B281" s="11" t="s">
        <v>425</v>
      </c>
      <c r="C281" s="50" t="str">
        <f aca="false">IF(ISNUMBER(C294),C294-C287-C276-SUM(C277:C280),"")</f>
        <v/>
      </c>
      <c r="D281" s="50" t="str">
        <f aca="false">IF(ISNUMBER(D294),D294-D287-D276-SUM(D277:D280),"")</f>
        <v/>
      </c>
      <c r="E281" s="50" t="str">
        <f aca="false">IF(ISNUMBER(E294),E294-E287-E276-SUM(E277:E280),"")</f>
        <v/>
      </c>
      <c r="F281" s="50" t="n">
        <f aca="false">IF(ISNUMBER(F294),F294-F287-F276-SUM(F277:F280),"")</f>
        <v>259</v>
      </c>
      <c r="G281" s="50" t="n">
        <f aca="false">IF(ISNUMBER(G294),G294-G287-G276-SUM(G277:G280),"")</f>
        <v>259</v>
      </c>
      <c r="H281" s="50" t="n">
        <f aca="false">IF(ISNUMBER(H294),H294-H287-H276-SUM(H277:H280),"")</f>
        <v>264</v>
      </c>
      <c r="I281" s="50" t="n">
        <f aca="false">IF(ISNUMBER(I294),I294-I287-I276-SUM(I277:I280),"")</f>
        <v>264</v>
      </c>
      <c r="J281" s="50" t="n">
        <f aca="false">IF(ISNUMBER(J294),J294-J287-J276-SUM(J277:J280),"")</f>
        <v>262</v>
      </c>
      <c r="K281" s="50" t="n">
        <f aca="false">IF(ISNUMBER(K294),K294-K287-K276-SUM(K277:K280),"")</f>
        <v>285</v>
      </c>
      <c r="L281" s="50" t="n">
        <f aca="false">IF(ISNUMBER(L294),L294-L287-L276-SUM(L277:L280),"")</f>
        <v>285</v>
      </c>
      <c r="M281" s="50" t="n">
        <f aca="false">IF(ISNUMBER(M294),M294-M287-M276-SUM(M277:M280),"")</f>
        <v>297</v>
      </c>
      <c r="N281" s="50" t="n">
        <f aca="false">IF(ISNUMBER(N294),N294-N287-N276-SUM(N277:N280),"")</f>
        <v>293</v>
      </c>
      <c r="O281" s="50" t="n">
        <f aca="false">IF(ISNUMBER(O294),O294-O287-O276-SUM(O277:O280),"")</f>
        <v>303</v>
      </c>
      <c r="P281" s="50" t="n">
        <f aca="false">IF(ISNUMBER(P294),P294-P287-P276-SUM(P277:P280),"")</f>
        <v>286</v>
      </c>
      <c r="Q281" s="50" t="n">
        <f aca="false">IF(ISNUMBER(Q294),Q294-Q287-Q276-SUM(Q277:Q280),"")</f>
        <v>286</v>
      </c>
      <c r="R281" s="50" t="n">
        <f aca="false">IF(ISNUMBER(R294),R294-R287-R276-SUM(R277:R280),"")</f>
        <v>292</v>
      </c>
      <c r="S281" s="50" t="n">
        <f aca="false">IF(ISNUMBER(S294),S294-S287-S276-SUM(S277:S280),"")</f>
        <v>329</v>
      </c>
      <c r="T281" s="50" t="n">
        <f aca="false">IF(ISNUMBER(T294),T294-T287-T276-SUM(T277:T280),"")</f>
        <v>339</v>
      </c>
      <c r="U281" s="50" t="n">
        <f aca="false">IF(ISNUMBER(U294),U294-U287-U276-SUM(U277:U280),"")</f>
        <v>346</v>
      </c>
      <c r="V281" s="50" t="n">
        <f aca="false">IF(ISNUMBER(V294),V294-V287-V276-SUM(V277:V280),"")</f>
        <v>346</v>
      </c>
      <c r="W281" s="50" t="n">
        <f aca="false">IF(ISNUMBER(W294),W294-W287-W276-SUM(W277:W280),"")</f>
        <v>301</v>
      </c>
      <c r="X281" s="50" t="n">
        <f aca="false">IF(ISNUMBER(X294),X294-X287-X276-SUM(X277:X280),"")</f>
        <v>327</v>
      </c>
      <c r="Y281" s="32"/>
      <c r="Z281" s="32"/>
      <c r="AA281" s="43" t="n">
        <f aca="false">X281</f>
        <v>327</v>
      </c>
      <c r="AB281" s="43" t="n">
        <f aca="false">AA281</f>
        <v>327</v>
      </c>
      <c r="AC281" s="43" t="n">
        <f aca="false">AB281</f>
        <v>327</v>
      </c>
      <c r="AD281" s="43" t="n">
        <f aca="false">AC281</f>
        <v>327</v>
      </c>
      <c r="AE281" s="43" t="n">
        <f aca="false">AD281</f>
        <v>327</v>
      </c>
    </row>
    <row r="282" customFormat="false" ht="15" hidden="false" customHeight="true" outlineLevel="0" collapsed="false">
      <c r="B282" s="51" t="s">
        <v>426</v>
      </c>
      <c r="C282" s="52" t="str">
        <f aca="false">IF(ISNUMBER(C271),C276+SUM(C277:C281),"")</f>
        <v/>
      </c>
      <c r="D282" s="52" t="str">
        <f aca="false">IF(ISNUMBER(D271),D276+SUM(D277:D281),"")</f>
        <v/>
      </c>
      <c r="E282" s="52" t="str">
        <f aca="false">IF(ISNUMBER(E271),E276+SUM(E277:E281),"")</f>
        <v/>
      </c>
      <c r="F282" s="52" t="n">
        <f aca="false">IF(ISNUMBER(F271),F276+SUM(F277:F281),"")</f>
        <v>5257</v>
      </c>
      <c r="G282" s="52" t="n">
        <f aca="false">IF(ISNUMBER(G271),G276+SUM(G277:G281),"")</f>
        <v>5257</v>
      </c>
      <c r="H282" s="52" t="n">
        <f aca="false">IF(ISNUMBER(H271),H276+SUM(H277:H281),"")</f>
        <v>5293</v>
      </c>
      <c r="I282" s="52" t="n">
        <f aca="false">IF(ISNUMBER(I271),I276+SUM(I277:I281),"")</f>
        <v>5233</v>
      </c>
      <c r="J282" s="52" t="n">
        <f aca="false">IF(ISNUMBER(J271),J276+SUM(J277:J281),"")</f>
        <v>5231</v>
      </c>
      <c r="K282" s="52" t="n">
        <f aca="false">IF(ISNUMBER(K271),K276+SUM(K277:K281),"")</f>
        <v>6226</v>
      </c>
      <c r="L282" s="52" t="n">
        <f aca="false">IF(ISNUMBER(L271),L276+SUM(L277:L281),"")</f>
        <v>6226</v>
      </c>
      <c r="M282" s="52" t="n">
        <f aca="false">IF(ISNUMBER(M271),M276+SUM(M277:M281),"")</f>
        <v>6271</v>
      </c>
      <c r="N282" s="52" t="n">
        <f aca="false">IF(ISNUMBER(N271),N276+SUM(N277:N281),"")</f>
        <v>6230</v>
      </c>
      <c r="O282" s="52" t="n">
        <f aca="false">IF(ISNUMBER(O271),O276+SUM(O277:O281),"")</f>
        <v>6282</v>
      </c>
      <c r="P282" s="52" t="n">
        <f aca="false">IF(ISNUMBER(P271),P276+SUM(P277:P281),"")</f>
        <v>6112</v>
      </c>
      <c r="Q282" s="52" t="n">
        <f aca="false">IF(ISNUMBER(Q271),Q276+SUM(Q277:Q281),"")</f>
        <v>6112</v>
      </c>
      <c r="R282" s="52" t="n">
        <f aca="false">IF(ISNUMBER(R271),R276+SUM(R277:R281),"")</f>
        <v>6239</v>
      </c>
      <c r="S282" s="52" t="n">
        <f aca="false">IF(ISNUMBER(S271),S276+SUM(S277:S281),"")</f>
        <v>6352</v>
      </c>
      <c r="T282" s="52" t="n">
        <f aca="false">IF(ISNUMBER(T271),T276+SUM(T277:T281),"")</f>
        <v>6372</v>
      </c>
      <c r="U282" s="52" t="n">
        <f aca="false">IF(ISNUMBER(U271),U276+SUM(U277:U281),"")</f>
        <v>6333</v>
      </c>
      <c r="V282" s="52" t="n">
        <f aca="false">IF(ISNUMBER(V271),V276+SUM(V277:V281),"")</f>
        <v>6333</v>
      </c>
      <c r="W282" s="52" t="n">
        <f aca="false">IF(ISNUMBER(W271),W276+SUM(W277:W281),"")</f>
        <v>6333</v>
      </c>
      <c r="X282" s="52" t="n">
        <f aca="false">IF(ISNUMBER(X271),X276+SUM(X277:X281),"")</f>
        <v>6371</v>
      </c>
      <c r="Y282" s="52" t="str">
        <f aca="false">IF(ISNUMBER(Y271),Y276+SUM(Y277:Y281),"")</f>
        <v/>
      </c>
      <c r="Z282" s="52" t="str">
        <f aca="false">IF(ISNUMBER(Z271),Z276+SUM(Z277:Z281),"")</f>
        <v/>
      </c>
      <c r="AA282" s="52" t="n">
        <f aca="false">IF(ISNUMBER(AA271),AA276+SUM(AA277:AA281),"")</f>
        <v>6033.33438166958</v>
      </c>
      <c r="AB282" s="52" t="n">
        <f aca="false">IF(ISNUMBER(AB271),AB276+SUM(AB277:AB281),"")</f>
        <v>5813.74800556468</v>
      </c>
      <c r="AC282" s="52" t="n">
        <f aca="false">IF(ISNUMBER(AC271),AC276+SUM(AC277:AC281),"")</f>
        <v>6202.81560716008</v>
      </c>
      <c r="AD282" s="52" t="n">
        <f aca="false">IF(ISNUMBER(AD271),AD276+SUM(AD277:AD281),"")</f>
        <v>6614.54707412285</v>
      </c>
      <c r="AE282" s="52" t="n">
        <f aca="false">IF(ISNUMBER(AE271),AE276+SUM(AE277:AE281),"")</f>
        <v>6990.74819621561</v>
      </c>
    </row>
    <row r="283" customFormat="false" ht="15" hidden="false" customHeight="true" outlineLevel="0" collapsed="false">
      <c r="B283" s="55" t="s">
        <v>427</v>
      </c>
      <c r="Y283" s="32"/>
      <c r="Z283" s="32"/>
      <c r="AA283" s="32"/>
      <c r="AB283" s="32"/>
      <c r="AC283" s="32"/>
      <c r="AD283" s="32"/>
      <c r="AE283" s="32"/>
    </row>
    <row r="284" customFormat="false" ht="15" hidden="false" customHeight="true" outlineLevel="0" collapsed="false">
      <c r="B284" s="11" t="s">
        <v>428</v>
      </c>
      <c r="F284" s="33" t="n">
        <v>1238</v>
      </c>
      <c r="G284" s="33" t="n">
        <v>1238</v>
      </c>
      <c r="H284" s="33" t="n">
        <v>1252</v>
      </c>
      <c r="I284" s="33" t="n">
        <v>1268</v>
      </c>
      <c r="J284" s="33" t="n">
        <v>1284</v>
      </c>
      <c r="K284" s="33" t="n">
        <v>1298</v>
      </c>
      <c r="L284" s="33" t="n">
        <v>1298</v>
      </c>
      <c r="M284" s="33" t="n">
        <v>1302</v>
      </c>
      <c r="N284" s="33" t="n">
        <v>1322</v>
      </c>
      <c r="O284" s="33" t="n">
        <v>1340</v>
      </c>
      <c r="P284" s="33" t="n">
        <v>1274</v>
      </c>
      <c r="Q284" s="33" t="n">
        <v>1274</v>
      </c>
      <c r="R284" s="33" t="n">
        <v>1227</v>
      </c>
      <c r="S284" s="33" t="n">
        <v>1233</v>
      </c>
      <c r="T284" s="33" t="n">
        <v>1196</v>
      </c>
      <c r="U284" s="33" t="n">
        <v>1160</v>
      </c>
      <c r="V284" s="33" t="n">
        <v>1160</v>
      </c>
      <c r="W284" s="33" t="n">
        <v>1055</v>
      </c>
      <c r="X284" s="33" t="n">
        <v>1005</v>
      </c>
      <c r="Y284" s="32"/>
      <c r="Z284" s="32"/>
      <c r="AA284" s="43" t="n">
        <f aca="false">MAX(0,X284+(AA212-(W212+X212))+(AA225-(W225+X225))+(AA224-(W224+X224)))</f>
        <v>936.87793830311</v>
      </c>
      <c r="AB284" s="43" t="n">
        <f aca="false">MAX(0,AA284+AB212+AB225+AB224)</f>
        <v>559.75090739679</v>
      </c>
      <c r="AC284" s="43" t="n">
        <f aca="false">MAX(0,AB284+AC212+AC225+AC224)</f>
        <v>0</v>
      </c>
      <c r="AD284" s="43" t="n">
        <f aca="false">MAX(0,AC284+AD212+AD225+AD224)</f>
        <v>0</v>
      </c>
      <c r="AE284" s="43" t="n">
        <f aca="false">MAX(0,AD284+AE212+AE225+AE224)</f>
        <v>0</v>
      </c>
      <c r="AF284" s="20" t="s">
        <v>429</v>
      </c>
    </row>
    <row r="285" customFormat="false" ht="15" hidden="false" customHeight="true" outlineLevel="0" collapsed="false">
      <c r="B285" s="11" t="s">
        <v>430</v>
      </c>
      <c r="F285" s="33" t="n">
        <v>-4</v>
      </c>
      <c r="G285" s="33" t="n">
        <v>-4</v>
      </c>
      <c r="H285" s="33" t="n">
        <v>10</v>
      </c>
      <c r="I285" s="33" t="n">
        <v>43</v>
      </c>
      <c r="J285" s="33" t="n">
        <v>127</v>
      </c>
      <c r="K285" s="33" t="n">
        <v>185</v>
      </c>
      <c r="L285" s="33" t="n">
        <v>185</v>
      </c>
      <c r="M285" s="33" t="n">
        <v>252</v>
      </c>
      <c r="N285" s="33" t="n">
        <v>402</v>
      </c>
      <c r="O285" s="33" t="n">
        <v>496</v>
      </c>
      <c r="P285" s="33" t="n">
        <v>572</v>
      </c>
      <c r="Q285" s="33" t="n">
        <v>572</v>
      </c>
      <c r="R285" s="33" t="n">
        <v>641</v>
      </c>
      <c r="S285" s="33" t="n">
        <v>747</v>
      </c>
      <c r="T285" s="33" t="n">
        <v>829</v>
      </c>
      <c r="U285" s="33" t="n">
        <v>888</v>
      </c>
      <c r="V285" s="33" t="n">
        <v>888</v>
      </c>
      <c r="W285" s="33" t="n">
        <v>989</v>
      </c>
      <c r="X285" s="33" t="n">
        <v>1151</v>
      </c>
      <c r="Y285" s="32"/>
      <c r="Z285" s="32"/>
      <c r="AA285" s="43" t="n">
        <f aca="false">X285+Y131+Z131+MIN(0,X284+(AA212-(W212+X212))+(AA225-(W225+X225))+(AA224-(W224+X224)))</f>
        <v>1466.34560149856</v>
      </c>
      <c r="AB285" s="43" t="n">
        <f aca="false">AA285+AB131+MIN(0,AA284+AB212+AB225+AB224)</f>
        <v>2179.34220283261</v>
      </c>
      <c r="AC285" s="43" t="n">
        <f aca="false">AB285+AC131+MIN(0,AB284+AC212+AC225+AC224)</f>
        <v>2519.4857422693</v>
      </c>
      <c r="AD285" s="43" t="n">
        <f aca="false">AC285+AD131+MIN(0,AC284+AD212+AD225+AD224)</f>
        <v>2294.76309277174</v>
      </c>
      <c r="AE285" s="43" t="n">
        <f aca="false">AD285+AE131+MIN(0,AD284+AE212+AE225+AE224)</f>
        <v>2112.78469914775</v>
      </c>
      <c r="AF285" s="20" t="s">
        <v>431</v>
      </c>
    </row>
    <row r="286" customFormat="false" ht="15" hidden="false" customHeight="true" outlineLevel="0" collapsed="false">
      <c r="B286" s="11" t="s">
        <v>432</v>
      </c>
      <c r="F286" s="33" t="n">
        <v>-222</v>
      </c>
      <c r="G286" s="33" t="n">
        <v>-222</v>
      </c>
      <c r="H286" s="33" t="n">
        <v>-207</v>
      </c>
      <c r="I286" s="33" t="n">
        <v>-192</v>
      </c>
      <c r="J286" s="33" t="n">
        <v>-214</v>
      </c>
      <c r="K286" s="33" t="n">
        <v>-217</v>
      </c>
      <c r="L286" s="33" t="n">
        <v>-217</v>
      </c>
      <c r="M286" s="33" t="n">
        <v>-222</v>
      </c>
      <c r="N286" s="33" t="n">
        <v>-225</v>
      </c>
      <c r="O286" s="33" t="n">
        <v>-195</v>
      </c>
      <c r="P286" s="33" t="n">
        <v>-246</v>
      </c>
      <c r="Q286" s="33" t="n">
        <v>-246</v>
      </c>
      <c r="R286" s="33" t="n">
        <v>-228</v>
      </c>
      <c r="S286" s="33" t="n">
        <v>-199</v>
      </c>
      <c r="T286" s="33" t="n">
        <v>-208</v>
      </c>
      <c r="U286" s="33" t="n">
        <v>-187</v>
      </c>
      <c r="V286" s="33" t="n">
        <v>-187</v>
      </c>
      <c r="W286" s="33" t="n">
        <v>-194</v>
      </c>
      <c r="X286" s="33" t="n">
        <v>-194</v>
      </c>
      <c r="Y286" s="32"/>
      <c r="Z286" s="32"/>
      <c r="AA286" s="43" t="n">
        <f aca="false">X286</f>
        <v>-194</v>
      </c>
      <c r="AB286" s="43" t="n">
        <f aca="false">AA286</f>
        <v>-194</v>
      </c>
      <c r="AC286" s="43" t="n">
        <f aca="false">AB286</f>
        <v>-194</v>
      </c>
      <c r="AD286" s="43" t="n">
        <f aca="false">AC286</f>
        <v>-194</v>
      </c>
      <c r="AE286" s="43" t="n">
        <f aca="false">AD286</f>
        <v>-194</v>
      </c>
    </row>
    <row r="287" customFormat="false" ht="15" hidden="false" customHeight="true" outlineLevel="0" collapsed="false">
      <c r="B287" s="51" t="s">
        <v>433</v>
      </c>
      <c r="C287" s="52" t="str">
        <f aca="false">IF(ISNUMBER(C284),SUM(C284:C286),"")</f>
        <v/>
      </c>
      <c r="D287" s="52" t="str">
        <f aca="false">IF(ISNUMBER(D284),SUM(D284:D286),"")</f>
        <v/>
      </c>
      <c r="E287" s="52" t="str">
        <f aca="false">IF(ISNUMBER(E284),SUM(E284:E286),"")</f>
        <v/>
      </c>
      <c r="F287" s="52" t="n">
        <f aca="false">IF(ISNUMBER(F284),SUM(F284:F286),"")</f>
        <v>1012</v>
      </c>
      <c r="G287" s="52" t="n">
        <f aca="false">IF(ISNUMBER(G284),SUM(G284:G286),"")</f>
        <v>1012</v>
      </c>
      <c r="H287" s="52" t="n">
        <f aca="false">IF(ISNUMBER(H284),SUM(H284:H286),"")</f>
        <v>1055</v>
      </c>
      <c r="I287" s="52" t="n">
        <f aca="false">IF(ISNUMBER(I284),SUM(I284:I286),"")</f>
        <v>1119</v>
      </c>
      <c r="J287" s="52" t="n">
        <f aca="false">IF(ISNUMBER(J284),SUM(J284:J286),"")</f>
        <v>1197</v>
      </c>
      <c r="K287" s="52" t="n">
        <f aca="false">IF(ISNUMBER(K284),SUM(K284:K286),"")</f>
        <v>1266</v>
      </c>
      <c r="L287" s="52" t="n">
        <f aca="false">IF(ISNUMBER(L284),SUM(L284:L286),"")</f>
        <v>1266</v>
      </c>
      <c r="M287" s="52" t="n">
        <f aca="false">IF(ISNUMBER(M284),SUM(M284:M286),"")</f>
        <v>1332</v>
      </c>
      <c r="N287" s="52" t="n">
        <f aca="false">IF(ISNUMBER(N284),SUM(N284:N286),"")</f>
        <v>1499</v>
      </c>
      <c r="O287" s="52" t="n">
        <f aca="false">IF(ISNUMBER(O284),SUM(O284:O286),"")</f>
        <v>1641</v>
      </c>
      <c r="P287" s="52" t="n">
        <f aca="false">IF(ISNUMBER(P284),SUM(P284:P286),"")</f>
        <v>1600</v>
      </c>
      <c r="Q287" s="52" t="n">
        <f aca="false">IF(ISNUMBER(Q284),SUM(Q284:Q286),"")</f>
        <v>1600</v>
      </c>
      <c r="R287" s="52" t="n">
        <f aca="false">IF(ISNUMBER(R284),SUM(R284:R286),"")</f>
        <v>1640</v>
      </c>
      <c r="S287" s="52" t="n">
        <f aca="false">IF(ISNUMBER(S284),SUM(S284:S286),"")</f>
        <v>1781</v>
      </c>
      <c r="T287" s="52" t="n">
        <f aca="false">IF(ISNUMBER(T284),SUM(T284:T286),"")</f>
        <v>1817</v>
      </c>
      <c r="U287" s="52" t="n">
        <f aca="false">IF(ISNUMBER(U284),SUM(U284:U286),"")</f>
        <v>1861</v>
      </c>
      <c r="V287" s="52" t="n">
        <f aca="false">IF(ISNUMBER(V284),SUM(V284:V286),"")</f>
        <v>1861</v>
      </c>
      <c r="W287" s="52" t="n">
        <f aca="false">IF(ISNUMBER(W284),SUM(W284:W286),"")</f>
        <v>1850</v>
      </c>
      <c r="X287" s="52" t="n">
        <f aca="false">IF(ISNUMBER(X284),SUM(X284:X286),"")</f>
        <v>1962</v>
      </c>
      <c r="Y287" s="52" t="str">
        <f aca="false">IF(ISNUMBER(Y284),SUM(Y284:Y286),"")</f>
        <v/>
      </c>
      <c r="Z287" s="52" t="str">
        <f aca="false">IF(ISNUMBER(Z284),SUM(Z284:Z286),"")</f>
        <v/>
      </c>
      <c r="AA287" s="52" t="n">
        <f aca="false">IF(ISNUMBER(AA284),SUM(AA284:AA286),"")</f>
        <v>2209.22353980167</v>
      </c>
      <c r="AB287" s="52" t="n">
        <f aca="false">IF(ISNUMBER(AB284),SUM(AB284:AB286),"")</f>
        <v>2545.0931102294</v>
      </c>
      <c r="AC287" s="52" t="n">
        <f aca="false">IF(ISNUMBER(AC284),SUM(AC284:AC286),"")</f>
        <v>2325.4857422693</v>
      </c>
      <c r="AD287" s="52" t="n">
        <f aca="false">IF(ISNUMBER(AD284),SUM(AD284:AD286),"")</f>
        <v>2100.76309277174</v>
      </c>
      <c r="AE287" s="52" t="n">
        <f aca="false">IF(ISNUMBER(AE284),SUM(AE284:AE286),"")</f>
        <v>1918.78469914775</v>
      </c>
    </row>
    <row r="288" customFormat="false" ht="15" hidden="false" customHeight="true" outlineLevel="0" collapsed="false">
      <c r="B288" s="51" t="s">
        <v>434</v>
      </c>
      <c r="C288" s="52" t="str">
        <f aca="false">IF(ISNUMBER(C282),C282+C287,"")</f>
        <v/>
      </c>
      <c r="D288" s="52" t="str">
        <f aca="false">IF(ISNUMBER(D282),D282+D287,"")</f>
        <v/>
      </c>
      <c r="E288" s="52" t="str">
        <f aca="false">IF(ISNUMBER(E282),E282+E287,"")</f>
        <v/>
      </c>
      <c r="F288" s="52" t="n">
        <f aca="false">IF(ISNUMBER(F282),F282+F287,"")</f>
        <v>6269</v>
      </c>
      <c r="G288" s="52" t="n">
        <f aca="false">IF(ISNUMBER(G282),G282+G287,"")</f>
        <v>6269</v>
      </c>
      <c r="H288" s="52" t="n">
        <f aca="false">IF(ISNUMBER(H282),H282+H287,"")</f>
        <v>6348</v>
      </c>
      <c r="I288" s="52" t="n">
        <f aca="false">IF(ISNUMBER(I282),I282+I287,"")</f>
        <v>6352</v>
      </c>
      <c r="J288" s="52" t="n">
        <f aca="false">IF(ISNUMBER(J282),J282+J287,"")</f>
        <v>6428</v>
      </c>
      <c r="K288" s="52" t="n">
        <f aca="false">IF(ISNUMBER(K282),K282+K287,"")</f>
        <v>7492</v>
      </c>
      <c r="L288" s="52" t="n">
        <f aca="false">IF(ISNUMBER(L282),L282+L287,"")</f>
        <v>7492</v>
      </c>
      <c r="M288" s="52" t="n">
        <f aca="false">IF(ISNUMBER(M282),M282+M287,"")</f>
        <v>7603</v>
      </c>
      <c r="N288" s="52" t="n">
        <f aca="false">IF(ISNUMBER(N282),N282+N287,"")</f>
        <v>7729</v>
      </c>
      <c r="O288" s="52" t="n">
        <f aca="false">IF(ISNUMBER(O282),O282+O287,"")</f>
        <v>7923</v>
      </c>
      <c r="P288" s="52" t="n">
        <f aca="false">IF(ISNUMBER(P282),P282+P287,"")</f>
        <v>7712</v>
      </c>
      <c r="Q288" s="52" t="n">
        <f aca="false">IF(ISNUMBER(Q282),Q282+Q287,"")</f>
        <v>7712</v>
      </c>
      <c r="R288" s="52" t="n">
        <f aca="false">IF(ISNUMBER(R282),R282+R287,"")</f>
        <v>7879</v>
      </c>
      <c r="S288" s="52" t="n">
        <f aca="false">IF(ISNUMBER(S282),S282+S287,"")</f>
        <v>8133</v>
      </c>
      <c r="T288" s="52" t="n">
        <f aca="false">IF(ISNUMBER(T282),T282+T287,"")</f>
        <v>8189</v>
      </c>
      <c r="U288" s="52" t="n">
        <f aca="false">IF(ISNUMBER(U282),U282+U287,"")</f>
        <v>8194</v>
      </c>
      <c r="V288" s="52" t="n">
        <f aca="false">IF(ISNUMBER(V282),V282+V287,"")</f>
        <v>8194</v>
      </c>
      <c r="W288" s="52" t="n">
        <f aca="false">IF(ISNUMBER(W282),W282+W287,"")</f>
        <v>8183</v>
      </c>
      <c r="X288" s="52" t="n">
        <f aca="false">IF(ISNUMBER(X282),X282+X287,"")</f>
        <v>8333</v>
      </c>
      <c r="Y288" s="52" t="str">
        <f aca="false">IF(ISNUMBER(Y282),Y282+Y287,"")</f>
        <v/>
      </c>
      <c r="Z288" s="52" t="str">
        <f aca="false">IF(ISNUMBER(Z282),Z282+Z287,"")</f>
        <v/>
      </c>
      <c r="AA288" s="52" t="n">
        <f aca="false">IF(ISNUMBER(AA282),AA282+AA287,"")</f>
        <v>8242.55792147125</v>
      </c>
      <c r="AB288" s="52" t="n">
        <f aca="false">IF(ISNUMBER(AB282),AB282+AB287,"")</f>
        <v>8358.84111579408</v>
      </c>
      <c r="AC288" s="52" t="n">
        <f aca="false">IF(ISNUMBER(AC282),AC282+AC287,"")</f>
        <v>8528.30134942938</v>
      </c>
      <c r="AD288" s="52" t="n">
        <f aca="false">IF(ISNUMBER(AD282),AD282+AD287,"")</f>
        <v>8715.31016689458</v>
      </c>
      <c r="AE288" s="52" t="n">
        <f aca="false">IF(ISNUMBER(AE282),AE282+AE287,"")</f>
        <v>8909.53289536335</v>
      </c>
    </row>
    <row r="289" customFormat="false" ht="15" hidden="false" customHeight="true" outlineLevel="0" collapsed="false">
      <c r="B289" s="49" t="s">
        <v>435</v>
      </c>
      <c r="C289" s="50" t="str">
        <f aca="false">IF(ISNUMBER(C269),ROUND(C269-C288,1),"")</f>
        <v/>
      </c>
      <c r="D289" s="50" t="str">
        <f aca="false">IF(ISNUMBER(D269),ROUND(D269-D288,1),"")</f>
        <v/>
      </c>
      <c r="E289" s="50" t="str">
        <f aca="false">IF(ISNUMBER(E269),ROUND(E269-E288,1),"")</f>
        <v/>
      </c>
      <c r="F289" s="50" t="n">
        <f aca="false">IF(ISNUMBER(F269),ROUND(F269-F288,1),"")</f>
        <v>0</v>
      </c>
      <c r="G289" s="50" t="n">
        <f aca="false">IF(ISNUMBER(G269),ROUND(G269-G288,1),"")</f>
        <v>0</v>
      </c>
      <c r="H289" s="50" t="n">
        <f aca="false">IF(ISNUMBER(H269),ROUND(H269-H288,1),"")</f>
        <v>0</v>
      </c>
      <c r="I289" s="50" t="n">
        <f aca="false">IF(ISNUMBER(I269),ROUND(I269-I288,1),"")</f>
        <v>0</v>
      </c>
      <c r="J289" s="50" t="n">
        <f aca="false">IF(ISNUMBER(J269),ROUND(J269-J288,1),"")</f>
        <v>0</v>
      </c>
      <c r="K289" s="50" t="n">
        <f aca="false">IF(ISNUMBER(K269),ROUND(K269-K288,1),"")</f>
        <v>0</v>
      </c>
      <c r="L289" s="50" t="n">
        <f aca="false">IF(ISNUMBER(L269),ROUND(L269-L288,1),"")</f>
        <v>0</v>
      </c>
      <c r="M289" s="50" t="n">
        <f aca="false">IF(ISNUMBER(M269),ROUND(M269-M288,1),"")</f>
        <v>0</v>
      </c>
      <c r="N289" s="50" t="n">
        <f aca="false">IF(ISNUMBER(N269),ROUND(N269-N288,1),"")</f>
        <v>0</v>
      </c>
      <c r="O289" s="50" t="n">
        <f aca="false">IF(ISNUMBER(O269),ROUND(O269-O288,1),"")</f>
        <v>0</v>
      </c>
      <c r="P289" s="50" t="n">
        <f aca="false">IF(ISNUMBER(P269),ROUND(P269-P288,1),"")</f>
        <v>0</v>
      </c>
      <c r="Q289" s="50" t="n">
        <f aca="false">IF(ISNUMBER(Q269),ROUND(Q269-Q288,1),"")</f>
        <v>0</v>
      </c>
      <c r="R289" s="50" t="n">
        <f aca="false">IF(ISNUMBER(R269),ROUND(R269-R288,1),"")</f>
        <v>0</v>
      </c>
      <c r="S289" s="50" t="n">
        <f aca="false">IF(ISNUMBER(S269),ROUND(S269-S288,1),"")</f>
        <v>0</v>
      </c>
      <c r="T289" s="50" t="n">
        <f aca="false">IF(ISNUMBER(T269),ROUND(T269-T288,1),"")</f>
        <v>0</v>
      </c>
      <c r="U289" s="50" t="n">
        <f aca="false">IF(ISNUMBER(U269),ROUND(U269-U288,1),"")</f>
        <v>0</v>
      </c>
      <c r="V289" s="50" t="n">
        <f aca="false">IF(ISNUMBER(V269),ROUND(V269-V288,1),"")</f>
        <v>0</v>
      </c>
      <c r="W289" s="50" t="n">
        <f aca="false">IF(ISNUMBER(W269),ROUND(W269-W288,1),"")</f>
        <v>0</v>
      </c>
      <c r="X289" s="50" t="n">
        <f aca="false">IF(ISNUMBER(X269),ROUND(X269-X288,1),"")</f>
        <v>0</v>
      </c>
      <c r="Y289" s="43" t="str">
        <f aca="false">IF(ISNUMBER(Y269),ROUND(Y269-Y288,1),"")</f>
        <v/>
      </c>
      <c r="Z289" s="43" t="str">
        <f aca="false">IF(ISNUMBER(Z269),ROUND(Z269-Z288,1),"")</f>
        <v/>
      </c>
      <c r="AA289" s="43" t="n">
        <f aca="false">IF(ISNUMBER(AA269),ROUND(AA269-AA288,1),"")</f>
        <v>0</v>
      </c>
      <c r="AB289" s="43" t="n">
        <f aca="false">IF(ISNUMBER(AB269),ROUND(AB269-AB288,1),"")</f>
        <v>0</v>
      </c>
      <c r="AC289" s="43" t="n">
        <f aca="false">IF(ISNUMBER(AC269),ROUND(AC269-AC288,1),"")</f>
        <v>0</v>
      </c>
      <c r="AD289" s="43" t="n">
        <f aca="false">IF(ISNUMBER(AD269),ROUND(AD269-AD288,1),"")</f>
        <v>0</v>
      </c>
      <c r="AE289" s="43" t="n">
        <f aca="false">IF(ISNUMBER(AE269),ROUND(AE269-AE288,1),"")</f>
        <v>0</v>
      </c>
    </row>
    <row r="290" customFormat="false" ht="15" hidden="false" customHeight="true" outlineLevel="0" collapsed="false">
      <c r="B290" s="49" t="s">
        <v>436</v>
      </c>
      <c r="C290" s="50" t="str">
        <f aca="false">IF(ISNUMBER(C291),ROUND(C269-C291,1),"")</f>
        <v/>
      </c>
      <c r="D290" s="50" t="str">
        <f aca="false">IF(ISNUMBER(D291),ROUND(D269-D291,1),"")</f>
        <v/>
      </c>
      <c r="E290" s="50" t="str">
        <f aca="false">IF(ISNUMBER(E291),ROUND(E269-E291,1),"")</f>
        <v/>
      </c>
      <c r="F290" s="50" t="n">
        <f aca="false">IF(ISNUMBER(F291),ROUND(F269-F291,1),"")</f>
        <v>0</v>
      </c>
      <c r="G290" s="50" t="n">
        <f aca="false">IF(ISNUMBER(G291),ROUND(G269-G291,1),"")</f>
        <v>0</v>
      </c>
      <c r="H290" s="50" t="n">
        <f aca="false">IF(ISNUMBER(H291),ROUND(H269-H291,1),"")</f>
        <v>0</v>
      </c>
      <c r="I290" s="50" t="n">
        <f aca="false">IF(ISNUMBER(I291),ROUND(I269-I291,1),"")</f>
        <v>0</v>
      </c>
      <c r="J290" s="50" t="n">
        <f aca="false">IF(ISNUMBER(J291),ROUND(J269-J291,1),"")</f>
        <v>0</v>
      </c>
      <c r="K290" s="50" t="n">
        <f aca="false">IF(ISNUMBER(K291),ROUND(K269-K291,1),"")</f>
        <v>0</v>
      </c>
      <c r="L290" s="50" t="n">
        <f aca="false">IF(ISNUMBER(L291),ROUND(L269-L291,1),"")</f>
        <v>0</v>
      </c>
      <c r="M290" s="50" t="n">
        <f aca="false">IF(ISNUMBER(M291),ROUND(M269-M291,1),"")</f>
        <v>0</v>
      </c>
      <c r="N290" s="50" t="n">
        <f aca="false">IF(ISNUMBER(N291),ROUND(N269-N291,1),"")</f>
        <v>0</v>
      </c>
      <c r="O290" s="50" t="n">
        <f aca="false">IF(ISNUMBER(O291),ROUND(O269-O291,1),"")</f>
        <v>0</v>
      </c>
      <c r="P290" s="50" t="n">
        <f aca="false">IF(ISNUMBER(P291),ROUND(P269-P291,1),"")</f>
        <v>0</v>
      </c>
      <c r="Q290" s="50" t="n">
        <f aca="false">IF(ISNUMBER(Q291),ROUND(Q269-Q291,1),"")</f>
        <v>0</v>
      </c>
      <c r="R290" s="50" t="n">
        <f aca="false">IF(ISNUMBER(R291),ROUND(R269-R291,1),"")</f>
        <v>0</v>
      </c>
      <c r="S290" s="50" t="n">
        <f aca="false">IF(ISNUMBER(S291),ROUND(S269-S291,1),"")</f>
        <v>0</v>
      </c>
      <c r="T290" s="50" t="n">
        <f aca="false">IF(ISNUMBER(T291),ROUND(T269-T291,1),"")</f>
        <v>0</v>
      </c>
      <c r="U290" s="50" t="n">
        <f aca="false">IF(ISNUMBER(U291),ROUND(U269-U291,1),"")</f>
        <v>0</v>
      </c>
      <c r="V290" s="50" t="n">
        <f aca="false">IF(ISNUMBER(V291),ROUND(V269-V291,1),"")</f>
        <v>0</v>
      </c>
      <c r="W290" s="50" t="n">
        <f aca="false">IF(ISNUMBER(W291),ROUND(W269-W291,1),"")</f>
        <v>0</v>
      </c>
      <c r="X290" s="50" t="n">
        <f aca="false">IF(ISNUMBER(X291),ROUND(X269-X291,1),"")</f>
        <v>0</v>
      </c>
      <c r="Y290" s="43" t="str">
        <f aca="false">IF(ISNUMBER(Y291),ROUND(Y269-Y291,1),"")</f>
        <v/>
      </c>
      <c r="Z290" s="43" t="str">
        <f aca="false">IF(ISNUMBER(Z291),ROUND(Z269-Z291,1),"")</f>
        <v/>
      </c>
      <c r="AA290" s="43" t="str">
        <f aca="false">IF(ISNUMBER(AA291),ROUND(AA269-AA291,1),"")</f>
        <v/>
      </c>
      <c r="AB290" s="43" t="str">
        <f aca="false">IF(ISNUMBER(AB291),ROUND(AB269-AB291,1),"")</f>
        <v/>
      </c>
      <c r="AC290" s="43" t="str">
        <f aca="false">IF(ISNUMBER(AC291),ROUND(AC269-AC291,1),"")</f>
        <v/>
      </c>
      <c r="AD290" s="43" t="str">
        <f aca="false">IF(ISNUMBER(AD291),ROUND(AD269-AD291,1),"")</f>
        <v/>
      </c>
      <c r="AE290" s="43" t="str">
        <f aca="false">IF(ISNUMBER(AE291),ROUND(AE269-AE291,1),"")</f>
        <v/>
      </c>
    </row>
    <row r="291" customFormat="false" ht="15" hidden="false" customHeight="true" outlineLevel="0" collapsed="false">
      <c r="B291" s="58" t="s">
        <v>437</v>
      </c>
      <c r="F291" s="33" t="n">
        <v>6269</v>
      </c>
      <c r="G291" s="33" t="n">
        <v>6269</v>
      </c>
      <c r="H291" s="33" t="n">
        <v>6348</v>
      </c>
      <c r="I291" s="33" t="n">
        <v>6352</v>
      </c>
      <c r="J291" s="33" t="n">
        <v>6428</v>
      </c>
      <c r="K291" s="33" t="n">
        <v>7492</v>
      </c>
      <c r="L291" s="33" t="n">
        <v>7492</v>
      </c>
      <c r="M291" s="33" t="n">
        <v>7603</v>
      </c>
      <c r="N291" s="33" t="n">
        <v>7729</v>
      </c>
      <c r="O291" s="33" t="n">
        <v>7923</v>
      </c>
      <c r="P291" s="33" t="n">
        <v>7712</v>
      </c>
      <c r="Q291" s="33" t="n">
        <v>7712</v>
      </c>
      <c r="R291" s="33" t="n">
        <v>7879</v>
      </c>
      <c r="S291" s="33" t="n">
        <v>8133</v>
      </c>
      <c r="T291" s="33" t="n">
        <v>8189</v>
      </c>
      <c r="U291" s="33" t="n">
        <v>8194</v>
      </c>
      <c r="V291" s="33" t="n">
        <v>8194</v>
      </c>
      <c r="W291" s="33" t="n">
        <v>8183</v>
      </c>
      <c r="X291" s="33" t="n">
        <v>8333</v>
      </c>
      <c r="Y291" s="32"/>
      <c r="Z291" s="32"/>
      <c r="AA291" s="32"/>
      <c r="AB291" s="32"/>
      <c r="AC291" s="32"/>
      <c r="AD291" s="32"/>
      <c r="AE291" s="32"/>
    </row>
    <row r="292" customFormat="false" ht="15" hidden="false" customHeight="true" outlineLevel="0" collapsed="false">
      <c r="B292" s="58" t="s">
        <v>438</v>
      </c>
      <c r="F292" s="33" t="n">
        <v>1630</v>
      </c>
      <c r="G292" s="33" t="n">
        <v>1630</v>
      </c>
      <c r="H292" s="33" t="n">
        <v>1565</v>
      </c>
      <c r="I292" s="33" t="n">
        <v>1522</v>
      </c>
      <c r="J292" s="33" t="n">
        <v>1613</v>
      </c>
      <c r="K292" s="33" t="n">
        <v>1593</v>
      </c>
      <c r="L292" s="33" t="n">
        <v>1593</v>
      </c>
      <c r="M292" s="33" t="n">
        <v>1528</v>
      </c>
      <c r="N292" s="33" t="n">
        <v>1548</v>
      </c>
      <c r="O292" s="33" t="n">
        <v>1654</v>
      </c>
      <c r="P292" s="33" t="n">
        <v>1505</v>
      </c>
      <c r="Q292" s="33" t="n">
        <v>1505</v>
      </c>
      <c r="R292" s="33" t="n">
        <v>1580</v>
      </c>
      <c r="S292" s="33" t="n">
        <v>1623</v>
      </c>
      <c r="T292" s="33" t="n">
        <v>1699</v>
      </c>
      <c r="U292" s="33" t="n">
        <v>1630</v>
      </c>
      <c r="V292" s="33" t="n">
        <v>1630</v>
      </c>
      <c r="W292" s="33" t="n">
        <v>1675</v>
      </c>
      <c r="X292" s="33" t="n">
        <v>1814</v>
      </c>
      <c r="Y292" s="32"/>
      <c r="Z292" s="32"/>
      <c r="AA292" s="32"/>
      <c r="AB292" s="32"/>
      <c r="AC292" s="32"/>
      <c r="AD292" s="32"/>
      <c r="AE292" s="32"/>
    </row>
    <row r="293" customFormat="false" ht="15" hidden="false" customHeight="true" outlineLevel="0" collapsed="false">
      <c r="B293" s="58" t="s">
        <v>439</v>
      </c>
      <c r="F293" s="33" t="n">
        <v>1507</v>
      </c>
      <c r="G293" s="33" t="n">
        <v>1507</v>
      </c>
      <c r="H293" s="33" t="n">
        <v>1546</v>
      </c>
      <c r="I293" s="33" t="n">
        <v>1533</v>
      </c>
      <c r="J293" s="33" t="n">
        <v>1522</v>
      </c>
      <c r="K293" s="33" t="n">
        <v>1590</v>
      </c>
      <c r="L293" s="33" t="n">
        <v>1590</v>
      </c>
      <c r="M293" s="33" t="n">
        <v>1622</v>
      </c>
      <c r="N293" s="33" t="n">
        <v>1542</v>
      </c>
      <c r="O293" s="33" t="n">
        <v>1563</v>
      </c>
      <c r="P293" s="33" t="n">
        <v>1420</v>
      </c>
      <c r="Q293" s="33" t="n">
        <v>1420</v>
      </c>
      <c r="R293" s="33" t="n">
        <v>1551</v>
      </c>
      <c r="S293" s="33" t="n">
        <v>1599</v>
      </c>
      <c r="T293" s="33" t="n">
        <v>1667</v>
      </c>
      <c r="U293" s="33" t="n">
        <v>1555</v>
      </c>
      <c r="V293" s="33" t="n">
        <v>1555</v>
      </c>
      <c r="W293" s="33" t="n">
        <v>1691</v>
      </c>
      <c r="X293" s="33" t="n">
        <v>1794</v>
      </c>
      <c r="Y293" s="32"/>
      <c r="Z293" s="32"/>
      <c r="AA293" s="32"/>
      <c r="AB293" s="32"/>
      <c r="AC293" s="32"/>
      <c r="AD293" s="32"/>
      <c r="AE293" s="32"/>
    </row>
    <row r="294" customFormat="false" ht="15" hidden="false" customHeight="true" outlineLevel="0" collapsed="false">
      <c r="B294" s="58" t="s">
        <v>440</v>
      </c>
      <c r="F294" s="33" t="n">
        <v>6269</v>
      </c>
      <c r="G294" s="33" t="n">
        <v>6269</v>
      </c>
      <c r="H294" s="33" t="n">
        <v>6348</v>
      </c>
      <c r="I294" s="33" t="n">
        <v>6352</v>
      </c>
      <c r="J294" s="33" t="n">
        <v>6428</v>
      </c>
      <c r="K294" s="33" t="n">
        <v>7492</v>
      </c>
      <c r="L294" s="33" t="n">
        <v>7492</v>
      </c>
      <c r="M294" s="33" t="n">
        <v>7603</v>
      </c>
      <c r="N294" s="33" t="n">
        <v>7729</v>
      </c>
      <c r="O294" s="33" t="n">
        <v>7923</v>
      </c>
      <c r="P294" s="33" t="n">
        <v>7712</v>
      </c>
      <c r="Q294" s="33" t="n">
        <v>7712</v>
      </c>
      <c r="R294" s="33" t="n">
        <v>7879</v>
      </c>
      <c r="S294" s="33" t="n">
        <v>8133</v>
      </c>
      <c r="T294" s="33" t="n">
        <v>8189</v>
      </c>
      <c r="U294" s="33" t="n">
        <v>8194</v>
      </c>
      <c r="V294" s="33" t="n">
        <v>8194</v>
      </c>
      <c r="W294" s="33" t="n">
        <v>8183</v>
      </c>
      <c r="X294" s="33" t="n">
        <v>8333</v>
      </c>
      <c r="Y294" s="32"/>
      <c r="Z294" s="32"/>
      <c r="AA294" s="32"/>
      <c r="AB294" s="32"/>
      <c r="AC294" s="32"/>
      <c r="AD294" s="32"/>
      <c r="AE294" s="32"/>
    </row>
    <row r="295" customFormat="false" ht="15" hidden="false" customHeight="true" outlineLevel="0" collapsed="false">
      <c r="B295" s="11" t="s">
        <v>441</v>
      </c>
      <c r="C295" s="50" t="str">
        <f aca="false">IF(AND(ISNUMBER(C232),ISNUMBER(C260)),C232-C260,"")</f>
        <v/>
      </c>
      <c r="D295" s="50" t="str">
        <f aca="false">IF(AND(ISNUMBER(D232),ISNUMBER(D260)),D232-D260,"")</f>
        <v/>
      </c>
      <c r="E295" s="50" t="str">
        <f aca="false">IF(AND(ISNUMBER(E232),ISNUMBER(E260)),E232-E260,"")</f>
        <v/>
      </c>
      <c r="F295" s="50" t="n">
        <f aca="false">IF(AND(ISNUMBER(F232),ISNUMBER(F260)),F232-F260,"")</f>
        <v>10</v>
      </c>
      <c r="G295" s="50" t="n">
        <f aca="false">IF(AND(ISNUMBER(G232),ISNUMBER(G260)),G232-G260,"")</f>
        <v>10</v>
      </c>
      <c r="H295" s="50" t="n">
        <f aca="false">IF(AND(ISNUMBER(H232),ISNUMBER(H260)),H232-H260,"")</f>
        <v>6</v>
      </c>
      <c r="I295" s="50" t="n">
        <f aca="false">IF(AND(ISNUMBER(I232),ISNUMBER(I260)),I232-I260,"")</f>
        <v>7</v>
      </c>
      <c r="J295" s="50" t="n">
        <f aca="false">IF(AND(ISNUMBER(J232),ISNUMBER(J260)),J232-J260,"")</f>
        <v>6</v>
      </c>
      <c r="K295" s="50" t="n">
        <f aca="false">IF(AND(ISNUMBER(K232),ISNUMBER(K260)),K232-K260,"")</f>
        <v>7</v>
      </c>
      <c r="L295" s="50" t="n">
        <f aca="false">IF(AND(ISNUMBER(L232),ISNUMBER(L260)),L232-L260,"")</f>
        <v>7</v>
      </c>
      <c r="M295" s="50" t="n">
        <f aca="false">IF(AND(ISNUMBER(M232),ISNUMBER(M260)),M232-M260,"")</f>
        <v>6</v>
      </c>
      <c r="N295" s="50" t="n">
        <f aca="false">IF(AND(ISNUMBER(N232),ISNUMBER(N260)),N232-N260,"")</f>
        <v>6</v>
      </c>
      <c r="O295" s="50" t="n">
        <f aca="false">IF(AND(ISNUMBER(O232),ISNUMBER(O260)),O232-O260,"")</f>
        <v>7</v>
      </c>
      <c r="P295" s="50" t="n">
        <f aca="false">IF(AND(ISNUMBER(P232),ISNUMBER(P260)),P232-P260,"")</f>
        <v>52</v>
      </c>
      <c r="Q295" s="50" t="n">
        <f aca="false">IF(AND(ISNUMBER(Q232),ISNUMBER(Q260)),Q232-Q260,"")</f>
        <v>52</v>
      </c>
      <c r="R295" s="50" t="n">
        <f aca="false">IF(AND(ISNUMBER(R232),ISNUMBER(R260)),R232-R260,"")</f>
        <v>9</v>
      </c>
      <c r="S295" s="50" t="n">
        <f aca="false">IF(AND(ISNUMBER(S232),ISNUMBER(S260)),S232-S260,"")</f>
        <v>8</v>
      </c>
      <c r="T295" s="50" t="n">
        <f aca="false">IF(AND(ISNUMBER(T232),ISNUMBER(T260)),T232-T260,"")</f>
        <v>6</v>
      </c>
      <c r="U295" s="50" t="n">
        <f aca="false">IF(AND(ISNUMBER(U232),ISNUMBER(U260)),U232-U260,"")</f>
        <v>20</v>
      </c>
      <c r="V295" s="50" t="n">
        <f aca="false">IF(AND(ISNUMBER(V232),ISNUMBER(V260)),V232-V260,"")</f>
        <v>20</v>
      </c>
      <c r="W295" s="50" t="n">
        <f aca="false">IF(AND(ISNUMBER(W232),ISNUMBER(W260)),W232-W260,"")</f>
        <v>20</v>
      </c>
      <c r="X295" s="50" t="n">
        <f aca="false">IF(AND(ISNUMBER(X232),ISNUMBER(X260)),X232-X260,"")</f>
        <v>16</v>
      </c>
      <c r="Y295" s="32"/>
      <c r="Z295" s="32"/>
      <c r="AA295" s="43" t="n">
        <f aca="false">X295</f>
        <v>16</v>
      </c>
      <c r="AB295" s="43" t="n">
        <f aca="false">AA295</f>
        <v>16</v>
      </c>
      <c r="AC295" s="43" t="n">
        <f aca="false">AB295</f>
        <v>16</v>
      </c>
      <c r="AD295" s="43" t="n">
        <f aca="false">AC295</f>
        <v>16</v>
      </c>
      <c r="AE295" s="43" t="n">
        <f aca="false">AD295</f>
        <v>16</v>
      </c>
      <c r="AF295" s="20" t="s">
        <v>442</v>
      </c>
    </row>
    <row r="296" customFormat="false" ht="15" hidden="false" customHeight="true" outlineLevel="0" collapsed="false">
      <c r="B296" s="11" t="s">
        <v>443</v>
      </c>
      <c r="D296" s="65" t="n">
        <v>115.039684</v>
      </c>
      <c r="E296" s="65" t="n">
        <v>115.162555</v>
      </c>
      <c r="F296" s="65" t="n">
        <v>115.503001</v>
      </c>
      <c r="G296" s="65" t="n">
        <v>115.503001</v>
      </c>
      <c r="H296" s="65" t="n">
        <v>115.857013</v>
      </c>
      <c r="I296" s="65" t="n">
        <v>115.96717</v>
      </c>
      <c r="J296" s="65" t="n">
        <v>115.97317</v>
      </c>
      <c r="K296" s="65" t="n">
        <v>116.112873</v>
      </c>
      <c r="L296" s="65" t="n">
        <v>116.112873</v>
      </c>
      <c r="M296" s="65" t="n">
        <v>116.330522</v>
      </c>
      <c r="N296" s="65" t="n">
        <v>116.392944</v>
      </c>
      <c r="O296" s="65" t="n">
        <v>116.40189</v>
      </c>
      <c r="P296" s="65" t="n">
        <v>117.242596</v>
      </c>
      <c r="Q296" s="65" t="n">
        <v>117.242596</v>
      </c>
      <c r="R296" s="65" t="n">
        <v>117.806539</v>
      </c>
      <c r="S296" s="65" t="n">
        <v>117.762083</v>
      </c>
      <c r="T296" s="65" t="n">
        <v>117.384263</v>
      </c>
      <c r="U296" s="65" t="n">
        <v>117.147357</v>
      </c>
      <c r="V296" s="65" t="n">
        <v>117.147357</v>
      </c>
      <c r="W296" s="65" t="n">
        <v>117.409981</v>
      </c>
      <c r="X296" s="65" t="n">
        <v>117.086465</v>
      </c>
      <c r="Y296" s="32"/>
      <c r="Z296" s="32"/>
      <c r="AA296" s="41" t="n">
        <f aca="false">AA254</f>
        <v>116.730909444444</v>
      </c>
      <c r="AB296" s="41" t="n">
        <f aca="false">AB254</f>
        <v>115.358621038154</v>
      </c>
      <c r="AC296" s="41" t="n">
        <f aca="false">AC254</f>
        <v>110.78811544153</v>
      </c>
      <c r="AD296" s="41" t="n">
        <f aca="false">AD254</f>
        <v>106.006217866303</v>
      </c>
      <c r="AE296" s="41" t="n">
        <f aca="false">AE254</f>
        <v>101.414265849051</v>
      </c>
    </row>
    <row r="297" customFormat="false" ht="15" hidden="false" customHeight="true" outlineLevel="0" collapsed="false">
      <c r="B297" s="11"/>
    </row>
    <row r="298" customFormat="false" ht="15" hidden="false" customHeight="true" outlineLevel="0" collapsed="false">
      <c r="B298" s="10" t="s">
        <v>444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 t="s">
        <v>445</v>
      </c>
    </row>
    <row r="299" customFormat="false" ht="15" hidden="false" customHeight="true" outlineLevel="0" collapsed="false">
      <c r="B299" s="11" t="s">
        <v>446</v>
      </c>
      <c r="C299" s="50" t="n">
        <f aca="false">C106</f>
        <v>1894</v>
      </c>
      <c r="D299" s="50" t="n">
        <f aca="false">D106</f>
        <v>2047</v>
      </c>
      <c r="E299" s="50" t="n">
        <f aca="false">E106</f>
        <v>1946</v>
      </c>
      <c r="F299" s="50" t="n">
        <f aca="false">F106</f>
        <v>1831</v>
      </c>
      <c r="G299" s="50" t="n">
        <f aca="false">G106</f>
        <v>7718</v>
      </c>
      <c r="H299" s="50" t="n">
        <f aca="false">H106</f>
        <v>1907</v>
      </c>
      <c r="I299" s="50" t="n">
        <f aca="false">I106</f>
        <v>1917</v>
      </c>
      <c r="J299" s="50" t="n">
        <f aca="false">J106</f>
        <v>1980</v>
      </c>
      <c r="K299" s="50" t="n">
        <f aca="false">K106</f>
        <v>1940</v>
      </c>
      <c r="L299" s="50" t="n">
        <f aca="false">L106</f>
        <v>7744</v>
      </c>
      <c r="M299" s="50" t="n">
        <f aca="false">M106</f>
        <v>2018</v>
      </c>
      <c r="N299" s="50" t="n">
        <f aca="false">N106</f>
        <v>2079</v>
      </c>
      <c r="O299" s="50" t="n">
        <f aca="false">O106</f>
        <v>2053</v>
      </c>
      <c r="P299" s="50" t="n">
        <f aca="false">P106</f>
        <v>1921</v>
      </c>
      <c r="Q299" s="50" t="n">
        <f aca="false">Q106</f>
        <v>8072</v>
      </c>
      <c r="R299" s="50" t="n">
        <f aca="false">R106</f>
        <v>1954</v>
      </c>
      <c r="S299" s="50" t="n">
        <f aca="false">S106</f>
        <v>2080</v>
      </c>
      <c r="T299" s="50" t="n">
        <f aca="false">T106</f>
        <v>2111</v>
      </c>
      <c r="U299" s="50" t="n">
        <f aca="false">U106</f>
        <v>2011</v>
      </c>
      <c r="V299" s="50" t="n">
        <f aca="false">V106</f>
        <v>8157</v>
      </c>
      <c r="W299" s="50" t="n">
        <f aca="false">W106</f>
        <v>2096</v>
      </c>
      <c r="X299" s="50" t="n">
        <f aca="false">X106</f>
        <v>2355</v>
      </c>
      <c r="Y299" s="43" t="n">
        <f aca="false">Y106</f>
        <v>2416.06194494789</v>
      </c>
      <c r="Z299" s="43" t="n">
        <f aca="false">Z106</f>
        <v>2313.5615012902</v>
      </c>
      <c r="AA299" s="43" t="n">
        <f aca="false">AA106</f>
        <v>9180.62344623809</v>
      </c>
      <c r="AB299" s="43" t="n">
        <f aca="false">AB106</f>
        <v>9462.87058629062</v>
      </c>
      <c r="AC299" s="43" t="n">
        <f aca="false">AC106</f>
        <v>10009.7483705354</v>
      </c>
      <c r="AD299" s="43" t="n">
        <f aca="false">AD106</f>
        <v>10561.2015159701</v>
      </c>
      <c r="AE299" s="43" t="n">
        <f aca="false">AE106</f>
        <v>11113.5362107689</v>
      </c>
    </row>
    <row r="300" customFormat="false" ht="15" hidden="false" customHeight="true" outlineLevel="0" collapsed="false">
      <c r="B300" s="11" t="s">
        <v>226</v>
      </c>
      <c r="C300" s="50" t="n">
        <f aca="false">C113</f>
        <v>1724</v>
      </c>
      <c r="D300" s="50" t="n">
        <f aca="false">D113</f>
        <v>1771</v>
      </c>
      <c r="E300" s="50" t="n">
        <f aca="false">E113</f>
        <v>1699</v>
      </c>
      <c r="F300" s="50" t="n">
        <f aca="false">F113</f>
        <v>1583</v>
      </c>
      <c r="G300" s="50" t="n">
        <f aca="false">G113</f>
        <v>6777</v>
      </c>
      <c r="H300" s="50" t="n">
        <f aca="false">H113</f>
        <v>1702</v>
      </c>
      <c r="I300" s="50" t="n">
        <f aca="false">I113</f>
        <v>1676</v>
      </c>
      <c r="J300" s="50" t="n">
        <f aca="false">J113</f>
        <v>1707</v>
      </c>
      <c r="K300" s="50" t="n">
        <f aca="false">K113</f>
        <v>1679</v>
      </c>
      <c r="L300" s="50" t="n">
        <f aca="false">L113</f>
        <v>6764</v>
      </c>
      <c r="M300" s="50" t="n">
        <f aca="false">M113</f>
        <v>1740</v>
      </c>
      <c r="N300" s="50" t="n">
        <f aca="false">N113</f>
        <v>1742</v>
      </c>
      <c r="O300" s="50" t="n">
        <f aca="false">O113</f>
        <v>1735</v>
      </c>
      <c r="P300" s="50" t="n">
        <f aca="false">P113</f>
        <v>1624</v>
      </c>
      <c r="Q300" s="50" t="n">
        <f aca="false">Q113</f>
        <v>6841</v>
      </c>
      <c r="R300" s="50" t="n">
        <f aca="false">R113</f>
        <v>1676</v>
      </c>
      <c r="S300" s="50" t="n">
        <f aca="false">S113</f>
        <v>1741</v>
      </c>
      <c r="T300" s="50" t="n">
        <f aca="false">T113</f>
        <v>1771</v>
      </c>
      <c r="U300" s="50" t="n">
        <f aca="false">U113</f>
        <v>1700</v>
      </c>
      <c r="V300" s="50" t="n">
        <f aca="false">V113</f>
        <v>6890</v>
      </c>
      <c r="W300" s="50" t="n">
        <f aca="false">W113</f>
        <v>1780</v>
      </c>
      <c r="X300" s="50" t="n">
        <f aca="false">X113</f>
        <v>1924</v>
      </c>
      <c r="Y300" s="43" t="n">
        <f aca="false">Y113</f>
        <v>1985.13153867921</v>
      </c>
      <c r="Z300" s="43" t="n">
        <f aca="false">Z113</f>
        <v>1931.82327832696</v>
      </c>
      <c r="AA300" s="43" t="n">
        <f aca="false">AA113</f>
        <v>7620.95481700617</v>
      </c>
      <c r="AB300" s="43" t="n">
        <f aca="false">AB113</f>
        <v>7729.06848097567</v>
      </c>
      <c r="AC300" s="43" t="n">
        <f aca="false">AC113</f>
        <v>8080.30074086166</v>
      </c>
      <c r="AD300" s="43" t="n">
        <f aca="false">AD113</f>
        <v>8426.34443712711</v>
      </c>
      <c r="AE300" s="43" t="n">
        <f aca="false">AE113</f>
        <v>8809.8144346537</v>
      </c>
    </row>
    <row r="301" customFormat="false" ht="15" hidden="false" customHeight="true" outlineLevel="0" collapsed="false">
      <c r="B301" s="11" t="s">
        <v>447</v>
      </c>
      <c r="C301" s="36" t="n">
        <f aca="false">IFERROR(C261/C299*91.25,"n/a")</f>
        <v>0</v>
      </c>
      <c r="D301" s="36" t="n">
        <f aca="false">IFERROR(D261/D299*91.25,"n/a")</f>
        <v>0</v>
      </c>
      <c r="E301" s="36" t="n">
        <f aca="false">IFERROR(E261/E299*91.25,"n/a")</f>
        <v>0</v>
      </c>
      <c r="F301" s="36" t="n">
        <f aca="false">IFERROR(F261/F299*91.25,"n/a")</f>
        <v>47.5436919716002</v>
      </c>
      <c r="G301" s="36" t="n">
        <f aca="false">IFERROR(G261/G299*365,"n/a")</f>
        <v>45.1166105208603</v>
      </c>
      <c r="H301" s="36" t="n">
        <f aca="false">IFERROR(H261/H299*91.25,"n/a")</f>
        <v>48.7591767173571</v>
      </c>
      <c r="I301" s="36" t="n">
        <f aca="false">IFERROR(I261/I299*91.25,"n/a")</f>
        <v>47.981220657277</v>
      </c>
      <c r="J301" s="36" t="n">
        <f aca="false">IFERROR(J261/J299*91.25,"n/a")</f>
        <v>48.8049242424242</v>
      </c>
      <c r="K301" s="36" t="n">
        <f aca="false">IFERROR(K261/K299*91.25,"n/a")</f>
        <v>45.7661082474227</v>
      </c>
      <c r="L301" s="36" t="n">
        <f aca="false">IFERROR(L261/L299*365,"n/a")</f>
        <v>45.8606663223141</v>
      </c>
      <c r="M301" s="36" t="n">
        <f aca="false">IFERROR(M261/M299*91.25,"n/a")</f>
        <v>48.6998265609514</v>
      </c>
      <c r="N301" s="36" t="n">
        <f aca="false">IFERROR(N261/N299*91.25,"n/a")</f>
        <v>47.7537277537278</v>
      </c>
      <c r="O301" s="36" t="n">
        <f aca="false">IFERROR(O261/O299*91.25,"n/a")</f>
        <v>47.2917681441793</v>
      </c>
      <c r="P301" s="36" t="n">
        <f aca="false">IFERROR(P261/P299*91.25,"n/a")</f>
        <v>46.408771473191</v>
      </c>
      <c r="Q301" s="36" t="n">
        <f aca="false">IFERROR(Q261/Q299*365,"n/a")</f>
        <v>44.1780227948464</v>
      </c>
      <c r="R301" s="36" t="n">
        <f aca="false">IFERROR(R261/R299*91.25,"n/a")</f>
        <v>50.5751023541453</v>
      </c>
      <c r="S301" s="36" t="n">
        <f aca="false">IFERROR(S261/S299*91.25,"n/a")</f>
        <v>49.6610576923077</v>
      </c>
      <c r="T301" s="36" t="n">
        <f aca="false">IFERROR(T261/T299*91.25,"n/a")</f>
        <v>47.6782330648981</v>
      </c>
      <c r="U301" s="36" t="n">
        <f aca="false">IFERROR(U261/U299*91.25,"n/a")</f>
        <v>46.9635753356539</v>
      </c>
      <c r="V301" s="36" t="n">
        <f aca="false">IFERROR(V261/V299*365,"n/a")</f>
        <v>46.3129827142332</v>
      </c>
      <c r="W301" s="36" t="n">
        <f aca="false">IFERROR(W261/W299*91.25,"n/a")</f>
        <v>50.6315601145038</v>
      </c>
      <c r="X301" s="36" t="n">
        <f aca="false">IFERROR(X261/X299*91.25,"n/a")</f>
        <v>49.0928874734607</v>
      </c>
      <c r="Y301" s="32"/>
      <c r="Z301" s="32"/>
      <c r="AA301" s="19" t="n">
        <v>46</v>
      </c>
      <c r="AB301" s="19" t="n">
        <v>46</v>
      </c>
      <c r="AC301" s="19" t="n">
        <v>46</v>
      </c>
      <c r="AD301" s="19" t="n">
        <v>46</v>
      </c>
      <c r="AE301" s="19" t="n">
        <v>46</v>
      </c>
      <c r="AF301" s="20" t="s">
        <v>448</v>
      </c>
    </row>
    <row r="302" customFormat="false" ht="15" hidden="false" customHeight="true" outlineLevel="0" collapsed="false">
      <c r="B302" s="11" t="s">
        <v>449</v>
      </c>
      <c r="C302" s="36" t="n">
        <f aca="false">IFERROR(C271/C300*91.25,"n/a")</f>
        <v>0</v>
      </c>
      <c r="D302" s="36" t="n">
        <f aca="false">IFERROR(D271/D300*91.25,"n/a")</f>
        <v>0</v>
      </c>
      <c r="E302" s="36" t="n">
        <f aca="false">IFERROR(E271/E300*91.25,"n/a")</f>
        <v>0</v>
      </c>
      <c r="F302" s="36" t="n">
        <f aca="false">IFERROR(F271/F300*91.25,"n/a")</f>
        <v>30.032375236892</v>
      </c>
      <c r="G302" s="36" t="n">
        <f aca="false">IFERROR(G271/G300*365,"n/a")</f>
        <v>28.0603511878412</v>
      </c>
      <c r="H302" s="36" t="n">
        <f aca="false">IFERROR(H271/H300*91.25,"n/a")</f>
        <v>27.0747649823737</v>
      </c>
      <c r="I302" s="36" t="n">
        <f aca="false">IFERROR(I271/I300*91.25,"n/a")</f>
        <v>25.2625298329356</v>
      </c>
      <c r="J302" s="36" t="n">
        <f aca="false">IFERROR(J271/J300*91.25,"n/a")</f>
        <v>25.284856473345</v>
      </c>
      <c r="K302" s="36" t="n">
        <f aca="false">IFERROR(K271/K300*91.25,"n/a")</f>
        <v>28.9130434782609</v>
      </c>
      <c r="L302" s="36" t="n">
        <f aca="false">IFERROR(L271/L300*365,"n/a")</f>
        <v>28.7078651685393</v>
      </c>
      <c r="M302" s="36" t="n">
        <f aca="false">IFERROR(M271/M300*91.25,"n/a")</f>
        <v>29.8922413793103</v>
      </c>
      <c r="N302" s="36" t="n">
        <f aca="false">IFERROR(N271/N300*91.25,"n/a")</f>
        <v>24.9863662456946</v>
      </c>
      <c r="O302" s="36" t="n">
        <f aca="false">IFERROR(O271/O300*91.25,"n/a")</f>
        <v>23.4041786743516</v>
      </c>
      <c r="P302" s="36" t="n">
        <f aca="false">IFERROR(P271/P300*91.25,"n/a")</f>
        <v>26.8018780788177</v>
      </c>
      <c r="Q302" s="36" t="n">
        <f aca="false">IFERROR(Q271/Q300*365,"n/a")</f>
        <v>25.4502265750621</v>
      </c>
      <c r="R302" s="36" t="n">
        <f aca="false">IFERROR(R271/R300*91.25,"n/a")</f>
        <v>27.2769988066826</v>
      </c>
      <c r="S302" s="36" t="n">
        <f aca="false">IFERROR(S271/S300*91.25,"n/a")</f>
        <v>26.1013785180931</v>
      </c>
      <c r="T302" s="36" t="n">
        <f aca="false">IFERROR(T271/T300*91.25,"n/a")</f>
        <v>23.9589215132693</v>
      </c>
      <c r="U302" s="36" t="n">
        <f aca="false">IFERROR(U271/U300*91.25,"n/a")</f>
        <v>24.4227941176471</v>
      </c>
      <c r="V302" s="36" t="n">
        <f aca="false">IFERROR(V271/V300*365,"n/a")</f>
        <v>24.1037735849057</v>
      </c>
      <c r="W302" s="36" t="n">
        <f aca="false">IFERROR(W271/W300*91.25,"n/a")</f>
        <v>23.6839887640449</v>
      </c>
      <c r="X302" s="36" t="n">
        <f aca="false">IFERROR(X271/X300*91.25,"n/a")</f>
        <v>23.0496361746362</v>
      </c>
      <c r="Y302" s="32"/>
      <c r="Z302" s="32"/>
      <c r="AA302" s="19" t="n">
        <v>25</v>
      </c>
      <c r="AB302" s="19" t="n">
        <v>25</v>
      </c>
      <c r="AC302" s="19" t="n">
        <v>25</v>
      </c>
      <c r="AD302" s="19" t="n">
        <v>25</v>
      </c>
      <c r="AE302" s="19" t="n">
        <v>25</v>
      </c>
    </row>
    <row r="303" customFormat="false" ht="15" hidden="false" customHeight="true" outlineLevel="0" collapsed="false">
      <c r="B303" s="11" t="s">
        <v>450</v>
      </c>
      <c r="C303" s="42" t="n">
        <f aca="false">IFERROR(C272/(C299*4),"n/a")</f>
        <v>0</v>
      </c>
      <c r="D303" s="42" t="n">
        <f aca="false">IFERROR(D272/(D299*4),"n/a")</f>
        <v>0</v>
      </c>
      <c r="E303" s="42" t="n">
        <f aca="false">IFERROR(E272/(E299*4),"n/a")</f>
        <v>0</v>
      </c>
      <c r="F303" s="42" t="n">
        <f aca="false">IFERROR(F272/(F299*4),"n/a")</f>
        <v>0.105679956308028</v>
      </c>
      <c r="G303" s="42" t="n">
        <f aca="false">IFERROR(G272/(G299*1),"n/a")</f>
        <v>0.100285047939881</v>
      </c>
      <c r="H303" s="42" t="n">
        <f aca="false">IFERROR(H272/(H299*4),"n/a")</f>
        <v>0.103828002097535</v>
      </c>
      <c r="I303" s="42" t="n">
        <f aca="false">IFERROR(I272/(I299*4),"n/a")</f>
        <v>0.104329681794471</v>
      </c>
      <c r="J303" s="42" t="n">
        <f aca="false">IFERROR(J272/(J299*4),"n/a")</f>
        <v>0.104419191919192</v>
      </c>
      <c r="K303" s="42" t="n">
        <f aca="false">IFERROR(K272/(K299*4),"n/a")</f>
        <v>0.0998711340206186</v>
      </c>
      <c r="L303" s="42" t="n">
        <f aca="false">IFERROR(L272/(L299*1),"n/a")</f>
        <v>0.100077479338843</v>
      </c>
      <c r="M303" s="42" t="n">
        <f aca="false">IFERROR(M272/(M299*4),"n/a")</f>
        <v>0.0968780971258672</v>
      </c>
      <c r="N303" s="42" t="n">
        <f aca="false">IFERROR(N272/(N299*4),"n/a")</f>
        <v>0.0928330928330928</v>
      </c>
      <c r="O303" s="42" t="n">
        <f aca="false">IFERROR(O272/(O299*4),"n/a")</f>
        <v>0.0980272771553824</v>
      </c>
      <c r="P303" s="42" t="n">
        <f aca="false">IFERROR(P272/(P299*4),"n/a")</f>
        <v>0.0921395106715253</v>
      </c>
      <c r="Q303" s="42" t="n">
        <f aca="false">IFERROR(Q272/(Q299*1),"n/a")</f>
        <v>0.0877106045589693</v>
      </c>
      <c r="R303" s="42" t="n">
        <f aca="false">IFERROR(R272/(R299*4),"n/a")</f>
        <v>0.0969805527123849</v>
      </c>
      <c r="S303" s="42" t="n">
        <f aca="false">IFERROR(S272/(S299*4),"n/a")</f>
        <v>0.0933894230769231</v>
      </c>
      <c r="T303" s="42" t="n">
        <f aca="false">IFERROR(T272/(T299*4),"n/a")</f>
        <v>0.0966366650876362</v>
      </c>
      <c r="U303" s="42" t="n">
        <f aca="false">IFERROR(U272/(U299*4),"n/a")</f>
        <v>0.0944803580308304</v>
      </c>
      <c r="V303" s="42" t="n">
        <f aca="false">IFERROR(V272/(V299*1),"n/a")</f>
        <v>0.0931715091332598</v>
      </c>
      <c r="W303" s="42" t="n">
        <f aca="false">IFERROR(W272/(W299*4),"n/a")</f>
        <v>0.0954198473282443</v>
      </c>
      <c r="X303" s="42" t="n">
        <f aca="false">IFERROR(X272/(X299*4),"n/a")</f>
        <v>0.0873673036093418</v>
      </c>
      <c r="Y303" s="32"/>
      <c r="Z303" s="32"/>
      <c r="AA303" s="29" t="n">
        <v>0.093</v>
      </c>
      <c r="AB303" s="29" t="n">
        <v>0.093</v>
      </c>
      <c r="AC303" s="29" t="n">
        <v>0.093</v>
      </c>
      <c r="AD303" s="29" t="n">
        <v>0.093</v>
      </c>
      <c r="AE303" s="29" t="n">
        <v>0.093</v>
      </c>
    </row>
    <row r="304" customFormat="false" ht="15" hidden="false" customHeight="true" outlineLevel="0" collapsed="false">
      <c r="B304" s="11" t="s">
        <v>451</v>
      </c>
      <c r="C304" s="50" t="str">
        <f aca="false">IF(ISNUMBER(C261),C261-C271-C272,"n/a")</f>
        <v>n/a</v>
      </c>
      <c r="D304" s="50" t="str">
        <f aca="false">IF(ISNUMBER(D261),D261-D271-D272,"n/a")</f>
        <v>n/a</v>
      </c>
      <c r="E304" s="50" t="str">
        <f aca="false">IF(ISNUMBER(E261),E261-E271-E272,"n/a")</f>
        <v>n/a</v>
      </c>
      <c r="F304" s="50" t="n">
        <f aca="false">IF(ISNUMBER(F261),F261-F271-F272,"n/a")</f>
        <v>-341</v>
      </c>
      <c r="G304" s="50" t="n">
        <f aca="false">IF(ISNUMBER(G261),G261-G271-G272,"n/a")</f>
        <v>-341</v>
      </c>
      <c r="H304" s="50" t="n">
        <f aca="false">IF(ISNUMBER(H261),H261-H271-H272,"n/a")</f>
        <v>-278</v>
      </c>
      <c r="I304" s="50" t="n">
        <f aca="false">IF(ISNUMBER(I261),I261-I271-I272,"n/a")</f>
        <v>-256</v>
      </c>
      <c r="J304" s="50" t="n">
        <f aca="false">IF(ISNUMBER(J261),J261-J271-J272,"n/a")</f>
        <v>-241</v>
      </c>
      <c r="K304" s="50" t="n">
        <f aca="false">IF(ISNUMBER(K261),K261-K271-K272,"n/a")</f>
        <v>-334</v>
      </c>
      <c r="L304" s="50" t="n">
        <f aca="false">IF(ISNUMBER(L261),L261-L271-L272,"n/a")</f>
        <v>-334</v>
      </c>
      <c r="M304" s="50" t="n">
        <f aca="false">IF(ISNUMBER(M261),M261-M271-M272,"n/a")</f>
        <v>-275</v>
      </c>
      <c r="N304" s="50" t="n">
        <f aca="false">IF(ISNUMBER(N261),N261-N271-N272,"n/a")</f>
        <v>-161</v>
      </c>
      <c r="O304" s="50" t="n">
        <f aca="false">IF(ISNUMBER(O261),O261-O271-O272,"n/a")</f>
        <v>-186</v>
      </c>
      <c r="P304" s="50" t="n">
        <f aca="false">IF(ISNUMBER(P261),P261-P271-P272,"n/a")</f>
        <v>-208</v>
      </c>
      <c r="Q304" s="50" t="n">
        <f aca="false">IF(ISNUMBER(Q261),Q261-Q271-Q272,"n/a")</f>
        <v>-208</v>
      </c>
      <c r="R304" s="50" t="n">
        <f aca="false">IF(ISNUMBER(R261),R261-R271-R272,"n/a")</f>
        <v>-176</v>
      </c>
      <c r="S304" s="50" t="n">
        <f aca="false">IF(ISNUMBER(S261),S261-S271-S272,"n/a")</f>
        <v>-143</v>
      </c>
      <c r="T304" s="50" t="n">
        <f aca="false">IF(ISNUMBER(T261),T261-T271-T272,"n/a")</f>
        <v>-178</v>
      </c>
      <c r="U304" s="50" t="n">
        <f aca="false">IF(ISNUMBER(U261),U261-U271-U272,"n/a")</f>
        <v>-180</v>
      </c>
      <c r="V304" s="50" t="n">
        <f aca="false">IF(ISNUMBER(V261),V261-V271-V272,"n/a")</f>
        <v>-180</v>
      </c>
      <c r="W304" s="50" t="n">
        <f aca="false">IF(ISNUMBER(W261),W261-W271-W272,"n/a")</f>
        <v>-99</v>
      </c>
      <c r="X304" s="50" t="n">
        <f aca="false">IF(ISNUMBER(X261),X261-X271-X272,"n/a")</f>
        <v>-42</v>
      </c>
      <c r="Y304" s="43" t="str">
        <f aca="false">IF(ISNUMBER(Y261),Y261-Y271-Y272,"n/a")</f>
        <v>n/a</v>
      </c>
      <c r="Z304" s="43" t="str">
        <f aca="false">IF(ISNUMBER(Z261),Z261-Z271-Z272,"n/a")</f>
        <v>n/a</v>
      </c>
      <c r="AA304" s="43" t="n">
        <f aca="false">IF(ISNUMBER(AA261),AA261-AA271-AA272,"n/a")</f>
        <v>-218.771108988367</v>
      </c>
      <c r="AB304" s="43" t="n">
        <f aca="false">IF(ISNUMBER(AB261),AB261-AB271-AB272,"n/a")</f>
        <v>-216.854266045639</v>
      </c>
      <c r="AC304" s="43" t="n">
        <f aca="false">IF(ISNUMBER(AC261),AC261-AC271-AC272,"n/a")</f>
        <v>-222.849320314348</v>
      </c>
      <c r="AD304" s="43" t="n">
        <f aca="false">IF(ISNUMBER(AD261),AD261-AD271-AD272,"n/a")</f>
        <v>-228.33788124153</v>
      </c>
      <c r="AE304" s="43" t="n">
        <f aca="false">IF(ISNUMBER(AE261),AE261-AE271-AE272,"n/a")</f>
        <v>-236.360772179517</v>
      </c>
    </row>
    <row r="305" customFormat="false" ht="15" hidden="false" customHeight="true" outlineLevel="0" collapsed="false">
      <c r="B305" s="11" t="s">
        <v>452</v>
      </c>
      <c r="C305" s="42" t="str">
        <f aca="false">IFERROR(C304/(C299*4),"n/a")</f>
        <v>n/a</v>
      </c>
      <c r="D305" s="42" t="str">
        <f aca="false">IFERROR(D304/(D299*4),"n/a")</f>
        <v>n/a</v>
      </c>
      <c r="E305" s="42" t="str">
        <f aca="false">IFERROR(E304/(E299*4),"n/a")</f>
        <v>n/a</v>
      </c>
      <c r="F305" s="42" t="n">
        <f aca="false">IFERROR(F304/(F299*4),"n/a")</f>
        <v>-0.0465592572364828</v>
      </c>
      <c r="G305" s="42" t="n">
        <f aca="false">IFERROR(G304/(G299*1),"n/a")</f>
        <v>-0.0441824306815237</v>
      </c>
      <c r="H305" s="42" t="n">
        <f aca="false">IFERROR(H304/(H299*4),"n/a")</f>
        <v>-0.0364446775039329</v>
      </c>
      <c r="I305" s="42" t="n">
        <f aca="false">IFERROR(I304/(I299*4),"n/a")</f>
        <v>-0.0333854981742306</v>
      </c>
      <c r="J305" s="42" t="n">
        <f aca="false">IFERROR(J304/(J299*4),"n/a")</f>
        <v>-0.0304292929292929</v>
      </c>
      <c r="K305" s="42" t="n">
        <f aca="false">IFERROR(K304/(K299*4),"n/a")</f>
        <v>-0.0430412371134021</v>
      </c>
      <c r="L305" s="42" t="n">
        <f aca="false">IFERROR(L304/(L299*1),"n/a")</f>
        <v>-0.0431301652892562</v>
      </c>
      <c r="M305" s="42" t="n">
        <f aca="false">IFERROR(M304/(M299*4),"n/a")</f>
        <v>-0.0340683845391477</v>
      </c>
      <c r="N305" s="42" t="n">
        <f aca="false">IFERROR(N304/(N299*4),"n/a")</f>
        <v>-0.0193602693602694</v>
      </c>
      <c r="O305" s="42" t="n">
        <f aca="false">IFERROR(O304/(O299*4),"n/a")</f>
        <v>-0.0226497808085728</v>
      </c>
      <c r="P305" s="42" t="n">
        <f aca="false">IFERROR(P304/(P299*4),"n/a")</f>
        <v>-0.0270692347735554</v>
      </c>
      <c r="Q305" s="42" t="n">
        <f aca="false">IFERROR(Q304/(Q299*1),"n/a")</f>
        <v>-0.0257680872150644</v>
      </c>
      <c r="R305" s="42" t="n">
        <f aca="false">IFERROR(R304/(R299*4),"n/a")</f>
        <v>-0.022517911975435</v>
      </c>
      <c r="S305" s="42" t="n">
        <f aca="false">IFERROR(S304/(S299*4),"n/a")</f>
        <v>-0.0171875</v>
      </c>
      <c r="T305" s="42" t="n">
        <f aca="false">IFERROR(T304/(T299*4),"n/a")</f>
        <v>-0.0210800568450971</v>
      </c>
      <c r="U305" s="42" t="n">
        <f aca="false">IFERROR(U304/(U299*4),"n/a")</f>
        <v>-0.0223769269020388</v>
      </c>
      <c r="V305" s="42" t="n">
        <f aca="false">IFERROR(V304/(V299*1),"n/a")</f>
        <v>-0.0220669363736668</v>
      </c>
      <c r="W305" s="42" t="n">
        <f aca="false">IFERROR(W304/(W299*4),"n/a")</f>
        <v>-0.0118082061068702</v>
      </c>
      <c r="X305" s="42" t="n">
        <f aca="false">IFERROR(X304/(X299*4),"n/a")</f>
        <v>-0.00445859872611465</v>
      </c>
      <c r="Y305" s="30" t="str">
        <f aca="false">IFERROR(Y304/(Y299*4),"n/a")</f>
        <v>n/a</v>
      </c>
      <c r="Z305" s="30" t="str">
        <f aca="false">IFERROR(Z304/(Z299*4),"n/a")</f>
        <v>n/a</v>
      </c>
      <c r="AA305" s="30" t="n">
        <f aca="false">IFERROR(AA304/(AA299*1),"n/a")</f>
        <v>-0.0238296571327095</v>
      </c>
      <c r="AB305" s="30" t="n">
        <f aca="false">IFERROR(AB304/(AB299*1),"n/a")</f>
        <v>-0.0229163300996431</v>
      </c>
      <c r="AC305" s="30" t="n">
        <f aca="false">IFERROR(AC304/(AC299*1),"n/a")</f>
        <v>-0.0222632290108635</v>
      </c>
      <c r="AD305" s="30" t="n">
        <f aca="false">IFERROR(AD304/(AD299*1),"n/a")</f>
        <v>-0.0216204454480155</v>
      </c>
      <c r="AE305" s="30" t="n">
        <f aca="false">IFERROR(AE304/(AE299*1),"n/a")</f>
        <v>-0.021267827602027</v>
      </c>
    </row>
    <row r="306" customFormat="false" ht="15" hidden="false" customHeight="true" outlineLevel="0" collapsed="false">
      <c r="B306" s="11" t="s">
        <v>453</v>
      </c>
      <c r="H306" s="50" t="str">
        <f aca="false">IFERROR(H304-C304,"n/a")</f>
        <v>n/a</v>
      </c>
      <c r="I306" s="50" t="str">
        <f aca="false">IFERROR(I304-D304,"n/a")</f>
        <v>n/a</v>
      </c>
      <c r="J306" s="50" t="str">
        <f aca="false">IFERROR(J304-E304,"n/a")</f>
        <v>n/a</v>
      </c>
      <c r="K306" s="50" t="n">
        <f aca="false">IFERROR(K304-F304,"n/a")</f>
        <v>7</v>
      </c>
      <c r="L306" s="50" t="n">
        <f aca="false">IFERROR(L304-G304,"n/a")</f>
        <v>7</v>
      </c>
      <c r="M306" s="50" t="n">
        <f aca="false">IFERROR(M304-H304,"n/a")</f>
        <v>3</v>
      </c>
      <c r="N306" s="50" t="n">
        <f aca="false">IFERROR(N304-I304,"n/a")</f>
        <v>95</v>
      </c>
      <c r="O306" s="50" t="n">
        <f aca="false">IFERROR(O304-J304,"n/a")</f>
        <v>55</v>
      </c>
      <c r="P306" s="50" t="n">
        <f aca="false">IFERROR(P304-K304,"n/a")</f>
        <v>126</v>
      </c>
      <c r="Q306" s="50" t="n">
        <f aca="false">IFERROR(Q304-L304,"n/a")</f>
        <v>126</v>
      </c>
      <c r="R306" s="50" t="n">
        <f aca="false">IFERROR(R304-M304,"n/a")</f>
        <v>99</v>
      </c>
      <c r="S306" s="50" t="n">
        <f aca="false">IFERROR(S304-N304,"n/a")</f>
        <v>18</v>
      </c>
      <c r="T306" s="50" t="n">
        <f aca="false">IFERROR(T304-O304,"n/a")</f>
        <v>8</v>
      </c>
      <c r="U306" s="50" t="n">
        <f aca="false">IFERROR(U304-P304,"n/a")</f>
        <v>28</v>
      </c>
      <c r="V306" s="50" t="n">
        <f aca="false">IFERROR(V304-Q304,"n/a")</f>
        <v>28</v>
      </c>
      <c r="W306" s="50" t="n">
        <f aca="false">IFERROR(W304-R304,"n/a")</f>
        <v>77</v>
      </c>
      <c r="X306" s="50" t="n">
        <f aca="false">IFERROR(X304-S304,"n/a")</f>
        <v>101</v>
      </c>
      <c r="Y306" s="43" t="str">
        <f aca="false">IFERROR(Y304-T304,"n/a")</f>
        <v>n/a</v>
      </c>
      <c r="Z306" s="43" t="str">
        <f aca="false">IFERROR(Z304-U304,"n/a")</f>
        <v>n/a</v>
      </c>
      <c r="AA306" s="43" t="n">
        <f aca="false">IFERROR(AA304-V304,"n/a")</f>
        <v>-38.7711089883672</v>
      </c>
      <c r="AB306" s="43" t="n">
        <f aca="false">IFERROR(AB304-AA304,"n/a")</f>
        <v>1.91684294272807</v>
      </c>
      <c r="AC306" s="43" t="n">
        <f aca="false">IFERROR(AC304-AB304,"n/a")</f>
        <v>-5.99505426870871</v>
      </c>
      <c r="AD306" s="43" t="n">
        <f aca="false">IFERROR(AD304-AC304,"n/a")</f>
        <v>-5.48856092718211</v>
      </c>
      <c r="AE306" s="43" t="n">
        <f aca="false">IFERROR(AE304-AD304,"n/a")</f>
        <v>-8.02289093798686</v>
      </c>
    </row>
    <row r="307" customFormat="false" ht="15" hidden="false" customHeight="true" outlineLevel="0" collapsed="false">
      <c r="B307" s="11"/>
    </row>
    <row r="308" customFormat="false" ht="15" hidden="false" customHeight="true" outlineLevel="0" collapsed="false">
      <c r="B308" s="10" t="s">
        <v>454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 t="s">
        <v>455</v>
      </c>
    </row>
    <row r="309" customFormat="false" ht="15" hidden="false" customHeight="true" outlineLevel="0" collapsed="false">
      <c r="B309" s="55" t="s">
        <v>456</v>
      </c>
      <c r="Y309" s="32"/>
      <c r="Z309" s="32"/>
      <c r="AA309" s="32"/>
      <c r="AB309" s="32"/>
      <c r="AC309" s="32"/>
      <c r="AD309" s="32"/>
      <c r="AE309" s="32"/>
    </row>
    <row r="310" customFormat="false" ht="15" hidden="false" customHeight="true" outlineLevel="0" collapsed="false">
      <c r="B310" s="11" t="s">
        <v>457</v>
      </c>
      <c r="Y310" s="32"/>
      <c r="Z310" s="32"/>
      <c r="AA310" s="29" t="n">
        <v>0.25</v>
      </c>
      <c r="AB310" s="29" t="n">
        <v>0.25</v>
      </c>
      <c r="AC310" s="29" t="n">
        <v>0.25</v>
      </c>
      <c r="AD310" s="29" t="n">
        <v>0.25</v>
      </c>
      <c r="AE310" s="29" t="n">
        <v>0.25</v>
      </c>
      <c r="AF310" s="20" t="s">
        <v>458</v>
      </c>
    </row>
    <row r="311" customFormat="false" ht="15" hidden="false" customHeight="true" outlineLevel="0" collapsed="false">
      <c r="B311" s="11" t="s">
        <v>459</v>
      </c>
      <c r="Y311" s="32"/>
      <c r="Z311" s="32"/>
      <c r="AA311" s="48" t="n">
        <v>5</v>
      </c>
      <c r="AB311" s="48" t="n">
        <v>10</v>
      </c>
      <c r="AC311" s="48" t="n">
        <v>10</v>
      </c>
      <c r="AD311" s="48" t="n">
        <v>10</v>
      </c>
      <c r="AE311" s="48" t="n">
        <v>10</v>
      </c>
      <c r="AF311" s="20" t="s">
        <v>460</v>
      </c>
    </row>
    <row r="312" customFormat="false" ht="15" hidden="false" customHeight="true" outlineLevel="0" collapsed="false">
      <c r="B312" s="11" t="s">
        <v>461</v>
      </c>
      <c r="Y312" s="32"/>
      <c r="Z312" s="32"/>
      <c r="AA312" s="32"/>
      <c r="AB312" s="19" t="n">
        <v>1.2</v>
      </c>
      <c r="AC312" s="19" t="n">
        <v>1.2</v>
      </c>
      <c r="AD312" s="19" t="n">
        <v>1.2</v>
      </c>
      <c r="AE312" s="19" t="n">
        <v>1.2</v>
      </c>
      <c r="AF312" s="20" t="s">
        <v>462</v>
      </c>
    </row>
    <row r="313" customFormat="false" ht="15" hidden="false" customHeight="true" outlineLevel="0" collapsed="false">
      <c r="B313" s="11" t="s">
        <v>463</v>
      </c>
      <c r="Y313" s="32"/>
      <c r="Z313" s="32"/>
      <c r="AA313" s="32"/>
      <c r="AB313" s="29" t="n">
        <v>0.08</v>
      </c>
      <c r="AC313" s="29" t="n">
        <v>0.08</v>
      </c>
      <c r="AD313" s="29" t="n">
        <v>0.08</v>
      </c>
      <c r="AE313" s="29" t="n">
        <v>0.08</v>
      </c>
    </row>
    <row r="314" customFormat="false" ht="15" hidden="false" customHeight="true" outlineLevel="0" collapsed="false">
      <c r="B314" s="55" t="s">
        <v>464</v>
      </c>
      <c r="Y314" s="32"/>
      <c r="Z314" s="32"/>
      <c r="AA314" s="32"/>
      <c r="AB314" s="32"/>
      <c r="AC314" s="32"/>
      <c r="AD314" s="32"/>
      <c r="AE314" s="32"/>
    </row>
    <row r="315" customFormat="false" ht="15" hidden="false" customHeight="true" outlineLevel="0" collapsed="false">
      <c r="B315" s="11" t="s">
        <v>465</v>
      </c>
      <c r="C315" s="50" t="str">
        <f aca="false">IF(ISNUMBER(C277),N(C273)+C277,"")</f>
        <v/>
      </c>
      <c r="D315" s="50" t="str">
        <f aca="false">IF(ISNUMBER(D277),N(D273)+D277,"")</f>
        <v/>
      </c>
      <c r="E315" s="50" t="str">
        <f aca="false">IF(ISNUMBER(E277),N(E273)+E277,"")</f>
        <v/>
      </c>
      <c r="F315" s="50" t="n">
        <f aca="false">IF(ISNUMBER(F277),N(F273)+F277,"")</f>
        <v>2532</v>
      </c>
      <c r="G315" s="50" t="n">
        <f aca="false">IF(ISNUMBER(G277),N(G273)+G277,"")</f>
        <v>2532</v>
      </c>
      <c r="H315" s="50" t="n">
        <f aca="false">IF(ISNUMBER(H277),N(H273)+H277,"")</f>
        <v>2544</v>
      </c>
      <c r="I315" s="50" t="n">
        <f aca="false">IF(ISNUMBER(I277),N(I273)+I277,"")</f>
        <v>2518</v>
      </c>
      <c r="J315" s="50" t="n">
        <f aca="false">IF(ISNUMBER(J277),N(J273)+J277,"")</f>
        <v>2513</v>
      </c>
      <c r="K315" s="50" t="n">
        <f aca="false">IF(ISNUMBER(K277),N(K273)+K277,"")</f>
        <v>3404</v>
      </c>
      <c r="L315" s="50" t="n">
        <f aca="false">IF(ISNUMBER(L277),N(L273)+L277,"")</f>
        <v>3404</v>
      </c>
      <c r="M315" s="50" t="n">
        <f aca="false">IF(ISNUMBER(M277),N(M273)+M277,"")</f>
        <v>3386</v>
      </c>
      <c r="N315" s="50" t="n">
        <f aca="false">IF(ISNUMBER(N277),N(N273)+N277,"")</f>
        <v>3394</v>
      </c>
      <c r="O315" s="50" t="n">
        <f aca="false">IF(ISNUMBER(O277),N(O273)+O277,"")</f>
        <v>3411</v>
      </c>
      <c r="P315" s="50" t="n">
        <f aca="false">IF(ISNUMBER(P277),N(P273)+P277,"")</f>
        <v>3387</v>
      </c>
      <c r="Q315" s="50" t="n">
        <f aca="false">IF(ISNUMBER(Q277),N(Q273)+Q277,"")</f>
        <v>3387</v>
      </c>
      <c r="R315" s="50" t="n">
        <f aca="false">IF(ISNUMBER(R277),N(R273)+R277,"")</f>
        <v>3397</v>
      </c>
      <c r="S315" s="50" t="n">
        <f aca="false">IF(ISNUMBER(S277),N(S273)+S277,"")</f>
        <v>3407</v>
      </c>
      <c r="T315" s="50" t="n">
        <f aca="false">IF(ISNUMBER(T277),N(T273)+T277,"")</f>
        <v>3347</v>
      </c>
      <c r="U315" s="50" t="n">
        <f aca="false">IF(ISNUMBER(U277),N(U273)+U277,"")</f>
        <v>3313</v>
      </c>
      <c r="V315" s="50" t="n">
        <f aca="false">IF(ISNUMBER(V277),N(V273)+V277,"")</f>
        <v>3313</v>
      </c>
      <c r="W315" s="50" t="n">
        <f aca="false">IF(ISNUMBER(W277),N(W273)+W277,"")</f>
        <v>3276</v>
      </c>
      <c r="X315" s="50" t="n">
        <f aca="false">IF(ISNUMBER(X277),N(X273)+X277,"")</f>
        <v>3206</v>
      </c>
      <c r="Y315" s="32"/>
      <c r="Z315" s="32"/>
      <c r="AA315" s="43" t="n">
        <f aca="false">AA319+AA321+AA323</f>
        <v>2777.33547676304</v>
      </c>
      <c r="AB315" s="43" t="n">
        <f aca="false">AB319+AB321+AB323</f>
        <v>2466.25263164368</v>
      </c>
      <c r="AC315" s="43" t="n">
        <f aca="false">AC319+AC321+AC323</f>
        <v>2710.8095370922</v>
      </c>
      <c r="AD315" s="43" t="n">
        <f aca="false">AD319+AD321+AD323</f>
        <v>2967.57134855371</v>
      </c>
      <c r="AE315" s="43" t="n">
        <f aca="false">AE319+AE321+AE323</f>
        <v>3178.65222014397</v>
      </c>
      <c r="AF315" s="20" t="s">
        <v>466</v>
      </c>
    </row>
    <row r="316" customFormat="false" ht="15" hidden="false" customHeight="true" outlineLevel="0" collapsed="false">
      <c r="B316" s="11" t="s">
        <v>467</v>
      </c>
      <c r="Y316" s="32"/>
      <c r="Z316" s="32"/>
      <c r="AA316" s="48" t="n">
        <v>0</v>
      </c>
      <c r="AB316" s="48" t="n">
        <v>0</v>
      </c>
      <c r="AC316" s="48" t="n">
        <v>-830</v>
      </c>
      <c r="AD316" s="48" t="n">
        <v>0</v>
      </c>
      <c r="AE316" s="48" t="n">
        <v>0</v>
      </c>
      <c r="AF316" s="20" t="s">
        <v>468</v>
      </c>
    </row>
    <row r="317" customFormat="false" ht="15" hidden="false" customHeight="true" outlineLevel="0" collapsed="false">
      <c r="B317" s="11" t="s">
        <v>469</v>
      </c>
      <c r="Y317" s="32"/>
      <c r="Z317" s="32"/>
      <c r="AA317" s="32"/>
      <c r="AB317" s="29" t="n">
        <v>1</v>
      </c>
      <c r="AC317" s="29" t="n">
        <v>1</v>
      </c>
      <c r="AD317" s="29" t="n">
        <v>1</v>
      </c>
      <c r="AE317" s="29" t="n">
        <v>1</v>
      </c>
      <c r="AF317" s="20" t="s">
        <v>470</v>
      </c>
    </row>
    <row r="318" customFormat="false" ht="15" hidden="false" customHeight="true" outlineLevel="0" collapsed="false">
      <c r="B318" s="11" t="s">
        <v>471</v>
      </c>
      <c r="Y318" s="32"/>
      <c r="Z318" s="32"/>
      <c r="AA318" s="48" t="n">
        <v>0</v>
      </c>
      <c r="AB318" s="43" t="n">
        <f aca="false">-AB316*AB317</f>
        <v>-0</v>
      </c>
      <c r="AC318" s="43" t="n">
        <f aca="false">-AC316*AC317</f>
        <v>830</v>
      </c>
      <c r="AD318" s="43" t="n">
        <f aca="false">-AD316*AD317</f>
        <v>-0</v>
      </c>
      <c r="AE318" s="43" t="n">
        <f aca="false">-AE316*AE317</f>
        <v>-0</v>
      </c>
    </row>
    <row r="319" customFormat="false" ht="15" hidden="false" customHeight="true" outlineLevel="0" collapsed="false">
      <c r="B319" s="11" t="s">
        <v>472</v>
      </c>
      <c r="X319" s="33" t="n">
        <v>2083</v>
      </c>
      <c r="Y319" s="32"/>
      <c r="Z319" s="32"/>
      <c r="AA319" s="43" t="n">
        <f aca="false">X319+AA311+AA316+AA318</f>
        <v>2088</v>
      </c>
      <c r="AB319" s="43" t="n">
        <f aca="false">AA319+AB311+AB316+AB318</f>
        <v>2098</v>
      </c>
      <c r="AC319" s="43" t="n">
        <f aca="false">AB319+AC311+AC316+AC318</f>
        <v>2108</v>
      </c>
      <c r="AD319" s="43" t="n">
        <f aca="false">AC319+AD311+AD316+AD318</f>
        <v>2118</v>
      </c>
      <c r="AE319" s="43" t="n">
        <f aca="false">AD319+AE311+AE316+AE318</f>
        <v>2128</v>
      </c>
    </row>
    <row r="320" customFormat="false" ht="15" hidden="false" customHeight="true" outlineLevel="0" collapsed="false">
      <c r="B320" s="11" t="s">
        <v>473</v>
      </c>
      <c r="Y320" s="32"/>
      <c r="Z320" s="32"/>
      <c r="AA320" s="32"/>
      <c r="AB320" s="66" t="n">
        <v>0.0745</v>
      </c>
      <c r="AC320" s="66" t="n">
        <v>0.0735</v>
      </c>
      <c r="AD320" s="66" t="n">
        <v>0.073</v>
      </c>
      <c r="AE320" s="66" t="n">
        <v>0.0725</v>
      </c>
      <c r="AF320" s="20" t="s">
        <v>474</v>
      </c>
    </row>
    <row r="321" customFormat="false" ht="15" hidden="false" customHeight="true" outlineLevel="0" collapsed="false">
      <c r="B321" s="11" t="s">
        <v>475</v>
      </c>
      <c r="X321" s="33" t="n">
        <v>882</v>
      </c>
      <c r="Y321" s="32"/>
      <c r="Z321" s="32"/>
      <c r="AA321" s="43" t="n">
        <f aca="false">MAX(0,X321+AA326-AA325)</f>
        <v>448.335476763035</v>
      </c>
      <c r="AB321" s="43" t="n">
        <f aca="false">MAX(0,AA321+AB326-AB325)</f>
        <v>127.252631643683</v>
      </c>
      <c r="AC321" s="43" t="n">
        <f aca="false">MAX(0,AB321+AC326-AC325)</f>
        <v>361.809537092199</v>
      </c>
      <c r="AD321" s="43" t="n">
        <f aca="false">MAX(0,AC321+AD326-AD325)</f>
        <v>608.57134855371</v>
      </c>
      <c r="AE321" s="43" t="n">
        <f aca="false">MAX(0,AD321+AE326-AE325)</f>
        <v>809.652220143969</v>
      </c>
      <c r="AF321" s="20" t="s">
        <v>476</v>
      </c>
    </row>
    <row r="322" customFormat="false" ht="15" hidden="false" customHeight="true" outlineLevel="0" collapsed="false">
      <c r="B322" s="11" t="s">
        <v>477</v>
      </c>
      <c r="Y322" s="32"/>
      <c r="Z322" s="32"/>
      <c r="AA322" s="32"/>
      <c r="AB322" s="66" t="n">
        <v>0.05</v>
      </c>
      <c r="AC322" s="66" t="n">
        <v>0.05</v>
      </c>
      <c r="AD322" s="66" t="n">
        <v>0.05</v>
      </c>
      <c r="AE322" s="66" t="n">
        <v>0.05</v>
      </c>
      <c r="AF322" s="20" t="s">
        <v>478</v>
      </c>
    </row>
    <row r="323" customFormat="false" ht="15" hidden="false" customHeight="true" outlineLevel="0" collapsed="false">
      <c r="B323" s="11" t="s">
        <v>479</v>
      </c>
      <c r="X323" s="50" t="n">
        <f aca="false">X315-X319-X321</f>
        <v>241</v>
      </c>
      <c r="Y323" s="32"/>
      <c r="Z323" s="32"/>
      <c r="AA323" s="43" t="n">
        <f aca="false">X323</f>
        <v>241</v>
      </c>
      <c r="AB323" s="43" t="n">
        <f aca="false">AA323</f>
        <v>241</v>
      </c>
      <c r="AC323" s="43" t="n">
        <f aca="false">AB323</f>
        <v>241</v>
      </c>
      <c r="AD323" s="43" t="n">
        <f aca="false">AC323</f>
        <v>241</v>
      </c>
      <c r="AE323" s="43" t="n">
        <f aca="false">AD323</f>
        <v>241</v>
      </c>
      <c r="AF323" s="20" t="s">
        <v>480</v>
      </c>
    </row>
    <row r="324" customFormat="false" ht="15" hidden="false" customHeight="true" outlineLevel="0" collapsed="false">
      <c r="B324" s="11" t="s">
        <v>481</v>
      </c>
      <c r="Y324" s="32"/>
      <c r="Z324" s="32"/>
      <c r="AA324" s="32"/>
      <c r="AB324" s="66" t="n">
        <v>0.06</v>
      </c>
      <c r="AC324" s="66" t="n">
        <v>0.06</v>
      </c>
      <c r="AD324" s="66" t="n">
        <v>0.06</v>
      </c>
      <c r="AE324" s="66" t="n">
        <v>0.06</v>
      </c>
    </row>
    <row r="325" customFormat="false" ht="15" hidden="false" customHeight="true" outlineLevel="0" collapsed="false">
      <c r="B325" s="11" t="s">
        <v>482</v>
      </c>
      <c r="Y325" s="32"/>
      <c r="Z325" s="32"/>
      <c r="AA325" s="43" t="n">
        <f aca="false">AA231+AA217+AA221+AA224+AA225+AA226+AA228+AA229+(W222+X222)+(W223+X223)+AA318+AA316</f>
        <v>733.664523236965</v>
      </c>
      <c r="AB325" s="43" t="n">
        <f aca="false">AB231+AB217+AB221+AB224+AB225+AB226+AB228+AB229+AB318+AB316</f>
        <v>621.082845119352</v>
      </c>
      <c r="AC325" s="43" t="n">
        <f aca="false">AC231+AC217+AC221+AC224+AC225+AC226+AC228+AC229+AC318+AC316</f>
        <v>65.4430945514841</v>
      </c>
      <c r="AD325" s="43" t="n">
        <f aca="false">AD231+AD217+AD221+AD224+AD225+AD226+AD228+AD229+AD318+AD316</f>
        <v>53.2381885384891</v>
      </c>
      <c r="AE325" s="43" t="n">
        <f aca="false">AE231+AE217+AE221+AE224+AE225+AE226+AE228+AE229+AE318+AE316</f>
        <v>98.919128409741</v>
      </c>
    </row>
    <row r="326" customFormat="false" ht="15" hidden="false" customHeight="true" outlineLevel="0" collapsed="false">
      <c r="B326" s="11" t="s">
        <v>483</v>
      </c>
      <c r="Y326" s="32"/>
      <c r="Z326" s="32"/>
      <c r="AA326" s="48" t="n">
        <v>300</v>
      </c>
      <c r="AB326" s="48" t="n">
        <v>300</v>
      </c>
      <c r="AC326" s="48" t="n">
        <v>300</v>
      </c>
      <c r="AD326" s="48" t="n">
        <v>300</v>
      </c>
      <c r="AE326" s="48" t="n">
        <v>300</v>
      </c>
    </row>
    <row r="327" customFormat="false" ht="15" hidden="false" customHeight="true" outlineLevel="0" collapsed="false">
      <c r="B327" s="11" t="s">
        <v>484</v>
      </c>
      <c r="H327" s="50" t="str">
        <f aca="false">IFERROR(H315-C315,"")</f>
        <v/>
      </c>
      <c r="I327" s="50" t="str">
        <f aca="false">IFERROR(I315-D315,"")</f>
        <v/>
      </c>
      <c r="J327" s="50" t="str">
        <f aca="false">IFERROR(J315-E315,"")</f>
        <v/>
      </c>
      <c r="K327" s="50" t="n">
        <f aca="false">IFERROR(K315-F315,"")</f>
        <v>872</v>
      </c>
      <c r="L327" s="50" t="n">
        <f aca="false">IFERROR(L315-G315,"")</f>
        <v>872</v>
      </c>
      <c r="M327" s="50" t="n">
        <f aca="false">IFERROR(M315-H315,"")</f>
        <v>842</v>
      </c>
      <c r="N327" s="50" t="n">
        <f aca="false">IFERROR(N315-I315,"")</f>
        <v>876</v>
      </c>
      <c r="O327" s="50" t="n">
        <f aca="false">IFERROR(O315-J315,"")</f>
        <v>898</v>
      </c>
      <c r="P327" s="50" t="n">
        <f aca="false">IFERROR(P315-K315,"")</f>
        <v>-17</v>
      </c>
      <c r="Q327" s="50" t="n">
        <f aca="false">IFERROR(Q315-L315,"")</f>
        <v>-17</v>
      </c>
      <c r="R327" s="50" t="n">
        <f aca="false">IFERROR(R315-M315,"")</f>
        <v>11</v>
      </c>
      <c r="S327" s="50" t="n">
        <f aca="false">IFERROR(S315-N315,"")</f>
        <v>13</v>
      </c>
      <c r="T327" s="50" t="n">
        <f aca="false">IFERROR(T315-O315,"")</f>
        <v>-64</v>
      </c>
      <c r="U327" s="50" t="n">
        <f aca="false">IFERROR(U315-P315,"")</f>
        <v>-74</v>
      </c>
      <c r="V327" s="50" t="n">
        <f aca="false">IFERROR(V315-Q315,"")</f>
        <v>-74</v>
      </c>
      <c r="W327" s="50" t="n">
        <f aca="false">IFERROR(W315-R315,"")</f>
        <v>-121</v>
      </c>
      <c r="X327" s="50" t="n">
        <f aca="false">IFERROR(X315-S315,"")</f>
        <v>-201</v>
      </c>
      <c r="Y327" s="43" t="n">
        <f aca="false">IFERROR(Y315-T315,"")</f>
        <v>-3347</v>
      </c>
      <c r="Z327" s="43" t="n">
        <f aca="false">IFERROR(Z315-U315,"")</f>
        <v>-3313</v>
      </c>
      <c r="AA327" s="43" t="n">
        <f aca="false">IFERROR(AA315-V315,"")</f>
        <v>-535.664523236965</v>
      </c>
      <c r="AB327" s="43" t="n">
        <f aca="false">IFERROR(AB315-AA315,"")</f>
        <v>-311.082845119352</v>
      </c>
      <c r="AC327" s="43" t="n">
        <f aca="false">IFERROR(AC315-AB315,"")</f>
        <v>244.556905448516</v>
      </c>
      <c r="AD327" s="43" t="n">
        <f aca="false">IFERROR(AD315-AC315,"")</f>
        <v>256.761811461511</v>
      </c>
      <c r="AE327" s="43" t="n">
        <f aca="false">IFERROR(AE315-AD315,"")</f>
        <v>211.080871590259</v>
      </c>
    </row>
    <row r="328" customFormat="false" ht="15" hidden="false" customHeight="true" outlineLevel="0" collapsed="false">
      <c r="B328" s="11" t="s">
        <v>485</v>
      </c>
      <c r="L328" s="67" t="n">
        <f aca="false">IF(AND(ISNUMBER(L125),ISNUMBER(G315)),IFERROR(L125/G315,""),"")</f>
        <v>0.0663507109004739</v>
      </c>
      <c r="Q328" s="67" t="n">
        <f aca="false">IF(AND(ISNUMBER(Q125),ISNUMBER(L315)),IFERROR(Q125/L315,""),"")</f>
        <v>0.0655111633372503</v>
      </c>
      <c r="V328" s="67" t="n">
        <f aca="false">IF(AND(ISNUMBER(V125),ISNUMBER(Q315)),IFERROR(V125/Q315,""),"")</f>
        <v>0.0646589902568645</v>
      </c>
      <c r="Y328" s="32"/>
      <c r="Z328" s="32"/>
      <c r="AA328" s="68" t="n">
        <f aca="false">IF(AND(ISNUMBER(AA125),ISNUMBER(V315)),IFERROR(AA125/V315,""),"")</f>
        <v>0.0633866586175672</v>
      </c>
      <c r="AB328" s="68" t="n">
        <f aca="false">IF(AND(ISNUMBER(AB125),ISNUMBER(AA315)),IFERROR(AB125/AA315,""),"")</f>
        <v>0.0692868310105738</v>
      </c>
      <c r="AC328" s="68" t="n">
        <f aca="false">IF(AND(ISNUMBER(AC125),ISNUMBER(AB315)),IFERROR(AC125/AB315,""),"")</f>
        <v>0.0709682492930722</v>
      </c>
      <c r="AD328" s="68" t="n">
        <f aca="false">IF(AND(ISNUMBER(AD125),ISNUMBER(AC315)),IFERROR(AD125/AC315,""),"")</f>
        <v>0.068774465451598</v>
      </c>
      <c r="AE328" s="68" t="n">
        <f aca="false">IF(AND(ISNUMBER(AE125),ISNUMBER(AD315)),IFERROR(AE125/AD315,""),"")</f>
        <v>0.0668706979949783</v>
      </c>
    </row>
    <row r="329" customFormat="false" ht="15" hidden="false" customHeight="true" outlineLevel="0" collapsed="false">
      <c r="B329" s="55" t="s">
        <v>486</v>
      </c>
      <c r="Y329" s="32"/>
      <c r="Z329" s="32"/>
      <c r="AA329" s="32"/>
      <c r="AB329" s="32"/>
      <c r="AC329" s="32"/>
      <c r="AD329" s="32"/>
      <c r="AE329" s="32"/>
    </row>
    <row r="330" customFormat="false" ht="15" hidden="false" customHeight="true" outlineLevel="0" collapsed="false">
      <c r="B330" s="11" t="s">
        <v>487</v>
      </c>
      <c r="Y330" s="32"/>
      <c r="Z330" s="32"/>
      <c r="AA330" s="32"/>
      <c r="AB330" s="63" t="n">
        <f aca="false">CHOOSE(MATCH($AF$2,{"Bull","Base","Bear"},0),$AM$18,$AN$18,$AO$18)</f>
        <v>1.25</v>
      </c>
      <c r="AC330" s="63" t="n">
        <f aca="false">CHOOSE(MATCH($AF$2,{"Bull","Base","Bear"},0),$AM$18,$AN$18,$AO$18)</f>
        <v>1.25</v>
      </c>
      <c r="AD330" s="63" t="n">
        <f aca="false">CHOOSE(MATCH($AF$2,{"Bull","Base","Bear"},0),$AM$18,$AN$18,$AO$18)</f>
        <v>1.25</v>
      </c>
      <c r="AE330" s="63" t="n">
        <f aca="false">CHOOSE(MATCH($AF$2,{"Bull","Base","Bear"},0),$AM$18,$AN$18,$AO$18)</f>
        <v>1.25</v>
      </c>
      <c r="AF330" s="20" t="s">
        <v>488</v>
      </c>
    </row>
    <row r="331" customFormat="false" ht="15" hidden="false" customHeight="true" outlineLevel="0" collapsed="false">
      <c r="B331" s="11" t="s">
        <v>489</v>
      </c>
      <c r="Y331" s="32"/>
      <c r="Z331" s="32"/>
      <c r="AA331" s="32"/>
      <c r="AB331" s="43" t="n">
        <f aca="false">AA315-AA260+AB311-AB217-AB221-AB225-AB226-AB228-AB229</f>
        <v>1759.95976546075</v>
      </c>
      <c r="AC331" s="43" t="n">
        <f aca="false">AB315-AB260+AC311-AC217-AC221-AC225-AC226-AC228-AC229</f>
        <v>1299.26114606977</v>
      </c>
      <c r="AD331" s="43" t="n">
        <f aca="false">AC315-AC260+AD311-AD217-AD221-AD225-AD226-AD228-AD229</f>
        <v>1417.88634406253</v>
      </c>
      <c r="AE331" s="43" t="n">
        <f aca="false">AD315-AD260+AE311-AE217-AE221-AE225-AE226-AE228-AE229</f>
        <v>1574.22780552641</v>
      </c>
    </row>
    <row r="332" customFormat="false" ht="15" hidden="false" customHeight="true" outlineLevel="0" collapsed="false">
      <c r="B332" s="11" t="s">
        <v>490</v>
      </c>
      <c r="Y332" s="32"/>
      <c r="Z332" s="32"/>
      <c r="AA332" s="32"/>
      <c r="AB332" s="43" t="n">
        <f aca="false">AB330*AB158</f>
        <v>2182.25263164368</v>
      </c>
      <c r="AC332" s="43" t="n">
        <f aca="false">AC330*AC158</f>
        <v>2426.8095370922</v>
      </c>
      <c r="AD332" s="43" t="n">
        <f aca="false">AD330*AD158</f>
        <v>2683.57134855371</v>
      </c>
      <c r="AE332" s="43" t="n">
        <f aca="false">AE330*AE158</f>
        <v>2894.65222014397</v>
      </c>
    </row>
    <row r="333" customFormat="false" ht="15" hidden="false" customHeight="true" outlineLevel="0" collapsed="false">
      <c r="B333" s="11" t="s">
        <v>491</v>
      </c>
      <c r="Y333" s="32"/>
      <c r="Z333" s="32"/>
      <c r="AA333" s="32"/>
      <c r="AB333" s="43" t="n">
        <f aca="false">MAX(0,AB332-AB331)</f>
        <v>422.292866182936</v>
      </c>
      <c r="AC333" s="43" t="n">
        <f aca="false">MAX(0,AC332-AC331)</f>
        <v>1127.54839102243</v>
      </c>
      <c r="AD333" s="43" t="n">
        <f aca="false">MAX(0,AD332-AD331)</f>
        <v>1265.68500449118</v>
      </c>
      <c r="AE333" s="43" t="n">
        <f aca="false">MAX(0,AE332-AE331)</f>
        <v>1320.42441461756</v>
      </c>
      <c r="AF333" s="20" t="s">
        <v>492</v>
      </c>
    </row>
    <row r="334" customFormat="false" ht="15" hidden="false" customHeight="true" outlineLevel="0" collapsed="false">
      <c r="B334" s="11"/>
    </row>
    <row r="335" customFormat="false" ht="15" hidden="false" customHeight="true" outlineLevel="0" collapsed="false">
      <c r="B335" s="10" t="s">
        <v>493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 t="s">
        <v>494</v>
      </c>
    </row>
    <row r="336" customFormat="false" ht="15" hidden="false" customHeight="true" outlineLevel="0" collapsed="false">
      <c r="B336" s="55" t="s">
        <v>495</v>
      </c>
      <c r="Y336" s="32"/>
      <c r="Z336" s="32"/>
      <c r="AA336" s="32"/>
      <c r="AB336" s="32"/>
      <c r="AC336" s="32"/>
      <c r="AD336" s="32"/>
      <c r="AE336" s="32"/>
    </row>
    <row r="337" customFormat="false" ht="15" hidden="false" customHeight="true" outlineLevel="0" collapsed="false">
      <c r="B337" s="11" t="s">
        <v>496</v>
      </c>
      <c r="G337" s="50" t="n">
        <f aca="false">G167</f>
        <v>605</v>
      </c>
      <c r="L337" s="50" t="n">
        <f aca="false">L167</f>
        <v>564</v>
      </c>
      <c r="Q337" s="50" t="n">
        <f aca="false">Q167</f>
        <v>776</v>
      </c>
      <c r="V337" s="50" t="n">
        <f aca="false">V167</f>
        <v>751</v>
      </c>
      <c r="Y337" s="32"/>
      <c r="Z337" s="32"/>
      <c r="AA337" s="43" t="n">
        <f aca="false">AA167</f>
        <v>1028.21647254714</v>
      </c>
      <c r="AB337" s="43" t="n">
        <f aca="false">AB167</f>
        <v>1156.799133221</v>
      </c>
      <c r="AC337" s="43" t="n">
        <f aca="false">AC167</f>
        <v>1331.25515175107</v>
      </c>
      <c r="AD337" s="43" t="n">
        <f aca="false">AD167</f>
        <v>1512.27757798029</v>
      </c>
      <c r="AE337" s="43" t="n">
        <f aca="false">AE167</f>
        <v>1646.81998477424</v>
      </c>
    </row>
    <row r="338" customFormat="false" ht="15" hidden="false" customHeight="true" outlineLevel="0" collapsed="false">
      <c r="B338" s="11" t="s">
        <v>497</v>
      </c>
      <c r="G338" s="42" t="n">
        <f aca="false">G128</f>
        <v>0.286821705426357</v>
      </c>
      <c r="L338" s="42" t="n">
        <f aca="false">L128</f>
        <v>0.261538461538462</v>
      </c>
      <c r="Q338" s="42" t="n">
        <f aca="false">Q128</f>
        <v>0.181818181818182</v>
      </c>
      <c r="V338" s="42" t="n">
        <f aca="false">V128</f>
        <v>0.276887871853547</v>
      </c>
      <c r="Y338" s="32"/>
      <c r="Z338" s="32"/>
      <c r="AA338" s="30" t="n">
        <f aca="false">AA128</f>
        <v>0.233183545374747</v>
      </c>
      <c r="AB338" s="30" t="n">
        <f aca="false">AB128</f>
        <v>0.245</v>
      </c>
      <c r="AC338" s="30" t="n">
        <f aca="false">AC128</f>
        <v>0.245</v>
      </c>
      <c r="AD338" s="30" t="n">
        <f aca="false">AD128</f>
        <v>0.245</v>
      </c>
      <c r="AE338" s="30" t="n">
        <f aca="false">AE128</f>
        <v>0.245</v>
      </c>
    </row>
    <row r="339" customFormat="false" ht="15" hidden="false" customHeight="true" outlineLevel="0" collapsed="false">
      <c r="B339" s="11" t="s">
        <v>498</v>
      </c>
      <c r="G339" s="50" t="n">
        <f aca="false">IFERROR(G337*(1-G338),"n/a")</f>
        <v>431.472868217054</v>
      </c>
      <c r="L339" s="50" t="n">
        <f aca="false">IFERROR(L337*(1-L338),"n/a")</f>
        <v>416.492307692308</v>
      </c>
      <c r="Q339" s="50" t="n">
        <f aca="false">IFERROR(Q337*(1-Q338),"n/a")</f>
        <v>634.909090909091</v>
      </c>
      <c r="V339" s="50" t="n">
        <f aca="false">IFERROR(V337*(1-V338),"n/a")</f>
        <v>543.057208237986</v>
      </c>
      <c r="Y339" s="32"/>
      <c r="Z339" s="32"/>
      <c r="AA339" s="43" t="n">
        <f aca="false">IFERROR(AA337*(1-AA338),"n/a")</f>
        <v>788.45331006588</v>
      </c>
      <c r="AB339" s="43" t="n">
        <f aca="false">IFERROR(AB337*(1-AB338),"n/a")</f>
        <v>873.383345581855</v>
      </c>
      <c r="AC339" s="43" t="n">
        <f aca="false">IFERROR(AC337*(1-AC338),"n/a")</f>
        <v>1005.09763957206</v>
      </c>
      <c r="AD339" s="43" t="n">
        <f aca="false">IFERROR(AD337*(1-AD338),"n/a")</f>
        <v>1141.76957137512</v>
      </c>
      <c r="AE339" s="43" t="n">
        <f aca="false">IFERROR(AE337*(1-AE338),"n/a")</f>
        <v>1243.34908850455</v>
      </c>
    </row>
    <row r="340" customFormat="false" ht="15" hidden="false" customHeight="true" outlineLevel="0" collapsed="false">
      <c r="B340" s="11" t="s">
        <v>499</v>
      </c>
      <c r="G340" s="50" t="n">
        <f aca="false">IFERROR(G341+G342,"n/a")</f>
        <v>3084</v>
      </c>
      <c r="L340" s="50" t="n">
        <f aca="false">IFERROR(L341+L342,"n/a")</f>
        <v>4258</v>
      </c>
      <c r="Q340" s="50" t="n">
        <f aca="false">IFERROR(Q341+Q342,"n/a")</f>
        <v>4741</v>
      </c>
      <c r="V340" s="50" t="n">
        <f aca="false">IFERROR(V341+V342,"n/a")</f>
        <v>4864</v>
      </c>
      <c r="Y340" s="32"/>
      <c r="Z340" s="32"/>
      <c r="AA340" s="43" t="n">
        <f aca="false">IFERROR(AA341+AA342,"n/a")</f>
        <v>4702.55901656471</v>
      </c>
      <c r="AB340" s="43" t="n">
        <f aca="false">IFERROR(AB341+AB342,"n/a")</f>
        <v>4727.34574187308</v>
      </c>
      <c r="AC340" s="43" t="n">
        <f aca="false">IFERROR(AC341+AC342,"n/a")</f>
        <v>4752.2952793615</v>
      </c>
      <c r="AD340" s="43" t="n">
        <f aca="false">IFERROR(AD341+AD342,"n/a")</f>
        <v>4784.33444132545</v>
      </c>
      <c r="AE340" s="43" t="n">
        <f aca="false">IFERROR(AE341+AE342,"n/a")</f>
        <v>4813.43691929172</v>
      </c>
    </row>
    <row r="341" customFormat="false" ht="15" hidden="false" customHeight="true" outlineLevel="0" collapsed="false">
      <c r="B341" s="11" t="s">
        <v>500</v>
      </c>
      <c r="G341" s="50" t="n">
        <f aca="false">G287</f>
        <v>1012</v>
      </c>
      <c r="L341" s="50" t="n">
        <f aca="false">L287</f>
        <v>1266</v>
      </c>
      <c r="Q341" s="50" t="n">
        <f aca="false">Q287</f>
        <v>1600</v>
      </c>
      <c r="V341" s="50" t="n">
        <f aca="false">V287</f>
        <v>1861</v>
      </c>
      <c r="Y341" s="32"/>
      <c r="Z341" s="32"/>
      <c r="AA341" s="43" t="n">
        <f aca="false">AA287</f>
        <v>2209.22353980167</v>
      </c>
      <c r="AB341" s="43" t="n">
        <f aca="false">AB287</f>
        <v>2545.0931102294</v>
      </c>
      <c r="AC341" s="43" t="n">
        <f aca="false">AC287</f>
        <v>2325.4857422693</v>
      </c>
      <c r="AD341" s="43" t="n">
        <f aca="false">AD287</f>
        <v>2100.76309277174</v>
      </c>
      <c r="AE341" s="43" t="n">
        <f aca="false">AE287</f>
        <v>1918.78469914775</v>
      </c>
    </row>
    <row r="342" customFormat="false" ht="15" hidden="false" customHeight="true" outlineLevel="0" collapsed="false">
      <c r="B342" s="11" t="s">
        <v>501</v>
      </c>
      <c r="G342" s="50" t="n">
        <f aca="false">G315-G260</f>
        <v>2072</v>
      </c>
      <c r="L342" s="50" t="n">
        <f aca="false">L315-L260</f>
        <v>2992</v>
      </c>
      <c r="Q342" s="50" t="n">
        <f aca="false">Q315-Q260</f>
        <v>3141</v>
      </c>
      <c r="V342" s="50" t="n">
        <f aca="false">V315-V260</f>
        <v>3003</v>
      </c>
      <c r="Y342" s="32"/>
      <c r="Z342" s="32"/>
      <c r="AA342" s="43" t="n">
        <f aca="false">AA315-AA260</f>
        <v>2493.33547676304</v>
      </c>
      <c r="AB342" s="43" t="n">
        <f aca="false">AB315-AB260</f>
        <v>2182.25263164368</v>
      </c>
      <c r="AC342" s="43" t="n">
        <f aca="false">AC315-AC260</f>
        <v>2426.8095370922</v>
      </c>
      <c r="AD342" s="43" t="n">
        <f aca="false">AD315-AD260</f>
        <v>2683.57134855371</v>
      </c>
      <c r="AE342" s="43" t="n">
        <f aca="false">AE315-AE260</f>
        <v>2894.65222014397</v>
      </c>
    </row>
    <row r="343" customFormat="false" ht="15" hidden="false" customHeight="true" outlineLevel="0" collapsed="false">
      <c r="B343" s="11" t="s">
        <v>502</v>
      </c>
      <c r="G343" s="42" t="n">
        <f aca="false">IFERROR(G339/G340,"n/a")</f>
        <v>0.139906896309032</v>
      </c>
      <c r="L343" s="42" t="n">
        <f aca="false">IFERROR(L339/L340,"n/a")</f>
        <v>0.0978140694439426</v>
      </c>
      <c r="Q343" s="42" t="n">
        <f aca="false">IFERROR(Q339/Q340,"n/a")</f>
        <v>0.133918812678568</v>
      </c>
      <c r="V343" s="42" t="n">
        <f aca="false">IFERROR(V339/V340,"n/a")</f>
        <v>0.111648274719981</v>
      </c>
      <c r="Y343" s="32"/>
      <c r="Z343" s="32"/>
      <c r="AA343" s="30" t="n">
        <f aca="false">IFERROR(AA339/AA340,"n/a")</f>
        <v>0.167664734730295</v>
      </c>
      <c r="AB343" s="30" t="n">
        <f aca="false">IFERROR(AB339/AB340,"n/a")</f>
        <v>0.184751315700425</v>
      </c>
      <c r="AC343" s="30" t="n">
        <f aca="false">IFERROR(AC339/AC340,"n/a")</f>
        <v>0.211497304036861</v>
      </c>
      <c r="AD343" s="30" t="n">
        <f aca="false">IFERROR(AD339/AD340,"n/a")</f>
        <v>0.238647524619706</v>
      </c>
      <c r="AE343" s="30" t="n">
        <f aca="false">IFERROR(AE339/AE340,"n/a")</f>
        <v>0.258307963592781</v>
      </c>
      <c r="AH343" s="44" t="n">
        <f aca="false">IFERROR(AVERAGE(AA343,AB343,AC343,AD343,AE343),"n/m")</f>
        <v>0.212173768536014</v>
      </c>
      <c r="AI343" s="44" t="n">
        <f aca="false">IFERROR(AVERAGE(G343,L343,Q343,V343),"n/m")</f>
        <v>0.120822013287881</v>
      </c>
    </row>
    <row r="344" customFormat="false" ht="15" hidden="false" customHeight="true" outlineLevel="0" collapsed="false">
      <c r="B344" s="11" t="s">
        <v>503</v>
      </c>
      <c r="G344" s="42" t="n">
        <f aca="false">IFERROR(G337/G106,"n/a")</f>
        <v>0.0783881834672195</v>
      </c>
      <c r="L344" s="42" t="n">
        <f aca="false">IFERROR(L337/L106,"n/a")</f>
        <v>0.0728305785123967</v>
      </c>
      <c r="Q344" s="42" t="n">
        <f aca="false">IFERROR(Q337/Q106,"n/a")</f>
        <v>0.0961347869177403</v>
      </c>
      <c r="V344" s="42" t="n">
        <f aca="false">IFERROR(V337/V106,"n/a")</f>
        <v>0.0920681623145764</v>
      </c>
      <c r="Y344" s="32"/>
      <c r="Z344" s="32"/>
      <c r="AA344" s="30" t="n">
        <f aca="false">IFERROR(AA337/AA106,"n/a")</f>
        <v>0.111998545476611</v>
      </c>
      <c r="AB344" s="30" t="n">
        <f aca="false">IFERROR(AB337/AB106,"n/a")</f>
        <v>0.122246111544304</v>
      </c>
      <c r="AC344" s="30" t="n">
        <f aca="false">IFERROR(AC337/AC106,"n/a")</f>
        <v>0.132995865877082</v>
      </c>
      <c r="AD344" s="30" t="n">
        <f aca="false">IFERROR(AD337/AD106,"n/a")</f>
        <v>0.143191811622334</v>
      </c>
      <c r="AE344" s="30" t="n">
        <f aca="false">IFERROR(AE337/AE106,"n/a")</f>
        <v>0.148181456697689</v>
      </c>
    </row>
    <row r="345" customFormat="false" ht="15" hidden="false" customHeight="true" outlineLevel="0" collapsed="false">
      <c r="B345" s="11" t="s">
        <v>504</v>
      </c>
      <c r="G345" s="62" t="n">
        <f aca="false">IFERROR(G106/G340,"n/a")</f>
        <v>2.50259403372244</v>
      </c>
      <c r="L345" s="62" t="n">
        <f aca="false">IFERROR(L106/L340,"n/a")</f>
        <v>1.81869422263974</v>
      </c>
      <c r="Q345" s="62" t="n">
        <f aca="false">IFERROR(Q106/Q340,"n/a")</f>
        <v>1.70259438936933</v>
      </c>
      <c r="V345" s="62" t="n">
        <f aca="false">IFERROR(V106/V340,"n/a")</f>
        <v>1.67701480263158</v>
      </c>
      <c r="Y345" s="32"/>
      <c r="Z345" s="32"/>
      <c r="AA345" s="63" t="n">
        <f aca="false">IFERROR(AA106/AA340,"n/a")</f>
        <v>1.95226118670695</v>
      </c>
      <c r="AB345" s="63" t="n">
        <f aca="false">IFERROR(AB106/AB340,"n/a")</f>
        <v>2.00173016804589</v>
      </c>
      <c r="AC345" s="63" t="n">
        <f aca="false">IFERROR(AC106/AC340,"n/a")</f>
        <v>2.10629764821354</v>
      </c>
      <c r="AD345" s="63" t="n">
        <f aca="false">IFERROR(AD106/AD340,"n/a")</f>
        <v>2.20745469312221</v>
      </c>
      <c r="AE345" s="63" t="n">
        <f aca="false">IFERROR(AE106/AE340,"n/a")</f>
        <v>2.30885672693187</v>
      </c>
    </row>
    <row r="346" customFormat="false" ht="15" hidden="false" customHeight="true" outlineLevel="0" collapsed="false">
      <c r="B346" s="11" t="s">
        <v>505</v>
      </c>
      <c r="G346" s="42" t="n">
        <f aca="false">IFERROR(1-G338,"n/a")</f>
        <v>0.713178294573643</v>
      </c>
      <c r="L346" s="42" t="n">
        <f aca="false">IFERROR(1-L338,"n/a")</f>
        <v>0.738461538461539</v>
      </c>
      <c r="Q346" s="42" t="n">
        <f aca="false">IFERROR(1-Q338,"n/a")</f>
        <v>0.818181818181818</v>
      </c>
      <c r="V346" s="42" t="n">
        <f aca="false">IFERROR(1-V338,"n/a")</f>
        <v>0.723112128146453</v>
      </c>
      <c r="Y346" s="32"/>
      <c r="Z346" s="32"/>
      <c r="AA346" s="30" t="n">
        <f aca="false">IFERROR(1-AA338,"n/a")</f>
        <v>0.766816454625253</v>
      </c>
      <c r="AB346" s="30" t="n">
        <f aca="false">IFERROR(1-AB338,"n/a")</f>
        <v>0.755</v>
      </c>
      <c r="AC346" s="30" t="n">
        <f aca="false">IFERROR(1-AC338,"n/a")</f>
        <v>0.755</v>
      </c>
      <c r="AD346" s="30" t="n">
        <f aca="false">IFERROR(1-AD338,"n/a")</f>
        <v>0.755</v>
      </c>
      <c r="AE346" s="30" t="n">
        <f aca="false">IFERROR(1-AE338,"n/a")</f>
        <v>0.755</v>
      </c>
    </row>
    <row r="347" customFormat="false" ht="15" hidden="false" customHeight="true" outlineLevel="0" collapsed="false">
      <c r="B347" s="11" t="s">
        <v>506</v>
      </c>
      <c r="G347" s="42" t="n">
        <f aca="false">IFERROR(G344*G345*G346,"n/a")</f>
        <v>0.139906896309032</v>
      </c>
      <c r="L347" s="42" t="n">
        <f aca="false">IFERROR(L344*L345*L346,"n/a")</f>
        <v>0.0978140694439426</v>
      </c>
      <c r="Q347" s="42" t="n">
        <f aca="false">IFERROR(Q344*Q345*Q346,"n/a")</f>
        <v>0.133918812678568</v>
      </c>
      <c r="V347" s="42" t="n">
        <f aca="false">IFERROR(V344*V345*V346,"n/a")</f>
        <v>0.111648274719981</v>
      </c>
      <c r="Y347" s="32"/>
      <c r="Z347" s="32"/>
      <c r="AA347" s="30" t="n">
        <f aca="false">IFERROR(AA344*AA345*AA346,"n/a")</f>
        <v>0.167664734730295</v>
      </c>
      <c r="AB347" s="30" t="n">
        <f aca="false">IFERROR(AB344*AB345*AB346,"n/a")</f>
        <v>0.184751315700425</v>
      </c>
      <c r="AC347" s="30" t="n">
        <f aca="false">IFERROR(AC344*AC345*AC346,"n/a")</f>
        <v>0.211497304036861</v>
      </c>
      <c r="AD347" s="30" t="n">
        <f aca="false">IFERROR(AD344*AD345*AD346,"n/a")</f>
        <v>0.238647524619706</v>
      </c>
      <c r="AE347" s="30" t="n">
        <f aca="false">IFERROR(AE344*AE345*AE346,"n/a")</f>
        <v>0.258307963592781</v>
      </c>
    </row>
    <row r="348" customFormat="false" ht="15" hidden="false" customHeight="true" outlineLevel="0" collapsed="false">
      <c r="B348" s="55" t="s">
        <v>507</v>
      </c>
      <c r="Y348" s="32"/>
      <c r="Z348" s="32"/>
      <c r="AA348" s="32"/>
      <c r="AB348" s="32"/>
      <c r="AC348" s="32"/>
      <c r="AD348" s="32"/>
      <c r="AE348" s="32"/>
    </row>
    <row r="349" customFormat="false" ht="15" hidden="false" customHeight="true" outlineLevel="0" collapsed="false">
      <c r="B349" s="11" t="s">
        <v>498</v>
      </c>
      <c r="G349" s="50" t="n">
        <f aca="false">G339</f>
        <v>431.472868217054</v>
      </c>
      <c r="L349" s="50" t="n">
        <f aca="false">L339</f>
        <v>416.492307692308</v>
      </c>
      <c r="Q349" s="50" t="n">
        <f aca="false">Q339</f>
        <v>634.909090909091</v>
      </c>
      <c r="V349" s="50" t="n">
        <f aca="false">V339</f>
        <v>543.057208237986</v>
      </c>
      <c r="Y349" s="32"/>
      <c r="Z349" s="32"/>
      <c r="AA349" s="43" t="n">
        <f aca="false">AA339</f>
        <v>788.45331006588</v>
      </c>
      <c r="AB349" s="43" t="n">
        <f aca="false">AB339</f>
        <v>873.383345581855</v>
      </c>
      <c r="AC349" s="43" t="n">
        <f aca="false">AC339</f>
        <v>1005.09763957206</v>
      </c>
      <c r="AD349" s="43" t="n">
        <f aca="false">AD339</f>
        <v>1141.76957137512</v>
      </c>
      <c r="AE349" s="43" t="n">
        <f aca="false">AE339</f>
        <v>1243.34908850455</v>
      </c>
    </row>
    <row r="350" customFormat="false" ht="15" hidden="false" customHeight="true" outlineLevel="0" collapsed="false">
      <c r="B350" s="11" t="s">
        <v>508</v>
      </c>
      <c r="G350" s="50" t="n">
        <f aca="false">G269</f>
        <v>6269</v>
      </c>
      <c r="L350" s="50" t="n">
        <f aca="false">L269</f>
        <v>7492</v>
      </c>
      <c r="Q350" s="50" t="n">
        <f aca="false">Q269</f>
        <v>7712</v>
      </c>
      <c r="V350" s="50" t="n">
        <f aca="false">V269</f>
        <v>8194</v>
      </c>
      <c r="Y350" s="32"/>
      <c r="Z350" s="32"/>
      <c r="AA350" s="43" t="n">
        <f aca="false">AA269</f>
        <v>8242.55792147125</v>
      </c>
      <c r="AB350" s="43" t="n">
        <f aca="false">AB269</f>
        <v>8358.84111579408</v>
      </c>
      <c r="AC350" s="43" t="n">
        <f aca="false">AC269</f>
        <v>8528.30134942938</v>
      </c>
      <c r="AD350" s="43" t="n">
        <f aca="false">AD269</f>
        <v>8715.31016689458</v>
      </c>
      <c r="AE350" s="43" t="n">
        <f aca="false">AE269</f>
        <v>8909.53289536335</v>
      </c>
    </row>
    <row r="351" customFormat="false" ht="15" hidden="false" customHeight="true" outlineLevel="0" collapsed="false">
      <c r="B351" s="11" t="s">
        <v>509</v>
      </c>
      <c r="G351" s="50" t="n">
        <f aca="false">-(G266+G267)</f>
        <v>-1879</v>
      </c>
      <c r="L351" s="50" t="n">
        <f aca="false">-(L266+L267)</f>
        <v>-1920</v>
      </c>
      <c r="Q351" s="50" t="n">
        <f aca="false">-(Q266+Q267)</f>
        <v>-1822</v>
      </c>
      <c r="V351" s="50" t="n">
        <f aca="false">-(V266+V267)</f>
        <v>-1858</v>
      </c>
      <c r="Y351" s="32"/>
      <c r="Z351" s="32"/>
      <c r="AA351" s="43" t="n">
        <f aca="false">-(AA266+AA267)</f>
        <v>-1779</v>
      </c>
      <c r="AB351" s="43" t="n">
        <f aca="false">-(AB266+AB267)</f>
        <v>-1720</v>
      </c>
      <c r="AC351" s="43" t="n">
        <f aca="false">-(AC266+AC267)</f>
        <v>-1674</v>
      </c>
      <c r="AD351" s="43" t="n">
        <f aca="false">-(AD266+AD267)</f>
        <v>-1638</v>
      </c>
      <c r="AE351" s="43" t="n">
        <f aca="false">-(AE266+AE267)</f>
        <v>-1602</v>
      </c>
    </row>
    <row r="352" customFormat="false" ht="15" hidden="false" customHeight="true" outlineLevel="0" collapsed="false">
      <c r="B352" s="11" t="s">
        <v>510</v>
      </c>
      <c r="G352" s="50" t="n">
        <f aca="false">-(G276-N(G273))</f>
        <v>-1448</v>
      </c>
      <c r="L352" s="50" t="n">
        <f aca="false">-(L276-N(L273))</f>
        <v>-1521</v>
      </c>
      <c r="Q352" s="50" t="n">
        <f aca="false">-(Q276-N(Q273))</f>
        <v>-1358</v>
      </c>
      <c r="V352" s="50" t="n">
        <f aca="false">-(V276-N(V273))</f>
        <v>-1495</v>
      </c>
      <c r="Y352" s="32"/>
      <c r="Z352" s="32"/>
      <c r="AA352" s="43" t="n">
        <f aca="false">-(AA276-N(AA273))</f>
        <v>-1701.7811871444</v>
      </c>
      <c r="AB352" s="43" t="n">
        <f aca="false">-(AB276-N(AB273))</f>
        <v>-1735.43521664665</v>
      </c>
      <c r="AC352" s="43" t="n">
        <f aca="false">-(AC276-N(AC273))</f>
        <v>-1810.3518546832</v>
      </c>
      <c r="AD352" s="43" t="n">
        <f aca="false">-(AD276-N(AD273))</f>
        <v>-1885.3386202405</v>
      </c>
      <c r="AE352" s="43" t="n">
        <f aca="false">-(AE276-N(AE273))</f>
        <v>-1962.97081518053</v>
      </c>
    </row>
    <row r="353" customFormat="false" ht="15" hidden="false" customHeight="true" outlineLevel="0" collapsed="false">
      <c r="B353" s="11" t="s">
        <v>511</v>
      </c>
      <c r="G353" s="50" t="n">
        <f aca="false">SUM(G350:G352)</f>
        <v>2942</v>
      </c>
      <c r="L353" s="50" t="n">
        <f aca="false">SUM(L350:L352)</f>
        <v>4051</v>
      </c>
      <c r="Q353" s="50" t="n">
        <f aca="false">SUM(Q350:Q352)</f>
        <v>4532</v>
      </c>
      <c r="V353" s="50" t="n">
        <f aca="false">SUM(V350:V352)</f>
        <v>4841</v>
      </c>
      <c r="Y353" s="32"/>
      <c r="Z353" s="32"/>
      <c r="AA353" s="43" t="n">
        <f aca="false">SUM(AA350:AA352)</f>
        <v>4761.77673432685</v>
      </c>
      <c r="AB353" s="43" t="n">
        <f aca="false">SUM(AB350:AB352)</f>
        <v>4903.40589914743</v>
      </c>
      <c r="AC353" s="43" t="n">
        <f aca="false">SUM(AC350:AC352)</f>
        <v>5043.94949474618</v>
      </c>
      <c r="AD353" s="43" t="n">
        <f aca="false">SUM(AD350:AD352)</f>
        <v>5191.97154665408</v>
      </c>
      <c r="AE353" s="43" t="n">
        <f aca="false">SUM(AE350:AE352)</f>
        <v>5344.56208018283</v>
      </c>
    </row>
    <row r="354" customFormat="false" ht="15" hidden="false" customHeight="true" outlineLevel="0" collapsed="false">
      <c r="B354" s="11" t="s">
        <v>512</v>
      </c>
      <c r="G354" s="42" t="n">
        <f aca="false">IFERROR(G349/G353,"n/a")</f>
        <v>0.146659710474865</v>
      </c>
      <c r="L354" s="42" t="n">
        <f aca="false">IFERROR(L349/L353,"n/a")</f>
        <v>0.102812221104001</v>
      </c>
      <c r="Q354" s="42" t="n">
        <f aca="false">IFERROR(Q349/Q353,"n/a")</f>
        <v>0.140094680253551</v>
      </c>
      <c r="V354" s="42" t="n">
        <f aca="false">IFERROR(V349/V353,"n/a")</f>
        <v>0.112178725105967</v>
      </c>
      <c r="Y354" s="32"/>
      <c r="Z354" s="32"/>
      <c r="AA354" s="30" t="n">
        <f aca="false">IFERROR(AA349/AA353,"n/a")</f>
        <v>0.165579646853674</v>
      </c>
      <c r="AB354" s="30" t="n">
        <f aca="false">IFERROR(AB349/AB353,"n/a")</f>
        <v>0.178117692792619</v>
      </c>
      <c r="AC354" s="30" t="n">
        <f aca="false">IFERROR(AC349/AC353,"n/a")</f>
        <v>0.199267982484554</v>
      </c>
      <c r="AD354" s="30" t="n">
        <f aca="false">IFERROR(AD349/AD353,"n/a")</f>
        <v>0.219910598722546</v>
      </c>
      <c r="AE354" s="30" t="n">
        <f aca="false">IFERROR(AE349/AE353,"n/a")</f>
        <v>0.232638160030881</v>
      </c>
      <c r="AH354" s="44" t="n">
        <f aca="false">IFERROR(AVERAGE(AA354,AB354,AC354,AD354,AE354),"n/m")</f>
        <v>0.199102816176855</v>
      </c>
      <c r="AI354" s="44" t="n">
        <f aca="false">IFERROR(AVERAGE(G354,L354,Q354,V354),"n/m")</f>
        <v>0.125436334234596</v>
      </c>
    </row>
    <row r="355" customFormat="false" ht="15" hidden="false" customHeight="true" outlineLevel="0" collapsed="false">
      <c r="B355" s="55" t="s">
        <v>513</v>
      </c>
      <c r="Y355" s="32"/>
      <c r="Z355" s="32"/>
      <c r="AA355" s="32"/>
      <c r="AB355" s="32"/>
      <c r="AC355" s="32"/>
      <c r="AD355" s="32"/>
      <c r="AE355" s="32"/>
    </row>
    <row r="356" customFormat="false" ht="15" hidden="false" customHeight="true" outlineLevel="0" collapsed="false">
      <c r="B356" s="11" t="s">
        <v>250</v>
      </c>
      <c r="G356" s="50" t="n">
        <f aca="false">G131</f>
        <v>666</v>
      </c>
      <c r="L356" s="50" t="n">
        <f aca="false">L131</f>
        <v>189</v>
      </c>
      <c r="Q356" s="50" t="n">
        <f aca="false">Q131</f>
        <v>387</v>
      </c>
      <c r="V356" s="50" t="n">
        <f aca="false">V131</f>
        <v>316</v>
      </c>
      <c r="Y356" s="32"/>
      <c r="Z356" s="32"/>
      <c r="AA356" s="43" t="n">
        <f aca="false">AA131</f>
        <v>578.345601498561</v>
      </c>
      <c r="AB356" s="43" t="n">
        <f aca="false">AB131</f>
        <v>712.99660133405</v>
      </c>
      <c r="AC356" s="43" t="n">
        <f aca="false">AC131</f>
        <v>857.853287727507</v>
      </c>
      <c r="AD356" s="43" t="n">
        <f aca="false">AD131</f>
        <v>985.911541349891</v>
      </c>
      <c r="AE356" s="43" t="n">
        <f aca="false">AE131</f>
        <v>1078.42419509665</v>
      </c>
    </row>
    <row r="357" customFormat="false" ht="15" hidden="false" customHeight="true" outlineLevel="0" collapsed="false">
      <c r="B357" s="11" t="s">
        <v>514</v>
      </c>
      <c r="G357" s="50" t="n">
        <f aca="false">G287</f>
        <v>1012</v>
      </c>
      <c r="L357" s="50" t="n">
        <f aca="false">L287</f>
        <v>1266</v>
      </c>
      <c r="Q357" s="50" t="n">
        <f aca="false">Q287</f>
        <v>1600</v>
      </c>
      <c r="V357" s="50" t="n">
        <f aca="false">V287</f>
        <v>1861</v>
      </c>
      <c r="Y357" s="32"/>
      <c r="Z357" s="32"/>
      <c r="AA357" s="43" t="n">
        <f aca="false">AA287</f>
        <v>2209.22353980167</v>
      </c>
      <c r="AB357" s="43" t="n">
        <f aca="false">AB287</f>
        <v>2545.0931102294</v>
      </c>
      <c r="AC357" s="43" t="n">
        <f aca="false">AC287</f>
        <v>2325.4857422693</v>
      </c>
      <c r="AD357" s="43" t="n">
        <f aca="false">AD287</f>
        <v>2100.76309277174</v>
      </c>
      <c r="AE357" s="43" t="n">
        <f aca="false">AE287</f>
        <v>1918.78469914775</v>
      </c>
    </row>
    <row r="358" customFormat="false" ht="15" hidden="false" customHeight="true" outlineLevel="0" collapsed="false">
      <c r="B358" s="11" t="s">
        <v>515</v>
      </c>
      <c r="G358" s="42" t="n">
        <f aca="false">IFERROR(G356/G357,"n/a")</f>
        <v>0.658102766798419</v>
      </c>
      <c r="L358" s="42" t="n">
        <f aca="false">IFERROR(L356/L357,"n/a")</f>
        <v>0.149289099526066</v>
      </c>
      <c r="Q358" s="42" t="n">
        <f aca="false">IFERROR(Q356/Q357,"n/a")</f>
        <v>0.241875</v>
      </c>
      <c r="V358" s="42" t="n">
        <f aca="false">IFERROR(V356/V357,"n/a")</f>
        <v>0.169801182160129</v>
      </c>
      <c r="Y358" s="32"/>
      <c r="Z358" s="32"/>
      <c r="AA358" s="30" t="n">
        <f aca="false">IFERROR(AA356/AA357,"n/a")</f>
        <v>0.261786818345454</v>
      </c>
      <c r="AB358" s="30" t="n">
        <f aca="false">IFERROR(AB356/AB357,"n/a")</f>
        <v>0.280145586213851</v>
      </c>
      <c r="AC358" s="30" t="n">
        <f aca="false">IFERROR(AC356/AC357,"n/a")</f>
        <v>0.36889208655839</v>
      </c>
      <c r="AD358" s="30" t="n">
        <f aca="false">IFERROR(AD356/AD357,"n/a")</f>
        <v>0.4693111492401</v>
      </c>
      <c r="AE358" s="30" t="n">
        <f aca="false">IFERROR(AE356/AE357,"n/a")</f>
        <v>0.562035019132499</v>
      </c>
      <c r="AH358" s="44" t="n">
        <f aca="false">IFERROR(AVERAGE(AA358,AB358,AC358,AD358,AE358),"n/m")</f>
        <v>0.388434131898059</v>
      </c>
      <c r="AI358" s="44" t="n">
        <f aca="false">IFERROR(AVERAGE(G358,L358,Q358,V358),"n/m")</f>
        <v>0.304767012121154</v>
      </c>
    </row>
    <row r="359" customFormat="false" ht="15" hidden="false" customHeight="true" outlineLevel="0" collapsed="false">
      <c r="B359" s="55" t="s">
        <v>516</v>
      </c>
      <c r="Y359" s="32"/>
      <c r="Z359" s="32"/>
      <c r="AA359" s="32"/>
      <c r="AB359" s="32"/>
      <c r="AC359" s="32"/>
      <c r="AD359" s="32"/>
      <c r="AE359" s="32"/>
    </row>
    <row r="360" customFormat="false" ht="15" hidden="false" customHeight="true" outlineLevel="0" collapsed="false">
      <c r="B360" s="11" t="s">
        <v>517</v>
      </c>
      <c r="G360" s="50" t="n">
        <f aca="false">G342</f>
        <v>2072</v>
      </c>
      <c r="L360" s="50" t="n">
        <f aca="false">L342</f>
        <v>2992</v>
      </c>
      <c r="Q360" s="50" t="n">
        <f aca="false">Q342</f>
        <v>3141</v>
      </c>
      <c r="V360" s="50" t="n">
        <f aca="false">V342</f>
        <v>3003</v>
      </c>
      <c r="Y360" s="32"/>
      <c r="Z360" s="32"/>
      <c r="AA360" s="43" t="n">
        <f aca="false">AA342</f>
        <v>2493.33547676304</v>
      </c>
      <c r="AB360" s="43" t="n">
        <f aca="false">AB342</f>
        <v>2182.25263164368</v>
      </c>
      <c r="AC360" s="43" t="n">
        <f aca="false">AC342</f>
        <v>2426.8095370922</v>
      </c>
      <c r="AD360" s="43" t="n">
        <f aca="false">AD342</f>
        <v>2683.57134855371</v>
      </c>
      <c r="AE360" s="43" t="n">
        <f aca="false">AE342</f>
        <v>2894.65222014397</v>
      </c>
    </row>
    <row r="361" customFormat="false" ht="15" hidden="false" customHeight="true" outlineLevel="0" collapsed="false">
      <c r="B361" s="11" t="s">
        <v>518</v>
      </c>
      <c r="G361" s="50" t="n">
        <f aca="false">G158</f>
        <v>997</v>
      </c>
      <c r="L361" s="50" t="n">
        <f aca="false">L158</f>
        <v>996</v>
      </c>
      <c r="Q361" s="50" t="n">
        <f aca="false">Q158</f>
        <v>1266</v>
      </c>
      <c r="V361" s="50" t="n">
        <f aca="false">V158</f>
        <v>1272</v>
      </c>
      <c r="Y361" s="32"/>
      <c r="Z361" s="32"/>
      <c r="AA361" s="43" t="n">
        <f aca="false">AA158</f>
        <v>1571.66862923192</v>
      </c>
      <c r="AB361" s="43" t="n">
        <f aca="false">AB158</f>
        <v>1745.80210531495</v>
      </c>
      <c r="AC361" s="43" t="n">
        <f aca="false">AC158</f>
        <v>1941.44762967376</v>
      </c>
      <c r="AD361" s="43" t="n">
        <f aca="false">AD158</f>
        <v>2146.85707884297</v>
      </c>
      <c r="AE361" s="43" t="n">
        <f aca="false">AE158</f>
        <v>2315.72177611518</v>
      </c>
    </row>
    <row r="362" customFormat="false" ht="15" hidden="false" customHeight="true" outlineLevel="0" collapsed="false">
      <c r="B362" s="11" t="s">
        <v>519</v>
      </c>
      <c r="G362" s="62" t="n">
        <f aca="false">IFERROR(G360/G361,"n/a")</f>
        <v>2.07823470411234</v>
      </c>
      <c r="L362" s="62" t="n">
        <f aca="false">IFERROR(L360/L361,"n/a")</f>
        <v>3.00401606425703</v>
      </c>
      <c r="Q362" s="62" t="n">
        <f aca="false">IFERROR(Q360/Q361,"n/a")</f>
        <v>2.48104265402844</v>
      </c>
      <c r="V362" s="62" t="n">
        <f aca="false">IFERROR(V360/V361,"n/a")</f>
        <v>2.36084905660377</v>
      </c>
      <c r="Y362" s="32"/>
      <c r="Z362" s="32"/>
      <c r="AA362" s="63" t="n">
        <f aca="false">IFERROR(AA360/AA361,"n/a")</f>
        <v>1.58642568184461</v>
      </c>
      <c r="AB362" s="63" t="n">
        <f aca="false">IFERROR(AB360/AB361,"n/a")</f>
        <v>1.25</v>
      </c>
      <c r="AC362" s="63" t="n">
        <f aca="false">IFERROR(AC360/AC361,"n/a")</f>
        <v>1.25</v>
      </c>
      <c r="AD362" s="63" t="n">
        <f aca="false">IFERROR(AD360/AD361,"n/a")</f>
        <v>1.25</v>
      </c>
      <c r="AE362" s="63" t="n">
        <f aca="false">IFERROR(AE360/AE361,"n/a")</f>
        <v>1.25</v>
      </c>
    </row>
    <row r="363" customFormat="false" ht="15" hidden="false" customHeight="true" outlineLevel="0" collapsed="false">
      <c r="B363" s="11"/>
    </row>
    <row r="364" customFormat="false" ht="15" hidden="false" customHeight="true" outlineLevel="0" collapsed="false">
      <c r="B364" s="10" t="s">
        <v>520</v>
      </c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 t="s">
        <v>521</v>
      </c>
    </row>
    <row r="365" customFormat="false" ht="15" hidden="false" customHeight="true" outlineLevel="0" collapsed="false">
      <c r="B365" s="69" t="s">
        <v>522</v>
      </c>
      <c r="Y365" s="32"/>
      <c r="Z365" s="32"/>
      <c r="AA365" s="70" t="n">
        <v>180</v>
      </c>
      <c r="AB365" s="39" t="n">
        <f aca="false">AA365</f>
        <v>180</v>
      </c>
      <c r="AC365" s="39" t="n">
        <f aca="false">AB365</f>
        <v>180</v>
      </c>
      <c r="AD365" s="39" t="n">
        <f aca="false">AC365</f>
        <v>180</v>
      </c>
      <c r="AE365" s="39" t="n">
        <f aca="false">AD365</f>
        <v>180</v>
      </c>
    </row>
    <row r="366" customFormat="false" ht="15" hidden="false" customHeight="true" outlineLevel="0" collapsed="false">
      <c r="B366" s="11" t="s">
        <v>523</v>
      </c>
      <c r="Y366" s="32"/>
      <c r="Z366" s="32"/>
      <c r="AA366" s="18" t="n">
        <f aca="false">AA254+(X135-X134)</f>
        <v>117.730909444444</v>
      </c>
      <c r="AB366" s="18" t="n">
        <f aca="false">AB254+AB312</f>
        <v>116.558621038154</v>
      </c>
      <c r="AC366" s="18" t="n">
        <f aca="false">AC254+AC312</f>
        <v>111.98811544153</v>
      </c>
      <c r="AD366" s="18" t="n">
        <f aca="false">AD254+AD312</f>
        <v>107.206217866303</v>
      </c>
      <c r="AE366" s="18" t="n">
        <f aca="false">AE254+AE312</f>
        <v>102.614265849051</v>
      </c>
    </row>
    <row r="367" customFormat="false" ht="15" hidden="false" customHeight="true" outlineLevel="0" collapsed="false">
      <c r="B367" s="11" t="s">
        <v>524</v>
      </c>
      <c r="Y367" s="32"/>
      <c r="Z367" s="32"/>
      <c r="AA367" s="43" t="n">
        <f aca="false">IFERROR(AA365*AA366,"n/a")</f>
        <v>21191.5637</v>
      </c>
      <c r="AB367" s="43" t="n">
        <f aca="false">IFERROR(AB365*AB366,"n/a")</f>
        <v>20980.5517868677</v>
      </c>
      <c r="AC367" s="43" t="n">
        <f aca="false">IFERROR(AC365*AC366,"n/a")</f>
        <v>20157.8607794753</v>
      </c>
      <c r="AD367" s="43" t="n">
        <f aca="false">IFERROR(AD365*AD366,"n/a")</f>
        <v>19297.1192159345</v>
      </c>
      <c r="AE367" s="43" t="n">
        <f aca="false">IFERROR(AE365*AE366,"n/a")</f>
        <v>18470.5678528293</v>
      </c>
    </row>
    <row r="368" customFormat="false" ht="15" hidden="false" customHeight="true" outlineLevel="0" collapsed="false">
      <c r="B368" s="11" t="s">
        <v>525</v>
      </c>
      <c r="Y368" s="32"/>
      <c r="Z368" s="32"/>
      <c r="AA368" s="43" t="n">
        <f aca="false">AA360</f>
        <v>2493.33547676304</v>
      </c>
      <c r="AB368" s="43" t="n">
        <f aca="false">AB360</f>
        <v>2182.25263164368</v>
      </c>
      <c r="AC368" s="43" t="n">
        <f aca="false">AC360</f>
        <v>2426.8095370922</v>
      </c>
      <c r="AD368" s="43" t="n">
        <f aca="false">AD360</f>
        <v>2683.57134855371</v>
      </c>
      <c r="AE368" s="43" t="n">
        <f aca="false">AE360</f>
        <v>2894.65222014397</v>
      </c>
    </row>
    <row r="369" customFormat="false" ht="15" hidden="false" customHeight="true" outlineLevel="0" collapsed="false">
      <c r="B369" s="11" t="s">
        <v>526</v>
      </c>
      <c r="Y369" s="32"/>
      <c r="Z369" s="32"/>
      <c r="AA369" s="43" t="n">
        <f aca="false">IFERROR(AA367+AA368,"n/a")</f>
        <v>23684.899176763</v>
      </c>
      <c r="AB369" s="43" t="n">
        <f aca="false">IFERROR(AB367+AB368,"n/a")</f>
        <v>23162.8044185113</v>
      </c>
      <c r="AC369" s="43" t="n">
        <f aca="false">IFERROR(AC367+AC368,"n/a")</f>
        <v>22584.6703165675</v>
      </c>
      <c r="AD369" s="43" t="n">
        <f aca="false">IFERROR(AD367+AD368,"n/a")</f>
        <v>21980.6905644882</v>
      </c>
      <c r="AE369" s="43" t="n">
        <f aca="false">IFERROR(AE367+AE368,"n/a")</f>
        <v>21365.2200729732</v>
      </c>
    </row>
    <row r="370" customFormat="false" ht="15" hidden="false" customHeight="true" outlineLevel="0" collapsed="false">
      <c r="B370" s="55" t="s">
        <v>527</v>
      </c>
      <c r="Y370" s="32"/>
      <c r="Z370" s="32"/>
      <c r="AA370" s="32"/>
      <c r="AB370" s="32"/>
      <c r="AC370" s="32"/>
      <c r="AD370" s="32"/>
      <c r="AE370" s="32"/>
    </row>
    <row r="371" customFormat="false" ht="15" hidden="false" customHeight="true" outlineLevel="0" collapsed="false">
      <c r="B371" s="11" t="s">
        <v>528</v>
      </c>
      <c r="Y371" s="32"/>
      <c r="Z371" s="32"/>
      <c r="AA371" s="63" t="n">
        <f aca="false">IFERROR(AA369/AA106,"n/a")</f>
        <v>2.57987916784326</v>
      </c>
      <c r="AB371" s="63" t="n">
        <f aca="false">IFERROR(AB369/AB106,"n/a")</f>
        <v>2.44775665135573</v>
      </c>
      <c r="AC371" s="63" t="n">
        <f aca="false">IFERROR(AC369/AC106,"n/a")</f>
        <v>2.25626753845756</v>
      </c>
      <c r="AD371" s="63" t="n">
        <f aca="false">IFERROR(AD369/AD106,"n/a")</f>
        <v>2.0812679817964</v>
      </c>
      <c r="AE371" s="63" t="n">
        <f aca="false">IFERROR(AE369/AE106,"n/a")</f>
        <v>1.92245021456542</v>
      </c>
    </row>
    <row r="372" customFormat="false" ht="15" hidden="false" customHeight="true" outlineLevel="0" collapsed="false">
      <c r="B372" s="11" t="s">
        <v>529</v>
      </c>
      <c r="Y372" s="32"/>
      <c r="Z372" s="32"/>
      <c r="AA372" s="71" t="n">
        <f aca="false">IFERROR(AA369/AA158,"n/a")</f>
        <v>15.0699064269915</v>
      </c>
      <c r="AB372" s="71" t="n">
        <f aca="false">IFERROR(AB369/AB158,"n/a")</f>
        <v>13.2677147930995</v>
      </c>
      <c r="AC372" s="71" t="n">
        <f aca="false">IFERROR(AC369/AC158,"n/a")</f>
        <v>11.6329021557809</v>
      </c>
      <c r="AD372" s="71" t="n">
        <f aca="false">IFERROR(AD369/AD158,"n/a")</f>
        <v>10.2385439539061</v>
      </c>
      <c r="AE372" s="71" t="n">
        <f aca="false">IFERROR(AE369/AE158,"n/a")</f>
        <v>9.22616019477748</v>
      </c>
    </row>
    <row r="373" customFormat="false" ht="15" hidden="false" customHeight="true" outlineLevel="0" collapsed="false">
      <c r="B373" s="11" t="s">
        <v>530</v>
      </c>
      <c r="Y373" s="32"/>
      <c r="Z373" s="32"/>
      <c r="AA373" s="71" t="n">
        <f aca="false">IFERROR(AA369/AA167,"n/a")</f>
        <v>23.0349345776283</v>
      </c>
      <c r="AB373" s="71" t="n">
        <f aca="false">IFERROR(AB369/AB167,"n/a")</f>
        <v>20.0231861810068</v>
      </c>
      <c r="AC373" s="71" t="n">
        <f aca="false">IFERROR(AC369/AC167,"n/a")</f>
        <v>16.9649449144747</v>
      </c>
      <c r="AD373" s="71" t="n">
        <f aca="false">IFERROR(AD369/AD167,"n/a")</f>
        <v>14.5348254080737</v>
      </c>
      <c r="AE373" s="71" t="n">
        <f aca="false">IFERROR(AE369/AE167,"n/a")</f>
        <v>12.9736220537196</v>
      </c>
    </row>
    <row r="374" customFormat="false" ht="15" hidden="false" customHeight="true" outlineLevel="0" collapsed="false">
      <c r="B374" s="11" t="s">
        <v>531</v>
      </c>
      <c r="Y374" s="32"/>
      <c r="Z374" s="32"/>
      <c r="AA374" s="63" t="n">
        <f aca="false">IFERROR(AA369/AA340,"n/a")</f>
        <v>5.03659796577423</v>
      </c>
      <c r="AB374" s="63" t="n">
        <f aca="false">IFERROR(AB369/AB340,"n/a")</f>
        <v>4.89974833305374</v>
      </c>
      <c r="AC374" s="63" t="n">
        <f aca="false">IFERROR(AC369/AC340,"n/a")</f>
        <v>4.75237100999371</v>
      </c>
      <c r="AD374" s="63" t="n">
        <f aca="false">IFERROR(AD369/AD340,"n/a")</f>
        <v>4.59430477406146</v>
      </c>
      <c r="AE374" s="63" t="n">
        <f aca="false">IFERROR(AE369/AE340,"n/a")</f>
        <v>4.43866211009099</v>
      </c>
    </row>
    <row r="375" customFormat="false" ht="15" hidden="false" customHeight="true" outlineLevel="0" collapsed="false">
      <c r="B375" s="11" t="s">
        <v>532</v>
      </c>
      <c r="Y375" s="32"/>
      <c r="Z375" s="32"/>
      <c r="AA375" s="71" t="n">
        <f aca="false">IFERROR(AA365/AA138,"n/a")</f>
        <v>36.7755887567737</v>
      </c>
      <c r="AB375" s="71" t="n">
        <f aca="false">IFERROR(AB365/AB138,"n/a")</f>
        <v>29.5991000573455</v>
      </c>
      <c r="AC375" s="71" t="n">
        <f aca="false">IFERROR(AC365/AC138,"n/a")</f>
        <v>23.9775338947062</v>
      </c>
      <c r="AD375" s="71" t="n">
        <f aca="false">IFERROR(AD365/AD138,"n/a")</f>
        <v>20.0093914822159</v>
      </c>
      <c r="AE375" s="71" t="n">
        <f aca="false">IFERROR(AE365/AE138,"n/a")</f>
        <v>17.5105896364737</v>
      </c>
    </row>
    <row r="376" customFormat="false" ht="15" hidden="false" customHeight="true" outlineLevel="0" collapsed="false">
      <c r="B376" s="11" t="s">
        <v>533</v>
      </c>
      <c r="Y376" s="32"/>
      <c r="Z376" s="32"/>
      <c r="AA376" s="71" t="n">
        <f aca="false">IFERROR(AA365/AA188,"n/a")</f>
        <v>31.4581035164597</v>
      </c>
      <c r="AB376" s="71" t="n">
        <f aca="false">IFERROR(AB365/AB188,"n/a")</f>
        <v>27.3002050705154</v>
      </c>
      <c r="AC376" s="71" t="n">
        <f aca="false">IFERROR(AC365/AC188,"n/a")</f>
        <v>22.6529793794651</v>
      </c>
      <c r="AD376" s="71" t="n">
        <f aca="false">IFERROR(AD365/AD188,"n/a")</f>
        <v>19.1813669163973</v>
      </c>
      <c r="AE376" s="71" t="n">
        <f aca="false">IFERROR(AE365/AE188,"n/a")</f>
        <v>16.8457714363704</v>
      </c>
    </row>
    <row r="377" customFormat="false" ht="15" hidden="false" customHeight="true" outlineLevel="0" collapsed="false">
      <c r="B377" s="11" t="s">
        <v>534</v>
      </c>
      <c r="Y377" s="32"/>
      <c r="Z377" s="32"/>
      <c r="AA377" s="30" t="n">
        <f aca="false">IFERROR(AA236/AA367,"n/a")</f>
        <v>0.0380181724502456</v>
      </c>
      <c r="AB377" s="30" t="n">
        <f aca="false">IFERROR(AB236/AB367,"n/a")</f>
        <v>0.0373381843938264</v>
      </c>
      <c r="AC377" s="30" t="n">
        <f aca="false">IFERROR(AC236/AC367,"n/a")</f>
        <v>0.0462842508826077</v>
      </c>
      <c r="AD377" s="30" t="n">
        <f aca="false">IFERROR(AD236/AD367,"n/a")</f>
        <v>0.0548746774676747</v>
      </c>
      <c r="AE377" s="30" t="n">
        <f aca="false">IFERROR(AE236/AE367,"n/a")</f>
        <v>0.0627670763706226</v>
      </c>
    </row>
  </sheetData>
  <dataValidations count="1">
    <dataValidation allowBlank="false" errorStyle="stop" operator="between" showDropDown="false" showErrorMessage="false" showInputMessage="false" sqref="AF2" type="list">
      <formula1>"Bull,Base,Bear"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J49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14"/>
    <col collapsed="false" customWidth="true" hidden="false" outlineLevel="0" max="2" min="2" style="0" width="63.86"/>
    <col collapsed="false" customWidth="true" hidden="false" outlineLevel="0" max="3" min="3" style="0" width="11.86"/>
    <col collapsed="false" customWidth="true" hidden="false" outlineLevel="0" max="9" min="9" style="0" width="13.29"/>
    <col collapsed="false" customWidth="true" hidden="false" outlineLevel="0" max="10" min="10" style="0" width="12.57"/>
    <col collapsed="false" customWidth="true" hidden="false" outlineLevel="0" max="13" min="13" style="0" width="3.86"/>
    <col collapsed="false" customWidth="true" hidden="false" outlineLevel="0" max="14" min="14" style="0" width="63.86"/>
    <col collapsed="false" customWidth="true" hidden="false" outlineLevel="0" max="15" min="15" style="0" width="11.86"/>
    <col collapsed="false" customWidth="true" hidden="false" outlineLevel="0" max="21" min="21" style="0" width="13.29"/>
    <col collapsed="false" customWidth="true" hidden="false" outlineLevel="0" max="22" min="22" style="0" width="12.57"/>
    <col collapsed="false" customWidth="true" hidden="false" outlineLevel="0" max="25" min="25" style="0" width="3.86"/>
    <col collapsed="false" customWidth="true" hidden="false" outlineLevel="0" max="26" min="26" style="0" width="63.86"/>
    <col collapsed="false" customWidth="true" hidden="false" outlineLevel="0" max="27" min="27" style="0" width="11.86"/>
    <col collapsed="false" customWidth="true" hidden="false" outlineLevel="0" max="33" min="33" style="0" width="13.29"/>
    <col collapsed="false" customWidth="true" hidden="false" outlineLevel="0" max="34" min="34" style="0" width="12.57"/>
  </cols>
  <sheetData>
    <row r="2" customFormat="false" ht="19.7" hidden="false" customHeight="false" outlineLevel="0" collapsed="false">
      <c r="B2" s="72" t="s">
        <v>535</v>
      </c>
      <c r="J2" s="10" t="s">
        <v>536</v>
      </c>
      <c r="K2" s="73" t="n">
        <f aca="false">Model!$AA$365</f>
        <v>180</v>
      </c>
    </row>
    <row r="3" customFormat="false" ht="15" hidden="false" customHeight="false" outlineLevel="0" collapsed="false">
      <c r="B3" s="4" t="s">
        <v>537</v>
      </c>
      <c r="J3" s="10" t="s">
        <v>538</v>
      </c>
      <c r="K3" s="74" t="n">
        <f aca="true">TODAY()</f>
        <v>46300</v>
      </c>
    </row>
    <row r="5" customFormat="false" ht="15" hidden="false" customHeight="false" outlineLevel="0" collapsed="false">
      <c r="B5" s="10" t="s">
        <v>539</v>
      </c>
      <c r="C5" s="75" t="str">
        <f aca="false">Model!$AF$2</f>
        <v>Base</v>
      </c>
      <c r="N5" s="55" t="s">
        <v>539</v>
      </c>
      <c r="O5" s="76" t="s">
        <v>41</v>
      </c>
      <c r="P5" s="4" t="s">
        <v>540</v>
      </c>
      <c r="Z5" s="55" t="s">
        <v>539</v>
      </c>
      <c r="AA5" s="76" t="s">
        <v>42</v>
      </c>
      <c r="AB5" s="4" t="s">
        <v>541</v>
      </c>
    </row>
    <row r="7" customFormat="false" ht="28.35" hidden="false" customHeight="false" outlineLevel="0" collapsed="false">
      <c r="B7" s="77" t="s">
        <v>542</v>
      </c>
      <c r="C7" s="78" t="s">
        <v>543</v>
      </c>
      <c r="D7" s="78" t="s">
        <v>28</v>
      </c>
      <c r="E7" s="78" t="s">
        <v>29</v>
      </c>
      <c r="F7" s="78" t="s">
        <v>30</v>
      </c>
      <c r="G7" s="78" t="s">
        <v>31</v>
      </c>
      <c r="H7" s="78" t="s">
        <v>32</v>
      </c>
      <c r="I7" s="78" t="s">
        <v>544</v>
      </c>
      <c r="J7" s="79" t="s">
        <v>545</v>
      </c>
      <c r="K7" s="79" t="s">
        <v>546</v>
      </c>
      <c r="L7" s="79" t="s">
        <v>547</v>
      </c>
      <c r="N7" s="77" t="s">
        <v>542</v>
      </c>
      <c r="O7" s="78" t="s">
        <v>543</v>
      </c>
      <c r="P7" s="78" t="s">
        <v>28</v>
      </c>
      <c r="Q7" s="78" t="s">
        <v>29</v>
      </c>
      <c r="R7" s="78" t="s">
        <v>30</v>
      </c>
      <c r="S7" s="78" t="s">
        <v>31</v>
      </c>
      <c r="T7" s="78" t="s">
        <v>32</v>
      </c>
      <c r="U7" s="78" t="s">
        <v>544</v>
      </c>
      <c r="V7" s="79" t="s">
        <v>545</v>
      </c>
      <c r="W7" s="79" t="s">
        <v>546</v>
      </c>
      <c r="X7" s="79" t="s">
        <v>547</v>
      </c>
      <c r="Z7" s="77" t="s">
        <v>542</v>
      </c>
      <c r="AA7" s="78" t="s">
        <v>543</v>
      </c>
      <c r="AB7" s="78" t="s">
        <v>28</v>
      </c>
      <c r="AC7" s="78" t="s">
        <v>29</v>
      </c>
      <c r="AD7" s="78" t="s">
        <v>30</v>
      </c>
      <c r="AE7" s="78" t="s">
        <v>31</v>
      </c>
      <c r="AF7" s="78" t="s">
        <v>32</v>
      </c>
      <c r="AG7" s="78" t="s">
        <v>544</v>
      </c>
      <c r="AH7" s="79" t="s">
        <v>545</v>
      </c>
      <c r="AI7" s="79" t="s">
        <v>546</v>
      </c>
      <c r="AJ7" s="79" t="s">
        <v>547</v>
      </c>
    </row>
    <row r="9" customFormat="false" ht="15" hidden="false" customHeight="false" outlineLevel="0" collapsed="false">
      <c r="B9" s="80" t="s">
        <v>548</v>
      </c>
      <c r="C9" s="81" t="n">
        <f aca="false">Model!V106</f>
        <v>8157</v>
      </c>
      <c r="D9" s="82" t="n">
        <f aca="false">Model!AA106</f>
        <v>9180.62344623809</v>
      </c>
      <c r="E9" s="82" t="n">
        <f aca="false">Model!AB106</f>
        <v>9462.87058629062</v>
      </c>
      <c r="F9" s="82" t="n">
        <f aca="false">Model!AC106</f>
        <v>10009.7483705354</v>
      </c>
      <c r="G9" s="82" t="n">
        <f aca="false">Model!AD106</f>
        <v>10561.2015159701</v>
      </c>
      <c r="H9" s="82" t="n">
        <f aca="false">Model!AE106</f>
        <v>11113.5362107689</v>
      </c>
      <c r="I9" s="83" t="n">
        <f aca="false">IFERROR((H9/C9)^(1/5)-1,"n/m")</f>
        <v>0.0638107173830849</v>
      </c>
      <c r="N9" s="80" t="s">
        <v>548</v>
      </c>
      <c r="O9" s="81" t="n">
        <v>8157</v>
      </c>
      <c r="P9" s="82" t="n">
        <v>9180.62344623809</v>
      </c>
      <c r="Q9" s="82" t="n">
        <v>9701.70339491332</v>
      </c>
      <c r="R9" s="82" t="n">
        <v>10524.0082182938</v>
      </c>
      <c r="S9" s="82" t="n">
        <v>11389.6424364327</v>
      </c>
      <c r="T9" s="82" t="n">
        <v>12296.0805714563</v>
      </c>
      <c r="U9" s="83" t="n">
        <v>0.0855435409015535</v>
      </c>
      <c r="Z9" s="80" t="s">
        <v>548</v>
      </c>
      <c r="AA9" s="81" t="n">
        <v>8157</v>
      </c>
      <c r="AB9" s="82" t="n">
        <v>9180.62344623809</v>
      </c>
      <c r="AC9" s="82" t="n">
        <v>9199.64177467453</v>
      </c>
      <c r="AD9" s="82" t="n">
        <v>9457.81487207561</v>
      </c>
      <c r="AE9" s="82" t="n">
        <v>9695.88381406656</v>
      </c>
      <c r="AF9" s="82" t="n">
        <v>9911.69977765075</v>
      </c>
      <c r="AG9" s="83" t="n">
        <v>0.0397370869194331</v>
      </c>
    </row>
    <row r="10" customFormat="false" ht="15" hidden="false" customHeight="false" outlineLevel="0" collapsed="false">
      <c r="B10" s="84" t="s">
        <v>549</v>
      </c>
      <c r="D10" s="85" t="n">
        <f aca="false">IFERROR(D9/C9-1,"")</f>
        <v>0.12549018588183</v>
      </c>
      <c r="E10" s="85" t="n">
        <f aca="false">IFERROR(E9/D9-1,"")</f>
        <v>0.0307437879034436</v>
      </c>
      <c r="F10" s="85" t="n">
        <f aca="false">IFERROR(F9/E9-1,"")</f>
        <v>0.0577919542762315</v>
      </c>
      <c r="G10" s="85" t="n">
        <f aca="false">IFERROR(G9/F9-1,"")</f>
        <v>0.0550916092014775</v>
      </c>
      <c r="H10" s="85" t="n">
        <f aca="false">IFERROR(H9/G9-1,"")</f>
        <v>0.0522984713399872</v>
      </c>
      <c r="N10" s="84" t="s">
        <v>549</v>
      </c>
      <c r="P10" s="85" t="n">
        <v>0.12549018588183</v>
      </c>
      <c r="Q10" s="85" t="n">
        <v>0.0567586669605484</v>
      </c>
      <c r="R10" s="85" t="n">
        <v>0.0847588088305824</v>
      </c>
      <c r="S10" s="85" t="n">
        <v>0.0822532822270319</v>
      </c>
      <c r="T10" s="85" t="n">
        <v>0.0795844241891324</v>
      </c>
      <c r="Z10" s="84" t="s">
        <v>549</v>
      </c>
      <c r="AB10" s="85" t="n">
        <v>0.12549018588183</v>
      </c>
      <c r="AC10" s="85" t="n">
        <v>0.00207157264948399</v>
      </c>
      <c r="AD10" s="85" t="n">
        <v>0.0280633859148518</v>
      </c>
      <c r="AE10" s="85" t="n">
        <v>0.0251716644077962</v>
      </c>
      <c r="AF10" s="85" t="n">
        <v>0.0222585137902629</v>
      </c>
    </row>
    <row r="11" customFormat="false" ht="15" hidden="false" customHeight="false" outlineLevel="0" collapsed="false">
      <c r="B11" s="80" t="s">
        <v>550</v>
      </c>
      <c r="C11" s="86" t="n">
        <f aca="false">Model!V195</f>
        <v>-0.0623222136022756</v>
      </c>
      <c r="D11" s="87" t="n">
        <f aca="false">Model!AA195</f>
        <v>0.0210503197725735</v>
      </c>
      <c r="E11" s="87" t="n">
        <f aca="false">Model!AB195</f>
        <v>0.03</v>
      </c>
      <c r="F11" s="87" t="n">
        <f aca="false">Model!AC195</f>
        <v>0.03</v>
      </c>
      <c r="G11" s="87" t="n">
        <f aca="false">Model!AD195</f>
        <v>0.025</v>
      </c>
      <c r="H11" s="87" t="n">
        <f aca="false">Model!AE195</f>
        <v>0.025</v>
      </c>
      <c r="N11" s="80" t="s">
        <v>550</v>
      </c>
      <c r="O11" s="86" t="n">
        <v>-0.0623222136022756</v>
      </c>
      <c r="P11" s="87" t="n">
        <v>0.0210503197725735</v>
      </c>
      <c r="Q11" s="87" t="n">
        <v>0.05</v>
      </c>
      <c r="R11" s="87" t="n">
        <v>0.05</v>
      </c>
      <c r="S11" s="87" t="n">
        <v>0.045</v>
      </c>
      <c r="T11" s="87" t="n">
        <v>0.045</v>
      </c>
      <c r="Z11" s="80" t="s">
        <v>550</v>
      </c>
      <c r="AA11" s="86" t="n">
        <v>-0.0623222136022756</v>
      </c>
      <c r="AB11" s="87" t="n">
        <v>0.0210503197725735</v>
      </c>
      <c r="AC11" s="87" t="n">
        <v>0.01</v>
      </c>
      <c r="AD11" s="87" t="n">
        <v>0.01</v>
      </c>
      <c r="AE11" s="87" t="n">
        <v>0.005</v>
      </c>
      <c r="AF11" s="87" t="n">
        <v>0.005</v>
      </c>
    </row>
    <row r="12" customFormat="false" ht="15" hidden="false" customHeight="false" outlineLevel="0" collapsed="false">
      <c r="B12" s="80" t="s">
        <v>518</v>
      </c>
      <c r="C12" s="81" t="n">
        <f aca="false">Model!V158</f>
        <v>1272</v>
      </c>
      <c r="D12" s="82" t="n">
        <f aca="false">Model!AA158</f>
        <v>1571.66862923192</v>
      </c>
      <c r="E12" s="82" t="n">
        <f aca="false">Model!AB158</f>
        <v>1745.80210531495</v>
      </c>
      <c r="F12" s="82" t="n">
        <f aca="false">Model!AC158</f>
        <v>1941.44762967376</v>
      </c>
      <c r="G12" s="82" t="n">
        <f aca="false">Model!AD158</f>
        <v>2146.85707884297</v>
      </c>
      <c r="H12" s="82" t="n">
        <f aca="false">Model!AE158</f>
        <v>2315.72177611518</v>
      </c>
      <c r="I12" s="83" t="n">
        <f aca="false">IFERROR((H12/C12)^(1/5)-1,"n/m")</f>
        <v>0.127300899816558</v>
      </c>
      <c r="N12" s="80" t="s">
        <v>518</v>
      </c>
      <c r="O12" s="81" t="n">
        <v>1272</v>
      </c>
      <c r="P12" s="82" t="n">
        <v>1571.66862923192</v>
      </c>
      <c r="Q12" s="82" t="n">
        <v>1882.28900498098</v>
      </c>
      <c r="R12" s="82" t="n">
        <v>2147.53472268687</v>
      </c>
      <c r="S12" s="82" t="n">
        <v>2437.20361950408</v>
      </c>
      <c r="T12" s="82" t="n">
        <v>2701.15972159433</v>
      </c>
      <c r="U12" s="83" t="n">
        <v>0.16255265081536</v>
      </c>
      <c r="Z12" s="80" t="s">
        <v>518</v>
      </c>
      <c r="AA12" s="81" t="n">
        <v>1272</v>
      </c>
      <c r="AB12" s="82" t="n">
        <v>1571.66862923192</v>
      </c>
      <c r="AC12" s="82" t="n">
        <v>1579.83717888303</v>
      </c>
      <c r="AD12" s="82" t="n">
        <v>1705.31651957317</v>
      </c>
      <c r="AE12" s="82" t="n">
        <v>1829.68648939765</v>
      </c>
      <c r="AF12" s="82" t="n">
        <v>1911.72265285619</v>
      </c>
      <c r="AG12" s="83" t="n">
        <v>0.0848946186751673</v>
      </c>
    </row>
    <row r="13" customFormat="false" ht="15" hidden="false" customHeight="false" outlineLevel="0" collapsed="false">
      <c r="B13" s="84" t="s">
        <v>551</v>
      </c>
      <c r="C13" s="88" t="n">
        <f aca="false">IFERROR(C12/C9,"")</f>
        <v>0.155939683707245</v>
      </c>
      <c r="D13" s="89" t="n">
        <f aca="false">IFERROR(D12/D9,"")</f>
        <v>0.171194106635093</v>
      </c>
      <c r="E13" s="89" t="n">
        <f aca="false">IFERROR(E12/E9,"")</f>
        <v>0.184489694685689</v>
      </c>
      <c r="F13" s="89" t="n">
        <f aca="false">IFERROR(F12/F9,"")</f>
        <v>0.193955687776187</v>
      </c>
      <c r="G13" s="89" t="n">
        <f aca="false">IFERROR(G12/G9,"")</f>
        <v>0.203277730814681</v>
      </c>
      <c r="H13" s="89" t="n">
        <f aca="false">IFERROR(H12/H9,"")</f>
        <v>0.208369481342156</v>
      </c>
      <c r="J13" s="90" t="n">
        <f aca="false">IFERROR(AVERAGE(Model!G159,Model!L159,Model!Q159,Model!V159),"")</f>
        <v>0.142643095941378</v>
      </c>
      <c r="K13" s="90" t="n">
        <f aca="false">IFERROR(MIN(Model!G159,Model!L159,Model!Q159,Model!V159),"")</f>
        <v>0.128615702479339</v>
      </c>
      <c r="L13" s="90" t="n">
        <f aca="false">IFERROR(MAX(Model!G159,Model!L159,Model!Q159,Model!V159),"")</f>
        <v>0.156838453914767</v>
      </c>
      <c r="N13" s="84" t="s">
        <v>551</v>
      </c>
      <c r="O13" s="88" t="n">
        <v>0.155939683707245</v>
      </c>
      <c r="P13" s="89" t="n">
        <v>0.171194106635093</v>
      </c>
      <c r="Q13" s="89" t="n">
        <v>0.194016342116569</v>
      </c>
      <c r="R13" s="89" t="n">
        <v>0.204060532654643</v>
      </c>
      <c r="S13" s="89" t="n">
        <v>0.213984208293322</v>
      </c>
      <c r="T13" s="89" t="n">
        <v>0.21967648194049</v>
      </c>
      <c r="V13" s="90" t="n">
        <v>0.142643095941378</v>
      </c>
      <c r="W13" s="90" t="n">
        <v>0.128615702479339</v>
      </c>
      <c r="X13" s="90" t="n">
        <v>0.156838453914767</v>
      </c>
      <c r="Z13" s="84" t="s">
        <v>551</v>
      </c>
      <c r="AA13" s="88" t="n">
        <v>0.155939683707245</v>
      </c>
      <c r="AB13" s="89" t="n">
        <v>0.171194106635093</v>
      </c>
      <c r="AC13" s="89" t="n">
        <v>0.171728119157001</v>
      </c>
      <c r="AD13" s="89" t="n">
        <v>0.18030766542155</v>
      </c>
      <c r="AE13" s="89" t="n">
        <v>0.188707551006663</v>
      </c>
      <c r="AF13" s="89" t="n">
        <v>0.192875358994106</v>
      </c>
      <c r="AH13" s="90" t="n">
        <v>0.142643095941378</v>
      </c>
      <c r="AI13" s="90" t="n">
        <v>0.128615702479339</v>
      </c>
      <c r="AJ13" s="90" t="n">
        <v>0.156838453914767</v>
      </c>
    </row>
    <row r="15" customFormat="false" ht="15" hidden="false" customHeight="false" outlineLevel="0" collapsed="false">
      <c r="B15" s="80" t="s">
        <v>552</v>
      </c>
      <c r="C15" s="81" t="n">
        <f aca="false">Model!V121</f>
        <v>656</v>
      </c>
      <c r="D15" s="82" t="n">
        <f aca="false">Model!AA121</f>
        <v>957.216472547138</v>
      </c>
      <c r="E15" s="82" t="n">
        <f aca="false">Model!AB121</f>
        <v>1124.799133221</v>
      </c>
      <c r="F15" s="82" t="n">
        <f aca="false">Model!AC121</f>
        <v>1299.25515175107</v>
      </c>
      <c r="G15" s="82" t="n">
        <f aca="false">Model!AD121</f>
        <v>1480.27757798029</v>
      </c>
      <c r="H15" s="82" t="n">
        <f aca="false">Model!AE121</f>
        <v>1614.81998477424</v>
      </c>
      <c r="I15" s="83" t="n">
        <f aca="false">IFERROR((H15/C15)^(1/5)-1,"n/m")</f>
        <v>0.197413238148814</v>
      </c>
      <c r="N15" s="80" t="s">
        <v>552</v>
      </c>
      <c r="O15" s="81" t="n">
        <v>656</v>
      </c>
      <c r="P15" s="82" t="n">
        <v>957.216472547138</v>
      </c>
      <c r="Q15" s="82" t="n">
        <v>1247.21624053483</v>
      </c>
      <c r="R15" s="82" t="n">
        <v>1474.85294426398</v>
      </c>
      <c r="S15" s="82" t="n">
        <v>1721.22738565434</v>
      </c>
      <c r="T15" s="82" t="n">
        <v>1929.39775512797</v>
      </c>
      <c r="U15" s="83" t="n">
        <v>0.240805145827367</v>
      </c>
      <c r="Z15" s="80" t="s">
        <v>552</v>
      </c>
      <c r="AA15" s="81" t="n">
        <v>656</v>
      </c>
      <c r="AB15" s="82" t="n">
        <v>957.216472547138</v>
      </c>
      <c r="AC15" s="82" t="n">
        <v>974.611719350822</v>
      </c>
      <c r="AD15" s="82" t="n">
        <v>1096.35643786984</v>
      </c>
      <c r="AE15" s="82" t="n">
        <v>1215.41245134837</v>
      </c>
      <c r="AF15" s="82" t="n">
        <v>1283.70587564537</v>
      </c>
      <c r="AG15" s="83" t="n">
        <v>0.143700570987418</v>
      </c>
    </row>
    <row r="16" customFormat="false" ht="15" hidden="false" customHeight="false" outlineLevel="0" collapsed="false">
      <c r="B16" s="84" t="s">
        <v>553</v>
      </c>
      <c r="D16" s="85" t="n">
        <f aca="false">IFERROR(D15/C15-1,"")</f>
        <v>0.459171452053565</v>
      </c>
      <c r="E16" s="85" t="n">
        <f aca="false">IFERROR(E15/D15-1,"")</f>
        <v>0.175072896758584</v>
      </c>
      <c r="F16" s="85" t="n">
        <f aca="false">IFERROR(F15/E15-1,"")</f>
        <v>0.155099709252524</v>
      </c>
      <c r="G16" s="85" t="n">
        <f aca="false">IFERROR(G15/F15-1,"")</f>
        <v>0.13932784948765</v>
      </c>
      <c r="H16" s="85" t="n">
        <f aca="false">IFERROR(H15/G15-1,"")</f>
        <v>0.0908899849564158</v>
      </c>
      <c r="N16" s="84" t="s">
        <v>553</v>
      </c>
      <c r="P16" s="85" t="n">
        <v>0.459171452053565</v>
      </c>
      <c r="Q16" s="85" t="n">
        <v>0.302961530964888</v>
      </c>
      <c r="R16" s="85" t="n">
        <v>0.182515827112333</v>
      </c>
      <c r="S16" s="85" t="n">
        <v>0.167050174289285</v>
      </c>
      <c r="T16" s="85" t="n">
        <v>0.120942980113282</v>
      </c>
      <c r="Z16" s="84" t="s">
        <v>553</v>
      </c>
      <c r="AB16" s="85" t="n">
        <v>0.459171452053565</v>
      </c>
      <c r="AC16" s="85" t="n">
        <v>0.0181727407567438</v>
      </c>
      <c r="AD16" s="85" t="n">
        <v>0.12491612413619</v>
      </c>
      <c r="AE16" s="85" t="n">
        <v>0.108592433415041</v>
      </c>
      <c r="AF16" s="85" t="n">
        <v>0.056189505234403</v>
      </c>
    </row>
    <row r="17" customFormat="false" ht="15" hidden="false" customHeight="false" outlineLevel="0" collapsed="false">
      <c r="B17" s="84" t="s">
        <v>554</v>
      </c>
      <c r="C17" s="88" t="n">
        <f aca="false">IFERROR(C15/C9,"")</f>
        <v>0.080421723672919</v>
      </c>
      <c r="D17" s="89" t="n">
        <f aca="false">IFERROR(D15/D9,"")</f>
        <v>0.10426486590509</v>
      </c>
      <c r="E17" s="89" t="n">
        <f aca="false">IFERROR(E15/E9,"")</f>
        <v>0.11886447383636</v>
      </c>
      <c r="F17" s="89" t="n">
        <f aca="false">IFERROR(F15/F9,"")</f>
        <v>0.129798982317631</v>
      </c>
      <c r="G17" s="89" t="n">
        <f aca="false">IFERROR(G15/G9,"")</f>
        <v>0.140161853340446</v>
      </c>
      <c r="H17" s="89" t="n">
        <f aca="false">IFERROR(H15/H9,"")</f>
        <v>0.145302085146355</v>
      </c>
      <c r="J17" s="90" t="n">
        <f aca="false">IFERROR(AVERAGE(Model!G204,Model!L204,Model!Q204,Model!V204),"")</f>
        <v>0.0668981538595455</v>
      </c>
      <c r="K17" s="90" t="n">
        <f aca="false">IFERROR(MIN(Model!G204,Model!L204,Model!Q204,Model!V204),"")</f>
        <v>0.0488468515159368</v>
      </c>
      <c r="L17" s="90" t="n">
        <f aca="false">IFERROR(MAX(Model!G204,Model!L204,Model!Q204,Model!V204),"")</f>
        <v>0.0817641228939544</v>
      </c>
      <c r="N17" s="84" t="s">
        <v>554</v>
      </c>
      <c r="O17" s="88" t="n">
        <v>0.080421723672919</v>
      </c>
      <c r="P17" s="89" t="n">
        <v>0.10426486590509</v>
      </c>
      <c r="Q17" s="89" t="n">
        <v>0.12855641836966</v>
      </c>
      <c r="R17" s="89" t="n">
        <v>0.140141751476425</v>
      </c>
      <c r="S17" s="89" t="n">
        <v>0.151122161671077</v>
      </c>
      <c r="T17" s="89" t="n">
        <v>0.156911606419269</v>
      </c>
      <c r="V17" s="90" t="n">
        <v>0.0668981538595455</v>
      </c>
      <c r="W17" s="90" t="n">
        <v>0.0488468515159368</v>
      </c>
      <c r="X17" s="90" t="n">
        <v>0.0817641228939544</v>
      </c>
      <c r="Z17" s="84" t="s">
        <v>554</v>
      </c>
      <c r="AA17" s="88" t="n">
        <v>0.080421723672919</v>
      </c>
      <c r="AB17" s="89" t="n">
        <v>0.10426486590509</v>
      </c>
      <c r="AC17" s="89" t="n">
        <v>0.105940181500741</v>
      </c>
      <c r="AD17" s="89" t="n">
        <v>0.115920691269487</v>
      </c>
      <c r="AE17" s="89" t="n">
        <v>0.125353446334111</v>
      </c>
      <c r="AF17" s="89" t="n">
        <v>0.129514200837672</v>
      </c>
      <c r="AH17" s="90" t="n">
        <v>0.0668981538595455</v>
      </c>
      <c r="AI17" s="90" t="n">
        <v>0.0488468515159368</v>
      </c>
      <c r="AJ17" s="90" t="n">
        <v>0.0817641228939544</v>
      </c>
    </row>
    <row r="19" customFormat="false" ht="15" hidden="false" customHeight="false" outlineLevel="0" collapsed="false">
      <c r="B19" s="80" t="s">
        <v>555</v>
      </c>
      <c r="C19" s="81" t="n">
        <f aca="false">Model!V184</f>
        <v>445</v>
      </c>
      <c r="D19" s="82" t="n">
        <f aca="false">Model!AA184</f>
        <v>676.105601498561</v>
      </c>
      <c r="E19" s="82" t="n">
        <f aca="false">Model!AB184</f>
        <v>773.03660133405</v>
      </c>
      <c r="F19" s="82" t="n">
        <f aca="false">Model!AC184</f>
        <v>908.013287727507</v>
      </c>
      <c r="G19" s="82" t="n">
        <f aca="false">Model!AD184</f>
        <v>1028.47154134989</v>
      </c>
      <c r="H19" s="82" t="n">
        <f aca="false">Model!AE184</f>
        <v>1120.98419509665</v>
      </c>
      <c r="I19" s="83" t="n">
        <f aca="false">IFERROR((H19/C19)^(1/5)-1,"n/m")</f>
        <v>0.202950884175532</v>
      </c>
      <c r="N19" s="80" t="s">
        <v>555</v>
      </c>
      <c r="O19" s="81" t="n">
        <v>445</v>
      </c>
      <c r="P19" s="82" t="n">
        <v>676.105601498561</v>
      </c>
      <c r="Q19" s="82" t="n">
        <v>861.686517355991</v>
      </c>
      <c r="R19" s="82" t="n">
        <v>1016.38504301226</v>
      </c>
      <c r="S19" s="82" t="n">
        <v>1180.39655249688</v>
      </c>
      <c r="T19" s="82" t="n">
        <v>1321.7885751672</v>
      </c>
      <c r="U19" s="83" t="n">
        <v>0.243255521131167</v>
      </c>
      <c r="Z19" s="80" t="s">
        <v>555</v>
      </c>
      <c r="AA19" s="81" t="n">
        <v>445</v>
      </c>
      <c r="AB19" s="82" t="n">
        <v>676.105601498561</v>
      </c>
      <c r="AC19" s="82" t="n">
        <v>663.420103862066</v>
      </c>
      <c r="AD19" s="82" t="n">
        <v>759.628545591726</v>
      </c>
      <c r="AE19" s="82" t="n">
        <v>842.156680768017</v>
      </c>
      <c r="AF19" s="82" t="n">
        <v>893.966611112251</v>
      </c>
      <c r="AG19" s="83" t="n">
        <v>0.149720453499657</v>
      </c>
    </row>
    <row r="21" customFormat="false" ht="15" hidden="false" customHeight="false" outlineLevel="0" collapsed="false">
      <c r="B21" s="80" t="s">
        <v>556</v>
      </c>
      <c r="C21" s="91" t="n">
        <f aca="false">Model!V135</f>
        <v>119</v>
      </c>
      <c r="D21" s="92" t="n">
        <f aca="false">Model!AA135</f>
        <v>118.161111111111</v>
      </c>
      <c r="E21" s="92" t="n">
        <f aca="false">Model!AB135</f>
        <v>117.244765241299</v>
      </c>
      <c r="F21" s="92" t="n">
        <f aca="false">Model!AC135</f>
        <v>114.273368239842</v>
      </c>
      <c r="G21" s="92" t="n">
        <f aca="false">Model!AD135</f>
        <v>109.597166653916</v>
      </c>
      <c r="H21" s="92" t="n">
        <f aca="false">Model!AE135</f>
        <v>104.910241857677</v>
      </c>
      <c r="I21" s="83" t="n">
        <f aca="false">IFERROR((H21/C21)^(1/5)-1,"n/m")</f>
        <v>-0.0248887087218538</v>
      </c>
      <c r="N21" s="80" t="s">
        <v>556</v>
      </c>
      <c r="O21" s="91" t="n">
        <v>119</v>
      </c>
      <c r="P21" s="92" t="n">
        <v>118.091666666667</v>
      </c>
      <c r="Q21" s="92" t="n">
        <v>115.335168059275</v>
      </c>
      <c r="R21" s="92" t="n">
        <v>110.084126397732</v>
      </c>
      <c r="S21" s="92" t="n">
        <v>104.005776581849</v>
      </c>
      <c r="T21" s="92" t="n">
        <v>97.7461838029032</v>
      </c>
      <c r="U21" s="83" t="n">
        <v>-0.0385857169079241</v>
      </c>
      <c r="Z21" s="80" t="s">
        <v>556</v>
      </c>
      <c r="AA21" s="91" t="n">
        <v>119</v>
      </c>
      <c r="AB21" s="92" t="n">
        <v>118.230555555556</v>
      </c>
      <c r="AC21" s="92" t="n">
        <v>118.608687222222</v>
      </c>
      <c r="AD21" s="92" t="n">
        <v>117.858795185079</v>
      </c>
      <c r="AE21" s="92" t="n">
        <v>115.055733007836</v>
      </c>
      <c r="AF21" s="92" t="n">
        <v>111.870264136138</v>
      </c>
      <c r="AG21" s="83" t="n">
        <v>-0.0122806989318826</v>
      </c>
    </row>
    <row r="23" customFormat="false" ht="15" hidden="false" customHeight="false" outlineLevel="0" collapsed="false">
      <c r="B23" s="80" t="s">
        <v>557</v>
      </c>
      <c r="C23" s="93" t="n">
        <f aca="false">Model!V188</f>
        <v>3.73949579831933</v>
      </c>
      <c r="D23" s="94" t="n">
        <f aca="false">Model!AA188</f>
        <v>5.72189610558752</v>
      </c>
      <c r="E23" s="94" t="n">
        <f aca="false">Model!AB188</f>
        <v>6.59335706581935</v>
      </c>
      <c r="F23" s="94" t="n">
        <f aca="false">Model!AC188</f>
        <v>7.94597465458209</v>
      </c>
      <c r="G23" s="94" t="n">
        <f aca="false">Model!AD188</f>
        <v>9.38410702347425</v>
      </c>
      <c r="H23" s="94" t="n">
        <f aca="false">Model!AE188</f>
        <v>10.6851740616269</v>
      </c>
      <c r="I23" s="83" t="n">
        <f aca="false">IFERROR((H23/C23)^(1/5)-1,"n/m")</f>
        <v>0.233654963218343</v>
      </c>
      <c r="N23" s="80" t="s">
        <v>557</v>
      </c>
      <c r="O23" s="93" t="n">
        <v>3.73949579831933</v>
      </c>
      <c r="P23" s="94" t="n">
        <v>5.7252608975956</v>
      </c>
      <c r="Q23" s="94" t="n">
        <v>7.47115153040862</v>
      </c>
      <c r="R23" s="94" t="n">
        <v>9.23280291420104</v>
      </c>
      <c r="S23" s="94" t="n">
        <v>11.3493364627488</v>
      </c>
      <c r="T23" s="94" t="n">
        <v>13.5226616911456</v>
      </c>
      <c r="U23" s="83" t="n">
        <v>0.293152746943431</v>
      </c>
      <c r="Z23" s="80" t="s">
        <v>557</v>
      </c>
      <c r="AA23" s="93" t="n">
        <v>3.73949579831933</v>
      </c>
      <c r="AB23" s="94" t="n">
        <v>5.71853526629894</v>
      </c>
      <c r="AC23" s="94" t="n">
        <v>5.59335171309248</v>
      </c>
      <c r="AD23" s="94" t="n">
        <v>6.44524275340542</v>
      </c>
      <c r="AE23" s="94" t="n">
        <v>7.31955426080906</v>
      </c>
      <c r="AF23" s="94" t="n">
        <v>7.99110128160921</v>
      </c>
      <c r="AG23" s="83" t="n">
        <v>0.164015375882958</v>
      </c>
    </row>
    <row r="24" customFormat="false" ht="15" hidden="false" customHeight="false" outlineLevel="0" collapsed="false">
      <c r="B24" s="84" t="s">
        <v>558</v>
      </c>
      <c r="D24" s="85" t="n">
        <f aca="false">IFERROR(D23/C23-1,"")</f>
        <v>0.530125025988573</v>
      </c>
      <c r="E24" s="85" t="n">
        <f aca="false">IFERROR(E23/D23-1,"")</f>
        <v>0.15230282831959</v>
      </c>
      <c r="F24" s="85" t="n">
        <f aca="false">IFERROR(F23/E23-1,"")</f>
        <v>0.205148541973383</v>
      </c>
      <c r="G24" s="85" t="n">
        <f aca="false">IFERROR(G23/F23-1,"")</f>
        <v>0.180988793874752</v>
      </c>
      <c r="H24" s="85" t="n">
        <f aca="false">IFERROR(H23/G23-1,"")</f>
        <v>0.138645801342419</v>
      </c>
      <c r="N24" s="84" t="s">
        <v>558</v>
      </c>
      <c r="P24" s="85" t="n">
        <v>0.531024824300847</v>
      </c>
      <c r="Q24" s="85" t="n">
        <v>0.304945165651094</v>
      </c>
      <c r="R24" s="85" t="n">
        <v>0.235793823297821</v>
      </c>
      <c r="S24" s="85" t="n">
        <v>0.229240629115163</v>
      </c>
      <c r="T24" s="85" t="n">
        <v>0.191493593967384</v>
      </c>
      <c r="Z24" s="84" t="s">
        <v>558</v>
      </c>
      <c r="AB24" s="85" t="n">
        <v>0.529226284695672</v>
      </c>
      <c r="AC24" s="85" t="n">
        <v>-0.021890842213427</v>
      </c>
      <c r="AD24" s="85" t="n">
        <v>0.152304214719575</v>
      </c>
      <c r="AE24" s="85" t="n">
        <v>0.135652223020102</v>
      </c>
      <c r="AF24" s="85" t="n">
        <v>0.0917469830636815</v>
      </c>
    </row>
    <row r="26" customFormat="false" ht="15" hidden="false" customHeight="false" outlineLevel="0" collapsed="false">
      <c r="B26" s="84" t="s">
        <v>559</v>
      </c>
      <c r="G26" s="95" t="n">
        <v>24</v>
      </c>
      <c r="H26" s="95" t="n">
        <v>24</v>
      </c>
      <c r="N26" s="84" t="s">
        <v>559</v>
      </c>
      <c r="S26" s="95" t="n">
        <v>28</v>
      </c>
      <c r="T26" s="95" t="n">
        <v>28</v>
      </c>
      <c r="Z26" s="84" t="s">
        <v>559</v>
      </c>
      <c r="AD26" s="95" t="n">
        <v>18</v>
      </c>
      <c r="AE26" s="95" t="n">
        <v>18</v>
      </c>
      <c r="AF26" s="95" t="n">
        <v>18</v>
      </c>
    </row>
    <row r="27" customFormat="false" ht="15" hidden="false" customHeight="false" outlineLevel="0" collapsed="false">
      <c r="B27" s="10" t="s">
        <v>560</v>
      </c>
      <c r="G27" s="96" t="n">
        <f aca="false">G26*G23</f>
        <v>225.218568563382</v>
      </c>
      <c r="H27" s="96" t="n">
        <f aca="false">H26*H23</f>
        <v>256.444177479044</v>
      </c>
      <c r="N27" s="10" t="s">
        <v>560</v>
      </c>
      <c r="S27" s="96" t="n">
        <f aca="false">S26*S23</f>
        <v>317.781420956966</v>
      </c>
      <c r="T27" s="96" t="n">
        <f aca="false">T26*T23</f>
        <v>378.634527352077</v>
      </c>
      <c r="Z27" s="10" t="s">
        <v>560</v>
      </c>
      <c r="AD27" s="96" t="n">
        <f aca="false">AD26*AD23</f>
        <v>116.014369561298</v>
      </c>
      <c r="AE27" s="96" t="n">
        <f aca="false">AE26*AE23</f>
        <v>131.751976694563</v>
      </c>
      <c r="AF27" s="96" t="n">
        <f aca="false">AF26*AF23</f>
        <v>143.839823068966</v>
      </c>
    </row>
    <row r="28" customFormat="false" ht="15" hidden="false" customHeight="false" outlineLevel="0" collapsed="false">
      <c r="B28" s="84" t="s">
        <v>561</v>
      </c>
      <c r="G28" s="97" t="n">
        <f aca="false">IFERROR(G27/$K$2-1,"")</f>
        <v>0.251214269796566</v>
      </c>
      <c r="H28" s="97" t="n">
        <f aca="false">IFERROR(H27/$K$2-1,"")</f>
        <v>0.42468987488358</v>
      </c>
      <c r="N28" s="84" t="s">
        <v>561</v>
      </c>
      <c r="S28" s="97" t="n">
        <f aca="false">IFERROR(S27/$K$2-1,"")</f>
        <v>0.765452338649814</v>
      </c>
      <c r="T28" s="97" t="n">
        <f aca="false">IFERROR(T27/$K$2-1,"")</f>
        <v>1.10352515195598</v>
      </c>
      <c r="Z28" s="84" t="s">
        <v>561</v>
      </c>
      <c r="AD28" s="97" t="n">
        <f aca="false">IFERROR(AD27/$K$2-1,"")</f>
        <v>-0.355475724659458</v>
      </c>
      <c r="AE28" s="97" t="n">
        <f aca="false">IFERROR(AE27/$K$2-1,"")</f>
        <v>-0.268044573919094</v>
      </c>
      <c r="AF28" s="97" t="n">
        <f aca="false">IFERROR(AF27/$K$2-1,"")</f>
        <v>-0.200889871839079</v>
      </c>
    </row>
    <row r="29" customFormat="false" ht="15" hidden="false" customHeight="false" outlineLevel="0" collapsed="false">
      <c r="B29" s="75" t="s">
        <v>562</v>
      </c>
      <c r="G29" s="98" t="n">
        <f aca="false">IFERROR((G27/$K$2)^(1/((DATE(2029-1,12,31)-$K$3)/365.25))-1,"")</f>
        <v>0.105249038761707</v>
      </c>
      <c r="H29" s="98" t="n">
        <f aca="false">IFERROR((H27/$K$2)^(1/((DATE(2030-1,12,31)-$K$3)/365.25))-1,"")</f>
        <v>0.115477955157077</v>
      </c>
      <c r="N29" s="75" t="s">
        <v>562</v>
      </c>
      <c r="S29" s="98" t="n">
        <f aca="false">IFERROR((S27/$K$2)^(1/((DATE(2029-1,12,31)-$K$3)/365.25))-1,"")</f>
        <v>0.288917517140714</v>
      </c>
      <c r="T29" s="98" t="n">
        <f aca="false">IFERROR((T27/$K$2)^(1/((DATE(2030-1,12,31)-$K$3)/365.25))-1,"")</f>
        <v>0.2580843617024</v>
      </c>
      <c r="Z29" s="75" t="s">
        <v>562</v>
      </c>
      <c r="AD29" s="98" t="n">
        <f aca="false">IFERROR((AD27/$K$2)^(1/((DATE(2028-1,12,31)-$K$3)/365.25))-1,"")</f>
        <v>-0.298785337985583</v>
      </c>
      <c r="AE29" s="98" t="n">
        <f aca="false">IFERROR((AE27/$K$2)^(1/((DATE(2029-1,12,31)-$K$3)/365.25))-1,"")</f>
        <v>-0.130058126195398</v>
      </c>
      <c r="AF29" s="98" t="n">
        <f aca="false">IFERROR((AF27/$K$2)^(1/((DATE(2030-1,12,31)-$K$3)/365.25))-1,"")</f>
        <v>-0.0668963215553137</v>
      </c>
    </row>
    <row r="31" customFormat="false" ht="15" hidden="false" customHeight="false" outlineLevel="0" collapsed="false">
      <c r="B31" s="80" t="s">
        <v>563</v>
      </c>
      <c r="C31" s="81" t="n">
        <f aca="false">Model!V236</f>
        <v>370</v>
      </c>
      <c r="D31" s="82" t="n">
        <f aca="false">Model!AA236</f>
        <v>805.664523236965</v>
      </c>
      <c r="E31" s="82" t="n">
        <f aca="false">Model!AB236</f>
        <v>783.375711302288</v>
      </c>
      <c r="F31" s="82" t="n">
        <f aca="false">Model!AC236</f>
        <v>932.991485573914</v>
      </c>
      <c r="G31" s="82" t="n">
        <f aca="false">Model!AD236</f>
        <v>1058.92319302967</v>
      </c>
      <c r="H31" s="82" t="n">
        <f aca="false">Model!AE236</f>
        <v>1159.3435430273</v>
      </c>
      <c r="I31" s="83" t="n">
        <f aca="false">IFERROR((H31/C31)^(1/5)-1,"n/m")</f>
        <v>0.256614552054372</v>
      </c>
      <c r="N31" s="80" t="s">
        <v>563</v>
      </c>
      <c r="O31" s="81" t="n">
        <v>370</v>
      </c>
      <c r="P31" s="82" t="n">
        <v>755.664523236965</v>
      </c>
      <c r="Q31" s="82" t="n">
        <v>876.646219845293</v>
      </c>
      <c r="R31" s="82" t="n">
        <v>1051.70423069185</v>
      </c>
      <c r="S31" s="82" t="n">
        <v>1223.26435211907</v>
      </c>
      <c r="T31" s="82" t="n">
        <v>1375.29602735871</v>
      </c>
      <c r="U31" s="83" t="n">
        <v>0.300286018869644</v>
      </c>
      <c r="Z31" s="80" t="s">
        <v>563</v>
      </c>
      <c r="AA31" s="81" t="n">
        <v>370</v>
      </c>
      <c r="AB31" s="82" t="n">
        <v>855.664523236965</v>
      </c>
      <c r="AC31" s="82" t="n">
        <v>668.493926323151</v>
      </c>
      <c r="AD31" s="82" t="n">
        <v>770.330896831168</v>
      </c>
      <c r="AE31" s="82" t="n">
        <v>856.735133044844</v>
      </c>
      <c r="AF31" s="82" t="n">
        <v>914.357429575602</v>
      </c>
      <c r="AG31" s="83" t="n">
        <v>0.198347722443615</v>
      </c>
    </row>
    <row r="32" customFormat="false" ht="15" hidden="false" customHeight="false" outlineLevel="0" collapsed="false">
      <c r="B32" s="84" t="s">
        <v>564</v>
      </c>
      <c r="C32" s="88" t="n">
        <f aca="false">IFERROR(C31/C9,"")</f>
        <v>0.0453598136569817</v>
      </c>
      <c r="D32" s="89" t="n">
        <f aca="false">IFERROR(D31/D9,"")</f>
        <v>0.0877570600684095</v>
      </c>
      <c r="E32" s="89" t="n">
        <f aca="false">IFERROR(E31/E9,"")</f>
        <v>0.0827841514008664</v>
      </c>
      <c r="F32" s="89" t="n">
        <f aca="false">IFERROR(F31/F9,"")</f>
        <v>0.0932082856668263</v>
      </c>
      <c r="G32" s="89" t="n">
        <f aca="false">IFERROR(G31/G9,"")</f>
        <v>0.100265409331355</v>
      </c>
      <c r="H32" s="89" t="n">
        <f aca="false">IFERROR(H31/H9,"")</f>
        <v>0.10431815050046</v>
      </c>
      <c r="J32" s="90" t="n">
        <f aca="false">IFERROR(AVERAGE(Model!G240,Model!L240,Model!Q240,Model!V240),"")</f>
        <v>0.00076717310779029</v>
      </c>
      <c r="K32" s="90" t="n">
        <f aca="false">IFERROR(MIN(Model!G240,Model!L240,Model!Q240,Model!V240),"")</f>
        <v>-0.104597107438017</v>
      </c>
      <c r="L32" s="90" t="n">
        <f aca="false">IFERROR(MAX(Model!G240,Model!L240,Model!Q240,Model!V240),"")</f>
        <v>0.0506607929515419</v>
      </c>
      <c r="N32" s="84" t="s">
        <v>564</v>
      </c>
      <c r="O32" s="88" t="n">
        <v>0.0453598136569817</v>
      </c>
      <c r="P32" s="89" t="n">
        <v>0.0823108068490284</v>
      </c>
      <c r="Q32" s="89" t="n">
        <v>0.0903600310338209</v>
      </c>
      <c r="R32" s="89" t="n">
        <v>0.0999338093316655</v>
      </c>
      <c r="S32" s="89" t="n">
        <v>0.107401471024774</v>
      </c>
      <c r="T32" s="89" t="n">
        <v>0.111848325925196</v>
      </c>
      <c r="V32" s="90" t="n">
        <v>0.00076717310779029</v>
      </c>
      <c r="W32" s="90" t="n">
        <v>-0.104597107438017</v>
      </c>
      <c r="X32" s="90" t="n">
        <v>0.0506607929515419</v>
      </c>
      <c r="Z32" s="84" t="s">
        <v>564</v>
      </c>
      <c r="AA32" s="88" t="n">
        <v>0.0453598136569817</v>
      </c>
      <c r="AB32" s="89" t="n">
        <v>0.0932033132877906</v>
      </c>
      <c r="AC32" s="89" t="n">
        <v>0.0726652127002849</v>
      </c>
      <c r="AD32" s="89" t="n">
        <v>0.0814491409750031</v>
      </c>
      <c r="AE32" s="89" t="n">
        <v>0.0883607053749874</v>
      </c>
      <c r="AF32" s="89" t="n">
        <v>0.0922503152927743</v>
      </c>
      <c r="AH32" s="90" t="n">
        <v>0.00076717310779029</v>
      </c>
      <c r="AI32" s="90" t="n">
        <v>-0.104597107438017</v>
      </c>
      <c r="AJ32" s="90" t="n">
        <v>0.0506607929515419</v>
      </c>
    </row>
    <row r="33" customFormat="false" ht="15" hidden="false" customHeight="false" outlineLevel="0" collapsed="false">
      <c r="B33" s="84" t="s">
        <v>565</v>
      </c>
      <c r="C33" s="99" t="n">
        <f aca="false">IFERROR(C31/C21,"")</f>
        <v>3.10924369747899</v>
      </c>
      <c r="D33" s="100" t="n">
        <f aca="false">IFERROR(D31/D21,"")</f>
        <v>6.81835601968375</v>
      </c>
      <c r="E33" s="100" t="n">
        <f aca="false">IFERROR(E31/E21,"")</f>
        <v>6.68154104526576</v>
      </c>
      <c r="F33" s="100" t="n">
        <f aca="false">IFERROR(F31/F21,"")</f>
        <v>8.16455749878409</v>
      </c>
      <c r="G33" s="100" t="n">
        <f aca="false">IFERROR(G31/G21,"")</f>
        <v>9.66195774361138</v>
      </c>
      <c r="H33" s="100" t="n">
        <f aca="false">IFERROR(H31/H21,"")</f>
        <v>11.0508137480046</v>
      </c>
      <c r="N33" s="84" t="s">
        <v>565</v>
      </c>
      <c r="O33" s="99" t="n">
        <v>3.10924369747899</v>
      </c>
      <c r="P33" s="100" t="n">
        <v>6.39896568967862</v>
      </c>
      <c r="Q33" s="100" t="n">
        <v>7.60085787012292</v>
      </c>
      <c r="R33" s="100" t="n">
        <v>9.5536410662157</v>
      </c>
      <c r="S33" s="100" t="n">
        <v>11.7615039502772</v>
      </c>
      <c r="T33" s="100" t="n">
        <v>14.0700738775836</v>
      </c>
      <c r="Z33" s="84" t="s">
        <v>565</v>
      </c>
      <c r="AA33" s="99" t="n">
        <v>3.10924369747899</v>
      </c>
      <c r="AB33" s="100" t="n">
        <v>7.23725367961157</v>
      </c>
      <c r="AC33" s="100" t="n">
        <v>5.63612954480036</v>
      </c>
      <c r="AD33" s="100" t="n">
        <v>6.53604930901831</v>
      </c>
      <c r="AE33" s="100" t="n">
        <v>7.4462620040541</v>
      </c>
      <c r="AF33" s="100" t="n">
        <v>8.17337329661524</v>
      </c>
    </row>
    <row r="34" customFormat="false" ht="15" hidden="false" customHeight="false" outlineLevel="0" collapsed="false">
      <c r="B34" s="84" t="s">
        <v>566</v>
      </c>
      <c r="G34" s="101" t="n">
        <f aca="false">IFERROR(G33/G$27,"")</f>
        <v>0.0429003603266054</v>
      </c>
      <c r="H34" s="101" t="n">
        <f aca="false">IFERROR(H33/H$27,"")</f>
        <v>0.0430924728205521</v>
      </c>
      <c r="N34" s="84" t="s">
        <v>566</v>
      </c>
      <c r="S34" s="101" t="n">
        <f aca="false">IFERROR(S33/S$27,"")</f>
        <v>0.037011301399744</v>
      </c>
      <c r="T34" s="101" t="n">
        <f aca="false">IFERROR(T33/T$27,"")</f>
        <v>0.037160039196585</v>
      </c>
      <c r="Z34" s="84" t="s">
        <v>566</v>
      </c>
      <c r="AD34" s="101" t="n">
        <f aca="false">IFERROR(AD33/AD$27,"")</f>
        <v>0.0563382737305219</v>
      </c>
      <c r="AE34" s="101" t="n">
        <f aca="false">IFERROR(AE33/AE$27,"")</f>
        <v>0.0565172697280782</v>
      </c>
      <c r="AF34" s="101" t="n">
        <f aca="false">IFERROR(AF33/AF$27,"")</f>
        <v>0.0568227429805473</v>
      </c>
    </row>
    <row r="35" customFormat="false" ht="15" hidden="false" customHeight="false" outlineLevel="0" collapsed="false">
      <c r="B35" s="80" t="s">
        <v>567</v>
      </c>
      <c r="C35" s="81" t="n">
        <f aca="false">Model!V41</f>
        <v>1142</v>
      </c>
      <c r="D35" s="82" t="n">
        <f aca="false">Model!AA41</f>
        <v>1432.45503566836</v>
      </c>
      <c r="E35" s="82" t="n">
        <f aca="false">Model!AB41</f>
        <v>1572.36048177829</v>
      </c>
      <c r="F35" s="82" t="n">
        <f aca="false">Model!AC41</f>
        <v>1752.56651381886</v>
      </c>
      <c r="G35" s="82" t="n">
        <f aca="false">Model!AD41</f>
        <v>1941.78059859192</v>
      </c>
      <c r="H35" s="82" t="n">
        <f aca="false">Model!AE41</f>
        <v>2104.0130014566</v>
      </c>
      <c r="I35" s="83" t="n">
        <f aca="false">IFERROR((H35/C35)^(1/5)-1,"n/m")</f>
        <v>0.129994847076336</v>
      </c>
      <c r="N35" s="80" t="s">
        <v>567</v>
      </c>
      <c r="O35" s="81" t="n">
        <v>1142</v>
      </c>
      <c r="P35" s="82" t="n">
        <v>1432.45503566836</v>
      </c>
      <c r="Q35" s="82" t="n">
        <v>1676.20088806786</v>
      </c>
      <c r="R35" s="82" t="n">
        <v>1920.20339459075</v>
      </c>
      <c r="S35" s="82" t="n">
        <v>2187.05997939895</v>
      </c>
      <c r="T35" s="82" t="n">
        <v>2437.70889948394</v>
      </c>
      <c r="U35" s="83" t="n">
        <v>0.163759254942664</v>
      </c>
      <c r="Z35" s="80" t="s">
        <v>567</v>
      </c>
      <c r="AA35" s="81" t="n">
        <v>1142</v>
      </c>
      <c r="AB35" s="82" t="n">
        <v>1432.45503566836</v>
      </c>
      <c r="AC35" s="82" t="n">
        <v>1437.93850528475</v>
      </c>
      <c r="AD35" s="82" t="n">
        <v>1552.45782039572</v>
      </c>
      <c r="AE35" s="82" t="n">
        <v>1665.6643539968</v>
      </c>
      <c r="AF35" s="82" t="n">
        <v>1745.90029610133</v>
      </c>
      <c r="AG35" s="83" t="n">
        <v>0.0886058578339861</v>
      </c>
    </row>
    <row r="36" customFormat="false" ht="15" hidden="false" customHeight="false" outlineLevel="0" collapsed="false">
      <c r="B36" s="84" t="s">
        <v>568</v>
      </c>
      <c r="C36" s="102" t="n">
        <f aca="false">Model!V29</f>
        <v>0.839610927152318</v>
      </c>
      <c r="D36" s="103" t="n">
        <f aca="false">Model!AA29</f>
        <v>0.810896395402355</v>
      </c>
      <c r="E36" s="103" t="n">
        <f aca="false">Model!AB29</f>
        <v>0.795</v>
      </c>
      <c r="F36" s="103" t="n">
        <f aca="false">Model!AC29</f>
        <v>0.785</v>
      </c>
      <c r="G36" s="103" t="n">
        <f aca="false">Model!AD29</f>
        <v>0.775</v>
      </c>
      <c r="H36" s="103" t="n">
        <f aca="false">Model!AE29</f>
        <v>0.77</v>
      </c>
      <c r="J36" s="90" t="n">
        <f aca="false">IFERROR(AVERAGE(Model!G29,Model!L29,Model!Q29,Model!V29),"")</f>
        <v>0.857424616860896</v>
      </c>
      <c r="K36" s="90" t="n">
        <f aca="false">IFERROR(MIN(Model!G29,Model!L29,Model!Q29,Model!V29),"")</f>
        <v>0.839610927152318</v>
      </c>
      <c r="L36" s="90" t="n">
        <f aca="false">IFERROR(MAX(Model!G29,Model!L29,Model!Q29,Model!V29),"")</f>
        <v>0.873902804538643</v>
      </c>
      <c r="N36" s="84" t="s">
        <v>568</v>
      </c>
      <c r="O36" s="88" t="n">
        <v>0.839610927152318</v>
      </c>
      <c r="P36" s="89" t="n">
        <v>0.810896395402355</v>
      </c>
      <c r="Q36" s="89" t="n">
        <v>0.785</v>
      </c>
      <c r="R36" s="89" t="n">
        <v>0.775</v>
      </c>
      <c r="S36" s="89" t="n">
        <v>0.765</v>
      </c>
      <c r="T36" s="89" t="n">
        <v>0.76</v>
      </c>
      <c r="V36" s="90" t="n">
        <v>0.857424616860896</v>
      </c>
      <c r="W36" s="90" t="n">
        <v>0.839610927152318</v>
      </c>
      <c r="X36" s="90" t="n">
        <v>0.873902804538643</v>
      </c>
      <c r="Z36" s="84" t="s">
        <v>568</v>
      </c>
      <c r="AA36" s="88" t="n">
        <v>0.839610927152318</v>
      </c>
      <c r="AB36" s="89" t="n">
        <v>0.810896395402355</v>
      </c>
      <c r="AC36" s="89" t="n">
        <v>0.81</v>
      </c>
      <c r="AD36" s="89" t="n">
        <v>0.8</v>
      </c>
      <c r="AE36" s="89" t="n">
        <v>0.79</v>
      </c>
      <c r="AF36" s="89" t="n">
        <v>0.785</v>
      </c>
      <c r="AH36" s="90" t="n">
        <v>0.857424616860896</v>
      </c>
      <c r="AI36" s="90" t="n">
        <v>0.839610927152318</v>
      </c>
      <c r="AJ36" s="90" t="n">
        <v>0.873902804538643</v>
      </c>
    </row>
    <row r="38" customFormat="false" ht="15" hidden="false" customHeight="false" outlineLevel="0" collapsed="false">
      <c r="B38" s="80" t="s">
        <v>569</v>
      </c>
      <c r="C38" s="81" t="n">
        <f aca="false">Model!V360</f>
        <v>3003</v>
      </c>
      <c r="D38" s="82" t="n">
        <f aca="false">Model!AA360</f>
        <v>2493.33547676304</v>
      </c>
      <c r="E38" s="82" t="n">
        <f aca="false">Model!AB360</f>
        <v>2182.25263164368</v>
      </c>
      <c r="F38" s="82" t="n">
        <f aca="false">Model!AC360</f>
        <v>2426.8095370922</v>
      </c>
      <c r="G38" s="82" t="n">
        <f aca="false">Model!AD360</f>
        <v>2683.57134855371</v>
      </c>
      <c r="H38" s="82" t="n">
        <f aca="false">Model!AE360</f>
        <v>2894.65222014397</v>
      </c>
      <c r="N38" s="80" t="s">
        <v>569</v>
      </c>
      <c r="O38" s="81" t="n">
        <v>3003</v>
      </c>
      <c r="P38" s="82" t="n">
        <v>2593.33547676304</v>
      </c>
      <c r="Q38" s="82" t="n">
        <v>2823.43350747147</v>
      </c>
      <c r="R38" s="82" t="n">
        <v>3221.30208403031</v>
      </c>
      <c r="S38" s="82" t="n">
        <v>3655.80542925611</v>
      </c>
      <c r="T38" s="82" t="n">
        <v>4051.73958239149</v>
      </c>
      <c r="Z38" s="80" t="s">
        <v>569</v>
      </c>
      <c r="AA38" s="81" t="n">
        <v>3003</v>
      </c>
      <c r="AB38" s="82" t="n">
        <v>2393.33547676304</v>
      </c>
      <c r="AC38" s="82" t="n">
        <v>1774.84155043988</v>
      </c>
      <c r="AD38" s="82" t="n">
        <v>1705.31651957317</v>
      </c>
      <c r="AE38" s="82" t="n">
        <v>1829.68648939765</v>
      </c>
      <c r="AF38" s="82" t="n">
        <v>1911.72265285619</v>
      </c>
    </row>
    <row r="39" customFormat="false" ht="15" hidden="false" customHeight="false" outlineLevel="0" collapsed="false">
      <c r="B39" s="84" t="s">
        <v>570</v>
      </c>
      <c r="C39" s="104" t="n">
        <f aca="false">IFERROR(C38/C12,"")</f>
        <v>2.36084905660377</v>
      </c>
      <c r="D39" s="105" t="n">
        <f aca="false">IFERROR(D38/D12,"")</f>
        <v>1.58642568184461</v>
      </c>
      <c r="E39" s="105" t="n">
        <f aca="false">IFERROR(E38/E12,"")</f>
        <v>1.25</v>
      </c>
      <c r="F39" s="105" t="n">
        <f aca="false">IFERROR(F38/F12,"")</f>
        <v>1.25</v>
      </c>
      <c r="G39" s="105" t="n">
        <f aca="false">IFERROR(G38/G12,"")</f>
        <v>1.25</v>
      </c>
      <c r="H39" s="105" t="n">
        <f aca="false">IFERROR(H38/H12,"")</f>
        <v>1.25</v>
      </c>
      <c r="N39" s="84" t="s">
        <v>570</v>
      </c>
      <c r="O39" s="104" t="n">
        <v>2.36084905660377</v>
      </c>
      <c r="P39" s="105" t="n">
        <v>1.65005232561676</v>
      </c>
      <c r="Q39" s="105" t="n">
        <v>1.5</v>
      </c>
      <c r="R39" s="105" t="n">
        <v>1.5</v>
      </c>
      <c r="S39" s="105" t="n">
        <v>1.5</v>
      </c>
      <c r="T39" s="105" t="n">
        <v>1.5</v>
      </c>
      <c r="Z39" s="84" t="s">
        <v>570</v>
      </c>
      <c r="AA39" s="104" t="n">
        <v>2.36084905660377</v>
      </c>
      <c r="AB39" s="105" t="n">
        <v>1.52279903807246</v>
      </c>
      <c r="AC39" s="105" t="n">
        <v>1.12343320828462</v>
      </c>
      <c r="AD39" s="105" t="n">
        <v>1</v>
      </c>
      <c r="AE39" s="105" t="n">
        <v>1</v>
      </c>
      <c r="AF39" s="105" t="n">
        <v>1</v>
      </c>
    </row>
    <row r="41" customFormat="false" ht="15" hidden="false" customHeight="false" outlineLevel="0" collapsed="false">
      <c r="B41" s="80" t="s">
        <v>571</v>
      </c>
      <c r="C41" s="86" t="n">
        <f aca="false">Model!V343</f>
        <v>0.111648274719981</v>
      </c>
      <c r="D41" s="87" t="n">
        <f aca="false">Model!AA343</f>
        <v>0.167664734730295</v>
      </c>
      <c r="E41" s="87" t="n">
        <f aca="false">Model!AB343</f>
        <v>0.184751315700425</v>
      </c>
      <c r="F41" s="87" t="n">
        <f aca="false">Model!AC343</f>
        <v>0.211497304036861</v>
      </c>
      <c r="G41" s="87" t="n">
        <f aca="false">Model!AD343</f>
        <v>0.238647524619706</v>
      </c>
      <c r="H41" s="87" t="n">
        <f aca="false">Model!AE343</f>
        <v>0.258307963592781</v>
      </c>
      <c r="J41" s="90" t="n">
        <f aca="false">IFERROR(AVERAGE(Model!G343,Model!L343,Model!Q343,Model!V343),"")</f>
        <v>0.120822013287881</v>
      </c>
      <c r="K41" s="90" t="n">
        <f aca="false">IFERROR(MIN(Model!G343,Model!L343,Model!Q343,Model!V343),"")</f>
        <v>0.0978140694439426</v>
      </c>
      <c r="L41" s="90" t="n">
        <f aca="false">IFERROR(MAX(Model!G343,Model!L343,Model!Q343,Model!V343),"")</f>
        <v>0.139906896309032</v>
      </c>
      <c r="N41" s="80" t="s">
        <v>571</v>
      </c>
      <c r="O41" s="86" t="n">
        <v>0.111648274719981</v>
      </c>
      <c r="P41" s="87" t="n">
        <v>0.165900793092265</v>
      </c>
      <c r="Q41" s="87" t="n">
        <v>0.20226882033229</v>
      </c>
      <c r="R41" s="87" t="n">
        <v>0.23730653022631</v>
      </c>
      <c r="S41" s="87" t="n">
        <v>0.274555977935179</v>
      </c>
      <c r="T41" s="87" t="n">
        <v>0.305596400516632</v>
      </c>
      <c r="V41" s="90" t="n">
        <v>0.120822013287881</v>
      </c>
      <c r="W41" s="90" t="n">
        <v>0.0978140694439426</v>
      </c>
      <c r="X41" s="90" t="n">
        <v>0.139906896309032</v>
      </c>
      <c r="Z41" s="80" t="s">
        <v>571</v>
      </c>
      <c r="AA41" s="86" t="n">
        <v>0.111648274719981</v>
      </c>
      <c r="AB41" s="87" t="n">
        <v>0.169466589732385</v>
      </c>
      <c r="AC41" s="87" t="n">
        <v>0.162383024845525</v>
      </c>
      <c r="AD41" s="87" t="n">
        <v>0.180699781342995</v>
      </c>
      <c r="AE41" s="87" t="n">
        <v>0.198080081767587</v>
      </c>
      <c r="AF41" s="87" t="n">
        <v>0.20734356884006</v>
      </c>
      <c r="AH41" s="90" t="n">
        <v>0.120822013287881</v>
      </c>
      <c r="AI41" s="90" t="n">
        <v>0.0978140694439426</v>
      </c>
      <c r="AJ41" s="90" t="n">
        <v>0.139906896309032</v>
      </c>
    </row>
    <row r="42" customFormat="false" ht="15" hidden="false" customHeight="false" outlineLevel="0" collapsed="false">
      <c r="B42" s="80" t="s">
        <v>572</v>
      </c>
      <c r="C42" s="86" t="n">
        <f aca="false">Model!V354</f>
        <v>0.112178725105967</v>
      </c>
      <c r="D42" s="87" t="n">
        <f aca="false">Model!AA354</f>
        <v>0.165579646853674</v>
      </c>
      <c r="E42" s="87" t="n">
        <f aca="false">Model!AB354</f>
        <v>0.178117692792619</v>
      </c>
      <c r="F42" s="87" t="n">
        <f aca="false">Model!AC354</f>
        <v>0.199267982484554</v>
      </c>
      <c r="G42" s="87" t="n">
        <f aca="false">Model!AD354</f>
        <v>0.219910598722546</v>
      </c>
      <c r="H42" s="87" t="n">
        <f aca="false">Model!AE354</f>
        <v>0.232638160030881</v>
      </c>
      <c r="J42" s="90" t="n">
        <f aca="false">IFERROR(AVERAGE(Model!G354,Model!L354,Model!Q354,Model!V354),"")</f>
        <v>0.125436334234596</v>
      </c>
      <c r="K42" s="90" t="n">
        <f aca="false">IFERROR(MIN(Model!G354,Model!L354,Model!Q354,Model!V354),"")</f>
        <v>0.102812221104001</v>
      </c>
      <c r="L42" s="90" t="n">
        <f aca="false">IFERROR(MAX(Model!G354,Model!L354,Model!Q354,Model!V354),"")</f>
        <v>0.146659710474865</v>
      </c>
      <c r="N42" s="80" t="s">
        <v>572</v>
      </c>
      <c r="O42" s="86" t="n">
        <v>0.112178725105967</v>
      </c>
      <c r="P42" s="87" t="n">
        <v>0.163859080252231</v>
      </c>
      <c r="Q42" s="87" t="n">
        <v>0.194792981215322</v>
      </c>
      <c r="R42" s="87" t="n">
        <v>0.222996840435868</v>
      </c>
      <c r="S42" s="87" t="n">
        <v>0.251788544949607</v>
      </c>
      <c r="T42" s="87" t="n">
        <v>0.27314433996252</v>
      </c>
      <c r="V42" s="90" t="n">
        <v>0.125436334234596</v>
      </c>
      <c r="W42" s="90" t="n">
        <v>0.102812221104001</v>
      </c>
      <c r="X42" s="90" t="n">
        <v>0.146659710474865</v>
      </c>
      <c r="Z42" s="80" t="s">
        <v>572</v>
      </c>
      <c r="AA42" s="86" t="n">
        <v>0.112178725105967</v>
      </c>
      <c r="AB42" s="87" t="n">
        <v>0.167336729756683</v>
      </c>
      <c r="AC42" s="87" t="n">
        <v>0.14821682923891</v>
      </c>
      <c r="AD42" s="87" t="n">
        <v>0.159387075798785</v>
      </c>
      <c r="AE42" s="87" t="n">
        <v>0.175331139926491</v>
      </c>
      <c r="AF42" s="87" t="n">
        <v>0.182575076804512</v>
      </c>
      <c r="AH42" s="90" t="n">
        <v>0.125436334234596</v>
      </c>
      <c r="AI42" s="90" t="n">
        <v>0.102812221104001</v>
      </c>
      <c r="AJ42" s="90" t="n">
        <v>0.146659710474865</v>
      </c>
    </row>
    <row r="44" customFormat="false" ht="15" hidden="false" customHeight="false" outlineLevel="0" collapsed="false">
      <c r="B44" s="84" t="s">
        <v>573</v>
      </c>
      <c r="G44" s="106" t="n">
        <f aca="false">G27*G21</f>
        <v>24683.3169923974</v>
      </c>
      <c r="H44" s="106" t="n">
        <f aca="false">H27*H21</f>
        <v>26903.6206823196</v>
      </c>
      <c r="N44" s="84" t="s">
        <v>573</v>
      </c>
      <c r="S44" s="106" t="n">
        <f aca="false">S27*S21</f>
        <v>33051.1034699128</v>
      </c>
      <c r="T44" s="106" t="n">
        <f aca="false">T27*T21</f>
        <v>37010.0801046815</v>
      </c>
      <c r="Z44" s="84" t="s">
        <v>573</v>
      </c>
      <c r="AD44" s="106" t="n">
        <f aca="false">AD27*AD21</f>
        <v>13673.313820651</v>
      </c>
      <c r="AE44" s="106" t="n">
        <f aca="false">AE27*AE21</f>
        <v>15158.8202538243</v>
      </c>
      <c r="AF44" s="106" t="n">
        <f aca="false">AF27*AF21</f>
        <v>16091.3990000206</v>
      </c>
    </row>
    <row r="45" customFormat="false" ht="15" hidden="false" customHeight="false" outlineLevel="0" collapsed="false">
      <c r="B45" s="84" t="s">
        <v>574</v>
      </c>
      <c r="G45" s="106" t="n">
        <f aca="false">G38</f>
        <v>2683.57134855371</v>
      </c>
      <c r="H45" s="106" t="n">
        <f aca="false">H38</f>
        <v>2894.65222014397</v>
      </c>
      <c r="N45" s="84" t="s">
        <v>574</v>
      </c>
      <c r="S45" s="106" t="n">
        <f aca="false">S38</f>
        <v>3655.80542925611</v>
      </c>
      <c r="T45" s="106" t="n">
        <f aca="false">T38</f>
        <v>4051.73958239149</v>
      </c>
      <c r="Z45" s="84" t="s">
        <v>574</v>
      </c>
      <c r="AD45" s="106" t="n">
        <f aca="false">AD38</f>
        <v>1705.31651957317</v>
      </c>
      <c r="AE45" s="106" t="n">
        <f aca="false">AE38</f>
        <v>1829.68648939765</v>
      </c>
      <c r="AF45" s="106" t="n">
        <f aca="false">AF38</f>
        <v>1911.72265285619</v>
      </c>
    </row>
    <row r="46" customFormat="false" ht="15" hidden="false" customHeight="false" outlineLevel="0" collapsed="false">
      <c r="B46" s="84" t="s">
        <v>575</v>
      </c>
      <c r="G46" s="106" t="n">
        <f aca="false">G44+G45</f>
        <v>27366.8883409511</v>
      </c>
      <c r="H46" s="106" t="n">
        <f aca="false">H44+H45</f>
        <v>29798.2729024636</v>
      </c>
      <c r="N46" s="84" t="s">
        <v>575</v>
      </c>
      <c r="S46" s="106" t="n">
        <f aca="false">S44+S45</f>
        <v>36706.9088991689</v>
      </c>
      <c r="T46" s="106" t="n">
        <f aca="false">T44+T45</f>
        <v>41061.819687073</v>
      </c>
      <c r="Z46" s="84" t="s">
        <v>575</v>
      </c>
      <c r="AD46" s="106" t="n">
        <f aca="false">AD44+AD45</f>
        <v>15378.6303402242</v>
      </c>
      <c r="AE46" s="106" t="n">
        <f aca="false">AE44+AE45</f>
        <v>16988.5067432219</v>
      </c>
      <c r="AF46" s="106" t="n">
        <f aca="false">AF44+AF45</f>
        <v>18003.1216528768</v>
      </c>
    </row>
    <row r="47" customFormat="false" ht="15" hidden="false" customHeight="false" outlineLevel="0" collapsed="false">
      <c r="B47" s="84" t="s">
        <v>576</v>
      </c>
      <c r="G47" s="107" t="n">
        <f aca="false">IFERROR(G46/G12,"")</f>
        <v>12.7474197563725</v>
      </c>
      <c r="H47" s="107" t="n">
        <f aca="false">IFERROR(H46/H12,"")</f>
        <v>12.8678121913474</v>
      </c>
      <c r="N47" s="84" t="s">
        <v>576</v>
      </c>
      <c r="S47" s="107" t="n">
        <f aca="false">IFERROR(S46/S12,"")</f>
        <v>15.0610759829078</v>
      </c>
      <c r="T47" s="107" t="n">
        <f aca="false">IFERROR(T46/T12,"")</f>
        <v>15.2015518959526</v>
      </c>
      <c r="Z47" s="84" t="s">
        <v>576</v>
      </c>
      <c r="AD47" s="107" t="n">
        <f aca="false">IFERROR(AD46/AD12,"")</f>
        <v>9.01805041100134</v>
      </c>
      <c r="AE47" s="107" t="n">
        <f aca="false">IFERROR(AE46/AE12,"")</f>
        <v>9.2849276866086</v>
      </c>
      <c r="AF47" s="107" t="n">
        <f aca="false">IFERROR(AF46/AF12,"")</f>
        <v>9.41722463035073</v>
      </c>
    </row>
    <row r="49" customFormat="false" ht="15" hidden="false" customHeight="false" outlineLevel="0" collapsed="false">
      <c r="B49" s="4" t="s">
        <v>577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Q118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.57"/>
    <col collapsed="false" customWidth="true" hidden="false" outlineLevel="0" max="2" min="2" style="0" width="50"/>
    <col collapsed="false" customWidth="true" hidden="false" outlineLevel="0" max="3" min="3" style="0" width="12.57"/>
    <col collapsed="false" customWidth="true" hidden="false" outlineLevel="0" max="16" min="16" style="0" width="13.29"/>
  </cols>
  <sheetData>
    <row r="2" customFormat="false" ht="17.35" hidden="false" customHeight="false" outlineLevel="0" collapsed="false">
      <c r="B2" s="108" t="s">
        <v>578</v>
      </c>
    </row>
    <row r="4" customFormat="false" ht="15" hidden="false" customHeight="false" outlineLevel="0" collapsed="false">
      <c r="B4" s="15" t="s">
        <v>579</v>
      </c>
    </row>
    <row r="5" customFormat="false" ht="15" hidden="false" customHeight="false" outlineLevel="0" collapsed="false">
      <c r="B5" s="109" t="s">
        <v>580</v>
      </c>
      <c r="C5" s="110" t="n">
        <v>0.055</v>
      </c>
      <c r="D5" s="111" t="s">
        <v>581</v>
      </c>
    </row>
    <row r="6" customFormat="false" ht="15" hidden="false" customHeight="false" outlineLevel="0" collapsed="false">
      <c r="B6" s="109" t="s">
        <v>582</v>
      </c>
      <c r="C6" s="110" t="n">
        <v>0.05</v>
      </c>
      <c r="D6" s="111" t="s">
        <v>583</v>
      </c>
    </row>
    <row r="7" customFormat="false" ht="15" hidden="false" customHeight="false" outlineLevel="0" collapsed="false">
      <c r="B7" s="109" t="s">
        <v>584</v>
      </c>
      <c r="C7" s="112" t="n">
        <v>1.3</v>
      </c>
      <c r="D7" s="111" t="s">
        <v>585</v>
      </c>
    </row>
    <row r="8" customFormat="false" ht="15" hidden="false" customHeight="false" outlineLevel="0" collapsed="false">
      <c r="B8" s="109" t="s">
        <v>586</v>
      </c>
      <c r="C8" s="113" t="n">
        <f aca="false">C5+C7*C6</f>
        <v>0.12</v>
      </c>
    </row>
    <row r="9" customFormat="false" ht="15" hidden="false" customHeight="false" outlineLevel="0" collapsed="false">
      <c r="B9" s="109" t="s">
        <v>587</v>
      </c>
      <c r="C9" s="110" t="n">
        <v>0.065</v>
      </c>
      <c r="D9" s="111" t="s">
        <v>588</v>
      </c>
    </row>
    <row r="10" customFormat="false" ht="15" hidden="false" customHeight="false" outlineLevel="0" collapsed="false">
      <c r="B10" s="109" t="s">
        <v>589</v>
      </c>
      <c r="C10" s="110" t="n">
        <v>0.245</v>
      </c>
      <c r="D10" s="111" t="s">
        <v>590</v>
      </c>
    </row>
    <row r="11" customFormat="false" ht="15" hidden="false" customHeight="false" outlineLevel="0" collapsed="false">
      <c r="B11" s="109" t="s">
        <v>591</v>
      </c>
      <c r="C11" s="113" t="n">
        <f aca="false">C9*(1-C10)</f>
        <v>0.049075</v>
      </c>
    </row>
    <row r="12" customFormat="false" ht="15" hidden="false" customHeight="false" outlineLevel="0" collapsed="false">
      <c r="B12" s="109" t="s">
        <v>592</v>
      </c>
      <c r="C12" s="110" t="n">
        <v>0.12</v>
      </c>
      <c r="D12" s="111" t="s">
        <v>593</v>
      </c>
    </row>
    <row r="13" customFormat="false" ht="15" hidden="false" customHeight="false" outlineLevel="0" collapsed="false">
      <c r="B13" s="114" t="s">
        <v>594</v>
      </c>
      <c r="C13" s="115" t="n">
        <f aca="false">C8*(1-C12)+C11*C12</f>
        <v>0.111489</v>
      </c>
    </row>
    <row r="15" customFormat="false" ht="15" hidden="false" customHeight="false" outlineLevel="0" collapsed="false">
      <c r="B15" s="109" t="s">
        <v>595</v>
      </c>
      <c r="C15" s="116" t="n">
        <f aca="true">TODAY()</f>
        <v>46300</v>
      </c>
      <c r="D15" s="111" t="s">
        <v>596</v>
      </c>
    </row>
    <row r="16" customFormat="false" ht="15" hidden="false" customHeight="false" outlineLevel="0" collapsed="false">
      <c r="B16" s="15" t="s">
        <v>597</v>
      </c>
    </row>
    <row r="17" customFormat="false" ht="15" hidden="false" customHeight="false" outlineLevel="0" collapsed="false">
      <c r="D17" s="117" t="s">
        <v>28</v>
      </c>
      <c r="E17" s="117" t="s">
        <v>29</v>
      </c>
      <c r="F17" s="117" t="s">
        <v>30</v>
      </c>
      <c r="G17" s="117" t="s">
        <v>31</v>
      </c>
      <c r="H17" s="117" t="s">
        <v>32</v>
      </c>
      <c r="I17" s="117" t="s">
        <v>598</v>
      </c>
      <c r="J17" s="117" t="s">
        <v>599</v>
      </c>
      <c r="K17" s="117" t="s">
        <v>600</v>
      </c>
      <c r="L17" s="117" t="s">
        <v>601</v>
      </c>
      <c r="M17" s="117" t="s">
        <v>602</v>
      </c>
      <c r="N17" s="117" t="s">
        <v>603</v>
      </c>
      <c r="P17" s="117" t="s">
        <v>604</v>
      </c>
      <c r="Q17" s="117" t="s">
        <v>605</v>
      </c>
    </row>
    <row r="18" customFormat="false" ht="15" hidden="false" customHeight="false" outlineLevel="0" collapsed="false">
      <c r="B18" s="109" t="s">
        <v>606</v>
      </c>
      <c r="D18" s="118" t="n">
        <f aca="false">Model!AA167</f>
        <v>1028.21647254714</v>
      </c>
      <c r="E18" s="118" t="n">
        <f aca="false">Model!AB167</f>
        <v>1156.799133221</v>
      </c>
      <c r="F18" s="118" t="n">
        <f aca="false">Model!AC167</f>
        <v>1331.25515175107</v>
      </c>
      <c r="G18" s="118" t="n">
        <f aca="false">Model!AD167</f>
        <v>1512.27757798029</v>
      </c>
      <c r="H18" s="118" t="n">
        <f aca="false">Model!AE167</f>
        <v>1646.81998477424</v>
      </c>
      <c r="I18" s="119" t="n">
        <f aca="false">H18*(1+I$31)</f>
        <v>1762.09738370844</v>
      </c>
      <c r="J18" s="119" t="n">
        <f aca="false">I18*(1+J$31)</f>
        <v>1874.43109191985</v>
      </c>
      <c r="K18" s="119" t="n">
        <f aca="false">J18*(1+K$31)</f>
        <v>1982.21087970524</v>
      </c>
      <c r="L18" s="119" t="n">
        <f aca="false">K18*(1+L$31)</f>
        <v>2083.79918729014</v>
      </c>
      <c r="M18" s="119" t="n">
        <f aca="false">L18*(1+M$31)</f>
        <v>2177.57015071819</v>
      </c>
      <c r="P18" s="120" t="n">
        <f aca="false">IFERROR(($H18/$D18)^(1/(VALUE(LEFT($H$17,4))-VALUE(LEFT($D$17,4))))-1,"n/m")</f>
        <v>0.124968579881153</v>
      </c>
      <c r="Q18" s="120" t="n">
        <f aca="false">IFERROR(($M18/$D18)^(1/(VALUE(LEFT($M$17,4))-VALUE(LEFT($D$17,4))))-1,"n/m")</f>
        <v>0.0869504159199535</v>
      </c>
    </row>
    <row r="19" customFormat="false" ht="15" hidden="false" customHeight="false" outlineLevel="0" collapsed="false">
      <c r="B19" s="121" t="s">
        <v>607</v>
      </c>
      <c r="E19" s="122" t="n">
        <f aca="false">IFERROR(E18/D18-1,"")</f>
        <v>0.12505407577777</v>
      </c>
      <c r="F19" s="122" t="n">
        <f aca="false">IFERROR(F18/E18-1,"")</f>
        <v>0.150809257649002</v>
      </c>
      <c r="G19" s="122" t="n">
        <f aca="false">IFERROR(G18/F18-1,"")</f>
        <v>0.135978761089576</v>
      </c>
      <c r="H19" s="122" t="n">
        <f aca="false">IFERROR(H18/G18-1,"")</f>
        <v>0.0889667404668098</v>
      </c>
      <c r="I19" s="122" t="n">
        <f aca="false">IFERROR(I18/H18-1,"")</f>
        <v>0.0700000000000001</v>
      </c>
      <c r="J19" s="122" t="n">
        <f aca="false">IFERROR(J18/I18-1,"")</f>
        <v>0.06375</v>
      </c>
      <c r="K19" s="122" t="n">
        <f aca="false">IFERROR(K18/J18-1,"")</f>
        <v>0.0575000000000001</v>
      </c>
      <c r="L19" s="122" t="n">
        <f aca="false">IFERROR(L18/K18-1,"")</f>
        <v>0.05125</v>
      </c>
      <c r="M19" s="122" t="n">
        <f aca="false">IFERROR(M18/L18-1,"")</f>
        <v>0.0449999999999999</v>
      </c>
    </row>
    <row r="20" customFormat="false" ht="15" hidden="false" customHeight="false" outlineLevel="0" collapsed="false">
      <c r="B20" s="109" t="s">
        <v>608</v>
      </c>
      <c r="D20" s="118" t="n">
        <f aca="false">-(Model!AA120+Model!AA119+Model!AA117+Model!AA118)</f>
        <v>-58</v>
      </c>
      <c r="E20" s="118" t="n">
        <f aca="false">-(Model!AB120+Model!AB119+Model!AB117+Model!AB118)</f>
        <v>-20</v>
      </c>
      <c r="F20" s="118" t="n">
        <f aca="false">-(Model!AC120+Model!AC119+Model!AC117+Model!AC118)</f>
        <v>-20</v>
      </c>
      <c r="G20" s="118" t="n">
        <f aca="false">-(Model!AD120+Model!AD119+Model!AD117+Model!AD118)</f>
        <v>-20</v>
      </c>
      <c r="H20" s="118" t="n">
        <f aca="false">-(Model!AE120+Model!AE119+Model!AE117+Model!AE118)</f>
        <v>-20</v>
      </c>
      <c r="I20" s="119" t="n">
        <f aca="false">H20*(1+I$31)</f>
        <v>-21.4</v>
      </c>
      <c r="J20" s="119" t="n">
        <f aca="false">I20*(1+J$31)</f>
        <v>-22.76425</v>
      </c>
      <c r="K20" s="119" t="n">
        <f aca="false">J20*(1+K$31)</f>
        <v>-24.073194375</v>
      </c>
      <c r="L20" s="119" t="n">
        <f aca="false">K20*(1+L$31)</f>
        <v>-25.3069455867188</v>
      </c>
      <c r="M20" s="119" t="n">
        <f aca="false">L20*(1+M$31)</f>
        <v>-26.4457581381211</v>
      </c>
    </row>
    <row r="21" customFormat="false" ht="15" hidden="false" customHeight="false" outlineLevel="0" collapsed="false">
      <c r="B21" s="109" t="s">
        <v>609</v>
      </c>
      <c r="D21" s="123" t="n">
        <f aca="false">1-$C$10</f>
        <v>0.755</v>
      </c>
      <c r="E21" s="123" t="n">
        <f aca="false">1-$C$10</f>
        <v>0.755</v>
      </c>
      <c r="F21" s="123" t="n">
        <f aca="false">1-$C$10</f>
        <v>0.755</v>
      </c>
      <c r="G21" s="123" t="n">
        <f aca="false">1-$C$10</f>
        <v>0.755</v>
      </c>
      <c r="H21" s="123" t="n">
        <f aca="false">1-$C$10</f>
        <v>0.755</v>
      </c>
      <c r="I21" s="123" t="n">
        <f aca="false">1-$C$10</f>
        <v>0.755</v>
      </c>
      <c r="J21" s="123" t="n">
        <f aca="false">1-$C$10</f>
        <v>0.755</v>
      </c>
      <c r="K21" s="123" t="n">
        <f aca="false">1-$C$10</f>
        <v>0.755</v>
      </c>
      <c r="L21" s="123" t="n">
        <f aca="false">1-$C$10</f>
        <v>0.755</v>
      </c>
      <c r="M21" s="123" t="n">
        <f aca="false">1-$C$10</f>
        <v>0.755</v>
      </c>
    </row>
    <row r="22" customFormat="false" ht="15" hidden="false" customHeight="false" outlineLevel="0" collapsed="false">
      <c r="B22" s="109" t="s">
        <v>610</v>
      </c>
      <c r="D22" s="119" t="n">
        <f aca="false">(D18+D20)*D21</f>
        <v>732.51343677309</v>
      </c>
      <c r="E22" s="119" t="n">
        <f aca="false">(E18+E20)*E21</f>
        <v>858.283345581855</v>
      </c>
      <c r="F22" s="119" t="n">
        <f aca="false">(F18+F20)*F21</f>
        <v>989.997639572056</v>
      </c>
      <c r="G22" s="119" t="n">
        <f aca="false">(G18+G20)*G21</f>
        <v>1126.66957137512</v>
      </c>
      <c r="H22" s="119" t="n">
        <f aca="false">(H18+H20)*H21</f>
        <v>1228.24908850455</v>
      </c>
      <c r="I22" s="119" t="n">
        <f aca="false">(I18+I20)*I21</f>
        <v>1314.22652469987</v>
      </c>
      <c r="J22" s="119" t="n">
        <f aca="false">(J18+J20)*J21</f>
        <v>1398.00846564949</v>
      </c>
      <c r="K22" s="119" t="n">
        <f aca="false">(K18+K20)*K21</f>
        <v>1478.39395242433</v>
      </c>
      <c r="L22" s="119" t="n">
        <f aca="false">(L18+L20)*L21</f>
        <v>1554.16164248608</v>
      </c>
      <c r="M22" s="119" t="n">
        <f aca="false">(M18+M20)*M21</f>
        <v>1624.09891639795</v>
      </c>
    </row>
    <row r="23" customFormat="false" ht="15" hidden="false" customHeight="false" outlineLevel="0" collapsed="false">
      <c r="B23" s="109" t="s">
        <v>611</v>
      </c>
      <c r="D23" s="118" t="n">
        <f aca="false">Model!AA115</f>
        <v>543.452156684782</v>
      </c>
      <c r="E23" s="118" t="n">
        <f aca="false">Model!AB115</f>
        <v>589.002972093947</v>
      </c>
      <c r="F23" s="118" t="n">
        <f aca="false">Model!AC115</f>
        <v>610.192477922692</v>
      </c>
      <c r="G23" s="118" t="n">
        <f aca="false">Model!AD115</f>
        <v>634.579500862675</v>
      </c>
      <c r="H23" s="118" t="n">
        <f aca="false">Model!AE115</f>
        <v>668.901791340933</v>
      </c>
      <c r="I23" s="119" t="n">
        <f aca="false">H23*(1+I$31)</f>
        <v>715.724916734799</v>
      </c>
      <c r="J23" s="119" t="n">
        <f aca="false">I23*(1+J$31)</f>
        <v>761.352380176642</v>
      </c>
      <c r="K23" s="119" t="n">
        <f aca="false">J23*(1+K$31)</f>
        <v>805.130142036799</v>
      </c>
      <c r="L23" s="119" t="n">
        <f aca="false">K23*(1+L$31)</f>
        <v>846.393061816185</v>
      </c>
      <c r="M23" s="119" t="n">
        <f aca="false">L23*(1+M$31)</f>
        <v>884.480749597913</v>
      </c>
    </row>
    <row r="24" customFormat="false" ht="15" hidden="false" customHeight="false" outlineLevel="0" collapsed="false">
      <c r="B24" s="109" t="s">
        <v>612</v>
      </c>
      <c r="D24" s="119" t="n">
        <f aca="false">D29</f>
        <v>-517</v>
      </c>
      <c r="E24" s="119" t="n">
        <f aca="false">E29</f>
        <v>-669.715293971796</v>
      </c>
      <c r="F24" s="119" t="n">
        <f aca="false">F29</f>
        <v>-710.731127790156</v>
      </c>
      <c r="G24" s="119" t="n">
        <f aca="false">G29</f>
        <v>-752.090113697756</v>
      </c>
      <c r="H24" s="119" t="n">
        <f aca="false">H29</f>
        <v>-793.515215807666</v>
      </c>
      <c r="I24" s="119" t="n">
        <f aca="false">I29</f>
        <v>-849.061280914202</v>
      </c>
      <c r="J24" s="119" t="n">
        <f aca="false">J29</f>
        <v>-903.188937572483</v>
      </c>
      <c r="K24" s="119" t="n">
        <f aca="false">K29</f>
        <v>-955.1223014829</v>
      </c>
      <c r="L24" s="119" t="n">
        <f aca="false">L29</f>
        <v>-1004.0723194339</v>
      </c>
      <c r="M24" s="119" t="n">
        <f aca="false">M29</f>
        <v>-1049.25557380842</v>
      </c>
    </row>
    <row r="25" customFormat="false" ht="15" hidden="false" customHeight="false" outlineLevel="0" collapsed="false">
      <c r="B25" s="109" t="s">
        <v>613</v>
      </c>
      <c r="D25" s="118" t="n">
        <f aca="false">Model!AA216</f>
        <v>72.7711089883673</v>
      </c>
      <c r="E25" s="118" t="n">
        <f aca="false">Model!AB216</f>
        <v>-1.91684294272807</v>
      </c>
      <c r="F25" s="118" t="n">
        <f aca="false">Model!AC216</f>
        <v>5.99505426870871</v>
      </c>
      <c r="G25" s="118" t="n">
        <f aca="false">Model!AD216</f>
        <v>5.48856092718211</v>
      </c>
      <c r="H25" s="118" t="n">
        <f aca="false">Model!AE216</f>
        <v>8.02289093798686</v>
      </c>
      <c r="I25" s="119" t="n">
        <f aca="false">H25*(1+I$31)</f>
        <v>8.58449330364594</v>
      </c>
      <c r="J25" s="119" t="n">
        <f aca="false">I25*(1+J$31)</f>
        <v>9.13175475175337</v>
      </c>
      <c r="K25" s="119" t="n">
        <f aca="false">J25*(1+K$31)</f>
        <v>9.65683064997919</v>
      </c>
      <c r="L25" s="119" t="n">
        <f aca="false">K25*(1+L$31)</f>
        <v>10.1517432207906</v>
      </c>
      <c r="M25" s="119" t="n">
        <f aca="false">L25*(1+M$31)</f>
        <v>10.6085716657262</v>
      </c>
    </row>
    <row r="26" customFormat="false" ht="15" hidden="false" customHeight="false" outlineLevel="0" collapsed="false">
      <c r="B26" s="124" t="s">
        <v>614</v>
      </c>
      <c r="D26" s="125" t="n">
        <f aca="false">D22+D23+D24+D25</f>
        <v>831.736702446239</v>
      </c>
      <c r="E26" s="125" t="n">
        <f aca="false">E22+E23+E24+E25</f>
        <v>775.654180761278</v>
      </c>
      <c r="F26" s="125" t="n">
        <f aca="false">F22+F23+F24+F25</f>
        <v>895.4540439733</v>
      </c>
      <c r="G26" s="125" t="n">
        <f aca="false">G22+G23+G24+G25</f>
        <v>1014.64751946722</v>
      </c>
      <c r="H26" s="125" t="n">
        <f aca="false">H22+H23+H24+H25</f>
        <v>1111.65855497581</v>
      </c>
      <c r="I26" s="125" t="n">
        <f aca="false">I22+I23+I24+I25</f>
        <v>1189.47465382411</v>
      </c>
      <c r="J26" s="125" t="n">
        <f aca="false">J22+J23+J24+J25</f>
        <v>1265.3036630054</v>
      </c>
      <c r="K26" s="125" t="n">
        <f aca="false">K22+K23+K24+K25</f>
        <v>1338.05862362821</v>
      </c>
      <c r="L26" s="125" t="n">
        <f aca="false">L22+L23+L24+L25</f>
        <v>1406.63412808916</v>
      </c>
      <c r="M26" s="125" t="n">
        <f aca="false">M22+M23+M24+M25</f>
        <v>1469.93266385317</v>
      </c>
      <c r="N26" s="125" t="n">
        <f aca="false">M26*(1+$C$32)</f>
        <v>1521.38030708803</v>
      </c>
      <c r="P26" s="120" t="n">
        <f aca="false">IFERROR(($H26/$D26)^(1/(VALUE(LEFT($H$17,4))-VALUE(LEFT($D$17,4))))-1,"n/m")</f>
        <v>0.0752176555484139</v>
      </c>
      <c r="Q26" s="120" t="n">
        <f aca="false">IFERROR(($M26/$D26)^(1/(VALUE(LEFT($M$17,4))-VALUE(LEFT($D$17,4))))-1,"n/m")</f>
        <v>0.0653175063105627</v>
      </c>
    </row>
    <row r="27" customFormat="false" ht="15" hidden="false" customHeight="false" outlineLevel="0" collapsed="false">
      <c r="B27" s="121" t="s">
        <v>607</v>
      </c>
      <c r="E27" s="122" t="n">
        <f aca="false">IFERROR(E26/D26-1,"")</f>
        <v>-0.0674282155879565</v>
      </c>
      <c r="F27" s="122" t="n">
        <f aca="false">IFERROR(F26/E26-1,"")</f>
        <v>0.154450096684122</v>
      </c>
      <c r="G27" s="122" t="n">
        <f aca="false">IFERROR(G26/F26-1,"")</f>
        <v>0.133109539563904</v>
      </c>
      <c r="H27" s="122" t="n">
        <f aca="false">IFERROR(H26/G26-1,"")</f>
        <v>0.0956105777103011</v>
      </c>
      <c r="I27" s="122" t="n">
        <f aca="false">IFERROR(I26/H26-1,"")</f>
        <v>0.0700000000000001</v>
      </c>
      <c r="J27" s="122" t="n">
        <f aca="false">IFERROR(J26/I26-1,"")</f>
        <v>0.06375</v>
      </c>
      <c r="K27" s="122" t="n">
        <f aca="false">IFERROR(K26/J26-1,"")</f>
        <v>0.0575000000000001</v>
      </c>
      <c r="L27" s="122" t="n">
        <f aca="false">IFERROR(L26/K26-1,"")</f>
        <v>0.0512499999999996</v>
      </c>
      <c r="M27" s="122" t="n">
        <f aca="false">IFERROR(M26/L26-1,"")</f>
        <v>0.0450000000000002</v>
      </c>
    </row>
    <row r="28" customFormat="false" ht="15" hidden="false" customHeight="false" outlineLevel="0" collapsed="false">
      <c r="B28" s="109" t="s">
        <v>615</v>
      </c>
      <c r="N28" s="125" t="n">
        <f aca="false">N26/($C$13-$C$32)</f>
        <v>19890.1843021615</v>
      </c>
    </row>
    <row r="29" customFormat="false" ht="15" hidden="false" customHeight="false" outlineLevel="0" collapsed="false">
      <c r="B29" s="109" t="s">
        <v>616</v>
      </c>
      <c r="D29" s="118" t="n">
        <f aca="false">Model!AA218+Model!AA219</f>
        <v>-517</v>
      </c>
      <c r="E29" s="118" t="n">
        <f aca="false">Model!AB218+Model!AB219</f>
        <v>-669.715293971796</v>
      </c>
      <c r="F29" s="118" t="n">
        <f aca="false">Model!AC218+Model!AC219</f>
        <v>-710.731127790156</v>
      </c>
      <c r="G29" s="118" t="n">
        <f aca="false">Model!AD218+Model!AD219</f>
        <v>-752.090113697756</v>
      </c>
      <c r="H29" s="118" t="n">
        <f aca="false">Model!AE218+Model!AE219</f>
        <v>-793.515215807666</v>
      </c>
      <c r="I29" s="119" t="n">
        <f aca="false">H29*(1+I$31)</f>
        <v>-849.061280914202</v>
      </c>
      <c r="J29" s="119" t="n">
        <f aca="false">I29*(1+J$31)</f>
        <v>-903.188937572483</v>
      </c>
      <c r="K29" s="119" t="n">
        <f aca="false">J29*(1+K$31)</f>
        <v>-955.1223014829</v>
      </c>
      <c r="L29" s="119" t="n">
        <f aca="false">K29*(1+L$31)</f>
        <v>-1004.0723194339</v>
      </c>
      <c r="M29" s="119" t="n">
        <f aca="false">L29*(1+M$31)</f>
        <v>-1049.25557380842</v>
      </c>
    </row>
    <row r="31" customFormat="false" ht="15" hidden="false" customHeight="false" outlineLevel="0" collapsed="false">
      <c r="B31" s="109" t="s">
        <v>617</v>
      </c>
      <c r="I31" s="126" t="n">
        <v>0.07</v>
      </c>
      <c r="J31" s="127" t="n">
        <f aca="false">I31+($M$31-$I$31)/(COLUMNS($I$31:$M$31)-1)</f>
        <v>0.06375</v>
      </c>
      <c r="K31" s="127" t="n">
        <f aca="false">J31+($M$31-$I$31)/(COLUMNS($I$31:$M$31)-1)</f>
        <v>0.0575</v>
      </c>
      <c r="L31" s="127" t="n">
        <f aca="false">K31+($M$31-$I$31)/(COLUMNS($I$31:$M$31)-1)</f>
        <v>0.05125</v>
      </c>
      <c r="M31" s="126" t="n">
        <v>0.045</v>
      </c>
    </row>
    <row r="32" customFormat="false" ht="15" hidden="false" customHeight="false" outlineLevel="0" collapsed="false">
      <c r="B32" s="109" t="s">
        <v>618</v>
      </c>
      <c r="C32" s="128" t="n">
        <v>0.035</v>
      </c>
      <c r="D32" s="111" t="s">
        <v>619</v>
      </c>
    </row>
    <row r="34" customFormat="false" ht="15" hidden="false" customHeight="false" outlineLevel="0" collapsed="false">
      <c r="B34" s="109" t="s">
        <v>620</v>
      </c>
      <c r="D34" s="123" t="n">
        <f aca="false">(DATE(2026,12,31)-$C$15)/365.25</f>
        <v>0.238193018480493</v>
      </c>
      <c r="E34" s="123" t="n">
        <f aca="false">(DATE(2027,12,31)-$C$15)/365.25</f>
        <v>1.23750855578371</v>
      </c>
      <c r="F34" s="123" t="n">
        <f aca="false">(DATE(2028,12,31)-$C$15)/365.25</f>
        <v>2.23956194387406</v>
      </c>
      <c r="G34" s="123" t="n">
        <f aca="false">(DATE(2029,12,31)-$C$15)/365.25</f>
        <v>3.23887748117728</v>
      </c>
      <c r="H34" s="123" t="n">
        <f aca="false">(DATE(2030,12,31)-$C$15)/365.25</f>
        <v>4.23819301848049</v>
      </c>
      <c r="I34" s="123" t="n">
        <f aca="false">(DATE(2031,12,31)-$C$15)/365.25</f>
        <v>5.23750855578371</v>
      </c>
      <c r="J34" s="123" t="n">
        <f aca="false">(DATE(2032,12,31)-$C$15)/365.25</f>
        <v>6.23956194387406</v>
      </c>
      <c r="K34" s="123" t="n">
        <f aca="false">(DATE(2033,12,31)-$C$15)/365.25</f>
        <v>7.23887748117728</v>
      </c>
      <c r="L34" s="123" t="n">
        <f aca="false">(DATE(2034,12,31)-$C$15)/365.25</f>
        <v>8.23819301848049</v>
      </c>
      <c r="M34" s="123" t="n">
        <f aca="false">(DATE(2035,12,31)-$C$15)/365.25</f>
        <v>9.23750855578371</v>
      </c>
      <c r="N34" s="123" t="n">
        <f aca="false">M34</f>
        <v>9.23750855578371</v>
      </c>
    </row>
    <row r="35" customFormat="false" ht="15" hidden="false" customHeight="false" outlineLevel="0" collapsed="false">
      <c r="B35" s="109" t="s">
        <v>621</v>
      </c>
      <c r="D35" s="129" t="n">
        <f aca="false">1/(1+$C$13)^D34</f>
        <v>0.975137165879134</v>
      </c>
      <c r="E35" s="129" t="n">
        <f aca="false">1/(1+$C$13)^E34</f>
        <v>0.877388546122891</v>
      </c>
      <c r="F35" s="129" t="n">
        <f aca="false">1/(1+$C$13)^F34</f>
        <v>0.78920991087989</v>
      </c>
      <c r="G35" s="129" t="n">
        <f aca="false">1/(1+$C$13)^G34</f>
        <v>0.710098805093138</v>
      </c>
      <c r="H35" s="129" t="n">
        <f aca="false">1/(1+$C$13)^H34</f>
        <v>0.638917867152132</v>
      </c>
      <c r="I35" s="129" t="n">
        <f aca="false">1/(1+$C$13)^I34</f>
        <v>0.574872169954836</v>
      </c>
      <c r="J35" s="129" t="n">
        <f aca="false">1/(1+$C$13)^J34</f>
        <v>0.517096805083934</v>
      </c>
      <c r="K35" s="129" t="n">
        <f aca="false">1/(1+$C$13)^K34</f>
        <v>0.465262559865982</v>
      </c>
      <c r="L35" s="129" t="n">
        <f aca="false">1/(1+$C$13)^L34</f>
        <v>0.418624225647478</v>
      </c>
      <c r="M35" s="129" t="n">
        <f aca="false">1/(1+$C$13)^M34</f>
        <v>0.376660959672813</v>
      </c>
      <c r="N35" s="129" t="n">
        <f aca="false">1/(1+$C$13)^N34</f>
        <v>0.376660959672813</v>
      </c>
    </row>
    <row r="36" customFormat="false" ht="15" hidden="false" customHeight="false" outlineLevel="0" collapsed="false">
      <c r="B36" s="109" t="s">
        <v>622</v>
      </c>
      <c r="D36" s="119" t="n">
        <f aca="false">D26*D35</f>
        <v>811.057370781082</v>
      </c>
      <c r="E36" s="119" t="n">
        <f aca="false">E26*E35</f>
        <v>680.550093952279</v>
      </c>
      <c r="F36" s="119" t="n">
        <f aca="false">F26*F35</f>
        <v>706.701206241205</v>
      </c>
      <c r="G36" s="119" t="n">
        <f aca="false">G26*G35</f>
        <v>720.499991164391</v>
      </c>
      <c r="H36" s="119" t="n">
        <f aca="false">H26*H35</f>
        <v>710.258512946563</v>
      </c>
      <c r="I36" s="119" t="n">
        <f aca="false">I26*I35</f>
        <v>683.795875350146</v>
      </c>
      <c r="J36" s="119" t="n">
        <f aca="false">J26*J35</f>
        <v>654.284481601092</v>
      </c>
      <c r="K36" s="119" t="n">
        <f aca="false">K26*K35</f>
        <v>622.548580480015</v>
      </c>
      <c r="L36" s="119" t="n">
        <f aca="false">L26*L35</f>
        <v>588.851122640639</v>
      </c>
      <c r="M36" s="119" t="n">
        <f aca="false">M26*M35</f>
        <v>553.666247821349</v>
      </c>
      <c r="N36" s="119" t="n">
        <f aca="false">N28*N35</f>
        <v>7491.85590732126</v>
      </c>
    </row>
    <row r="37" customFormat="false" ht="15" hidden="false" customHeight="false" outlineLevel="0" collapsed="false">
      <c r="D37" s="111" t="s">
        <v>623</v>
      </c>
    </row>
    <row r="39" customFormat="false" ht="15" hidden="false" customHeight="false" outlineLevel="0" collapsed="false">
      <c r="B39" s="109" t="s">
        <v>624</v>
      </c>
      <c r="D39" s="130" t="str">
        <f aca="false">D17</f>
        <v>2026E</v>
      </c>
      <c r="E39" s="130" t="str">
        <f aca="false">E17</f>
        <v>2027E</v>
      </c>
      <c r="F39" s="130" t="str">
        <f aca="false">F17</f>
        <v>2028E</v>
      </c>
      <c r="G39" s="130" t="str">
        <f aca="false">G17</f>
        <v>2029E</v>
      </c>
      <c r="H39" s="130" t="str">
        <f aca="false">H17</f>
        <v>2030E</v>
      </c>
      <c r="I39" s="130" t="str">
        <f aca="false">I17</f>
        <v>2031E</v>
      </c>
      <c r="J39" s="130" t="str">
        <f aca="false">J17</f>
        <v>2032E</v>
      </c>
      <c r="K39" s="130" t="str">
        <f aca="false">K17</f>
        <v>2033E</v>
      </c>
      <c r="L39" s="130" t="str">
        <f aca="false">L17</f>
        <v>2034E</v>
      </c>
      <c r="M39" s="130" t="str">
        <f aca="false">M17</f>
        <v>2035E</v>
      </c>
      <c r="N39" s="130" t="s">
        <v>603</v>
      </c>
    </row>
    <row r="40" customFormat="false" ht="15" hidden="false" customHeight="false" outlineLevel="0" collapsed="false">
      <c r="B40" s="109" t="s">
        <v>625</v>
      </c>
      <c r="D40" s="119" t="n">
        <f aca="false">D22</f>
        <v>732.51343677309</v>
      </c>
      <c r="E40" s="119" t="n">
        <f aca="false">E22</f>
        <v>858.283345581855</v>
      </c>
      <c r="F40" s="119" t="n">
        <f aca="false">F22</f>
        <v>989.997639572056</v>
      </c>
      <c r="G40" s="119" t="n">
        <f aca="false">G22</f>
        <v>1126.66957137512</v>
      </c>
      <c r="H40" s="119" t="n">
        <f aca="false">H22</f>
        <v>1228.24908850455</v>
      </c>
      <c r="I40" s="119" t="n">
        <f aca="false">I22</f>
        <v>1314.22652469987</v>
      </c>
      <c r="J40" s="119" t="n">
        <f aca="false">J22</f>
        <v>1398.00846564949</v>
      </c>
      <c r="K40" s="119" t="n">
        <f aca="false">K22</f>
        <v>1478.39395242433</v>
      </c>
      <c r="L40" s="119" t="n">
        <f aca="false">L22</f>
        <v>1554.16164248608</v>
      </c>
      <c r="M40" s="119" t="n">
        <f aca="false">M22</f>
        <v>1624.09891639795</v>
      </c>
      <c r="N40" s="119" t="n">
        <f aca="false">M40*(1+$C$32)</f>
        <v>1680.94237847188</v>
      </c>
    </row>
    <row r="41" customFormat="false" ht="15" hidden="false" customHeight="false" outlineLevel="0" collapsed="false">
      <c r="B41" s="109" t="s">
        <v>626</v>
      </c>
      <c r="D41" s="119" t="n">
        <f aca="false">D40-D26</f>
        <v>-99.2232656731493</v>
      </c>
      <c r="E41" s="119" t="n">
        <f aca="false">E40-E26</f>
        <v>82.6291648205769</v>
      </c>
      <c r="F41" s="119" t="n">
        <f aca="false">F40-F26</f>
        <v>94.5435955987556</v>
      </c>
      <c r="G41" s="119" t="n">
        <f aca="false">G40-G26</f>
        <v>112.022051907899</v>
      </c>
      <c r="H41" s="119" t="n">
        <f aca="false">H40-H26</f>
        <v>116.590533528745</v>
      </c>
      <c r="I41" s="119" t="n">
        <f aca="false">I40-I26</f>
        <v>124.751870875757</v>
      </c>
      <c r="J41" s="119" t="n">
        <f aca="false">J40-J26</f>
        <v>132.704802644087</v>
      </c>
      <c r="K41" s="119" t="n">
        <f aca="false">K40-K26</f>
        <v>140.335328796122</v>
      </c>
      <c r="L41" s="119" t="n">
        <f aca="false">L40-L26</f>
        <v>147.527514396923</v>
      </c>
      <c r="M41" s="119" t="n">
        <f aca="false">M40-M26</f>
        <v>154.166252544785</v>
      </c>
      <c r="N41" s="119" t="n">
        <f aca="false">N40-N26</f>
        <v>159.562071383852</v>
      </c>
    </row>
    <row r="42" customFormat="false" ht="15" hidden="false" customHeight="false" outlineLevel="0" collapsed="false">
      <c r="B42" s="109" t="s">
        <v>627</v>
      </c>
      <c r="D42" s="118" t="n">
        <f aca="false">Model!V340</f>
        <v>4864</v>
      </c>
      <c r="E42" s="119" t="n">
        <f aca="false">D43</f>
        <v>4764.77673432685</v>
      </c>
      <c r="F42" s="119" t="n">
        <f aca="false">E43</f>
        <v>4847.40589914743</v>
      </c>
      <c r="G42" s="119" t="n">
        <f aca="false">F43</f>
        <v>4941.94949474618</v>
      </c>
      <c r="H42" s="119" t="n">
        <f aca="false">G43</f>
        <v>5053.97154665408</v>
      </c>
      <c r="I42" s="119" t="n">
        <f aca="false">H43</f>
        <v>5170.56208018283</v>
      </c>
      <c r="J42" s="119" t="n">
        <f aca="false">I43</f>
        <v>5295.31395105859</v>
      </c>
      <c r="K42" s="119" t="n">
        <f aca="false">J43</f>
        <v>5428.01875370267</v>
      </c>
      <c r="L42" s="119" t="n">
        <f aca="false">K43</f>
        <v>5568.35408249879</v>
      </c>
      <c r="M42" s="119" t="n">
        <f aca="false">L43</f>
        <v>5715.88159689572</v>
      </c>
      <c r="N42" s="119" t="n">
        <f aca="false">M43</f>
        <v>5870.0478494405</v>
      </c>
    </row>
    <row r="43" customFormat="false" ht="15" hidden="false" customHeight="false" outlineLevel="0" collapsed="false">
      <c r="B43" s="109" t="s">
        <v>628</v>
      </c>
      <c r="D43" s="119" t="n">
        <f aca="false">D42+D41</f>
        <v>4764.77673432685</v>
      </c>
      <c r="E43" s="119" t="n">
        <f aca="false">E42+E41</f>
        <v>4847.40589914743</v>
      </c>
      <c r="F43" s="119" t="n">
        <f aca="false">F42+F41</f>
        <v>4941.94949474618</v>
      </c>
      <c r="G43" s="119" t="n">
        <f aca="false">G42+G41</f>
        <v>5053.97154665408</v>
      </c>
      <c r="H43" s="119" t="n">
        <f aca="false">H42+H41</f>
        <v>5170.56208018283</v>
      </c>
      <c r="I43" s="119" t="n">
        <f aca="false">I42+I41</f>
        <v>5295.31395105859</v>
      </c>
      <c r="J43" s="119" t="n">
        <f aca="false">J42+J41</f>
        <v>5428.01875370267</v>
      </c>
      <c r="K43" s="119" t="n">
        <f aca="false">K42+K41</f>
        <v>5568.35408249879</v>
      </c>
      <c r="L43" s="119" t="n">
        <f aca="false">L42+L41</f>
        <v>5715.88159689572</v>
      </c>
      <c r="M43" s="119" t="n">
        <f aca="false">M42+M41</f>
        <v>5870.0478494405</v>
      </c>
    </row>
    <row r="44" customFormat="false" ht="15" hidden="false" customHeight="false" outlineLevel="0" collapsed="false">
      <c r="B44" s="114" t="s">
        <v>629</v>
      </c>
      <c r="D44" s="131" t="n">
        <f aca="false">IFERROR(D40/D42,"")</f>
        <v>0.150598979599731</v>
      </c>
      <c r="E44" s="131" t="n">
        <f aca="false">IFERROR(E40/E42,"")</f>
        <v>0.180130863089246</v>
      </c>
      <c r="F44" s="131" t="n">
        <f aca="false">IFERROR(F40/F42,"")</f>
        <v>0.204232461685575</v>
      </c>
      <c r="G44" s="131" t="n">
        <f aca="false">IFERROR(G40/G42,"")</f>
        <v>0.227980794334886</v>
      </c>
      <c r="H44" s="131" t="n">
        <f aca="false">IFERROR(H40/H42,"")</f>
        <v>0.243026514329646</v>
      </c>
      <c r="I44" s="131" t="n">
        <f aca="false">IFERROR(I40/I42,"")</f>
        <v>0.254174788798474</v>
      </c>
      <c r="J44" s="131" t="n">
        <f aca="false">IFERROR(J40/J42,"")</f>
        <v>0.264008608095845</v>
      </c>
      <c r="K44" s="131" t="n">
        <f aca="false">IFERROR(K40/K42,"")</f>
        <v>0.272363457000929</v>
      </c>
      <c r="L44" s="131" t="n">
        <f aca="false">IFERROR(L40/L42,"")</f>
        <v>0.279106109176996</v>
      </c>
      <c r="M44" s="131" t="n">
        <f aca="false">IFERROR(M40/M42,"")</f>
        <v>0.284137956475515</v>
      </c>
      <c r="N44" s="131" t="n">
        <f aca="false">IFERROR(N40/N42,"")</f>
        <v>0.286359229359962</v>
      </c>
    </row>
    <row r="45" customFormat="false" ht="15" hidden="false" customHeight="false" outlineLevel="0" collapsed="false">
      <c r="B45" s="109" t="s">
        <v>630</v>
      </c>
      <c r="D45" s="120" t="n">
        <f aca="false">IFERROR(D41/D40,"")</f>
        <v>-0.135455898406797</v>
      </c>
      <c r="E45" s="120" t="n">
        <f aca="false">IFERROR(E41/E40,"")</f>
        <v>0.0962725948789793</v>
      </c>
      <c r="F45" s="120" t="n">
        <f aca="false">IFERROR(F41/F40,"")</f>
        <v>0.0954988091078922</v>
      </c>
      <c r="G45" s="120" t="n">
        <f aca="false">IFERROR(G41/G40,"")</f>
        <v>0.0994276003843561</v>
      </c>
      <c r="H45" s="120" t="n">
        <f aca="false">IFERROR(H41/H40,"")</f>
        <v>0.0949241767162224</v>
      </c>
      <c r="I45" s="120" t="n">
        <f aca="false">IFERROR(I41/I40,"")</f>
        <v>0.0949241767162223</v>
      </c>
      <c r="J45" s="120" t="n">
        <f aca="false">IFERROR(J41/J40,"")</f>
        <v>0.0949241767162225</v>
      </c>
      <c r="K45" s="120" t="n">
        <f aca="false">IFERROR(K41/K40,"")</f>
        <v>0.0949241767162223</v>
      </c>
      <c r="L45" s="120" t="n">
        <f aca="false">IFERROR(L41/L40,"")</f>
        <v>0.0949241767162226</v>
      </c>
      <c r="M45" s="120" t="n">
        <f aca="false">IFERROR(M41/M40,"")</f>
        <v>0.0949241767162223</v>
      </c>
      <c r="N45" s="120" t="n">
        <f aca="false">IFERROR(N41/N40,"")</f>
        <v>0.0949241767162224</v>
      </c>
    </row>
    <row r="46" customFormat="false" ht="15" hidden="false" customHeight="false" outlineLevel="0" collapsed="false">
      <c r="B46" s="109" t="s">
        <v>631</v>
      </c>
      <c r="E46" s="120" t="n">
        <f aca="false">IFERROR((E40-D40)/D41,"")</f>
        <v>-1.26754454165078</v>
      </c>
      <c r="F46" s="120" t="n">
        <f aca="false">IFERROR((F40-E40)/E41,"")</f>
        <v>1.59404121143193</v>
      </c>
      <c r="G46" s="120" t="n">
        <f aca="false">IFERROR((G40-F40)/F41,"")</f>
        <v>1.44559693269022</v>
      </c>
      <c r="H46" s="120" t="n">
        <f aca="false">IFERROR((H40-G40)/G41,"")</f>
        <v>0.906781436327788</v>
      </c>
      <c r="I46" s="120" t="n">
        <f aca="false">IFERROR((I40-H40)/H41,"")</f>
        <v>0.737430678058618</v>
      </c>
      <c r="J46" s="120" t="n">
        <f aca="false">IFERROR((J40-I40)/I41,"")</f>
        <v>0.671588653231958</v>
      </c>
      <c r="K46" s="120" t="n">
        <f aca="false">IFERROR((K40-J40)/J41,"")</f>
        <v>0.605746628405293</v>
      </c>
      <c r="L46" s="120" t="n">
        <f aca="false">IFERROR((L40-K40)/K41,"")</f>
        <v>0.53990460357863</v>
      </c>
      <c r="M46" s="120" t="n">
        <f aca="false">IFERROR((M40-L40)/L41,"")</f>
        <v>0.474062578751967</v>
      </c>
      <c r="N46" s="120" t="n">
        <f aca="false">IFERROR($C$32/N45,"")</f>
        <v>0.368715339029309</v>
      </c>
    </row>
    <row r="47" customFormat="false" ht="15" hidden="false" customHeight="false" outlineLevel="0" collapsed="false">
      <c r="B47" s="109" t="s">
        <v>632</v>
      </c>
      <c r="C47" s="120" t="n">
        <f aca="false">IFERROR((M40-D40)/SUM(D41:L41),"")</f>
        <v>1.0466072783751</v>
      </c>
    </row>
    <row r="48" customFormat="false" ht="15" hidden="false" customHeight="false" outlineLevel="0" collapsed="false">
      <c r="D48" s="111" t="s">
        <v>633</v>
      </c>
    </row>
    <row r="49" customFormat="false" ht="15" hidden="false" customHeight="false" outlineLevel="0" collapsed="false">
      <c r="B49" s="15" t="s">
        <v>634</v>
      </c>
    </row>
    <row r="50" customFormat="false" ht="15" hidden="false" customHeight="false" outlineLevel="0" collapsed="false">
      <c r="B50" s="109" t="s">
        <v>635</v>
      </c>
      <c r="C50" s="119" t="n">
        <f aca="false">SUM(D36:M36)</f>
        <v>6732.21348297876</v>
      </c>
    </row>
    <row r="51" customFormat="false" ht="15" hidden="false" customHeight="false" outlineLevel="0" collapsed="false">
      <c r="B51" s="109" t="s">
        <v>636</v>
      </c>
      <c r="C51" s="119" t="n">
        <f aca="false">N36</f>
        <v>7491.85590732126</v>
      </c>
    </row>
    <row r="52" customFormat="false" ht="15" hidden="false" customHeight="false" outlineLevel="0" collapsed="false">
      <c r="B52" s="114" t="s">
        <v>637</v>
      </c>
      <c r="C52" s="125" t="n">
        <f aca="false">C50+C51</f>
        <v>14224.0693903</v>
      </c>
    </row>
    <row r="53" customFormat="false" ht="15" hidden="false" customHeight="false" outlineLevel="0" collapsed="false">
      <c r="B53" s="109" t="s">
        <v>638</v>
      </c>
      <c r="C53" s="118" t="n">
        <f aca="false">Model!AA360</f>
        <v>2493.33547676304</v>
      </c>
    </row>
    <row r="54" customFormat="false" ht="15" hidden="false" customHeight="false" outlineLevel="0" collapsed="false">
      <c r="B54" s="109" t="s">
        <v>639</v>
      </c>
      <c r="C54" s="132" t="n">
        <v>0</v>
      </c>
    </row>
    <row r="55" customFormat="false" ht="15" hidden="false" customHeight="false" outlineLevel="0" collapsed="false">
      <c r="B55" s="114" t="s">
        <v>640</v>
      </c>
      <c r="C55" s="125" t="n">
        <f aca="false">C52-C53-C54</f>
        <v>11730.733913537</v>
      </c>
    </row>
    <row r="56" customFormat="false" ht="15" hidden="false" customHeight="false" outlineLevel="0" collapsed="false">
      <c r="B56" s="109" t="s">
        <v>641</v>
      </c>
      <c r="C56" s="133" t="n">
        <f aca="false">Model!AA366</f>
        <v>117.730909444444</v>
      </c>
    </row>
    <row r="57" customFormat="false" ht="15" hidden="false" customHeight="false" outlineLevel="0" collapsed="false">
      <c r="B57" s="114" t="s">
        <v>642</v>
      </c>
      <c r="C57" s="134" t="n">
        <f aca="false">C55/C56</f>
        <v>99.6402216622013</v>
      </c>
    </row>
    <row r="58" customFormat="false" ht="15" hidden="false" customHeight="false" outlineLevel="0" collapsed="false">
      <c r="B58" s="109" t="s">
        <v>643</v>
      </c>
      <c r="C58" s="135" t="n">
        <f aca="false">Model!AA365</f>
        <v>180</v>
      </c>
    </row>
    <row r="59" customFormat="false" ht="15" hidden="false" customHeight="false" outlineLevel="0" collapsed="false">
      <c r="B59" s="109" t="s">
        <v>644</v>
      </c>
      <c r="C59" s="120" t="n">
        <f aca="false">C57/C58-1</f>
        <v>-0.446443212987771</v>
      </c>
    </row>
    <row r="60" customFormat="false" ht="15" hidden="false" customHeight="false" outlineLevel="0" collapsed="false">
      <c r="B60" s="109" t="s">
        <v>645</v>
      </c>
      <c r="C60" s="120" t="n">
        <f aca="false">1-((1+C13)/(1+F60))^F61</f>
        <v>0.0971367291761496</v>
      </c>
      <c r="E60" s="136" t="s">
        <v>646</v>
      </c>
      <c r="F60" s="126" t="n">
        <v>0.15</v>
      </c>
    </row>
    <row r="61" customFormat="false" ht="15" hidden="false" customHeight="false" outlineLevel="0" collapsed="false">
      <c r="B61" s="109" t="s">
        <v>647</v>
      </c>
      <c r="C61" s="137" t="n">
        <f aca="false">C57*(1-C60)</f>
        <v>89.9614964355485</v>
      </c>
      <c r="D61" s="120" t="n">
        <f aca="false">C61/C58-1</f>
        <v>-0.500213908691397</v>
      </c>
      <c r="E61" s="136" t="s">
        <v>648</v>
      </c>
      <c r="F61" s="138" t="n">
        <v>3</v>
      </c>
    </row>
    <row r="64" customFormat="false" ht="15" hidden="false" customHeight="false" outlineLevel="0" collapsed="false">
      <c r="B64" s="15" t="s">
        <v>649</v>
      </c>
    </row>
    <row r="65" customFormat="false" ht="15" hidden="false" customHeight="false" outlineLevel="0" collapsed="false">
      <c r="B65" s="109" t="s">
        <v>650</v>
      </c>
      <c r="C65" s="139" t="n">
        <v>0.005</v>
      </c>
    </row>
    <row r="66" customFormat="false" ht="15" hidden="false" customHeight="false" outlineLevel="0" collapsed="false">
      <c r="B66" s="109" t="s">
        <v>651</v>
      </c>
      <c r="C66" s="139" t="n">
        <v>0.005</v>
      </c>
    </row>
    <row r="67" customFormat="false" ht="15" hidden="false" customHeight="false" outlineLevel="0" collapsed="false">
      <c r="B67" s="109" t="s">
        <v>652</v>
      </c>
      <c r="D67" s="140" t="n">
        <f aca="false">E67-$C$65</f>
        <v>0.101489</v>
      </c>
      <c r="E67" s="140" t="n">
        <f aca="false">F67-$C$65</f>
        <v>0.106489</v>
      </c>
      <c r="F67" s="140" t="n">
        <f aca="false">$C$13</f>
        <v>0.111489</v>
      </c>
      <c r="G67" s="140" t="n">
        <f aca="false">F67+$C$65</f>
        <v>0.116489</v>
      </c>
      <c r="H67" s="140" t="n">
        <f aca="false">G67+$C$65</f>
        <v>0.121489</v>
      </c>
    </row>
    <row r="68" customFormat="false" ht="15" hidden="false" customHeight="false" outlineLevel="0" collapsed="false">
      <c r="B68" s="140" t="n">
        <f aca="false">B69-$C$66</f>
        <v>0.025</v>
      </c>
      <c r="D68" s="141" t="n">
        <f aca="false">IFERROR((SUMPRODUCT($D$26:$M$26/(1+D$67)^$D$34:$M$34)+($M$26*(1+$B68)/(D$67-$B68))/(1+D$67)^$M$34-$C$53-$C$54)/$C$56,"n/a")</f>
        <v>106.890020897844</v>
      </c>
      <c r="E68" s="141" t="n">
        <f aca="false">IFERROR((SUMPRODUCT($D$26:$M$26/(1+E$67)^$D$34:$M$34)+($M$26*(1+$B68)/(E$67-$B68))/(1+E$67)^$M$34-$C$53-$C$54)/$C$56,"n/a")</f>
        <v>98.8433747853144</v>
      </c>
      <c r="F68" s="141" t="n">
        <f aca="false">IFERROR((SUMPRODUCT($D$26:$M$26/(1+F$67)^$D$34:$M$34)+($M$26*(1+$B68)/(F$67-$B68))/(1+F$67)^$M$34-$C$53-$C$54)/$C$56,"n/a")</f>
        <v>91.7388432681943</v>
      </c>
      <c r="G68" s="141" t="n">
        <f aca="false">IFERROR((SUMPRODUCT($D$26:$M$26/(1+G$67)^$D$34:$M$34)+($M$26*(1+$B68)/(G$67-$B68))/(1+G$67)^$M$34-$C$53-$C$54)/$C$56,"n/a")</f>
        <v>85.421589916972</v>
      </c>
      <c r="H68" s="141" t="n">
        <f aca="false">IFERROR((SUMPRODUCT($D$26:$M$26/(1+H$67)^$D$34:$M$34)+($M$26*(1+$B68)/(H$67-$B68))/(1+H$67)^$M$34-$C$53-$C$54)/$C$56,"n/a")</f>
        <v>79.7688864116536</v>
      </c>
    </row>
    <row r="69" customFormat="false" ht="15" hidden="false" customHeight="false" outlineLevel="0" collapsed="false">
      <c r="B69" s="140" t="n">
        <f aca="false">B70-$C$66</f>
        <v>0.03</v>
      </c>
      <c r="D69" s="141" t="n">
        <f aca="false">IFERROR((SUMPRODUCT($D$26:$M$26/(1+D$67)^$D$34:$M$34)+($M$26*(1+$B69)/(D$67-$B69))/(1+D$67)^$M$34-$C$53-$C$54)/$C$56,"n/a")</f>
        <v>112.039066962691</v>
      </c>
      <c r="E69" s="141" t="n">
        <f aca="false">IFERROR((SUMPRODUCT($D$26:$M$26/(1+E$67)^$D$34:$M$34)+($M$26*(1+$B69)/(E$67-$B69))/(1+E$67)^$M$34-$C$53-$C$54)/$C$56,"n/a")</f>
        <v>103.195128971153</v>
      </c>
      <c r="F69" s="141" t="n">
        <f aca="false">IFERROR((SUMPRODUCT($D$26:$M$26/(1+F$67)^$D$34:$M$34)+($M$26*(1+$B69)/(F$67-$B69))/(1+F$67)^$M$34-$C$53-$C$54)/$C$56,"n/a")</f>
        <v>95.4471261774164</v>
      </c>
      <c r="G69" s="141" t="n">
        <f aca="false">IFERROR((SUMPRODUCT($D$26:$M$26/(1+G$67)^$D$34:$M$34)+($M$26*(1+$B69)/(G$67-$B69))/(1+G$67)^$M$34-$C$53-$C$54)/$C$56,"n/a")</f>
        <v>88.6046567672809</v>
      </c>
      <c r="H69" s="141" t="n">
        <f aca="false">IFERROR((SUMPRODUCT($D$26:$M$26/(1+H$67)^$D$34:$M$34)+($M$26*(1+$B69)/(H$67-$B69))/(1+H$67)^$M$34-$C$53-$C$54)/$C$56,"n/a")</f>
        <v>82.5189540241809</v>
      </c>
    </row>
    <row r="70" customFormat="false" ht="15" hidden="false" customHeight="false" outlineLevel="0" collapsed="false">
      <c r="B70" s="140" t="n">
        <f aca="false">$C$32</f>
        <v>0.035</v>
      </c>
      <c r="D70" s="141" t="n">
        <f aca="false">IFERROR((SUMPRODUCT($D$26:$M$26/(1+D$67)^$D$34:$M$34)+($M$26*(1+$B70)/(D$67-$B70))/(1+D$67)^$M$34-$C$53-$C$54)/$C$56,"n/a")</f>
        <v>117.96253376854</v>
      </c>
      <c r="E70" s="141" t="n">
        <f aca="false">IFERROR((SUMPRODUCT($D$26:$M$26/(1+E$67)^$D$34:$M$34)+($M$26*(1+$B70)/(E$67-$B70))/(1+E$67)^$M$34-$C$53-$C$54)/$C$56,"n/a")</f>
        <v>108.155613756921</v>
      </c>
      <c r="F70" s="142" t="n">
        <f aca="false">IFERROR((SUMPRODUCT($D$26:$M$26/(1+F$67)^$D$34:$M$34)+($M$26*(1+$B70)/(F$67-$B70))/(1+F$67)^$M$34-$C$53-$C$54)/$C$56,"n/a")</f>
        <v>99.6402216622013</v>
      </c>
      <c r="G70" s="141" t="n">
        <f aca="false">IFERROR((SUMPRODUCT($D$26:$M$26/(1+G$67)^$D$34:$M$34)+($M$26*(1+$B70)/(G$67-$B70))/(1+G$67)^$M$34-$C$53-$C$54)/$C$56,"n/a")</f>
        <v>92.1783366881035</v>
      </c>
      <c r="H70" s="141" t="n">
        <f aca="false">IFERROR((SUMPRODUCT($D$26:$M$26/(1+H$67)^$D$34:$M$34)+($M$26*(1+$B70)/(H$67-$B70))/(1+H$67)^$M$34-$C$53-$C$54)/$C$56,"n/a")</f>
        <v>85.5869889634813</v>
      </c>
    </row>
    <row r="71" customFormat="false" ht="15" hidden="false" customHeight="false" outlineLevel="0" collapsed="false">
      <c r="B71" s="140" t="n">
        <f aca="false">B70+$C$66</f>
        <v>0.04</v>
      </c>
      <c r="D71" s="141" t="n">
        <f aca="false">IFERROR((SUMPRODUCT($D$26:$M$26/(1+D$67)^$D$34:$M$34)+($M$26*(1+$B71)/(D$67-$B71))/(1+D$67)^$M$34-$C$53-$C$54)/$C$56,"n/a")</f>
        <v>124.849338212966</v>
      </c>
      <c r="E71" s="141" t="n">
        <f aca="false">IFERROR((SUMPRODUCT($D$26:$M$26/(1+E$67)^$D$34:$M$34)+($M$26*(1+$B71)/(E$67-$B71))/(1+E$67)^$M$34-$C$53-$C$54)/$C$56,"n/a")</f>
        <v>113.86215951304</v>
      </c>
      <c r="F71" s="141" t="n">
        <f aca="false">IFERROR((SUMPRODUCT($D$26:$M$26/(1+F$67)^$D$34:$M$34)+($M$26*(1+$B71)/(F$67-$B71))/(1+F$67)^$M$34-$C$53-$C$54)/$C$56,"n/a")</f>
        <v>104.419854304421</v>
      </c>
      <c r="G71" s="141" t="n">
        <f aca="false">IFERROR((SUMPRODUCT($D$26:$M$26/(1+G$67)^$D$34:$M$34)+($M$26*(1+$B71)/(G$67-$B71))/(1+G$67)^$M$34-$C$53-$C$54)/$C$56,"n/a")</f>
        <v>96.2192314922194</v>
      </c>
      <c r="H71" s="141" t="n">
        <f aca="false">IFERROR((SUMPRODUCT($D$26:$M$26/(1+H$67)^$D$34:$M$34)+($M$26*(1+$B71)/(H$67-$B71))/(1+H$67)^$M$34-$C$53-$C$54)/$C$56,"n/a")</f>
        <v>89.0315207231255</v>
      </c>
    </row>
    <row r="72" customFormat="false" ht="15" hidden="false" customHeight="false" outlineLevel="0" collapsed="false">
      <c r="B72" s="140" t="n">
        <f aca="false">B71+$C$66</f>
        <v>0.045</v>
      </c>
      <c r="D72" s="141" t="n">
        <f aca="false">IFERROR((SUMPRODUCT($D$26:$M$26/(1+D$67)^$D$34:$M$34)+($M$26*(1+$B72)/(D$67-$B72))/(1+D$67)^$M$34-$C$53-$C$54)/$C$56,"n/a")</f>
        <v>132.955283453728</v>
      </c>
      <c r="E72" s="141" t="n">
        <f aca="false">IFERROR((SUMPRODUCT($D$26:$M$26/(1+E$67)^$D$34:$M$34)+($M$26*(1+$B72)/(E$67-$B72))/(1+E$67)^$M$34-$C$53-$C$54)/$C$56,"n/a")</f>
        <v>120.496764882443</v>
      </c>
      <c r="F72" s="141" t="n">
        <f aca="false">IFERROR((SUMPRODUCT($D$26:$M$26/(1+F$67)^$D$34:$M$34)+($M$26*(1+$B72)/(F$67-$B72))/(1+F$67)^$M$34-$C$53-$C$54)/$C$56,"n/a")</f>
        <v>109.918347606632</v>
      </c>
      <c r="G72" s="141" t="n">
        <f aca="false">IFERROR((SUMPRODUCT($D$26:$M$26/(1+G$67)^$D$34:$M$34)+($M$26*(1+$B72)/(G$67-$B72))/(1+G$67)^$M$34-$C$53-$C$54)/$C$56,"n/a")</f>
        <v>100.825373369887</v>
      </c>
      <c r="H72" s="141" t="n">
        <f aca="false">IFERROR((SUMPRODUCT($D$26:$M$26/(1+H$67)^$D$34:$M$34)+($M$26*(1+$B72)/(H$67-$B72))/(1+H$67)^$M$34-$C$53-$C$54)/$C$56,"n/a")</f>
        <v>92.9263828256484</v>
      </c>
    </row>
    <row r="75" customFormat="false" ht="15" hidden="false" customHeight="false" outlineLevel="0" collapsed="false">
      <c r="B75" s="15" t="s">
        <v>653</v>
      </c>
    </row>
    <row r="76" customFormat="false" ht="15" hidden="false" customHeight="false" outlineLevel="0" collapsed="false">
      <c r="B76" s="111" t="s">
        <v>654</v>
      </c>
    </row>
    <row r="78" customFormat="false" ht="15" hidden="false" customHeight="false" outlineLevel="0" collapsed="false">
      <c r="B78" s="15" t="s">
        <v>655</v>
      </c>
    </row>
    <row r="79" customFormat="false" ht="15" hidden="false" customHeight="false" outlineLevel="0" collapsed="false">
      <c r="B79" s="111" t="s">
        <v>656</v>
      </c>
    </row>
    <row r="80" customFormat="false" ht="15" hidden="false" customHeight="false" outlineLevel="0" collapsed="false">
      <c r="B80" s="111" t="s">
        <v>657</v>
      </c>
    </row>
    <row r="82" customFormat="false" ht="15" hidden="false" customHeight="false" outlineLevel="0" collapsed="false">
      <c r="B82" s="15" t="s">
        <v>658</v>
      </c>
      <c r="C82" s="15" t="s">
        <v>659</v>
      </c>
      <c r="D82" s="15" t="s">
        <v>660</v>
      </c>
    </row>
    <row r="83" customFormat="false" ht="15" hidden="false" customHeight="false" outlineLevel="0" collapsed="false">
      <c r="B83" s="109" t="s">
        <v>661</v>
      </c>
      <c r="C83" s="113" t="n">
        <f aca="false">$C$13</f>
        <v>0.111489</v>
      </c>
      <c r="D83" s="111" t="s">
        <v>662</v>
      </c>
    </row>
    <row r="84" customFormat="false" ht="15" hidden="false" customHeight="false" outlineLevel="0" collapsed="false">
      <c r="B84" s="109" t="s">
        <v>663</v>
      </c>
      <c r="C84" s="110" t="n">
        <v>0.12</v>
      </c>
      <c r="D84" s="111" t="s">
        <v>664</v>
      </c>
    </row>
    <row r="85" customFormat="false" ht="15" hidden="false" customHeight="false" outlineLevel="0" collapsed="false">
      <c r="B85" s="109" t="s">
        <v>665</v>
      </c>
      <c r="C85" s="110" t="n">
        <v>0.18</v>
      </c>
      <c r="D85" s="111" t="s">
        <v>666</v>
      </c>
    </row>
    <row r="86" customFormat="false" ht="15" hidden="false" customHeight="false" outlineLevel="0" collapsed="false">
      <c r="B86" s="109" t="s">
        <v>667</v>
      </c>
      <c r="C86" s="138" t="n">
        <v>10</v>
      </c>
      <c r="D86" s="111" t="s">
        <v>668</v>
      </c>
    </row>
    <row r="88" customFormat="false" ht="15" hidden="false" customHeight="false" outlineLevel="0" collapsed="false">
      <c r="B88" s="15" t="s">
        <v>669</v>
      </c>
      <c r="C88" s="15" t="s">
        <v>659</v>
      </c>
    </row>
    <row r="89" customFormat="false" ht="15" hidden="false" customHeight="false" outlineLevel="0" collapsed="false">
      <c r="B89" s="109" t="s">
        <v>670</v>
      </c>
      <c r="C89" s="123" t="n">
        <f aca="false">1/C83</f>
        <v>8.96949474836083</v>
      </c>
    </row>
    <row r="90" customFormat="false" ht="15" hidden="false" customHeight="false" outlineLevel="0" collapsed="false">
      <c r="B90" s="109" t="s">
        <v>671</v>
      </c>
      <c r="C90" s="123" t="n">
        <f aca="false">1-C83/C85</f>
        <v>0.380616666666667</v>
      </c>
    </row>
    <row r="91" customFormat="false" ht="15" hidden="false" customHeight="false" outlineLevel="0" collapsed="false">
      <c r="B91" s="109" t="s">
        <v>672</v>
      </c>
      <c r="C91" s="123" t="n">
        <f aca="false">C84*C90/(C83*(C83-C84))</f>
        <v>-48.134496902436</v>
      </c>
    </row>
    <row r="92" customFormat="false" ht="15" hidden="false" customHeight="false" outlineLevel="0" collapsed="false">
      <c r="B92" s="109" t="s">
        <v>673</v>
      </c>
      <c r="C92" s="129" t="n">
        <f aca="false">1-((1+C84)/(1+C83))^C86</f>
        <v>-0.0792661017177327</v>
      </c>
    </row>
    <row r="93" customFormat="false" ht="15" hidden="false" customHeight="false" outlineLevel="0" collapsed="false">
      <c r="B93" s="109" t="s">
        <v>674</v>
      </c>
      <c r="C93" s="123" t="n">
        <f aca="false">C91*C92</f>
        <v>3.81543392760038</v>
      </c>
    </row>
    <row r="94" customFormat="false" ht="15" hidden="false" customHeight="false" outlineLevel="0" collapsed="false">
      <c r="B94" s="117" t="s">
        <v>675</v>
      </c>
      <c r="C94" s="143" t="n">
        <f aca="false">C89+C93</f>
        <v>12.7849286759612</v>
      </c>
    </row>
    <row r="96" customFormat="false" ht="15" hidden="false" customHeight="false" outlineLevel="0" collapsed="false">
      <c r="B96" s="15" t="s">
        <v>676</v>
      </c>
      <c r="C96" s="15" t="s">
        <v>677</v>
      </c>
    </row>
    <row r="97" customFormat="false" ht="15" hidden="false" customHeight="false" outlineLevel="0" collapsed="false">
      <c r="B97" s="109" t="s">
        <v>678</v>
      </c>
      <c r="C97" s="118" t="n">
        <f aca="false">Model!AC167</f>
        <v>1331.25515175107</v>
      </c>
    </row>
    <row r="98" customFormat="false" ht="15" hidden="false" customHeight="false" outlineLevel="0" collapsed="false">
      <c r="B98" s="109" t="s">
        <v>679</v>
      </c>
      <c r="C98" s="118" t="n">
        <f aca="false">-(Model!AC120+Model!AC119+Model!AC117+Model!AC118)</f>
        <v>-20</v>
      </c>
    </row>
    <row r="99" customFormat="false" ht="15" hidden="false" customHeight="false" outlineLevel="0" collapsed="false">
      <c r="B99" s="109" t="s">
        <v>680</v>
      </c>
      <c r="C99" s="113" t="n">
        <f aca="false">$C$10</f>
        <v>0.245</v>
      </c>
    </row>
    <row r="100" customFormat="false" ht="15" hidden="false" customHeight="false" outlineLevel="0" collapsed="false">
      <c r="B100" s="109" t="s">
        <v>681</v>
      </c>
      <c r="C100" s="119" t="n">
        <f aca="false">(C97+C98)*(1-C99)</f>
        <v>989.997639572056</v>
      </c>
    </row>
    <row r="101" customFormat="false" ht="15" hidden="false" customHeight="false" outlineLevel="0" collapsed="false">
      <c r="B101" s="109" t="s">
        <v>682</v>
      </c>
      <c r="C101" s="144" t="n">
        <f aca="false">C94</f>
        <v>12.7849286759612</v>
      </c>
    </row>
    <row r="102" customFormat="false" ht="15" hidden="false" customHeight="false" outlineLevel="0" collapsed="false">
      <c r="B102" s="109" t="s">
        <v>683</v>
      </c>
      <c r="C102" s="119" t="n">
        <f aca="false">C100*C101</f>
        <v>12657.0492112987</v>
      </c>
    </row>
    <row r="103" customFormat="false" ht="15" hidden="false" customHeight="false" outlineLevel="0" collapsed="false">
      <c r="B103" s="109" t="s">
        <v>684</v>
      </c>
      <c r="C103" s="118" t="n">
        <f aca="false">Model!AB360</f>
        <v>2182.25263164368</v>
      </c>
    </row>
    <row r="104" customFormat="false" ht="15" hidden="false" customHeight="false" outlineLevel="0" collapsed="false">
      <c r="B104" s="109" t="s">
        <v>685</v>
      </c>
      <c r="C104" s="119" t="n">
        <f aca="false">C102-C103</f>
        <v>10474.796579655</v>
      </c>
    </row>
    <row r="105" customFormat="false" ht="15" hidden="false" customHeight="false" outlineLevel="0" collapsed="false">
      <c r="B105" s="109" t="s">
        <v>686</v>
      </c>
      <c r="C105" s="133" t="n">
        <f aca="false">Model!AC366</f>
        <v>111.98811544153</v>
      </c>
    </row>
    <row r="106" customFormat="false" ht="15" hidden="false" customHeight="false" outlineLevel="0" collapsed="false">
      <c r="B106" s="109" t="s">
        <v>687</v>
      </c>
      <c r="C106" s="137" t="n">
        <f aca="false">C104/C105</f>
        <v>93.5348946480311</v>
      </c>
    </row>
    <row r="108" customFormat="false" ht="15" hidden="false" customHeight="false" outlineLevel="0" collapsed="false">
      <c r="B108" s="109" t="s">
        <v>643</v>
      </c>
      <c r="C108" s="137" t="n">
        <f aca="false">C58</f>
        <v>180</v>
      </c>
    </row>
    <row r="109" customFormat="false" ht="15" hidden="false" customHeight="false" outlineLevel="0" collapsed="false">
      <c r="B109" s="109" t="s">
        <v>644</v>
      </c>
      <c r="C109" s="120" t="n">
        <f aca="false">C106/C108-1</f>
        <v>-0.480361696399828</v>
      </c>
    </row>
    <row r="111" customFormat="false" ht="15" hidden="false" customHeight="false" outlineLevel="0" collapsed="false">
      <c r="B111" s="15" t="s">
        <v>688</v>
      </c>
      <c r="C111" s="15" t="s">
        <v>677</v>
      </c>
    </row>
    <row r="112" customFormat="false" ht="15" hidden="false" customHeight="false" outlineLevel="0" collapsed="false">
      <c r="B112" s="109" t="s">
        <v>689</v>
      </c>
      <c r="C112" s="119" t="n">
        <f aca="false">C58*C56</f>
        <v>21191.5637</v>
      </c>
    </row>
    <row r="113" customFormat="false" ht="15" hidden="false" customHeight="false" outlineLevel="0" collapsed="false">
      <c r="B113" s="109" t="s">
        <v>690</v>
      </c>
      <c r="C113" s="119" t="n">
        <f aca="false">C53+C54</f>
        <v>2493.33547676304</v>
      </c>
    </row>
    <row r="114" customFormat="false" ht="15" hidden="false" customHeight="false" outlineLevel="0" collapsed="false">
      <c r="B114" s="109" t="s">
        <v>691</v>
      </c>
      <c r="C114" s="119" t="n">
        <f aca="false">C112+C113</f>
        <v>23684.899176763</v>
      </c>
    </row>
    <row r="115" customFormat="false" ht="15" hidden="false" customHeight="false" outlineLevel="0" collapsed="false">
      <c r="B115" s="109" t="s">
        <v>692</v>
      </c>
      <c r="C115" s="144" t="n">
        <f aca="false">C114/C100</f>
        <v>23.9241976243512</v>
      </c>
    </row>
    <row r="117" customFormat="false" ht="15" hidden="false" customHeight="false" outlineLevel="0" collapsed="false">
      <c r="B117" s="109" t="s">
        <v>693</v>
      </c>
      <c r="C117" s="144" t="n">
        <f aca="false">C94-C115</f>
        <v>-11.13926894839</v>
      </c>
    </row>
    <row r="118" customFormat="false" ht="15" hidden="false" customHeight="false" outlineLevel="0" collapsed="false">
      <c r="B118" s="109" t="s">
        <v>694</v>
      </c>
      <c r="C118" s="120" t="n">
        <f aca="false">C94/C115-1</f>
        <v>-0.465606793728032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T21"/>
  <sheetViews>
    <sheetView showFormulas="false" showGridLines="fals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30"/>
  </cols>
  <sheetData>
    <row r="2" customFormat="false" ht="17.35" hidden="false" customHeight="false" outlineLevel="0" collapsed="false">
      <c r="B2" s="145" t="s">
        <v>695</v>
      </c>
    </row>
    <row r="3" customFormat="false" ht="15" hidden="false" customHeight="false" outlineLevel="0" collapsed="false">
      <c r="B3" s="4" t="s">
        <v>696</v>
      </c>
    </row>
    <row r="7" customFormat="false" ht="15" hidden="false" customHeight="false" outlineLevel="0" collapsed="false">
      <c r="C7" s="10" t="s">
        <v>8</v>
      </c>
      <c r="D7" s="10" t="s">
        <v>9</v>
      </c>
      <c r="E7" s="10" t="s">
        <v>10</v>
      </c>
      <c r="F7" s="10" t="s">
        <v>11</v>
      </c>
      <c r="G7" s="10" t="s">
        <v>12</v>
      </c>
      <c r="H7" s="10" t="s">
        <v>13</v>
      </c>
      <c r="I7" s="10" t="s">
        <v>14</v>
      </c>
      <c r="J7" s="10" t="s">
        <v>15</v>
      </c>
      <c r="K7" s="10" t="s">
        <v>16</v>
      </c>
      <c r="L7" s="10" t="s">
        <v>17</v>
      </c>
      <c r="M7" s="10" t="s">
        <v>18</v>
      </c>
      <c r="N7" s="10" t="s">
        <v>19</v>
      </c>
      <c r="O7" s="10" t="s">
        <v>20</v>
      </c>
      <c r="P7" s="10" t="s">
        <v>21</v>
      </c>
      <c r="Q7" s="10" t="s">
        <v>22</v>
      </c>
      <c r="R7" s="10" t="s">
        <v>23</v>
      </c>
      <c r="S7" s="10" t="s">
        <v>24</v>
      </c>
      <c r="T7" s="10" t="s">
        <v>25</v>
      </c>
    </row>
    <row r="8" customFormat="false" ht="15" hidden="false" customHeight="false" outlineLevel="0" collapsed="false">
      <c r="B8" s="109" t="s">
        <v>697</v>
      </c>
      <c r="C8" s="146" t="n">
        <f aca="false">IF(ISNUMBER(Model!C13),Model!C13,IF(ISNUMBER(Model!C14),Model!C14,0))</f>
        <v>-0.008</v>
      </c>
      <c r="D8" s="146" t="n">
        <f aca="false">IF(ISNUMBER(Model!D13),Model!D13,IF(ISNUMBER(Model!D14),Model!D14,0))</f>
        <v>-0.055</v>
      </c>
      <c r="E8" s="146" t="n">
        <f aca="false">IF(ISNUMBER(Model!E13),Model!E13,IF(ISNUMBER(Model!E14),Model!E14,0))</f>
        <v>-0.029</v>
      </c>
      <c r="F8" s="146" t="n">
        <f aca="false">IF(ISNUMBER(Model!F13),Model!F13,IF(ISNUMBER(Model!F14),Model!F14,0))</f>
        <v>0.009</v>
      </c>
      <c r="G8" s="146" t="n">
        <f aca="false">IF(ISNUMBER(Model!H13),Model!H13,IF(ISNUMBER(Model!H14),Model!H14,0))</f>
        <v>-0.0183396032831737</v>
      </c>
      <c r="H8" s="146" t="n">
        <f aca="false">IF(ISNUMBER(Model!I13),Model!I13,IF(ISNUMBER(Model!I14),Model!I14,0))</f>
        <v>-0.0282443697897226</v>
      </c>
      <c r="I8" s="146" t="n">
        <f aca="false">IF(ISNUMBER(Model!J13),Model!J13,IF(ISNUMBER(Model!J14),Model!J14,0))</f>
        <v>0.0313146739363144</v>
      </c>
      <c r="J8" s="146" t="n">
        <f aca="false">IF(ISNUMBER(Model!K13),Model!K13,IF(ISNUMBER(Model!K14),Model!K14,0))</f>
        <v>0.0200158832872521</v>
      </c>
      <c r="K8" s="146" t="n">
        <f aca="false">IF(ISNUMBER(Model!M13),Model!M13,IF(ISNUMBER(Model!M14),Model!M14,0))</f>
        <v>0.0264193122269158</v>
      </c>
      <c r="L8" s="146" t="n">
        <f aca="false">IF(ISNUMBER(Model!N13),Model!N13,IF(ISNUMBER(Model!N14),Model!N14,0))</f>
        <v>0.0336890027030872</v>
      </c>
      <c r="M8" s="146" t="n">
        <f aca="false">IF(ISNUMBER(Model!O13),Model!O13,IF(ISNUMBER(Model!O14),Model!O14,0))</f>
        <v>-0.0385706575141509</v>
      </c>
      <c r="N8" s="146" t="n">
        <f aca="false">IF(ISNUMBER(Model!P13),Model!P13,IF(ISNUMBER(Model!P14),Model!P14,0))</f>
        <v>-0.056576841558891</v>
      </c>
      <c r="O8" s="146" t="n">
        <f aca="false">IF(ISNUMBER(Model!R13),Model!R13,IF(ISNUMBER(Model!R14),Model!R14,0))</f>
        <v>-0.0747005331711663</v>
      </c>
      <c r="P8" s="146" t="n">
        <f aca="false">IF(ISNUMBER(Model!S13),Model!S13,IF(ISNUMBER(Model!S14),Model!S14,0))</f>
        <v>-0.0666822648572766</v>
      </c>
      <c r="Q8" s="146" t="n">
        <f aca="false">IF(ISNUMBER(Model!T13),Model!T13,IF(ISNUMBER(Model!T14),Model!T14,0))</f>
        <v>-0.0609471714409098</v>
      </c>
      <c r="R8" s="146" t="n">
        <f aca="false">IF(ISNUMBER(Model!U13),Model!U13,IF(ISNUMBER(Model!U14),Model!U14,0))</f>
        <v>-0.0450384362630477</v>
      </c>
      <c r="S8" s="146" t="n">
        <f aca="false">IF(ISNUMBER(Model!W13),Model!W13,IF(ISNUMBER(Model!W14),Model!W14,0))</f>
        <v>0.00126858942026997</v>
      </c>
      <c r="T8" s="146" t="n">
        <f aca="false">IF(ISNUMBER(Model!X13),Model!X13,IF(ISNUMBER(Model!X14),Model!X14,0))</f>
        <v>0.00958518278206233</v>
      </c>
    </row>
    <row r="9" customFormat="false" ht="15" hidden="false" customHeight="false" outlineLevel="0" collapsed="false">
      <c r="B9" s="109" t="s">
        <v>698</v>
      </c>
      <c r="C9" s="146" t="n">
        <f aca="false">IF(ISNUMBER(Model!C20),Model!C20,IF(ISNUMBER(Model!C21),Model!C21,0))</f>
        <v>0.087</v>
      </c>
      <c r="D9" s="146" t="n">
        <f aca="false">IF(ISNUMBER(Model!D20),Model!D20,IF(ISNUMBER(Model!D21),Model!D21,0))</f>
        <v>0.106</v>
      </c>
      <c r="E9" s="146" t="n">
        <f aca="false">IF(ISNUMBER(Model!E20),Model!E20,IF(ISNUMBER(Model!E21),Model!E21,0))</f>
        <v>0.07</v>
      </c>
      <c r="F9" s="146" t="n">
        <f aca="false">IF(ISNUMBER(Model!F20),Model!F20,IF(ISNUMBER(Model!F21),Model!F21,0))</f>
        <v>0.014</v>
      </c>
      <c r="G9" s="146" t="n">
        <f aca="false">IF(ISNUMBER(Model!H20),Model!H20,IF(ISNUMBER(Model!H21),Model!H21,0))</f>
        <v>0.0144508670520229</v>
      </c>
      <c r="H9" s="146" t="n">
        <f aca="false">IF(ISNUMBER(Model!I20),Model!I20,IF(ISNUMBER(Model!I21),Model!I21,0))</f>
        <v>0.0135895032802249</v>
      </c>
      <c r="I9" s="146" t="n">
        <f aca="false">IF(ISNUMBER(Model!J20),Model!J20,IF(ISNUMBER(Model!J21),Model!J21,0))</f>
        <v>0.0643957069528698</v>
      </c>
      <c r="J9" s="146" t="n">
        <f aca="false">IF(ISNUMBER(Model!K20),Model!K20,IF(ISNUMBER(Model!K21),Model!K21,0))</f>
        <v>0.102878716375649</v>
      </c>
      <c r="K9" s="146" t="n">
        <f aca="false">IF(ISNUMBER(Model!M20),Model!M20,IF(ISNUMBER(Model!M21),Model!M21,0))</f>
        <v>0.0982905982905984</v>
      </c>
      <c r="L9" s="146" t="n">
        <f aca="false">IF(ISNUMBER(Model!N20),Model!N20,IF(ISNUMBER(Model!N21),Model!N21,0))</f>
        <v>0.0892279241793805</v>
      </c>
      <c r="M9" s="146" t="n">
        <f aca="false">IF(ISNUMBER(Model!O20),Model!O20,IF(ISNUMBER(Model!O21),Model!O21,0))</f>
        <v>0.0670758439281018</v>
      </c>
      <c r="N9" s="146" t="n">
        <f aca="false">IF(ISNUMBER(Model!P20),Model!P20,IF(ISNUMBER(Model!P21),Model!P21,0))</f>
        <v>0.0629011553273426</v>
      </c>
      <c r="O9" s="146" t="n">
        <f aca="false">IF(ISNUMBER(Model!R20),Model!R20,IF(ISNUMBER(Model!R21),Model!R21,0))</f>
        <v>0.0691742325983571</v>
      </c>
      <c r="P9" s="146" t="n">
        <f aca="false">IF(ISNUMBER(Model!S20),Model!S20,IF(ISNUMBER(Model!S21),Model!S21,0))</f>
        <v>0.0606960950764006</v>
      </c>
      <c r="Q9" s="146" t="n">
        <f aca="false">IF(ISNUMBER(Model!T20),Model!T20,IF(ISNUMBER(Model!T21),Model!T21,0))</f>
        <v>0.0587510271158587</v>
      </c>
      <c r="R9" s="146" t="n">
        <f aca="false">IF(ISNUMBER(Model!U20),Model!U20,IF(ISNUMBER(Model!U21),Model!U21,0))</f>
        <v>0.0515297906602255</v>
      </c>
      <c r="S9" s="146" t="n">
        <f aca="false">IF(ISNUMBER(Model!W20),Model!W20,IF(ISNUMBER(Model!W21),Model!W21,0))</f>
        <v>0.0396279822078447</v>
      </c>
      <c r="T9" s="146" t="n">
        <f aca="false">IF(ISNUMBER(Model!X20),Model!X20,IF(ISNUMBER(Model!X21),Model!X21,0))</f>
        <v>0.0440176070428171</v>
      </c>
    </row>
    <row r="11" customFormat="false" ht="15" hidden="false" customHeight="false" outlineLevel="0" collapsed="false">
      <c r="C11" s="10" t="s">
        <v>8</v>
      </c>
      <c r="D11" s="10" t="s">
        <v>9</v>
      </c>
      <c r="E11" s="10" t="s">
        <v>10</v>
      </c>
      <c r="F11" s="10" t="s">
        <v>11</v>
      </c>
      <c r="G11" s="10" t="s">
        <v>12</v>
      </c>
      <c r="H11" s="10" t="s">
        <v>13</v>
      </c>
      <c r="I11" s="10" t="s">
        <v>14</v>
      </c>
      <c r="J11" s="10" t="s">
        <v>15</v>
      </c>
      <c r="K11" s="10" t="s">
        <v>16</v>
      </c>
      <c r="L11" s="10" t="s">
        <v>17</v>
      </c>
      <c r="M11" s="10" t="s">
        <v>18</v>
      </c>
      <c r="N11" s="10" t="s">
        <v>19</v>
      </c>
      <c r="O11" s="10" t="s">
        <v>20</v>
      </c>
      <c r="P11" s="10" t="s">
        <v>21</v>
      </c>
      <c r="Q11" s="10" t="s">
        <v>22</v>
      </c>
      <c r="R11" s="10" t="s">
        <v>23</v>
      </c>
      <c r="S11" s="10" t="s">
        <v>24</v>
      </c>
      <c r="T11" s="10" t="s">
        <v>25</v>
      </c>
    </row>
    <row r="12" customFormat="false" ht="15" hidden="false" customHeight="false" outlineLevel="0" collapsed="false">
      <c r="B12" s="109" t="s">
        <v>518</v>
      </c>
      <c r="C12" s="147" t="n">
        <f aca="false">Model!C158</f>
        <v>184</v>
      </c>
      <c r="D12" s="147" t="n">
        <f aca="false">Model!D158</f>
        <v>289</v>
      </c>
      <c r="E12" s="147" t="n">
        <f aca="false">Model!E158</f>
        <v>262</v>
      </c>
      <c r="F12" s="147" t="n">
        <f aca="false">Model!F158</f>
        <v>262</v>
      </c>
      <c r="G12" s="147" t="n">
        <f aca="false">Model!H158</f>
        <v>210</v>
      </c>
      <c r="H12" s="147" t="n">
        <f aca="false">Model!I158</f>
        <v>244</v>
      </c>
      <c r="I12" s="147" t="n">
        <f aca="false">Model!J158</f>
        <v>278</v>
      </c>
      <c r="J12" s="147" t="n">
        <f aca="false">Model!K158</f>
        <v>264</v>
      </c>
      <c r="K12" s="147" t="n">
        <f aca="false">Model!M158</f>
        <v>288</v>
      </c>
      <c r="L12" s="147" t="n">
        <f aca="false">Model!N158</f>
        <v>343</v>
      </c>
      <c r="M12" s="147" t="n">
        <f aca="false">Model!O158</f>
        <v>333</v>
      </c>
      <c r="N12" s="147" t="n">
        <f aca="false">Model!P158</f>
        <v>303</v>
      </c>
      <c r="O12" s="147" t="n">
        <f aca="false">Model!R158</f>
        <v>278</v>
      </c>
      <c r="P12" s="147" t="n">
        <f aca="false">Model!S158</f>
        <v>340</v>
      </c>
      <c r="Q12" s="147" t="n">
        <f aca="false">Model!T158</f>
        <v>342</v>
      </c>
      <c r="R12" s="147" t="n">
        <f aca="false">Model!U158</f>
        <v>312</v>
      </c>
      <c r="S12" s="147" t="n">
        <f aca="false">Model!W158</f>
        <v>319</v>
      </c>
      <c r="T12" s="147" t="n">
        <f aca="false">Model!X158</f>
        <v>434</v>
      </c>
    </row>
    <row r="13" customFormat="false" ht="15" hidden="false" customHeight="false" outlineLevel="0" collapsed="false">
      <c r="B13" s="109" t="s">
        <v>699</v>
      </c>
      <c r="C13" s="147" t="n">
        <f aca="false">Model!C121</f>
        <v>63</v>
      </c>
      <c r="D13" s="147" t="n">
        <f aca="false">Model!D121</f>
        <v>171</v>
      </c>
      <c r="E13" s="147" t="n">
        <f aca="false">Model!E121</f>
        <v>139</v>
      </c>
      <c r="F13" s="147" t="n">
        <f aca="false">Model!F121</f>
        <v>4</v>
      </c>
      <c r="G13" s="147" t="n">
        <f aca="false">Model!H121</f>
        <v>58</v>
      </c>
      <c r="H13" s="147" t="n">
        <f aca="false">Model!I121</f>
        <v>107</v>
      </c>
      <c r="I13" s="147" t="n">
        <f aca="false">Model!J121</f>
        <v>154</v>
      </c>
      <c r="J13" s="147" t="n">
        <f aca="false">Model!K121</f>
        <v>119</v>
      </c>
      <c r="K13" s="147" t="n">
        <f aca="false">Model!M121</f>
        <v>138</v>
      </c>
      <c r="L13" s="147" t="n">
        <f aca="false">Model!N121</f>
        <v>197</v>
      </c>
      <c r="M13" s="147" t="n">
        <f aca="false">Model!O121</f>
        <v>176</v>
      </c>
      <c r="N13" s="147" t="n">
        <f aca="false">Model!P121</f>
        <v>148</v>
      </c>
      <c r="O13" s="147" t="n">
        <f aca="false">Model!R121</f>
        <v>151</v>
      </c>
      <c r="P13" s="147" t="n">
        <f aca="false">Model!S121</f>
        <v>198</v>
      </c>
      <c r="Q13" s="147" t="n">
        <f aca="false">Model!T121</f>
        <v>164</v>
      </c>
      <c r="R13" s="147" t="n">
        <f aca="false">Model!U121</f>
        <v>143</v>
      </c>
      <c r="S13" s="147" t="n">
        <f aca="false">Model!W121</f>
        <v>174</v>
      </c>
      <c r="T13" s="147" t="n">
        <f aca="false">Model!X121</f>
        <v>271</v>
      </c>
    </row>
    <row r="14" customFormat="false" ht="15" hidden="false" customHeight="false" outlineLevel="0" collapsed="false">
      <c r="B14" s="109" t="s">
        <v>700</v>
      </c>
      <c r="C14" s="146" t="n">
        <f aca="false">Model!C201</f>
        <v>0.0971488912354805</v>
      </c>
      <c r="D14" s="146" t="n">
        <f aca="false">Model!D201</f>
        <v>0.141182217879824</v>
      </c>
      <c r="E14" s="146" t="n">
        <f aca="false">Model!E201</f>
        <v>0.134635149023638</v>
      </c>
      <c r="F14" s="146" t="n">
        <f aca="false">Model!F201</f>
        <v>0.143091206990715</v>
      </c>
      <c r="G14" s="146" t="n">
        <f aca="false">Model!H201</f>
        <v>0.110120608285265</v>
      </c>
      <c r="H14" s="146" t="n">
        <f aca="false">Model!I201</f>
        <v>0.127282211789254</v>
      </c>
      <c r="I14" s="146" t="n">
        <f aca="false">Model!J201</f>
        <v>0.14040404040404</v>
      </c>
      <c r="J14" s="146" t="n">
        <f aca="false">Model!K201</f>
        <v>0.136082474226804</v>
      </c>
      <c r="K14" s="146" t="n">
        <f aca="false">Model!M201</f>
        <v>0.142715559960357</v>
      </c>
      <c r="L14" s="146" t="n">
        <f aca="false">Model!N201</f>
        <v>0.164983164983165</v>
      </c>
      <c r="M14" s="146" t="n">
        <f aca="false">Model!O201</f>
        <v>0.162201656113005</v>
      </c>
      <c r="N14" s="146" t="n">
        <f aca="false">Model!P201</f>
        <v>0.157730348776679</v>
      </c>
      <c r="O14" s="146" t="n">
        <f aca="false">Model!R201</f>
        <v>0.142272262026612</v>
      </c>
      <c r="P14" s="146" t="n">
        <f aca="false">Model!S201</f>
        <v>0.163461538461538</v>
      </c>
      <c r="Q14" s="146" t="n">
        <f aca="false">Model!T201</f>
        <v>0.162008526764567</v>
      </c>
      <c r="R14" s="146" t="n">
        <f aca="false">Model!U201</f>
        <v>0.155146693187469</v>
      </c>
      <c r="S14" s="146" t="n">
        <f aca="false">Model!W201</f>
        <v>0.15219465648855</v>
      </c>
      <c r="T14" s="146" t="n">
        <f aca="false">Model!X201</f>
        <v>0.184288747346072</v>
      </c>
    </row>
    <row r="15" customFormat="false" ht="15" hidden="false" customHeight="false" outlineLevel="0" collapsed="false">
      <c r="B15" s="109" t="s">
        <v>701</v>
      </c>
      <c r="C15" s="146" t="n">
        <f aca="false">Model!C204</f>
        <v>0.0332629355860613</v>
      </c>
      <c r="D15" s="146" t="n">
        <f aca="false">Model!D204</f>
        <v>0.0835368832437714</v>
      </c>
      <c r="E15" s="146" t="n">
        <f aca="false">Model!E204</f>
        <v>0.0714285714285714</v>
      </c>
      <c r="F15" s="146" t="n">
        <f aca="false">Model!F204</f>
        <v>0.00218459858001092</v>
      </c>
      <c r="G15" s="146" t="n">
        <f aca="false">Model!H204</f>
        <v>0.0304142632406922</v>
      </c>
      <c r="H15" s="146" t="n">
        <f aca="false">Model!I204</f>
        <v>0.0558163797600417</v>
      </c>
      <c r="I15" s="146" t="n">
        <f aca="false">Model!J204</f>
        <v>0.0777777777777778</v>
      </c>
      <c r="J15" s="146" t="n">
        <f aca="false">Model!K204</f>
        <v>0.061340206185567</v>
      </c>
      <c r="K15" s="146" t="n">
        <f aca="false">Model!M204</f>
        <v>0.068384539147671</v>
      </c>
      <c r="L15" s="146" t="n">
        <f aca="false">Model!N204</f>
        <v>0.0947570947570948</v>
      </c>
      <c r="M15" s="146" t="n">
        <f aca="false">Model!O204</f>
        <v>0.0857282026302971</v>
      </c>
      <c r="N15" s="146" t="n">
        <f aca="false">Model!P204</f>
        <v>0.0770432066631963</v>
      </c>
      <c r="O15" s="146" t="n">
        <f aca="false">Model!R204</f>
        <v>0.0772773797338792</v>
      </c>
      <c r="P15" s="146" t="n">
        <f aca="false">Model!S204</f>
        <v>0.0951923076923077</v>
      </c>
      <c r="Q15" s="146" t="n">
        <f aca="false">Model!T204</f>
        <v>0.0776882993841781</v>
      </c>
      <c r="R15" s="146" t="n">
        <f aca="false">Model!U204</f>
        <v>0.0711089010442566</v>
      </c>
      <c r="S15" s="146" t="n">
        <f aca="false">Model!W204</f>
        <v>0.0830152671755725</v>
      </c>
      <c r="T15" s="146" t="n">
        <f aca="false">Model!X204</f>
        <v>0.115074309978769</v>
      </c>
    </row>
    <row r="17" customFormat="false" ht="15" hidden="false" customHeight="false" outlineLevel="0" collapsed="false">
      <c r="C17" s="10" t="n">
        <v>2022</v>
      </c>
      <c r="D17" s="10" t="n">
        <v>2023</v>
      </c>
      <c r="E17" s="10" t="n">
        <v>2024</v>
      </c>
      <c r="F17" s="10" t="n">
        <v>2025</v>
      </c>
    </row>
    <row r="18" customFormat="false" ht="15" hidden="false" customHeight="false" outlineLevel="0" collapsed="false">
      <c r="B18" s="109" t="s">
        <v>571</v>
      </c>
      <c r="C18" s="146" t="n">
        <f aca="false">IFERROR(Model!G343+0,NA())</f>
        <v>0.139906896309032</v>
      </c>
      <c r="D18" s="146" t="n">
        <f aca="false">IFERROR(Model!L343+0,NA())</f>
        <v>0.0978140694439426</v>
      </c>
      <c r="E18" s="146" t="n">
        <f aca="false">IFERROR(Model!Q343+0,NA())</f>
        <v>0.133918812678568</v>
      </c>
      <c r="F18" s="146" t="n">
        <f aca="false">IFERROR(Model!V343+0,NA())</f>
        <v>0.111648274719981</v>
      </c>
    </row>
    <row r="19" customFormat="false" ht="15" hidden="false" customHeight="false" outlineLevel="0" collapsed="false">
      <c r="B19" s="109" t="s">
        <v>572</v>
      </c>
      <c r="C19" s="146" t="n">
        <f aca="false">IFERROR(Model!G354+0,NA())</f>
        <v>0.146659710474865</v>
      </c>
      <c r="D19" s="146" t="n">
        <f aca="false">IFERROR(Model!L354+0,NA())</f>
        <v>0.102812221104001</v>
      </c>
      <c r="E19" s="146" t="n">
        <f aca="false">IFERROR(Model!Q354+0,NA())</f>
        <v>0.140094680253551</v>
      </c>
      <c r="F19" s="146" t="n">
        <f aca="false">IFERROR(Model!V354+0,NA())</f>
        <v>0.112178725105967</v>
      </c>
    </row>
    <row r="20" customFormat="false" ht="15" hidden="false" customHeight="false" outlineLevel="0" collapsed="false">
      <c r="B20" s="109" t="s">
        <v>700</v>
      </c>
      <c r="C20" s="146" t="n">
        <f aca="false">IFERROR(Model!G201+0,NA())</f>
        <v>0.129178543664162</v>
      </c>
      <c r="D20" s="146" t="n">
        <f aca="false">IFERROR(Model!L201+0,NA())</f>
        <v>0.128615702479339</v>
      </c>
      <c r="E20" s="146" t="n">
        <f aca="false">IFERROR(Model!Q201+0,NA())</f>
        <v>0.156838453914767</v>
      </c>
      <c r="F20" s="146" t="n">
        <f aca="false">IFERROR(Model!V201+0,NA())</f>
        <v>0.155939683707245</v>
      </c>
    </row>
    <row r="21" customFormat="false" ht="15" hidden="false" customHeight="false" outlineLevel="0" collapsed="false">
      <c r="B21" s="109" t="s">
        <v>702</v>
      </c>
      <c r="C21" s="146" t="n">
        <f aca="false">IFERROR(Model!G240+0,NA())</f>
        <v>0.0506607929515419</v>
      </c>
      <c r="D21" s="146" t="n">
        <f aca="false">IFERROR(Model!L240+0,NA())</f>
        <v>-0.104597107438017</v>
      </c>
      <c r="E21" s="146" t="n">
        <f aca="false">IFERROR(Model!Q240+0,NA())</f>
        <v>0.0116451932606541</v>
      </c>
      <c r="F21" s="146" t="n">
        <f aca="false">IFERROR(Model!V240+0,NA())</f>
        <v>0.0453598136569817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2026-10-05T18:38:34Z</dcterms:created>
  <dc:creator>openpyxl</dc:creator>
  <dc:description/>
  <dc:language>en-US</dc:language>
  <cp:lastModifiedBy/>
  <dcterms:modified xsi:type="dcterms:W3CDTF">2026-10-05T18:38:37Z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