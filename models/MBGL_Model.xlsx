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7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7" fontId="51" fillId="0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7" fontId="46" fillId="0" borderId="0" pivotButton="0" quotePrefix="0" xfId="0"/>
    <xf numFmtId="167" fontId="46" fillId="0" borderId="0" applyAlignment="1" pivotButton="0" quotePrefix="0" xfId="0">
      <alignment horizontal="right"/>
    </xf>
    <xf numFmtId="166" fontId="46" fillId="0" borderId="0" pivotButton="0" quotePrefix="0" xfId="0"/>
    <xf numFmtId="176" fontId="17" fillId="0" borderId="0" pivotButton="0" quotePrefix="0" xfId="0"/>
    <xf numFmtId="167" fontId="51" fillId="2" borderId="2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167" fontId="48" fillId="0" borderId="2" applyAlignment="1" pivotButton="0" quotePrefix="0" xfId="0">
      <alignment horizontal="right"/>
    </xf>
    <xf numFmtId="0" fontId="56" fillId="0" borderId="0" pivotButton="0" quotePrefix="0" xfId="0"/>
    <xf numFmtId="167" fontId="51" fillId="2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7" fontId="48" fillId="6" borderId="2" applyAlignment="1" pivotButton="0" quotePrefix="0" xfId="0">
      <alignment horizontal="right"/>
    </xf>
    <xf numFmtId="167" fontId="41" fillId="2" borderId="0" pivotButton="0" quotePrefix="0" xfId="0"/>
    <xf numFmtId="167" fontId="51" fillId="6" borderId="2" applyAlignment="1" pivotButton="0" quotePrefix="0" xfId="0">
      <alignment horizontal="right"/>
    </xf>
    <xf numFmtId="164" fontId="46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51" fillId="2" borderId="0" applyAlignment="1" pivotButton="0" quotePrefix="0" xfId="0">
      <alignment horizontal="right"/>
    </xf>
    <xf numFmtId="164" fontId="45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64" fontId="41" fillId="2" borderId="0" pivotButton="0" quotePrefix="0" xfId="0"/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164" fontId="51" fillId="2" borderId="0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Growth by Segment: CARFAX vs. B2B,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Charts!$C$8:$K$8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Charts!$C$9:$K$9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Profit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Charts!$C$12:$K$12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Charts!$C$13:$K$13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Charts!$C$14:$K$14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Charts!$C$15:$K$15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Charts!$C$18:$K$18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Charts!$C$19:$K$19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Charts!$C$20:$K$20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Charts!$C$7:$K$7</c:f>
            </c:numRef>
          </c:cat>
          <c:val>
            <c:numRef>
              <c:f>Charts!$C$21:$K$21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MBGL model</author>
  </authors>
  <commentList>
    <comment ref="AC2" authorId="0" shapeId="0">
      <text>
        <t>Scenario toggle. Choose Bull / Base / Bear. Drives: FY26 revenue and Adjusted EBITDA outlook end-points (high / mid / low), 2H/26 buybacks, 2027E–2031E segment revenue growth and Segment Adjusted EBITDA margins, M&amp;A spend and the leverage target for 2027E+ buybacks (scenario table AK:AO).</t>
      </text>
    </comment>
    <comment ref="B11" authorId="0" shapeId="0">
      <text>
        <t>Source: Form 10 information statement (10-12B/A Ex. 99.1, 27-May-2026) — MD&amp;A segment results (FY2023–25, Q1-25, Q1-26); Q2-25 / Q2-26: 10-Q MD&amp;A and release Exhibit 4; Q3-25 / Q4-25: FY2025 quarterly financial data (8-K Ex. 99.2, 7-Aug-2026, "unaudited and preliminary"). Two segments since the 2025 realignment (all periods recast by the company).</t>
      </text>
    </comment>
    <comment ref="B18" authorId="0" shapeId="0">
      <text>
        <t>Source: Form 10 information statement (10-12B/A Ex. 99.1, 27-May-2026) — reconciliation of segment operating profit to Segment Adjusted EBITDA; release Exhibit 5 (Q2); Ex. 99.2 (Q3-25 / Q4-25).</t>
      </text>
    </comment>
    <comment ref="B49" authorId="0" shapeId="0">
      <text>
        <t>Source: Form 10 information statement (10-12B/A Ex. 99.1, 27-May-2026) — Corporate column of the Segment Adjusted EBITDA reconciliation (corporate unallocated expense).</t>
      </text>
    </comment>
    <comment ref="B53" authorId="0" shapeId="0">
      <text>
        <t>Source: S&amp;P Global Inc. (CIK 64040) earnings releases, 8-K Item 2.02 Ex. 99.1 — "Mobility" segment revenue / expenses / operating profit tables, adjusted segment operating profit reconciliations and revenue-by-type tables (Q1-23 – Q2-26). FY2022: S&amp;P Global non-GAAP pro forma full year (IHS Markit merger 28-Feb-2022; reported Mar–Dec revenue $1,142m).</t>
      </text>
    </comment>
    <comment ref="C53" authorId="0" shapeId="0">
      <text>
        <t>S&amp;P Global non-GAAP pro forma revenue for the full year 2022 (as if IHS Markit had been owned from 1-Jan-2022); reported revenue (Mar–Dec) $1,142m.</t>
      </text>
    </comment>
    <comment ref="C57" authorId="0" shapeId="0">
      <text>
        <t>Pro forma operating profit (S&amp;P Global Q4-22 release).</t>
      </text>
    </comment>
    <comment ref="B104" authorId="0" shapeId="0">
      <text>
        <t>Source: Form 10 information statement (10-12B/A Ex. 99.1, 27-May-2026) — statements of income (depreciation and amortization of intangibles shown separately; Q3-25 / Q4-25 only combined in Ex. 99.2).</t>
      </text>
    </comment>
    <comment ref="H112" authorId="0" shapeId="0">
      <text>
        <t>Company items (2023): Acquisition integration costs +17; Employee severance charges +9; Acquisition and disposition-related costs +4</t>
      </text>
    </comment>
    <comment ref="M112" authorId="0" shapeId="0">
      <text>
        <t>Company items (2024): Acquisition integration costs +9; Employee severance charges +10; Acquisition and disposition-related costs +4</t>
      </text>
    </comment>
    <comment ref="N112" authorId="0" shapeId="0">
      <text>
        <t>Company items (Q1-25): Employee severance charges +1; Other +1</t>
      </text>
    </comment>
    <comment ref="O112" authorId="0" shapeId="0">
      <text>
        <t>Company items (Q2-25): Transaction costs +2; Employee severance charges and other +9</t>
      </text>
    </comment>
    <comment ref="Q112" authorId="0" shapeId="0">
      <text>
        <t>Company items (Q4-25): Transaction costs +16; Employee severance charges +6; Other +2</t>
      </text>
    </comment>
    <comment ref="R112" authorId="0" shapeId="0">
      <text>
        <t>Company items (2025): Employee severance charges +20; Legal settlement recovery -3; Transaction costs +21; Other (1) +2</t>
      </text>
    </comment>
    <comment ref="T112" authorId="0" shapeId="0">
      <text>
        <t>Company items (Q2-26): Transaction costs +36; Employee severance charges and other +2</t>
      </text>
    </comment>
    <comment ref="B115" authorId="0" shapeId="0">
      <text>
        <t>Source: Form 10 information statement (10-12B/A Ex. 99.1, 27-May-2026) — audited combined statements of income (FY2023–25) and unaudited Q1-26 / Q1-25; 10-Q (Q2-26 / Q2-25); 8-K Ex. 99.2 (Q3-25 / Q4-25). Carve-out (combined) basis: includes S&amp;P Global corporate allocations; whole $ millions as published.</t>
      </text>
    </comment>
    <comment ref="P115" authorId="0" shapeId="0">
      <text>
        <t>8-K Ex. 99.2 (7-Aug-2026): "Pre-separation quarterly information, including Q3 and Q4 2025, is unaudited and preliminary, and reflects the unaudited carve-out financials ... as reported by S&amp;P Global Inc." Ties to FY2025 (Form 10) in total.</t>
      </text>
    </comment>
    <comment ref="Q115" authorId="0" shapeId="0">
      <text>
        <t>8-K Ex. 99.2 (7-Aug-2026): "Pre-separation quarterly information, including Q3 and Q4 2025, is unaudited and preliminary, and reflects the unaudited carve-out financials ... as reported by S&amp;P Global Inc." Ties to FY2025 (Form 10) in total.</t>
      </text>
    </comment>
    <comment ref="B132" authorId="0" shapeId="0">
      <text>
        <t>Source: 10-Q statements of operations and Note 3 (EPS) — 294,821,320 shares basic and diluted for all periods presented; cover page (1-Jul-2026).</t>
      </text>
    </comment>
    <comment ref="B139" authorId="0" shapeId="0">
      <text>
        <t>Source: Q2-26 release (dividend declared, payable 10-Sep-2026) and 10-Q MD&amp;A ("Common Stockholder Dividends": $0.06 per share quarterly).</t>
      </text>
    </comment>
    <comment ref="B155" authorId="0" shapeId="0">
      <text>
        <t>Source: Form 10 information statement (10-12B/A Ex. 99.1, 27-May-2026) — MD&amp;A "reconciliation of our net income to Adjusted EBITDA"; release Exhibit 5 (Q2-26 / Q2-25); Ex. 99.2 (2025 quarters).</t>
      </text>
    </comment>
    <comment ref="H157" authorId="0" shapeId="0">
      <text>
        <t>Form 10 MD&amp;A, "Adjusted EBITDA and Adjusted EBITDA Margin".</t>
      </text>
    </comment>
    <comment ref="B172" authorId="0" shapeId="0">
      <text>
        <t>Source: Form 10 information statement (10-12B/A Ex. 99.1, 27-May-2026) — MD&amp;A reconciliation of operating profit to Adjusted operating profit (published for FY2023–25, Q1-25 and Q1-26 only).</t>
      </text>
    </comment>
    <comment ref="M172" authorId="0" shapeId="0">
      <text>
        <t>FY2024 total as published ($617m); the segment columns add to $618m (company rounding).</t>
      </text>
    </comment>
    <comment ref="H175" authorId="0" shapeId="0">
      <text>
        <t>Not presented in the Q2-26 release; the model bridge continues the definition.</t>
      </text>
    </comment>
    <comment ref="B206" authorId="0" shapeId="0">
      <text>
        <t>Source: Form 10 information statement (10-12B/A Ex. 99.1, 27-May-2026) — combined statements of cash flows (FY2023–25; Q1 three months); 10-Q six months (Q2 = 1H − Q1). Q3-25 / Q4-25 not published.</t>
      </text>
    </comment>
    <comment ref="T218" authorId="0" shapeId="0">
      <text>
        <t>1H/26 net transfers to Parent −$2,011m incl. the $2.0bn dividend paid to S&amp;P Global from the senior-note proceeds (10-Q Note 4).</t>
      </text>
    </comment>
    <comment ref="B233" authorId="0" shapeId="0">
      <text>
        <t>Source: Form 10 information statement (10-12B/A Ex. 99.1, 27-May-2026) — Free cash flow reconciliation; release "Computation of Free Cash Flow" (Q2).</t>
      </text>
    </comment>
    <comment ref="B256" authorId="0" shapeId="0">
      <text>
        <t>Source: combined balance sheets — 31-Dec-2023: first Form 10 draft (DRS, 23-Oct-2025); 31-Dec-2024 / 2025 and 31-Mar-2026: Form 10; 30-Jun-2026: 10-Q. Pre-spin equity = parent company investment.</t>
      </text>
    </comment>
    <comment ref="H256" authorId="0" shapeId="0">
      <text>
        <t>From the first Form 10 draft (DRS, 23-Oct-2025): FY2024 / FY2023 audited combined balance sheets.</t>
      </text>
    </comment>
    <comment ref="B297" authorId="0" shapeId="0">
      <text>
        <t>Source: 10-Q Note 4 (Debt); 8-K 2-Jul-2026 (separation); Form 10 pro forma note (b).</t>
      </text>
    </comment>
  </commentList>
</comments>
</file>

<file path=xl/comments/comment2.xml><?xml version="1.0" encoding="utf-8"?>
<comments xmlns="http://schemas.openxmlformats.org/spreadsheetml/2006/main">
  <authors>
    <author>MBGL model</author>
  </authors>
  <commentList>
    <comment ref="N26" authorId="0" shapeId="0">
      <text>
        <t>P/E on adjusted EPS (model definition: + amortization of intangibles and adjusting items, tax-effected). MBGL at $18.00 trades at ~13x 2027E adjusted EPS. Exit multiples are assumptions: Base 13x, Bull 15x, Bear 10x (no trading history before Jul-2026; leveraged spin with mid-to-high-single-digit growth).</t>
      </text>
    </comment>
    <comment ref="P40" authorId="0" shapeId="0">
      <text>
        <t>Snapshot (values) of Model rows 246, 245 and 247 (Share Buyback Schedule) with Model!AC2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365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hidden="1" outlineLevel="1" width="9.5703125" customWidth="1" style="251" min="4" max="4"/>
    <col hidden="1" outlineLevel="1" width="9.5703125" customWidth="1" style="251" min="5" max="5"/>
    <col hidden="1" outlineLevel="1" width="9.5703125" customWidth="1" style="251" min="6" max="6"/>
    <col hidden="1" outlineLevel="1" width="9.5703125" customWidth="1" style="251" min="7" max="7"/>
    <col width="13" customWidth="1" style="251" min="8" max="8"/>
    <col hidden="1" outlineLevel="1" width="9.5703125" customWidth="1" style="251" min="9" max="9"/>
    <col hidden="1" outlineLevel="1" width="9.5703125" customWidth="1" style="251" min="10" max="10"/>
    <col hidden="1" outlineLevel="1" width="9.5703125" customWidth="1" style="251" min="11" max="11"/>
    <col hidden="1" outlineLevel="1" width="9.5703125" customWidth="1" style="251" min="12" max="12"/>
    <col width="13" customWidth="1" style="251" min="13" max="13"/>
    <col hidden="1" outlineLevel="1" width="9.5703125" customWidth="1" style="251" min="14" max="14"/>
    <col hidden="1" outlineLevel="1" width="9.5703125" customWidth="1" style="251" min="15" max="15"/>
    <col hidden="1" outlineLevel="1" width="9.5703125" customWidth="1" style="251" min="16" max="16"/>
    <col hidden="1" outlineLevel="1" width="9.5703125" customWidth="1" style="251" min="17" max="17"/>
    <col width="13" customWidth="1" style="251" min="18" max="18"/>
    <col hidden="1" outlineLevel="1" width="9.5703125" customWidth="1" style="251" min="19" max="19"/>
    <col hidden="1" outlineLevel="1" width="9.5703125" customWidth="1" style="251" min="20" max="20"/>
    <col hidden="1" outlineLevel="1" width="11.42578125" customWidth="1" style="251" min="21" max="21"/>
    <col hidden="1" outlineLevel="1" width="11.42578125" customWidth="1" style="251" min="22" max="22"/>
    <col width="14.140625" customWidth="1" style="251" min="23" max="23"/>
    <col width="13" customWidth="1" style="251" min="24" max="24"/>
    <col width="13" customWidth="1" style="251" min="25" max="25"/>
    <col width="13" customWidth="1" style="251" min="26" max="26"/>
    <col width="13" customWidth="1" style="251" min="27" max="27"/>
    <col width="13" customWidth="1" style="251" min="28" max="28"/>
    <col width="86.85546875" customWidth="1" style="251" min="29" max="29"/>
    <col width="2" customWidth="1" style="251" min="30" max="30"/>
    <col width="14.140625" customWidth="1" style="251" min="31" max="31"/>
    <col width="12.42578125" customWidth="1" style="251" min="32" max="32"/>
    <col width="13.42578125" customWidth="1" style="251" min="33" max="33"/>
    <col width="13" customWidth="1" style="251" min="34" max="34"/>
    <col width="2" customWidth="1" style="251" min="35" max="35"/>
    <col width="6" customWidth="1" style="251" min="36" max="36"/>
    <col width="46" customWidth="1" style="251" min="37" max="37"/>
    <col width="11.5703125" customWidth="1" style="251" min="38" max="38"/>
    <col width="13" customWidth="1" style="251" min="39" max="39"/>
    <col width="13" customWidth="1" style="251" min="40" max="40"/>
    <col width="60" customWidth="1" style="251" min="41" max="41"/>
  </cols>
  <sheetData>
    <row r="1" ht="15" customHeight="1" s="251">
      <c r="AC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Mobility Global Inc. (NYSE: MBGL) — 3-Statement Financial Model</t>
        </is>
      </c>
      <c r="AC2" s="3" t="inlineStr">
        <is>
          <t>Base</t>
        </is>
      </c>
    </row>
    <row r="3" ht="15" customHeight="1" s="251">
      <c r="B3" s="4" t="inlineStr">
        <is>
          <t>US GAAP · USD millions (whole millions as published; per-share data in USD; shares in millions) · calendar fiscal year · Source: Mobility Global Form 10 (information statement, 10-12B/A, 27-May-2026; first draft DRS 23-Oct-2025), Form 10-Q (Q2-26), Form 8-K (earnings release Ex. 99.1 and FY2025 quarterly data Ex. 99.2, 7-Aug-2026; separation 2-Jul-2026), SEC EDGAR CIK 0002090312 ("S&amp;P Global Mobility Holding Co" to Jan-2026); S&amp;P Global Inc. earnings releases (CIK 0000064040) for the Mobility segment memo; investor-relations sites are blocked — the releases are the documents filed on EDGAR</t>
        </is>
      </c>
    </row>
    <row r="4" ht="15" customHeight="1" s="251">
      <c r="B4" s="5" t="inlineStr">
        <is>
          <t>Basis notes: spun off from S&amp;P Global on 1-Jul-2026 (one MBGL share per SPGI share; 294.8m shares). History to 30-Jun-2026 = carve-out (combined) statements incl. S&amp;P Global corporate allocations: FY2023–25 annual, 2025 quarters (Q3/Q4 "unaudited and preliminary"), Q1/Q2-26. Pre-2025 quarters and FY2022 = S&amp;P Global "Mobility" segment memo (revenue comparable within $0–4m; profit not comparable). Segments: CARFAX, B2B (2025 realignment; recast by the company). Acquisition: Market Scan Feb-2023. $2.0bn senior notes (May-2026) funded a $2.0bn dividend to S&amp;P Global. Q3/Q4-26E calibrated to FY26 revenue and Adjusted EBITDA guidance (7-Aug-2026).</t>
        </is>
      </c>
    </row>
    <row r="5" ht="15" customHeight="1" s="251">
      <c r="U5" s="153" t="n"/>
      <c r="V5" s="153" t="n"/>
      <c r="W5" s="153" t="n"/>
      <c r="X5" s="153" t="n"/>
      <c r="Y5" s="153" t="n"/>
      <c r="Z5" s="153" t="n"/>
      <c r="AA5" s="153" t="n"/>
      <c r="AB5" s="153" t="n"/>
      <c r="AE5" s="6" t="inlineStr">
        <is>
          <t>Forecast</t>
        </is>
      </c>
      <c r="AF5" s="6" t="inlineStr">
        <is>
          <t>Historical</t>
        </is>
      </c>
      <c r="AG5" s="6" t="inlineStr">
        <is>
          <t>Historical</t>
        </is>
      </c>
      <c r="AH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2022</v>
      </c>
      <c r="D6" s="8" t="inlineStr">
        <is>
          <t>Q1/23</t>
        </is>
      </c>
      <c r="E6" s="8" t="inlineStr">
        <is>
          <t>Q2/23</t>
        </is>
      </c>
      <c r="F6" s="8" t="inlineStr">
        <is>
          <t>Q3/23</t>
        </is>
      </c>
      <c r="G6" s="8" t="inlineStr">
        <is>
          <t>Q4/23</t>
        </is>
      </c>
      <c r="H6" s="8" t="n">
        <v>2023</v>
      </c>
      <c r="I6" s="8" t="inlineStr">
        <is>
          <t>Q1/24</t>
        </is>
      </c>
      <c r="J6" s="8" t="inlineStr">
        <is>
          <t>Q2/24</t>
        </is>
      </c>
      <c r="K6" s="8" t="inlineStr">
        <is>
          <t>Q3/24</t>
        </is>
      </c>
      <c r="L6" s="8" t="inlineStr">
        <is>
          <t>Q4/24</t>
        </is>
      </c>
      <c r="M6" s="8" t="n">
        <v>2024</v>
      </c>
      <c r="N6" s="8" t="inlineStr">
        <is>
          <t>Q1/25</t>
        </is>
      </c>
      <c r="O6" s="8" t="inlineStr">
        <is>
          <t>Q2/25</t>
        </is>
      </c>
      <c r="P6" s="8" t="inlineStr">
        <is>
          <t>Q3/25</t>
        </is>
      </c>
      <c r="Q6" s="8" t="inlineStr">
        <is>
          <t>Q4/25</t>
        </is>
      </c>
      <c r="R6" s="8" t="n">
        <v>2025</v>
      </c>
      <c r="S6" s="8" t="inlineStr">
        <is>
          <t>Q1/26</t>
        </is>
      </c>
      <c r="T6" s="8" t="inlineStr">
        <is>
          <t>Q2/26</t>
        </is>
      </c>
      <c r="U6" s="8" t="inlineStr">
        <is>
          <t>Q3/26E</t>
        </is>
      </c>
      <c r="V6" s="8" t="inlineStr">
        <is>
          <t>Q4/26E</t>
        </is>
      </c>
      <c r="W6" s="8" t="inlineStr">
        <is>
          <t>2026E</t>
        </is>
      </c>
      <c r="X6" s="8" t="inlineStr">
        <is>
          <t>2027E</t>
        </is>
      </c>
      <c r="Y6" s="8" t="inlineStr">
        <is>
          <t>2028E</t>
        </is>
      </c>
      <c r="Z6" s="8" t="inlineStr">
        <is>
          <t>2029E</t>
        </is>
      </c>
      <c r="AA6" s="8" t="inlineStr">
        <is>
          <t>2030E</t>
        </is>
      </c>
      <c r="AB6" s="8" t="inlineStr">
        <is>
          <t>2031E</t>
        </is>
      </c>
      <c r="AC6" s="8" t="inlineStr">
        <is>
          <t>Modelling Notes</t>
        </is>
      </c>
      <c r="AE6" s="6" t="inlineStr">
        <is>
          <t>5Y CAGR</t>
        </is>
      </c>
      <c r="AF6" s="6" t="inlineStr">
        <is>
          <t>2Y CAGR</t>
        </is>
      </c>
      <c r="AG6" s="6" t="inlineStr">
        <is>
          <t>1Y</t>
        </is>
      </c>
      <c r="AH6" s="6" t="inlineStr">
        <is>
          <t>3Y CAGR</t>
        </is>
      </c>
    </row>
    <row r="7" ht="15" customHeight="1" s="251">
      <c r="AE7" s="9" t="inlineStr">
        <is>
          <t>26-'31</t>
        </is>
      </c>
      <c r="AF7" s="9" t="inlineStr">
        <is>
          <t>23-'25</t>
        </is>
      </c>
      <c r="AG7" s="9" t="inlineStr">
        <is>
          <t>24-'25</t>
        </is>
      </c>
      <c r="AH7" s="9" t="inlineStr">
        <is>
          <t>22-'25</t>
        </is>
      </c>
    </row>
    <row r="8" ht="15" customHeight="1" s="251">
      <c r="B8" s="10" t="inlineStr">
        <is>
          <t>SEGMENT P&amp;L — CARFAX · B2B · CORPORATE (revenue × Segment Adjusted EBITDA margin)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inlineStr">
        <is>
          <t>SEGMENT BUILD — modelling logic (segment revenue → Segment Adjusted EBITDA margin → Adjusted EBITDA → GAAP P&amp;L). Carve-out basis to 30-Jun-2026; consolidated from Q3-26.</t>
        </is>
      </c>
    </row>
    <row r="9" ht="15" customHeight="1" s="251">
      <c r="AK9" s="11" t="inlineStr">
        <is>
          <t>SCENARIO INPUT TABLE — driver assumptions per Bull / Base / Bear</t>
        </is>
      </c>
      <c r="AL9" s="12" t="inlineStr">
        <is>
          <t>Bull</t>
        </is>
      </c>
      <c r="AM9" s="12" t="inlineStr">
        <is>
          <t>Base</t>
        </is>
      </c>
      <c r="AN9" s="12" t="inlineStr">
        <is>
          <t>Bear</t>
        </is>
      </c>
      <c r="AO9" s="13" t="inlineStr">
        <is>
          <t>Bull / Bear = Base + Δ (Δ inputs on each block header). Outlook block = high / mid / low end of the FY26 guidance ranges.</t>
        </is>
      </c>
    </row>
    <row r="10" ht="15" customHeight="1" s="251">
      <c r="B10" s="14" t="inlineStr">
        <is>
          <t>CARFAX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5" t="inlineStr">
        <is>
          <t>CFX — modelling logic</t>
        </is>
      </c>
    </row>
    <row r="11" ht="15" customHeight="1" s="251">
      <c r="B11" s="16" t="inlineStr">
        <is>
          <t xml:space="preserve">  Segment revenue</t>
        </is>
      </c>
      <c r="C11" s="43" t="n"/>
      <c r="D11" s="43" t="n"/>
      <c r="E11" s="43" t="n"/>
      <c r="F11" s="43" t="n"/>
      <c r="G11" s="43" t="n"/>
      <c r="H11" s="253" t="n">
        <v>928</v>
      </c>
      <c r="I11" s="43" t="n"/>
      <c r="J11" s="43" t="n"/>
      <c r="K11" s="43" t="n"/>
      <c r="L11" s="43" t="n"/>
      <c r="M11" s="253" t="n">
        <v>1039</v>
      </c>
      <c r="N11" s="253" t="n">
        <v>275</v>
      </c>
      <c r="O11" s="253" t="n">
        <v>289</v>
      </c>
      <c r="P11" s="253" t="n">
        <v>291</v>
      </c>
      <c r="Q11" s="253" t="n">
        <v>287</v>
      </c>
      <c r="R11" s="253" t="n">
        <v>1142</v>
      </c>
      <c r="S11" s="253" t="n">
        <v>298</v>
      </c>
      <c r="T11" s="253" t="n">
        <v>312</v>
      </c>
      <c r="U11" s="254">
        <f>P11*(1+U12)</f>
        <v>313.839111716597</v>
      </c>
      <c r="V11" s="254">
        <f>Q11*(1+V12)</f>
        <v>309.525172036644</v>
      </c>
      <c r="W11" s="254">
        <f>SUM(S11:V11)</f>
        <v>1233.36428375324</v>
      </c>
      <c r="X11" s="254">
        <f>W11*(1+X12)</f>
        <v>1332.0334264535</v>
      </c>
      <c r="Y11" s="254">
        <f>X11*(1+Y12)</f>
        <v>1435.93203371687</v>
      </c>
      <c r="Z11" s="254">
        <f>Y11*(1+Z12)</f>
        <v>1543.62693624564</v>
      </c>
      <c r="AA11" s="254">
        <f>Z11*(1+AA12)</f>
        <v>1654.76807565532</v>
      </c>
      <c r="AB11" s="254">
        <f>AA11*(1+AB12)</f>
        <v>1770.6018409512</v>
      </c>
      <c r="AC11" s="153" t="inlineStr">
        <is>
          <t>Carve-out segment revenue as published (Form 10 MD&amp;A FY2023–25, Q1-25 / Q1-26; 10-Q / release Q2; FY2025 quarterly data Ex. 99.2 for Q3-25 / Q4-25). Q3/Q4-26E: prior-year quarter × (1 + growth). 2027E+: prior year × (1 + scenario lever).</t>
        </is>
      </c>
      <c r="AE11" s="20">
        <f>IFERROR((AB11/W11)^(1/5)-1,"n/m")</f>
        <v>0.0749936743803847</v>
      </c>
      <c r="AF11" s="20">
        <f>IFERROR((R11/H11)^(1/2)-1,"n/m")</f>
        <v>0.109325672774169</v>
      </c>
      <c r="AG11" s="20">
        <f>IFERROR(R11/M11-1,"n/m")</f>
        <v>0.0991337824831569</v>
      </c>
      <c r="AH11" s="20" t="str">
        <f>IFERROR((R11/C11)^(1/3)-1,"n/m")</f>
        <v>n/m</v>
      </c>
      <c r="AK11" s="15" t="inlineStr">
        <is>
          <t>FY26 outlook — Q2-26 release (7-Aug-2026)</t>
        </is>
      </c>
      <c r="AL11" s="21" t="inlineStr">
        <is>
          <t>High</t>
        </is>
      </c>
      <c r="AM11" s="21" t="inlineStr">
        <is>
          <t>Mid</t>
        </is>
      </c>
      <c r="AN11" s="21" t="inlineStr">
        <is>
          <t>Low</t>
        </is>
      </c>
      <c r="AO11" s="13" t="inlineStr">
        <is>
          <t>First guidance as a public company: revenue $1,870–1,885m (+6.9–7.7%), Adjusted EBITDA $745–760m (~40% margin); 1H carve-out + 2H consolidated. No EPS / interest / tax / capex / FCF guidance. "Medium-term financial targets" referenced in the release are not filed on EDGAR (unverified; not used).</t>
        </is>
      </c>
    </row>
    <row r="12" ht="15" customHeight="1" s="251">
      <c r="B12" s="22" t="inlineStr">
        <is>
          <t xml:space="preserve">    y/y %</t>
        </is>
      </c>
      <c r="C12" s="23" t="n"/>
      <c r="D12" s="23" t="n"/>
      <c r="E12" s="23" t="n"/>
      <c r="F12" s="23" t="n"/>
      <c r="G12" s="23" t="n"/>
      <c r="H12" s="255">
        <f>IF(AND(ISNUMBER(H11),ISNUMBER(C11)),IFERROR(H11/C11-1,""),"")</f>
      </c>
      <c r="I12" s="255">
        <f>IF(AND(ISNUMBER(I11),ISNUMBER(D11)),IFERROR(I11/D11-1,""),"")</f>
      </c>
      <c r="J12" s="255">
        <f>IF(AND(ISNUMBER(J11),ISNUMBER(E11)),IFERROR(J11/E11-1,""),"")</f>
      </c>
      <c r="K12" s="255">
        <f>IF(AND(ISNUMBER(K11),ISNUMBER(F11)),IFERROR(K11/F11-1,""),"")</f>
      </c>
      <c r="L12" s="255">
        <f>IF(AND(ISNUMBER(L11),ISNUMBER(G11)),IFERROR(L11/G11-1,""),"")</f>
      </c>
      <c r="M12" s="255">
        <f>IF(AND(ISNUMBER(M11),ISNUMBER(H11)),IFERROR(M11/H11-1,""),"")</f>
        <v>0.119612068965517</v>
      </c>
      <c r="N12" s="255">
        <f>IF(AND(ISNUMBER(N11),ISNUMBER(I11)),IFERROR(N11/I11-1,""),"")</f>
      </c>
      <c r="O12" s="255">
        <f>IF(AND(ISNUMBER(O11),ISNUMBER(J11)),IFERROR(O11/J11-1,""),"")</f>
      </c>
      <c r="P12" s="255">
        <f>IF(AND(ISNUMBER(P11),ISNUMBER(K11)),IFERROR(P11/K11-1,""),"")</f>
      </c>
      <c r="Q12" s="255">
        <f>IF(AND(ISNUMBER(Q11),ISNUMBER(L11)),IFERROR(Q11/L11-1,""),"")</f>
      </c>
      <c r="R12" s="255">
        <f>IF(AND(ISNUMBER(R11),ISNUMBER(M11)),IFERROR(R11/M11-1,""),"")</f>
        <v>0.0991337824831569</v>
      </c>
      <c r="S12" s="255">
        <f>IF(AND(ISNUMBER(S11),ISNUMBER(N11)),IFERROR(S11/N11-1,""),"")</f>
        <v>0.0836363636363637</v>
      </c>
      <c r="T12" s="255">
        <f>IF(AND(ISNUMBER(T11),ISNUMBER(O11)),IFERROR(T11/O11-1,""),"")</f>
        <v>0.0795847750865053</v>
      </c>
      <c r="U12" s="256">
        <f>U13+$U$94</f>
        <v>0.0784849199883058</v>
      </c>
      <c r="V12" s="256">
        <f>V13+$U$94</f>
        <v>0.0784849199883058</v>
      </c>
      <c r="W12" s="256">
        <f>IF(AND(ISNUMBER(W11),ISNUMBER(R11)),IFERROR(W11/R11-1,""),"")</f>
        <v>0.0800037510974085</v>
      </c>
      <c r="X12" s="256">
        <f>CHOOSE(MATCH($AC$2,{"Bull","Base","Bear"},0),$AL$24,$AM$24,$AN$24)</f>
        <v>0.08</v>
      </c>
      <c r="Y12" s="256">
        <f>CHOOSE(MATCH($AC$2,{"Bull","Base","Bear"},0),$AL$25,$AM$25,$AN$25)</f>
        <v>0.078</v>
      </c>
      <c r="Z12" s="256">
        <f>CHOOSE(MATCH($AC$2,{"Bull","Base","Bear"},0),$AL$26,$AM$26,$AN$26)</f>
        <v>0.075</v>
      </c>
      <c r="AA12" s="256">
        <f>CHOOSE(MATCH($AC$2,{"Bull","Base","Bear"},0),$AL$27,$AM$27,$AN$27)</f>
        <v>0.072</v>
      </c>
      <c r="AB12" s="256">
        <f>CHOOSE(MATCH($AC$2,{"Bull","Base","Bear"},0),$AL$28,$AM$28,$AN$28)</f>
        <v>0.07</v>
      </c>
      <c r="AC12" s="153" t="inlineStr">
        <is>
          <t>Q3/Q4-26E: growth before calibration (row below) + revenue-outlook calibration Δ (Group block). 2027E–2031E: scenario lever.</t>
        </is>
      </c>
      <c r="AK12" s="25" t="inlineStr">
        <is>
          <t xml:space="preserve">  FY26 revenue ($m)</t>
        </is>
      </c>
      <c r="AL12" s="257" t="n">
        <v>1885</v>
      </c>
      <c r="AM12" s="257" t="n">
        <v>1877.5</v>
      </c>
      <c r="AN12" s="257" t="n">
        <v>1870</v>
      </c>
      <c r="AO12" s="13" t="inlineStr">
        <is>
          <t>Guided $1,870–1,885m. Drives the Q3/Q4-26E revenue calibration.</t>
        </is>
      </c>
    </row>
    <row r="13" ht="15" customHeight="1" s="251">
      <c r="B13" s="25" t="inlineStr">
        <is>
          <t xml:space="preserve">    Q3/Q4-26E growth before revenue calibration (1H/26 y/y)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256">
        <f>IFERROR((S11+T11)/(N11+O11)-1,0)</f>
        <v>0.0815602836879432</v>
      </c>
      <c r="V13" s="256">
        <f>IFERROR((S11+T11)/(N11+O11)-1,0)</f>
        <v>0.0815602836879432</v>
      </c>
      <c r="W13" s="24" t="n"/>
      <c r="X13" s="46" t="n"/>
      <c r="Y13" s="46" t="n"/>
      <c r="Z13" s="46" t="n"/>
      <c r="AA13" s="46" t="n"/>
      <c r="AB13" s="46" t="n"/>
      <c r="AC13" s="19" t="n"/>
      <c r="AK13" s="25" t="inlineStr">
        <is>
          <t xml:space="preserve">  FY26 Adjusted EBITDA ($m)</t>
        </is>
      </c>
      <c r="AL13" s="257" t="n">
        <v>760</v>
      </c>
      <c r="AM13" s="257" t="n">
        <v>752.5</v>
      </c>
      <c r="AN13" s="257" t="n">
        <v>745</v>
      </c>
      <c r="AO13" s="13" t="inlineStr">
        <is>
          <t>Guided $745–760m. Drives the Q3/Q4-26E segment-margin calibration.</t>
        </is>
      </c>
    </row>
    <row r="14" ht="15" customHeight="1" s="251">
      <c r="B14" s="25" t="inlineStr">
        <is>
          <t xml:space="preserve">    Subscription revenue</t>
        </is>
      </c>
      <c r="C14" s="34" t="n"/>
      <c r="D14" s="34" t="n"/>
      <c r="E14" s="34" t="n"/>
      <c r="F14" s="34" t="n"/>
      <c r="G14" s="34" t="n"/>
      <c r="H14" s="258" t="n">
        <v>748</v>
      </c>
      <c r="I14" s="34" t="n"/>
      <c r="J14" s="34" t="n"/>
      <c r="K14" s="34" t="n"/>
      <c r="L14" s="34" t="n"/>
      <c r="M14" s="258" t="n">
        <v>843</v>
      </c>
      <c r="N14" s="258" t="n">
        <v>225</v>
      </c>
      <c r="O14" s="258" t="n">
        <v>234</v>
      </c>
      <c r="P14" s="258" t="n">
        <v>235</v>
      </c>
      <c r="Q14" s="258" t="n">
        <v>233</v>
      </c>
      <c r="R14" s="258" t="n">
        <v>927</v>
      </c>
      <c r="S14" s="258" t="n">
        <v>242</v>
      </c>
      <c r="T14" s="258" t="n">
        <v>252</v>
      </c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19" t="n"/>
      <c r="AK14" s="25" t="inlineStr">
        <is>
          <t xml:space="preserve">  2H/26 share repurchases ($m)</t>
        </is>
      </c>
      <c r="AL14" s="257" t="n">
        <v>0</v>
      </c>
      <c r="AM14" s="257" t="n">
        <v>0</v>
      </c>
      <c r="AN14" s="257" t="n">
        <v>0</v>
      </c>
      <c r="AO14" s="13" t="inlineStr">
        <is>
          <t>No repurchase authorization announced (10-Q, 8-Ks). Dividend $0.06 a quarter.</t>
        </is>
      </c>
    </row>
    <row r="15" ht="15" customHeight="1" s="251">
      <c r="B15" s="25" t="inlineStr">
        <is>
          <t xml:space="preserve">    Non-subscription revenue</t>
        </is>
      </c>
      <c r="C15" s="34" t="n"/>
      <c r="D15" s="34" t="n"/>
      <c r="E15" s="34" t="n"/>
      <c r="F15" s="34" t="n"/>
      <c r="G15" s="34" t="n"/>
      <c r="H15" s="258" t="n">
        <v>180</v>
      </c>
      <c r="I15" s="34" t="n"/>
      <c r="J15" s="34" t="n"/>
      <c r="K15" s="34" t="n"/>
      <c r="L15" s="34" t="n"/>
      <c r="M15" s="258" t="n">
        <v>196</v>
      </c>
      <c r="N15" s="258" t="n">
        <v>50</v>
      </c>
      <c r="O15" s="258" t="n">
        <v>55</v>
      </c>
      <c r="P15" s="258" t="n">
        <v>56</v>
      </c>
      <c r="Q15" s="258" t="n">
        <v>54</v>
      </c>
      <c r="R15" s="258" t="n">
        <v>215</v>
      </c>
      <c r="S15" s="258" t="n">
        <v>56</v>
      </c>
      <c r="T15" s="258" t="n">
        <v>60</v>
      </c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19" t="n"/>
    </row>
    <row r="16" ht="15" customHeight="1" s="251">
      <c r="B16" s="25" t="inlineStr">
        <is>
          <t xml:space="preserve">    Subscription % of segment revenue</t>
        </is>
      </c>
      <c r="C16" s="215">
        <f>IF(AND(ISNUMBER(C14),ISNUMBER(C11)),IFERROR(C14/C11,""),"")</f>
      </c>
      <c r="D16" s="215">
        <f>IF(AND(ISNUMBER(D14),ISNUMBER(D11)),IFERROR(D14/D11,""),"")</f>
      </c>
      <c r="E16" s="215">
        <f>IF(AND(ISNUMBER(E14),ISNUMBER(E11)),IFERROR(E14/E11,""),"")</f>
      </c>
      <c r="F16" s="215">
        <f>IF(AND(ISNUMBER(F14),ISNUMBER(F11)),IFERROR(F14/F11,""),"")</f>
      </c>
      <c r="G16" s="215">
        <f>IF(AND(ISNUMBER(G14),ISNUMBER(G11)),IFERROR(G14/G11,""),"")</f>
      </c>
      <c r="H16" s="215">
        <f>IF(AND(ISNUMBER(H14),ISNUMBER(H11)),IFERROR(H14/H11,""),"")</f>
        <v>0.806034482758621</v>
      </c>
      <c r="I16" s="215">
        <f>IF(AND(ISNUMBER(I14),ISNUMBER(I11)),IFERROR(I14/I11,""),"")</f>
      </c>
      <c r="J16" s="215">
        <f>IF(AND(ISNUMBER(J14),ISNUMBER(J11)),IFERROR(J14/J11,""),"")</f>
      </c>
      <c r="K16" s="215">
        <f>IF(AND(ISNUMBER(K14),ISNUMBER(K11)),IFERROR(K14/K11,""),"")</f>
      </c>
      <c r="L16" s="215">
        <f>IF(AND(ISNUMBER(L14),ISNUMBER(L11)),IFERROR(L14/L11,""),"")</f>
      </c>
      <c r="M16" s="215">
        <f>IF(AND(ISNUMBER(M14),ISNUMBER(M11)),IFERROR(M14/M11,""),"")</f>
        <v>0.811357074109721</v>
      </c>
      <c r="N16" s="215">
        <f>IF(AND(ISNUMBER(N14),ISNUMBER(N11)),IFERROR(N14/N11,""),"")</f>
        <v>0.818181818181818</v>
      </c>
      <c r="O16" s="215">
        <f>IF(AND(ISNUMBER(O14),ISNUMBER(O11)),IFERROR(O14/O11,""),"")</f>
        <v>0.809688581314879</v>
      </c>
      <c r="P16" s="215">
        <f>IF(AND(ISNUMBER(P14),ISNUMBER(P11)),IFERROR(P14/P11,""),"")</f>
        <v>0.807560137457045</v>
      </c>
      <c r="Q16" s="215">
        <f>IF(AND(ISNUMBER(Q14),ISNUMBER(Q11)),IFERROR(Q14/Q11,""),"")</f>
        <v>0.81184668989547</v>
      </c>
      <c r="R16" s="215">
        <f>IF(AND(ISNUMBER(R14),ISNUMBER(R11)),IFERROR(R14/R11,""),"")</f>
        <v>0.811733800350263</v>
      </c>
      <c r="S16" s="215">
        <f>IF(AND(ISNUMBER(S14),ISNUMBER(S11)),IFERROR(S14/S11,""),"")</f>
        <v>0.812080536912752</v>
      </c>
      <c r="T16" s="215">
        <f>IF(AND(ISNUMBER(T14),ISNUMBER(T11)),IFERROR(T14/T11,""),"")</f>
        <v>0.807692307692308</v>
      </c>
      <c r="U16" s="256">
        <f>IF(AND(ISNUMBER(U14),ISNUMBER(U11)),IFERROR(U14/U11,""),"")</f>
      </c>
      <c r="V16" s="256">
        <f>IF(AND(ISNUMBER(V14),ISNUMBER(V11)),IFERROR(V14/V11,""),"")</f>
      </c>
      <c r="W16" s="256">
        <f>IF(AND(ISNUMBER(W14),ISNUMBER(W11)),IFERROR(W14/W11,""),"")</f>
      </c>
      <c r="X16" s="256">
        <f>IF(AND(ISNUMBER(X14),ISNUMBER(X11)),IFERROR(X14/X11,""),"")</f>
      </c>
      <c r="Y16" s="256">
        <f>IF(AND(ISNUMBER(Y14),ISNUMBER(Y11)),IFERROR(Y14/Y11,""),"")</f>
      </c>
      <c r="Z16" s="256">
        <f>IF(AND(ISNUMBER(Z14),ISNUMBER(Z11)),IFERROR(Z14/Z11,""),"")</f>
      </c>
      <c r="AA16" s="256">
        <f>IF(AND(ISNUMBER(AA14),ISNUMBER(AA11)),IFERROR(AA14/AA11,""),"")</f>
      </c>
      <c r="AB16" s="256">
        <f>IF(AND(ISNUMBER(AB14),ISNUMBER(AB11)),IFERROR(AB14/AB11,""),"")</f>
      </c>
      <c r="AC16" s="153" t="n"/>
      <c r="AE16" s="37" t="str">
        <f>IFERROR(AVERAGE(X16,Y16,Z16,AA16,AB16),"n/m")</f>
        <v>n/m</v>
      </c>
      <c r="AF16" s="37">
        <f>IFERROR(AVERAGE(H16,M16,R16),"n/m")</f>
        <v>0.809708452406201</v>
      </c>
      <c r="AG16" s="37">
        <f>IFERROR(AVERAGE(M16,R16),"n/m")</f>
        <v>0.811545437229992</v>
      </c>
      <c r="AH16" s="37">
        <f>IFERROR(AVERAGE(C16,H16,M16,R16),"n/m")</f>
        <v>0.809708452406201</v>
      </c>
      <c r="AK16" s="15" t="inlineStr">
        <is>
          <t>FY26 point estimates (all cases; not guided — assumptions unless stated)</t>
        </is>
      </c>
      <c r="AL16" s="21" t="n"/>
      <c r="AM16" s="21" t="n"/>
      <c r="AN16" s="21" t="n"/>
    </row>
    <row r="17" ht="15" customHeight="1" s="251">
      <c r="B17" s="156" t="inlineStr">
        <is>
          <t xml:space="preserve">    International revenue (memo)</t>
        </is>
      </c>
      <c r="C17" s="34" t="n"/>
      <c r="D17" s="34" t="n"/>
      <c r="E17" s="34" t="n"/>
      <c r="F17" s="34" t="n"/>
      <c r="G17" s="34" t="n"/>
      <c r="H17" s="258" t="n">
        <v>137</v>
      </c>
      <c r="I17" s="34" t="n"/>
      <c r="J17" s="34" t="n"/>
      <c r="K17" s="34" t="n"/>
      <c r="L17" s="34" t="n"/>
      <c r="M17" s="258" t="n">
        <v>155</v>
      </c>
      <c r="N17" s="258" t="n">
        <v>39</v>
      </c>
      <c r="O17" s="258" t="n">
        <v>43</v>
      </c>
      <c r="P17" s="34" t="n"/>
      <c r="Q17" s="34" t="n"/>
      <c r="R17" s="258" t="n">
        <v>168</v>
      </c>
      <c r="S17" s="258" t="n">
        <v>45</v>
      </c>
      <c r="T17" s="258" t="n">
        <v>47</v>
      </c>
      <c r="U17" s="153" t="n"/>
      <c r="V17" s="153" t="n"/>
      <c r="W17" s="153" t="n"/>
      <c r="X17" s="153" t="n"/>
      <c r="Y17" s="153" t="n"/>
      <c r="Z17" s="153" t="n"/>
      <c r="AA17" s="153" t="n"/>
      <c r="AB17" s="153" t="n"/>
      <c r="AC17" s="153" t="n"/>
      <c r="AK17" s="25" t="inlineStr">
        <is>
          <t xml:space="preserve">  2H/26 interest expense, net ($m)</t>
        </is>
      </c>
      <c r="AM17" s="257" t="n">
        <v>54</v>
      </c>
      <c r="AO17" s="13" t="inlineStr">
        <is>
          <t>Assumption: coupons on $2.0bn notes $27.7m a quarter + ~$0.8m accretion/fees − interest on ~$250m cash. Form 10 pro forma: $114m p.a. gross (5.74% incl. amortization).</t>
        </is>
      </c>
    </row>
    <row r="18" ht="15" customHeight="1" s="251">
      <c r="B18" s="16" t="inlineStr">
        <is>
          <t xml:space="preserve">  Segment Adjusted EBITDA</t>
        </is>
      </c>
      <c r="C18" s="43" t="n"/>
      <c r="D18" s="43" t="n"/>
      <c r="E18" s="43" t="n"/>
      <c r="F18" s="43" t="n"/>
      <c r="G18" s="43" t="n"/>
      <c r="H18" s="253" t="n">
        <v>422</v>
      </c>
      <c r="I18" s="43" t="n"/>
      <c r="J18" s="43" t="n"/>
      <c r="K18" s="43" t="n"/>
      <c r="L18" s="43" t="n"/>
      <c r="M18" s="253" t="n">
        <v>476</v>
      </c>
      <c r="N18" s="253" t="n">
        <v>130</v>
      </c>
      <c r="O18" s="253" t="n">
        <v>142</v>
      </c>
      <c r="P18" s="253" t="n">
        <v>146</v>
      </c>
      <c r="Q18" s="253" t="n">
        <v>118</v>
      </c>
      <c r="R18" s="253" t="n">
        <v>536</v>
      </c>
      <c r="S18" s="253" t="n">
        <v>140</v>
      </c>
      <c r="T18" s="253" t="n">
        <v>153</v>
      </c>
      <c r="U18" s="254">
        <f>U11*U19</f>
        <v>154.694583514249</v>
      </c>
      <c r="V18" s="254">
        <f>V11*V19</f>
        <v>124.535001834357</v>
      </c>
      <c r="W18" s="254">
        <f>SUM(S18:V18)</f>
        <v>572.229585348606</v>
      </c>
      <c r="X18" s="254">
        <f>X11*X19</f>
        <v>639.37604469768</v>
      </c>
      <c r="Y18" s="254">
        <f>Y11*Y19</f>
        <v>696.427036352683</v>
      </c>
      <c r="Z18" s="254">
        <f>Z11*Z19</f>
        <v>756.377198760363</v>
      </c>
      <c r="AA18" s="254">
        <f>AA11*AA19</f>
        <v>819.110197449386</v>
      </c>
      <c r="AB18" s="254">
        <f>AB11*AB19</f>
        <v>885.300920475599</v>
      </c>
      <c r="AC18" s="153" t="inlineStr">
        <is>
          <t>Company measure: segment operating profit + D&amp;A + SBC + transaction costs + severance &amp; other. Forecast = revenue × margin.</t>
        </is>
      </c>
      <c r="AE18" s="20">
        <f>IFERROR((AB18/W18)^(1/5)-1,"n/m")</f>
        <v>0.0911994076915301</v>
      </c>
      <c r="AF18" s="20">
        <f>IFERROR((R18/H18)^(1/2)-1,"n/m")</f>
        <v>0.127005847409314</v>
      </c>
      <c r="AG18" s="20">
        <f>IFERROR(R18/M18-1,"n/m")</f>
        <v>0.126050420168067</v>
      </c>
      <c r="AH18" s="20" t="str">
        <f>IFERROR((R18/C18)^(1/3)-1,"n/m")</f>
        <v>n/m</v>
      </c>
      <c r="AK18" s="25" t="inlineStr">
        <is>
          <t xml:space="preserve">  2H/26 effective tax rate</t>
        </is>
      </c>
      <c r="AM18" s="259" t="n">
        <v>0.29</v>
      </c>
      <c r="AO18" s="13" t="inlineStr">
        <is>
          <t>Assumption: 1H/26 29.4% (Q2 29.3%); not guided.</t>
        </is>
      </c>
    </row>
    <row r="19" ht="15" customHeight="1" s="251">
      <c r="B19" s="25" t="inlineStr">
        <is>
          <t xml:space="preserve">    Segment Adjusted EBITDA margin %</t>
        </is>
      </c>
      <c r="C19" s="215">
        <f>IF(AND(ISNUMBER(C18),ISNUMBER(C11)),IFERROR(C18/C11,""),"")</f>
      </c>
      <c r="D19" s="215">
        <f>IF(AND(ISNUMBER(D18),ISNUMBER(D11)),IFERROR(D18/D11,""),"")</f>
      </c>
      <c r="E19" s="215">
        <f>IF(AND(ISNUMBER(E18),ISNUMBER(E11)),IFERROR(E18/E11,""),"")</f>
      </c>
      <c r="F19" s="215">
        <f>IF(AND(ISNUMBER(F18),ISNUMBER(F11)),IFERROR(F18/F11,""),"")</f>
      </c>
      <c r="G19" s="215">
        <f>IF(AND(ISNUMBER(G18),ISNUMBER(G11)),IFERROR(G18/G11,""),"")</f>
      </c>
      <c r="H19" s="215">
        <f>IF(AND(ISNUMBER(H18),ISNUMBER(H11)),IFERROR(H18/H11,""),"")</f>
        <v>0.454741379310345</v>
      </c>
      <c r="I19" s="215">
        <f>IF(AND(ISNUMBER(I18),ISNUMBER(I11)),IFERROR(I18/I11,""),"")</f>
      </c>
      <c r="J19" s="215">
        <f>IF(AND(ISNUMBER(J18),ISNUMBER(J11)),IFERROR(J18/J11,""),"")</f>
      </c>
      <c r="K19" s="215">
        <f>IF(AND(ISNUMBER(K18),ISNUMBER(K11)),IFERROR(K18/K11,""),"")</f>
      </c>
      <c r="L19" s="215">
        <f>IF(AND(ISNUMBER(L18),ISNUMBER(L11)),IFERROR(L18/L11,""),"")</f>
      </c>
      <c r="M19" s="215">
        <f>IF(AND(ISNUMBER(M18),ISNUMBER(M11)),IFERROR(M18/M11,""),"")</f>
        <v>0.458132820019249</v>
      </c>
      <c r="N19" s="215">
        <f>IF(AND(ISNUMBER(N18),ISNUMBER(N11)),IFERROR(N18/N11,""),"")</f>
        <v>0.472727272727273</v>
      </c>
      <c r="O19" s="215">
        <f>IF(AND(ISNUMBER(O18),ISNUMBER(O11)),IFERROR(O18/O11,""),"")</f>
        <v>0.491349480968858</v>
      </c>
      <c r="P19" s="215">
        <f>IF(AND(ISNUMBER(P18),ISNUMBER(P11)),IFERROR(P18/P11,""),"")</f>
        <v>0.501718213058419</v>
      </c>
      <c r="Q19" s="215">
        <f>IF(AND(ISNUMBER(Q18),ISNUMBER(Q11)),IFERROR(Q18/Q11,""),"")</f>
        <v>0.411149825783972</v>
      </c>
      <c r="R19" s="215">
        <f>IF(AND(ISNUMBER(R18),ISNUMBER(R11)),IFERROR(R18/R11,""),"")</f>
        <v>0.469352014010508</v>
      </c>
      <c r="S19" s="215">
        <f>IF(AND(ISNUMBER(S18),ISNUMBER(S11)),IFERROR(S18/S11,""),"")</f>
        <v>0.469798657718121</v>
      </c>
      <c r="T19" s="215">
        <f>IF(AND(ISNUMBER(T18),ISNUMBER(T11)),IFERROR(T18/T11,""),"")</f>
        <v>0.490384615384615</v>
      </c>
      <c r="U19" s="256">
        <f>U20+$U$98</f>
        <v>0.492910468259104</v>
      </c>
      <c r="V19" s="256">
        <f>V20+$U$98</f>
        <v>0.402342080984657</v>
      </c>
      <c r="W19" s="256">
        <f>IF(AND(ISNUMBER(W18),ISNUMBER(W11)),IFERROR(W18/W11,""),"")</f>
        <v>0.463958291063253</v>
      </c>
      <c r="X19" s="256">
        <f>CHOOSE(MATCH($AC$2,{"Bull","Base","Bear"},0),$AL$36,$AM$36,$AN$36)</f>
        <v>0.48</v>
      </c>
      <c r="Y19" s="256">
        <f>CHOOSE(MATCH($AC$2,{"Bull","Base","Bear"},0),$AL$37,$AM$37,$AN$37)</f>
        <v>0.485</v>
      </c>
      <c r="Z19" s="256">
        <f>CHOOSE(MATCH($AC$2,{"Bull","Base","Bear"},0),$AL$38,$AM$38,$AN$38)</f>
        <v>0.49</v>
      </c>
      <c r="AA19" s="256">
        <f>CHOOSE(MATCH($AC$2,{"Bull","Base","Bear"},0),$AL$39,$AM$39,$AN$39)</f>
        <v>0.495</v>
      </c>
      <c r="AB19" s="256">
        <f>CHOOSE(MATCH($AC$2,{"Bull","Base","Bear"},0),$AL$40,$AM$40,$AN$40)</f>
        <v>0.5</v>
      </c>
      <c r="AC19" s="153" t="inlineStr">
        <is>
          <t>Q3/Q4-26E: margin before calibration + Adjusted-EBITDA-outlook calibration Δ. 2027E–2031E: scenario lever.</t>
        </is>
      </c>
      <c r="AE19" s="37">
        <f>IFERROR(AVERAGE(X19,Y19,Z19,AA19,AB19),"n/m")</f>
        <v>0.49</v>
      </c>
      <c r="AF19" s="37">
        <f>IFERROR(AVERAGE(H19,M19,R19),"n/m")</f>
        <v>0.460742071113367</v>
      </c>
      <c r="AG19" s="37">
        <f>IFERROR(AVERAGE(M19,R19),"n/m")</f>
        <v>0.463742417014879</v>
      </c>
      <c r="AH19" s="37">
        <f>IFERROR(AVERAGE(C19,H19,M19,R19),"n/m")</f>
        <v>0.460742071113367</v>
      </c>
      <c r="AK19" s="25" t="inlineStr">
        <is>
          <t xml:space="preserve">  FY26 capital expenditures ($m)</t>
        </is>
      </c>
      <c r="AM19" s="257" t="n">
        <v>26</v>
      </c>
      <c r="AO19" s="13" t="inlineStr">
        <is>
          <t>Assumption: 1H/26 $12m; FY2025 $24m.</t>
        </is>
      </c>
    </row>
    <row r="20" ht="15" customHeight="1" s="251">
      <c r="B20" s="25" t="inlineStr">
        <is>
          <t xml:space="preserve">    Q3/Q4-26E margin before calibration (prior-year quarter + 1H/26 y/y drift)</t>
        </is>
      </c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256">
        <f>P19+((S18+T18)/(S11+T11)-(N18+O18)/(N11+O11))</f>
        <v>0.499776578364779</v>
      </c>
      <c r="V20" s="256">
        <f>Q19+((S18+T18)/(S11+T11)-(N18+O18)/(N11+O11))</f>
        <v>0.409208191090332</v>
      </c>
      <c r="W20" s="24" t="n"/>
      <c r="X20" s="46" t="n"/>
      <c r="Y20" s="46" t="n"/>
      <c r="Z20" s="46" t="n"/>
      <c r="AA20" s="46" t="n"/>
      <c r="AB20" s="46" t="n"/>
      <c r="AC20" s="19" t="n"/>
    </row>
    <row r="21" ht="15" customHeight="1" s="251">
      <c r="B21" s="156" t="inlineStr">
        <is>
          <t xml:space="preserve">  Segment operating profit (GAAP)</t>
        </is>
      </c>
      <c r="C21" s="34" t="n"/>
      <c r="D21" s="34" t="n"/>
      <c r="E21" s="34" t="n"/>
      <c r="F21" s="34" t="n"/>
      <c r="G21" s="34" t="n"/>
      <c r="H21" s="258" t="n">
        <v>210</v>
      </c>
      <c r="I21" s="34" t="n"/>
      <c r="J21" s="34" t="n"/>
      <c r="K21" s="34" t="n"/>
      <c r="L21" s="34" t="n"/>
      <c r="M21" s="258" t="n">
        <v>259</v>
      </c>
      <c r="N21" s="258" t="n">
        <v>77</v>
      </c>
      <c r="O21" s="258" t="n">
        <v>89</v>
      </c>
      <c r="P21" s="258" t="n">
        <v>92</v>
      </c>
      <c r="Q21" s="258" t="n">
        <v>64</v>
      </c>
      <c r="R21" s="258" t="n">
        <v>322</v>
      </c>
      <c r="S21" s="258" t="n">
        <v>89</v>
      </c>
      <c r="T21" s="258" t="n">
        <v>101</v>
      </c>
      <c r="U21" s="153" t="n"/>
      <c r="V21" s="153" t="n"/>
      <c r="W21" s="153" t="n"/>
      <c r="X21" s="153" t="n"/>
      <c r="Y21" s="153" t="n"/>
      <c r="Z21" s="153" t="n"/>
      <c r="AA21" s="153" t="n"/>
      <c r="AB21" s="153" t="n"/>
      <c r="AC21" s="153" t="n"/>
      <c r="AK21" s="25" t="inlineStr">
        <is>
          <t xml:space="preserve">  Target net debt / Adjusted EBITDA (x) — buyback plug 2027E+</t>
        </is>
      </c>
      <c r="AL21" s="260" t="n">
        <v>2.5</v>
      </c>
      <c r="AM21" s="260" t="n">
        <v>2</v>
      </c>
      <c r="AN21" s="260" t="n">
        <v>1.5</v>
      </c>
      <c r="AO21" s="13" t="inlineStr">
        <is>
          <t>Assumption — no leverage target published. Net debt ~$1.8bn at 30-Jun-26 ≈ 2.5x LTM Adjusted EBITDA ($740m); covenant ≤ 3.50x; notes rated investment grade (change-of-control put on a downgrade below IG). Target = leverage at which surplus cash is returned via buybacks; Bull = more buybacks (higher target).</t>
        </is>
      </c>
    </row>
    <row r="22" ht="15" customHeight="1" s="251">
      <c r="B22" s="156" t="inlineStr">
        <is>
          <t xml:space="preserve">    Segment D&amp;A (memo)</t>
        </is>
      </c>
      <c r="C22" s="34" t="n"/>
      <c r="D22" s="34" t="n"/>
      <c r="E22" s="34" t="n"/>
      <c r="F22" s="34" t="n"/>
      <c r="G22" s="34" t="n"/>
      <c r="H22" s="258" t="n">
        <v>198</v>
      </c>
      <c r="I22" s="34" t="n"/>
      <c r="J22" s="34" t="n"/>
      <c r="K22" s="34" t="n"/>
      <c r="L22" s="34" t="n"/>
      <c r="M22" s="258" t="n">
        <v>199</v>
      </c>
      <c r="N22" s="258" t="n">
        <v>50</v>
      </c>
      <c r="O22" s="258" t="n">
        <v>50</v>
      </c>
      <c r="P22" s="258" t="n">
        <v>50</v>
      </c>
      <c r="Q22" s="258" t="n">
        <v>48</v>
      </c>
      <c r="R22" s="258" t="n">
        <v>198</v>
      </c>
      <c r="S22" s="258" t="n">
        <v>50</v>
      </c>
      <c r="T22" s="258" t="n">
        <v>50</v>
      </c>
      <c r="U22" s="153" t="n"/>
      <c r="V22" s="153" t="n"/>
      <c r="W22" s="153" t="n"/>
      <c r="X22" s="153" t="n"/>
      <c r="Y22" s="153" t="n"/>
      <c r="Z22" s="153" t="n"/>
      <c r="AA22" s="153" t="n"/>
      <c r="AB22" s="153" t="n"/>
      <c r="AC22" s="153" t="n"/>
    </row>
    <row r="23" ht="15" customHeight="1" s="251">
      <c r="B23" s="156" t="inlineStr">
        <is>
          <t xml:space="preserve">    Segment stock-based compensation (memo)</t>
        </is>
      </c>
      <c r="C23" s="34" t="n"/>
      <c r="D23" s="34" t="n"/>
      <c r="E23" s="34" t="n"/>
      <c r="F23" s="34" t="n"/>
      <c r="G23" s="34" t="n"/>
      <c r="H23" s="258" t="n">
        <v>14</v>
      </c>
      <c r="I23" s="34" t="n"/>
      <c r="J23" s="34" t="n"/>
      <c r="K23" s="34" t="n"/>
      <c r="L23" s="34" t="n"/>
      <c r="M23" s="258" t="n">
        <v>18</v>
      </c>
      <c r="N23" s="258" t="n">
        <v>3</v>
      </c>
      <c r="O23" s="258" t="n">
        <v>2</v>
      </c>
      <c r="P23" s="258" t="n">
        <v>4</v>
      </c>
      <c r="Q23" s="258" t="n">
        <v>4</v>
      </c>
      <c r="R23" s="258" t="n">
        <v>13</v>
      </c>
      <c r="S23" s="258" t="n">
        <v>1</v>
      </c>
      <c r="T23" s="258" t="n">
        <v>2</v>
      </c>
      <c r="U23" s="153" t="n"/>
      <c r="V23" s="153" t="n"/>
      <c r="W23" s="153" t="n"/>
      <c r="X23" s="153" t="n"/>
      <c r="Y23" s="153" t="n"/>
      <c r="Z23" s="153" t="n"/>
      <c r="AA23" s="153" t="n"/>
      <c r="AB23" s="153" t="n"/>
      <c r="AC23" s="153" t="n"/>
      <c r="AK23" s="15" t="inlineStr">
        <is>
          <t>CFX_G (CARFAX revenue y/y)</t>
        </is>
      </c>
      <c r="AL23" s="41" t="n">
        <v>0.02</v>
      </c>
      <c r="AM23" s="21" t="inlineStr">
        <is>
          <t>Δ →</t>
        </is>
      </c>
      <c r="AN23" s="41" t="n">
        <v>-0.03</v>
      </c>
      <c r="AO23" s="13" t="inlineStr">
        <is>
          <t>FY2024 +12%, FY2025 +10%, 1H/26 +8%: dealer subscriptions (Advantage, Listings, CARFAX for Life), BIG data customers, Showroom / Homegrown launches, CARFAX Germany.</t>
        </is>
      </c>
    </row>
    <row r="24" ht="15" customHeight="1" s="251">
      <c r="B24" s="156" t="inlineStr">
        <is>
          <t xml:space="preserve">    Segment transaction costs, severance &amp; other items (memo)</t>
        </is>
      </c>
      <c r="C24" s="34" t="n"/>
      <c r="D24" s="34" t="n"/>
      <c r="E24" s="34" t="n"/>
      <c r="F24" s="34" t="n"/>
      <c r="G24" s="34" t="n"/>
      <c r="H24" s="258" t="n">
        <v>0</v>
      </c>
      <c r="I24" s="34" t="n"/>
      <c r="J24" s="34" t="n"/>
      <c r="K24" s="34" t="n"/>
      <c r="L24" s="34" t="n"/>
      <c r="M24" s="258" t="n">
        <v>0</v>
      </c>
      <c r="N24" s="258" t="n">
        <v>0</v>
      </c>
      <c r="O24" s="258" t="n">
        <v>1</v>
      </c>
      <c r="P24" s="258" t="n">
        <v>0</v>
      </c>
      <c r="Q24" s="258" t="n">
        <v>2</v>
      </c>
      <c r="R24" s="258" t="n">
        <v>3</v>
      </c>
      <c r="S24" s="258" t="n">
        <v>0</v>
      </c>
      <c r="T24" s="258" t="n">
        <v>0</v>
      </c>
      <c r="U24" s="153" t="n"/>
      <c r="V24" s="153" t="n"/>
      <c r="W24" s="153" t="n"/>
      <c r="X24" s="153" t="n"/>
      <c r="Y24" s="153" t="n"/>
      <c r="Z24" s="153" t="n"/>
      <c r="AA24" s="153" t="n"/>
      <c r="AB24" s="153" t="n"/>
      <c r="AC24" s="153" t="n"/>
      <c r="AK24" s="25" t="inlineStr">
        <is>
          <t xml:space="preserve">  2027E</t>
        </is>
      </c>
      <c r="AL24" s="33">
        <f>AM24+$AL$23</f>
        <v>0.1</v>
      </c>
      <c r="AM24" s="42" t="n">
        <v>0.08</v>
      </c>
      <c r="AN24" s="33">
        <f>AM24+$AN$23</f>
        <v>0.05</v>
      </c>
    </row>
    <row r="25" ht="15" customHeight="1" s="251">
      <c r="B25" s="57" t="inlineStr">
        <is>
          <t xml:space="preserve">  Check: segment OP + D&amp;A + SBC + items vs Segment Adjusted EBITDA (should be 0; ±1 rounding)</t>
        </is>
      </c>
      <c r="C25" s="211">
        <f>IF(AND(ISNUMBER(C21),ISNUMBER(C18)),IF(ABS(C21+C22+N(C23)+N(C24)-C18)&lt;=1,0,C21+C22+N(C23)+N(C24)-C18),"")</f>
      </c>
      <c r="D25" s="211">
        <f>IF(AND(ISNUMBER(D21),ISNUMBER(D18)),IF(ABS(D21+D22+N(D23)+N(D24)-D18)&lt;=1,0,D21+D22+N(D23)+N(D24)-D18),"")</f>
      </c>
      <c r="E25" s="211">
        <f>IF(AND(ISNUMBER(E21),ISNUMBER(E18)),IF(ABS(E21+E22+N(E23)+N(E24)-E18)&lt;=1,0,E21+E22+N(E23)+N(E24)-E18),"")</f>
      </c>
      <c r="F25" s="211">
        <f>IF(AND(ISNUMBER(F21),ISNUMBER(F18)),IF(ABS(F21+F22+N(F23)+N(F24)-F18)&lt;=1,0,F21+F22+N(F23)+N(F24)-F18),"")</f>
      </c>
      <c r="G25" s="211">
        <f>IF(AND(ISNUMBER(G21),ISNUMBER(G18)),IF(ABS(G21+G22+N(G23)+N(G24)-G18)&lt;=1,0,G21+G22+N(G23)+N(G24)-G18),"")</f>
      </c>
      <c r="H25" s="211">
        <f>IF(AND(ISNUMBER(H21),ISNUMBER(H18)),IF(ABS(H21+H22+N(H23)+N(H24)-H18)&lt;=1,0,H21+H22+N(H23)+N(H24)-H18),"")</f>
        <v>0</v>
      </c>
      <c r="I25" s="211">
        <f>IF(AND(ISNUMBER(I21),ISNUMBER(I18)),IF(ABS(I21+I22+N(I23)+N(I24)-I18)&lt;=1,0,I21+I22+N(I23)+N(I24)-I18),"")</f>
      </c>
      <c r="J25" s="211">
        <f>IF(AND(ISNUMBER(J21),ISNUMBER(J18)),IF(ABS(J21+J22+N(J23)+N(J24)-J18)&lt;=1,0,J21+J22+N(J23)+N(J24)-J18),"")</f>
      </c>
      <c r="K25" s="211">
        <f>IF(AND(ISNUMBER(K21),ISNUMBER(K18)),IF(ABS(K21+K22+N(K23)+N(K24)-K18)&lt;=1,0,K21+K22+N(K23)+N(K24)-K18),"")</f>
      </c>
      <c r="L25" s="211">
        <f>IF(AND(ISNUMBER(L21),ISNUMBER(L18)),IF(ABS(L21+L22+N(L23)+N(L24)-L18)&lt;=1,0,L21+L22+N(L23)+N(L24)-L18),"")</f>
      </c>
      <c r="M25" s="211">
        <f>IF(AND(ISNUMBER(M21),ISNUMBER(M18)),IF(ABS(M21+M22+N(M23)+N(M24)-M18)&lt;=1,0,M21+M22+N(M23)+N(M24)-M18),"")</f>
        <v>0</v>
      </c>
      <c r="N25" s="211">
        <f>IF(AND(ISNUMBER(N21),ISNUMBER(N18)),IF(ABS(N21+N22+N(N23)+N(N24)-N18)&lt;=1,0,N21+N22+N(N23)+N(N24)-N18),"")</f>
        <v>0</v>
      </c>
      <c r="O25" s="211">
        <f>IF(AND(ISNUMBER(O21),ISNUMBER(O18)),IF(ABS(O21+O22+N(O23)+N(O24)-O18)&lt;=1,0,O21+O22+N(O23)+N(O24)-O18),"")</f>
        <v>0</v>
      </c>
      <c r="P25" s="211">
        <f>IF(AND(ISNUMBER(P21),ISNUMBER(P18)),IF(ABS(P21+P22+N(P23)+N(P24)-P18)&lt;=1,0,P21+P22+N(P23)+N(P24)-P18),"")</f>
        <v>0</v>
      </c>
      <c r="Q25" s="211">
        <f>IF(AND(ISNUMBER(Q21),ISNUMBER(Q18)),IF(ABS(Q21+Q22+N(Q23)+N(Q24)-Q18)&lt;=1,0,Q21+Q22+N(Q23)+N(Q24)-Q18),"")</f>
        <v>0</v>
      </c>
      <c r="R25" s="211">
        <f>IF(AND(ISNUMBER(R21),ISNUMBER(R18)),IF(ABS(R21+R22+N(R23)+N(R24)-R18)&lt;=1,0,R21+R22+N(R23)+N(R24)-R18),"")</f>
        <v>0</v>
      </c>
      <c r="S25" s="211">
        <f>IF(AND(ISNUMBER(S21),ISNUMBER(S18)),IF(ABS(S21+S22+N(S23)+N(S24)-S18)&lt;=1,0,S21+S22+N(S23)+N(S24)-S18),"")</f>
        <v>0</v>
      </c>
      <c r="T25" s="211">
        <f>IF(AND(ISNUMBER(T21),ISNUMBER(T18)),IF(ABS(T21+T22+N(T23)+N(T24)-T18)&lt;=1,0,T21+T22+N(T23)+N(T24)-T18),"")</f>
        <v>0</v>
      </c>
      <c r="U25" s="153" t="n"/>
      <c r="V25" s="153" t="n"/>
      <c r="W25" s="153" t="n"/>
      <c r="X25" s="153" t="n"/>
      <c r="Y25" s="153" t="n"/>
      <c r="Z25" s="153" t="n"/>
      <c r="AA25" s="153" t="n"/>
      <c r="AB25" s="153" t="n"/>
      <c r="AC25" s="153" t="n"/>
      <c r="AK25" s="25" t="inlineStr">
        <is>
          <t xml:space="preserve">  2028E</t>
        </is>
      </c>
      <c r="AL25" s="33">
        <f>AM25+$AL$23</f>
        <v>0.098</v>
      </c>
      <c r="AM25" s="42" t="n">
        <v>0.078</v>
      </c>
      <c r="AN25" s="33">
        <f>AM25+$AN$23</f>
        <v>0.048</v>
      </c>
    </row>
    <row r="26" ht="15" customHeight="1" s="251">
      <c r="B26" s="156" t="inlineStr">
        <is>
          <t xml:space="preserve">  Segment Adjusted operating profit (company; Form 10 periods)</t>
        </is>
      </c>
      <c r="C26" s="34" t="n"/>
      <c r="D26" s="34" t="n"/>
      <c r="E26" s="34" t="n"/>
      <c r="F26" s="34" t="n"/>
      <c r="G26" s="34" t="n"/>
      <c r="H26" s="258" t="n">
        <v>400</v>
      </c>
      <c r="I26" s="34" t="n"/>
      <c r="J26" s="34" t="n"/>
      <c r="K26" s="34" t="n"/>
      <c r="L26" s="34" t="n"/>
      <c r="M26" s="258" t="n">
        <v>449</v>
      </c>
      <c r="N26" s="258" t="n">
        <v>124</v>
      </c>
      <c r="O26" s="34" t="n"/>
      <c r="P26" s="34" t="n"/>
      <c r="Q26" s="34" t="n"/>
      <c r="R26" s="258" t="n">
        <v>514</v>
      </c>
      <c r="S26" s="258" t="n">
        <v>136</v>
      </c>
      <c r="T26" s="34" t="n"/>
      <c r="U26" s="153" t="n"/>
      <c r="V26" s="153" t="n"/>
      <c r="W26" s="153" t="n"/>
      <c r="X26" s="153" t="n"/>
      <c r="Y26" s="153" t="n"/>
      <c r="Z26" s="153" t="n"/>
      <c r="AA26" s="153" t="n"/>
      <c r="AB26" s="153" t="n"/>
      <c r="AC26" s="153" t="n"/>
      <c r="AK26" s="25" t="inlineStr">
        <is>
          <t xml:space="preserve">  2029E</t>
        </is>
      </c>
      <c r="AL26" s="33">
        <f>AM26+$AL$23</f>
        <v>0.095</v>
      </c>
      <c r="AM26" s="42" t="n">
        <v>0.075</v>
      </c>
      <c r="AN26" s="33">
        <f>AM26+$AN$23</f>
        <v>0.045</v>
      </c>
    </row>
    <row r="27" ht="15" customHeight="1" s="251">
      <c r="AK27" s="25" t="inlineStr">
        <is>
          <t xml:space="preserve">  2030E</t>
        </is>
      </c>
      <c r="AL27" s="33">
        <f>AM27+$AL$23</f>
        <v>0.092</v>
      </c>
      <c r="AM27" s="42" t="n">
        <v>0.07199999999999999</v>
      </c>
      <c r="AN27" s="33">
        <f>AM27+$AN$23</f>
        <v>0.042</v>
      </c>
    </row>
    <row r="28" ht="15" customHeight="1" s="251">
      <c r="B28" s="14" t="inlineStr">
        <is>
          <t>B2B (automotiveMastermind, Polk Automotive Solutions, Market Scan, OEM &amp; supplier data)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5" t="inlineStr">
        <is>
          <t>B2B — modelling logic</t>
        </is>
      </c>
      <c r="AK28" s="25" t="inlineStr">
        <is>
          <t xml:space="preserve">  2031E</t>
        </is>
      </c>
      <c r="AL28" s="33">
        <f>AM28+$AL$23</f>
        <v>0.09</v>
      </c>
      <c r="AM28" s="42" t="n">
        <v>0.07000000000000001</v>
      </c>
      <c r="AN28" s="33">
        <f>AM28+$AN$23</f>
        <v>0.04</v>
      </c>
    </row>
    <row r="29" ht="15" customHeight="1" s="251">
      <c r="B29" s="16" t="inlineStr">
        <is>
          <t xml:space="preserve">  Segment revenue</t>
        </is>
      </c>
      <c r="C29" s="43" t="n"/>
      <c r="D29" s="43" t="n"/>
      <c r="E29" s="43" t="n"/>
      <c r="F29" s="43" t="n"/>
      <c r="G29" s="43" t="n"/>
      <c r="H29" s="253" t="n">
        <v>557</v>
      </c>
      <c r="I29" s="43" t="n"/>
      <c r="J29" s="43" t="n"/>
      <c r="K29" s="43" t="n"/>
      <c r="L29" s="43" t="n"/>
      <c r="M29" s="253" t="n">
        <v>574</v>
      </c>
      <c r="N29" s="253" t="n">
        <v>145</v>
      </c>
      <c r="O29" s="253" t="n">
        <v>150</v>
      </c>
      <c r="P29" s="253" t="n">
        <v>154</v>
      </c>
      <c r="Q29" s="253" t="n">
        <v>159</v>
      </c>
      <c r="R29" s="253" t="n">
        <v>608</v>
      </c>
      <c r="S29" s="253" t="n">
        <v>157</v>
      </c>
      <c r="T29" s="253" t="n">
        <v>156</v>
      </c>
      <c r="U29" s="254">
        <f>P29*(1+U30)</f>
        <v>162.923004159747</v>
      </c>
      <c r="V29" s="254">
        <f>Q29*(1+V30)</f>
        <v>168.212712087012</v>
      </c>
      <c r="W29" s="254">
        <f>SUM(S29:V29)</f>
        <v>644.135716246759</v>
      </c>
      <c r="X29" s="254">
        <f>W29*(1+X30)</f>
        <v>676.342502059097</v>
      </c>
      <c r="Y29" s="254">
        <f>X29*(1+Y30)</f>
        <v>710.159627162052</v>
      </c>
      <c r="Z29" s="254">
        <f>Y29*(1+Z30)</f>
        <v>742.116810384345</v>
      </c>
      <c r="AA29" s="254">
        <f>Z29*(1+AA30)</f>
        <v>775.51206685164</v>
      </c>
      <c r="AB29" s="254">
        <f>AA29*(1+AB30)</f>
        <v>806.532549525706</v>
      </c>
      <c r="AC29" s="153" t="n"/>
      <c r="AE29" s="20">
        <f>IFERROR((AB29/W29)^(1/5)-1,"n/m")</f>
        <v>0.0459933022976817</v>
      </c>
      <c r="AF29" s="20">
        <f>IFERROR((R29/H29)^(1/2)-1,"n/m")</f>
        <v>0.0447784162006351</v>
      </c>
      <c r="AG29" s="20">
        <f>IFERROR(R29/M29-1,"n/m")</f>
        <v>0.0592334494773519</v>
      </c>
      <c r="AH29" s="20" t="str">
        <f>IFERROR((R29/C29)^(1/3)-1,"n/m")</f>
        <v>n/m</v>
      </c>
      <c r="AK29" s="15" t="inlineStr">
        <is>
          <t>B2B_G (B2B revenue y/y)</t>
        </is>
      </c>
      <c r="AL29" s="41" t="n">
        <v>0.02</v>
      </c>
      <c r="AM29" s="21" t="inlineStr">
        <is>
          <t>Δ →</t>
        </is>
      </c>
      <c r="AN29" s="41" t="n">
        <v>-0.03</v>
      </c>
      <c r="AO29" s="13" t="inlineStr">
        <is>
          <t>FY2024 +3%, FY2025 +6%, 1H/26 +6% (Q2 +4%): OEM / dealer marketing (automotiveMastermind), Polk data, Market Scan; non-subscription (recalls, marketing) cyclical.</t>
        </is>
      </c>
    </row>
    <row r="30" ht="15" customHeight="1" s="251">
      <c r="B30" s="22" t="inlineStr">
        <is>
          <t xml:space="preserve">    y/y %</t>
        </is>
      </c>
      <c r="C30" s="23" t="n"/>
      <c r="D30" s="23" t="n"/>
      <c r="E30" s="23" t="n"/>
      <c r="F30" s="23" t="n"/>
      <c r="G30" s="23" t="n"/>
      <c r="H30" s="255">
        <f>IF(AND(ISNUMBER(H29),ISNUMBER(C29)),IFERROR(H29/C29-1,""),"")</f>
      </c>
      <c r="I30" s="255">
        <f>IF(AND(ISNUMBER(I29),ISNUMBER(D29)),IFERROR(I29/D29-1,""),"")</f>
      </c>
      <c r="J30" s="255">
        <f>IF(AND(ISNUMBER(J29),ISNUMBER(E29)),IFERROR(J29/E29-1,""),"")</f>
      </c>
      <c r="K30" s="255">
        <f>IF(AND(ISNUMBER(K29),ISNUMBER(F29)),IFERROR(K29/F29-1,""),"")</f>
      </c>
      <c r="L30" s="255">
        <f>IF(AND(ISNUMBER(L29),ISNUMBER(G29)),IFERROR(L29/G29-1,""),"")</f>
      </c>
      <c r="M30" s="255">
        <f>IF(AND(ISNUMBER(M29),ISNUMBER(H29)),IFERROR(M29/H29-1,""),"")</f>
        <v>0.0305206463195691</v>
      </c>
      <c r="N30" s="255">
        <f>IF(AND(ISNUMBER(N29),ISNUMBER(I29)),IFERROR(N29/I29-1,""),"")</f>
      </c>
      <c r="O30" s="255">
        <f>IF(AND(ISNUMBER(O29),ISNUMBER(J29)),IFERROR(O29/J29-1,""),"")</f>
      </c>
      <c r="P30" s="255">
        <f>IF(AND(ISNUMBER(P29),ISNUMBER(K29)),IFERROR(P29/K29-1,""),"")</f>
      </c>
      <c r="Q30" s="255">
        <f>IF(AND(ISNUMBER(Q29),ISNUMBER(L29)),IFERROR(Q29/L29-1,""),"")</f>
      </c>
      <c r="R30" s="255">
        <f>IF(AND(ISNUMBER(R29),ISNUMBER(M29)),IFERROR(R29/M29-1,""),"")</f>
        <v>0.0592334494773519</v>
      </c>
      <c r="S30" s="255">
        <f>IF(AND(ISNUMBER(S29),ISNUMBER(N29)),IFERROR(S29/N29-1,""),"")</f>
        <v>0.0827586206896551</v>
      </c>
      <c r="T30" s="255">
        <f>IF(AND(ISNUMBER(T29),ISNUMBER(O29)),IFERROR(T29/O29-1,""),"")</f>
        <v>0.04</v>
      </c>
      <c r="U30" s="256">
        <f>U31+$U$94</f>
        <v>0.0579415854529049</v>
      </c>
      <c r="V30" s="256">
        <f>V31+$U$94</f>
        <v>0.0579415854529049</v>
      </c>
      <c r="W30" s="256">
        <f>IF(AND(ISNUMBER(W29),ISNUMBER(R29)),IFERROR(W29/R29-1,""),"")</f>
        <v>0.0594337438269066</v>
      </c>
      <c r="X30" s="256">
        <f>CHOOSE(MATCH($AC$2,{"Bull","Base","Bear"},0),$AL$30,$AM$30,$AN$30)</f>
        <v>0.05</v>
      </c>
      <c r="Y30" s="256">
        <f>CHOOSE(MATCH($AC$2,{"Bull","Base","Bear"},0),$AL$31,$AM$31,$AN$31)</f>
        <v>0.05</v>
      </c>
      <c r="Z30" s="256">
        <f>CHOOSE(MATCH($AC$2,{"Bull","Base","Bear"},0),$AL$32,$AM$32,$AN$32)</f>
        <v>0.045</v>
      </c>
      <c r="AA30" s="256">
        <f>CHOOSE(MATCH($AC$2,{"Bull","Base","Bear"},0),$AL$33,$AM$33,$AN$33)</f>
        <v>0.045</v>
      </c>
      <c r="AB30" s="256">
        <f>CHOOSE(MATCH($AC$2,{"Bull","Base","Bear"},0),$AL$34,$AM$34,$AN$34)</f>
        <v>0.04</v>
      </c>
      <c r="AC30" s="153" t="n"/>
      <c r="AK30" s="25" t="inlineStr">
        <is>
          <t xml:space="preserve">  2027E</t>
        </is>
      </c>
      <c r="AL30" s="33">
        <f>AM30+$AL$29</f>
        <v>0.07</v>
      </c>
      <c r="AM30" s="42" t="n">
        <v>0.05</v>
      </c>
      <c r="AN30" s="33">
        <f>AM30+$AN$29</f>
        <v>0.02</v>
      </c>
    </row>
    <row r="31" ht="15" customHeight="1" s="251">
      <c r="B31" s="25" t="inlineStr">
        <is>
          <t xml:space="preserve">    Q3/Q4-26E growth before revenue calibration (1H/26 y/y)</t>
        </is>
      </c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256">
        <f>IFERROR((S29+T29)/(N29+O29)-1,0)</f>
        <v>0.0610169491525423</v>
      </c>
      <c r="V31" s="256">
        <f>IFERROR((S29+T29)/(N29+O29)-1,0)</f>
        <v>0.0610169491525423</v>
      </c>
      <c r="W31" s="24" t="n"/>
      <c r="X31" s="46" t="n"/>
      <c r="Y31" s="46" t="n"/>
      <c r="Z31" s="46" t="n"/>
      <c r="AA31" s="46" t="n"/>
      <c r="AB31" s="46" t="n"/>
      <c r="AC31" s="19" t="n"/>
      <c r="AK31" s="25" t="inlineStr">
        <is>
          <t xml:space="preserve">  2028E</t>
        </is>
      </c>
      <c r="AL31" s="33">
        <f>AM31+$AL$29</f>
        <v>0.07</v>
      </c>
      <c r="AM31" s="42" t="n">
        <v>0.05</v>
      </c>
      <c r="AN31" s="33">
        <f>AM31+$AN$29</f>
        <v>0.02</v>
      </c>
    </row>
    <row r="32" ht="15" customHeight="1" s="251">
      <c r="B32" s="25" t="inlineStr">
        <is>
          <t xml:space="preserve">    Subscription revenue</t>
        </is>
      </c>
      <c r="C32" s="34" t="n"/>
      <c r="D32" s="34" t="n"/>
      <c r="E32" s="34" t="n"/>
      <c r="F32" s="34" t="n"/>
      <c r="G32" s="34" t="n"/>
      <c r="H32" s="258" t="n">
        <v>422</v>
      </c>
      <c r="I32" s="34" t="n"/>
      <c r="J32" s="34" t="n"/>
      <c r="K32" s="34" t="n"/>
      <c r="L32" s="34" t="n"/>
      <c r="M32" s="258" t="n">
        <v>460</v>
      </c>
      <c r="N32" s="258" t="n">
        <v>118</v>
      </c>
      <c r="O32" s="258" t="n">
        <v>124</v>
      </c>
      <c r="P32" s="258" t="n">
        <v>127</v>
      </c>
      <c r="Q32" s="258" t="n">
        <v>130</v>
      </c>
      <c r="R32" s="258" t="n">
        <v>499</v>
      </c>
      <c r="S32" s="258" t="n">
        <v>130</v>
      </c>
      <c r="T32" s="258" t="n">
        <v>131</v>
      </c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19" t="n"/>
      <c r="AK32" s="25" t="inlineStr">
        <is>
          <t xml:space="preserve">  2029E</t>
        </is>
      </c>
      <c r="AL32" s="33">
        <f>AM32+$AL$29</f>
        <v>0.065</v>
      </c>
      <c r="AM32" s="42" t="n">
        <v>0.045</v>
      </c>
      <c r="AN32" s="33">
        <f>AM32+$AN$29</f>
        <v>0.015</v>
      </c>
    </row>
    <row r="33" ht="15" customHeight="1" s="251">
      <c r="B33" s="25" t="inlineStr">
        <is>
          <t xml:space="preserve">    Non-subscription revenue</t>
        </is>
      </c>
      <c r="C33" s="34" t="n"/>
      <c r="D33" s="34" t="n"/>
      <c r="E33" s="34" t="n"/>
      <c r="F33" s="34" t="n"/>
      <c r="G33" s="34" t="n"/>
      <c r="H33" s="258" t="n">
        <v>135</v>
      </c>
      <c r="I33" s="34" t="n"/>
      <c r="J33" s="34" t="n"/>
      <c r="K33" s="34" t="n"/>
      <c r="L33" s="34" t="n"/>
      <c r="M33" s="258" t="n">
        <v>114</v>
      </c>
      <c r="N33" s="258" t="n">
        <v>27</v>
      </c>
      <c r="O33" s="258" t="n">
        <v>26</v>
      </c>
      <c r="P33" s="258" t="n">
        <v>27</v>
      </c>
      <c r="Q33" s="258" t="n">
        <v>29</v>
      </c>
      <c r="R33" s="258" t="n">
        <v>109</v>
      </c>
      <c r="S33" s="258" t="n">
        <v>27</v>
      </c>
      <c r="T33" s="258" t="n">
        <v>25</v>
      </c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19" t="n"/>
      <c r="AK33" s="25" t="inlineStr">
        <is>
          <t xml:space="preserve">  2030E</t>
        </is>
      </c>
      <c r="AL33" s="33">
        <f>AM33+$AL$29</f>
        <v>0.065</v>
      </c>
      <c r="AM33" s="42" t="n">
        <v>0.045</v>
      </c>
      <c r="AN33" s="33">
        <f>AM33+$AN$29</f>
        <v>0.015</v>
      </c>
    </row>
    <row r="34" ht="15" customHeight="1" s="251">
      <c r="B34" s="25" t="inlineStr">
        <is>
          <t xml:space="preserve">    Subscription % of segment revenue</t>
        </is>
      </c>
      <c r="C34" s="215">
        <f>IF(AND(ISNUMBER(C32),ISNUMBER(C29)),IFERROR(C32/C29,""),"")</f>
      </c>
      <c r="D34" s="215">
        <f>IF(AND(ISNUMBER(D32),ISNUMBER(D29)),IFERROR(D32/D29,""),"")</f>
      </c>
      <c r="E34" s="215">
        <f>IF(AND(ISNUMBER(E32),ISNUMBER(E29)),IFERROR(E32/E29,""),"")</f>
      </c>
      <c r="F34" s="215">
        <f>IF(AND(ISNUMBER(F32),ISNUMBER(F29)),IFERROR(F32/F29,""),"")</f>
      </c>
      <c r="G34" s="215">
        <f>IF(AND(ISNUMBER(G32),ISNUMBER(G29)),IFERROR(G32/G29,""),"")</f>
      </c>
      <c r="H34" s="215">
        <f>IF(AND(ISNUMBER(H32),ISNUMBER(H29)),IFERROR(H32/H29,""),"")</f>
        <v>0.757630161579892</v>
      </c>
      <c r="I34" s="215">
        <f>IF(AND(ISNUMBER(I32),ISNUMBER(I29)),IFERROR(I32/I29,""),"")</f>
      </c>
      <c r="J34" s="215">
        <f>IF(AND(ISNUMBER(J32),ISNUMBER(J29)),IFERROR(J32/J29,""),"")</f>
      </c>
      <c r="K34" s="215">
        <f>IF(AND(ISNUMBER(K32),ISNUMBER(K29)),IFERROR(K32/K29,""),"")</f>
      </c>
      <c r="L34" s="215">
        <f>IF(AND(ISNUMBER(L32),ISNUMBER(L29)),IFERROR(L32/L29,""),"")</f>
      </c>
      <c r="M34" s="215">
        <f>IF(AND(ISNUMBER(M32),ISNUMBER(M29)),IFERROR(M32/M29,""),"")</f>
        <v>0.801393728222997</v>
      </c>
      <c r="N34" s="215">
        <f>IF(AND(ISNUMBER(N32),ISNUMBER(N29)),IFERROR(N32/N29,""),"")</f>
        <v>0.813793103448276</v>
      </c>
      <c r="O34" s="215">
        <f>IF(AND(ISNUMBER(O32),ISNUMBER(O29)),IFERROR(O32/O29,""),"")</f>
        <v>0.826666666666667</v>
      </c>
      <c r="P34" s="215">
        <f>IF(AND(ISNUMBER(P32),ISNUMBER(P29)),IFERROR(P32/P29,""),"")</f>
        <v>0.824675324675325</v>
      </c>
      <c r="Q34" s="215">
        <f>IF(AND(ISNUMBER(Q32),ISNUMBER(Q29)),IFERROR(Q32/Q29,""),"")</f>
        <v>0.817610062893082</v>
      </c>
      <c r="R34" s="215">
        <f>IF(AND(ISNUMBER(R32),ISNUMBER(R29)),IFERROR(R32/R29,""),"")</f>
        <v>0.820723684210526</v>
      </c>
      <c r="S34" s="215">
        <f>IF(AND(ISNUMBER(S32),ISNUMBER(S29)),IFERROR(S32/S29,""),"")</f>
        <v>0.828025477707006</v>
      </c>
      <c r="T34" s="215">
        <f>IF(AND(ISNUMBER(T32),ISNUMBER(T29)),IFERROR(T32/T29,""),"")</f>
        <v>0.83974358974359</v>
      </c>
      <c r="U34" s="256">
        <f>IF(AND(ISNUMBER(U32),ISNUMBER(U29)),IFERROR(U32/U29,""),"")</f>
      </c>
      <c r="V34" s="256">
        <f>IF(AND(ISNUMBER(V32),ISNUMBER(V29)),IFERROR(V32/V29,""),"")</f>
      </c>
      <c r="W34" s="256">
        <f>IF(AND(ISNUMBER(W32),ISNUMBER(W29)),IFERROR(W32/W29,""),"")</f>
      </c>
      <c r="X34" s="256">
        <f>IF(AND(ISNUMBER(X32),ISNUMBER(X29)),IFERROR(X32/X29,""),"")</f>
      </c>
      <c r="Y34" s="256">
        <f>IF(AND(ISNUMBER(Y32),ISNUMBER(Y29)),IFERROR(Y32/Y29,""),"")</f>
      </c>
      <c r="Z34" s="256">
        <f>IF(AND(ISNUMBER(Z32),ISNUMBER(Z29)),IFERROR(Z32/Z29,""),"")</f>
      </c>
      <c r="AA34" s="256">
        <f>IF(AND(ISNUMBER(AA32),ISNUMBER(AA29)),IFERROR(AA32/AA29,""),"")</f>
      </c>
      <c r="AB34" s="256">
        <f>IF(AND(ISNUMBER(AB32),ISNUMBER(AB29)),IFERROR(AB32/AB29,""),"")</f>
      </c>
      <c r="AC34" s="153" t="n"/>
      <c r="AE34" s="37" t="str">
        <f>IFERROR(AVERAGE(X34,Y34,Z34,AA34,AB34),"n/m")</f>
        <v>n/m</v>
      </c>
      <c r="AF34" s="37">
        <f>IFERROR(AVERAGE(H34,M34,R34),"n/m")</f>
        <v>0.793249191337805</v>
      </c>
      <c r="AG34" s="37">
        <f>IFERROR(AVERAGE(M34,R34),"n/m")</f>
        <v>0.811058706216761</v>
      </c>
      <c r="AH34" s="37">
        <f>IFERROR(AVERAGE(C34,H34,M34,R34),"n/m")</f>
        <v>0.793249191337805</v>
      </c>
      <c r="AK34" s="25" t="inlineStr">
        <is>
          <t xml:space="preserve">  2031E</t>
        </is>
      </c>
      <c r="AL34" s="33">
        <f>AM34+$AL$29</f>
        <v>0.06</v>
      </c>
      <c r="AM34" s="42" t="n">
        <v>0.04</v>
      </c>
      <c r="AN34" s="33">
        <f>AM34+$AN$29</f>
        <v>0.01</v>
      </c>
    </row>
    <row r="35" ht="15" customHeight="1" s="251">
      <c r="B35" s="156" t="inlineStr">
        <is>
          <t xml:space="preserve">    International revenue (memo)</t>
        </is>
      </c>
      <c r="C35" s="34" t="n"/>
      <c r="D35" s="34" t="n"/>
      <c r="E35" s="34" t="n"/>
      <c r="F35" s="34" t="n"/>
      <c r="G35" s="34" t="n"/>
      <c r="H35" s="258" t="n">
        <v>124</v>
      </c>
      <c r="I35" s="34" t="n"/>
      <c r="J35" s="34" t="n"/>
      <c r="K35" s="34" t="n"/>
      <c r="L35" s="34" t="n"/>
      <c r="M35" s="258" t="n">
        <v>129</v>
      </c>
      <c r="N35" s="258" t="n">
        <v>31</v>
      </c>
      <c r="O35" s="258" t="n">
        <v>31</v>
      </c>
      <c r="P35" s="34" t="n"/>
      <c r="Q35" s="34" t="n"/>
      <c r="R35" s="258" t="n">
        <v>128</v>
      </c>
      <c r="S35" s="258" t="n">
        <v>34</v>
      </c>
      <c r="T35" s="258" t="n">
        <v>32</v>
      </c>
      <c r="U35" s="153" t="n"/>
      <c r="V35" s="153" t="n"/>
      <c r="W35" s="153" t="n"/>
      <c r="X35" s="153" t="n"/>
      <c r="Y35" s="153" t="n"/>
      <c r="Z35" s="153" t="n"/>
      <c r="AA35" s="153" t="n"/>
      <c r="AB35" s="153" t="n"/>
      <c r="AC35" s="153" t="n"/>
      <c r="AK35" s="15" t="inlineStr">
        <is>
          <t>CFX_M (CARFAX Segment Adjusted EBITDA margin)</t>
        </is>
      </c>
      <c r="AL35" s="41" t="n">
        <v>0.01</v>
      </c>
      <c r="AM35" s="21" t="inlineStr">
        <is>
          <t>Δ →</t>
        </is>
      </c>
      <c r="AN35" s="41" t="n">
        <v>-0.025</v>
      </c>
      <c r="AO35" s="13" t="inlineStr">
        <is>
          <t>FY2023 45.5%, FY2024 45.8%, FY2025 46.9%, 1H/26 48.0%; operating leverage on the data estate vs advertising / strategic investment.</t>
        </is>
      </c>
    </row>
    <row r="36" ht="15" customHeight="1" s="251">
      <c r="B36" s="16" t="inlineStr">
        <is>
          <t xml:space="preserve">  Segment Adjusted EBITDA</t>
        </is>
      </c>
      <c r="C36" s="43" t="n"/>
      <c r="D36" s="43" t="n"/>
      <c r="E36" s="43" t="n"/>
      <c r="F36" s="43" t="n"/>
      <c r="G36" s="43" t="n"/>
      <c r="H36" s="253" t="n">
        <v>191</v>
      </c>
      <c r="I36" s="43" t="n"/>
      <c r="J36" s="43" t="n"/>
      <c r="K36" s="43" t="n"/>
      <c r="L36" s="43" t="n"/>
      <c r="M36" s="253" t="n">
        <v>203</v>
      </c>
      <c r="N36" s="253" t="n">
        <v>44</v>
      </c>
      <c r="O36" s="253" t="n">
        <v>49</v>
      </c>
      <c r="P36" s="253" t="n">
        <v>55</v>
      </c>
      <c r="Q36" s="253" t="n">
        <v>49</v>
      </c>
      <c r="R36" s="253" t="n">
        <v>197</v>
      </c>
      <c r="S36" s="253" t="n">
        <v>49</v>
      </c>
      <c r="T36" s="253" t="n">
        <v>53</v>
      </c>
      <c r="U36" s="254">
        <f>U29*U37</f>
        <v>58.7990920679639</v>
      </c>
      <c r="V36" s="254">
        <f>V29*V37</f>
        <v>52.47132258343</v>
      </c>
      <c r="W36" s="254">
        <f>SUM(S36:V36)</f>
        <v>213.270414651394</v>
      </c>
      <c r="X36" s="254">
        <f>X29*X37</f>
        <v>226.574738189798</v>
      </c>
      <c r="Y36" s="254">
        <f>Y29*Y37</f>
        <v>241.454273235098</v>
      </c>
      <c r="Z36" s="254">
        <f>Z29*Z37</f>
        <v>256.030299582599</v>
      </c>
      <c r="AA36" s="254">
        <f>AA29*AA37</f>
        <v>271.429223398074</v>
      </c>
      <c r="AB36" s="254">
        <f>AB29*AB37</f>
        <v>286.319055081626</v>
      </c>
      <c r="AC36" s="153" t="n"/>
      <c r="AE36" s="20">
        <f>IFERROR((AB36/W36)^(1/5)-1,"n/m")</f>
        <v>0.0606788956158189</v>
      </c>
      <c r="AF36" s="20">
        <f>IFERROR((R36/H36)^(1/2)-1,"n/m")</f>
        <v>0.0155853546430478</v>
      </c>
      <c r="AG36" s="20">
        <f>IFERROR(R36/M36-1,"n/m")</f>
        <v>-0.0295566502463054</v>
      </c>
      <c r="AH36" s="20" t="str">
        <f>IFERROR((R36/C36)^(1/3)-1,"n/m")</f>
        <v>n/m</v>
      </c>
      <c r="AK36" s="25" t="inlineStr">
        <is>
          <t xml:space="preserve">  2027E</t>
        </is>
      </c>
      <c r="AL36" s="33">
        <f>AM36+$AL$35</f>
        <v>0.49</v>
      </c>
      <c r="AM36" s="42" t="n">
        <v>0.48</v>
      </c>
      <c r="AN36" s="33">
        <f>AM36+$AN$35</f>
        <v>0.455</v>
      </c>
    </row>
    <row r="37" ht="15" customHeight="1" s="251">
      <c r="B37" s="25" t="inlineStr">
        <is>
          <t xml:space="preserve">    Segment Adjusted EBITDA margin %</t>
        </is>
      </c>
      <c r="C37" s="215">
        <f>IF(AND(ISNUMBER(C36),ISNUMBER(C29)),IFERROR(C36/C29,""),"")</f>
      </c>
      <c r="D37" s="215">
        <f>IF(AND(ISNUMBER(D36),ISNUMBER(D29)),IFERROR(D36/D29,""),"")</f>
      </c>
      <c r="E37" s="215">
        <f>IF(AND(ISNUMBER(E36),ISNUMBER(E29)),IFERROR(E36/E29,""),"")</f>
      </c>
      <c r="F37" s="215">
        <f>IF(AND(ISNUMBER(F36),ISNUMBER(F29)),IFERROR(F36/F29,""),"")</f>
      </c>
      <c r="G37" s="215">
        <f>IF(AND(ISNUMBER(G36),ISNUMBER(G29)),IFERROR(G36/G29,""),"")</f>
      </c>
      <c r="H37" s="215">
        <f>IF(AND(ISNUMBER(H36),ISNUMBER(H29)),IFERROR(H36/H29,""),"")</f>
        <v>0.342908438061041</v>
      </c>
      <c r="I37" s="215">
        <f>IF(AND(ISNUMBER(I36),ISNUMBER(I29)),IFERROR(I36/I29,""),"")</f>
      </c>
      <c r="J37" s="215">
        <f>IF(AND(ISNUMBER(J36),ISNUMBER(J29)),IFERROR(J36/J29,""),"")</f>
      </c>
      <c r="K37" s="215">
        <f>IF(AND(ISNUMBER(K36),ISNUMBER(K29)),IFERROR(K36/K29,""),"")</f>
      </c>
      <c r="L37" s="215">
        <f>IF(AND(ISNUMBER(L36),ISNUMBER(L29)),IFERROR(L36/L29,""),"")</f>
      </c>
      <c r="M37" s="215">
        <f>IF(AND(ISNUMBER(M36),ISNUMBER(M29)),IFERROR(M36/M29,""),"")</f>
        <v>0.353658536585366</v>
      </c>
      <c r="N37" s="215">
        <f>IF(AND(ISNUMBER(N36),ISNUMBER(N29)),IFERROR(N36/N29,""),"")</f>
        <v>0.303448275862069</v>
      </c>
      <c r="O37" s="215">
        <f>IF(AND(ISNUMBER(O36),ISNUMBER(O29)),IFERROR(O36/O29,""),"")</f>
        <v>0.326666666666667</v>
      </c>
      <c r="P37" s="215">
        <f>IF(AND(ISNUMBER(P36),ISNUMBER(P29)),IFERROR(P36/P29,""),"")</f>
        <v>0.357142857142857</v>
      </c>
      <c r="Q37" s="215">
        <f>IF(AND(ISNUMBER(Q36),ISNUMBER(Q29)),IFERROR(Q36/Q29,""),"")</f>
        <v>0.308176100628931</v>
      </c>
      <c r="R37" s="215">
        <f>IF(AND(ISNUMBER(R36),ISNUMBER(R29)),IFERROR(R36/R29,""),"")</f>
        <v>0.324013157894737</v>
      </c>
      <c r="S37" s="215">
        <f>IF(AND(ISNUMBER(S36),ISNUMBER(S29)),IFERROR(S36/S29,""),"")</f>
        <v>0.312101910828025</v>
      </c>
      <c r="T37" s="215">
        <f>IF(AND(ISNUMBER(T36),ISNUMBER(T29)),IFERROR(T36/T29,""),"")</f>
        <v>0.33974358974359</v>
      </c>
      <c r="U37" s="256">
        <f>U38+$U$98</f>
        <v>0.360901103998248</v>
      </c>
      <c r="V37" s="256">
        <f>V38+$U$98</f>
        <v>0.311934347484321</v>
      </c>
      <c r="W37" s="256">
        <f>IF(AND(ISNUMBER(W36),ISNUMBER(W29)),IFERROR(W36/W29,""),"")</f>
        <v>0.331095465244615</v>
      </c>
      <c r="X37" s="256">
        <f>CHOOSE(MATCH($AC$2,{"Bull","Base","Bear"},0),$AL$42,$AM$42,$AN$42)</f>
        <v>0.335</v>
      </c>
      <c r="Y37" s="256">
        <f>CHOOSE(MATCH($AC$2,{"Bull","Base","Bear"},0),$AL$43,$AM$43,$AN$43)</f>
        <v>0.34</v>
      </c>
      <c r="Z37" s="256">
        <f>CHOOSE(MATCH($AC$2,{"Bull","Base","Bear"},0),$AL$44,$AM$44,$AN$44)</f>
        <v>0.345</v>
      </c>
      <c r="AA37" s="256">
        <f>CHOOSE(MATCH($AC$2,{"Bull","Base","Bear"},0),$AL$45,$AM$45,$AN$45)</f>
        <v>0.35</v>
      </c>
      <c r="AB37" s="256">
        <f>CHOOSE(MATCH($AC$2,{"Bull","Base","Bear"},0),$AL$46,$AM$46,$AN$46)</f>
        <v>0.355</v>
      </c>
      <c r="AC37" s="153" t="n"/>
      <c r="AE37" s="37">
        <f>IFERROR(AVERAGE(X37,Y37,Z37,AA37,AB37),"n/m")</f>
        <v>0.345</v>
      </c>
      <c r="AF37" s="37">
        <f>IFERROR(AVERAGE(H37,M37,R37),"n/m")</f>
        <v>0.340193377513715</v>
      </c>
      <c r="AG37" s="37">
        <f>IFERROR(AVERAGE(M37,R37),"n/m")</f>
        <v>0.338835847240051</v>
      </c>
      <c r="AH37" s="37">
        <f>IFERROR(AVERAGE(C37,H37,M37,R37),"n/m")</f>
        <v>0.340193377513715</v>
      </c>
      <c r="AK37" s="25" t="inlineStr">
        <is>
          <t xml:space="preserve">  2028E</t>
        </is>
      </c>
      <c r="AL37" s="33">
        <f>AM37+$AL$35</f>
        <v>0.495</v>
      </c>
      <c r="AM37" s="42" t="n">
        <v>0.485</v>
      </c>
      <c r="AN37" s="33">
        <f>AM37+$AN$35</f>
        <v>0.46</v>
      </c>
    </row>
    <row r="38" ht="15" customHeight="1" s="251">
      <c r="B38" s="25" t="inlineStr">
        <is>
          <t xml:space="preserve">    Q3/Q4-26E margin before calibration (prior-year quarter + 1H/26 y/y drift)</t>
        </is>
      </c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256">
        <f>P37+((S36+T36)/(S29+T29)-(N36+O36)/(N29+O29))</f>
        <v>0.367767214103923</v>
      </c>
      <c r="V38" s="256">
        <f>Q37+((S36+T36)/(S29+T29)-(N36+O36)/(N29+O29))</f>
        <v>0.318800457589997</v>
      </c>
      <c r="W38" s="24" t="n"/>
      <c r="X38" s="46" t="n"/>
      <c r="Y38" s="46" t="n"/>
      <c r="Z38" s="46" t="n"/>
      <c r="AA38" s="46" t="n"/>
      <c r="AB38" s="46" t="n"/>
      <c r="AC38" s="19" t="n"/>
      <c r="AK38" s="25" t="inlineStr">
        <is>
          <t xml:space="preserve">  2029E</t>
        </is>
      </c>
      <c r="AL38" s="33">
        <f>AM38+$AL$35</f>
        <v>0.5</v>
      </c>
      <c r="AM38" s="42" t="n">
        <v>0.49</v>
      </c>
      <c r="AN38" s="33">
        <f>AM38+$AN$35</f>
        <v>0.465</v>
      </c>
    </row>
    <row r="39" ht="15" customHeight="1" s="251">
      <c r="B39" s="156" t="inlineStr">
        <is>
          <t xml:space="preserve">  Segment operating profit (GAAP)</t>
        </is>
      </c>
      <c r="C39" s="34" t="n"/>
      <c r="D39" s="34" t="n"/>
      <c r="E39" s="34" t="n"/>
      <c r="F39" s="34" t="n"/>
      <c r="G39" s="34" t="n"/>
      <c r="H39" s="258" t="n">
        <v>61</v>
      </c>
      <c r="I39" s="34" t="n"/>
      <c r="J39" s="34" t="n"/>
      <c r="K39" s="34" t="n"/>
      <c r="L39" s="34" t="n"/>
      <c r="M39" s="258" t="n">
        <v>69</v>
      </c>
      <c r="N39" s="258" t="n">
        <v>14</v>
      </c>
      <c r="O39" s="258" t="n">
        <v>16</v>
      </c>
      <c r="P39" s="258" t="n">
        <v>23</v>
      </c>
      <c r="Q39" s="258" t="n">
        <v>9</v>
      </c>
      <c r="R39" s="258" t="n">
        <v>62</v>
      </c>
      <c r="S39" s="258" t="n">
        <v>5</v>
      </c>
      <c r="T39" s="258" t="n">
        <v>3</v>
      </c>
      <c r="U39" s="153" t="n"/>
      <c r="V39" s="153" t="n"/>
      <c r="W39" s="153" t="n"/>
      <c r="X39" s="153" t="n"/>
      <c r="Y39" s="153" t="n"/>
      <c r="Z39" s="153" t="n"/>
      <c r="AA39" s="153" t="n"/>
      <c r="AB39" s="153" t="n"/>
      <c r="AC39" s="153" t="n"/>
      <c r="AK39" s="25" t="inlineStr">
        <is>
          <t xml:space="preserve">  2030E</t>
        </is>
      </c>
      <c r="AL39" s="33">
        <f>AM39+$AL$35</f>
        <v>0.505</v>
      </c>
      <c r="AM39" s="42" t="n">
        <v>0.495</v>
      </c>
      <c r="AN39" s="33">
        <f>AM39+$AN$35</f>
        <v>0.47</v>
      </c>
    </row>
    <row r="40" ht="15" customHeight="1" s="251">
      <c r="B40" s="156" t="inlineStr">
        <is>
          <t xml:space="preserve">    Segment D&amp;A (memo)</t>
        </is>
      </c>
      <c r="C40" s="34" t="n"/>
      <c r="D40" s="34" t="n"/>
      <c r="E40" s="34" t="n"/>
      <c r="F40" s="34" t="n"/>
      <c r="G40" s="34" t="n"/>
      <c r="H40" s="258" t="n">
        <v>110</v>
      </c>
      <c r="I40" s="34" t="n"/>
      <c r="J40" s="34" t="n"/>
      <c r="K40" s="34" t="n"/>
      <c r="L40" s="34" t="n"/>
      <c r="M40" s="258" t="n">
        <v>111</v>
      </c>
      <c r="N40" s="258" t="n">
        <v>28</v>
      </c>
      <c r="O40" s="258" t="n">
        <v>27</v>
      </c>
      <c r="P40" s="258" t="n">
        <v>27</v>
      </c>
      <c r="Q40" s="258" t="n">
        <v>30</v>
      </c>
      <c r="R40" s="258" t="n">
        <v>112</v>
      </c>
      <c r="S40" s="258" t="n">
        <v>28</v>
      </c>
      <c r="T40" s="258" t="n">
        <v>27</v>
      </c>
      <c r="U40" s="153" t="n"/>
      <c r="V40" s="153" t="n"/>
      <c r="W40" s="153" t="n"/>
      <c r="X40" s="153" t="n"/>
      <c r="Y40" s="153" t="n"/>
      <c r="Z40" s="153" t="n"/>
      <c r="AA40" s="153" t="n"/>
      <c r="AB40" s="153" t="n"/>
      <c r="AC40" s="153" t="n"/>
      <c r="AK40" s="25" t="inlineStr">
        <is>
          <t xml:space="preserve">  2031E</t>
        </is>
      </c>
      <c r="AL40" s="33">
        <f>AM40+$AL$35</f>
        <v>0.51</v>
      </c>
      <c r="AM40" s="42" t="n">
        <v>0.5</v>
      </c>
      <c r="AN40" s="33">
        <f>AM40+$AN$35</f>
        <v>0.475</v>
      </c>
    </row>
    <row r="41" ht="15" customHeight="1" s="251">
      <c r="B41" s="156" t="inlineStr">
        <is>
          <t xml:space="preserve">    Segment stock-based compensation (memo)</t>
        </is>
      </c>
      <c r="C41" s="34" t="n"/>
      <c r="D41" s="34" t="n"/>
      <c r="E41" s="34" t="n"/>
      <c r="F41" s="34" t="n"/>
      <c r="G41" s="34" t="n"/>
      <c r="H41" s="258" t="n">
        <v>6</v>
      </c>
      <c r="I41" s="34" t="n"/>
      <c r="J41" s="34" t="n"/>
      <c r="K41" s="34" t="n"/>
      <c r="L41" s="34" t="n"/>
      <c r="M41" s="258" t="n">
        <v>10</v>
      </c>
      <c r="N41" s="258" t="n">
        <v>2</v>
      </c>
      <c r="O41" s="258" t="n">
        <v>2</v>
      </c>
      <c r="P41" s="258" t="n">
        <v>3</v>
      </c>
      <c r="Q41" s="258" t="n">
        <v>2</v>
      </c>
      <c r="R41" s="258" t="n">
        <v>9</v>
      </c>
      <c r="S41" s="258" t="n">
        <v>3</v>
      </c>
      <c r="T41" s="258" t="n">
        <v>3</v>
      </c>
      <c r="U41" s="153" t="n"/>
      <c r="V41" s="153" t="n"/>
      <c r="W41" s="153" t="n"/>
      <c r="X41" s="153" t="n"/>
      <c r="Y41" s="153" t="n"/>
      <c r="Z41" s="153" t="n"/>
      <c r="AA41" s="153" t="n"/>
      <c r="AB41" s="153" t="n"/>
      <c r="AC41" s="153" t="n"/>
      <c r="AK41" s="15" t="inlineStr">
        <is>
          <t>B2B_M (B2B Segment Adjusted EBITDA margin)</t>
        </is>
      </c>
      <c r="AL41" s="41" t="n">
        <v>0.015</v>
      </c>
      <c r="AM41" s="21" t="inlineStr">
        <is>
          <t>Δ →</t>
        </is>
      </c>
      <c r="AN41" s="41" t="n">
        <v>-0.03</v>
      </c>
      <c r="AO41" s="13" t="inlineStr">
        <is>
          <t>FY2023 34.3%, FY2024 35.4%, FY2025 32.4% (2025 allocation refinement), 1H/26 32.6%; "One Mobility Global" integration and AI workflow savings.</t>
        </is>
      </c>
    </row>
    <row r="42" ht="15" customHeight="1" s="251">
      <c r="B42" s="156" t="inlineStr">
        <is>
          <t xml:space="preserve">    Segment transaction costs, severance &amp; other items (memo)</t>
        </is>
      </c>
      <c r="C42" s="34" t="n"/>
      <c r="D42" s="34" t="n"/>
      <c r="E42" s="34" t="n"/>
      <c r="F42" s="34" t="n"/>
      <c r="G42" s="34" t="n"/>
      <c r="H42" s="258" t="n">
        <v>14</v>
      </c>
      <c r="I42" s="34" t="n"/>
      <c r="J42" s="34" t="n"/>
      <c r="K42" s="34" t="n"/>
      <c r="L42" s="34" t="n"/>
      <c r="M42" s="258" t="n">
        <v>13</v>
      </c>
      <c r="N42" s="258" t="n">
        <v>0</v>
      </c>
      <c r="O42" s="258" t="n">
        <v>4</v>
      </c>
      <c r="P42" s="258" t="n">
        <v>2</v>
      </c>
      <c r="Q42" s="258" t="n">
        <v>8</v>
      </c>
      <c r="R42" s="258" t="n">
        <v>14</v>
      </c>
      <c r="S42" s="258" t="n">
        <v>13</v>
      </c>
      <c r="T42" s="258" t="n">
        <v>20</v>
      </c>
      <c r="U42" s="153" t="n"/>
      <c r="V42" s="153" t="n"/>
      <c r="W42" s="153" t="n"/>
      <c r="X42" s="153" t="n"/>
      <c r="Y42" s="153" t="n"/>
      <c r="Z42" s="153" t="n"/>
      <c r="AA42" s="153" t="n"/>
      <c r="AB42" s="153" t="n"/>
      <c r="AC42" s="153" t="n"/>
      <c r="AK42" s="25" t="inlineStr">
        <is>
          <t xml:space="preserve">  2027E</t>
        </is>
      </c>
      <c r="AL42" s="33">
        <f>AM42+$AL$41</f>
        <v>0.35</v>
      </c>
      <c r="AM42" s="42" t="n">
        <v>0.335</v>
      </c>
      <c r="AN42" s="33">
        <f>AM42+$AN$41</f>
        <v>0.305</v>
      </c>
    </row>
    <row r="43" ht="15" customHeight="1" s="251">
      <c r="B43" s="57" t="inlineStr">
        <is>
          <t xml:space="preserve">  Check: segment OP + D&amp;A + SBC + items vs Segment Adjusted EBITDA (should be 0; ±1 rounding)</t>
        </is>
      </c>
      <c r="C43" s="211">
        <f>IF(AND(ISNUMBER(C39),ISNUMBER(C36)),IF(ABS(C39+C40+N(C41)+N(C42)-C36)&lt;=1,0,C39+C40+N(C41)+N(C42)-C36),"")</f>
      </c>
      <c r="D43" s="211">
        <f>IF(AND(ISNUMBER(D39),ISNUMBER(D36)),IF(ABS(D39+D40+N(D41)+N(D42)-D36)&lt;=1,0,D39+D40+N(D41)+N(D42)-D36),"")</f>
      </c>
      <c r="E43" s="211">
        <f>IF(AND(ISNUMBER(E39),ISNUMBER(E36)),IF(ABS(E39+E40+N(E41)+N(E42)-E36)&lt;=1,0,E39+E40+N(E41)+N(E42)-E36),"")</f>
      </c>
      <c r="F43" s="211">
        <f>IF(AND(ISNUMBER(F39),ISNUMBER(F36)),IF(ABS(F39+F40+N(F41)+N(F42)-F36)&lt;=1,0,F39+F40+N(F41)+N(F42)-F36),"")</f>
      </c>
      <c r="G43" s="211">
        <f>IF(AND(ISNUMBER(G39),ISNUMBER(G36)),IF(ABS(G39+G40+N(G41)+N(G42)-G36)&lt;=1,0,G39+G40+N(G41)+N(G42)-G36),"")</f>
      </c>
      <c r="H43" s="211">
        <f>IF(AND(ISNUMBER(H39),ISNUMBER(H36)),IF(ABS(H39+H40+N(H41)+N(H42)-H36)&lt;=1,0,H39+H40+N(H41)+N(H42)-H36),"")</f>
        <v>0</v>
      </c>
      <c r="I43" s="211">
        <f>IF(AND(ISNUMBER(I39),ISNUMBER(I36)),IF(ABS(I39+I40+N(I41)+N(I42)-I36)&lt;=1,0,I39+I40+N(I41)+N(I42)-I36),"")</f>
      </c>
      <c r="J43" s="211">
        <f>IF(AND(ISNUMBER(J39),ISNUMBER(J36)),IF(ABS(J39+J40+N(J41)+N(J42)-J36)&lt;=1,0,J39+J40+N(J41)+N(J42)-J36),"")</f>
      </c>
      <c r="K43" s="211">
        <f>IF(AND(ISNUMBER(K39),ISNUMBER(K36)),IF(ABS(K39+K40+N(K41)+N(K42)-K36)&lt;=1,0,K39+K40+N(K41)+N(K42)-K36),"")</f>
      </c>
      <c r="L43" s="211">
        <f>IF(AND(ISNUMBER(L39),ISNUMBER(L36)),IF(ABS(L39+L40+N(L41)+N(L42)-L36)&lt;=1,0,L39+L40+N(L41)+N(L42)-L36),"")</f>
      </c>
      <c r="M43" s="211">
        <f>IF(AND(ISNUMBER(M39),ISNUMBER(M36)),IF(ABS(M39+M40+N(M41)+N(M42)-M36)&lt;=1,0,M39+M40+N(M41)+N(M42)-M36),"")</f>
        <v>0</v>
      </c>
      <c r="N43" s="211">
        <f>IF(AND(ISNUMBER(N39),ISNUMBER(N36)),IF(ABS(N39+N40+N(N41)+N(N42)-N36)&lt;=1,0,N39+N40+N(N41)+N(N42)-N36),"")</f>
        <v>0</v>
      </c>
      <c r="O43" s="211">
        <f>IF(AND(ISNUMBER(O39),ISNUMBER(O36)),IF(ABS(O39+O40+N(O41)+N(O42)-O36)&lt;=1,0,O39+O40+N(O41)+N(O42)-O36),"")</f>
        <v>0</v>
      </c>
      <c r="P43" s="211">
        <f>IF(AND(ISNUMBER(P39),ISNUMBER(P36)),IF(ABS(P39+P40+N(P41)+N(P42)-P36)&lt;=1,0,P39+P40+N(P41)+N(P42)-P36),"")</f>
        <v>0</v>
      </c>
      <c r="Q43" s="211">
        <f>IF(AND(ISNUMBER(Q39),ISNUMBER(Q36)),IF(ABS(Q39+Q40+N(Q41)+N(Q42)-Q36)&lt;=1,0,Q39+Q40+N(Q41)+N(Q42)-Q36),"")</f>
        <v>0</v>
      </c>
      <c r="R43" s="211">
        <f>IF(AND(ISNUMBER(R39),ISNUMBER(R36)),IF(ABS(R39+R40+N(R41)+N(R42)-R36)&lt;=1,0,R39+R40+N(R41)+N(R42)-R36),"")</f>
        <v>0</v>
      </c>
      <c r="S43" s="211">
        <f>IF(AND(ISNUMBER(S39),ISNUMBER(S36)),IF(ABS(S39+S40+N(S41)+N(S42)-S36)&lt;=1,0,S39+S40+N(S41)+N(S42)-S36),"")</f>
        <v>0</v>
      </c>
      <c r="T43" s="211">
        <f>IF(AND(ISNUMBER(T39),ISNUMBER(T36)),IF(ABS(T39+T40+N(T41)+N(T42)-T36)&lt;=1,0,T39+T40+N(T41)+N(T42)-T36),"")</f>
        <v>0</v>
      </c>
      <c r="U43" s="153" t="n"/>
      <c r="V43" s="153" t="n"/>
      <c r="W43" s="153" t="n"/>
      <c r="X43" s="153" t="n"/>
      <c r="Y43" s="153" t="n"/>
      <c r="Z43" s="153" t="n"/>
      <c r="AA43" s="153" t="n"/>
      <c r="AB43" s="153" t="n"/>
      <c r="AC43" s="153" t="n"/>
      <c r="AK43" s="25" t="inlineStr">
        <is>
          <t xml:space="preserve">  2028E</t>
        </is>
      </c>
      <c r="AL43" s="33">
        <f>AM43+$AL$41</f>
        <v>0.355</v>
      </c>
      <c r="AM43" s="42" t="n">
        <v>0.34</v>
      </c>
      <c r="AN43" s="33">
        <f>AM43+$AN$41</f>
        <v>0.31</v>
      </c>
    </row>
    <row r="44" ht="15" customHeight="1" s="251">
      <c r="B44" s="156" t="inlineStr">
        <is>
          <t xml:space="preserve">  Segment Adjusted operating profit (company; Form 10 periods)</t>
        </is>
      </c>
      <c r="C44" s="34" t="n"/>
      <c r="D44" s="34" t="n"/>
      <c r="E44" s="34" t="n"/>
      <c r="F44" s="34" t="n"/>
      <c r="G44" s="34" t="n"/>
      <c r="H44" s="258" t="n">
        <v>181</v>
      </c>
      <c r="I44" s="34" t="n"/>
      <c r="J44" s="34" t="n"/>
      <c r="K44" s="34" t="n"/>
      <c r="L44" s="34" t="n"/>
      <c r="M44" s="258" t="n">
        <v>189</v>
      </c>
      <c r="N44" s="258" t="n">
        <v>41</v>
      </c>
      <c r="O44" s="34" t="n"/>
      <c r="P44" s="34" t="n"/>
      <c r="Q44" s="34" t="n"/>
      <c r="R44" s="258" t="n">
        <v>183</v>
      </c>
      <c r="S44" s="258" t="n">
        <v>45</v>
      </c>
      <c r="T44" s="34" t="n"/>
      <c r="U44" s="153" t="n"/>
      <c r="V44" s="153" t="n"/>
      <c r="W44" s="153" t="n"/>
      <c r="X44" s="153" t="n"/>
      <c r="Y44" s="153" t="n"/>
      <c r="Z44" s="153" t="n"/>
      <c r="AA44" s="153" t="n"/>
      <c r="AB44" s="153" t="n"/>
      <c r="AC44" s="153" t="n"/>
      <c r="AK44" s="25" t="inlineStr">
        <is>
          <t xml:space="preserve">  2029E</t>
        </is>
      </c>
      <c r="AL44" s="33">
        <f>AM44+$AL$41</f>
        <v>0.36</v>
      </c>
      <c r="AM44" s="42" t="n">
        <v>0.345</v>
      </c>
      <c r="AN44" s="33">
        <f>AM44+$AN$41</f>
        <v>0.315</v>
      </c>
    </row>
    <row r="45" ht="15" customHeight="1" s="251">
      <c r="AK45" s="25" t="inlineStr">
        <is>
          <t xml:space="preserve">  2030E</t>
        </is>
      </c>
      <c r="AL45" s="33">
        <f>AM45+$AL$41</f>
        <v>0.365</v>
      </c>
      <c r="AM45" s="42" t="n">
        <v>0.35</v>
      </c>
      <c r="AN45" s="33">
        <f>AM45+$AN$41</f>
        <v>0.32</v>
      </c>
    </row>
    <row r="46" ht="15" customHeight="1" s="251">
      <c r="B46" s="14" t="inlineStr">
        <is>
          <t>Corporate (unallocated expense: corporate functions, select initiatives, unoccupied space; separation costs)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5" t="inlineStr">
        <is>
          <t>CORPORATE — modelling logic (carve-out allocations to 30-Jun-2026; standalone public-company costs from Q3-26)</t>
        </is>
      </c>
      <c r="AK46" s="25" t="inlineStr">
        <is>
          <t xml:space="preserve">  2031E</t>
        </is>
      </c>
      <c r="AL46" s="33">
        <f>AM46+$AL$41</f>
        <v>0.37</v>
      </c>
      <c r="AM46" s="42" t="n">
        <v>0.355</v>
      </c>
      <c r="AN46" s="33">
        <f>AM46+$AN$41</f>
        <v>0.325</v>
      </c>
    </row>
    <row r="47" ht="15" customHeight="1" s="251">
      <c r="B47" s="156" t="inlineStr">
        <is>
          <t xml:space="preserve">  Corporate operating profit (GAAP)</t>
        </is>
      </c>
      <c r="C47" s="34" t="n"/>
      <c r="D47" s="34" t="n"/>
      <c r="E47" s="34" t="n"/>
      <c r="F47" s="34" t="n"/>
      <c r="G47" s="34" t="n"/>
      <c r="H47" s="258" t="n">
        <v>-32</v>
      </c>
      <c r="I47" s="34" t="n"/>
      <c r="J47" s="34" t="n"/>
      <c r="K47" s="34" t="n"/>
      <c r="L47" s="34" t="n"/>
      <c r="M47" s="258" t="n">
        <v>-30</v>
      </c>
      <c r="N47" s="258" t="n">
        <v>-7</v>
      </c>
      <c r="O47" s="258" t="n">
        <v>-9</v>
      </c>
      <c r="P47" s="258" t="n">
        <v>-11</v>
      </c>
      <c r="Q47" s="258" t="n">
        <v>-18</v>
      </c>
      <c r="R47" s="258" t="n">
        <v>-45</v>
      </c>
      <c r="S47" s="258" t="n">
        <v>-13</v>
      </c>
      <c r="T47" s="258" t="n">
        <v>-22</v>
      </c>
      <c r="U47" s="153" t="n"/>
      <c r="V47" s="153" t="n"/>
      <c r="W47" s="153" t="n"/>
      <c r="X47" s="153" t="n"/>
      <c r="Y47" s="153" t="n"/>
      <c r="Z47" s="153" t="n"/>
      <c r="AA47" s="153" t="n"/>
      <c r="AB47" s="153" t="n"/>
      <c r="AC47" s="153" t="n"/>
      <c r="AK47" s="15" t="inlineStr">
        <is>
          <t>M&amp;A_spend (tuck-in acquisitions, $m)</t>
        </is>
      </c>
      <c r="AL47" s="50" t="n">
        <v>100</v>
      </c>
      <c r="AM47" s="21" t="inlineStr">
        <is>
          <t>Δ →</t>
        </is>
      </c>
      <c r="AN47" s="50" t="n">
        <v>0</v>
      </c>
      <c r="AO47" s="13" t="inlineStr">
        <is>
          <t>None announced; the Form 10 cites inorganic opportunities in a fragmented industry (Market Scan Feb-2023, $214m). Base nil; Bull $100m p.a. (assumption).</t>
        </is>
      </c>
    </row>
    <row r="48" ht="15" customHeight="1" s="251">
      <c r="B48" s="156" t="inlineStr">
        <is>
          <t xml:space="preserve">    Corporate transaction costs, severance &amp; other items (memo)</t>
        </is>
      </c>
      <c r="C48" s="34" t="n"/>
      <c r="D48" s="34" t="n"/>
      <c r="E48" s="34" t="n"/>
      <c r="F48" s="34" t="n"/>
      <c r="G48" s="34" t="n"/>
      <c r="H48" s="258" t="n">
        <v>16</v>
      </c>
      <c r="I48" s="34" t="n"/>
      <c r="J48" s="34" t="n"/>
      <c r="K48" s="34" t="n"/>
      <c r="L48" s="34" t="n"/>
      <c r="M48" s="258" t="n">
        <v>10</v>
      </c>
      <c r="N48" s="258" t="n">
        <v>2</v>
      </c>
      <c r="O48" s="258" t="n">
        <v>6</v>
      </c>
      <c r="P48" s="258" t="n">
        <v>1</v>
      </c>
      <c r="Q48" s="258" t="n">
        <v>14</v>
      </c>
      <c r="R48" s="258" t="n">
        <v>23</v>
      </c>
      <c r="S48" s="258" t="n">
        <v>8</v>
      </c>
      <c r="T48" s="258" t="n">
        <v>18</v>
      </c>
      <c r="U48" s="153" t="n"/>
      <c r="V48" s="153" t="n"/>
      <c r="W48" s="153" t="n"/>
      <c r="X48" s="153" t="n"/>
      <c r="Y48" s="153" t="n"/>
      <c r="Z48" s="153" t="n"/>
      <c r="AA48" s="153" t="n"/>
      <c r="AB48" s="153" t="n"/>
      <c r="AC48" s="153" t="n"/>
      <c r="AK48" s="25" t="inlineStr">
        <is>
          <t xml:space="preserve">  2027E</t>
        </is>
      </c>
      <c r="AL48" s="51">
        <f>MAX(0,AM48+$AL$47)</f>
        <v>100</v>
      </c>
      <c r="AM48" s="26" t="n">
        <v>0</v>
      </c>
      <c r="AN48" s="51">
        <f>MAX(0,AM48+$AN$47)</f>
        <v>0</v>
      </c>
    </row>
    <row r="49" ht="15" customHeight="1" s="251">
      <c r="B49" s="16" t="inlineStr">
        <is>
          <t xml:space="preserve">  Corporate Adjusted EBITDA</t>
        </is>
      </c>
      <c r="C49" s="43" t="n"/>
      <c r="D49" s="43" t="n"/>
      <c r="E49" s="43" t="n"/>
      <c r="F49" s="43" t="n"/>
      <c r="G49" s="43" t="n"/>
      <c r="H49" s="253" t="n">
        <v>-16</v>
      </c>
      <c r="I49" s="43" t="n"/>
      <c r="J49" s="43" t="n"/>
      <c r="K49" s="43" t="n"/>
      <c r="L49" s="43" t="n"/>
      <c r="M49" s="253" t="n">
        <v>-20</v>
      </c>
      <c r="N49" s="253" t="n">
        <v>-5</v>
      </c>
      <c r="O49" s="253" t="n">
        <v>-3</v>
      </c>
      <c r="P49" s="253" t="n">
        <v>-10</v>
      </c>
      <c r="Q49" s="253" t="n">
        <v>-4</v>
      </c>
      <c r="R49" s="253" t="n">
        <v>-22</v>
      </c>
      <c r="S49" s="253" t="n">
        <v>-5</v>
      </c>
      <c r="T49" s="253" t="n">
        <v>-4</v>
      </c>
      <c r="U49" s="261" t="n">
        <v>-12</v>
      </c>
      <c r="V49" s="261" t="n">
        <v>-12</v>
      </c>
      <c r="W49" s="254">
        <f>SUM(S49:V49)</f>
        <v>-33</v>
      </c>
      <c r="X49" s="254">
        <f>X85*X50</f>
        <v>-48.2010222843023</v>
      </c>
      <c r="Y49" s="254">
        <f>Y85*Y50</f>
        <v>-49.3601082002153</v>
      </c>
      <c r="Z49" s="254">
        <f>Z85*Z50</f>
        <v>-50.2863624258596</v>
      </c>
      <c r="AA49" s="254">
        <f>AA85*AA50</f>
        <v>-51.0358829926463</v>
      </c>
      <c r="AB49" s="254">
        <f>AB85*AB50</f>
        <v>-51.5426878095381</v>
      </c>
      <c r="AC49" s="153" t="inlineStr">
        <is>
          <t>History: corporate unallocated (S&amp;P Global allocations; FY2025 −$22m, 1H/26 −$9m). Q3/Q4-26E input (assumption): −$12m a quarter = 1H/26 run-rate (−$4.5m) + standalone public-company costs. The Form 10 pro forma quantifies only $12m p.a. (TSA $3m + new corporate leases $9m); the rest (board, audit, investor relations, treasury, insurance) is an assumption. 2027E+: % of revenue.</t>
        </is>
      </c>
      <c r="AK49" s="25" t="inlineStr">
        <is>
          <t xml:space="preserve">  2028E</t>
        </is>
      </c>
      <c r="AL49" s="51">
        <f>MAX(0,AM49+$AL$47)</f>
        <v>100</v>
      </c>
      <c r="AM49" s="26" t="n">
        <v>0</v>
      </c>
      <c r="AN49" s="51">
        <f>MAX(0,AM49+$AN$47)</f>
        <v>0</v>
      </c>
    </row>
    <row r="50" ht="15" customHeight="1" s="251">
      <c r="B50" s="25" t="inlineStr">
        <is>
          <t xml:space="preserve">    Corporate Adjusted EBITDA % of revenue</t>
        </is>
      </c>
      <c r="C50" s="215">
        <f>IF(AND(ISNUMBER(C49),ISNUMBER(C85)),IFERROR(C49/C85,""),"")</f>
      </c>
      <c r="D50" s="215">
        <f>IF(AND(ISNUMBER(D49),ISNUMBER(D85)),IFERROR(D49/D85,""),"")</f>
      </c>
      <c r="E50" s="215">
        <f>IF(AND(ISNUMBER(E49),ISNUMBER(E85)),IFERROR(E49/E85,""),"")</f>
      </c>
      <c r="F50" s="215">
        <f>IF(AND(ISNUMBER(F49),ISNUMBER(F85)),IFERROR(F49/F85,""),"")</f>
      </c>
      <c r="G50" s="215">
        <f>IF(AND(ISNUMBER(G49),ISNUMBER(G85)),IFERROR(G49/G85,""),"")</f>
      </c>
      <c r="H50" s="215">
        <f>IF(AND(ISNUMBER(H49),ISNUMBER(H85)),IFERROR(H49/H85,""),"")</f>
        <v>-0.0107744107744108</v>
      </c>
      <c r="I50" s="215">
        <f>IF(AND(ISNUMBER(I49),ISNUMBER(I85)),IFERROR(I49/I85,""),"")</f>
      </c>
      <c r="J50" s="215">
        <f>IF(AND(ISNUMBER(J49),ISNUMBER(J85)),IFERROR(J49/J85,""),"")</f>
      </c>
      <c r="K50" s="215">
        <f>IF(AND(ISNUMBER(K49),ISNUMBER(K85)),IFERROR(K49/K85,""),"")</f>
      </c>
      <c r="L50" s="215">
        <f>IF(AND(ISNUMBER(L49),ISNUMBER(L85)),IFERROR(L49/L85,""),"")</f>
      </c>
      <c r="M50" s="215">
        <f>IF(AND(ISNUMBER(M49),ISNUMBER(M85)),IFERROR(M49/M85,""),"")</f>
        <v>-0.0123992560446373</v>
      </c>
      <c r="N50" s="215">
        <f>IF(AND(ISNUMBER(N49),ISNUMBER(N85)),IFERROR(N49/N85,""),"")</f>
        <v>-0.0119047619047619</v>
      </c>
      <c r="O50" s="215">
        <f>IF(AND(ISNUMBER(O49),ISNUMBER(O85)),IFERROR(O49/O85,""),"")</f>
        <v>-0.00683371298405467</v>
      </c>
      <c r="P50" s="215">
        <f>IF(AND(ISNUMBER(P49),ISNUMBER(P85)),IFERROR(P49/P85,""),"")</f>
        <v>-0.0224719101123596</v>
      </c>
      <c r="Q50" s="215">
        <f>IF(AND(ISNUMBER(Q49),ISNUMBER(Q85)),IFERROR(Q49/Q85,""),"")</f>
        <v>-0.00896860986547085</v>
      </c>
      <c r="R50" s="215">
        <f>IF(AND(ISNUMBER(R49),ISNUMBER(R85)),IFERROR(R49/R85,""),"")</f>
        <v>-0.0125714285714286</v>
      </c>
      <c r="S50" s="215">
        <f>IF(AND(ISNUMBER(S49),ISNUMBER(S85)),IFERROR(S49/S85,""),"")</f>
        <v>-0.010989010989011</v>
      </c>
      <c r="T50" s="215">
        <f>IF(AND(ISNUMBER(T49),ISNUMBER(T85)),IFERROR(T49/T85,""),"")</f>
        <v>-0.00854700854700855</v>
      </c>
      <c r="U50" s="256">
        <f>IF(AND(ISNUMBER(U49),ISNUMBER(U85)),IFERROR(U49/U85,""),"")</f>
        <v>-0.0251697850991004</v>
      </c>
      <c r="V50" s="256">
        <f>IF(AND(ISNUMBER(V49),ISNUMBER(V85)),IFERROR(V49/V85,""),"")</f>
        <v>-0.025118376412648</v>
      </c>
      <c r="W50" s="256">
        <f>IF(AND(ISNUMBER(W49),ISNUMBER(W85)),IFERROR(W49/W85,""),"")</f>
        <v>-0.0175765645805593</v>
      </c>
      <c r="X50" s="262" t="n">
        <v>-0.024</v>
      </c>
      <c r="Y50" s="262" t="n">
        <v>-0.023</v>
      </c>
      <c r="Z50" s="262" t="n">
        <v>-0.022</v>
      </c>
      <c r="AA50" s="262" t="n">
        <v>-0.021</v>
      </c>
      <c r="AB50" s="262" t="n">
        <v>-0.02</v>
      </c>
      <c r="AC50" s="153" t="inlineStr">
        <is>
          <t>2027E+: input (assumption) — full-year standalone corporate cost base.</t>
        </is>
      </c>
      <c r="AE50" s="37">
        <f>IFERROR(AVERAGE(X50,Y50,Z50,AA50,AB50),"n/m")</f>
        <v>-0.022</v>
      </c>
      <c r="AF50" s="37">
        <f>IFERROR(AVERAGE(H50,M50,R50),"n/m")</f>
        <v>-0.0119150317968256</v>
      </c>
      <c r="AG50" s="37">
        <f>IFERROR(AVERAGE(M50,R50),"n/m")</f>
        <v>-0.0124853423080329</v>
      </c>
      <c r="AH50" s="37">
        <f>IFERROR(AVERAGE(C50,H50,M50,R50),"n/m")</f>
        <v>-0.0119150317968256</v>
      </c>
      <c r="AK50" s="25" t="inlineStr">
        <is>
          <t xml:space="preserve">  2029E</t>
        </is>
      </c>
      <c r="AL50" s="51">
        <f>MAX(0,AM50+$AL$47)</f>
        <v>100</v>
      </c>
      <c r="AM50" s="26" t="n">
        <v>0</v>
      </c>
      <c r="AN50" s="51">
        <f>MAX(0,AM50+$AN$47)</f>
        <v>0</v>
      </c>
    </row>
    <row r="51" ht="15" customHeight="1" s="251">
      <c r="AK51" s="25" t="inlineStr">
        <is>
          <t xml:space="preserve">  2030E</t>
        </is>
      </c>
      <c r="AL51" s="51">
        <f>MAX(0,AM51+$AL$47)</f>
        <v>100</v>
      </c>
      <c r="AM51" s="26" t="n">
        <v>0</v>
      </c>
      <c r="AN51" s="51">
        <f>MAX(0,AM51+$AN$47)</f>
        <v>0</v>
      </c>
    </row>
    <row r="52" ht="15" customHeight="1" s="251">
      <c r="B52" s="14" t="inlineStr">
        <is>
          <t>S&amp;P Global "Mobility" segment as reported by the former parent (memo; S&amp;P Global CIK 64040) — revenue comparable, profit not</t>
        </is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5" t="inlineStr">
        <is>
          <t>S&amp;P GLOBAL MOBILITY SEGMENT — memo. Fills the pre-2025 quarters the carve-out never published. Revenue ties to the carve-out within $0–4m (≤0.25%) in every overlapping period → spliced revenue history below. Profit is NOT comparable: S&amp;P Global segment results exclude corporate allocations and stand-up costs, and carry S&amp;P Global's deal amortization ($303m vs $296m).</t>
        </is>
      </c>
      <c r="AK52" s="25" t="inlineStr">
        <is>
          <t xml:space="preserve">  2031E</t>
        </is>
      </c>
      <c r="AL52" s="51">
        <f>MAX(0,AM52+$AL$47)</f>
        <v>100</v>
      </c>
      <c r="AM52" s="26" t="n">
        <v>0</v>
      </c>
      <c r="AN52" s="51">
        <f>MAX(0,AM52+$AN$47)</f>
        <v>0</v>
      </c>
    </row>
    <row r="53" ht="15" customHeight="1" s="251">
      <c r="B53" s="156" t="inlineStr">
        <is>
          <t xml:space="preserve">  S&amp;P Global Mobility revenue (2022 = S&amp;P Global non-GAAP pro forma, full year)</t>
        </is>
      </c>
      <c r="C53" s="258" t="n">
        <v>1351</v>
      </c>
      <c r="D53" s="258" t="n">
        <v>358</v>
      </c>
      <c r="E53" s="258" t="n">
        <v>369</v>
      </c>
      <c r="F53" s="258" t="n">
        <v>379</v>
      </c>
      <c r="G53" s="258" t="n">
        <v>377</v>
      </c>
      <c r="H53" s="258" t="n">
        <v>1484</v>
      </c>
      <c r="I53" s="258" t="n">
        <v>386</v>
      </c>
      <c r="J53" s="258" t="n">
        <v>400</v>
      </c>
      <c r="K53" s="258" t="n">
        <v>412</v>
      </c>
      <c r="L53" s="258" t="n">
        <v>411</v>
      </c>
      <c r="M53" s="258" t="n">
        <v>1609</v>
      </c>
      <c r="N53" s="258" t="n">
        <v>420</v>
      </c>
      <c r="O53" s="258" t="n">
        <v>438</v>
      </c>
      <c r="P53" s="258" t="n">
        <v>445</v>
      </c>
      <c r="Q53" s="258" t="n">
        <v>444</v>
      </c>
      <c r="R53" s="258" t="n">
        <v>1747</v>
      </c>
      <c r="S53" s="258" t="n">
        <v>454</v>
      </c>
      <c r="T53" s="258" t="n">
        <v>468</v>
      </c>
      <c r="U53" s="153" t="n"/>
      <c r="V53" s="153" t="n"/>
      <c r="W53" s="153" t="n"/>
      <c r="X53" s="153" t="n"/>
      <c r="Y53" s="153" t="n"/>
      <c r="Z53" s="153" t="n"/>
      <c r="AA53" s="153" t="n"/>
      <c r="AB53" s="153" t="n"/>
      <c r="AC53" s="153" t="n"/>
      <c r="AE53" s="20" t="str">
        <f>IFERROR((AB53/W53)^(1/5)-1,"n/m")</f>
        <v>n/m</v>
      </c>
      <c r="AF53" s="20">
        <f>IFERROR((R53/H53)^(1/2)-1,"n/m")</f>
        <v>0.084999409989033</v>
      </c>
      <c r="AG53" s="20">
        <f>IFERROR(R53/M53-1,"n/m")</f>
        <v>0.0857675574891237</v>
      </c>
      <c r="AH53" s="20">
        <f>IFERROR((R53/C53)^(1/3)-1,"n/m")</f>
        <v>0.0894630832688674</v>
      </c>
    </row>
    <row r="54" collapsed="1" ht="15" customHeight="1" s="251">
      <c r="B54" s="22" t="inlineStr">
        <is>
          <t xml:space="preserve">    y/y %</t>
        </is>
      </c>
      <c r="C54" s="23" t="n"/>
      <c r="D54" s="23" t="n"/>
      <c r="E54" s="23" t="n"/>
      <c r="F54" s="23" t="n"/>
      <c r="G54" s="23" t="n"/>
      <c r="H54" s="255">
        <f>IF(AND(ISNUMBER(H53),ISNUMBER(C53)),IFERROR(H53/C53-1,""),"")</f>
        <v>0.0984455958549222</v>
      </c>
      <c r="I54" s="255">
        <f>IF(AND(ISNUMBER(I53),ISNUMBER(D53)),IFERROR(I53/D53-1,""),"")</f>
        <v>0.0782122905027933</v>
      </c>
      <c r="J54" s="255">
        <f>IF(AND(ISNUMBER(J53),ISNUMBER(E53)),IFERROR(J53/E53-1,""),"")</f>
        <v>0.084010840108401</v>
      </c>
      <c r="K54" s="255">
        <f>IF(AND(ISNUMBER(K53),ISNUMBER(F53)),IFERROR(K53/F53-1,""),"")</f>
        <v>0.0870712401055409</v>
      </c>
      <c r="L54" s="255">
        <f>IF(AND(ISNUMBER(L53),ISNUMBER(G53)),IFERROR(L53/G53-1,""),"")</f>
        <v>0.090185676392573</v>
      </c>
      <c r="M54" s="255">
        <f>IF(AND(ISNUMBER(M53),ISNUMBER(H53)),IFERROR(M53/H53-1,""),"")</f>
        <v>0.0842318059299192</v>
      </c>
      <c r="N54" s="255">
        <f>IF(AND(ISNUMBER(N53),ISNUMBER(I53)),IFERROR(N53/I53-1,""),"")</f>
        <v>0.0880829015544042</v>
      </c>
      <c r="O54" s="255">
        <f>IF(AND(ISNUMBER(O53),ISNUMBER(J53)),IFERROR(O53/J53-1,""),"")</f>
        <v>0.095</v>
      </c>
      <c r="P54" s="255">
        <f>IF(AND(ISNUMBER(P53),ISNUMBER(K53)),IFERROR(P53/K53-1,""),"")</f>
        <v>0.0800970873786409</v>
      </c>
      <c r="Q54" s="255">
        <f>IF(AND(ISNUMBER(Q53),ISNUMBER(L53)),IFERROR(Q53/L53-1,""),"")</f>
        <v>0.0802919708029197</v>
      </c>
      <c r="R54" s="255">
        <f>IF(AND(ISNUMBER(R53),ISNUMBER(M53)),IFERROR(R53/M53-1,""),"")</f>
        <v>0.0857675574891237</v>
      </c>
      <c r="S54" s="255">
        <f>IF(AND(ISNUMBER(S53),ISNUMBER(N53)),IFERROR(S53/N53-1,""),"")</f>
        <v>0.0809523809523809</v>
      </c>
      <c r="T54" s="255">
        <f>IF(AND(ISNUMBER(T53),ISNUMBER(O53)),IFERROR(T53/O53-1,""),"")</f>
        <v>0.0684931506849316</v>
      </c>
      <c r="U54" s="256">
        <f>IF(AND(ISNUMBER(U53),ISNUMBER(P53)),IFERROR(U53/P53-1,""),"")</f>
      </c>
      <c r="V54" s="256">
        <f>IF(AND(ISNUMBER(V53),ISNUMBER(Q53)),IFERROR(V53/Q53-1,""),"")</f>
      </c>
      <c r="W54" s="256">
        <f>IF(AND(ISNUMBER(W53),ISNUMBER(R53)),IFERROR(W53/R53-1,""),"")</f>
      </c>
      <c r="X54" s="256">
        <f>IF(AND(ISNUMBER(X53),ISNUMBER(W53)),IFERROR(X53/W53-1,""),"")</f>
      </c>
      <c r="Y54" s="256">
        <f>IF(AND(ISNUMBER(Y53),ISNUMBER(X53)),IFERROR(Y53/X53-1,""),"")</f>
      </c>
      <c r="Z54" s="256">
        <f>IF(AND(ISNUMBER(Z53),ISNUMBER(Y53)),IFERROR(Z53/Y53-1,""),"")</f>
      </c>
      <c r="AA54" s="256">
        <f>IF(AND(ISNUMBER(AA53),ISNUMBER(Z53)),IFERROR(AA53/Z53-1,""),"")</f>
      </c>
      <c r="AB54" s="256">
        <f>IF(AND(ISNUMBER(AB53),ISNUMBER(AA53)),IFERROR(AB53/AA53-1,""),"")</f>
      </c>
      <c r="AC54" s="153" t="n"/>
      <c r="AE54" s="37" t="str">
        <f>IFERROR(AVERAGE(X54,Y54,Z54,AA54,AB54),"n/m")</f>
        <v>n/m</v>
      </c>
      <c r="AF54" s="37">
        <f>IFERROR(AVERAGE(H54,M54,R54),"n/m")</f>
        <v>0.0894816530913217</v>
      </c>
      <c r="AG54" s="37">
        <f>IFERROR(AVERAGE(M54,R54),"n/m")</f>
        <v>0.0849996817095214</v>
      </c>
      <c r="AH54" s="37">
        <f>IFERROR(AVERAGE(C54,H54,M54,R54),"n/m")</f>
        <v>0.0894816530913217</v>
      </c>
    </row>
    <row r="55" ht="15" customHeight="1" s="251">
      <c r="B55" s="156" t="inlineStr">
        <is>
          <t xml:space="preserve">    Subscription revenue</t>
        </is>
      </c>
      <c r="C55" s="34" t="n"/>
      <c r="D55" s="258" t="n">
        <v>281</v>
      </c>
      <c r="E55" s="258" t="n">
        <v>292</v>
      </c>
      <c r="F55" s="258" t="n">
        <v>296</v>
      </c>
      <c r="G55" s="258" t="n">
        <v>299</v>
      </c>
      <c r="H55" s="258" t="n">
        <v>1169</v>
      </c>
      <c r="I55" s="258" t="n">
        <v>311</v>
      </c>
      <c r="J55" s="258" t="n">
        <v>323</v>
      </c>
      <c r="K55" s="258" t="n">
        <v>331</v>
      </c>
      <c r="L55" s="258" t="n">
        <v>333</v>
      </c>
      <c r="M55" s="258" t="n">
        <v>1299</v>
      </c>
      <c r="N55" s="258" t="n">
        <v>343</v>
      </c>
      <c r="O55" s="258" t="n">
        <v>357</v>
      </c>
      <c r="P55" s="258" t="n">
        <v>362</v>
      </c>
      <c r="Q55" s="258" t="n">
        <v>361</v>
      </c>
      <c r="R55" s="258" t="n">
        <v>1422</v>
      </c>
      <c r="S55" s="258" t="n">
        <v>372</v>
      </c>
      <c r="T55" s="258" t="n">
        <v>383</v>
      </c>
      <c r="U55" s="153" t="n"/>
      <c r="V55" s="153" t="n"/>
      <c r="W55" s="153" t="n"/>
      <c r="X55" s="153" t="n"/>
      <c r="Y55" s="153" t="n"/>
      <c r="Z55" s="153" t="n"/>
      <c r="AA55" s="153" t="n"/>
      <c r="AB55" s="153" t="n"/>
      <c r="AC55" s="153" t="n"/>
    </row>
    <row r="56" ht="15" customHeight="1" s="251">
      <c r="B56" s="156" t="inlineStr">
        <is>
          <t xml:space="preserve">    Non-subscription revenue</t>
        </is>
      </c>
      <c r="C56" s="34" t="n"/>
      <c r="D56" s="258" t="n">
        <v>77</v>
      </c>
      <c r="E56" s="258" t="n">
        <v>77</v>
      </c>
      <c r="F56" s="258" t="n">
        <v>83</v>
      </c>
      <c r="G56" s="258" t="n">
        <v>78</v>
      </c>
      <c r="H56" s="258" t="n">
        <v>315</v>
      </c>
      <c r="I56" s="258" t="n">
        <v>75</v>
      </c>
      <c r="J56" s="258" t="n">
        <v>77</v>
      </c>
      <c r="K56" s="258" t="n">
        <v>81</v>
      </c>
      <c r="L56" s="258" t="n">
        <v>78</v>
      </c>
      <c r="M56" s="258" t="n">
        <v>310</v>
      </c>
      <c r="N56" s="258" t="n">
        <v>77</v>
      </c>
      <c r="O56" s="258" t="n">
        <v>81</v>
      </c>
      <c r="P56" s="258" t="n">
        <v>83</v>
      </c>
      <c r="Q56" s="258" t="n">
        <v>83</v>
      </c>
      <c r="R56" s="258" t="n">
        <v>325</v>
      </c>
      <c r="S56" s="258" t="n">
        <v>82</v>
      </c>
      <c r="T56" s="258" t="n">
        <v>85</v>
      </c>
      <c r="U56" s="153" t="n"/>
      <c r="V56" s="153" t="n"/>
      <c r="W56" s="153" t="n"/>
      <c r="X56" s="153" t="n"/>
      <c r="Y56" s="153" t="n"/>
      <c r="Z56" s="153" t="n"/>
      <c r="AA56" s="153" t="n"/>
      <c r="AB56" s="153" t="n"/>
      <c r="AC56" s="153" t="n"/>
    </row>
    <row r="57" ht="15" customHeight="1" s="251">
      <c r="B57" s="156" t="inlineStr">
        <is>
          <t xml:space="preserve">  S&amp;P Global Mobility operating profit (GAAP segment; 2022 pro forma)</t>
        </is>
      </c>
      <c r="C57" s="258" t="n">
        <v>250</v>
      </c>
      <c r="D57" s="258" t="n">
        <v>64</v>
      </c>
      <c r="E57" s="258" t="n">
        <v>68</v>
      </c>
      <c r="F57" s="258" t="n">
        <v>80</v>
      </c>
      <c r="G57" s="258" t="n">
        <v>46</v>
      </c>
      <c r="H57" s="258" t="n">
        <v>260</v>
      </c>
      <c r="I57" s="258" t="n">
        <v>70</v>
      </c>
      <c r="J57" s="258" t="n">
        <v>80</v>
      </c>
      <c r="K57" s="258" t="n">
        <v>97</v>
      </c>
      <c r="L57" s="258" t="n">
        <v>65</v>
      </c>
      <c r="M57" s="258" t="n">
        <v>312</v>
      </c>
      <c r="N57" s="258" t="n">
        <v>86</v>
      </c>
      <c r="O57" s="258" t="n">
        <v>104</v>
      </c>
      <c r="P57" s="258" t="n">
        <v>117</v>
      </c>
      <c r="Q57" s="258" t="n">
        <v>71</v>
      </c>
      <c r="R57" s="258" t="n">
        <v>378</v>
      </c>
      <c r="S57" s="258" t="n">
        <v>93</v>
      </c>
      <c r="T57" s="258" t="n">
        <v>104</v>
      </c>
      <c r="U57" s="153" t="n"/>
      <c r="V57" s="153" t="n"/>
      <c r="W57" s="153" t="n"/>
      <c r="X57" s="153" t="n"/>
      <c r="Y57" s="153" t="n"/>
      <c r="Z57" s="153" t="n"/>
      <c r="AA57" s="153" t="n"/>
      <c r="AB57" s="153" t="n"/>
      <c r="AC57" s="153" t="n"/>
    </row>
    <row r="58" ht="15" customHeight="1" s="251">
      <c r="B58" s="156" t="inlineStr">
        <is>
          <t xml:space="preserve">    + Non-GAAP adjustments (excl. deal amortization)</t>
        </is>
      </c>
      <c r="C58" s="34" t="n"/>
      <c r="D58" s="258" t="n">
        <v>2</v>
      </c>
      <c r="E58" s="258" t="n">
        <v>4</v>
      </c>
      <c r="F58" s="258" t="n">
        <v>4</v>
      </c>
      <c r="G58" s="258" t="n">
        <v>5</v>
      </c>
      <c r="H58" s="258" t="n">
        <v>15</v>
      </c>
      <c r="I58" s="258" t="n">
        <v>1</v>
      </c>
      <c r="J58" s="258" t="n">
        <v>8</v>
      </c>
      <c r="K58" s="258" t="n">
        <v>1</v>
      </c>
      <c r="L58" s="258" t="n">
        <v>2</v>
      </c>
      <c r="M58" s="258" t="n">
        <v>12</v>
      </c>
      <c r="N58" s="258" t="n">
        <v>0</v>
      </c>
      <c r="O58" s="258" t="n">
        <v>5</v>
      </c>
      <c r="P58" s="258" t="n">
        <v>0</v>
      </c>
      <c r="Q58" s="258" t="n">
        <v>10</v>
      </c>
      <c r="R58" s="258" t="n">
        <v>15</v>
      </c>
      <c r="S58" s="258" t="n">
        <v>13</v>
      </c>
      <c r="T58" s="34" t="n"/>
      <c r="U58" s="153" t="n"/>
      <c r="V58" s="153" t="n"/>
      <c r="W58" s="153" t="n"/>
      <c r="X58" s="153" t="n"/>
      <c r="Y58" s="153" t="n"/>
      <c r="Z58" s="153" t="n"/>
      <c r="AA58" s="153" t="n"/>
      <c r="AB58" s="153" t="n"/>
      <c r="AC58" s="153" t="n"/>
    </row>
    <row r="59" ht="15" customHeight="1" s="251">
      <c r="B59" s="156" t="inlineStr">
        <is>
          <t xml:space="preserve">    + Deal-related amortization</t>
        </is>
      </c>
      <c r="C59" s="34" t="n"/>
      <c r="D59" s="258" t="n">
        <v>74</v>
      </c>
      <c r="E59" s="258" t="n">
        <v>76</v>
      </c>
      <c r="F59" s="258" t="n">
        <v>76</v>
      </c>
      <c r="G59" s="258" t="n">
        <v>76</v>
      </c>
      <c r="H59" s="258" t="n">
        <v>301</v>
      </c>
      <c r="I59" s="258" t="n">
        <v>76</v>
      </c>
      <c r="J59" s="258" t="n">
        <v>76</v>
      </c>
      <c r="K59" s="258" t="n">
        <v>76</v>
      </c>
      <c r="L59" s="258" t="n">
        <v>76</v>
      </c>
      <c r="M59" s="258" t="n">
        <v>303</v>
      </c>
      <c r="N59" s="258" t="n">
        <v>76</v>
      </c>
      <c r="O59" s="258" t="n">
        <v>76</v>
      </c>
      <c r="P59" s="258" t="n">
        <v>76</v>
      </c>
      <c r="Q59" s="258" t="n">
        <v>76</v>
      </c>
      <c r="R59" s="258" t="n">
        <v>303</v>
      </c>
      <c r="S59" s="258" t="n">
        <v>76</v>
      </c>
      <c r="T59" s="34" t="n"/>
      <c r="U59" s="153" t="n"/>
      <c r="V59" s="153" t="n"/>
      <c r="W59" s="153" t="n"/>
      <c r="X59" s="153" t="n"/>
      <c r="Y59" s="153" t="n"/>
      <c r="Z59" s="153" t="n"/>
      <c r="AA59" s="153" t="n"/>
      <c r="AB59" s="153" t="n"/>
      <c r="AC59" s="153" t="n"/>
    </row>
    <row r="60" ht="15" customHeight="1" s="251">
      <c r="B60" s="156" t="inlineStr">
        <is>
          <t xml:space="preserve">  S&amp;P Global Mobility adjusted operating profit</t>
        </is>
      </c>
      <c r="C60" s="34" t="n"/>
      <c r="D60" s="258" t="n">
        <v>140</v>
      </c>
      <c r="E60" s="258" t="n">
        <v>149</v>
      </c>
      <c r="F60" s="258" t="n">
        <v>160</v>
      </c>
      <c r="G60" s="258" t="n">
        <v>127</v>
      </c>
      <c r="H60" s="258" t="n">
        <v>576</v>
      </c>
      <c r="I60" s="258" t="n">
        <v>147</v>
      </c>
      <c r="J60" s="258" t="n">
        <v>164</v>
      </c>
      <c r="K60" s="258" t="n">
        <v>174</v>
      </c>
      <c r="L60" s="258" t="n">
        <v>143</v>
      </c>
      <c r="M60" s="258" t="n">
        <v>627</v>
      </c>
      <c r="N60" s="258" t="n">
        <v>162</v>
      </c>
      <c r="O60" s="258" t="n">
        <v>185</v>
      </c>
      <c r="P60" s="258" t="n">
        <v>193</v>
      </c>
      <c r="Q60" s="258" t="n">
        <v>157</v>
      </c>
      <c r="R60" s="258" t="n">
        <v>697</v>
      </c>
      <c r="S60" s="258" t="n">
        <v>182</v>
      </c>
      <c r="T60" s="34" t="n"/>
      <c r="U60" s="153" t="n"/>
      <c r="V60" s="153" t="n"/>
      <c r="W60" s="153" t="n"/>
      <c r="X60" s="153" t="n"/>
      <c r="Y60" s="153" t="n"/>
      <c r="Z60" s="153" t="n"/>
      <c r="AA60" s="153" t="n"/>
      <c r="AB60" s="153" t="n"/>
      <c r="AC60" s="153" t="n"/>
      <c r="AE60" s="20" t="str">
        <f>IFERROR((AB60/W60)^(1/5)-1,"n/m")</f>
        <v>n/m</v>
      </c>
      <c r="AF60" s="20">
        <f>IFERROR((R60/H60)^(1/2)-1,"n/m")</f>
        <v>0.100031565203674</v>
      </c>
      <c r="AG60" s="20">
        <f>IFERROR(R60/M60-1,"n/m")</f>
        <v>0.111642743221691</v>
      </c>
      <c r="AH60" s="20" t="str">
        <f>IFERROR((R60/C60)^(1/3)-1,"n/m")</f>
        <v>n/m</v>
      </c>
    </row>
    <row r="61" ht="15" customHeight="1" s="251">
      <c r="B61" s="25" t="inlineStr">
        <is>
          <t xml:space="preserve">    Adjusted operating margin %</t>
        </is>
      </c>
      <c r="C61" s="215">
        <f>IF(AND(ISNUMBER(C60),ISNUMBER(C53)),IFERROR(C60/C53,""),"")</f>
      </c>
      <c r="D61" s="215">
        <f>IF(AND(ISNUMBER(D60),ISNUMBER(D53)),IFERROR(D60/D53,""),"")</f>
        <v>0.391061452513966</v>
      </c>
      <c r="E61" s="215">
        <f>IF(AND(ISNUMBER(E60),ISNUMBER(E53)),IFERROR(E60/E53,""),"")</f>
        <v>0.403794037940379</v>
      </c>
      <c r="F61" s="215">
        <f>IF(AND(ISNUMBER(F60),ISNUMBER(F53)),IFERROR(F60/F53,""),"")</f>
        <v>0.422163588390501</v>
      </c>
      <c r="G61" s="215">
        <f>IF(AND(ISNUMBER(G60),ISNUMBER(G53)),IFERROR(G60/G53,""),"")</f>
        <v>0.336870026525199</v>
      </c>
      <c r="H61" s="215">
        <f>IF(AND(ISNUMBER(H60),ISNUMBER(H53)),IFERROR(H60/H53,""),"")</f>
        <v>0.388140161725067</v>
      </c>
      <c r="I61" s="215">
        <f>IF(AND(ISNUMBER(I60),ISNUMBER(I53)),IFERROR(I60/I53,""),"")</f>
        <v>0.380829015544041</v>
      </c>
      <c r="J61" s="215">
        <f>IF(AND(ISNUMBER(J60),ISNUMBER(J53)),IFERROR(J60/J53,""),"")</f>
        <v>0.41</v>
      </c>
      <c r="K61" s="215">
        <f>IF(AND(ISNUMBER(K60),ISNUMBER(K53)),IFERROR(K60/K53,""),"")</f>
        <v>0.422330097087379</v>
      </c>
      <c r="L61" s="215">
        <f>IF(AND(ISNUMBER(L60),ISNUMBER(L53)),IFERROR(L60/L53,""),"")</f>
        <v>0.347931873479319</v>
      </c>
      <c r="M61" s="215">
        <f>IF(AND(ISNUMBER(M60),ISNUMBER(M53)),IFERROR(M60/M53,""),"")</f>
        <v>0.389683032939714</v>
      </c>
      <c r="N61" s="215">
        <f>IF(AND(ISNUMBER(N60),ISNUMBER(N53)),IFERROR(N60/N53,""),"")</f>
        <v>0.385714285714286</v>
      </c>
      <c r="O61" s="215">
        <f>IF(AND(ISNUMBER(O60),ISNUMBER(O53)),IFERROR(O60/O53,""),"")</f>
        <v>0.422374429223744</v>
      </c>
      <c r="P61" s="215">
        <f>IF(AND(ISNUMBER(P60),ISNUMBER(P53)),IFERROR(P60/P53,""),"")</f>
        <v>0.433707865168539</v>
      </c>
      <c r="Q61" s="215">
        <f>IF(AND(ISNUMBER(Q60),ISNUMBER(Q53)),IFERROR(Q60/Q53,""),"")</f>
        <v>0.353603603603604</v>
      </c>
      <c r="R61" s="215">
        <f>IF(AND(ISNUMBER(R60),ISNUMBER(R53)),IFERROR(R60/R53,""),"")</f>
        <v>0.398969662278191</v>
      </c>
      <c r="S61" s="215">
        <f>IF(AND(ISNUMBER(S60),ISNUMBER(S53)),IFERROR(S60/S53,""),"")</f>
        <v>0.400881057268723</v>
      </c>
      <c r="T61" s="215">
        <f>IF(AND(ISNUMBER(T60),ISNUMBER(T53)),IFERROR(T60/T53,""),"")</f>
      </c>
      <c r="U61" s="256">
        <f>IF(AND(ISNUMBER(U60),ISNUMBER(U53)),IFERROR(U60/U53,""),"")</f>
      </c>
      <c r="V61" s="256">
        <f>IF(AND(ISNUMBER(V60),ISNUMBER(V53)),IFERROR(V60/V53,""),"")</f>
      </c>
      <c r="W61" s="256">
        <f>IF(AND(ISNUMBER(W60),ISNUMBER(W53)),IFERROR(W60/W53,""),"")</f>
      </c>
      <c r="X61" s="256">
        <f>IF(AND(ISNUMBER(X60),ISNUMBER(X53)),IFERROR(X60/X53,""),"")</f>
      </c>
      <c r="Y61" s="256">
        <f>IF(AND(ISNUMBER(Y60),ISNUMBER(Y53)),IFERROR(Y60/Y53,""),"")</f>
      </c>
      <c r="Z61" s="256">
        <f>IF(AND(ISNUMBER(Z60),ISNUMBER(Z53)),IFERROR(Z60/Z53,""),"")</f>
      </c>
      <c r="AA61" s="256">
        <f>IF(AND(ISNUMBER(AA60),ISNUMBER(AA53)),IFERROR(AA60/AA53,""),"")</f>
      </c>
      <c r="AB61" s="256">
        <f>IF(AND(ISNUMBER(AB60),ISNUMBER(AB53)),IFERROR(AB60/AB53,""),"")</f>
      </c>
      <c r="AC61" s="153" t="n"/>
      <c r="AE61" s="37" t="str">
        <f>IFERROR(AVERAGE(X61,Y61,Z61,AA61,AB61),"n/m")</f>
        <v>n/m</v>
      </c>
      <c r="AF61" s="37">
        <f>IFERROR(AVERAGE(H61,M61,R61),"n/m")</f>
        <v>0.392264285647658</v>
      </c>
      <c r="AG61" s="37">
        <f>IFERROR(AVERAGE(M61,R61),"n/m")</f>
        <v>0.394326347608953</v>
      </c>
      <c r="AH61" s="37">
        <f>IFERROR(AVERAGE(C61,H61,M61,R61),"n/m")</f>
        <v>0.392264285647658</v>
      </c>
    </row>
    <row r="62" ht="15" customHeight="1" s="251">
      <c r="B62" s="57" t="inlineStr">
        <is>
          <t xml:space="preserve">  Check: S&amp;P Global OP + adjustments + amortization vs adjusted OP (should be 0; ±1 S&amp;P Global rounding)</t>
        </is>
      </c>
      <c r="C62" s="211">
        <f>IF(AND(ISNUMBER(C58),ISNUMBER(C60)),IF(ABS(C57+C58+C59-C60)&lt;=1,0,C57+C58+C59-C60),"")</f>
      </c>
      <c r="D62" s="211">
        <f>IF(AND(ISNUMBER(D58),ISNUMBER(D60)),IF(ABS(D57+D58+D59-D60)&lt;=1,0,D57+D58+D59-D60),"")</f>
        <v>0</v>
      </c>
      <c r="E62" s="211">
        <f>IF(AND(ISNUMBER(E58),ISNUMBER(E60)),IF(ABS(E57+E58+E59-E60)&lt;=1,0,E57+E58+E59-E60),"")</f>
        <v>0</v>
      </c>
      <c r="F62" s="211">
        <f>IF(AND(ISNUMBER(F58),ISNUMBER(F60)),IF(ABS(F57+F58+F59-F60)&lt;=1,0,F57+F58+F59-F60),"")</f>
        <v>0</v>
      </c>
      <c r="G62" s="211">
        <f>IF(AND(ISNUMBER(G58),ISNUMBER(G60)),IF(ABS(G57+G58+G59-G60)&lt;=1,0,G57+G58+G59-G60),"")</f>
        <v>0</v>
      </c>
      <c r="H62" s="211">
        <f>IF(AND(ISNUMBER(H58),ISNUMBER(H60)),IF(ABS(H57+H58+H59-H60)&lt;=1,0,H57+H58+H59-H60),"")</f>
        <v>0</v>
      </c>
      <c r="I62" s="211">
        <f>IF(AND(ISNUMBER(I58),ISNUMBER(I60)),IF(ABS(I57+I58+I59-I60)&lt;=1,0,I57+I58+I59-I60),"")</f>
        <v>0</v>
      </c>
      <c r="J62" s="211">
        <f>IF(AND(ISNUMBER(J58),ISNUMBER(J60)),IF(ABS(J57+J58+J59-J60)&lt;=1,0,J57+J58+J59-J60),"")</f>
        <v>0</v>
      </c>
      <c r="K62" s="211">
        <f>IF(AND(ISNUMBER(K58),ISNUMBER(K60)),IF(ABS(K57+K58+K59-K60)&lt;=1,0,K57+K58+K59-K60),"")</f>
        <v>0</v>
      </c>
      <c r="L62" s="211">
        <f>IF(AND(ISNUMBER(L58),ISNUMBER(L60)),IF(ABS(L57+L58+L59-L60)&lt;=1,0,L57+L58+L59-L60),"")</f>
        <v>0</v>
      </c>
      <c r="M62" s="211">
        <f>IF(AND(ISNUMBER(M58),ISNUMBER(M60)),IF(ABS(M57+M58+M59-M60)&lt;=1,0,M57+M58+M59-M60),"")</f>
        <v>0</v>
      </c>
      <c r="N62" s="211">
        <f>IF(AND(ISNUMBER(N58),ISNUMBER(N60)),IF(ABS(N57+N58+N59-N60)&lt;=1,0,N57+N58+N59-N60),"")</f>
        <v>0</v>
      </c>
      <c r="O62" s="211">
        <f>IF(AND(ISNUMBER(O58),ISNUMBER(O60)),IF(ABS(O57+O58+O59-O60)&lt;=1,0,O57+O58+O59-O60),"")</f>
        <v>0</v>
      </c>
      <c r="P62" s="211">
        <f>IF(AND(ISNUMBER(P58),ISNUMBER(P60)),IF(ABS(P57+P58+P59-P60)&lt;=1,0,P57+P58+P59-P60),"")</f>
        <v>0</v>
      </c>
      <c r="Q62" s="211">
        <f>IF(AND(ISNUMBER(Q58),ISNUMBER(Q60)),IF(ABS(Q57+Q58+Q59-Q60)&lt;=1,0,Q57+Q58+Q59-Q60),"")</f>
        <v>0</v>
      </c>
      <c r="R62" s="211">
        <f>IF(AND(ISNUMBER(R58),ISNUMBER(R60)),IF(ABS(R57+R58+R59-R60)&lt;=1,0,R57+R58+R59-R60),"")</f>
        <v>0</v>
      </c>
      <c r="S62" s="211">
        <f>IF(AND(ISNUMBER(S58),ISNUMBER(S60)),IF(ABS(S57+S58+S59-S60)&lt;=1,0,S57+S58+S59-S60),"")</f>
        <v>0</v>
      </c>
      <c r="T62" s="211">
        <f>IF(AND(ISNUMBER(T58),ISNUMBER(T60)),IF(ABS(T57+T58+T59-T60)&lt;=1,0,T57+T58+T59-T60),"")</f>
      </c>
      <c r="U62" s="153" t="n"/>
      <c r="V62" s="153" t="n"/>
      <c r="W62" s="153" t="n"/>
      <c r="X62" s="153" t="n"/>
      <c r="Y62" s="153" t="n"/>
      <c r="Z62" s="153" t="n"/>
      <c r="AA62" s="153" t="n"/>
      <c r="AB62" s="153" t="n"/>
      <c r="AC62" s="153" t="n"/>
    </row>
    <row r="63" ht="15" customHeight="1" s="251">
      <c r="B63" s="156" t="inlineStr">
        <is>
          <t xml:space="preserve">  Basis difference: carve-out revenue − S&amp;P Global segment revenue (information)</t>
        </is>
      </c>
      <c r="C63" s="211">
        <f>IF(AND(ISNUMBER(C115),ISNUMBER(C53)),C115-C53,"")</f>
      </c>
      <c r="D63" s="211">
        <f>IF(AND(ISNUMBER(D115),ISNUMBER(D53)),D115-D53,"")</f>
      </c>
      <c r="E63" s="211">
        <f>IF(AND(ISNUMBER(E115),ISNUMBER(E53)),E115-E53,"")</f>
      </c>
      <c r="F63" s="211">
        <f>IF(AND(ISNUMBER(F115),ISNUMBER(F53)),F115-F53,"")</f>
      </c>
      <c r="G63" s="211">
        <f>IF(AND(ISNUMBER(G115),ISNUMBER(G53)),G115-G53,"")</f>
      </c>
      <c r="H63" s="211">
        <f>IF(AND(ISNUMBER(H115),ISNUMBER(H53)),H115-H53,"")</f>
        <v>1</v>
      </c>
      <c r="I63" s="211">
        <f>IF(AND(ISNUMBER(I115),ISNUMBER(I53)),I115-I53,"")</f>
      </c>
      <c r="J63" s="211">
        <f>IF(AND(ISNUMBER(J115),ISNUMBER(J53)),J115-J53,"")</f>
      </c>
      <c r="K63" s="211">
        <f>IF(AND(ISNUMBER(K115),ISNUMBER(K53)),K115-K53,"")</f>
      </c>
      <c r="L63" s="211">
        <f>IF(AND(ISNUMBER(L115),ISNUMBER(L53)),L115-L53,"")</f>
      </c>
      <c r="M63" s="211">
        <f>IF(AND(ISNUMBER(M115),ISNUMBER(M53)),M115-M53,"")</f>
        <v>4</v>
      </c>
      <c r="N63" s="211">
        <f>IF(AND(ISNUMBER(N115),ISNUMBER(N53)),N115-N53,"")</f>
        <v>0</v>
      </c>
      <c r="O63" s="211">
        <f>IF(AND(ISNUMBER(O115),ISNUMBER(O53)),O115-O53,"")</f>
        <v>1</v>
      </c>
      <c r="P63" s="211">
        <f>IF(AND(ISNUMBER(P115),ISNUMBER(P53)),P115-P53,"")</f>
        <v>0</v>
      </c>
      <c r="Q63" s="211">
        <f>IF(AND(ISNUMBER(Q115),ISNUMBER(Q53)),Q115-Q53,"")</f>
        <v>2</v>
      </c>
      <c r="R63" s="211">
        <f>IF(AND(ISNUMBER(R115),ISNUMBER(R53)),R115-R53,"")</f>
        <v>3</v>
      </c>
      <c r="S63" s="211">
        <f>IF(AND(ISNUMBER(S115),ISNUMBER(S53)),S115-S53,"")</f>
        <v>1</v>
      </c>
      <c r="T63" s="211">
        <f>IF(AND(ISNUMBER(T115),ISNUMBER(T53)),T115-T53,"")</f>
        <v>0</v>
      </c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153" t="inlineStr">
        <is>
          <t>Carve-out revenue exceeds the S&amp;P Global segment by $0–4m (FY23 +1, FY24 +4, FY25 +3; Q4-25 +2): rounding and minor intercompany items.</t>
        </is>
      </c>
    </row>
    <row r="64" ht="15" customHeight="1" s="251">
      <c r="B64" s="25" t="inlineStr">
        <is>
          <t xml:space="preserve">    as % of revenue</t>
        </is>
      </c>
      <c r="C64" s="215">
        <f>IF(ISNUMBER(C63),C63/C115,"")</f>
      </c>
      <c r="D64" s="215">
        <f>IF(ISNUMBER(D63),D63/D115,"")</f>
      </c>
      <c r="E64" s="215">
        <f>IF(ISNUMBER(E63),E63/E115,"")</f>
      </c>
      <c r="F64" s="215">
        <f>IF(ISNUMBER(F63),F63/F115,"")</f>
      </c>
      <c r="G64" s="215">
        <f>IF(ISNUMBER(G63),G63/G115,"")</f>
      </c>
      <c r="H64" s="215">
        <f>IF(ISNUMBER(H63),H63/H115,"")</f>
        <v>0.000673400673400673</v>
      </c>
      <c r="I64" s="215">
        <f>IF(ISNUMBER(I63),I63/I115,"")</f>
      </c>
      <c r="J64" s="215">
        <f>IF(ISNUMBER(J63),J63/J115,"")</f>
      </c>
      <c r="K64" s="215">
        <f>IF(ISNUMBER(K63),K63/K115,"")</f>
      </c>
      <c r="L64" s="215">
        <f>IF(ISNUMBER(L63),L63/L115,"")</f>
      </c>
      <c r="M64" s="215">
        <f>IF(ISNUMBER(M63),M63/M115,"")</f>
        <v>0.00247985120892746</v>
      </c>
      <c r="N64" s="215">
        <f>IF(ISNUMBER(N63),N63/N115,"")</f>
        <v>0</v>
      </c>
      <c r="O64" s="215">
        <f>IF(ISNUMBER(O63),O63/O115,"")</f>
        <v>0.00227790432801822</v>
      </c>
      <c r="P64" s="215">
        <f>IF(ISNUMBER(P63),P63/P115,"")</f>
        <v>0</v>
      </c>
      <c r="Q64" s="215">
        <f>IF(ISNUMBER(Q63),Q63/Q115,"")</f>
        <v>0.00448430493273543</v>
      </c>
      <c r="R64" s="215">
        <f>IF(ISNUMBER(R63),R63/R115,"")</f>
        <v>0.00171428571428571</v>
      </c>
      <c r="S64" s="215">
        <f>IF(ISNUMBER(S63),S63/S115,"")</f>
        <v>0.0021978021978022</v>
      </c>
      <c r="T64" s="215">
        <f>IF(ISNUMBER(T63),T63/T115,"")</f>
        <v>0</v>
      </c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153" t="n"/>
    </row>
    <row r="65" ht="15" customHeight="1" s="251">
      <c r="B65" s="156" t="inlineStr">
        <is>
          <t xml:space="preserve">  Carve-out segment Adjusted OP (CARFAX + B2B, before corporate) − S&amp;P Global adjusted OP (information)</t>
        </is>
      </c>
      <c r="C65" s="211">
        <f>IF(AND(ISNUMBER(C26),ISNUMBER(C60)),C26+C44-C60,"")</f>
      </c>
      <c r="D65" s="211">
        <f>IF(AND(ISNUMBER(D26),ISNUMBER(D60)),D26+D44-D60,"")</f>
      </c>
      <c r="E65" s="211">
        <f>IF(AND(ISNUMBER(E26),ISNUMBER(E60)),E26+E44-E60,"")</f>
      </c>
      <c r="F65" s="211">
        <f>IF(AND(ISNUMBER(F26),ISNUMBER(F60)),F26+F44-F60,"")</f>
      </c>
      <c r="G65" s="211">
        <f>IF(AND(ISNUMBER(G26),ISNUMBER(G60)),G26+G44-G60,"")</f>
      </c>
      <c r="H65" s="211">
        <f>IF(AND(ISNUMBER(H26),ISNUMBER(H60)),H26+H44-H60,"")</f>
        <v>5</v>
      </c>
      <c r="I65" s="211">
        <f>IF(AND(ISNUMBER(I26),ISNUMBER(I60)),I26+I44-I60,"")</f>
      </c>
      <c r="J65" s="211">
        <f>IF(AND(ISNUMBER(J26),ISNUMBER(J60)),J26+J44-J60,"")</f>
      </c>
      <c r="K65" s="211">
        <f>IF(AND(ISNUMBER(K26),ISNUMBER(K60)),K26+K44-K60,"")</f>
      </c>
      <c r="L65" s="211">
        <f>IF(AND(ISNUMBER(L26),ISNUMBER(L60)),L26+L44-L60,"")</f>
      </c>
      <c r="M65" s="211">
        <f>IF(AND(ISNUMBER(M26),ISNUMBER(M60)),M26+M44-M60,"")</f>
        <v>11</v>
      </c>
      <c r="N65" s="211">
        <f>IF(AND(ISNUMBER(N26),ISNUMBER(N60)),N26+N44-N60,"")</f>
        <v>3</v>
      </c>
      <c r="O65" s="211">
        <f>IF(AND(ISNUMBER(O26),ISNUMBER(O60)),O26+O44-O60,"")</f>
      </c>
      <c r="P65" s="211">
        <f>IF(AND(ISNUMBER(P26),ISNUMBER(P60)),P26+P44-P60,"")</f>
      </c>
      <c r="Q65" s="211">
        <f>IF(AND(ISNUMBER(Q26),ISNUMBER(Q60)),Q26+Q44-Q60,"")</f>
      </c>
      <c r="R65" s="211">
        <f>IF(AND(ISNUMBER(R26),ISNUMBER(R60)),R26+R44-R60,"")</f>
        <v>0</v>
      </c>
      <c r="S65" s="211">
        <f>IF(AND(ISNUMBER(S26),ISNUMBER(S60)),S26+S44-S60,"")</f>
        <v>-1</v>
      </c>
      <c r="T65" s="211">
        <f>IF(AND(ISNUMBER(T26),ISNUMBER(T60)),T26+T44-T60,"")</f>
      </c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153" t="inlineStr">
        <is>
          <t>FY2025: 0 (514 + 183 = 697, the 2025 allocation methodology matches); FY2023 +5 and FY2024 +11 (segment cost allocations refined in 2025). Corporate unallocated cost sits outside both.</t>
        </is>
      </c>
    </row>
    <row r="66" ht="15" customHeight="1" s="251">
      <c r="B66" s="16" t="inlineStr">
        <is>
          <t xml:space="preserve">  Revenue — spliced history (carve-out where filed, S&amp;P Global segment otherwise)</t>
        </is>
      </c>
      <c r="C66" s="263">
        <f>IF(ISNUMBER(C115),C115,IF(ISNUMBER(C53),C53,""))</f>
        <v>1351</v>
      </c>
      <c r="D66" s="263">
        <f>IF(ISNUMBER(D115),D115,IF(ISNUMBER(D53),D53,""))</f>
        <v>358</v>
      </c>
      <c r="E66" s="263">
        <f>IF(ISNUMBER(E115),E115,IF(ISNUMBER(E53),E53,""))</f>
        <v>369</v>
      </c>
      <c r="F66" s="263">
        <f>IF(ISNUMBER(F115),F115,IF(ISNUMBER(F53),F53,""))</f>
        <v>379</v>
      </c>
      <c r="G66" s="263">
        <f>IF(ISNUMBER(G115),G115,IF(ISNUMBER(G53),G53,""))</f>
        <v>377</v>
      </c>
      <c r="H66" s="263">
        <f>IF(ISNUMBER(H115),H115,IF(ISNUMBER(H53),H53,""))</f>
        <v>1485</v>
      </c>
      <c r="I66" s="263">
        <f>IF(ISNUMBER(I115),I115,IF(ISNUMBER(I53),I53,""))</f>
        <v>386</v>
      </c>
      <c r="J66" s="263">
        <f>IF(ISNUMBER(J115),J115,IF(ISNUMBER(J53),J53,""))</f>
        <v>400</v>
      </c>
      <c r="K66" s="263">
        <f>IF(ISNUMBER(K115),K115,IF(ISNUMBER(K53),K53,""))</f>
        <v>412</v>
      </c>
      <c r="L66" s="263">
        <f>IF(ISNUMBER(L115),L115,IF(ISNUMBER(L53),L53,""))</f>
        <v>411</v>
      </c>
      <c r="M66" s="263">
        <f>IF(ISNUMBER(M115),M115,IF(ISNUMBER(M53),M53,""))</f>
        <v>1613</v>
      </c>
      <c r="N66" s="263">
        <f>IF(ISNUMBER(N115),N115,IF(ISNUMBER(N53),N53,""))</f>
        <v>420</v>
      </c>
      <c r="O66" s="263">
        <f>IF(ISNUMBER(O115),O115,IF(ISNUMBER(O53),O53,""))</f>
        <v>439</v>
      </c>
      <c r="P66" s="263">
        <f>IF(ISNUMBER(P115),P115,IF(ISNUMBER(P53),P53,""))</f>
        <v>445</v>
      </c>
      <c r="Q66" s="263">
        <f>IF(ISNUMBER(Q115),Q115,IF(ISNUMBER(Q53),Q53,""))</f>
        <v>446</v>
      </c>
      <c r="R66" s="263">
        <f>IF(ISNUMBER(R115),R115,IF(ISNUMBER(R53),R53,""))</f>
        <v>1750</v>
      </c>
      <c r="S66" s="263">
        <f>IF(ISNUMBER(S115),S115,IF(ISNUMBER(S53),S53,""))</f>
        <v>455</v>
      </c>
      <c r="T66" s="263">
        <f>IF(ISNUMBER(T115),T115,IF(ISNUMBER(T53),T53,""))</f>
        <v>468</v>
      </c>
      <c r="U66" s="254">
        <f>U115</f>
        <v>476.762115876344</v>
      </c>
      <c r="V66" s="254">
        <f>V115</f>
        <v>477.737884123656</v>
      </c>
      <c r="W66" s="254">
        <f>W115</f>
        <v>1877.5</v>
      </c>
      <c r="X66" s="254">
        <f>X115</f>
        <v>2008.3759285126</v>
      </c>
      <c r="Y66" s="254">
        <f>Y115</f>
        <v>2146.09166087893</v>
      </c>
      <c r="Z66" s="254">
        <f>Z115</f>
        <v>2285.74374662998</v>
      </c>
      <c r="AA66" s="254">
        <f>AA115</f>
        <v>2430.28014250696</v>
      </c>
      <c r="AB66" s="254">
        <f>AB115</f>
        <v>2577.1343904769</v>
      </c>
      <c r="AC66" s="153" t="inlineStr">
        <is>
          <t>Comparable revenue series for growth analysis: FY2022 (pro forma) and Q1-23 – Q4-24 from S&amp;P Global (black = formula on the memo rows); carve-out thereafter.</t>
        </is>
      </c>
      <c r="AE66" s="20">
        <f>IFERROR((AB66/W66)^(1/5)-1,"n/m")</f>
        <v>0.0653968886364085</v>
      </c>
      <c r="AF66" s="20">
        <f>IFERROR((R66/H66)^(1/2)-1,"n/m")</f>
        <v>0.0855649121315494</v>
      </c>
      <c r="AG66" s="20">
        <f>IFERROR(R66/M66-1,"n/m")</f>
        <v>0.0849349039057656</v>
      </c>
      <c r="AH66" s="20">
        <f>IFERROR((R66/C66)^(1/3)-1,"n/m")</f>
        <v>0.0900863460382644</v>
      </c>
    </row>
    <row r="67" ht="15" customHeight="1" s="251">
      <c r="B67" s="22" t="inlineStr">
        <is>
          <t xml:space="preserve">    y/y % (spliced)</t>
        </is>
      </c>
      <c r="C67" s="23" t="n"/>
      <c r="D67" s="23" t="n"/>
      <c r="E67" s="23" t="n"/>
      <c r="F67" s="23" t="n"/>
      <c r="G67" s="23" t="n"/>
      <c r="H67" s="255">
        <f>IF(AND(ISNUMBER(H66),ISNUMBER(C66)),IFERROR(H66/C66-1,""),"")</f>
        <v>0.0991857883049594</v>
      </c>
      <c r="I67" s="255">
        <f>IF(AND(ISNUMBER(I66),ISNUMBER(D66)),IFERROR(I66/D66-1,""),"")</f>
        <v>0.0782122905027933</v>
      </c>
      <c r="J67" s="255">
        <f>IF(AND(ISNUMBER(J66),ISNUMBER(E66)),IFERROR(J66/E66-1,""),"")</f>
        <v>0.084010840108401</v>
      </c>
      <c r="K67" s="255">
        <f>IF(AND(ISNUMBER(K66),ISNUMBER(F66)),IFERROR(K66/F66-1,""),"")</f>
        <v>0.0870712401055409</v>
      </c>
      <c r="L67" s="255">
        <f>IF(AND(ISNUMBER(L66),ISNUMBER(G66)),IFERROR(L66/G66-1,""),"")</f>
        <v>0.090185676392573</v>
      </c>
      <c r="M67" s="255">
        <f>IF(AND(ISNUMBER(M66),ISNUMBER(H66)),IFERROR(M66/H66-1,""),"")</f>
        <v>0.0861952861952862</v>
      </c>
      <c r="N67" s="255">
        <f>IF(AND(ISNUMBER(N66),ISNUMBER(I66)),IFERROR(N66/I66-1,""),"")</f>
        <v>0.0880829015544042</v>
      </c>
      <c r="O67" s="255">
        <f>IF(AND(ISNUMBER(O66),ISNUMBER(J66)),IFERROR(O66/J66-1,""),"")</f>
        <v>0.0974999999999999</v>
      </c>
      <c r="P67" s="255">
        <f>IF(AND(ISNUMBER(P66),ISNUMBER(K66)),IFERROR(P66/K66-1,""),"")</f>
        <v>0.0800970873786409</v>
      </c>
      <c r="Q67" s="255">
        <f>IF(AND(ISNUMBER(Q66),ISNUMBER(L66)),IFERROR(Q66/L66-1,""),"")</f>
        <v>0.0851581508515815</v>
      </c>
      <c r="R67" s="255">
        <f>IF(AND(ISNUMBER(R66),ISNUMBER(M66)),IFERROR(R66/M66-1,""),"")</f>
        <v>0.0849349039057656</v>
      </c>
      <c r="S67" s="255">
        <f>IF(AND(ISNUMBER(S66),ISNUMBER(N66)),IFERROR(S66/N66-1,""),"")</f>
        <v>0.0833333333333333</v>
      </c>
      <c r="T67" s="255">
        <f>IF(AND(ISNUMBER(T66),ISNUMBER(O66)),IFERROR(T66/O66-1,""),"")</f>
        <v>0.0660592255125285</v>
      </c>
      <c r="U67" s="256">
        <f>IF(AND(ISNUMBER(U66),ISNUMBER(P66)),IFERROR(U66/P66-1,""),"")</f>
        <v>0.0713755412951558</v>
      </c>
      <c r="V67" s="256">
        <f>IF(AND(ISNUMBER(V66),ISNUMBER(Q66)),IFERROR(V66/Q66-1,""),"")</f>
        <v>0.0711611751651471</v>
      </c>
      <c r="W67" s="256">
        <f>IF(AND(ISNUMBER(W66),ISNUMBER(R66)),IFERROR(W66/R66-1,""),"")</f>
        <v>0.072857142857143</v>
      </c>
      <c r="X67" s="256">
        <f>IF(AND(ISNUMBER(X66),ISNUMBER(W66)),IFERROR(X66/W66-1,""),"")</f>
        <v>0.0697075518043127</v>
      </c>
      <c r="Y67" s="256">
        <f>IF(AND(ISNUMBER(Y66),ISNUMBER(X66)),IFERROR(Y66/X66-1,""),"")</f>
        <v>0.0685706945652951</v>
      </c>
      <c r="Z67" s="256">
        <f>IF(AND(ISNUMBER(Z66),ISNUMBER(Y66)),IFERROR(Z66/Y66-1,""),"")</f>
        <v>0.0650727498255428</v>
      </c>
      <c r="AA67" s="256">
        <f>IF(AND(ISNUMBER(AA66),ISNUMBER(Z66)),IFERROR(AA66/Z66-1,""),"")</f>
        <v>0.0632338581654575</v>
      </c>
      <c r="AB67" s="256">
        <f>IF(AND(ISNUMBER(AB66),ISNUMBER(AA66)),IFERROR(AB66/AA66-1,""),"")</f>
        <v>0.0604268805893504</v>
      </c>
      <c r="AC67" s="153" t="n"/>
      <c r="AE67" s="37">
        <f>IFERROR(AVERAGE(X67,Y67,Z67,AA67,AB67),"n/m")</f>
        <v>0.0654023469899917</v>
      </c>
      <c r="AF67" s="37">
        <f>IFERROR(AVERAGE(H67,M67,R67),"n/m")</f>
        <v>0.0901053261353371</v>
      </c>
      <c r="AG67" s="37">
        <f>IFERROR(AVERAGE(M67,R67),"n/m")</f>
        <v>0.0855650950505259</v>
      </c>
      <c r="AH67" s="37">
        <f>IFERROR(AVERAGE(C67,H67,M67,R67),"n/m")</f>
        <v>0.0901053261353371</v>
      </c>
    </row>
    <row r="68" ht="15" customHeight="1" s="251">
      <c r="B68" s="158" t="inlineStr">
        <is>
          <t xml:space="preserve">    Basis of the spliced series</t>
        </is>
      </c>
      <c r="C68" s="264" t="inlineStr">
        <is>
          <t>S&amp;P Global pro forma (full year)</t>
        </is>
      </c>
      <c r="D68" s="264" t="inlineStr">
        <is>
          <t>S&amp;P Global segment (2023–24 quarters)</t>
        </is>
      </c>
      <c r="H68" s="264" t="inlineStr">
        <is>
          <t>Carve-out (Form 10)</t>
        </is>
      </c>
      <c r="N68" s="264" t="inlineStr">
        <is>
          <t>Carve-out (Form 10 / 10-Q / Ex. 99.2)</t>
        </is>
      </c>
      <c r="U68" s="153" t="n"/>
      <c r="V68" s="153" t="n"/>
      <c r="W68" s="153" t="n"/>
      <c r="X68" s="153" t="n"/>
      <c r="Y68" s="153" t="n"/>
      <c r="Z68" s="153" t="n"/>
      <c r="AA68" s="153" t="n"/>
      <c r="AB68" s="153" t="n"/>
      <c r="AC68" s="19" t="n"/>
    </row>
    <row r="69" ht="15" customHeight="1" s="251">
      <c r="AK69" s="11" t="n"/>
      <c r="AL69" s="12" t="n"/>
      <c r="AM69" s="12" t="n"/>
      <c r="AN69" s="12" t="n"/>
      <c r="AO69" s="13" t="n"/>
    </row>
    <row r="70" ht="15" customHeight="1" s="251">
      <c r="B70" s="14" t="inlineStr">
        <is>
          <t>Future acquisitions (M&amp;A lever — tuck-ins; none announced)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5" t="inlineStr">
        <is>
          <t>M&amp;A LEVER — acquired revenue = spend ÷ EV/sales; mid-year convention</t>
        </is>
      </c>
    </row>
    <row r="71" ht="15" customHeight="1" s="251">
      <c r="B71" s="25" t="inlineStr">
        <is>
          <t xml:space="preserve">  Acquisition spend (USDm, scenario)</t>
        </is>
      </c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5" t="n"/>
      <c r="V71" s="35" t="n"/>
      <c r="W71" s="265" t="n">
        <v>0</v>
      </c>
      <c r="X71" s="266">
        <f>MAX(0,CHOOSE(MATCH($AC$2,{"Bull","Base","Bear"},0),$AL$48,$AM$48,$AN$48))</f>
        <v>0</v>
      </c>
      <c r="Y71" s="266">
        <f>MAX(0,CHOOSE(MATCH($AC$2,{"Bull","Base","Bear"},0),$AL$49,$AM$49,$AN$49))</f>
        <v>0</v>
      </c>
      <c r="Z71" s="266">
        <f>MAX(0,CHOOSE(MATCH($AC$2,{"Bull","Base","Bear"},0),$AL$50,$AM$50,$AN$50))</f>
        <v>0</v>
      </c>
      <c r="AA71" s="266">
        <f>MAX(0,CHOOSE(MATCH($AC$2,{"Bull","Base","Bear"},0),$AL$51,$AM$51,$AN$51))</f>
        <v>0</v>
      </c>
      <c r="AB71" s="266">
        <f>MAX(0,CHOOSE(MATCH($AC$2,{"Bull","Base","Bear"},0),$AL$52,$AM$52,$AN$52))</f>
        <v>0</v>
      </c>
      <c r="AC71" s="19" t="inlineStr">
        <is>
          <t>Scenario lever M&amp;A_spend (Base nil; no acquisitions announced). Funded from cash / revolver (debt schedule).</t>
        </is>
      </c>
    </row>
    <row r="72" collapsed="1" ht="15" customHeight="1" s="251">
      <c r="B72" s="25" t="inlineStr">
        <is>
          <t xml:space="preserve">  Purchase multiple — EV / revenue (x)</t>
        </is>
      </c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24" t="n"/>
      <c r="V72" s="24" t="n"/>
      <c r="W72" s="267" t="n">
        <v>0</v>
      </c>
      <c r="X72" s="267" t="n">
        <v>5</v>
      </c>
      <c r="Y72" s="267" t="n">
        <v>5</v>
      </c>
      <c r="Z72" s="267" t="n">
        <v>5</v>
      </c>
      <c r="AA72" s="267" t="n">
        <v>5</v>
      </c>
      <c r="AB72" s="267" t="n">
        <v>5</v>
      </c>
      <c r="AC72" s="19" t="inlineStr">
        <is>
          <t>Assumption: data / software tuck-ins at ~5x revenue (Market Scan, Feb-2023: $214m cash).</t>
        </is>
      </c>
    </row>
    <row r="73" ht="15" customHeight="1" s="251">
      <c r="B73" s="25" t="inlineStr">
        <is>
          <t xml:space="preserve">  Annualised revenue acquired in the year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5" t="n"/>
      <c r="V73" s="35" t="n"/>
      <c r="W73" s="265" t="n">
        <v>0</v>
      </c>
      <c r="X73" s="266">
        <f>IFERROR(X71/X72,0)</f>
        <v>0</v>
      </c>
      <c r="Y73" s="266">
        <f>IFERROR(Y71/Y72,0)</f>
        <v>0</v>
      </c>
      <c r="Z73" s="266">
        <f>IFERROR(Z71/Z72,0)</f>
        <v>0</v>
      </c>
      <c r="AA73" s="266">
        <f>IFERROR(AA71/AA72,0)</f>
        <v>0</v>
      </c>
      <c r="AB73" s="266">
        <f>IFERROR(AB71/AB72,0)</f>
        <v>0</v>
      </c>
      <c r="AC73" s="19" t="n"/>
    </row>
    <row r="74" ht="15" customHeight="1" s="251">
      <c r="B74" s="25" t="inlineStr">
        <is>
          <t xml:space="preserve">  Growth of acquired businesses after acquisition %</t>
        </is>
      </c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24" t="n"/>
      <c r="V74" s="24" t="n"/>
      <c r="W74" s="262" t="n">
        <v>0</v>
      </c>
      <c r="X74" s="262" t="n">
        <v>0.06</v>
      </c>
      <c r="Y74" s="262" t="n">
        <v>0.06</v>
      </c>
      <c r="Z74" s="262" t="n">
        <v>0.06</v>
      </c>
      <c r="AA74" s="262" t="n">
        <v>0.06</v>
      </c>
      <c r="AB74" s="262" t="n">
        <v>0.06</v>
      </c>
      <c r="AC74" s="19" t="n"/>
    </row>
    <row r="75" ht="15" customHeight="1" s="251">
      <c r="B75" s="25" t="inlineStr">
        <is>
          <t xml:space="preserve">  Run-rate revenue of businesses acquired (year end)</t>
        </is>
      </c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5" t="n"/>
      <c r="V75" s="35" t="n"/>
      <c r="W75" s="265" t="n">
        <v>0</v>
      </c>
      <c r="X75" s="266">
        <f>W75*(1+X74)+X73</f>
        <v>0</v>
      </c>
      <c r="Y75" s="266">
        <f>X75*(1+Y74)+Y73</f>
        <v>0</v>
      </c>
      <c r="Z75" s="266">
        <f>Y75*(1+Z74)+Z73</f>
        <v>0</v>
      </c>
      <c r="AA75" s="266">
        <f>Z75*(1+AA74)+AA73</f>
        <v>0</v>
      </c>
      <c r="AB75" s="266">
        <f>AA75*(1+AB74)+AB73</f>
        <v>0</v>
      </c>
      <c r="AC75" s="19" t="n"/>
    </row>
    <row r="76" ht="15" customHeight="1" s="251">
      <c r="B76" s="16" t="inlineStr">
        <is>
          <t xml:space="preserve">  Revenue from future acquisitions</t>
        </is>
      </c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32" t="n"/>
      <c r="V76" s="32" t="n"/>
      <c r="W76" s="261" t="n">
        <v>0</v>
      </c>
      <c r="X76" s="254">
        <f>W75*(1+X74)+0.5*X73</f>
        <v>0</v>
      </c>
      <c r="Y76" s="254">
        <f>X75*(1+Y74)+0.5*Y73</f>
        <v>0</v>
      </c>
      <c r="Z76" s="254">
        <f>Y75*(1+Z74)+0.5*Z73</f>
        <v>0</v>
      </c>
      <c r="AA76" s="254">
        <f>Z75*(1+AA74)+0.5*AA73</f>
        <v>0</v>
      </c>
      <c r="AB76" s="254">
        <f>AA75*(1+AB74)+0.5*AB73</f>
        <v>0</v>
      </c>
      <c r="AC76" s="153" t="inlineStr">
        <is>
          <t>Mid-year convention. Unallocated to segments (separate line in the group build).</t>
        </is>
      </c>
    </row>
    <row r="77" ht="15" customHeight="1" s="251">
      <c r="B77" s="25" t="inlineStr">
        <is>
          <t xml:space="preserve">  Adjusted EBITDA margin of acquired businesses %</t>
        </is>
      </c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24" t="n"/>
      <c r="V77" s="24" t="n"/>
      <c r="W77" s="262" t="n">
        <v>0</v>
      </c>
      <c r="X77" s="262" t="n">
        <v>0.3</v>
      </c>
      <c r="Y77" s="262" t="n">
        <v>0.3</v>
      </c>
      <c r="Z77" s="262" t="n">
        <v>0.3</v>
      </c>
      <c r="AA77" s="262" t="n">
        <v>0.3</v>
      </c>
      <c r="AB77" s="262" t="n">
        <v>0.3</v>
      </c>
      <c r="AC77" s="19" t="inlineStr">
        <is>
          <t>Assumption (B2B-like margin).</t>
        </is>
      </c>
    </row>
    <row r="78" ht="15" customHeight="1" s="251">
      <c r="B78" s="25" t="inlineStr">
        <is>
          <t xml:space="preserve">  Adjusted EBITDA from future acquisitions</t>
        </is>
      </c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5" t="n"/>
      <c r="V78" s="35" t="n"/>
      <c r="W78" s="265" t="n">
        <v>0</v>
      </c>
      <c r="X78" s="266">
        <f>X76*X77</f>
        <v>0</v>
      </c>
      <c r="Y78" s="266">
        <f>Y76*Y77</f>
        <v>0</v>
      </c>
      <c r="Z78" s="266">
        <f>Z76*Z77</f>
        <v>0</v>
      </c>
      <c r="AA78" s="266">
        <f>AA76*AA77</f>
        <v>0</v>
      </c>
      <c r="AB78" s="266">
        <f>AB76*AB77</f>
        <v>0</v>
      </c>
      <c r="AC78" s="19" t="n"/>
    </row>
    <row r="79" ht="15" customHeight="1" s="251">
      <c r="B79" s="25" t="inlineStr">
        <is>
          <t xml:space="preserve">  Acquired intangibles % of spend</t>
        </is>
      </c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24" t="n"/>
      <c r="V79" s="24" t="n"/>
      <c r="W79" s="262" t="n">
        <v>0</v>
      </c>
      <c r="X79" s="262" t="n">
        <v>0.4</v>
      </c>
      <c r="Y79" s="262" t="n">
        <v>0.4</v>
      </c>
      <c r="Z79" s="262" t="n">
        <v>0.4</v>
      </c>
      <c r="AA79" s="262" t="n">
        <v>0.4</v>
      </c>
      <c r="AB79" s="262" t="n">
        <v>0.4</v>
      </c>
      <c r="AC79" s="19" t="inlineStr">
        <is>
          <t>Market Scan: $87m intangibles (customer relationships $81m / 20y, trade names $6m / 7y).</t>
        </is>
      </c>
    </row>
    <row r="80" collapsed="1" ht="15" customHeight="1" s="251">
      <c r="B80" s="25" t="inlineStr">
        <is>
          <t xml:space="preserve">  Intangible amortization life (years)</t>
        </is>
      </c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24" t="n"/>
      <c r="V80" s="24" t="n"/>
      <c r="W80" s="268" t="n">
        <v>0</v>
      </c>
      <c r="X80" s="268" t="n">
        <v>15</v>
      </c>
      <c r="Y80" s="268" t="n">
        <v>15</v>
      </c>
      <c r="Z80" s="268" t="n">
        <v>15</v>
      </c>
      <c r="AA80" s="268" t="n">
        <v>15</v>
      </c>
      <c r="AB80" s="268" t="n">
        <v>15</v>
      </c>
      <c r="AC80" s="19" t="n"/>
    </row>
    <row r="81" ht="15" customHeight="1" s="251">
      <c r="B81" s="25" t="inlineStr">
        <is>
          <t xml:space="preserve">  Cumulative acquired intangibles (gross)</t>
        </is>
      </c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5" t="n"/>
      <c r="V81" s="35" t="n"/>
      <c r="W81" s="265" t="n">
        <v>0</v>
      </c>
      <c r="X81" s="266">
        <f>W81+X71*X79</f>
        <v>0</v>
      </c>
      <c r="Y81" s="266">
        <f>X81+Y71*Y79</f>
        <v>0</v>
      </c>
      <c r="Z81" s="266">
        <f>Y81+Z71*Z79</f>
        <v>0</v>
      </c>
      <c r="AA81" s="266">
        <f>Z81+AA71*AA79</f>
        <v>0</v>
      </c>
      <c r="AB81" s="266">
        <f>AA81+AB71*AB79</f>
        <v>0</v>
      </c>
      <c r="AC81" s="19" t="n"/>
    </row>
    <row r="82" ht="15" customHeight="1" s="251">
      <c r="B82" s="25" t="inlineStr">
        <is>
          <t xml:space="preserve">  Amortization of future-acquisition intangibles</t>
        </is>
      </c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5" t="n"/>
      <c r="V82" s="35" t="n"/>
      <c r="W82" s="265" t="n">
        <v>0</v>
      </c>
      <c r="X82" s="266">
        <f>IFERROR((W81+0.5*X71*X79)/X80,0)</f>
        <v>0</v>
      </c>
      <c r="Y82" s="266">
        <f>IFERROR((X81+0.5*Y71*Y79)/Y80,0)</f>
        <v>0</v>
      </c>
      <c r="Z82" s="266">
        <f>IFERROR((Y81+0.5*Z71*Z79)/Z80,0)</f>
        <v>0</v>
      </c>
      <c r="AA82" s="266">
        <f>IFERROR((Z81+0.5*AA71*AA79)/AA80,0)</f>
        <v>0</v>
      </c>
      <c r="AB82" s="266">
        <f>IFERROR((AA81+0.5*AB71*AB79)/AB80,0)</f>
        <v>0</v>
      </c>
      <c r="AC82" s="19" t="n"/>
    </row>
    <row r="83" ht="15" customHeight="1" s="251">
      <c r="AK83" s="11" t="n"/>
      <c r="AL83" s="12" t="n"/>
      <c r="AM83" s="12" t="n"/>
      <c r="AN83" s="12" t="n"/>
      <c r="AO83" s="13" t="n"/>
    </row>
    <row r="84" ht="15" customHeight="1" s="251">
      <c r="B84" s="14" t="inlineStr">
        <is>
          <t>Group total — revenue &amp; Adjusted EBITDA (segment build) → FY26 outlook calibration</t>
        </is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5" t="inlineStr">
        <is>
          <t>GROUP TOTAL — modelling logic</t>
        </is>
      </c>
    </row>
    <row r="85" ht="15" customHeight="1" s="251">
      <c r="B85" s="55" t="inlineStr">
        <is>
          <t>Revenue (segment build)</t>
        </is>
      </c>
      <c r="C85" s="269">
        <f>IF(ISNUMBER(C11),C11+C29,"")</f>
      </c>
      <c r="D85" s="269">
        <f>IF(ISNUMBER(D11),D11+D29,"")</f>
      </c>
      <c r="E85" s="269">
        <f>IF(ISNUMBER(E11),E11+E29,"")</f>
      </c>
      <c r="F85" s="269">
        <f>IF(ISNUMBER(F11),F11+F29,"")</f>
      </c>
      <c r="G85" s="269">
        <f>IF(ISNUMBER(G11),G11+G29,"")</f>
      </c>
      <c r="H85" s="269">
        <f>IF(ISNUMBER(H11),H11+H29,"")</f>
        <v>1485</v>
      </c>
      <c r="I85" s="269">
        <f>IF(ISNUMBER(I11),I11+I29,"")</f>
      </c>
      <c r="J85" s="269">
        <f>IF(ISNUMBER(J11),J11+J29,"")</f>
      </c>
      <c r="K85" s="269">
        <f>IF(ISNUMBER(K11),K11+K29,"")</f>
      </c>
      <c r="L85" s="269">
        <f>IF(ISNUMBER(L11),L11+L29,"")</f>
      </c>
      <c r="M85" s="269">
        <f>IF(ISNUMBER(M11),M11+M29,"")</f>
        <v>1613</v>
      </c>
      <c r="N85" s="269">
        <f>IF(ISNUMBER(N11),N11+N29,"")</f>
        <v>420</v>
      </c>
      <c r="O85" s="269">
        <f>IF(ISNUMBER(O11),O11+O29,"")</f>
        <v>439</v>
      </c>
      <c r="P85" s="269">
        <f>IF(ISNUMBER(P11),P11+P29,"")</f>
        <v>445</v>
      </c>
      <c r="Q85" s="269">
        <f>IF(ISNUMBER(Q11),Q11+Q29,"")</f>
        <v>446</v>
      </c>
      <c r="R85" s="269">
        <f>IF(ISNUMBER(R11),R11+R29,"")</f>
        <v>1750</v>
      </c>
      <c r="S85" s="269">
        <f>IF(ISNUMBER(S11),S11+S29,"")</f>
        <v>455</v>
      </c>
      <c r="T85" s="269">
        <f>IF(ISNUMBER(T11),T11+T29,"")</f>
        <v>468</v>
      </c>
      <c r="U85" s="269">
        <f>U11+U29+N(U76)</f>
        <v>476.762115876344</v>
      </c>
      <c r="V85" s="269">
        <f>V11+V29+N(V76)</f>
        <v>477.737884123656</v>
      </c>
      <c r="W85" s="269">
        <f>W11+W29+N(W76)</f>
        <v>1877.5</v>
      </c>
      <c r="X85" s="269">
        <f>X11+X29+N(X76)</f>
        <v>2008.3759285126</v>
      </c>
      <c r="Y85" s="269">
        <f>Y11+Y29+N(Y76)</f>
        <v>2146.09166087893</v>
      </c>
      <c r="Z85" s="269">
        <f>Z11+Z29+N(Z76)</f>
        <v>2285.74374662998</v>
      </c>
      <c r="AA85" s="269">
        <f>AA11+AA29+N(AA76)</f>
        <v>2430.28014250696</v>
      </c>
      <c r="AB85" s="269">
        <f>AB11+AB29+N(AB76)</f>
        <v>2577.1343904769</v>
      </c>
      <c r="AC85" s="153" t="inlineStr">
        <is>
          <t>CARFAX + B2B (+ future acquisitions from 2027E).</t>
        </is>
      </c>
      <c r="AE85" s="20">
        <f>IFERROR((AB85/W85)^(1/5)-1,"n/m")</f>
        <v>0.0653968886364085</v>
      </c>
      <c r="AF85" s="20">
        <f>IFERROR((R85/H85)^(1/2)-1,"n/m")</f>
        <v>0.0855649121315494</v>
      </c>
      <c r="AG85" s="20">
        <f>IFERROR(R85/M85-1,"n/m")</f>
        <v>0.0849349039057656</v>
      </c>
      <c r="AH85" s="20" t="str">
        <f>IFERROR((R85/C85)^(1/3)-1,"n/m")</f>
        <v>n/m</v>
      </c>
    </row>
    <row r="86" ht="15" customHeight="1" s="251">
      <c r="B86" s="22" t="inlineStr">
        <is>
          <t xml:space="preserve">  Revenue y/y %</t>
        </is>
      </c>
      <c r="C86" s="23" t="n"/>
      <c r="D86" s="23" t="n"/>
      <c r="E86" s="23" t="n"/>
      <c r="F86" s="23" t="n"/>
      <c r="G86" s="23" t="n"/>
      <c r="H86" s="255">
        <f>IF(AND(ISNUMBER(H85),ISNUMBER(C85)),IFERROR(H85/C85-1,""),"")</f>
      </c>
      <c r="I86" s="255">
        <f>IF(AND(ISNUMBER(I85),ISNUMBER(D85)),IFERROR(I85/D85-1,""),"")</f>
      </c>
      <c r="J86" s="255">
        <f>IF(AND(ISNUMBER(J85),ISNUMBER(E85)),IFERROR(J85/E85-1,""),"")</f>
      </c>
      <c r="K86" s="255">
        <f>IF(AND(ISNUMBER(K85),ISNUMBER(F85)),IFERROR(K85/F85-1,""),"")</f>
      </c>
      <c r="L86" s="255">
        <f>IF(AND(ISNUMBER(L85),ISNUMBER(G85)),IFERROR(L85/G85-1,""),"")</f>
      </c>
      <c r="M86" s="255">
        <f>IF(AND(ISNUMBER(M85),ISNUMBER(H85)),IFERROR(M85/H85-1,""),"")</f>
        <v>0.0861952861952862</v>
      </c>
      <c r="N86" s="255">
        <f>IF(AND(ISNUMBER(N85),ISNUMBER(I85)),IFERROR(N85/I85-1,""),"")</f>
      </c>
      <c r="O86" s="255">
        <f>IF(AND(ISNUMBER(O85),ISNUMBER(J85)),IFERROR(O85/J85-1,""),"")</f>
      </c>
      <c r="P86" s="255">
        <f>IF(AND(ISNUMBER(P85),ISNUMBER(K85)),IFERROR(P85/K85-1,""),"")</f>
      </c>
      <c r="Q86" s="255">
        <f>IF(AND(ISNUMBER(Q85),ISNUMBER(L85)),IFERROR(Q85/L85-1,""),"")</f>
      </c>
      <c r="R86" s="255">
        <f>IF(AND(ISNUMBER(R85),ISNUMBER(M85)),IFERROR(R85/M85-1,""),"")</f>
        <v>0.0849349039057656</v>
      </c>
      <c r="S86" s="255">
        <f>IF(AND(ISNUMBER(S85),ISNUMBER(N85)),IFERROR(S85/N85-1,""),"")</f>
        <v>0.0833333333333333</v>
      </c>
      <c r="T86" s="255">
        <f>IF(AND(ISNUMBER(T85),ISNUMBER(O85)),IFERROR(T85/O85-1,""),"")</f>
        <v>0.0660592255125285</v>
      </c>
      <c r="U86" s="256">
        <f>IF(AND(ISNUMBER(U85),ISNUMBER(P85)),IFERROR(U85/P85-1,""),"")</f>
        <v>0.0713755412951558</v>
      </c>
      <c r="V86" s="256">
        <f>IF(AND(ISNUMBER(V85),ISNUMBER(Q85)),IFERROR(V85/Q85-1,""),"")</f>
        <v>0.0711611751651471</v>
      </c>
      <c r="W86" s="256">
        <f>IF(AND(ISNUMBER(W85),ISNUMBER(R85)),IFERROR(W85/R85-1,""),"")</f>
        <v>0.072857142857143</v>
      </c>
      <c r="X86" s="256">
        <f>IF(AND(ISNUMBER(X85),ISNUMBER(W85)),IFERROR(X85/W85-1,""),"")</f>
        <v>0.0697075518043127</v>
      </c>
      <c r="Y86" s="256">
        <f>IF(AND(ISNUMBER(Y85),ISNUMBER(X85)),IFERROR(Y85/X85-1,""),"")</f>
        <v>0.0685706945652951</v>
      </c>
      <c r="Z86" s="256">
        <f>IF(AND(ISNUMBER(Z85),ISNUMBER(Y85)),IFERROR(Z85/Y85-1,""),"")</f>
        <v>0.0650727498255428</v>
      </c>
      <c r="AA86" s="256">
        <f>IF(AND(ISNUMBER(AA85),ISNUMBER(Z85)),IFERROR(AA85/Z85-1,""),"")</f>
        <v>0.0632338581654575</v>
      </c>
      <c r="AB86" s="256">
        <f>IF(AND(ISNUMBER(AB85),ISNUMBER(AA85)),IFERROR(AB85/AA85-1,""),"")</f>
        <v>0.0604268805893504</v>
      </c>
      <c r="AC86" s="153" t="n"/>
    </row>
    <row r="87" ht="15" customHeight="1" s="251">
      <c r="B87" s="57" t="inlineStr">
        <is>
          <t xml:space="preserve">  Check: segment build vs consolidated revenue (should be 0)</t>
        </is>
      </c>
      <c r="C87" s="211">
        <f>IF(AND(ISNUMBER(C85),ISNUMBER(C115)),ROUND(C85-C115,1),"")</f>
      </c>
      <c r="D87" s="211">
        <f>IF(AND(ISNUMBER(D85),ISNUMBER(D115)),ROUND(D85-D115,1),"")</f>
      </c>
      <c r="E87" s="211">
        <f>IF(AND(ISNUMBER(E85),ISNUMBER(E115)),ROUND(E85-E115,1),"")</f>
      </c>
      <c r="F87" s="211">
        <f>IF(AND(ISNUMBER(F85),ISNUMBER(F115)),ROUND(F85-F115,1),"")</f>
      </c>
      <c r="G87" s="211">
        <f>IF(AND(ISNUMBER(G85),ISNUMBER(G115)),ROUND(G85-G115,1),"")</f>
      </c>
      <c r="H87" s="211">
        <f>IF(AND(ISNUMBER(H85),ISNUMBER(H115)),ROUND(H85-H115,1),"")</f>
        <v>0</v>
      </c>
      <c r="I87" s="211">
        <f>IF(AND(ISNUMBER(I85),ISNUMBER(I115)),ROUND(I85-I115,1),"")</f>
      </c>
      <c r="J87" s="211">
        <f>IF(AND(ISNUMBER(J85),ISNUMBER(J115)),ROUND(J85-J115,1),"")</f>
      </c>
      <c r="K87" s="211">
        <f>IF(AND(ISNUMBER(K85),ISNUMBER(K115)),ROUND(K85-K115,1),"")</f>
      </c>
      <c r="L87" s="211">
        <f>IF(AND(ISNUMBER(L85),ISNUMBER(L115)),ROUND(L85-L115,1),"")</f>
      </c>
      <c r="M87" s="211">
        <f>IF(AND(ISNUMBER(M85),ISNUMBER(M115)),ROUND(M85-M115,1),"")</f>
        <v>0</v>
      </c>
      <c r="N87" s="211">
        <f>IF(AND(ISNUMBER(N85),ISNUMBER(N115)),ROUND(N85-N115,1),"")</f>
        <v>0</v>
      </c>
      <c r="O87" s="211">
        <f>IF(AND(ISNUMBER(O85),ISNUMBER(O115)),ROUND(O85-O115,1),"")</f>
        <v>0</v>
      </c>
      <c r="P87" s="211">
        <f>IF(AND(ISNUMBER(P85),ISNUMBER(P115)),ROUND(P85-P115,1),"")</f>
        <v>0</v>
      </c>
      <c r="Q87" s="211">
        <f>IF(AND(ISNUMBER(Q85),ISNUMBER(Q115)),ROUND(Q85-Q115,1),"")</f>
        <v>0</v>
      </c>
      <c r="R87" s="211">
        <f>IF(AND(ISNUMBER(R85),ISNUMBER(R115)),ROUND(R85-R115,1),"")</f>
        <v>0</v>
      </c>
      <c r="S87" s="211">
        <f>IF(AND(ISNUMBER(S85),ISNUMBER(S115)),ROUND(S85-S115,1),"")</f>
        <v>0</v>
      </c>
      <c r="T87" s="211">
        <f>IF(AND(ISNUMBER(T85),ISNUMBER(T115)),ROUND(T85-T115,1),"")</f>
        <v>0</v>
      </c>
      <c r="U87" s="270">
        <f>IF(AND(ISNUMBER(U85),ISNUMBER(U115)),ROUND(U85-U115,1),"")</f>
        <v>0</v>
      </c>
      <c r="V87" s="270">
        <f>IF(AND(ISNUMBER(V85),ISNUMBER(V115)),ROUND(V85-V115,1),"")</f>
        <v>0</v>
      </c>
      <c r="W87" s="270">
        <f>IF(AND(ISNUMBER(W85),ISNUMBER(W115)),ROUND(W85-W115,1),"")</f>
        <v>0</v>
      </c>
      <c r="X87" s="270">
        <f>IF(AND(ISNUMBER(X85),ISNUMBER(X115)),ROUND(X85-X115,1),"")</f>
        <v>0</v>
      </c>
      <c r="Y87" s="270">
        <f>IF(AND(ISNUMBER(Y85),ISNUMBER(Y115)),ROUND(Y85-Y115,1),"")</f>
        <v>0</v>
      </c>
      <c r="Z87" s="270">
        <f>IF(AND(ISNUMBER(Z85),ISNUMBER(Z115)),ROUND(Z85-Z115,1),"")</f>
        <v>0</v>
      </c>
      <c r="AA87" s="270">
        <f>IF(AND(ISNUMBER(AA85),ISNUMBER(AA115)),ROUND(AA85-AA115,1),"")</f>
        <v>0</v>
      </c>
      <c r="AB87" s="270">
        <f>IF(AND(ISNUMBER(AB85),ISNUMBER(AB115)),ROUND(AB85-AB115,1),"")</f>
        <v>0</v>
      </c>
      <c r="AC87" s="153" t="n"/>
    </row>
    <row r="88" collapsed="1" ht="15" customHeight="1" s="251">
      <c r="B88" s="55" t="inlineStr">
        <is>
          <t>Adjusted EBITDA (segment build)</t>
        </is>
      </c>
      <c r="C88" s="269">
        <f>IF(ISNUMBER(C18),C18+C36+C49,"")</f>
      </c>
      <c r="D88" s="269">
        <f>IF(ISNUMBER(D18),D18+D36+D49,"")</f>
      </c>
      <c r="E88" s="269">
        <f>IF(ISNUMBER(E18),E18+E36+E49,"")</f>
      </c>
      <c r="F88" s="269">
        <f>IF(ISNUMBER(F18),F18+F36+F49,"")</f>
      </c>
      <c r="G88" s="269">
        <f>IF(ISNUMBER(G18),G18+G36+G49,"")</f>
      </c>
      <c r="H88" s="269">
        <f>IF(ISNUMBER(H18),H18+H36+H49,"")</f>
        <v>597</v>
      </c>
      <c r="I88" s="269">
        <f>IF(ISNUMBER(I18),I18+I36+I49,"")</f>
      </c>
      <c r="J88" s="269">
        <f>IF(ISNUMBER(J18),J18+J36+J49,"")</f>
      </c>
      <c r="K88" s="269">
        <f>IF(ISNUMBER(K18),K18+K36+K49,"")</f>
      </c>
      <c r="L88" s="269">
        <f>IF(ISNUMBER(L18),L18+L36+L49,"")</f>
      </c>
      <c r="M88" s="269">
        <f>IF(ISNUMBER(M18),M18+M36+M49,"")</f>
        <v>659</v>
      </c>
      <c r="N88" s="269">
        <f>IF(ISNUMBER(N18),N18+N36+N49,"")</f>
        <v>169</v>
      </c>
      <c r="O88" s="269">
        <f>IF(ISNUMBER(O18),O18+O36+O49,"")</f>
        <v>188</v>
      </c>
      <c r="P88" s="269">
        <f>IF(ISNUMBER(P18),P18+P36+P49,"")</f>
        <v>191</v>
      </c>
      <c r="Q88" s="269">
        <f>IF(ISNUMBER(Q18),Q18+Q36+Q49,"")</f>
        <v>163</v>
      </c>
      <c r="R88" s="269">
        <f>IF(ISNUMBER(R18),R18+R36+R49,"")</f>
        <v>711</v>
      </c>
      <c r="S88" s="269">
        <f>IF(ISNUMBER(S18),S18+S36+S49,"")</f>
        <v>184</v>
      </c>
      <c r="T88" s="269">
        <f>IF(ISNUMBER(T18),T18+T36+T49,"")</f>
        <v>202</v>
      </c>
      <c r="U88" s="269">
        <f>U18+U36+U49+N(U78)</f>
        <v>201.493675582213</v>
      </c>
      <c r="V88" s="269">
        <f>V18+V36+V49+N(V78)</f>
        <v>165.006324417787</v>
      </c>
      <c r="W88" s="269">
        <f>W18+W36+W49+N(W78)</f>
        <v>752.5</v>
      </c>
      <c r="X88" s="269">
        <f>X18+X36+X49+N(X78)</f>
        <v>817.749760603175</v>
      </c>
      <c r="Y88" s="269">
        <f>Y18+Y36+Y49+N(Y78)</f>
        <v>888.521201387566</v>
      </c>
      <c r="Z88" s="269">
        <f>Z18+Z36+Z49+N(Z78)</f>
        <v>962.121135917102</v>
      </c>
      <c r="AA88" s="269">
        <f>AA18+AA36+AA49+N(AA78)</f>
        <v>1039.50353785481</v>
      </c>
      <c r="AB88" s="269">
        <f>AB18+AB36+AB49+N(AB78)</f>
        <v>1120.07728774769</v>
      </c>
      <c r="AC88" s="153" t="inlineStr">
        <is>
          <t>Mobility Global's guided profit KPI. CARFAX + B2B + Corporate Segment Adjusted EBITDA (+ future acquisitions). Drives the GAAP P&amp;L below.</t>
        </is>
      </c>
      <c r="AE88" s="20">
        <f>IFERROR((AB88/W88)^(1/5)-1,"n/m")</f>
        <v>0.0828001252610775</v>
      </c>
      <c r="AF88" s="20">
        <f>IFERROR((R88/H88)^(1/2)-1,"n/m")</f>
        <v>0.0913087436052855</v>
      </c>
      <c r="AG88" s="20">
        <f>IFERROR(R88/M88-1,"n/m")</f>
        <v>0.0789074355083459</v>
      </c>
      <c r="AH88" s="20" t="str">
        <f>IFERROR((R88/C88)^(1/3)-1,"n/m")</f>
        <v>n/m</v>
      </c>
    </row>
    <row r="89" ht="15" customHeight="1" s="251">
      <c r="B89" s="25" t="inlineStr">
        <is>
          <t xml:space="preserve">  Adjusted EBITDA margin %</t>
        </is>
      </c>
      <c r="C89" s="215">
        <f>IF(AND(ISNUMBER(C88),ISNUMBER(C85)),IFERROR(C88/C85,""),"")</f>
      </c>
      <c r="D89" s="215">
        <f>IF(AND(ISNUMBER(D88),ISNUMBER(D85)),IFERROR(D88/D85,""),"")</f>
      </c>
      <c r="E89" s="215">
        <f>IF(AND(ISNUMBER(E88),ISNUMBER(E85)),IFERROR(E88/E85,""),"")</f>
      </c>
      <c r="F89" s="215">
        <f>IF(AND(ISNUMBER(F88),ISNUMBER(F85)),IFERROR(F88/F85,""),"")</f>
      </c>
      <c r="G89" s="215">
        <f>IF(AND(ISNUMBER(G88),ISNUMBER(G85)),IFERROR(G88/G85,""),"")</f>
      </c>
      <c r="H89" s="215">
        <f>IF(AND(ISNUMBER(H88),ISNUMBER(H85)),IFERROR(H88/H85,""),"")</f>
        <v>0.402020202020202</v>
      </c>
      <c r="I89" s="215">
        <f>IF(AND(ISNUMBER(I88),ISNUMBER(I85)),IFERROR(I88/I85,""),"")</f>
      </c>
      <c r="J89" s="215">
        <f>IF(AND(ISNUMBER(J88),ISNUMBER(J85)),IFERROR(J88/J85,""),"")</f>
      </c>
      <c r="K89" s="215">
        <f>IF(AND(ISNUMBER(K88),ISNUMBER(K85)),IFERROR(K88/K85,""),"")</f>
      </c>
      <c r="L89" s="215">
        <f>IF(AND(ISNUMBER(L88),ISNUMBER(L85)),IFERROR(L88/L85,""),"")</f>
      </c>
      <c r="M89" s="215">
        <f>IF(AND(ISNUMBER(M88),ISNUMBER(M85)),IFERROR(M88/M85,""),"")</f>
        <v>0.4085554866708</v>
      </c>
      <c r="N89" s="215">
        <f>IF(AND(ISNUMBER(N88),ISNUMBER(N85)),IFERROR(N88/N85,""),"")</f>
        <v>0.402380952380952</v>
      </c>
      <c r="O89" s="215">
        <f>IF(AND(ISNUMBER(O88),ISNUMBER(O85)),IFERROR(O88/O85,""),"")</f>
        <v>0.428246013667426</v>
      </c>
      <c r="P89" s="215">
        <f>IF(AND(ISNUMBER(P88),ISNUMBER(P85)),IFERROR(P88/P85,""),"")</f>
        <v>0.429213483146067</v>
      </c>
      <c r="Q89" s="215">
        <f>IF(AND(ISNUMBER(Q88),ISNUMBER(Q85)),IFERROR(Q88/Q85,""),"")</f>
        <v>0.365470852017937</v>
      </c>
      <c r="R89" s="215">
        <f>IF(AND(ISNUMBER(R88),ISNUMBER(R85)),IFERROR(R88/R85,""),"")</f>
        <v>0.406285714285714</v>
      </c>
      <c r="S89" s="215">
        <f>IF(AND(ISNUMBER(S88),ISNUMBER(S85)),IFERROR(S88/S85,""),"")</f>
        <v>0.404395604395604</v>
      </c>
      <c r="T89" s="215">
        <f>IF(AND(ISNUMBER(T88),ISNUMBER(T85)),IFERROR(T88/T85,""),"")</f>
        <v>0.431623931623932</v>
      </c>
      <c r="U89" s="256">
        <f>IF(AND(ISNUMBER(U88),ISNUMBER(U85)),IFERROR(U88/U85,""),"")</f>
        <v>0.42262937610268</v>
      </c>
      <c r="V89" s="256">
        <f>IF(AND(ISNUMBER(V88),ISNUMBER(V85)),IFERROR(V88/V85,""),"")</f>
        <v>0.345390913932791</v>
      </c>
      <c r="W89" s="256">
        <f>IF(AND(ISNUMBER(W88),ISNUMBER(W85)),IFERROR(W88/W85,""),"")</f>
        <v>0.400798934753662</v>
      </c>
      <c r="X89" s="256">
        <f>IF(AND(ISNUMBER(X88),ISNUMBER(X85)),IFERROR(X88/X85,""),"")</f>
        <v>0.407169668284563</v>
      </c>
      <c r="Y89" s="256">
        <f>IF(AND(ISNUMBER(Y88),ISNUMBER(Y85)),IFERROR(Y88/Y85,""),"")</f>
        <v>0.414018290823457</v>
      </c>
      <c r="Z89" s="256">
        <f>IF(AND(ISNUMBER(Z88),ISNUMBER(Z85)),IFERROR(Z88/Z85,""),"")</f>
        <v>0.420922571629308</v>
      </c>
      <c r="AA89" s="256">
        <f>IF(AND(ISNUMBER(AA88),ISNUMBER(AA85)),IFERROR(AA88/AA85,""),"")</f>
        <v>0.427729922848528</v>
      </c>
      <c r="AB89" s="256">
        <f>IF(AND(ISNUMBER(AB88),ISNUMBER(AB85)),IFERROR(AB88/AB85,""),"")</f>
        <v>0.434621218003464</v>
      </c>
      <c r="AC89" s="153" t="n"/>
      <c r="AE89" s="37">
        <f>IFERROR(AVERAGE(X89,Y89,Z89,AA89,AB89),"n/m")</f>
        <v>0.420892334317864</v>
      </c>
      <c r="AF89" s="37">
        <f>IFERROR(AVERAGE(H89,M89,R89),"n/m")</f>
        <v>0.405620467658905</v>
      </c>
      <c r="AG89" s="37">
        <f>IFERROR(AVERAGE(M89,R89),"n/m")</f>
        <v>0.407420600478257</v>
      </c>
      <c r="AH89" s="37">
        <f>IFERROR(AVERAGE(C89,H89,M89,R89),"n/m")</f>
        <v>0.405620467658905</v>
      </c>
    </row>
    <row r="90" ht="15" customHeight="1" s="251">
      <c r="B90" s="57" t="inlineStr">
        <is>
          <t xml:space="preserve">  Check: segment build vs company-published Adjusted EBITDA (should be 0; ±1 rounding)</t>
        </is>
      </c>
      <c r="C90" s="211">
        <f>IF(AND(ISNUMBER(C88),ISNUMBER(C155)),IF(ABS(C88-C155)&lt;=1,0,C88-C155),"")</f>
      </c>
      <c r="D90" s="211">
        <f>IF(AND(ISNUMBER(D88),ISNUMBER(D155)),IF(ABS(D88-D155)&lt;=1,0,D88-D155),"")</f>
      </c>
      <c r="E90" s="211">
        <f>IF(AND(ISNUMBER(E88),ISNUMBER(E155)),IF(ABS(E88-E155)&lt;=1,0,E88-E155),"")</f>
      </c>
      <c r="F90" s="211">
        <f>IF(AND(ISNUMBER(F88),ISNUMBER(F155)),IF(ABS(F88-F155)&lt;=1,0,F88-F155),"")</f>
      </c>
      <c r="G90" s="211">
        <f>IF(AND(ISNUMBER(G88),ISNUMBER(G155)),IF(ABS(G88-G155)&lt;=1,0,G88-G155),"")</f>
      </c>
      <c r="H90" s="211">
        <f>IF(AND(ISNUMBER(H88),ISNUMBER(H155)),IF(ABS(H88-H155)&lt;=1,0,H88-H155),"")</f>
        <v>0</v>
      </c>
      <c r="I90" s="211">
        <f>IF(AND(ISNUMBER(I88),ISNUMBER(I155)),IF(ABS(I88-I155)&lt;=1,0,I88-I155),"")</f>
      </c>
      <c r="J90" s="211">
        <f>IF(AND(ISNUMBER(J88),ISNUMBER(J155)),IF(ABS(J88-J155)&lt;=1,0,J88-J155),"")</f>
      </c>
      <c r="K90" s="211">
        <f>IF(AND(ISNUMBER(K88),ISNUMBER(K155)),IF(ABS(K88-K155)&lt;=1,0,K88-K155),"")</f>
      </c>
      <c r="L90" s="211">
        <f>IF(AND(ISNUMBER(L88),ISNUMBER(L155)),IF(ABS(L88-L155)&lt;=1,0,L88-L155),"")</f>
      </c>
      <c r="M90" s="211">
        <f>IF(AND(ISNUMBER(M88),ISNUMBER(M155)),IF(ABS(M88-M155)&lt;=1,0,M88-M155),"")</f>
        <v>0</v>
      </c>
      <c r="N90" s="211">
        <f>IF(AND(ISNUMBER(N88),ISNUMBER(N155)),IF(ABS(N88-N155)&lt;=1,0,N88-N155),"")</f>
        <v>0</v>
      </c>
      <c r="O90" s="211">
        <f>IF(AND(ISNUMBER(O88),ISNUMBER(O155)),IF(ABS(O88-O155)&lt;=1,0,O88-O155),"")</f>
        <v>0</v>
      </c>
      <c r="P90" s="211">
        <f>IF(AND(ISNUMBER(P88),ISNUMBER(P155)),IF(ABS(P88-P155)&lt;=1,0,P88-P155),"")</f>
        <v>0</v>
      </c>
      <c r="Q90" s="211">
        <f>IF(AND(ISNUMBER(Q88),ISNUMBER(Q155)),IF(ABS(Q88-Q155)&lt;=1,0,Q88-Q155),"")</f>
        <v>0</v>
      </c>
      <c r="R90" s="211">
        <f>IF(AND(ISNUMBER(R88),ISNUMBER(R155)),IF(ABS(R88-R155)&lt;=1,0,R88-R155),"")</f>
        <v>0</v>
      </c>
      <c r="S90" s="211">
        <f>IF(AND(ISNUMBER(S88),ISNUMBER(S155)),IF(ABS(S88-S155)&lt;=1,0,S88-S155),"")</f>
        <v>0</v>
      </c>
      <c r="T90" s="211">
        <f>IF(AND(ISNUMBER(T88),ISNUMBER(T155)),IF(ABS(T88-T155)&lt;=1,0,T88-T155),"")</f>
        <v>0</v>
      </c>
      <c r="U90" s="270">
        <f>ROUND(U88-U153,1)</f>
        <v>0</v>
      </c>
      <c r="V90" s="270">
        <f>ROUND(V88-V153,1)</f>
        <v>0</v>
      </c>
      <c r="W90" s="270">
        <f>ROUND(W88-W153,1)</f>
        <v>0</v>
      </c>
      <c r="X90" s="270">
        <f>ROUND(X88-X153,1)</f>
        <v>0</v>
      </c>
      <c r="Y90" s="270">
        <f>ROUND(Y88-Y153,1)</f>
        <v>0</v>
      </c>
      <c r="Z90" s="270">
        <f>ROUND(Z88-Z153,1)</f>
        <v>0</v>
      </c>
      <c r="AA90" s="270">
        <f>ROUND(AA88-AA153,1)</f>
        <v>0</v>
      </c>
      <c r="AB90" s="270">
        <f>ROUND(AB88-AB153,1)</f>
        <v>0</v>
      </c>
      <c r="AC90" s="153" t="n"/>
    </row>
    <row r="91" ht="15" customHeight="1" s="251">
      <c r="B91" s="156" t="inlineStr">
        <is>
          <t xml:space="preserve">  Memo: FY26 revenue guidance (scenario end-point)</t>
        </is>
      </c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153" t="n"/>
      <c r="V91" s="153" t="n"/>
      <c r="W91" s="270">
        <f>CHOOSE(MATCH($AC$2,{"Bull","Base","Bear"},0),$AL$12,$AM$12,$AN$12)</f>
        <v>1877.5</v>
      </c>
      <c r="X91" s="153" t="n"/>
      <c r="Y91" s="153" t="n"/>
      <c r="Z91" s="153" t="n"/>
      <c r="AA91" s="153" t="n"/>
      <c r="AB91" s="153" t="n"/>
      <c r="AC91" s="153" t="inlineStr">
        <is>
          <t>Company FY26 revenue guidance $1,870–1,885m (Q2-26 release, 7-Aug-2026). Drives the revenue calibration.</t>
        </is>
      </c>
    </row>
    <row r="92" ht="15" customHeight="1" s="251">
      <c r="B92" s="25" t="inlineStr">
        <is>
          <t xml:space="preserve">  Revenue before calibration (Q3/Q4-26E helper)</t>
        </is>
      </c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266">
        <f>P11*(1+U13)+P29*(1+U31)</f>
        <v>478.130652722683</v>
      </c>
      <c r="V92" s="266">
        <f>Q11*(1+V13)+Q29*(1+V31)</f>
        <v>479.109496333694</v>
      </c>
      <c r="W92" s="35" t="n"/>
      <c r="X92" s="35" t="n"/>
      <c r="Y92" s="35" t="n"/>
      <c r="Z92" s="35" t="n"/>
      <c r="AA92" s="35" t="n"/>
      <c r="AB92" s="35" t="n"/>
      <c r="AC92" s="19" t="n"/>
    </row>
    <row r="93" ht="15" customHeight="1" s="251">
      <c r="B93" s="25" t="inlineStr">
        <is>
          <t xml:space="preserve">  Revenue sensitivity to +1.00 of growth (Q3/Q4-26E helper)</t>
        </is>
      </c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266">
        <f>P11+P29</f>
        <v>445</v>
      </c>
      <c r="V93" s="266">
        <f>Q11+Q29</f>
        <v>446</v>
      </c>
      <c r="W93" s="35" t="n"/>
      <c r="X93" s="35" t="n"/>
      <c r="Y93" s="35" t="n"/>
      <c r="Z93" s="35" t="n"/>
      <c r="AA93" s="35" t="n"/>
      <c r="AB93" s="35" t="n"/>
      <c r="AC93" s="19" t="n"/>
    </row>
    <row r="94" ht="15" customHeight="1" s="251">
      <c r="B94" s="25" t="inlineStr">
        <is>
          <t xml:space="preserve">  Outlook calibration: Δ y/y growth applied to both segments (Q3/Q4-26E)</t>
        </is>
      </c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256">
        <f>(W91-S85-T85-U92-V92)/(U93+V93)</f>
        <v>-0.00307536369963741</v>
      </c>
      <c r="V94" s="256">
        <f>$U$94</f>
        <v>-0.00307536369963741</v>
      </c>
      <c r="W94" s="24" t="n"/>
      <c r="X94" s="46" t="n"/>
      <c r="Y94" s="46" t="n"/>
      <c r="Z94" s="46" t="n"/>
      <c r="AA94" s="46" t="n"/>
      <c r="AB94" s="46" t="n"/>
      <c r="AC94" s="19" t="inlineStr">
        <is>
          <t>Closed-form solve: uniform growth shift (vs 1H/26 y/y rates) so FY26 revenue = the guidance end-point for the active scenario.</t>
        </is>
      </c>
    </row>
    <row r="95" ht="15" customHeight="1" s="251">
      <c r="B95" s="57" t="inlineStr">
        <is>
          <t xml:space="preserve">  Check: FY26 revenue vs guidance end-point (should be 0)</t>
        </is>
      </c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153" t="n"/>
      <c r="V95" s="153" t="n"/>
      <c r="W95" s="270">
        <f>ROUND(W85-W91,1)</f>
        <v>0</v>
      </c>
      <c r="X95" s="153" t="n"/>
      <c r="Y95" s="153" t="n"/>
      <c r="Z95" s="153" t="n"/>
      <c r="AA95" s="153" t="n"/>
      <c r="AB95" s="153" t="n"/>
      <c r="AC95" s="153" t="n"/>
    </row>
    <row r="96" ht="15" customHeight="1" s="251">
      <c r="B96" s="156" t="inlineStr">
        <is>
          <t xml:space="preserve">  Memo: FY26 Adjusted EBITDA guidance (scenario end-point)</t>
        </is>
      </c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153" t="n"/>
      <c r="V96" s="153" t="n"/>
      <c r="W96" s="270">
        <f>CHOOSE(MATCH($AC$2,{"Bull","Base","Bear"},0),$AL$13,$AM$13,$AN$13)</f>
        <v>752.5</v>
      </c>
      <c r="X96" s="153" t="n"/>
      <c r="Y96" s="153" t="n"/>
      <c r="Z96" s="153" t="n"/>
      <c r="AA96" s="153" t="n"/>
      <c r="AB96" s="153" t="n"/>
      <c r="AC96" s="153" t="inlineStr">
        <is>
          <t>Company FY26 Adjusted EBITDA guidance $745–760m (Q2-26 release). Drives the segment-margin calibration.</t>
        </is>
      </c>
    </row>
    <row r="97" ht="15" customHeight="1" s="251">
      <c r="B97" s="25" t="inlineStr">
        <is>
          <t xml:space="preserve">  Adjusted EBITDA before margin calibration (Q3/Q4-26E helper)</t>
        </is>
      </c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266">
        <f>U11*U20+U29*U38+U49</f>
        <v>204.767176764035</v>
      </c>
      <c r="V97" s="266">
        <f>V11*V20+V29*V38+V49</f>
        <v>168.286525331833</v>
      </c>
      <c r="W97" s="35" t="n"/>
      <c r="X97" s="35" t="n"/>
      <c r="Y97" s="35" t="n"/>
      <c r="Z97" s="35" t="n"/>
      <c r="AA97" s="35" t="n"/>
      <c r="AB97" s="35" t="n"/>
      <c r="AC97" s="19" t="n"/>
    </row>
    <row r="98" ht="15" customHeight="1" s="251">
      <c r="B98" s="25" t="inlineStr">
        <is>
          <t xml:space="preserve">  Outlook calibration: Δ Segment Adjusted EBITDA margin (both segments, Q3/Q4-26E)</t>
        </is>
      </c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256">
        <f>(W96-S88-T88-U97-V97)/(U11+U29+V11+V29)</f>
        <v>-0.00686611010567529</v>
      </c>
      <c r="V98" s="256">
        <f>$U$98</f>
        <v>-0.00686611010567529</v>
      </c>
      <c r="W98" s="24" t="n"/>
      <c r="X98" s="46" t="n"/>
      <c r="Y98" s="46" t="n"/>
      <c r="Z98" s="46" t="n"/>
      <c r="AA98" s="46" t="n"/>
      <c r="AB98" s="46" t="n"/>
      <c r="AC98" s="19" t="inlineStr">
        <is>
          <t>Solves the uniform segment-margin shift so FY26 Adjusted EBITDA = the guidance end-point (after the corporate-cost input). Negative = standalone dis-synergies beyond the corporate input.</t>
        </is>
      </c>
    </row>
    <row r="99" ht="15" customHeight="1" s="251">
      <c r="B99" s="57" t="inlineStr">
        <is>
          <t xml:space="preserve">  Check: FY26 Adjusted EBITDA vs guidance end-point (should be 0)</t>
        </is>
      </c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153" t="n"/>
      <c r="V99" s="153" t="n"/>
      <c r="W99" s="270">
        <f>ROUND(W88-W96,1)</f>
        <v>0</v>
      </c>
      <c r="X99" s="153" t="n"/>
      <c r="Y99" s="153" t="n"/>
      <c r="Z99" s="153" t="n"/>
      <c r="AA99" s="153" t="n"/>
      <c r="AB99" s="153" t="n"/>
      <c r="AC99" s="153" t="n"/>
    </row>
    <row r="100" ht="15" customHeight="1" s="251">
      <c r="B100" s="156" t="inlineStr">
        <is>
          <t xml:space="preserve">  Memo: FY26 revenue growth guidance (+6.9–7.7%) vs model</t>
        </is>
      </c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35" t="n"/>
      <c r="V100" s="35" t="n"/>
      <c r="W100" s="256">
        <f>W85/R115-1</f>
        <v>0.072857142857143</v>
      </c>
      <c r="X100" s="35" t="n"/>
      <c r="Y100" s="35" t="n"/>
      <c r="Z100" s="35" t="n"/>
      <c r="AA100" s="35" t="n"/>
      <c r="AB100" s="35" t="n"/>
      <c r="AC100" s="153" t="n"/>
    </row>
    <row r="101" ht="15" customHeight="1" s="251">
      <c r="AK101" s="11" t="n"/>
      <c r="AL101" s="12" t="n"/>
      <c r="AM101" s="12" t="n"/>
      <c r="AN101" s="12" t="n"/>
      <c r="AO101" s="13" t="n"/>
    </row>
    <row r="102" ht="15" customHeight="1" s="251">
      <c r="B102" s="14" t="inlineStr">
        <is>
          <t>Cost drivers, D&amp;A and adjusting items</t>
        </is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5" t="inlineStr">
        <is>
          <t>COST DRIVERS — inputs that drive forecast cost lines</t>
        </is>
      </c>
    </row>
    <row r="103" ht="15" customHeight="1" s="251">
      <c r="B103" s="25" t="inlineStr">
        <is>
          <t xml:space="preserve">  Operating-related expenses % of revenue</t>
        </is>
      </c>
      <c r="C103" s="215">
        <f>IF(AND(ISNUMBER(C116),ISNUMBER(C115)),IFERROR(C116/C115,""),"")</f>
      </c>
      <c r="D103" s="215">
        <f>IF(AND(ISNUMBER(D116),ISNUMBER(D115)),IFERROR(D116/D115,""),"")</f>
      </c>
      <c r="E103" s="215">
        <f>IF(AND(ISNUMBER(E116),ISNUMBER(E115)),IFERROR(E116/E115,""),"")</f>
      </c>
      <c r="F103" s="215">
        <f>IF(AND(ISNUMBER(F116),ISNUMBER(F115)),IFERROR(F116/F115,""),"")</f>
      </c>
      <c r="G103" s="215">
        <f>IF(AND(ISNUMBER(G116),ISNUMBER(G115)),IFERROR(G116/G115,""),"")</f>
      </c>
      <c r="H103" s="215">
        <f>IF(AND(ISNUMBER(H116),ISNUMBER(H115)),IFERROR(H116/H115,""),"")</f>
        <v>0.301683501683502</v>
      </c>
      <c r="I103" s="215">
        <f>IF(AND(ISNUMBER(I116),ISNUMBER(I115)),IFERROR(I116/I115,""),"")</f>
      </c>
      <c r="J103" s="215">
        <f>IF(AND(ISNUMBER(J116),ISNUMBER(J115)),IFERROR(J116/J115,""),"")</f>
      </c>
      <c r="K103" s="215">
        <f>IF(AND(ISNUMBER(K116),ISNUMBER(K115)),IFERROR(K116/K115,""),"")</f>
      </c>
      <c r="L103" s="215">
        <f>IF(AND(ISNUMBER(L116),ISNUMBER(L115)),IFERROR(L116/L115,""),"")</f>
      </c>
      <c r="M103" s="215">
        <f>IF(AND(ISNUMBER(M116),ISNUMBER(M115)),IFERROR(M116/M115,""),"")</f>
        <v>0.294482331060136</v>
      </c>
      <c r="N103" s="215">
        <f>IF(AND(ISNUMBER(N116),ISNUMBER(N115)),IFERROR(N116/N115,""),"")</f>
        <v>0.302380952380952</v>
      </c>
      <c r="O103" s="215">
        <f>IF(AND(ISNUMBER(O116),ISNUMBER(O115)),IFERROR(O116/O115,""),"")</f>
        <v>0.300683371298405</v>
      </c>
      <c r="P103" s="215">
        <f>IF(AND(ISNUMBER(P116),ISNUMBER(P115)),IFERROR(P116/P115,""),"")</f>
        <v>0.289887640449438</v>
      </c>
      <c r="Q103" s="215">
        <f>IF(AND(ISNUMBER(Q116),ISNUMBER(Q115)),IFERROR(Q116/Q115,""),"")</f>
        <v>0.286995515695067</v>
      </c>
      <c r="R103" s="215">
        <f>IF(AND(ISNUMBER(R116),ISNUMBER(R115)),IFERROR(R116/R115,""),"")</f>
        <v>0.294857142857143</v>
      </c>
      <c r="S103" s="215">
        <f>IF(AND(ISNUMBER(S116),ISNUMBER(S115)),IFERROR(S116/S115,""),"")</f>
        <v>0.298901098901099</v>
      </c>
      <c r="T103" s="215">
        <f>IF(AND(ISNUMBER(T116),ISNUMBER(T115)),IFERROR(T116/T115,""),"")</f>
        <v>0.286324786324786</v>
      </c>
      <c r="U103" s="256">
        <f>P103</f>
        <v>0.289887640449438</v>
      </c>
      <c r="V103" s="256">
        <f>Q103</f>
        <v>0.286995515695067</v>
      </c>
      <c r="W103" s="256">
        <f>IF(AND(ISNUMBER(W116),ISNUMBER(W115)),IFERROR(W116/W115,""),"")</f>
        <v>0.290447976164162</v>
      </c>
      <c r="X103" s="262" t="n">
        <v>0.295</v>
      </c>
      <c r="Y103" s="262" t="n">
        <v>0.295</v>
      </c>
      <c r="Z103" s="262" t="n">
        <v>0.295</v>
      </c>
      <c r="AA103" s="262" t="n">
        <v>0.295</v>
      </c>
      <c r="AB103" s="262" t="n">
        <v>0.295</v>
      </c>
      <c r="AC103" s="153" t="inlineStr">
        <is>
          <t>Q3/Q4-26E: prior-year quarter ratio. 2027E+: input (FY2023–25: 30.2% / 29.4% / 29.5%). Selling &amp; general expenses is the balancing line to the Adjusted EBITDA build.</t>
        </is>
      </c>
      <c r="AE103" s="37">
        <f>IFERROR(AVERAGE(X103,Y103,Z103,AA103,AB103),"n/m")</f>
        <v>0.295</v>
      </c>
      <c r="AF103" s="37">
        <f>IFERROR(AVERAGE(H103,M103,R103),"n/m")</f>
        <v>0.297007658533594</v>
      </c>
      <c r="AG103" s="37">
        <f>IFERROR(AVERAGE(M103,R103),"n/m")</f>
        <v>0.29466973695864</v>
      </c>
      <c r="AH103" s="37">
        <f>IFERROR(AVERAGE(C103,H103,M103,R103),"n/m")</f>
        <v>0.297007658533594</v>
      </c>
    </row>
    <row r="104" ht="15" customHeight="1" s="251">
      <c r="B104" s="25" t="inlineStr">
        <is>
          <t xml:space="preserve">  Depreciation</t>
        </is>
      </c>
      <c r="C104" s="34" t="n"/>
      <c r="D104" s="34" t="n"/>
      <c r="E104" s="34" t="n"/>
      <c r="F104" s="34" t="n"/>
      <c r="G104" s="34" t="n"/>
      <c r="H104" s="258" t="n">
        <v>12</v>
      </c>
      <c r="I104" s="34" t="n"/>
      <c r="J104" s="34" t="n"/>
      <c r="K104" s="34" t="n"/>
      <c r="L104" s="34" t="n"/>
      <c r="M104" s="258" t="n">
        <v>13</v>
      </c>
      <c r="N104" s="258" t="n">
        <v>4</v>
      </c>
      <c r="O104" s="258" t="n">
        <v>3</v>
      </c>
      <c r="P104" s="34" t="n"/>
      <c r="Q104" s="34" t="n"/>
      <c r="R104" s="258" t="n">
        <v>14</v>
      </c>
      <c r="S104" s="258" t="n">
        <v>4</v>
      </c>
      <c r="T104" s="258" t="n">
        <v>3</v>
      </c>
      <c r="U104" s="266">
        <f>(S104+T104)/2</f>
        <v>3.5</v>
      </c>
      <c r="V104" s="266">
        <f>(S104+T104)/2</f>
        <v>3.5</v>
      </c>
      <c r="W104" s="266">
        <f>SUM(S104:V104)</f>
        <v>14</v>
      </c>
      <c r="X104" s="266">
        <f>X115*X105</f>
        <v>16.0670074281008</v>
      </c>
      <c r="Y104" s="266">
        <f>Y115*Y105</f>
        <v>17.1687332870314</v>
      </c>
      <c r="Z104" s="266">
        <f>Z115*Z105</f>
        <v>18.2859499730399</v>
      </c>
      <c r="AA104" s="266">
        <f>AA115*AA105</f>
        <v>19.4422411400557</v>
      </c>
      <c r="AB104" s="266">
        <f>AB115*AB105</f>
        <v>20.6170751238152</v>
      </c>
      <c r="AC104" s="19" t="inlineStr">
        <is>
          <t>Q3/Q4-26E: 1H/26 run-rate. 2027E+: revenue × depreciation %. Q3/Q4-25: not split from amortization (Ex. 99.2 shows D&amp;A combined).</t>
        </is>
      </c>
      <c r="AE104" s="20">
        <f>IFERROR((AB104/W104)^(1/5)-1,"n/m")</f>
        <v>0.0804876407763324</v>
      </c>
      <c r="AF104" s="20">
        <f>IFERROR((R104/H104)^(1/2)-1,"n/m")</f>
        <v>0.0801234497346435</v>
      </c>
      <c r="AG104" s="20">
        <f>IFERROR(R104/M104-1,"n/m")</f>
        <v>0.0769230769230769</v>
      </c>
      <c r="AH104" s="20" t="str">
        <f>IFERROR((R104/C104)^(1/3)-1,"n/m")</f>
        <v>n/m</v>
      </c>
    </row>
    <row r="105" ht="15" customHeight="1" s="251">
      <c r="B105" s="25" t="inlineStr">
        <is>
          <t xml:space="preserve">  Depreciation % of revenue</t>
        </is>
      </c>
      <c r="C105" s="215">
        <f>IF(AND(ISNUMBER(C104),ISNUMBER(C115)),IFERROR(C104/C115,""),"")</f>
      </c>
      <c r="D105" s="215">
        <f>IF(AND(ISNUMBER(D104),ISNUMBER(D115)),IFERROR(D104/D115,""),"")</f>
      </c>
      <c r="E105" s="215">
        <f>IF(AND(ISNUMBER(E104),ISNUMBER(E115)),IFERROR(E104/E115,""),"")</f>
      </c>
      <c r="F105" s="215">
        <f>IF(AND(ISNUMBER(F104),ISNUMBER(F115)),IFERROR(F104/F115,""),"")</f>
      </c>
      <c r="G105" s="215">
        <f>IF(AND(ISNUMBER(G104),ISNUMBER(G115)),IFERROR(G104/G115,""),"")</f>
      </c>
      <c r="H105" s="215">
        <f>IF(AND(ISNUMBER(H104),ISNUMBER(H115)),IFERROR(H104/H115,""),"")</f>
        <v>0.00808080808080808</v>
      </c>
      <c r="I105" s="215">
        <f>IF(AND(ISNUMBER(I104),ISNUMBER(I115)),IFERROR(I104/I115,""),"")</f>
      </c>
      <c r="J105" s="215">
        <f>IF(AND(ISNUMBER(J104),ISNUMBER(J115)),IFERROR(J104/J115,""),"")</f>
      </c>
      <c r="K105" s="215">
        <f>IF(AND(ISNUMBER(K104),ISNUMBER(K115)),IFERROR(K104/K115,""),"")</f>
      </c>
      <c r="L105" s="215">
        <f>IF(AND(ISNUMBER(L104),ISNUMBER(L115)),IFERROR(L104/L115,""),"")</f>
      </c>
      <c r="M105" s="215">
        <f>IF(AND(ISNUMBER(M104),ISNUMBER(M115)),IFERROR(M104/M115,""),"")</f>
        <v>0.00805951642901426</v>
      </c>
      <c r="N105" s="215">
        <f>IF(AND(ISNUMBER(N104),ISNUMBER(N115)),IFERROR(N104/N115,""),"")</f>
        <v>0.00952380952380953</v>
      </c>
      <c r="O105" s="215">
        <f>IF(AND(ISNUMBER(O104),ISNUMBER(O115)),IFERROR(O104/O115,""),"")</f>
        <v>0.00683371298405467</v>
      </c>
      <c r="P105" s="215">
        <f>IF(AND(ISNUMBER(P104),ISNUMBER(P115)),IFERROR(P104/P115,""),"")</f>
      </c>
      <c r="Q105" s="215">
        <f>IF(AND(ISNUMBER(Q104),ISNUMBER(Q115)),IFERROR(Q104/Q115,""),"")</f>
      </c>
      <c r="R105" s="215">
        <f>IF(AND(ISNUMBER(R104),ISNUMBER(R115)),IFERROR(R104/R115,""),"")</f>
        <v>0.008</v>
      </c>
      <c r="S105" s="215">
        <f>IF(AND(ISNUMBER(S104),ISNUMBER(S115)),IFERROR(S104/S115,""),"")</f>
        <v>0.00879120879120879</v>
      </c>
      <c r="T105" s="215">
        <f>IF(AND(ISNUMBER(T104),ISNUMBER(T115)),IFERROR(T104/T115,""),"")</f>
        <v>0.00641025641025641</v>
      </c>
      <c r="U105" s="256">
        <f>IF(AND(ISNUMBER(U104),ISNUMBER(U115)),IFERROR(U104/U115,""),"")</f>
        <v>0.00734118732057096</v>
      </c>
      <c r="V105" s="256">
        <f>IF(AND(ISNUMBER(V104),ISNUMBER(V115)),IFERROR(V104/V115,""),"")</f>
        <v>0.00732619312035567</v>
      </c>
      <c r="W105" s="256">
        <f>IF(AND(ISNUMBER(W104),ISNUMBER(W115)),IFERROR(W104/W115,""),"")</f>
        <v>0.00745672436750999</v>
      </c>
      <c r="X105" s="262" t="n">
        <v>0.008</v>
      </c>
      <c r="Y105" s="262" t="n">
        <v>0.008</v>
      </c>
      <c r="Z105" s="262" t="n">
        <v>0.008</v>
      </c>
      <c r="AA105" s="262" t="n">
        <v>0.008</v>
      </c>
      <c r="AB105" s="262" t="n">
        <v>0.008</v>
      </c>
      <c r="AC105" s="153" t="n"/>
      <c r="AE105" s="37">
        <f>IFERROR(AVERAGE(X105,Y105,Z105,AA105,AB105),"n/m")</f>
        <v>0.008</v>
      </c>
      <c r="AF105" s="37">
        <f>IFERROR(AVERAGE(H105,M105,R105),"n/m")</f>
        <v>0.00804677483660745</v>
      </c>
      <c r="AG105" s="37">
        <f>IFERROR(AVERAGE(M105,R105),"n/m")</f>
        <v>0.00802975821450713</v>
      </c>
      <c r="AH105" s="37">
        <f>IFERROR(AVERAGE(C105,H105,M105,R105),"n/m")</f>
        <v>0.00804677483660745</v>
      </c>
    </row>
    <row r="106" ht="15" customHeight="1" s="251">
      <c r="B106" s="25" t="inlineStr">
        <is>
          <t xml:space="preserve">  Amortization of intangibles</t>
        </is>
      </c>
      <c r="C106" s="34" t="n"/>
      <c r="D106" s="34" t="n"/>
      <c r="E106" s="34" t="n"/>
      <c r="F106" s="34" t="n"/>
      <c r="G106" s="34" t="n"/>
      <c r="H106" s="258" t="n">
        <v>295</v>
      </c>
      <c r="I106" s="34" t="n"/>
      <c r="J106" s="34" t="n"/>
      <c r="K106" s="34" t="n"/>
      <c r="L106" s="34" t="n"/>
      <c r="M106" s="258" t="n">
        <v>296</v>
      </c>
      <c r="N106" s="258" t="n">
        <v>74</v>
      </c>
      <c r="O106" s="258" t="n">
        <v>74</v>
      </c>
      <c r="P106" s="34" t="n"/>
      <c r="Q106" s="34" t="n"/>
      <c r="R106" s="258" t="n">
        <v>296</v>
      </c>
      <c r="S106" s="258" t="n">
        <v>74</v>
      </c>
      <c r="T106" s="258" t="n">
        <v>74</v>
      </c>
      <c r="U106" s="266">
        <f>(296.0-(S106+T106))/2</f>
        <v>74</v>
      </c>
      <c r="V106" s="266">
        <f>(296.0-(S106+T106))/2</f>
        <v>74</v>
      </c>
      <c r="W106" s="266">
        <f>SUM(S106:V106)</f>
        <v>296</v>
      </c>
      <c r="X106" s="266">
        <f>X107+N(X82)</f>
        <v>296</v>
      </c>
      <c r="Y106" s="266">
        <f>Y107+N(Y82)</f>
        <v>296</v>
      </c>
      <c r="Z106" s="266">
        <f>Z107+N(Z82)</f>
        <v>296</v>
      </c>
      <c r="AA106" s="266">
        <f>AA107+N(AA82)</f>
        <v>293</v>
      </c>
      <c r="AB106" s="266">
        <f>AB107+N(AB82)</f>
        <v>290</v>
      </c>
      <c r="AC106" s="19" t="inlineStr">
        <is>
          <t>Q3/Q4-26E: Form 10 schedule ($296m FY2026) less 1H/26. 2027E+: schedule + future-acquisition amortization.</t>
        </is>
      </c>
      <c r="AE106" s="20">
        <f>IFERROR((AB106/W106)^(1/5)-1,"n/m")</f>
        <v>-0.00408733030285546</v>
      </c>
      <c r="AF106" s="20">
        <f>IFERROR((R106/H106)^(1/2)-1,"n/m")</f>
        <v>0.00169348131475555</v>
      </c>
      <c r="AG106" s="20">
        <f>IFERROR(R106/M106-1,"n/m")</f>
        <v>0</v>
      </c>
      <c r="AH106" s="20" t="str">
        <f>IFERROR((R106/C106)^(1/3)-1,"n/m")</f>
        <v>n/m</v>
      </c>
    </row>
    <row r="107" ht="15" customHeight="1" s="251">
      <c r="B107" s="25" t="inlineStr">
        <is>
          <t xml:space="preserve">  Amortization schedule — intangibles held at 31-Dec-2025 (input)</t>
        </is>
      </c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24" t="n"/>
      <c r="V107" s="24" t="n"/>
      <c r="W107" s="24" t="n"/>
      <c r="X107" s="265" t="n">
        <v>296</v>
      </c>
      <c r="Y107" s="265" t="n">
        <v>296</v>
      </c>
      <c r="Z107" s="265" t="n">
        <v>296</v>
      </c>
      <c r="AA107" s="265" t="n">
        <v>293</v>
      </c>
      <c r="AB107" s="265" t="n">
        <v>290</v>
      </c>
      <c r="AC107" s="19" t="inlineStr">
        <is>
          <t>Form 10 audited combined financial statements, Note 3 (expected amortization of intangible assets held at 31-Dec-2025, assuming no further acquisitions or dispositions). 2026–29 $296m, 2030 $293m; 2031E $290m assumed (databases &amp; software largely amortized by ~2032).</t>
        </is>
      </c>
    </row>
    <row r="108" ht="15" customHeight="1" s="251">
      <c r="B108" s="16" t="inlineStr">
        <is>
          <t xml:space="preserve">  Depreciation &amp; amortization (total)</t>
        </is>
      </c>
      <c r="C108" s="43" t="n"/>
      <c r="D108" s="43" t="n"/>
      <c r="E108" s="43" t="n"/>
      <c r="F108" s="43" t="n"/>
      <c r="G108" s="43" t="n"/>
      <c r="H108" s="253" t="n">
        <v>307</v>
      </c>
      <c r="I108" s="43" t="n"/>
      <c r="J108" s="43" t="n"/>
      <c r="K108" s="43" t="n"/>
      <c r="L108" s="43" t="n"/>
      <c r="M108" s="253" t="n">
        <v>309</v>
      </c>
      <c r="N108" s="253" t="n">
        <v>78</v>
      </c>
      <c r="O108" s="253" t="n">
        <v>77</v>
      </c>
      <c r="P108" s="253" t="n">
        <v>77</v>
      </c>
      <c r="Q108" s="253" t="n">
        <v>78</v>
      </c>
      <c r="R108" s="253" t="n">
        <v>310</v>
      </c>
      <c r="S108" s="253" t="n">
        <v>78</v>
      </c>
      <c r="T108" s="253" t="n">
        <v>77</v>
      </c>
      <c r="U108" s="254">
        <f>U104+U106</f>
        <v>77.5</v>
      </c>
      <c r="V108" s="254">
        <f>V104+V106</f>
        <v>77.5</v>
      </c>
      <c r="W108" s="254">
        <f>SUM(S108:V108)</f>
        <v>310</v>
      </c>
      <c r="X108" s="254">
        <f>X104+X106</f>
        <v>312.067007428101</v>
      </c>
      <c r="Y108" s="254">
        <f>Y104+Y106</f>
        <v>313.168733287031</v>
      </c>
      <c r="Z108" s="254">
        <f>Z104+Z106</f>
        <v>314.28594997304</v>
      </c>
      <c r="AA108" s="254">
        <f>AA104+AA106</f>
        <v>312.442241140056</v>
      </c>
      <c r="AB108" s="254">
        <f>AB104+AB106</f>
        <v>310.617075123815</v>
      </c>
      <c r="AC108" s="153" t="n"/>
    </row>
    <row r="109" ht="15" customHeight="1" s="251">
      <c r="B109" s="25" t="inlineStr">
        <is>
          <t xml:space="preserve">  Stock-based compensation</t>
        </is>
      </c>
      <c r="C109" s="34" t="n"/>
      <c r="D109" s="34" t="n"/>
      <c r="E109" s="34" t="n"/>
      <c r="F109" s="34" t="n"/>
      <c r="G109" s="34" t="n"/>
      <c r="H109" s="258" t="n">
        <v>20</v>
      </c>
      <c r="I109" s="34" t="n"/>
      <c r="J109" s="34" t="n"/>
      <c r="K109" s="34" t="n"/>
      <c r="L109" s="34" t="n"/>
      <c r="M109" s="258" t="n">
        <v>28</v>
      </c>
      <c r="N109" s="258" t="n">
        <v>5</v>
      </c>
      <c r="O109" s="258" t="n">
        <v>4</v>
      </c>
      <c r="P109" s="258" t="n">
        <v>7</v>
      </c>
      <c r="Q109" s="258" t="n">
        <v>6</v>
      </c>
      <c r="R109" s="258" t="n">
        <v>22</v>
      </c>
      <c r="S109" s="258" t="n">
        <v>4</v>
      </c>
      <c r="T109" s="258" t="n">
        <v>5</v>
      </c>
      <c r="U109" s="265" t="n">
        <v>6</v>
      </c>
      <c r="V109" s="265" t="n">
        <v>6</v>
      </c>
      <c r="W109" s="266">
        <f>SUM(S109:V109)</f>
        <v>21</v>
      </c>
      <c r="X109" s="266">
        <f>X115*X110</f>
        <v>26.1088870706638</v>
      </c>
      <c r="Y109" s="266">
        <f>Y115*Y110</f>
        <v>27.899191591426</v>
      </c>
      <c r="Z109" s="266">
        <f>Z115*Z110</f>
        <v>29.7146687061898</v>
      </c>
      <c r="AA109" s="266">
        <f>AA115*AA110</f>
        <v>31.5936418525905</v>
      </c>
      <c r="AB109" s="266">
        <f>AB115*AB110</f>
        <v>33.5027470761997</v>
      </c>
      <c r="AC109" s="19" t="inlineStr">
        <is>
          <t>History: S&amp;P Global awards allocated (FY2025 $22m). Q3/Q4-26E $6m a quarter (assumption: spin-date replacement and new MBGL awards, Form 4 grants Jul / Sep-2026). 2027E+: % of revenue.</t>
        </is>
      </c>
    </row>
    <row r="110" ht="15" customHeight="1" s="251">
      <c r="B110" s="25" t="inlineStr">
        <is>
          <t xml:space="preserve">  Stock-based compensation % of revenue</t>
        </is>
      </c>
      <c r="C110" s="215">
        <f>IF(AND(ISNUMBER(C109),ISNUMBER(C115)),IFERROR(C109/C115,""),"")</f>
      </c>
      <c r="D110" s="215">
        <f>IF(AND(ISNUMBER(D109),ISNUMBER(D115)),IFERROR(D109/D115,""),"")</f>
      </c>
      <c r="E110" s="215">
        <f>IF(AND(ISNUMBER(E109),ISNUMBER(E115)),IFERROR(E109/E115,""),"")</f>
      </c>
      <c r="F110" s="215">
        <f>IF(AND(ISNUMBER(F109),ISNUMBER(F115)),IFERROR(F109/F115,""),"")</f>
      </c>
      <c r="G110" s="215">
        <f>IF(AND(ISNUMBER(G109),ISNUMBER(G115)),IFERROR(G109/G115,""),"")</f>
      </c>
      <c r="H110" s="215">
        <f>IF(AND(ISNUMBER(H109),ISNUMBER(H115)),IFERROR(H109/H115,""),"")</f>
        <v>0.0134680134680135</v>
      </c>
      <c r="I110" s="215">
        <f>IF(AND(ISNUMBER(I109),ISNUMBER(I115)),IFERROR(I109/I115,""),"")</f>
      </c>
      <c r="J110" s="215">
        <f>IF(AND(ISNUMBER(J109),ISNUMBER(J115)),IFERROR(J109/J115,""),"")</f>
      </c>
      <c r="K110" s="215">
        <f>IF(AND(ISNUMBER(K109),ISNUMBER(K115)),IFERROR(K109/K115,""),"")</f>
      </c>
      <c r="L110" s="215">
        <f>IF(AND(ISNUMBER(L109),ISNUMBER(L115)),IFERROR(L109/L115,""),"")</f>
      </c>
      <c r="M110" s="215">
        <f>IF(AND(ISNUMBER(M109),ISNUMBER(M115)),IFERROR(M109/M115,""),"")</f>
        <v>0.0173589584624923</v>
      </c>
      <c r="N110" s="215">
        <f>IF(AND(ISNUMBER(N109),ISNUMBER(N115)),IFERROR(N109/N115,""),"")</f>
        <v>0.0119047619047619</v>
      </c>
      <c r="O110" s="215">
        <f>IF(AND(ISNUMBER(O109),ISNUMBER(O115)),IFERROR(O109/O115,""),"")</f>
        <v>0.00911161731207289</v>
      </c>
      <c r="P110" s="215">
        <f>IF(AND(ISNUMBER(P109),ISNUMBER(P115)),IFERROR(P109/P115,""),"")</f>
        <v>0.0157303370786517</v>
      </c>
      <c r="Q110" s="215">
        <f>IF(AND(ISNUMBER(Q109),ISNUMBER(Q115)),IFERROR(Q109/Q115,""),"")</f>
        <v>0.0134529147982063</v>
      </c>
      <c r="R110" s="215">
        <f>IF(AND(ISNUMBER(R109),ISNUMBER(R115)),IFERROR(R109/R115,""),"")</f>
        <v>0.0125714285714286</v>
      </c>
      <c r="S110" s="215">
        <f>IF(AND(ISNUMBER(S109),ISNUMBER(S115)),IFERROR(S109/S115,""),"")</f>
        <v>0.00879120879120879</v>
      </c>
      <c r="T110" s="215">
        <f>IF(AND(ISNUMBER(T109),ISNUMBER(T115)),IFERROR(T109/T115,""),"")</f>
        <v>0.0106837606837607</v>
      </c>
      <c r="U110" s="256">
        <f>IF(AND(ISNUMBER(U109),ISNUMBER(U115)),IFERROR(U109/U115,""),"")</f>
        <v>0.0125848925495502</v>
      </c>
      <c r="V110" s="256">
        <f>IF(AND(ISNUMBER(V109),ISNUMBER(V115)),IFERROR(V109/V115,""),"")</f>
        <v>0.012559188206324</v>
      </c>
      <c r="W110" s="256">
        <f>IF(AND(ISNUMBER(W109),ISNUMBER(W115)),IFERROR(W109/W115,""),"")</f>
        <v>0.011185086551265</v>
      </c>
      <c r="X110" s="262" t="n">
        <v>0.013</v>
      </c>
      <c r="Y110" s="262" t="n">
        <v>0.013</v>
      </c>
      <c r="Z110" s="262" t="n">
        <v>0.013</v>
      </c>
      <c r="AA110" s="262" t="n">
        <v>0.013</v>
      </c>
      <c r="AB110" s="262" t="n">
        <v>0.013</v>
      </c>
      <c r="AC110" s="153" t="n"/>
      <c r="AE110" s="37">
        <f>IFERROR(AVERAGE(X110,Y110,Z110,AA110,AB110),"n/m")</f>
        <v>0.013</v>
      </c>
      <c r="AF110" s="37">
        <f>IFERROR(AVERAGE(H110,M110,R110),"n/m")</f>
        <v>0.0144661335006448</v>
      </c>
      <c r="AG110" s="37">
        <f>IFERROR(AVERAGE(M110,R110),"n/m")</f>
        <v>0.0149651935169604</v>
      </c>
      <c r="AH110" s="37">
        <f>IFERROR(AVERAGE(C110,H110,M110,R110),"n/m")</f>
        <v>0.0144661335006448</v>
      </c>
    </row>
    <row r="111" ht="15" customHeight="1" s="251">
      <c r="B111" s="25" t="inlineStr">
        <is>
          <t xml:space="preserve">  Transaction costs (stand-up of the spin business / separation)</t>
        </is>
      </c>
      <c r="C111" s="34" t="n"/>
      <c r="D111" s="34" t="n"/>
      <c r="E111" s="34" t="n"/>
      <c r="F111" s="34" t="n"/>
      <c r="G111" s="34" t="n"/>
      <c r="H111" s="258" t="n">
        <v>0</v>
      </c>
      <c r="I111" s="34" t="n"/>
      <c r="J111" s="34" t="n"/>
      <c r="K111" s="34" t="n"/>
      <c r="L111" s="34" t="n"/>
      <c r="M111" s="258" t="n">
        <v>0</v>
      </c>
      <c r="N111" s="258" t="n">
        <v>0</v>
      </c>
      <c r="O111" s="258" t="n">
        <v>2</v>
      </c>
      <c r="P111" s="258" t="n">
        <v>3</v>
      </c>
      <c r="Q111" s="258" t="n">
        <v>16</v>
      </c>
      <c r="R111" s="258" t="n">
        <v>21</v>
      </c>
      <c r="S111" s="258" t="n">
        <v>21</v>
      </c>
      <c r="T111" s="258" t="n">
        <v>36</v>
      </c>
      <c r="U111" s="265" t="n">
        <v>10</v>
      </c>
      <c r="V111" s="265" t="n">
        <v>10</v>
      </c>
      <c r="W111" s="266">
        <f>SUM(S111:V111)</f>
        <v>77</v>
      </c>
      <c r="X111" s="265" t="n">
        <v>10</v>
      </c>
      <c r="Y111" s="265" t="n">
        <v>0</v>
      </c>
      <c r="Z111" s="265" t="n">
        <v>0</v>
      </c>
      <c r="AA111" s="265" t="n">
        <v>0</v>
      </c>
      <c r="AB111" s="265" t="n">
        <v>0</v>
      </c>
      <c r="AC111" s="19" t="inlineStr">
        <is>
          <t>Stand-up of the spin business (company adjusting item): FY2025 $21m, 1H/26 $57m (carve-out). Costs after the separation are borne by Mobility Global (Form 10). Q3/Q4-26E $10m a quarter and 2027E $10m are assumptions; nil thereafter.</t>
        </is>
      </c>
    </row>
    <row r="112" ht="15" customHeight="1" s="251">
      <c r="B112" s="25" t="inlineStr">
        <is>
          <t xml:space="preserve">  Severance, integration, acquisition / disposition, ELT transition, legal recovery &amp; other items</t>
        </is>
      </c>
      <c r="C112" s="34" t="n"/>
      <c r="D112" s="34" t="n"/>
      <c r="E112" s="34" t="n"/>
      <c r="F112" s="34" t="n"/>
      <c r="G112" s="34" t="n"/>
      <c r="H112" s="258" t="n">
        <v>30</v>
      </c>
      <c r="I112" s="34" t="n"/>
      <c r="J112" s="34" t="n"/>
      <c r="K112" s="34" t="n"/>
      <c r="L112" s="34" t="n"/>
      <c r="M112" s="258" t="n">
        <v>23</v>
      </c>
      <c r="N112" s="258" t="n">
        <v>2</v>
      </c>
      <c r="O112" s="258" t="n">
        <v>9</v>
      </c>
      <c r="P112" s="258" t="n">
        <v>0</v>
      </c>
      <c r="Q112" s="258" t="n">
        <v>8</v>
      </c>
      <c r="R112" s="258" t="n">
        <v>19</v>
      </c>
      <c r="S112" s="258" t="n">
        <v>0</v>
      </c>
      <c r="T112" s="258" t="n">
        <v>2</v>
      </c>
      <c r="U112" s="265" t="n">
        <v>2</v>
      </c>
      <c r="V112" s="265" t="n">
        <v>2</v>
      </c>
      <c r="W112" s="266">
        <f>SUM(S112:V112)</f>
        <v>6</v>
      </c>
      <c r="X112" s="265" t="n">
        <v>8</v>
      </c>
      <c r="Y112" s="265" t="n">
        <v>8</v>
      </c>
      <c r="Z112" s="265" t="n">
        <v>8</v>
      </c>
      <c r="AA112" s="265" t="n">
        <v>8</v>
      </c>
      <c r="AB112" s="265" t="n">
        <v>8</v>
      </c>
      <c r="AC112" s="19" t="inlineStr">
        <is>
          <t>Company items as labelled each period (cell comments). Forecast: assumption (restructuring-type items recur at a low level).</t>
        </is>
      </c>
    </row>
    <row r="113" ht="15" customHeight="1" s="251">
      <c r="AK113" s="11" t="n"/>
      <c r="AL113" s="12" t="n"/>
      <c r="AM113" s="12" t="n"/>
      <c r="AN113" s="12" t="n"/>
      <c r="AO113" s="13" t="n"/>
    </row>
    <row r="114" ht="15" customHeight="1" s="251">
      <c r="B114" s="10" t="inlineStr">
        <is>
          <t>COMBINED / CONSOLIDATED STATEMENT OF INCOME (US GAAP)</t>
        </is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inlineStr">
        <is>
          <t>IS — forecast logic (operating profit = Adjusted EBITDA − D&amp;A − SBC − transaction costs − other items; selling &amp; general expenses implied)</t>
        </is>
      </c>
    </row>
    <row r="115" ht="15" customHeight="1" s="251">
      <c r="B115" s="55" t="inlineStr">
        <is>
          <t>Revenue</t>
        </is>
      </c>
      <c r="C115" s="56" t="n"/>
      <c r="D115" s="56" t="n"/>
      <c r="E115" s="56" t="n"/>
      <c r="F115" s="56" t="n"/>
      <c r="G115" s="56" t="n"/>
      <c r="H115" s="271" t="n">
        <v>1485</v>
      </c>
      <c r="I115" s="56" t="n"/>
      <c r="J115" s="56" t="n"/>
      <c r="K115" s="56" t="n"/>
      <c r="L115" s="56" t="n"/>
      <c r="M115" s="271" t="n">
        <v>1613</v>
      </c>
      <c r="N115" s="271" t="n">
        <v>420</v>
      </c>
      <c r="O115" s="271" t="n">
        <v>439</v>
      </c>
      <c r="P115" s="271" t="n">
        <v>445</v>
      </c>
      <c r="Q115" s="271" t="n">
        <v>446</v>
      </c>
      <c r="R115" s="271" t="n">
        <v>1750</v>
      </c>
      <c r="S115" s="271" t="n">
        <v>455</v>
      </c>
      <c r="T115" s="271" t="n">
        <v>468</v>
      </c>
      <c r="U115" s="269">
        <f>U85</f>
        <v>476.762115876344</v>
      </c>
      <c r="V115" s="269">
        <f>V85</f>
        <v>477.737884123656</v>
      </c>
      <c r="W115" s="269">
        <f>SUM(S115:V115)</f>
        <v>1877.5</v>
      </c>
      <c r="X115" s="269">
        <f>X85</f>
        <v>2008.3759285126</v>
      </c>
      <c r="Y115" s="269">
        <f>Y85</f>
        <v>2146.09166087893</v>
      </c>
      <c r="Z115" s="269">
        <f>Z85</f>
        <v>2285.74374662998</v>
      </c>
      <c r="AA115" s="269">
        <f>AA85</f>
        <v>2430.28014250696</v>
      </c>
      <c r="AB115" s="269">
        <f>AB85</f>
        <v>2577.1343904769</v>
      </c>
      <c r="AC115" s="153" t="inlineStr">
        <is>
          <t>Carve-out (combined) revenue as filed. Forecast linked to the segment build.</t>
        </is>
      </c>
      <c r="AE115" s="20">
        <f>IFERROR((AB115/W115)^(1/5)-1,"n/m")</f>
        <v>0.0653968886364085</v>
      </c>
      <c r="AF115" s="20">
        <f>IFERROR((R115/H115)^(1/2)-1,"n/m")</f>
        <v>0.0855649121315494</v>
      </c>
      <c r="AG115" s="20">
        <f>IFERROR(R115/M115-1,"n/m")</f>
        <v>0.0849349039057656</v>
      </c>
      <c r="AH115" s="20" t="str">
        <f>IFERROR((R115/C115)^(1/3)-1,"n/m")</f>
        <v>n/m</v>
      </c>
    </row>
    <row r="116" ht="15" customHeight="1" s="251">
      <c r="B116" s="25" t="inlineStr">
        <is>
          <t xml:space="preserve">  Operating-related expenses</t>
        </is>
      </c>
      <c r="C116" s="34" t="n"/>
      <c r="D116" s="34" t="n"/>
      <c r="E116" s="34" t="n"/>
      <c r="F116" s="34" t="n"/>
      <c r="G116" s="34" t="n"/>
      <c r="H116" s="258" t="n">
        <v>448</v>
      </c>
      <c r="I116" s="34" t="n"/>
      <c r="J116" s="34" t="n"/>
      <c r="K116" s="34" t="n"/>
      <c r="L116" s="34" t="n"/>
      <c r="M116" s="258" t="n">
        <v>475</v>
      </c>
      <c r="N116" s="258" t="n">
        <v>127</v>
      </c>
      <c r="O116" s="258" t="n">
        <v>132</v>
      </c>
      <c r="P116" s="258" t="n">
        <v>129</v>
      </c>
      <c r="Q116" s="258" t="n">
        <v>128</v>
      </c>
      <c r="R116" s="258" t="n">
        <v>516</v>
      </c>
      <c r="S116" s="258" t="n">
        <v>136</v>
      </c>
      <c r="T116" s="258" t="n">
        <v>134</v>
      </c>
      <c r="U116" s="266">
        <f>U115*U103</f>
        <v>138.207444827075</v>
      </c>
      <c r="V116" s="266">
        <f>V115*V103</f>
        <v>137.108630421139</v>
      </c>
      <c r="W116" s="266">
        <f>SUM(S116:V116)</f>
        <v>545.316075248214</v>
      </c>
      <c r="X116" s="266">
        <f>X115*X103</f>
        <v>592.470898911216</v>
      </c>
      <c r="Y116" s="266">
        <f>Y115*Y103</f>
        <v>633.097039959283</v>
      </c>
      <c r="Z116" s="266">
        <f>Z115*Z103</f>
        <v>674.294405255845</v>
      </c>
      <c r="AA116" s="266">
        <f>AA115*AA103</f>
        <v>716.932642039555</v>
      </c>
      <c r="AB116" s="266">
        <f>AB115*AB103</f>
        <v>760.254645190686</v>
      </c>
      <c r="AC116" s="19" t="n"/>
      <c r="AE116" s="20">
        <f>IFERROR((AB116/W116)^(1/5)-1,"n/m")</f>
        <v>0.0687156186815545</v>
      </c>
      <c r="AF116" s="20">
        <f>IFERROR((R116/H116)^(1/2)-1,"n/m")</f>
        <v>0.0732128000940513</v>
      </c>
      <c r="AG116" s="20">
        <f>IFERROR(R116/M116-1,"n/m")</f>
        <v>0.0863157894736841</v>
      </c>
      <c r="AH116" s="20" t="str">
        <f>IFERROR((R116/C116)^(1/3)-1,"n/m")</f>
        <v>n/m</v>
      </c>
    </row>
    <row r="117" ht="15" customHeight="1" s="251">
      <c r="B117" s="25" t="inlineStr">
        <is>
          <t xml:space="preserve">  Selling and general expenses</t>
        </is>
      </c>
      <c r="C117" s="34" t="n"/>
      <c r="D117" s="34" t="n"/>
      <c r="E117" s="34" t="n"/>
      <c r="F117" s="34" t="n"/>
      <c r="G117" s="34" t="n"/>
      <c r="H117" s="258" t="n">
        <v>491</v>
      </c>
      <c r="I117" s="34" t="n"/>
      <c r="J117" s="34" t="n"/>
      <c r="K117" s="34" t="n"/>
      <c r="L117" s="34" t="n"/>
      <c r="M117" s="258" t="n">
        <v>531</v>
      </c>
      <c r="N117" s="258" t="n">
        <v>131</v>
      </c>
      <c r="O117" s="258" t="n">
        <v>134</v>
      </c>
      <c r="P117" s="258" t="n">
        <v>135</v>
      </c>
      <c r="Q117" s="258" t="n">
        <v>185</v>
      </c>
      <c r="R117" s="258" t="n">
        <v>585</v>
      </c>
      <c r="S117" s="258" t="n">
        <v>160</v>
      </c>
      <c r="T117" s="258" t="n">
        <v>175</v>
      </c>
      <c r="U117" s="266">
        <f>U115-U116-U108-U119</f>
        <v>155.060995467056</v>
      </c>
      <c r="V117" s="266">
        <f>V115-V116-V108-V119</f>
        <v>193.62292928473</v>
      </c>
      <c r="W117" s="266">
        <f>SUM(S117:V117)</f>
        <v>683.683924751786</v>
      </c>
      <c r="X117" s="266">
        <f>X115-X116-X108-X119</f>
        <v>642.26415606887</v>
      </c>
      <c r="Y117" s="266">
        <f>Y115-Y116-Y108-Y119</f>
        <v>660.372611123502</v>
      </c>
      <c r="Z117" s="266">
        <f>Z115-Z116-Z108-Z119</f>
        <v>687.042874163226</v>
      </c>
      <c r="AA117" s="266">
        <f>AA115-AA116-AA108-AA119</f>
        <v>713.437604465187</v>
      </c>
      <c r="AB117" s="266">
        <f>AB115-AB116-AB108-AB119</f>
        <v>738.30520461473</v>
      </c>
      <c r="AC117" s="19" t="inlineStr">
        <is>
          <t>Forecast = balancing line (revenue − operating-related expenses − D&amp;A − operating profit). Includes SBC, transaction costs and other items.</t>
        </is>
      </c>
      <c r="AE117" s="20">
        <f>IFERROR((AB117/W117)^(1/5)-1,"n/m")</f>
        <v>0.0154910784249698</v>
      </c>
      <c r="AF117" s="20">
        <f>IFERROR((R117/H117)^(1/2)-1,"n/m")</f>
        <v>0.0915337963220553</v>
      </c>
      <c r="AG117" s="20">
        <f>IFERROR(R117/M117-1,"n/m")</f>
        <v>0.101694915254237</v>
      </c>
      <c r="AH117" s="20" t="str">
        <f>IFERROR((R117/C117)^(1/3)-1,"n/m")</f>
        <v>n/m</v>
      </c>
    </row>
    <row r="118" ht="15" customHeight="1" s="251">
      <c r="B118" s="25" t="inlineStr">
        <is>
          <t xml:space="preserve">  Depreciation and amortization of intangibles</t>
        </is>
      </c>
      <c r="C118" s="211">
        <f>IF(ISNUMBER(C108),C108,"")</f>
      </c>
      <c r="D118" s="211">
        <f>IF(ISNUMBER(D108),D108,"")</f>
      </c>
      <c r="E118" s="211">
        <f>IF(ISNUMBER(E108),E108,"")</f>
      </c>
      <c r="F118" s="211">
        <f>IF(ISNUMBER(F108),F108,"")</f>
      </c>
      <c r="G118" s="211">
        <f>IF(ISNUMBER(G108),G108,"")</f>
      </c>
      <c r="H118" s="211">
        <f>IF(ISNUMBER(H108),H108,"")</f>
        <v>307</v>
      </c>
      <c r="I118" s="211">
        <f>IF(ISNUMBER(I108),I108,"")</f>
      </c>
      <c r="J118" s="211">
        <f>IF(ISNUMBER(J108),J108,"")</f>
      </c>
      <c r="K118" s="211">
        <f>IF(ISNUMBER(K108),K108,"")</f>
      </c>
      <c r="L118" s="211">
        <f>IF(ISNUMBER(L108),L108,"")</f>
      </c>
      <c r="M118" s="211">
        <f>IF(ISNUMBER(M108),M108,"")</f>
        <v>309</v>
      </c>
      <c r="N118" s="211">
        <f>IF(ISNUMBER(N108),N108,"")</f>
        <v>78</v>
      </c>
      <c r="O118" s="211">
        <f>IF(ISNUMBER(O108),O108,"")</f>
        <v>77</v>
      </c>
      <c r="P118" s="211">
        <f>IF(ISNUMBER(P108),P108,"")</f>
        <v>77</v>
      </c>
      <c r="Q118" s="211">
        <f>IF(ISNUMBER(Q108),Q108,"")</f>
        <v>78</v>
      </c>
      <c r="R118" s="211">
        <f>IF(ISNUMBER(R108),R108,"")</f>
        <v>310</v>
      </c>
      <c r="S118" s="211">
        <f>IF(ISNUMBER(S108),S108,"")</f>
        <v>78</v>
      </c>
      <c r="T118" s="211">
        <f>IF(ISNUMBER(T108),T108,"")</f>
        <v>77</v>
      </c>
      <c r="U118" s="266">
        <f>IF(ISNUMBER(U108),U108,"")</f>
        <v>77.5</v>
      </c>
      <c r="V118" s="266">
        <f>IF(ISNUMBER(V108),V108,"")</f>
        <v>77.5</v>
      </c>
      <c r="W118" s="266">
        <f>IF(ISNUMBER(W108),W108,"")</f>
        <v>310</v>
      </c>
      <c r="X118" s="266">
        <f>IF(ISNUMBER(X108),X108,"")</f>
        <v>312.067007428101</v>
      </c>
      <c r="Y118" s="266">
        <f>IF(ISNUMBER(Y108),Y108,"")</f>
        <v>313.168733287031</v>
      </c>
      <c r="Z118" s="266">
        <f>IF(ISNUMBER(Z108),Z108,"")</f>
        <v>314.28594997304</v>
      </c>
      <c r="AA118" s="266">
        <f>IF(ISNUMBER(AA108),AA108,"")</f>
        <v>312.442241140056</v>
      </c>
      <c r="AB118" s="266">
        <f>IF(ISNUMBER(AB108),AB108,"")</f>
        <v>310.617075123815</v>
      </c>
      <c r="AC118" s="19" t="n"/>
    </row>
    <row r="119" ht="15" customHeight="1" s="251">
      <c r="B119" s="55" t="inlineStr">
        <is>
          <t>Operating profit</t>
        </is>
      </c>
      <c r="C119" s="56" t="n"/>
      <c r="D119" s="56" t="n"/>
      <c r="E119" s="56" t="n"/>
      <c r="F119" s="56" t="n"/>
      <c r="G119" s="56" t="n"/>
      <c r="H119" s="271" t="n">
        <v>239</v>
      </c>
      <c r="I119" s="56" t="n"/>
      <c r="J119" s="56" t="n"/>
      <c r="K119" s="56" t="n"/>
      <c r="L119" s="56" t="n"/>
      <c r="M119" s="271" t="n">
        <v>298</v>
      </c>
      <c r="N119" s="271" t="n">
        <v>84</v>
      </c>
      <c r="O119" s="271" t="n">
        <v>96</v>
      </c>
      <c r="P119" s="271" t="n">
        <v>104</v>
      </c>
      <c r="Q119" s="271" t="n">
        <v>55</v>
      </c>
      <c r="R119" s="271" t="n">
        <v>339</v>
      </c>
      <c r="S119" s="271" t="n">
        <v>81</v>
      </c>
      <c r="T119" s="271" t="n">
        <v>82</v>
      </c>
      <c r="U119" s="269">
        <f>U88-U108-U109-U111-U112</f>
        <v>105.993675582213</v>
      </c>
      <c r="V119" s="269">
        <f>V88-V108-V109-V111-V112</f>
        <v>69.5063244177871</v>
      </c>
      <c r="W119" s="269">
        <f>SUM(S119:V119)</f>
        <v>338.5</v>
      </c>
      <c r="X119" s="269">
        <f>X88-X108-X109-X111-X112</f>
        <v>461.573866104411</v>
      </c>
      <c r="Y119" s="269">
        <f>Y88-Y108-Y109-Y111-Y112</f>
        <v>539.453276509109</v>
      </c>
      <c r="Z119" s="269">
        <f>Z88-Z108-Z109-Z111-Z112</f>
        <v>610.120517237873</v>
      </c>
      <c r="AA119" s="269">
        <f>AA88-AA108-AA109-AA111-AA112</f>
        <v>687.467654862167</v>
      </c>
      <c r="AB119" s="269">
        <f>AB88-AB108-AB109-AB111-AB112</f>
        <v>767.957465547671</v>
      </c>
      <c r="AC119" s="153" t="inlineStr">
        <is>
          <t>Historical as filed. Forecast = Adjusted EBITDA − D&amp;A − SBC − transaction costs − other items.</t>
        </is>
      </c>
      <c r="AE119" s="20">
        <f>IFERROR((AB119/W119)^(1/5)-1,"n/m")</f>
        <v>0.17802823221873</v>
      </c>
      <c r="AF119" s="20">
        <f>IFERROR((R119/H119)^(1/2)-1,"n/m")</f>
        <v>0.190970210307967</v>
      </c>
      <c r="AG119" s="20">
        <f>IFERROR(R119/M119-1,"n/m")</f>
        <v>0.13758389261745</v>
      </c>
      <c r="AH119" s="20" t="str">
        <f>IFERROR((R119/C119)^(1/3)-1,"n/m")</f>
        <v>n/m</v>
      </c>
    </row>
    <row r="120" ht="15" customHeight="1" s="251">
      <c r="B120" s="25" t="inlineStr">
        <is>
          <t xml:space="preserve">  Operating margin %</t>
        </is>
      </c>
      <c r="C120" s="215">
        <f>IF(AND(ISNUMBER(C119),ISNUMBER(C115)),IFERROR(C119/C115,""),"")</f>
      </c>
      <c r="D120" s="215">
        <f>IF(AND(ISNUMBER(D119),ISNUMBER(D115)),IFERROR(D119/D115,""),"")</f>
      </c>
      <c r="E120" s="215">
        <f>IF(AND(ISNUMBER(E119),ISNUMBER(E115)),IFERROR(E119/E115,""),"")</f>
      </c>
      <c r="F120" s="215">
        <f>IF(AND(ISNUMBER(F119),ISNUMBER(F115)),IFERROR(F119/F115,""),"")</f>
      </c>
      <c r="G120" s="215">
        <f>IF(AND(ISNUMBER(G119),ISNUMBER(G115)),IFERROR(G119/G115,""),"")</f>
      </c>
      <c r="H120" s="215">
        <f>IF(AND(ISNUMBER(H119),ISNUMBER(H115)),IFERROR(H119/H115,""),"")</f>
        <v>0.160942760942761</v>
      </c>
      <c r="I120" s="215">
        <f>IF(AND(ISNUMBER(I119),ISNUMBER(I115)),IFERROR(I119/I115,""),"")</f>
      </c>
      <c r="J120" s="215">
        <f>IF(AND(ISNUMBER(J119),ISNUMBER(J115)),IFERROR(J119/J115,""),"")</f>
      </c>
      <c r="K120" s="215">
        <f>IF(AND(ISNUMBER(K119),ISNUMBER(K115)),IFERROR(K119/K115,""),"")</f>
      </c>
      <c r="L120" s="215">
        <f>IF(AND(ISNUMBER(L119),ISNUMBER(L115)),IFERROR(L119/L115,""),"")</f>
      </c>
      <c r="M120" s="215">
        <f>IF(AND(ISNUMBER(M119),ISNUMBER(M115)),IFERROR(M119/M115,""),"")</f>
        <v>0.184748915065096</v>
      </c>
      <c r="N120" s="215">
        <f>IF(AND(ISNUMBER(N119),ISNUMBER(N115)),IFERROR(N119/N115,""),"")</f>
        <v>0.2</v>
      </c>
      <c r="O120" s="215">
        <f>IF(AND(ISNUMBER(O119),ISNUMBER(O115)),IFERROR(O119/O115,""),"")</f>
        <v>0.218678815489749</v>
      </c>
      <c r="P120" s="215">
        <f>IF(AND(ISNUMBER(P119),ISNUMBER(P115)),IFERROR(P119/P115,""),"")</f>
        <v>0.233707865168539</v>
      </c>
      <c r="Q120" s="215">
        <f>IF(AND(ISNUMBER(Q119),ISNUMBER(Q115)),IFERROR(Q119/Q115,""),"")</f>
        <v>0.123318385650224</v>
      </c>
      <c r="R120" s="215">
        <f>IF(AND(ISNUMBER(R119),ISNUMBER(R115)),IFERROR(R119/R115,""),"")</f>
        <v>0.193714285714286</v>
      </c>
      <c r="S120" s="215">
        <f>IF(AND(ISNUMBER(S119),ISNUMBER(S115)),IFERROR(S119/S115,""),"")</f>
        <v>0.178021978021978</v>
      </c>
      <c r="T120" s="215">
        <f>IF(AND(ISNUMBER(T119),ISNUMBER(T115)),IFERROR(T119/T115,""),"")</f>
        <v>0.175213675213675</v>
      </c>
      <c r="U120" s="256">
        <f>IF(AND(ISNUMBER(U119),ISNUMBER(U115)),IFERROR(U119/U115,""),"")</f>
        <v>0.222319836355672</v>
      </c>
      <c r="V120" s="256">
        <f>IF(AND(ISNUMBER(V119),ISNUMBER(V115)),IFERROR(V119/V115,""),"")</f>
        <v>0.1454905016488</v>
      </c>
      <c r="W120" s="256">
        <f>IF(AND(ISNUMBER(W119),ISNUMBER(W115)),IFERROR(W119/W115,""),"")</f>
        <v>0.180292942743009</v>
      </c>
      <c r="X120" s="256">
        <f>IF(AND(ISNUMBER(X119),ISNUMBER(X115)),IFERROR(X119/X115,""),"")</f>
        <v>0.229824436526807</v>
      </c>
      <c r="Y120" s="256">
        <f>IF(AND(ISNUMBER(Y119),ISNUMBER(Y115)),IFERROR(Y119/Y115,""),"")</f>
        <v>0.251365440881578</v>
      </c>
      <c r="Z120" s="256">
        <f>IF(AND(ISNUMBER(Z119),ISNUMBER(Z115)),IFERROR(Z119/Z115,""),"")</f>
        <v>0.266924285864245</v>
      </c>
      <c r="AA120" s="256">
        <f>IF(AND(ISNUMBER(AA119),ISNUMBER(AA115)),IFERROR(AA119/AA115,""),"")</f>
        <v>0.282875888601471</v>
      </c>
      <c r="AB120" s="256">
        <f>IF(AND(ISNUMBER(AB119),ISNUMBER(AB115)),IFERROR(AB119/AB115,""),"")</f>
        <v>0.29798890907104</v>
      </c>
      <c r="AC120" s="153" t="n"/>
      <c r="AE120" s="37">
        <f>IFERROR(AVERAGE(X120,Y120,Z120,AA120,AB120),"n/m")</f>
        <v>0.265795792189028</v>
      </c>
      <c r="AF120" s="37">
        <f>IFERROR(AVERAGE(H120,M120,R120),"n/m")</f>
        <v>0.179801987240714</v>
      </c>
      <c r="AG120" s="37">
        <f>IFERROR(AVERAGE(M120,R120),"n/m")</f>
        <v>0.189231600389691</v>
      </c>
      <c r="AH120" s="37">
        <f>IFERROR(AVERAGE(C120,H120,M120,R120),"n/m")</f>
        <v>0.179801987240714</v>
      </c>
    </row>
    <row r="121" ht="15" customHeight="1" s="251">
      <c r="B121" s="25" t="inlineStr">
        <is>
          <t>Other income, net (income = +)</t>
        </is>
      </c>
      <c r="C121" s="34" t="n"/>
      <c r="D121" s="34" t="n"/>
      <c r="E121" s="34" t="n"/>
      <c r="F121" s="34" t="n"/>
      <c r="G121" s="34" t="n"/>
      <c r="H121" s="258" t="n">
        <v>2</v>
      </c>
      <c r="I121" s="34" t="n"/>
      <c r="J121" s="34" t="n"/>
      <c r="K121" s="34" t="n"/>
      <c r="L121" s="34" t="n"/>
      <c r="M121" s="258" t="n">
        <v>1</v>
      </c>
      <c r="N121" s="258" t="n">
        <v>0</v>
      </c>
      <c r="O121" s="258" t="n">
        <v>0</v>
      </c>
      <c r="P121" s="258" t="n">
        <v>0</v>
      </c>
      <c r="Q121" s="258" t="n">
        <v>0</v>
      </c>
      <c r="R121" s="258" t="n">
        <v>0</v>
      </c>
      <c r="S121" s="258" t="n">
        <v>0</v>
      </c>
      <c r="T121" s="258" t="n">
        <v>0</v>
      </c>
      <c r="U121" s="266">
        <f>0</f>
        <v>0</v>
      </c>
      <c r="V121" s="266">
        <f>0</f>
        <v>0</v>
      </c>
      <c r="W121" s="266">
        <f>SUM(S121:V121)</f>
        <v>0</v>
      </c>
      <c r="X121" s="266">
        <f>0</f>
        <v>0</v>
      </c>
      <c r="Y121" s="266">
        <f>0</f>
        <v>0</v>
      </c>
      <c r="Z121" s="266">
        <f>0</f>
        <v>0</v>
      </c>
      <c r="AA121" s="266">
        <f>0</f>
        <v>0</v>
      </c>
      <c r="AB121" s="266">
        <f>0</f>
        <v>0</v>
      </c>
      <c r="AC121" s="19" t="inlineStr">
        <is>
          <t>FY2023 $2m / FY2024 $1m: related-party dividend income (pre-spin). Nil forecast.</t>
        </is>
      </c>
    </row>
    <row r="122" ht="15" customHeight="1" s="251">
      <c r="B122" s="25" t="inlineStr">
        <is>
          <t>Interest expense, net</t>
        </is>
      </c>
      <c r="C122" s="34" t="n"/>
      <c r="D122" s="34" t="n"/>
      <c r="E122" s="34" t="n"/>
      <c r="F122" s="34" t="n"/>
      <c r="G122" s="34" t="n"/>
      <c r="H122" s="258" t="n">
        <v>17</v>
      </c>
      <c r="I122" s="34" t="n"/>
      <c r="J122" s="34" t="n"/>
      <c r="K122" s="34" t="n"/>
      <c r="L122" s="34" t="n"/>
      <c r="M122" s="258" t="n">
        <v>15</v>
      </c>
      <c r="N122" s="258" t="n">
        <v>3</v>
      </c>
      <c r="O122" s="258" t="n">
        <v>4</v>
      </c>
      <c r="P122" s="258" t="n">
        <v>4</v>
      </c>
      <c r="Q122" s="258" t="n">
        <v>2</v>
      </c>
      <c r="R122" s="258" t="n">
        <v>13</v>
      </c>
      <c r="S122" s="258" t="n">
        <v>3</v>
      </c>
      <c r="T122" s="258" t="n">
        <v>7</v>
      </c>
      <c r="U122" s="266">
        <f>$AM$17/2</f>
        <v>27</v>
      </c>
      <c r="V122" s="266">
        <f>$AM$17/2</f>
        <v>27</v>
      </c>
      <c r="W122" s="266">
        <f>SUM(S122:V122)</f>
        <v>64</v>
      </c>
      <c r="X122" s="266">
        <f>W297*X308+X300+W304*X309+X310-W228*X311</f>
        <v>103.611004628712</v>
      </c>
      <c r="Y122" s="266">
        <f>X297*Y308+Y300+X304*Y309+Y310-X228*Y311</f>
        <v>104.099985636191</v>
      </c>
      <c r="Z122" s="266">
        <f>Y297*Z308+Z300+Y304*Z309+Z310-Y228*Z311</f>
        <v>108.256272083254</v>
      </c>
      <c r="AA122" s="266">
        <f>Z297*AA308+AA300+Z304*AA309+AA310-Z228*AA311</f>
        <v>118.900824950881</v>
      </c>
      <c r="AB122" s="266">
        <f>AA297*AB308+AB300+AA304*AB309+AB310-AA228*AB311</f>
        <v>127.247889164029</v>
      </c>
      <c r="AC122" s="19" t="inlineStr">
        <is>
          <t>To 30-Jun-2026: related-party (Canada Carfax) loan interest + one month of senior-note interest. Q3/Q4-26E: point estimate. 2027E+: coupons on opening notes face + issuance-cost accretion + revolver + fees − interest on opening cash (no circularity).</t>
        </is>
      </c>
    </row>
    <row r="123" ht="15" customHeight="1" s="251">
      <c r="B123" s="16" t="inlineStr">
        <is>
          <t>Income before taxes on income</t>
        </is>
      </c>
      <c r="C123" s="263">
        <f>IF(ISNUMBER(C119),C119+N(C121)-C122,"")</f>
      </c>
      <c r="D123" s="263">
        <f>IF(ISNUMBER(D119),D119+N(D121)-D122,"")</f>
      </c>
      <c r="E123" s="263">
        <f>IF(ISNUMBER(E119),E119+N(E121)-E122,"")</f>
      </c>
      <c r="F123" s="263">
        <f>IF(ISNUMBER(F119),F119+N(F121)-F122,"")</f>
      </c>
      <c r="G123" s="263">
        <f>IF(ISNUMBER(G119),G119+N(G121)-G122,"")</f>
      </c>
      <c r="H123" s="263">
        <f>IF(ISNUMBER(H119),H119+N(H121)-H122,"")</f>
        <v>224</v>
      </c>
      <c r="I123" s="263">
        <f>IF(ISNUMBER(I119),I119+N(I121)-I122,"")</f>
      </c>
      <c r="J123" s="263">
        <f>IF(ISNUMBER(J119),J119+N(J121)-J122,"")</f>
      </c>
      <c r="K123" s="263">
        <f>IF(ISNUMBER(K119),K119+N(K121)-K122,"")</f>
      </c>
      <c r="L123" s="263">
        <f>IF(ISNUMBER(L119),L119+N(L121)-L122,"")</f>
      </c>
      <c r="M123" s="263">
        <f>IF(ISNUMBER(M119),M119+N(M121)-M122,"")</f>
        <v>284</v>
      </c>
      <c r="N123" s="263">
        <f>IF(ISNUMBER(N119),N119+N(N121)-N122,"")</f>
        <v>81</v>
      </c>
      <c r="O123" s="263">
        <f>IF(ISNUMBER(O119),O119+N(O121)-O122,"")</f>
        <v>92</v>
      </c>
      <c r="P123" s="263">
        <f>IF(ISNUMBER(P119),P119+N(P121)-P122,"")</f>
        <v>100</v>
      </c>
      <c r="Q123" s="263">
        <f>IF(ISNUMBER(Q119),Q119+N(Q121)-Q122,"")</f>
        <v>53</v>
      </c>
      <c r="R123" s="263">
        <f>IF(ISNUMBER(R119),R119+N(R121)-R122,"")</f>
        <v>326</v>
      </c>
      <c r="S123" s="263">
        <f>IF(ISNUMBER(S119),S119+N(S121)-S122,"")</f>
        <v>78</v>
      </c>
      <c r="T123" s="263">
        <f>IF(ISNUMBER(T119),T119+N(T121)-T122,"")</f>
        <v>75</v>
      </c>
      <c r="U123" s="254">
        <f>IF(ISNUMBER(U119),U119+N(U121)-U122,"")</f>
        <v>78.9936755822129</v>
      </c>
      <c r="V123" s="254">
        <f>IF(ISNUMBER(V119),V119+N(V121)-V122,"")</f>
        <v>42.5063244177871</v>
      </c>
      <c r="W123" s="254">
        <f>IF(ISNUMBER(W119),W119+N(W121)-W122,"")</f>
        <v>274.5</v>
      </c>
      <c r="X123" s="254">
        <f>IF(ISNUMBER(X119),X119+N(X121)-X122,"")</f>
        <v>357.962861475698</v>
      </c>
      <c r="Y123" s="254">
        <f>IF(ISNUMBER(Y119),Y119+N(Y121)-Y122,"")</f>
        <v>435.353290872918</v>
      </c>
      <c r="Z123" s="254">
        <f>IF(ISNUMBER(Z119),Z119+N(Z121)-Z122,"")</f>
        <v>501.864245154619</v>
      </c>
      <c r="AA123" s="254">
        <f>IF(ISNUMBER(AA119),AA119+N(AA121)-AA122,"")</f>
        <v>568.566829911286</v>
      </c>
      <c r="AB123" s="254">
        <f>IF(ISNUMBER(AB119),AB119+N(AB121)-AB122,"")</f>
        <v>640.709576383642</v>
      </c>
      <c r="AC123" s="153" t="n"/>
    </row>
    <row r="124" ht="15" customHeight="1" s="251">
      <c r="B124" s="25" t="inlineStr">
        <is>
          <t>Provision for taxes on income</t>
        </is>
      </c>
      <c r="C124" s="34" t="n"/>
      <c r="D124" s="34" t="n"/>
      <c r="E124" s="34" t="n"/>
      <c r="F124" s="34" t="n"/>
      <c r="G124" s="34" t="n"/>
      <c r="H124" s="258" t="n">
        <v>61</v>
      </c>
      <c r="I124" s="34" t="n"/>
      <c r="J124" s="34" t="n"/>
      <c r="K124" s="34" t="n"/>
      <c r="L124" s="34" t="n"/>
      <c r="M124" s="258" t="n">
        <v>76</v>
      </c>
      <c r="N124" s="258" t="n">
        <v>23</v>
      </c>
      <c r="O124" s="258" t="n">
        <v>27</v>
      </c>
      <c r="P124" s="258" t="n">
        <v>29</v>
      </c>
      <c r="Q124" s="258" t="n">
        <v>27</v>
      </c>
      <c r="R124" s="258" t="n">
        <v>106</v>
      </c>
      <c r="S124" s="258" t="n">
        <v>23</v>
      </c>
      <c r="T124" s="258" t="n">
        <v>22</v>
      </c>
      <c r="U124" s="266">
        <f>U123*U125</f>
        <v>22.9081659188417</v>
      </c>
      <c r="V124" s="266">
        <f>V123*V125</f>
        <v>12.3268340811583</v>
      </c>
      <c r="W124" s="266">
        <f>SUM(S124:V124)</f>
        <v>80.235</v>
      </c>
      <c r="X124" s="266">
        <f>X123*X125</f>
        <v>102.019415520574</v>
      </c>
      <c r="Y124" s="266">
        <f>Y123*Y125</f>
        <v>124.075687898782</v>
      </c>
      <c r="Z124" s="266">
        <f>Z123*Z125</f>
        <v>143.031309869066</v>
      </c>
      <c r="AA124" s="266">
        <f>AA123*AA125</f>
        <v>162.041546524716</v>
      </c>
      <c r="AB124" s="266">
        <f>AB123*AB125</f>
        <v>182.602229269338</v>
      </c>
      <c r="AC124" s="19" t="n"/>
    </row>
    <row r="125" ht="15" customHeight="1" s="251">
      <c r="B125" s="25" t="inlineStr">
        <is>
          <t xml:space="preserve">  Effective tax rate</t>
        </is>
      </c>
      <c r="C125" s="215">
        <f>IF(AND(ISNUMBER(C124),ISNUMBER(C123)),IFERROR(C124/C123,""),"")</f>
      </c>
      <c r="D125" s="215">
        <f>IF(AND(ISNUMBER(D124),ISNUMBER(D123)),IFERROR(D124/D123,""),"")</f>
      </c>
      <c r="E125" s="215">
        <f>IF(AND(ISNUMBER(E124),ISNUMBER(E123)),IFERROR(E124/E123,""),"")</f>
      </c>
      <c r="F125" s="215">
        <f>IF(AND(ISNUMBER(F124),ISNUMBER(F123)),IFERROR(F124/F123,""),"")</f>
      </c>
      <c r="G125" s="215">
        <f>IF(AND(ISNUMBER(G124),ISNUMBER(G123)),IFERROR(G124/G123,""),"")</f>
      </c>
      <c r="H125" s="215">
        <f>IF(AND(ISNUMBER(H124),ISNUMBER(H123)),IFERROR(H124/H123,""),"")</f>
        <v>0.272321428571429</v>
      </c>
      <c r="I125" s="215">
        <f>IF(AND(ISNUMBER(I124),ISNUMBER(I123)),IFERROR(I124/I123,""),"")</f>
      </c>
      <c r="J125" s="215">
        <f>IF(AND(ISNUMBER(J124),ISNUMBER(J123)),IFERROR(J124/J123,""),"")</f>
      </c>
      <c r="K125" s="215">
        <f>IF(AND(ISNUMBER(K124),ISNUMBER(K123)),IFERROR(K124/K123,""),"")</f>
      </c>
      <c r="L125" s="215">
        <f>IF(AND(ISNUMBER(L124),ISNUMBER(L123)),IFERROR(L124/L123,""),"")</f>
      </c>
      <c r="M125" s="215">
        <f>IF(AND(ISNUMBER(M124),ISNUMBER(M123)),IFERROR(M124/M123,""),"")</f>
        <v>0.267605633802817</v>
      </c>
      <c r="N125" s="215">
        <f>IF(AND(ISNUMBER(N124),ISNUMBER(N123)),IFERROR(N124/N123,""),"")</f>
        <v>0.283950617283951</v>
      </c>
      <c r="O125" s="215">
        <f>IF(AND(ISNUMBER(O124),ISNUMBER(O123)),IFERROR(O124/O123,""),"")</f>
        <v>0.293478260869565</v>
      </c>
      <c r="P125" s="215">
        <f>IF(AND(ISNUMBER(P124),ISNUMBER(P123)),IFERROR(P124/P123,""),"")</f>
        <v>0.29</v>
      </c>
      <c r="Q125" s="215">
        <f>IF(AND(ISNUMBER(Q124),ISNUMBER(Q123)),IFERROR(Q124/Q123,""),"")</f>
        <v>0.509433962264151</v>
      </c>
      <c r="R125" s="215">
        <f>IF(AND(ISNUMBER(R124),ISNUMBER(R123)),IFERROR(R124/R123,""),"")</f>
        <v>0.325153374233129</v>
      </c>
      <c r="S125" s="215">
        <f>IF(AND(ISNUMBER(S124),ISNUMBER(S123)),IFERROR(S124/S123,""),"")</f>
        <v>0.294871794871795</v>
      </c>
      <c r="T125" s="215">
        <f>IF(AND(ISNUMBER(T124),ISNUMBER(T123)),IFERROR(T124/T123,""),"")</f>
        <v>0.293333333333333</v>
      </c>
      <c r="U125" s="256">
        <f>$AM$18</f>
        <v>0.29</v>
      </c>
      <c r="V125" s="256">
        <f>$AM$18</f>
        <v>0.29</v>
      </c>
      <c r="W125" s="256">
        <f>IF(AND(ISNUMBER(W124),ISNUMBER(W123)),IFERROR(W124/W123,""),"")</f>
        <v>0.292295081967213</v>
      </c>
      <c r="X125" s="262" t="n">
        <v>0.285</v>
      </c>
      <c r="Y125" s="262" t="n">
        <v>0.285</v>
      </c>
      <c r="Z125" s="262" t="n">
        <v>0.285</v>
      </c>
      <c r="AA125" s="262" t="n">
        <v>0.285</v>
      </c>
      <c r="AB125" s="262" t="n">
        <v>0.285</v>
      </c>
      <c r="AC125" s="153" t="inlineStr">
        <is>
          <t>Separate-return method pre-spin (FY2023 27.3%, FY2024 26.8%, FY2025 32.5% incl. discretes; 1H/26 29.4%). Not guided; Q3/Q4-26E point estimate; 2027E+ input.</t>
        </is>
      </c>
      <c r="AE125" s="37">
        <f>IFERROR(AVERAGE(X125,Y125,Z125,AA125,AB125),"n/m")</f>
        <v>0.285</v>
      </c>
      <c r="AF125" s="37">
        <f>IFERROR(AVERAGE(H125,M125,R125),"n/m")</f>
        <v>0.288360145535791</v>
      </c>
      <c r="AG125" s="37">
        <f>IFERROR(AVERAGE(M125,R125),"n/m")</f>
        <v>0.296379504017973</v>
      </c>
      <c r="AH125" s="37">
        <f>IFERROR(AVERAGE(C125,H125,M125,R125),"n/m")</f>
        <v>0.288360145535791</v>
      </c>
    </row>
    <row r="126" ht="15" customHeight="1" s="251">
      <c r="B126" s="55" t="inlineStr">
        <is>
          <t>Net income</t>
        </is>
      </c>
      <c r="C126" s="269">
        <f>IF(ISNUMBER(C123),C123-C124,"")</f>
      </c>
      <c r="D126" s="269">
        <f>IF(ISNUMBER(D123),D123-D124,"")</f>
      </c>
      <c r="E126" s="269">
        <f>IF(ISNUMBER(E123),E123-E124,"")</f>
      </c>
      <c r="F126" s="269">
        <f>IF(ISNUMBER(F123),F123-F124,"")</f>
      </c>
      <c r="G126" s="269">
        <f>IF(ISNUMBER(G123),G123-G124,"")</f>
      </c>
      <c r="H126" s="269">
        <f>IF(ISNUMBER(H123),H123-H124,"")</f>
        <v>163</v>
      </c>
      <c r="I126" s="269">
        <f>IF(ISNUMBER(I123),I123-I124,"")</f>
      </c>
      <c r="J126" s="269">
        <f>IF(ISNUMBER(J123),J123-J124,"")</f>
      </c>
      <c r="K126" s="269">
        <f>IF(ISNUMBER(K123),K123-K124,"")</f>
      </c>
      <c r="L126" s="269">
        <f>IF(ISNUMBER(L123),L123-L124,"")</f>
      </c>
      <c r="M126" s="269">
        <f>IF(ISNUMBER(M123),M123-M124,"")</f>
        <v>208</v>
      </c>
      <c r="N126" s="269">
        <f>IF(ISNUMBER(N123),N123-N124,"")</f>
        <v>58</v>
      </c>
      <c r="O126" s="269">
        <f>IF(ISNUMBER(O123),O123-O124,"")</f>
        <v>65</v>
      </c>
      <c r="P126" s="269">
        <f>IF(ISNUMBER(P123),P123-P124,"")</f>
        <v>71</v>
      </c>
      <c r="Q126" s="269">
        <f>IF(ISNUMBER(Q123),Q123-Q124,"")</f>
        <v>26</v>
      </c>
      <c r="R126" s="269">
        <f>IF(ISNUMBER(R123),R123-R124,"")</f>
        <v>220</v>
      </c>
      <c r="S126" s="269">
        <f>IF(ISNUMBER(S123),S123-S124,"")</f>
        <v>55</v>
      </c>
      <c r="T126" s="269">
        <f>IF(ISNUMBER(T123),T123-T124,"")</f>
        <v>53</v>
      </c>
      <c r="U126" s="269">
        <f>IF(ISNUMBER(U123),U123-U124,"")</f>
        <v>56.0855096633711</v>
      </c>
      <c r="V126" s="269">
        <f>IF(ISNUMBER(V123),V123-V124,"")</f>
        <v>30.1794903366289</v>
      </c>
      <c r="W126" s="269">
        <f>IF(ISNUMBER(W123),W123-W124,"")</f>
        <v>194.265</v>
      </c>
      <c r="X126" s="269">
        <f>IF(ISNUMBER(X123),X123-X124,"")</f>
        <v>255.943445955124</v>
      </c>
      <c r="Y126" s="269">
        <f>IF(ISNUMBER(Y123),Y123-Y124,"")</f>
        <v>311.277602974136</v>
      </c>
      <c r="Z126" s="269">
        <f>IF(ISNUMBER(Z123),Z123-Z124,"")</f>
        <v>358.832935285552</v>
      </c>
      <c r="AA126" s="269">
        <f>IF(ISNUMBER(AA123),AA123-AA124,"")</f>
        <v>406.525283386569</v>
      </c>
      <c r="AB126" s="269">
        <f>IF(ISNUMBER(AB123),AB123-AB124,"")</f>
        <v>458.107347114304</v>
      </c>
      <c r="AC126" s="153" t="n"/>
      <c r="AE126" s="20">
        <f>IFERROR((AB126/W126)^(1/5)-1,"n/m")</f>
        <v>0.187174443538927</v>
      </c>
      <c r="AF126" s="20">
        <f>IFERROR((R126/H126)^(1/2)-1,"n/m")</f>
        <v>0.161762992840512</v>
      </c>
      <c r="AG126" s="20">
        <f>IFERROR(R126/M126-1,"n/m")</f>
        <v>0.0576923076923077</v>
      </c>
      <c r="AH126" s="20" t="str">
        <f>IFERROR((R126/C126)^(1/3)-1,"n/m")</f>
        <v>n/m</v>
      </c>
    </row>
    <row r="127" ht="15" customHeight="1" s="251">
      <c r="B127" s="57" t="inlineStr">
        <is>
          <t xml:space="preserve">  Check: net income vs reported (should be 0; ±1 rounding)</t>
        </is>
      </c>
      <c r="C127" s="211">
        <f>IF(ISNUMBER(C128),IF(ABS(C126-C128)&lt;=1,0,C126-C128),"")</f>
      </c>
      <c r="D127" s="211">
        <f>IF(ISNUMBER(D128),IF(ABS(D126-D128)&lt;=1,0,D126-D128),"")</f>
      </c>
      <c r="E127" s="211">
        <f>IF(ISNUMBER(E128),IF(ABS(E126-E128)&lt;=1,0,E126-E128),"")</f>
      </c>
      <c r="F127" s="211">
        <f>IF(ISNUMBER(F128),IF(ABS(F126-F128)&lt;=1,0,F126-F128),"")</f>
      </c>
      <c r="G127" s="211">
        <f>IF(ISNUMBER(G128),IF(ABS(G126-G128)&lt;=1,0,G126-G128),"")</f>
      </c>
      <c r="H127" s="211">
        <f>IF(ISNUMBER(H128),IF(ABS(H126-H128)&lt;=1,0,H126-H128),"")</f>
        <v>0</v>
      </c>
      <c r="I127" s="211">
        <f>IF(ISNUMBER(I128),IF(ABS(I126-I128)&lt;=1,0,I126-I128),"")</f>
      </c>
      <c r="J127" s="211">
        <f>IF(ISNUMBER(J128),IF(ABS(J126-J128)&lt;=1,0,J126-J128),"")</f>
      </c>
      <c r="K127" s="211">
        <f>IF(ISNUMBER(K128),IF(ABS(K126-K128)&lt;=1,0,K126-K128),"")</f>
      </c>
      <c r="L127" s="211">
        <f>IF(ISNUMBER(L128),IF(ABS(L126-L128)&lt;=1,0,L126-L128),"")</f>
      </c>
      <c r="M127" s="211">
        <f>IF(ISNUMBER(M128),IF(ABS(M126-M128)&lt;=1,0,M126-M128),"")</f>
        <v>0</v>
      </c>
      <c r="N127" s="211">
        <f>IF(ISNUMBER(N128),IF(ABS(N126-N128)&lt;=1,0,N126-N128),"")</f>
        <v>0</v>
      </c>
      <c r="O127" s="211">
        <f>IF(ISNUMBER(O128),IF(ABS(O126-O128)&lt;=1,0,O126-O128),"")</f>
        <v>0</v>
      </c>
      <c r="P127" s="211">
        <f>IF(ISNUMBER(P128),IF(ABS(P126-P128)&lt;=1,0,P126-P128),"")</f>
        <v>0</v>
      </c>
      <c r="Q127" s="211">
        <f>IF(ISNUMBER(Q128),IF(ABS(Q126-Q128)&lt;=1,0,Q126-Q128),"")</f>
        <v>0</v>
      </c>
      <c r="R127" s="211">
        <f>IF(ISNUMBER(R128),IF(ABS(R126-R128)&lt;=1,0,R126-R128),"")</f>
        <v>0</v>
      </c>
      <c r="S127" s="211">
        <f>IF(ISNUMBER(S128),IF(ABS(S126-S128)&lt;=1,0,S126-S128),"")</f>
        <v>0</v>
      </c>
      <c r="T127" s="211">
        <f>IF(ISNUMBER(T128),IF(ABS(T126-T128)&lt;=1,0,T126-T128),"")</f>
        <v>0</v>
      </c>
      <c r="U127" s="153" t="n"/>
      <c r="V127" s="153" t="n"/>
      <c r="W127" s="153" t="n"/>
      <c r="X127" s="153" t="n"/>
      <c r="Y127" s="153" t="n"/>
      <c r="Z127" s="153" t="n"/>
      <c r="AA127" s="153" t="n"/>
      <c r="AB127" s="153" t="n"/>
      <c r="AC127" s="153" t="n"/>
    </row>
    <row r="128" ht="15" customHeight="1" s="251">
      <c r="B128" s="156" t="inlineStr">
        <is>
          <t xml:space="preserve">  Memo: net income as reported</t>
        </is>
      </c>
      <c r="C128" s="34" t="n"/>
      <c r="D128" s="34" t="n"/>
      <c r="E128" s="34" t="n"/>
      <c r="F128" s="34" t="n"/>
      <c r="G128" s="34" t="n"/>
      <c r="H128" s="258" t="n">
        <v>163</v>
      </c>
      <c r="I128" s="34" t="n"/>
      <c r="J128" s="34" t="n"/>
      <c r="K128" s="34" t="n"/>
      <c r="L128" s="34" t="n"/>
      <c r="M128" s="258" t="n">
        <v>208</v>
      </c>
      <c r="N128" s="258" t="n">
        <v>58</v>
      </c>
      <c r="O128" s="258" t="n">
        <v>65</v>
      </c>
      <c r="P128" s="258" t="n">
        <v>71</v>
      </c>
      <c r="Q128" s="258" t="n">
        <v>26</v>
      </c>
      <c r="R128" s="258" t="n">
        <v>220</v>
      </c>
      <c r="S128" s="258" t="n">
        <v>55</v>
      </c>
      <c r="T128" s="258" t="n">
        <v>53</v>
      </c>
      <c r="U128" s="153" t="n"/>
      <c r="V128" s="153" t="n"/>
      <c r="W128" s="153" t="n"/>
      <c r="X128" s="153" t="n"/>
      <c r="Y128" s="153" t="n"/>
      <c r="Z128" s="153" t="n"/>
      <c r="AA128" s="153" t="n"/>
      <c r="AB128" s="153" t="n"/>
      <c r="AC128" s="153" t="n"/>
    </row>
    <row r="129" ht="15" customHeight="1" s="251">
      <c r="B129" s="156" t="inlineStr">
        <is>
          <t xml:space="preserve">  Memo: depreciation &amp; amortization (total)</t>
        </is>
      </c>
      <c r="C129" s="211">
        <f>IF(ISNUMBER(C108),C108,"")</f>
      </c>
      <c r="D129" s="211">
        <f>IF(ISNUMBER(D108),D108,"")</f>
      </c>
      <c r="E129" s="211">
        <f>IF(ISNUMBER(E108),E108,"")</f>
      </c>
      <c r="F129" s="211">
        <f>IF(ISNUMBER(F108),F108,"")</f>
      </c>
      <c r="G129" s="211">
        <f>IF(ISNUMBER(G108),G108,"")</f>
      </c>
      <c r="H129" s="211">
        <f>IF(ISNUMBER(H108),H108,"")</f>
        <v>307</v>
      </c>
      <c r="I129" s="211">
        <f>IF(ISNUMBER(I108),I108,"")</f>
      </c>
      <c r="J129" s="211">
        <f>IF(ISNUMBER(J108),J108,"")</f>
      </c>
      <c r="K129" s="211">
        <f>IF(ISNUMBER(K108),K108,"")</f>
      </c>
      <c r="L129" s="211">
        <f>IF(ISNUMBER(L108),L108,"")</f>
      </c>
      <c r="M129" s="211">
        <f>IF(ISNUMBER(M108),M108,"")</f>
        <v>309</v>
      </c>
      <c r="N129" s="211">
        <f>IF(ISNUMBER(N108),N108,"")</f>
        <v>78</v>
      </c>
      <c r="O129" s="211">
        <f>IF(ISNUMBER(O108),O108,"")</f>
        <v>77</v>
      </c>
      <c r="P129" s="211">
        <f>IF(ISNUMBER(P108),P108,"")</f>
        <v>77</v>
      </c>
      <c r="Q129" s="211">
        <f>IF(ISNUMBER(Q108),Q108,"")</f>
        <v>78</v>
      </c>
      <c r="R129" s="211">
        <f>IF(ISNUMBER(R108),R108,"")</f>
        <v>310</v>
      </c>
      <c r="S129" s="211">
        <f>IF(ISNUMBER(S108),S108,"")</f>
        <v>78</v>
      </c>
      <c r="T129" s="211">
        <f>IF(ISNUMBER(T108),T108,"")</f>
        <v>77</v>
      </c>
      <c r="U129" s="266">
        <f>IF(ISNUMBER(U108),U108,"")</f>
        <v>77.5</v>
      </c>
      <c r="V129" s="266">
        <f>IF(ISNUMBER(V108),V108,"")</f>
        <v>77.5</v>
      </c>
      <c r="W129" s="266">
        <f>IF(ISNUMBER(W108),W108,"")</f>
        <v>310</v>
      </c>
      <c r="X129" s="266">
        <f>IF(ISNUMBER(X108),X108,"")</f>
        <v>312.067007428101</v>
      </c>
      <c r="Y129" s="266">
        <f>IF(ISNUMBER(Y108),Y108,"")</f>
        <v>313.168733287031</v>
      </c>
      <c r="Z129" s="266">
        <f>IF(ISNUMBER(Z108),Z108,"")</f>
        <v>314.28594997304</v>
      </c>
      <c r="AA129" s="266">
        <f>IF(ISNUMBER(AA108),AA108,"")</f>
        <v>312.442241140056</v>
      </c>
      <c r="AB129" s="266">
        <f>IF(ISNUMBER(AB108),AB108,"")</f>
        <v>310.617075123815</v>
      </c>
      <c r="AC129" s="153" t="n"/>
    </row>
    <row r="130" ht="15" customHeight="1" s="251">
      <c r="B130" s="156" t="inlineStr">
        <is>
          <t xml:space="preserve">  Memo: stock-based compensation</t>
        </is>
      </c>
      <c r="C130" s="211">
        <f>IF(ISNUMBER(C109),C109,"")</f>
      </c>
      <c r="D130" s="211">
        <f>IF(ISNUMBER(D109),D109,"")</f>
      </c>
      <c r="E130" s="211">
        <f>IF(ISNUMBER(E109),E109,"")</f>
      </c>
      <c r="F130" s="211">
        <f>IF(ISNUMBER(F109),F109,"")</f>
      </c>
      <c r="G130" s="211">
        <f>IF(ISNUMBER(G109),G109,"")</f>
      </c>
      <c r="H130" s="211">
        <f>IF(ISNUMBER(H109),H109,"")</f>
        <v>20</v>
      </c>
      <c r="I130" s="211">
        <f>IF(ISNUMBER(I109),I109,"")</f>
      </c>
      <c r="J130" s="211">
        <f>IF(ISNUMBER(J109),J109,"")</f>
      </c>
      <c r="K130" s="211">
        <f>IF(ISNUMBER(K109),K109,"")</f>
      </c>
      <c r="L130" s="211">
        <f>IF(ISNUMBER(L109),L109,"")</f>
      </c>
      <c r="M130" s="211">
        <f>IF(ISNUMBER(M109),M109,"")</f>
        <v>28</v>
      </c>
      <c r="N130" s="211">
        <f>IF(ISNUMBER(N109),N109,"")</f>
        <v>5</v>
      </c>
      <c r="O130" s="211">
        <f>IF(ISNUMBER(O109),O109,"")</f>
        <v>4</v>
      </c>
      <c r="P130" s="211">
        <f>IF(ISNUMBER(P109),P109,"")</f>
        <v>7</v>
      </c>
      <c r="Q130" s="211">
        <f>IF(ISNUMBER(Q109),Q109,"")</f>
        <v>6</v>
      </c>
      <c r="R130" s="211">
        <f>IF(ISNUMBER(R109),R109,"")</f>
        <v>22</v>
      </c>
      <c r="S130" s="211">
        <f>IF(ISNUMBER(S109),S109,"")</f>
        <v>4</v>
      </c>
      <c r="T130" s="211">
        <f>IF(ISNUMBER(T109),T109,"")</f>
        <v>5</v>
      </c>
      <c r="U130" s="266">
        <f>IF(ISNUMBER(U109),U109,"")</f>
        <v>6</v>
      </c>
      <c r="V130" s="266">
        <f>IF(ISNUMBER(V109),V109,"")</f>
        <v>6</v>
      </c>
      <c r="W130" s="266">
        <f>IF(ISNUMBER(W109),W109,"")</f>
        <v>21</v>
      </c>
      <c r="X130" s="266">
        <f>IF(ISNUMBER(X109),X109,"")</f>
        <v>26.1088870706638</v>
      </c>
      <c r="Y130" s="266">
        <f>IF(ISNUMBER(Y109),Y109,"")</f>
        <v>27.899191591426</v>
      </c>
      <c r="Z130" s="266">
        <f>IF(ISNUMBER(Z109),Z109,"")</f>
        <v>29.7146687061898</v>
      </c>
      <c r="AA130" s="266">
        <f>IF(ISNUMBER(AA109),AA109,"")</f>
        <v>31.5936418525905</v>
      </c>
      <c r="AB130" s="266">
        <f>IF(ISNUMBER(AB109),AB109,"")</f>
        <v>33.5027470761997</v>
      </c>
      <c r="AC130" s="153" t="n"/>
    </row>
    <row r="131" ht="15" customHeight="1" s="251">
      <c r="B131" s="25" t="inlineStr">
        <is>
          <t>(Earnings per share — 294.8m shares distributed 1-Jul-2026; the 10-Q applies that count to all periods presented)</t>
        </is>
      </c>
      <c r="AC131" s="153" t="n"/>
    </row>
    <row r="132" ht="15" customHeight="1" s="251">
      <c r="B132" s="25" t="inlineStr">
        <is>
          <t xml:space="preserve">  Weighted-average basic shares (m)</t>
        </is>
      </c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272" t="n">
        <v>294.82132</v>
      </c>
      <c r="P132" s="34" t="n"/>
      <c r="Q132" s="34" t="n"/>
      <c r="R132" s="34" t="n"/>
      <c r="S132" s="34" t="n"/>
      <c r="T132" s="272" t="n">
        <v>294.82132</v>
      </c>
      <c r="U132" s="273">
        <f>$T$132+$W$248*0.5</f>
        <v>294.92132</v>
      </c>
      <c r="V132" s="273">
        <f>$T$132+$W$248*1.0</f>
        <v>295.02132</v>
      </c>
      <c r="W132" s="273">
        <f>AVERAGE(S132:V132)</f>
        <v>294.92132</v>
      </c>
      <c r="X132" s="273">
        <f>AVERAGE(X249,X250)</f>
        <v>284.165445880909</v>
      </c>
      <c r="Y132" s="273">
        <f>AVERAGE(Y249,Y250)</f>
        <v>258.985614403053</v>
      </c>
      <c r="Z132" s="273">
        <f>AVERAGE(Z249,Z250)</f>
        <v>230.141191516282</v>
      </c>
      <c r="AA132" s="273">
        <f>AVERAGE(AA249,AA250)</f>
        <v>201.016824668159</v>
      </c>
      <c r="AB132" s="273">
        <f>AVERAGE(AB249,AB250)</f>
        <v>171.756370438827</v>
      </c>
      <c r="AC132" s="19" t="inlineStr">
        <is>
          <t>Published only for Q2-25 / Q2-26 (10-Q: 294,821,320 for all periods presented). FY2023–25 and Q1 / Q3 / Q4 carve-out periods have no published share count, so per-share history is not shown there. Q3/Q4-26E: distributed shares + equity-plan issuance.</t>
        </is>
      </c>
    </row>
    <row r="133" ht="15" customHeight="1" s="251">
      <c r="B133" s="25" t="inlineStr">
        <is>
          <t xml:space="preserve">  Weighted-average diluted shares (m)</t>
        </is>
      </c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272" t="n">
        <v>294.82132</v>
      </c>
      <c r="P133" s="34" t="n"/>
      <c r="Q133" s="34" t="n"/>
      <c r="R133" s="34" t="n"/>
      <c r="S133" s="34" t="n"/>
      <c r="T133" s="272" t="n">
        <v>294.82132</v>
      </c>
      <c r="U133" s="273">
        <f>U132+1.0</f>
        <v>295.92132</v>
      </c>
      <c r="V133" s="273">
        <f>V132+1.0</f>
        <v>296.02132</v>
      </c>
      <c r="W133" s="273">
        <f>AVERAGE(S133:V133)</f>
        <v>295.587986666667</v>
      </c>
      <c r="X133" s="273">
        <f>X132+X294</f>
        <v>285.665445880909</v>
      </c>
      <c r="Y133" s="273">
        <f>Y132+Y294</f>
        <v>260.485614403053</v>
      </c>
      <c r="Z133" s="273">
        <f>Z132+Z294</f>
        <v>231.641191516282</v>
      </c>
      <c r="AA133" s="273">
        <f>AA132+AA294</f>
        <v>202.516824668159</v>
      </c>
      <c r="AB133" s="273">
        <f>AB132+AB294</f>
        <v>173.256370438827</v>
      </c>
      <c r="AC133" s="19" t="inlineStr">
        <is>
          <t>Q3/Q4-26E: + dilutive RSUs / options from the spin-date awards (assumption, ~1m shares).</t>
        </is>
      </c>
      <c r="AE133" s="20">
        <f>IFERROR((AB133/W133)^(1/5)-1,"n/m")</f>
        <v>-0.101329498184105</v>
      </c>
      <c r="AF133" s="20" t="str">
        <f>IFERROR((R133/H133)^(1/2)-1,"n/m")</f>
        <v>n/m</v>
      </c>
      <c r="AG133" s="20" t="str">
        <f>IFERROR(R133/M133-1,"n/m")</f>
        <v>n/m</v>
      </c>
      <c r="AH133" s="20" t="str">
        <f>IFERROR((R133/C133)^(1/3)-1,"n/m")</f>
        <v>n/m</v>
      </c>
    </row>
    <row r="134" ht="15" customHeight="1" s="251">
      <c r="B134" s="25" t="inlineStr">
        <is>
          <t>EPS – basic ($)</t>
        </is>
      </c>
      <c r="C134" s="274">
        <f>IF(ISNUMBER(C132),IFERROR(C126/C132,""),"")</f>
      </c>
      <c r="D134" s="274">
        <f>IF(ISNUMBER(D132),IFERROR(D126/D132,""),"")</f>
      </c>
      <c r="E134" s="274">
        <f>IF(ISNUMBER(E132),IFERROR(E126/E132,""),"")</f>
      </c>
      <c r="F134" s="274">
        <f>IF(ISNUMBER(F132),IFERROR(F126/F132,""),"")</f>
      </c>
      <c r="G134" s="274">
        <f>IF(ISNUMBER(G132),IFERROR(G126/G132,""),"")</f>
      </c>
      <c r="H134" s="274">
        <f>IF(ISNUMBER(H132),IFERROR(H126/H132,""),"")</f>
      </c>
      <c r="I134" s="274">
        <f>IF(ISNUMBER(I132),IFERROR(I126/I132,""),"")</f>
      </c>
      <c r="J134" s="274">
        <f>IF(ISNUMBER(J132),IFERROR(J126/J132,""),"")</f>
      </c>
      <c r="K134" s="274">
        <f>IF(ISNUMBER(K132),IFERROR(K126/K132,""),"")</f>
      </c>
      <c r="L134" s="274">
        <f>IF(ISNUMBER(L132),IFERROR(L126/L132,""),"")</f>
      </c>
      <c r="M134" s="274">
        <f>IF(ISNUMBER(M132),IFERROR(M126/M132,""),"")</f>
      </c>
      <c r="N134" s="274">
        <f>IF(ISNUMBER(N132),IFERROR(N126/N132,""),"")</f>
      </c>
      <c r="O134" s="274">
        <f>IF(ISNUMBER(O132),IFERROR(O126/O132,""),"")</f>
        <v>0.220472522136459</v>
      </c>
      <c r="P134" s="274">
        <f>IF(ISNUMBER(P132),IFERROR(P126/P132,""),"")</f>
      </c>
      <c r="Q134" s="274">
        <f>IF(ISNUMBER(Q132),IFERROR(Q126/Q132,""),"")</f>
      </c>
      <c r="R134" s="274">
        <f>IF(ISNUMBER(R132),IFERROR(R126/R132,""),"")</f>
      </c>
      <c r="S134" s="274">
        <f>IF(ISNUMBER(S132),IFERROR(S126/S132,""),"")</f>
      </c>
      <c r="T134" s="274">
        <f>IF(ISNUMBER(T132),IFERROR(T126/T132,""),"")</f>
        <v>0.179769902665113</v>
      </c>
      <c r="U134" s="275">
        <f>IF(ISNUMBER(U132),IFERROR(U126/U132,""),"")</f>
        <v>0.190171092626912</v>
      </c>
      <c r="V134" s="275">
        <f>IF(ISNUMBER(V132),IFERROR(V126/V132,""),"")</f>
        <v>0.10229596402263</v>
      </c>
      <c r="W134" s="275">
        <f>IF(ISNUMBER(W132),IFERROR(W126/W132,""),"")</f>
        <v>0.658701107129183</v>
      </c>
      <c r="X134" s="275">
        <f>IF(ISNUMBER(X132),IFERROR(X126/X132,""),"")</f>
        <v>0.900684617588543</v>
      </c>
      <c r="Y134" s="275">
        <f>IF(ISNUMBER(Y132),IFERROR(Y126/Y132,""),"")</f>
        <v>1.201910784472</v>
      </c>
      <c r="Z134" s="275">
        <f>IF(ISNUMBER(Z132),IFERROR(Z126/Z132,""),"")</f>
        <v>1.55918604975227</v>
      </c>
      <c r="AA134" s="275">
        <f>IF(ISNUMBER(AA132),IFERROR(AA126/AA132,""),"")</f>
        <v>2.02234456771301</v>
      </c>
      <c r="AB134" s="275">
        <f>IF(ISNUMBER(AB132),IFERROR(AB126/AB132,""),"")</f>
        <v>2.66719275648332</v>
      </c>
      <c r="AC134" s="153" t="n"/>
    </row>
    <row r="135" ht="15" customHeight="1" s="251">
      <c r="B135" s="55" t="inlineStr">
        <is>
          <t>EPS – diluted ($)</t>
        </is>
      </c>
      <c r="C135" s="276">
        <f>IF(ISNUMBER(C133),IFERROR(C126/C133,""),"")</f>
      </c>
      <c r="D135" s="276">
        <f>IF(ISNUMBER(D133),IFERROR(D126/D133,""),"")</f>
      </c>
      <c r="E135" s="276">
        <f>IF(ISNUMBER(E133),IFERROR(E126/E133,""),"")</f>
      </c>
      <c r="F135" s="276">
        <f>IF(ISNUMBER(F133),IFERROR(F126/F133,""),"")</f>
      </c>
      <c r="G135" s="276">
        <f>IF(ISNUMBER(G133),IFERROR(G126/G133,""),"")</f>
      </c>
      <c r="H135" s="276">
        <f>IF(ISNUMBER(H133),IFERROR(H126/H133,""),"")</f>
      </c>
      <c r="I135" s="276">
        <f>IF(ISNUMBER(I133),IFERROR(I126/I133,""),"")</f>
      </c>
      <c r="J135" s="276">
        <f>IF(ISNUMBER(J133),IFERROR(J126/J133,""),"")</f>
      </c>
      <c r="K135" s="276">
        <f>IF(ISNUMBER(K133),IFERROR(K126/K133,""),"")</f>
      </c>
      <c r="L135" s="276">
        <f>IF(ISNUMBER(L133),IFERROR(L126/L133,""),"")</f>
      </c>
      <c r="M135" s="276">
        <f>IF(ISNUMBER(M133),IFERROR(M126/M133,""),"")</f>
      </c>
      <c r="N135" s="276">
        <f>IF(ISNUMBER(N133),IFERROR(N126/N133,""),"")</f>
      </c>
      <c r="O135" s="276">
        <f>IF(ISNUMBER(O133),IFERROR(O126/O133,""),"")</f>
        <v>0.220472522136459</v>
      </c>
      <c r="P135" s="276">
        <f>IF(ISNUMBER(P133),IFERROR(P126/P133,""),"")</f>
      </c>
      <c r="Q135" s="276">
        <f>IF(ISNUMBER(Q133),IFERROR(Q126/Q133,""),"")</f>
      </c>
      <c r="R135" s="276">
        <f>IF(ISNUMBER(R133),IFERROR(R126/R133,""),"")</f>
      </c>
      <c r="S135" s="276">
        <f>IF(ISNUMBER(S133),IFERROR(S126/S133,""),"")</f>
      </c>
      <c r="T135" s="276">
        <f>IF(ISNUMBER(T133),IFERROR(T126/T133,""),"")</f>
        <v>0.179769902665113</v>
      </c>
      <c r="U135" s="276">
        <f>IF(ISNUMBER(U133),IFERROR(U126/U133,""),"")</f>
        <v>0.189528451898535</v>
      </c>
      <c r="V135" s="276">
        <f>IF(ISNUMBER(V133),IFERROR(V126/V133,""),"")</f>
        <v>0.10195039443993</v>
      </c>
      <c r="W135" s="276">
        <f>IF(ISNUMBER(W133),IFERROR(W126/W133,""),"")</f>
        <v>0.657215478175275</v>
      </c>
      <c r="X135" s="276">
        <f>IF(ISNUMBER(X133),IFERROR(X126/X133,""),"")</f>
        <v>0.895955214904867</v>
      </c>
      <c r="Y135" s="276">
        <f>IF(ISNUMBER(Y133),IFERROR(Y126/Y133,""),"")</f>
        <v>1.19498961079859</v>
      </c>
      <c r="Z135" s="276">
        <f>IF(ISNUMBER(Z133),IFERROR(Z126/Z133,""),"")</f>
        <v>1.54908949024436</v>
      </c>
      <c r="AA135" s="276">
        <f>IF(ISNUMBER(AA133),IFERROR(AA126/AA133,""),"")</f>
        <v>2.00736548211585</v>
      </c>
      <c r="AB135" s="276">
        <f>IF(ISNUMBER(AB133),IFERROR(AB126/AB133,""),"")</f>
        <v>2.64410102759282</v>
      </c>
      <c r="AC135" s="19" t="n"/>
      <c r="AE135" s="20">
        <f>IFERROR((AB135/W135)^(1/5)-1,"n/m")</f>
        <v>0.321034173415137</v>
      </c>
      <c r="AF135" s="20" t="str">
        <f>IFERROR((R135/H135)^(1/2)-1,"n/m")</f>
        <v>n/m</v>
      </c>
      <c r="AG135" s="20" t="str">
        <f>IFERROR(R135/M135-1,"n/m")</f>
        <v>n/m</v>
      </c>
      <c r="AH135" s="20" t="str">
        <f>IFERROR((R135/C135)^(1/3)-1,"n/m")</f>
        <v>n/m</v>
      </c>
    </row>
    <row r="136" ht="15" customHeight="1" s="251">
      <c r="B136" s="22" t="inlineStr">
        <is>
          <t xml:space="preserve">  EPS – diluted y/y %</t>
        </is>
      </c>
      <c r="C136" s="23" t="n"/>
      <c r="D136" s="23" t="n"/>
      <c r="E136" s="23" t="n"/>
      <c r="F136" s="23" t="n"/>
      <c r="G136" s="23" t="n"/>
      <c r="H136" s="255">
        <f>IF(AND(ISNUMBER(H135),ISNUMBER(C135)),IFERROR(H135/C135-1,""),"")</f>
      </c>
      <c r="I136" s="255">
        <f>IF(AND(ISNUMBER(I135),ISNUMBER(D135)),IFERROR(I135/D135-1,""),"")</f>
      </c>
      <c r="J136" s="255">
        <f>IF(AND(ISNUMBER(J135),ISNUMBER(E135)),IFERROR(J135/E135-1,""),"")</f>
      </c>
      <c r="K136" s="255">
        <f>IF(AND(ISNUMBER(K135),ISNUMBER(F135)),IFERROR(K135/F135-1,""),"")</f>
      </c>
      <c r="L136" s="255">
        <f>IF(AND(ISNUMBER(L135),ISNUMBER(G135)),IFERROR(L135/G135-1,""),"")</f>
      </c>
      <c r="M136" s="255">
        <f>IF(AND(ISNUMBER(M135),ISNUMBER(H135)),IFERROR(M135/H135-1,""),"")</f>
      </c>
      <c r="N136" s="255">
        <f>IF(AND(ISNUMBER(N135),ISNUMBER(I135)),IFERROR(N135/I135-1,""),"")</f>
      </c>
      <c r="O136" s="255">
        <f>IF(AND(ISNUMBER(O135),ISNUMBER(J135)),IFERROR(O135/J135-1,""),"")</f>
      </c>
      <c r="P136" s="255">
        <f>IF(AND(ISNUMBER(P135),ISNUMBER(K135)),IFERROR(P135/K135-1,""),"")</f>
      </c>
      <c r="Q136" s="255">
        <f>IF(AND(ISNUMBER(Q135),ISNUMBER(L135)),IFERROR(Q135/L135-1,""),"")</f>
      </c>
      <c r="R136" s="255">
        <f>IF(AND(ISNUMBER(R135),ISNUMBER(M135)),IFERROR(R135/M135-1,""),"")</f>
      </c>
      <c r="S136" s="255">
        <f>IF(AND(ISNUMBER(S135),ISNUMBER(N135)),IFERROR(S135/N135-1,""),"")</f>
      </c>
      <c r="T136" s="255">
        <f>IF(AND(ISNUMBER(T135),ISNUMBER(O135)),IFERROR(T135/O135-1,""),"")</f>
        <v>-0.184615384615385</v>
      </c>
      <c r="U136" s="256">
        <f>IF(AND(ISNUMBER(U135),ISNUMBER(P135)),IFERROR(U135/P135-1,""),"")</f>
      </c>
      <c r="V136" s="256">
        <f>IF(AND(ISNUMBER(V135),ISNUMBER(Q135)),IFERROR(V135/Q135-1,""),"")</f>
      </c>
      <c r="W136" s="256">
        <f>IF(AND(ISNUMBER(W135),ISNUMBER(R135)),IFERROR(W135/R135-1,""),"")</f>
      </c>
      <c r="X136" s="256">
        <f>IF(AND(ISNUMBER(X135),ISNUMBER(W135)),IFERROR(X135/W135-1,""),"")</f>
        <v>0.363259455471805</v>
      </c>
      <c r="Y136" s="256">
        <f>IF(AND(ISNUMBER(Y135),ISNUMBER(X135)),IFERROR(Y135/X135-1,""),"")</f>
        <v>0.333760427886428</v>
      </c>
      <c r="Z136" s="256">
        <f>IF(AND(ISNUMBER(Z135),ISNUMBER(Y135)),IFERROR(Z135/Y135-1,""),"")</f>
        <v>0.296320466927848</v>
      </c>
      <c r="AA136" s="256">
        <f>IF(AND(ISNUMBER(AA135),ISNUMBER(Z135)),IFERROR(AA135/Z135-1,""),"")</f>
        <v>0.295835711724572</v>
      </c>
      <c r="AB136" s="256">
        <f>IF(AND(ISNUMBER(AB135),ISNUMBER(AA135)),IFERROR(AB135/AA135-1,""),"")</f>
        <v>0.317199608715908</v>
      </c>
      <c r="AC136" s="153" t="n"/>
    </row>
    <row r="137" ht="15" customHeight="1" s="251">
      <c r="B137" s="156" t="inlineStr">
        <is>
          <t xml:space="preserve">  Memo: EPS – diluted as reported ($)</t>
        </is>
      </c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7" t="n">
        <v>0.22</v>
      </c>
      <c r="P137" s="27" t="n"/>
      <c r="Q137" s="27" t="n"/>
      <c r="R137" s="27" t="n"/>
      <c r="S137" s="27" t="n"/>
      <c r="T137" s="277" t="n">
        <v>0.18</v>
      </c>
      <c r="U137" s="153" t="n"/>
      <c r="V137" s="153" t="n"/>
      <c r="W137" s="153" t="n"/>
      <c r="X137" s="153" t="n"/>
      <c r="Y137" s="153" t="n"/>
      <c r="Z137" s="153" t="n"/>
      <c r="AA137" s="153" t="n"/>
      <c r="AB137" s="153" t="n"/>
      <c r="AC137" s="153" t="n"/>
    </row>
    <row r="138" ht="15" customHeight="1" s="251">
      <c r="B138" s="57" t="inlineStr">
        <is>
          <t xml:space="preserve">  Check: diluted EPS vs reported (should be 0; ±0.01 rounding)</t>
        </is>
      </c>
      <c r="C138" s="274">
        <f>IF(ISNUMBER(C137),IF(ABS(C135-C137)&lt;=0.0101,0,ROUND(C135-C137,2)),"")</f>
      </c>
      <c r="D138" s="274">
        <f>IF(ISNUMBER(D137),IF(ABS(D135-D137)&lt;=0.0101,0,ROUND(D135-D137,2)),"")</f>
      </c>
      <c r="E138" s="274">
        <f>IF(ISNUMBER(E137),IF(ABS(E135-E137)&lt;=0.0101,0,ROUND(E135-E137,2)),"")</f>
      </c>
      <c r="F138" s="274">
        <f>IF(ISNUMBER(F137),IF(ABS(F135-F137)&lt;=0.0101,0,ROUND(F135-F137,2)),"")</f>
      </c>
      <c r="G138" s="274">
        <f>IF(ISNUMBER(G137),IF(ABS(G135-G137)&lt;=0.0101,0,ROUND(G135-G137,2)),"")</f>
      </c>
      <c r="H138" s="274">
        <f>IF(ISNUMBER(H137),IF(ABS(H135-H137)&lt;=0.0101,0,ROUND(H135-H137,2)),"")</f>
      </c>
      <c r="I138" s="274">
        <f>IF(ISNUMBER(I137),IF(ABS(I135-I137)&lt;=0.0101,0,ROUND(I135-I137,2)),"")</f>
      </c>
      <c r="J138" s="274">
        <f>IF(ISNUMBER(J137),IF(ABS(J135-J137)&lt;=0.0101,0,ROUND(J135-J137,2)),"")</f>
      </c>
      <c r="K138" s="274">
        <f>IF(ISNUMBER(K137),IF(ABS(K135-K137)&lt;=0.0101,0,ROUND(K135-K137,2)),"")</f>
      </c>
      <c r="L138" s="274">
        <f>IF(ISNUMBER(L137),IF(ABS(L135-L137)&lt;=0.0101,0,ROUND(L135-L137,2)),"")</f>
      </c>
      <c r="M138" s="274">
        <f>IF(ISNUMBER(M137),IF(ABS(M135-M137)&lt;=0.0101,0,ROUND(M135-M137,2)),"")</f>
      </c>
      <c r="N138" s="274">
        <f>IF(ISNUMBER(N137),IF(ABS(N135-N137)&lt;=0.0101,0,ROUND(N135-N137,2)),"")</f>
      </c>
      <c r="O138" s="274">
        <f>IF(ISNUMBER(O137),IF(ABS(O135-O137)&lt;=0.0101,0,ROUND(O135-O137,2)),"")</f>
        <v>0</v>
      </c>
      <c r="P138" s="274">
        <f>IF(ISNUMBER(P137),IF(ABS(P135-P137)&lt;=0.0101,0,ROUND(P135-P137,2)),"")</f>
      </c>
      <c r="Q138" s="274">
        <f>IF(ISNUMBER(Q137),IF(ABS(Q135-Q137)&lt;=0.0101,0,ROUND(Q135-Q137,2)),"")</f>
      </c>
      <c r="R138" s="274">
        <f>IF(ISNUMBER(R137),IF(ABS(R135-R137)&lt;=0.0101,0,ROUND(R135-R137,2)),"")</f>
      </c>
      <c r="S138" s="274">
        <f>IF(ISNUMBER(S137),IF(ABS(S135-S137)&lt;=0.0101,0,ROUND(S135-S137,2)),"")</f>
      </c>
      <c r="T138" s="274">
        <f>IF(ISNUMBER(T137),IF(ABS(T135-T137)&lt;=0.0101,0,ROUND(T135-T137,2)),"")</f>
        <v>0</v>
      </c>
      <c r="U138" s="153" t="n"/>
      <c r="V138" s="153" t="n"/>
      <c r="W138" s="153" t="n"/>
      <c r="X138" s="153" t="n"/>
      <c r="Y138" s="153" t="n"/>
      <c r="Z138" s="153" t="n"/>
      <c r="AA138" s="153" t="n"/>
      <c r="AB138" s="153" t="n"/>
      <c r="AC138" s="153" t="n"/>
    </row>
    <row r="139" ht="15" customHeight="1" s="251">
      <c r="B139" s="25" t="inlineStr">
        <is>
          <t xml:space="preserve">  Dividends declared per share ($)</t>
        </is>
      </c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278" t="n">
        <v>0.06</v>
      </c>
      <c r="V139" s="278" t="n">
        <v>0.06</v>
      </c>
      <c r="W139" s="275">
        <f>SUM(S139:V139)</f>
        <v>0.12</v>
      </c>
      <c r="X139" s="275">
        <f>W139*(1+X140)</f>
        <v>0.24</v>
      </c>
      <c r="Y139" s="275">
        <f>X139*(1+Y140)</f>
        <v>0.252</v>
      </c>
      <c r="Z139" s="275">
        <f>Y139*(1+Z140)</f>
        <v>0.2646</v>
      </c>
      <c r="AA139" s="275">
        <f>Z139*(1+AA140)</f>
        <v>0.27783</v>
      </c>
      <c r="AB139" s="275">
        <f>AA139*(1+AB140)</f>
        <v>0.2917215</v>
      </c>
      <c r="AC139" s="19" t="inlineStr">
        <is>
          <t>$0.06 quarterly declared Aug-2026 (payable 10-Sep-2026); Q4-26E $0.06 (company intention, 10-Q). 2027E+: annualised $0.24 × (1 + growth).</t>
        </is>
      </c>
      <c r="AE139" s="20">
        <f>IFERROR((AB139/W139)^(1/5)-1,"n/m")</f>
        <v>0.194421021869477</v>
      </c>
      <c r="AF139" s="20" t="str">
        <f>IFERROR((R139/H139)^(1/2)-1,"n/m")</f>
        <v>n/m</v>
      </c>
      <c r="AG139" s="20" t="str">
        <f>IFERROR(R139/M139-1,"n/m")</f>
        <v>n/m</v>
      </c>
      <c r="AH139" s="20" t="str">
        <f>IFERROR((R139/C139)^(1/3)-1,"n/m")</f>
        <v>n/m</v>
      </c>
    </row>
    <row r="140" ht="15" customHeight="1" s="251">
      <c r="B140" s="25" t="inlineStr">
        <is>
          <t xml:space="preserve">    DPS growth % (2027E = annualisation of the quarterly rate)</t>
        </is>
      </c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24" t="n"/>
      <c r="V140" s="24" t="n"/>
      <c r="W140" s="24" t="n"/>
      <c r="X140" s="262" t="n">
        <v>1</v>
      </c>
      <c r="Y140" s="262" t="n">
        <v>0.05</v>
      </c>
      <c r="Z140" s="262" t="n">
        <v>0.05</v>
      </c>
      <c r="AA140" s="262" t="n">
        <v>0.05</v>
      </c>
      <c r="AB140" s="262" t="n">
        <v>0.05</v>
      </c>
      <c r="AC140" s="19" t="n"/>
    </row>
    <row r="141" ht="15" customHeight="1" s="251">
      <c r="AK141" s="11" t="n"/>
      <c r="AL141" s="12" t="n"/>
      <c r="AM141" s="12" t="n"/>
      <c r="AN141" s="12" t="n"/>
      <c r="AO141" s="13" t="n"/>
    </row>
    <row r="142" ht="15" customHeight="1" s="251">
      <c r="B142" s="10" t="inlineStr">
        <is>
          <t>RECONCILIATION: NET INCOME → EBITDA → ADJUSTED EBITDA (company definition)</t>
        </is>
      </c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inlineStr">
        <is>
          <t>ADJUSTED EBITDA — company reconciliation (Form 10 MD&amp;A; release Exhibit 5): net income + interest + taxes + D&amp;A + SBC + transaction costs + severance &amp; other items</t>
        </is>
      </c>
    </row>
    <row r="143" ht="15" customHeight="1" s="251">
      <c r="B143" s="16" t="inlineStr">
        <is>
          <t>Net income (GAAP)</t>
        </is>
      </c>
      <c r="C143" s="263">
        <f>C126</f>
      </c>
      <c r="D143" s="263">
        <f>D126</f>
      </c>
      <c r="E143" s="263">
        <f>E126</f>
      </c>
      <c r="F143" s="263">
        <f>F126</f>
      </c>
      <c r="G143" s="263">
        <f>G126</f>
      </c>
      <c r="H143" s="263">
        <f>H126</f>
        <v>163</v>
      </c>
      <c r="I143" s="263">
        <f>I126</f>
      </c>
      <c r="J143" s="263">
        <f>J126</f>
      </c>
      <c r="K143" s="263">
        <f>K126</f>
      </c>
      <c r="L143" s="263">
        <f>L126</f>
      </c>
      <c r="M143" s="263">
        <f>M126</f>
        <v>208</v>
      </c>
      <c r="N143" s="263">
        <f>N126</f>
        <v>58</v>
      </c>
      <c r="O143" s="263">
        <f>O126</f>
        <v>65</v>
      </c>
      <c r="P143" s="263">
        <f>P126</f>
        <v>71</v>
      </c>
      <c r="Q143" s="263">
        <f>Q126</f>
        <v>26</v>
      </c>
      <c r="R143" s="263">
        <f>R126</f>
        <v>220</v>
      </c>
      <c r="S143" s="263">
        <f>S126</f>
        <v>55</v>
      </c>
      <c r="T143" s="263">
        <f>T126</f>
        <v>53</v>
      </c>
      <c r="U143" s="254">
        <f>U126</f>
        <v>56.0855096633711</v>
      </c>
      <c r="V143" s="254">
        <f>V126</f>
        <v>30.1794903366289</v>
      </c>
      <c r="W143" s="254">
        <f>W126</f>
        <v>194.265</v>
      </c>
      <c r="X143" s="254">
        <f>X126</f>
        <v>255.943445955124</v>
      </c>
      <c r="Y143" s="254">
        <f>Y126</f>
        <v>311.277602974136</v>
      </c>
      <c r="Z143" s="254">
        <f>Z126</f>
        <v>358.832935285552</v>
      </c>
      <c r="AA143" s="254">
        <f>AA126</f>
        <v>406.525283386569</v>
      </c>
      <c r="AB143" s="254">
        <f>AB126</f>
        <v>458.107347114304</v>
      </c>
      <c r="AC143" s="153" t="n"/>
    </row>
    <row r="144" ht="15" customHeight="1" s="251">
      <c r="B144" s="25" t="inlineStr">
        <is>
          <t xml:space="preserve">  (+) Interest expense, net</t>
        </is>
      </c>
      <c r="C144" s="211">
        <f>C122</f>
        <v>0</v>
      </c>
      <c r="D144" s="211">
        <f>D122</f>
        <v>0</v>
      </c>
      <c r="E144" s="211">
        <f>E122</f>
        <v>0</v>
      </c>
      <c r="F144" s="211">
        <f>F122</f>
        <v>0</v>
      </c>
      <c r="G144" s="211">
        <f>G122</f>
        <v>0</v>
      </c>
      <c r="H144" s="211">
        <f>H122</f>
        <v>17</v>
      </c>
      <c r="I144" s="211">
        <f>I122</f>
        <v>0</v>
      </c>
      <c r="J144" s="211">
        <f>J122</f>
        <v>0</v>
      </c>
      <c r="K144" s="211">
        <f>K122</f>
        <v>0</v>
      </c>
      <c r="L144" s="211">
        <f>L122</f>
        <v>0</v>
      </c>
      <c r="M144" s="211">
        <f>M122</f>
        <v>15</v>
      </c>
      <c r="N144" s="211">
        <f>N122</f>
        <v>3</v>
      </c>
      <c r="O144" s="211">
        <f>O122</f>
        <v>4</v>
      </c>
      <c r="P144" s="211">
        <f>P122</f>
        <v>4</v>
      </c>
      <c r="Q144" s="211">
        <f>Q122</f>
        <v>2</v>
      </c>
      <c r="R144" s="211">
        <f>R122</f>
        <v>13</v>
      </c>
      <c r="S144" s="211">
        <f>S122</f>
        <v>3</v>
      </c>
      <c r="T144" s="211">
        <f>T122</f>
        <v>7</v>
      </c>
      <c r="U144" s="266">
        <f>U122</f>
        <v>27</v>
      </c>
      <c r="V144" s="266">
        <f>V122</f>
        <v>27</v>
      </c>
      <c r="W144" s="266">
        <f>W122</f>
        <v>64</v>
      </c>
      <c r="X144" s="266">
        <f>X122</f>
        <v>103.611004628712</v>
      </c>
      <c r="Y144" s="266">
        <f>Y122</f>
        <v>104.099985636191</v>
      </c>
      <c r="Z144" s="266">
        <f>Z122</f>
        <v>108.256272083254</v>
      </c>
      <c r="AA144" s="266">
        <f>AA122</f>
        <v>118.900824950881</v>
      </c>
      <c r="AB144" s="266">
        <f>AB122</f>
        <v>127.247889164029</v>
      </c>
      <c r="AC144" s="19" t="n"/>
    </row>
    <row r="145" ht="15" customHeight="1" s="251">
      <c r="B145" s="25" t="inlineStr">
        <is>
          <t xml:space="preserve">  (+) Provision for taxes on income</t>
        </is>
      </c>
      <c r="C145" s="211">
        <f>C124</f>
        <v>0</v>
      </c>
      <c r="D145" s="211">
        <f>D124</f>
        <v>0</v>
      </c>
      <c r="E145" s="211">
        <f>E124</f>
        <v>0</v>
      </c>
      <c r="F145" s="211">
        <f>F124</f>
        <v>0</v>
      </c>
      <c r="G145" s="211">
        <f>G124</f>
        <v>0</v>
      </c>
      <c r="H145" s="211">
        <f>H124</f>
        <v>61</v>
      </c>
      <c r="I145" s="211">
        <f>I124</f>
        <v>0</v>
      </c>
      <c r="J145" s="211">
        <f>J124</f>
        <v>0</v>
      </c>
      <c r="K145" s="211">
        <f>K124</f>
        <v>0</v>
      </c>
      <c r="L145" s="211">
        <f>L124</f>
        <v>0</v>
      </c>
      <c r="M145" s="211">
        <f>M124</f>
        <v>76</v>
      </c>
      <c r="N145" s="211">
        <f>N124</f>
        <v>23</v>
      </c>
      <c r="O145" s="211">
        <f>O124</f>
        <v>27</v>
      </c>
      <c r="P145" s="211">
        <f>P124</f>
        <v>29</v>
      </c>
      <c r="Q145" s="211">
        <f>Q124</f>
        <v>27</v>
      </c>
      <c r="R145" s="211">
        <f>R124</f>
        <v>106</v>
      </c>
      <c r="S145" s="211">
        <f>S124</f>
        <v>23</v>
      </c>
      <c r="T145" s="211">
        <f>T124</f>
        <v>22</v>
      </c>
      <c r="U145" s="266">
        <f>U124</f>
        <v>22.9081659188417</v>
      </c>
      <c r="V145" s="266">
        <f>V124</f>
        <v>12.3268340811583</v>
      </c>
      <c r="W145" s="266">
        <f>W124</f>
        <v>80.235</v>
      </c>
      <c r="X145" s="266">
        <f>X124</f>
        <v>102.019415520574</v>
      </c>
      <c r="Y145" s="266">
        <f>Y124</f>
        <v>124.075687898782</v>
      </c>
      <c r="Z145" s="266">
        <f>Z124</f>
        <v>143.031309869066</v>
      </c>
      <c r="AA145" s="266">
        <f>AA124</f>
        <v>162.041546524716</v>
      </c>
      <c r="AB145" s="266">
        <f>AB124</f>
        <v>182.602229269338</v>
      </c>
      <c r="AC145" s="19" t="n"/>
    </row>
    <row r="146" ht="15" customHeight="1" s="251">
      <c r="B146" s="16" t="inlineStr">
        <is>
          <t xml:space="preserve">  = EBIT (operating profit + other income)</t>
        </is>
      </c>
      <c r="C146" s="263">
        <f>IF(ISNUMBER(C143),C143+C144+C145,"")</f>
      </c>
      <c r="D146" s="263">
        <f>IF(ISNUMBER(D143),D143+D144+D145,"")</f>
      </c>
      <c r="E146" s="263">
        <f>IF(ISNUMBER(E143),E143+E144+E145,"")</f>
      </c>
      <c r="F146" s="263">
        <f>IF(ISNUMBER(F143),F143+F144+F145,"")</f>
      </c>
      <c r="G146" s="263">
        <f>IF(ISNUMBER(G143),G143+G144+G145,"")</f>
      </c>
      <c r="H146" s="263">
        <f>IF(ISNUMBER(H143),H143+H144+H145,"")</f>
        <v>241</v>
      </c>
      <c r="I146" s="263">
        <f>IF(ISNUMBER(I143),I143+I144+I145,"")</f>
      </c>
      <c r="J146" s="263">
        <f>IF(ISNUMBER(J143),J143+J144+J145,"")</f>
      </c>
      <c r="K146" s="263">
        <f>IF(ISNUMBER(K143),K143+K144+K145,"")</f>
      </c>
      <c r="L146" s="263">
        <f>IF(ISNUMBER(L143),L143+L144+L145,"")</f>
      </c>
      <c r="M146" s="263">
        <f>IF(ISNUMBER(M143),M143+M144+M145,"")</f>
        <v>299</v>
      </c>
      <c r="N146" s="263">
        <f>IF(ISNUMBER(N143),N143+N144+N145,"")</f>
        <v>84</v>
      </c>
      <c r="O146" s="263">
        <f>IF(ISNUMBER(O143),O143+O144+O145,"")</f>
        <v>96</v>
      </c>
      <c r="P146" s="263">
        <f>IF(ISNUMBER(P143),P143+P144+P145,"")</f>
        <v>104</v>
      </c>
      <c r="Q146" s="263">
        <f>IF(ISNUMBER(Q143),Q143+Q144+Q145,"")</f>
        <v>55</v>
      </c>
      <c r="R146" s="263">
        <f>IF(ISNUMBER(R143),R143+R144+R145,"")</f>
        <v>339</v>
      </c>
      <c r="S146" s="263">
        <f>IF(ISNUMBER(S143),S143+S144+S145,"")</f>
        <v>81</v>
      </c>
      <c r="T146" s="263">
        <f>IF(ISNUMBER(T143),T143+T144+T145,"")</f>
        <v>82</v>
      </c>
      <c r="U146" s="254">
        <f>IF(ISNUMBER(U143),U143+U144+U145,"")</f>
        <v>105.993675582213</v>
      </c>
      <c r="V146" s="254">
        <f>IF(ISNUMBER(V143),V143+V144+V145,"")</f>
        <v>69.5063244177871</v>
      </c>
      <c r="W146" s="254">
        <f>IF(ISNUMBER(W143),W143+W144+W145,"")</f>
        <v>338.5</v>
      </c>
      <c r="X146" s="254">
        <f>IF(ISNUMBER(X143),X143+X144+X145,"")</f>
        <v>461.573866104411</v>
      </c>
      <c r="Y146" s="254">
        <f>IF(ISNUMBER(Y143),Y143+Y144+Y145,"")</f>
        <v>539.453276509109</v>
      </c>
      <c r="Z146" s="254">
        <f>IF(ISNUMBER(Z143),Z143+Z144+Z145,"")</f>
        <v>610.120517237873</v>
      </c>
      <c r="AA146" s="254">
        <f>IF(ISNUMBER(AA143),AA143+AA144+AA145,"")</f>
        <v>687.467654862167</v>
      </c>
      <c r="AB146" s="254">
        <f>IF(ISNUMBER(AB143),AB143+AB144+AB145,"")</f>
        <v>767.957465547671</v>
      </c>
      <c r="AC146" s="153" t="inlineStr">
        <is>
          <t>The company reconciliation keeps other income (FY2023 $2m, FY2024 $1m) inside EBITDA.</t>
        </is>
      </c>
    </row>
    <row r="147" ht="15" customHeight="1" s="251">
      <c r="B147" s="25" t="inlineStr">
        <is>
          <t xml:space="preserve">  (+) Depreciation &amp; amortization</t>
        </is>
      </c>
      <c r="C147" s="211">
        <f>C108</f>
        <v>0</v>
      </c>
      <c r="D147" s="211">
        <f>D108</f>
        <v>0</v>
      </c>
      <c r="E147" s="211">
        <f>E108</f>
        <v>0</v>
      </c>
      <c r="F147" s="211">
        <f>F108</f>
        <v>0</v>
      </c>
      <c r="G147" s="211">
        <f>G108</f>
        <v>0</v>
      </c>
      <c r="H147" s="211">
        <f>H108</f>
        <v>307</v>
      </c>
      <c r="I147" s="211">
        <f>I108</f>
        <v>0</v>
      </c>
      <c r="J147" s="211">
        <f>J108</f>
        <v>0</v>
      </c>
      <c r="K147" s="211">
        <f>K108</f>
        <v>0</v>
      </c>
      <c r="L147" s="211">
        <f>L108</f>
        <v>0</v>
      </c>
      <c r="M147" s="211">
        <f>M108</f>
        <v>309</v>
      </c>
      <c r="N147" s="211">
        <f>N108</f>
        <v>78</v>
      </c>
      <c r="O147" s="211">
        <f>O108</f>
        <v>77</v>
      </c>
      <c r="P147" s="211">
        <f>P108</f>
        <v>77</v>
      </c>
      <c r="Q147" s="211">
        <f>Q108</f>
        <v>78</v>
      </c>
      <c r="R147" s="211">
        <f>R108</f>
        <v>310</v>
      </c>
      <c r="S147" s="211">
        <f>S108</f>
        <v>78</v>
      </c>
      <c r="T147" s="211">
        <f>T108</f>
        <v>77</v>
      </c>
      <c r="U147" s="266">
        <f>U108</f>
        <v>77.5</v>
      </c>
      <c r="V147" s="266">
        <f>V108</f>
        <v>77.5</v>
      </c>
      <c r="W147" s="266">
        <f>W108</f>
        <v>310</v>
      </c>
      <c r="X147" s="266">
        <f>X108</f>
        <v>312.067007428101</v>
      </c>
      <c r="Y147" s="266">
        <f>Y108</f>
        <v>313.168733287031</v>
      </c>
      <c r="Z147" s="266">
        <f>Z108</f>
        <v>314.28594997304</v>
      </c>
      <c r="AA147" s="266">
        <f>AA108</f>
        <v>312.442241140056</v>
      </c>
      <c r="AB147" s="266">
        <f>AB108</f>
        <v>310.617075123815</v>
      </c>
      <c r="AC147" s="19" t="n"/>
    </row>
    <row r="148" ht="15" customHeight="1" s="251">
      <c r="B148" s="55" t="inlineStr">
        <is>
          <t xml:space="preserve">  = EBITDA</t>
        </is>
      </c>
      <c r="C148" s="269">
        <f>IF(AND(ISNUMBER(C146),ISNUMBER(C147)),C146+C147,"")</f>
      </c>
      <c r="D148" s="269">
        <f>IF(AND(ISNUMBER(D146),ISNUMBER(D147)),D146+D147,"")</f>
      </c>
      <c r="E148" s="269">
        <f>IF(AND(ISNUMBER(E146),ISNUMBER(E147)),E146+E147,"")</f>
      </c>
      <c r="F148" s="269">
        <f>IF(AND(ISNUMBER(F146),ISNUMBER(F147)),F146+F147,"")</f>
      </c>
      <c r="G148" s="269">
        <f>IF(AND(ISNUMBER(G146),ISNUMBER(G147)),G146+G147,"")</f>
      </c>
      <c r="H148" s="269">
        <f>IF(AND(ISNUMBER(H146),ISNUMBER(H147)),H146+H147,"")</f>
        <v>548</v>
      </c>
      <c r="I148" s="269">
        <f>IF(AND(ISNUMBER(I146),ISNUMBER(I147)),I146+I147,"")</f>
      </c>
      <c r="J148" s="269">
        <f>IF(AND(ISNUMBER(J146),ISNUMBER(J147)),J146+J147,"")</f>
      </c>
      <c r="K148" s="269">
        <f>IF(AND(ISNUMBER(K146),ISNUMBER(K147)),K146+K147,"")</f>
      </c>
      <c r="L148" s="269">
        <f>IF(AND(ISNUMBER(L146),ISNUMBER(L147)),L146+L147,"")</f>
      </c>
      <c r="M148" s="269">
        <f>IF(AND(ISNUMBER(M146),ISNUMBER(M147)),M146+M147,"")</f>
        <v>608</v>
      </c>
      <c r="N148" s="269">
        <f>IF(AND(ISNUMBER(N146),ISNUMBER(N147)),N146+N147,"")</f>
        <v>162</v>
      </c>
      <c r="O148" s="269">
        <f>IF(AND(ISNUMBER(O146),ISNUMBER(O147)),O146+O147,"")</f>
        <v>173</v>
      </c>
      <c r="P148" s="269">
        <f>IF(AND(ISNUMBER(P146),ISNUMBER(P147)),P146+P147,"")</f>
        <v>181</v>
      </c>
      <c r="Q148" s="269">
        <f>IF(AND(ISNUMBER(Q146),ISNUMBER(Q147)),Q146+Q147,"")</f>
        <v>133</v>
      </c>
      <c r="R148" s="269">
        <f>IF(AND(ISNUMBER(R146),ISNUMBER(R147)),R146+R147,"")</f>
        <v>649</v>
      </c>
      <c r="S148" s="269">
        <f>IF(AND(ISNUMBER(S146),ISNUMBER(S147)),S146+S147,"")</f>
        <v>159</v>
      </c>
      <c r="T148" s="269">
        <f>IF(AND(ISNUMBER(T146),ISNUMBER(T147)),T146+T147,"")</f>
        <v>159</v>
      </c>
      <c r="U148" s="269">
        <f>IF(AND(ISNUMBER(U146),ISNUMBER(U147)),U146+U147,"")</f>
        <v>183.493675582213</v>
      </c>
      <c r="V148" s="269">
        <f>IF(AND(ISNUMBER(V146),ISNUMBER(V147)),V146+V147,"")</f>
        <v>147.006324417787</v>
      </c>
      <c r="W148" s="269">
        <f>IF(AND(ISNUMBER(W146),ISNUMBER(W147)),W146+W147,"")</f>
        <v>648.5</v>
      </c>
      <c r="X148" s="269">
        <f>IF(AND(ISNUMBER(X146),ISNUMBER(X147)),X146+X147,"")</f>
        <v>773.640873532512</v>
      </c>
      <c r="Y148" s="269">
        <f>IF(AND(ISNUMBER(Y146),ISNUMBER(Y147)),Y146+Y147,"")</f>
        <v>852.62200979614</v>
      </c>
      <c r="Z148" s="269">
        <f>IF(AND(ISNUMBER(Z146),ISNUMBER(Z147)),Z146+Z147,"")</f>
        <v>924.406467210912</v>
      </c>
      <c r="AA148" s="269">
        <f>IF(AND(ISNUMBER(AA146),ISNUMBER(AA147)),AA146+AA147,"")</f>
        <v>999.909896002223</v>
      </c>
      <c r="AB148" s="269">
        <f>IF(AND(ISNUMBER(AB146),ISNUMBER(AB147)),AB146+AB147,"")</f>
        <v>1078.57454067149</v>
      </c>
      <c r="AC148" s="153" t="n"/>
      <c r="AE148" s="20">
        <f>IFERROR((AB148/W148)^(1/5)-1,"n/m")</f>
        <v>0.10710302358312</v>
      </c>
      <c r="AF148" s="20">
        <f>IFERROR((R148/H148)^(1/2)-1,"n/m")</f>
        <v>0.0882585029959866</v>
      </c>
      <c r="AG148" s="20">
        <f>IFERROR(R148/M148-1,"n/m")</f>
        <v>0.0674342105263157</v>
      </c>
      <c r="AH148" s="20" t="str">
        <f>IFERROR((R148/C148)^(1/3)-1,"n/m")</f>
        <v>n/m</v>
      </c>
    </row>
    <row r="149" collapsed="1" ht="15" customHeight="1" s="251">
      <c r="B149" s="25" t="inlineStr">
        <is>
          <t xml:space="preserve">  (+) Stock-based compensation</t>
        </is>
      </c>
      <c r="C149" s="211">
        <f>C109</f>
        <v>0</v>
      </c>
      <c r="D149" s="211">
        <f>D109</f>
        <v>0</v>
      </c>
      <c r="E149" s="211">
        <f>E109</f>
        <v>0</v>
      </c>
      <c r="F149" s="211">
        <f>F109</f>
        <v>0</v>
      </c>
      <c r="G149" s="211">
        <f>G109</f>
        <v>0</v>
      </c>
      <c r="H149" s="211">
        <f>H109</f>
        <v>20</v>
      </c>
      <c r="I149" s="211">
        <f>I109</f>
        <v>0</v>
      </c>
      <c r="J149" s="211">
        <f>J109</f>
        <v>0</v>
      </c>
      <c r="K149" s="211">
        <f>K109</f>
        <v>0</v>
      </c>
      <c r="L149" s="211">
        <f>L109</f>
        <v>0</v>
      </c>
      <c r="M149" s="211">
        <f>M109</f>
        <v>28</v>
      </c>
      <c r="N149" s="211">
        <f>N109</f>
        <v>5</v>
      </c>
      <c r="O149" s="211">
        <f>O109</f>
        <v>4</v>
      </c>
      <c r="P149" s="211">
        <f>P109</f>
        <v>7</v>
      </c>
      <c r="Q149" s="211">
        <f>Q109</f>
        <v>6</v>
      </c>
      <c r="R149" s="211">
        <f>R109</f>
        <v>22</v>
      </c>
      <c r="S149" s="211">
        <f>S109</f>
        <v>4</v>
      </c>
      <c r="T149" s="211">
        <f>T109</f>
        <v>5</v>
      </c>
      <c r="U149" s="266">
        <f>U109</f>
        <v>6</v>
      </c>
      <c r="V149" s="266">
        <f>V109</f>
        <v>6</v>
      </c>
      <c r="W149" s="266">
        <f>W109</f>
        <v>21</v>
      </c>
      <c r="X149" s="266">
        <f>X109</f>
        <v>26.1088870706638</v>
      </c>
      <c r="Y149" s="266">
        <f>Y109</f>
        <v>27.899191591426</v>
      </c>
      <c r="Z149" s="266">
        <f>Z109</f>
        <v>29.7146687061898</v>
      </c>
      <c r="AA149" s="266">
        <f>AA109</f>
        <v>31.5936418525905</v>
      </c>
      <c r="AB149" s="266">
        <f>AB109</f>
        <v>33.5027470761997</v>
      </c>
      <c r="AC149" s="19" t="n"/>
    </row>
    <row r="150" ht="15" customHeight="1" s="251">
      <c r="B150" s="25" t="inlineStr">
        <is>
          <t xml:space="preserve">  (+) Transaction costs (stand-up of the spin business)</t>
        </is>
      </c>
      <c r="C150" s="211">
        <f>C111</f>
        <v>0</v>
      </c>
      <c r="D150" s="211">
        <f>D111</f>
        <v>0</v>
      </c>
      <c r="E150" s="211">
        <f>E111</f>
        <v>0</v>
      </c>
      <c r="F150" s="211">
        <f>F111</f>
        <v>0</v>
      </c>
      <c r="G150" s="211">
        <f>G111</f>
        <v>0</v>
      </c>
      <c r="H150" s="211">
        <f>H111</f>
        <v>0</v>
      </c>
      <c r="I150" s="211">
        <f>I111</f>
        <v>0</v>
      </c>
      <c r="J150" s="211">
        <f>J111</f>
        <v>0</v>
      </c>
      <c r="K150" s="211">
        <f>K111</f>
        <v>0</v>
      </c>
      <c r="L150" s="211">
        <f>L111</f>
        <v>0</v>
      </c>
      <c r="M150" s="211">
        <f>M111</f>
        <v>0</v>
      </c>
      <c r="N150" s="211">
        <f>N111</f>
        <v>0</v>
      </c>
      <c r="O150" s="211">
        <f>O111</f>
        <v>2</v>
      </c>
      <c r="P150" s="211">
        <f>P111</f>
        <v>3</v>
      </c>
      <c r="Q150" s="211">
        <f>Q111</f>
        <v>16</v>
      </c>
      <c r="R150" s="211">
        <f>R111</f>
        <v>21</v>
      </c>
      <c r="S150" s="211">
        <f>S111</f>
        <v>21</v>
      </c>
      <c r="T150" s="211">
        <f>T111</f>
        <v>36</v>
      </c>
      <c r="U150" s="266">
        <f>U111</f>
        <v>10</v>
      </c>
      <c r="V150" s="266">
        <f>V111</f>
        <v>10</v>
      </c>
      <c r="W150" s="266">
        <f>W111</f>
        <v>77</v>
      </c>
      <c r="X150" s="266">
        <f>X111</f>
        <v>10</v>
      </c>
      <c r="Y150" s="266">
        <f>Y111</f>
        <v>0</v>
      </c>
      <c r="Z150" s="266">
        <f>Z111</f>
        <v>0</v>
      </c>
      <c r="AA150" s="266">
        <f>AA111</f>
        <v>0</v>
      </c>
      <c r="AB150" s="266">
        <f>AB111</f>
        <v>0</v>
      </c>
      <c r="AC150" s="19" t="n"/>
    </row>
    <row r="151" ht="15" customHeight="1" s="251">
      <c r="B151" s="25" t="inlineStr">
        <is>
          <t xml:space="preserve">  (+) Severance, integration, acquisition / disposition, legal recovery &amp; other</t>
        </is>
      </c>
      <c r="C151" s="211">
        <f>C112</f>
        <v>0</v>
      </c>
      <c r="D151" s="211">
        <f>D112</f>
        <v>0</v>
      </c>
      <c r="E151" s="211">
        <f>E112</f>
        <v>0</v>
      </c>
      <c r="F151" s="211">
        <f>F112</f>
        <v>0</v>
      </c>
      <c r="G151" s="211">
        <f>G112</f>
        <v>0</v>
      </c>
      <c r="H151" s="211">
        <f>H112</f>
        <v>30</v>
      </c>
      <c r="I151" s="211">
        <f>I112</f>
        <v>0</v>
      </c>
      <c r="J151" s="211">
        <f>J112</f>
        <v>0</v>
      </c>
      <c r="K151" s="211">
        <f>K112</f>
        <v>0</v>
      </c>
      <c r="L151" s="211">
        <f>L112</f>
        <v>0</v>
      </c>
      <c r="M151" s="211">
        <f>M112</f>
        <v>23</v>
      </c>
      <c r="N151" s="211">
        <f>N112</f>
        <v>2</v>
      </c>
      <c r="O151" s="211">
        <f>O112</f>
        <v>9</v>
      </c>
      <c r="P151" s="211">
        <f>P112</f>
        <v>0</v>
      </c>
      <c r="Q151" s="211">
        <f>Q112</f>
        <v>8</v>
      </c>
      <c r="R151" s="211">
        <f>R112</f>
        <v>19</v>
      </c>
      <c r="S151" s="211">
        <f>S112</f>
        <v>0</v>
      </c>
      <c r="T151" s="211">
        <f>T112</f>
        <v>2</v>
      </c>
      <c r="U151" s="266">
        <f>U112</f>
        <v>2</v>
      </c>
      <c r="V151" s="266">
        <f>V112</f>
        <v>2</v>
      </c>
      <c r="W151" s="266">
        <f>W112</f>
        <v>6</v>
      </c>
      <c r="X151" s="266">
        <f>X112</f>
        <v>8</v>
      </c>
      <c r="Y151" s="266">
        <f>Y112</f>
        <v>8</v>
      </c>
      <c r="Z151" s="266">
        <f>Z112</f>
        <v>8</v>
      </c>
      <c r="AA151" s="266">
        <f>AA112</f>
        <v>8</v>
      </c>
      <c r="AB151" s="266">
        <f>AB112</f>
        <v>8</v>
      </c>
      <c r="AC151" s="19" t="n"/>
    </row>
    <row r="152" ht="15" customHeight="1" s="251">
      <c r="B152" s="16" t="inlineStr">
        <is>
          <t xml:space="preserve">  Total adjusting items</t>
        </is>
      </c>
      <c r="C152" s="263">
        <f>IF(ISNUMBER(C148),N(C149)+N(C150)+N(C151),"")</f>
      </c>
      <c r="D152" s="263">
        <f>IF(ISNUMBER(D148),N(D149)+N(D150)+N(D151),"")</f>
      </c>
      <c r="E152" s="263">
        <f>IF(ISNUMBER(E148),N(E149)+N(E150)+N(E151),"")</f>
      </c>
      <c r="F152" s="263">
        <f>IF(ISNUMBER(F148),N(F149)+N(F150)+N(F151),"")</f>
      </c>
      <c r="G152" s="263">
        <f>IF(ISNUMBER(G148),N(G149)+N(G150)+N(G151),"")</f>
      </c>
      <c r="H152" s="263">
        <f>IF(ISNUMBER(H148),N(H149)+N(H150)+N(H151),"")</f>
        <v>50</v>
      </c>
      <c r="I152" s="263">
        <f>IF(ISNUMBER(I148),N(I149)+N(I150)+N(I151),"")</f>
      </c>
      <c r="J152" s="263">
        <f>IF(ISNUMBER(J148),N(J149)+N(J150)+N(J151),"")</f>
      </c>
      <c r="K152" s="263">
        <f>IF(ISNUMBER(K148),N(K149)+N(K150)+N(K151),"")</f>
      </c>
      <c r="L152" s="263">
        <f>IF(ISNUMBER(L148),N(L149)+N(L150)+N(L151),"")</f>
      </c>
      <c r="M152" s="263">
        <f>IF(ISNUMBER(M148),N(M149)+N(M150)+N(M151),"")</f>
        <v>51</v>
      </c>
      <c r="N152" s="263">
        <f>IF(ISNUMBER(N148),N(N149)+N(N150)+N(N151),"")</f>
        <v>7</v>
      </c>
      <c r="O152" s="263">
        <f>IF(ISNUMBER(O148),N(O149)+N(O150)+N(O151),"")</f>
        <v>15</v>
      </c>
      <c r="P152" s="263">
        <f>IF(ISNUMBER(P148),N(P149)+N(P150)+N(P151),"")</f>
        <v>10</v>
      </c>
      <c r="Q152" s="263">
        <f>IF(ISNUMBER(Q148),N(Q149)+N(Q150)+N(Q151),"")</f>
        <v>30</v>
      </c>
      <c r="R152" s="263">
        <f>IF(ISNUMBER(R148),N(R149)+N(R150)+N(R151),"")</f>
        <v>62</v>
      </c>
      <c r="S152" s="263">
        <f>IF(ISNUMBER(S148),N(S149)+N(S150)+N(S151),"")</f>
        <v>25</v>
      </c>
      <c r="T152" s="263">
        <f>IF(ISNUMBER(T148),N(T149)+N(T150)+N(T151),"")</f>
        <v>43</v>
      </c>
      <c r="U152" s="254">
        <f>IF(ISNUMBER(U148),N(U149)+N(U150)+N(U151),"")</f>
        <v>18</v>
      </c>
      <c r="V152" s="254">
        <f>IF(ISNUMBER(V148),N(V149)+N(V150)+N(V151),"")</f>
        <v>18</v>
      </c>
      <c r="W152" s="254">
        <f>IF(ISNUMBER(W148),N(W149)+N(W150)+N(W151),"")</f>
        <v>104</v>
      </c>
      <c r="X152" s="254">
        <f>IF(ISNUMBER(X148),N(X149)+N(X150)+N(X151),"")</f>
        <v>44.1088870706638</v>
      </c>
      <c r="Y152" s="254">
        <f>IF(ISNUMBER(Y148),N(Y149)+N(Y150)+N(Y151),"")</f>
        <v>35.899191591426</v>
      </c>
      <c r="Z152" s="254">
        <f>IF(ISNUMBER(Z148),N(Z149)+N(Z150)+N(Z151),"")</f>
        <v>37.7146687061898</v>
      </c>
      <c r="AA152" s="254">
        <f>IF(ISNUMBER(AA148),N(AA149)+N(AA150)+N(AA151),"")</f>
        <v>39.5936418525905</v>
      </c>
      <c r="AB152" s="254">
        <f>IF(ISNUMBER(AB148),N(AB149)+N(AB150)+N(AB151),"")</f>
        <v>41.5027470761997</v>
      </c>
      <c r="AC152" s="153" t="n"/>
    </row>
    <row r="153" ht="15" customHeight="1" s="251">
      <c r="B153" s="55" t="inlineStr">
        <is>
          <t xml:space="preserve">  = Adjusted EBITDA (model bridge)</t>
        </is>
      </c>
      <c r="C153" s="269">
        <f>IF(ISNUMBER(C148),C148+C152,"")</f>
      </c>
      <c r="D153" s="269">
        <f>IF(ISNUMBER(D148),D148+D152,"")</f>
      </c>
      <c r="E153" s="269">
        <f>IF(ISNUMBER(E148),E148+E152,"")</f>
      </c>
      <c r="F153" s="269">
        <f>IF(ISNUMBER(F148),F148+F152,"")</f>
      </c>
      <c r="G153" s="269">
        <f>IF(ISNUMBER(G148),G148+G152,"")</f>
      </c>
      <c r="H153" s="269">
        <f>IF(ISNUMBER(H148),H148+H152,"")</f>
        <v>598</v>
      </c>
      <c r="I153" s="269">
        <f>IF(ISNUMBER(I148),I148+I152,"")</f>
      </c>
      <c r="J153" s="269">
        <f>IF(ISNUMBER(J148),J148+J152,"")</f>
      </c>
      <c r="K153" s="269">
        <f>IF(ISNUMBER(K148),K148+K152,"")</f>
      </c>
      <c r="L153" s="269">
        <f>IF(ISNUMBER(L148),L148+L152,"")</f>
      </c>
      <c r="M153" s="269">
        <f>IF(ISNUMBER(M148),M148+M152,"")</f>
        <v>659</v>
      </c>
      <c r="N153" s="269">
        <f>IF(ISNUMBER(N148),N148+N152,"")</f>
        <v>169</v>
      </c>
      <c r="O153" s="269">
        <f>IF(ISNUMBER(O148),O148+O152,"")</f>
        <v>188</v>
      </c>
      <c r="P153" s="269">
        <f>IF(ISNUMBER(P148),P148+P152,"")</f>
        <v>191</v>
      </c>
      <c r="Q153" s="269">
        <f>IF(ISNUMBER(Q148),Q148+Q152,"")</f>
        <v>163</v>
      </c>
      <c r="R153" s="269">
        <f>IF(ISNUMBER(R148),R148+R152,"")</f>
        <v>711</v>
      </c>
      <c r="S153" s="269">
        <f>IF(ISNUMBER(S148),S148+S152,"")</f>
        <v>184</v>
      </c>
      <c r="T153" s="269">
        <f>IF(ISNUMBER(T148),T148+T152,"")</f>
        <v>202</v>
      </c>
      <c r="U153" s="269">
        <f>IF(ISNUMBER(U148),U148+U152,"")</f>
        <v>201.493675582213</v>
      </c>
      <c r="V153" s="269">
        <f>IF(ISNUMBER(V148),V148+V152,"")</f>
        <v>165.006324417787</v>
      </c>
      <c r="W153" s="269">
        <f>IF(ISNUMBER(W148),W148+W152,"")</f>
        <v>752.5</v>
      </c>
      <c r="X153" s="269">
        <f>IF(ISNUMBER(X148),X148+X152,"")</f>
        <v>817.749760603175</v>
      </c>
      <c r="Y153" s="269">
        <f>IF(ISNUMBER(Y148),Y148+Y152,"")</f>
        <v>888.521201387566</v>
      </c>
      <c r="Z153" s="269">
        <f>IF(ISNUMBER(Z148),Z148+Z152,"")</f>
        <v>962.121135917102</v>
      </c>
      <c r="AA153" s="269">
        <f>IF(ISNUMBER(AA148),AA148+AA152,"")</f>
        <v>1039.50353785481</v>
      </c>
      <c r="AB153" s="269">
        <f>IF(ISNUMBER(AB148),AB148+AB152,"")</f>
        <v>1120.07728774769</v>
      </c>
      <c r="AC153" s="153" t="n"/>
      <c r="AE153" s="20">
        <f>IFERROR((AB153/W153)^(1/5)-1,"n/m")</f>
        <v>0.0828001252610775</v>
      </c>
      <c r="AF153" s="20">
        <f>IFERROR((R153/H153)^(1/2)-1,"n/m")</f>
        <v>0.090395896315802</v>
      </c>
      <c r="AG153" s="20">
        <f>IFERROR(R153/M153-1,"n/m")</f>
        <v>0.0789074355083459</v>
      </c>
      <c r="AH153" s="20" t="str">
        <f>IFERROR((R153/C153)^(1/3)-1,"n/m")</f>
        <v>n/m</v>
      </c>
    </row>
    <row r="154" ht="15" customHeight="1" s="251">
      <c r="B154" s="25" t="inlineStr">
        <is>
          <t xml:space="preserve">  Adjusted EBITDA margin %</t>
        </is>
      </c>
      <c r="C154" s="215">
        <f>IF(AND(ISNUMBER(C153),ISNUMBER(C115)),IFERROR(C153/C115,""),"")</f>
      </c>
      <c r="D154" s="215">
        <f>IF(AND(ISNUMBER(D153),ISNUMBER(D115)),IFERROR(D153/D115,""),"")</f>
      </c>
      <c r="E154" s="215">
        <f>IF(AND(ISNUMBER(E153),ISNUMBER(E115)),IFERROR(E153/E115,""),"")</f>
      </c>
      <c r="F154" s="215">
        <f>IF(AND(ISNUMBER(F153),ISNUMBER(F115)),IFERROR(F153/F115,""),"")</f>
      </c>
      <c r="G154" s="215">
        <f>IF(AND(ISNUMBER(G153),ISNUMBER(G115)),IFERROR(G153/G115,""),"")</f>
      </c>
      <c r="H154" s="215">
        <f>IF(AND(ISNUMBER(H153),ISNUMBER(H115)),IFERROR(H153/H115,""),"")</f>
        <v>0.402693602693603</v>
      </c>
      <c r="I154" s="215">
        <f>IF(AND(ISNUMBER(I153),ISNUMBER(I115)),IFERROR(I153/I115,""),"")</f>
      </c>
      <c r="J154" s="215">
        <f>IF(AND(ISNUMBER(J153),ISNUMBER(J115)),IFERROR(J153/J115,""),"")</f>
      </c>
      <c r="K154" s="215">
        <f>IF(AND(ISNUMBER(K153),ISNUMBER(K115)),IFERROR(K153/K115,""),"")</f>
      </c>
      <c r="L154" s="215">
        <f>IF(AND(ISNUMBER(L153),ISNUMBER(L115)),IFERROR(L153/L115,""),"")</f>
      </c>
      <c r="M154" s="215">
        <f>IF(AND(ISNUMBER(M153),ISNUMBER(M115)),IFERROR(M153/M115,""),"")</f>
        <v>0.4085554866708</v>
      </c>
      <c r="N154" s="215">
        <f>IF(AND(ISNUMBER(N153),ISNUMBER(N115)),IFERROR(N153/N115,""),"")</f>
        <v>0.402380952380952</v>
      </c>
      <c r="O154" s="215">
        <f>IF(AND(ISNUMBER(O153),ISNUMBER(O115)),IFERROR(O153/O115,""),"")</f>
        <v>0.428246013667426</v>
      </c>
      <c r="P154" s="215">
        <f>IF(AND(ISNUMBER(P153),ISNUMBER(P115)),IFERROR(P153/P115,""),"")</f>
        <v>0.429213483146067</v>
      </c>
      <c r="Q154" s="215">
        <f>IF(AND(ISNUMBER(Q153),ISNUMBER(Q115)),IFERROR(Q153/Q115,""),"")</f>
        <v>0.365470852017937</v>
      </c>
      <c r="R154" s="215">
        <f>IF(AND(ISNUMBER(R153),ISNUMBER(R115)),IFERROR(R153/R115,""),"")</f>
        <v>0.406285714285714</v>
      </c>
      <c r="S154" s="215">
        <f>IF(AND(ISNUMBER(S153),ISNUMBER(S115)),IFERROR(S153/S115,""),"")</f>
        <v>0.404395604395604</v>
      </c>
      <c r="T154" s="215">
        <f>IF(AND(ISNUMBER(T153),ISNUMBER(T115)),IFERROR(T153/T115,""),"")</f>
        <v>0.431623931623932</v>
      </c>
      <c r="U154" s="256">
        <f>IF(AND(ISNUMBER(U153),ISNUMBER(U115)),IFERROR(U153/U115,""),"")</f>
        <v>0.42262937610268</v>
      </c>
      <c r="V154" s="256">
        <f>IF(AND(ISNUMBER(V153),ISNUMBER(V115)),IFERROR(V153/V115,""),"")</f>
        <v>0.345390913932791</v>
      </c>
      <c r="W154" s="256">
        <f>IF(AND(ISNUMBER(W153),ISNUMBER(W115)),IFERROR(W153/W115,""),"")</f>
        <v>0.400798934753662</v>
      </c>
      <c r="X154" s="256">
        <f>IF(AND(ISNUMBER(X153),ISNUMBER(X115)),IFERROR(X153/X115,""),"")</f>
        <v>0.407169668284563</v>
      </c>
      <c r="Y154" s="256">
        <f>IF(AND(ISNUMBER(Y153),ISNUMBER(Y115)),IFERROR(Y153/Y115,""),"")</f>
        <v>0.414018290823457</v>
      </c>
      <c r="Z154" s="256">
        <f>IF(AND(ISNUMBER(Z153),ISNUMBER(Z115)),IFERROR(Z153/Z115,""),"")</f>
        <v>0.420922571629308</v>
      </c>
      <c r="AA154" s="256">
        <f>IF(AND(ISNUMBER(AA153),ISNUMBER(AA115)),IFERROR(AA153/AA115,""),"")</f>
        <v>0.427729922848528</v>
      </c>
      <c r="AB154" s="256">
        <f>IF(AND(ISNUMBER(AB153),ISNUMBER(AB115)),IFERROR(AB153/AB115,""),"")</f>
        <v>0.434621218003464</v>
      </c>
      <c r="AC154" s="153" t="n"/>
      <c r="AE154" s="37">
        <f>IFERROR(AVERAGE(X154,Y154,Z154,AA154,AB154),"n/m")</f>
        <v>0.420892334317864</v>
      </c>
      <c r="AF154" s="37">
        <f>IFERROR(AVERAGE(H154,M154,R154),"n/m")</f>
        <v>0.405844934550039</v>
      </c>
      <c r="AG154" s="37">
        <f>IFERROR(AVERAGE(M154,R154),"n/m")</f>
        <v>0.407420600478257</v>
      </c>
      <c r="AH154" s="37">
        <f>IFERROR(AVERAGE(C154,H154,M154,R154),"n/m")</f>
        <v>0.405844934550039</v>
      </c>
    </row>
    <row r="155" ht="15" customHeight="1" s="251">
      <c r="B155" s="156" t="inlineStr">
        <is>
          <t xml:space="preserve">  Company-published Adjusted EBITDA</t>
        </is>
      </c>
      <c r="C155" s="34" t="n"/>
      <c r="D155" s="34" t="n"/>
      <c r="E155" s="34" t="n"/>
      <c r="F155" s="34" t="n"/>
      <c r="G155" s="34" t="n"/>
      <c r="H155" s="258" t="n">
        <v>598</v>
      </c>
      <c r="I155" s="34" t="n"/>
      <c r="J155" s="34" t="n"/>
      <c r="K155" s="34" t="n"/>
      <c r="L155" s="34" t="n"/>
      <c r="M155" s="258" t="n">
        <v>658</v>
      </c>
      <c r="N155" s="258" t="n">
        <v>169</v>
      </c>
      <c r="O155" s="258" t="n">
        <v>188</v>
      </c>
      <c r="P155" s="258" t="n">
        <v>191</v>
      </c>
      <c r="Q155" s="258" t="n">
        <v>163</v>
      </c>
      <c r="R155" s="258" t="n">
        <v>711</v>
      </c>
      <c r="S155" s="258" t="n">
        <v>184</v>
      </c>
      <c r="T155" s="258" t="n">
        <v>202</v>
      </c>
      <c r="U155" s="153" t="n"/>
      <c r="V155" s="153" t="n"/>
      <c r="W155" s="153" t="n"/>
      <c r="X155" s="153" t="n"/>
      <c r="Y155" s="153" t="n"/>
      <c r="Z155" s="153" t="n"/>
      <c r="AA155" s="153" t="n"/>
      <c r="AB155" s="153" t="n"/>
      <c r="AC155" s="153" t="n"/>
    </row>
    <row r="156" collapsed="1" ht="15" customHeight="1" s="251">
      <c r="B156" s="57" t="inlineStr">
        <is>
          <t xml:space="preserve">  Check: model bridge vs company-published (should be 0; ±1 whole-$m rounding)</t>
        </is>
      </c>
      <c r="C156" s="211">
        <f>IF(AND(ISNUMBER(C155),ISNUMBER(C153)),IF(ABS(C153-C155)&lt;=1,0,C153-C155),"")</f>
      </c>
      <c r="D156" s="211">
        <f>IF(AND(ISNUMBER(D155),ISNUMBER(D153)),IF(ABS(D153-D155)&lt;=1,0,D153-D155),"")</f>
      </c>
      <c r="E156" s="211">
        <f>IF(AND(ISNUMBER(E155),ISNUMBER(E153)),IF(ABS(E153-E155)&lt;=1,0,E153-E155),"")</f>
      </c>
      <c r="F156" s="211">
        <f>IF(AND(ISNUMBER(F155),ISNUMBER(F153)),IF(ABS(F153-F155)&lt;=1,0,F153-F155),"")</f>
      </c>
      <c r="G156" s="211">
        <f>IF(AND(ISNUMBER(G155),ISNUMBER(G153)),IF(ABS(G153-G155)&lt;=1,0,G153-G155),"")</f>
      </c>
      <c r="H156" s="211">
        <f>IF(AND(ISNUMBER(H155),ISNUMBER(H153)),IF(ABS(H153-H155)&lt;=1,0,H153-H155),"")</f>
        <v>0</v>
      </c>
      <c r="I156" s="211">
        <f>IF(AND(ISNUMBER(I155),ISNUMBER(I153)),IF(ABS(I153-I155)&lt;=1,0,I153-I155),"")</f>
      </c>
      <c r="J156" s="211">
        <f>IF(AND(ISNUMBER(J155),ISNUMBER(J153)),IF(ABS(J153-J155)&lt;=1,0,J153-J155),"")</f>
      </c>
      <c r="K156" s="211">
        <f>IF(AND(ISNUMBER(K155),ISNUMBER(K153)),IF(ABS(K153-K155)&lt;=1,0,K153-K155),"")</f>
      </c>
      <c r="L156" s="211">
        <f>IF(AND(ISNUMBER(L155),ISNUMBER(L153)),IF(ABS(L153-L155)&lt;=1,0,L153-L155),"")</f>
      </c>
      <c r="M156" s="211">
        <f>IF(AND(ISNUMBER(M155),ISNUMBER(M153)),IF(ABS(M153-M155)&lt;=1,0,M153-M155),"")</f>
        <v>0</v>
      </c>
      <c r="N156" s="211">
        <f>IF(AND(ISNUMBER(N155),ISNUMBER(N153)),IF(ABS(N153-N155)&lt;=1,0,N153-N155),"")</f>
        <v>0</v>
      </c>
      <c r="O156" s="211">
        <f>IF(AND(ISNUMBER(O155),ISNUMBER(O153)),IF(ABS(O153-O155)&lt;=1,0,O153-O155),"")</f>
        <v>0</v>
      </c>
      <c r="P156" s="211">
        <f>IF(AND(ISNUMBER(P155),ISNUMBER(P153)),IF(ABS(P153-P155)&lt;=1,0,P153-P155),"")</f>
        <v>0</v>
      </c>
      <c r="Q156" s="211">
        <f>IF(AND(ISNUMBER(Q155),ISNUMBER(Q153)),IF(ABS(Q153-Q155)&lt;=1,0,Q153-Q155),"")</f>
        <v>0</v>
      </c>
      <c r="R156" s="211">
        <f>IF(AND(ISNUMBER(R155),ISNUMBER(R153)),IF(ABS(R153-R155)&lt;=1,0,R153-R155),"")</f>
        <v>0</v>
      </c>
      <c r="S156" s="211">
        <f>IF(AND(ISNUMBER(S155),ISNUMBER(S153)),IF(ABS(S153-S155)&lt;=1,0,S153-S155),"")</f>
        <v>0</v>
      </c>
      <c r="T156" s="211">
        <f>IF(AND(ISNUMBER(T155),ISNUMBER(T153)),IF(ABS(T153-T155)&lt;=1,0,T153-T155),"")</f>
        <v>0</v>
      </c>
      <c r="U156" s="153" t="n"/>
      <c r="V156" s="153" t="n"/>
      <c r="W156" s="153" t="n"/>
      <c r="X156" s="153" t="n"/>
      <c r="Y156" s="153" t="n"/>
      <c r="Z156" s="153" t="n"/>
      <c r="AA156" s="153" t="n"/>
      <c r="AB156" s="153" t="n"/>
      <c r="AC156" s="153" t="n"/>
    </row>
    <row r="157" ht="15" customHeight="1" s="251">
      <c r="B157" s="158" t="inlineStr">
        <is>
          <t xml:space="preserve">  Definition basis (company Adjusted EBITDA definition in force)</t>
        </is>
      </c>
      <c r="H157" s="264" t="inlineStr">
        <is>
          <t>Form 10 definition: NI + interest + taxes + D&amp;A + SBC + separation transaction costs + severance + acquisition integration + acquisition / disposition costs + legal recovery + other (other income kept in EBITDA)</t>
        </is>
      </c>
      <c r="T157" s="264" t="inlineStr">
        <is>
          <t>Q2-26 release: same items; severance and other combined ("employee severance charges and other")</t>
        </is>
      </c>
      <c r="U157" s="153" t="n"/>
      <c r="V157" s="153" t="n"/>
      <c r="W157" s="153" t="n"/>
      <c r="X157" s="153" t="n"/>
      <c r="Y157" s="153" t="n"/>
      <c r="Z157" s="153" t="n"/>
      <c r="AA157" s="153" t="n"/>
      <c r="AB157" s="153" t="n"/>
      <c r="AC157" s="19" t="n"/>
    </row>
    <row r="158" ht="15" customHeight="1" s="251">
      <c r="B158" s="156" t="inlineStr">
        <is>
          <t xml:space="preserve">  Memo: cash adjusting items (transaction, severance &amp; other; deducted in DCF NOPAT)</t>
        </is>
      </c>
      <c r="C158" s="211">
        <f>IF(ISNUMBER(C111),C111+C112,"")</f>
      </c>
      <c r="D158" s="211">
        <f>IF(ISNUMBER(D111),D111+D112,"")</f>
      </c>
      <c r="E158" s="211">
        <f>IF(ISNUMBER(E111),E111+E112,"")</f>
      </c>
      <c r="F158" s="211">
        <f>IF(ISNUMBER(F111),F111+F112,"")</f>
      </c>
      <c r="G158" s="211">
        <f>IF(ISNUMBER(G111),G111+G112,"")</f>
      </c>
      <c r="H158" s="211">
        <f>IF(ISNUMBER(H111),H111+H112,"")</f>
        <v>30</v>
      </c>
      <c r="I158" s="211">
        <f>IF(ISNUMBER(I111),I111+I112,"")</f>
      </c>
      <c r="J158" s="211">
        <f>IF(ISNUMBER(J111),J111+J112,"")</f>
      </c>
      <c r="K158" s="211">
        <f>IF(ISNUMBER(K111),K111+K112,"")</f>
      </c>
      <c r="L158" s="211">
        <f>IF(ISNUMBER(L111),L111+L112,"")</f>
      </c>
      <c r="M158" s="211">
        <f>IF(ISNUMBER(M111),M111+M112,"")</f>
        <v>23</v>
      </c>
      <c r="N158" s="211">
        <f>IF(ISNUMBER(N111),N111+N112,"")</f>
        <v>2</v>
      </c>
      <c r="O158" s="211">
        <f>IF(ISNUMBER(O111),O111+O112,"")</f>
        <v>11</v>
      </c>
      <c r="P158" s="211">
        <f>IF(ISNUMBER(P111),P111+P112,"")</f>
        <v>3</v>
      </c>
      <c r="Q158" s="211">
        <f>IF(ISNUMBER(Q111),Q111+Q112,"")</f>
        <v>24</v>
      </c>
      <c r="R158" s="211">
        <f>IF(ISNUMBER(R111),R111+R112,"")</f>
        <v>40</v>
      </c>
      <c r="S158" s="211">
        <f>IF(ISNUMBER(S111),S111+S112,"")</f>
        <v>21</v>
      </c>
      <c r="T158" s="211">
        <f>IF(ISNUMBER(T111),T111+T112,"")</f>
        <v>38</v>
      </c>
      <c r="U158" s="266">
        <f>IF(ISNUMBER(U111),U111+U112,"")</f>
        <v>12</v>
      </c>
      <c r="V158" s="266">
        <f>IF(ISNUMBER(V111),V111+V112,"")</f>
        <v>12</v>
      </c>
      <c r="W158" s="266">
        <f>IF(ISNUMBER(W111),W111+W112,"")</f>
        <v>83</v>
      </c>
      <c r="X158" s="266">
        <f>IF(ISNUMBER(X111),X111+X112,"")</f>
        <v>18</v>
      </c>
      <c r="Y158" s="266">
        <f>IF(ISNUMBER(Y111),Y111+Y112,"")</f>
        <v>8</v>
      </c>
      <c r="Z158" s="266">
        <f>IF(ISNUMBER(Z111),Z111+Z112,"")</f>
        <v>8</v>
      </c>
      <c r="AA158" s="266">
        <f>IF(ISNUMBER(AA111),AA111+AA112,"")</f>
        <v>8</v>
      </c>
      <c r="AB158" s="266">
        <f>IF(ISNUMBER(AB111),AB111+AB112,"")</f>
        <v>8</v>
      </c>
      <c r="AC158" s="153" t="n"/>
    </row>
    <row r="159" ht="15" customHeight="1" s="251">
      <c r="B159" s="25" t="inlineStr">
        <is>
          <t>To adjusted EBIT:</t>
        </is>
      </c>
      <c r="AC159" s="153" t="n"/>
    </row>
    <row r="160" ht="15" customHeight="1" s="251">
      <c r="B160" s="25" t="inlineStr">
        <is>
          <t xml:space="preserve">  (−) Depreciation</t>
        </is>
      </c>
      <c r="C160" s="211">
        <f>IF(ISNUMBER(C104),-C104,"")</f>
      </c>
      <c r="D160" s="211">
        <f>IF(ISNUMBER(D104),-D104,"")</f>
      </c>
      <c r="E160" s="211">
        <f>IF(ISNUMBER(E104),-E104,"")</f>
      </c>
      <c r="F160" s="211">
        <f>IF(ISNUMBER(F104),-F104,"")</f>
      </c>
      <c r="G160" s="211">
        <f>IF(ISNUMBER(G104),-G104,"")</f>
      </c>
      <c r="H160" s="211">
        <f>IF(ISNUMBER(H104),-H104,"")</f>
        <v>-12</v>
      </c>
      <c r="I160" s="211">
        <f>IF(ISNUMBER(I104),-I104,"")</f>
      </c>
      <c r="J160" s="211">
        <f>IF(ISNUMBER(J104),-J104,"")</f>
      </c>
      <c r="K160" s="211">
        <f>IF(ISNUMBER(K104),-K104,"")</f>
      </c>
      <c r="L160" s="211">
        <f>IF(ISNUMBER(L104),-L104,"")</f>
      </c>
      <c r="M160" s="211">
        <f>IF(ISNUMBER(M104),-M104,"")</f>
        <v>-13</v>
      </c>
      <c r="N160" s="211">
        <f>IF(ISNUMBER(N104),-N104,"")</f>
        <v>-4</v>
      </c>
      <c r="O160" s="211">
        <f>IF(ISNUMBER(O104),-O104,"")</f>
        <v>-3</v>
      </c>
      <c r="P160" s="211">
        <f>IF(ISNUMBER(P104),-P104,"")</f>
      </c>
      <c r="Q160" s="211">
        <f>IF(ISNUMBER(Q104),-Q104,"")</f>
      </c>
      <c r="R160" s="211">
        <f>IF(ISNUMBER(R104),-R104,"")</f>
        <v>-14</v>
      </c>
      <c r="S160" s="211">
        <f>IF(ISNUMBER(S104),-S104,"")</f>
        <v>-4</v>
      </c>
      <c r="T160" s="211">
        <f>IF(ISNUMBER(T104),-T104,"")</f>
        <v>-3</v>
      </c>
      <c r="U160" s="266">
        <f>IF(ISNUMBER(U104),-U104,"")</f>
        <v>-3.5</v>
      </c>
      <c r="V160" s="266">
        <f>IF(ISNUMBER(V104),-V104,"")</f>
        <v>-3.5</v>
      </c>
      <c r="W160" s="266">
        <f>IF(ISNUMBER(W104),-W104,"")</f>
        <v>-14</v>
      </c>
      <c r="X160" s="266">
        <f>IF(ISNUMBER(X104),-X104,"")</f>
        <v>-16.0670074281008</v>
      </c>
      <c r="Y160" s="266">
        <f>IF(ISNUMBER(Y104),-Y104,"")</f>
        <v>-17.1687332870314</v>
      </c>
      <c r="Z160" s="266">
        <f>IF(ISNUMBER(Z104),-Z104,"")</f>
        <v>-18.2859499730399</v>
      </c>
      <c r="AA160" s="266">
        <f>IF(ISNUMBER(AA104),-AA104,"")</f>
        <v>-19.4422411400557</v>
      </c>
      <c r="AB160" s="266">
        <f>IF(ISNUMBER(AB104),-AB104,"")</f>
        <v>-20.6170751238152</v>
      </c>
      <c r="AC160" s="19" t="n"/>
    </row>
    <row r="161" ht="15" customHeight="1" s="251">
      <c r="B161" s="16" t="inlineStr">
        <is>
          <t xml:space="preserve">  = Adjusted EBITA (Adjusted EBITDA − depreciation; incl. SBC add-back)</t>
        </is>
      </c>
      <c r="C161" s="263">
        <f>IF(AND(ISNUMBER(C153),ISNUMBER(C160)),C153+C160,"")</f>
      </c>
      <c r="D161" s="263">
        <f>IF(AND(ISNUMBER(D153),ISNUMBER(D160)),D153+D160,"")</f>
      </c>
      <c r="E161" s="263">
        <f>IF(AND(ISNUMBER(E153),ISNUMBER(E160)),E153+E160,"")</f>
      </c>
      <c r="F161" s="263">
        <f>IF(AND(ISNUMBER(F153),ISNUMBER(F160)),F153+F160,"")</f>
      </c>
      <c r="G161" s="263">
        <f>IF(AND(ISNUMBER(G153),ISNUMBER(G160)),G153+G160,"")</f>
      </c>
      <c r="H161" s="263">
        <f>IF(AND(ISNUMBER(H153),ISNUMBER(H160)),H153+H160,"")</f>
        <v>586</v>
      </c>
      <c r="I161" s="263">
        <f>IF(AND(ISNUMBER(I153),ISNUMBER(I160)),I153+I160,"")</f>
      </c>
      <c r="J161" s="263">
        <f>IF(AND(ISNUMBER(J153),ISNUMBER(J160)),J153+J160,"")</f>
      </c>
      <c r="K161" s="263">
        <f>IF(AND(ISNUMBER(K153),ISNUMBER(K160)),K153+K160,"")</f>
      </c>
      <c r="L161" s="263">
        <f>IF(AND(ISNUMBER(L153),ISNUMBER(L160)),L153+L160,"")</f>
      </c>
      <c r="M161" s="263">
        <f>IF(AND(ISNUMBER(M153),ISNUMBER(M160)),M153+M160,"")</f>
        <v>646</v>
      </c>
      <c r="N161" s="263">
        <f>IF(AND(ISNUMBER(N153),ISNUMBER(N160)),N153+N160,"")</f>
        <v>165</v>
      </c>
      <c r="O161" s="263">
        <f>IF(AND(ISNUMBER(O153),ISNUMBER(O160)),O153+O160,"")</f>
        <v>185</v>
      </c>
      <c r="P161" s="263">
        <f>IF(AND(ISNUMBER(P153),ISNUMBER(P160)),P153+P160,"")</f>
      </c>
      <c r="Q161" s="263">
        <f>IF(AND(ISNUMBER(Q153),ISNUMBER(Q160)),Q153+Q160,"")</f>
      </c>
      <c r="R161" s="263">
        <f>IF(AND(ISNUMBER(R153),ISNUMBER(R160)),R153+R160,"")</f>
        <v>697</v>
      </c>
      <c r="S161" s="263">
        <f>IF(AND(ISNUMBER(S153),ISNUMBER(S160)),S153+S160,"")</f>
        <v>180</v>
      </c>
      <c r="T161" s="263">
        <f>IF(AND(ISNUMBER(T153),ISNUMBER(T160)),T153+T160,"")</f>
        <v>199</v>
      </c>
      <c r="U161" s="254">
        <f>IF(AND(ISNUMBER(U153),ISNUMBER(U160)),U153+U160,"")</f>
        <v>197.993675582213</v>
      </c>
      <c r="V161" s="254">
        <f>IF(AND(ISNUMBER(V153),ISNUMBER(V160)),V153+V160,"")</f>
        <v>161.506324417787</v>
      </c>
      <c r="W161" s="254">
        <f>IF(AND(ISNUMBER(W153),ISNUMBER(W160)),W153+W160,"")</f>
        <v>738.5</v>
      </c>
      <c r="X161" s="254">
        <f>IF(AND(ISNUMBER(X153),ISNUMBER(X160)),X153+X160,"")</f>
        <v>801.682753175075</v>
      </c>
      <c r="Y161" s="254">
        <f>IF(AND(ISNUMBER(Y153),ISNUMBER(Y160)),Y153+Y160,"")</f>
        <v>871.352468100535</v>
      </c>
      <c r="Z161" s="254">
        <f>IF(AND(ISNUMBER(Z153),ISNUMBER(Z160)),Z153+Z160,"")</f>
        <v>943.835185944062</v>
      </c>
      <c r="AA161" s="254">
        <f>IF(AND(ISNUMBER(AA153),ISNUMBER(AA160)),AA153+AA160,"")</f>
        <v>1020.06129671476</v>
      </c>
      <c r="AB161" s="254">
        <f>IF(AND(ISNUMBER(AB153),ISNUMBER(AB160)),AB153+AB160,"")</f>
        <v>1099.46021262387</v>
      </c>
      <c r="AC161" s="153" t="n"/>
    </row>
    <row r="162" ht="15" customHeight="1" s="251">
      <c r="B162" s="25" t="inlineStr">
        <is>
          <t xml:space="preserve">  (−) Amortization of intangibles</t>
        </is>
      </c>
      <c r="C162" s="211">
        <f>IF(ISNUMBER(C106),-C106,"")</f>
      </c>
      <c r="D162" s="211">
        <f>IF(ISNUMBER(D106),-D106,"")</f>
      </c>
      <c r="E162" s="211">
        <f>IF(ISNUMBER(E106),-E106,"")</f>
      </c>
      <c r="F162" s="211">
        <f>IF(ISNUMBER(F106),-F106,"")</f>
      </c>
      <c r="G162" s="211">
        <f>IF(ISNUMBER(G106),-G106,"")</f>
      </c>
      <c r="H162" s="211">
        <f>IF(ISNUMBER(H106),-H106,"")</f>
        <v>-295</v>
      </c>
      <c r="I162" s="211">
        <f>IF(ISNUMBER(I106),-I106,"")</f>
      </c>
      <c r="J162" s="211">
        <f>IF(ISNUMBER(J106),-J106,"")</f>
      </c>
      <c r="K162" s="211">
        <f>IF(ISNUMBER(K106),-K106,"")</f>
      </c>
      <c r="L162" s="211">
        <f>IF(ISNUMBER(L106),-L106,"")</f>
      </c>
      <c r="M162" s="211">
        <f>IF(ISNUMBER(M106),-M106,"")</f>
        <v>-296</v>
      </c>
      <c r="N162" s="211">
        <f>IF(ISNUMBER(N106),-N106,"")</f>
        <v>-74</v>
      </c>
      <c r="O162" s="211">
        <f>IF(ISNUMBER(O106),-O106,"")</f>
        <v>-74</v>
      </c>
      <c r="P162" s="211">
        <f>IF(ISNUMBER(P106),-P106,"")</f>
      </c>
      <c r="Q162" s="211">
        <f>IF(ISNUMBER(Q106),-Q106,"")</f>
      </c>
      <c r="R162" s="211">
        <f>IF(ISNUMBER(R106),-R106,"")</f>
        <v>-296</v>
      </c>
      <c r="S162" s="211">
        <f>IF(ISNUMBER(S106),-S106,"")</f>
        <v>-74</v>
      </c>
      <c r="T162" s="211">
        <f>IF(ISNUMBER(T106),-T106,"")</f>
        <v>-74</v>
      </c>
      <c r="U162" s="266">
        <f>IF(ISNUMBER(U106),-U106,"")</f>
        <v>-74</v>
      </c>
      <c r="V162" s="266">
        <f>IF(ISNUMBER(V106),-V106,"")</f>
        <v>-74</v>
      </c>
      <c r="W162" s="266">
        <f>IF(ISNUMBER(W106),-W106,"")</f>
        <v>-296</v>
      </c>
      <c r="X162" s="266">
        <f>IF(ISNUMBER(X106),-X106,"")</f>
        <v>-296</v>
      </c>
      <c r="Y162" s="266">
        <f>IF(ISNUMBER(Y106),-Y106,"")</f>
        <v>-296</v>
      </c>
      <c r="Z162" s="266">
        <f>IF(ISNUMBER(Z106),-Z106,"")</f>
        <v>-296</v>
      </c>
      <c r="AA162" s="266">
        <f>IF(ISNUMBER(AA106),-AA106,"")</f>
        <v>-293</v>
      </c>
      <c r="AB162" s="266">
        <f>IF(ISNUMBER(AB106),-AB106,"")</f>
        <v>-290</v>
      </c>
      <c r="AC162" s="19" t="n"/>
    </row>
    <row r="163" ht="15" customHeight="1" s="251">
      <c r="B163" s="55" t="inlineStr">
        <is>
          <t xml:space="preserve">  = Adjusted EBIT (model; Adjusted EBITDA − D&amp;A)</t>
        </is>
      </c>
      <c r="C163" s="269">
        <f>IF(ISNUMBER(C153),C153-C108,"")</f>
      </c>
      <c r="D163" s="269">
        <f>IF(ISNUMBER(D153),D153-D108,"")</f>
      </c>
      <c r="E163" s="269">
        <f>IF(ISNUMBER(E153),E153-E108,"")</f>
      </c>
      <c r="F163" s="269">
        <f>IF(ISNUMBER(F153),F153-F108,"")</f>
      </c>
      <c r="G163" s="269">
        <f>IF(ISNUMBER(G153),G153-G108,"")</f>
      </c>
      <c r="H163" s="269">
        <f>IF(ISNUMBER(H153),H153-H108,"")</f>
        <v>291</v>
      </c>
      <c r="I163" s="269">
        <f>IF(ISNUMBER(I153),I153-I108,"")</f>
      </c>
      <c r="J163" s="269">
        <f>IF(ISNUMBER(J153),J153-J108,"")</f>
      </c>
      <c r="K163" s="269">
        <f>IF(ISNUMBER(K153),K153-K108,"")</f>
      </c>
      <c r="L163" s="269">
        <f>IF(ISNUMBER(L153),L153-L108,"")</f>
      </c>
      <c r="M163" s="269">
        <f>IF(ISNUMBER(M153),M153-M108,"")</f>
        <v>350</v>
      </c>
      <c r="N163" s="269">
        <f>IF(ISNUMBER(N153),N153-N108,"")</f>
        <v>91</v>
      </c>
      <c r="O163" s="269">
        <f>IF(ISNUMBER(O153),O153-O108,"")</f>
        <v>111</v>
      </c>
      <c r="P163" s="269">
        <f>IF(ISNUMBER(P153),P153-P108,"")</f>
        <v>114</v>
      </c>
      <c r="Q163" s="269">
        <f>IF(ISNUMBER(Q153),Q153-Q108,"")</f>
        <v>85</v>
      </c>
      <c r="R163" s="269">
        <f>IF(ISNUMBER(R153),R153-R108,"")</f>
        <v>401</v>
      </c>
      <c r="S163" s="269">
        <f>IF(ISNUMBER(S153),S153-S108,"")</f>
        <v>106</v>
      </c>
      <c r="T163" s="269">
        <f>IF(ISNUMBER(T153),T153-T108,"")</f>
        <v>125</v>
      </c>
      <c r="U163" s="269">
        <f>IF(ISNUMBER(U153),U153-U108,"")</f>
        <v>123.993675582213</v>
      </c>
      <c r="V163" s="269">
        <f>IF(ISNUMBER(V153),V153-V108,"")</f>
        <v>87.5063244177871</v>
      </c>
      <c r="W163" s="269">
        <f>IF(ISNUMBER(W153),W153-W108,"")</f>
        <v>442.5</v>
      </c>
      <c r="X163" s="269">
        <f>IF(ISNUMBER(X153),X153-X108,"")</f>
        <v>505.682753175074</v>
      </c>
      <c r="Y163" s="269">
        <f>IF(ISNUMBER(Y153),Y153-Y108,"")</f>
        <v>575.352468100535</v>
      </c>
      <c r="Z163" s="269">
        <f>IF(ISNUMBER(Z153),Z153-Z108,"")</f>
        <v>647.835185944062</v>
      </c>
      <c r="AA163" s="269">
        <f>IF(ISNUMBER(AA153),AA153-AA108,"")</f>
        <v>727.061296714757</v>
      </c>
      <c r="AB163" s="269">
        <f>IF(ISNUMBER(AB153),AB153-AB108,"")</f>
        <v>809.460212623871</v>
      </c>
      <c r="AC163" s="153" t="inlineStr">
        <is>
          <t>Full-cost measure for ROIC (amortization of acquired intangibles deducted). Note: the company Adjusted EBITDA adds back SBC; the DCF deducts it.</t>
        </is>
      </c>
    </row>
    <row r="164" ht="15" customHeight="1" s="251">
      <c r="B164" s="25" t="inlineStr">
        <is>
          <t xml:space="preserve">  Adjusted EBIT margin %</t>
        </is>
      </c>
      <c r="C164" s="215">
        <f>IF(AND(ISNUMBER(C163),ISNUMBER(C115)),IFERROR(C163/C115,""),"")</f>
      </c>
      <c r="D164" s="215">
        <f>IF(AND(ISNUMBER(D163),ISNUMBER(D115)),IFERROR(D163/D115,""),"")</f>
      </c>
      <c r="E164" s="215">
        <f>IF(AND(ISNUMBER(E163),ISNUMBER(E115)),IFERROR(E163/E115,""),"")</f>
      </c>
      <c r="F164" s="215">
        <f>IF(AND(ISNUMBER(F163),ISNUMBER(F115)),IFERROR(F163/F115,""),"")</f>
      </c>
      <c r="G164" s="215">
        <f>IF(AND(ISNUMBER(G163),ISNUMBER(G115)),IFERROR(G163/G115,""),"")</f>
      </c>
      <c r="H164" s="215">
        <f>IF(AND(ISNUMBER(H163),ISNUMBER(H115)),IFERROR(H163/H115,""),"")</f>
        <v>0.195959595959596</v>
      </c>
      <c r="I164" s="215">
        <f>IF(AND(ISNUMBER(I163),ISNUMBER(I115)),IFERROR(I163/I115,""),"")</f>
      </c>
      <c r="J164" s="215">
        <f>IF(AND(ISNUMBER(J163),ISNUMBER(J115)),IFERROR(J163/J115,""),"")</f>
      </c>
      <c r="K164" s="215">
        <f>IF(AND(ISNUMBER(K163),ISNUMBER(K115)),IFERROR(K163/K115,""),"")</f>
      </c>
      <c r="L164" s="215">
        <f>IF(AND(ISNUMBER(L163),ISNUMBER(L115)),IFERROR(L163/L115,""),"")</f>
      </c>
      <c r="M164" s="215">
        <f>IF(AND(ISNUMBER(M163),ISNUMBER(M115)),IFERROR(M163/M115,""),"")</f>
        <v>0.216986980781153</v>
      </c>
      <c r="N164" s="215">
        <f>IF(AND(ISNUMBER(N163),ISNUMBER(N115)),IFERROR(N163/N115,""),"")</f>
        <v>0.216666666666667</v>
      </c>
      <c r="O164" s="215">
        <f>IF(AND(ISNUMBER(O163),ISNUMBER(O115)),IFERROR(O163/O115,""),"")</f>
        <v>0.252847380410023</v>
      </c>
      <c r="P164" s="215">
        <f>IF(AND(ISNUMBER(P163),ISNUMBER(P115)),IFERROR(P163/P115,""),"")</f>
        <v>0.256179775280899</v>
      </c>
      <c r="Q164" s="215">
        <f>IF(AND(ISNUMBER(Q163),ISNUMBER(Q115)),IFERROR(Q163/Q115,""),"")</f>
        <v>0.190582959641256</v>
      </c>
      <c r="R164" s="215">
        <f>IF(AND(ISNUMBER(R163),ISNUMBER(R115)),IFERROR(R163/R115,""),"")</f>
        <v>0.229142857142857</v>
      </c>
      <c r="S164" s="215">
        <f>IF(AND(ISNUMBER(S163),ISNUMBER(S115)),IFERROR(S163/S115,""),"")</f>
        <v>0.232967032967033</v>
      </c>
      <c r="T164" s="215">
        <f>IF(AND(ISNUMBER(T163),ISNUMBER(T115)),IFERROR(T163/T115,""),"")</f>
        <v>0.267094017094017</v>
      </c>
      <c r="U164" s="256">
        <f>IF(AND(ISNUMBER(U163),ISNUMBER(U115)),IFERROR(U163/U115,""),"")</f>
        <v>0.260074514004323</v>
      </c>
      <c r="V164" s="256">
        <f>IF(AND(ISNUMBER(V163),ISNUMBER(V115)),IFERROR(V163/V115,""),"")</f>
        <v>0.183168066267772</v>
      </c>
      <c r="W164" s="256">
        <f>IF(AND(ISNUMBER(W163),ISNUMBER(W115)),IFERROR(W163/W115,""),"")</f>
        <v>0.235685752330226</v>
      </c>
      <c r="X164" s="256">
        <f>IF(AND(ISNUMBER(X163),ISNUMBER(X115)),IFERROR(X163/X115,""),"")</f>
        <v>0.251786902041583</v>
      </c>
      <c r="Y164" s="256">
        <f>IF(AND(ISNUMBER(Y163),ISNUMBER(Y115)),IFERROR(Y163/Y115,""),"")</f>
        <v>0.268093147458996</v>
      </c>
      <c r="Z164" s="256">
        <f>IF(AND(ISNUMBER(Z163),ISNUMBER(Z115)),IFERROR(Z163/Z115,""),"")</f>
        <v>0.2834242407528</v>
      </c>
      <c r="AA164" s="256">
        <f>IF(AND(ISNUMBER(AA163),ISNUMBER(AA115)),IFERROR(AA163/AA115,""),"")</f>
        <v>0.299167690176144</v>
      </c>
      <c r="AB164" s="256">
        <f>IF(AND(ISNUMBER(AB163),ISNUMBER(AB115)),IFERROR(AB163/AB115,""),"")</f>
        <v>0.314093132129628</v>
      </c>
      <c r="AC164" s="153" t="n"/>
      <c r="AE164" s="37">
        <f>IFERROR(AVERAGE(X164,Y164,Z164,AA164,AB164),"n/m")</f>
        <v>0.28331302251183</v>
      </c>
      <c r="AF164" s="37">
        <f>IFERROR(AVERAGE(H164,M164,R164),"n/m")</f>
        <v>0.214029811294535</v>
      </c>
      <c r="AG164" s="37">
        <f>IFERROR(AVERAGE(M164,R164),"n/m")</f>
        <v>0.223064918962005</v>
      </c>
      <c r="AH164" s="37">
        <f>IFERROR(AVERAGE(C164,H164,M164,R164),"n/m")</f>
        <v>0.214029811294535</v>
      </c>
    </row>
    <row r="165" ht="15" customHeight="1" s="251">
      <c r="AK165" s="11" t="n"/>
      <c r="AL165" s="12" t="n"/>
      <c r="AM165" s="12" t="n"/>
      <c r="AN165" s="12" t="n"/>
      <c r="AO165" s="13" t="n"/>
    </row>
    <row r="166" ht="15" customHeight="1" s="251">
      <c r="B166" s="10" t="inlineStr">
        <is>
          <t>RECONCILIATION: OPERATING PROFIT → ADJUSTED OPERATING PROFIT (company definition; published in the Form 10)</t>
        </is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inlineStr">
        <is>
          <t>ADJUSTED OPERATING PROFIT — company definition (Form 10): operating profit + amortization of intangibles + transaction costs + severance &amp; other items (SBC and depreciation not added back)</t>
        </is>
      </c>
    </row>
    <row r="167" ht="15" customHeight="1" s="251">
      <c r="B167" s="16" t="inlineStr">
        <is>
          <t>Operating profit (GAAP)</t>
        </is>
      </c>
      <c r="C167" s="263">
        <f>C119</f>
        <v>0</v>
      </c>
      <c r="D167" s="263">
        <f>D119</f>
        <v>0</v>
      </c>
      <c r="E167" s="263">
        <f>E119</f>
        <v>0</v>
      </c>
      <c r="F167" s="263">
        <f>F119</f>
        <v>0</v>
      </c>
      <c r="G167" s="263">
        <f>G119</f>
        <v>0</v>
      </c>
      <c r="H167" s="263">
        <f>H119</f>
        <v>239</v>
      </c>
      <c r="I167" s="263">
        <f>I119</f>
        <v>0</v>
      </c>
      <c r="J167" s="263">
        <f>J119</f>
        <v>0</v>
      </c>
      <c r="K167" s="263">
        <f>K119</f>
        <v>0</v>
      </c>
      <c r="L167" s="263">
        <f>L119</f>
        <v>0</v>
      </c>
      <c r="M167" s="263">
        <f>M119</f>
        <v>298</v>
      </c>
      <c r="N167" s="263">
        <f>N119</f>
        <v>84</v>
      </c>
      <c r="O167" s="263">
        <f>O119</f>
        <v>96</v>
      </c>
      <c r="P167" s="263">
        <f>P119</f>
        <v>104</v>
      </c>
      <c r="Q167" s="263">
        <f>Q119</f>
        <v>55</v>
      </c>
      <c r="R167" s="263">
        <f>R119</f>
        <v>339</v>
      </c>
      <c r="S167" s="263">
        <f>S119</f>
        <v>81</v>
      </c>
      <c r="T167" s="263">
        <f>T119</f>
        <v>82</v>
      </c>
      <c r="U167" s="254">
        <f>U119</f>
        <v>105.993675582213</v>
      </c>
      <c r="V167" s="254">
        <f>V119</f>
        <v>69.5063244177871</v>
      </c>
      <c r="W167" s="254">
        <f>W119</f>
        <v>338.5</v>
      </c>
      <c r="X167" s="254">
        <f>X119</f>
        <v>461.573866104411</v>
      </c>
      <c r="Y167" s="254">
        <f>Y119</f>
        <v>539.453276509109</v>
      </c>
      <c r="Z167" s="254">
        <f>Z119</f>
        <v>610.120517237873</v>
      </c>
      <c r="AA167" s="254">
        <f>AA119</f>
        <v>687.467654862167</v>
      </c>
      <c r="AB167" s="254">
        <f>AB119</f>
        <v>767.957465547671</v>
      </c>
      <c r="AC167" s="153" t="n"/>
    </row>
    <row r="168" ht="15" customHeight="1" s="251">
      <c r="B168" s="25" t="inlineStr">
        <is>
          <t xml:space="preserve">  (+) Amortization of intangibles</t>
        </is>
      </c>
      <c r="C168" s="211">
        <f>IF(ISNUMBER(C106),C106,"")</f>
      </c>
      <c r="D168" s="211">
        <f>IF(ISNUMBER(D106),D106,"")</f>
      </c>
      <c r="E168" s="211">
        <f>IF(ISNUMBER(E106),E106,"")</f>
      </c>
      <c r="F168" s="211">
        <f>IF(ISNUMBER(F106),F106,"")</f>
      </c>
      <c r="G168" s="211">
        <f>IF(ISNUMBER(G106),G106,"")</f>
      </c>
      <c r="H168" s="211">
        <f>IF(ISNUMBER(H106),H106,"")</f>
        <v>295</v>
      </c>
      <c r="I168" s="211">
        <f>IF(ISNUMBER(I106),I106,"")</f>
      </c>
      <c r="J168" s="211">
        <f>IF(ISNUMBER(J106),J106,"")</f>
      </c>
      <c r="K168" s="211">
        <f>IF(ISNUMBER(K106),K106,"")</f>
      </c>
      <c r="L168" s="211">
        <f>IF(ISNUMBER(L106),L106,"")</f>
      </c>
      <c r="M168" s="211">
        <f>IF(ISNUMBER(M106),M106,"")</f>
        <v>296</v>
      </c>
      <c r="N168" s="211">
        <f>IF(ISNUMBER(N106),N106,"")</f>
        <v>74</v>
      </c>
      <c r="O168" s="211">
        <f>IF(ISNUMBER(O106),O106,"")</f>
        <v>74</v>
      </c>
      <c r="P168" s="211">
        <f>IF(ISNUMBER(P106),P106,"")</f>
      </c>
      <c r="Q168" s="211">
        <f>IF(ISNUMBER(Q106),Q106,"")</f>
      </c>
      <c r="R168" s="211">
        <f>IF(ISNUMBER(R106),R106,"")</f>
        <v>296</v>
      </c>
      <c r="S168" s="211">
        <f>IF(ISNUMBER(S106),S106,"")</f>
        <v>74</v>
      </c>
      <c r="T168" s="211">
        <f>IF(ISNUMBER(T106),T106,"")</f>
        <v>74</v>
      </c>
      <c r="U168" s="266">
        <f>IF(ISNUMBER(U106),U106,"")</f>
        <v>74</v>
      </c>
      <c r="V168" s="266">
        <f>IF(ISNUMBER(V106),V106,"")</f>
        <v>74</v>
      </c>
      <c r="W168" s="266">
        <f>IF(ISNUMBER(W106),W106,"")</f>
        <v>296</v>
      </c>
      <c r="X168" s="266">
        <f>IF(ISNUMBER(X106),X106,"")</f>
        <v>296</v>
      </c>
      <c r="Y168" s="266">
        <f>IF(ISNUMBER(Y106),Y106,"")</f>
        <v>296</v>
      </c>
      <c r="Z168" s="266">
        <f>IF(ISNUMBER(Z106),Z106,"")</f>
        <v>296</v>
      </c>
      <c r="AA168" s="266">
        <f>IF(ISNUMBER(AA106),AA106,"")</f>
        <v>293</v>
      </c>
      <c r="AB168" s="266">
        <f>IF(ISNUMBER(AB106),AB106,"")</f>
        <v>290</v>
      </c>
      <c r="AC168" s="19" t="n"/>
    </row>
    <row r="169" ht="15" customHeight="1" s="251">
      <c r="B169" s="25" t="inlineStr">
        <is>
          <t xml:space="preserve">  (+) Transaction costs, severance &amp; other items</t>
        </is>
      </c>
      <c r="C169" s="211">
        <f>IF(ISNUMBER(C111),C111+C112,"")</f>
      </c>
      <c r="D169" s="211">
        <f>IF(ISNUMBER(D111),D111+D112,"")</f>
      </c>
      <c r="E169" s="211">
        <f>IF(ISNUMBER(E111),E111+E112,"")</f>
      </c>
      <c r="F169" s="211">
        <f>IF(ISNUMBER(F111),F111+F112,"")</f>
      </c>
      <c r="G169" s="211">
        <f>IF(ISNUMBER(G111),G111+G112,"")</f>
      </c>
      <c r="H169" s="211">
        <f>IF(ISNUMBER(H111),H111+H112,"")</f>
        <v>30</v>
      </c>
      <c r="I169" s="211">
        <f>IF(ISNUMBER(I111),I111+I112,"")</f>
      </c>
      <c r="J169" s="211">
        <f>IF(ISNUMBER(J111),J111+J112,"")</f>
      </c>
      <c r="K169" s="211">
        <f>IF(ISNUMBER(K111),K111+K112,"")</f>
      </c>
      <c r="L169" s="211">
        <f>IF(ISNUMBER(L111),L111+L112,"")</f>
      </c>
      <c r="M169" s="211">
        <f>IF(ISNUMBER(M111),M111+M112,"")</f>
        <v>23</v>
      </c>
      <c r="N169" s="211">
        <f>IF(ISNUMBER(N111),N111+N112,"")</f>
        <v>2</v>
      </c>
      <c r="O169" s="211">
        <f>IF(ISNUMBER(O111),O111+O112,"")</f>
        <v>11</v>
      </c>
      <c r="P169" s="211">
        <f>IF(ISNUMBER(P111),P111+P112,"")</f>
        <v>3</v>
      </c>
      <c r="Q169" s="211">
        <f>IF(ISNUMBER(Q111),Q111+Q112,"")</f>
        <v>24</v>
      </c>
      <c r="R169" s="211">
        <f>IF(ISNUMBER(R111),R111+R112,"")</f>
        <v>40</v>
      </c>
      <c r="S169" s="211">
        <f>IF(ISNUMBER(S111),S111+S112,"")</f>
        <v>21</v>
      </c>
      <c r="T169" s="211">
        <f>IF(ISNUMBER(T111),T111+T112,"")</f>
        <v>38</v>
      </c>
      <c r="U169" s="266">
        <f>IF(ISNUMBER(U111),U111+U112,"")</f>
        <v>12</v>
      </c>
      <c r="V169" s="266">
        <f>IF(ISNUMBER(V111),V111+V112,"")</f>
        <v>12</v>
      </c>
      <c r="W169" s="266">
        <f>IF(ISNUMBER(W111),W111+W112,"")</f>
        <v>83</v>
      </c>
      <c r="X169" s="266">
        <f>IF(ISNUMBER(X111),X111+X112,"")</f>
        <v>18</v>
      </c>
      <c r="Y169" s="266">
        <f>IF(ISNUMBER(Y111),Y111+Y112,"")</f>
        <v>8</v>
      </c>
      <c r="Z169" s="266">
        <f>IF(ISNUMBER(Z111),Z111+Z112,"")</f>
        <v>8</v>
      </c>
      <c r="AA169" s="266">
        <f>IF(ISNUMBER(AA111),AA111+AA112,"")</f>
        <v>8</v>
      </c>
      <c r="AB169" s="266">
        <f>IF(ISNUMBER(AB111),AB111+AB112,"")</f>
        <v>8</v>
      </c>
      <c r="AC169" s="19" t="n"/>
    </row>
    <row r="170" ht="15" customHeight="1" s="251">
      <c r="B170" s="55" t="inlineStr">
        <is>
          <t xml:space="preserve">  = Adjusted operating profit (model bridge)</t>
        </is>
      </c>
      <c r="C170" s="269">
        <f>IF(AND(ISNUMBER(C167),ISNUMBER(C168)),C167+C168+N(C169),"")</f>
      </c>
      <c r="D170" s="269">
        <f>IF(AND(ISNUMBER(D167),ISNUMBER(D168)),D167+D168+N(D169),"")</f>
      </c>
      <c r="E170" s="269">
        <f>IF(AND(ISNUMBER(E167),ISNUMBER(E168)),E167+E168+N(E169),"")</f>
      </c>
      <c r="F170" s="269">
        <f>IF(AND(ISNUMBER(F167),ISNUMBER(F168)),F167+F168+N(F169),"")</f>
      </c>
      <c r="G170" s="269">
        <f>IF(AND(ISNUMBER(G167),ISNUMBER(G168)),G167+G168+N(G169),"")</f>
      </c>
      <c r="H170" s="269">
        <f>IF(AND(ISNUMBER(H167),ISNUMBER(H168)),H167+H168+N(H169),"")</f>
        <v>564</v>
      </c>
      <c r="I170" s="269">
        <f>IF(AND(ISNUMBER(I167),ISNUMBER(I168)),I167+I168+N(I169),"")</f>
      </c>
      <c r="J170" s="269">
        <f>IF(AND(ISNUMBER(J167),ISNUMBER(J168)),J167+J168+N(J169),"")</f>
      </c>
      <c r="K170" s="269">
        <f>IF(AND(ISNUMBER(K167),ISNUMBER(K168)),K167+K168+N(K169),"")</f>
      </c>
      <c r="L170" s="269">
        <f>IF(AND(ISNUMBER(L167),ISNUMBER(L168)),L167+L168+N(L169),"")</f>
      </c>
      <c r="M170" s="269">
        <f>IF(AND(ISNUMBER(M167),ISNUMBER(M168)),M167+M168+N(M169),"")</f>
        <v>617</v>
      </c>
      <c r="N170" s="269">
        <f>IF(AND(ISNUMBER(N167),ISNUMBER(N168)),N167+N168+N(N169),"")</f>
        <v>160</v>
      </c>
      <c r="O170" s="269">
        <f>IF(AND(ISNUMBER(O167),ISNUMBER(O168)),O167+O168+N(O169),"")</f>
        <v>181</v>
      </c>
      <c r="P170" s="269">
        <f>IF(AND(ISNUMBER(P167),ISNUMBER(P168)),P167+P168+N(P169),"")</f>
      </c>
      <c r="Q170" s="269">
        <f>IF(AND(ISNUMBER(Q167),ISNUMBER(Q168)),Q167+Q168+N(Q169),"")</f>
      </c>
      <c r="R170" s="269">
        <f>IF(AND(ISNUMBER(R167),ISNUMBER(R168)),R167+R168+N(R169),"")</f>
        <v>675</v>
      </c>
      <c r="S170" s="269">
        <f>IF(AND(ISNUMBER(S167),ISNUMBER(S168)),S167+S168+N(S169),"")</f>
        <v>176</v>
      </c>
      <c r="T170" s="269">
        <f>IF(AND(ISNUMBER(T167),ISNUMBER(T168)),T167+T168+N(T169),"")</f>
        <v>194</v>
      </c>
      <c r="U170" s="269">
        <f>IF(AND(ISNUMBER(U167),ISNUMBER(U168)),U167+U168+N(U169),"")</f>
        <v>191.993675582213</v>
      </c>
      <c r="V170" s="269">
        <f>IF(AND(ISNUMBER(V167),ISNUMBER(V168)),V167+V168+N(V169),"")</f>
        <v>155.506324417787</v>
      </c>
      <c r="W170" s="269">
        <f>IF(AND(ISNUMBER(W167),ISNUMBER(W168)),W167+W168+N(W169),"")</f>
        <v>717.5</v>
      </c>
      <c r="X170" s="269">
        <f>IF(AND(ISNUMBER(X167),ISNUMBER(X168)),X167+X168+N(X169),"")</f>
        <v>775.573866104411</v>
      </c>
      <c r="Y170" s="269">
        <f>IF(AND(ISNUMBER(Y167),ISNUMBER(Y168)),Y167+Y168+N(Y169),"")</f>
        <v>843.453276509109</v>
      </c>
      <c r="Z170" s="269">
        <f>IF(AND(ISNUMBER(Z167),ISNUMBER(Z168)),Z167+Z168+N(Z169),"")</f>
        <v>914.120517237873</v>
      </c>
      <c r="AA170" s="269">
        <f>IF(AND(ISNUMBER(AA167),ISNUMBER(AA168)),AA167+AA168+N(AA169),"")</f>
        <v>988.467654862167</v>
      </c>
      <c r="AB170" s="269">
        <f>IF(AND(ISNUMBER(AB167),ISNUMBER(AB168)),AB167+AB168+N(AB169),"")</f>
        <v>1065.95746554767</v>
      </c>
      <c r="AC170" s="153" t="inlineStr">
        <is>
          <t>Not computable for Q3/Q4-25 (amortization not split from D&amp;A in Ex. 99.2).</t>
        </is>
      </c>
      <c r="AE170" s="20">
        <f>IFERROR((AB170/W170)^(1/5)-1,"n/m")</f>
        <v>0.0823895583403125</v>
      </c>
      <c r="AF170" s="20">
        <f>IFERROR((R170/H170)^(1/2)-1,"n/m")</f>
        <v>0.0939874362342092</v>
      </c>
      <c r="AG170" s="20">
        <f>IFERROR(R170/M170-1,"n/m")</f>
        <v>0.0940032414910859</v>
      </c>
      <c r="AH170" s="20" t="str">
        <f>IFERROR((R170/C170)^(1/3)-1,"n/m")</f>
        <v>n/m</v>
      </c>
    </row>
    <row r="171" ht="15" customHeight="1" s="251">
      <c r="B171" s="25" t="inlineStr">
        <is>
          <t xml:space="preserve">  Adjusted operating margin %</t>
        </is>
      </c>
      <c r="C171" s="215">
        <f>IF(AND(ISNUMBER(C170),ISNUMBER(C115)),IFERROR(C170/C115,""),"")</f>
      </c>
      <c r="D171" s="215">
        <f>IF(AND(ISNUMBER(D170),ISNUMBER(D115)),IFERROR(D170/D115,""),"")</f>
      </c>
      <c r="E171" s="215">
        <f>IF(AND(ISNUMBER(E170),ISNUMBER(E115)),IFERROR(E170/E115,""),"")</f>
      </c>
      <c r="F171" s="215">
        <f>IF(AND(ISNUMBER(F170),ISNUMBER(F115)),IFERROR(F170/F115,""),"")</f>
      </c>
      <c r="G171" s="215">
        <f>IF(AND(ISNUMBER(G170),ISNUMBER(G115)),IFERROR(G170/G115,""),"")</f>
      </c>
      <c r="H171" s="215">
        <f>IF(AND(ISNUMBER(H170),ISNUMBER(H115)),IFERROR(H170/H115,""),"")</f>
        <v>0.37979797979798</v>
      </c>
      <c r="I171" s="215">
        <f>IF(AND(ISNUMBER(I170),ISNUMBER(I115)),IFERROR(I170/I115,""),"")</f>
      </c>
      <c r="J171" s="215">
        <f>IF(AND(ISNUMBER(J170),ISNUMBER(J115)),IFERROR(J170/J115,""),"")</f>
      </c>
      <c r="K171" s="215">
        <f>IF(AND(ISNUMBER(K170),ISNUMBER(K115)),IFERROR(K170/K115,""),"")</f>
      </c>
      <c r="L171" s="215">
        <f>IF(AND(ISNUMBER(L170),ISNUMBER(L115)),IFERROR(L170/L115,""),"")</f>
      </c>
      <c r="M171" s="215">
        <f>IF(AND(ISNUMBER(M170),ISNUMBER(M115)),IFERROR(M170/M115,""),"")</f>
        <v>0.382517048977061</v>
      </c>
      <c r="N171" s="215">
        <f>IF(AND(ISNUMBER(N170),ISNUMBER(N115)),IFERROR(N170/N115,""),"")</f>
        <v>0.380952380952381</v>
      </c>
      <c r="O171" s="215">
        <f>IF(AND(ISNUMBER(O170),ISNUMBER(O115)),IFERROR(O170/O115,""),"")</f>
        <v>0.412300683371298</v>
      </c>
      <c r="P171" s="215">
        <f>IF(AND(ISNUMBER(P170),ISNUMBER(P115)),IFERROR(P170/P115,""),"")</f>
      </c>
      <c r="Q171" s="215">
        <f>IF(AND(ISNUMBER(Q170),ISNUMBER(Q115)),IFERROR(Q170/Q115,""),"")</f>
      </c>
      <c r="R171" s="215">
        <f>IF(AND(ISNUMBER(R170),ISNUMBER(R115)),IFERROR(R170/R115,""),"")</f>
        <v>0.385714285714286</v>
      </c>
      <c r="S171" s="215">
        <f>IF(AND(ISNUMBER(S170),ISNUMBER(S115)),IFERROR(S170/S115,""),"")</f>
        <v>0.386813186813187</v>
      </c>
      <c r="T171" s="215">
        <f>IF(AND(ISNUMBER(T170),ISNUMBER(T115)),IFERROR(T170/T115,""),"")</f>
        <v>0.414529914529915</v>
      </c>
      <c r="U171" s="256">
        <f>IF(AND(ISNUMBER(U170),ISNUMBER(U115)),IFERROR(U170/U115,""),"")</f>
        <v>0.402703296232559</v>
      </c>
      <c r="V171" s="256">
        <f>IF(AND(ISNUMBER(V170),ISNUMBER(V115)),IFERROR(V170/V115,""),"")</f>
        <v>0.325505532606111</v>
      </c>
      <c r="W171" s="256">
        <f>IF(AND(ISNUMBER(W170),ISNUMBER(W115)),IFERROR(W170/W115,""),"")</f>
        <v>0.382157123834887</v>
      </c>
      <c r="X171" s="256">
        <f>IF(AND(ISNUMBER(X170),ISNUMBER(X115)),IFERROR(X170/X115,""),"")</f>
        <v>0.386169668284563</v>
      </c>
      <c r="Y171" s="256">
        <f>IF(AND(ISNUMBER(Y170),ISNUMBER(Y115)),IFERROR(Y170/Y115,""),"")</f>
        <v>0.393018290823457</v>
      </c>
      <c r="Z171" s="256">
        <f>IF(AND(ISNUMBER(Z170),ISNUMBER(Z115)),IFERROR(Z170/Z115,""),"")</f>
        <v>0.399922571629308</v>
      </c>
      <c r="AA171" s="256">
        <f>IF(AND(ISNUMBER(AA170),ISNUMBER(AA115)),IFERROR(AA170/AA115,""),"")</f>
        <v>0.406729922848528</v>
      </c>
      <c r="AB171" s="256">
        <f>IF(AND(ISNUMBER(AB170),ISNUMBER(AB115)),IFERROR(AB170/AB115,""),"")</f>
        <v>0.413621218003464</v>
      </c>
      <c r="AC171" s="153" t="n"/>
      <c r="AE171" s="37">
        <f>IFERROR(AVERAGE(X171,Y171,Z171,AA171,AB171),"n/m")</f>
        <v>0.399892334317864</v>
      </c>
      <c r="AF171" s="37">
        <f>IFERROR(AVERAGE(H171,M171,R171),"n/m")</f>
        <v>0.382676438163109</v>
      </c>
      <c r="AG171" s="37">
        <f>IFERROR(AVERAGE(M171,R171),"n/m")</f>
        <v>0.384115667345674</v>
      </c>
      <c r="AH171" s="37">
        <f>IFERROR(AVERAGE(C171,H171,M171,R171),"n/m")</f>
        <v>0.382676438163109</v>
      </c>
    </row>
    <row r="172" ht="15" customHeight="1" s="251">
      <c r="B172" s="156" t="inlineStr">
        <is>
          <t xml:space="preserve">  Company-published Adjusted operating profit</t>
        </is>
      </c>
      <c r="C172" s="34" t="n"/>
      <c r="D172" s="34" t="n"/>
      <c r="E172" s="34" t="n"/>
      <c r="F172" s="34" t="n"/>
      <c r="G172" s="34" t="n"/>
      <c r="H172" s="258" t="n">
        <v>565</v>
      </c>
      <c r="I172" s="34" t="n"/>
      <c r="J172" s="34" t="n"/>
      <c r="K172" s="34" t="n"/>
      <c r="L172" s="34" t="n"/>
      <c r="M172" s="258" t="n">
        <v>617</v>
      </c>
      <c r="N172" s="258" t="n">
        <v>160</v>
      </c>
      <c r="O172" s="34" t="n"/>
      <c r="P172" s="34" t="n"/>
      <c r="Q172" s="34" t="n"/>
      <c r="R172" s="258" t="n">
        <v>675</v>
      </c>
      <c r="S172" s="258" t="n">
        <v>176</v>
      </c>
      <c r="T172" s="34" t="n"/>
      <c r="U172" s="153" t="n"/>
      <c r="V172" s="153" t="n"/>
      <c r="W172" s="153" t="n"/>
      <c r="X172" s="153" t="n"/>
      <c r="Y172" s="153" t="n"/>
      <c r="Z172" s="153" t="n"/>
      <c r="AA172" s="153" t="n"/>
      <c r="AB172" s="153" t="n"/>
      <c r="AC172" s="153" t="n"/>
    </row>
    <row r="173" ht="15" customHeight="1" s="251">
      <c r="B173" s="57" t="inlineStr">
        <is>
          <t xml:space="preserve">  Check: model vs company-published (should be 0; ±1 rounding)</t>
        </is>
      </c>
      <c r="C173" s="211">
        <f>IF(AND(ISNUMBER(C172),ISNUMBER(C170)),IF(ABS(C170-C172)&lt;=1,0,C170-C172),"")</f>
      </c>
      <c r="D173" s="211">
        <f>IF(AND(ISNUMBER(D172),ISNUMBER(D170)),IF(ABS(D170-D172)&lt;=1,0,D170-D172),"")</f>
      </c>
      <c r="E173" s="211">
        <f>IF(AND(ISNUMBER(E172),ISNUMBER(E170)),IF(ABS(E170-E172)&lt;=1,0,E170-E172),"")</f>
      </c>
      <c r="F173" s="211">
        <f>IF(AND(ISNUMBER(F172),ISNUMBER(F170)),IF(ABS(F170-F172)&lt;=1,0,F170-F172),"")</f>
      </c>
      <c r="G173" s="211">
        <f>IF(AND(ISNUMBER(G172),ISNUMBER(G170)),IF(ABS(G170-G172)&lt;=1,0,G170-G172),"")</f>
      </c>
      <c r="H173" s="211">
        <f>IF(AND(ISNUMBER(H172),ISNUMBER(H170)),IF(ABS(H170-H172)&lt;=1,0,H170-H172),"")</f>
        <v>0</v>
      </c>
      <c r="I173" s="211">
        <f>IF(AND(ISNUMBER(I172),ISNUMBER(I170)),IF(ABS(I170-I172)&lt;=1,0,I170-I172),"")</f>
      </c>
      <c r="J173" s="211">
        <f>IF(AND(ISNUMBER(J172),ISNUMBER(J170)),IF(ABS(J170-J172)&lt;=1,0,J170-J172),"")</f>
      </c>
      <c r="K173" s="211">
        <f>IF(AND(ISNUMBER(K172),ISNUMBER(K170)),IF(ABS(K170-K172)&lt;=1,0,K170-K172),"")</f>
      </c>
      <c r="L173" s="211">
        <f>IF(AND(ISNUMBER(L172),ISNUMBER(L170)),IF(ABS(L170-L172)&lt;=1,0,L170-L172),"")</f>
      </c>
      <c r="M173" s="211">
        <f>IF(AND(ISNUMBER(M172),ISNUMBER(M170)),IF(ABS(M170-M172)&lt;=1,0,M170-M172),"")</f>
        <v>0</v>
      </c>
      <c r="N173" s="211">
        <f>IF(AND(ISNUMBER(N172),ISNUMBER(N170)),IF(ABS(N170-N172)&lt;=1,0,N170-N172),"")</f>
        <v>0</v>
      </c>
      <c r="O173" s="211">
        <f>IF(AND(ISNUMBER(O172),ISNUMBER(O170)),IF(ABS(O170-O172)&lt;=1,0,O170-O172),"")</f>
      </c>
      <c r="P173" s="211">
        <f>IF(AND(ISNUMBER(P172),ISNUMBER(P170)),IF(ABS(P170-P172)&lt;=1,0,P170-P172),"")</f>
      </c>
      <c r="Q173" s="211">
        <f>IF(AND(ISNUMBER(Q172),ISNUMBER(Q170)),IF(ABS(Q170-Q172)&lt;=1,0,Q170-Q172),"")</f>
      </c>
      <c r="R173" s="211">
        <f>IF(AND(ISNUMBER(R172),ISNUMBER(R170)),IF(ABS(R170-R172)&lt;=1,0,R170-R172),"")</f>
        <v>0</v>
      </c>
      <c r="S173" s="211">
        <f>IF(AND(ISNUMBER(S172),ISNUMBER(S170)),IF(ABS(S170-S172)&lt;=1,0,S170-S172),"")</f>
        <v>0</v>
      </c>
      <c r="T173" s="211">
        <f>IF(AND(ISNUMBER(T172),ISNUMBER(T170)),IF(ABS(T170-T172)&lt;=1,0,T170-T172),"")</f>
      </c>
      <c r="U173" s="153" t="n"/>
      <c r="V173" s="153" t="n"/>
      <c r="W173" s="153" t="n"/>
      <c r="X173" s="153" t="n"/>
      <c r="Y173" s="153" t="n"/>
      <c r="Z173" s="153" t="n"/>
      <c r="AA173" s="153" t="n"/>
      <c r="AB173" s="153" t="n"/>
      <c r="AC173" s="153" t="n"/>
    </row>
    <row r="174" ht="15" customHeight="1" s="251">
      <c r="B174" s="57" t="inlineStr">
        <is>
          <t xml:space="preserve">  Check: Adjusted OP + depreciation + SBC + other income vs Adjusted EBITDA (should be 0; ±1 rounding)</t>
        </is>
      </c>
      <c r="C174" s="211">
        <f>IF(AND(ISNUMBER(C170),ISNUMBER(C153),ISNUMBER(C104)),IF(ABS(C170+C104+C109+N(C121)-C153)&lt;=1,0,C170+C104+C109+N(C121)-C153),"")</f>
      </c>
      <c r="D174" s="211">
        <f>IF(AND(ISNUMBER(D170),ISNUMBER(D153),ISNUMBER(D104)),IF(ABS(D170+D104+D109+N(D121)-D153)&lt;=1,0,D170+D104+D109+N(D121)-D153),"")</f>
      </c>
      <c r="E174" s="211">
        <f>IF(AND(ISNUMBER(E170),ISNUMBER(E153),ISNUMBER(E104)),IF(ABS(E170+E104+E109+N(E121)-E153)&lt;=1,0,E170+E104+E109+N(E121)-E153),"")</f>
      </c>
      <c r="F174" s="211">
        <f>IF(AND(ISNUMBER(F170),ISNUMBER(F153),ISNUMBER(F104)),IF(ABS(F170+F104+F109+N(F121)-F153)&lt;=1,0,F170+F104+F109+N(F121)-F153),"")</f>
      </c>
      <c r="G174" s="211">
        <f>IF(AND(ISNUMBER(G170),ISNUMBER(G153),ISNUMBER(G104)),IF(ABS(G170+G104+G109+N(G121)-G153)&lt;=1,0,G170+G104+G109+N(G121)-G153),"")</f>
      </c>
      <c r="H174" s="211">
        <f>IF(AND(ISNUMBER(H170),ISNUMBER(H153),ISNUMBER(H104)),IF(ABS(H170+H104+H109+N(H121)-H153)&lt;=1,0,H170+H104+H109+N(H121)-H153),"")</f>
        <v>0</v>
      </c>
      <c r="I174" s="211">
        <f>IF(AND(ISNUMBER(I170),ISNUMBER(I153),ISNUMBER(I104)),IF(ABS(I170+I104+I109+N(I121)-I153)&lt;=1,0,I170+I104+I109+N(I121)-I153),"")</f>
      </c>
      <c r="J174" s="211">
        <f>IF(AND(ISNUMBER(J170),ISNUMBER(J153),ISNUMBER(J104)),IF(ABS(J170+J104+J109+N(J121)-J153)&lt;=1,0,J170+J104+J109+N(J121)-J153),"")</f>
      </c>
      <c r="K174" s="211">
        <f>IF(AND(ISNUMBER(K170),ISNUMBER(K153),ISNUMBER(K104)),IF(ABS(K170+K104+K109+N(K121)-K153)&lt;=1,0,K170+K104+K109+N(K121)-K153),"")</f>
      </c>
      <c r="L174" s="211">
        <f>IF(AND(ISNUMBER(L170),ISNUMBER(L153),ISNUMBER(L104)),IF(ABS(L170+L104+L109+N(L121)-L153)&lt;=1,0,L170+L104+L109+N(L121)-L153),"")</f>
      </c>
      <c r="M174" s="211">
        <f>IF(AND(ISNUMBER(M170),ISNUMBER(M153),ISNUMBER(M104)),IF(ABS(M170+M104+M109+N(M121)-M153)&lt;=1,0,M170+M104+M109+N(M121)-M153),"")</f>
        <v>0</v>
      </c>
      <c r="N174" s="211">
        <f>IF(AND(ISNUMBER(N170),ISNUMBER(N153),ISNUMBER(N104)),IF(ABS(N170+N104+N109+N(N121)-N153)&lt;=1,0,N170+N104+N109+N(N121)-N153),"")</f>
        <v>0</v>
      </c>
      <c r="O174" s="211">
        <f>IF(AND(ISNUMBER(O170),ISNUMBER(O153),ISNUMBER(O104)),IF(ABS(O170+O104+O109+N(O121)-O153)&lt;=1,0,O170+O104+O109+N(O121)-O153),"")</f>
        <v>0</v>
      </c>
      <c r="P174" s="211">
        <f>IF(AND(ISNUMBER(P170),ISNUMBER(P153),ISNUMBER(P104)),IF(ABS(P170+P104+P109+N(P121)-P153)&lt;=1,0,P170+P104+P109+N(P121)-P153),"")</f>
      </c>
      <c r="Q174" s="211">
        <f>IF(AND(ISNUMBER(Q170),ISNUMBER(Q153),ISNUMBER(Q104)),IF(ABS(Q170+Q104+Q109+N(Q121)-Q153)&lt;=1,0,Q170+Q104+Q109+N(Q121)-Q153),"")</f>
      </c>
      <c r="R174" s="211">
        <f>IF(AND(ISNUMBER(R170),ISNUMBER(R153),ISNUMBER(R104)),IF(ABS(R170+R104+R109+N(R121)-R153)&lt;=1,0,R170+R104+R109+N(R121)-R153),"")</f>
        <v>0</v>
      </c>
      <c r="S174" s="211">
        <f>IF(AND(ISNUMBER(S170),ISNUMBER(S153),ISNUMBER(S104)),IF(ABS(S170+S104+S109+N(S121)-S153)&lt;=1,0,S170+S104+S109+N(S121)-S153),"")</f>
        <v>0</v>
      </c>
      <c r="T174" s="211">
        <f>IF(AND(ISNUMBER(T170),ISNUMBER(T153),ISNUMBER(T104)),IF(ABS(T170+T104+T109+N(T121)-T153)&lt;=1,0,T170+T104+T109+N(T121)-T153),"")</f>
        <v>0</v>
      </c>
      <c r="U174" s="270">
        <f>IF(AND(ISNUMBER(U170),ISNUMBER(U153),ISNUMBER(U104)),IF(ABS(U170+U104+U109+N(U121)-U153)&lt;=1,0,U170+U104+U109+N(U121)-U153),"")</f>
        <v>0</v>
      </c>
      <c r="V174" s="270">
        <f>IF(AND(ISNUMBER(V170),ISNUMBER(V153),ISNUMBER(V104)),IF(ABS(V170+V104+V109+N(V121)-V153)&lt;=1,0,V170+V104+V109+N(V121)-V153),"")</f>
        <v>0</v>
      </c>
      <c r="W174" s="270">
        <f>IF(AND(ISNUMBER(W170),ISNUMBER(W153),ISNUMBER(W104)),IF(ABS(W170+W104+W109+N(W121)-W153)&lt;=1,0,W170+W104+W109+N(W121)-W153),"")</f>
        <v>0</v>
      </c>
      <c r="X174" s="270">
        <f>IF(AND(ISNUMBER(X170),ISNUMBER(X153),ISNUMBER(X104)),IF(ABS(X170+X104+X109+N(X121)-X153)&lt;=1,0,X170+X104+X109+N(X121)-X153),"")</f>
        <v>0</v>
      </c>
      <c r="Y174" s="270">
        <f>IF(AND(ISNUMBER(Y170),ISNUMBER(Y153),ISNUMBER(Y104)),IF(ABS(Y170+Y104+Y109+N(Y121)-Y153)&lt;=1,0,Y170+Y104+Y109+N(Y121)-Y153),"")</f>
        <v>0</v>
      </c>
      <c r="Z174" s="270">
        <f>IF(AND(ISNUMBER(Z170),ISNUMBER(Z153),ISNUMBER(Z104)),IF(ABS(Z170+Z104+Z109+N(Z121)-Z153)&lt;=1,0,Z170+Z104+Z109+N(Z121)-Z153),"")</f>
        <v>0</v>
      </c>
      <c r="AA174" s="270">
        <f>IF(AND(ISNUMBER(AA170),ISNUMBER(AA153),ISNUMBER(AA104)),IF(ABS(AA170+AA104+AA109+N(AA121)-AA153)&lt;=1,0,AA170+AA104+AA109+N(AA121)-AA153),"")</f>
        <v>0</v>
      </c>
      <c r="AB174" s="270">
        <f>IF(AND(ISNUMBER(AB170),ISNUMBER(AB153),ISNUMBER(AB104)),IF(ABS(AB170+AB104+AB109+N(AB121)-AB153)&lt;=1,0,AB170+AB104+AB109+N(AB121)-AB153),"")</f>
        <v>0</v>
      </c>
      <c r="AC174" s="153" t="n"/>
    </row>
    <row r="175" ht="15" customHeight="1" s="251">
      <c r="B175" s="158" t="inlineStr">
        <is>
          <t xml:space="preserve">  Definition basis</t>
        </is>
      </c>
      <c r="H175" s="264" t="inlineStr">
        <is>
          <t>Company Adjusted operating profit (Form 10 only): OP + amortization + severance + transaction + integration + ELT transition + acq./disposition + legal recovery + other</t>
        </is>
      </c>
      <c r="U175" s="153" t="n"/>
      <c r="V175" s="153" t="n"/>
      <c r="W175" s="153" t="n"/>
      <c r="X175" s="153" t="n"/>
      <c r="Y175" s="153" t="n"/>
      <c r="Z175" s="153" t="n"/>
      <c r="AA175" s="153" t="n"/>
      <c r="AB175" s="153" t="n"/>
      <c r="AC175" s="19" t="n"/>
    </row>
    <row r="176" ht="15" customHeight="1" s="251">
      <c r="B176" s="22" t="inlineStr">
        <is>
          <t xml:space="preserve">  Adjusted operating profit y/y %</t>
        </is>
      </c>
      <c r="C176" s="23" t="n"/>
      <c r="D176" s="23" t="n"/>
      <c r="E176" s="23" t="n"/>
      <c r="F176" s="23" t="n"/>
      <c r="G176" s="23" t="n"/>
      <c r="H176" s="255">
        <f>IF(AND(ISNUMBER(H170),ISNUMBER(C170)),IFERROR(H170/C170-1,""),"")</f>
      </c>
      <c r="I176" s="255">
        <f>IF(AND(ISNUMBER(I170),ISNUMBER(D170)),IFERROR(I170/D170-1,""),"")</f>
      </c>
      <c r="J176" s="255">
        <f>IF(AND(ISNUMBER(J170),ISNUMBER(E170)),IFERROR(J170/E170-1,""),"")</f>
      </c>
      <c r="K176" s="255">
        <f>IF(AND(ISNUMBER(K170),ISNUMBER(F170)),IFERROR(K170/F170-1,""),"")</f>
      </c>
      <c r="L176" s="255">
        <f>IF(AND(ISNUMBER(L170),ISNUMBER(G170)),IFERROR(L170/G170-1,""),"")</f>
      </c>
      <c r="M176" s="255">
        <f>IF(AND(ISNUMBER(M170),ISNUMBER(H170)),IFERROR(M170/H170-1,""),"")</f>
        <v>0.0939716312056738</v>
      </c>
      <c r="N176" s="255">
        <f>IF(AND(ISNUMBER(N170),ISNUMBER(I170)),IFERROR(N170/I170-1,""),"")</f>
      </c>
      <c r="O176" s="255">
        <f>IF(AND(ISNUMBER(O170),ISNUMBER(J170)),IFERROR(O170/J170-1,""),"")</f>
      </c>
      <c r="P176" s="255">
        <f>IF(AND(ISNUMBER(P170),ISNUMBER(K170)),IFERROR(P170/K170-1,""),"")</f>
      </c>
      <c r="Q176" s="255">
        <f>IF(AND(ISNUMBER(Q170),ISNUMBER(L170)),IFERROR(Q170/L170-1,""),"")</f>
      </c>
      <c r="R176" s="255">
        <f>IF(AND(ISNUMBER(R170),ISNUMBER(M170)),IFERROR(R170/M170-1,""),"")</f>
        <v>0.0940032414910859</v>
      </c>
      <c r="S176" s="255">
        <f>IF(AND(ISNUMBER(S170),ISNUMBER(N170)),IFERROR(S170/N170-1,""),"")</f>
        <v>0.1</v>
      </c>
      <c r="T176" s="255">
        <f>IF(AND(ISNUMBER(T170),ISNUMBER(O170)),IFERROR(T170/O170-1,""),"")</f>
        <v>0.0718232044198894</v>
      </c>
      <c r="U176" s="256">
        <f>IF(AND(ISNUMBER(U170),ISNUMBER(P170)),IFERROR(U170/P170-1,""),"")</f>
      </c>
      <c r="V176" s="256">
        <f>IF(AND(ISNUMBER(V170),ISNUMBER(Q170)),IFERROR(V170/Q170-1,""),"")</f>
      </c>
      <c r="W176" s="256">
        <f>IF(AND(ISNUMBER(W170),ISNUMBER(R170)),IFERROR(W170/R170-1,""),"")</f>
        <v>0.0629629629629629</v>
      </c>
      <c r="X176" s="256">
        <f>IF(AND(ISNUMBER(X170),ISNUMBER(W170)),IFERROR(X170/W170-1,""),"")</f>
        <v>0.0809391862082378</v>
      </c>
      <c r="Y176" s="256">
        <f>IF(AND(ISNUMBER(Y170),ISNUMBER(X170)),IFERROR(Y170/X170-1,""),"")</f>
        <v>0.0875215287302624</v>
      </c>
      <c r="Z176" s="256">
        <f>IF(AND(ISNUMBER(Z170),ISNUMBER(Y170)),IFERROR(Z170/Y170-1,""),"")</f>
        <v>0.0837832310299893</v>
      </c>
      <c r="AA176" s="256">
        <f>IF(AND(ISNUMBER(AA170),ISNUMBER(Z170)),IFERROR(AA170/Z170-1,""),"")</f>
        <v>0.0813318771675133</v>
      </c>
      <c r="AB176" s="256">
        <f>IF(AND(ISNUMBER(AB170),ISNUMBER(AA170)),IFERROR(AB170/AA170-1,""),"")</f>
        <v>0.0783938759192981</v>
      </c>
      <c r="AC176" s="153" t="n"/>
    </row>
    <row r="177" ht="15" customHeight="1" s="251">
      <c r="AK177" s="11" t="n"/>
      <c r="AL177" s="12" t="n"/>
      <c r="AM177" s="12" t="n"/>
      <c r="AN177" s="12" t="n"/>
      <c r="AO177" s="13" t="n"/>
    </row>
    <row r="178" ht="15" customHeight="1" s="251">
      <c r="B178" s="10" t="inlineStr">
        <is>
          <t>RECONCILIATION: GAAP NET INCOME → ADJUSTED NET INCOME → ADJUSTED EPS (MODEL DEFINITION — not published by the company)</t>
        </is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inlineStr">
        <is>
          <t>ADJUSTED EPS — model definition (Mobility Global publishes no adjusted EPS): + amortization of intangibles + transaction costs + severance &amp; other, tax-effected at the period effective tax rate</t>
        </is>
      </c>
    </row>
    <row r="179" ht="15" customHeight="1" s="251">
      <c r="B179" s="16" t="inlineStr">
        <is>
          <t>Net income (GAAP)</t>
        </is>
      </c>
      <c r="C179" s="263">
        <f>IF(ISNUMBER(C184),C126,"")</f>
      </c>
      <c r="D179" s="263">
        <f>IF(ISNUMBER(D184),D126,"")</f>
      </c>
      <c r="E179" s="263">
        <f>IF(ISNUMBER(E184),E126,"")</f>
      </c>
      <c r="F179" s="263">
        <f>IF(ISNUMBER(F184),F126,"")</f>
      </c>
      <c r="G179" s="263">
        <f>IF(ISNUMBER(G184),G126,"")</f>
      </c>
      <c r="H179" s="263">
        <f>IF(ISNUMBER(H184),H126,"")</f>
      </c>
      <c r="I179" s="263">
        <f>IF(ISNUMBER(I184),I126,"")</f>
      </c>
      <c r="J179" s="263">
        <f>IF(ISNUMBER(J184),J126,"")</f>
      </c>
      <c r="K179" s="263">
        <f>IF(ISNUMBER(K184),K126,"")</f>
      </c>
      <c r="L179" s="263">
        <f>IF(ISNUMBER(L184),L126,"")</f>
      </c>
      <c r="M179" s="263">
        <f>IF(ISNUMBER(M184),M126,"")</f>
      </c>
      <c r="N179" s="263">
        <f>IF(ISNUMBER(N184),N126,"")</f>
      </c>
      <c r="O179" s="263">
        <f>IF(ISNUMBER(O184),O126,"")</f>
        <v>65</v>
      </c>
      <c r="P179" s="263">
        <f>IF(ISNUMBER(P184),P126,"")</f>
      </c>
      <c r="Q179" s="263">
        <f>IF(ISNUMBER(Q184),Q126,"")</f>
      </c>
      <c r="R179" s="263">
        <f>IF(ISNUMBER(R184),R126,"")</f>
      </c>
      <c r="S179" s="263">
        <f>IF(ISNUMBER(S184),S126,"")</f>
      </c>
      <c r="T179" s="263">
        <f>IF(ISNUMBER(T184),T126,"")</f>
        <v>53</v>
      </c>
      <c r="U179" s="254">
        <f>IF(ISNUMBER(U184),U126,"")</f>
        <v>56.0855096633711</v>
      </c>
      <c r="V179" s="254">
        <f>IF(ISNUMBER(V184),V126,"")</f>
        <v>30.1794903366289</v>
      </c>
      <c r="W179" s="254">
        <f>IF(ISNUMBER(W184),W126,"")</f>
        <v>194.265</v>
      </c>
      <c r="X179" s="254">
        <f>IF(ISNUMBER(X184),X126,"")</f>
        <v>255.943445955124</v>
      </c>
      <c r="Y179" s="254">
        <f>IF(ISNUMBER(Y184),Y126,"")</f>
        <v>311.277602974136</v>
      </c>
      <c r="Z179" s="254">
        <f>IF(ISNUMBER(Z184),Z126,"")</f>
        <v>358.832935285552</v>
      </c>
      <c r="AA179" s="254">
        <f>IF(ISNUMBER(AA184),AA126,"")</f>
        <v>406.525283386569</v>
      </c>
      <c r="AB179" s="254">
        <f>IF(ISNUMBER(AB184),AB126,"")</f>
        <v>458.107347114304</v>
      </c>
      <c r="AC179" s="153" t="n"/>
    </row>
    <row r="180" ht="15" customHeight="1" s="251">
      <c r="B180" s="25" t="inlineStr">
        <is>
          <t xml:space="preserve">  (+) Amortization of intangibles (pre-tax)</t>
        </is>
      </c>
      <c r="C180" s="211">
        <f>IF(ISNUMBER(C184),C106,"")</f>
      </c>
      <c r="D180" s="211">
        <f>IF(ISNUMBER(D184),D106,"")</f>
      </c>
      <c r="E180" s="211">
        <f>IF(ISNUMBER(E184),E106,"")</f>
      </c>
      <c r="F180" s="211">
        <f>IF(ISNUMBER(F184),F106,"")</f>
      </c>
      <c r="G180" s="211">
        <f>IF(ISNUMBER(G184),G106,"")</f>
      </c>
      <c r="H180" s="211">
        <f>IF(ISNUMBER(H184),H106,"")</f>
      </c>
      <c r="I180" s="211">
        <f>IF(ISNUMBER(I184),I106,"")</f>
      </c>
      <c r="J180" s="211">
        <f>IF(ISNUMBER(J184),J106,"")</f>
      </c>
      <c r="K180" s="211">
        <f>IF(ISNUMBER(K184),K106,"")</f>
      </c>
      <c r="L180" s="211">
        <f>IF(ISNUMBER(L184),L106,"")</f>
      </c>
      <c r="M180" s="211">
        <f>IF(ISNUMBER(M184),M106,"")</f>
      </c>
      <c r="N180" s="211">
        <f>IF(ISNUMBER(N184),N106,"")</f>
      </c>
      <c r="O180" s="211">
        <f>IF(ISNUMBER(O184),O106,"")</f>
        <v>74</v>
      </c>
      <c r="P180" s="211">
        <f>IF(ISNUMBER(P184),P106,"")</f>
      </c>
      <c r="Q180" s="211">
        <f>IF(ISNUMBER(Q184),Q106,"")</f>
      </c>
      <c r="R180" s="211">
        <f>IF(ISNUMBER(R184),R106,"")</f>
      </c>
      <c r="S180" s="211">
        <f>IF(ISNUMBER(S184),S106,"")</f>
      </c>
      <c r="T180" s="211">
        <f>IF(ISNUMBER(T184),T106,"")</f>
        <v>74</v>
      </c>
      <c r="U180" s="266">
        <f>IF(ISNUMBER(U184),U106,"")</f>
        <v>74</v>
      </c>
      <c r="V180" s="266">
        <f>IF(ISNUMBER(V184),V106,"")</f>
        <v>74</v>
      </c>
      <c r="W180" s="266">
        <f>IF(ISNUMBER(W184),W106,"")</f>
        <v>296</v>
      </c>
      <c r="X180" s="266">
        <f>IF(ISNUMBER(X184),X106,"")</f>
        <v>296</v>
      </c>
      <c r="Y180" s="266">
        <f>IF(ISNUMBER(Y184),Y106,"")</f>
        <v>296</v>
      </c>
      <c r="Z180" s="266">
        <f>IF(ISNUMBER(Z184),Z106,"")</f>
        <v>296</v>
      </c>
      <c r="AA180" s="266">
        <f>IF(ISNUMBER(AA184),AA106,"")</f>
        <v>293</v>
      </c>
      <c r="AB180" s="266">
        <f>IF(ISNUMBER(AB184),AB106,"")</f>
        <v>290</v>
      </c>
      <c r="AC180" s="19" t="n"/>
    </row>
    <row r="181" ht="15" customHeight="1" s="251">
      <c r="B181" s="25" t="inlineStr">
        <is>
          <t xml:space="preserve">  (+) Transaction costs, severance &amp; other (pre-tax)</t>
        </is>
      </c>
      <c r="C181" s="211">
        <f>IF(ISNUMBER(C184),C111+C112,"")</f>
      </c>
      <c r="D181" s="211">
        <f>IF(ISNUMBER(D184),D111+D112,"")</f>
      </c>
      <c r="E181" s="211">
        <f>IF(ISNUMBER(E184),E111+E112,"")</f>
      </c>
      <c r="F181" s="211">
        <f>IF(ISNUMBER(F184),F111+F112,"")</f>
      </c>
      <c r="G181" s="211">
        <f>IF(ISNUMBER(G184),G111+G112,"")</f>
      </c>
      <c r="H181" s="211">
        <f>IF(ISNUMBER(H184),H111+H112,"")</f>
      </c>
      <c r="I181" s="211">
        <f>IF(ISNUMBER(I184),I111+I112,"")</f>
      </c>
      <c r="J181" s="211">
        <f>IF(ISNUMBER(J184),J111+J112,"")</f>
      </c>
      <c r="K181" s="211">
        <f>IF(ISNUMBER(K184),K111+K112,"")</f>
      </c>
      <c r="L181" s="211">
        <f>IF(ISNUMBER(L184),L111+L112,"")</f>
      </c>
      <c r="M181" s="211">
        <f>IF(ISNUMBER(M184),M111+M112,"")</f>
      </c>
      <c r="N181" s="211">
        <f>IF(ISNUMBER(N184),N111+N112,"")</f>
      </c>
      <c r="O181" s="211">
        <f>IF(ISNUMBER(O184),O111+O112,"")</f>
        <v>11</v>
      </c>
      <c r="P181" s="211">
        <f>IF(ISNUMBER(P184),P111+P112,"")</f>
      </c>
      <c r="Q181" s="211">
        <f>IF(ISNUMBER(Q184),Q111+Q112,"")</f>
      </c>
      <c r="R181" s="211">
        <f>IF(ISNUMBER(R184),R111+R112,"")</f>
      </c>
      <c r="S181" s="211">
        <f>IF(ISNUMBER(S184),S111+S112,"")</f>
      </c>
      <c r="T181" s="211">
        <f>IF(ISNUMBER(T184),T111+T112,"")</f>
        <v>38</v>
      </c>
      <c r="U181" s="266">
        <f>IF(ISNUMBER(U184),U111+U112,"")</f>
        <v>12</v>
      </c>
      <c r="V181" s="266">
        <f>IF(ISNUMBER(V184),V111+V112,"")</f>
        <v>12</v>
      </c>
      <c r="W181" s="266">
        <f>IF(ISNUMBER(W184),W111+W112,"")</f>
        <v>83</v>
      </c>
      <c r="X181" s="266">
        <f>IF(ISNUMBER(X184),X111+X112,"")</f>
        <v>18</v>
      </c>
      <c r="Y181" s="266">
        <f>IF(ISNUMBER(Y184),Y111+Y112,"")</f>
        <v>8</v>
      </c>
      <c r="Z181" s="266">
        <f>IF(ISNUMBER(Z184),Z111+Z112,"")</f>
        <v>8</v>
      </c>
      <c r="AA181" s="266">
        <f>IF(ISNUMBER(AA184),AA111+AA112,"")</f>
        <v>8</v>
      </c>
      <c r="AB181" s="266">
        <f>IF(ISNUMBER(AB184),AB111+AB112,"")</f>
        <v>8</v>
      </c>
      <c r="AC181" s="19" t="n"/>
    </row>
    <row r="182" ht="15" customHeight="1" s="251">
      <c r="B182" s="25" t="inlineStr">
        <is>
          <t xml:space="preserve">  (−) Tax effect of adjustments</t>
        </is>
      </c>
      <c r="C182" s="211">
        <f>IF(ISNUMBER(C184),-(C180+C181)*C186,"")</f>
      </c>
      <c r="D182" s="211">
        <f>IF(ISNUMBER(D184),-(D180+D181)*D186,"")</f>
      </c>
      <c r="E182" s="211">
        <f>IF(ISNUMBER(E184),-(E180+E181)*E186,"")</f>
      </c>
      <c r="F182" s="211">
        <f>IF(ISNUMBER(F184),-(F180+F181)*F186,"")</f>
      </c>
      <c r="G182" s="211">
        <f>IF(ISNUMBER(G184),-(G180+G181)*G186,"")</f>
      </c>
      <c r="H182" s="211">
        <f>IF(ISNUMBER(H184),-(H180+H181)*H186,"")</f>
      </c>
      <c r="I182" s="211">
        <f>IF(ISNUMBER(I184),-(I180+I181)*I186,"")</f>
      </c>
      <c r="J182" s="211">
        <f>IF(ISNUMBER(J184),-(J180+J181)*J186,"")</f>
      </c>
      <c r="K182" s="211">
        <f>IF(ISNUMBER(K184),-(K180+K181)*K186,"")</f>
      </c>
      <c r="L182" s="211">
        <f>IF(ISNUMBER(L184),-(L180+L181)*L186,"")</f>
      </c>
      <c r="M182" s="211">
        <f>IF(ISNUMBER(M184),-(M180+M181)*M186,"")</f>
      </c>
      <c r="N182" s="211">
        <f>IF(ISNUMBER(N184),-(N180+N181)*N186,"")</f>
      </c>
      <c r="O182" s="211">
        <f>IF(ISNUMBER(O184),-(O180+O181)*O186,"")</f>
        <v>-24.945652173913</v>
      </c>
      <c r="P182" s="211">
        <f>IF(ISNUMBER(P184),-(P180+P181)*P186,"")</f>
      </c>
      <c r="Q182" s="211">
        <f>IF(ISNUMBER(Q184),-(Q180+Q181)*Q186,"")</f>
      </c>
      <c r="R182" s="211">
        <f>IF(ISNUMBER(R184),-(R180+R181)*R186,"")</f>
      </c>
      <c r="S182" s="211">
        <f>IF(ISNUMBER(S184),-(S180+S181)*S186,"")</f>
      </c>
      <c r="T182" s="211">
        <f>IF(ISNUMBER(T184),-(T180+T181)*T186,"")</f>
        <v>-32.8533333333333</v>
      </c>
      <c r="U182" s="266">
        <f>IF(ISNUMBER(U184),-(U180+U181)*U186,"")</f>
        <v>-24.94</v>
      </c>
      <c r="V182" s="266">
        <f>IF(ISNUMBER(V184),-(V180+V181)*V186,"")</f>
        <v>-24.94</v>
      </c>
      <c r="W182" s="266">
        <f>IF(ISNUMBER(W184),-(W180+W181)*W186,"")</f>
        <v>-110.779836065574</v>
      </c>
      <c r="X182" s="266">
        <f>IF(ISNUMBER(X184),-(X180+X181)*X186,"")</f>
        <v>-89.49</v>
      </c>
      <c r="Y182" s="266">
        <f>IF(ISNUMBER(Y184),-(Y180+Y181)*Y186,"")</f>
        <v>-86.64</v>
      </c>
      <c r="Z182" s="266">
        <f>IF(ISNUMBER(Z184),-(Z180+Z181)*Z186,"")</f>
        <v>-86.64</v>
      </c>
      <c r="AA182" s="266">
        <f>IF(ISNUMBER(AA184),-(AA180+AA181)*AA186,"")</f>
        <v>-85.785</v>
      </c>
      <c r="AB182" s="266">
        <f>IF(ISNUMBER(AB184),-(AB180+AB181)*AB186,"")</f>
        <v>-84.93</v>
      </c>
      <c r="AC182" s="19" t="n"/>
    </row>
    <row r="183" ht="15" customHeight="1" s="251">
      <c r="B183" s="55" t="inlineStr">
        <is>
          <t xml:space="preserve">  = Adjusted net income (model)</t>
        </is>
      </c>
      <c r="C183" s="269">
        <f>IF(ISNUMBER(C184),C179+C180+C181+C182,"")</f>
      </c>
      <c r="D183" s="269">
        <f>IF(ISNUMBER(D184),D179+D180+D181+D182,"")</f>
      </c>
      <c r="E183" s="269">
        <f>IF(ISNUMBER(E184),E179+E180+E181+E182,"")</f>
      </c>
      <c r="F183" s="269">
        <f>IF(ISNUMBER(F184),F179+F180+F181+F182,"")</f>
      </c>
      <c r="G183" s="269">
        <f>IF(ISNUMBER(G184),G179+G180+G181+G182,"")</f>
      </c>
      <c r="H183" s="269">
        <f>IF(ISNUMBER(H184),H179+H180+H181+H182,"")</f>
      </c>
      <c r="I183" s="269">
        <f>IF(ISNUMBER(I184),I179+I180+I181+I182,"")</f>
      </c>
      <c r="J183" s="269">
        <f>IF(ISNUMBER(J184),J179+J180+J181+J182,"")</f>
      </c>
      <c r="K183" s="269">
        <f>IF(ISNUMBER(K184),K179+K180+K181+K182,"")</f>
      </c>
      <c r="L183" s="269">
        <f>IF(ISNUMBER(L184),L179+L180+L181+L182,"")</f>
      </c>
      <c r="M183" s="269">
        <f>IF(ISNUMBER(M184),M179+M180+M181+M182,"")</f>
      </c>
      <c r="N183" s="269">
        <f>IF(ISNUMBER(N184),N179+N180+N181+N182,"")</f>
      </c>
      <c r="O183" s="269">
        <f>IF(ISNUMBER(O184),O179+O180+O181+O182,"")</f>
        <v>125.054347826087</v>
      </c>
      <c r="P183" s="269">
        <f>IF(ISNUMBER(P184),P179+P180+P181+P182,"")</f>
      </c>
      <c r="Q183" s="269">
        <f>IF(ISNUMBER(Q184),Q179+Q180+Q181+Q182,"")</f>
      </c>
      <c r="R183" s="269">
        <f>IF(ISNUMBER(R184),R179+R180+R181+R182,"")</f>
      </c>
      <c r="S183" s="269">
        <f>IF(ISNUMBER(S184),S179+S180+S181+S182,"")</f>
      </c>
      <c r="T183" s="269">
        <f>IF(ISNUMBER(T184),T179+T180+T181+T182,"")</f>
        <v>132.146666666667</v>
      </c>
      <c r="U183" s="269">
        <f>IF(ISNUMBER(U184),U179+U180+U181+U182,"")</f>
        <v>117.145509663371</v>
      </c>
      <c r="V183" s="269">
        <f>IF(ISNUMBER(V184),V179+V180+V181+V182,"")</f>
        <v>91.2394903366289</v>
      </c>
      <c r="W183" s="269">
        <f>IF(ISNUMBER(W184),W179+W180+W181+W182,"")</f>
        <v>462.485163934426</v>
      </c>
      <c r="X183" s="269">
        <f>IF(ISNUMBER(X184),X179+X180+X181+X182,"")</f>
        <v>480.453445955124</v>
      </c>
      <c r="Y183" s="269">
        <f>IF(ISNUMBER(Y184),Y179+Y180+Y181+Y182,"")</f>
        <v>528.637602974136</v>
      </c>
      <c r="Z183" s="269">
        <f>IF(ISNUMBER(Z184),Z179+Z180+Z181+Z182,"")</f>
        <v>576.192935285552</v>
      </c>
      <c r="AA183" s="269">
        <f>IF(ISNUMBER(AA184),AA179+AA180+AA181+AA182,"")</f>
        <v>621.740283386569</v>
      </c>
      <c r="AB183" s="269">
        <f>IF(ISNUMBER(AB184),AB179+AB180+AB181+AB182,"")</f>
        <v>671.177347114304</v>
      </c>
      <c r="AC183" s="153" t="n"/>
      <c r="AE183" s="20">
        <f>IFERROR((AB183/W183)^(1/5)-1,"n/m")</f>
        <v>0.0773278747882551</v>
      </c>
      <c r="AF183" s="20" t="str">
        <f>IFERROR((R183/H183)^(1/2)-1,"n/m")</f>
        <v>n/m</v>
      </c>
      <c r="AG183" s="20" t="str">
        <f>IFERROR(R183/M183-1,"n/m")</f>
        <v>n/m</v>
      </c>
      <c r="AH183" s="20" t="str">
        <f>IFERROR((R183/C183)^(1/3)-1,"n/m")</f>
        <v>n/m</v>
      </c>
    </row>
    <row r="184" ht="15" customHeight="1" s="251">
      <c r="B184" s="25" t="inlineStr">
        <is>
          <t xml:space="preserve">  Weighted-average diluted shares (m)</t>
        </is>
      </c>
      <c r="C184" s="279">
        <f>IF(ISNUMBER(C133),C133,"")</f>
      </c>
      <c r="D184" s="279">
        <f>IF(ISNUMBER(D133),D133,"")</f>
      </c>
      <c r="E184" s="279">
        <f>IF(ISNUMBER(E133),E133,"")</f>
      </c>
      <c r="F184" s="279">
        <f>IF(ISNUMBER(F133),F133,"")</f>
      </c>
      <c r="G184" s="279">
        <f>IF(ISNUMBER(G133),G133,"")</f>
      </c>
      <c r="H184" s="279">
        <f>IF(ISNUMBER(H133),H133,"")</f>
      </c>
      <c r="I184" s="279">
        <f>IF(ISNUMBER(I133),I133,"")</f>
      </c>
      <c r="J184" s="279">
        <f>IF(ISNUMBER(J133),J133,"")</f>
      </c>
      <c r="K184" s="279">
        <f>IF(ISNUMBER(K133),K133,"")</f>
      </c>
      <c r="L184" s="279">
        <f>IF(ISNUMBER(L133),L133,"")</f>
      </c>
      <c r="M184" s="279">
        <f>IF(ISNUMBER(M133),M133,"")</f>
      </c>
      <c r="N184" s="279">
        <f>IF(ISNUMBER(N133),N133,"")</f>
      </c>
      <c r="O184" s="279">
        <f>IF(ISNUMBER(O133),O133,"")</f>
        <v>294.82132</v>
      </c>
      <c r="P184" s="279">
        <f>IF(ISNUMBER(P133),P133,"")</f>
      </c>
      <c r="Q184" s="279">
        <f>IF(ISNUMBER(Q133),Q133,"")</f>
      </c>
      <c r="R184" s="279">
        <f>IF(ISNUMBER(R133),R133,"")</f>
      </c>
      <c r="S184" s="279">
        <f>IF(ISNUMBER(S133),S133,"")</f>
      </c>
      <c r="T184" s="279">
        <f>IF(ISNUMBER(T133),T133,"")</f>
        <v>294.82132</v>
      </c>
      <c r="U184" s="273">
        <f>IF(ISNUMBER(U133),U133,"")</f>
        <v>295.92132</v>
      </c>
      <c r="V184" s="273">
        <f>IF(ISNUMBER(V133),V133,"")</f>
        <v>296.02132</v>
      </c>
      <c r="W184" s="273">
        <f>IF(ISNUMBER(W133),W133,"")</f>
        <v>295.587986666667</v>
      </c>
      <c r="X184" s="273">
        <f>IF(ISNUMBER(X133),X133,"")</f>
        <v>285.665445880909</v>
      </c>
      <c r="Y184" s="273">
        <f>IF(ISNUMBER(Y133),Y133,"")</f>
        <v>260.485614403053</v>
      </c>
      <c r="Z184" s="273">
        <f>IF(ISNUMBER(Z133),Z133,"")</f>
        <v>231.641191516282</v>
      </c>
      <c r="AA184" s="273">
        <f>IF(ISNUMBER(AA133),AA133,"")</f>
        <v>202.516824668159</v>
      </c>
      <c r="AB184" s="273">
        <f>IF(ISNUMBER(AB133),AB133,"")</f>
        <v>173.256370438827</v>
      </c>
      <c r="AC184" s="19" t="n"/>
    </row>
    <row r="185" ht="15" customHeight="1" s="251">
      <c r="B185" s="55" t="inlineStr">
        <is>
          <t>Adjusted EPS – diluted ($) (model definition)</t>
        </is>
      </c>
      <c r="C185" s="276">
        <f>IF(AND(ISNUMBER(C183),ISNUMBER(C184)),IFERROR(C183/C184,""),"")</f>
      </c>
      <c r="D185" s="276">
        <f>IF(AND(ISNUMBER(D183),ISNUMBER(D184)),IFERROR(D183/D184,""),"")</f>
      </c>
      <c r="E185" s="276">
        <f>IF(AND(ISNUMBER(E183),ISNUMBER(E184)),IFERROR(E183/E184,""),"")</f>
      </c>
      <c r="F185" s="276">
        <f>IF(AND(ISNUMBER(F183),ISNUMBER(F184)),IFERROR(F183/F184,""),"")</f>
      </c>
      <c r="G185" s="276">
        <f>IF(AND(ISNUMBER(G183),ISNUMBER(G184)),IFERROR(G183/G184,""),"")</f>
      </c>
      <c r="H185" s="276">
        <f>IF(AND(ISNUMBER(H183),ISNUMBER(H184)),IFERROR(H183/H184,""),"")</f>
      </c>
      <c r="I185" s="276">
        <f>IF(AND(ISNUMBER(I183),ISNUMBER(I184)),IFERROR(I183/I184,""),"")</f>
      </c>
      <c r="J185" s="276">
        <f>IF(AND(ISNUMBER(J183),ISNUMBER(J184)),IFERROR(J183/J184,""),"")</f>
      </c>
      <c r="K185" s="276">
        <f>IF(AND(ISNUMBER(K183),ISNUMBER(K184)),IFERROR(K183/K184,""),"")</f>
      </c>
      <c r="L185" s="276">
        <f>IF(AND(ISNUMBER(L183),ISNUMBER(L184)),IFERROR(L183/L184,""),"")</f>
      </c>
      <c r="M185" s="276">
        <f>IF(AND(ISNUMBER(M183),ISNUMBER(M184)),IFERROR(M183/M184,""),"")</f>
      </c>
      <c r="N185" s="276">
        <f>IF(AND(ISNUMBER(N183),ISNUMBER(N184)),IFERROR(N183/N184,""),"")</f>
      </c>
      <c r="O185" s="276">
        <f>IF(AND(ISNUMBER(O183),ISNUMBER(O184)),IFERROR(O183/O184,""),"")</f>
        <v>0.424169961066883</v>
      </c>
      <c r="P185" s="276">
        <f>IF(AND(ISNUMBER(P183),ISNUMBER(P184)),IFERROR(P183/P184,""),"")</f>
      </c>
      <c r="Q185" s="276">
        <f>IF(AND(ISNUMBER(Q183),ISNUMBER(Q184)),IFERROR(Q183/Q184,""),"")</f>
      </c>
      <c r="R185" s="276">
        <f>IF(AND(ISNUMBER(R183),ISNUMBER(R184)),IFERROR(R183/R184,""),"")</f>
      </c>
      <c r="S185" s="276">
        <f>IF(AND(ISNUMBER(S183),ISNUMBER(S184)),IFERROR(S183/S184,""),"")</f>
      </c>
      <c r="T185" s="276">
        <f>IF(AND(ISNUMBER(T183),ISNUMBER(T184)),IFERROR(T183/T184,""),"")</f>
        <v>0.448226290645014</v>
      </c>
      <c r="U185" s="276">
        <f>IF(AND(ISNUMBER(U183),ISNUMBER(U184)),IFERROR(U183/U184,""),"")</f>
        <v>0.39586708272108</v>
      </c>
      <c r="V185" s="276">
        <f>IF(AND(ISNUMBER(V183),ISNUMBER(V184)),IFERROR(V183/V184,""),"")</f>
        <v>0.308219321286145</v>
      </c>
      <c r="W185" s="276">
        <f>IF(AND(ISNUMBER(W183),ISNUMBER(W184)),IFERROR(W183/W184,""),"")</f>
        <v>1.56462774130252</v>
      </c>
      <c r="X185" s="276">
        <f>IF(AND(ISNUMBER(X183),ISNUMBER(X184)),IFERROR(X183/X184,""),"")</f>
        <v>1.6818745594993</v>
      </c>
      <c r="Y185" s="276">
        <f>IF(AND(ISNUMBER(Y183),ISNUMBER(Y184)),IFERROR(Y183/Y184,""),"")</f>
        <v>2.02943108465164</v>
      </c>
      <c r="Z185" s="276">
        <f>IF(AND(ISNUMBER(Z183),ISNUMBER(Z184)),IFERROR(Z183/Z184,""),"")</f>
        <v>2.48743727967335</v>
      </c>
      <c r="AA185" s="276">
        <f>IF(AND(ISNUMBER(AA183),ISNUMBER(AA184)),IFERROR(AA183/AA184,""),"")</f>
        <v>3.07006731122387</v>
      </c>
      <c r="AB185" s="276">
        <f>IF(AND(ISNUMBER(AB183),ISNUMBER(AB184)),IFERROR(AB183/AB184,""),"")</f>
        <v>3.87389707757547</v>
      </c>
      <c r="AC185" s="19" t="n"/>
      <c r="AE185" s="20">
        <f>IFERROR((AB185/W185)^(1/5)-1,"n/m")</f>
        <v>0.198801866325151</v>
      </c>
      <c r="AF185" s="20" t="str">
        <f>IFERROR((R185/H185)^(1/2)-1,"n/m")</f>
        <v>n/m</v>
      </c>
      <c r="AG185" s="20" t="str">
        <f>IFERROR(R185/M185-1,"n/m")</f>
        <v>n/m</v>
      </c>
      <c r="AH185" s="20" t="str">
        <f>IFERROR((R185/C185)^(1/3)-1,"n/m")</f>
        <v>n/m</v>
      </c>
    </row>
    <row r="186" ht="15" customHeight="1" s="251">
      <c r="B186" s="25" t="inlineStr">
        <is>
          <t xml:space="preserve">  Tax rate applied to adjustments (period effective tax rate, bounded 15–40%)</t>
        </is>
      </c>
      <c r="C186" s="215">
        <f>IF(ISNUMBER(C125),MIN(0.4,MAX(0.15,C125)),"")</f>
      </c>
      <c r="D186" s="215">
        <f>IF(ISNUMBER(D125),MIN(0.4,MAX(0.15,D125)),"")</f>
      </c>
      <c r="E186" s="215">
        <f>IF(ISNUMBER(E125),MIN(0.4,MAX(0.15,E125)),"")</f>
      </c>
      <c r="F186" s="215">
        <f>IF(ISNUMBER(F125),MIN(0.4,MAX(0.15,F125)),"")</f>
      </c>
      <c r="G186" s="215">
        <f>IF(ISNUMBER(G125),MIN(0.4,MAX(0.15,G125)),"")</f>
      </c>
      <c r="H186" s="215">
        <f>IF(ISNUMBER(H125),MIN(0.4,MAX(0.15,H125)),"")</f>
        <v>0.272321428571429</v>
      </c>
      <c r="I186" s="215">
        <f>IF(ISNUMBER(I125),MIN(0.4,MAX(0.15,I125)),"")</f>
      </c>
      <c r="J186" s="215">
        <f>IF(ISNUMBER(J125),MIN(0.4,MAX(0.15,J125)),"")</f>
      </c>
      <c r="K186" s="215">
        <f>IF(ISNUMBER(K125),MIN(0.4,MAX(0.15,K125)),"")</f>
      </c>
      <c r="L186" s="215">
        <f>IF(ISNUMBER(L125),MIN(0.4,MAX(0.15,L125)),"")</f>
      </c>
      <c r="M186" s="215">
        <f>IF(ISNUMBER(M125),MIN(0.4,MAX(0.15,M125)),"")</f>
        <v>0.267605633802817</v>
      </c>
      <c r="N186" s="215">
        <f>IF(ISNUMBER(N125),MIN(0.4,MAX(0.15,N125)),"")</f>
        <v>0.283950617283951</v>
      </c>
      <c r="O186" s="215">
        <f>IF(ISNUMBER(O125),MIN(0.4,MAX(0.15,O125)),"")</f>
        <v>0.293478260869565</v>
      </c>
      <c r="P186" s="215">
        <f>IF(ISNUMBER(P125),MIN(0.4,MAX(0.15,P125)),"")</f>
        <v>0.29</v>
      </c>
      <c r="Q186" s="215">
        <f>IF(ISNUMBER(Q125),MIN(0.4,MAX(0.15,Q125)),"")</f>
        <v>0.4</v>
      </c>
      <c r="R186" s="215">
        <f>IF(ISNUMBER(R125),MIN(0.4,MAX(0.15,R125)),"")</f>
        <v>0.325153374233129</v>
      </c>
      <c r="S186" s="215">
        <f>IF(ISNUMBER(S125),MIN(0.4,MAX(0.15,S125)),"")</f>
        <v>0.294871794871795</v>
      </c>
      <c r="T186" s="215">
        <f>IF(ISNUMBER(T125),MIN(0.4,MAX(0.15,T125)),"")</f>
        <v>0.293333333333333</v>
      </c>
      <c r="U186" s="256">
        <f>IF(ISNUMBER(U125),MIN(0.4,MAX(0.15,U125)),"")</f>
        <v>0.29</v>
      </c>
      <c r="V186" s="256">
        <f>IF(ISNUMBER(V125),MIN(0.4,MAX(0.15,V125)),"")</f>
        <v>0.29</v>
      </c>
      <c r="W186" s="256">
        <f>IF(ISNUMBER(W125),MIN(0.4,MAX(0.15,W125)),"")</f>
        <v>0.292295081967213</v>
      </c>
      <c r="X186" s="256">
        <f>IF(ISNUMBER(X125),MIN(0.4,MAX(0.15,X125)),"")</f>
        <v>0.285</v>
      </c>
      <c r="Y186" s="256">
        <f>IF(ISNUMBER(Y125),MIN(0.4,MAX(0.15,Y125)),"")</f>
        <v>0.285</v>
      </c>
      <c r="Z186" s="256">
        <f>IF(ISNUMBER(Z125),MIN(0.4,MAX(0.15,Z125)),"")</f>
        <v>0.285</v>
      </c>
      <c r="AA186" s="256">
        <f>IF(ISNUMBER(AA125),MIN(0.4,MAX(0.15,AA125)),"")</f>
        <v>0.285</v>
      </c>
      <c r="AB186" s="256">
        <f>IF(ISNUMBER(AB125),MIN(0.4,MAX(0.15,AB125)),"")</f>
        <v>0.285</v>
      </c>
      <c r="AC186" s="153" t="n"/>
    </row>
    <row r="187" ht="15" customHeight="1" s="251">
      <c r="B187" s="158" t="inlineStr">
        <is>
          <t xml:space="preserve">  Definition basis</t>
        </is>
      </c>
      <c r="H187" s="264" t="inlineStr">
        <is>
          <t>Model definition — Mobility Global publishes no adjusted net income / EPS; shown only where a share count exists (Q2-25, Q2-26, forecast)</t>
        </is>
      </c>
      <c r="U187" s="153" t="n"/>
      <c r="V187" s="153" t="n"/>
      <c r="W187" s="153" t="n"/>
      <c r="X187" s="153" t="n"/>
      <c r="Y187" s="153" t="n"/>
      <c r="Z187" s="153" t="n"/>
      <c r="AA187" s="153" t="n"/>
      <c r="AB187" s="153" t="n"/>
      <c r="AC187" s="19" t="n"/>
    </row>
    <row r="188" ht="15" customHeight="1" s="251">
      <c r="B188" s="22" t="inlineStr">
        <is>
          <t xml:space="preserve">  Adjusted EPS y/y %</t>
        </is>
      </c>
      <c r="C188" s="23" t="n"/>
      <c r="D188" s="23" t="n"/>
      <c r="E188" s="23" t="n"/>
      <c r="F188" s="23" t="n"/>
      <c r="G188" s="23" t="n"/>
      <c r="H188" s="255">
        <f>IF(AND(ISNUMBER(H185),ISNUMBER(C185)),IFERROR(H185/C185-1,""),"")</f>
      </c>
      <c r="I188" s="255">
        <f>IF(AND(ISNUMBER(I185),ISNUMBER(D185)),IFERROR(I185/D185-1,""),"")</f>
      </c>
      <c r="J188" s="255">
        <f>IF(AND(ISNUMBER(J185),ISNUMBER(E185)),IFERROR(J185/E185-1,""),"")</f>
      </c>
      <c r="K188" s="255">
        <f>IF(AND(ISNUMBER(K185),ISNUMBER(F185)),IFERROR(K185/F185-1,""),"")</f>
      </c>
      <c r="L188" s="255">
        <f>IF(AND(ISNUMBER(L185),ISNUMBER(G185)),IFERROR(L185/G185-1,""),"")</f>
      </c>
      <c r="M188" s="255">
        <f>IF(AND(ISNUMBER(M185),ISNUMBER(H185)),IFERROR(M185/H185-1,""),"")</f>
      </c>
      <c r="N188" s="255">
        <f>IF(AND(ISNUMBER(N185),ISNUMBER(I185)),IFERROR(N185/I185-1,""),"")</f>
      </c>
      <c r="O188" s="255">
        <f>IF(AND(ISNUMBER(O185),ISNUMBER(J185)),IFERROR(O185/J185-1,""),"")</f>
      </c>
      <c r="P188" s="255">
        <f>IF(AND(ISNUMBER(P185),ISNUMBER(K185)),IFERROR(P185/K185-1,""),"")</f>
      </c>
      <c r="Q188" s="255">
        <f>IF(AND(ISNUMBER(Q185),ISNUMBER(L185)),IFERROR(Q185/L185-1,""),"")</f>
      </c>
      <c r="R188" s="255">
        <f>IF(AND(ISNUMBER(R185),ISNUMBER(M185)),IFERROR(R185/M185-1,""),"")</f>
      </c>
      <c r="S188" s="255">
        <f>IF(AND(ISNUMBER(S185),ISNUMBER(N185)),IFERROR(S185/N185-1,""),"")</f>
      </c>
      <c r="T188" s="255">
        <f>IF(AND(ISNUMBER(T185),ISNUMBER(O185)),IFERROR(T185/O185-1,""),"")</f>
        <v>0.0567138925105026</v>
      </c>
      <c r="U188" s="256">
        <f>IF(AND(ISNUMBER(U185),ISNUMBER(P185)),IFERROR(U185/P185-1,""),"")</f>
      </c>
      <c r="V188" s="256">
        <f>IF(AND(ISNUMBER(V185),ISNUMBER(Q185)),IFERROR(V185/Q185-1,""),"")</f>
      </c>
      <c r="W188" s="256">
        <f>IF(AND(ISNUMBER(W185),ISNUMBER(R185)),IFERROR(W185/R185-1,""),"")</f>
      </c>
      <c r="X188" s="256">
        <f>IF(AND(ISNUMBER(X185),ISNUMBER(W185)),IFERROR(X185/W185-1,""),"")</f>
        <v>0.0749359193255594</v>
      </c>
      <c r="Y188" s="256">
        <f>IF(AND(ISNUMBER(Y185),ISNUMBER(X185)),IFERROR(Y185/X185-1,""),"")</f>
        <v>0.206648303935228</v>
      </c>
      <c r="Z188" s="256">
        <f>IF(AND(ISNUMBER(Z185),ISNUMBER(Y185)),IFERROR(Z185/Y185-1,""),"")</f>
        <v>0.22568206355247</v>
      </c>
      <c r="AA188" s="256">
        <f>IF(AND(ISNUMBER(AA185),ISNUMBER(Z185)),IFERROR(AA185/Z185-1,""),"")</f>
        <v>0.234229034159621</v>
      </c>
      <c r="AB188" s="256">
        <f>IF(AND(ISNUMBER(AB185),ISNUMBER(AA185)),IFERROR(AB185/AA185-1,""),"")</f>
        <v>0.261828059408625</v>
      </c>
      <c r="AC188" s="153" t="n"/>
    </row>
    <row r="189" ht="15" customHeight="1" s="251">
      <c r="AK189" s="11" t="n"/>
      <c r="AL189" s="12" t="n"/>
      <c r="AM189" s="12" t="n"/>
      <c r="AN189" s="12" t="n"/>
      <c r="AO189" s="13" t="n"/>
    </row>
    <row r="190" ht="15" customHeight="1" s="251">
      <c r="B190" s="10" t="inlineStr">
        <is>
          <t>GROWTH &amp; MARGINS</t>
        </is>
      </c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inlineStr">
        <is>
          <t>GROWTH &amp; MARGINS (combined / consolidated) — outputs</t>
        </is>
      </c>
    </row>
    <row r="191" ht="15" customHeight="1" s="251">
      <c r="B191" s="22" t="inlineStr">
        <is>
          <t xml:space="preserve">  Revenue y/y %</t>
        </is>
      </c>
      <c r="C191" s="23" t="n"/>
      <c r="D191" s="23" t="n"/>
      <c r="E191" s="23" t="n"/>
      <c r="F191" s="23" t="n"/>
      <c r="G191" s="23" t="n"/>
      <c r="H191" s="255">
        <f>IF(AND(ISNUMBER(H115),ISNUMBER(C115)),IFERROR(H115/C115-1,""),"")</f>
      </c>
      <c r="I191" s="255">
        <f>IF(AND(ISNUMBER(I115),ISNUMBER(D115)),IFERROR(I115/D115-1,""),"")</f>
      </c>
      <c r="J191" s="255">
        <f>IF(AND(ISNUMBER(J115),ISNUMBER(E115)),IFERROR(J115/E115-1,""),"")</f>
      </c>
      <c r="K191" s="255">
        <f>IF(AND(ISNUMBER(K115),ISNUMBER(F115)),IFERROR(K115/F115-1,""),"")</f>
      </c>
      <c r="L191" s="255">
        <f>IF(AND(ISNUMBER(L115),ISNUMBER(G115)),IFERROR(L115/G115-1,""),"")</f>
      </c>
      <c r="M191" s="255">
        <f>IF(AND(ISNUMBER(M115),ISNUMBER(H115)),IFERROR(M115/H115-1,""),"")</f>
        <v>0.0861952861952862</v>
      </c>
      <c r="N191" s="255">
        <f>IF(AND(ISNUMBER(N115),ISNUMBER(I115)),IFERROR(N115/I115-1,""),"")</f>
      </c>
      <c r="O191" s="255">
        <f>IF(AND(ISNUMBER(O115),ISNUMBER(J115)),IFERROR(O115/J115-1,""),"")</f>
      </c>
      <c r="P191" s="255">
        <f>IF(AND(ISNUMBER(P115),ISNUMBER(K115)),IFERROR(P115/K115-1,""),"")</f>
      </c>
      <c r="Q191" s="255">
        <f>IF(AND(ISNUMBER(Q115),ISNUMBER(L115)),IFERROR(Q115/L115-1,""),"")</f>
      </c>
      <c r="R191" s="255">
        <f>IF(AND(ISNUMBER(R115),ISNUMBER(M115)),IFERROR(R115/M115-1,""),"")</f>
        <v>0.0849349039057656</v>
      </c>
      <c r="S191" s="255">
        <f>IF(AND(ISNUMBER(S115),ISNUMBER(N115)),IFERROR(S115/N115-1,""),"")</f>
        <v>0.0833333333333333</v>
      </c>
      <c r="T191" s="255">
        <f>IF(AND(ISNUMBER(T115),ISNUMBER(O115)),IFERROR(T115/O115-1,""),"")</f>
        <v>0.0660592255125285</v>
      </c>
      <c r="U191" s="256">
        <f>IF(AND(ISNUMBER(U115),ISNUMBER(P115)),IFERROR(U115/P115-1,""),"")</f>
        <v>0.0713755412951558</v>
      </c>
      <c r="V191" s="256">
        <f>IF(AND(ISNUMBER(V115),ISNUMBER(Q115)),IFERROR(V115/Q115-1,""),"")</f>
        <v>0.0711611751651471</v>
      </c>
      <c r="W191" s="256">
        <f>IF(AND(ISNUMBER(W115),ISNUMBER(R115)),IFERROR(W115/R115-1,""),"")</f>
        <v>0.072857142857143</v>
      </c>
      <c r="X191" s="256">
        <f>IF(AND(ISNUMBER(X115),ISNUMBER(W115)),IFERROR(X115/W115-1,""),"")</f>
        <v>0.0697075518043127</v>
      </c>
      <c r="Y191" s="256">
        <f>IF(AND(ISNUMBER(Y115),ISNUMBER(X115)),IFERROR(Y115/X115-1,""),"")</f>
        <v>0.0685706945652951</v>
      </c>
      <c r="Z191" s="256">
        <f>IF(AND(ISNUMBER(Z115),ISNUMBER(Y115)),IFERROR(Z115/Y115-1,""),"")</f>
        <v>0.0650727498255428</v>
      </c>
      <c r="AA191" s="256">
        <f>IF(AND(ISNUMBER(AA115),ISNUMBER(Z115)),IFERROR(AA115/Z115-1,""),"")</f>
        <v>0.0632338581654575</v>
      </c>
      <c r="AB191" s="256">
        <f>IF(AND(ISNUMBER(AB115),ISNUMBER(AA115)),IFERROR(AB115/AA115-1,""),"")</f>
        <v>0.0604268805893504</v>
      </c>
      <c r="AC191" s="153" t="n"/>
      <c r="AE191" s="37">
        <f>IFERROR(AVERAGE(X191,Y191,Z191,AA191,AB191),"n/m")</f>
        <v>0.0654023469899917</v>
      </c>
      <c r="AF191" s="37">
        <f>IFERROR(AVERAGE(H191,M191,R191),"n/m")</f>
        <v>0.0855650950505259</v>
      </c>
      <c r="AG191" s="37">
        <f>IFERROR(AVERAGE(M191,R191),"n/m")</f>
        <v>0.0855650950505259</v>
      </c>
      <c r="AH191" s="37">
        <f>IFERROR(AVERAGE(C191,H191,M191,R191),"n/m")</f>
        <v>0.0855650950505259</v>
      </c>
    </row>
    <row r="192" ht="15" customHeight="1" s="251">
      <c r="B192" s="22" t="inlineStr">
        <is>
          <t xml:space="preserve">  CARFAX revenue y/y %</t>
        </is>
      </c>
      <c r="C192" s="23" t="n"/>
      <c r="D192" s="23" t="n"/>
      <c r="E192" s="23" t="n"/>
      <c r="F192" s="23" t="n"/>
      <c r="G192" s="23" t="n"/>
      <c r="H192" s="255">
        <f>IF(AND(ISNUMBER(H11),ISNUMBER(C11)),IFERROR(H11/C11-1,""),"")</f>
      </c>
      <c r="I192" s="255">
        <f>IF(AND(ISNUMBER(I11),ISNUMBER(D11)),IFERROR(I11/D11-1,""),"")</f>
      </c>
      <c r="J192" s="255">
        <f>IF(AND(ISNUMBER(J11),ISNUMBER(E11)),IFERROR(J11/E11-1,""),"")</f>
      </c>
      <c r="K192" s="255">
        <f>IF(AND(ISNUMBER(K11),ISNUMBER(F11)),IFERROR(K11/F11-1,""),"")</f>
      </c>
      <c r="L192" s="255">
        <f>IF(AND(ISNUMBER(L11),ISNUMBER(G11)),IFERROR(L11/G11-1,""),"")</f>
      </c>
      <c r="M192" s="255">
        <f>IF(AND(ISNUMBER(M11),ISNUMBER(H11)),IFERROR(M11/H11-1,""),"")</f>
        <v>0.119612068965517</v>
      </c>
      <c r="N192" s="255">
        <f>IF(AND(ISNUMBER(N11),ISNUMBER(I11)),IFERROR(N11/I11-1,""),"")</f>
      </c>
      <c r="O192" s="255">
        <f>IF(AND(ISNUMBER(O11),ISNUMBER(J11)),IFERROR(O11/J11-1,""),"")</f>
      </c>
      <c r="P192" s="255">
        <f>IF(AND(ISNUMBER(P11),ISNUMBER(K11)),IFERROR(P11/K11-1,""),"")</f>
      </c>
      <c r="Q192" s="255">
        <f>IF(AND(ISNUMBER(Q11),ISNUMBER(L11)),IFERROR(Q11/L11-1,""),"")</f>
      </c>
      <c r="R192" s="255">
        <f>IF(AND(ISNUMBER(R11),ISNUMBER(M11)),IFERROR(R11/M11-1,""),"")</f>
        <v>0.0991337824831569</v>
      </c>
      <c r="S192" s="255">
        <f>IF(AND(ISNUMBER(S11),ISNUMBER(N11)),IFERROR(S11/N11-1,""),"")</f>
        <v>0.0836363636363637</v>
      </c>
      <c r="T192" s="255">
        <f>IF(AND(ISNUMBER(T11),ISNUMBER(O11)),IFERROR(T11/O11-1,""),"")</f>
        <v>0.0795847750865053</v>
      </c>
      <c r="U192" s="256">
        <f>IF(AND(ISNUMBER(U11),ISNUMBER(P11)),IFERROR(U11/P11-1,""),"")</f>
        <v>0.0784849199883058</v>
      </c>
      <c r="V192" s="256">
        <f>IF(AND(ISNUMBER(V11),ISNUMBER(Q11)),IFERROR(V11/Q11-1,""),"")</f>
        <v>0.0784849199883058</v>
      </c>
      <c r="W192" s="256">
        <f>IF(AND(ISNUMBER(W11),ISNUMBER(R11)),IFERROR(W11/R11-1,""),"")</f>
        <v>0.0800037510974085</v>
      </c>
      <c r="X192" s="256">
        <f>IF(AND(ISNUMBER(X11),ISNUMBER(W11)),IFERROR(X11/W11-1,""),"")</f>
        <v>0.0800000000000001</v>
      </c>
      <c r="Y192" s="256">
        <f>IF(AND(ISNUMBER(Y11),ISNUMBER(X11)),IFERROR(Y11/X11-1,""),"")</f>
        <v>0.0780000000000001</v>
      </c>
      <c r="Z192" s="256">
        <f>IF(AND(ISNUMBER(Z11),ISNUMBER(Y11)),IFERROR(Z11/Y11-1,""),"")</f>
        <v>0.075</v>
      </c>
      <c r="AA192" s="256">
        <f>IF(AND(ISNUMBER(AA11),ISNUMBER(Z11)),IFERROR(AA11/Z11-1,""),"")</f>
        <v>0.0720000000000001</v>
      </c>
      <c r="AB192" s="256">
        <f>IF(AND(ISNUMBER(AB11),ISNUMBER(AA11)),IFERROR(AB11/AA11-1,""),"")</f>
        <v>0.0700000000000001</v>
      </c>
      <c r="AC192" s="153" t="n"/>
      <c r="AE192" s="37">
        <f>IFERROR(AVERAGE(X192,Y192,Z192,AA192,AB192),"n/m")</f>
        <v>0.075</v>
      </c>
      <c r="AF192" s="37">
        <f>IFERROR(AVERAGE(H192,M192,R192),"n/m")</f>
        <v>0.109372925724337</v>
      </c>
      <c r="AG192" s="37">
        <f>IFERROR(AVERAGE(M192,R192),"n/m")</f>
        <v>0.109372925724337</v>
      </c>
      <c r="AH192" s="37">
        <f>IFERROR(AVERAGE(C192,H192,M192,R192),"n/m")</f>
        <v>0.109372925724337</v>
      </c>
    </row>
    <row r="193" ht="15" customHeight="1" s="251">
      <c r="B193" s="22" t="inlineStr">
        <is>
          <t xml:space="preserve">  B2B revenue y/y %</t>
        </is>
      </c>
      <c r="C193" s="23" t="n"/>
      <c r="D193" s="23" t="n"/>
      <c r="E193" s="23" t="n"/>
      <c r="F193" s="23" t="n"/>
      <c r="G193" s="23" t="n"/>
      <c r="H193" s="255">
        <f>IF(AND(ISNUMBER(H29),ISNUMBER(C29)),IFERROR(H29/C29-1,""),"")</f>
      </c>
      <c r="I193" s="255">
        <f>IF(AND(ISNUMBER(I29),ISNUMBER(D29)),IFERROR(I29/D29-1,""),"")</f>
      </c>
      <c r="J193" s="255">
        <f>IF(AND(ISNUMBER(J29),ISNUMBER(E29)),IFERROR(J29/E29-1,""),"")</f>
      </c>
      <c r="K193" s="255">
        <f>IF(AND(ISNUMBER(K29),ISNUMBER(F29)),IFERROR(K29/F29-1,""),"")</f>
      </c>
      <c r="L193" s="255">
        <f>IF(AND(ISNUMBER(L29),ISNUMBER(G29)),IFERROR(L29/G29-1,""),"")</f>
      </c>
      <c r="M193" s="255">
        <f>IF(AND(ISNUMBER(M29),ISNUMBER(H29)),IFERROR(M29/H29-1,""),"")</f>
        <v>0.0305206463195691</v>
      </c>
      <c r="N193" s="255">
        <f>IF(AND(ISNUMBER(N29),ISNUMBER(I29)),IFERROR(N29/I29-1,""),"")</f>
      </c>
      <c r="O193" s="255">
        <f>IF(AND(ISNUMBER(O29),ISNUMBER(J29)),IFERROR(O29/J29-1,""),"")</f>
      </c>
      <c r="P193" s="255">
        <f>IF(AND(ISNUMBER(P29),ISNUMBER(K29)),IFERROR(P29/K29-1,""),"")</f>
      </c>
      <c r="Q193" s="255">
        <f>IF(AND(ISNUMBER(Q29),ISNUMBER(L29)),IFERROR(Q29/L29-1,""),"")</f>
      </c>
      <c r="R193" s="255">
        <f>IF(AND(ISNUMBER(R29),ISNUMBER(M29)),IFERROR(R29/M29-1,""),"")</f>
        <v>0.0592334494773519</v>
      </c>
      <c r="S193" s="255">
        <f>IF(AND(ISNUMBER(S29),ISNUMBER(N29)),IFERROR(S29/N29-1,""),"")</f>
        <v>0.0827586206896551</v>
      </c>
      <c r="T193" s="255">
        <f>IF(AND(ISNUMBER(T29),ISNUMBER(O29)),IFERROR(T29/O29-1,""),"")</f>
        <v>0.04</v>
      </c>
      <c r="U193" s="256">
        <f>IF(AND(ISNUMBER(U29),ISNUMBER(P29)),IFERROR(U29/P29-1,""),"")</f>
        <v>0.0579415854529048</v>
      </c>
      <c r="V193" s="256">
        <f>IF(AND(ISNUMBER(V29),ISNUMBER(Q29)),IFERROR(V29/Q29-1,""),"")</f>
        <v>0.0579415854529048</v>
      </c>
      <c r="W193" s="256">
        <f>IF(AND(ISNUMBER(W29),ISNUMBER(R29)),IFERROR(W29/R29-1,""),"")</f>
        <v>0.0594337438269066</v>
      </c>
      <c r="X193" s="256">
        <f>IF(AND(ISNUMBER(X29),ISNUMBER(W29)),IFERROR(X29/W29-1,""),"")</f>
        <v>0.05</v>
      </c>
      <c r="Y193" s="256">
        <f>IF(AND(ISNUMBER(Y29),ISNUMBER(X29)),IFERROR(Y29/X29-1,""),"")</f>
        <v>0.05</v>
      </c>
      <c r="Z193" s="256">
        <f>IF(AND(ISNUMBER(Z29),ISNUMBER(Y29)),IFERROR(Z29/Y29-1,""),"")</f>
        <v>0.0449999999999999</v>
      </c>
      <c r="AA193" s="256">
        <f>IF(AND(ISNUMBER(AA29),ISNUMBER(Z29)),IFERROR(AA29/Z29-1,""),"")</f>
        <v>0.0449999999999999</v>
      </c>
      <c r="AB193" s="256">
        <f>IF(AND(ISNUMBER(AB29),ISNUMBER(AA29)),IFERROR(AB29/AA29-1,""),"")</f>
        <v>0.04</v>
      </c>
      <c r="AC193" s="153" t="n"/>
      <c r="AE193" s="37">
        <f>IFERROR(AVERAGE(X193,Y193,Z193,AA193,AB193),"n/m")</f>
        <v>0.046</v>
      </c>
      <c r="AF193" s="37">
        <f>IFERROR(AVERAGE(H193,M193,R193),"n/m")</f>
        <v>0.0448770478984605</v>
      </c>
      <c r="AG193" s="37">
        <f>IFERROR(AVERAGE(M193,R193),"n/m")</f>
        <v>0.0448770478984605</v>
      </c>
      <c r="AH193" s="37">
        <f>IFERROR(AVERAGE(C193,H193,M193,R193),"n/m")</f>
        <v>0.0448770478984605</v>
      </c>
    </row>
    <row r="194" ht="15" customHeight="1" s="251">
      <c r="B194" s="25" t="inlineStr">
        <is>
          <t xml:space="preserve">  Subscription revenue % of total</t>
        </is>
      </c>
      <c r="C194" s="215">
        <f>IF(ISNUMBER(C14),IFERROR((C14+C32)/C115,""),"")</f>
      </c>
      <c r="D194" s="215">
        <f>IF(ISNUMBER(D14),IFERROR((D14+D32)/D115,""),"")</f>
      </c>
      <c r="E194" s="215">
        <f>IF(ISNUMBER(E14),IFERROR((E14+E32)/E115,""),"")</f>
      </c>
      <c r="F194" s="215">
        <f>IF(ISNUMBER(F14),IFERROR((F14+F32)/F115,""),"")</f>
      </c>
      <c r="G194" s="215">
        <f>IF(ISNUMBER(G14),IFERROR((G14+G32)/G115,""),"")</f>
      </c>
      <c r="H194" s="215">
        <f>IF(ISNUMBER(H14),IFERROR((H14+H32)/H115,""),"")</f>
        <v>0.787878787878788</v>
      </c>
      <c r="I194" s="215">
        <f>IF(ISNUMBER(I14),IFERROR((I14+I32)/I115,""),"")</f>
      </c>
      <c r="J194" s="215">
        <f>IF(ISNUMBER(J14),IFERROR((J14+J32)/J115,""),"")</f>
      </c>
      <c r="K194" s="215">
        <f>IF(ISNUMBER(K14),IFERROR((K14+K32)/K115,""),"")</f>
      </c>
      <c r="L194" s="215">
        <f>IF(ISNUMBER(L14),IFERROR((L14+L32)/L115,""),"")</f>
      </c>
      <c r="M194" s="215">
        <f>IF(ISNUMBER(M14),IFERROR((M14+M32)/M115,""),"")</f>
        <v>0.807811531308122</v>
      </c>
      <c r="N194" s="215">
        <f>IF(ISNUMBER(N14),IFERROR((N14+N32)/N115,""),"")</f>
        <v>0.816666666666667</v>
      </c>
      <c r="O194" s="215">
        <f>IF(ISNUMBER(O14),IFERROR((O14+O32)/O115,""),"")</f>
        <v>0.815489749430524</v>
      </c>
      <c r="P194" s="215">
        <f>IF(ISNUMBER(P14),IFERROR((P14+P32)/P115,""),"")</f>
        <v>0.813483146067416</v>
      </c>
      <c r="Q194" s="215">
        <f>IF(ISNUMBER(Q14),IFERROR((Q14+Q32)/Q115,""),"")</f>
        <v>0.81390134529148</v>
      </c>
      <c r="R194" s="215">
        <f>IF(ISNUMBER(R14),IFERROR((R14+R32)/R115,""),"")</f>
        <v>0.814857142857143</v>
      </c>
      <c r="S194" s="215">
        <f>IF(ISNUMBER(S14),IFERROR((S14+S32)/S115,""),"")</f>
        <v>0.817582417582418</v>
      </c>
      <c r="T194" s="215">
        <f>IF(ISNUMBER(T14),IFERROR((T14+T32)/T115,""),"")</f>
        <v>0.818376068376068</v>
      </c>
      <c r="U194" s="256">
        <f>IF(ISNUMBER(U14),IFERROR((U14+U32)/U115,""),"")</f>
      </c>
      <c r="V194" s="256">
        <f>IF(ISNUMBER(V14),IFERROR((V14+V32)/V115,""),"")</f>
      </c>
      <c r="W194" s="256">
        <f>IF(ISNUMBER(W14),IFERROR((W14+W32)/W115,""),"")</f>
      </c>
      <c r="X194" s="256">
        <f>IF(ISNUMBER(X14),IFERROR((X14+X32)/X115,""),"")</f>
      </c>
      <c r="Y194" s="256">
        <f>IF(ISNUMBER(Y14),IFERROR((Y14+Y32)/Y115,""),"")</f>
      </c>
      <c r="Z194" s="256">
        <f>IF(ISNUMBER(Z14),IFERROR((Z14+Z32)/Z115,""),"")</f>
      </c>
      <c r="AA194" s="256">
        <f>IF(ISNUMBER(AA14),IFERROR((AA14+AA32)/AA115,""),"")</f>
      </c>
      <c r="AB194" s="256">
        <f>IF(ISNUMBER(AB14),IFERROR((AB14+AB32)/AB115,""),"")</f>
      </c>
      <c r="AC194" s="153" t="n"/>
    </row>
    <row r="195" ht="15" customHeight="1" s="251">
      <c r="B195" s="22" t="inlineStr">
        <is>
          <t xml:space="preserve">  Adjusted EBITDA y/y %</t>
        </is>
      </c>
      <c r="C195" s="23" t="n"/>
      <c r="D195" s="23" t="n"/>
      <c r="E195" s="23" t="n"/>
      <c r="F195" s="23" t="n"/>
      <c r="G195" s="23" t="n"/>
      <c r="H195" s="255">
        <f>IF(AND(ISNUMBER(H153),ISNUMBER(C153)),IFERROR(H153/C153-1,""),"")</f>
      </c>
      <c r="I195" s="255">
        <f>IF(AND(ISNUMBER(I153),ISNUMBER(D153)),IFERROR(I153/D153-1,""),"")</f>
      </c>
      <c r="J195" s="255">
        <f>IF(AND(ISNUMBER(J153),ISNUMBER(E153)),IFERROR(J153/E153-1,""),"")</f>
      </c>
      <c r="K195" s="255">
        <f>IF(AND(ISNUMBER(K153),ISNUMBER(F153)),IFERROR(K153/F153-1,""),"")</f>
      </c>
      <c r="L195" s="255">
        <f>IF(AND(ISNUMBER(L153),ISNUMBER(G153)),IFERROR(L153/G153-1,""),"")</f>
      </c>
      <c r="M195" s="255">
        <f>IF(AND(ISNUMBER(M153),ISNUMBER(H153)),IFERROR(M153/H153-1,""),"")</f>
        <v>0.102006688963211</v>
      </c>
      <c r="N195" s="255">
        <f>IF(AND(ISNUMBER(N153),ISNUMBER(I153)),IFERROR(N153/I153-1,""),"")</f>
      </c>
      <c r="O195" s="255">
        <f>IF(AND(ISNUMBER(O153),ISNUMBER(J153)),IFERROR(O153/J153-1,""),"")</f>
      </c>
      <c r="P195" s="255">
        <f>IF(AND(ISNUMBER(P153),ISNUMBER(K153)),IFERROR(P153/K153-1,""),"")</f>
      </c>
      <c r="Q195" s="255">
        <f>IF(AND(ISNUMBER(Q153),ISNUMBER(L153)),IFERROR(Q153/L153-1,""),"")</f>
      </c>
      <c r="R195" s="255">
        <f>IF(AND(ISNUMBER(R153),ISNUMBER(M153)),IFERROR(R153/M153-1,""),"")</f>
        <v>0.0789074355083459</v>
      </c>
      <c r="S195" s="255">
        <f>IF(AND(ISNUMBER(S153),ISNUMBER(N153)),IFERROR(S153/N153-1,""),"")</f>
        <v>0.0887573964497042</v>
      </c>
      <c r="T195" s="255">
        <f>IF(AND(ISNUMBER(T153),ISNUMBER(O153)),IFERROR(T153/O153-1,""),"")</f>
        <v>0.074468085106383</v>
      </c>
      <c r="U195" s="256">
        <f>IF(AND(ISNUMBER(U153),ISNUMBER(P153)),IFERROR(U153/P153-1,""),"")</f>
        <v>0.0549407098545176</v>
      </c>
      <c r="V195" s="256">
        <f>IF(AND(ISNUMBER(V153),ISNUMBER(Q153)),IFERROR(V153/Q153-1,""),"")</f>
        <v>0.0123087387594303</v>
      </c>
      <c r="W195" s="256">
        <f>IF(AND(ISNUMBER(W153),ISNUMBER(R153)),IFERROR(W153/R153-1,""),"")</f>
        <v>0.0583684950773558</v>
      </c>
      <c r="X195" s="256">
        <f>IF(AND(ISNUMBER(X153),ISNUMBER(W153)),IFERROR(X153/W153-1,""),"")</f>
        <v>0.0867106453198341</v>
      </c>
      <c r="Y195" s="256">
        <f>IF(AND(ISNUMBER(Y153),ISNUMBER(X153)),IFERROR(Y153/X153-1,""),"")</f>
        <v>0.0865441290159346</v>
      </c>
      <c r="Z195" s="256">
        <f>IF(AND(ISNUMBER(Z153),ISNUMBER(Y153)),IFERROR(Z153/Y153-1,""),"")</f>
        <v>0.0828341905793562</v>
      </c>
      <c r="AA195" s="256">
        <f>IF(AND(ISNUMBER(AA153),ISNUMBER(Z153)),IFERROR(AA153/Z153-1,""),"")</f>
        <v>0.0804289595654186</v>
      </c>
      <c r="AB195" s="256">
        <f>IF(AND(ISNUMBER(AB153),ISNUMBER(AA153)),IFERROR(AB153/AA153-1,""),"")</f>
        <v>0.0775117611039113</v>
      </c>
      <c r="AC195" s="153" t="n"/>
    </row>
    <row r="196" ht="15" customHeight="1" s="251">
      <c r="B196" s="22" t="inlineStr">
        <is>
          <t xml:space="preserve">  Operating profit y/y %</t>
        </is>
      </c>
      <c r="C196" s="23" t="n"/>
      <c r="D196" s="23" t="n"/>
      <c r="E196" s="23" t="n"/>
      <c r="F196" s="23" t="n"/>
      <c r="G196" s="23" t="n"/>
      <c r="H196" s="255">
        <f>IF(AND(ISNUMBER(H119),ISNUMBER(C119)),IFERROR(H119/C119-1,""),"")</f>
      </c>
      <c r="I196" s="255">
        <f>IF(AND(ISNUMBER(I119),ISNUMBER(D119)),IFERROR(I119/D119-1,""),"")</f>
      </c>
      <c r="J196" s="255">
        <f>IF(AND(ISNUMBER(J119),ISNUMBER(E119)),IFERROR(J119/E119-1,""),"")</f>
      </c>
      <c r="K196" s="255">
        <f>IF(AND(ISNUMBER(K119),ISNUMBER(F119)),IFERROR(K119/F119-1,""),"")</f>
      </c>
      <c r="L196" s="255">
        <f>IF(AND(ISNUMBER(L119),ISNUMBER(G119)),IFERROR(L119/G119-1,""),"")</f>
      </c>
      <c r="M196" s="255">
        <f>IF(AND(ISNUMBER(M119),ISNUMBER(H119)),IFERROR(M119/H119-1,""),"")</f>
        <v>0.246861924686193</v>
      </c>
      <c r="N196" s="255">
        <f>IF(AND(ISNUMBER(N119),ISNUMBER(I119)),IFERROR(N119/I119-1,""),"")</f>
      </c>
      <c r="O196" s="255">
        <f>IF(AND(ISNUMBER(O119),ISNUMBER(J119)),IFERROR(O119/J119-1,""),"")</f>
      </c>
      <c r="P196" s="255">
        <f>IF(AND(ISNUMBER(P119),ISNUMBER(K119)),IFERROR(P119/K119-1,""),"")</f>
      </c>
      <c r="Q196" s="255">
        <f>IF(AND(ISNUMBER(Q119),ISNUMBER(L119)),IFERROR(Q119/L119-1,""),"")</f>
      </c>
      <c r="R196" s="255">
        <f>IF(AND(ISNUMBER(R119),ISNUMBER(M119)),IFERROR(R119/M119-1,""),"")</f>
        <v>0.13758389261745</v>
      </c>
      <c r="S196" s="255">
        <f>IF(AND(ISNUMBER(S119),ISNUMBER(N119)),IFERROR(S119/N119-1,""),"")</f>
        <v>-0.0357142857142857</v>
      </c>
      <c r="T196" s="255">
        <f>IF(AND(ISNUMBER(T119),ISNUMBER(O119)),IFERROR(T119/O119-1,""),"")</f>
        <v>-0.145833333333333</v>
      </c>
      <c r="U196" s="256">
        <f>IF(AND(ISNUMBER(U119),ISNUMBER(P119)),IFERROR(U119/P119-1,""),"")</f>
        <v>0.0191699575212776</v>
      </c>
      <c r="V196" s="256">
        <f>IF(AND(ISNUMBER(V119),ISNUMBER(Q119)),IFERROR(V119/Q119-1,""),"")</f>
        <v>0.263751353050675</v>
      </c>
      <c r="W196" s="256">
        <f>IF(AND(ISNUMBER(W119),ISNUMBER(R119)),IFERROR(W119/R119-1,""),"")</f>
        <v>-0.00147492625368728</v>
      </c>
      <c r="X196" s="256">
        <f>IF(AND(ISNUMBER(X119),ISNUMBER(W119)),IFERROR(X119/W119-1,""),"")</f>
        <v>0.3635860150795</v>
      </c>
      <c r="Y196" s="256">
        <f>IF(AND(ISNUMBER(Y119),ISNUMBER(X119)),IFERROR(Y119/X119-1,""),"")</f>
        <v>0.168725779607031</v>
      </c>
      <c r="Z196" s="256">
        <f>IF(AND(ISNUMBER(Z119),ISNUMBER(Y119)),IFERROR(Z119/Y119-1,""),"")</f>
        <v>0.130997889541173</v>
      </c>
      <c r="AA196" s="256">
        <f>IF(AND(ISNUMBER(AA119),ISNUMBER(Z119)),IFERROR(AA119/Z119-1,""),"")</f>
        <v>0.126773539717135</v>
      </c>
      <c r="AB196" s="256">
        <f>IF(AND(ISNUMBER(AB119),ISNUMBER(AA119)),IFERROR(AB119/AA119-1,""),"")</f>
        <v>0.117081596663107</v>
      </c>
      <c r="AC196" s="153" t="n"/>
    </row>
    <row r="197" ht="15" customHeight="1" s="251">
      <c r="B197" s="22" t="inlineStr">
        <is>
          <t xml:space="preserve">  Net income y/y %</t>
        </is>
      </c>
      <c r="C197" s="23" t="n"/>
      <c r="D197" s="23" t="n"/>
      <c r="E197" s="23" t="n"/>
      <c r="F197" s="23" t="n"/>
      <c r="G197" s="23" t="n"/>
      <c r="H197" s="255">
        <f>IF(AND(ISNUMBER(H126),ISNUMBER(C126)),IFERROR(H126/C126-1,""),"")</f>
      </c>
      <c r="I197" s="255">
        <f>IF(AND(ISNUMBER(I126),ISNUMBER(D126)),IFERROR(I126/D126-1,""),"")</f>
      </c>
      <c r="J197" s="255">
        <f>IF(AND(ISNUMBER(J126),ISNUMBER(E126)),IFERROR(J126/E126-1,""),"")</f>
      </c>
      <c r="K197" s="255">
        <f>IF(AND(ISNUMBER(K126),ISNUMBER(F126)),IFERROR(K126/F126-1,""),"")</f>
      </c>
      <c r="L197" s="255">
        <f>IF(AND(ISNUMBER(L126),ISNUMBER(G126)),IFERROR(L126/G126-1,""),"")</f>
      </c>
      <c r="M197" s="255">
        <f>IF(AND(ISNUMBER(M126),ISNUMBER(H126)),IFERROR(M126/H126-1,""),"")</f>
        <v>0.276073619631902</v>
      </c>
      <c r="N197" s="255">
        <f>IF(AND(ISNUMBER(N126),ISNUMBER(I126)),IFERROR(N126/I126-1,""),"")</f>
      </c>
      <c r="O197" s="255">
        <f>IF(AND(ISNUMBER(O126),ISNUMBER(J126)),IFERROR(O126/J126-1,""),"")</f>
      </c>
      <c r="P197" s="255">
        <f>IF(AND(ISNUMBER(P126),ISNUMBER(K126)),IFERROR(P126/K126-1,""),"")</f>
      </c>
      <c r="Q197" s="255">
        <f>IF(AND(ISNUMBER(Q126),ISNUMBER(L126)),IFERROR(Q126/L126-1,""),"")</f>
      </c>
      <c r="R197" s="255">
        <f>IF(AND(ISNUMBER(R126),ISNUMBER(M126)),IFERROR(R126/M126-1,""),"")</f>
        <v>0.0576923076923077</v>
      </c>
      <c r="S197" s="255">
        <f>IF(AND(ISNUMBER(S126),ISNUMBER(N126)),IFERROR(S126/N126-1,""),"")</f>
        <v>-0.0517241379310345</v>
      </c>
      <c r="T197" s="255">
        <f>IF(AND(ISNUMBER(T126),ISNUMBER(O126)),IFERROR(T126/O126-1,""),"")</f>
        <v>-0.184615384615385</v>
      </c>
      <c r="U197" s="256">
        <f>IF(AND(ISNUMBER(U126),ISNUMBER(P126)),IFERROR(U126/P126-1,""),"")</f>
        <v>-0.210063244177871</v>
      </c>
      <c r="V197" s="256">
        <f>IF(AND(ISNUMBER(V126),ISNUMBER(Q126)),IFERROR(V126/Q126-1,""),"")</f>
        <v>0.16074962833188</v>
      </c>
      <c r="W197" s="256">
        <f>IF(AND(ISNUMBER(W126),ISNUMBER(R126)),IFERROR(W126/R126-1,""),"")</f>
        <v>-0.116977272727273</v>
      </c>
      <c r="X197" s="256">
        <f>IF(AND(ISNUMBER(X126),ISNUMBER(W126)),IFERROR(X126/W126-1,""),"")</f>
        <v>0.317496440198308</v>
      </c>
      <c r="Y197" s="256">
        <f>IF(AND(ISNUMBER(Y126),ISNUMBER(X126)),IFERROR(Y126/X126-1,""),"")</f>
        <v>0.21619681180941</v>
      </c>
      <c r="Z197" s="256">
        <f>IF(AND(ISNUMBER(Z126),ISNUMBER(Y126)),IFERROR(Z126/Y126-1,""),"")</f>
        <v>0.152774667554116</v>
      </c>
      <c r="AA197" s="256">
        <f>IF(AND(ISNUMBER(AA126),ISNUMBER(Z126)),IFERROR(AA126/Z126-1,""),"")</f>
        <v>0.132909617293252</v>
      </c>
      <c r="AB197" s="256">
        <f>IF(AND(ISNUMBER(AB126),ISNUMBER(AA126)),IFERROR(AB126/AA126-1,""),"")</f>
        <v>0.126885253724021</v>
      </c>
      <c r="AC197" s="153" t="n"/>
    </row>
    <row r="198" ht="15" customHeight="1" s="251">
      <c r="B198" s="25" t="inlineStr">
        <is>
          <t xml:space="preserve">  Adjusted EBITDA margin %</t>
        </is>
      </c>
      <c r="C198" s="215">
        <f>IF(AND(ISNUMBER(C153),ISNUMBER(C115)),IFERROR(C153/C115,""),"")</f>
      </c>
      <c r="D198" s="215">
        <f>IF(AND(ISNUMBER(D153),ISNUMBER(D115)),IFERROR(D153/D115,""),"")</f>
      </c>
      <c r="E198" s="215">
        <f>IF(AND(ISNUMBER(E153),ISNUMBER(E115)),IFERROR(E153/E115,""),"")</f>
      </c>
      <c r="F198" s="215">
        <f>IF(AND(ISNUMBER(F153),ISNUMBER(F115)),IFERROR(F153/F115,""),"")</f>
      </c>
      <c r="G198" s="215">
        <f>IF(AND(ISNUMBER(G153),ISNUMBER(G115)),IFERROR(G153/G115,""),"")</f>
      </c>
      <c r="H198" s="215">
        <f>IF(AND(ISNUMBER(H153),ISNUMBER(H115)),IFERROR(H153/H115,""),"")</f>
        <v>0.402693602693603</v>
      </c>
      <c r="I198" s="215">
        <f>IF(AND(ISNUMBER(I153),ISNUMBER(I115)),IFERROR(I153/I115,""),"")</f>
      </c>
      <c r="J198" s="215">
        <f>IF(AND(ISNUMBER(J153),ISNUMBER(J115)),IFERROR(J153/J115,""),"")</f>
      </c>
      <c r="K198" s="215">
        <f>IF(AND(ISNUMBER(K153),ISNUMBER(K115)),IFERROR(K153/K115,""),"")</f>
      </c>
      <c r="L198" s="215">
        <f>IF(AND(ISNUMBER(L153),ISNUMBER(L115)),IFERROR(L153/L115,""),"")</f>
      </c>
      <c r="M198" s="215">
        <f>IF(AND(ISNUMBER(M153),ISNUMBER(M115)),IFERROR(M153/M115,""),"")</f>
        <v>0.4085554866708</v>
      </c>
      <c r="N198" s="215">
        <f>IF(AND(ISNUMBER(N153),ISNUMBER(N115)),IFERROR(N153/N115,""),"")</f>
        <v>0.402380952380952</v>
      </c>
      <c r="O198" s="215">
        <f>IF(AND(ISNUMBER(O153),ISNUMBER(O115)),IFERROR(O153/O115,""),"")</f>
        <v>0.428246013667426</v>
      </c>
      <c r="P198" s="215">
        <f>IF(AND(ISNUMBER(P153),ISNUMBER(P115)),IFERROR(P153/P115,""),"")</f>
        <v>0.429213483146067</v>
      </c>
      <c r="Q198" s="215">
        <f>IF(AND(ISNUMBER(Q153),ISNUMBER(Q115)),IFERROR(Q153/Q115,""),"")</f>
        <v>0.365470852017937</v>
      </c>
      <c r="R198" s="215">
        <f>IF(AND(ISNUMBER(R153),ISNUMBER(R115)),IFERROR(R153/R115,""),"")</f>
        <v>0.406285714285714</v>
      </c>
      <c r="S198" s="215">
        <f>IF(AND(ISNUMBER(S153),ISNUMBER(S115)),IFERROR(S153/S115,""),"")</f>
        <v>0.404395604395604</v>
      </c>
      <c r="T198" s="215">
        <f>IF(AND(ISNUMBER(T153),ISNUMBER(T115)),IFERROR(T153/T115,""),"")</f>
        <v>0.431623931623932</v>
      </c>
      <c r="U198" s="256">
        <f>IF(AND(ISNUMBER(U153),ISNUMBER(U115)),IFERROR(U153/U115,""),"")</f>
        <v>0.42262937610268</v>
      </c>
      <c r="V198" s="256">
        <f>IF(AND(ISNUMBER(V153),ISNUMBER(V115)),IFERROR(V153/V115,""),"")</f>
        <v>0.345390913932791</v>
      </c>
      <c r="W198" s="256">
        <f>IF(AND(ISNUMBER(W153),ISNUMBER(W115)),IFERROR(W153/W115,""),"")</f>
        <v>0.400798934753662</v>
      </c>
      <c r="X198" s="256">
        <f>IF(AND(ISNUMBER(X153),ISNUMBER(X115)),IFERROR(X153/X115,""),"")</f>
        <v>0.407169668284563</v>
      </c>
      <c r="Y198" s="256">
        <f>IF(AND(ISNUMBER(Y153),ISNUMBER(Y115)),IFERROR(Y153/Y115,""),"")</f>
        <v>0.414018290823457</v>
      </c>
      <c r="Z198" s="256">
        <f>IF(AND(ISNUMBER(Z153),ISNUMBER(Z115)),IFERROR(Z153/Z115,""),"")</f>
        <v>0.420922571629308</v>
      </c>
      <c r="AA198" s="256">
        <f>IF(AND(ISNUMBER(AA153),ISNUMBER(AA115)),IFERROR(AA153/AA115,""),"")</f>
        <v>0.427729922848528</v>
      </c>
      <c r="AB198" s="256">
        <f>IF(AND(ISNUMBER(AB153),ISNUMBER(AB115)),IFERROR(AB153/AB115,""),"")</f>
        <v>0.434621218003464</v>
      </c>
      <c r="AC198" s="153" t="n"/>
      <c r="AE198" s="37">
        <f>IFERROR(AVERAGE(X198,Y198,Z198,AA198,AB198),"n/m")</f>
        <v>0.420892334317864</v>
      </c>
      <c r="AF198" s="37">
        <f>IFERROR(AVERAGE(H198,M198,R198),"n/m")</f>
        <v>0.405844934550039</v>
      </c>
      <c r="AG198" s="37">
        <f>IFERROR(AVERAGE(M198,R198),"n/m")</f>
        <v>0.407420600478257</v>
      </c>
      <c r="AH198" s="37">
        <f>IFERROR(AVERAGE(C198,H198,M198,R198),"n/m")</f>
        <v>0.405844934550039</v>
      </c>
    </row>
    <row r="199" ht="15" customHeight="1" s="251">
      <c r="B199" s="25" t="inlineStr">
        <is>
          <t xml:space="preserve">  Incremental Adjusted EBITDA margin (ΔEBITDA / ΔRevenue)</t>
        </is>
      </c>
      <c r="C199" s="36" t="n"/>
      <c r="D199" s="36" t="n"/>
      <c r="E199" s="36" t="n"/>
      <c r="F199" s="36" t="n"/>
      <c r="G199" s="36" t="n"/>
      <c r="H199" s="215">
        <f>IFERROR((H153-C153)/(H115-C115),"")</f>
      </c>
      <c r="I199" s="215">
        <f>IFERROR((I153-D153)/(I115-D115),"")</f>
      </c>
      <c r="J199" s="215">
        <f>IFERROR((J153-E153)/(J115-E115),"")</f>
      </c>
      <c r="K199" s="215">
        <f>IFERROR((K153-F153)/(K115-F115),"")</f>
      </c>
      <c r="L199" s="215">
        <f>IFERROR((L153-G153)/(L115-G115),"")</f>
      </c>
      <c r="M199" s="215">
        <f>IFERROR((M153-H153)/(M115-H115),"")</f>
        <v>0.4765625</v>
      </c>
      <c r="N199" s="215">
        <f>IFERROR((N153-I153)/(N115-I115),"")</f>
      </c>
      <c r="O199" s="215">
        <f>IFERROR((O153-J153)/(O115-J115),"")</f>
      </c>
      <c r="P199" s="215">
        <f>IFERROR((P153-K153)/(P115-K115),"")</f>
      </c>
      <c r="Q199" s="215">
        <f>IFERROR((Q153-L153)/(Q115-L115),"")</f>
      </c>
      <c r="R199" s="215">
        <f>IFERROR((R153-M153)/(R115-M115),"")</f>
        <v>0.37956204379562</v>
      </c>
      <c r="S199" s="215">
        <f>IFERROR((S153-N153)/(S115-N115),"")</f>
        <v>0.428571428571429</v>
      </c>
      <c r="T199" s="215">
        <f>IFERROR((T153-O153)/(T115-O115),"")</f>
        <v>0.482758620689655</v>
      </c>
      <c r="U199" s="256">
        <f>IFERROR((U153-P153)/(U115-P115),"")</f>
        <v>0.330383392059479</v>
      </c>
      <c r="V199" s="256">
        <f>IFERROR((V153-Q153)/(V115-Q115),"")</f>
        <v>0.0632154434104742</v>
      </c>
      <c r="W199" s="256">
        <f>IFERROR((W153-R153)/(W115-R115),"")</f>
        <v>0.325490196078431</v>
      </c>
      <c r="X199" s="256">
        <f>IFERROR((X153-W153)/(X115-W115),"")</f>
        <v>0.498561968917721</v>
      </c>
      <c r="Y199" s="256">
        <f>IFERROR((Y153-X153)/(Y115-X115),"")</f>
        <v>0.513895105289325</v>
      </c>
      <c r="Z199" s="256">
        <f>IFERROR((Z153-Y153)/(Z115-Y115),"")</f>
        <v>0.527023525167641</v>
      </c>
      <c r="AA199" s="256">
        <f>IFERROR((AA153-Z153)/(AA115-Z115),"")</f>
        <v>0.535383503014515</v>
      </c>
      <c r="AB199" s="256">
        <f>IFERROR((AB153-AA153)/(AB115-AA115),"")</f>
        <v>0.54866475438536</v>
      </c>
      <c r="AC199" s="153" t="n"/>
    </row>
    <row r="200" ht="15" customHeight="1" s="251">
      <c r="B200" s="25" t="inlineStr">
        <is>
          <t xml:space="preserve">  Adjusted operating margin %</t>
        </is>
      </c>
      <c r="C200" s="215">
        <f>IF(AND(ISNUMBER(C170),ISNUMBER(C115)),IFERROR(C170/C115,""),"")</f>
      </c>
      <c r="D200" s="215">
        <f>IF(AND(ISNUMBER(D170),ISNUMBER(D115)),IFERROR(D170/D115,""),"")</f>
      </c>
      <c r="E200" s="215">
        <f>IF(AND(ISNUMBER(E170),ISNUMBER(E115)),IFERROR(E170/E115,""),"")</f>
      </c>
      <c r="F200" s="215">
        <f>IF(AND(ISNUMBER(F170),ISNUMBER(F115)),IFERROR(F170/F115,""),"")</f>
      </c>
      <c r="G200" s="215">
        <f>IF(AND(ISNUMBER(G170),ISNUMBER(G115)),IFERROR(G170/G115,""),"")</f>
      </c>
      <c r="H200" s="215">
        <f>IF(AND(ISNUMBER(H170),ISNUMBER(H115)),IFERROR(H170/H115,""),"")</f>
        <v>0.37979797979798</v>
      </c>
      <c r="I200" s="215">
        <f>IF(AND(ISNUMBER(I170),ISNUMBER(I115)),IFERROR(I170/I115,""),"")</f>
      </c>
      <c r="J200" s="215">
        <f>IF(AND(ISNUMBER(J170),ISNUMBER(J115)),IFERROR(J170/J115,""),"")</f>
      </c>
      <c r="K200" s="215">
        <f>IF(AND(ISNUMBER(K170),ISNUMBER(K115)),IFERROR(K170/K115,""),"")</f>
      </c>
      <c r="L200" s="215">
        <f>IF(AND(ISNUMBER(L170),ISNUMBER(L115)),IFERROR(L170/L115,""),"")</f>
      </c>
      <c r="M200" s="215">
        <f>IF(AND(ISNUMBER(M170),ISNUMBER(M115)),IFERROR(M170/M115,""),"")</f>
        <v>0.382517048977061</v>
      </c>
      <c r="N200" s="215">
        <f>IF(AND(ISNUMBER(N170),ISNUMBER(N115)),IFERROR(N170/N115,""),"")</f>
        <v>0.380952380952381</v>
      </c>
      <c r="O200" s="215">
        <f>IF(AND(ISNUMBER(O170),ISNUMBER(O115)),IFERROR(O170/O115,""),"")</f>
        <v>0.412300683371298</v>
      </c>
      <c r="P200" s="215">
        <f>IF(AND(ISNUMBER(P170),ISNUMBER(P115)),IFERROR(P170/P115,""),"")</f>
      </c>
      <c r="Q200" s="215">
        <f>IF(AND(ISNUMBER(Q170),ISNUMBER(Q115)),IFERROR(Q170/Q115,""),"")</f>
      </c>
      <c r="R200" s="215">
        <f>IF(AND(ISNUMBER(R170),ISNUMBER(R115)),IFERROR(R170/R115,""),"")</f>
        <v>0.385714285714286</v>
      </c>
      <c r="S200" s="215">
        <f>IF(AND(ISNUMBER(S170),ISNUMBER(S115)),IFERROR(S170/S115,""),"")</f>
        <v>0.386813186813187</v>
      </c>
      <c r="T200" s="215">
        <f>IF(AND(ISNUMBER(T170),ISNUMBER(T115)),IFERROR(T170/T115,""),"")</f>
        <v>0.414529914529915</v>
      </c>
      <c r="U200" s="256">
        <f>IF(AND(ISNUMBER(U170),ISNUMBER(U115)),IFERROR(U170/U115,""),"")</f>
        <v>0.402703296232559</v>
      </c>
      <c r="V200" s="256">
        <f>IF(AND(ISNUMBER(V170),ISNUMBER(V115)),IFERROR(V170/V115,""),"")</f>
        <v>0.325505532606111</v>
      </c>
      <c r="W200" s="256">
        <f>IF(AND(ISNUMBER(W170),ISNUMBER(W115)),IFERROR(W170/W115,""),"")</f>
        <v>0.382157123834887</v>
      </c>
      <c r="X200" s="256">
        <f>IF(AND(ISNUMBER(X170),ISNUMBER(X115)),IFERROR(X170/X115,""),"")</f>
        <v>0.386169668284563</v>
      </c>
      <c r="Y200" s="256">
        <f>IF(AND(ISNUMBER(Y170),ISNUMBER(Y115)),IFERROR(Y170/Y115,""),"")</f>
        <v>0.393018290823457</v>
      </c>
      <c r="Z200" s="256">
        <f>IF(AND(ISNUMBER(Z170),ISNUMBER(Z115)),IFERROR(Z170/Z115,""),"")</f>
        <v>0.399922571629308</v>
      </c>
      <c r="AA200" s="256">
        <f>IF(AND(ISNUMBER(AA170),ISNUMBER(AA115)),IFERROR(AA170/AA115,""),"")</f>
        <v>0.406729922848528</v>
      </c>
      <c r="AB200" s="256">
        <f>IF(AND(ISNUMBER(AB170),ISNUMBER(AB115)),IFERROR(AB170/AB115,""),"")</f>
        <v>0.413621218003464</v>
      </c>
      <c r="AC200" s="153" t="n"/>
      <c r="AE200" s="37">
        <f>IFERROR(AVERAGE(X200,Y200,Z200,AA200,AB200),"n/m")</f>
        <v>0.399892334317864</v>
      </c>
      <c r="AF200" s="37">
        <f>IFERROR(AVERAGE(H200,M200,R200),"n/m")</f>
        <v>0.382676438163109</v>
      </c>
      <c r="AG200" s="37">
        <f>IFERROR(AVERAGE(M200,R200),"n/m")</f>
        <v>0.384115667345674</v>
      </c>
      <c r="AH200" s="37">
        <f>IFERROR(AVERAGE(C200,H200,M200,R200),"n/m")</f>
        <v>0.382676438163109</v>
      </c>
    </row>
    <row r="201" ht="15" customHeight="1" s="251">
      <c r="B201" s="25" t="inlineStr">
        <is>
          <t xml:space="preserve">  Operating margin (GAAP) %</t>
        </is>
      </c>
      <c r="C201" s="215">
        <f>IF(AND(ISNUMBER(C119),ISNUMBER(C115)),IFERROR(C119/C115,""),"")</f>
      </c>
      <c r="D201" s="215">
        <f>IF(AND(ISNUMBER(D119),ISNUMBER(D115)),IFERROR(D119/D115,""),"")</f>
      </c>
      <c r="E201" s="215">
        <f>IF(AND(ISNUMBER(E119),ISNUMBER(E115)),IFERROR(E119/E115,""),"")</f>
      </c>
      <c r="F201" s="215">
        <f>IF(AND(ISNUMBER(F119),ISNUMBER(F115)),IFERROR(F119/F115,""),"")</f>
      </c>
      <c r="G201" s="215">
        <f>IF(AND(ISNUMBER(G119),ISNUMBER(G115)),IFERROR(G119/G115,""),"")</f>
      </c>
      <c r="H201" s="215">
        <f>IF(AND(ISNUMBER(H119),ISNUMBER(H115)),IFERROR(H119/H115,""),"")</f>
        <v>0.160942760942761</v>
      </c>
      <c r="I201" s="215">
        <f>IF(AND(ISNUMBER(I119),ISNUMBER(I115)),IFERROR(I119/I115,""),"")</f>
      </c>
      <c r="J201" s="215">
        <f>IF(AND(ISNUMBER(J119),ISNUMBER(J115)),IFERROR(J119/J115,""),"")</f>
      </c>
      <c r="K201" s="215">
        <f>IF(AND(ISNUMBER(K119),ISNUMBER(K115)),IFERROR(K119/K115,""),"")</f>
      </c>
      <c r="L201" s="215">
        <f>IF(AND(ISNUMBER(L119),ISNUMBER(L115)),IFERROR(L119/L115,""),"")</f>
      </c>
      <c r="M201" s="215">
        <f>IF(AND(ISNUMBER(M119),ISNUMBER(M115)),IFERROR(M119/M115,""),"")</f>
        <v>0.184748915065096</v>
      </c>
      <c r="N201" s="215">
        <f>IF(AND(ISNUMBER(N119),ISNUMBER(N115)),IFERROR(N119/N115,""),"")</f>
        <v>0.2</v>
      </c>
      <c r="O201" s="215">
        <f>IF(AND(ISNUMBER(O119),ISNUMBER(O115)),IFERROR(O119/O115,""),"")</f>
        <v>0.218678815489749</v>
      </c>
      <c r="P201" s="215">
        <f>IF(AND(ISNUMBER(P119),ISNUMBER(P115)),IFERROR(P119/P115,""),"")</f>
        <v>0.233707865168539</v>
      </c>
      <c r="Q201" s="215">
        <f>IF(AND(ISNUMBER(Q119),ISNUMBER(Q115)),IFERROR(Q119/Q115,""),"")</f>
        <v>0.123318385650224</v>
      </c>
      <c r="R201" s="215">
        <f>IF(AND(ISNUMBER(R119),ISNUMBER(R115)),IFERROR(R119/R115,""),"")</f>
        <v>0.193714285714286</v>
      </c>
      <c r="S201" s="215">
        <f>IF(AND(ISNUMBER(S119),ISNUMBER(S115)),IFERROR(S119/S115,""),"")</f>
        <v>0.178021978021978</v>
      </c>
      <c r="T201" s="215">
        <f>IF(AND(ISNUMBER(T119),ISNUMBER(T115)),IFERROR(T119/T115,""),"")</f>
        <v>0.175213675213675</v>
      </c>
      <c r="U201" s="256">
        <f>IF(AND(ISNUMBER(U119),ISNUMBER(U115)),IFERROR(U119/U115,""),"")</f>
        <v>0.222319836355672</v>
      </c>
      <c r="V201" s="256">
        <f>IF(AND(ISNUMBER(V119),ISNUMBER(V115)),IFERROR(V119/V115,""),"")</f>
        <v>0.1454905016488</v>
      </c>
      <c r="W201" s="256">
        <f>IF(AND(ISNUMBER(W119),ISNUMBER(W115)),IFERROR(W119/W115,""),"")</f>
        <v>0.180292942743009</v>
      </c>
      <c r="X201" s="256">
        <f>IF(AND(ISNUMBER(X119),ISNUMBER(X115)),IFERROR(X119/X115,""),"")</f>
        <v>0.229824436526807</v>
      </c>
      <c r="Y201" s="256">
        <f>IF(AND(ISNUMBER(Y119),ISNUMBER(Y115)),IFERROR(Y119/Y115,""),"")</f>
        <v>0.251365440881578</v>
      </c>
      <c r="Z201" s="256">
        <f>IF(AND(ISNUMBER(Z119),ISNUMBER(Z115)),IFERROR(Z119/Z115,""),"")</f>
        <v>0.266924285864245</v>
      </c>
      <c r="AA201" s="256">
        <f>IF(AND(ISNUMBER(AA119),ISNUMBER(AA115)),IFERROR(AA119/AA115,""),"")</f>
        <v>0.282875888601471</v>
      </c>
      <c r="AB201" s="256">
        <f>IF(AND(ISNUMBER(AB119),ISNUMBER(AB115)),IFERROR(AB119/AB115,""),"")</f>
        <v>0.29798890907104</v>
      </c>
      <c r="AC201" s="153" t="n"/>
      <c r="AE201" s="37">
        <f>IFERROR(AVERAGE(X201,Y201,Z201,AA201,AB201),"n/m")</f>
        <v>0.265795792189028</v>
      </c>
      <c r="AF201" s="37">
        <f>IFERROR(AVERAGE(H201,M201,R201),"n/m")</f>
        <v>0.179801987240714</v>
      </c>
      <c r="AG201" s="37">
        <f>IFERROR(AVERAGE(M201,R201),"n/m")</f>
        <v>0.189231600389691</v>
      </c>
      <c r="AH201" s="37">
        <f>IFERROR(AVERAGE(C201,H201,M201,R201),"n/m")</f>
        <v>0.179801987240714</v>
      </c>
    </row>
    <row r="202" ht="15" customHeight="1" s="251">
      <c r="B202" s="25" t="inlineStr">
        <is>
          <t xml:space="preserve">  Net margin %</t>
        </is>
      </c>
      <c r="C202" s="215">
        <f>IF(AND(ISNUMBER(C126),ISNUMBER(C115)),IFERROR(C126/C115,""),"")</f>
      </c>
      <c r="D202" s="215">
        <f>IF(AND(ISNUMBER(D126),ISNUMBER(D115)),IFERROR(D126/D115,""),"")</f>
      </c>
      <c r="E202" s="215">
        <f>IF(AND(ISNUMBER(E126),ISNUMBER(E115)),IFERROR(E126/E115,""),"")</f>
      </c>
      <c r="F202" s="215">
        <f>IF(AND(ISNUMBER(F126),ISNUMBER(F115)),IFERROR(F126/F115,""),"")</f>
      </c>
      <c r="G202" s="215">
        <f>IF(AND(ISNUMBER(G126),ISNUMBER(G115)),IFERROR(G126/G115,""),"")</f>
      </c>
      <c r="H202" s="215">
        <f>IF(AND(ISNUMBER(H126),ISNUMBER(H115)),IFERROR(H126/H115,""),"")</f>
        <v>0.10976430976431</v>
      </c>
      <c r="I202" s="215">
        <f>IF(AND(ISNUMBER(I126),ISNUMBER(I115)),IFERROR(I126/I115,""),"")</f>
      </c>
      <c r="J202" s="215">
        <f>IF(AND(ISNUMBER(J126),ISNUMBER(J115)),IFERROR(J126/J115,""),"")</f>
      </c>
      <c r="K202" s="215">
        <f>IF(AND(ISNUMBER(K126),ISNUMBER(K115)),IFERROR(K126/K115,""),"")</f>
      </c>
      <c r="L202" s="215">
        <f>IF(AND(ISNUMBER(L126),ISNUMBER(L115)),IFERROR(L126/L115,""),"")</f>
      </c>
      <c r="M202" s="215">
        <f>IF(AND(ISNUMBER(M126),ISNUMBER(M115)),IFERROR(M126/M115,""),"")</f>
        <v>0.128952262864228</v>
      </c>
      <c r="N202" s="215">
        <f>IF(AND(ISNUMBER(N126),ISNUMBER(N115)),IFERROR(N126/N115,""),"")</f>
        <v>0.138095238095238</v>
      </c>
      <c r="O202" s="215">
        <f>IF(AND(ISNUMBER(O126),ISNUMBER(O115)),IFERROR(O126/O115,""),"")</f>
        <v>0.148063781321185</v>
      </c>
      <c r="P202" s="215">
        <f>IF(AND(ISNUMBER(P126),ISNUMBER(P115)),IFERROR(P126/P115,""),"")</f>
        <v>0.159550561797753</v>
      </c>
      <c r="Q202" s="215">
        <f>IF(AND(ISNUMBER(Q126),ISNUMBER(Q115)),IFERROR(Q126/Q115,""),"")</f>
        <v>0.0582959641255605</v>
      </c>
      <c r="R202" s="215">
        <f>IF(AND(ISNUMBER(R126),ISNUMBER(R115)),IFERROR(R126/R115,""),"")</f>
        <v>0.125714285714286</v>
      </c>
      <c r="S202" s="215">
        <f>IF(AND(ISNUMBER(S126),ISNUMBER(S115)),IFERROR(S126/S115,""),"")</f>
        <v>0.120879120879121</v>
      </c>
      <c r="T202" s="215">
        <f>IF(AND(ISNUMBER(T126),ISNUMBER(T115)),IFERROR(T126/T115,""),"")</f>
        <v>0.113247863247863</v>
      </c>
      <c r="U202" s="256">
        <f>IF(AND(ISNUMBER(U126),ISNUMBER(U115)),IFERROR(U126/U115,""),"")</f>
        <v>0.117638352116714</v>
      </c>
      <c r="V202" s="256">
        <f>IF(AND(ISNUMBER(V126),ISNUMBER(V115)),IFERROR(V126/V115,""),"")</f>
        <v>0.0631716498514431</v>
      </c>
      <c r="W202" s="256">
        <f>IF(AND(ISNUMBER(W126),ISNUMBER(W115)),IFERROR(W126/W115,""),"")</f>
        <v>0.103470039946738</v>
      </c>
      <c r="X202" s="256">
        <f>IF(AND(ISNUMBER(X126),ISNUMBER(X115)),IFERROR(X126/X115,""),"")</f>
        <v>0.127438017116983</v>
      </c>
      <c r="Y202" s="256">
        <f>IF(AND(ISNUMBER(Y126),ISNUMBER(Y115)),IFERROR(Y126/Y115,""),"")</f>
        <v>0.145043946001194</v>
      </c>
      <c r="Z202" s="256">
        <f>IF(AND(ISNUMBER(Z126),ISNUMBER(Z115)),IFERROR(Z126/Z115,""),"")</f>
        <v>0.156987385753369</v>
      </c>
      <c r="AA202" s="256">
        <f>IF(AND(ISNUMBER(AA126),ISNUMBER(AA115)),IFERROR(AA126/AA115,""),"")</f>
        <v>0.167275070999517</v>
      </c>
      <c r="AB202" s="256">
        <f>IF(AND(ISNUMBER(AB126),ISNUMBER(AB115)),IFERROR(AB126/AB115,""),"")</f>
        <v>0.177758423777632</v>
      </c>
      <c r="AC202" s="153" t="n"/>
      <c r="AE202" s="37">
        <f>IFERROR(AVERAGE(X202,Y202,Z202,AA202,AB202),"n/m")</f>
        <v>0.154900568729739</v>
      </c>
      <c r="AF202" s="37">
        <f>IFERROR(AVERAGE(H202,M202,R202),"n/m")</f>
        <v>0.121476952780941</v>
      </c>
      <c r="AG202" s="37">
        <f>IFERROR(AVERAGE(M202,R202),"n/m")</f>
        <v>0.127333274289257</v>
      </c>
      <c r="AH202" s="37">
        <f>IFERROR(AVERAGE(C202,H202,M202,R202),"n/m")</f>
        <v>0.121476952780941</v>
      </c>
    </row>
    <row r="203" ht="15" customHeight="1" s="251">
      <c r="B203" s="25" t="inlineStr">
        <is>
          <t xml:space="preserve">  Selling &amp; general expenses % of revenue</t>
        </is>
      </c>
      <c r="C203" s="215">
        <f>IF(AND(ISNUMBER(C117),ISNUMBER(C115)),IFERROR(C117/C115,""),"")</f>
      </c>
      <c r="D203" s="215">
        <f>IF(AND(ISNUMBER(D117),ISNUMBER(D115)),IFERROR(D117/D115,""),"")</f>
      </c>
      <c r="E203" s="215">
        <f>IF(AND(ISNUMBER(E117),ISNUMBER(E115)),IFERROR(E117/E115,""),"")</f>
      </c>
      <c r="F203" s="215">
        <f>IF(AND(ISNUMBER(F117),ISNUMBER(F115)),IFERROR(F117/F115,""),"")</f>
      </c>
      <c r="G203" s="215">
        <f>IF(AND(ISNUMBER(G117),ISNUMBER(G115)),IFERROR(G117/G115,""),"")</f>
      </c>
      <c r="H203" s="215">
        <f>IF(AND(ISNUMBER(H117),ISNUMBER(H115)),IFERROR(H117/H115,""),"")</f>
        <v>0.330639730639731</v>
      </c>
      <c r="I203" s="215">
        <f>IF(AND(ISNUMBER(I117),ISNUMBER(I115)),IFERROR(I117/I115,""),"")</f>
      </c>
      <c r="J203" s="215">
        <f>IF(AND(ISNUMBER(J117),ISNUMBER(J115)),IFERROR(J117/J115,""),"")</f>
      </c>
      <c r="K203" s="215">
        <f>IF(AND(ISNUMBER(K117),ISNUMBER(K115)),IFERROR(K117/K115,""),"")</f>
      </c>
      <c r="L203" s="215">
        <f>IF(AND(ISNUMBER(L117),ISNUMBER(L115)),IFERROR(L117/L115,""),"")</f>
      </c>
      <c r="M203" s="215">
        <f>IF(AND(ISNUMBER(M117),ISNUMBER(M115)),IFERROR(M117/M115,""),"")</f>
        <v>0.329200247985121</v>
      </c>
      <c r="N203" s="215">
        <f>IF(AND(ISNUMBER(N117),ISNUMBER(N115)),IFERROR(N117/N115,""),"")</f>
        <v>0.311904761904762</v>
      </c>
      <c r="O203" s="215">
        <f>IF(AND(ISNUMBER(O117),ISNUMBER(O115)),IFERROR(O117/O115,""),"")</f>
        <v>0.305239179954442</v>
      </c>
      <c r="P203" s="215">
        <f>IF(AND(ISNUMBER(P117),ISNUMBER(P115)),IFERROR(P117/P115,""),"")</f>
        <v>0.303370786516854</v>
      </c>
      <c r="Q203" s="215">
        <f>IF(AND(ISNUMBER(Q117),ISNUMBER(Q115)),IFERROR(Q117/Q115,""),"")</f>
        <v>0.414798206278027</v>
      </c>
      <c r="R203" s="215">
        <f>IF(AND(ISNUMBER(R117),ISNUMBER(R115)),IFERROR(R117/R115,""),"")</f>
        <v>0.334285714285714</v>
      </c>
      <c r="S203" s="215">
        <f>IF(AND(ISNUMBER(S117),ISNUMBER(S115)),IFERROR(S117/S115,""),"")</f>
        <v>0.351648351648352</v>
      </c>
      <c r="T203" s="215">
        <f>IF(AND(ISNUMBER(T117),ISNUMBER(T115)),IFERROR(T117/T115,""),"")</f>
        <v>0.373931623931624</v>
      </c>
      <c r="U203" s="256">
        <f>IF(AND(ISNUMBER(U117),ISNUMBER(U115)),IFERROR(U117/U115,""),"")</f>
        <v>0.325237661096533</v>
      </c>
      <c r="V203" s="256">
        <f>IF(AND(ISNUMBER(V117),ISNUMBER(V115)),IFERROR(V117/V115,""),"")</f>
        <v>0.405291134991114</v>
      </c>
      <c r="W203" s="256">
        <f>IF(AND(ISNUMBER(W117),ISNUMBER(W115)),IFERROR(W117/W115,""),"")</f>
        <v>0.364145898669393</v>
      </c>
      <c r="X203" s="256">
        <f>IF(AND(ISNUMBER(X117),ISNUMBER(X115)),IFERROR(X117/X115,""),"")</f>
        <v>0.319792797230213</v>
      </c>
      <c r="Y203" s="256">
        <f>IF(AND(ISNUMBER(Y117),ISNUMBER(Y115)),IFERROR(Y117/Y115,""),"")</f>
        <v>0.307709415753961</v>
      </c>
      <c r="Z203" s="256">
        <f>IF(AND(ISNUMBER(Z117),ISNUMBER(Z115)),IFERROR(Z117/Z115,""),"")</f>
        <v>0.300577383259246</v>
      </c>
      <c r="AA203" s="256">
        <f>IF(AND(ISNUMBER(AA117),ISNUMBER(AA115)),IFERROR(AA117/AA115,""),"")</f>
        <v>0.293561878726145</v>
      </c>
      <c r="AB203" s="256">
        <f>IF(AND(ISNUMBER(AB117),ISNUMBER(AB115)),IFERROR(AB117/AB115,""),"")</f>
        <v>0.286483005055125</v>
      </c>
      <c r="AC203" s="153" t="n"/>
      <c r="AE203" s="37">
        <f>IFERROR(AVERAGE(X203,Y203,Z203,AA203,AB203),"n/m")</f>
        <v>0.301624896004938</v>
      </c>
      <c r="AF203" s="37">
        <f>IFERROR(AVERAGE(H203,M203,R203),"n/m")</f>
        <v>0.331375230970189</v>
      </c>
      <c r="AG203" s="37">
        <f>IFERROR(AVERAGE(M203,R203),"n/m")</f>
        <v>0.331742981135418</v>
      </c>
      <c r="AH203" s="37">
        <f>IFERROR(AVERAGE(C203,H203,M203,R203),"n/m")</f>
        <v>0.331375230970189</v>
      </c>
    </row>
    <row r="204" ht="15" customHeight="1" s="251">
      <c r="AK204" s="11" t="n"/>
      <c r="AL204" s="12" t="n"/>
      <c r="AM204" s="12" t="n"/>
      <c r="AN204" s="12" t="n"/>
      <c r="AO204" s="13" t="n"/>
    </row>
    <row r="205" ht="15" customHeight="1" s="251">
      <c r="B205" s="10" t="inlineStr">
        <is>
          <t>COMBINED / CONSOLIDATED STATEMENT OF CASH FLOWS</t>
        </is>
      </c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inlineStr">
        <is>
          <t>CASH FLOW — forecast logic (annual; 2026E = 1H/26 actual + 2H estimate). Quarters: Q1 as filed, Q2 = 1H − Q1 (10-Q); Q3-25 / Q4-25 not published (FY2025 only); 2023–24 annual only.</t>
        </is>
      </c>
    </row>
    <row r="206" ht="15" customHeight="1" s="251">
      <c r="B206" s="25" t="inlineStr">
        <is>
          <t>Net income</t>
        </is>
      </c>
      <c r="C206" s="34" t="n"/>
      <c r="D206" s="34" t="n"/>
      <c r="E206" s="34" t="n"/>
      <c r="F206" s="34" t="n"/>
      <c r="G206" s="34" t="n"/>
      <c r="H206" s="258" t="n">
        <v>163</v>
      </c>
      <c r="I206" s="34" t="n"/>
      <c r="J206" s="34" t="n"/>
      <c r="K206" s="34" t="n"/>
      <c r="L206" s="34" t="n"/>
      <c r="M206" s="258" t="n">
        <v>208</v>
      </c>
      <c r="N206" s="258" t="n">
        <v>58</v>
      </c>
      <c r="O206" s="258" t="n">
        <v>65</v>
      </c>
      <c r="P206" s="34" t="n"/>
      <c r="Q206" s="34" t="n"/>
      <c r="R206" s="258" t="n">
        <v>220</v>
      </c>
      <c r="S206" s="258" t="n">
        <v>55</v>
      </c>
      <c r="T206" s="258" t="n">
        <v>53</v>
      </c>
      <c r="U206" s="35" t="n"/>
      <c r="V206" s="35" t="n"/>
      <c r="W206" s="266">
        <f>(S206+T206)+(U126+V126)</f>
        <v>194.265</v>
      </c>
      <c r="X206" s="266">
        <f>X126</f>
        <v>255.943445955124</v>
      </c>
      <c r="Y206" s="266">
        <f>Y126</f>
        <v>311.277602974136</v>
      </c>
      <c r="Z206" s="266">
        <f>Z126</f>
        <v>358.832935285552</v>
      </c>
      <c r="AA206" s="266">
        <f>AA126</f>
        <v>406.525283386569</v>
      </c>
      <c r="AB206" s="266">
        <f>AB126</f>
        <v>458.107347114304</v>
      </c>
      <c r="AC206" s="19" t="n"/>
    </row>
    <row r="207" ht="15" customHeight="1" s="251">
      <c r="B207" s="25" t="inlineStr">
        <is>
          <t>Adjustments:</t>
        </is>
      </c>
      <c r="AC207" s="153" t="n"/>
    </row>
    <row r="208" ht="15" customHeight="1" s="251">
      <c r="B208" s="25" t="inlineStr">
        <is>
          <t xml:space="preserve">  Depreciation &amp; amortization of intangibles</t>
        </is>
      </c>
      <c r="C208" s="34" t="n"/>
      <c r="D208" s="34" t="n"/>
      <c r="E208" s="34" t="n"/>
      <c r="F208" s="34" t="n"/>
      <c r="G208" s="34" t="n"/>
      <c r="H208" s="258" t="n">
        <v>307</v>
      </c>
      <c r="I208" s="34" t="n"/>
      <c r="J208" s="34" t="n"/>
      <c r="K208" s="34" t="n"/>
      <c r="L208" s="34" t="n"/>
      <c r="M208" s="258" t="n">
        <v>309</v>
      </c>
      <c r="N208" s="258" t="n">
        <v>78</v>
      </c>
      <c r="O208" s="258" t="n">
        <v>77</v>
      </c>
      <c r="P208" s="34" t="n"/>
      <c r="Q208" s="34" t="n"/>
      <c r="R208" s="258" t="n">
        <v>310</v>
      </c>
      <c r="S208" s="258" t="n">
        <v>78</v>
      </c>
      <c r="T208" s="258" t="n">
        <v>77</v>
      </c>
      <c r="U208" s="35" t="n"/>
      <c r="V208" s="35" t="n"/>
      <c r="W208" s="266">
        <f>(S208+T208)+(U129+V129)</f>
        <v>310</v>
      </c>
      <c r="X208" s="266">
        <f>X129</f>
        <v>312.067007428101</v>
      </c>
      <c r="Y208" s="266">
        <f>Y129</f>
        <v>313.168733287031</v>
      </c>
      <c r="Z208" s="266">
        <f>Z129</f>
        <v>314.28594997304</v>
      </c>
      <c r="AA208" s="266">
        <f>AA129</f>
        <v>312.442241140056</v>
      </c>
      <c r="AB208" s="266">
        <f>AB129</f>
        <v>310.617075123815</v>
      </c>
      <c r="AC208" s="19" t="n"/>
    </row>
    <row r="209" ht="15" customHeight="1" s="251">
      <c r="B209" s="25" t="inlineStr">
        <is>
          <t xml:space="preserve">  Stock-based compensation</t>
        </is>
      </c>
      <c r="C209" s="34" t="n"/>
      <c r="D209" s="34" t="n"/>
      <c r="E209" s="34" t="n"/>
      <c r="F209" s="34" t="n"/>
      <c r="G209" s="34" t="n"/>
      <c r="H209" s="258" t="n">
        <v>20</v>
      </c>
      <c r="I209" s="34" t="n"/>
      <c r="J209" s="34" t="n"/>
      <c r="K209" s="34" t="n"/>
      <c r="L209" s="34" t="n"/>
      <c r="M209" s="258" t="n">
        <v>28</v>
      </c>
      <c r="N209" s="258" t="n">
        <v>5</v>
      </c>
      <c r="O209" s="258" t="n">
        <v>4</v>
      </c>
      <c r="P209" s="34" t="n"/>
      <c r="Q209" s="34" t="n"/>
      <c r="R209" s="258" t="n">
        <v>22</v>
      </c>
      <c r="S209" s="258" t="n">
        <v>4</v>
      </c>
      <c r="T209" s="258" t="n">
        <v>5</v>
      </c>
      <c r="U209" s="35" t="n"/>
      <c r="V209" s="35" t="n"/>
      <c r="W209" s="266">
        <f>(S209+T209)+(U130+V130)</f>
        <v>21</v>
      </c>
      <c r="X209" s="266">
        <f>X130</f>
        <v>26.1088870706638</v>
      </c>
      <c r="Y209" s="266">
        <f>Y130</f>
        <v>27.899191591426</v>
      </c>
      <c r="Z209" s="266">
        <f>Z130</f>
        <v>29.7146687061898</v>
      </c>
      <c r="AA209" s="266">
        <f>AA130</f>
        <v>31.5936418525905</v>
      </c>
      <c r="AB209" s="266">
        <f>AB130</f>
        <v>33.5027470761997</v>
      </c>
      <c r="AC209" s="19" t="n"/>
    </row>
    <row r="210" ht="15" customHeight="1" s="251">
      <c r="B210" s="25" t="inlineStr">
        <is>
          <t xml:space="preserve">  Deferred income taxes</t>
        </is>
      </c>
      <c r="C210" s="34" t="n"/>
      <c r="D210" s="34" t="n"/>
      <c r="E210" s="34" t="n"/>
      <c r="F210" s="34" t="n"/>
      <c r="G210" s="34" t="n"/>
      <c r="H210" s="258" t="n">
        <v>-95</v>
      </c>
      <c r="I210" s="34" t="n"/>
      <c r="J210" s="34" t="n"/>
      <c r="K210" s="34" t="n"/>
      <c r="L210" s="34" t="n"/>
      <c r="M210" s="258" t="n">
        <v>-102</v>
      </c>
      <c r="N210" s="258" t="n">
        <v>-23</v>
      </c>
      <c r="O210" s="258" t="n">
        <v>-20</v>
      </c>
      <c r="P210" s="34" t="n"/>
      <c r="Q210" s="34" t="n"/>
      <c r="R210" s="258" t="n">
        <v>-90</v>
      </c>
      <c r="S210" s="258" t="n">
        <v>-23</v>
      </c>
      <c r="T210" s="258" t="n">
        <v>-15</v>
      </c>
      <c r="U210" s="35" t="n"/>
      <c r="V210" s="35" t="n"/>
      <c r="W210" s="266">
        <f>(S210+T210)+-38.0</f>
        <v>-76</v>
      </c>
      <c r="X210" s="265" t="n">
        <v>-80</v>
      </c>
      <c r="Y210" s="265" t="n">
        <v>-80</v>
      </c>
      <c r="Z210" s="265" t="n">
        <v>-80</v>
      </c>
      <c r="AA210" s="265" t="n">
        <v>-80</v>
      </c>
      <c r="AB210" s="265" t="n">
        <v>-80</v>
      </c>
      <c r="AC210" s="19" t="inlineStr">
        <is>
          <t>Deferred-tax benefit from book amortization of acquired intangibles (FY2025 −$90m, 1H/26 −$38m). 2H/26E −$38m and 2027E+ −$80m p.a. are assumptions (~27% × $296m amortization).</t>
        </is>
      </c>
    </row>
    <row r="211" ht="15" customHeight="1" s="251">
      <c r="B211" s="25" t="inlineStr">
        <is>
          <t xml:space="preserve">  Provision for losses on receivables, restructuring &amp; other non-cash (incl. debt-cost accretion)</t>
        </is>
      </c>
      <c r="C211" s="34" t="n"/>
      <c r="D211" s="34" t="n"/>
      <c r="E211" s="34" t="n"/>
      <c r="F211" s="34" t="n"/>
      <c r="G211" s="34" t="n"/>
      <c r="H211" s="258" t="n">
        <v>11</v>
      </c>
      <c r="I211" s="34" t="n"/>
      <c r="J211" s="34" t="n"/>
      <c r="K211" s="34" t="n"/>
      <c r="L211" s="34" t="n"/>
      <c r="M211" s="258" t="n">
        <v>9</v>
      </c>
      <c r="N211" s="258" t="n">
        <v>1</v>
      </c>
      <c r="O211" s="258" t="n">
        <v>1</v>
      </c>
      <c r="P211" s="34" t="n"/>
      <c r="Q211" s="34" t="n"/>
      <c r="R211" s="258" t="n">
        <v>16</v>
      </c>
      <c r="S211" s="258" t="n">
        <v>1</v>
      </c>
      <c r="T211" s="258" t="n">
        <v>0</v>
      </c>
      <c r="U211" s="35" t="n"/>
      <c r="V211" s="35" t="n"/>
      <c r="W211" s="266">
        <f>(S211+T211)+W300</f>
        <v>2.5</v>
      </c>
      <c r="X211" s="266">
        <f>X300</f>
        <v>3</v>
      </c>
      <c r="Y211" s="266">
        <f>Y300</f>
        <v>3</v>
      </c>
      <c r="Z211" s="266">
        <f>Z300</f>
        <v>3</v>
      </c>
      <c r="AA211" s="266">
        <f>AA300</f>
        <v>3</v>
      </c>
      <c r="AB211" s="266">
        <f>AB300</f>
        <v>3</v>
      </c>
      <c r="AC211" s="19" t="n"/>
    </row>
    <row r="212" ht="15" customHeight="1" s="251">
      <c r="B212" s="25" t="inlineStr">
        <is>
          <t xml:space="preserve">  Changes in operating assets &amp; liabilities, net (derived)</t>
        </is>
      </c>
      <c r="C212" s="34" t="n"/>
      <c r="D212" s="34" t="n"/>
      <c r="E212" s="34" t="n"/>
      <c r="F212" s="34" t="n"/>
      <c r="G212" s="34" t="n"/>
      <c r="H212" s="258" t="n">
        <v>-13</v>
      </c>
      <c r="I212" s="34" t="n"/>
      <c r="J212" s="34" t="n"/>
      <c r="K212" s="34" t="n"/>
      <c r="L212" s="34" t="n"/>
      <c r="M212" s="258" t="n">
        <v>-25</v>
      </c>
      <c r="N212" s="258" t="n">
        <v>-52</v>
      </c>
      <c r="O212" s="258" t="n">
        <v>39</v>
      </c>
      <c r="P212" s="34" t="n"/>
      <c r="Q212" s="34" t="n"/>
      <c r="R212" s="258" t="n">
        <v>7</v>
      </c>
      <c r="S212" s="258" t="n">
        <v>-61</v>
      </c>
      <c r="T212" s="258" t="n">
        <v>15</v>
      </c>
      <c r="U212" s="35" t="n"/>
      <c r="V212" s="35" t="n"/>
      <c r="W212" s="266">
        <f>(S212+T212)-(W257-T257)-(W258-T258)+(W266-T266)+(W267-T267)+(W268-T268)</f>
        <v>-33.068595890411</v>
      </c>
      <c r="X212" s="266">
        <f>-(X257-W257)-(X258-W258)+(X266-W266)+(X267-W267)+(X268-W268)</f>
        <v>3.13205817960969</v>
      </c>
      <c r="Y212" s="266">
        <f>-(Y257-X257)-(Y258-X258)+(Y266-X266)+(Y267-X267)+(Y268-X268)</f>
        <v>3.29574499238321</v>
      </c>
      <c r="Z212" s="266">
        <f>-(Z257-Y257)-(Z258-Y258)+(Z266-Y266)+(Z267-Y267)+(Z268-Y268)</f>
        <v>3.34208484667258</v>
      </c>
      <c r="AA212" s="266">
        <f>-(AA257-Z257)-(AA258-Z258)+(AA266-Z266)+(AA267-Z267)+(AA268-Z268)</f>
        <v>3.45897374790532</v>
      </c>
      <c r="AB212" s="266">
        <f>-(AB257-AA257)-(AB258-AA258)+(AB266-AA266)+(AB267-AA267)+(AB268-AA268)</f>
        <v>3.51444344114357</v>
      </c>
      <c r="AC212" s="19" t="inlineStr">
        <is>
          <t>History: CFO − the lines above (incl. related-party balances). Forecast: −Δ(receivables, other current assets) + Δ(payables, unearned revenue, accrued &amp; other).</t>
        </is>
      </c>
    </row>
    <row r="213" ht="15" customHeight="1" s="251">
      <c r="B213" s="16" t="inlineStr">
        <is>
          <t>Cash provided by operating activities</t>
        </is>
      </c>
      <c r="C213" s="43" t="n"/>
      <c r="D213" s="43" t="n"/>
      <c r="E213" s="43" t="n"/>
      <c r="F213" s="43" t="n"/>
      <c r="G213" s="43" t="n"/>
      <c r="H213" s="253" t="n">
        <v>393</v>
      </c>
      <c r="I213" s="43" t="n"/>
      <c r="J213" s="43" t="n"/>
      <c r="K213" s="43" t="n"/>
      <c r="L213" s="43" t="n"/>
      <c r="M213" s="253" t="n">
        <v>427</v>
      </c>
      <c r="N213" s="253" t="n">
        <v>67</v>
      </c>
      <c r="O213" s="253" t="n">
        <v>166</v>
      </c>
      <c r="P213" s="43" t="n"/>
      <c r="Q213" s="43" t="n"/>
      <c r="R213" s="253" t="n">
        <v>485</v>
      </c>
      <c r="S213" s="253" t="n">
        <v>54</v>
      </c>
      <c r="T213" s="253" t="n">
        <v>135</v>
      </c>
      <c r="U213" s="32" t="n"/>
      <c r="V213" s="32" t="n"/>
      <c r="W213" s="254">
        <f>SUM(W206:W212)</f>
        <v>418.696404109589</v>
      </c>
      <c r="X213" s="254">
        <f>SUM(X206:X212)</f>
        <v>520.251398633499</v>
      </c>
      <c r="Y213" s="254">
        <f>SUM(Y206:Y212)</f>
        <v>578.641272844977</v>
      </c>
      <c r="Z213" s="254">
        <f>SUM(Z206:Z212)</f>
        <v>629.175638811455</v>
      </c>
      <c r="AA213" s="254">
        <f>SUM(AA206:AA212)</f>
        <v>677.020140127121</v>
      </c>
      <c r="AB213" s="254">
        <f>SUM(AB206:AB212)</f>
        <v>728.741612755462</v>
      </c>
      <c r="AC213" s="153" t="n"/>
      <c r="AE213" s="20">
        <f>IFERROR((AB213/W213)^(1/5)-1,"n/m")</f>
        <v>0.117210137140922</v>
      </c>
      <c r="AF213" s="20">
        <f>IFERROR((R213/H213)^(1/2)-1,"n/m")</f>
        <v>0.110899046768859</v>
      </c>
      <c r="AG213" s="20">
        <f>IFERROR(R213/M213-1,"n/m")</f>
        <v>0.135831381733021</v>
      </c>
      <c r="AH213" s="20" t="str">
        <f>IFERROR((R213/C213)^(1/3)-1,"n/m")</f>
        <v>n/m</v>
      </c>
    </row>
    <row r="214" ht="15" customHeight="1" s="251">
      <c r="B214" s="25" t="inlineStr">
        <is>
          <t>Capital expenditures</t>
        </is>
      </c>
      <c r="C214" s="34" t="n"/>
      <c r="D214" s="34" t="n"/>
      <c r="E214" s="34" t="n"/>
      <c r="F214" s="34" t="n"/>
      <c r="G214" s="34" t="n"/>
      <c r="H214" s="258" t="n">
        <v>-18</v>
      </c>
      <c r="I214" s="34" t="n"/>
      <c r="J214" s="34" t="n"/>
      <c r="K214" s="34" t="n"/>
      <c r="L214" s="34" t="n"/>
      <c r="M214" s="258" t="n">
        <v>-15</v>
      </c>
      <c r="N214" s="258" t="n">
        <v>-5</v>
      </c>
      <c r="O214" s="258" t="n">
        <v>-3</v>
      </c>
      <c r="P214" s="34" t="n"/>
      <c r="Q214" s="34" t="n"/>
      <c r="R214" s="258" t="n">
        <v>-24</v>
      </c>
      <c r="S214" s="258" t="n">
        <v>-6</v>
      </c>
      <c r="T214" s="258" t="n">
        <v>-6</v>
      </c>
      <c r="U214" s="35" t="n"/>
      <c r="V214" s="35" t="n"/>
      <c r="W214" s="266">
        <f>-$AM$19</f>
        <v>-26</v>
      </c>
      <c r="X214" s="266">
        <f>-X115*X241</f>
        <v>-28.1172629991764</v>
      </c>
      <c r="Y214" s="266">
        <f>-Y115*Y241</f>
        <v>-30.045283252305</v>
      </c>
      <c r="Z214" s="266">
        <f>-Z115*Z241</f>
        <v>-32.0004124528198</v>
      </c>
      <c r="AA214" s="266">
        <f>-AA115*AA241</f>
        <v>-34.0239219950975</v>
      </c>
      <c r="AB214" s="266">
        <f>-AB115*AB241</f>
        <v>-36.0798814666766</v>
      </c>
      <c r="AC214" s="19" t="inlineStr">
        <is>
          <t>2026E: point estimate (1H/26 $12m). 2027E+: revenue × capex %.</t>
        </is>
      </c>
    </row>
    <row r="215" ht="15" customHeight="1" s="251">
      <c r="B215" s="25" t="inlineStr">
        <is>
          <t>Acquisitions, net of cash acquired</t>
        </is>
      </c>
      <c r="C215" s="34" t="n"/>
      <c r="D215" s="34" t="n"/>
      <c r="E215" s="34" t="n"/>
      <c r="F215" s="34" t="n"/>
      <c r="G215" s="34" t="n"/>
      <c r="H215" s="258" t="n">
        <v>-214</v>
      </c>
      <c r="I215" s="34" t="n"/>
      <c r="J215" s="34" t="n"/>
      <c r="K215" s="34" t="n"/>
      <c r="L215" s="34" t="n"/>
      <c r="M215" s="258" t="n">
        <v>-6</v>
      </c>
      <c r="N215" s="258" t="n">
        <v>0</v>
      </c>
      <c r="O215" s="258" t="n">
        <v>0</v>
      </c>
      <c r="P215" s="34" t="n"/>
      <c r="Q215" s="34" t="n"/>
      <c r="R215" s="258" t="n">
        <v>-4</v>
      </c>
      <c r="S215" s="258" t="n">
        <v>0</v>
      </c>
      <c r="T215" s="258" t="n">
        <v>0</v>
      </c>
      <c r="U215" s="35" t="n"/>
      <c r="V215" s="35" t="n"/>
      <c r="W215" s="266">
        <f>(S215+T215)</f>
        <v>0</v>
      </c>
      <c r="X215" s="266">
        <f>-X71</f>
        <v>0</v>
      </c>
      <c r="Y215" s="266">
        <f>-Y71</f>
        <v>0</v>
      </c>
      <c r="Z215" s="266">
        <f>-Z71</f>
        <v>0</v>
      </c>
      <c r="AA215" s="266">
        <f>-AA71</f>
        <v>0</v>
      </c>
      <c r="AB215" s="266">
        <f>-AB71</f>
        <v>0</v>
      </c>
      <c r="AC215" s="19" t="inlineStr">
        <is>
          <t>FY2023: Market Scan (Feb-2023). 2027E+: M&amp;A lever.</t>
        </is>
      </c>
    </row>
    <row r="216" ht="15" customHeight="1" s="251">
      <c r="B216" s="25" t="inlineStr">
        <is>
          <t>Equity investments, related-party loans, dispositions (derived)</t>
        </is>
      </c>
      <c r="C216" s="34" t="n"/>
      <c r="D216" s="34" t="n"/>
      <c r="E216" s="34" t="n"/>
      <c r="F216" s="34" t="n"/>
      <c r="G216" s="34" t="n"/>
      <c r="H216" s="258" t="n">
        <v>2</v>
      </c>
      <c r="I216" s="34" t="n"/>
      <c r="J216" s="34" t="n"/>
      <c r="K216" s="34" t="n"/>
      <c r="L216" s="34" t="n"/>
      <c r="M216" s="258" t="n">
        <v>0</v>
      </c>
      <c r="N216" s="258" t="n">
        <v>0</v>
      </c>
      <c r="O216" s="258" t="n">
        <v>-3</v>
      </c>
      <c r="P216" s="34" t="n"/>
      <c r="Q216" s="34" t="n"/>
      <c r="R216" s="258" t="n">
        <v>5</v>
      </c>
      <c r="S216" s="258" t="n">
        <v>0</v>
      </c>
      <c r="T216" s="258" t="n">
        <v>-3</v>
      </c>
      <c r="U216" s="35" t="n"/>
      <c r="V216" s="35" t="n"/>
      <c r="W216" s="266">
        <f>(S216+T216)</f>
        <v>-3</v>
      </c>
      <c r="X216" s="265" t="n">
        <v>0</v>
      </c>
      <c r="Y216" s="265" t="n">
        <v>0</v>
      </c>
      <c r="Z216" s="265" t="n">
        <v>0</v>
      </c>
      <c r="AA216" s="265" t="n">
        <v>0</v>
      </c>
      <c r="AB216" s="265" t="n">
        <v>0</v>
      </c>
      <c r="AC216" s="19" t="n"/>
    </row>
    <row r="217" ht="15" customHeight="1" s="251">
      <c r="B217" s="16" t="inlineStr">
        <is>
          <t>Cash used for investing activities</t>
        </is>
      </c>
      <c r="C217" s="43" t="n"/>
      <c r="D217" s="43" t="n"/>
      <c r="E217" s="43" t="n"/>
      <c r="F217" s="43" t="n"/>
      <c r="G217" s="43" t="n"/>
      <c r="H217" s="253" t="n">
        <v>-230</v>
      </c>
      <c r="I217" s="43" t="n"/>
      <c r="J217" s="43" t="n"/>
      <c r="K217" s="43" t="n"/>
      <c r="L217" s="43" t="n"/>
      <c r="M217" s="253" t="n">
        <v>-21</v>
      </c>
      <c r="N217" s="253" t="n">
        <v>-5</v>
      </c>
      <c r="O217" s="253" t="n">
        <v>-6</v>
      </c>
      <c r="P217" s="43" t="n"/>
      <c r="Q217" s="43" t="n"/>
      <c r="R217" s="253" t="n">
        <v>-23</v>
      </c>
      <c r="S217" s="253" t="n">
        <v>-6</v>
      </c>
      <c r="T217" s="253" t="n">
        <v>-9</v>
      </c>
      <c r="U217" s="32" t="n"/>
      <c r="V217" s="32" t="n"/>
      <c r="W217" s="254">
        <f>SUM(W214:W216)</f>
        <v>-29</v>
      </c>
      <c r="X217" s="254">
        <f>SUM(X214:X216)</f>
        <v>-28.1172629991764</v>
      </c>
      <c r="Y217" s="254">
        <f>SUM(Y214:Y216)</f>
        <v>-30.045283252305</v>
      </c>
      <c r="Z217" s="254">
        <f>SUM(Z214:Z216)</f>
        <v>-32.0004124528198</v>
      </c>
      <c r="AA217" s="254">
        <f>SUM(AA214:AA216)</f>
        <v>-34.0239219950975</v>
      </c>
      <c r="AB217" s="254">
        <f>SUM(AB214:AB216)</f>
        <v>-36.0798814666766</v>
      </c>
      <c r="AC217" s="153" t="n"/>
    </row>
    <row r="218" ht="15" customHeight="1" s="251">
      <c r="B218" s="25" t="inlineStr">
        <is>
          <t>Net transfers to Parent (carve-out; 1H/26 incl. the $2.0bn separation dividend to S&amp;P Global)</t>
        </is>
      </c>
      <c r="C218" s="34" t="n"/>
      <c r="D218" s="34" t="n"/>
      <c r="E218" s="34" t="n"/>
      <c r="F218" s="34" t="n"/>
      <c r="G218" s="34" t="n"/>
      <c r="H218" s="258" t="n">
        <v>-158</v>
      </c>
      <c r="I218" s="34" t="n"/>
      <c r="J218" s="34" t="n"/>
      <c r="K218" s="34" t="n"/>
      <c r="L218" s="34" t="n"/>
      <c r="M218" s="258" t="n">
        <v>-373</v>
      </c>
      <c r="N218" s="258" t="n">
        <v>-50</v>
      </c>
      <c r="O218" s="258" t="n">
        <v>-140</v>
      </c>
      <c r="P218" s="34" t="n"/>
      <c r="Q218" s="34" t="n"/>
      <c r="R218" s="258" t="n">
        <v>-433</v>
      </c>
      <c r="S218" s="258" t="n">
        <v>37</v>
      </c>
      <c r="T218" s="258" t="n">
        <v>-2048</v>
      </c>
      <c r="U218" s="35" t="n"/>
      <c r="V218" s="35" t="n"/>
      <c r="W218" s="266">
        <f>(S218+T218)</f>
        <v>-2011</v>
      </c>
      <c r="X218" s="265" t="n">
        <v>0</v>
      </c>
      <c r="Y218" s="265" t="n">
        <v>0</v>
      </c>
      <c r="Z218" s="265" t="n">
        <v>0</v>
      </c>
      <c r="AA218" s="265" t="n">
        <v>0</v>
      </c>
      <c r="AB218" s="265" t="n">
        <v>0</v>
      </c>
      <c r="AC218" s="19" t="n"/>
    </row>
    <row r="219" ht="15" customHeight="1" s="251">
      <c r="B219" s="25" t="inlineStr">
        <is>
          <t>Proceeds from issuance of senior notes</t>
        </is>
      </c>
      <c r="C219" s="34" t="n"/>
      <c r="D219" s="34" t="n"/>
      <c r="E219" s="34" t="n"/>
      <c r="F219" s="34" t="n"/>
      <c r="G219" s="34" t="n"/>
      <c r="H219" s="258" t="n">
        <v>0</v>
      </c>
      <c r="I219" s="34" t="n"/>
      <c r="J219" s="34" t="n"/>
      <c r="K219" s="34" t="n"/>
      <c r="L219" s="34" t="n"/>
      <c r="M219" s="258" t="n">
        <v>0</v>
      </c>
      <c r="N219" s="258" t="n">
        <v>0</v>
      </c>
      <c r="O219" s="258" t="n">
        <v>0</v>
      </c>
      <c r="P219" s="34" t="n"/>
      <c r="Q219" s="34" t="n"/>
      <c r="R219" s="258" t="n">
        <v>0</v>
      </c>
      <c r="S219" s="258" t="n">
        <v>0</v>
      </c>
      <c r="T219" s="258" t="n">
        <v>1986</v>
      </c>
      <c r="U219" s="35" t="n"/>
      <c r="V219" s="35" t="n"/>
      <c r="W219" s="266">
        <f>(S219+T219)</f>
        <v>1986</v>
      </c>
      <c r="X219" s="265" t="n">
        <v>0</v>
      </c>
      <c r="Y219" s="265" t="n">
        <v>0</v>
      </c>
      <c r="Z219" s="265" t="n">
        <v>0</v>
      </c>
      <c r="AA219" s="265" t="n">
        <v>0</v>
      </c>
      <c r="AB219" s="265" t="n">
        <v>0</v>
      </c>
      <c r="AC219" s="19" t="inlineStr">
        <is>
          <t>$2.0bn notes issued 29-May-2026 (net proceeds $1,986m, released from escrow 30-Jun-2026).</t>
        </is>
      </c>
    </row>
    <row r="220" ht="15" customHeight="1" s="251">
      <c r="B220" s="25" t="inlineStr">
        <is>
          <t>Net debt issuance / (repayment) — revolver and refinancing (forecast)</t>
        </is>
      </c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5" t="n"/>
      <c r="V220" s="35" t="n"/>
      <c r="W220" s="266">
        <f>W304-T304+W298-W299</f>
        <v>0</v>
      </c>
      <c r="X220" s="266">
        <f>X304-W304+X298-X299</f>
        <v>0</v>
      </c>
      <c r="Y220" s="266">
        <f>Y304-X304+Y298-Y299</f>
        <v>0</v>
      </c>
      <c r="Z220" s="266">
        <f>Z304-Y304+Z298-Z299</f>
        <v>132.742271834204</v>
      </c>
      <c r="AA220" s="266">
        <f>AA304-Z304+AA298-AA299</f>
        <v>151.764803875423</v>
      </c>
      <c r="AB220" s="266">
        <f>AB304-AA304+AB298-AB299</f>
        <v>158.147499785745</v>
      </c>
      <c r="AC220" s="19" t="n"/>
    </row>
    <row r="221" ht="15" customHeight="1" s="251">
      <c r="B221" s="25" t="inlineStr">
        <is>
          <t>Dividends paid</t>
        </is>
      </c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5" t="n"/>
      <c r="V221" s="35" t="n"/>
      <c r="W221" s="266">
        <f>-(U139*U132+V139*V132)</f>
        <v>-35.3965584</v>
      </c>
      <c r="X221" s="266">
        <f>-X139*X249</f>
        <v>-70.8051168</v>
      </c>
      <c r="Y221" s="266">
        <f>-Y139*Y249</f>
        <v>-68.8740120839781</v>
      </c>
      <c r="Z221" s="266">
        <f>-Z139*Z249</f>
        <v>-64.7374744539187</v>
      </c>
      <c r="AA221" s="266">
        <f>-AA139*AA249</f>
        <v>-59.9059063013225</v>
      </c>
      <c r="AB221" s="266">
        <f>-AB139*AB249</f>
        <v>-54.3806576184759</v>
      </c>
      <c r="AC221" s="19" t="inlineStr">
        <is>
          <t>Quarterly $0.06 from Q3-26. 2027E+: DPS × beginning shares (no circularity with buybacks).</t>
        </is>
      </c>
    </row>
    <row r="222" collapsed="1" ht="15" customHeight="1" s="251">
      <c r="B222" s="25" t="inlineStr">
        <is>
          <t>Repurchases of common stock</t>
        </is>
      </c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5" t="n"/>
      <c r="V222" s="35" t="n"/>
      <c r="W222" s="266">
        <f>-CHOOSE(MATCH($AC$2,{"Bull","Base","Bear"},0),$AL$14,$AM$14,$AN$14)</f>
        <v>0</v>
      </c>
      <c r="X222" s="266">
        <f>-X316</f>
        <v>-437.628385750262</v>
      </c>
      <c r="Y222" s="266">
        <f>-Y316</f>
        <v>-618.264859077475</v>
      </c>
      <c r="Z222" s="266">
        <f>-Z316</f>
        <v>-676.637620963788</v>
      </c>
      <c r="AA222" s="266">
        <f>-AA316</f>
        <v>-734.855115706124</v>
      </c>
      <c r="AB222" s="266">
        <f>-AB316</f>
        <v>-796.428573456055</v>
      </c>
      <c r="AC222" s="19" t="inlineStr">
        <is>
          <t>No repurchase program announced. 2027E+ = leverage plug (surplus cash returned once net debt / Adjusted EBITDA is at the scenario target).</t>
        </is>
      </c>
    </row>
    <row r="223" ht="15" customHeight="1" s="251">
      <c r="B223" s="25" t="inlineStr">
        <is>
          <t>Related-party loan payments, contingent consideration &amp; other financing (derived)</t>
        </is>
      </c>
      <c r="C223" s="34" t="n"/>
      <c r="D223" s="34" t="n"/>
      <c r="E223" s="34" t="n"/>
      <c r="F223" s="34" t="n"/>
      <c r="G223" s="34" t="n"/>
      <c r="H223" s="258" t="n">
        <v>-2</v>
      </c>
      <c r="I223" s="34" t="n"/>
      <c r="J223" s="34" t="n"/>
      <c r="K223" s="34" t="n"/>
      <c r="L223" s="34" t="n"/>
      <c r="M223" s="258" t="n">
        <v>-50</v>
      </c>
      <c r="N223" s="258" t="n">
        <v>-12</v>
      </c>
      <c r="O223" s="258" t="n">
        <v>-8</v>
      </c>
      <c r="P223" s="34" t="n"/>
      <c r="Q223" s="34" t="n"/>
      <c r="R223" s="258" t="n">
        <v>-20</v>
      </c>
      <c r="S223" s="258" t="n">
        <v>0</v>
      </c>
      <c r="T223" s="258" t="n">
        <v>0</v>
      </c>
      <c r="U223" s="35" t="n"/>
      <c r="V223" s="35" t="n"/>
      <c r="W223" s="266">
        <f>(S223+T223)</f>
        <v>0</v>
      </c>
      <c r="X223" s="265" t="n">
        <v>0</v>
      </c>
      <c r="Y223" s="265" t="n">
        <v>0</v>
      </c>
      <c r="Z223" s="265" t="n">
        <v>0</v>
      </c>
      <c r="AA223" s="265" t="n">
        <v>0</v>
      </c>
      <c r="AB223" s="265" t="n">
        <v>0</v>
      </c>
      <c r="AC223" s="19" t="n"/>
    </row>
    <row r="224" ht="15" customHeight="1" s="251">
      <c r="B224" s="16" t="inlineStr">
        <is>
          <t>Cash provided by (used for) financing activities</t>
        </is>
      </c>
      <c r="C224" s="43" t="n"/>
      <c r="D224" s="43" t="n"/>
      <c r="E224" s="43" t="n"/>
      <c r="F224" s="43" t="n"/>
      <c r="G224" s="43" t="n"/>
      <c r="H224" s="253" t="n">
        <v>-160</v>
      </c>
      <c r="I224" s="43" t="n"/>
      <c r="J224" s="43" t="n"/>
      <c r="K224" s="43" t="n"/>
      <c r="L224" s="43" t="n"/>
      <c r="M224" s="253" t="n">
        <v>-423</v>
      </c>
      <c r="N224" s="253" t="n">
        <v>-62</v>
      </c>
      <c r="O224" s="253" t="n">
        <v>-148</v>
      </c>
      <c r="P224" s="43" t="n"/>
      <c r="Q224" s="43" t="n"/>
      <c r="R224" s="253" t="n">
        <v>-453</v>
      </c>
      <c r="S224" s="253" t="n">
        <v>37</v>
      </c>
      <c r="T224" s="253" t="n">
        <v>-62</v>
      </c>
      <c r="U224" s="32" t="n"/>
      <c r="V224" s="32" t="n"/>
      <c r="W224" s="254">
        <f>SUM(W218:W223)</f>
        <v>-60.3965584</v>
      </c>
      <c r="X224" s="254">
        <f>SUM(X218:X223)</f>
        <v>-508.433502550262</v>
      </c>
      <c r="Y224" s="254">
        <f>SUM(Y218:Y223)</f>
        <v>-687.138871161454</v>
      </c>
      <c r="Z224" s="254">
        <f>SUM(Z218:Z223)</f>
        <v>-608.632823583503</v>
      </c>
      <c r="AA224" s="254">
        <f>SUM(AA218:AA223)</f>
        <v>-642.996218132023</v>
      </c>
      <c r="AB224" s="254">
        <f>SUM(AB218:AB223)</f>
        <v>-692.661731288786</v>
      </c>
      <c r="AC224" s="153" t="n"/>
    </row>
    <row r="225" ht="15" customHeight="1" s="251">
      <c r="B225" s="25" t="inlineStr">
        <is>
          <t>Effect of exchange rate changes on cash</t>
        </is>
      </c>
      <c r="C225" s="34" t="n"/>
      <c r="D225" s="34" t="n"/>
      <c r="E225" s="34" t="n"/>
      <c r="F225" s="34" t="n"/>
      <c r="G225" s="34" t="n"/>
      <c r="H225" s="258" t="n">
        <v>2</v>
      </c>
      <c r="I225" s="34" t="n"/>
      <c r="J225" s="34" t="n"/>
      <c r="K225" s="34" t="n"/>
      <c r="L225" s="34" t="n"/>
      <c r="M225" s="258" t="n">
        <v>-3</v>
      </c>
      <c r="N225" s="258" t="n">
        <v>1</v>
      </c>
      <c r="O225" s="258" t="n">
        <v>0</v>
      </c>
      <c r="P225" s="34" t="n"/>
      <c r="Q225" s="34" t="n"/>
      <c r="R225" s="258" t="n">
        <v>2</v>
      </c>
      <c r="S225" s="258" t="n">
        <v>-1</v>
      </c>
      <c r="T225" s="258" t="n">
        <v>0</v>
      </c>
      <c r="U225" s="35" t="n"/>
      <c r="V225" s="35" t="n"/>
      <c r="W225" s="266">
        <f>(S225+T225)</f>
        <v>-1</v>
      </c>
      <c r="X225" s="265" t="n">
        <v>0</v>
      </c>
      <c r="Y225" s="265" t="n">
        <v>0</v>
      </c>
      <c r="Z225" s="265" t="n">
        <v>0</v>
      </c>
      <c r="AA225" s="265" t="n">
        <v>0</v>
      </c>
      <c r="AB225" s="265" t="n">
        <v>0</v>
      </c>
      <c r="AC225" s="19" t="n"/>
    </row>
    <row r="226" ht="15" customHeight="1" s="251">
      <c r="B226" s="25" t="inlineStr">
        <is>
          <t>Net change in cash and cash equivalents</t>
        </is>
      </c>
      <c r="C226" s="211">
        <f>IF(ISNUMBER(C213),C213+C217+C224+N(C225),"")</f>
      </c>
      <c r="D226" s="211">
        <f>IF(ISNUMBER(D213),D213+D217+D224+N(D225),"")</f>
      </c>
      <c r="E226" s="211">
        <f>IF(ISNUMBER(E213),E213+E217+E224+N(E225),"")</f>
      </c>
      <c r="F226" s="211">
        <f>IF(ISNUMBER(F213),F213+F217+F224+N(F225),"")</f>
      </c>
      <c r="G226" s="211">
        <f>IF(ISNUMBER(G213),G213+G217+G224+N(G225),"")</f>
      </c>
      <c r="H226" s="258" t="n">
        <v>5</v>
      </c>
      <c r="I226" s="211">
        <f>IF(ISNUMBER(I213),I213+I217+I224+N(I225),"")</f>
      </c>
      <c r="J226" s="211">
        <f>IF(ISNUMBER(J213),J213+J217+J224+N(J225),"")</f>
      </c>
      <c r="K226" s="211">
        <f>IF(ISNUMBER(K213),K213+K217+K224+N(K225),"")</f>
      </c>
      <c r="L226" s="211">
        <f>IF(ISNUMBER(L213),L213+L217+L224+N(L225),"")</f>
      </c>
      <c r="M226" s="258" t="n">
        <v>-20</v>
      </c>
      <c r="N226" s="258" t="n">
        <v>1</v>
      </c>
      <c r="O226" s="258" t="n">
        <v>12</v>
      </c>
      <c r="P226" s="211">
        <f>IF(ISNUMBER(P213),P213+P217+P224+N(P225),"")</f>
      </c>
      <c r="Q226" s="211">
        <f>IF(ISNUMBER(Q213),Q213+Q217+Q224+N(Q225),"")</f>
      </c>
      <c r="R226" s="258" t="n">
        <v>11</v>
      </c>
      <c r="S226" s="258" t="n">
        <v>84</v>
      </c>
      <c r="T226" s="258" t="n">
        <v>64</v>
      </c>
      <c r="U226" s="35" t="n"/>
      <c r="V226" s="35" t="n"/>
      <c r="W226" s="266">
        <f>W213+W217+W224+W225</f>
        <v>328.299845709589</v>
      </c>
      <c r="X226" s="266">
        <f>X213+X217+X224+X225</f>
        <v>-16.2993669159396</v>
      </c>
      <c r="Y226" s="266">
        <f>Y213+Y217+Y224+Y225</f>
        <v>-138.542881568781</v>
      </c>
      <c r="Z226" s="266">
        <f>Z213+Z217+Z224+Z225</f>
        <v>-11.4575972248681</v>
      </c>
      <c r="AA226" s="266">
        <f>AA213+AA217+AA224+AA225</f>
        <v>0</v>
      </c>
      <c r="AB226" s="266">
        <f>AB213+AB217+AB224+AB225</f>
        <v>0</v>
      </c>
      <c r="AC226" s="19" t="n"/>
    </row>
    <row r="227" ht="15" customHeight="1" s="251">
      <c r="B227" s="25" t="inlineStr">
        <is>
          <t>Cash — beginning of period</t>
        </is>
      </c>
      <c r="C227" s="34" t="n"/>
      <c r="D227" s="34" t="n"/>
      <c r="E227" s="34" t="n"/>
      <c r="F227" s="34" t="n"/>
      <c r="G227" s="34" t="n"/>
      <c r="H227" s="258" t="n">
        <v>42</v>
      </c>
      <c r="I227" s="34" t="n"/>
      <c r="J227" s="34" t="n"/>
      <c r="K227" s="34" t="n"/>
      <c r="L227" s="34" t="n"/>
      <c r="M227" s="258" t="n">
        <v>47</v>
      </c>
      <c r="N227" s="258" t="n">
        <v>27</v>
      </c>
      <c r="O227" s="258" t="n">
        <v>28</v>
      </c>
      <c r="P227" s="34" t="n"/>
      <c r="Q227" s="34" t="n"/>
      <c r="R227" s="258" t="n">
        <v>27</v>
      </c>
      <c r="S227" s="258" t="n">
        <v>38</v>
      </c>
      <c r="T227" s="258" t="n">
        <v>122</v>
      </c>
      <c r="U227" s="35" t="n"/>
      <c r="V227" s="35" t="n"/>
      <c r="W227" s="266">
        <f>R228</f>
        <v>38</v>
      </c>
      <c r="X227" s="266">
        <f>W228</f>
        <v>366.299845709589</v>
      </c>
      <c r="Y227" s="266">
        <f>X228</f>
        <v>350.000478793649</v>
      </c>
      <c r="Z227" s="266">
        <f>Y228</f>
        <v>211.457597224868</v>
      </c>
      <c r="AA227" s="266">
        <f>Z228</f>
        <v>200</v>
      </c>
      <c r="AB227" s="266">
        <f>AA228</f>
        <v>200</v>
      </c>
      <c r="AC227" s="19" t="n"/>
    </row>
    <row r="228" ht="15" customHeight="1" s="251">
      <c r="B228" s="16" t="inlineStr">
        <is>
          <t>Cash — end of period</t>
        </is>
      </c>
      <c r="C228" s="43" t="n"/>
      <c r="D228" s="43" t="n"/>
      <c r="E228" s="43" t="n"/>
      <c r="F228" s="43" t="n"/>
      <c r="G228" s="43" t="n"/>
      <c r="H228" s="253" t="n">
        <v>47</v>
      </c>
      <c r="I228" s="43" t="n"/>
      <c r="J228" s="43" t="n"/>
      <c r="K228" s="43" t="n"/>
      <c r="L228" s="43" t="n"/>
      <c r="M228" s="253" t="n">
        <v>27</v>
      </c>
      <c r="N228" s="253" t="n">
        <v>28</v>
      </c>
      <c r="O228" s="253" t="n">
        <v>40</v>
      </c>
      <c r="P228" s="43" t="n"/>
      <c r="Q228" s="43" t="n"/>
      <c r="R228" s="253" t="n">
        <v>38</v>
      </c>
      <c r="S228" s="253" t="n">
        <v>122</v>
      </c>
      <c r="T228" s="253" t="n">
        <v>186</v>
      </c>
      <c r="U228" s="32" t="n"/>
      <c r="V228" s="32" t="n"/>
      <c r="W228" s="254">
        <f>W227+W226</f>
        <v>366.299845709589</v>
      </c>
      <c r="X228" s="254">
        <f>X227+X226</f>
        <v>350.000478793649</v>
      </c>
      <c r="Y228" s="254">
        <f>Y227+Y226</f>
        <v>211.457597224868</v>
      </c>
      <c r="Z228" s="254">
        <f>Z227+Z226</f>
        <v>200</v>
      </c>
      <c r="AA228" s="254">
        <f>AA227+AA226</f>
        <v>200</v>
      </c>
      <c r="AB228" s="254">
        <f>AB227+AB226</f>
        <v>200</v>
      </c>
      <c r="AC228" s="153" t="n"/>
    </row>
    <row r="229" ht="15" customHeight="1" s="251">
      <c r="B229" s="57" t="inlineStr">
        <is>
          <t xml:space="preserve">  Check: beginning cash + CFO + CFI + CFF + FX = ending cash (should be 0; ±1 rounding)</t>
        </is>
      </c>
      <c r="C229" s="211">
        <f>IF(AND(ISNUMBER(C227),ISNUMBER(C213)),IF(ABS(C227+C226-C228)&lt;=1,0,C227+C226-C228),"")</f>
      </c>
      <c r="D229" s="211">
        <f>IF(AND(ISNUMBER(D227),ISNUMBER(D213)),IF(ABS(D227+D226-D228)&lt;=1,0,D227+D226-D228),"")</f>
      </c>
      <c r="E229" s="211">
        <f>IF(AND(ISNUMBER(E227),ISNUMBER(E213)),IF(ABS(E227+E226-E228)&lt;=1,0,E227+E226-E228),"")</f>
      </c>
      <c r="F229" s="211">
        <f>IF(AND(ISNUMBER(F227),ISNUMBER(F213)),IF(ABS(F227+F226-F228)&lt;=1,0,F227+F226-F228),"")</f>
      </c>
      <c r="G229" s="211">
        <f>IF(AND(ISNUMBER(G227),ISNUMBER(G213)),IF(ABS(G227+G226-G228)&lt;=1,0,G227+G226-G228),"")</f>
      </c>
      <c r="H229" s="211">
        <f>IF(AND(ISNUMBER(H227),ISNUMBER(H213)),IF(ABS(H227+H226-H228)&lt;=1,0,H227+H226-H228),"")</f>
        <v>0</v>
      </c>
      <c r="I229" s="211">
        <f>IF(AND(ISNUMBER(I227),ISNUMBER(I213)),IF(ABS(I227+I226-I228)&lt;=1,0,I227+I226-I228),"")</f>
      </c>
      <c r="J229" s="211">
        <f>IF(AND(ISNUMBER(J227),ISNUMBER(J213)),IF(ABS(J227+J226-J228)&lt;=1,0,J227+J226-J228),"")</f>
      </c>
      <c r="K229" s="211">
        <f>IF(AND(ISNUMBER(K227),ISNUMBER(K213)),IF(ABS(K227+K226-K228)&lt;=1,0,K227+K226-K228),"")</f>
      </c>
      <c r="L229" s="211">
        <f>IF(AND(ISNUMBER(L227),ISNUMBER(L213)),IF(ABS(L227+L226-L228)&lt;=1,0,L227+L226-L228),"")</f>
      </c>
      <c r="M229" s="211">
        <f>IF(AND(ISNUMBER(M227),ISNUMBER(M213)),IF(ABS(M227+M226-M228)&lt;=1,0,M227+M226-M228),"")</f>
        <v>0</v>
      </c>
      <c r="N229" s="211">
        <f>IF(AND(ISNUMBER(N227),ISNUMBER(N213)),IF(ABS(N227+N226-N228)&lt;=1,0,N227+N226-N228),"")</f>
        <v>0</v>
      </c>
      <c r="O229" s="211">
        <f>IF(AND(ISNUMBER(O227),ISNUMBER(O213)),IF(ABS(O227+O226-O228)&lt;=1,0,O227+O226-O228),"")</f>
        <v>0</v>
      </c>
      <c r="P229" s="211">
        <f>IF(AND(ISNUMBER(P227),ISNUMBER(P213)),IF(ABS(P227+P226-P228)&lt;=1,0,P227+P226-P228),"")</f>
      </c>
      <c r="Q229" s="211">
        <f>IF(AND(ISNUMBER(Q227),ISNUMBER(Q213)),IF(ABS(Q227+Q226-Q228)&lt;=1,0,Q227+Q226-Q228),"")</f>
      </c>
      <c r="R229" s="211">
        <f>IF(AND(ISNUMBER(R227),ISNUMBER(R213)),IF(ABS(R227+R226-R228)&lt;=1,0,R227+R226-R228),"")</f>
        <v>0</v>
      </c>
      <c r="S229" s="211">
        <f>IF(AND(ISNUMBER(S227),ISNUMBER(S213)),IF(ABS(S227+S226-S228)&lt;=1,0,S227+S226-S228),"")</f>
        <v>0</v>
      </c>
      <c r="T229" s="211">
        <f>IF(AND(ISNUMBER(T227),ISNUMBER(T213)),IF(ABS(T227+T226-T228)&lt;=1,0,T227+T226-T228),"")</f>
        <v>0</v>
      </c>
      <c r="U229" s="153" t="n"/>
      <c r="V229" s="153" t="n"/>
      <c r="W229" s="270">
        <f>IF(AND(ISNUMBER(W227),ISNUMBER(W213)),IF(ABS(W227+W226-W228)&lt;=1,0,W227+W226-W228),"")</f>
        <v>0</v>
      </c>
      <c r="X229" s="270">
        <f>IF(AND(ISNUMBER(X227),ISNUMBER(X213)),IF(ABS(X227+X226-X228)&lt;=1,0,X227+X226-X228),"")</f>
        <v>0</v>
      </c>
      <c r="Y229" s="270">
        <f>IF(AND(ISNUMBER(Y227),ISNUMBER(Y213)),IF(ABS(Y227+Y226-Y228)&lt;=1,0,Y227+Y226-Y228),"")</f>
        <v>0</v>
      </c>
      <c r="Z229" s="270">
        <f>IF(AND(ISNUMBER(Z227),ISNUMBER(Z213)),IF(ABS(Z227+Z226-Z228)&lt;=1,0,Z227+Z226-Z228),"")</f>
        <v>0</v>
      </c>
      <c r="AA229" s="270">
        <f>IF(AND(ISNUMBER(AA227),ISNUMBER(AA213)),IF(ABS(AA227+AA226-AA228)&lt;=1,0,AA227+AA226-AA228),"")</f>
        <v>0</v>
      </c>
      <c r="AB229" s="270">
        <f>IF(AND(ISNUMBER(AB227),ISNUMBER(AB213)),IF(ABS(AB227+AB226-AB228)&lt;=1,0,AB227+AB226-AB228),"")</f>
        <v>0</v>
      </c>
      <c r="AC229" s="153" t="n"/>
    </row>
    <row r="230" ht="15" customHeight="1" s="251">
      <c r="B230" s="57" t="inlineStr">
        <is>
          <t xml:space="preserve">  Check: CFO = sum of operating lines (should be 0)</t>
        </is>
      </c>
      <c r="C230" s="211">
        <f>IF(ISNUMBER(C206),ROUND(SUM(C206:C212)-C213,1),"")</f>
      </c>
      <c r="D230" s="211">
        <f>IF(ISNUMBER(D206),ROUND(SUM(D206:D212)-D213,1),"")</f>
      </c>
      <c r="E230" s="211">
        <f>IF(ISNUMBER(E206),ROUND(SUM(E206:E212)-E213,1),"")</f>
      </c>
      <c r="F230" s="211">
        <f>IF(ISNUMBER(F206),ROUND(SUM(F206:F212)-F213,1),"")</f>
      </c>
      <c r="G230" s="211">
        <f>IF(ISNUMBER(G206),ROUND(SUM(G206:G212)-G213,1),"")</f>
      </c>
      <c r="H230" s="211">
        <f>IF(ISNUMBER(H206),ROUND(SUM(H206:H212)-H213,1),"")</f>
        <v>0</v>
      </c>
      <c r="I230" s="211">
        <f>IF(ISNUMBER(I206),ROUND(SUM(I206:I212)-I213,1),"")</f>
      </c>
      <c r="J230" s="211">
        <f>IF(ISNUMBER(J206),ROUND(SUM(J206:J212)-J213,1),"")</f>
      </c>
      <c r="K230" s="211">
        <f>IF(ISNUMBER(K206),ROUND(SUM(K206:K212)-K213,1),"")</f>
      </c>
      <c r="L230" s="211">
        <f>IF(ISNUMBER(L206),ROUND(SUM(L206:L212)-L213,1),"")</f>
      </c>
      <c r="M230" s="211">
        <f>IF(ISNUMBER(M206),ROUND(SUM(M206:M212)-M213,1),"")</f>
        <v>0</v>
      </c>
      <c r="N230" s="211">
        <f>IF(ISNUMBER(N206),ROUND(SUM(N206:N212)-N213,1),"")</f>
        <v>0</v>
      </c>
      <c r="O230" s="211">
        <f>IF(ISNUMBER(O206),ROUND(SUM(O206:O212)-O213,1),"")</f>
        <v>0</v>
      </c>
      <c r="P230" s="211">
        <f>IF(ISNUMBER(P206),ROUND(SUM(P206:P212)-P213,1),"")</f>
      </c>
      <c r="Q230" s="211">
        <f>IF(ISNUMBER(Q206),ROUND(SUM(Q206:Q212)-Q213,1),"")</f>
      </c>
      <c r="R230" s="211">
        <f>IF(ISNUMBER(R206),ROUND(SUM(R206:R212)-R213,1),"")</f>
        <v>0</v>
      </c>
      <c r="S230" s="211">
        <f>IF(ISNUMBER(S206),ROUND(SUM(S206:S212)-S213,1),"")</f>
        <v>0</v>
      </c>
      <c r="T230" s="211">
        <f>IF(ISNUMBER(T206),ROUND(SUM(T206:T212)-T213,1),"")</f>
        <v>0</v>
      </c>
      <c r="U230" s="153" t="n"/>
      <c r="V230" s="153" t="n"/>
      <c r="W230" s="270">
        <f>IF(ISNUMBER(W206),ROUND(SUM(W206:W212)-W213,1),"")</f>
        <v>0</v>
      </c>
      <c r="X230" s="270">
        <f>IF(ISNUMBER(X206),ROUND(SUM(X206:X212)-X213,1),"")</f>
        <v>0</v>
      </c>
      <c r="Y230" s="270">
        <f>IF(ISNUMBER(Y206),ROUND(SUM(Y206:Y212)-Y213,1),"")</f>
        <v>0</v>
      </c>
      <c r="Z230" s="270">
        <f>IF(ISNUMBER(Z206),ROUND(SUM(Z206:Z212)-Z213,1),"")</f>
        <v>0</v>
      </c>
      <c r="AA230" s="270">
        <f>IF(ISNUMBER(AA206),ROUND(SUM(AA206:AA212)-AA213,1),"")</f>
        <v>0</v>
      </c>
      <c r="AB230" s="270">
        <f>IF(ISNUMBER(AB206),ROUND(SUM(AB206:AB212)-AB213,1),"")</f>
        <v>0</v>
      </c>
      <c r="AC230" s="153" t="n"/>
    </row>
    <row r="231" ht="15" customHeight="1" s="251">
      <c r="B231" s="25" t="inlineStr">
        <is>
          <t>(Memo)</t>
        </is>
      </c>
      <c r="AC231" s="153" t="n"/>
    </row>
    <row r="232" ht="15" customHeight="1" s="251">
      <c r="B232" s="55" t="inlineStr">
        <is>
          <t>Free cash flow (company definition: cash from operations − capital expenditures)</t>
        </is>
      </c>
      <c r="C232" s="269">
        <f>IF(AND(ISNUMBER(C213),ISNUMBER(C214)),C213+C214,"")</f>
      </c>
      <c r="D232" s="269">
        <f>IF(AND(ISNUMBER(D213),ISNUMBER(D214)),D213+D214,"")</f>
      </c>
      <c r="E232" s="269">
        <f>IF(AND(ISNUMBER(E213),ISNUMBER(E214)),E213+E214,"")</f>
      </c>
      <c r="F232" s="269">
        <f>IF(AND(ISNUMBER(F213),ISNUMBER(F214)),F213+F214,"")</f>
      </c>
      <c r="G232" s="269">
        <f>IF(AND(ISNUMBER(G213),ISNUMBER(G214)),G213+G214,"")</f>
      </c>
      <c r="H232" s="269">
        <f>IF(AND(ISNUMBER(H213),ISNUMBER(H214)),H213+H214,"")</f>
        <v>375</v>
      </c>
      <c r="I232" s="269">
        <f>IF(AND(ISNUMBER(I213),ISNUMBER(I214)),I213+I214,"")</f>
      </c>
      <c r="J232" s="269">
        <f>IF(AND(ISNUMBER(J213),ISNUMBER(J214)),J213+J214,"")</f>
      </c>
      <c r="K232" s="269">
        <f>IF(AND(ISNUMBER(K213),ISNUMBER(K214)),K213+K214,"")</f>
      </c>
      <c r="L232" s="269">
        <f>IF(AND(ISNUMBER(L213),ISNUMBER(L214)),L213+L214,"")</f>
      </c>
      <c r="M232" s="269">
        <f>IF(AND(ISNUMBER(M213),ISNUMBER(M214)),M213+M214,"")</f>
        <v>412</v>
      </c>
      <c r="N232" s="269">
        <f>IF(AND(ISNUMBER(N213),ISNUMBER(N214)),N213+N214,"")</f>
        <v>62</v>
      </c>
      <c r="O232" s="269">
        <f>IF(AND(ISNUMBER(O213),ISNUMBER(O214)),O213+O214,"")</f>
        <v>163</v>
      </c>
      <c r="P232" s="269">
        <f>IF(AND(ISNUMBER(P213),ISNUMBER(P214)),P213+P214,"")</f>
      </c>
      <c r="Q232" s="269">
        <f>IF(AND(ISNUMBER(Q213),ISNUMBER(Q214)),Q213+Q214,"")</f>
      </c>
      <c r="R232" s="269">
        <f>IF(AND(ISNUMBER(R213),ISNUMBER(R214)),R213+R214,"")</f>
        <v>461</v>
      </c>
      <c r="S232" s="269">
        <f>IF(AND(ISNUMBER(S213),ISNUMBER(S214)),S213+S214,"")</f>
        <v>48</v>
      </c>
      <c r="T232" s="269">
        <f>IF(AND(ISNUMBER(T213),ISNUMBER(T214)),T213+T214,"")</f>
        <v>129</v>
      </c>
      <c r="U232" s="56" t="n"/>
      <c r="V232" s="56" t="n"/>
      <c r="W232" s="269">
        <f>IF(AND(ISNUMBER(W213),ISNUMBER(W214)),W213+W214,"")</f>
        <v>392.696404109589</v>
      </c>
      <c r="X232" s="269">
        <f>IF(AND(ISNUMBER(X213),ISNUMBER(X214)),X213+X214,"")</f>
        <v>492.134135634322</v>
      </c>
      <c r="Y232" s="269">
        <f>IF(AND(ISNUMBER(Y213),ISNUMBER(Y214)),Y213+Y214,"")</f>
        <v>548.595989592672</v>
      </c>
      <c r="Z232" s="269">
        <f>IF(AND(ISNUMBER(Z213),ISNUMBER(Z214)),Z213+Z214,"")</f>
        <v>597.175226358635</v>
      </c>
      <c r="AA232" s="269">
        <f>IF(AND(ISNUMBER(AA213),ISNUMBER(AA214)),AA213+AA214,"")</f>
        <v>642.996218132023</v>
      </c>
      <c r="AB232" s="269">
        <f>IF(AND(ISNUMBER(AB213),ISNUMBER(AB214)),AB213+AB214,"")</f>
        <v>692.661731288786</v>
      </c>
      <c r="AC232" s="153" t="n"/>
      <c r="AE232" s="20">
        <f>IFERROR((AB232/W232)^(1/5)-1,"n/m")</f>
        <v>0.120192998572343</v>
      </c>
      <c r="AF232" s="20">
        <f>IFERROR((R232/H232)^(1/2)-1,"n/m")</f>
        <v>0.108753053359193</v>
      </c>
      <c r="AG232" s="20">
        <f>IFERROR(R232/M232-1,"n/m")</f>
        <v>0.118932038834952</v>
      </c>
      <c r="AH232" s="20" t="str">
        <f>IFERROR((R232/C232)^(1/3)-1,"n/m")</f>
        <v>n/m</v>
      </c>
    </row>
    <row r="233" ht="15" customHeight="1" s="251">
      <c r="B233" s="156" t="inlineStr">
        <is>
          <t xml:space="preserve">  Company-published free cash flow</t>
        </is>
      </c>
      <c r="C233" s="34" t="n"/>
      <c r="D233" s="34" t="n"/>
      <c r="E233" s="34" t="n"/>
      <c r="F233" s="34" t="n"/>
      <c r="G233" s="34" t="n"/>
      <c r="H233" s="258" t="n">
        <v>375</v>
      </c>
      <c r="I233" s="34" t="n"/>
      <c r="J233" s="34" t="n"/>
      <c r="K233" s="34" t="n"/>
      <c r="L233" s="34" t="n"/>
      <c r="M233" s="258" t="n">
        <v>412</v>
      </c>
      <c r="N233" s="258" t="n">
        <v>62</v>
      </c>
      <c r="O233" s="258" t="n">
        <v>163</v>
      </c>
      <c r="P233" s="34" t="n"/>
      <c r="Q233" s="34" t="n"/>
      <c r="R233" s="258" t="n">
        <v>461</v>
      </c>
      <c r="S233" s="258" t="n">
        <v>48</v>
      </c>
      <c r="T233" s="258" t="n">
        <v>129</v>
      </c>
      <c r="U233" s="153" t="n"/>
      <c r="V233" s="153" t="n"/>
      <c r="W233" s="153" t="n"/>
      <c r="X233" s="153" t="n"/>
      <c r="Y233" s="153" t="n"/>
      <c r="Z233" s="153" t="n"/>
      <c r="AA233" s="153" t="n"/>
      <c r="AB233" s="153" t="n"/>
      <c r="AC233" s="153" t="n"/>
    </row>
    <row r="234" ht="15" customHeight="1" s="251">
      <c r="B234" s="57" t="inlineStr">
        <is>
          <t xml:space="preserve">  Check: model vs company-published free cash flow (should be 0; ±1 rounding)</t>
        </is>
      </c>
      <c r="C234" s="211">
        <f>IF(AND(ISNUMBER(C233),ISNUMBER(C232)),IF(ABS(C232-C233)&lt;=1,0,C232-C233),"")</f>
      </c>
      <c r="D234" s="211">
        <f>IF(AND(ISNUMBER(D233),ISNUMBER(D232)),IF(ABS(D232-D233)&lt;=1,0,D232-D233),"")</f>
      </c>
      <c r="E234" s="211">
        <f>IF(AND(ISNUMBER(E233),ISNUMBER(E232)),IF(ABS(E232-E233)&lt;=1,0,E232-E233),"")</f>
      </c>
      <c r="F234" s="211">
        <f>IF(AND(ISNUMBER(F233),ISNUMBER(F232)),IF(ABS(F232-F233)&lt;=1,0,F232-F233),"")</f>
      </c>
      <c r="G234" s="211">
        <f>IF(AND(ISNUMBER(G233),ISNUMBER(G232)),IF(ABS(G232-G233)&lt;=1,0,G232-G233),"")</f>
      </c>
      <c r="H234" s="211">
        <f>IF(AND(ISNUMBER(H233),ISNUMBER(H232)),IF(ABS(H232-H233)&lt;=1,0,H232-H233),"")</f>
        <v>0</v>
      </c>
      <c r="I234" s="211">
        <f>IF(AND(ISNUMBER(I233),ISNUMBER(I232)),IF(ABS(I232-I233)&lt;=1,0,I232-I233),"")</f>
      </c>
      <c r="J234" s="211">
        <f>IF(AND(ISNUMBER(J233),ISNUMBER(J232)),IF(ABS(J232-J233)&lt;=1,0,J232-J233),"")</f>
      </c>
      <c r="K234" s="211">
        <f>IF(AND(ISNUMBER(K233),ISNUMBER(K232)),IF(ABS(K232-K233)&lt;=1,0,K232-K233),"")</f>
      </c>
      <c r="L234" s="211">
        <f>IF(AND(ISNUMBER(L233),ISNUMBER(L232)),IF(ABS(L232-L233)&lt;=1,0,L232-L233),"")</f>
      </c>
      <c r="M234" s="211">
        <f>IF(AND(ISNUMBER(M233),ISNUMBER(M232)),IF(ABS(M232-M233)&lt;=1,0,M232-M233),"")</f>
        <v>0</v>
      </c>
      <c r="N234" s="211">
        <f>IF(AND(ISNUMBER(N233),ISNUMBER(N232)),IF(ABS(N232-N233)&lt;=1,0,N232-N233),"")</f>
        <v>0</v>
      </c>
      <c r="O234" s="211">
        <f>IF(AND(ISNUMBER(O233),ISNUMBER(O232)),IF(ABS(O232-O233)&lt;=1,0,O232-O233),"")</f>
        <v>0</v>
      </c>
      <c r="P234" s="211">
        <f>IF(AND(ISNUMBER(P233),ISNUMBER(P232)),IF(ABS(P232-P233)&lt;=1,0,P232-P233),"")</f>
      </c>
      <c r="Q234" s="211">
        <f>IF(AND(ISNUMBER(Q233),ISNUMBER(Q232)),IF(ABS(Q232-Q233)&lt;=1,0,Q232-Q233),"")</f>
      </c>
      <c r="R234" s="211">
        <f>IF(AND(ISNUMBER(R233),ISNUMBER(R232)),IF(ABS(R232-R233)&lt;=1,0,R232-R233),"")</f>
        <v>0</v>
      </c>
      <c r="S234" s="211">
        <f>IF(AND(ISNUMBER(S233),ISNUMBER(S232)),IF(ABS(S232-S233)&lt;=1,0,S232-S233),"")</f>
        <v>0</v>
      </c>
      <c r="T234" s="211">
        <f>IF(AND(ISNUMBER(T233),ISNUMBER(T232)),IF(ABS(T232-T233)&lt;=1,0,T232-T233),"")</f>
        <v>0</v>
      </c>
      <c r="U234" s="153" t="n"/>
      <c r="V234" s="153" t="n"/>
      <c r="W234" s="153" t="n"/>
      <c r="X234" s="153" t="n"/>
      <c r="Y234" s="153" t="n"/>
      <c r="Z234" s="153" t="n"/>
      <c r="AA234" s="153" t="n"/>
      <c r="AB234" s="153" t="n"/>
      <c r="AC234" s="153" t="n"/>
    </row>
    <row r="235" ht="15" customHeight="1" s="251">
      <c r="B235" s="22" t="inlineStr">
        <is>
          <t xml:space="preserve">  FCF y/y %</t>
        </is>
      </c>
      <c r="C235" s="23" t="n"/>
      <c r="D235" s="23" t="n"/>
      <c r="E235" s="23" t="n"/>
      <c r="F235" s="23" t="n"/>
      <c r="G235" s="23" t="n"/>
      <c r="H235" s="255">
        <f>IF(AND(ISNUMBER(H232),ISNUMBER(C232)),IFERROR(H232/C232-1,""),"")</f>
      </c>
      <c r="I235" s="255">
        <f>IF(AND(ISNUMBER(I232),ISNUMBER(D232)),IFERROR(I232/D232-1,""),"")</f>
      </c>
      <c r="J235" s="255">
        <f>IF(AND(ISNUMBER(J232),ISNUMBER(E232)),IFERROR(J232/E232-1,""),"")</f>
      </c>
      <c r="K235" s="255">
        <f>IF(AND(ISNUMBER(K232),ISNUMBER(F232)),IFERROR(K232/F232-1,""),"")</f>
      </c>
      <c r="L235" s="255">
        <f>IF(AND(ISNUMBER(L232),ISNUMBER(G232)),IFERROR(L232/G232-1,""),"")</f>
      </c>
      <c r="M235" s="255">
        <f>IF(AND(ISNUMBER(M232),ISNUMBER(H232)),IFERROR(M232/H232-1,""),"")</f>
        <v>0.0986666666666667</v>
      </c>
      <c r="N235" s="255">
        <f>IF(AND(ISNUMBER(N232),ISNUMBER(I232)),IFERROR(N232/I232-1,""),"")</f>
      </c>
      <c r="O235" s="255">
        <f>IF(AND(ISNUMBER(O232),ISNUMBER(J232)),IFERROR(O232/J232-1,""),"")</f>
      </c>
      <c r="P235" s="255">
        <f>IF(AND(ISNUMBER(P232),ISNUMBER(K232)),IFERROR(P232/K232-1,""),"")</f>
      </c>
      <c r="Q235" s="255">
        <f>IF(AND(ISNUMBER(Q232),ISNUMBER(L232)),IFERROR(Q232/L232-1,""),"")</f>
      </c>
      <c r="R235" s="255">
        <f>IF(AND(ISNUMBER(R232),ISNUMBER(M232)),IFERROR(R232/M232-1,""),"")</f>
        <v>0.118932038834952</v>
      </c>
      <c r="S235" s="255">
        <f>IF(AND(ISNUMBER(S232),ISNUMBER(N232)),IFERROR(S232/N232-1,""),"")</f>
        <v>-0.225806451612903</v>
      </c>
      <c r="T235" s="255">
        <f>IF(AND(ISNUMBER(T232),ISNUMBER(O232)),IFERROR(T232/O232-1,""),"")</f>
        <v>-0.208588957055215</v>
      </c>
      <c r="U235" s="24" t="n"/>
      <c r="V235" s="24" t="n"/>
      <c r="W235" s="256">
        <f>IF(AND(ISNUMBER(W232),ISNUMBER(R232)),IFERROR(W232/R232-1,""),"")</f>
        <v>-0.148163982408701</v>
      </c>
      <c r="X235" s="256">
        <f>IF(AND(ISNUMBER(X232),ISNUMBER(W232)),IFERROR(X232/W232-1,""),"")</f>
        <v>0.253217830578818</v>
      </c>
      <c r="Y235" s="256">
        <f>IF(AND(ISNUMBER(Y232),ISNUMBER(X232)),IFERROR(Y232/X232-1,""),"")</f>
        <v>0.114728586923919</v>
      </c>
      <c r="Z235" s="256">
        <f>IF(AND(ISNUMBER(Z232),ISNUMBER(Y232)),IFERROR(Z232/Y232-1,""),"")</f>
        <v>0.0885519356458151</v>
      </c>
      <c r="AA235" s="256">
        <f>IF(AND(ISNUMBER(AA232),ISNUMBER(Z232)),IFERROR(AA232/Z232-1,""),"")</f>
        <v>0.0767295590153481</v>
      </c>
      <c r="AB235" s="256">
        <f>IF(AND(ISNUMBER(AB232),ISNUMBER(AA232)),IFERROR(AB232/AA232-1,""),"")</f>
        <v>0.0772407546984433</v>
      </c>
      <c r="AC235" s="153" t="n"/>
    </row>
    <row r="236" ht="15" customHeight="1" s="251">
      <c r="B236" s="25" t="inlineStr">
        <is>
          <t xml:space="preserve">  FCF % of revenue</t>
        </is>
      </c>
      <c r="C236" s="215">
        <f>IF(AND(ISNUMBER(C232),ISNUMBER(C115)),IFERROR(C232/C115,""),"")</f>
      </c>
      <c r="D236" s="215">
        <f>IF(AND(ISNUMBER(D232),ISNUMBER(D115)),IFERROR(D232/D115,""),"")</f>
      </c>
      <c r="E236" s="215">
        <f>IF(AND(ISNUMBER(E232),ISNUMBER(E115)),IFERROR(E232/E115,""),"")</f>
      </c>
      <c r="F236" s="215">
        <f>IF(AND(ISNUMBER(F232),ISNUMBER(F115)),IFERROR(F232/F115,""),"")</f>
      </c>
      <c r="G236" s="215">
        <f>IF(AND(ISNUMBER(G232),ISNUMBER(G115)),IFERROR(G232/G115,""),"")</f>
      </c>
      <c r="H236" s="215">
        <f>IF(AND(ISNUMBER(H232),ISNUMBER(H115)),IFERROR(H232/H115,""),"")</f>
        <v>0.252525252525253</v>
      </c>
      <c r="I236" s="215">
        <f>IF(AND(ISNUMBER(I232),ISNUMBER(I115)),IFERROR(I232/I115,""),"")</f>
      </c>
      <c r="J236" s="215">
        <f>IF(AND(ISNUMBER(J232),ISNUMBER(J115)),IFERROR(J232/J115,""),"")</f>
      </c>
      <c r="K236" s="215">
        <f>IF(AND(ISNUMBER(K232),ISNUMBER(K115)),IFERROR(K232/K115,""),"")</f>
      </c>
      <c r="L236" s="215">
        <f>IF(AND(ISNUMBER(L232),ISNUMBER(L115)),IFERROR(L232/L115,""),"")</f>
      </c>
      <c r="M236" s="215">
        <f>IF(AND(ISNUMBER(M232),ISNUMBER(M115)),IFERROR(M232/M115,""),"")</f>
        <v>0.255424674519529</v>
      </c>
      <c r="N236" s="215">
        <f>IF(AND(ISNUMBER(N232),ISNUMBER(N115)),IFERROR(N232/N115,""),"")</f>
        <v>0.147619047619048</v>
      </c>
      <c r="O236" s="215">
        <f>IF(AND(ISNUMBER(O232),ISNUMBER(O115)),IFERROR(O232/O115,""),"")</f>
        <v>0.37129840546697</v>
      </c>
      <c r="P236" s="215">
        <f>IF(AND(ISNUMBER(P232),ISNUMBER(P115)),IFERROR(P232/P115,""),"")</f>
      </c>
      <c r="Q236" s="215">
        <f>IF(AND(ISNUMBER(Q232),ISNUMBER(Q115)),IFERROR(Q232/Q115,""),"")</f>
      </c>
      <c r="R236" s="215">
        <f>IF(AND(ISNUMBER(R232),ISNUMBER(R115)),IFERROR(R232/R115,""),"")</f>
        <v>0.263428571428571</v>
      </c>
      <c r="S236" s="215">
        <f>IF(AND(ISNUMBER(S232),ISNUMBER(S115)),IFERROR(S232/S115,""),"")</f>
        <v>0.105494505494506</v>
      </c>
      <c r="T236" s="215">
        <f>IF(AND(ISNUMBER(T232),ISNUMBER(T115)),IFERROR(T232/T115,""),"")</f>
        <v>0.275641025641026</v>
      </c>
      <c r="U236" s="24" t="n"/>
      <c r="V236" s="24" t="n"/>
      <c r="W236" s="256">
        <f>IF(AND(ISNUMBER(W232),ISNUMBER(W115)),IFERROR(W232/W115,""),"")</f>
        <v>0.209159203254109</v>
      </c>
      <c r="X236" s="256">
        <f>IF(AND(ISNUMBER(X232),ISNUMBER(X115)),IFERROR(X232/X115,""),"")</f>
        <v>0.245040845514812</v>
      </c>
      <c r="Y236" s="256">
        <f>IF(AND(ISNUMBER(Y232),ISNUMBER(Y115)),IFERROR(Y232/Y115,""),"")</f>
        <v>0.255625609843708</v>
      </c>
      <c r="Z236" s="256">
        <f>IF(AND(ISNUMBER(Z232),ISNUMBER(Z115)),IFERROR(Z232/Z115,""),"")</f>
        <v>0.261260794102177</v>
      </c>
      <c r="AA236" s="256">
        <f>IF(AND(ISNUMBER(AA232),ISNUMBER(AA115)),IFERROR(AA232/AA115,""),"")</f>
        <v>0.264576995419441</v>
      </c>
      <c r="AB236" s="256">
        <f>IF(AND(ISNUMBER(AB232),ISNUMBER(AB115)),IFERROR(AB232/AB115,""),"")</f>
        <v>0.268772064758566</v>
      </c>
      <c r="AC236" s="153" t="n"/>
      <c r="AE236" s="37">
        <f>IFERROR(AVERAGE(X236,Y236,Z236,AA236,AB236),"n/m")</f>
        <v>0.259055261927741</v>
      </c>
      <c r="AF236" s="37">
        <f>IFERROR(AVERAGE(H236,M236,R236),"n/m")</f>
        <v>0.257126166157784</v>
      </c>
      <c r="AG236" s="37">
        <f>IFERROR(AVERAGE(M236,R236),"n/m")</f>
        <v>0.25942662297405</v>
      </c>
      <c r="AH236" s="37">
        <f>IFERROR(AVERAGE(C236,H236,M236,R236),"n/m")</f>
        <v>0.257126166157784</v>
      </c>
    </row>
    <row r="237" ht="15" customHeight="1" s="251">
      <c r="B237" s="25" t="inlineStr">
        <is>
          <t xml:space="preserve">  FCF / adjusted net income conversion %</t>
        </is>
      </c>
      <c r="C237" s="215">
        <f>IF(AND(ISNUMBER(C232),ISNUMBER(C183)),IFERROR(C232/C183,""),"")</f>
      </c>
      <c r="D237" s="215">
        <f>IF(AND(ISNUMBER(D232),ISNUMBER(D183)),IFERROR(D232/D183,""),"")</f>
      </c>
      <c r="E237" s="215">
        <f>IF(AND(ISNUMBER(E232),ISNUMBER(E183)),IFERROR(E232/E183,""),"")</f>
      </c>
      <c r="F237" s="215">
        <f>IF(AND(ISNUMBER(F232),ISNUMBER(F183)),IFERROR(F232/F183,""),"")</f>
      </c>
      <c r="G237" s="215">
        <f>IF(AND(ISNUMBER(G232),ISNUMBER(G183)),IFERROR(G232/G183,""),"")</f>
      </c>
      <c r="H237" s="215">
        <f>IF(AND(ISNUMBER(H232),ISNUMBER(H183)),IFERROR(H232/H183,""),"")</f>
      </c>
      <c r="I237" s="215">
        <f>IF(AND(ISNUMBER(I232),ISNUMBER(I183)),IFERROR(I232/I183,""),"")</f>
      </c>
      <c r="J237" s="215">
        <f>IF(AND(ISNUMBER(J232),ISNUMBER(J183)),IFERROR(J232/J183,""),"")</f>
      </c>
      <c r="K237" s="215">
        <f>IF(AND(ISNUMBER(K232),ISNUMBER(K183)),IFERROR(K232/K183,""),"")</f>
      </c>
      <c r="L237" s="215">
        <f>IF(AND(ISNUMBER(L232),ISNUMBER(L183)),IFERROR(L232/L183,""),"")</f>
      </c>
      <c r="M237" s="215">
        <f>IF(AND(ISNUMBER(M232),ISNUMBER(M183)),IFERROR(M232/M183,""),"")</f>
      </c>
      <c r="N237" s="215">
        <f>IF(AND(ISNUMBER(N232),ISNUMBER(N183)),IFERROR(N232/N183,""),"")</f>
      </c>
      <c r="O237" s="215">
        <f>IF(AND(ISNUMBER(O232),ISNUMBER(O183)),IFERROR(O232/O183,""),"")</f>
        <v>1.30343328987397</v>
      </c>
      <c r="P237" s="215">
        <f>IF(AND(ISNUMBER(P232),ISNUMBER(P183)),IFERROR(P232/P183,""),"")</f>
      </c>
      <c r="Q237" s="215">
        <f>IF(AND(ISNUMBER(Q232),ISNUMBER(Q183)),IFERROR(Q232/Q183,""),"")</f>
      </c>
      <c r="R237" s="215">
        <f>IF(AND(ISNUMBER(R232),ISNUMBER(R183)),IFERROR(R232/R183,""),"")</f>
      </c>
      <c r="S237" s="215">
        <f>IF(AND(ISNUMBER(S232),ISNUMBER(S183)),IFERROR(S232/S183,""),"")</f>
      </c>
      <c r="T237" s="215">
        <f>IF(AND(ISNUMBER(T232),ISNUMBER(T183)),IFERROR(T232/T183,""),"")</f>
        <v>0.97618807385733</v>
      </c>
      <c r="U237" s="24" t="n"/>
      <c r="V237" s="24" t="n"/>
      <c r="W237" s="256">
        <f>IF(AND(ISNUMBER(W232),ISNUMBER(W183)),IFERROR(W232/W183,""),"")</f>
        <v>0.849100543612828</v>
      </c>
      <c r="X237" s="256">
        <f>IF(AND(ISNUMBER(X232),ISNUMBER(X183)),IFERROR(X232/X183,""),"")</f>
        <v>1.02431180331317</v>
      </c>
      <c r="Y237" s="256">
        <f>IF(AND(ISNUMBER(Y232),ISNUMBER(Y183)),IFERROR(Y232/Y183,""),"")</f>
        <v>1.0377543831658</v>
      </c>
      <c r="Z237" s="256">
        <f>IF(AND(ISNUMBER(Z232),ISNUMBER(Z183)),IFERROR(Z232/Z183,""),"")</f>
        <v>1.03641539107501</v>
      </c>
      <c r="AA237" s="256">
        <f>IF(AND(ISNUMBER(AA232),ISNUMBER(AA183)),IFERROR(AA232/AA183,""),"")</f>
        <v>1.03418780367531</v>
      </c>
      <c r="AB237" s="256">
        <f>IF(AND(ISNUMBER(AB232),ISNUMBER(AB183)),IFERROR(AB232/AB183,""),"")</f>
        <v>1.03200999596731</v>
      </c>
      <c r="AC237" s="153" t="n"/>
      <c r="AE237" s="37">
        <f>IFERROR(AVERAGE(X237,Y237,Z237,AA237,AB237),"n/m")</f>
        <v>1.03293587543932</v>
      </c>
      <c r="AF237" s="37" t="str">
        <f>IFERROR(AVERAGE(H237,M237,R237),"n/m")</f>
        <v>n/m</v>
      </c>
      <c r="AG237" s="37" t="str">
        <f>IFERROR(AVERAGE(M237,R237),"n/m")</f>
        <v>n/m</v>
      </c>
      <c r="AH237" s="37" t="str">
        <f>IFERROR(AVERAGE(C237,H237,M237,R237),"n/m")</f>
        <v>n/m</v>
      </c>
    </row>
    <row r="238" ht="15" customHeight="1" s="251">
      <c r="B238" s="25" t="inlineStr">
        <is>
          <t xml:space="preserve">  FCF per diluted share ($)</t>
        </is>
      </c>
      <c r="C238" s="274">
        <f>IF(AND(ISNUMBER(C232),ISNUMBER(C133)),IFERROR(C232/C133,""),"")</f>
      </c>
      <c r="D238" s="274">
        <f>IF(AND(ISNUMBER(D232),ISNUMBER(D133)),IFERROR(D232/D133,""),"")</f>
      </c>
      <c r="E238" s="274">
        <f>IF(AND(ISNUMBER(E232),ISNUMBER(E133)),IFERROR(E232/E133,""),"")</f>
      </c>
      <c r="F238" s="274">
        <f>IF(AND(ISNUMBER(F232),ISNUMBER(F133)),IFERROR(F232/F133,""),"")</f>
      </c>
      <c r="G238" s="274">
        <f>IF(AND(ISNUMBER(G232),ISNUMBER(G133)),IFERROR(G232/G133,""),"")</f>
      </c>
      <c r="H238" s="274">
        <f>IF(AND(ISNUMBER(H232),ISNUMBER(H133)),IFERROR(H232/H133,""),"")</f>
      </c>
      <c r="I238" s="274">
        <f>IF(AND(ISNUMBER(I232),ISNUMBER(I133)),IFERROR(I232/I133,""),"")</f>
      </c>
      <c r="J238" s="274">
        <f>IF(AND(ISNUMBER(J232),ISNUMBER(J133)),IFERROR(J232/J133,""),"")</f>
      </c>
      <c r="K238" s="274">
        <f>IF(AND(ISNUMBER(K232),ISNUMBER(K133)),IFERROR(K232/K133,""),"")</f>
      </c>
      <c r="L238" s="274">
        <f>IF(AND(ISNUMBER(L232),ISNUMBER(L133)),IFERROR(L232/L133,""),"")</f>
      </c>
      <c r="M238" s="274">
        <f>IF(AND(ISNUMBER(M232),ISNUMBER(M133)),IFERROR(M232/M133,""),"")</f>
      </c>
      <c r="N238" s="274">
        <f>IF(AND(ISNUMBER(N232),ISNUMBER(N133)),IFERROR(N232/N133,""),"")</f>
      </c>
      <c r="O238" s="274">
        <f>IF(AND(ISNUMBER(O232),ISNUMBER(O133)),IFERROR(O232/O133,""),"")</f>
        <v>0.55287724781912</v>
      </c>
      <c r="P238" s="274">
        <f>IF(AND(ISNUMBER(P232),ISNUMBER(P133)),IFERROR(P232/P133,""),"")</f>
      </c>
      <c r="Q238" s="274">
        <f>IF(AND(ISNUMBER(Q232),ISNUMBER(Q133)),IFERROR(Q232/Q133,""),"")</f>
      </c>
      <c r="R238" s="274">
        <f>IF(AND(ISNUMBER(R232),ISNUMBER(R133)),IFERROR(R232/R133,""),"")</f>
      </c>
      <c r="S238" s="274">
        <f>IF(AND(ISNUMBER(S232),ISNUMBER(S133)),IFERROR(S232/S133,""),"")</f>
      </c>
      <c r="T238" s="274">
        <f>IF(AND(ISNUMBER(T232),ISNUMBER(T133)),IFERROR(T232/T133,""),"")</f>
        <v>0.437553159316972</v>
      </c>
      <c r="U238" s="35" t="n"/>
      <c r="V238" s="35" t="n"/>
      <c r="W238" s="275">
        <f>IF(AND(ISNUMBER(W232),ISNUMBER(W133)),IFERROR(W232/W133,""),"")</f>
        <v>1.32852626569168</v>
      </c>
      <c r="X238" s="275">
        <f>IF(AND(ISNUMBER(X232),ISNUMBER(X133)),IFERROR(X232/X133,""),"")</f>
        <v>1.72276396298728</v>
      </c>
      <c r="Y238" s="275">
        <f>IF(AND(ISNUMBER(Y232),ISNUMBER(Y133)),IFERROR(Y232/Y133,""),"")</f>
        <v>2.10605100343016</v>
      </c>
      <c r="Z238" s="275">
        <f>IF(AND(ISNUMBER(Z232),ISNUMBER(Z133)),IFERROR(Z232/Z133,""),"")</f>
        <v>2.57801828098722</v>
      </c>
      <c r="AA238" s="275">
        <f>IF(AND(ISNUMBER(AA232),ISNUMBER(AA133)),IFERROR(AA232/AA133,""),"")</f>
        <v>3.17502616972999</v>
      </c>
      <c r="AB238" s="275">
        <f>IF(AND(ISNUMBER(AB232),ISNUMBER(AB133)),IFERROR(AB232/AB133,""),"")</f>
        <v>3.99790050740645</v>
      </c>
      <c r="AC238" s="19" t="n"/>
    </row>
    <row r="239" ht="15" customHeight="1" s="251">
      <c r="B239" s="25" t="inlineStr">
        <is>
          <t xml:space="preserve">  FCF / Adjusted EBITDA %</t>
        </is>
      </c>
      <c r="C239" s="215">
        <f>IF(AND(ISNUMBER(C232),ISNUMBER(C153)),IFERROR(C232/C153,""),"")</f>
      </c>
      <c r="D239" s="215">
        <f>IF(AND(ISNUMBER(D232),ISNUMBER(D153)),IFERROR(D232/D153,""),"")</f>
      </c>
      <c r="E239" s="215">
        <f>IF(AND(ISNUMBER(E232),ISNUMBER(E153)),IFERROR(E232/E153,""),"")</f>
      </c>
      <c r="F239" s="215">
        <f>IF(AND(ISNUMBER(F232),ISNUMBER(F153)),IFERROR(F232/F153,""),"")</f>
      </c>
      <c r="G239" s="215">
        <f>IF(AND(ISNUMBER(G232),ISNUMBER(G153)),IFERROR(G232/G153,""),"")</f>
      </c>
      <c r="H239" s="215">
        <f>IF(AND(ISNUMBER(H232),ISNUMBER(H153)),IFERROR(H232/H153,""),"")</f>
        <v>0.627090301003345</v>
      </c>
      <c r="I239" s="215">
        <f>IF(AND(ISNUMBER(I232),ISNUMBER(I153)),IFERROR(I232/I153,""),"")</f>
      </c>
      <c r="J239" s="215">
        <f>IF(AND(ISNUMBER(J232),ISNUMBER(J153)),IFERROR(J232/J153,""),"")</f>
      </c>
      <c r="K239" s="215">
        <f>IF(AND(ISNUMBER(K232),ISNUMBER(K153)),IFERROR(K232/K153,""),"")</f>
      </c>
      <c r="L239" s="215">
        <f>IF(AND(ISNUMBER(L232),ISNUMBER(L153)),IFERROR(L232/L153,""),"")</f>
      </c>
      <c r="M239" s="215">
        <f>IF(AND(ISNUMBER(M232),ISNUMBER(M153)),IFERROR(M232/M153,""),"")</f>
        <v>0.625189681335357</v>
      </c>
      <c r="N239" s="215">
        <f>IF(AND(ISNUMBER(N232),ISNUMBER(N153)),IFERROR(N232/N153,""),"")</f>
        <v>0.366863905325444</v>
      </c>
      <c r="O239" s="215">
        <f>IF(AND(ISNUMBER(O232),ISNUMBER(O153)),IFERROR(O232/O153,""),"")</f>
        <v>0.867021276595745</v>
      </c>
      <c r="P239" s="215">
        <f>IF(AND(ISNUMBER(P232),ISNUMBER(P153)),IFERROR(P232/P153,""),"")</f>
      </c>
      <c r="Q239" s="215">
        <f>IF(AND(ISNUMBER(Q232),ISNUMBER(Q153)),IFERROR(Q232/Q153,""),"")</f>
      </c>
      <c r="R239" s="215">
        <f>IF(AND(ISNUMBER(R232),ISNUMBER(R153)),IFERROR(R232/R153,""),"")</f>
        <v>0.648382559774965</v>
      </c>
      <c r="S239" s="215">
        <f>IF(AND(ISNUMBER(S232),ISNUMBER(S153)),IFERROR(S232/S153,""),"")</f>
        <v>0.260869565217391</v>
      </c>
      <c r="T239" s="215">
        <f>IF(AND(ISNUMBER(T232),ISNUMBER(T153)),IFERROR(T232/T153,""),"")</f>
        <v>0.638613861386139</v>
      </c>
      <c r="U239" s="24" t="n"/>
      <c r="V239" s="24" t="n"/>
      <c r="W239" s="256">
        <f>IF(AND(ISNUMBER(W232),ISNUMBER(W153)),IFERROR(W232/W153,""),"")</f>
        <v>0.521855686524371</v>
      </c>
      <c r="X239" s="256">
        <f>IF(AND(ISNUMBER(X232),ISNUMBER(X153)),IFERROR(X232/X153,""),"")</f>
        <v>0.601815077599439</v>
      </c>
      <c r="Y239" s="256">
        <f>IF(AND(ISNUMBER(Y232),ISNUMBER(Y153)),IFERROR(Y232/Y153,""),"")</f>
        <v>0.617425885545503</v>
      </c>
      <c r="Z239" s="256">
        <f>IF(AND(ISNUMBER(Z232),ISNUMBER(Z153)),IFERROR(Z232/Z153,""),"")</f>
        <v>0.620686111203037</v>
      </c>
      <c r="AA239" s="256">
        <f>IF(AND(ISNUMBER(AA232),ISNUMBER(AA153)),IFERROR(AA232/AA153,""),"")</f>
        <v>0.618560875183698</v>
      </c>
      <c r="AB239" s="256">
        <f>IF(AND(ISNUMBER(AB232),ISNUMBER(AB153)),IFERROR(AB232/AB153,""),"")</f>
        <v>0.618405300121413</v>
      </c>
      <c r="AC239" s="153" t="n"/>
      <c r="AE239" s="37">
        <f>IFERROR(AVERAGE(X239,Y239,Z239,AA239,AB239),"n/m")</f>
        <v>0.615378649930618</v>
      </c>
      <c r="AF239" s="37">
        <f>IFERROR(AVERAGE(H239,M239,R239),"n/m")</f>
        <v>0.633554180704555</v>
      </c>
      <c r="AG239" s="37">
        <f>IFERROR(AVERAGE(M239,R239),"n/m")</f>
        <v>0.636786120555161</v>
      </c>
      <c r="AH239" s="37">
        <f>IFERROR(AVERAGE(C239,H239,M239,R239),"n/m")</f>
        <v>0.633554180704555</v>
      </c>
    </row>
    <row r="240" ht="15" customHeight="1" s="251">
      <c r="B240" s="25" t="inlineStr">
        <is>
          <t>Capex ratios</t>
        </is>
      </c>
      <c r="AC240" s="153" t="n"/>
    </row>
    <row r="241" ht="15" customHeight="1" s="251">
      <c r="B241" s="25" t="inlineStr">
        <is>
          <t xml:space="preserve">  Capex % of revenue</t>
        </is>
      </c>
      <c r="C241" s="215">
        <f>IF(ISNUMBER(C214),IFERROR(-C214/C115,""),"")</f>
      </c>
      <c r="D241" s="215">
        <f>IF(ISNUMBER(D214),IFERROR(-D214/D115,""),"")</f>
      </c>
      <c r="E241" s="215">
        <f>IF(ISNUMBER(E214),IFERROR(-E214/E115,""),"")</f>
      </c>
      <c r="F241" s="215">
        <f>IF(ISNUMBER(F214),IFERROR(-F214/F115,""),"")</f>
      </c>
      <c r="G241" s="215">
        <f>IF(ISNUMBER(G214),IFERROR(-G214/G115,""),"")</f>
      </c>
      <c r="H241" s="215">
        <f>IF(ISNUMBER(H214),IFERROR(-H214/H115,""),"")</f>
        <v>0.0121212121212121</v>
      </c>
      <c r="I241" s="215">
        <f>IF(ISNUMBER(I214),IFERROR(-I214/I115,""),"")</f>
      </c>
      <c r="J241" s="215">
        <f>IF(ISNUMBER(J214),IFERROR(-J214/J115,""),"")</f>
      </c>
      <c r="K241" s="215">
        <f>IF(ISNUMBER(K214),IFERROR(-K214/K115,""),"")</f>
      </c>
      <c r="L241" s="215">
        <f>IF(ISNUMBER(L214),IFERROR(-L214/L115,""),"")</f>
      </c>
      <c r="M241" s="215">
        <f>IF(ISNUMBER(M214),IFERROR(-M214/M115,""),"")</f>
        <v>0.00929944203347799</v>
      </c>
      <c r="N241" s="215">
        <f>IF(ISNUMBER(N214),IFERROR(-N214/N115,""),"")</f>
        <v>0.0119047619047619</v>
      </c>
      <c r="O241" s="215">
        <f>IF(ISNUMBER(O214),IFERROR(-O214/O115,""),"")</f>
        <v>0.00683371298405467</v>
      </c>
      <c r="P241" s="215">
        <f>IF(ISNUMBER(P214),IFERROR(-P214/P115,""),"")</f>
      </c>
      <c r="Q241" s="215">
        <f>IF(ISNUMBER(Q214),IFERROR(-Q214/Q115,""),"")</f>
      </c>
      <c r="R241" s="215">
        <f>IF(ISNUMBER(R214),IFERROR(-R214/R115,""),"")</f>
        <v>0.0137142857142857</v>
      </c>
      <c r="S241" s="215">
        <f>IF(ISNUMBER(S214),IFERROR(-S214/S115,""),"")</f>
        <v>0.0131868131868132</v>
      </c>
      <c r="T241" s="215">
        <f>IF(ISNUMBER(T214),IFERROR(-T214/T115,""),"")</f>
        <v>0.0128205128205128</v>
      </c>
      <c r="U241" s="24" t="n"/>
      <c r="V241" s="24" t="n"/>
      <c r="W241" s="256">
        <f>IF(ISNUMBER(W214),IFERROR(-W214/W115,""),"")</f>
        <v>0.0138482023968043</v>
      </c>
      <c r="X241" s="262" t="n">
        <v>0.014</v>
      </c>
      <c r="Y241" s="262" t="n">
        <v>0.014</v>
      </c>
      <c r="Z241" s="262" t="n">
        <v>0.014</v>
      </c>
      <c r="AA241" s="262" t="n">
        <v>0.014</v>
      </c>
      <c r="AB241" s="262" t="n">
        <v>0.014</v>
      </c>
      <c r="AC241" s="153" t="inlineStr">
        <is>
          <t>2027E+ input (FY2023–25: 1.2% / 0.9% / 1.4%; capitalized software included).</t>
        </is>
      </c>
      <c r="AE241" s="37">
        <f>IFERROR(AVERAGE(X241,Y241,Z241,AA241,AB241),"n/m")</f>
        <v>0.014</v>
      </c>
      <c r="AF241" s="37">
        <f>IFERROR(AVERAGE(H241,M241,R241),"n/m")</f>
        <v>0.0117116466229919</v>
      </c>
      <c r="AG241" s="37">
        <f>IFERROR(AVERAGE(M241,R241),"n/m")</f>
        <v>0.0115068638738819</v>
      </c>
      <c r="AH241" s="37">
        <f>IFERROR(AVERAGE(C241,H241,M241,R241),"n/m")</f>
        <v>0.0117116466229919</v>
      </c>
    </row>
    <row r="242" ht="15" customHeight="1" s="251">
      <c r="B242" s="25" t="inlineStr">
        <is>
          <t xml:space="preserve">  Capex / depreciation (x)</t>
        </is>
      </c>
      <c r="C242" s="280">
        <f>IF(AND(ISNUMBER(C214),ISNUMBER(C104)),IFERROR(-C214/C104,""),"")</f>
      </c>
      <c r="D242" s="280">
        <f>IF(AND(ISNUMBER(D214),ISNUMBER(D104)),IFERROR(-D214/D104,""),"")</f>
      </c>
      <c r="E242" s="280">
        <f>IF(AND(ISNUMBER(E214),ISNUMBER(E104)),IFERROR(-E214/E104,""),"")</f>
      </c>
      <c r="F242" s="280">
        <f>IF(AND(ISNUMBER(F214),ISNUMBER(F104)),IFERROR(-F214/F104,""),"")</f>
      </c>
      <c r="G242" s="280">
        <f>IF(AND(ISNUMBER(G214),ISNUMBER(G104)),IFERROR(-G214/G104,""),"")</f>
      </c>
      <c r="H242" s="280">
        <f>IF(AND(ISNUMBER(H214),ISNUMBER(H104)),IFERROR(-H214/H104,""),"")</f>
        <v>1.5</v>
      </c>
      <c r="I242" s="280">
        <f>IF(AND(ISNUMBER(I214),ISNUMBER(I104)),IFERROR(-I214/I104,""),"")</f>
      </c>
      <c r="J242" s="280">
        <f>IF(AND(ISNUMBER(J214),ISNUMBER(J104)),IFERROR(-J214/J104,""),"")</f>
      </c>
      <c r="K242" s="280">
        <f>IF(AND(ISNUMBER(K214),ISNUMBER(K104)),IFERROR(-K214/K104,""),"")</f>
      </c>
      <c r="L242" s="280">
        <f>IF(AND(ISNUMBER(L214),ISNUMBER(L104)),IFERROR(-L214/L104,""),"")</f>
      </c>
      <c r="M242" s="280">
        <f>IF(AND(ISNUMBER(M214),ISNUMBER(M104)),IFERROR(-M214/M104,""),"")</f>
        <v>1.15384615384615</v>
      </c>
      <c r="N242" s="280">
        <f>IF(AND(ISNUMBER(N214),ISNUMBER(N104)),IFERROR(-N214/N104,""),"")</f>
        <v>1.25</v>
      </c>
      <c r="O242" s="280">
        <f>IF(AND(ISNUMBER(O214),ISNUMBER(O104)),IFERROR(-O214/O104,""),"")</f>
        <v>1</v>
      </c>
      <c r="P242" s="280">
        <f>IF(AND(ISNUMBER(P214),ISNUMBER(P104)),IFERROR(-P214/P104,""),"")</f>
      </c>
      <c r="Q242" s="280">
        <f>IF(AND(ISNUMBER(Q214),ISNUMBER(Q104)),IFERROR(-Q214/Q104,""),"")</f>
      </c>
      <c r="R242" s="280">
        <f>IF(AND(ISNUMBER(R214),ISNUMBER(R104)),IFERROR(-R214/R104,""),"")</f>
        <v>1.71428571428571</v>
      </c>
      <c r="S242" s="280">
        <f>IF(AND(ISNUMBER(S214),ISNUMBER(S104)),IFERROR(-S214/S104,""),"")</f>
        <v>1.5</v>
      </c>
      <c r="T242" s="280">
        <f>IF(AND(ISNUMBER(T214),ISNUMBER(T104)),IFERROR(-T214/T104,""),"")</f>
        <v>2</v>
      </c>
      <c r="U242" s="35" t="n"/>
      <c r="V242" s="35" t="n"/>
      <c r="W242" s="281">
        <f>IF(AND(ISNUMBER(W214),ISNUMBER(W104)),IFERROR(-W214/W104,""),"")</f>
        <v>1.85714285714286</v>
      </c>
      <c r="X242" s="281">
        <f>IF(AND(ISNUMBER(X214),ISNUMBER(X104)),IFERROR(-X214/X104,""),"")</f>
        <v>1.75</v>
      </c>
      <c r="Y242" s="281">
        <f>IF(AND(ISNUMBER(Y214),ISNUMBER(Y104)),IFERROR(-Y214/Y104,""),"")</f>
        <v>1.75</v>
      </c>
      <c r="Z242" s="281">
        <f>IF(AND(ISNUMBER(Z214),ISNUMBER(Z104)),IFERROR(-Z214/Z104,""),"")</f>
        <v>1.75</v>
      </c>
      <c r="AA242" s="281">
        <f>IF(AND(ISNUMBER(AA214),ISNUMBER(AA104)),IFERROR(-AA214/AA104,""),"")</f>
        <v>1.75</v>
      </c>
      <c r="AB242" s="281">
        <f>IF(AND(ISNUMBER(AB214),ISNUMBER(AB104)),IFERROR(-AB214/AB104,""),"")</f>
        <v>1.75</v>
      </c>
      <c r="AC242" s="19" t="n"/>
    </row>
    <row r="243" ht="15" customHeight="1" s="251">
      <c r="AK243" s="11" t="n"/>
      <c r="AL243" s="12" t="n"/>
      <c r="AM243" s="12" t="n"/>
      <c r="AN243" s="12" t="n"/>
      <c r="AO243" s="13" t="n"/>
    </row>
    <row r="244" ht="15" customHeight="1" s="251">
      <c r="B244" s="10" t="inlineStr">
        <is>
          <t>SHARE BUYBACK SCHEDULE</t>
        </is>
      </c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inlineStr">
        <is>
          <t>SHARES — 2026E starts from the 294.8m shares distributed on 1-Jul-2026; 2027E+ buybacks via the leverage plug</t>
        </is>
      </c>
    </row>
    <row r="245" ht="15" customHeight="1" s="251">
      <c r="B245" s="25" t="inlineStr">
        <is>
          <t xml:space="preserve">  Avg buyback price ($)</t>
        </is>
      </c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5" t="n"/>
      <c r="V245" s="35" t="n"/>
      <c r="W245" s="282">
        <f>W351</f>
        <v>18</v>
      </c>
      <c r="X245" s="282">
        <f>W245*(1+X295)</f>
        <v>19.44</v>
      </c>
      <c r="Y245" s="282">
        <f>X245*(1+Y295)</f>
        <v>20.9952</v>
      </c>
      <c r="Z245" s="282">
        <f>Y245*(1+Z295)</f>
        <v>22.674816</v>
      </c>
      <c r="AA245" s="282">
        <f>Z245*(1+AA295)</f>
        <v>24.48880128</v>
      </c>
      <c r="AB245" s="282">
        <f>AA245*(1+AB295)</f>
        <v>26.4479053824</v>
      </c>
      <c r="AC245" s="19" t="n"/>
    </row>
    <row r="246" ht="15" customHeight="1" s="251">
      <c r="B246" s="25" t="inlineStr">
        <is>
          <t xml:space="preserve">  Buyback cash deployed (USDm)</t>
        </is>
      </c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5" t="n"/>
      <c r="V246" s="35" t="n"/>
      <c r="W246" s="266">
        <f>CHOOSE(MATCH($AC$2,{"Bull","Base","Bear"},0),$AL$14,$AM$14,$AN$14)</f>
        <v>0</v>
      </c>
      <c r="X246" s="266">
        <f>-X222</f>
        <v>437.628385750262</v>
      </c>
      <c r="Y246" s="266">
        <f>-Y222</f>
        <v>618.264859077475</v>
      </c>
      <c r="Z246" s="266">
        <f>-Z222</f>
        <v>676.637620963788</v>
      </c>
      <c r="AA246" s="266">
        <f>-AA222</f>
        <v>734.855115706124</v>
      </c>
      <c r="AB246" s="266">
        <f>-AB222</f>
        <v>796.428573456055</v>
      </c>
      <c r="AC246" s="19" t="n"/>
    </row>
    <row r="247" ht="15" customHeight="1" s="251">
      <c r="B247" s="25" t="inlineStr">
        <is>
          <t xml:space="preserve">  Implied shares repurchased (m)</t>
        </is>
      </c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5" t="n"/>
      <c r="V247" s="35" t="n"/>
      <c r="W247" s="282">
        <f>IFERROR(W246/W245,0)</f>
        <v>0</v>
      </c>
      <c r="X247" s="282">
        <f>IFERROR(X246/X245,0)</f>
        <v>22.5117482381822</v>
      </c>
      <c r="Y247" s="282">
        <f>IFERROR(Y246/Y245,0)</f>
        <v>29.4479147175295</v>
      </c>
      <c r="Z247" s="282">
        <f>IFERROR(Z246/Z245,0)</f>
        <v>29.8409310560133</v>
      </c>
      <c r="AA247" s="282">
        <f>IFERROR(AA246/AA245,0)</f>
        <v>30.0078026402329</v>
      </c>
      <c r="AB247" s="282">
        <f>IFERROR(AB246/AB245,0)</f>
        <v>30.1131058184307</v>
      </c>
      <c r="AC247" s="19" t="n"/>
    </row>
    <row r="248" ht="15" customHeight="1" s="251">
      <c r="B248" s="25" t="inlineStr">
        <is>
          <t xml:space="preserve">  Shares issued under equity plans (m)</t>
        </is>
      </c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24" t="n"/>
      <c r="V248" s="24" t="n"/>
      <c r="W248" s="283" t="n">
        <v>0.2</v>
      </c>
      <c r="X248" s="283" t="n">
        <v>0.8</v>
      </c>
      <c r="Y248" s="283" t="n">
        <v>0.8</v>
      </c>
      <c r="Z248" s="283" t="n">
        <v>0.8</v>
      </c>
      <c r="AA248" s="283" t="n">
        <v>0.8</v>
      </c>
      <c r="AB248" s="283" t="n">
        <v>0.8</v>
      </c>
      <c r="AC248" s="19" t="n"/>
    </row>
    <row r="249" ht="15" customHeight="1" s="251">
      <c r="B249" s="25" t="inlineStr">
        <is>
          <t xml:space="preserve">  Beginning shares outstanding (m)</t>
        </is>
      </c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5" t="n"/>
      <c r="V249" s="35" t="n"/>
      <c r="W249" s="273">
        <f>T280</f>
        <v>294.82132</v>
      </c>
      <c r="X249" s="273">
        <f>W250</f>
        <v>295.02132</v>
      </c>
      <c r="Y249" s="273">
        <f>X250</f>
        <v>273.309571761818</v>
      </c>
      <c r="Z249" s="273">
        <f>Y250</f>
        <v>244.661657044288</v>
      </c>
      <c r="AA249" s="273">
        <f>Z250</f>
        <v>215.620725988275</v>
      </c>
      <c r="AB249" s="273">
        <f>AA250</f>
        <v>186.412923348042</v>
      </c>
      <c r="AC249" s="19" t="inlineStr">
        <is>
          <t>2026E begins from 294,821,320 shares outstanding at 1-Jul-2026 (10-Q cover).</t>
        </is>
      </c>
    </row>
    <row r="250" ht="15" customHeight="1" s="251">
      <c r="B250" s="25" t="inlineStr">
        <is>
          <t xml:space="preserve">  Ending shares outstanding (m)</t>
        </is>
      </c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5" t="n"/>
      <c r="V250" s="35" t="n"/>
      <c r="W250" s="273">
        <f>W249-W247+W248</f>
        <v>295.02132</v>
      </c>
      <c r="X250" s="273">
        <f>X249-X247+X248</f>
        <v>273.309571761818</v>
      </c>
      <c r="Y250" s="273">
        <f>Y249-Y247+Y248</f>
        <v>244.661657044288</v>
      </c>
      <c r="Z250" s="273">
        <f>Z249-Z247+Z248</f>
        <v>215.620725988275</v>
      </c>
      <c r="AA250" s="273">
        <f>AA249-AA247+AA248</f>
        <v>186.412923348042</v>
      </c>
      <c r="AB250" s="273">
        <f>AB249-AB247+AB248</f>
        <v>157.099817529611</v>
      </c>
      <c r="AC250" s="19" t="n"/>
    </row>
    <row r="251" ht="15" customHeight="1" s="251">
      <c r="B251" s="25" t="inlineStr">
        <is>
          <t xml:space="preserve">  % of shares repurchased</t>
        </is>
      </c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24" t="n"/>
      <c r="V251" s="24" t="n"/>
      <c r="W251" s="256">
        <f>IF(AND(ISNUMBER(W247),ISNUMBER(W249)),IFERROR(W247/W249,""),"")</f>
        <v>0</v>
      </c>
      <c r="X251" s="256">
        <f>IF(AND(ISNUMBER(X247),ISNUMBER(X249)),IFERROR(X247/X249,""),"")</f>
        <v>0.0763054962881401</v>
      </c>
      <c r="Y251" s="256">
        <f>IF(AND(ISNUMBER(Y247),ISNUMBER(Y249)),IFERROR(Y247/Y249,""),"")</f>
        <v>0.107745639963143</v>
      </c>
      <c r="Z251" s="256">
        <f>IF(AND(ISNUMBER(Z247),ISNUMBER(Z249)),IFERROR(Z247/Z249,""),"")</f>
        <v>0.121968155601152</v>
      </c>
      <c r="AA251" s="256">
        <f>IF(AND(ISNUMBER(AA247),ISNUMBER(AA249)),IFERROR(AA247/AA249,""),"")</f>
        <v>0.139169379486574</v>
      </c>
      <c r="AB251" s="256">
        <f>IF(AND(ISNUMBER(AB247),ISNUMBER(AB249)),IFERROR(AB247/AB249,""),"")</f>
        <v>0.161539797121298</v>
      </c>
      <c r="AC251" s="153" t="n"/>
    </row>
    <row r="252" ht="15" customHeight="1" s="251">
      <c r="B252" s="156" t="inlineStr">
        <is>
          <t xml:space="preserve">  Memo: cumulative shares repurchased since the spin (m)</t>
        </is>
      </c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153" t="n"/>
      <c r="V252" s="153" t="n"/>
      <c r="W252" s="284">
        <f>W247</f>
        <v>0</v>
      </c>
      <c r="X252" s="284">
        <f>W252+X247</f>
        <v>22.5117482381822</v>
      </c>
      <c r="Y252" s="284">
        <f>X252+Y247</f>
        <v>51.9596629557117</v>
      </c>
      <c r="Z252" s="284">
        <f>Y252+Z247</f>
        <v>81.800594011725</v>
      </c>
      <c r="AA252" s="284">
        <f>Z252+AA247</f>
        <v>111.808396651958</v>
      </c>
      <c r="AB252" s="284">
        <f>AA252+AB247</f>
        <v>141.921502470389</v>
      </c>
      <c r="AC252" s="153" t="n"/>
    </row>
    <row r="253" ht="15" customHeight="1" s="251">
      <c r="AK253" s="11" t="n"/>
      <c r="AL253" s="12" t="n"/>
      <c r="AM253" s="12" t="n"/>
      <c r="AN253" s="12" t="n"/>
      <c r="AO253" s="13" t="n"/>
    </row>
    <row r="254" ht="15" customHeight="1" s="251">
      <c r="B254" s="10" t="inlineStr">
        <is>
          <t>COMBINED / CONSOLIDATED BALANCE SHEET (condensed)</t>
        </is>
      </c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inlineStr">
        <is>
          <t>BS FORECAST — 2026E rolled forward from the 30-Jun-2026 balance sheet + 2H flows; 2027E+ from the prior year end. Published balance sheets: 31-Dec-2023 (Form 10 draft), 31-Dec-2024 / 2025 (Form 10), 31-Mar-2026 (Form 10), 30-Jun-2026 (10-Q).</t>
        </is>
      </c>
    </row>
    <row r="255" ht="15" customHeight="1" s="251">
      <c r="B255" s="25" t="inlineStr">
        <is>
          <t>ASSETS</t>
        </is>
      </c>
      <c r="AC255" s="153" t="n"/>
    </row>
    <row r="256" ht="15" customHeight="1" s="251">
      <c r="B256" s="25" t="inlineStr">
        <is>
          <t xml:space="preserve">  Cash and cash equivalents</t>
        </is>
      </c>
      <c r="C256" s="34" t="n"/>
      <c r="D256" s="34" t="n"/>
      <c r="E256" s="34" t="n"/>
      <c r="F256" s="34" t="n"/>
      <c r="G256" s="258" t="n">
        <v>47</v>
      </c>
      <c r="H256" s="258" t="n">
        <v>47</v>
      </c>
      <c r="I256" s="34" t="n"/>
      <c r="J256" s="34" t="n"/>
      <c r="K256" s="34" t="n"/>
      <c r="L256" s="258" t="n">
        <v>27</v>
      </c>
      <c r="M256" s="258" t="n">
        <v>27</v>
      </c>
      <c r="N256" s="34" t="n"/>
      <c r="O256" s="34" t="n"/>
      <c r="P256" s="34" t="n"/>
      <c r="Q256" s="258" t="n">
        <v>38</v>
      </c>
      <c r="R256" s="258" t="n">
        <v>38</v>
      </c>
      <c r="S256" s="258" t="n">
        <v>122</v>
      </c>
      <c r="T256" s="258" t="n">
        <v>186</v>
      </c>
      <c r="U256" s="35" t="n"/>
      <c r="V256" s="35" t="n"/>
      <c r="W256" s="266">
        <f>W228</f>
        <v>366.299845709589</v>
      </c>
      <c r="X256" s="266">
        <f>X228</f>
        <v>350.000478793649</v>
      </c>
      <c r="Y256" s="266">
        <f>Y228</f>
        <v>211.457597224868</v>
      </c>
      <c r="Z256" s="266">
        <f>Z228</f>
        <v>200</v>
      </c>
      <c r="AA256" s="266">
        <f>AA228</f>
        <v>200</v>
      </c>
      <c r="AB256" s="266">
        <f>AB228</f>
        <v>200</v>
      </c>
      <c r="AC256" s="19" t="n"/>
    </row>
    <row r="257" ht="15" customHeight="1" s="251">
      <c r="B257" s="25" t="inlineStr">
        <is>
          <t xml:space="preserve">  Accounts receivable, net</t>
        </is>
      </c>
      <c r="C257" s="34" t="n"/>
      <c r="D257" s="34" t="n"/>
      <c r="E257" s="34" t="n"/>
      <c r="F257" s="34" t="n"/>
      <c r="G257" s="258" t="n">
        <v>189</v>
      </c>
      <c r="H257" s="258" t="n">
        <v>189</v>
      </c>
      <c r="I257" s="34" t="n"/>
      <c r="J257" s="34" t="n"/>
      <c r="K257" s="34" t="n"/>
      <c r="L257" s="258" t="n">
        <v>195</v>
      </c>
      <c r="M257" s="258" t="n">
        <v>195</v>
      </c>
      <c r="N257" s="34" t="n"/>
      <c r="O257" s="34" t="n"/>
      <c r="P257" s="34" t="n"/>
      <c r="Q257" s="258" t="n">
        <v>203</v>
      </c>
      <c r="R257" s="258" t="n">
        <v>203</v>
      </c>
      <c r="S257" s="258" t="n">
        <v>216</v>
      </c>
      <c r="T257" s="258" t="n">
        <v>216</v>
      </c>
      <c r="U257" s="35" t="n"/>
      <c r="V257" s="35" t="n"/>
      <c r="W257" s="266">
        <f>W283*W284/365</f>
        <v>216.041095890411</v>
      </c>
      <c r="X257" s="266">
        <f>X283*X284/365</f>
        <v>231.100791774052</v>
      </c>
      <c r="Y257" s="266">
        <f>Y283*Y284/365</f>
        <v>246.947533580589</v>
      </c>
      <c r="Z257" s="266">
        <f>Z283*Z284/365</f>
        <v>263.017088653313</v>
      </c>
      <c r="AA257" s="266">
        <f>AA283*AA284/365</f>
        <v>279.648673932308</v>
      </c>
      <c r="AB257" s="266">
        <f>AB283*AB284/365</f>
        <v>296.546970958986</v>
      </c>
      <c r="AC257" s="19" t="inlineStr">
        <is>
          <t>Receivables = revenue × DSO / 365.</t>
        </is>
      </c>
    </row>
    <row r="258" ht="15" customHeight="1" s="251">
      <c r="B258" s="25" t="inlineStr">
        <is>
          <t xml:space="preserve">  Due from related parties, prepaid &amp; other current assets</t>
        </is>
      </c>
      <c r="C258" s="34" t="n"/>
      <c r="D258" s="34" t="n"/>
      <c r="E258" s="34" t="n"/>
      <c r="F258" s="34" t="n"/>
      <c r="G258" s="258" t="n">
        <v>32</v>
      </c>
      <c r="H258" s="258" t="n">
        <v>32</v>
      </c>
      <c r="I258" s="34" t="n"/>
      <c r="J258" s="34" t="n"/>
      <c r="K258" s="34" t="n"/>
      <c r="L258" s="258" t="n">
        <v>28</v>
      </c>
      <c r="M258" s="258" t="n">
        <v>28</v>
      </c>
      <c r="N258" s="34" t="n"/>
      <c r="O258" s="34" t="n"/>
      <c r="P258" s="34" t="n"/>
      <c r="Q258" s="258" t="n">
        <v>40</v>
      </c>
      <c r="R258" s="258" t="n">
        <v>40</v>
      </c>
      <c r="S258" s="258" t="n">
        <v>54</v>
      </c>
      <c r="T258" s="258" t="n">
        <v>64</v>
      </c>
      <c r="U258" s="35" t="n"/>
      <c r="V258" s="35" t="n"/>
      <c r="W258" s="266">
        <f>T258</f>
        <v>64</v>
      </c>
      <c r="X258" s="266">
        <f>W258</f>
        <v>64</v>
      </c>
      <c r="Y258" s="266">
        <f>X258</f>
        <v>64</v>
      </c>
      <c r="Z258" s="266">
        <f>Y258</f>
        <v>64</v>
      </c>
      <c r="AA258" s="266">
        <f>Z258</f>
        <v>64</v>
      </c>
      <c r="AB258" s="266">
        <f>AA258</f>
        <v>64</v>
      </c>
      <c r="AC258" s="19" t="n"/>
    </row>
    <row r="259" ht="15" customHeight="1" s="251">
      <c r="B259" s="16" t="inlineStr">
        <is>
          <t>Total current assets</t>
        </is>
      </c>
      <c r="C259" s="263">
        <f>IF(ISNUMBER(C256),SUM(C256:C258),"")</f>
      </c>
      <c r="D259" s="263">
        <f>IF(ISNUMBER(D256),SUM(D256:D258),"")</f>
      </c>
      <c r="E259" s="263">
        <f>IF(ISNUMBER(E256),SUM(E256:E258),"")</f>
      </c>
      <c r="F259" s="263">
        <f>IF(ISNUMBER(F256),SUM(F256:F258),"")</f>
      </c>
      <c r="G259" s="263">
        <f>IF(ISNUMBER(G256),SUM(G256:G258),"")</f>
        <v>268</v>
      </c>
      <c r="H259" s="263">
        <f>IF(ISNUMBER(H256),SUM(H256:H258),"")</f>
        <v>268</v>
      </c>
      <c r="I259" s="263">
        <f>IF(ISNUMBER(I256),SUM(I256:I258),"")</f>
      </c>
      <c r="J259" s="263">
        <f>IF(ISNUMBER(J256),SUM(J256:J258),"")</f>
      </c>
      <c r="K259" s="263">
        <f>IF(ISNUMBER(K256),SUM(K256:K258),"")</f>
      </c>
      <c r="L259" s="263">
        <f>IF(ISNUMBER(L256),SUM(L256:L258),"")</f>
        <v>250</v>
      </c>
      <c r="M259" s="263">
        <f>IF(ISNUMBER(M256),SUM(M256:M258),"")</f>
        <v>250</v>
      </c>
      <c r="N259" s="263">
        <f>IF(ISNUMBER(N256),SUM(N256:N258),"")</f>
      </c>
      <c r="O259" s="263">
        <f>IF(ISNUMBER(O256),SUM(O256:O258),"")</f>
      </c>
      <c r="P259" s="263">
        <f>IF(ISNUMBER(P256),SUM(P256:P258),"")</f>
      </c>
      <c r="Q259" s="263">
        <f>IF(ISNUMBER(Q256),SUM(Q256:Q258),"")</f>
        <v>281</v>
      </c>
      <c r="R259" s="263">
        <f>IF(ISNUMBER(R256),SUM(R256:R258),"")</f>
        <v>281</v>
      </c>
      <c r="S259" s="263">
        <f>IF(ISNUMBER(S256),SUM(S256:S258),"")</f>
        <v>392</v>
      </c>
      <c r="T259" s="263">
        <f>IF(ISNUMBER(T256),SUM(T256:T258),"")</f>
        <v>466</v>
      </c>
      <c r="U259" s="32" t="n"/>
      <c r="V259" s="32" t="n"/>
      <c r="W259" s="254">
        <f>IF(ISNUMBER(W256),SUM(W256:W258),"")</f>
        <v>646.3409416</v>
      </c>
      <c r="X259" s="254">
        <f>IF(ISNUMBER(X256),SUM(X256:X258),"")</f>
        <v>645.101270567702</v>
      </c>
      <c r="Y259" s="254">
        <f>IF(ISNUMBER(Y256),SUM(Y256:Y258),"")</f>
        <v>522.405130805457</v>
      </c>
      <c r="Z259" s="254">
        <f>IF(ISNUMBER(Z256),SUM(Z256:Z258),"")</f>
        <v>527.017088653313</v>
      </c>
      <c r="AA259" s="254">
        <f>IF(ISNUMBER(AA256),SUM(AA256:AA258),"")</f>
        <v>543.648673932308</v>
      </c>
      <c r="AB259" s="254">
        <f>IF(ISNUMBER(AB256),SUM(AB256:AB258),"")</f>
        <v>560.546970958986</v>
      </c>
      <c r="AC259" s="153" t="n"/>
    </row>
    <row r="260" ht="15" customHeight="1" s="251">
      <c r="B260" s="25" t="inlineStr">
        <is>
          <t xml:space="preserve">  Property and equipment, net</t>
        </is>
      </c>
      <c r="C260" s="34" t="n"/>
      <c r="D260" s="34" t="n"/>
      <c r="E260" s="34" t="n"/>
      <c r="F260" s="34" t="n"/>
      <c r="G260" s="258" t="n">
        <v>23</v>
      </c>
      <c r="H260" s="258" t="n">
        <v>23</v>
      </c>
      <c r="I260" s="34" t="n"/>
      <c r="J260" s="34" t="n"/>
      <c r="K260" s="34" t="n"/>
      <c r="L260" s="258" t="n">
        <v>20</v>
      </c>
      <c r="M260" s="258" t="n">
        <v>20</v>
      </c>
      <c r="N260" s="34" t="n"/>
      <c r="O260" s="34" t="n"/>
      <c r="P260" s="34" t="n"/>
      <c r="Q260" s="258" t="n">
        <v>19</v>
      </c>
      <c r="R260" s="258" t="n">
        <v>19</v>
      </c>
      <c r="S260" s="258" t="n">
        <v>19</v>
      </c>
      <c r="T260" s="258" t="n">
        <v>18</v>
      </c>
      <c r="U260" s="35" t="n"/>
      <c r="V260" s="35" t="n"/>
      <c r="W260" s="266">
        <f>T260-(W214-(S214+T214))-(U104+V104)</f>
        <v>25</v>
      </c>
      <c r="X260" s="266">
        <f>W260-X214-X104</f>
        <v>37.0502555710756</v>
      </c>
      <c r="Y260" s="266">
        <f>X260-Y214-Y104</f>
        <v>49.9268055363491</v>
      </c>
      <c r="Z260" s="266">
        <f>Y260-Z214-Z104</f>
        <v>63.641268016129</v>
      </c>
      <c r="AA260" s="266">
        <f>Z260-AA214-AA104</f>
        <v>78.2229488711708</v>
      </c>
      <c r="AB260" s="266">
        <f>AA260-AB214-AB104</f>
        <v>93.6857552140322</v>
      </c>
      <c r="AC260" s="19" t="inlineStr">
        <is>
          <t>Roll-forward: prior − capex (negative cash flow; capitalized software included here) − depreciation.</t>
        </is>
      </c>
    </row>
    <row r="261" ht="15" customHeight="1" s="251">
      <c r="B261" s="25" t="inlineStr">
        <is>
          <t xml:space="preserve">  Goodwill</t>
        </is>
      </c>
      <c r="C261" s="34" t="n"/>
      <c r="D261" s="34" t="n"/>
      <c r="E261" s="34" t="n"/>
      <c r="F261" s="34" t="n"/>
      <c r="G261" s="258" t="n">
        <v>8845</v>
      </c>
      <c r="H261" s="258" t="n">
        <v>8845</v>
      </c>
      <c r="I261" s="34" t="n"/>
      <c r="J261" s="34" t="n"/>
      <c r="K261" s="34" t="n"/>
      <c r="L261" s="258" t="n">
        <v>8845</v>
      </c>
      <c r="M261" s="258" t="n">
        <v>8845</v>
      </c>
      <c r="N261" s="34" t="n"/>
      <c r="O261" s="34" t="n"/>
      <c r="P261" s="34" t="n"/>
      <c r="Q261" s="258" t="n">
        <v>8845</v>
      </c>
      <c r="R261" s="258" t="n">
        <v>8845</v>
      </c>
      <c r="S261" s="258" t="n">
        <v>8845</v>
      </c>
      <c r="T261" s="258" t="n">
        <v>8845</v>
      </c>
      <c r="U261" s="35" t="n"/>
      <c r="V261" s="35" t="n"/>
      <c r="W261" s="266">
        <f>T261</f>
        <v>8845</v>
      </c>
      <c r="X261" s="266">
        <f>W261+X71*(1-X79)</f>
        <v>8845</v>
      </c>
      <c r="Y261" s="266">
        <f>X261+Y71*(1-Y79)</f>
        <v>8845</v>
      </c>
      <c r="Z261" s="266">
        <f>Y261+Z71*(1-Z79)</f>
        <v>8845</v>
      </c>
      <c r="AA261" s="266">
        <f>Z261+AA71*(1-AA79)</f>
        <v>8845</v>
      </c>
      <c r="AB261" s="266">
        <f>AA261+AB71*(1-AB79)</f>
        <v>8845</v>
      </c>
      <c r="AC261" s="19" t="n"/>
    </row>
    <row r="262" ht="15" customHeight="1" s="251">
      <c r="B262" s="25" t="inlineStr">
        <is>
          <t xml:space="preserve">  Other intangible assets, net</t>
        </is>
      </c>
      <c r="C262" s="34" t="n"/>
      <c r="D262" s="34" t="n"/>
      <c r="E262" s="34" t="n"/>
      <c r="F262" s="34" t="n"/>
      <c r="G262" s="258" t="n">
        <v>4381</v>
      </c>
      <c r="H262" s="258" t="n">
        <v>4381</v>
      </c>
      <c r="I262" s="34" t="n"/>
      <c r="J262" s="34" t="n"/>
      <c r="K262" s="34" t="n"/>
      <c r="L262" s="258" t="n">
        <v>4085</v>
      </c>
      <c r="M262" s="258" t="n">
        <v>4085</v>
      </c>
      <c r="N262" s="34" t="n"/>
      <c r="O262" s="34" t="n"/>
      <c r="P262" s="34" t="n"/>
      <c r="Q262" s="258" t="n">
        <v>3789</v>
      </c>
      <c r="R262" s="258" t="n">
        <v>3789</v>
      </c>
      <c r="S262" s="258" t="n">
        <v>3714</v>
      </c>
      <c r="T262" s="258" t="n">
        <v>3640</v>
      </c>
      <c r="U262" s="35" t="n"/>
      <c r="V262" s="35" t="n"/>
      <c r="W262" s="266">
        <f>T262-(U106+V106)</f>
        <v>3492</v>
      </c>
      <c r="X262" s="266">
        <f>W262-X106+X71*X79</f>
        <v>3196</v>
      </c>
      <c r="Y262" s="266">
        <f>X262-Y106+Y71*Y79</f>
        <v>2900</v>
      </c>
      <c r="Z262" s="266">
        <f>Y262-Z106+Z71*Z79</f>
        <v>2604</v>
      </c>
      <c r="AA262" s="266">
        <f>Z262-AA106+AA71*AA79</f>
        <v>2311</v>
      </c>
      <c r="AB262" s="266">
        <f>AA262-AB106+AB71*AB79</f>
        <v>2021</v>
      </c>
      <c r="AC262" s="19" t="inlineStr">
        <is>
          <t>Roll-forward: prior − amortization + acquired intangibles (M&amp;A lever).</t>
        </is>
      </c>
    </row>
    <row r="263" ht="15" customHeight="1" s="251">
      <c r="B263" s="25" t="inlineStr">
        <is>
          <t xml:space="preserve">  Right-of-use assets &amp; other non-current assets (incl. related-party loans; derived)</t>
        </is>
      </c>
      <c r="C263" s="34" t="n"/>
      <c r="D263" s="34" t="n"/>
      <c r="E263" s="34" t="n"/>
      <c r="F263" s="34" t="n"/>
      <c r="G263" s="258" t="n">
        <v>45</v>
      </c>
      <c r="H263" s="258" t="n">
        <v>45</v>
      </c>
      <c r="I263" s="34" t="n"/>
      <c r="J263" s="34" t="n"/>
      <c r="K263" s="34" t="n"/>
      <c r="L263" s="258" t="n">
        <v>55</v>
      </c>
      <c r="M263" s="258" t="n">
        <v>55</v>
      </c>
      <c r="N263" s="34" t="n"/>
      <c r="O263" s="34" t="n"/>
      <c r="P263" s="34" t="n"/>
      <c r="Q263" s="258" t="n">
        <v>61</v>
      </c>
      <c r="R263" s="258" t="n">
        <v>61</v>
      </c>
      <c r="S263" s="258" t="n">
        <v>72</v>
      </c>
      <c r="T263" s="258" t="n">
        <v>91</v>
      </c>
      <c r="U263" s="35" t="n"/>
      <c r="V263" s="35" t="n"/>
      <c r="W263" s="266">
        <f>T263</f>
        <v>91</v>
      </c>
      <c r="X263" s="266">
        <f>W263</f>
        <v>91</v>
      </c>
      <c r="Y263" s="266">
        <f>X263</f>
        <v>91</v>
      </c>
      <c r="Z263" s="266">
        <f>Y263</f>
        <v>91</v>
      </c>
      <c r="AA263" s="266">
        <f>Z263</f>
        <v>91</v>
      </c>
      <c r="AB263" s="266">
        <f>AA263</f>
        <v>91</v>
      </c>
      <c r="AC263" s="19" t="n"/>
    </row>
    <row r="264" ht="15" customHeight="1" s="251">
      <c r="B264" s="55" t="inlineStr">
        <is>
          <t>TOTAL ASSETS</t>
        </is>
      </c>
      <c r="C264" s="269">
        <f>IF(ISNUMBER(C256),C259+SUM(C260:C263),"")</f>
      </c>
      <c r="D264" s="269">
        <f>IF(ISNUMBER(D256),D259+SUM(D260:D263),"")</f>
      </c>
      <c r="E264" s="269">
        <f>IF(ISNUMBER(E256),E259+SUM(E260:E263),"")</f>
      </c>
      <c r="F264" s="269">
        <f>IF(ISNUMBER(F256),F259+SUM(F260:F263),"")</f>
      </c>
      <c r="G264" s="269">
        <f>IF(ISNUMBER(G256),G259+SUM(G260:G263),"")</f>
        <v>13562</v>
      </c>
      <c r="H264" s="269">
        <f>IF(ISNUMBER(H256),H259+SUM(H260:H263),"")</f>
        <v>13562</v>
      </c>
      <c r="I264" s="269">
        <f>IF(ISNUMBER(I256),I259+SUM(I260:I263),"")</f>
      </c>
      <c r="J264" s="269">
        <f>IF(ISNUMBER(J256),J259+SUM(J260:J263),"")</f>
      </c>
      <c r="K264" s="269">
        <f>IF(ISNUMBER(K256),K259+SUM(K260:K263),"")</f>
      </c>
      <c r="L264" s="269">
        <f>IF(ISNUMBER(L256),L259+SUM(L260:L263),"")</f>
        <v>13255</v>
      </c>
      <c r="M264" s="269">
        <f>IF(ISNUMBER(M256),M259+SUM(M260:M263),"")</f>
        <v>13255</v>
      </c>
      <c r="N264" s="269">
        <f>IF(ISNUMBER(N256),N259+SUM(N260:N263),"")</f>
      </c>
      <c r="O264" s="269">
        <f>IF(ISNUMBER(O256),O259+SUM(O260:O263),"")</f>
      </c>
      <c r="P264" s="269">
        <f>IF(ISNUMBER(P256),P259+SUM(P260:P263),"")</f>
      </c>
      <c r="Q264" s="269">
        <f>IF(ISNUMBER(Q256),Q259+SUM(Q260:Q263),"")</f>
        <v>12995</v>
      </c>
      <c r="R264" s="269">
        <f>IF(ISNUMBER(R256),R259+SUM(R260:R263),"")</f>
        <v>12995</v>
      </c>
      <c r="S264" s="269">
        <f>IF(ISNUMBER(S256),S259+SUM(S260:S263),"")</f>
        <v>13042</v>
      </c>
      <c r="T264" s="269">
        <f>IF(ISNUMBER(T256),T259+SUM(T260:T263),"")</f>
        <v>13060</v>
      </c>
      <c r="U264" s="56" t="n"/>
      <c r="V264" s="56" t="n"/>
      <c r="W264" s="269">
        <f>IF(ISNUMBER(W256),W259+SUM(W260:W263),"")</f>
        <v>13099.3409416</v>
      </c>
      <c r="X264" s="269">
        <f>IF(ISNUMBER(X256),X259+SUM(X260:X263),"")</f>
        <v>12814.1515261388</v>
      </c>
      <c r="Y264" s="269">
        <f>IF(ISNUMBER(Y256),Y259+SUM(Y260:Y263),"")</f>
        <v>12408.3319363418</v>
      </c>
      <c r="Z264" s="269">
        <f>IF(ISNUMBER(Z256),Z259+SUM(Z260:Z263),"")</f>
        <v>12130.6583566694</v>
      </c>
      <c r="AA264" s="269">
        <f>IF(ISNUMBER(AA256),AA259+SUM(AA260:AA263),"")</f>
        <v>11868.8716228035</v>
      </c>
      <c r="AB264" s="269">
        <f>IF(ISNUMBER(AB256),AB259+SUM(AB260:AB263),"")</f>
        <v>11611.232726173</v>
      </c>
      <c r="AC264" s="153" t="n"/>
    </row>
    <row r="265" ht="15" customHeight="1" s="251">
      <c r="B265" s="25" t="inlineStr">
        <is>
          <t>LIABILITIES AND EQUITY</t>
        </is>
      </c>
      <c r="AC265" s="153" t="n"/>
    </row>
    <row r="266" ht="15" customHeight="1" s="251">
      <c r="B266" s="25" t="inlineStr">
        <is>
          <t xml:space="preserve">  Accounts payable</t>
        </is>
      </c>
      <c r="C266" s="34" t="n"/>
      <c r="D266" s="34" t="n"/>
      <c r="E266" s="34" t="n"/>
      <c r="F266" s="34" t="n"/>
      <c r="G266" s="258" t="n">
        <v>39</v>
      </c>
      <c r="H266" s="258" t="n">
        <v>39</v>
      </c>
      <c r="I266" s="34" t="n"/>
      <c r="J266" s="34" t="n"/>
      <c r="K266" s="34" t="n"/>
      <c r="L266" s="258" t="n">
        <v>38</v>
      </c>
      <c r="M266" s="258" t="n">
        <v>38</v>
      </c>
      <c r="N266" s="34" t="n"/>
      <c r="O266" s="34" t="n"/>
      <c r="P266" s="34" t="n"/>
      <c r="Q266" s="258" t="n">
        <v>56</v>
      </c>
      <c r="R266" s="258" t="n">
        <v>56</v>
      </c>
      <c r="S266" s="258" t="n">
        <v>48</v>
      </c>
      <c r="T266" s="258" t="n">
        <v>63</v>
      </c>
      <c r="U266" s="35" t="n"/>
      <c r="V266" s="35" t="n"/>
      <c r="W266" s="266">
        <f>W283*W285</f>
        <v>60.08</v>
      </c>
      <c r="X266" s="266">
        <f>X283*X285</f>
        <v>64.2680297124031</v>
      </c>
      <c r="Y266" s="266">
        <f>Y283*Y285</f>
        <v>68.6749331481256</v>
      </c>
      <c r="Z266" s="266">
        <f>Z283*Z285</f>
        <v>73.1437998921595</v>
      </c>
      <c r="AA266" s="266">
        <f>AA283*AA285</f>
        <v>77.7689645602229</v>
      </c>
      <c r="AB266" s="266">
        <f>AB283*AB285</f>
        <v>82.4683004952609</v>
      </c>
      <c r="AC266" s="19" t="n"/>
    </row>
    <row r="267" ht="15" customHeight="1" s="251">
      <c r="B267" s="25" t="inlineStr">
        <is>
          <t xml:space="preserve">  Unearned revenue</t>
        </is>
      </c>
      <c r="C267" s="34" t="n"/>
      <c r="D267" s="34" t="n"/>
      <c r="E267" s="34" t="n"/>
      <c r="F267" s="34" t="n"/>
      <c r="G267" s="258" t="n">
        <v>68</v>
      </c>
      <c r="H267" s="258" t="n">
        <v>68</v>
      </c>
      <c r="I267" s="34" t="n"/>
      <c r="J267" s="34" t="n"/>
      <c r="K267" s="34" t="n"/>
      <c r="L267" s="258" t="n">
        <v>75</v>
      </c>
      <c r="M267" s="258" t="n">
        <v>75</v>
      </c>
      <c r="N267" s="34" t="n"/>
      <c r="O267" s="34" t="n"/>
      <c r="P267" s="34" t="n"/>
      <c r="Q267" s="258" t="n">
        <v>78</v>
      </c>
      <c r="R267" s="258" t="n">
        <v>78</v>
      </c>
      <c r="S267" s="258" t="n">
        <v>94</v>
      </c>
      <c r="T267" s="258" t="n">
        <v>102</v>
      </c>
      <c r="U267" s="35" t="n"/>
      <c r="V267" s="35" t="n"/>
      <c r="W267" s="266">
        <f>W283*W286</f>
        <v>84.4875</v>
      </c>
      <c r="X267" s="266">
        <f>X283*X286</f>
        <v>90.3769167830669</v>
      </c>
      <c r="Y267" s="266">
        <f>Y283*Y286</f>
        <v>96.5741247395516</v>
      </c>
      <c r="Z267" s="266">
        <f>Z283*Z286</f>
        <v>102.858468598349</v>
      </c>
      <c r="AA267" s="266">
        <f>AA283*AA286</f>
        <v>109.362606412813</v>
      </c>
      <c r="AB267" s="266">
        <f>AB283*AB286</f>
        <v>115.971047571461</v>
      </c>
      <c r="AC267" s="19" t="n"/>
    </row>
    <row r="268" ht="15" customHeight="1" s="251">
      <c r="B268" s="25" t="inlineStr">
        <is>
          <t xml:space="preserve">  Accrued compensation, due to related parties &amp; other current liabilities</t>
        </is>
      </c>
      <c r="C268" s="34" t="n"/>
      <c r="D268" s="34" t="n"/>
      <c r="E268" s="34" t="n"/>
      <c r="F268" s="34" t="n"/>
      <c r="G268" s="258" t="n">
        <v>130</v>
      </c>
      <c r="H268" s="258" t="n">
        <v>130</v>
      </c>
      <c r="I268" s="34" t="n"/>
      <c r="J268" s="34" t="n"/>
      <c r="K268" s="34" t="n"/>
      <c r="L268" s="258" t="n">
        <v>108</v>
      </c>
      <c r="M268" s="258" t="n">
        <v>108</v>
      </c>
      <c r="N268" s="34" t="n"/>
      <c r="O268" s="34" t="n"/>
      <c r="P268" s="34" t="n"/>
      <c r="Q268" s="258" t="n">
        <v>128</v>
      </c>
      <c r="R268" s="258" t="n">
        <v>128</v>
      </c>
      <c r="S268" s="258" t="n">
        <v>87</v>
      </c>
      <c r="T268" s="258" t="n">
        <v>83</v>
      </c>
      <c r="U268" s="35" t="n"/>
      <c r="V268" s="35" t="n"/>
      <c r="W268" s="266">
        <f>W283*W287</f>
        <v>116.405</v>
      </c>
      <c r="X268" s="266">
        <f>X283*X287</f>
        <v>124.519307567781</v>
      </c>
      <c r="Y268" s="266">
        <f>Y283*Y287</f>
        <v>133.057682974493</v>
      </c>
      <c r="Z268" s="266">
        <f>Z283*Z287</f>
        <v>141.716112291059</v>
      </c>
      <c r="AA268" s="266">
        <f>AA283*AA287</f>
        <v>150.677368835432</v>
      </c>
      <c r="AB268" s="266">
        <f>AB283*AB287</f>
        <v>159.782332209568</v>
      </c>
      <c r="AC268" s="19" t="n"/>
    </row>
    <row r="269" ht="15" customHeight="1" s="251">
      <c r="B269" s="16" t="inlineStr">
        <is>
          <t>Total current liabilities</t>
        </is>
      </c>
      <c r="C269" s="263">
        <f>IF(ISNUMBER(C266),SUM(C266:C268),"")</f>
      </c>
      <c r="D269" s="263">
        <f>IF(ISNUMBER(D266),SUM(D266:D268),"")</f>
      </c>
      <c r="E269" s="263">
        <f>IF(ISNUMBER(E266),SUM(E266:E268),"")</f>
      </c>
      <c r="F269" s="263">
        <f>IF(ISNUMBER(F266),SUM(F266:F268),"")</f>
      </c>
      <c r="G269" s="263">
        <f>IF(ISNUMBER(G266),SUM(G266:G268),"")</f>
        <v>237</v>
      </c>
      <c r="H269" s="263">
        <f>IF(ISNUMBER(H266),SUM(H266:H268),"")</f>
        <v>237</v>
      </c>
      <c r="I269" s="263">
        <f>IF(ISNUMBER(I266),SUM(I266:I268),"")</f>
      </c>
      <c r="J269" s="263">
        <f>IF(ISNUMBER(J266),SUM(J266:J268),"")</f>
      </c>
      <c r="K269" s="263">
        <f>IF(ISNUMBER(K266),SUM(K266:K268),"")</f>
      </c>
      <c r="L269" s="263">
        <f>IF(ISNUMBER(L266),SUM(L266:L268),"")</f>
        <v>221</v>
      </c>
      <c r="M269" s="263">
        <f>IF(ISNUMBER(M266),SUM(M266:M268),"")</f>
        <v>221</v>
      </c>
      <c r="N269" s="263">
        <f>IF(ISNUMBER(N266),SUM(N266:N268),"")</f>
      </c>
      <c r="O269" s="263">
        <f>IF(ISNUMBER(O266),SUM(O266:O268),"")</f>
      </c>
      <c r="P269" s="263">
        <f>IF(ISNUMBER(P266),SUM(P266:P268),"")</f>
      </c>
      <c r="Q269" s="263">
        <f>IF(ISNUMBER(Q266),SUM(Q266:Q268),"")</f>
        <v>262</v>
      </c>
      <c r="R269" s="263">
        <f>IF(ISNUMBER(R266),SUM(R266:R268),"")</f>
        <v>262</v>
      </c>
      <c r="S269" s="263">
        <f>IF(ISNUMBER(S266),SUM(S266:S268),"")</f>
        <v>229</v>
      </c>
      <c r="T269" s="263">
        <f>IF(ISNUMBER(T266),SUM(T266:T268),"")</f>
        <v>248</v>
      </c>
      <c r="U269" s="32" t="n"/>
      <c r="V269" s="32" t="n"/>
      <c r="W269" s="254">
        <f>IF(ISNUMBER(W266),SUM(W266:W268),"")</f>
        <v>260.9725</v>
      </c>
      <c r="X269" s="254">
        <f>IF(ISNUMBER(X266),SUM(X266:X268),"")</f>
        <v>279.164254063251</v>
      </c>
      <c r="Y269" s="254">
        <f>IF(ISNUMBER(Y266),SUM(Y266:Y268),"")</f>
        <v>298.306740862171</v>
      </c>
      <c r="Z269" s="254">
        <f>IF(ISNUMBER(Z266),SUM(Z266:Z268),"")</f>
        <v>317.718380781568</v>
      </c>
      <c r="AA269" s="254">
        <f>IF(ISNUMBER(AA266),SUM(AA266:AA268),"")</f>
        <v>337.808939808468</v>
      </c>
      <c r="AB269" s="254">
        <f>IF(ISNUMBER(AB266),SUM(AB266:AB268),"")</f>
        <v>358.22168027629</v>
      </c>
      <c r="AC269" s="153" t="n"/>
    </row>
    <row r="270" ht="15" customHeight="1" s="251">
      <c r="B270" s="25" t="inlineStr">
        <is>
          <t xml:space="preserve">  Long-term debt (senior notes, net of discount &amp; issuance costs; revolver)</t>
        </is>
      </c>
      <c r="C270" s="34" t="n"/>
      <c r="D270" s="34" t="n"/>
      <c r="E270" s="34" t="n"/>
      <c r="F270" s="34" t="n"/>
      <c r="G270" s="258" t="n">
        <v>0</v>
      </c>
      <c r="H270" s="258" t="n">
        <v>0</v>
      </c>
      <c r="I270" s="34" t="n"/>
      <c r="J270" s="34" t="n"/>
      <c r="K270" s="34" t="n"/>
      <c r="L270" s="258" t="n">
        <v>0</v>
      </c>
      <c r="M270" s="258" t="n">
        <v>0</v>
      </c>
      <c r="N270" s="34" t="n"/>
      <c r="O270" s="34" t="n"/>
      <c r="P270" s="34" t="n"/>
      <c r="Q270" s="258" t="n">
        <v>0</v>
      </c>
      <c r="R270" s="258" t="n">
        <v>0</v>
      </c>
      <c r="S270" s="258" t="n">
        <v>0</v>
      </c>
      <c r="T270" s="258" t="n">
        <v>1981</v>
      </c>
      <c r="U270" s="35" t="n"/>
      <c r="V270" s="35" t="n"/>
      <c r="W270" s="266">
        <f>W306</f>
        <v>1982.5</v>
      </c>
      <c r="X270" s="266">
        <f>X306</f>
        <v>1985.5</v>
      </c>
      <c r="Y270" s="266">
        <f>Y306</f>
        <v>1988.5</v>
      </c>
      <c r="Z270" s="266">
        <f>Z306</f>
        <v>2124.2422718342</v>
      </c>
      <c r="AA270" s="266">
        <f>AA306</f>
        <v>2279.00707570963</v>
      </c>
      <c r="AB270" s="266">
        <f>AB306</f>
        <v>2440.15457549537</v>
      </c>
      <c r="AC270" s="19" t="n"/>
    </row>
    <row r="271" ht="15" customHeight="1" s="251">
      <c r="B271" s="25" t="inlineStr">
        <is>
          <t xml:space="preserve">  Deferred tax liability, net</t>
        </is>
      </c>
      <c r="C271" s="34" t="n"/>
      <c r="D271" s="34" t="n"/>
      <c r="E271" s="34" t="n"/>
      <c r="F271" s="34" t="n"/>
      <c r="G271" s="258" t="n">
        <v>1198</v>
      </c>
      <c r="H271" s="258" t="n">
        <v>1198</v>
      </c>
      <c r="I271" s="34" t="n"/>
      <c r="J271" s="34" t="n"/>
      <c r="K271" s="34" t="n"/>
      <c r="L271" s="258" t="n">
        <v>1096</v>
      </c>
      <c r="M271" s="258" t="n">
        <v>1096</v>
      </c>
      <c r="N271" s="34" t="n"/>
      <c r="O271" s="34" t="n"/>
      <c r="P271" s="34" t="n"/>
      <c r="Q271" s="258" t="n">
        <v>1006</v>
      </c>
      <c r="R271" s="258" t="n">
        <v>1006</v>
      </c>
      <c r="S271" s="258" t="n">
        <v>983</v>
      </c>
      <c r="T271" s="258" t="n">
        <v>967</v>
      </c>
      <c r="U271" s="35" t="n"/>
      <c r="V271" s="35" t="n"/>
      <c r="W271" s="266">
        <f>T271+(W210-(S210+T210))</f>
        <v>929</v>
      </c>
      <c r="X271" s="266">
        <f>W271+X210</f>
        <v>849</v>
      </c>
      <c r="Y271" s="266">
        <f>X271+Y210</f>
        <v>769</v>
      </c>
      <c r="Z271" s="266">
        <f>Y271+Z210</f>
        <v>689</v>
      </c>
      <c r="AA271" s="266">
        <f>Z271+AA210</f>
        <v>609</v>
      </c>
      <c r="AB271" s="266">
        <f>AA271+AB210</f>
        <v>529</v>
      </c>
      <c r="AC271" s="19" t="n"/>
    </row>
    <row r="272" ht="15" customHeight="1" s="251">
      <c r="B272" s="25" t="inlineStr">
        <is>
          <t xml:space="preserve">  Operating lease liabilities, due to related parties (non-current) &amp; other</t>
        </is>
      </c>
      <c r="C272" s="34" t="n"/>
      <c r="D272" s="34" t="n"/>
      <c r="E272" s="34" t="n"/>
      <c r="F272" s="34" t="n"/>
      <c r="G272" s="258" t="n">
        <v>325</v>
      </c>
      <c r="H272" s="258" t="n">
        <v>325</v>
      </c>
      <c r="I272" s="34" t="n"/>
      <c r="J272" s="34" t="n"/>
      <c r="K272" s="34" t="n"/>
      <c r="L272" s="258" t="n">
        <v>255</v>
      </c>
      <c r="M272" s="258" t="n">
        <v>255</v>
      </c>
      <c r="N272" s="34" t="n"/>
      <c r="O272" s="34" t="n"/>
      <c r="P272" s="34" t="n"/>
      <c r="Q272" s="258" t="n">
        <v>242</v>
      </c>
      <c r="R272" s="258" t="n">
        <v>242</v>
      </c>
      <c r="S272" s="258" t="n">
        <v>247</v>
      </c>
      <c r="T272" s="258" t="n">
        <v>29</v>
      </c>
      <c r="U272" s="35" t="n"/>
      <c r="V272" s="35" t="n"/>
      <c r="W272" s="266">
        <f>T272</f>
        <v>29</v>
      </c>
      <c r="X272" s="266">
        <f>W272</f>
        <v>29</v>
      </c>
      <c r="Y272" s="266">
        <f>X272</f>
        <v>29</v>
      </c>
      <c r="Z272" s="266">
        <f>Y272</f>
        <v>29</v>
      </c>
      <c r="AA272" s="266">
        <f>Z272</f>
        <v>29</v>
      </c>
      <c r="AB272" s="266">
        <f>AA272</f>
        <v>29</v>
      </c>
      <c r="AC272" s="19" t="inlineStr">
        <is>
          <t>To 31-Mar-2026 includes the Canada Carfax related-party loan ($227–305m), settled at the separation.</t>
        </is>
      </c>
    </row>
    <row r="273" ht="15" customHeight="1" s="251">
      <c r="B273" s="16" t="inlineStr">
        <is>
          <t>Total liabilities</t>
        </is>
      </c>
      <c r="C273" s="263">
        <f>IF(ISNUMBER(C266),C269+SUM(C270:C272),"")</f>
      </c>
      <c r="D273" s="263">
        <f>IF(ISNUMBER(D266),D269+SUM(D270:D272),"")</f>
      </c>
      <c r="E273" s="263">
        <f>IF(ISNUMBER(E266),E269+SUM(E270:E272),"")</f>
      </c>
      <c r="F273" s="263">
        <f>IF(ISNUMBER(F266),F269+SUM(F270:F272),"")</f>
      </c>
      <c r="G273" s="263">
        <f>IF(ISNUMBER(G266),G269+SUM(G270:G272),"")</f>
        <v>1760</v>
      </c>
      <c r="H273" s="263">
        <f>IF(ISNUMBER(H266),H269+SUM(H270:H272),"")</f>
        <v>1760</v>
      </c>
      <c r="I273" s="263">
        <f>IF(ISNUMBER(I266),I269+SUM(I270:I272),"")</f>
      </c>
      <c r="J273" s="263">
        <f>IF(ISNUMBER(J266),J269+SUM(J270:J272),"")</f>
      </c>
      <c r="K273" s="263">
        <f>IF(ISNUMBER(K266),K269+SUM(K270:K272),"")</f>
      </c>
      <c r="L273" s="263">
        <f>IF(ISNUMBER(L266),L269+SUM(L270:L272),"")</f>
        <v>1572</v>
      </c>
      <c r="M273" s="263">
        <f>IF(ISNUMBER(M266),M269+SUM(M270:M272),"")</f>
        <v>1572</v>
      </c>
      <c r="N273" s="263">
        <f>IF(ISNUMBER(N266),N269+SUM(N270:N272),"")</f>
      </c>
      <c r="O273" s="263">
        <f>IF(ISNUMBER(O266),O269+SUM(O270:O272),"")</f>
      </c>
      <c r="P273" s="263">
        <f>IF(ISNUMBER(P266),P269+SUM(P270:P272),"")</f>
      </c>
      <c r="Q273" s="263">
        <f>IF(ISNUMBER(Q266),Q269+SUM(Q270:Q272),"")</f>
        <v>1510</v>
      </c>
      <c r="R273" s="263">
        <f>IF(ISNUMBER(R266),R269+SUM(R270:R272),"")</f>
        <v>1510</v>
      </c>
      <c r="S273" s="263">
        <f>IF(ISNUMBER(S266),S269+SUM(S270:S272),"")</f>
        <v>1459</v>
      </c>
      <c r="T273" s="263">
        <f>IF(ISNUMBER(T266),T269+SUM(T270:T272),"")</f>
        <v>3225</v>
      </c>
      <c r="U273" s="32" t="n"/>
      <c r="V273" s="32" t="n"/>
      <c r="W273" s="254">
        <f>IF(ISNUMBER(W266),W269+SUM(W270:W272),"")</f>
        <v>3201.4725</v>
      </c>
      <c r="X273" s="254">
        <f>IF(ISNUMBER(X266),X269+SUM(X270:X272),"")</f>
        <v>3142.66425406325</v>
      </c>
      <c r="Y273" s="254">
        <f>IF(ISNUMBER(Y266),Y269+SUM(Y270:Y272),"")</f>
        <v>3084.80674086217</v>
      </c>
      <c r="Z273" s="254">
        <f>IF(ISNUMBER(Z266),Z269+SUM(Z270:Z272),"")</f>
        <v>3159.96065261577</v>
      </c>
      <c r="AA273" s="254">
        <f>IF(ISNUMBER(AA266),AA269+SUM(AA270:AA272),"")</f>
        <v>3254.8160155181</v>
      </c>
      <c r="AB273" s="254">
        <f>IF(ISNUMBER(AB266),AB269+SUM(AB270:AB272),"")</f>
        <v>3356.37625577166</v>
      </c>
      <c r="AC273" s="153" t="n"/>
    </row>
    <row r="274" ht="15" customHeight="1" s="251">
      <c r="B274" s="16" t="inlineStr">
        <is>
          <t>Total equity (parent company investment + AOCI to 30-Jun-2026; common stock, APIC, retained earnings &amp; AOCI after the spin)</t>
        </is>
      </c>
      <c r="C274" s="43" t="n"/>
      <c r="D274" s="43" t="n"/>
      <c r="E274" s="43" t="n"/>
      <c r="F274" s="43" t="n"/>
      <c r="G274" s="253" t="n">
        <v>11802</v>
      </c>
      <c r="H274" s="253" t="n">
        <v>11802</v>
      </c>
      <c r="I274" s="43" t="n"/>
      <c r="J274" s="43" t="n"/>
      <c r="K274" s="43" t="n"/>
      <c r="L274" s="253" t="n">
        <v>11683</v>
      </c>
      <c r="M274" s="253" t="n">
        <v>11683</v>
      </c>
      <c r="N274" s="43" t="n"/>
      <c r="O274" s="43" t="n"/>
      <c r="P274" s="43" t="n"/>
      <c r="Q274" s="253" t="n">
        <v>11485</v>
      </c>
      <c r="R274" s="253" t="n">
        <v>11485</v>
      </c>
      <c r="S274" s="253" t="n">
        <v>11583</v>
      </c>
      <c r="T274" s="253" t="n">
        <v>9835</v>
      </c>
      <c r="U274" s="32" t="n"/>
      <c r="V274" s="32" t="n"/>
      <c r="W274" s="254">
        <f>T274+(U126+V126)+W221+W222+(U109+V109)+(W225-(S225+T225))</f>
        <v>9897.8684416</v>
      </c>
      <c r="X274" s="254">
        <f>W274+X126+X221+X222+X209+X225</f>
        <v>9671.48727207553</v>
      </c>
      <c r="Y274" s="254">
        <f>X274+Y126+Y221+Y222+Y209+Y225</f>
        <v>9323.52519547964</v>
      </c>
      <c r="Z274" s="254">
        <f>Y274+Z126+Z221+Z222+Z209+Z225</f>
        <v>8970.69770405367</v>
      </c>
      <c r="AA274" s="254">
        <f>Z274+AA126+AA221+AA222+AA209+AA225</f>
        <v>8614.05560728539</v>
      </c>
      <c r="AB274" s="254">
        <f>AA274+AB126+AB221+AB222+AB209+AB225</f>
        <v>8254.85647040136</v>
      </c>
      <c r="AC274" s="153" t="inlineStr">
        <is>
          <t>+ net income − dividends − repurchases + stock-based compensation (FX translation flows through AOCI).</t>
        </is>
      </c>
      <c r="AE274" s="20">
        <f>IFERROR((AB274/W274)^(1/5)-1,"n/m")</f>
        <v>-0.0356524757081393</v>
      </c>
      <c r="AF274" s="20">
        <f>IFERROR((R274/H274)^(1/2)-1,"n/m")</f>
        <v>-0.0135213404548427</v>
      </c>
      <c r="AG274" s="20">
        <f>IFERROR(R274/M274-1,"n/m")</f>
        <v>-0.0169477017889241</v>
      </c>
      <c r="AH274" s="20" t="str">
        <f>IFERROR((R274/C274)^(1/3)-1,"n/m")</f>
        <v>n/m</v>
      </c>
    </row>
    <row r="275" ht="15" customHeight="1" s="251">
      <c r="B275" s="55" t="inlineStr">
        <is>
          <t>TOTAL LIABILITIES AND EQUITY</t>
        </is>
      </c>
      <c r="C275" s="269">
        <f>IF(ISNUMBER(C273),C273+C274,"")</f>
      </c>
      <c r="D275" s="269">
        <f>IF(ISNUMBER(D273),D273+D274,"")</f>
      </c>
      <c r="E275" s="269">
        <f>IF(ISNUMBER(E273),E273+E274,"")</f>
      </c>
      <c r="F275" s="269">
        <f>IF(ISNUMBER(F273),F273+F274,"")</f>
      </c>
      <c r="G275" s="269">
        <f>IF(ISNUMBER(G273),G273+G274,"")</f>
        <v>13562</v>
      </c>
      <c r="H275" s="269">
        <f>IF(ISNUMBER(H273),H273+H274,"")</f>
        <v>13562</v>
      </c>
      <c r="I275" s="269">
        <f>IF(ISNUMBER(I273),I273+I274,"")</f>
      </c>
      <c r="J275" s="269">
        <f>IF(ISNUMBER(J273),J273+J274,"")</f>
      </c>
      <c r="K275" s="269">
        <f>IF(ISNUMBER(K273),K273+K274,"")</f>
      </c>
      <c r="L275" s="269">
        <f>IF(ISNUMBER(L273),L273+L274,"")</f>
        <v>13255</v>
      </c>
      <c r="M275" s="269">
        <f>IF(ISNUMBER(M273),M273+M274,"")</f>
        <v>13255</v>
      </c>
      <c r="N275" s="269">
        <f>IF(ISNUMBER(N273),N273+N274,"")</f>
      </c>
      <c r="O275" s="269">
        <f>IF(ISNUMBER(O273),O273+O274,"")</f>
      </c>
      <c r="P275" s="269">
        <f>IF(ISNUMBER(P273),P273+P274,"")</f>
      </c>
      <c r="Q275" s="269">
        <f>IF(ISNUMBER(Q273),Q273+Q274,"")</f>
        <v>12995</v>
      </c>
      <c r="R275" s="269">
        <f>IF(ISNUMBER(R273),R273+R274,"")</f>
        <v>12995</v>
      </c>
      <c r="S275" s="269">
        <f>IF(ISNUMBER(S273),S273+S274,"")</f>
        <v>13042</v>
      </c>
      <c r="T275" s="269">
        <f>IF(ISNUMBER(T273),T273+T274,"")</f>
        <v>13060</v>
      </c>
      <c r="U275" s="56" t="n"/>
      <c r="V275" s="56" t="n"/>
      <c r="W275" s="269">
        <f>IF(ISNUMBER(W273),W273+W274,"")</f>
        <v>13099.3409416</v>
      </c>
      <c r="X275" s="269">
        <f>IF(ISNUMBER(X273),X273+X274,"")</f>
        <v>12814.1515261388</v>
      </c>
      <c r="Y275" s="269">
        <f>IF(ISNUMBER(Y273),Y273+Y274,"")</f>
        <v>12408.3319363418</v>
      </c>
      <c r="Z275" s="269">
        <f>IF(ISNUMBER(Z273),Z273+Z274,"")</f>
        <v>12130.6583566694</v>
      </c>
      <c r="AA275" s="269">
        <f>IF(ISNUMBER(AA273),AA273+AA274,"")</f>
        <v>11868.8716228035</v>
      </c>
      <c r="AB275" s="269">
        <f>IF(ISNUMBER(AB273),AB273+AB274,"")</f>
        <v>11611.232726173</v>
      </c>
      <c r="AC275" s="153" t="n"/>
    </row>
    <row r="276" ht="15" customHeight="1" s="251">
      <c r="B276" s="57" t="inlineStr">
        <is>
          <t>BS tie-out check (TA − TL&amp;E)</t>
        </is>
      </c>
      <c r="C276" s="211">
        <f>IF(ISNUMBER(C264),ROUND(C264-C275,1),"")</f>
      </c>
      <c r="D276" s="211">
        <f>IF(ISNUMBER(D264),ROUND(D264-D275,1),"")</f>
      </c>
      <c r="E276" s="211">
        <f>IF(ISNUMBER(E264),ROUND(E264-E275,1),"")</f>
      </c>
      <c r="F276" s="211">
        <f>IF(ISNUMBER(F264),ROUND(F264-F275,1),"")</f>
      </c>
      <c r="G276" s="211">
        <f>IF(ISNUMBER(G264),ROUND(G264-G275,1),"")</f>
        <v>0</v>
      </c>
      <c r="H276" s="211">
        <f>IF(ISNUMBER(H264),ROUND(H264-H275,1),"")</f>
        <v>0</v>
      </c>
      <c r="I276" s="211">
        <f>IF(ISNUMBER(I264),ROUND(I264-I275,1),"")</f>
      </c>
      <c r="J276" s="211">
        <f>IF(ISNUMBER(J264),ROUND(J264-J275,1),"")</f>
      </c>
      <c r="K276" s="211">
        <f>IF(ISNUMBER(K264),ROUND(K264-K275,1),"")</f>
      </c>
      <c r="L276" s="211">
        <f>IF(ISNUMBER(L264),ROUND(L264-L275,1),"")</f>
        <v>0</v>
      </c>
      <c r="M276" s="211">
        <f>IF(ISNUMBER(M264),ROUND(M264-M275,1),"")</f>
        <v>0</v>
      </c>
      <c r="N276" s="211">
        <f>IF(ISNUMBER(N264),ROUND(N264-N275,1),"")</f>
      </c>
      <c r="O276" s="211">
        <f>IF(ISNUMBER(O264),ROUND(O264-O275,1),"")</f>
      </c>
      <c r="P276" s="211">
        <f>IF(ISNUMBER(P264),ROUND(P264-P275,1),"")</f>
      </c>
      <c r="Q276" s="211">
        <f>IF(ISNUMBER(Q264),ROUND(Q264-Q275,1),"")</f>
        <v>0</v>
      </c>
      <c r="R276" s="211">
        <f>IF(ISNUMBER(R264),ROUND(R264-R275,1),"")</f>
        <v>0</v>
      </c>
      <c r="S276" s="211">
        <f>IF(ISNUMBER(S264),ROUND(S264-S275,1),"")</f>
        <v>0</v>
      </c>
      <c r="T276" s="211">
        <f>IF(ISNUMBER(T264),ROUND(T264-T275,1),"")</f>
        <v>0</v>
      </c>
      <c r="U276" s="153" t="n"/>
      <c r="V276" s="153" t="n"/>
      <c r="W276" s="270">
        <f>IF(ISNUMBER(W264),ROUND(W264-W275,1),"")</f>
        <v>0</v>
      </c>
      <c r="X276" s="270">
        <f>IF(ISNUMBER(X264),ROUND(X264-X275,1),"")</f>
        <v>0</v>
      </c>
      <c r="Y276" s="270">
        <f>IF(ISNUMBER(Y264),ROUND(Y264-Y275,1),"")</f>
        <v>0</v>
      </c>
      <c r="Z276" s="270">
        <f>IF(ISNUMBER(Z264),ROUND(Z264-Z275,1),"")</f>
        <v>0</v>
      </c>
      <c r="AA276" s="270">
        <f>IF(ISNUMBER(AA264),ROUND(AA264-AA275,1),"")</f>
        <v>0</v>
      </c>
      <c r="AB276" s="270">
        <f>IF(ISNUMBER(AB264),ROUND(AB264-AB275,1),"")</f>
        <v>0</v>
      </c>
      <c r="AC276" s="153" t="n"/>
    </row>
    <row r="277" ht="15" customHeight="1" s="251">
      <c r="B277" s="57" t="inlineStr">
        <is>
          <t xml:space="preserve">  Check: model total assets vs reported (should be 0)</t>
        </is>
      </c>
      <c r="C277" s="211">
        <f>IF(ISNUMBER(C278),ROUND(C264-C278,1),"")</f>
      </c>
      <c r="D277" s="211">
        <f>IF(ISNUMBER(D278),ROUND(D264-D278,1),"")</f>
      </c>
      <c r="E277" s="211">
        <f>IF(ISNUMBER(E278),ROUND(E264-E278,1),"")</f>
      </c>
      <c r="F277" s="211">
        <f>IF(ISNUMBER(F278),ROUND(F264-F278,1),"")</f>
      </c>
      <c r="G277" s="211">
        <f>IF(ISNUMBER(G278),ROUND(G264-G278,1),"")</f>
        <v>0</v>
      </c>
      <c r="H277" s="211">
        <f>IF(ISNUMBER(H278),ROUND(H264-H278,1),"")</f>
        <v>0</v>
      </c>
      <c r="I277" s="211">
        <f>IF(ISNUMBER(I278),ROUND(I264-I278,1),"")</f>
      </c>
      <c r="J277" s="211">
        <f>IF(ISNUMBER(J278),ROUND(J264-J278,1),"")</f>
      </c>
      <c r="K277" s="211">
        <f>IF(ISNUMBER(K278),ROUND(K264-K278,1),"")</f>
      </c>
      <c r="L277" s="211">
        <f>IF(ISNUMBER(L278),ROUND(L264-L278,1),"")</f>
        <v>0</v>
      </c>
      <c r="M277" s="211">
        <f>IF(ISNUMBER(M278),ROUND(M264-M278,1),"")</f>
        <v>0</v>
      </c>
      <c r="N277" s="211">
        <f>IF(ISNUMBER(N278),ROUND(N264-N278,1),"")</f>
      </c>
      <c r="O277" s="211">
        <f>IF(ISNUMBER(O278),ROUND(O264-O278,1),"")</f>
      </c>
      <c r="P277" s="211">
        <f>IF(ISNUMBER(P278),ROUND(P264-P278,1),"")</f>
      </c>
      <c r="Q277" s="211">
        <f>IF(ISNUMBER(Q278),ROUND(Q264-Q278,1),"")</f>
        <v>0</v>
      </c>
      <c r="R277" s="211">
        <f>IF(ISNUMBER(R278),ROUND(R264-R278,1),"")</f>
        <v>0</v>
      </c>
      <c r="S277" s="211">
        <f>IF(ISNUMBER(S278),ROUND(S264-S278,1),"")</f>
        <v>0</v>
      </c>
      <c r="T277" s="211">
        <f>IF(ISNUMBER(T278),ROUND(T264-T278,1),"")</f>
        <v>0</v>
      </c>
      <c r="U277" s="153" t="n"/>
      <c r="V277" s="153" t="n"/>
      <c r="W277" s="153" t="n"/>
      <c r="X277" s="153" t="n"/>
      <c r="Y277" s="153" t="n"/>
      <c r="Z277" s="153" t="n"/>
      <c r="AA277" s="153" t="n"/>
      <c r="AB277" s="153" t="n"/>
      <c r="AC277" s="153" t="n"/>
    </row>
    <row r="278" ht="15" customHeight="1" s="251">
      <c r="B278" s="156" t="inlineStr">
        <is>
          <t xml:space="preserve">  Memo: total assets as reported</t>
        </is>
      </c>
      <c r="C278" s="34" t="n"/>
      <c r="D278" s="34" t="n"/>
      <c r="E278" s="34" t="n"/>
      <c r="F278" s="34" t="n"/>
      <c r="G278" s="258" t="n">
        <v>13562</v>
      </c>
      <c r="H278" s="258" t="n">
        <v>13562</v>
      </c>
      <c r="I278" s="34" t="n"/>
      <c r="J278" s="34" t="n"/>
      <c r="K278" s="34" t="n"/>
      <c r="L278" s="258" t="n">
        <v>13255</v>
      </c>
      <c r="M278" s="258" t="n">
        <v>13255</v>
      </c>
      <c r="N278" s="34" t="n"/>
      <c r="O278" s="34" t="n"/>
      <c r="P278" s="34" t="n"/>
      <c r="Q278" s="258" t="n">
        <v>12995</v>
      </c>
      <c r="R278" s="258" t="n">
        <v>12995</v>
      </c>
      <c r="S278" s="258" t="n">
        <v>13042</v>
      </c>
      <c r="T278" s="258" t="n">
        <v>13060</v>
      </c>
      <c r="U278" s="153" t="n"/>
      <c r="V278" s="153" t="n"/>
      <c r="W278" s="153" t="n"/>
      <c r="X278" s="153" t="n"/>
      <c r="Y278" s="153" t="n"/>
      <c r="Z278" s="153" t="n"/>
      <c r="AA278" s="153" t="n"/>
      <c r="AB278" s="153" t="n"/>
      <c r="AC278" s="153" t="n"/>
    </row>
    <row r="279" ht="15" customHeight="1" s="251">
      <c r="B279" s="57" t="inlineStr">
        <is>
          <t xml:space="preserve">  Check: BS cash vs cash-flow ending cash (should be 0)</t>
        </is>
      </c>
      <c r="C279" s="211">
        <f>IF(AND(ISNUMBER(C256),ISNUMBER(C228)),ROUND(C256-C228,1),"")</f>
      </c>
      <c r="D279" s="211">
        <f>IF(AND(ISNUMBER(D256),ISNUMBER(D228)),ROUND(D256-D228,1),"")</f>
      </c>
      <c r="E279" s="211">
        <f>IF(AND(ISNUMBER(E256),ISNUMBER(E228)),ROUND(E256-E228,1),"")</f>
      </c>
      <c r="F279" s="211">
        <f>IF(AND(ISNUMBER(F256),ISNUMBER(F228)),ROUND(F256-F228,1),"")</f>
      </c>
      <c r="G279" s="211">
        <f>IF(AND(ISNUMBER(G256),ISNUMBER(G228)),ROUND(G256-G228,1),"")</f>
      </c>
      <c r="H279" s="211">
        <f>IF(AND(ISNUMBER(H256),ISNUMBER(H228)),ROUND(H256-H228,1),"")</f>
        <v>0</v>
      </c>
      <c r="I279" s="211">
        <f>IF(AND(ISNUMBER(I256),ISNUMBER(I228)),ROUND(I256-I228,1),"")</f>
      </c>
      <c r="J279" s="211">
        <f>IF(AND(ISNUMBER(J256),ISNUMBER(J228)),ROUND(J256-J228,1),"")</f>
      </c>
      <c r="K279" s="211">
        <f>IF(AND(ISNUMBER(K256),ISNUMBER(K228)),ROUND(K256-K228,1),"")</f>
      </c>
      <c r="L279" s="211">
        <f>IF(AND(ISNUMBER(L256),ISNUMBER(L228)),ROUND(L256-L228,1),"")</f>
      </c>
      <c r="M279" s="211">
        <f>IF(AND(ISNUMBER(M256),ISNUMBER(M228)),ROUND(M256-M228,1),"")</f>
        <v>0</v>
      </c>
      <c r="N279" s="211">
        <f>IF(AND(ISNUMBER(N256),ISNUMBER(N228)),ROUND(N256-N228,1),"")</f>
      </c>
      <c r="O279" s="211">
        <f>IF(AND(ISNUMBER(O256),ISNUMBER(O228)),ROUND(O256-O228,1),"")</f>
      </c>
      <c r="P279" s="211">
        <f>IF(AND(ISNUMBER(P256),ISNUMBER(P228)),ROUND(P256-P228,1),"")</f>
      </c>
      <c r="Q279" s="211">
        <f>IF(AND(ISNUMBER(Q256),ISNUMBER(Q228)),ROUND(Q256-Q228,1),"")</f>
      </c>
      <c r="R279" s="211">
        <f>IF(AND(ISNUMBER(R256),ISNUMBER(R228)),ROUND(R256-R228,1),"")</f>
        <v>0</v>
      </c>
      <c r="S279" s="211">
        <f>IF(AND(ISNUMBER(S256),ISNUMBER(S228)),ROUND(S256-S228,1),"")</f>
        <v>0</v>
      </c>
      <c r="T279" s="211">
        <f>IF(AND(ISNUMBER(T256),ISNUMBER(T228)),ROUND(T256-T228,1),"")</f>
        <v>0</v>
      </c>
      <c r="U279" s="153" t="n"/>
      <c r="V279" s="153" t="n"/>
      <c r="W279" s="270">
        <f>IF(AND(ISNUMBER(W256),ISNUMBER(W228)),ROUND(W256-W228,1),"")</f>
        <v>0</v>
      </c>
      <c r="X279" s="270">
        <f>IF(AND(ISNUMBER(X256),ISNUMBER(X228)),ROUND(X256-X228,1),"")</f>
        <v>0</v>
      </c>
      <c r="Y279" s="270">
        <f>IF(AND(ISNUMBER(Y256),ISNUMBER(Y228)),ROUND(Y256-Y228,1),"")</f>
        <v>0</v>
      </c>
      <c r="Z279" s="270">
        <f>IF(AND(ISNUMBER(Z256),ISNUMBER(Z228)),ROUND(Z256-Z228,1),"")</f>
        <v>0</v>
      </c>
      <c r="AA279" s="270">
        <f>IF(AND(ISNUMBER(AA256),ISNUMBER(AA228)),ROUND(AA256-AA228,1),"")</f>
        <v>0</v>
      </c>
      <c r="AB279" s="270">
        <f>IF(AND(ISNUMBER(AB256),ISNUMBER(AB228)),ROUND(AB256-AB228,1),"")</f>
        <v>0</v>
      </c>
      <c r="AC279" s="153" t="n"/>
    </row>
    <row r="280" ht="15" customHeight="1" s="251">
      <c r="B280" s="156" t="inlineStr">
        <is>
          <t xml:space="preserve">  Memo: shares outstanding at period end (m)</t>
        </is>
      </c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272" t="n">
        <v>294.82132</v>
      </c>
      <c r="U280" s="153" t="n"/>
      <c r="V280" s="153" t="n"/>
      <c r="W280" s="284">
        <f>W250</f>
        <v>295.02132</v>
      </c>
      <c r="X280" s="284">
        <f>X250</f>
        <v>273.309571761818</v>
      </c>
      <c r="Y280" s="284">
        <f>Y250</f>
        <v>244.661657044288</v>
      </c>
      <c r="Z280" s="284">
        <f>Z250</f>
        <v>215.620725988275</v>
      </c>
      <c r="AA280" s="284">
        <f>AA250</f>
        <v>186.412923348042</v>
      </c>
      <c r="AB280" s="284">
        <f>AB250</f>
        <v>157.099817529611</v>
      </c>
      <c r="AC280" s="153" t="n"/>
    </row>
    <row r="281" ht="15" customHeight="1" s="251">
      <c r="AK281" s="11" t="n"/>
      <c r="AL281" s="12" t="n"/>
      <c r="AM281" s="12" t="n"/>
      <c r="AN281" s="12" t="n"/>
      <c r="AO281" s="13" t="n"/>
    </row>
    <row r="282" ht="15" customHeight="1" s="251">
      <c r="B282" s="10" t="inlineStr">
        <is>
          <t>WORKING CAPITAL &amp; CASH CONVERSION</t>
        </is>
      </c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inlineStr">
        <is>
          <t>WORKING CAPITAL — forecast drivers (blue = input; set at fiscal-year-end 31-Dec-2025 levels)</t>
        </is>
      </c>
    </row>
    <row r="283" ht="15" customHeight="1" s="251">
      <c r="B283" s="25" t="inlineStr">
        <is>
          <t xml:space="preserve">  Revenue — annualised (quarters × 4)</t>
        </is>
      </c>
      <c r="C283" s="211">
        <f>IF(ISNUMBER(C115),C115*1,"")</f>
      </c>
      <c r="D283" s="211">
        <f>IF(ISNUMBER(D115),D115*4,"")</f>
      </c>
      <c r="E283" s="211">
        <f>IF(ISNUMBER(E115),E115*4,"")</f>
      </c>
      <c r="F283" s="211">
        <f>IF(ISNUMBER(F115),F115*4,"")</f>
      </c>
      <c r="G283" s="211">
        <f>IF(ISNUMBER(G115),G115*4,"")</f>
      </c>
      <c r="H283" s="211">
        <f>IF(ISNUMBER(H115),H115*1,"")</f>
        <v>1485</v>
      </c>
      <c r="I283" s="211">
        <f>IF(ISNUMBER(I115),I115*4,"")</f>
      </c>
      <c r="J283" s="211">
        <f>IF(ISNUMBER(J115),J115*4,"")</f>
      </c>
      <c r="K283" s="211">
        <f>IF(ISNUMBER(K115),K115*4,"")</f>
      </c>
      <c r="L283" s="211">
        <f>IF(ISNUMBER(L115),L115*4,"")</f>
      </c>
      <c r="M283" s="211">
        <f>IF(ISNUMBER(M115),M115*1,"")</f>
        <v>1613</v>
      </c>
      <c r="N283" s="211">
        <f>IF(ISNUMBER(N115),N115*4,"")</f>
        <v>1680</v>
      </c>
      <c r="O283" s="211">
        <f>IF(ISNUMBER(O115),O115*4,"")</f>
        <v>1756</v>
      </c>
      <c r="P283" s="211">
        <f>IF(ISNUMBER(P115),P115*4,"")</f>
        <v>1780</v>
      </c>
      <c r="Q283" s="211">
        <f>IF(ISNUMBER(Q115),Q115*4,"")</f>
        <v>1784</v>
      </c>
      <c r="R283" s="211">
        <f>IF(ISNUMBER(R115),R115*1,"")</f>
        <v>1750</v>
      </c>
      <c r="S283" s="211">
        <f>IF(ISNUMBER(S115),S115*4,"")</f>
        <v>1820</v>
      </c>
      <c r="T283" s="211">
        <f>IF(ISNUMBER(T115),T115*4,"")</f>
        <v>1872</v>
      </c>
      <c r="U283" s="35" t="n"/>
      <c r="V283" s="35" t="n"/>
      <c r="W283" s="266">
        <f>IF(ISNUMBER(W115),W115*1,"")</f>
        <v>1877.5</v>
      </c>
      <c r="X283" s="266">
        <f>IF(ISNUMBER(X115),X115*1,"")</f>
        <v>2008.3759285126</v>
      </c>
      <c r="Y283" s="266">
        <f>IF(ISNUMBER(Y115),Y115*1,"")</f>
        <v>2146.09166087893</v>
      </c>
      <c r="Z283" s="266">
        <f>IF(ISNUMBER(Z115),Z115*1,"")</f>
        <v>2285.74374662998</v>
      </c>
      <c r="AA283" s="266">
        <f>IF(ISNUMBER(AA115),AA115*1,"")</f>
        <v>2430.28014250696</v>
      </c>
      <c r="AB283" s="266">
        <f>IF(ISNUMBER(AB115),AB115*1,"")</f>
        <v>2577.1343904769</v>
      </c>
      <c r="AC283" s="19" t="n"/>
    </row>
    <row r="284" ht="15" customHeight="1" s="251">
      <c r="B284" s="25" t="inlineStr">
        <is>
          <t xml:space="preserve">  DSO — receivables / revenue × 365</t>
        </is>
      </c>
      <c r="C284" s="285">
        <f>IF(ISNUMBER(C257),IFERROR(C257/C283*365,""),"")</f>
      </c>
      <c r="D284" s="285">
        <f>IF(ISNUMBER(D257),IFERROR(D257/D283*365,""),"")</f>
      </c>
      <c r="E284" s="285">
        <f>IF(ISNUMBER(E257),IFERROR(E257/E283*365,""),"")</f>
      </c>
      <c r="F284" s="285">
        <f>IF(ISNUMBER(F257),IFERROR(F257/F283*365,""),"")</f>
      </c>
      <c r="G284" s="285">
        <f>IF(ISNUMBER(G257),IFERROR(G257/G283*365,""),"")</f>
      </c>
      <c r="H284" s="285">
        <f>IF(ISNUMBER(H257),IFERROR(H257/H283*365,""),"")</f>
        <v>46.4545454545455</v>
      </c>
      <c r="I284" s="285">
        <f>IF(ISNUMBER(I257),IFERROR(I257/I283*365,""),"")</f>
      </c>
      <c r="J284" s="285">
        <f>IF(ISNUMBER(J257),IFERROR(J257/J283*365,""),"")</f>
      </c>
      <c r="K284" s="285">
        <f>IF(ISNUMBER(K257),IFERROR(K257/K283*365,""),"")</f>
      </c>
      <c r="L284" s="285">
        <f>IF(ISNUMBER(L257),IFERROR(L257/L283*365,""),"")</f>
      </c>
      <c r="M284" s="285">
        <f>IF(ISNUMBER(M257),IFERROR(M257/M283*365,""),"")</f>
        <v>44.1258524488531</v>
      </c>
      <c r="N284" s="285">
        <f>IF(ISNUMBER(N257),IFERROR(N257/N283*365,""),"")</f>
      </c>
      <c r="O284" s="285">
        <f>IF(ISNUMBER(O257),IFERROR(O257/O283*365,""),"")</f>
      </c>
      <c r="P284" s="285">
        <f>IF(ISNUMBER(P257),IFERROR(P257/P283*365,""),"")</f>
      </c>
      <c r="Q284" s="285">
        <f>IF(ISNUMBER(Q257),IFERROR(Q257/Q283*365,""),"")</f>
        <v>41.5330717488789</v>
      </c>
      <c r="R284" s="285">
        <f>IF(ISNUMBER(R257),IFERROR(R257/R283*365,""),"")</f>
        <v>42.34</v>
      </c>
      <c r="S284" s="285">
        <f>IF(ISNUMBER(S257),IFERROR(S257/S283*365,""),"")</f>
        <v>43.3186813186813</v>
      </c>
      <c r="T284" s="285">
        <f>IF(ISNUMBER(T257),IFERROR(T257/T283*365,""),"")</f>
        <v>42.1153846153846</v>
      </c>
      <c r="U284" s="35" t="n"/>
      <c r="V284" s="35" t="n"/>
      <c r="W284" s="286" t="n">
        <v>42</v>
      </c>
      <c r="X284" s="286" t="n">
        <v>42</v>
      </c>
      <c r="Y284" s="286" t="n">
        <v>42</v>
      </c>
      <c r="Z284" s="286" t="n">
        <v>42</v>
      </c>
      <c r="AA284" s="286" t="n">
        <v>42</v>
      </c>
      <c r="AB284" s="286" t="n">
        <v>42</v>
      </c>
      <c r="AC284" s="19" t="n"/>
    </row>
    <row r="285" ht="15" customHeight="1" s="251">
      <c r="B285" s="25" t="inlineStr">
        <is>
          <t xml:space="preserve">  Accounts payable % of revenue</t>
        </is>
      </c>
      <c r="C285" s="215">
        <f>IF(ISNUMBER(C266),IFERROR(C266/C283,""),"")</f>
      </c>
      <c r="D285" s="215">
        <f>IF(ISNUMBER(D266),IFERROR(D266/D283,""),"")</f>
      </c>
      <c r="E285" s="215">
        <f>IF(ISNUMBER(E266),IFERROR(E266/E283,""),"")</f>
      </c>
      <c r="F285" s="215">
        <f>IF(ISNUMBER(F266),IFERROR(F266/F283,""),"")</f>
      </c>
      <c r="G285" s="215">
        <f>IF(ISNUMBER(G266),IFERROR(G266/G283,""),"")</f>
      </c>
      <c r="H285" s="215">
        <f>IF(ISNUMBER(H266),IFERROR(H266/H283,""),"")</f>
        <v>0.0262626262626263</v>
      </c>
      <c r="I285" s="215">
        <f>IF(ISNUMBER(I266),IFERROR(I266/I283,""),"")</f>
      </c>
      <c r="J285" s="215">
        <f>IF(ISNUMBER(J266),IFERROR(J266/J283,""),"")</f>
      </c>
      <c r="K285" s="215">
        <f>IF(ISNUMBER(K266),IFERROR(K266/K283,""),"")</f>
      </c>
      <c r="L285" s="215">
        <f>IF(ISNUMBER(L266),IFERROR(L266/L283,""),"")</f>
      </c>
      <c r="M285" s="215">
        <f>IF(ISNUMBER(M266),IFERROR(M266/M283,""),"")</f>
        <v>0.0235585864848109</v>
      </c>
      <c r="N285" s="215">
        <f>IF(ISNUMBER(N266),IFERROR(N266/N283,""),"")</f>
      </c>
      <c r="O285" s="215">
        <f>IF(ISNUMBER(O266),IFERROR(O266/O283,""),"")</f>
      </c>
      <c r="P285" s="215">
        <f>IF(ISNUMBER(P266),IFERROR(P266/P283,""),"")</f>
      </c>
      <c r="Q285" s="215">
        <f>IF(ISNUMBER(Q266),IFERROR(Q266/Q283,""),"")</f>
        <v>0.031390134529148</v>
      </c>
      <c r="R285" s="215">
        <f>IF(ISNUMBER(R266),IFERROR(R266/R283,""),"")</f>
        <v>0.032</v>
      </c>
      <c r="S285" s="215">
        <f>IF(ISNUMBER(S266),IFERROR(S266/S283,""),"")</f>
        <v>0.0263736263736264</v>
      </c>
      <c r="T285" s="215">
        <f>IF(ISNUMBER(T266),IFERROR(T266/T283,""),"")</f>
        <v>0.0336538461538462</v>
      </c>
      <c r="U285" s="24" t="n"/>
      <c r="V285" s="24" t="n"/>
      <c r="W285" s="262" t="n">
        <v>0.032</v>
      </c>
      <c r="X285" s="262" t="n">
        <v>0.032</v>
      </c>
      <c r="Y285" s="262" t="n">
        <v>0.032</v>
      </c>
      <c r="Z285" s="262" t="n">
        <v>0.032</v>
      </c>
      <c r="AA285" s="262" t="n">
        <v>0.032</v>
      </c>
      <c r="AB285" s="262" t="n">
        <v>0.032</v>
      </c>
      <c r="AC285" s="153" t="n"/>
    </row>
    <row r="286" ht="15" customHeight="1" s="251">
      <c r="B286" s="25" t="inlineStr">
        <is>
          <t xml:space="preserve">  Unearned revenue % of revenue</t>
        </is>
      </c>
      <c r="C286" s="215">
        <f>IF(ISNUMBER(C267),IFERROR(C267/C283,""),"")</f>
      </c>
      <c r="D286" s="215">
        <f>IF(ISNUMBER(D267),IFERROR(D267/D283,""),"")</f>
      </c>
      <c r="E286" s="215">
        <f>IF(ISNUMBER(E267),IFERROR(E267/E283,""),"")</f>
      </c>
      <c r="F286" s="215">
        <f>IF(ISNUMBER(F267),IFERROR(F267/F283,""),"")</f>
      </c>
      <c r="G286" s="215">
        <f>IF(ISNUMBER(G267),IFERROR(G267/G283,""),"")</f>
      </c>
      <c r="H286" s="215">
        <f>IF(ISNUMBER(H267),IFERROR(H267/H283,""),"")</f>
        <v>0.0457912457912458</v>
      </c>
      <c r="I286" s="215">
        <f>IF(ISNUMBER(I267),IFERROR(I267/I283,""),"")</f>
      </c>
      <c r="J286" s="215">
        <f>IF(ISNUMBER(J267),IFERROR(J267/J283,""),"")</f>
      </c>
      <c r="K286" s="215">
        <f>IF(ISNUMBER(K267),IFERROR(K267/K283,""),"")</f>
      </c>
      <c r="L286" s="215">
        <f>IF(ISNUMBER(L267),IFERROR(L267/L283,""),"")</f>
      </c>
      <c r="M286" s="215">
        <f>IF(ISNUMBER(M267),IFERROR(M267/M283,""),"")</f>
        <v>0.04649721016739</v>
      </c>
      <c r="N286" s="215">
        <f>IF(ISNUMBER(N267),IFERROR(N267/N283,""),"")</f>
      </c>
      <c r="O286" s="215">
        <f>IF(ISNUMBER(O267),IFERROR(O267/O283,""),"")</f>
      </c>
      <c r="P286" s="215">
        <f>IF(ISNUMBER(P267),IFERROR(P267/P283,""),"")</f>
      </c>
      <c r="Q286" s="215">
        <f>IF(ISNUMBER(Q267),IFERROR(Q267/Q283,""),"")</f>
        <v>0.0437219730941704</v>
      </c>
      <c r="R286" s="215">
        <f>IF(ISNUMBER(R267),IFERROR(R267/R283,""),"")</f>
        <v>0.0445714285714286</v>
      </c>
      <c r="S286" s="215">
        <f>IF(ISNUMBER(S267),IFERROR(S267/S283,""),"")</f>
        <v>0.0516483516483516</v>
      </c>
      <c r="T286" s="215">
        <f>IF(ISNUMBER(T267),IFERROR(T267/T283,""),"")</f>
        <v>0.0544871794871795</v>
      </c>
      <c r="U286" s="24" t="n"/>
      <c r="V286" s="24" t="n"/>
      <c r="W286" s="262" t="n">
        <v>0.045</v>
      </c>
      <c r="X286" s="262" t="n">
        <v>0.045</v>
      </c>
      <c r="Y286" s="262" t="n">
        <v>0.045</v>
      </c>
      <c r="Z286" s="262" t="n">
        <v>0.045</v>
      </c>
      <c r="AA286" s="262" t="n">
        <v>0.045</v>
      </c>
      <c r="AB286" s="262" t="n">
        <v>0.045</v>
      </c>
      <c r="AC286" s="153" t="n"/>
    </row>
    <row r="287" ht="15" customHeight="1" s="251">
      <c r="B287" s="25" t="inlineStr">
        <is>
          <t xml:space="preserve">  Accrued &amp; other current liabilities % of revenue</t>
        </is>
      </c>
      <c r="C287" s="215">
        <f>IF(ISNUMBER(C268),IFERROR(C268/C283,""),"")</f>
      </c>
      <c r="D287" s="215">
        <f>IF(ISNUMBER(D268),IFERROR(D268/D283,""),"")</f>
      </c>
      <c r="E287" s="215">
        <f>IF(ISNUMBER(E268),IFERROR(E268/E283,""),"")</f>
      </c>
      <c r="F287" s="215">
        <f>IF(ISNUMBER(F268),IFERROR(F268/F283,""),"")</f>
      </c>
      <c r="G287" s="215">
        <f>IF(ISNUMBER(G268),IFERROR(G268/G283,""),"")</f>
      </c>
      <c r="H287" s="215">
        <f>IF(ISNUMBER(H268),IFERROR(H268/H283,""),"")</f>
        <v>0.0875420875420876</v>
      </c>
      <c r="I287" s="215">
        <f>IF(ISNUMBER(I268),IFERROR(I268/I283,""),"")</f>
      </c>
      <c r="J287" s="215">
        <f>IF(ISNUMBER(J268),IFERROR(J268/J283,""),"")</f>
      </c>
      <c r="K287" s="215">
        <f>IF(ISNUMBER(K268),IFERROR(K268/K283,""),"")</f>
      </c>
      <c r="L287" s="215">
        <f>IF(ISNUMBER(L268),IFERROR(L268/L283,""),"")</f>
      </c>
      <c r="M287" s="215">
        <f>IF(ISNUMBER(M268),IFERROR(M268/M283,""),"")</f>
        <v>0.0669559826410415</v>
      </c>
      <c r="N287" s="215">
        <f>IF(ISNUMBER(N268),IFERROR(N268/N283,""),"")</f>
      </c>
      <c r="O287" s="215">
        <f>IF(ISNUMBER(O268),IFERROR(O268/O283,""),"")</f>
      </c>
      <c r="P287" s="215">
        <f>IF(ISNUMBER(P268),IFERROR(P268/P283,""),"")</f>
      </c>
      <c r="Q287" s="215">
        <f>IF(ISNUMBER(Q268),IFERROR(Q268/Q283,""),"")</f>
        <v>0.0717488789237668</v>
      </c>
      <c r="R287" s="215">
        <f>IF(ISNUMBER(R268),IFERROR(R268/R283,""),"")</f>
        <v>0.0731428571428572</v>
      </c>
      <c r="S287" s="215">
        <f>IF(ISNUMBER(S268),IFERROR(S268/S283,""),"")</f>
        <v>0.0478021978021978</v>
      </c>
      <c r="T287" s="215">
        <f>IF(ISNUMBER(T268),IFERROR(T268/T283,""),"")</f>
        <v>0.0443376068376068</v>
      </c>
      <c r="U287" s="24" t="n"/>
      <c r="V287" s="24" t="n"/>
      <c r="W287" s="262" t="n">
        <v>0.062</v>
      </c>
      <c r="X287" s="262" t="n">
        <v>0.062</v>
      </c>
      <c r="Y287" s="262" t="n">
        <v>0.062</v>
      </c>
      <c r="Z287" s="262" t="n">
        <v>0.062</v>
      </c>
      <c r="AA287" s="262" t="n">
        <v>0.062</v>
      </c>
      <c r="AB287" s="262" t="n">
        <v>0.062</v>
      </c>
      <c r="AC287" s="153" t="inlineStr">
        <is>
          <t>Forecast inputs at fiscal-year-end (31-Dec-2025) levels on FY2025 revenue: DSO 42d, payables 3.2%, unearned revenue 4.5%, accrued &amp; other current liabilities 6.2% (excluding the $19m due to S&amp;P Global, settled at the separation). Year ends compared with year ends.</t>
        </is>
      </c>
    </row>
    <row r="288" ht="15" customHeight="1" s="251">
      <c r="B288" s="25" t="inlineStr">
        <is>
          <t xml:space="preserve">  Operating NWC (receivables + other current assets − payables − unearned − accrued &amp; other)</t>
        </is>
      </c>
      <c r="C288" s="211">
        <f>IF(ISNUMBER(C257),C257+C258-C266-C267-C268,"")</f>
      </c>
      <c r="D288" s="211">
        <f>IF(ISNUMBER(D257),D257+D258-D266-D267-D268,"")</f>
      </c>
      <c r="E288" s="211">
        <f>IF(ISNUMBER(E257),E257+E258-E266-E267-E268,"")</f>
      </c>
      <c r="F288" s="211">
        <f>IF(ISNUMBER(F257),F257+F258-F266-F267-F268,"")</f>
      </c>
      <c r="G288" s="211">
        <f>IF(ISNUMBER(G257),G257+G258-G266-G267-G268,"")</f>
        <v>-16</v>
      </c>
      <c r="H288" s="211">
        <f>IF(ISNUMBER(H257),H257+H258-H266-H267-H268,"")</f>
        <v>-16</v>
      </c>
      <c r="I288" s="211">
        <f>IF(ISNUMBER(I257),I257+I258-I266-I267-I268,"")</f>
      </c>
      <c r="J288" s="211">
        <f>IF(ISNUMBER(J257),J257+J258-J266-J267-J268,"")</f>
      </c>
      <c r="K288" s="211">
        <f>IF(ISNUMBER(K257),K257+K258-K266-K267-K268,"")</f>
      </c>
      <c r="L288" s="211">
        <f>IF(ISNUMBER(L257),L257+L258-L266-L267-L268,"")</f>
        <v>2</v>
      </c>
      <c r="M288" s="211">
        <f>IF(ISNUMBER(M257),M257+M258-M266-M267-M268,"")</f>
        <v>2</v>
      </c>
      <c r="N288" s="211">
        <f>IF(ISNUMBER(N257),N257+N258-N266-N267-N268,"")</f>
      </c>
      <c r="O288" s="211">
        <f>IF(ISNUMBER(O257),O257+O258-O266-O267-O268,"")</f>
      </c>
      <c r="P288" s="211">
        <f>IF(ISNUMBER(P257),P257+P258-P266-P267-P268,"")</f>
      </c>
      <c r="Q288" s="211">
        <f>IF(ISNUMBER(Q257),Q257+Q258-Q266-Q267-Q268,"")</f>
        <v>-19</v>
      </c>
      <c r="R288" s="211">
        <f>IF(ISNUMBER(R257),R257+R258-R266-R267-R268,"")</f>
        <v>-19</v>
      </c>
      <c r="S288" s="211">
        <f>IF(ISNUMBER(S257),S257+S258-S266-S267-S268,"")</f>
        <v>41</v>
      </c>
      <c r="T288" s="211">
        <f>IF(ISNUMBER(T257),T257+T258-T266-T267-T268,"")</f>
        <v>32</v>
      </c>
      <c r="U288" s="35" t="n"/>
      <c r="V288" s="35" t="n"/>
      <c r="W288" s="266">
        <f>IF(ISNUMBER(W257),W257+W258-W266-W267-W268,"")</f>
        <v>19.0685958904109</v>
      </c>
      <c r="X288" s="266">
        <f>IF(ISNUMBER(X257),X257+X258-X266-X267-X268,"")</f>
        <v>15.9365377108013</v>
      </c>
      <c r="Y288" s="266">
        <f>IF(ISNUMBER(Y257),Y257+Y258-Y266-Y267-Y268,"")</f>
        <v>12.6407927184181</v>
      </c>
      <c r="Z288" s="266">
        <f>IF(ISNUMBER(Z257),Z257+Z258-Z266-Z267-Z268,"")</f>
        <v>9.29870787174548</v>
      </c>
      <c r="AA288" s="266">
        <f>IF(ISNUMBER(AA257),AA257+AA258-AA266-AA267-AA268,"")</f>
        <v>5.83973412384017</v>
      </c>
      <c r="AB288" s="266">
        <f>IF(ISNUMBER(AB257),AB257+AB258-AB266-AB267-AB268,"")</f>
        <v>2.32529068269659</v>
      </c>
      <c r="AC288" s="19" t="n"/>
    </row>
    <row r="289" ht="15" customHeight="1" s="251">
      <c r="B289" s="25" t="inlineStr">
        <is>
          <t xml:space="preserve">  NWC % of revenue</t>
        </is>
      </c>
      <c r="C289" s="215">
        <f>IF(ISNUMBER(C288),IFERROR(C288/C283,""),"")</f>
      </c>
      <c r="D289" s="215">
        <f>IF(ISNUMBER(D288),IFERROR(D288/D283,""),"")</f>
      </c>
      <c r="E289" s="215">
        <f>IF(ISNUMBER(E288),IFERROR(E288/E283,""),"")</f>
      </c>
      <c r="F289" s="215">
        <f>IF(ISNUMBER(F288),IFERROR(F288/F283,""),"")</f>
      </c>
      <c r="G289" s="215">
        <f>IF(ISNUMBER(G288),IFERROR(G288/G283,""),"")</f>
      </c>
      <c r="H289" s="215">
        <f>IF(ISNUMBER(H288),IFERROR(H288/H283,""),"")</f>
        <v>-0.0107744107744108</v>
      </c>
      <c r="I289" s="215">
        <f>IF(ISNUMBER(I288),IFERROR(I288/I283,""),"")</f>
      </c>
      <c r="J289" s="215">
        <f>IF(ISNUMBER(J288),IFERROR(J288/J283,""),"")</f>
      </c>
      <c r="K289" s="215">
        <f>IF(ISNUMBER(K288),IFERROR(K288/K283,""),"")</f>
      </c>
      <c r="L289" s="215">
        <f>IF(ISNUMBER(L288),IFERROR(L288/L283,""),"")</f>
      </c>
      <c r="M289" s="215">
        <f>IF(ISNUMBER(M288),IFERROR(M288/M283,""),"")</f>
        <v>0.00123992560446373</v>
      </c>
      <c r="N289" s="215">
        <f>IF(ISNUMBER(N288),IFERROR(N288/N283,""),"")</f>
      </c>
      <c r="O289" s="215">
        <f>IF(ISNUMBER(O288),IFERROR(O288/O283,""),"")</f>
      </c>
      <c r="P289" s="215">
        <f>IF(ISNUMBER(P288),IFERROR(P288/P283,""),"")</f>
      </c>
      <c r="Q289" s="215">
        <f>IF(ISNUMBER(Q288),IFERROR(Q288/Q283,""),"")</f>
        <v>-0.0106502242152466</v>
      </c>
      <c r="R289" s="215">
        <f>IF(ISNUMBER(R288),IFERROR(R288/R283,""),"")</f>
        <v>-0.0108571428571429</v>
      </c>
      <c r="S289" s="215">
        <f>IF(ISNUMBER(S288),IFERROR(S288/S283,""),"")</f>
        <v>0.0225274725274725</v>
      </c>
      <c r="T289" s="215">
        <f>IF(ISNUMBER(T288),IFERROR(T288/T283,""),"")</f>
        <v>0.0170940170940171</v>
      </c>
      <c r="U289" s="24" t="n"/>
      <c r="V289" s="24" t="n"/>
      <c r="W289" s="256">
        <f>IF(ISNUMBER(W288),IFERROR(W288/W283,""),"")</f>
        <v>0.0101563759735877</v>
      </c>
      <c r="X289" s="256">
        <f>IF(ISNUMBER(X288),IFERROR(X288/X283,""),"")</f>
        <v>0.00793503720322114</v>
      </c>
      <c r="Y289" s="256">
        <f>IF(ISNUMBER(Y288),IFERROR(Y288/Y283,""),"")</f>
        <v>0.00589014577002788</v>
      </c>
      <c r="Z289" s="256">
        <f>IF(ISNUMBER(Z288),IFERROR(Z288/Z283,""),"")</f>
        <v>0.00406813225911923</v>
      </c>
      <c r="AA289" s="256">
        <f>IF(ISNUMBER(AA288),IFERROR(AA288/AA283,""),"")</f>
        <v>0.00240290574806581</v>
      </c>
      <c r="AB289" s="256">
        <f>IF(ISNUMBER(AB288),IFERROR(AB288/AB283,""),"")</f>
        <v>0.000902277619393489</v>
      </c>
      <c r="AC289" s="153" t="n"/>
      <c r="AE289" s="37">
        <f>IFERROR(AVERAGE(X289,Y289,Z289,AA289,AB289),"n/m")</f>
        <v>0.00423969971996551</v>
      </c>
      <c r="AF289" s="37">
        <f>IFERROR(AVERAGE(H289,M289,R289),"n/m")</f>
        <v>-0.0067972093423633</v>
      </c>
      <c r="AG289" s="37">
        <f>IFERROR(AVERAGE(M289,R289),"n/m")</f>
        <v>-0.00480860862633956</v>
      </c>
      <c r="AH289" s="37">
        <f>IFERROR(AVERAGE(C289,H289,M289,R289),"n/m")</f>
        <v>-0.0067972093423633</v>
      </c>
    </row>
    <row r="290" ht="15" customHeight="1" s="251">
      <c r="B290" s="25" t="inlineStr">
        <is>
          <t xml:space="preserve">  ΔNWC (y/y)</t>
        </is>
      </c>
      <c r="C290" s="34" t="n"/>
      <c r="D290" s="34" t="n"/>
      <c r="E290" s="34" t="n"/>
      <c r="F290" s="34" t="n"/>
      <c r="G290" s="34" t="n"/>
      <c r="H290" s="211">
        <f>IF(AND(ISNUMBER(H288),ISNUMBER(C288)),H288-C288,"")</f>
      </c>
      <c r="I290" s="211">
        <f>IF(AND(ISNUMBER(I288),ISNUMBER(D288)),I288-D288,"")</f>
      </c>
      <c r="J290" s="211">
        <f>IF(AND(ISNUMBER(J288),ISNUMBER(E288)),J288-E288,"")</f>
      </c>
      <c r="K290" s="211">
        <f>IF(AND(ISNUMBER(K288),ISNUMBER(F288)),K288-F288,"")</f>
      </c>
      <c r="L290" s="211">
        <f>IF(AND(ISNUMBER(L288),ISNUMBER(G288)),L288-G288,"")</f>
        <v>18</v>
      </c>
      <c r="M290" s="211">
        <f>IF(AND(ISNUMBER(M288),ISNUMBER(H288)),M288-H288,"")</f>
        <v>18</v>
      </c>
      <c r="N290" s="211">
        <f>IF(AND(ISNUMBER(N288),ISNUMBER(I288)),N288-I288,"")</f>
      </c>
      <c r="O290" s="211">
        <f>IF(AND(ISNUMBER(O288),ISNUMBER(J288)),O288-J288,"")</f>
      </c>
      <c r="P290" s="211">
        <f>IF(AND(ISNUMBER(P288),ISNUMBER(K288)),P288-K288,"")</f>
      </c>
      <c r="Q290" s="211">
        <f>IF(AND(ISNUMBER(Q288),ISNUMBER(L288)),Q288-L288,"")</f>
        <v>-21</v>
      </c>
      <c r="R290" s="211">
        <f>IF(AND(ISNUMBER(R288),ISNUMBER(M288)),R288-M288,"")</f>
        <v>-21</v>
      </c>
      <c r="S290" s="211">
        <f>IF(AND(ISNUMBER(S288),ISNUMBER(N288)),S288-N288,"")</f>
      </c>
      <c r="T290" s="211">
        <f>IF(AND(ISNUMBER(T288),ISNUMBER(O288)),T288-O288,"")</f>
      </c>
      <c r="U290" s="35" t="n"/>
      <c r="V290" s="35" t="n"/>
      <c r="W290" s="266">
        <f>IF(AND(ISNUMBER(W288),ISNUMBER(R288)),W288-R288,"")</f>
        <v>38.0685958904109</v>
      </c>
      <c r="X290" s="266">
        <f>IF(AND(ISNUMBER(X288),ISNUMBER(W288)),X288-W288,"")</f>
        <v>-3.13205817960967</v>
      </c>
      <c r="Y290" s="266">
        <f>IF(AND(ISNUMBER(Y288),ISNUMBER(X288)),Y288-X288,"")</f>
        <v>-3.29574499238315</v>
      </c>
      <c r="Z290" s="266">
        <f>IF(AND(ISNUMBER(Z288),ISNUMBER(Y288)),Z288-Y288,"")</f>
        <v>-3.34208484667263</v>
      </c>
      <c r="AA290" s="266">
        <f>IF(AND(ISNUMBER(AA288),ISNUMBER(Z288)),AA288-Z288,"")</f>
        <v>-3.4589737479053</v>
      </c>
      <c r="AB290" s="266">
        <f>IF(AND(ISNUMBER(AB288),ISNUMBER(AA288)),AB288-AA288,"")</f>
        <v>-3.51444344114358</v>
      </c>
      <c r="AC290" s="19" t="n"/>
    </row>
    <row r="291" ht="15" customHeight="1" s="251">
      <c r="AK291" s="11" t="n"/>
      <c r="AL291" s="12" t="n"/>
      <c r="AM291" s="12" t="n"/>
      <c r="AN291" s="12" t="n"/>
      <c r="AO291" s="13" t="n"/>
    </row>
    <row r="292" ht="15" customHeight="1" s="251">
      <c r="B292" s="10" t="inlineStr">
        <is>
          <t>BALANCE SHEET FORECAST SCHEDULES</t>
        </is>
      </c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inlineStr">
        <is>
          <t>BS FORECAST SCHEDULES — explicit driver assumptions</t>
        </is>
      </c>
    </row>
    <row r="293" ht="15" customHeight="1" s="251">
      <c r="B293" s="25" t="inlineStr">
        <is>
          <t>Share count &amp; pricing</t>
        </is>
      </c>
      <c r="AC293" s="153" t="n"/>
    </row>
    <row r="294" ht="15" customHeight="1" s="251">
      <c r="B294" s="69" t="inlineStr">
        <is>
          <t xml:space="preserve">  Dilutive securities (m shares; RSUs &amp; options)</t>
        </is>
      </c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153" t="n"/>
      <c r="V294" s="153" t="n"/>
      <c r="W294" s="35" t="n"/>
      <c r="X294" s="287" t="n">
        <v>1.5</v>
      </c>
      <c r="Y294" s="287" t="n">
        <v>1.5</v>
      </c>
      <c r="Z294" s="287" t="n">
        <v>1.5</v>
      </c>
      <c r="AA294" s="287" t="n">
        <v>1.5</v>
      </c>
      <c r="AB294" s="287" t="n">
        <v>1.5</v>
      </c>
      <c r="AC294" s="19" t="inlineStr">
        <is>
          <t>Assumption (spin-date replacement and new awards).</t>
        </is>
      </c>
    </row>
    <row r="295" ht="15" customHeight="1" s="251">
      <c r="B295" s="69" t="inlineStr">
        <is>
          <t xml:space="preserve">  Share-price appreciation % (buyback pricing)</t>
        </is>
      </c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153" t="n"/>
      <c r="V295" s="153" t="n"/>
      <c r="W295" s="35" t="n"/>
      <c r="X295" s="262" t="n">
        <v>0.08</v>
      </c>
      <c r="Y295" s="262" t="n">
        <v>0.08</v>
      </c>
      <c r="Z295" s="262" t="n">
        <v>0.08</v>
      </c>
      <c r="AA295" s="262" t="n">
        <v>0.08</v>
      </c>
      <c r="AB295" s="262" t="n">
        <v>0.08</v>
      </c>
      <c r="AC295" s="19" t="n"/>
    </row>
    <row r="296" ht="15" customHeight="1" s="251">
      <c r="B296" s="25" t="inlineStr">
        <is>
          <t>Debt schedule (senior notes repaid / refinanced at maturity; $500m revolver drawn or repaid to a minimum cash balance)</t>
        </is>
      </c>
      <c r="AC296" s="153" t="n"/>
    </row>
    <row r="297" ht="15" customHeight="1" s="251">
      <c r="B297" s="69" t="inlineStr">
        <is>
          <t xml:space="preserve">  Senior notes — principal (5.050% 2029 $650m; 5.450% 2031 $650m; 6.050% 2036 $700m)</t>
        </is>
      </c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153" t="n"/>
      <c r="V297" s="153" t="n"/>
      <c r="W297" s="266">
        <f>2000.0</f>
        <v>2000</v>
      </c>
      <c r="X297" s="266">
        <f>W297+X298-X299</f>
        <v>2000</v>
      </c>
      <c r="Y297" s="266">
        <f>X297+Y298-Y299</f>
        <v>2000</v>
      </c>
      <c r="Z297" s="266">
        <f>Y297+Z298-Z299</f>
        <v>2000</v>
      </c>
      <c r="AA297" s="266">
        <f>Z297+AA298-AA299</f>
        <v>2000</v>
      </c>
      <c r="AB297" s="266">
        <f>AA297+AB298-AB299</f>
        <v>2000</v>
      </c>
      <c r="AC297" s="19" t="inlineStr">
        <is>
          <t>10-Q Note 4 (Debt); Form 10 Unaudited Pro Forma Condensed Combined Financial Information note (b), (h).</t>
        </is>
      </c>
    </row>
    <row r="298" ht="15" customHeight="1" s="251">
      <c r="B298" s="69" t="inlineStr">
        <is>
          <t xml:space="preserve">  New notes issued (refinancing; input)</t>
        </is>
      </c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153" t="n"/>
      <c r="V298" s="153" t="n"/>
      <c r="W298" s="265" t="n">
        <v>0</v>
      </c>
      <c r="X298" s="265" t="n">
        <v>0</v>
      </c>
      <c r="Y298" s="265" t="n">
        <v>0</v>
      </c>
      <c r="Z298" s="265" t="n">
        <v>650</v>
      </c>
      <c r="AA298" s="265" t="n">
        <v>0</v>
      </c>
      <c r="AB298" s="265" t="n">
        <v>650</v>
      </c>
      <c r="AC298" s="19" t="n"/>
    </row>
    <row r="299" ht="15" customHeight="1" s="251">
      <c r="B299" s="69" t="inlineStr">
        <is>
          <t xml:space="preserve">  Notes repaid at maturity (input)</t>
        </is>
      </c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153" t="n"/>
      <c r="V299" s="153" t="n"/>
      <c r="W299" s="265" t="n">
        <v>0</v>
      </c>
      <c r="X299" s="265" t="n">
        <v>0</v>
      </c>
      <c r="Y299" s="265" t="n">
        <v>0</v>
      </c>
      <c r="Z299" s="265" t="n">
        <v>650</v>
      </c>
      <c r="AA299" s="265" t="n">
        <v>0</v>
      </c>
      <c r="AB299" s="265" t="n">
        <v>650</v>
      </c>
      <c r="AC299" s="19" t="inlineStr">
        <is>
          <t>5.050% notes due 2029 ($650m) and 5.450% notes due 2031 ($650m) assumed refinanced at maturity (assumption; modelled at the year end; maturity months are not given in the 10-Q).</t>
        </is>
      </c>
    </row>
    <row r="300" ht="15" customHeight="1" s="251">
      <c r="B300" s="69" t="inlineStr">
        <is>
          <t xml:space="preserve">  Accretion of discount &amp; issuance costs (non-cash; in interest expense)</t>
        </is>
      </c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153" t="n"/>
      <c r="V300" s="153" t="n"/>
      <c r="W300" s="265" t="n">
        <v>1.5</v>
      </c>
      <c r="X300" s="265" t="n">
        <v>3</v>
      </c>
      <c r="Y300" s="265" t="n">
        <v>3</v>
      </c>
      <c r="Z300" s="265" t="n">
        <v>3</v>
      </c>
      <c r="AA300" s="265" t="n">
        <v>3</v>
      </c>
      <c r="AB300" s="265" t="n">
        <v>3</v>
      </c>
      <c r="AC300" s="19" t="inlineStr">
        <is>
          <t>$19m unamortized at 30-Jun-2026 (OID $3m + issuance costs $16m) over ~6 years weighted life.</t>
        </is>
      </c>
    </row>
    <row r="301" ht="15" customHeight="1" s="251">
      <c r="B301" s="69" t="inlineStr">
        <is>
          <t xml:space="preserve">  Senior notes — carrying value</t>
        </is>
      </c>
      <c r="C301" s="211">
        <f>IF(ISNUMBER(C270),C270,"")</f>
      </c>
      <c r="D301" s="211">
        <f>IF(ISNUMBER(D270),D270,"")</f>
      </c>
      <c r="E301" s="211">
        <f>IF(ISNUMBER(E270),E270,"")</f>
      </c>
      <c r="F301" s="211">
        <f>IF(ISNUMBER(F270),F270,"")</f>
      </c>
      <c r="G301" s="211">
        <f>IF(ISNUMBER(G270),G270,"")</f>
        <v>0</v>
      </c>
      <c r="H301" s="211">
        <f>IF(ISNUMBER(H270),H270,"")</f>
        <v>0</v>
      </c>
      <c r="I301" s="211">
        <f>IF(ISNUMBER(I270),I270,"")</f>
      </c>
      <c r="J301" s="211">
        <f>IF(ISNUMBER(J270),J270,"")</f>
      </c>
      <c r="K301" s="211">
        <f>IF(ISNUMBER(K270),K270,"")</f>
      </c>
      <c r="L301" s="211">
        <f>IF(ISNUMBER(L270),L270,"")</f>
        <v>0</v>
      </c>
      <c r="M301" s="211">
        <f>IF(ISNUMBER(M270),M270,"")</f>
        <v>0</v>
      </c>
      <c r="N301" s="211">
        <f>IF(ISNUMBER(N270),N270,"")</f>
      </c>
      <c r="O301" s="211">
        <f>IF(ISNUMBER(O270),O270,"")</f>
      </c>
      <c r="P301" s="211">
        <f>IF(ISNUMBER(P270),P270,"")</f>
      </c>
      <c r="Q301" s="211">
        <f>IF(ISNUMBER(Q270),Q270,"")</f>
        <v>0</v>
      </c>
      <c r="R301" s="211">
        <f>IF(ISNUMBER(R270),R270,"")</f>
        <v>0</v>
      </c>
      <c r="S301" s="211">
        <f>IF(ISNUMBER(S270),S270,"")</f>
        <v>0</v>
      </c>
      <c r="T301" s="211">
        <f>IF(ISNUMBER(T270),T270,"")</f>
        <v>1981</v>
      </c>
      <c r="U301" s="153" t="n"/>
      <c r="V301" s="153" t="n"/>
      <c r="W301" s="266">
        <f>T301+W300+W298-W299</f>
        <v>1982.5</v>
      </c>
      <c r="X301" s="266">
        <f>W301+X300+X298-X299</f>
        <v>1985.5</v>
      </c>
      <c r="Y301" s="266">
        <f>X301+Y300+Y298-Y299</f>
        <v>1988.5</v>
      </c>
      <c r="Z301" s="266">
        <f>Y301+Z300+Z298-Z299</f>
        <v>1991.5</v>
      </c>
      <c r="AA301" s="266">
        <f>Z301+AA300+AA298-AA299</f>
        <v>1994.5</v>
      </c>
      <c r="AB301" s="266">
        <f>AA301+AB300+AB298-AB299</f>
        <v>1997.5</v>
      </c>
      <c r="AC301" s="19" t="n"/>
    </row>
    <row r="302" ht="15" customHeight="1" s="251">
      <c r="B302" s="69" t="inlineStr">
        <is>
          <t xml:space="preserve">  Cash before revolver draws / repayments</t>
        </is>
      </c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153" t="n"/>
      <c r="V302" s="153" t="n"/>
      <c r="W302" s="266">
        <f>T256+(W213-(S213+T213))+(W217-(S217+T217))+W221+W222+(W218-(S218+T218))+(W223-(S223+T223))+(W225-(S225+T225))+W298-W299</f>
        <v>366.299845709589</v>
      </c>
      <c r="X302" s="266">
        <f>X227+X213+X217+X221+X222+X218+X223+X225+X298-X299</f>
        <v>350.00047879365</v>
      </c>
      <c r="Y302" s="266">
        <f>Y227+Y213+Y217+Y221+Y222+Y218+Y223+Y225+Y298-Y299</f>
        <v>211.457597224868</v>
      </c>
      <c r="Z302" s="266">
        <f>Z227+Z213+Z217+Z221+Z222+Z218+Z223+Z225+Z298-Z299</f>
        <v>67.2577281657958</v>
      </c>
      <c r="AA302" s="266">
        <f>AA227+AA213+AA217+AA221+AA222+AA218+AA223+AA225+AA298-AA299</f>
        <v>48.2351961245773</v>
      </c>
      <c r="AB302" s="266">
        <f>AB227+AB213+AB217+AB221+AB222+AB218+AB223+AB225+AB298-AB299</f>
        <v>41.8525002142545</v>
      </c>
      <c r="AC302" s="19" t="n"/>
    </row>
    <row r="303" ht="15" customHeight="1" s="251">
      <c r="B303" s="69" t="inlineStr">
        <is>
          <t xml:space="preserve">  Minimum cash balance</t>
        </is>
      </c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153" t="n"/>
      <c r="V303" s="153" t="n"/>
      <c r="W303" s="265" t="n">
        <v>200</v>
      </c>
      <c r="X303" s="265" t="n">
        <v>200</v>
      </c>
      <c r="Y303" s="265" t="n">
        <v>200</v>
      </c>
      <c r="Z303" s="265" t="n">
        <v>200</v>
      </c>
      <c r="AA303" s="265" t="n">
        <v>200</v>
      </c>
      <c r="AB303" s="265" t="n">
        <v>200</v>
      </c>
      <c r="AC303" s="19" t="inlineStr">
        <is>
          <t>Form 10: notes proceeds sized for ~$200m of cash at the separation.</t>
        </is>
      </c>
    </row>
    <row r="304" ht="15" customHeight="1" s="251">
      <c r="B304" s="69" t="inlineStr">
        <is>
          <t xml:space="preserve">  Revolving credit facility (year end)</t>
        </is>
      </c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211">
        <f>0</f>
        <v>0</v>
      </c>
      <c r="U304" s="153" t="n"/>
      <c r="V304" s="153" t="n"/>
      <c r="W304" s="266">
        <f>MAX(0,T304+W303-W302)</f>
        <v>0</v>
      </c>
      <c r="X304" s="266">
        <f>MAX(0,W304+X303-X302)</f>
        <v>0</v>
      </c>
      <c r="Y304" s="266">
        <f>MAX(0,X304+Y303-Y302)</f>
        <v>0</v>
      </c>
      <c r="Z304" s="266">
        <f>MAX(0,Y304+Z303-Z302)</f>
        <v>132.742271834204</v>
      </c>
      <c r="AA304" s="266">
        <f>MAX(0,Z304+AA303-AA302)</f>
        <v>284.507075709627</v>
      </c>
      <c r="AB304" s="266">
        <f>MAX(0,AA304+AB303-AB302)</f>
        <v>442.654575495372</v>
      </c>
      <c r="AC304" s="19" t="inlineStr">
        <is>
          <t>$500m revolving credit facility (6-May-2026, available 1-Jul-2026, matures 1-Jul-2031; SOFR + 1.0-1.625%; +$250m accordion); undrawn at 30-Jun-2026. Covenant: total net leverage &lt;= 3.50x (4.00x after a material acquisition).</t>
        </is>
      </c>
    </row>
    <row r="305" ht="15" customHeight="1" s="251">
      <c r="B305" s="156" t="inlineStr">
        <is>
          <t xml:space="preserve">  Memo: revolver headroom vs the $500m commitment</t>
        </is>
      </c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35" t="n"/>
      <c r="V305" s="35" t="n"/>
      <c r="W305" s="266">
        <f>500-W304</f>
        <v>500</v>
      </c>
      <c r="X305" s="266">
        <f>500-X304</f>
        <v>500</v>
      </c>
      <c r="Y305" s="266">
        <f>500-Y304</f>
        <v>500</v>
      </c>
      <c r="Z305" s="266">
        <f>500-Z304</f>
        <v>367.257728165796</v>
      </c>
      <c r="AA305" s="266">
        <f>500-AA304</f>
        <v>215.492924290373</v>
      </c>
      <c r="AB305" s="266">
        <f>500-AB304</f>
        <v>57.3454245046277</v>
      </c>
      <c r="AC305" s="153" t="n"/>
    </row>
    <row r="306" ht="15" customHeight="1" s="251">
      <c r="B306" s="69" t="inlineStr">
        <is>
          <t xml:space="preserve">  Total debt (carrying value)</t>
        </is>
      </c>
      <c r="C306" s="211">
        <f>IF(ISNUMBER(C270),C270,"")</f>
      </c>
      <c r="D306" s="211">
        <f>IF(ISNUMBER(D270),D270,"")</f>
      </c>
      <c r="E306" s="211">
        <f>IF(ISNUMBER(E270),E270,"")</f>
      </c>
      <c r="F306" s="211">
        <f>IF(ISNUMBER(F270),F270,"")</f>
      </c>
      <c r="G306" s="211">
        <f>IF(ISNUMBER(G270),G270,"")</f>
        <v>0</v>
      </c>
      <c r="H306" s="211">
        <f>IF(ISNUMBER(H270),H270,"")</f>
        <v>0</v>
      </c>
      <c r="I306" s="211">
        <f>IF(ISNUMBER(I270),I270,"")</f>
      </c>
      <c r="J306" s="211">
        <f>IF(ISNUMBER(J270),J270,"")</f>
      </c>
      <c r="K306" s="211">
        <f>IF(ISNUMBER(K270),K270,"")</f>
      </c>
      <c r="L306" s="211">
        <f>IF(ISNUMBER(L270),L270,"")</f>
        <v>0</v>
      </c>
      <c r="M306" s="211">
        <f>IF(ISNUMBER(M270),M270,"")</f>
        <v>0</v>
      </c>
      <c r="N306" s="211">
        <f>IF(ISNUMBER(N270),N270,"")</f>
      </c>
      <c r="O306" s="211">
        <f>IF(ISNUMBER(O270),O270,"")</f>
      </c>
      <c r="P306" s="211">
        <f>IF(ISNUMBER(P270),P270,"")</f>
      </c>
      <c r="Q306" s="211">
        <f>IF(ISNUMBER(Q270),Q270,"")</f>
        <v>0</v>
      </c>
      <c r="R306" s="211">
        <f>IF(ISNUMBER(R270),R270,"")</f>
        <v>0</v>
      </c>
      <c r="S306" s="211">
        <f>IF(ISNUMBER(S270),S270,"")</f>
        <v>0</v>
      </c>
      <c r="T306" s="211">
        <f>IF(ISNUMBER(T270),T270,"")</f>
        <v>1981</v>
      </c>
      <c r="U306" s="153" t="n"/>
      <c r="V306" s="153" t="n"/>
      <c r="W306" s="266">
        <f>W301+W304</f>
        <v>1982.5</v>
      </c>
      <c r="X306" s="266">
        <f>X301+X304</f>
        <v>1985.5</v>
      </c>
      <c r="Y306" s="266">
        <f>Y301+Y304</f>
        <v>1988.5</v>
      </c>
      <c r="Z306" s="266">
        <f>Z301+Z304</f>
        <v>2124.2422718342</v>
      </c>
      <c r="AA306" s="266">
        <f>AA301+AA304</f>
        <v>2279.00707570963</v>
      </c>
      <c r="AB306" s="266">
        <f>AB301+AB304</f>
        <v>2440.15457549537</v>
      </c>
      <c r="AC306" s="19" t="n"/>
    </row>
    <row r="307" ht="15" customHeight="1" s="251">
      <c r="B307" s="69" t="inlineStr">
        <is>
          <t xml:space="preserve">  Net issuance / (repayment) incl. accretion</t>
        </is>
      </c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153" t="n"/>
      <c r="V307" s="153" t="n"/>
      <c r="W307" s="266">
        <f>IFERROR(W306-R306,"")</f>
        <v>1982.5</v>
      </c>
      <c r="X307" s="266">
        <f>IFERROR(X306-W306,"")</f>
        <v>3</v>
      </c>
      <c r="Y307" s="266">
        <f>IFERROR(Y306-X306,"")</f>
        <v>3</v>
      </c>
      <c r="Z307" s="266">
        <f>IFERROR(Z306-Y306,"")</f>
        <v>135.742271834204</v>
      </c>
      <c r="AA307" s="266">
        <f>IFERROR(AA306-Z306,"")</f>
        <v>154.764803875423</v>
      </c>
      <c r="AB307" s="266">
        <f>IFERROR(AB306-AA306,"")</f>
        <v>161.147499785745</v>
      </c>
      <c r="AC307" s="19" t="n"/>
    </row>
    <row r="308" ht="15" customHeight="1" s="251">
      <c r="B308" s="69" t="inlineStr">
        <is>
          <t xml:space="preserve">  Weighted coupon on opening notes principal %</t>
        </is>
      </c>
      <c r="C308" s="44" t="n"/>
      <c r="D308" s="44" t="n"/>
      <c r="E308" s="44" t="n"/>
      <c r="F308" s="44" t="n"/>
      <c r="G308" s="44" t="n"/>
      <c r="H308" s="44" t="n"/>
      <c r="I308" s="44" t="n"/>
      <c r="J308" s="44" t="n"/>
      <c r="K308" s="44" t="n"/>
      <c r="L308" s="44" t="n"/>
      <c r="M308" s="44" t="n"/>
      <c r="N308" s="44" t="n"/>
      <c r="O308" s="44" t="n"/>
      <c r="P308" s="44" t="n"/>
      <c r="Q308" s="44" t="n"/>
      <c r="R308" s="44" t="n"/>
      <c r="S308" s="44" t="n"/>
      <c r="T308" s="44" t="n"/>
      <c r="U308" s="153" t="n"/>
      <c r="V308" s="153" t="n"/>
      <c r="W308" s="35" t="n"/>
      <c r="X308" s="262" t="n">
        <v>0.0553</v>
      </c>
      <c r="Y308" s="262" t="n">
        <v>0.0553</v>
      </c>
      <c r="Z308" s="262" t="n">
        <v>0.0553</v>
      </c>
      <c r="AA308" s="262" t="n">
        <v>0.0568</v>
      </c>
      <c r="AB308" s="262" t="n">
        <v>0.0568</v>
      </c>
      <c r="AC308" s="19" t="inlineStr">
        <is>
          <t>Weighted coupon on $2.0bn: (650 × 5.050% + 650 × 5.450% + 700 × 6.050%) / 2,000 = 5.53%; from 2030E the 2029 notes refinanced at ~5.5% (assumption) → 5.68%. Accretion of OID / issuance costs added separately.</t>
        </is>
      </c>
    </row>
    <row r="309" ht="15" customHeight="1" s="251">
      <c r="B309" s="69" t="inlineStr">
        <is>
          <t xml:space="preserve">  Interest rate on opening revolver %</t>
        </is>
      </c>
      <c r="C309" s="44" t="n"/>
      <c r="D309" s="44" t="n"/>
      <c r="E309" s="44" t="n"/>
      <c r="F309" s="44" t="n"/>
      <c r="G309" s="44" t="n"/>
      <c r="H309" s="44" t="n"/>
      <c r="I309" s="44" t="n"/>
      <c r="J309" s="44" t="n"/>
      <c r="K309" s="44" t="n"/>
      <c r="L309" s="44" t="n"/>
      <c r="M309" s="44" t="n"/>
      <c r="N309" s="44" t="n"/>
      <c r="O309" s="44" t="n"/>
      <c r="P309" s="44" t="n"/>
      <c r="Q309" s="44" t="n"/>
      <c r="R309" s="44" t="n"/>
      <c r="S309" s="44" t="n"/>
      <c r="T309" s="44" t="n"/>
      <c r="U309" s="153" t="n"/>
      <c r="V309" s="153" t="n"/>
      <c r="W309" s="35" t="n"/>
      <c r="X309" s="262" t="n">
        <v>0.055</v>
      </c>
      <c r="Y309" s="262" t="n">
        <v>0.055</v>
      </c>
      <c r="Z309" s="262" t="n">
        <v>0.055</v>
      </c>
      <c r="AA309" s="262" t="n">
        <v>0.055</v>
      </c>
      <c r="AB309" s="262" t="n">
        <v>0.055</v>
      </c>
      <c r="AC309" s="19" t="inlineStr">
        <is>
          <t>SOFR + 1.0–1.625% (rating grid); assumption ~5.5%.</t>
        </is>
      </c>
    </row>
    <row r="310" ht="15" customHeight="1" s="251">
      <c r="B310" s="69" t="inlineStr">
        <is>
          <t xml:space="preserve">  Commitment fees &amp; facility-cost amortization ($m)</t>
        </is>
      </c>
      <c r="C310" s="44" t="n"/>
      <c r="D310" s="44" t="n"/>
      <c r="E310" s="44" t="n"/>
      <c r="F310" s="44" t="n"/>
      <c r="G310" s="44" t="n"/>
      <c r="H310" s="44" t="n"/>
      <c r="I310" s="44" t="n"/>
      <c r="J310" s="44" t="n"/>
      <c r="K310" s="44" t="n"/>
      <c r="L310" s="44" t="n"/>
      <c r="M310" s="44" t="n"/>
      <c r="N310" s="44" t="n"/>
      <c r="O310" s="44" t="n"/>
      <c r="P310" s="44" t="n"/>
      <c r="Q310" s="44" t="n"/>
      <c r="R310" s="44" t="n"/>
      <c r="S310" s="44" t="n"/>
      <c r="T310" s="44" t="n"/>
      <c r="U310" s="153" t="n"/>
      <c r="V310" s="153" t="n"/>
      <c r="W310" s="35" t="n"/>
      <c r="X310" s="265" t="n">
        <v>1</v>
      </c>
      <c r="Y310" s="265" t="n">
        <v>1</v>
      </c>
      <c r="Z310" s="265" t="n">
        <v>1</v>
      </c>
      <c r="AA310" s="265" t="n">
        <v>1</v>
      </c>
      <c r="AB310" s="265" t="n">
        <v>1</v>
      </c>
      <c r="AC310" s="19" t="inlineStr">
        <is>
          <t>Assumption: ~10–15bp on the undrawn $500m + $3m facility costs over 5 years.</t>
        </is>
      </c>
    </row>
    <row r="311" ht="15" customHeight="1" s="251">
      <c r="B311" s="69" t="inlineStr">
        <is>
          <t xml:space="preserve">  Interest income yield on opening cash %</t>
        </is>
      </c>
      <c r="C311" s="44" t="n"/>
      <c r="D311" s="44" t="n"/>
      <c r="E311" s="44" t="n"/>
      <c r="F311" s="44" t="n"/>
      <c r="G311" s="44" t="n"/>
      <c r="H311" s="44" t="n"/>
      <c r="I311" s="44" t="n"/>
      <c r="J311" s="44" t="n"/>
      <c r="K311" s="44" t="n"/>
      <c r="L311" s="44" t="n"/>
      <c r="M311" s="44" t="n"/>
      <c r="N311" s="44" t="n"/>
      <c r="O311" s="44" t="n"/>
      <c r="P311" s="44" t="n"/>
      <c r="Q311" s="44" t="n"/>
      <c r="R311" s="44" t="n"/>
      <c r="S311" s="44" t="n"/>
      <c r="T311" s="44" t="n"/>
      <c r="U311" s="153" t="n"/>
      <c r="V311" s="153" t="n"/>
      <c r="W311" s="35" t="n"/>
      <c r="X311" s="262" t="n">
        <v>0.03</v>
      </c>
      <c r="Y311" s="262" t="n">
        <v>0.03</v>
      </c>
      <c r="Z311" s="262" t="n">
        <v>0.03</v>
      </c>
      <c r="AA311" s="262" t="n">
        <v>0.03</v>
      </c>
      <c r="AB311" s="262" t="n">
        <v>0.03</v>
      </c>
      <c r="AC311" s="19" t="inlineStr">
        <is>
          <t>Assumption.</t>
        </is>
      </c>
    </row>
    <row r="312" ht="15" customHeight="1" s="251">
      <c r="B312" s="25" t="inlineStr">
        <is>
          <t>Leverage-targeted buybacks (repurchases plug to a target net debt / Adjusted EBITDA, 2027E+)</t>
        </is>
      </c>
      <c r="AC312" s="153" t="n"/>
    </row>
    <row r="313" ht="15" customHeight="1" s="251">
      <c r="B313" s="69" t="inlineStr">
        <is>
          <t xml:space="preserve">  Target net debt / Adjusted EBITDA (x) (scenario)</t>
        </is>
      </c>
      <c r="C313" s="44" t="n"/>
      <c r="D313" s="44" t="n"/>
      <c r="E313" s="44" t="n"/>
      <c r="F313" s="44" t="n"/>
      <c r="G313" s="44" t="n"/>
      <c r="H313" s="44" t="n"/>
      <c r="I313" s="44" t="n"/>
      <c r="J313" s="44" t="n"/>
      <c r="K313" s="44" t="n"/>
      <c r="L313" s="44" t="n"/>
      <c r="M313" s="44" t="n"/>
      <c r="N313" s="44" t="n"/>
      <c r="O313" s="44" t="n"/>
      <c r="P313" s="44" t="n"/>
      <c r="Q313" s="44" t="n"/>
      <c r="R313" s="44" t="n"/>
      <c r="S313" s="44" t="n"/>
      <c r="T313" s="44" t="n"/>
      <c r="U313" s="153" t="n"/>
      <c r="V313" s="153" t="n"/>
      <c r="W313" s="35" t="n"/>
      <c r="X313" s="288">
        <f>CHOOSE(MATCH($AC$2,{"Bull","Base","Bear"},0),$AL$21,$AM$21,$AN$21)</f>
        <v>2</v>
      </c>
      <c r="Y313" s="288">
        <f>CHOOSE(MATCH($AC$2,{"Bull","Base","Bear"},0),$AL$21,$AM$21,$AN$21)</f>
        <v>2</v>
      </c>
      <c r="Z313" s="288">
        <f>CHOOSE(MATCH($AC$2,{"Bull","Base","Bear"},0),$AL$21,$AM$21,$AN$21)</f>
        <v>2</v>
      </c>
      <c r="AA313" s="288">
        <f>CHOOSE(MATCH($AC$2,{"Bull","Base","Bear"},0),$AL$21,$AM$21,$AN$21)</f>
        <v>2</v>
      </c>
      <c r="AB313" s="288">
        <f>CHOOSE(MATCH($AC$2,{"Bull","Base","Bear"},0),$AL$21,$AM$21,$AN$21)</f>
        <v>2</v>
      </c>
      <c r="AC313" s="19" t="inlineStr">
        <is>
          <t>Assumption — no leverage target published. Net debt ~$1.8bn at 30-Jun-26 ≈ 2.5x LTM Adjusted EBITDA ($740m); covenant ≤ 3.50x; notes rated investment grade (change-of-control put on a downgrade below IG). Target = leverage at which surplus cash is returned via buybacks; Bull = more buybacks (higher target).</t>
        </is>
      </c>
    </row>
    <row r="314" ht="15" customHeight="1" s="251">
      <c r="B314" s="69" t="inlineStr">
        <is>
          <t xml:space="preserve">  Net debt before buybacks (year end)</t>
        </is>
      </c>
      <c r="C314" s="44" t="n"/>
      <c r="D314" s="44" t="n"/>
      <c r="E314" s="44" t="n"/>
      <c r="F314" s="44" t="n"/>
      <c r="G314" s="44" t="n"/>
      <c r="H314" s="44" t="n"/>
      <c r="I314" s="44" t="n"/>
      <c r="J314" s="44" t="n"/>
      <c r="K314" s="44" t="n"/>
      <c r="L314" s="44" t="n"/>
      <c r="M314" s="44" t="n"/>
      <c r="N314" s="44" t="n"/>
      <c r="O314" s="44" t="n"/>
      <c r="P314" s="44" t="n"/>
      <c r="Q314" s="44" t="n"/>
      <c r="R314" s="44" t="n"/>
      <c r="S314" s="44" t="n"/>
      <c r="T314" s="44" t="n"/>
      <c r="U314" s="153" t="n"/>
      <c r="V314" s="153" t="n"/>
      <c r="W314" s="35" t="n"/>
      <c r="X314" s="266">
        <f>W306+X300-W228-X213-X217-X221-X218-X223-X225</f>
        <v>1197.87113545609</v>
      </c>
      <c r="Y314" s="266">
        <f>X306+Y300-X228-Y213-Y217-Y221-Y218-Y223-Y225</f>
        <v>1158.77754369766</v>
      </c>
      <c r="Z314" s="266">
        <f>Y306+Z300-Y228-Z213-Z217-Z221-Z218-Z223-Z225</f>
        <v>1247.60465087042</v>
      </c>
      <c r="AA314" s="266">
        <f>Z306+AA300-Z228-AA213-AA217-AA221-AA218-AA223-AA225</f>
        <v>1344.1519600035</v>
      </c>
      <c r="AB314" s="266">
        <f>AA306+AB300-AA228-AB213-AB217-AB221-AB218-AB223-AB225</f>
        <v>1443.72600203932</v>
      </c>
      <c r="AC314" s="19" t="n"/>
    </row>
    <row r="315" ht="15" customHeight="1" s="251">
      <c r="B315" s="69" t="inlineStr">
        <is>
          <t xml:space="preserve">  Target net debt = target leverage × Adjusted EBITDA</t>
        </is>
      </c>
      <c r="C315" s="44" t="n"/>
      <c r="D315" s="44" t="n"/>
      <c r="E315" s="44" t="n"/>
      <c r="F315" s="44" t="n"/>
      <c r="G315" s="44" t="n"/>
      <c r="H315" s="44" t="n"/>
      <c r="I315" s="44" t="n"/>
      <c r="J315" s="44" t="n"/>
      <c r="K315" s="44" t="n"/>
      <c r="L315" s="44" t="n"/>
      <c r="M315" s="44" t="n"/>
      <c r="N315" s="44" t="n"/>
      <c r="O315" s="44" t="n"/>
      <c r="P315" s="44" t="n"/>
      <c r="Q315" s="44" t="n"/>
      <c r="R315" s="44" t="n"/>
      <c r="S315" s="44" t="n"/>
      <c r="T315" s="44" t="n"/>
      <c r="U315" s="153" t="n"/>
      <c r="V315" s="153" t="n"/>
      <c r="W315" s="35" t="n"/>
      <c r="X315" s="266">
        <f>X313*X153</f>
        <v>1635.49952120635</v>
      </c>
      <c r="Y315" s="266">
        <f>Y313*Y153</f>
        <v>1777.04240277513</v>
      </c>
      <c r="Z315" s="266">
        <f>Z313*Z153</f>
        <v>1924.2422718342</v>
      </c>
      <c r="AA315" s="266">
        <f>AA313*AA153</f>
        <v>2079.00707570963</v>
      </c>
      <c r="AB315" s="266">
        <f>AB313*AB153</f>
        <v>2240.15457549537</v>
      </c>
      <c r="AC315" s="19" t="n"/>
    </row>
    <row r="316" ht="15" customHeight="1" s="251">
      <c r="B316" s="69" t="inlineStr">
        <is>
          <t xml:space="preserve">  Share repurchases: plug to target leverage</t>
        </is>
      </c>
      <c r="C316" s="44" t="n"/>
      <c r="D316" s="44" t="n"/>
      <c r="E316" s="44" t="n"/>
      <c r="F316" s="44" t="n"/>
      <c r="G316" s="44" t="n"/>
      <c r="H316" s="44" t="n"/>
      <c r="I316" s="44" t="n"/>
      <c r="J316" s="44" t="n"/>
      <c r="K316" s="44" t="n"/>
      <c r="L316" s="44" t="n"/>
      <c r="M316" s="44" t="n"/>
      <c r="N316" s="44" t="n"/>
      <c r="O316" s="44" t="n"/>
      <c r="P316" s="44" t="n"/>
      <c r="Q316" s="44" t="n"/>
      <c r="R316" s="44" t="n"/>
      <c r="S316" s="44" t="n"/>
      <c r="T316" s="44" t="n"/>
      <c r="U316" s="153" t="n"/>
      <c r="V316" s="153" t="n"/>
      <c r="W316" s="35" t="n"/>
      <c r="X316" s="266">
        <f>MAX(0,X315-X314)</f>
        <v>437.628385750262</v>
      </c>
      <c r="Y316" s="266">
        <f>MAX(0,Y315-Y314)</f>
        <v>618.264859077475</v>
      </c>
      <c r="Z316" s="266">
        <f>MAX(0,Z315-Z314)</f>
        <v>676.637620963788</v>
      </c>
      <c r="AA316" s="266">
        <f>MAX(0,AA315-AA314)</f>
        <v>734.855115706124</v>
      </c>
      <c r="AB316" s="266">
        <f>MAX(0,AB315-AB314)</f>
        <v>796.428573456055</v>
      </c>
      <c r="AC316" s="19" t="inlineStr">
        <is>
          <t>Surplus cash beyond the leverage target is returned via buybacks; feeds the cash-flow repurchase line.</t>
        </is>
      </c>
    </row>
    <row r="317" ht="15" customHeight="1" s="251">
      <c r="B317" s="25" t="inlineStr">
        <is>
          <t>Historical reference (driver context)</t>
        </is>
      </c>
      <c r="AC317" s="153" t="n"/>
    </row>
    <row r="318" ht="15" customHeight="1" s="251">
      <c r="B318" s="25" t="inlineStr">
        <is>
          <t xml:space="preserve">  Total D&amp;A % of revenue</t>
        </is>
      </c>
      <c r="C318" s="215">
        <f>IF(AND(ISNUMBER(C129),ISNUMBER(C115)),IFERROR(C129/C115,""),"")</f>
      </c>
      <c r="D318" s="215">
        <f>IF(AND(ISNUMBER(D129),ISNUMBER(D115)),IFERROR(D129/D115,""),"")</f>
      </c>
      <c r="E318" s="215">
        <f>IF(AND(ISNUMBER(E129),ISNUMBER(E115)),IFERROR(E129/E115,""),"")</f>
      </c>
      <c r="F318" s="215">
        <f>IF(AND(ISNUMBER(F129),ISNUMBER(F115)),IFERROR(F129/F115,""),"")</f>
      </c>
      <c r="G318" s="215">
        <f>IF(AND(ISNUMBER(G129),ISNUMBER(G115)),IFERROR(G129/G115,""),"")</f>
      </c>
      <c r="H318" s="215">
        <f>IF(AND(ISNUMBER(H129),ISNUMBER(H115)),IFERROR(H129/H115,""),"")</f>
        <v>0.206734006734007</v>
      </c>
      <c r="I318" s="215">
        <f>IF(AND(ISNUMBER(I129),ISNUMBER(I115)),IFERROR(I129/I115,""),"")</f>
      </c>
      <c r="J318" s="215">
        <f>IF(AND(ISNUMBER(J129),ISNUMBER(J115)),IFERROR(J129/J115,""),"")</f>
      </c>
      <c r="K318" s="215">
        <f>IF(AND(ISNUMBER(K129),ISNUMBER(K115)),IFERROR(K129/K115,""),"")</f>
      </c>
      <c r="L318" s="215">
        <f>IF(AND(ISNUMBER(L129),ISNUMBER(L115)),IFERROR(L129/L115,""),"")</f>
      </c>
      <c r="M318" s="215">
        <f>IF(AND(ISNUMBER(M129),ISNUMBER(M115)),IFERROR(M129/M115,""),"")</f>
        <v>0.191568505889647</v>
      </c>
      <c r="N318" s="215">
        <f>IF(AND(ISNUMBER(N129),ISNUMBER(N115)),IFERROR(N129/N115,""),"")</f>
        <v>0.185714285714286</v>
      </c>
      <c r="O318" s="215">
        <f>IF(AND(ISNUMBER(O129),ISNUMBER(O115)),IFERROR(O129/O115,""),"")</f>
        <v>0.175398633257403</v>
      </c>
      <c r="P318" s="215">
        <f>IF(AND(ISNUMBER(P129),ISNUMBER(P115)),IFERROR(P129/P115,""),"")</f>
        <v>0.173033707865169</v>
      </c>
      <c r="Q318" s="215">
        <f>IF(AND(ISNUMBER(Q129),ISNUMBER(Q115)),IFERROR(Q129/Q115,""),"")</f>
        <v>0.174887892376682</v>
      </c>
      <c r="R318" s="215">
        <f>IF(AND(ISNUMBER(R129),ISNUMBER(R115)),IFERROR(R129/R115,""),"")</f>
        <v>0.177142857142857</v>
      </c>
      <c r="S318" s="215">
        <f>IF(AND(ISNUMBER(S129),ISNUMBER(S115)),IFERROR(S129/S115,""),"")</f>
        <v>0.171428571428571</v>
      </c>
      <c r="T318" s="215">
        <f>IF(AND(ISNUMBER(T129),ISNUMBER(T115)),IFERROR(T129/T115,""),"")</f>
        <v>0.164529914529915</v>
      </c>
      <c r="U318" s="24" t="n"/>
      <c r="V318" s="24" t="n"/>
      <c r="W318" s="256">
        <f>IF(AND(ISNUMBER(W129),ISNUMBER(W115)),IFERROR(W129/W115,""),"")</f>
        <v>0.165113182423435</v>
      </c>
      <c r="X318" s="256">
        <f>IF(AND(ISNUMBER(X129),ISNUMBER(X115)),IFERROR(X129/X115,""),"")</f>
        <v>0.15538276624298</v>
      </c>
      <c r="Y318" s="256">
        <f>IF(AND(ISNUMBER(Y129),ISNUMBER(Y115)),IFERROR(Y129/Y115,""),"")</f>
        <v>0.145925143364461</v>
      </c>
      <c r="Z318" s="256">
        <f>IF(AND(ISNUMBER(Z129),ISNUMBER(Z115)),IFERROR(Z129/Z115,""),"")</f>
        <v>0.137498330876509</v>
      </c>
      <c r="AA318" s="256">
        <f>IF(AND(ISNUMBER(AA129),ISNUMBER(AA115)),IFERROR(AA129/AA115,""),"")</f>
        <v>0.128562232672384</v>
      </c>
      <c r="AB318" s="256">
        <f>IF(AND(ISNUMBER(AB129),ISNUMBER(AB115)),IFERROR(AB129/AB115,""),"")</f>
        <v>0.120528085873836</v>
      </c>
      <c r="AC318" s="153" t="n"/>
    </row>
    <row r="319" ht="15" customHeight="1" s="251">
      <c r="B319" s="25" t="inlineStr">
        <is>
          <t xml:space="preserve">  Amortization of intangibles % of revenue</t>
        </is>
      </c>
      <c r="C319" s="215">
        <f>IF(AND(ISNUMBER(C106),ISNUMBER(C115)),IFERROR(C106/C115,""),"")</f>
      </c>
      <c r="D319" s="215">
        <f>IF(AND(ISNUMBER(D106),ISNUMBER(D115)),IFERROR(D106/D115,""),"")</f>
      </c>
      <c r="E319" s="215">
        <f>IF(AND(ISNUMBER(E106),ISNUMBER(E115)),IFERROR(E106/E115,""),"")</f>
      </c>
      <c r="F319" s="215">
        <f>IF(AND(ISNUMBER(F106),ISNUMBER(F115)),IFERROR(F106/F115,""),"")</f>
      </c>
      <c r="G319" s="215">
        <f>IF(AND(ISNUMBER(G106),ISNUMBER(G115)),IFERROR(G106/G115,""),"")</f>
      </c>
      <c r="H319" s="215">
        <f>IF(AND(ISNUMBER(H106),ISNUMBER(H115)),IFERROR(H106/H115,""),"")</f>
        <v>0.198653198653199</v>
      </c>
      <c r="I319" s="215">
        <f>IF(AND(ISNUMBER(I106),ISNUMBER(I115)),IFERROR(I106/I115,""),"")</f>
      </c>
      <c r="J319" s="215">
        <f>IF(AND(ISNUMBER(J106),ISNUMBER(J115)),IFERROR(J106/J115,""),"")</f>
      </c>
      <c r="K319" s="215">
        <f>IF(AND(ISNUMBER(K106),ISNUMBER(K115)),IFERROR(K106/K115,""),"")</f>
      </c>
      <c r="L319" s="215">
        <f>IF(AND(ISNUMBER(L106),ISNUMBER(L115)),IFERROR(L106/L115,""),"")</f>
      </c>
      <c r="M319" s="215">
        <f>IF(AND(ISNUMBER(M106),ISNUMBER(M115)),IFERROR(M106/M115,""),"")</f>
        <v>0.183508989460632</v>
      </c>
      <c r="N319" s="215">
        <f>IF(AND(ISNUMBER(N106),ISNUMBER(N115)),IFERROR(N106/N115,""),"")</f>
        <v>0.176190476190476</v>
      </c>
      <c r="O319" s="215">
        <f>IF(AND(ISNUMBER(O106),ISNUMBER(O115)),IFERROR(O106/O115,""),"")</f>
        <v>0.168564920273349</v>
      </c>
      <c r="P319" s="215">
        <f>IF(AND(ISNUMBER(P106),ISNUMBER(P115)),IFERROR(P106/P115,""),"")</f>
      </c>
      <c r="Q319" s="215">
        <f>IF(AND(ISNUMBER(Q106),ISNUMBER(Q115)),IFERROR(Q106/Q115,""),"")</f>
      </c>
      <c r="R319" s="215">
        <f>IF(AND(ISNUMBER(R106),ISNUMBER(R115)),IFERROR(R106/R115,""),"")</f>
        <v>0.169142857142857</v>
      </c>
      <c r="S319" s="215">
        <f>IF(AND(ISNUMBER(S106),ISNUMBER(S115)),IFERROR(S106/S115,""),"")</f>
        <v>0.162637362637363</v>
      </c>
      <c r="T319" s="215">
        <f>IF(AND(ISNUMBER(T106),ISNUMBER(T115)),IFERROR(T106/T115,""),"")</f>
        <v>0.158119658119658</v>
      </c>
      <c r="U319" s="24" t="n"/>
      <c r="V319" s="24" t="n"/>
      <c r="W319" s="256">
        <f>IF(AND(ISNUMBER(W106),ISNUMBER(W115)),IFERROR(W106/W115,""),"")</f>
        <v>0.157656458055925</v>
      </c>
      <c r="X319" s="256">
        <f>IF(AND(ISNUMBER(X106),ISNUMBER(X115)),IFERROR(X106/X115,""),"")</f>
        <v>0.14738276624298</v>
      </c>
      <c r="Y319" s="256">
        <f>IF(AND(ISNUMBER(Y106),ISNUMBER(Y115)),IFERROR(Y106/Y115,""),"")</f>
        <v>0.137925143364461</v>
      </c>
      <c r="Z319" s="256">
        <f>IF(AND(ISNUMBER(Z106),ISNUMBER(Z115)),IFERROR(Z106/Z115,""),"")</f>
        <v>0.129498330876509</v>
      </c>
      <c r="AA319" s="256">
        <f>IF(AND(ISNUMBER(AA106),ISNUMBER(AA115)),IFERROR(AA106/AA115,""),"")</f>
        <v>0.120562232672384</v>
      </c>
      <c r="AB319" s="256">
        <f>IF(AND(ISNUMBER(AB106),ISNUMBER(AB115)),IFERROR(AB106/AB115,""),"")</f>
        <v>0.112528085873836</v>
      </c>
      <c r="AC319" s="153" t="n"/>
    </row>
    <row r="320" ht="15" customHeight="1" s="251">
      <c r="AK320" s="11" t="n"/>
      <c r="AL320" s="12" t="n"/>
      <c r="AM320" s="12" t="n"/>
      <c r="AN320" s="12" t="n"/>
      <c r="AO320" s="13" t="n"/>
    </row>
    <row r="321" ht="15" customHeight="1" s="251">
      <c r="B321" s="10" t="inlineStr">
        <is>
          <t>RATIO ANALYSIS</t>
        </is>
      </c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inlineStr">
        <is>
          <t>RETURNS — annual columns (NOPAT on Adjusted EBIT, full-cost: after all D&amp;A; SBC added back per the company definition)</t>
        </is>
      </c>
    </row>
    <row r="322" ht="15" customHeight="1" s="251">
      <c r="B322" s="25" t="inlineStr">
        <is>
          <t>DuPont decomposition of ROIC</t>
        </is>
      </c>
      <c r="AC322" s="153" t="n"/>
    </row>
    <row r="323" ht="15" customHeight="1" s="251">
      <c r="B323" s="25" t="inlineStr">
        <is>
          <t>Adjusted EBIT, full-cost (Adjusted EBITDA − total D&amp;A)</t>
        </is>
      </c>
      <c r="C323" s="211">
        <f>C163</f>
      </c>
      <c r="D323" s="34" t="n"/>
      <c r="E323" s="34" t="n"/>
      <c r="F323" s="34" t="n"/>
      <c r="G323" s="34" t="n"/>
      <c r="H323" s="211">
        <f>H163</f>
        <v>291</v>
      </c>
      <c r="I323" s="34" t="n"/>
      <c r="J323" s="34" t="n"/>
      <c r="K323" s="34" t="n"/>
      <c r="L323" s="34" t="n"/>
      <c r="M323" s="211">
        <f>M163</f>
        <v>350</v>
      </c>
      <c r="N323" s="34" t="n"/>
      <c r="O323" s="34" t="n"/>
      <c r="P323" s="34" t="n"/>
      <c r="Q323" s="34" t="n"/>
      <c r="R323" s="211">
        <f>R163</f>
        <v>401</v>
      </c>
      <c r="S323" s="34" t="n"/>
      <c r="T323" s="34" t="n"/>
      <c r="U323" s="35" t="n"/>
      <c r="V323" s="35" t="n"/>
      <c r="W323" s="266">
        <f>W163</f>
        <v>442.5</v>
      </c>
      <c r="X323" s="266">
        <f>X163</f>
        <v>505.682753175074</v>
      </c>
      <c r="Y323" s="266">
        <f>Y163</f>
        <v>575.352468100535</v>
      </c>
      <c r="Z323" s="266">
        <f>Z163</f>
        <v>647.835185944062</v>
      </c>
      <c r="AA323" s="266">
        <f>AA163</f>
        <v>727.061296714757</v>
      </c>
      <c r="AB323" s="266">
        <f>AB163</f>
        <v>809.460212623871</v>
      </c>
      <c r="AC323" s="19" t="n"/>
    </row>
    <row r="324" ht="15" customHeight="1" s="251">
      <c r="B324" s="25" t="inlineStr">
        <is>
          <t>Effective tax rate</t>
        </is>
      </c>
      <c r="C324" s="215">
        <f>IFERROR(C186+0,IFERROR(MIN(0.4,MAX(0.15,C125)),0.27))</f>
        <v>0.15</v>
      </c>
      <c r="D324" s="34" t="n"/>
      <c r="E324" s="34" t="n"/>
      <c r="F324" s="34" t="n"/>
      <c r="G324" s="34" t="n"/>
      <c r="H324" s="215">
        <f>IFERROR(H186+0,IFERROR(MIN(0.4,MAX(0.15,H125)),0.27))</f>
        <v>0.272321428571429</v>
      </c>
      <c r="I324" s="34" t="n"/>
      <c r="J324" s="34" t="n"/>
      <c r="K324" s="34" t="n"/>
      <c r="L324" s="34" t="n"/>
      <c r="M324" s="215">
        <f>IFERROR(M186+0,IFERROR(MIN(0.4,MAX(0.15,M125)),0.27))</f>
        <v>0.267605633802817</v>
      </c>
      <c r="N324" s="34" t="n"/>
      <c r="O324" s="34" t="n"/>
      <c r="P324" s="34" t="n"/>
      <c r="Q324" s="34" t="n"/>
      <c r="R324" s="215">
        <f>IFERROR(R186+0,IFERROR(MIN(0.4,MAX(0.15,R125)),0.27))</f>
        <v>0.325153374233129</v>
      </c>
      <c r="S324" s="34" t="n"/>
      <c r="T324" s="34" t="n"/>
      <c r="U324" s="35" t="n"/>
      <c r="V324" s="35" t="n"/>
      <c r="W324" s="256">
        <f>IFERROR(W186+0,IFERROR(MIN(0.4,MAX(0.15,W125)),0.27))</f>
        <v>0.292295081967213</v>
      </c>
      <c r="X324" s="256">
        <f>IFERROR(X186+0,IFERROR(MIN(0.4,MAX(0.15,X125)),0.27))</f>
        <v>0.285</v>
      </c>
      <c r="Y324" s="256">
        <f>IFERROR(Y186+0,IFERROR(MIN(0.4,MAX(0.15,Y125)),0.27))</f>
        <v>0.285</v>
      </c>
      <c r="Z324" s="256">
        <f>IFERROR(Z186+0,IFERROR(MIN(0.4,MAX(0.15,Z125)),0.27))</f>
        <v>0.285</v>
      </c>
      <c r="AA324" s="256">
        <f>IFERROR(AA186+0,IFERROR(MIN(0.4,MAX(0.15,AA125)),0.27))</f>
        <v>0.285</v>
      </c>
      <c r="AB324" s="256">
        <f>IFERROR(AB186+0,IFERROR(MIN(0.4,MAX(0.15,AB125)),0.27))</f>
        <v>0.285</v>
      </c>
      <c r="AC324" s="19" t="n"/>
    </row>
    <row r="325" ht="15" customHeight="1" s="251">
      <c r="B325" s="25" t="inlineStr">
        <is>
          <t>NOPAT = Adjusted EBIT × (1 − tax rate)</t>
        </is>
      </c>
      <c r="C325" s="211" t="str">
        <f>IFERROR(C323*(1-C324),"n/a")</f>
        <v>n/a</v>
      </c>
      <c r="D325" s="34" t="n"/>
      <c r="E325" s="34" t="n"/>
      <c r="F325" s="34" t="n"/>
      <c r="G325" s="34" t="n"/>
      <c r="H325" s="211">
        <f>IFERROR(H323*(1-H324),"n/a")</f>
        <v>211.754464285714</v>
      </c>
      <c r="I325" s="34" t="n"/>
      <c r="J325" s="34" t="n"/>
      <c r="K325" s="34" t="n"/>
      <c r="L325" s="34" t="n"/>
      <c r="M325" s="211">
        <f>IFERROR(M323*(1-M324),"n/a")</f>
        <v>256.338028169014</v>
      </c>
      <c r="N325" s="34" t="n"/>
      <c r="O325" s="34" t="n"/>
      <c r="P325" s="34" t="n"/>
      <c r="Q325" s="34" t="n"/>
      <c r="R325" s="211">
        <f>IFERROR(R323*(1-R324),"n/a")</f>
        <v>270.613496932515</v>
      </c>
      <c r="S325" s="34" t="n"/>
      <c r="T325" s="34" t="n"/>
      <c r="U325" s="35" t="n"/>
      <c r="V325" s="35" t="n"/>
      <c r="W325" s="266">
        <f>IFERROR(W323*(1-W324),"n/a")</f>
        <v>313.159426229508</v>
      </c>
      <c r="X325" s="266">
        <f>IFERROR(X323*(1-X324),"n/a")</f>
        <v>361.563168520178</v>
      </c>
      <c r="Y325" s="266">
        <f>IFERROR(Y323*(1-Y324),"n/a")</f>
        <v>411.377014691882</v>
      </c>
      <c r="Z325" s="266">
        <f>IFERROR(Z323*(1-Z324),"n/a")</f>
        <v>463.202157950005</v>
      </c>
      <c r="AA325" s="266">
        <f>IFERROR(AA323*(1-AA324),"n/a")</f>
        <v>519.848827151052</v>
      </c>
      <c r="AB325" s="266">
        <f>IFERROR(AB323*(1-AB324),"n/a")</f>
        <v>578.764052026068</v>
      </c>
      <c r="AC325" s="19" t="n"/>
    </row>
    <row r="326" ht="15" customHeight="1" s="251">
      <c r="B326" s="25" t="inlineStr">
        <is>
          <t>Invested capital (IC) = Equity + Net debt</t>
        </is>
      </c>
      <c r="C326" s="211" t="str">
        <f>IFERROR(C327+C328,"n/a")</f>
        <v>n/a</v>
      </c>
      <c r="D326" s="34" t="n"/>
      <c r="E326" s="34" t="n"/>
      <c r="F326" s="34" t="n"/>
      <c r="G326" s="34" t="n"/>
      <c r="H326" s="211">
        <f>IFERROR(H327+H328,"n/a")</f>
        <v>11755</v>
      </c>
      <c r="I326" s="34" t="n"/>
      <c r="J326" s="34" t="n"/>
      <c r="K326" s="34" t="n"/>
      <c r="L326" s="34" t="n"/>
      <c r="M326" s="211">
        <f>IFERROR(M327+M328,"n/a")</f>
        <v>11656</v>
      </c>
      <c r="N326" s="34" t="n"/>
      <c r="O326" s="34" t="n"/>
      <c r="P326" s="34" t="n"/>
      <c r="Q326" s="34" t="n"/>
      <c r="R326" s="211">
        <f>IFERROR(R327+R328,"n/a")</f>
        <v>11447</v>
      </c>
      <c r="S326" s="34" t="n"/>
      <c r="T326" s="34" t="n"/>
      <c r="U326" s="35" t="n"/>
      <c r="V326" s="35" t="n"/>
      <c r="W326" s="266">
        <f>IFERROR(W327+W328,"n/a")</f>
        <v>11514.0685958904</v>
      </c>
      <c r="X326" s="266">
        <f>IFERROR(X327+X328,"n/a")</f>
        <v>11306.9867932819</v>
      </c>
      <c r="Y326" s="266">
        <f>IFERROR(Y327+Y328,"n/a")</f>
        <v>11100.5675982548</v>
      </c>
      <c r="Z326" s="266">
        <f>IFERROR(Z327+Z328,"n/a")</f>
        <v>10894.9399758879</v>
      </c>
      <c r="AA326" s="266">
        <f>IFERROR(AA327+AA328,"n/a")</f>
        <v>10693.062682995</v>
      </c>
      <c r="AB326" s="266">
        <f>IFERROR(AB327+AB328,"n/a")</f>
        <v>10495.0110458967</v>
      </c>
      <c r="AC326" s="19" t="n"/>
    </row>
    <row r="327" ht="15" customHeight="1" s="251">
      <c r="B327" s="25" t="inlineStr">
        <is>
          <t xml:space="preserve">  Total equity</t>
        </is>
      </c>
      <c r="C327" s="211" t="str">
        <f>IF(ISNUMBER(C274),C274,"n/a")</f>
        <v>n/a</v>
      </c>
      <c r="D327" s="34" t="n"/>
      <c r="E327" s="34" t="n"/>
      <c r="F327" s="34" t="n"/>
      <c r="G327" s="34" t="n"/>
      <c r="H327" s="211">
        <f>IF(ISNUMBER(H274),H274,"n/a")</f>
        <v>11802</v>
      </c>
      <c r="I327" s="34" t="n"/>
      <c r="J327" s="34" t="n"/>
      <c r="K327" s="34" t="n"/>
      <c r="L327" s="34" t="n"/>
      <c r="M327" s="211">
        <f>IF(ISNUMBER(M274),M274,"n/a")</f>
        <v>11683</v>
      </c>
      <c r="N327" s="34" t="n"/>
      <c r="O327" s="34" t="n"/>
      <c r="P327" s="34" t="n"/>
      <c r="Q327" s="34" t="n"/>
      <c r="R327" s="211">
        <f>IF(ISNUMBER(R274),R274,"n/a")</f>
        <v>11485</v>
      </c>
      <c r="S327" s="34" t="n"/>
      <c r="T327" s="34" t="n"/>
      <c r="U327" s="35" t="n"/>
      <c r="V327" s="35" t="n"/>
      <c r="W327" s="266">
        <f>IF(ISNUMBER(W274),W274,"n/a")</f>
        <v>9897.8684416</v>
      </c>
      <c r="X327" s="266">
        <f>IF(ISNUMBER(X274),X274,"n/a")</f>
        <v>9671.48727207553</v>
      </c>
      <c r="Y327" s="266">
        <f>IF(ISNUMBER(Y274),Y274,"n/a")</f>
        <v>9323.52519547964</v>
      </c>
      <c r="Z327" s="266">
        <f>IF(ISNUMBER(Z274),Z274,"n/a")</f>
        <v>8970.69770405367</v>
      </c>
      <c r="AA327" s="266">
        <f>IF(ISNUMBER(AA274),AA274,"n/a")</f>
        <v>8614.05560728539</v>
      </c>
      <c r="AB327" s="266">
        <f>IF(ISNUMBER(AB274),AB274,"n/a")</f>
        <v>8254.85647040136</v>
      </c>
      <c r="AC327" s="19" t="n"/>
    </row>
    <row r="328" ht="15" customHeight="1" s="251">
      <c r="B328" s="25" t="inlineStr">
        <is>
          <t xml:space="preserve">  Net debt = Total debt − Cash (pre-spin: related-party loan excluded)</t>
        </is>
      </c>
      <c r="C328" s="211" t="str">
        <f>IFERROR(C306-C256,"n/a")</f>
        <v>n/a</v>
      </c>
      <c r="D328" s="34" t="n"/>
      <c r="E328" s="34" t="n"/>
      <c r="F328" s="34" t="n"/>
      <c r="G328" s="34" t="n"/>
      <c r="H328" s="211">
        <f>IFERROR(H306-H256,"n/a")</f>
        <v>-47</v>
      </c>
      <c r="I328" s="34" t="n"/>
      <c r="J328" s="34" t="n"/>
      <c r="K328" s="34" t="n"/>
      <c r="L328" s="34" t="n"/>
      <c r="M328" s="211">
        <f>IFERROR(M306-M256,"n/a")</f>
        <v>-27</v>
      </c>
      <c r="N328" s="34" t="n"/>
      <c r="O328" s="34" t="n"/>
      <c r="P328" s="34" t="n"/>
      <c r="Q328" s="34" t="n"/>
      <c r="R328" s="211">
        <f>IFERROR(R306-R256,"n/a")</f>
        <v>-38</v>
      </c>
      <c r="S328" s="34" t="n"/>
      <c r="T328" s="34" t="n"/>
      <c r="U328" s="35" t="n"/>
      <c r="V328" s="35" t="n"/>
      <c r="W328" s="266">
        <f>IFERROR(W306-W256,"n/a")</f>
        <v>1616.20015429041</v>
      </c>
      <c r="X328" s="266">
        <f>IFERROR(X306-X256,"n/a")</f>
        <v>1635.49952120635</v>
      </c>
      <c r="Y328" s="266">
        <f>IFERROR(Y306-Y256,"n/a")</f>
        <v>1777.04240277513</v>
      </c>
      <c r="Z328" s="266">
        <f>IFERROR(Z306-Z256,"n/a")</f>
        <v>1924.2422718342</v>
      </c>
      <c r="AA328" s="266">
        <f>IFERROR(AA306-AA256,"n/a")</f>
        <v>2079.00707570963</v>
      </c>
      <c r="AB328" s="266">
        <f>IFERROR(AB306-AB256,"n/a")</f>
        <v>2240.15457549537</v>
      </c>
      <c r="AC328" s="19" t="n"/>
    </row>
    <row r="329" ht="15" customHeight="1" s="251">
      <c r="B329" s="55" t="inlineStr">
        <is>
          <t>ROIC = NOPAT / IC</t>
        </is>
      </c>
      <c r="C329" s="289" t="str">
        <f>IFERROR(C325/C326,"n/a")</f>
        <v>n/a</v>
      </c>
      <c r="D329" s="56" t="n"/>
      <c r="E329" s="56" t="n"/>
      <c r="F329" s="56" t="n"/>
      <c r="G329" s="56" t="n"/>
      <c r="H329" s="289">
        <f>IFERROR(H325/H326,"n/a")</f>
        <v>0.0180139910068664</v>
      </c>
      <c r="I329" s="56" t="n"/>
      <c r="J329" s="56" t="n"/>
      <c r="K329" s="56" t="n"/>
      <c r="L329" s="56" t="n"/>
      <c r="M329" s="289">
        <f>IFERROR(M325/M326,"n/a")</f>
        <v>0.0219919379005674</v>
      </c>
      <c r="N329" s="56" t="n"/>
      <c r="O329" s="56" t="n"/>
      <c r="P329" s="56" t="n"/>
      <c r="Q329" s="56" t="n"/>
      <c r="R329" s="289">
        <f>IFERROR(R325/R326,"n/a")</f>
        <v>0.0236405605776636</v>
      </c>
      <c r="S329" s="56" t="n"/>
      <c r="T329" s="56" t="n"/>
      <c r="U329" s="56" t="n"/>
      <c r="V329" s="56" t="n"/>
      <c r="W329" s="289">
        <f>IFERROR(W325/W326,"n/a")</f>
        <v>0.0271979816362464</v>
      </c>
      <c r="X329" s="289">
        <f>IFERROR(X325/X326,"n/a")</f>
        <v>0.0319769692076587</v>
      </c>
      <c r="Y329" s="289">
        <f>IFERROR(Y325/Y326,"n/a")</f>
        <v>0.0370590972984624</v>
      </c>
      <c r="Z329" s="289">
        <f>IFERROR(Z325/Z326,"n/a")</f>
        <v>0.0425153473975203</v>
      </c>
      <c r="AA329" s="289">
        <f>IFERROR(AA325/AA326,"n/a")</f>
        <v>0.0486155222841589</v>
      </c>
      <c r="AB329" s="289">
        <f>IFERROR(AB325/AB326,"n/a")</f>
        <v>0.0551465881736589</v>
      </c>
      <c r="AC329" s="153" t="n"/>
      <c r="AE329" s="37">
        <f>IFERROR(AVERAGE(X329,Y329,Z329,AA329,AB329),"n/m")</f>
        <v>0.0430627048722918</v>
      </c>
      <c r="AF329" s="37">
        <f>IFERROR(AVERAGE(H329,M329,R329),"n/m")</f>
        <v>0.0212154964950325</v>
      </c>
      <c r="AG329" s="37">
        <f>IFERROR(AVERAGE(M329,R329),"n/m")</f>
        <v>0.0228162492391155</v>
      </c>
      <c r="AH329" s="37">
        <f>IFERROR(AVERAGE(C329,H329,M329,R329),"n/m")</f>
        <v>0.0212154964950325</v>
      </c>
    </row>
    <row r="330" ht="15" customHeight="1" s="251">
      <c r="B330" s="25" t="inlineStr">
        <is>
          <t xml:space="preserve">  Margin = Adjusted EBIT / Revenue</t>
        </is>
      </c>
      <c r="C330" s="215" t="str">
        <f>IFERROR(C323/C115,"n/a")</f>
        <v>n/a</v>
      </c>
      <c r="D330" s="34" t="n"/>
      <c r="E330" s="34" t="n"/>
      <c r="F330" s="34" t="n"/>
      <c r="G330" s="34" t="n"/>
      <c r="H330" s="215">
        <f>IFERROR(H323/H115,"n/a")</f>
        <v>0.195959595959596</v>
      </c>
      <c r="I330" s="34" t="n"/>
      <c r="J330" s="34" t="n"/>
      <c r="K330" s="34" t="n"/>
      <c r="L330" s="34" t="n"/>
      <c r="M330" s="215">
        <f>IFERROR(M323/M115,"n/a")</f>
        <v>0.216986980781153</v>
      </c>
      <c r="N330" s="34" t="n"/>
      <c r="O330" s="34" t="n"/>
      <c r="P330" s="34" t="n"/>
      <c r="Q330" s="34" t="n"/>
      <c r="R330" s="215">
        <f>IFERROR(R323/R115,"n/a")</f>
        <v>0.229142857142857</v>
      </c>
      <c r="S330" s="34" t="n"/>
      <c r="T330" s="34" t="n"/>
      <c r="U330" s="35" t="n"/>
      <c r="V330" s="35" t="n"/>
      <c r="W330" s="256">
        <f>IFERROR(W323/W115,"n/a")</f>
        <v>0.235685752330226</v>
      </c>
      <c r="X330" s="256">
        <f>IFERROR(X323/X115,"n/a")</f>
        <v>0.251786902041583</v>
      </c>
      <c r="Y330" s="256">
        <f>IFERROR(Y323/Y115,"n/a")</f>
        <v>0.268093147458996</v>
      </c>
      <c r="Z330" s="256">
        <f>IFERROR(Z323/Z115,"n/a")</f>
        <v>0.2834242407528</v>
      </c>
      <c r="AA330" s="256">
        <f>IFERROR(AA323/AA115,"n/a")</f>
        <v>0.299167690176144</v>
      </c>
      <c r="AB330" s="256">
        <f>IFERROR(AB323/AB115,"n/a")</f>
        <v>0.314093132129628</v>
      </c>
      <c r="AC330" s="19" t="n"/>
    </row>
    <row r="331" ht="15" customHeight="1" s="251">
      <c r="B331" s="25" t="inlineStr">
        <is>
          <t xml:space="preserve">  Capital turnover = Revenue / IC</t>
        </is>
      </c>
      <c r="C331" s="280" t="str">
        <f>IFERROR(C115/C326,"n/a")</f>
        <v>n/a</v>
      </c>
      <c r="D331" s="34" t="n"/>
      <c r="E331" s="34" t="n"/>
      <c r="F331" s="34" t="n"/>
      <c r="G331" s="34" t="n"/>
      <c r="H331" s="280">
        <f>IFERROR(H115/H326,"n/a")</f>
        <v>0.126329221607826</v>
      </c>
      <c r="I331" s="34" t="n"/>
      <c r="J331" s="34" t="n"/>
      <c r="K331" s="34" t="n"/>
      <c r="L331" s="34" t="n"/>
      <c r="M331" s="280">
        <f>IFERROR(M115/M326,"n/a")</f>
        <v>0.138383665065202</v>
      </c>
      <c r="N331" s="34" t="n"/>
      <c r="O331" s="34" t="n"/>
      <c r="P331" s="34" t="n"/>
      <c r="Q331" s="34" t="n"/>
      <c r="R331" s="280">
        <f>IFERROR(R115/R326,"n/a")</f>
        <v>0.152878483445444</v>
      </c>
      <c r="S331" s="34" t="n"/>
      <c r="T331" s="34" t="n"/>
      <c r="U331" s="35" t="n"/>
      <c r="V331" s="35" t="n"/>
      <c r="W331" s="281">
        <f>IFERROR(W115/W326,"n/a")</f>
        <v>0.163061387411754</v>
      </c>
      <c r="X331" s="281">
        <f>IFERROR(X115/X326,"n/a")</f>
        <v>0.177622558974411</v>
      </c>
      <c r="Y331" s="281">
        <f>IFERROR(Y115/Y326,"n/a")</f>
        <v>0.193331705057707</v>
      </c>
      <c r="Z331" s="281">
        <f>IFERROR(Z115/Z326,"n/a")</f>
        <v>0.209798654392651</v>
      </c>
      <c r="AA331" s="281">
        <f>IFERROR(AA115/AA326,"n/a")</f>
        <v>0.227276339300975</v>
      </c>
      <c r="AB331" s="281">
        <f>IFERROR(AB115/AB326,"n/a")</f>
        <v>0.245558044599152</v>
      </c>
      <c r="AC331" s="19" t="n"/>
    </row>
    <row r="332" ht="15" customHeight="1" s="251">
      <c r="B332" s="25" t="inlineStr">
        <is>
          <t xml:space="preserve">  Tax burden = (1 − tax rate)</t>
        </is>
      </c>
      <c r="C332" s="215">
        <f>IFERROR(1-C324,"n/a")</f>
        <v>0.85</v>
      </c>
      <c r="D332" s="34" t="n"/>
      <c r="E332" s="34" t="n"/>
      <c r="F332" s="34" t="n"/>
      <c r="G332" s="34" t="n"/>
      <c r="H332" s="215">
        <f>IFERROR(1-H324,"n/a")</f>
        <v>0.727678571428571</v>
      </c>
      <c r="I332" s="34" t="n"/>
      <c r="J332" s="34" t="n"/>
      <c r="K332" s="34" t="n"/>
      <c r="L332" s="34" t="n"/>
      <c r="M332" s="215">
        <f>IFERROR(1-M324,"n/a")</f>
        <v>0.732394366197183</v>
      </c>
      <c r="N332" s="34" t="n"/>
      <c r="O332" s="34" t="n"/>
      <c r="P332" s="34" t="n"/>
      <c r="Q332" s="34" t="n"/>
      <c r="R332" s="215">
        <f>IFERROR(1-R324,"n/a")</f>
        <v>0.674846625766871</v>
      </c>
      <c r="S332" s="34" t="n"/>
      <c r="T332" s="34" t="n"/>
      <c r="U332" s="35" t="n"/>
      <c r="V332" s="35" t="n"/>
      <c r="W332" s="256">
        <f>IFERROR(1-W324,"n/a")</f>
        <v>0.707704918032787</v>
      </c>
      <c r="X332" s="256">
        <f>IFERROR(1-X324,"n/a")</f>
        <v>0.715</v>
      </c>
      <c r="Y332" s="256">
        <f>IFERROR(1-Y324,"n/a")</f>
        <v>0.715</v>
      </c>
      <c r="Z332" s="256">
        <f>IFERROR(1-Z324,"n/a")</f>
        <v>0.715</v>
      </c>
      <c r="AA332" s="256">
        <f>IFERROR(1-AA324,"n/a")</f>
        <v>0.715</v>
      </c>
      <c r="AB332" s="256">
        <f>IFERROR(1-AB324,"n/a")</f>
        <v>0.715</v>
      </c>
      <c r="AC332" s="19" t="n"/>
    </row>
    <row r="333" ht="15" customHeight="1" s="251">
      <c r="B333" s="25" t="inlineStr">
        <is>
          <t xml:space="preserve">  Check: Margin × Turnover × Tax burden = ROIC</t>
        </is>
      </c>
      <c r="C333" s="215" t="str">
        <f>IFERROR(C330*C331*C332,"n/a")</f>
        <v>n/a</v>
      </c>
      <c r="D333" s="34" t="n"/>
      <c r="E333" s="34" t="n"/>
      <c r="F333" s="34" t="n"/>
      <c r="G333" s="34" t="n"/>
      <c r="H333" s="215">
        <f>IFERROR(H330*H331*H332,"n/a")</f>
        <v>0.0180139910068664</v>
      </c>
      <c r="I333" s="34" t="n"/>
      <c r="J333" s="34" t="n"/>
      <c r="K333" s="34" t="n"/>
      <c r="L333" s="34" t="n"/>
      <c r="M333" s="215">
        <f>IFERROR(M330*M331*M332,"n/a")</f>
        <v>0.0219919379005674</v>
      </c>
      <c r="N333" s="34" t="n"/>
      <c r="O333" s="34" t="n"/>
      <c r="P333" s="34" t="n"/>
      <c r="Q333" s="34" t="n"/>
      <c r="R333" s="215">
        <f>IFERROR(R330*R331*R332,"n/a")</f>
        <v>0.0236405605776636</v>
      </c>
      <c r="S333" s="34" t="n"/>
      <c r="T333" s="34" t="n"/>
      <c r="U333" s="35" t="n"/>
      <c r="V333" s="35" t="n"/>
      <c r="W333" s="256">
        <f>IFERROR(W330*W331*W332,"n/a")</f>
        <v>0.0271979816362464</v>
      </c>
      <c r="X333" s="256">
        <f>IFERROR(X330*X331*X332,"n/a")</f>
        <v>0.0319769692076587</v>
      </c>
      <c r="Y333" s="256">
        <f>IFERROR(Y330*Y331*Y332,"n/a")</f>
        <v>0.0370590972984624</v>
      </c>
      <c r="Z333" s="256">
        <f>IFERROR(Z330*Z331*Z332,"n/a")</f>
        <v>0.0425153473975203</v>
      </c>
      <c r="AA333" s="256">
        <f>IFERROR(AA330*AA331*AA332,"n/a")</f>
        <v>0.0486155222841589</v>
      </c>
      <c r="AB333" s="256">
        <f>IFERROR(AB330*AB331*AB332,"n/a")</f>
        <v>0.0551465881736589</v>
      </c>
      <c r="AC333" s="19" t="n"/>
    </row>
    <row r="334" ht="15" customHeight="1" s="251">
      <c r="B334" s="25" t="inlineStr">
        <is>
          <t>RONTA decomposition</t>
        </is>
      </c>
      <c r="AC334" s="153" t="n"/>
    </row>
    <row r="335" ht="15" customHeight="1" s="251">
      <c r="B335" s="25" t="inlineStr">
        <is>
          <t>NOPAT = Adjusted EBIT × (1 − tax rate)</t>
        </is>
      </c>
      <c r="C335" s="211" t="str">
        <f>C325</f>
        <v>n/a</v>
      </c>
      <c r="D335" s="34" t="n"/>
      <c r="E335" s="34" t="n"/>
      <c r="F335" s="34" t="n"/>
      <c r="G335" s="34" t="n"/>
      <c r="H335" s="211">
        <f>H325</f>
        <v>211.754464285714</v>
      </c>
      <c r="I335" s="34" t="n"/>
      <c r="J335" s="34" t="n"/>
      <c r="K335" s="34" t="n"/>
      <c r="L335" s="34" t="n"/>
      <c r="M335" s="211">
        <f>M325</f>
        <v>256.338028169014</v>
      </c>
      <c r="N335" s="34" t="n"/>
      <c r="O335" s="34" t="n"/>
      <c r="P335" s="34" t="n"/>
      <c r="Q335" s="34" t="n"/>
      <c r="R335" s="211">
        <f>R325</f>
        <v>270.613496932515</v>
      </c>
      <c r="S335" s="34" t="n"/>
      <c r="T335" s="34" t="n"/>
      <c r="U335" s="35" t="n"/>
      <c r="V335" s="35" t="n"/>
      <c r="W335" s="266">
        <f>W325</f>
        <v>313.159426229508</v>
      </c>
      <c r="X335" s="266">
        <f>X325</f>
        <v>361.563168520178</v>
      </c>
      <c r="Y335" s="266">
        <f>Y325</f>
        <v>411.377014691882</v>
      </c>
      <c r="Z335" s="266">
        <f>Z325</f>
        <v>463.202157950005</v>
      </c>
      <c r="AA335" s="266">
        <f>AA325</f>
        <v>519.848827151052</v>
      </c>
      <c r="AB335" s="266">
        <f>AB325</f>
        <v>578.764052026068</v>
      </c>
      <c r="AC335" s="19" t="n"/>
    </row>
    <row r="336" ht="15" customHeight="1" s="251">
      <c r="B336" s="25" t="inlineStr">
        <is>
          <t xml:space="preserve">  Total assets</t>
        </is>
      </c>
      <c r="C336" s="211">
        <f>C264</f>
      </c>
      <c r="D336" s="34" t="n"/>
      <c r="E336" s="34" t="n"/>
      <c r="F336" s="34" t="n"/>
      <c r="G336" s="34" t="n"/>
      <c r="H336" s="211">
        <f>H264</f>
        <v>13562</v>
      </c>
      <c r="I336" s="34" t="n"/>
      <c r="J336" s="34" t="n"/>
      <c r="K336" s="34" t="n"/>
      <c r="L336" s="34" t="n"/>
      <c r="M336" s="211">
        <f>M264</f>
        <v>13255</v>
      </c>
      <c r="N336" s="34" t="n"/>
      <c r="O336" s="34" t="n"/>
      <c r="P336" s="34" t="n"/>
      <c r="Q336" s="34" t="n"/>
      <c r="R336" s="211">
        <f>R264</f>
        <v>12995</v>
      </c>
      <c r="S336" s="34" t="n"/>
      <c r="T336" s="34" t="n"/>
      <c r="U336" s="35" t="n"/>
      <c r="V336" s="35" t="n"/>
      <c r="W336" s="266">
        <f>W264</f>
        <v>13099.3409416</v>
      </c>
      <c r="X336" s="266">
        <f>X264</f>
        <v>12814.1515261388</v>
      </c>
      <c r="Y336" s="266">
        <f>Y264</f>
        <v>12408.3319363418</v>
      </c>
      <c r="Z336" s="266">
        <f>Z264</f>
        <v>12130.6583566694</v>
      </c>
      <c r="AA336" s="266">
        <f>AA264</f>
        <v>11868.8716228035</v>
      </c>
      <c r="AB336" s="266">
        <f>AB264</f>
        <v>11611.232726173</v>
      </c>
      <c r="AC336" s="19" t="n"/>
    </row>
    <row r="337" ht="15" customHeight="1" s="251">
      <c r="B337" s="25" t="inlineStr">
        <is>
          <t xml:space="preserve">  − Goodwill &amp; intangible assets</t>
        </is>
      </c>
      <c r="C337" s="211">
        <f>IFERROR(-(C261+C262),"n/a")</f>
        <v>0</v>
      </c>
      <c r="D337" s="34" t="n"/>
      <c r="E337" s="34" t="n"/>
      <c r="F337" s="34" t="n"/>
      <c r="G337" s="34" t="n"/>
      <c r="H337" s="211">
        <f>IFERROR(-(H261+H262),"n/a")</f>
        <v>-13226</v>
      </c>
      <c r="I337" s="34" t="n"/>
      <c r="J337" s="34" t="n"/>
      <c r="K337" s="34" t="n"/>
      <c r="L337" s="34" t="n"/>
      <c r="M337" s="211">
        <f>IFERROR(-(M261+M262),"n/a")</f>
        <v>-12930</v>
      </c>
      <c r="N337" s="34" t="n"/>
      <c r="O337" s="34" t="n"/>
      <c r="P337" s="34" t="n"/>
      <c r="Q337" s="34" t="n"/>
      <c r="R337" s="211">
        <f>IFERROR(-(R261+R262),"n/a")</f>
        <v>-12634</v>
      </c>
      <c r="S337" s="34" t="n"/>
      <c r="T337" s="34" t="n"/>
      <c r="U337" s="35" t="n"/>
      <c r="V337" s="35" t="n"/>
      <c r="W337" s="266">
        <f>IFERROR(-(W261+W262),"n/a")</f>
        <v>-12337</v>
      </c>
      <c r="X337" s="266">
        <f>IFERROR(-(X261+X262),"n/a")</f>
        <v>-12041</v>
      </c>
      <c r="Y337" s="266">
        <f>IFERROR(-(Y261+Y262),"n/a")</f>
        <v>-11745</v>
      </c>
      <c r="Z337" s="266">
        <f>IFERROR(-(Z261+Z262),"n/a")</f>
        <v>-11449</v>
      </c>
      <c r="AA337" s="266">
        <f>IFERROR(-(AA261+AA262),"n/a")</f>
        <v>-11156</v>
      </c>
      <c r="AB337" s="266">
        <f>IFERROR(-(AB261+AB262),"n/a")</f>
        <v>-10866</v>
      </c>
      <c r="AC337" s="19" t="n"/>
    </row>
    <row r="338" ht="15" customHeight="1" s="251">
      <c r="B338" s="25" t="inlineStr">
        <is>
          <t xml:space="preserve">  − Non-interest-bearing current liabilities</t>
        </is>
      </c>
      <c r="C338" s="211" t="str">
        <f>IFERROR(-C269,"n/a")</f>
        <v>n/a</v>
      </c>
      <c r="D338" s="34" t="n"/>
      <c r="E338" s="34" t="n"/>
      <c r="F338" s="34" t="n"/>
      <c r="G338" s="34" t="n"/>
      <c r="H338" s="211">
        <f>IFERROR(-H269,"n/a")</f>
        <v>-237</v>
      </c>
      <c r="I338" s="34" t="n"/>
      <c r="J338" s="34" t="n"/>
      <c r="K338" s="34" t="n"/>
      <c r="L338" s="34" t="n"/>
      <c r="M338" s="211">
        <f>IFERROR(-M269,"n/a")</f>
        <v>-221</v>
      </c>
      <c r="N338" s="34" t="n"/>
      <c r="O338" s="34" t="n"/>
      <c r="P338" s="34" t="n"/>
      <c r="Q338" s="34" t="n"/>
      <c r="R338" s="211">
        <f>IFERROR(-R269,"n/a")</f>
        <v>-262</v>
      </c>
      <c r="S338" s="34" t="n"/>
      <c r="T338" s="34" t="n"/>
      <c r="U338" s="35" t="n"/>
      <c r="V338" s="35" t="n"/>
      <c r="W338" s="266">
        <f>IFERROR(-W269,"n/a")</f>
        <v>-260.9725</v>
      </c>
      <c r="X338" s="266">
        <f>IFERROR(-X269,"n/a")</f>
        <v>-279.164254063251</v>
      </c>
      <c r="Y338" s="266">
        <f>IFERROR(-Y269,"n/a")</f>
        <v>-298.306740862171</v>
      </c>
      <c r="Z338" s="266">
        <f>IFERROR(-Z269,"n/a")</f>
        <v>-317.718380781568</v>
      </c>
      <c r="AA338" s="266">
        <f>IFERROR(-AA269,"n/a")</f>
        <v>-337.808939808468</v>
      </c>
      <c r="AB338" s="266">
        <f>IFERROR(-AB269,"n/a")</f>
        <v>-358.22168027629</v>
      </c>
      <c r="AC338" s="19" t="n"/>
    </row>
    <row r="339" ht="15" customHeight="1" s="251">
      <c r="B339" s="25" t="inlineStr">
        <is>
          <t xml:space="preserve">  = Net tangible assets</t>
        </is>
      </c>
      <c r="C339" s="211">
        <f>IFERROR(SUM(C336:C338),"n/a")</f>
        <v>0</v>
      </c>
      <c r="D339" s="34" t="n"/>
      <c r="E339" s="34" t="n"/>
      <c r="F339" s="34" t="n"/>
      <c r="G339" s="34" t="n"/>
      <c r="H339" s="211">
        <f>IFERROR(SUM(H336:H338),"n/a")</f>
        <v>99</v>
      </c>
      <c r="I339" s="34" t="n"/>
      <c r="J339" s="34" t="n"/>
      <c r="K339" s="34" t="n"/>
      <c r="L339" s="34" t="n"/>
      <c r="M339" s="211">
        <f>IFERROR(SUM(M336:M338),"n/a")</f>
        <v>104</v>
      </c>
      <c r="N339" s="34" t="n"/>
      <c r="O339" s="34" t="n"/>
      <c r="P339" s="34" t="n"/>
      <c r="Q339" s="34" t="n"/>
      <c r="R339" s="211">
        <f>IFERROR(SUM(R336:R338),"n/a")</f>
        <v>99</v>
      </c>
      <c r="S339" s="34" t="n"/>
      <c r="T339" s="34" t="n"/>
      <c r="U339" s="35" t="n"/>
      <c r="V339" s="35" t="n"/>
      <c r="W339" s="266">
        <f>IFERROR(SUM(W336:W338),"n/a")</f>
        <v>501.3684416</v>
      </c>
      <c r="X339" s="266">
        <f>IFERROR(SUM(X336:X338),"n/a")</f>
        <v>493.987272075527</v>
      </c>
      <c r="Y339" s="266">
        <f>IFERROR(SUM(Y336:Y338),"n/a")</f>
        <v>365.025195479636</v>
      </c>
      <c r="Z339" s="266">
        <f>IFERROR(SUM(Z336:Z338),"n/a")</f>
        <v>363.939975887873</v>
      </c>
      <c r="AA339" s="266">
        <f>IFERROR(SUM(AA336:AA338),"n/a")</f>
        <v>375.062682995011</v>
      </c>
      <c r="AB339" s="266">
        <f>IFERROR(SUM(AB336:AB338),"n/a")</f>
        <v>387.011045896728</v>
      </c>
      <c r="AC339" s="19" t="n"/>
    </row>
    <row r="340" ht="15" customHeight="1" s="251">
      <c r="B340" s="55" t="inlineStr">
        <is>
          <t>RONTA = NOPAT / NTA</t>
        </is>
      </c>
      <c r="C340" s="289" t="str">
        <f>IFERROR(C335/C339,"n/a")</f>
        <v>n/a</v>
      </c>
      <c r="D340" s="56" t="n"/>
      <c r="E340" s="56" t="n"/>
      <c r="F340" s="56" t="n"/>
      <c r="G340" s="56" t="n"/>
      <c r="H340" s="289">
        <f>IFERROR(H335/H339,"n/a")</f>
        <v>2.13893398268398</v>
      </c>
      <c r="I340" s="56" t="n"/>
      <c r="J340" s="56" t="n"/>
      <c r="K340" s="56" t="n"/>
      <c r="L340" s="56" t="n"/>
      <c r="M340" s="289">
        <f>IFERROR(M335/M339,"n/a")</f>
        <v>2.46478873239437</v>
      </c>
      <c r="N340" s="56" t="n"/>
      <c r="O340" s="56" t="n"/>
      <c r="P340" s="56" t="n"/>
      <c r="Q340" s="56" t="n"/>
      <c r="R340" s="289">
        <f>IFERROR(R335/R339,"n/a")</f>
        <v>2.733469665985</v>
      </c>
      <c r="S340" s="56" t="n"/>
      <c r="T340" s="56" t="n"/>
      <c r="U340" s="56" t="n"/>
      <c r="V340" s="56" t="n"/>
      <c r="W340" s="289">
        <f>IFERROR(W335/W339,"n/a")</f>
        <v>0.624609369568881</v>
      </c>
      <c r="X340" s="289">
        <f>IFERROR(X335/X339,"n/a")</f>
        <v>0.731928106165655</v>
      </c>
      <c r="Y340" s="289">
        <f>IFERROR(Y335/Y339,"n/a")</f>
        <v>1.12698252007328</v>
      </c>
      <c r="Z340" s="289">
        <f>IFERROR(Z335/Z339,"n/a")</f>
        <v>1.27274327811879</v>
      </c>
      <c r="AA340" s="289">
        <f>IFERROR(AA335/AA339,"n/a")</f>
        <v>1.3860318573948</v>
      </c>
      <c r="AB340" s="289">
        <f>IFERROR(AB335/AB339,"n/a")</f>
        <v>1.49547166201687</v>
      </c>
      <c r="AC340" s="153" t="n"/>
      <c r="AE340" s="37">
        <f>IFERROR(AVERAGE(X340,Y340,Z340,AA340,AB340),"n/m")</f>
        <v>1.20263148475388</v>
      </c>
      <c r="AF340" s="37">
        <f>IFERROR(AVERAGE(H340,M340,R340),"n/m")</f>
        <v>2.44573079368778</v>
      </c>
      <c r="AG340" s="37">
        <f>IFERROR(AVERAGE(M340,R340),"n/m")</f>
        <v>2.59912919918968</v>
      </c>
      <c r="AH340" s="37">
        <f>IFERROR(AVERAGE(C340,H340,M340,R340),"n/m")</f>
        <v>2.44573079368778</v>
      </c>
    </row>
    <row r="341" ht="15" customHeight="1" s="251">
      <c r="B341" s="25" t="inlineStr">
        <is>
          <t>Return on Equity (ROE)</t>
        </is>
      </c>
      <c r="AC341" s="153" t="n"/>
    </row>
    <row r="342" ht="15" customHeight="1" s="251">
      <c r="B342" s="25" t="inlineStr">
        <is>
          <t>Net income</t>
        </is>
      </c>
      <c r="C342" s="211">
        <f>C126</f>
      </c>
      <c r="D342" s="34" t="n"/>
      <c r="E342" s="34" t="n"/>
      <c r="F342" s="34" t="n"/>
      <c r="G342" s="34" t="n"/>
      <c r="H342" s="211">
        <f>H126</f>
        <v>163</v>
      </c>
      <c r="I342" s="34" t="n"/>
      <c r="J342" s="34" t="n"/>
      <c r="K342" s="34" t="n"/>
      <c r="L342" s="34" t="n"/>
      <c r="M342" s="211">
        <f>M126</f>
        <v>208</v>
      </c>
      <c r="N342" s="34" t="n"/>
      <c r="O342" s="34" t="n"/>
      <c r="P342" s="34" t="n"/>
      <c r="Q342" s="34" t="n"/>
      <c r="R342" s="211">
        <f>R126</f>
        <v>220</v>
      </c>
      <c r="S342" s="34" t="n"/>
      <c r="T342" s="34" t="n"/>
      <c r="U342" s="35" t="n"/>
      <c r="V342" s="35" t="n"/>
      <c r="W342" s="266">
        <f>W126</f>
        <v>194.265</v>
      </c>
      <c r="X342" s="266">
        <f>X126</f>
        <v>255.943445955124</v>
      </c>
      <c r="Y342" s="266">
        <f>Y126</f>
        <v>311.277602974136</v>
      </c>
      <c r="Z342" s="266">
        <f>Z126</f>
        <v>358.832935285552</v>
      </c>
      <c r="AA342" s="266">
        <f>AA126</f>
        <v>406.525283386569</v>
      </c>
      <c r="AB342" s="266">
        <f>AB126</f>
        <v>458.107347114304</v>
      </c>
      <c r="AC342" s="19" t="n"/>
    </row>
    <row r="343" ht="15" customHeight="1" s="251">
      <c r="B343" s="25" t="inlineStr">
        <is>
          <t>Total equity</t>
        </is>
      </c>
      <c r="C343" s="211" t="str">
        <f>C327</f>
        <v>n/a</v>
      </c>
      <c r="D343" s="34" t="n"/>
      <c r="E343" s="34" t="n"/>
      <c r="F343" s="34" t="n"/>
      <c r="G343" s="34" t="n"/>
      <c r="H343" s="211">
        <f>H327</f>
        <v>11802</v>
      </c>
      <c r="I343" s="34" t="n"/>
      <c r="J343" s="34" t="n"/>
      <c r="K343" s="34" t="n"/>
      <c r="L343" s="34" t="n"/>
      <c r="M343" s="211">
        <f>M327</f>
        <v>11683</v>
      </c>
      <c r="N343" s="34" t="n"/>
      <c r="O343" s="34" t="n"/>
      <c r="P343" s="34" t="n"/>
      <c r="Q343" s="34" t="n"/>
      <c r="R343" s="211">
        <f>R327</f>
        <v>11485</v>
      </c>
      <c r="S343" s="34" t="n"/>
      <c r="T343" s="34" t="n"/>
      <c r="U343" s="35" t="n"/>
      <c r="V343" s="35" t="n"/>
      <c r="W343" s="266">
        <f>W327</f>
        <v>9897.8684416</v>
      </c>
      <c r="X343" s="266">
        <f>X327</f>
        <v>9671.48727207553</v>
      </c>
      <c r="Y343" s="266">
        <f>Y327</f>
        <v>9323.52519547964</v>
      </c>
      <c r="Z343" s="266">
        <f>Z327</f>
        <v>8970.69770405367</v>
      </c>
      <c r="AA343" s="266">
        <f>AA327</f>
        <v>8614.05560728539</v>
      </c>
      <c r="AB343" s="266">
        <f>AB327</f>
        <v>8254.85647040136</v>
      </c>
      <c r="AC343" s="19" t="n"/>
    </row>
    <row r="344" ht="15" customHeight="1" s="251">
      <c r="B344" s="25" t="inlineStr">
        <is>
          <t>ROE = Net income / Equity</t>
        </is>
      </c>
      <c r="C344" s="215" t="str">
        <f>IFERROR(C342/C343,"n/a")</f>
        <v>n/a</v>
      </c>
      <c r="D344" s="34" t="n"/>
      <c r="E344" s="34" t="n"/>
      <c r="F344" s="34" t="n"/>
      <c r="G344" s="34" t="n"/>
      <c r="H344" s="215">
        <f>IFERROR(H342/H343,"n/a")</f>
        <v>0.013811218437553</v>
      </c>
      <c r="I344" s="34" t="n"/>
      <c r="J344" s="34" t="n"/>
      <c r="K344" s="34" t="n"/>
      <c r="L344" s="34" t="n"/>
      <c r="M344" s="215">
        <f>IFERROR(M342/M343,"n/a")</f>
        <v>0.0178036463237182</v>
      </c>
      <c r="N344" s="34" t="n"/>
      <c r="O344" s="34" t="n"/>
      <c r="P344" s="34" t="n"/>
      <c r="Q344" s="34" t="n"/>
      <c r="R344" s="215">
        <f>IFERROR(R342/R343,"n/a")</f>
        <v>0.0191554201131911</v>
      </c>
      <c r="S344" s="34" t="n"/>
      <c r="T344" s="34" t="n"/>
      <c r="U344" s="35" t="n"/>
      <c r="V344" s="35" t="n"/>
      <c r="W344" s="256">
        <f>IFERROR(W342/W343,"n/a")</f>
        <v>0.0196269531309912</v>
      </c>
      <c r="X344" s="256">
        <f>IFERROR(X342/X343,"n/a")</f>
        <v>0.0264637111909468</v>
      </c>
      <c r="Y344" s="256">
        <f>IFERROR(Y342/Y343,"n/a")</f>
        <v>0.0333862564263841</v>
      </c>
      <c r="Z344" s="256">
        <f>IFERROR(Z342/Z343,"n/a")</f>
        <v>0.0400005603938034</v>
      </c>
      <c r="AA344" s="256">
        <f>IFERROR(AA342/AA343,"n/a")</f>
        <v>0.047193250417695</v>
      </c>
      <c r="AB344" s="256">
        <f>IFERROR(AB342/AB343,"n/a")</f>
        <v>0.0554954951375466</v>
      </c>
      <c r="AC344" s="19" t="n"/>
      <c r="AE344" s="37">
        <f>IFERROR(AVERAGE(X344,Y344,Z344,AA344,AB344),"n/m")</f>
        <v>0.0405078547132752</v>
      </c>
      <c r="AF344" s="37">
        <f>IFERROR(AVERAGE(H344,M344,R344),"n/m")</f>
        <v>0.0169234282914874</v>
      </c>
      <c r="AG344" s="37">
        <f>IFERROR(AVERAGE(M344,R344),"n/m")</f>
        <v>0.0184795332184547</v>
      </c>
      <c r="AH344" s="37">
        <f>IFERROR(AVERAGE(C344,H344,M344,R344),"n/m")</f>
        <v>0.0169234282914874</v>
      </c>
    </row>
    <row r="345" ht="15" customHeight="1" s="251">
      <c r="B345" s="25" t="inlineStr">
        <is>
          <t>Leverage</t>
        </is>
      </c>
      <c r="AC345" s="153" t="n"/>
    </row>
    <row r="346" ht="15" customHeight="1" s="251">
      <c r="B346" s="25" t="inlineStr">
        <is>
          <t>Net debt = Total debt − cash</t>
        </is>
      </c>
      <c r="C346" s="211" t="str">
        <f>C328</f>
        <v>n/a</v>
      </c>
      <c r="D346" s="34" t="n"/>
      <c r="E346" s="34" t="n"/>
      <c r="F346" s="34" t="n"/>
      <c r="G346" s="34" t="n"/>
      <c r="H346" s="211">
        <f>H328</f>
        <v>-47</v>
      </c>
      <c r="I346" s="34" t="n"/>
      <c r="J346" s="34" t="n"/>
      <c r="K346" s="34" t="n"/>
      <c r="L346" s="34" t="n"/>
      <c r="M346" s="211">
        <f>M328</f>
        <v>-27</v>
      </c>
      <c r="N346" s="34" t="n"/>
      <c r="O346" s="34" t="n"/>
      <c r="P346" s="34" t="n"/>
      <c r="Q346" s="34" t="n"/>
      <c r="R346" s="211">
        <f>R328</f>
        <v>-38</v>
      </c>
      <c r="S346" s="34" t="n"/>
      <c r="T346" s="34" t="n"/>
      <c r="U346" s="35" t="n"/>
      <c r="V346" s="35" t="n"/>
      <c r="W346" s="266">
        <f>W328</f>
        <v>1616.20015429041</v>
      </c>
      <c r="X346" s="266">
        <f>X328</f>
        <v>1635.49952120635</v>
      </c>
      <c r="Y346" s="266">
        <f>Y328</f>
        <v>1777.04240277513</v>
      </c>
      <c r="Z346" s="266">
        <f>Z328</f>
        <v>1924.2422718342</v>
      </c>
      <c r="AA346" s="266">
        <f>AA328</f>
        <v>2079.00707570963</v>
      </c>
      <c r="AB346" s="266">
        <f>AB328</f>
        <v>2240.15457549537</v>
      </c>
      <c r="AC346" s="19" t="n"/>
    </row>
    <row r="347" ht="15" customHeight="1" s="251">
      <c r="B347" s="25" t="inlineStr">
        <is>
          <t>Adjusted EBITDA</t>
        </is>
      </c>
      <c r="C347" s="211">
        <f>C153</f>
      </c>
      <c r="D347" s="34" t="n"/>
      <c r="E347" s="34" t="n"/>
      <c r="F347" s="34" t="n"/>
      <c r="G347" s="34" t="n"/>
      <c r="H347" s="211">
        <f>H153</f>
        <v>598</v>
      </c>
      <c r="I347" s="34" t="n"/>
      <c r="J347" s="34" t="n"/>
      <c r="K347" s="34" t="n"/>
      <c r="L347" s="34" t="n"/>
      <c r="M347" s="211">
        <f>M153</f>
        <v>659</v>
      </c>
      <c r="N347" s="34" t="n"/>
      <c r="O347" s="34" t="n"/>
      <c r="P347" s="34" t="n"/>
      <c r="Q347" s="34" t="n"/>
      <c r="R347" s="211">
        <f>R153</f>
        <v>711</v>
      </c>
      <c r="S347" s="34" t="n"/>
      <c r="T347" s="34" t="n"/>
      <c r="U347" s="35" t="n"/>
      <c r="V347" s="35" t="n"/>
      <c r="W347" s="266">
        <f>W153</f>
        <v>752.5</v>
      </c>
      <c r="X347" s="266">
        <f>X153</f>
        <v>817.749760603175</v>
      </c>
      <c r="Y347" s="266">
        <f>Y153</f>
        <v>888.521201387566</v>
      </c>
      <c r="Z347" s="266">
        <f>Z153</f>
        <v>962.121135917102</v>
      </c>
      <c r="AA347" s="266">
        <f>AA153</f>
        <v>1039.50353785481</v>
      </c>
      <c r="AB347" s="266">
        <f>AB153</f>
        <v>1120.07728774769</v>
      </c>
      <c r="AC347" s="19" t="n"/>
    </row>
    <row r="348" ht="15" customHeight="1" s="251">
      <c r="B348" s="55" t="inlineStr">
        <is>
          <t>Net debt / Adjusted EBITDA (x) (covenant: total net leverage ≤ 3.50x)</t>
        </is>
      </c>
      <c r="C348" s="290" t="str">
        <f>IFERROR(C346/C347,"n/a")</f>
        <v>n/a</v>
      </c>
      <c r="D348" s="56" t="n"/>
      <c r="E348" s="56" t="n"/>
      <c r="F348" s="56" t="n"/>
      <c r="G348" s="56" t="n"/>
      <c r="H348" s="290">
        <f>IFERROR(H346/H347,"n/a")</f>
        <v>-0.0785953177257525</v>
      </c>
      <c r="I348" s="56" t="n"/>
      <c r="J348" s="56" t="n"/>
      <c r="K348" s="56" t="n"/>
      <c r="L348" s="56" t="n"/>
      <c r="M348" s="290">
        <f>IFERROR(M346/M347,"n/a")</f>
        <v>-0.0409711684370258</v>
      </c>
      <c r="N348" s="56" t="n"/>
      <c r="O348" s="56" t="n"/>
      <c r="P348" s="56" t="n"/>
      <c r="Q348" s="56" t="n"/>
      <c r="R348" s="290">
        <f>IFERROR(R346/R347,"n/a")</f>
        <v>-0.0534458509142053</v>
      </c>
      <c r="S348" s="56" t="n"/>
      <c r="T348" s="56" t="n"/>
      <c r="U348" s="56" t="n"/>
      <c r="V348" s="56" t="n"/>
      <c r="W348" s="290">
        <f>IFERROR(W346/W347,"n/a")</f>
        <v>2.14777429141583</v>
      </c>
      <c r="X348" s="290">
        <f>IFERROR(X346/X347,"n/a")</f>
        <v>2</v>
      </c>
      <c r="Y348" s="290">
        <f>IFERROR(Y346/Y347,"n/a")</f>
        <v>2</v>
      </c>
      <c r="Z348" s="290">
        <f>IFERROR(Z346/Z347,"n/a")</f>
        <v>2</v>
      </c>
      <c r="AA348" s="290">
        <f>IFERROR(AA346/AA347,"n/a")</f>
        <v>2</v>
      </c>
      <c r="AB348" s="290">
        <f>IFERROR(AB346/AB347,"n/a")</f>
        <v>2</v>
      </c>
      <c r="AC348" s="153" t="n"/>
      <c r="AE348" s="37">
        <f>IFERROR(AVERAGE(X348,Y348,Z348,AA348,AB348),"n/m")</f>
        <v>2</v>
      </c>
      <c r="AF348" s="37">
        <f>IFERROR(AVERAGE(H348,M348,R348),"n/m")</f>
        <v>-0.0576707790256612</v>
      </c>
      <c r="AG348" s="37">
        <f>IFERROR(AVERAGE(M348,R348),"n/m")</f>
        <v>-0.0472085096756156</v>
      </c>
      <c r="AH348" s="37">
        <f>IFERROR(AVERAGE(C348,H348,M348,R348),"n/m")</f>
        <v>-0.0576707790256612</v>
      </c>
    </row>
    <row r="349" ht="15" customHeight="1" s="251">
      <c r="AK349" s="11" t="n"/>
      <c r="AL349" s="12" t="n"/>
      <c r="AM349" s="12" t="n"/>
      <c r="AN349" s="12" t="n"/>
      <c r="AO349" s="13" t="n"/>
    </row>
    <row r="350" ht="15" customHeight="1" s="251">
      <c r="B350" s="10" t="inlineStr">
        <is>
          <t>VALUATION</t>
        </is>
      </c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inlineStr">
        <is>
          <t>VALUATION — share price input $18.00 (provided by the user, 13-Oct-2026; latest SEC-filed price: Form 4 withholding $19.83 on 1-Sep-2026). Update to market.</t>
        </is>
      </c>
    </row>
    <row r="351" ht="15" customHeight="1" s="251">
      <c r="B351" s="69" t="inlineStr">
        <is>
          <t>Share price ($) — current</t>
        </is>
      </c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153" t="n"/>
      <c r="V351" s="153" t="n"/>
      <c r="W351" s="283" t="n">
        <v>18</v>
      </c>
      <c r="X351" s="282">
        <f>W351</f>
        <v>18</v>
      </c>
      <c r="Y351" s="282">
        <f>X351</f>
        <v>18</v>
      </c>
      <c r="Z351" s="282">
        <f>Y351</f>
        <v>18</v>
      </c>
      <c r="AA351" s="282">
        <f>Z351</f>
        <v>18</v>
      </c>
      <c r="AB351" s="282">
        <f>AA351</f>
        <v>18</v>
      </c>
      <c r="AC351" s="19" t="n"/>
    </row>
    <row r="352" ht="15" customHeight="1" s="251">
      <c r="B352" s="25" t="inlineStr">
        <is>
          <t>Diluted shares at period end (m)</t>
        </is>
      </c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5" t="n"/>
      <c r="V352" s="35" t="n"/>
      <c r="W352" s="273">
        <f>W250+1.0</f>
        <v>296.02132</v>
      </c>
      <c r="X352" s="273">
        <f>X250+N(X294)</f>
        <v>274.809571761818</v>
      </c>
      <c r="Y352" s="273">
        <f>Y250+N(Y294)</f>
        <v>246.161657044288</v>
      </c>
      <c r="Z352" s="273">
        <f>Z250+N(Z294)</f>
        <v>217.120725988275</v>
      </c>
      <c r="AA352" s="273">
        <f>AA250+N(AA294)</f>
        <v>187.912923348042</v>
      </c>
      <c r="AB352" s="273">
        <f>AB250+N(AB294)</f>
        <v>158.599817529611</v>
      </c>
      <c r="AC352" s="19" t="n"/>
    </row>
    <row r="353" ht="15" customHeight="1" s="251">
      <c r="B353" s="25" t="inlineStr">
        <is>
          <t>Market capitalisation (USDm)</t>
        </is>
      </c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5" t="n"/>
      <c r="V353" s="35" t="n"/>
      <c r="W353" s="266">
        <f>IFERROR(W351*W352,"n/a")</f>
        <v>5328.38376</v>
      </c>
      <c r="X353" s="266">
        <f>IFERROR(X351*X352,"n/a")</f>
        <v>4946.57229171272</v>
      </c>
      <c r="Y353" s="266">
        <f>IFERROR(Y351*Y352,"n/a")</f>
        <v>4430.90982679719</v>
      </c>
      <c r="Z353" s="266">
        <f>IFERROR(Z351*Z352,"n/a")</f>
        <v>3908.17306778895</v>
      </c>
      <c r="AA353" s="266">
        <f>IFERROR(AA351*AA352,"n/a")</f>
        <v>3382.43262026476</v>
      </c>
      <c r="AB353" s="266">
        <f>IFERROR(AB351*AB352,"n/a")</f>
        <v>2854.796715533</v>
      </c>
      <c r="AC353" s="19" t="n"/>
    </row>
    <row r="354" ht="15" customHeight="1" s="251">
      <c r="B354" s="25" t="inlineStr">
        <is>
          <t>Net debt (USDm)</t>
        </is>
      </c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5" t="n"/>
      <c r="V354" s="35" t="n"/>
      <c r="W354" s="266">
        <f>W346</f>
        <v>1616.20015429041</v>
      </c>
      <c r="X354" s="266">
        <f>X346</f>
        <v>1635.49952120635</v>
      </c>
      <c r="Y354" s="266">
        <f>Y346</f>
        <v>1777.04240277513</v>
      </c>
      <c r="Z354" s="266">
        <f>Z346</f>
        <v>1924.2422718342</v>
      </c>
      <c r="AA354" s="266">
        <f>AA346</f>
        <v>2079.00707570963</v>
      </c>
      <c r="AB354" s="266">
        <f>AB346</f>
        <v>2240.15457549537</v>
      </c>
      <c r="AC354" s="19" t="n"/>
    </row>
    <row r="355" ht="15" customHeight="1" s="251">
      <c r="B355" s="25" t="inlineStr">
        <is>
          <t>Noncontrolling interests (USDm; none)</t>
        </is>
      </c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5" t="n"/>
      <c r="V355" s="35" t="n"/>
      <c r="W355" s="265" t="n">
        <v>0</v>
      </c>
      <c r="X355" s="265" t="n">
        <v>0</v>
      </c>
      <c r="Y355" s="265" t="n">
        <v>0</v>
      </c>
      <c r="Z355" s="265" t="n">
        <v>0</v>
      </c>
      <c r="AA355" s="265" t="n">
        <v>0</v>
      </c>
      <c r="AB355" s="265" t="n">
        <v>0</v>
      </c>
      <c r="AC355" s="19" t="n"/>
    </row>
    <row r="356" ht="15" customHeight="1" s="251">
      <c r="B356" s="16" t="inlineStr">
        <is>
          <t>Enterprise value (USDm)</t>
        </is>
      </c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32" t="n"/>
      <c r="V356" s="32" t="n"/>
      <c r="W356" s="254">
        <f>IFERROR(W353+W354+W355,"n/a")</f>
        <v>6944.58391429041</v>
      </c>
      <c r="X356" s="254">
        <f>IFERROR(X353+X354+X355,"n/a")</f>
        <v>6582.07181291907</v>
      </c>
      <c r="Y356" s="254">
        <f>IFERROR(Y353+Y354+Y355,"n/a")</f>
        <v>6207.95222957232</v>
      </c>
      <c r="Z356" s="254">
        <f>IFERROR(Z353+Z354+Z355,"n/a")</f>
        <v>5832.41533962315</v>
      </c>
      <c r="AA356" s="254">
        <f>IFERROR(AA353+AA354+AA355,"n/a")</f>
        <v>5461.43969597438</v>
      </c>
      <c r="AB356" s="254">
        <f>IFERROR(AB353+AB354+AB355,"n/a")</f>
        <v>5094.95129102838</v>
      </c>
      <c r="AC356" s="153" t="n"/>
    </row>
    <row r="357" ht="15" customHeight="1" s="251">
      <c r="B357" s="25" t="inlineStr">
        <is>
          <t>Multiples</t>
        </is>
      </c>
      <c r="AC357" s="153" t="n"/>
    </row>
    <row r="358" ht="15" customHeight="1" s="251">
      <c r="B358" s="25" t="inlineStr">
        <is>
          <t xml:space="preserve">  EV / Revenue</t>
        </is>
      </c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5" t="n"/>
      <c r="V358" s="35" t="n"/>
      <c r="W358" s="288">
        <f>IFERROR(W356/W115,"n/a")</f>
        <v>3.6988462925648</v>
      </c>
      <c r="X358" s="288">
        <f>IFERROR(X356/X115,"n/a")</f>
        <v>3.27731064661473</v>
      </c>
      <c r="Y358" s="288">
        <f>IFERROR(Y356/Y115,"n/a")</f>
        <v>2.89267804480908</v>
      </c>
      <c r="Z358" s="288">
        <f>IFERROR(Z356/Z115,"n/a")</f>
        <v>2.55164882249913</v>
      </c>
      <c r="AA358" s="288">
        <f>IFERROR(AA356/AA115,"n/a")</f>
        <v>2.2472469738985</v>
      </c>
      <c r="AB358" s="288">
        <f>IFERROR(AB356/AB115,"n/a")</f>
        <v>1.97698315999949</v>
      </c>
      <c r="AC358" s="19" t="n"/>
    </row>
    <row r="359" ht="15" customHeight="1" s="251">
      <c r="B359" s="25" t="inlineStr">
        <is>
          <t xml:space="preserve">  EV / Adjusted EBITDA</t>
        </is>
      </c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5" t="n"/>
      <c r="V359" s="35" t="n"/>
      <c r="W359" s="288">
        <f>IFERROR(W356/W153,"n/a")</f>
        <v>9.22868294257862</v>
      </c>
      <c r="X359" s="288">
        <f>IFERROR(X356/X153,"n/a")</f>
        <v>8.04900487902817</v>
      </c>
      <c r="Y359" s="288">
        <f>IFERROR(Y356/Y153,"n/a")</f>
        <v>6.98683635221943</v>
      </c>
      <c r="Z359" s="288">
        <f>IFERROR(Z356/Z153,"n/a")</f>
        <v>6.06203847092876</v>
      </c>
      <c r="AA359" s="288">
        <f>IFERROR(AA356/AA153,"n/a")</f>
        <v>5.25389236023666</v>
      </c>
      <c r="AB359" s="288">
        <f>IFERROR(AB356/AB153,"n/a")</f>
        <v>4.54874975750431</v>
      </c>
      <c r="AC359" s="19" t="n"/>
    </row>
    <row r="360" ht="15" customHeight="1" s="251">
      <c r="B360" s="25" t="inlineStr">
        <is>
          <t xml:space="preserve">  EV / Adjusted operating profit</t>
        </is>
      </c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5" t="n"/>
      <c r="V360" s="35" t="n"/>
      <c r="W360" s="288">
        <f>IFERROR(W356/W170,"n/a")</f>
        <v>9.67886259831416</v>
      </c>
      <c r="X360" s="288">
        <f>IFERROR(X356/X170,"n/a")</f>
        <v>8.48671171190929</v>
      </c>
      <c r="Y360" s="288">
        <f>IFERROR(Y356/Y170,"n/a")</f>
        <v>7.36016137759977</v>
      </c>
      <c r="Z360" s="288">
        <f>IFERROR(Z356/Z170,"n/a")</f>
        <v>6.38035710788607</v>
      </c>
      <c r="AA360" s="288">
        <f>IFERROR(AA356/AA170,"n/a")</f>
        <v>5.52515772176272</v>
      </c>
      <c r="AB360" s="288">
        <f>IFERROR(AB356/AB170,"n/a")</f>
        <v>4.77969473989347</v>
      </c>
      <c r="AC360" s="19" t="n"/>
    </row>
    <row r="361" ht="15" customHeight="1" s="251">
      <c r="B361" s="25" t="inlineStr">
        <is>
          <t xml:space="preserve">  EV / IC</t>
        </is>
      </c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5" t="n"/>
      <c r="V361" s="35" t="n"/>
      <c r="W361" s="288">
        <f>IFERROR(W356/W326,"n/a")</f>
        <v>0.60313900828844</v>
      </c>
      <c r="X361" s="288">
        <f>IFERROR(X356/X326,"n/a")</f>
        <v>0.58212430360579</v>
      </c>
      <c r="Y361" s="288">
        <f>IFERROR(Y356/Y326,"n/a")</f>
        <v>0.559246378585933</v>
      </c>
      <c r="Z361" s="288">
        <f>IFERROR(Z356/Z326,"n/a")</f>
        <v>0.535332489442912</v>
      </c>
      <c r="AA361" s="288">
        <f>IFERROR(AA356/AA326,"n/a")</f>
        <v>0.510746065732843</v>
      </c>
      <c r="AB361" s="288">
        <f>IFERROR(AB356/AB326,"n/a")</f>
        <v>0.485464118974926</v>
      </c>
      <c r="AC361" s="19" t="n"/>
    </row>
    <row r="362" ht="15" customHeight="1" s="251">
      <c r="B362" s="25" t="inlineStr">
        <is>
          <t xml:space="preserve">  P / E (GAAP diluted)</t>
        </is>
      </c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5" t="n"/>
      <c r="V362" s="35" t="n"/>
      <c r="W362" s="288">
        <f>IFERROR(W351/W135,"n/a")</f>
        <v>27.3882776619566</v>
      </c>
      <c r="X362" s="288">
        <f>IFERROR(X351/X135,"n/a")</f>
        <v>20.0902898945806</v>
      </c>
      <c r="Y362" s="288">
        <f>IFERROR(Y351/Y135,"n/a")</f>
        <v>15.0628924614423</v>
      </c>
      <c r="Z362" s="288">
        <f>IFERROR(Z351/Z135,"n/a")</f>
        <v>11.6197289526254</v>
      </c>
      <c r="AA362" s="288">
        <f>IFERROR(AA351/AA135,"n/a")</f>
        <v>8.9669769458361</v>
      </c>
      <c r="AB362" s="288">
        <f>IFERROR(AB351/AB135,"n/a")</f>
        <v>6.80760674881895</v>
      </c>
      <c r="AC362" s="19" t="n"/>
    </row>
    <row r="363" ht="15" customHeight="1" s="251">
      <c r="B363" s="25" t="inlineStr">
        <is>
          <t xml:space="preserve">  P / E (adjusted EPS, model definition)</t>
        </is>
      </c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5" t="n"/>
      <c r="V363" s="35" t="n"/>
      <c r="W363" s="288">
        <f>IFERROR(W351/W185,"n/a")</f>
        <v>11.5043339222756</v>
      </c>
      <c r="X363" s="288">
        <f>IFERROR(X351/X185,"n/a")</f>
        <v>10.7023439401799</v>
      </c>
      <c r="Y363" s="288">
        <f>IFERROR(Y351/Y185,"n/a")</f>
        <v>8.86948078017135</v>
      </c>
      <c r="Z363" s="288">
        <f>IFERROR(Z351/Z185,"n/a")</f>
        <v>7.23636336364782</v>
      </c>
      <c r="AA363" s="288">
        <f>IFERROR(AA351/AA185,"n/a")</f>
        <v>5.86306363192551</v>
      </c>
      <c r="AB363" s="288">
        <f>IFERROR(AB351/AB185,"n/a")</f>
        <v>4.64648379643208</v>
      </c>
      <c r="AC363" s="19" t="n"/>
    </row>
    <row r="364" ht="15" customHeight="1" s="251">
      <c r="B364" s="25" t="inlineStr">
        <is>
          <t xml:space="preserve">  FCF yield</t>
        </is>
      </c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5" t="n"/>
      <c r="V364" s="35" t="n"/>
      <c r="W364" s="256">
        <f>IFERROR(W232/W353,"n/a")</f>
        <v>0.0736989717327697</v>
      </c>
      <c r="X364" s="256">
        <f>IFERROR(X232/X353,"n/a")</f>
        <v>0.0994899309282961</v>
      </c>
      <c r="Y364" s="256">
        <f>IFERROR(Y232/Y353,"n/a")</f>
        <v>0.123811138352417</v>
      </c>
      <c r="Z364" s="256">
        <f>IFERROR(Z232/Z353,"n/a")</f>
        <v>0.152801632885845</v>
      </c>
      <c r="AA364" s="256">
        <f>IFERROR(AA232/AA353,"n/a")</f>
        <v>0.190098751496103</v>
      </c>
      <c r="AB364" s="256">
        <f>IFERROR(AB232/AB353,"n/a")</f>
        <v>0.242630842161195</v>
      </c>
      <c r="AC364" s="19" t="n"/>
    </row>
    <row r="365" ht="15" customHeight="1" s="251">
      <c r="B365" s="25" t="inlineStr">
        <is>
          <t xml:space="preserve">  Dividend yield</t>
        </is>
      </c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5" t="n"/>
      <c r="V365" s="35" t="n"/>
      <c r="W365" s="256">
        <f>IFERROR(W139/W351,"n/a")</f>
        <v>0.00666666666666667</v>
      </c>
      <c r="X365" s="256">
        <f>IFERROR(X139/X351,"n/a")</f>
        <v>0.0133333333333333</v>
      </c>
      <c r="Y365" s="256">
        <f>IFERROR(Y139/Y351,"n/a")</f>
        <v>0.014</v>
      </c>
      <c r="Z365" s="256">
        <f>IFERROR(Z139/Z351,"n/a")</f>
        <v>0.0147</v>
      </c>
      <c r="AA365" s="256">
        <f>IFERROR(AA139/AA351,"n/a")</f>
        <v>0.015435</v>
      </c>
      <c r="AB365" s="256">
        <f>IFERROR(AB139/AB351,"n/a")</f>
        <v>0.01620675</v>
      </c>
      <c r="AC365" s="19" t="n"/>
    </row>
    <row r="366" ht="15" customHeight="1" s="251"/>
    <row r="367" ht="15" customHeight="1" s="251"/>
    <row r="368" ht="15" customHeight="1" s="251"/>
    <row r="369" ht="15" customHeight="1" s="251"/>
    <row r="370" ht="15" customHeight="1" s="251"/>
    <row r="371" ht="15" customHeight="1" s="251"/>
    <row r="372" ht="15" customHeight="1" s="251"/>
    <row r="373" ht="15" customHeight="1" s="251"/>
    <row r="374" ht="15" customHeight="1" s="251"/>
    <row r="375" ht="15" customHeight="1" s="251"/>
    <row r="376" ht="15" customHeight="1" s="251"/>
    <row r="377" ht="15" customHeight="1" s="251"/>
    <row r="378" ht="15" customHeight="1" s="251"/>
    <row r="379" ht="15" customHeight="1" s="251"/>
    <row r="380" ht="15" customHeight="1" s="251"/>
    <row r="381" ht="15" customHeight="1" s="251"/>
    <row r="382" ht="15" customHeight="1" s="251"/>
    <row r="383" ht="15" customHeight="1" s="251"/>
    <row r="384" ht="15" customHeight="1" s="251"/>
    <row r="385" ht="15" customHeight="1" s="251"/>
    <row r="386" ht="15" customHeight="1" s="251"/>
    <row r="387" ht="15" customHeight="1" s="251"/>
    <row r="388" ht="15" customHeight="1" s="251"/>
    <row r="389" ht="15" customHeight="1" s="251"/>
    <row r="390" ht="15" customHeight="1" s="251"/>
    <row r="391" ht="15" customHeight="1" s="251"/>
    <row r="392" ht="15" customHeight="1" s="251"/>
    <row r="393" ht="15" customHeight="1" s="251"/>
    <row r="394" ht="15" customHeight="1" s="251"/>
    <row r="395" ht="15" customHeight="1" s="251"/>
    <row r="396" ht="15" customHeight="1" s="251"/>
    <row r="397" ht="15" customHeight="1" s="251"/>
    <row r="398" ht="15" customHeight="1" s="251"/>
    <row r="399" ht="15" customHeight="1" s="251"/>
    <row r="400" ht="15" customHeight="1" s="251"/>
    <row r="401" ht="15" customHeight="1" s="251"/>
    <row r="402" ht="15" customHeight="1" s="251"/>
    <row r="403" ht="15" customHeight="1" s="251"/>
    <row r="404" ht="15" customHeight="1" s="251"/>
    <row r="405" ht="15" customHeight="1" s="251"/>
    <row r="406" ht="15" customHeight="1" s="251"/>
    <row r="407" ht="15" customHeight="1" s="251"/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AC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Mobility Global Inc. (MBGL) — Bull / Base / Bear Case P&amp;L Summary</t>
        </is>
      </c>
      <c r="J2" s="152" t="inlineStr">
        <is>
          <t>Share price ($):</t>
        </is>
      </c>
      <c r="K2" s="74">
        <f>Model!$X$351</f>
        <v>18</v>
      </c>
    </row>
    <row r="3" ht="15" customHeight="1" s="251">
      <c r="B3" s="4" t="inlineStr">
        <is>
          <t>Company definitions: Adjusted EBITDA (company), Adjusted EPS = model definition (Mobility Global publishes none: + amortization of intangibles, transaction and other items, tax-effected) · USD millions · Live panel linked to Model — toggle scenario via Model!AC2. Bull and Bear panels are value snapshots generated from the Model with the switch set to each case. 2026E = 1H carve-out actual + 2H calibrated to the FY26 outlook (revenue $1,870–1,885m, Adjusted EBITDA $745–760m).</t>
        </is>
      </c>
      <c r="J3" s="152" t="inlineStr">
        <is>
          <t>As of:</t>
        </is>
      </c>
      <c r="K3" s="291" t="str">
        <f>TODAY()</f>
        <v>2026-10-13 00:00:00</v>
      </c>
    </row>
    <row r="5" ht="15" customHeight="1" s="251">
      <c r="B5" s="10" t="inlineStr">
        <is>
          <t>Scenario:</t>
        </is>
      </c>
      <c r="C5" s="75" t="str">
        <f>Model!$AC$2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2026E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2026E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2026E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Revenue</t>
        </is>
      </c>
      <c r="C9" s="80">
        <f>Model!W115</f>
        <v>1877.5</v>
      </c>
      <c r="D9" s="81">
        <f>Model!X115</f>
        <v>2008.3759285126</v>
      </c>
      <c r="E9" s="81">
        <f>Model!Y115</f>
        <v>2146.09166087893</v>
      </c>
      <c r="F9" s="81">
        <f>Model!Z115</f>
        <v>2285.74374662998</v>
      </c>
      <c r="G9" s="81">
        <f>Model!AA115</f>
        <v>2430.28014250696</v>
      </c>
      <c r="H9" s="81">
        <f>Model!AB115</f>
        <v>2577.1343904769</v>
      </c>
      <c r="I9" s="292">
        <f>IFERROR((H9/C9)^(1/5)-1,"n/m")</f>
        <v>0.0653968886364085</v>
      </c>
      <c r="N9" s="79" t="inlineStr">
        <is>
          <t>Revenue</t>
        </is>
      </c>
      <c r="O9" s="80" t="n">
        <v>1885</v>
      </c>
      <c r="P9" s="81" t="n">
        <v>2064.09688810856</v>
      </c>
      <c r="Q9" s="81" t="n">
        <v>2267.22114206761</v>
      </c>
      <c r="R9" s="81" t="n">
        <v>2479.90052775952</v>
      </c>
      <c r="S9" s="81" t="n">
        <v>2705.64115635527</v>
      </c>
      <c r="T9" s="81" t="n">
        <v>2942.22771027679</v>
      </c>
      <c r="U9" s="292" t="n">
        <v>0.0931329501417659</v>
      </c>
      <c r="Z9" s="79" t="inlineStr">
        <is>
          <t>Revenue</t>
        </is>
      </c>
      <c r="AA9" s="80" t="n">
        <v>1870</v>
      </c>
      <c r="AB9" s="81" t="n">
        <v>1944.25496891664</v>
      </c>
      <c r="AC9" s="81" t="n">
        <v>2019.25793783328</v>
      </c>
      <c r="AD9" s="81" t="n">
        <v>2090.10201469664</v>
      </c>
      <c r="AE9" s="81" t="n">
        <v>2159.59571784911</v>
      </c>
      <c r="AF9" s="81" t="n">
        <v>2225.35183524444</v>
      </c>
      <c r="AG9" s="292" t="n">
        <v>0.0354077599425142</v>
      </c>
    </row>
    <row r="10" ht="15" customHeight="1" s="251">
      <c r="B10" s="83" t="inlineStr">
        <is>
          <t xml:space="preserve">   Revenue y/y %</t>
        </is>
      </c>
      <c r="C10" s="293" t="n"/>
      <c r="D10" s="294">
        <f>IFERROR(D9/C9-1,"")</f>
        <v>0.0697075518043127</v>
      </c>
      <c r="E10" s="294">
        <f>IFERROR(E9/D9-1,"")</f>
        <v>0.0685706945652951</v>
      </c>
      <c r="F10" s="294">
        <f>IFERROR(F9/E9-1,"")</f>
        <v>0.0650727498255428</v>
      </c>
      <c r="G10" s="294">
        <f>IFERROR(G9/F9-1,"")</f>
        <v>0.0632338581654575</v>
      </c>
      <c r="H10" s="294">
        <f>IFERROR(H9/G9-1,"")</f>
        <v>0.0604268805893504</v>
      </c>
      <c r="N10" s="83" t="inlineStr">
        <is>
          <t xml:space="preserve">   Revenue y/y %</t>
        </is>
      </c>
      <c r="O10" s="293" t="n"/>
      <c r="P10" s="294" t="n">
        <v>0.0950116117286775</v>
      </c>
      <c r="Q10" s="294" t="n">
        <v>0.0984082942662563</v>
      </c>
      <c r="R10" s="294" t="n">
        <v>0.09380619373457109</v>
      </c>
      <c r="S10" s="294" t="n">
        <v>0.0910280981308942</v>
      </c>
      <c r="T10" s="294" t="n">
        <v>0.0874419556214277</v>
      </c>
      <c r="Z10" s="83" t="inlineStr">
        <is>
          <t xml:space="preserve">   Revenue y/y %</t>
        </is>
      </c>
      <c r="AA10" s="293" t="n"/>
      <c r="AB10" s="294" t="n">
        <v>0.0397085395276138</v>
      </c>
      <c r="AC10" s="294" t="n">
        <v>0.0385767145337066</v>
      </c>
      <c r="AD10" s="294" t="n">
        <v>0.0350842136291834</v>
      </c>
      <c r="AE10" s="294" t="n">
        <v>0.0332489527610689</v>
      </c>
      <c r="AF10" s="294" t="n">
        <v>0.0304483458880094</v>
      </c>
    </row>
    <row r="11" ht="15" customHeight="1" s="251">
      <c r="B11" s="79" t="inlineStr">
        <is>
          <t xml:space="preserve">   CARFAX revenue y/y %</t>
        </is>
      </c>
      <c r="C11" s="86">
        <f>Model!W192</f>
        <v>0.0800037510974085</v>
      </c>
      <c r="D11" s="87">
        <f>Model!X192</f>
        <v>0.0800000000000001</v>
      </c>
      <c r="E11" s="87">
        <f>Model!Y192</f>
        <v>0.0780000000000001</v>
      </c>
      <c r="F11" s="87">
        <f>Model!Z192</f>
        <v>0.075</v>
      </c>
      <c r="G11" s="87">
        <f>Model!AA192</f>
        <v>0.0720000000000001</v>
      </c>
      <c r="H11" s="87">
        <f>Model!AB192</f>
        <v>0.0700000000000001</v>
      </c>
      <c r="N11" s="79" t="inlineStr">
        <is>
          <t xml:space="preserve">   CARFAX revenue y/y %</t>
        </is>
      </c>
      <c r="O11" s="86" t="n">
        <v>0.0842641012421721</v>
      </c>
      <c r="P11" s="87" t="n">
        <v>0.1</v>
      </c>
      <c r="Q11" s="87" t="n">
        <v>0.0980000000000001</v>
      </c>
      <c r="R11" s="87" t="n">
        <v>0.095</v>
      </c>
      <c r="S11" s="87" t="n">
        <v>0.0920000000000001</v>
      </c>
      <c r="T11" s="87" t="n">
        <v>0.09000000000000009</v>
      </c>
      <c r="Z11" s="79" t="inlineStr">
        <is>
          <t xml:space="preserve">   CARFAX revenue y/y %</t>
        </is>
      </c>
      <c r="AA11" s="86" t="n">
        <v>0.0757434009526454</v>
      </c>
      <c r="AB11" s="87" t="n">
        <v>0.05</v>
      </c>
      <c r="AC11" s="87" t="n">
        <v>0.048</v>
      </c>
      <c r="AD11" s="87" t="n">
        <v>0.0449999999999999</v>
      </c>
      <c r="AE11" s="87" t="n">
        <v>0.042</v>
      </c>
      <c r="AF11" s="87" t="n">
        <v>0.04</v>
      </c>
    </row>
    <row r="12" ht="15" customHeight="1" s="251">
      <c r="B12" s="79" t="inlineStr">
        <is>
          <t>Adjusted EBITDA</t>
        </is>
      </c>
      <c r="C12" s="80">
        <f>Model!W153</f>
        <v>752.5</v>
      </c>
      <c r="D12" s="81">
        <f>Model!X153</f>
        <v>817.749760603175</v>
      </c>
      <c r="E12" s="81">
        <f>Model!Y153</f>
        <v>888.521201387566</v>
      </c>
      <c r="F12" s="81">
        <f>Model!Z153</f>
        <v>962.121135917102</v>
      </c>
      <c r="G12" s="81">
        <f>Model!AA153</f>
        <v>1039.50353785481</v>
      </c>
      <c r="H12" s="81">
        <f>Model!AB153</f>
        <v>1120.07728774769</v>
      </c>
      <c r="I12" s="292">
        <f>IFERROR((H12/C12)^(1/5)-1,"n/m")</f>
        <v>0.0828001252610775</v>
      </c>
      <c r="N12" s="79" t="inlineStr">
        <is>
          <t>Adjusted EBITDA</t>
        </is>
      </c>
      <c r="O12" s="80" t="n">
        <v>760</v>
      </c>
      <c r="P12" s="81" t="n">
        <v>863.0829444806481</v>
      </c>
      <c r="Q12" s="81" t="n">
        <v>960.376139301515</v>
      </c>
      <c r="R12" s="81" t="n">
        <v>1064.25137693062</v>
      </c>
      <c r="S12" s="81" t="n">
        <v>1176.06128484052</v>
      </c>
      <c r="T12" s="81" t="n">
        <v>1295.47769181407</v>
      </c>
      <c r="U12" s="292" t="n">
        <v>0.112559558510154</v>
      </c>
      <c r="Z12" s="79" t="inlineStr">
        <is>
          <t>Adjusted EBITDA</t>
        </is>
      </c>
      <c r="AA12" s="80" t="n">
        <v>745</v>
      </c>
      <c r="AB12" s="81" t="n">
        <v>739.8242330779231</v>
      </c>
      <c r="AC12" s="81" t="n">
        <v>782.30306713749</v>
      </c>
      <c r="AD12" s="81" t="n">
        <v>824.3008510395269</v>
      </c>
      <c r="AE12" s="81" t="n">
        <v>866.519920721097</v>
      </c>
      <c r="AF12" s="81" t="n">
        <v>908.365142877137</v>
      </c>
      <c r="AG12" s="292" t="n">
        <v>0.0404490968345428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0.400798934753662</v>
      </c>
      <c r="D13" s="89">
        <f>IFERROR(D12/D9,"")</f>
        <v>0.407169668284563</v>
      </c>
      <c r="E13" s="89">
        <f>IFERROR(E12/E9,"")</f>
        <v>0.414018290823457</v>
      </c>
      <c r="F13" s="89">
        <f>IFERROR(F12/F9,"")</f>
        <v>0.420922571629308</v>
      </c>
      <c r="G13" s="89">
        <f>IFERROR(G12/G9,"")</f>
        <v>0.427729922848528</v>
      </c>
      <c r="H13" s="89">
        <f>IFERROR(H12/H9,"")</f>
        <v>0.434621218003464</v>
      </c>
      <c r="J13" s="90">
        <f>IFERROR(AVERAGE(Model!H154,Model!M154,Model!R154),"")</f>
        <v>0.405844934550039</v>
      </c>
      <c r="K13" s="90">
        <f>IFERROR(MIN(Model!H154,Model!M154,Model!R154),"")</f>
        <v>0.402693602693603</v>
      </c>
      <c r="L13" s="90">
        <f>IFERROR(MAX(Model!H154,Model!M154,Model!R154),"")</f>
        <v>0.4085554866708</v>
      </c>
      <c r="N13" s="83" t="inlineStr">
        <is>
          <t xml:space="preserve">   Adjusted EBITDA margin %</t>
        </is>
      </c>
      <c r="O13" s="88" t="n">
        <v>0.403183023872679</v>
      </c>
      <c r="P13" s="89" t="n">
        <v>0.418140712993147</v>
      </c>
      <c r="Q13" s="89" t="n">
        <v>0.423591735928192</v>
      </c>
      <c r="R13" s="89" t="n">
        <v>0.429150832873173</v>
      </c>
      <c r="S13" s="89" t="n">
        <v>0.434670089962993</v>
      </c>
      <c r="T13" s="89" t="n">
        <v>0.440305040731263</v>
      </c>
      <c r="V13" s="90" t="n">
        <v>0.405844934550039</v>
      </c>
      <c r="W13" s="90" t="n">
        <v>0.402693602693603</v>
      </c>
      <c r="X13" s="90" t="n">
        <v>0.4085554866708</v>
      </c>
      <c r="Z13" s="83" t="inlineStr">
        <is>
          <t xml:space="preserve">   Adjusted EBITDA margin %</t>
        </is>
      </c>
      <c r="AA13" s="88" t="n">
        <v>0.398395721925134</v>
      </c>
      <c r="AB13" s="89" t="n">
        <v>0.380518113573428</v>
      </c>
      <c r="AC13" s="89" t="n">
        <v>0.387421068145918</v>
      </c>
      <c r="AD13" s="89" t="n">
        <v>0.394383070894827</v>
      </c>
      <c r="AE13" s="89" t="n">
        <v>0.401241729440048</v>
      </c>
      <c r="AF13" s="89" t="n">
        <v>0.408189450535744</v>
      </c>
      <c r="AH13" s="90" t="n">
        <v>0.405844934550039</v>
      </c>
      <c r="AI13" s="90" t="n">
        <v>0.402693602693603</v>
      </c>
      <c r="AJ13" s="90" t="n">
        <v>0.4085554866708</v>
      </c>
    </row>
    <row r="15" ht="15" customHeight="1" s="251">
      <c r="B15" s="79" t="inlineStr">
        <is>
          <t>Operating Profit (GAAP)</t>
        </is>
      </c>
      <c r="C15" s="80">
        <f>Model!W119</f>
        <v>338.5</v>
      </c>
      <c r="D15" s="81">
        <f>Model!X119</f>
        <v>461.573866104411</v>
      </c>
      <c r="E15" s="81">
        <f>Model!Y119</f>
        <v>539.453276509109</v>
      </c>
      <c r="F15" s="81">
        <f>Model!Z119</f>
        <v>610.120517237873</v>
      </c>
      <c r="G15" s="81">
        <f>Model!AA119</f>
        <v>687.467654862167</v>
      </c>
      <c r="H15" s="81">
        <f>Model!AB119</f>
        <v>767.957465547671</v>
      </c>
      <c r="I15" s="292">
        <f>IFERROR((H15/C15)^(1/5)-1,"n/m")</f>
        <v>0.17802823221873</v>
      </c>
      <c r="N15" s="79" t="inlineStr">
        <is>
          <t>Operating Profit (GAAP)</t>
        </is>
      </c>
      <c r="O15" s="80" t="n">
        <v>346</v>
      </c>
      <c r="P15" s="81" t="n">
        <v>504.403576497035</v>
      </c>
      <c r="Q15" s="81" t="n">
        <v>604.764495318096</v>
      </c>
      <c r="R15" s="81" t="n">
        <v>701.506799181001</v>
      </c>
      <c r="S15" s="81" t="n">
        <v>808.909487223726</v>
      </c>
      <c r="T15" s="81" t="n">
        <v>923.690909898261</v>
      </c>
      <c r="U15" s="292" t="n">
        <v>0.216998699635684</v>
      </c>
      <c r="Z15" s="79" t="inlineStr">
        <is>
          <t>Operating Profit (GAAP)</t>
        </is>
      </c>
      <c r="AA15" s="80" t="n">
        <v>331</v>
      </c>
      <c r="AB15" s="81" t="n">
        <v>384.994878730673</v>
      </c>
      <c r="AC15" s="81" t="n">
        <v>435.898650442992</v>
      </c>
      <c r="AD15" s="81" t="n">
        <v>476.408708730897</v>
      </c>
      <c r="AE15" s="81" t="n">
        <v>520.168410646265</v>
      </c>
      <c r="AF15" s="81" t="n">
        <v>563.632754337003</v>
      </c>
      <c r="AG15" s="292" t="n">
        <v>0.112329988270825</v>
      </c>
    </row>
    <row r="16" ht="15" customHeight="1" s="251">
      <c r="B16" s="83" t="inlineStr">
        <is>
          <t xml:space="preserve">   Operating profit y/y %</t>
        </is>
      </c>
      <c r="C16" s="293" t="n"/>
      <c r="D16" s="294">
        <f>IFERROR(D15/C15-1,"")</f>
        <v>0.3635860150795</v>
      </c>
      <c r="E16" s="294">
        <f>IFERROR(E15/D15-1,"")</f>
        <v>0.168725779607031</v>
      </c>
      <c r="F16" s="294">
        <f>IFERROR(F15/E15-1,"")</f>
        <v>0.130997889541173</v>
      </c>
      <c r="G16" s="294">
        <f>IFERROR(G15/F15-1,"")</f>
        <v>0.126773539717135</v>
      </c>
      <c r="H16" s="294">
        <f>IFERROR(H15/G15-1,"")</f>
        <v>0.117081596663107</v>
      </c>
      <c r="N16" s="83" t="inlineStr">
        <is>
          <t xml:space="preserve">   Operating profit y/y %</t>
        </is>
      </c>
      <c r="O16" s="293" t="n"/>
      <c r="P16" s="294" t="n">
        <v>0.457813804904725</v>
      </c>
      <c r="Q16" s="294" t="n">
        <v>0.198969482964502</v>
      </c>
      <c r="R16" s="294" t="n">
        <v>0.159966903830922</v>
      </c>
      <c r="S16" s="294" t="n">
        <v>0.153102846854964</v>
      </c>
      <c r="T16" s="294" t="n">
        <v>0.141896497058624</v>
      </c>
      <c r="Z16" s="83" t="inlineStr">
        <is>
          <t xml:space="preserve">   Operating profit y/y %</t>
        </is>
      </c>
      <c r="AA16" s="293" t="n"/>
      <c r="AB16" s="294" t="n">
        <v>0.163126521844934</v>
      </c>
      <c r="AC16" s="294" t="n">
        <v>0.132219347644696</v>
      </c>
      <c r="AD16" s="294" t="n">
        <v>0.0929345806570778</v>
      </c>
      <c r="AE16" s="294" t="n">
        <v>0.0918532787361073</v>
      </c>
      <c r="AF16" s="294" t="n">
        <v>0.083558214611182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0.180292942743009</v>
      </c>
      <c r="D17" s="89">
        <f>IFERROR(D15/D9,"")</f>
        <v>0.229824436526807</v>
      </c>
      <c r="E17" s="89">
        <f>IFERROR(E15/E9,"")</f>
        <v>0.251365440881578</v>
      </c>
      <c r="F17" s="89">
        <f>IFERROR(F15/F9,"")</f>
        <v>0.266924285864245</v>
      </c>
      <c r="G17" s="89">
        <f>IFERROR(G15/G9,"")</f>
        <v>0.282875888601471</v>
      </c>
      <c r="H17" s="89">
        <f>IFERROR(H15/H9,"")</f>
        <v>0.29798890907104</v>
      </c>
      <c r="J17" s="90">
        <f>IFERROR(AVERAGE(Model!H201,Model!M201,Model!R201),"")</f>
        <v>0.179801987240714</v>
      </c>
      <c r="K17" s="90">
        <f>IFERROR(MIN(Model!H201,Model!M201,Model!R201),"")</f>
        <v>0.160942760942761</v>
      </c>
      <c r="L17" s="90">
        <f>IFERROR(MAX(Model!H201,Model!M201,Model!R201),"")</f>
        <v>0.193714285714286</v>
      </c>
      <c r="N17" s="83" t="inlineStr">
        <is>
          <t xml:space="preserve">   Operating margin (GAAP) %</t>
        </is>
      </c>
      <c r="O17" s="88" t="n">
        <v>0.183554376657825</v>
      </c>
      <c r="P17" s="89" t="n">
        <v>0.244370106559895</v>
      </c>
      <c r="Q17" s="89" t="n">
        <v>0.266742614602904</v>
      </c>
      <c r="R17" s="89" t="n">
        <v>0.282876990963336</v>
      </c>
      <c r="S17" s="89" t="n">
        <v>0.298971460174489</v>
      </c>
      <c r="T17" s="89" t="n">
        <v>0.31394269949669</v>
      </c>
      <c r="V17" s="90" t="n">
        <v>0.179801987240714</v>
      </c>
      <c r="W17" s="90" t="n">
        <v>0.160942760942761</v>
      </c>
      <c r="X17" s="90" t="n">
        <v>0.193714285714286</v>
      </c>
      <c r="Z17" s="83" t="inlineStr">
        <is>
          <t xml:space="preserve">   Operating margin (GAAP) %</t>
        </is>
      </c>
      <c r="AA17" s="88" t="n">
        <v>0.177005347593583</v>
      </c>
      <c r="AB17" s="89" t="n">
        <v>0.19801666185027</v>
      </c>
      <c r="AC17" s="89" t="n">
        <v>0.21587071283757</v>
      </c>
      <c r="AD17" s="89" t="n">
        <v>0.227935624855155</v>
      </c>
      <c r="AE17" s="89" t="n">
        <v>0.240863790545176</v>
      </c>
      <c r="AF17" s="89" t="n">
        <v>0.253278041436127</v>
      </c>
      <c r="AH17" s="90" t="n">
        <v>0.179801987240714</v>
      </c>
      <c r="AI17" s="90" t="n">
        <v>0.160942760942761</v>
      </c>
      <c r="AJ17" s="90" t="n">
        <v>0.193714285714286</v>
      </c>
    </row>
    <row r="19" ht="15" customHeight="1" s="251">
      <c r="B19" s="79" t="inlineStr">
        <is>
          <t>Adjusted Net Income (model definition)</t>
        </is>
      </c>
      <c r="C19" s="80">
        <f>Model!W183</f>
        <v>462.485163934426</v>
      </c>
      <c r="D19" s="81">
        <f>Model!X183</f>
        <v>480.453445955124</v>
      </c>
      <c r="E19" s="81">
        <f>Model!Y183</f>
        <v>528.637602974136</v>
      </c>
      <c r="F19" s="81">
        <f>Model!Z183</f>
        <v>576.192935285552</v>
      </c>
      <c r="G19" s="81">
        <f>Model!AA183</f>
        <v>621.740283386569</v>
      </c>
      <c r="H19" s="81">
        <f>Model!AB183</f>
        <v>671.177347114304</v>
      </c>
      <c r="I19" s="292">
        <f>IFERROR((H19/C19)^(1/5)-1,"n/m")</f>
        <v>0.0773278747882551</v>
      </c>
      <c r="N19" s="79" t="inlineStr">
        <is>
          <t>Adjusted Net Income (model definition)</t>
        </is>
      </c>
      <c r="O19" s="80" t="n">
        <v>467.833297872341</v>
      </c>
      <c r="P19" s="81" t="n">
        <v>512.148093450348</v>
      </c>
      <c r="Q19" s="81" t="n">
        <v>560.340559673185</v>
      </c>
      <c r="R19" s="81" t="n">
        <v>621.970811386002</v>
      </c>
      <c r="S19" s="81" t="n">
        <v>686.286140703806</v>
      </c>
      <c r="T19" s="81" t="n">
        <v>757.2421880113729</v>
      </c>
      <c r="U19" s="292" t="n">
        <v>0.101104999351234</v>
      </c>
      <c r="Z19" s="79" t="inlineStr">
        <is>
          <t>Adjusted Net Income (model definition)</t>
        </is>
      </c>
      <c r="AA19" s="80" t="n">
        <v>457.135730337079</v>
      </c>
      <c r="AB19" s="81" t="n">
        <v>425.581398751738</v>
      </c>
      <c r="AC19" s="81" t="n">
        <v>462.649404521718</v>
      </c>
      <c r="AD19" s="81" t="n">
        <v>493.535950557443</v>
      </c>
      <c r="AE19" s="81" t="n">
        <v>519.247208729883</v>
      </c>
      <c r="AF19" s="81" t="n">
        <v>546.885165901756</v>
      </c>
      <c r="AG19" s="292" t="n">
        <v>0.0365021210594461</v>
      </c>
    </row>
    <row r="21" ht="15" customHeight="1" s="251">
      <c r="B21" s="79" t="inlineStr">
        <is>
          <t>FDSO (m)</t>
        </is>
      </c>
      <c r="C21" s="91">
        <f>Model!W133</f>
        <v>295.587986666667</v>
      </c>
      <c r="D21" s="92">
        <f>Model!X133</f>
        <v>285.665445880909</v>
      </c>
      <c r="E21" s="92">
        <f>Model!Y133</f>
        <v>260.485614403053</v>
      </c>
      <c r="F21" s="92">
        <f>Model!Z133</f>
        <v>231.641191516282</v>
      </c>
      <c r="G21" s="92">
        <f>Model!AA133</f>
        <v>202.516824668159</v>
      </c>
      <c r="H21" s="92">
        <f>Model!AB133</f>
        <v>173.256370438827</v>
      </c>
      <c r="I21" s="292">
        <f>IFERROR((H21/C21)^(1/5)-1,"n/m")</f>
        <v>-0.101329498184105</v>
      </c>
      <c r="N21" s="79" t="inlineStr">
        <is>
          <t>FDSO (m)</t>
        </is>
      </c>
      <c r="O21" s="91" t="n">
        <v>295.587986666667</v>
      </c>
      <c r="P21" s="92" t="n">
        <v>273.799936088371</v>
      </c>
      <c r="Q21" s="92" t="n">
        <v>235.732301389748</v>
      </c>
      <c r="R21" s="92" t="n">
        <v>204.319969944394</v>
      </c>
      <c r="S21" s="92" t="n">
        <v>171.529492927827</v>
      </c>
      <c r="T21" s="92" t="n">
        <v>137.478394476081</v>
      </c>
      <c r="U21" s="292" t="n">
        <v>-0.141956048097991</v>
      </c>
      <c r="Z21" s="79" t="inlineStr">
        <is>
          <t>FDSO (m)</t>
        </is>
      </c>
      <c r="AA21" s="91" t="n">
        <v>295.587986666667</v>
      </c>
      <c r="AB21" s="92" t="n">
        <v>296.92132</v>
      </c>
      <c r="AC21" s="92" t="n">
        <v>290.193998715689</v>
      </c>
      <c r="AD21" s="92" t="n">
        <v>272.507466049559</v>
      </c>
      <c r="AE21" s="92" t="n">
        <v>251.633546182918</v>
      </c>
      <c r="AF21" s="92" t="n">
        <v>231.249694945807</v>
      </c>
      <c r="AG21" s="292" t="n">
        <v>-0.0479080836854545</v>
      </c>
    </row>
    <row r="23" ht="15" customHeight="1" s="251">
      <c r="B23" s="79" t="inlineStr">
        <is>
          <t>Adjusted EPS — Diluted ($)</t>
        </is>
      </c>
      <c r="C23" s="93">
        <f>Model!W185</f>
        <v>1.56462774130252</v>
      </c>
      <c r="D23" s="94">
        <f>Model!X185</f>
        <v>1.6818745594993</v>
      </c>
      <c r="E23" s="94">
        <f>Model!Y185</f>
        <v>2.02943108465164</v>
      </c>
      <c r="F23" s="94">
        <f>Model!Z185</f>
        <v>2.48743727967335</v>
      </c>
      <c r="G23" s="94">
        <f>Model!AA185</f>
        <v>3.07006731122387</v>
      </c>
      <c r="H23" s="94">
        <f>Model!AB185</f>
        <v>3.87389707757547</v>
      </c>
      <c r="I23" s="292">
        <f>IFERROR((H23/C23)^(1/5)-1,"n/m")</f>
        <v>0.198801866325151</v>
      </c>
      <c r="N23" s="79" t="inlineStr">
        <is>
          <t>Adjusted EPS — Diluted ($)</t>
        </is>
      </c>
      <c r="O23" s="93" t="n">
        <v>1.58272094596292</v>
      </c>
      <c r="P23" s="94" t="n">
        <v>1.8705194046687</v>
      </c>
      <c r="Q23" s="94" t="n">
        <v>2.37702069835031</v>
      </c>
      <c r="R23" s="94" t="n">
        <v>3.04410191306936</v>
      </c>
      <c r="S23" s="94" t="n">
        <v>4.00098040861445</v>
      </c>
      <c r="T23" s="94" t="n">
        <v>5.50808140360645</v>
      </c>
      <c r="U23" s="292" t="n">
        <v>0.28327342312761</v>
      </c>
      <c r="Z23" s="79" t="inlineStr">
        <is>
          <t>Adjusted EPS — Diluted ($)</t>
        </is>
      </c>
      <c r="AA23" s="93" t="n">
        <v>1.54653013978064</v>
      </c>
      <c r="AB23" s="94" t="n">
        <v>1.43331371001496</v>
      </c>
      <c r="AC23" s="94" t="n">
        <v>1.5942762654268</v>
      </c>
      <c r="AD23" s="94" t="n">
        <v>1.81109148205021</v>
      </c>
      <c r="AE23" s="94" t="n">
        <v>2.06350550873066</v>
      </c>
      <c r="AF23" s="94" t="n">
        <v>2.36491194520242</v>
      </c>
      <c r="AG23" s="292" t="n">
        <v>0.088657621494828</v>
      </c>
    </row>
    <row r="24" ht="15" customHeight="1" s="251">
      <c r="B24" s="83" t="inlineStr">
        <is>
          <t xml:space="preserve">   EPS y/y %</t>
        </is>
      </c>
      <c r="C24" s="293" t="n"/>
      <c r="D24" s="294">
        <f>IFERROR(D23/C23-1,"")</f>
        <v>0.0749359193255594</v>
      </c>
      <c r="E24" s="294">
        <f>IFERROR(E23/D23-1,"")</f>
        <v>0.206648303935228</v>
      </c>
      <c r="F24" s="294">
        <f>IFERROR(F23/E23-1,"")</f>
        <v>0.22568206355247</v>
      </c>
      <c r="G24" s="294">
        <f>IFERROR(G23/F23-1,"")</f>
        <v>0.234229034159621</v>
      </c>
      <c r="H24" s="294">
        <f>IFERROR(H23/G23-1,"")</f>
        <v>0.261828059408625</v>
      </c>
      <c r="N24" s="83" t="inlineStr">
        <is>
          <t xml:space="preserve">   EPS y/y %</t>
        </is>
      </c>
      <c r="O24" s="293" t="n"/>
      <c r="P24" s="294" t="n">
        <v>0.18183777717726</v>
      </c>
      <c r="Q24" s="294" t="n">
        <v>0.270781095570252</v>
      </c>
      <c r="R24" s="294" t="n">
        <v>0.280637528811597</v>
      </c>
      <c r="S24" s="294" t="n">
        <v>0.31433852179419</v>
      </c>
      <c r="T24" s="294" t="n">
        <v>0.376682922952356</v>
      </c>
      <c r="Z24" s="83" t="inlineStr">
        <is>
          <t xml:space="preserve">   EPS y/y %</t>
        </is>
      </c>
      <c r="AA24" s="293" t="n"/>
      <c r="AB24" s="294" t="n">
        <v>-0.07320673994866091</v>
      </c>
      <c r="AC24" s="294" t="n">
        <v>0.112300994741874</v>
      </c>
      <c r="AD24" s="294" t="n">
        <v>0.135996013567553</v>
      </c>
      <c r="AE24" s="294" t="n">
        <v>0.139371218506703</v>
      </c>
      <c r="AF24" s="294" t="n">
        <v>0.146065244408855</v>
      </c>
    </row>
    <row r="26" ht="15" customHeight="1" s="251">
      <c r="B26" s="83" t="inlineStr">
        <is>
          <t>P / E (x) — assumed (adjusted EPS)</t>
        </is>
      </c>
      <c r="C26" s="295" t="n"/>
      <c r="D26" s="295" t="n"/>
      <c r="E26" s="295" t="n"/>
      <c r="F26" s="295" t="n"/>
      <c r="G26" s="295" t="n">
        <v>13</v>
      </c>
      <c r="H26" s="295" t="n">
        <v>13</v>
      </c>
      <c r="N26" s="83" t="inlineStr">
        <is>
          <t>P / E (x) — assumed (adjusted EPS)</t>
        </is>
      </c>
      <c r="O26" s="295" t="n"/>
      <c r="P26" s="295" t="n"/>
      <c r="Q26" s="295" t="n"/>
      <c r="R26" s="295" t="n"/>
      <c r="S26" s="295" t="n">
        <v>15</v>
      </c>
      <c r="T26" s="295" t="n">
        <v>15</v>
      </c>
      <c r="Z26" s="83" t="inlineStr">
        <is>
          <t>P / E (x) — assumed (adjusted EPS)</t>
        </is>
      </c>
      <c r="AA26" s="295" t="n"/>
      <c r="AB26" s="295" t="n"/>
      <c r="AC26" s="295" t="n"/>
      <c r="AD26" s="295" t="n">
        <v>10</v>
      </c>
      <c r="AE26" s="295" t="n">
        <v>10</v>
      </c>
      <c r="AF26" s="295" t="n">
        <v>10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39.9108750459103</v>
      </c>
      <c r="H27" s="96">
        <f>H26*H23</f>
        <v>50.3606620084811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60.0147061292168</v>
      </c>
      <c r="T27" s="96">
        <f>T26*T23</f>
        <v>82.6212210540968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18.1109148205021</v>
      </c>
      <c r="AE27" s="96">
        <f>AE26*AE23</f>
        <v>20.6350550873066</v>
      </c>
      <c r="AF27" s="96">
        <f>AF26*AF23</f>
        <v>23.6491194520242</v>
      </c>
    </row>
    <row r="28" ht="15" customHeight="1" s="251">
      <c r="B28" t="inlineStr">
        <is>
          <t xml:space="preserve">   Upside / (Downside) vs current</t>
        </is>
      </c>
      <c r="E28" s="296" t="n"/>
      <c r="F28" s="296" t="n"/>
      <c r="G28" s="296">
        <f>IFERROR(G27/$K$2-1,"")</f>
        <v>1.21727083588391</v>
      </c>
      <c r="H28" s="296">
        <f>IFERROR(H27/$K$2-1,"")</f>
        <v>1.79781455602673</v>
      </c>
      <c r="N28" t="inlineStr">
        <is>
          <t xml:space="preserve">   Upside / (Downside) vs current</t>
        </is>
      </c>
      <c r="O28" s="296" t="n"/>
      <c r="P28" s="296" t="n"/>
      <c r="Q28" s="296" t="n"/>
      <c r="R28" s="296" t="n"/>
      <c r="S28" s="296">
        <f>IFERROR(S27/$K$2-1,"")</f>
        <v>2.33415034051204</v>
      </c>
      <c r="T28" s="296">
        <f>IFERROR(T27/$K$2-1,"")</f>
        <v>3.59006783633871</v>
      </c>
      <c r="Z28" t="inlineStr">
        <is>
          <t xml:space="preserve">   Upside / (Downside) vs current</t>
        </is>
      </c>
      <c r="AA28" s="296" t="n"/>
      <c r="AB28" s="296" t="n"/>
      <c r="AC28" s="296" t="n"/>
      <c r="AD28" s="296">
        <f>IFERROR(AD27/$K$2-1,"")</f>
        <v>0.00616193447233893</v>
      </c>
      <c r="AE28" s="296">
        <f>IFERROR(AE27/$K$2-1,"")</f>
        <v>0.146391949294811</v>
      </c>
      <c r="AF28" s="296">
        <f>IFERROR(AF27/$K$2-1,"")</f>
        <v>0.3138399695569</v>
      </c>
    </row>
    <row r="29" ht="15" customHeight="1" s="251">
      <c r="B29" s="75" t="inlineStr">
        <is>
          <t>IRR (to 31-Dec of Y-1)</t>
        </is>
      </c>
      <c r="C29" s="297" t="n"/>
      <c r="D29" s="297" t="n"/>
      <c r="E29" s="297" t="n"/>
      <c r="F29" s="297" t="n"/>
      <c r="G29" s="297">
        <f>IFERROR((G27/$K$2)^(1/((DATE(2030-1,12,31)-$K$3)/365.25))-1,"")</f>
        <v>0.280849563707268</v>
      </c>
      <c r="H29" s="297">
        <f>IFERROR((H27/$K$2)^(1/((DATE(2031-1,12,31)-$K$3)/365.25))-1,"")</f>
        <v>0.276363639446305</v>
      </c>
      <c r="N29" s="75" t="inlineStr">
        <is>
          <t>IRR (to 31-Dec of Y-1)</t>
        </is>
      </c>
      <c r="O29" s="297" t="n"/>
      <c r="P29" s="297" t="n"/>
      <c r="Q29" s="297" t="n"/>
      <c r="R29" s="297" t="n"/>
      <c r="S29" s="297">
        <f>IFERROR((S27/$K$2)^(1/((DATE(2030-1,12,31)-$K$3)/365.25))-1,"")</f>
        <v>0.454020398112857</v>
      </c>
      <c r="T29" s="297">
        <f>IFERROR((T27/$K$2)^(1/((DATE(2031-1,12,31)-$K$3)/365.25))-1,"")</f>
        <v>0.435380893069446</v>
      </c>
      <c r="Z29" s="75" t="inlineStr">
        <is>
          <t>IRR (to 31-Dec of Y-1)</t>
        </is>
      </c>
      <c r="AA29" s="297" t="n"/>
      <c r="AB29" s="297" t="n"/>
      <c r="AC29" s="297" t="n"/>
      <c r="AD29" s="297">
        <f>IFERROR((AD27/$K$2)^(1/((DATE(2029-1,12,31)-$K$3)/365.25))-1,"")</f>
        <v>0.00277389044538778</v>
      </c>
      <c r="AE29" s="297">
        <f>IFERROR((AE27/$K$2)^(1/((DATE(2030-1,12,31)-$K$3)/365.25))-1,"")</f>
        <v>0.0433830225537779</v>
      </c>
      <c r="AF29" s="297">
        <f>IFERROR((AF27/$K$2)^(1/((DATE(2031-1,12,31)-$K$3)/365.25))-1,"")</f>
        <v>0.0668794471552403</v>
      </c>
    </row>
    <row r="31" ht="15" customHeight="1" s="251">
      <c r="B31" s="79" t="inlineStr">
        <is>
          <t>Free Cash Flow</t>
        </is>
      </c>
      <c r="C31" s="80">
        <f>Model!W232</f>
        <v>392.696404109589</v>
      </c>
      <c r="D31" s="81">
        <f>Model!X232</f>
        <v>492.134135634322</v>
      </c>
      <c r="E31" s="81">
        <f>Model!Y232</f>
        <v>548.595989592672</v>
      </c>
      <c r="F31" s="81">
        <f>Model!Z232</f>
        <v>597.175226358635</v>
      </c>
      <c r="G31" s="81">
        <f>Model!AA232</f>
        <v>642.996218132023</v>
      </c>
      <c r="H31" s="81">
        <f>Model!AB232</f>
        <v>692.661731288786</v>
      </c>
      <c r="I31" s="292">
        <f>IFERROR((H31/C31)^(1/5)-1,"n/m")</f>
        <v>0.120192998572343</v>
      </c>
      <c r="N31" s="79" t="inlineStr">
        <is>
          <t>Free Cash Flow</t>
        </is>
      </c>
      <c r="O31" s="80" t="n">
        <v>398.200890410959</v>
      </c>
      <c r="P31" s="81" t="n">
        <v>525.752830071569</v>
      </c>
      <c r="Q31" s="81" t="n">
        <v>583.852177142541</v>
      </c>
      <c r="R31" s="81" t="n">
        <v>647.959853255713</v>
      </c>
      <c r="S31" s="81" t="n">
        <v>714.072942197701</v>
      </c>
      <c r="T31" s="81" t="n">
        <v>786.849654718939</v>
      </c>
      <c r="U31" s="292" t="n">
        <v>0.145929517449525</v>
      </c>
      <c r="Z31" s="79" t="inlineStr">
        <is>
          <t>Free Cash Flow</t>
        </is>
      </c>
      <c r="AA31" s="80" t="n">
        <v>387.191917808219</v>
      </c>
      <c r="AB31" s="81" t="n">
        <v>435.458216831378</v>
      </c>
      <c r="AC31" s="81" t="n">
        <v>480.219144150899</v>
      </c>
      <c r="AD31" s="81" t="n">
        <v>511.502070171008</v>
      </c>
      <c r="AE31" s="81" t="n">
        <v>536.8124677878041</v>
      </c>
      <c r="AF31" s="81" t="n">
        <v>563.966271722298</v>
      </c>
      <c r="AG31" s="292" t="n">
        <v>0.0781156979465176</v>
      </c>
    </row>
    <row r="32" ht="15" customHeight="1" s="251">
      <c r="B32" s="83" t="inlineStr">
        <is>
          <t xml:space="preserve">   FCF %</t>
        </is>
      </c>
      <c r="C32" s="88">
        <f>IFERROR(C31/C9,"")</f>
        <v>0.209159203254109</v>
      </c>
      <c r="D32" s="89">
        <f>IFERROR(D31/D9,"")</f>
        <v>0.245040845514812</v>
      </c>
      <c r="E32" s="89">
        <f>IFERROR(E31/E9,"")</f>
        <v>0.255625609843708</v>
      </c>
      <c r="F32" s="89">
        <f>IFERROR(F31/F9,"")</f>
        <v>0.261260794102177</v>
      </c>
      <c r="G32" s="89">
        <f>IFERROR(G31/G9,"")</f>
        <v>0.264576995419441</v>
      </c>
      <c r="H32" s="89">
        <f>IFERROR(H31/H9,"")</f>
        <v>0.268772064758566</v>
      </c>
      <c r="J32" s="90">
        <f>IFERROR(AVERAGE(Model!H236,Model!M236,Model!R236),"")</f>
        <v>0.257126166157784</v>
      </c>
      <c r="K32" s="90">
        <f>IFERROR(MIN(Model!H236,Model!M236,Model!R236),"")</f>
        <v>0.252525252525253</v>
      </c>
      <c r="L32" s="90">
        <f>IFERROR(MAX(Model!H236,Model!M236,Model!R236),"")</f>
        <v>0.263428571428571</v>
      </c>
      <c r="N32" s="83" t="inlineStr">
        <is>
          <t xml:space="preserve">   FCF %</t>
        </is>
      </c>
      <c r="O32" s="88" t="n">
        <v>0.211247156716689</v>
      </c>
      <c r="P32" s="89" t="n">
        <v>0.254713251640694</v>
      </c>
      <c r="Q32" s="89" t="n">
        <v>0.257518848209969</v>
      </c>
      <c r="R32" s="89" t="n">
        <v>0.26128461444424</v>
      </c>
      <c r="S32" s="89" t="n">
        <v>0.263920047387074</v>
      </c>
      <c r="T32" s="89" t="n">
        <v>0.267433296196138</v>
      </c>
      <c r="V32" s="90" t="n">
        <v>0.257126166157784</v>
      </c>
      <c r="W32" s="90" t="n">
        <v>0.252525252525253</v>
      </c>
      <c r="X32" s="90" t="n">
        <v>0.263428571428571</v>
      </c>
      <c r="Z32" s="83" t="inlineStr">
        <is>
          <t xml:space="preserve">   FCF %</t>
        </is>
      </c>
      <c r="AA32" s="88" t="n">
        <v>0.207054501501721</v>
      </c>
      <c r="AB32" s="89" t="n">
        <v>0.223971764914157</v>
      </c>
      <c r="AC32" s="89" t="n">
        <v>0.237819614400619</v>
      </c>
      <c r="AD32" s="89" t="n">
        <v>0.244725887336771</v>
      </c>
      <c r="AE32" s="89" t="n">
        <v>0.24857081506091</v>
      </c>
      <c r="AF32" s="89" t="n">
        <v>0.253427913191242</v>
      </c>
      <c r="AH32" s="90" t="n">
        <v>0.257126166157784</v>
      </c>
      <c r="AI32" s="90" t="n">
        <v>0.252525252525253</v>
      </c>
      <c r="AJ32" s="90" t="n">
        <v>0.263428571428571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1.32852626569168</v>
      </c>
      <c r="D33" s="100">
        <f>IFERROR(D31/D21,"")</f>
        <v>1.72276396298728</v>
      </c>
      <c r="E33" s="100">
        <f>IFERROR(E31/E21,"")</f>
        <v>2.10605100343016</v>
      </c>
      <c r="F33" s="100">
        <f>IFERROR(F31/F21,"")</f>
        <v>2.57801828098722</v>
      </c>
      <c r="G33" s="100">
        <f>IFERROR(G31/G21,"")</f>
        <v>3.17502616972999</v>
      </c>
      <c r="H33" s="100">
        <f>IFERROR(H31/H21,"")</f>
        <v>3.99790050740645</v>
      </c>
      <c r="N33" s="83" t="inlineStr">
        <is>
          <t xml:space="preserve">   FCF / share ($)</t>
        </is>
      </c>
      <c r="O33" s="99" t="n">
        <v>1.3471484240664</v>
      </c>
      <c r="P33" s="100" t="n">
        <v>1.92020800874796</v>
      </c>
      <c r="Q33" s="100" t="n">
        <v>2.47675933124341</v>
      </c>
      <c r="R33" s="100" t="n">
        <v>3.17129966998359</v>
      </c>
      <c r="S33" s="100" t="n">
        <v>4.16297471652968</v>
      </c>
      <c r="T33" s="100" t="n">
        <v>5.72344227409376</v>
      </c>
      <c r="Z33" s="83" t="inlineStr">
        <is>
          <t xml:space="preserve">   FCF / share ($)</t>
        </is>
      </c>
      <c r="AA33" s="99" t="n">
        <v>1.30990410731697</v>
      </c>
      <c r="AB33" s="100" t="n">
        <v>1.46657780192873</v>
      </c>
      <c r="AC33" s="100" t="n">
        <v>1.65482107237298</v>
      </c>
      <c r="AD33" s="100" t="n">
        <v>1.87702038988534</v>
      </c>
      <c r="AE33" s="100" t="n">
        <v>2.13331042673294</v>
      </c>
      <c r="AF33" s="100" t="n">
        <v>2.43877628402693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0.0795529079750242</v>
      </c>
      <c r="H34" s="101">
        <f>IFERROR(H33/H$27,"")</f>
        <v>0.0793853843051781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0.069365910208182</v>
      </c>
      <c r="T34" s="101">
        <f>IFERROR(T33/T$27,"")</f>
        <v>0.0692732714558443</v>
      </c>
      <c r="Z34" s="83" t="inlineStr">
        <is>
          <t xml:space="preserve">   FCF Yield (on PT)</t>
        </is>
      </c>
      <c r="AC34" s="101" t="n"/>
      <c r="AD34" s="101">
        <f>IFERROR(AD33/AD$27,"")</f>
        <v>0.103640285898783</v>
      </c>
      <c r="AE34" s="101">
        <f>IFERROR(AE33/AE$27,"")</f>
        <v>0.103382831676821</v>
      </c>
      <c r="AF34" s="101">
        <f>IFERROR(AF33/AF$27,"")</f>
        <v>0.103123344147098</v>
      </c>
    </row>
    <row r="35" ht="15" customHeight="1" s="251">
      <c r="B35" s="79" t="inlineStr">
        <is>
          <t>Adjusted EBITDA (leverage basis)</t>
        </is>
      </c>
      <c r="C35" s="80">
        <f>Model!W153</f>
        <v>752.5</v>
      </c>
      <c r="D35" s="81">
        <f>Model!X153</f>
        <v>817.749760603175</v>
      </c>
      <c r="E35" s="81">
        <f>Model!Y153</f>
        <v>888.521201387566</v>
      </c>
      <c r="F35" s="81">
        <f>Model!Z153</f>
        <v>962.121135917102</v>
      </c>
      <c r="G35" s="81">
        <f>Model!AA153</f>
        <v>1039.50353785481</v>
      </c>
      <c r="H35" s="81">
        <f>Model!AB153</f>
        <v>1120.07728774769</v>
      </c>
      <c r="I35" s="292">
        <f>IFERROR((H35/C35)^(1/5)-1,"n/m")</f>
        <v>0.0828001252610775</v>
      </c>
      <c r="N35" s="79" t="inlineStr">
        <is>
          <t>Adjusted EBITDA (leverage basis)</t>
        </is>
      </c>
      <c r="O35" s="80" t="n">
        <v>760</v>
      </c>
      <c r="P35" s="81" t="n">
        <v>863.0829444806481</v>
      </c>
      <c r="Q35" s="81" t="n">
        <v>960.376139301515</v>
      </c>
      <c r="R35" s="81" t="n">
        <v>1064.25137693062</v>
      </c>
      <c r="S35" s="81" t="n">
        <v>1176.06128484052</v>
      </c>
      <c r="T35" s="81" t="n">
        <v>1295.47769181407</v>
      </c>
      <c r="U35" s="292" t="n">
        <v>0.112559558510154</v>
      </c>
      <c r="Z35" s="79" t="inlineStr">
        <is>
          <t>Adjusted EBITDA (leverage basis)</t>
        </is>
      </c>
      <c r="AA35" s="80" t="n">
        <v>745</v>
      </c>
      <c r="AB35" s="81" t="n">
        <v>739.8242330779231</v>
      </c>
      <c r="AC35" s="81" t="n">
        <v>782.30306713749</v>
      </c>
      <c r="AD35" s="81" t="n">
        <v>824.3008510395269</v>
      </c>
      <c r="AE35" s="81" t="n">
        <v>866.519920721097</v>
      </c>
      <c r="AF35" s="81" t="n">
        <v>908.365142877137</v>
      </c>
      <c r="AG35" s="292" t="n">
        <v>0.0404490968345428</v>
      </c>
    </row>
    <row r="36" ht="15" customHeight="1" s="251">
      <c r="B36" s="83" t="inlineStr">
        <is>
          <t xml:space="preserve">   Adjusted EBITDA % of revenue</t>
        </is>
      </c>
      <c r="C36" s="88">
        <f>IFERROR(C35/C9,"")</f>
        <v>0.400798934753662</v>
      </c>
      <c r="D36" s="89">
        <f>IFERROR(D35/D9,"")</f>
        <v>0.407169668284563</v>
      </c>
      <c r="E36" s="89">
        <f>IFERROR(E35/E9,"")</f>
        <v>0.414018290823457</v>
      </c>
      <c r="F36" s="89">
        <f>IFERROR(F35/F9,"")</f>
        <v>0.420922571629308</v>
      </c>
      <c r="G36" s="89">
        <f>IFERROR(G35/G9,"")</f>
        <v>0.427729922848528</v>
      </c>
      <c r="H36" s="89">
        <f>IFERROR(H35/H9,"")</f>
        <v>0.434621218003464</v>
      </c>
      <c r="J36" s="90">
        <f>IFERROR(AVERAGE(Model!H198,Model!M198,Model!R198),"")</f>
        <v>0.405844934550039</v>
      </c>
      <c r="K36" s="90">
        <f>IFERROR(MIN(Model!H198,Model!M198,Model!R198),"")</f>
        <v>0.402693602693603</v>
      </c>
      <c r="L36" s="90">
        <f>IFERROR(MAX(Model!H198,Model!M198,Model!R198),"")</f>
        <v>0.4085554866708</v>
      </c>
      <c r="N36" s="83" t="inlineStr">
        <is>
          <t xml:space="preserve">   Adjusted EBITDA % of revenue</t>
        </is>
      </c>
      <c r="O36" s="88" t="n">
        <v>0.403183023872679</v>
      </c>
      <c r="P36" s="89" t="n">
        <v>0.418140712993147</v>
      </c>
      <c r="Q36" s="89" t="n">
        <v>0.423591735928192</v>
      </c>
      <c r="R36" s="89" t="n">
        <v>0.429150832873173</v>
      </c>
      <c r="S36" s="89" t="n">
        <v>0.434670089962993</v>
      </c>
      <c r="T36" s="89" t="n">
        <v>0.440305040731263</v>
      </c>
      <c r="V36" s="90" t="n">
        <v>0.405844934550039</v>
      </c>
      <c r="W36" s="90" t="n">
        <v>0.402693602693603</v>
      </c>
      <c r="X36" s="90" t="n">
        <v>0.4085554866708</v>
      </c>
      <c r="Z36" s="83" t="inlineStr">
        <is>
          <t xml:space="preserve">   Adjusted EBITDA % of revenue</t>
        </is>
      </c>
      <c r="AA36" s="88" t="n">
        <v>0.398395721925134</v>
      </c>
      <c r="AB36" s="89" t="n">
        <v>0.380518113573428</v>
      </c>
      <c r="AC36" s="89" t="n">
        <v>0.387421068145918</v>
      </c>
      <c r="AD36" s="89" t="n">
        <v>0.394383070894827</v>
      </c>
      <c r="AE36" s="89" t="n">
        <v>0.401241729440048</v>
      </c>
      <c r="AF36" s="89" t="n">
        <v>0.408189450535744</v>
      </c>
      <c r="AH36" s="90" t="n">
        <v>0.405844934550039</v>
      </c>
      <c r="AI36" s="90" t="n">
        <v>0.402693602693603</v>
      </c>
      <c r="AJ36" s="90" t="n">
        <v>0.4085554866708</v>
      </c>
    </row>
    <row r="38" ht="15" customHeight="1" s="251">
      <c r="B38" s="79" t="inlineStr">
        <is>
          <t>Net Debt</t>
        </is>
      </c>
      <c r="C38" s="80">
        <f>Model!W346</f>
        <v>1616.20015429041</v>
      </c>
      <c r="D38" s="81">
        <f>Model!X346</f>
        <v>1635.49952120635</v>
      </c>
      <c r="E38" s="81">
        <f>Model!Y346</f>
        <v>1777.04240277513</v>
      </c>
      <c r="F38" s="81">
        <f>Model!Z346</f>
        <v>1924.2422718342</v>
      </c>
      <c r="G38" s="81">
        <f>Model!AA346</f>
        <v>2079.00707570963</v>
      </c>
      <c r="H38" s="81">
        <f>Model!AB346</f>
        <v>2240.15457549537</v>
      </c>
      <c r="N38" s="79" t="inlineStr">
        <is>
          <t>Net Debt</t>
        </is>
      </c>
      <c r="O38" s="80" t="n">
        <v>1610.69566798904</v>
      </c>
      <c r="P38" s="81" t="n">
        <v>2157.70736120162</v>
      </c>
      <c r="Q38" s="81" t="n">
        <v>2400.94034825379</v>
      </c>
      <c r="R38" s="81" t="n">
        <v>2660.62844232655</v>
      </c>
      <c r="S38" s="81" t="n">
        <v>2940.1532121013</v>
      </c>
      <c r="T38" s="81" t="n">
        <v>3238.69422953518</v>
      </c>
      <c r="Z38" s="79" t="inlineStr">
        <is>
          <t>Net Debt</t>
        </is>
      </c>
      <c r="AA38" s="80" t="n">
        <v>1621.70464059178</v>
      </c>
      <c r="AB38" s="81" t="n">
        <v>1260.0515405604</v>
      </c>
      <c r="AC38" s="81" t="n">
        <v>1173.45460070624</v>
      </c>
      <c r="AD38" s="81" t="n">
        <v>1236.45127655929</v>
      </c>
      <c r="AE38" s="81" t="n">
        <v>1299.77988108164</v>
      </c>
      <c r="AF38" s="81" t="n">
        <v>1362.54771431571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2.14777429141583</v>
      </c>
      <c r="D39" s="103">
        <f>IFERROR(D38/D35,"")</f>
        <v>2</v>
      </c>
      <c r="E39" s="103">
        <f>IFERROR(E38/E35,"")</f>
        <v>2</v>
      </c>
      <c r="F39" s="103">
        <f>IFERROR(F38/F35,"")</f>
        <v>2</v>
      </c>
      <c r="G39" s="103">
        <f>IFERROR(G38/G35,"")</f>
        <v>2</v>
      </c>
      <c r="H39" s="103">
        <f>IFERROR(H38/H35,"")</f>
        <v>2</v>
      </c>
      <c r="N39" s="83" t="inlineStr">
        <is>
          <t xml:space="preserve">   Net Debt / Adjusted EBITDA (x)</t>
        </is>
      </c>
      <c r="O39" s="102" t="n">
        <v>2.11933640524874</v>
      </c>
      <c r="P39" s="103" t="n">
        <v>2.5</v>
      </c>
      <c r="Q39" s="103" t="n">
        <v>2.5</v>
      </c>
      <c r="R39" s="103" t="n">
        <v>2.5</v>
      </c>
      <c r="S39" s="103" t="n">
        <v>2.5</v>
      </c>
      <c r="T39" s="103" t="n">
        <v>2.5</v>
      </c>
      <c r="Z39" s="83" t="inlineStr">
        <is>
          <t xml:space="preserve">   Net Debt / Adjusted EBITDA (x)</t>
        </is>
      </c>
      <c r="AA39" s="102" t="n">
        <v>2.17678475247219</v>
      </c>
      <c r="AB39" s="103" t="n">
        <v>1.70317689556904</v>
      </c>
      <c r="AC39" s="103" t="n">
        <v>1.5</v>
      </c>
      <c r="AD39" s="103" t="n">
        <v>1.5</v>
      </c>
      <c r="AE39" s="103" t="n">
        <v>1.5</v>
      </c>
      <c r="AF39" s="103" t="n">
        <v>1.5</v>
      </c>
    </row>
    <row r="40" ht="15" customHeight="1" s="251">
      <c r="B40" s="252" t="inlineStr">
        <is>
          <t xml:space="preserve">   Share repurchases ($m; 2026E = 2H)</t>
        </is>
      </c>
      <c r="C40" s="102" t="n"/>
      <c r="D40" s="248">
        <f>Model!X246</f>
        <v>437.628385750262</v>
      </c>
      <c r="E40" s="248">
        <f>Model!Y246</f>
        <v>618.264859077475</v>
      </c>
      <c r="F40" s="248">
        <f>Model!Z246</f>
        <v>676.637620963788</v>
      </c>
      <c r="G40" s="248">
        <f>Model!AA246</f>
        <v>734.855115706124</v>
      </c>
      <c r="H40" s="248">
        <f>Model!AB246</f>
        <v>796.428573456055</v>
      </c>
      <c r="N40" s="252" t="inlineStr">
        <is>
          <t xml:space="preserve">   Share repurchases ($m; 2026E = 2H)</t>
        </is>
      </c>
      <c r="O40" s="102" t="n"/>
      <c r="P40" s="248" t="n">
        <v>898.9594064841471</v>
      </c>
      <c r="Q40" s="248" t="n">
        <v>661.191369046171</v>
      </c>
      <c r="R40" s="248" t="n">
        <v>746.730698338981</v>
      </c>
      <c r="S40" s="248" t="n">
        <v>838.711878912117</v>
      </c>
      <c r="T40" s="248" t="n">
        <v>937.668279423888</v>
      </c>
      <c r="Z40" s="83" t="n"/>
      <c r="AA40" s="102" t="n"/>
      <c r="AB40" s="103" t="n">
        <v>0</v>
      </c>
      <c r="AC40" s="103" t="n">
        <v>316.075231656732</v>
      </c>
      <c r="AD40" s="103" t="n">
        <v>496.99620317572</v>
      </c>
      <c r="AE40" s="103" t="n">
        <v>524.780733715821</v>
      </c>
      <c r="AF40" s="103" t="n">
        <v>553.773793894813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Model!X245</f>
        <v>19.44</v>
      </c>
      <c r="E41" s="249">
        <f>Model!Y245</f>
        <v>20.9952</v>
      </c>
      <c r="F41" s="249">
        <f>Model!Z245</f>
        <v>22.674816</v>
      </c>
      <c r="G41" s="249">
        <f>Model!AA245</f>
        <v>24.48880128</v>
      </c>
      <c r="H41" s="249">
        <f>Model!AB245</f>
        <v>26.4479053824</v>
      </c>
      <c r="N41" s="252" t="inlineStr">
        <is>
          <t xml:space="preserve">   Implied avg buyback price ($)</t>
        </is>
      </c>
      <c r="O41" s="102" t="n"/>
      <c r="P41" s="249" t="n">
        <v>19.44</v>
      </c>
      <c r="Q41" s="249" t="n">
        <v>20.9952</v>
      </c>
      <c r="R41" s="249" t="n">
        <v>22.674816</v>
      </c>
      <c r="S41" s="249" t="n">
        <v>24.48880128</v>
      </c>
      <c r="T41" s="249" t="n">
        <v>26.4479053824</v>
      </c>
      <c r="Z41" s="83" t="n"/>
      <c r="AA41" s="102" t="n"/>
      <c r="AB41" s="103" t="n">
        <v>19.44</v>
      </c>
      <c r="AC41" s="103" t="n">
        <v>20.9952</v>
      </c>
      <c r="AD41" s="103" t="n">
        <v>22.674816</v>
      </c>
      <c r="AE41" s="103" t="n">
        <v>24.48880128</v>
      </c>
      <c r="AF41" s="103" t="n">
        <v>26.4479053824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Model!X247</f>
        <v>22.5117482381822</v>
      </c>
      <c r="E42" s="250">
        <f>Model!Y247</f>
        <v>29.4479147175295</v>
      </c>
      <c r="F42" s="250">
        <f>Model!Z247</f>
        <v>29.8409310560133</v>
      </c>
      <c r="G42" s="250">
        <f>Model!AA247</f>
        <v>30.0078026402329</v>
      </c>
      <c r="H42" s="250">
        <f>Model!AB247</f>
        <v>30.1131058184307</v>
      </c>
      <c r="N42" s="252" t="inlineStr">
        <is>
          <t xml:space="preserve">   Shares repurchased (m)</t>
        </is>
      </c>
      <c r="O42" s="102" t="n"/>
      <c r="P42" s="250" t="n">
        <v>46.2427678232586</v>
      </c>
      <c r="Q42" s="250" t="n">
        <v>31.492501573987</v>
      </c>
      <c r="R42" s="250" t="n">
        <v>32.9321613167216</v>
      </c>
      <c r="S42" s="250" t="n">
        <v>34.2487927164117</v>
      </c>
      <c r="T42" s="250" t="n">
        <v>35.4534041870804</v>
      </c>
      <c r="Z42" s="83" t="n"/>
      <c r="AA42" s="102" t="n"/>
      <c r="AB42" s="103" t="n">
        <v>0</v>
      </c>
      <c r="AC42" s="103" t="n">
        <v>15.054642568622</v>
      </c>
      <c r="AD42" s="103" t="n">
        <v>21.9184227636387</v>
      </c>
      <c r="AE42" s="103" t="n">
        <v>21.4294169696419</v>
      </c>
      <c r="AF42" s="103" t="n">
        <v>20.9382855045801</v>
      </c>
    </row>
    <row r="44" ht="15" customHeight="1" s="251">
      <c r="B44" s="79" t="inlineStr">
        <is>
          <t>ROIC</t>
        </is>
      </c>
      <c r="C44" s="86">
        <f>Model!W329</f>
        <v>0.0271979816362464</v>
      </c>
      <c r="D44" s="87">
        <f>Model!X329</f>
        <v>0.0319769692076587</v>
      </c>
      <c r="E44" s="87">
        <f>Model!Y329</f>
        <v>0.0370590972984624</v>
      </c>
      <c r="F44" s="87">
        <f>Model!Z329</f>
        <v>0.0425153473975203</v>
      </c>
      <c r="G44" s="87">
        <f>Model!AA329</f>
        <v>0.0486155222841589</v>
      </c>
      <c r="H44" s="87">
        <f>Model!AB329</f>
        <v>0.0551465881736589</v>
      </c>
      <c r="J44" s="90">
        <f>IFERROR(AVERAGE(Model!H329,Model!M329,Model!R329),"")</f>
        <v>0.0212154964950325</v>
      </c>
      <c r="K44" s="90">
        <f>IFERROR(MIN(Model!H329,Model!M329,Model!R329),"")</f>
        <v>0.0180139910068664</v>
      </c>
      <c r="L44" s="90">
        <f>IFERROR(MAX(Model!H329,Model!M329,Model!R329),"")</f>
        <v>0.0236405605776636</v>
      </c>
      <c r="N44" s="79" t="inlineStr">
        <is>
          <t>ROIC</t>
        </is>
      </c>
      <c r="O44" s="86" t="n">
        <v>0.0276617811600959</v>
      </c>
      <c r="P44" s="87" t="n">
        <v>0.0344336906203801</v>
      </c>
      <c r="Q44" s="87" t="n">
        <v>0.0406609678822733</v>
      </c>
      <c r="R44" s="87" t="n">
        <v>0.047435008204817</v>
      </c>
      <c r="S44" s="87" t="n">
        <v>0.055040043425107</v>
      </c>
      <c r="T44" s="87" t="n">
        <v>0.0632819072793491</v>
      </c>
      <c r="V44" s="90" t="n">
        <v>0.0212154964950325</v>
      </c>
      <c r="W44" s="90" t="n">
        <v>0.0180139910068664</v>
      </c>
      <c r="X44" s="90" t="n">
        <v>0.0236405605776636</v>
      </c>
      <c r="Z44" s="79" t="inlineStr">
        <is>
          <t>ROIC</t>
        </is>
      </c>
      <c r="AA44" s="86" t="n">
        <v>0.0267341465381231</v>
      </c>
      <c r="AB44" s="87" t="n">
        <v>0.0270790139557632</v>
      </c>
      <c r="AC44" s="87" t="n">
        <v>0.0302776702289764</v>
      </c>
      <c r="AD44" s="87" t="n">
        <v>0.0335660800794019</v>
      </c>
      <c r="AE44" s="87" t="n">
        <v>0.0371848210173194</v>
      </c>
      <c r="AF44" s="87" t="n">
        <v>0.0409056597724878</v>
      </c>
      <c r="AH44" s="90" t="n">
        <v>0.0212154964950325</v>
      </c>
      <c r="AI44" s="90" t="n">
        <v>0.0180139910068664</v>
      </c>
      <c r="AJ44" s="90" t="n">
        <v>0.0236405605776636</v>
      </c>
    </row>
    <row r="45" ht="15" customHeight="1" s="251">
      <c r="B45" s="79" t="inlineStr">
        <is>
          <t>RONTA</t>
        </is>
      </c>
      <c r="C45" s="86">
        <f>Model!W340</f>
        <v>0.624609369568881</v>
      </c>
      <c r="D45" s="87">
        <f>Model!X340</f>
        <v>0.731928106165655</v>
      </c>
      <c r="E45" s="87">
        <f>Model!Y340</f>
        <v>1.12698252007328</v>
      </c>
      <c r="F45" s="87">
        <f>Model!Z340</f>
        <v>1.27274327811879</v>
      </c>
      <c r="G45" s="87">
        <f>Model!AA340</f>
        <v>1.3860318573948</v>
      </c>
      <c r="H45" s="87">
        <f>Model!AB340</f>
        <v>1.49547166201687</v>
      </c>
      <c r="J45" s="90">
        <f>IFERROR(AVERAGE(Model!H340,Model!M340,Model!R340),"")</f>
        <v>2.44573079368778</v>
      </c>
      <c r="K45" s="90">
        <f>IFERROR(MIN(Model!H340,Model!M340,Model!R340),"")</f>
        <v>2.13893398268398</v>
      </c>
      <c r="L45" s="90">
        <f>IFERROR(MAX(Model!H340,Model!M340,Model!R340),"")</f>
        <v>2.733469665985</v>
      </c>
      <c r="N45" s="79" t="inlineStr">
        <is>
          <t>RONTA</t>
        </is>
      </c>
      <c r="O45" s="86" t="n">
        <v>0.628574705536635</v>
      </c>
      <c r="P45" s="87" t="n">
        <v>1.14495188906031</v>
      </c>
      <c r="Q45" s="87" t="n">
        <v>1.30554851283916</v>
      </c>
      <c r="R45" s="87" t="n">
        <v>1.46699681845196</v>
      </c>
      <c r="S45" s="87" t="n">
        <v>1.63619561446007</v>
      </c>
      <c r="T45" s="87" t="n">
        <v>1.80439805454734</v>
      </c>
      <c r="V45" s="90" t="n">
        <v>2.44573079368778</v>
      </c>
      <c r="W45" s="90" t="n">
        <v>2.13893398268398</v>
      </c>
      <c r="X45" s="90" t="n">
        <v>2.733469665985</v>
      </c>
      <c r="Z45" s="79" t="inlineStr">
        <is>
          <t>RONTA</t>
        </is>
      </c>
      <c r="AA45" s="86" t="n">
        <v>0.620557736864187</v>
      </c>
      <c r="AB45" s="87" t="n">
        <v>0.351732656559366</v>
      </c>
      <c r="AC45" s="87" t="n">
        <v>0.346373663007955</v>
      </c>
      <c r="AD45" s="87" t="n">
        <v>0.397003613628311</v>
      </c>
      <c r="AE45" s="87" t="n">
        <v>0.455928125237912</v>
      </c>
      <c r="AF45" s="87" t="n">
        <v>0.520911886179762</v>
      </c>
      <c r="AH45" s="90" t="n">
        <v>2.44573079368778</v>
      </c>
      <c r="AI45" s="90" t="n">
        <v>2.13893398268398</v>
      </c>
      <c r="AJ45" s="90" t="n">
        <v>2.733469665985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8082.6236840254</v>
      </c>
      <c r="H47" s="104">
        <f>H27*H21</f>
        <v>8725.30551248595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10294.2921105571</v>
      </c>
      <c r="T47" s="104">
        <f>T27*T21</f>
        <v>11358.6328201706</v>
      </c>
      <c r="Z47" s="83" t="inlineStr">
        <is>
          <t>Implied Market Cap (USDm)</t>
        </is>
      </c>
      <c r="AC47" s="104" t="n"/>
      <c r="AD47" s="104">
        <f>AD27*AD21</f>
        <v>4935.35950557443</v>
      </c>
      <c r="AE47" s="104">
        <f>AE27*AE21</f>
        <v>5192.47208729882</v>
      </c>
      <c r="AF47" s="104">
        <f>AF27*AF21</f>
        <v>5468.85165901755</v>
      </c>
    </row>
    <row r="48" ht="15" customHeight="1" s="251">
      <c r="B48" s="83" t="inlineStr">
        <is>
          <t>(+) Net Debt &amp; NCI</t>
        </is>
      </c>
      <c r="E48" s="104" t="n"/>
      <c r="F48" s="104">
        <f>F38+Model!Z355</f>
        <v>1924.2422718342</v>
      </c>
      <c r="G48" s="104">
        <f>G38+Model!AA355</f>
        <v>2079.00707570963</v>
      </c>
      <c r="H48" s="104">
        <f>H38+Model!AB355</f>
        <v>2240.15457549537</v>
      </c>
      <c r="N48" s="83" t="inlineStr">
        <is>
          <t>(+) Net Debt &amp; NCI</t>
        </is>
      </c>
      <c r="Q48" s="104" t="n"/>
      <c r="R48" s="104">
        <f>R38+Model!Z355</f>
        <v>2660.62844232655</v>
      </c>
      <c r="S48" s="104">
        <f>S38+Model!AA355</f>
        <v>2940.1532121013</v>
      </c>
      <c r="T48" s="104">
        <f>T38+Model!AB355</f>
        <v>3238.69422953518</v>
      </c>
      <c r="Z48" s="83" t="inlineStr">
        <is>
          <t>(+) Net Debt &amp; NCI</t>
        </is>
      </c>
      <c r="AC48" s="104" t="n"/>
      <c r="AD48" s="104">
        <f>AD38+Model!Z355</f>
        <v>1236.45127655929</v>
      </c>
      <c r="AE48" s="104">
        <f>AE38+Model!AA355</f>
        <v>1299.77988108164</v>
      </c>
      <c r="AF48" s="104">
        <f>AF38+Model!AB355</f>
        <v>1362.54771431571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1924.2422718342</v>
      </c>
      <c r="G49" s="104">
        <f>G47+G48</f>
        <v>10161.630759735</v>
      </c>
      <c r="H49" s="104">
        <f>H47+H48</f>
        <v>10965.4600879813</v>
      </c>
      <c r="N49" s="83" t="inlineStr">
        <is>
          <t>Implied Enterprise Value (USDm)</t>
        </is>
      </c>
      <c r="Q49" s="104" t="n"/>
      <c r="R49" s="104">
        <f>R47+R48</f>
        <v>2660.62844232655</v>
      </c>
      <c r="S49" s="104">
        <f>S47+S48</f>
        <v>13234.4453226584</v>
      </c>
      <c r="T49" s="104">
        <f>T47+T48</f>
        <v>14597.3270497058</v>
      </c>
      <c r="Z49" s="83" t="inlineStr">
        <is>
          <t>Implied Enterprise Value (USDm)</t>
        </is>
      </c>
      <c r="AC49" s="104" t="n"/>
      <c r="AD49" s="104">
        <f>AD47+AD48</f>
        <v>6171.81078213372</v>
      </c>
      <c r="AE49" s="104">
        <f>AE47+AE48</f>
        <v>6492.25196838046</v>
      </c>
      <c r="AF49" s="104">
        <f>AF47+AF48</f>
        <v>6831.39937333326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2</v>
      </c>
      <c r="G50" s="105">
        <f>IFERROR(G49/G35,"")</f>
        <v>9.77546529635217</v>
      </c>
      <c r="H50" s="105">
        <f>IFERROR(H49/H35,"")</f>
        <v>9.78991379249487</v>
      </c>
      <c r="N50" s="83" t="inlineStr">
        <is>
          <t>Implied EV / Adjusted EBITDA (x)</t>
        </is>
      </c>
      <c r="Q50" s="105" t="n"/>
      <c r="R50" s="105">
        <f>IFERROR(R49/R35,"")</f>
        <v>2.5</v>
      </c>
      <c r="S50" s="105">
        <f>IFERROR(S49/S35,"")</f>
        <v>11.2531935990505</v>
      </c>
      <c r="T50" s="105">
        <f>IFERROR(T49/T35,"")</f>
        <v>11.2679107806673</v>
      </c>
      <c r="Z50" s="83" t="inlineStr">
        <is>
          <t>Implied EV / Adjusted EBITDA (x)</t>
        </is>
      </c>
      <c r="AC50" s="105" t="n"/>
      <c r="AD50" s="105">
        <f>IFERROR(AD49/AD35,"")</f>
        <v>7.48732792687335</v>
      </c>
      <c r="AE50" s="105">
        <f>IFERROR(AE49/AE35,"")</f>
        <v>7.49232858141076</v>
      </c>
      <c r="AF50" s="105">
        <f>IFERROR(AF49/AF35,"")</f>
        <v>7.52054328251261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MOBILITY GLOBAL INC. (MBGL)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1.15</v>
      </c>
      <c r="D7" s="198" t="inlineStr">
        <is>
          <t>Assumption: no trading history before Jul-2026; data / information-services peers ~0.9–1.2, raised for a newly levered spin (~2.2x) with auto-dealer and OEM end-market exposure; ~81% subscription revenue dampens cyclicality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0.1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0.0575</v>
      </c>
      <c r="D9" s="198" t="inlineStr">
        <is>
          <t>Senior notes 5.050% 2029 / 5.450% 2031 / 6.050% 2036 (May-2026; 5.74% all-in per the Form 10 pro forma); revolver SOFR + 1.0–1.625%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0.27</v>
      </c>
      <c r="D10" s="198" t="inlineStr">
        <is>
          <t>Assumption: normalised tax rate on adjusted EBIT (model 2027E+ GAAP effective rate 28.5%; amortization is largely non-deductible)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0.041975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0.25</v>
      </c>
      <c r="D12" s="198" t="inlineStr">
        <is>
          <t>Net debt ~$1.8bn at 30-Jun-2026 vs ~$5.3bn market cap ($18.00 × ~296m diluted shares); D/V ~25%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0.08549375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2026-10-13 00:00:00</v>
      </c>
      <c r="D15" s="198" t="inlineStr">
        <is>
          <t>Periods = (31-Dec of the year − today) / 365.25; cash flows assumed at year-end; 2026E (valuation date in Q4) is the base year and its cash flow sits in YE2026E net debt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27–31E</t>
        </is>
      </c>
      <c r="Q17" s="204" t="inlineStr">
        <is>
          <t>CAGR 27–36E</t>
        </is>
      </c>
    </row>
    <row r="18" ht="15.75" customHeight="1" s="251">
      <c r="A18" s="192" t="n"/>
      <c r="B18" s="197" t="inlineStr">
        <is>
          <t>Adj. EBITA (Adjusted EBITDA − depreciation) less SBC and cash transaction / severance / other costs</t>
        </is>
      </c>
      <c r="C18" s="192" t="n"/>
      <c r="D18" s="173">
        <f>Model!X161-Model!X158-Model!X109</f>
        <v>757.573866104411</v>
      </c>
      <c r="E18" s="173">
        <f>Model!Y161-Model!Y158-Model!Y109</f>
        <v>835.453276509109</v>
      </c>
      <c r="F18" s="173">
        <f>Model!Z161-Model!Z158-Model!Z109</f>
        <v>906.120517237873</v>
      </c>
      <c r="G18" s="173">
        <f>Model!AA161-Model!AA158-Model!AA109</f>
        <v>980.467654862167</v>
      </c>
      <c r="H18" s="173">
        <f>Model!AB161-Model!AB158-Model!AB109</f>
        <v>1057.95746554767</v>
      </c>
      <c r="I18" s="174">
        <f>H18*(1+I$26)</f>
        <v>1121.43491348053</v>
      </c>
      <c r="J18" s="174">
        <f>I18*(1+J$26)</f>
        <v>1183.11383372196</v>
      </c>
      <c r="K18" s="174">
        <f>J18*(1+K$26)</f>
        <v>1242.26952540806</v>
      </c>
      <c r="L18" s="174">
        <f>K18*(1+L$26)</f>
        <v>1298.17165405142</v>
      </c>
      <c r="M18" s="174">
        <f>L18*(1+M$26)</f>
        <v>1350.09852021348</v>
      </c>
      <c r="N18" s="192" t="n"/>
      <c r="O18" s="192" t="n"/>
      <c r="P18" s="176">
        <f>(H18/D18)^(1/(COLUMNS(D18:H18)-1))-1</f>
        <v>0.0870782479891803</v>
      </c>
      <c r="Q18" s="176">
        <f>(M18/D18)^(1/(COLUMNS(D18:M18)-1))-1</f>
        <v>0.066307036737038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0.73</v>
      </c>
      <c r="E19" s="177">
        <f>1-$C$10</f>
        <v>0.73</v>
      </c>
      <c r="F19" s="177">
        <f>1-$C$10</f>
        <v>0.73</v>
      </c>
      <c r="G19" s="177">
        <f>1-$C$10</f>
        <v>0.73</v>
      </c>
      <c r="H19" s="177">
        <f>1-$C$10</f>
        <v>0.73</v>
      </c>
      <c r="I19" s="177">
        <f>1-$C$10</f>
        <v>0.73</v>
      </c>
      <c r="J19" s="177">
        <f>1-$C$10</f>
        <v>0.73</v>
      </c>
      <c r="K19" s="177">
        <f>1-$C$10</f>
        <v>0.73</v>
      </c>
      <c r="L19" s="177">
        <f>1-$C$10</f>
        <v>0.73</v>
      </c>
      <c r="M19" s="177">
        <f>1-$C$10</f>
        <v>0.73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553.02892225622</v>
      </c>
      <c r="E20" s="174">
        <f>E18*E19</f>
        <v>609.880891851649</v>
      </c>
      <c r="F20" s="174">
        <f>F18*F19</f>
        <v>661.467977583647</v>
      </c>
      <c r="G20" s="174">
        <f>G18*G19</f>
        <v>715.741388049382</v>
      </c>
      <c r="H20" s="174">
        <f>H18*H19</f>
        <v>772.3089498498</v>
      </c>
      <c r="I20" s="174">
        <f>I18*I19</f>
        <v>818.647486840788</v>
      </c>
      <c r="J20" s="174">
        <f>J18*J19</f>
        <v>863.673098617031</v>
      </c>
      <c r="K20" s="174">
        <f>K18*K19</f>
        <v>906.856753547883</v>
      </c>
      <c r="L20" s="174">
        <f>L18*L19</f>
        <v>947.665307457537</v>
      </c>
      <c r="M20" s="174">
        <f>M18*M19</f>
        <v>985.571919755839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depreciation (amortization of acquired intangibles is excluded above, not added back)</t>
        </is>
      </c>
      <c r="C21" s="192" t="n"/>
      <c r="D21" s="173">
        <f>Model!X104</f>
        <v>16.0670074281008</v>
      </c>
      <c r="E21" s="173">
        <f>Model!Y104</f>
        <v>17.1687332870314</v>
      </c>
      <c r="F21" s="173">
        <f>Model!Z104</f>
        <v>18.2859499730399</v>
      </c>
      <c r="G21" s="173">
        <f>Model!AA104</f>
        <v>19.4422411400557</v>
      </c>
      <c r="H21" s="173">
        <f>Model!AB104</f>
        <v>20.6170751238152</v>
      </c>
      <c r="I21" s="174">
        <f>H21*(1+I$26)</f>
        <v>21.8540996312441</v>
      </c>
      <c r="J21" s="174">
        <f>I21*(1+J$26)</f>
        <v>23.0560751109626</v>
      </c>
      <c r="K21" s="174">
        <f>J21*(1+K$26)</f>
        <v>24.2088788665107</v>
      </c>
      <c r="L21" s="174">
        <f>K21*(1+L$26)</f>
        <v>25.2982784155037</v>
      </c>
      <c r="M21" s="174">
        <f>L21*(1+M$26)</f>
        <v>26.3102095521238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and acquisitions (M&amp;A lever 2027E–31E)</t>
        </is>
      </c>
      <c r="C22" s="192" t="n"/>
      <c r="D22" s="173">
        <f>Model!X214+Model!X215</f>
        <v>-28.1172629991764</v>
      </c>
      <c r="E22" s="173">
        <f>Model!Y214+Model!Y215</f>
        <v>-30.045283252305</v>
      </c>
      <c r="F22" s="173">
        <f>Model!Z214+Model!Z215</f>
        <v>-32.0004124528198</v>
      </c>
      <c r="G22" s="173">
        <f>Model!AA214+Model!AA215</f>
        <v>-34.0239219950975</v>
      </c>
      <c r="H22" s="173">
        <f>Model!AB214+Model!AB215</f>
        <v>-36.0798814666766</v>
      </c>
      <c r="I22" s="174">
        <f>Model!AB214*(1+I$26)</f>
        <v>-38.2446743546772</v>
      </c>
      <c r="J22" s="174">
        <f>I22*(1+J$26)</f>
        <v>-40.3481314441845</v>
      </c>
      <c r="K22" s="174">
        <f>J22*(1+K$26)</f>
        <v>-42.3655380163937</v>
      </c>
      <c r="L22" s="174">
        <f>K22*(1+L$26)</f>
        <v>-44.2719872271314</v>
      </c>
      <c r="M22" s="174">
        <f>L22*(1+M$26)</f>
        <v>-46.0428667162167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Model!X212</f>
        <v>3.13205817960969</v>
      </c>
      <c r="E23" s="173">
        <f>Model!Y212</f>
        <v>3.29574499238321</v>
      </c>
      <c r="F23" s="173">
        <f>Model!Z212</f>
        <v>3.34208484667258</v>
      </c>
      <c r="G23" s="173">
        <f>Model!AA212</f>
        <v>3.45897374790532</v>
      </c>
      <c r="H23" s="173">
        <f>Model!AB212</f>
        <v>3.51444344114357</v>
      </c>
      <c r="I23" s="174">
        <f>H23*(1+I$26)</f>
        <v>3.72531004761218</v>
      </c>
      <c r="J23" s="174">
        <f>I23*(1+J$26)</f>
        <v>3.93020210023085</v>
      </c>
      <c r="K23" s="174">
        <f>J23*(1+K$26)</f>
        <v>4.1267122052424</v>
      </c>
      <c r="L23" s="174">
        <f>K23*(1+L$26)</f>
        <v>4.31241425447831</v>
      </c>
      <c r="M23" s="174">
        <f>L23*(1+M$26)</f>
        <v>4.48491082465744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544.110724864754</v>
      </c>
      <c r="E24" s="219">
        <f>E20+E21+E22+E23</f>
        <v>600.300086878759</v>
      </c>
      <c r="F24" s="219">
        <f>F20+F21+F22+F23</f>
        <v>651.09559995054</v>
      </c>
      <c r="G24" s="219">
        <f>G20+G21+G22+G23</f>
        <v>704.618680942246</v>
      </c>
      <c r="H24" s="219">
        <f>H20+H21+H22+H23</f>
        <v>760.360586948082</v>
      </c>
      <c r="I24" s="219">
        <f>I20+I21+I22+I23</f>
        <v>805.982222164967</v>
      </c>
      <c r="J24" s="219">
        <f>J20+J21+J22+J23</f>
        <v>850.31124438404</v>
      </c>
      <c r="K24" s="219">
        <f>K20+K21+K22+K23</f>
        <v>892.826806603242</v>
      </c>
      <c r="L24" s="219">
        <f>L20+L21+L22+L23</f>
        <v>933.004012900388</v>
      </c>
      <c r="M24" s="219">
        <f>M20+M21+M22+M23</f>
        <v>970.324173416404</v>
      </c>
      <c r="N24" s="219">
        <f>M24*(1+$C$27)</f>
        <v>999.433898618896</v>
      </c>
      <c r="O24" s="192" t="n"/>
      <c r="P24" s="181">
        <f>(H24/D24)^(1/(COLUMNS(D24:H24)-1))-1</f>
        <v>0.0872591663146367</v>
      </c>
      <c r="Q24" s="181">
        <f>(M24/D24)^(1/(COLUMNS(D24:M24)-1))-1</f>
        <v>0.0663859048472608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18009.8461289586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6.0% → 4.0%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0.06</v>
      </c>
      <c r="J26" s="183">
        <f>I26+($M$26-$I$26)/4</f>
        <v>0.055</v>
      </c>
      <c r="K26" s="183">
        <f>J26+($M$26-$I$26)/4</f>
        <v>0.05</v>
      </c>
      <c r="L26" s="183">
        <f>K26+($M$26-$I$26)/4</f>
        <v>0.045</v>
      </c>
      <c r="M26" s="182" t="n">
        <v>0.04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0.03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(DATE(2027,12,31)-$C$15)/365.25</f>
        <v>1.21560574948665</v>
      </c>
      <c r="E29" s="177">
        <f>(DATE(2028,12,31)-$C$15)/365.25</f>
        <v>2.217659137577</v>
      </c>
      <c r="F29" s="177">
        <f>(DATE(2029,12,31)-$C$15)/365.25</f>
        <v>3.21697467488022</v>
      </c>
      <c r="G29" s="177">
        <f>(DATE(2030,12,31)-$C$15)/365.25</f>
        <v>4.21629021218344</v>
      </c>
      <c r="H29" s="177">
        <f>(DATE(2031,12,31)-$C$15)/365.25</f>
        <v>5.21560574948665</v>
      </c>
      <c r="I29" s="177">
        <f>(DATE(2032,12,31)-$C$15)/365.25</f>
        <v>6.217659137577</v>
      </c>
      <c r="J29" s="177">
        <f>(DATE(2033,12,31)-$C$15)/365.25</f>
        <v>7.21697467488022</v>
      </c>
      <c r="K29" s="177">
        <f>(DATE(2034,12,31)-$C$15)/365.25</f>
        <v>8.21629021218344</v>
      </c>
      <c r="L29" s="177">
        <f>(DATE(2035,12,31)-$C$15)/365.25</f>
        <v>9.21560574948665</v>
      </c>
      <c r="M29" s="177">
        <f>(DATE(2036,12,31)-$C$15)/365.25</f>
        <v>10.217659137577</v>
      </c>
      <c r="N29" s="177">
        <f>M29</f>
        <v>10.217659137577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0.905088852951504</v>
      </c>
      <c r="E30" s="185">
        <f>1/(1+$C$13)^E29</f>
        <v>0.83366339413878</v>
      </c>
      <c r="F30" s="185">
        <f>1/(1+$C$13)^F29</f>
        <v>0.768046988331291</v>
      </c>
      <c r="G30" s="185">
        <f>1/(1+$C$13)^G29</f>
        <v>0.707595152230669</v>
      </c>
      <c r="H30" s="185">
        <f>1/(1+$C$13)^H29</f>
        <v>0.651901390236784</v>
      </c>
      <c r="I30" s="185">
        <f>1/(1+$C$13)^I29</f>
        <v>0.600456324101592</v>
      </c>
      <c r="J30" s="185">
        <f>1/(1+$C$13)^J29</f>
        <v>0.553195299917334</v>
      </c>
      <c r="K30" s="185">
        <f>1/(1+$C$13)^K29</f>
        <v>0.509654120653166</v>
      </c>
      <c r="L30" s="185">
        <f>1/(1+$C$13)^L29</f>
        <v>0.469540002848121</v>
      </c>
      <c r="M30" s="185">
        <f>1/(1+$C$13)^M29</f>
        <v>0.432486060547328</v>
      </c>
      <c r="N30" s="185">
        <f>1/(1+$C$13)^N29</f>
        <v>0.432486060547328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492.468551846452</v>
      </c>
      <c r="E31" s="222">
        <f>E24*E30</f>
        <v>500.44820792915</v>
      </c>
      <c r="F31" s="222">
        <f>F24*F30</f>
        <v>500.072014657767</v>
      </c>
      <c r="G31" s="222">
        <f>G24*G30</f>
        <v>498.584762805901</v>
      </c>
      <c r="H31" s="222">
        <f>H24*H30</f>
        <v>495.680123712712</v>
      </c>
      <c r="I31" s="222">
        <f>I24*I30</f>
        <v>483.957122412408</v>
      </c>
      <c r="J31" s="222">
        <f>J24*J30</f>
        <v>470.388183860111</v>
      </c>
      <c r="K31" s="222">
        <f>K24*K30</f>
        <v>455.03286101495</v>
      </c>
      <c r="L31" s="222">
        <f>L24*L30</f>
        <v>438.082706874556</v>
      </c>
      <c r="M31" s="222">
        <f>M24*M30</f>
        <v>419.651679214703</v>
      </c>
      <c r="N31" s="222">
        <f>N25*N30</f>
        <v>7789.00740337685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NOPAT basis (standard): taxed on pre-amortization Adjusted EBITA with a depreciation-only add-back. The ~$296m p.a. of acquired-intangible amortization (IHS Markit purchase accounting) is non-cash and largely non-deductible (deferred-tax liability $967m at 30-Jun-2026), so taxing EBIT after amortization would overstate the cash tax shield. Mobility Global's Adjusted EBITDA adds back stock-based compensation, a real cost: row 18 deducts SBC and the cash transaction (separation stand-up), severance and other items the company excludes. Base year 2026E: valuation date (Oct-2026) inside the year; YE2026E net debt captures 2H/26 cash flow.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Model!W326</f>
        <v>11514.0685958904</v>
      </c>
      <c r="E34" s="174">
        <f>D38</f>
        <v>11522.9867932819</v>
      </c>
      <c r="F34" s="174">
        <f>E38</f>
        <v>11532.5675982548</v>
      </c>
      <c r="G34" s="174">
        <f>F38</f>
        <v>11542.9399758879</v>
      </c>
      <c r="H34" s="174">
        <f>G38</f>
        <v>11554.062682995</v>
      </c>
      <c r="I34" s="174">
        <f>H38</f>
        <v>11566.0110458967</v>
      </c>
      <c r="J34" s="174">
        <f>I38</f>
        <v>11578.6763105726</v>
      </c>
      <c r="K34" s="174">
        <f>J38</f>
        <v>11592.0381648055</v>
      </c>
      <c r="L34" s="174">
        <f>K38</f>
        <v>11606.0681117502</v>
      </c>
      <c r="M34" s="174">
        <f>L38</f>
        <v>11620.7294063073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28.1172629991764</v>
      </c>
      <c r="E35" s="174">
        <f>-E22</f>
        <v>30.045283252305</v>
      </c>
      <c r="F35" s="174">
        <f>-F22</f>
        <v>32.0004124528198</v>
      </c>
      <c r="G35" s="174">
        <f>-G22</f>
        <v>34.0239219950975</v>
      </c>
      <c r="H35" s="174">
        <f>-H22</f>
        <v>36.0798814666766</v>
      </c>
      <c r="I35" s="174">
        <f>-I22</f>
        <v>38.2446743546772</v>
      </c>
      <c r="J35" s="174">
        <f>-J22</f>
        <v>40.3481314441845</v>
      </c>
      <c r="K35" s="174">
        <f>-K22</f>
        <v>42.3655380163937</v>
      </c>
      <c r="L35" s="174">
        <f>-L22</f>
        <v>44.2719872271314</v>
      </c>
      <c r="M35" s="174">
        <f>-M22</f>
        <v>46.0428667162167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-16.0670074281008</v>
      </c>
      <c r="E36" s="174">
        <f>-E21</f>
        <v>-17.1687332870314</v>
      </c>
      <c r="F36" s="174">
        <f>-F21</f>
        <v>-18.2859499730399</v>
      </c>
      <c r="G36" s="174">
        <f>-G21</f>
        <v>-19.4422411400557</v>
      </c>
      <c r="H36" s="174">
        <f>-H21</f>
        <v>-20.6170751238152</v>
      </c>
      <c r="I36" s="174">
        <f>-I21</f>
        <v>-21.8540996312441</v>
      </c>
      <c r="J36" s="174">
        <f>-J21</f>
        <v>-23.0560751109626</v>
      </c>
      <c r="K36" s="174">
        <f>-K21</f>
        <v>-24.2088788665107</v>
      </c>
      <c r="L36" s="174">
        <f>-L21</f>
        <v>-25.2982784155037</v>
      </c>
      <c r="M36" s="174">
        <f>-M21</f>
        <v>-26.3102095521238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-3.13205817960969</v>
      </c>
      <c r="E37" s="174">
        <f>-E23</f>
        <v>-3.29574499238321</v>
      </c>
      <c r="F37" s="174">
        <f>-F23</f>
        <v>-3.34208484667258</v>
      </c>
      <c r="G37" s="174">
        <f>-G23</f>
        <v>-3.45897374790532</v>
      </c>
      <c r="H37" s="174">
        <f>-H23</f>
        <v>-3.51444344114357</v>
      </c>
      <c r="I37" s="174">
        <f>-I23</f>
        <v>-3.72531004761218</v>
      </c>
      <c r="J37" s="174">
        <f>-J23</f>
        <v>-3.93020210023085</v>
      </c>
      <c r="K37" s="174">
        <f>-K23</f>
        <v>-4.1267122052424</v>
      </c>
      <c r="L37" s="174">
        <f>-L23</f>
        <v>-4.31241425447831</v>
      </c>
      <c r="M37" s="174">
        <f>-M23</f>
        <v>-4.48491082465744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11522.9867932819</v>
      </c>
      <c r="E38" s="224">
        <f>SUM(E34:E37)</f>
        <v>11532.5675982548</v>
      </c>
      <c r="F38" s="224">
        <f>SUM(F34:F37)</f>
        <v>11542.9399758879</v>
      </c>
      <c r="G38" s="224">
        <f>SUM(G34:G37)</f>
        <v>11554.062682995</v>
      </c>
      <c r="H38" s="224">
        <f>SUM(H34:H37)</f>
        <v>11566.0110458967</v>
      </c>
      <c r="I38" s="224">
        <f>SUM(I34:I37)</f>
        <v>11578.6763105726</v>
      </c>
      <c r="J38" s="224">
        <f>SUM(J34:J37)</f>
        <v>11592.0381648055</v>
      </c>
      <c r="K38" s="224">
        <f>SUM(K34:K37)</f>
        <v>11606.0681117502</v>
      </c>
      <c r="L38" s="224">
        <f>SUM(L34:L37)</f>
        <v>11620.7294063073</v>
      </c>
      <c r="M38" s="224">
        <f>SUM(M34:M37)</f>
        <v>11635.9771526468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553.02892225622</v>
      </c>
      <c r="E39" s="174">
        <f>E20</f>
        <v>609.880891851649</v>
      </c>
      <c r="F39" s="174">
        <f>F20</f>
        <v>661.467977583647</v>
      </c>
      <c r="G39" s="174">
        <f>G20</f>
        <v>715.741388049382</v>
      </c>
      <c r="H39" s="174">
        <f>H20</f>
        <v>772.3089498498</v>
      </c>
      <c r="I39" s="174">
        <f>I20</f>
        <v>818.647486840788</v>
      </c>
      <c r="J39" s="174">
        <f>J20</f>
        <v>863.673098617031</v>
      </c>
      <c r="K39" s="174">
        <f>K20</f>
        <v>906.856753547883</v>
      </c>
      <c r="L39" s="174">
        <f>L20</f>
        <v>947.665307457537</v>
      </c>
      <c r="M39" s="174">
        <f>M20</f>
        <v>985.571919755839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0.0480121189894912</v>
      </c>
      <c r="E40" s="180">
        <f>IFERROR(E39/AVERAGE(E34,E38),"")</f>
        <v>0.052905333048554</v>
      </c>
      <c r="F40" s="180">
        <f>IFERROR(F39/AVERAGE(F34,F38),"")</f>
        <v>0.0573307413029439</v>
      </c>
      <c r="G40" s="180">
        <f>IFERROR(G39/AVERAGE(G34,G38),"")</f>
        <v>0.0619769931726717</v>
      </c>
      <c r="H40" s="180">
        <f>IFERROR(H39/AVERAGE(H34,H38),"")</f>
        <v>0.0668085196358775</v>
      </c>
      <c r="I40" s="180">
        <f>IFERROR(I39/AVERAGE(I34,I38),"")</f>
        <v>0.0707417191886987</v>
      </c>
      <c r="J40" s="180">
        <f>IFERROR(J39/AVERAGE(J34,J38),"")</f>
        <v>0.0745486807957344</v>
      </c>
      <c r="K40" s="180">
        <f>IFERROR(K39/AVERAGE(K34,K38),"")</f>
        <v>0.0781836881628879</v>
      </c>
      <c r="L40" s="180">
        <f>IFERROR(L39/AVERAGE(L34,L38),"")</f>
        <v>0.0816010305958694</v>
      </c>
      <c r="M40" s="180">
        <f>IFERROR(M39/AVERAGE(M34,M38),"")</f>
        <v>0.0847559319938517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0.0161260958198748</v>
      </c>
      <c r="E41" s="175">
        <f>IFERROR(SUM(E35:E37)/E39,"")</f>
        <v>0.0157093050477483</v>
      </c>
      <c r="F41" s="175">
        <f>IFERROR(SUM(F35:F37)/F39,"")</f>
        <v>0.0156808462157122</v>
      </c>
      <c r="G41" s="175">
        <f>IFERROR(SUM(G35:G37)/G39,"")</f>
        <v>0.0155401200668992</v>
      </c>
      <c r="H41" s="175">
        <f>IFERROR(SUM(H35:H37)/H39,"")</f>
        <v>0.0154709626297113</v>
      </c>
      <c r="I41" s="175">
        <f>IFERROR(SUM(I35:I37)/I39,"")</f>
        <v>0.0154709626297113</v>
      </c>
      <c r="J41" s="175">
        <f>IFERROR(SUM(J35:J37)/J39,"")</f>
        <v>0.0154709626297113</v>
      </c>
      <c r="K41" s="175">
        <f>IFERROR(SUM(K35:K37)/K39,"")</f>
        <v>0.0154709626297113</v>
      </c>
      <c r="L41" s="175">
        <f>IFERROR(SUM(L35:L37)/L39,"")</f>
        <v>0.0154709626297113</v>
      </c>
      <c r="M41" s="175">
        <f>IFERROR(SUM(M35:M37)/M39,"")</f>
        <v>0.0154709626297113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1.939116570703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2026E book IC (equity + net debt at 31-Dec-2026; equity carries the IHS Markit purchase goodwill and intangibles), rolled forward with capex + M&amp;A − D&amp;A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4754.36621432871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7789.00740337685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12543.3736177056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2026E year end, 31-Dec-2026)</t>
        </is>
      </c>
      <c r="C48" s="173">
        <f>Model!W346+Model!W355</f>
        <v>1616.20015429041</v>
      </c>
      <c r="D48" s="198" t="inlineStr">
        <is>
          <t>MBGL: no noncontrolling interests; net debt = senior notes (carrying value) + revolver − cash at the base-year end.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10927.1734634152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2026E period end)</t>
        </is>
      </c>
      <c r="C50" s="186">
        <f>Model!W352</f>
        <v>296.02132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36.913467798249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Model!W351</f>
        <v>18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1.05074821101383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0.159014591478577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31.0436877962528</v>
      </c>
      <c r="D55" s="175">
        <f>C55/C52-1</f>
        <v>0.724649322014044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0.07549375</v>
      </c>
      <c r="E61" s="228">
        <f>F61-0.005</f>
        <v>0.08049375</v>
      </c>
      <c r="F61" s="228">
        <f>$C$13</f>
        <v>0.08549375</v>
      </c>
      <c r="G61" s="228">
        <f>F61+0.005</f>
        <v>0.09049375</v>
      </c>
      <c r="H61" s="234">
        <f>F61+0.01</f>
        <v>0.09549375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0.02</v>
      </c>
      <c r="C62" s="192" t="n"/>
      <c r="D62" s="225">
        <f t="array" ref="D62">IFERROR((SUMPRODUCT($D$24:$M$24/(1+D$61)^$D$29:$M$29)+($M$24*(1+$B62)/(D$61-$B62))/(1+D$61)^$M$29-$C$48)/$C$50,"")</f>
        <v>40.0975367371755</v>
      </c>
      <c r="E62" s="225">
        <f t="array" ref="E62">IFERROR((SUMPRODUCT($D$24:$M$24/(1+E$61)^$D$29:$M$29)+($M$24*(1+$B62)/(E$61-$B62))/(1+E$61)^$M$29-$C$48)/$C$50,"")</f>
        <v>36.0785728501328</v>
      </c>
      <c r="F62" s="225">
        <f t="array" ref="F62">IFERROR((SUMPRODUCT($D$24:$M$24/(1+F$61)^$D$29:$M$29)+($M$24*(1+$B62)/(F$61-$B62))/(1+F$61)^$M$29-$C$48)/$C$50,"")</f>
        <v>32.6794822570948</v>
      </c>
      <c r="G62" s="225">
        <f t="array" ref="G62">IFERROR((SUMPRODUCT($D$24:$M$24/(1+G$61)^$D$29:$M$29)+($M$24*(1+$B62)/(G$61-$B62))/(1+G$61)^$M$29-$C$48)/$C$50,"")</f>
        <v>29.7681514285381</v>
      </c>
      <c r="H62" s="235">
        <f t="array" ref="H62">IFERROR((SUMPRODUCT($D$24:$M$24/(1+H$61)^$D$29:$M$29)+($M$24*(1+$B62)/(H$61-$B62))/(1+H$61)^$M$29-$C$48)/$C$50,"")</f>
        <v>27.2474755339841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0.025</v>
      </c>
      <c r="C63" s="192" t="n"/>
      <c r="D63" s="225">
        <f t="array" ref="D63">IFERROR((SUMPRODUCT($D$24:$M$24/(1+D$61)^$D$29:$M$29)+($M$24*(1+$B63)/(D$61-$B63))/(1+D$61)^$M$29-$C$48)/$C$50,"")</f>
        <v>43.0879513142461</v>
      </c>
      <c r="E63" s="225">
        <f t="array" ref="E63">IFERROR((SUMPRODUCT($D$24:$M$24/(1+E$61)^$D$29:$M$29)+($M$24*(1+$B63)/(E$61-$B63))/(1+E$61)^$M$29-$C$48)/$C$50,"")</f>
        <v>38.4701850498696</v>
      </c>
      <c r="F63" s="225">
        <f t="array" ref="F63">IFERROR((SUMPRODUCT($D$24:$M$24/(1+F$61)^$D$29:$M$29)+($M$24*(1+$B63)/(F$61-$B63))/(1+F$61)^$M$29-$C$48)/$C$50,"")</f>
        <v>34.6214988714097</v>
      </c>
      <c r="G63" s="225">
        <f t="array" ref="G63">IFERROR((SUMPRODUCT($D$24:$M$24/(1+G$61)^$D$29:$M$29)+($M$24*(1+$B63)/(G$61-$B63))/(1+G$61)^$M$29-$C$48)/$C$50,"")</f>
        <v>31.365558991152</v>
      </c>
      <c r="H63" s="235">
        <f t="array" ref="H63">IFERROR((SUMPRODUCT($D$24:$M$24/(1+H$61)^$D$29:$M$29)+($M$24*(1+$B63)/(H$61-$B63))/(1+H$61)^$M$29-$C$48)/$C$50,"")</f>
        <v>28.5760676063477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0.03</v>
      </c>
      <c r="C64" s="192" t="n"/>
      <c r="D64" s="225">
        <f t="array" ref="D64">IFERROR((SUMPRODUCT($D$24:$M$24/(1+D$61)^$D$29:$M$29)+($M$24*(1+$B64)/(D$61-$B64))/(1+D$61)^$M$29-$C$48)/$C$50,"")</f>
        <v>46.7356901560937</v>
      </c>
      <c r="E64" s="225">
        <f t="array" ref="E64">IFERROR((SUMPRODUCT($D$24:$M$24/(1+E$61)^$D$29:$M$29)+($M$24*(1+$B64)/(E$61-$B64))/(1+E$61)^$M$29-$C$48)/$C$50,"")</f>
        <v>41.3354424432663</v>
      </c>
      <c r="F64" s="226">
        <f t="array" ref="F64">IFERROR((SUMPRODUCT($D$24:$M$24/(1+F$61)^$D$29:$M$29)+($M$24*(1+$B64)/(F$61-$B64))/(1+F$61)^$M$29-$C$48)/$C$50,"")</f>
        <v>36.913467798249</v>
      </c>
      <c r="G64" s="225">
        <f t="array" ref="G64">IFERROR((SUMPRODUCT($D$24:$M$24/(1+G$61)^$D$29:$M$29)+($M$24*(1+$B64)/(G$61-$B64))/(1+G$61)^$M$29-$C$48)/$C$50,"")</f>
        <v>33.2270281407256</v>
      </c>
      <c r="H64" s="235">
        <f t="array" ref="H64">IFERROR((SUMPRODUCT($D$24:$M$24/(1+H$61)^$D$29:$M$29)+($M$24*(1+$B64)/(H$61-$B64))/(1+H$61)^$M$29-$C$48)/$C$50,"")</f>
        <v>30.1075175197058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0.035</v>
      </c>
      <c r="C65" s="192" t="n"/>
      <c r="D65" s="225">
        <f t="array" ref="D65">IFERROR((SUMPRODUCT($D$24:$M$24/(1+D$61)^$D$29:$M$29)+($M$24*(1+$B65)/(D$61-$B65))/(1+D$61)^$M$29-$C$48)/$C$50,"")</f>
        <v>51.2842442698902</v>
      </c>
      <c r="E65" s="225">
        <f t="array" ref="E65">IFERROR((SUMPRODUCT($D$24:$M$24/(1+E$61)^$D$29:$M$29)+($M$24*(1+$B65)/(E$61-$B65))/(1+E$61)^$M$29-$C$48)/$C$50,"")</f>
        <v>44.8305132491421</v>
      </c>
      <c r="F65" s="225">
        <f t="array" ref="F65">IFERROR((SUMPRODUCT($D$24:$M$24/(1+F$61)^$D$29:$M$29)+($M$24*(1+$B65)/(F$61-$B65))/(1+F$61)^$M$29-$C$48)/$C$50,"")</f>
        <v>39.6593481352804</v>
      </c>
      <c r="G65" s="225">
        <f t="array" ref="G65">IFERROR((SUMPRODUCT($D$24:$M$24/(1+G$61)^$D$29:$M$29)+($M$24*(1+$B65)/(G$61-$B65))/(1+G$61)^$M$29-$C$48)/$C$50,"")</f>
        <v>35.423934911576</v>
      </c>
      <c r="H65" s="235">
        <f t="array" ref="H65">IFERROR((SUMPRODUCT($D$24:$M$24/(1+H$61)^$D$29:$M$29)+($M$24*(1+$B65)/(H$61-$B65))/(1+H$61)^$M$29-$C$48)/$C$50,"")</f>
        <v>31.892125802872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0.04</v>
      </c>
      <c r="C66" s="229" t="n"/>
      <c r="D66" s="230">
        <f t="array" ref="D66">IFERROR((SUMPRODUCT($D$24:$M$24/(1+D$61)^$D$29:$M$29)+($M$24*(1+$B66)/(D$61-$B66))/(1+D$61)^$M$29-$C$48)/$C$50,"")</f>
        <v>57.1143068503312</v>
      </c>
      <c r="E66" s="230">
        <f t="array" ref="E66">IFERROR((SUMPRODUCT($D$24:$M$24/(1+E$61)^$D$29:$M$29)+($M$24*(1+$B66)/(E$61-$B66))/(1+E$61)^$M$29-$C$48)/$C$50,"")</f>
        <v>49.1886976974628</v>
      </c>
      <c r="F66" s="230">
        <f t="array" ref="F66">IFERROR((SUMPRODUCT($D$24:$M$24/(1+F$61)^$D$29:$M$29)+($M$24*(1+$B66)/(F$61-$B66))/(1+F$61)^$M$29-$C$48)/$C$50,"")</f>
        <v>43.0088015646666</v>
      </c>
      <c r="G66" s="230">
        <f t="array" ref="G66">IFERROR((SUMPRODUCT($D$24:$M$24/(1+G$61)^$D$29:$M$29)+($M$24*(1+$B66)/(G$61-$B66))/(1+G$61)^$M$29-$C$48)/$C$50,"")</f>
        <v>38.0559265732993</v>
      </c>
      <c r="H66" s="236">
        <f t="array" ref="H66">IFERROR((SUMPRODUCT($D$24:$M$24/(1+H$61)^$D$29:$M$29)+($M$24*(1+$B66)/(H$61-$B66))/(1+H$61)^$M$29-$C$48)/$C$50,"")</f>
        <v>33.9983213428314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(Mobility Global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0.08549375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0.09</v>
      </c>
      <c r="D78" s="198" t="inlineStr">
        <is>
          <t>Model Adjusted EBIT CAGR 2026–31E: ~7% revenue growth (CARFAX ~8%, B2B ~5%) with modest margin expansion → high-single-digit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0.3</v>
      </c>
      <c r="D79" s="198" t="inlineStr">
        <is>
          <t>Asset-light data business (capex ~1.4% of revenue): incremental returns on organic capital are very high; book IC is inflated by IHS Markit purchase accounting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12</v>
      </c>
      <c r="D80" s="198" t="inlineStr">
        <is>
          <t>CARFAX consumer brand and vehicle-history data estate (38bn records, 832m VINs) and dealer network effects; exposure to dealer / OEM budgets and AI-driven disruption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11.696761459171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0.715020833333333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-167.036567284414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-0.050969344612418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8.51374436079464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298">
        <f>C83+C87</f>
        <v>20.2105058199656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2029E Adj. EBITA less SBC and cash adjusting items</t>
        </is>
      </c>
      <c r="C91" s="209">
        <f>Model!Z161-Model!Z158-Model!Z109</f>
        <v>906.120517237873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0.27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2029E NOPAT</t>
        </is>
      </c>
      <c r="C93" s="211">
        <f>C91*(1-C92)</f>
        <v>661.467977583647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299">
        <f>C88</f>
        <v>20.2105058199656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(2029E basis)</t>
        </is>
      </c>
      <c r="C95" s="211">
        <f>C93*C94</f>
        <v>13368.6024106752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YE2028E net debt + NCI (Model)</t>
        </is>
      </c>
      <c r="C96" s="209">
        <f>Model!Y346+Model!Y355</f>
        <v>1777.04240277513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11591.5600079001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2029E (m, Model)</t>
        </is>
      </c>
      <c r="C98" s="212">
        <f>Model!Z352</f>
        <v>217.120725988275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2029 ($)</t>
        </is>
      </c>
      <c r="C99" s="213">
        <f>C97/C98</f>
        <v>53.3876255025328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18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1.96597919458515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5328.38376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YE2026E net debt + NCI</t>
        </is>
      </c>
      <c r="C106" s="211">
        <f>C48</f>
        <v>1616.20015429041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6944.58391429041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MBGL market-implied EV/NOPAT (on 2029E NOPAT)</t>
        </is>
      </c>
      <c r="C108" s="300">
        <f>C107/C93</f>
        <v>10.4987454414031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9.71176037856258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0.925040085290867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Mobility Global — Operating Performance (2023–2025) and Model Forecast (2026E–2031E)</t>
        </is>
      </c>
    </row>
    <row r="3" ht="15" customHeight="1" s="251">
      <c r="B3" s="4" t="inlineStr">
        <is>
          <t>USDm · Linked to Model. Bars = CARFAX / B2B revenue growth (carve-out; 2023 growth n/a on the carve-out basis — see the S&amp;P Global segment memo). Adjusted EBITDA = company definition. ROIC / RONTA on Adjusted EBIT (full-cost); returns are depressed by the IHS Markit purchase-accounting goodwill and intangibles in equity. Carve-out history starts in FY2023.</t>
        </is>
      </c>
    </row>
    <row r="7" ht="15" customHeight="1" s="251">
      <c r="C7" s="10" t="n">
        <v>2023</v>
      </c>
      <c r="D7" s="10" t="n">
        <v>2024</v>
      </c>
      <c r="E7" s="10" t="n">
        <v>2025</v>
      </c>
      <c r="F7" s="10" t="inlineStr">
        <is>
          <t>2026E</t>
        </is>
      </c>
      <c r="G7" s="10" t="inlineStr">
        <is>
          <t>2027E</t>
        </is>
      </c>
      <c r="H7" s="10" t="inlineStr">
        <is>
          <t>2028E</t>
        </is>
      </c>
      <c r="I7" s="10" t="inlineStr">
        <is>
          <t>2029E</t>
        </is>
      </c>
      <c r="J7" s="10" t="inlineStr">
        <is>
          <t>2030E</t>
        </is>
      </c>
      <c r="K7" s="10" t="inlineStr">
        <is>
          <t>2031E</t>
        </is>
      </c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</row>
    <row r="8" ht="15" customHeight="1" s="251">
      <c r="B8" t="inlineStr">
        <is>
          <t>CARFAX revenue y/y %</t>
        </is>
      </c>
      <c r="C8" s="108">
        <f>IFERROR(Model!H192+0,0)</f>
        <v>0</v>
      </c>
      <c r="D8" s="108">
        <f>IFERROR(Model!M192+0,0)</f>
        <v>0.119612068965517</v>
      </c>
      <c r="E8" s="108">
        <f>IFERROR(Model!R192+0,0)</f>
        <v>0.0991337824831569</v>
      </c>
      <c r="F8" s="108">
        <f>IFERROR(Model!W192+0,0)</f>
        <v>0.0800037510974085</v>
      </c>
      <c r="G8" s="108">
        <f>IFERROR(Model!X192+0,0)</f>
        <v>0.0800000000000001</v>
      </c>
      <c r="H8" s="108">
        <f>IFERROR(Model!Y192+0,0)</f>
        <v>0.0780000000000001</v>
      </c>
      <c r="I8" s="108">
        <f>IFERROR(Model!Z192+0,0)</f>
        <v>0.075</v>
      </c>
      <c r="J8" s="108">
        <f>IFERROR(Model!AA192+0,0)</f>
        <v>0.0720000000000001</v>
      </c>
      <c r="K8" s="108">
        <f>IFERROR(Model!AB192+0,0)</f>
        <v>0.0700000000000001</v>
      </c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</row>
    <row r="9" ht="15" customHeight="1" s="251">
      <c r="B9" t="inlineStr">
        <is>
          <t>B2B revenue y/y %</t>
        </is>
      </c>
      <c r="C9" s="108">
        <f>IFERROR(Model!H193+0,0)</f>
        <v>0</v>
      </c>
      <c r="D9" s="108">
        <f>IFERROR(Model!M193+0,0)</f>
        <v>0.0305206463195691</v>
      </c>
      <c r="E9" s="108">
        <f>IFERROR(Model!R193+0,0)</f>
        <v>0.0592334494773519</v>
      </c>
      <c r="F9" s="108">
        <f>IFERROR(Model!W193+0,0)</f>
        <v>0.0594337438269066</v>
      </c>
      <c r="G9" s="108">
        <f>IFERROR(Model!X193+0,0)</f>
        <v>0.05</v>
      </c>
      <c r="H9" s="108">
        <f>IFERROR(Model!Y193+0,0)</f>
        <v>0.05</v>
      </c>
      <c r="I9" s="108">
        <f>IFERROR(Model!Z193+0,0)</f>
        <v>0.0449999999999999</v>
      </c>
      <c r="J9" s="108">
        <f>IFERROR(Model!AA193+0,0)</f>
        <v>0.0449999999999999</v>
      </c>
      <c r="K9" s="108">
        <f>IFERROR(Model!AB193+0,0)</f>
        <v>0.04</v>
      </c>
      <c r="L9" s="108" t="n"/>
      <c r="M9" s="108" t="n"/>
      <c r="N9" s="108" t="n"/>
      <c r="O9" s="108" t="n"/>
      <c r="P9" s="108" t="n"/>
      <c r="Q9" s="108" t="n"/>
      <c r="R9" s="108" t="n"/>
      <c r="S9" s="108" t="n"/>
      <c r="T9" s="108" t="n"/>
      <c r="U9" s="108" t="n"/>
      <c r="V9" s="108" t="n"/>
    </row>
    <row r="11" ht="15" customHeight="1" s="251">
      <c r="C11" s="10">
        <f>C7</f>
        <v>2023</v>
      </c>
      <c r="D11" s="10">
        <f>D7</f>
        <v>2024</v>
      </c>
      <c r="E11" s="10">
        <f>E7</f>
        <v>2025</v>
      </c>
      <c r="F11" s="10" t="str">
        <f>F7</f>
        <v>2026E</v>
      </c>
      <c r="G11" s="10" t="str">
        <f>G7</f>
        <v>2027E</v>
      </c>
      <c r="H11" s="10" t="str">
        <f>H7</f>
        <v>2028E</v>
      </c>
      <c r="I11" s="10" t="str">
        <f>I7</f>
        <v>2029E</v>
      </c>
      <c r="J11" s="10" t="str">
        <f>J7</f>
        <v>2030E</v>
      </c>
      <c r="K11" s="10" t="str">
        <f>K7</f>
        <v>2031E</v>
      </c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</row>
    <row r="12" ht="15" customHeight="1" s="251">
      <c r="B12" t="inlineStr">
        <is>
          <t>Adjusted EBITDA</t>
        </is>
      </c>
      <c r="C12" s="106">
        <f>IFERROR(Model!H153+0,NA())</f>
        <v>598</v>
      </c>
      <c r="D12" s="106">
        <f>IFERROR(Model!M153+0,NA())</f>
        <v>659</v>
      </c>
      <c r="E12" s="106">
        <f>IFERROR(Model!R153+0,NA())</f>
        <v>711</v>
      </c>
      <c r="F12" s="106">
        <f>IFERROR(Model!W153+0,NA())</f>
        <v>752.5</v>
      </c>
      <c r="G12" s="106">
        <f>IFERROR(Model!X153+0,NA())</f>
        <v>817.749760603175</v>
      </c>
      <c r="H12" s="106">
        <f>IFERROR(Model!Y153+0,NA())</f>
        <v>888.521201387566</v>
      </c>
      <c r="I12" s="106">
        <f>IFERROR(Model!Z153+0,NA())</f>
        <v>962.121135917102</v>
      </c>
      <c r="J12" s="106">
        <f>IFERROR(Model!AA153+0,NA())</f>
        <v>1039.50353785481</v>
      </c>
      <c r="K12" s="106">
        <f>IFERROR(Model!AB153+0,NA())</f>
        <v>1120.07728774769</v>
      </c>
      <c r="L12" s="106" t="n"/>
      <c r="M12" s="106" t="n"/>
      <c r="N12" s="106" t="n"/>
      <c r="O12" s="106" t="n"/>
      <c r="P12" s="106" t="n"/>
      <c r="Q12" s="106" t="n"/>
      <c r="R12" s="106" t="n"/>
      <c r="S12" s="106" t="n"/>
      <c r="T12" s="106" t="n"/>
      <c r="U12" s="106" t="n"/>
      <c r="V12" s="106" t="n"/>
    </row>
    <row r="13" ht="15" customHeight="1" s="251">
      <c r="B13" t="inlineStr">
        <is>
          <t>Operating profit (GAAP)</t>
        </is>
      </c>
      <c r="C13" s="106">
        <f>IFERROR(Model!H119+0,NA())</f>
        <v>239</v>
      </c>
      <c r="D13" s="106">
        <f>IFERROR(Model!M119+0,NA())</f>
        <v>298</v>
      </c>
      <c r="E13" s="106">
        <f>IFERROR(Model!R119+0,NA())</f>
        <v>339</v>
      </c>
      <c r="F13" s="106">
        <f>IFERROR(Model!W119+0,NA())</f>
        <v>338.5</v>
      </c>
      <c r="G13" s="106">
        <f>IFERROR(Model!X119+0,NA())</f>
        <v>461.573866104411</v>
      </c>
      <c r="H13" s="106">
        <f>IFERROR(Model!Y119+0,NA())</f>
        <v>539.453276509109</v>
      </c>
      <c r="I13" s="106">
        <f>IFERROR(Model!Z119+0,NA())</f>
        <v>610.120517237873</v>
      </c>
      <c r="J13" s="106">
        <f>IFERROR(Model!AA119+0,NA())</f>
        <v>687.467654862167</v>
      </c>
      <c r="K13" s="106">
        <f>IFERROR(Model!AB119+0,NA())</f>
        <v>767.957465547671</v>
      </c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6" t="n"/>
    </row>
    <row r="14" ht="15" customHeight="1" s="251">
      <c r="B14" t="inlineStr">
        <is>
          <t>Adj. EBITDA Margin %</t>
        </is>
      </c>
      <c r="C14" s="108">
        <f>IFERROR(Model!H198+0,NA())</f>
        <v>0.402693602693603</v>
      </c>
      <c r="D14" s="108">
        <f>IFERROR(Model!M198+0,NA())</f>
        <v>0.4085554866708</v>
      </c>
      <c r="E14" s="108">
        <f>IFERROR(Model!R198+0,NA())</f>
        <v>0.406285714285714</v>
      </c>
      <c r="F14" s="108">
        <f>IFERROR(Model!W198+0,NA())</f>
        <v>0.400798934753662</v>
      </c>
      <c r="G14" s="108">
        <f>IFERROR(Model!X198+0,NA())</f>
        <v>0.407169668284563</v>
      </c>
      <c r="H14" s="108">
        <f>IFERROR(Model!Y198+0,NA())</f>
        <v>0.414018290823457</v>
      </c>
      <c r="I14" s="108">
        <f>IFERROR(Model!Z198+0,NA())</f>
        <v>0.420922571629308</v>
      </c>
      <c r="J14" s="108">
        <f>IFERROR(Model!AA198+0,NA())</f>
        <v>0.427729922848528</v>
      </c>
      <c r="K14" s="108">
        <f>IFERROR(Model!AB198+0,NA())</f>
        <v>0.434621218003464</v>
      </c>
      <c r="L14" s="108" t="n"/>
      <c r="M14" s="108" t="n"/>
      <c r="N14" s="108" t="n"/>
      <c r="O14" s="108" t="n"/>
      <c r="P14" s="108" t="n"/>
      <c r="Q14" s="108" t="n"/>
      <c r="R14" s="108" t="n"/>
      <c r="S14" s="108" t="n"/>
      <c r="T14" s="108" t="n"/>
      <c r="U14" s="108" t="n"/>
      <c r="V14" s="108" t="n"/>
    </row>
    <row r="15" ht="15" customHeight="1" s="251">
      <c r="B15" t="inlineStr">
        <is>
          <t>GAAP Op. Margin %</t>
        </is>
      </c>
      <c r="C15" s="108">
        <f>IFERROR(Model!H201+0,NA())</f>
        <v>0.160942760942761</v>
      </c>
      <c r="D15" s="108">
        <f>IFERROR(Model!M201+0,NA())</f>
        <v>0.184748915065096</v>
      </c>
      <c r="E15" s="108">
        <f>IFERROR(Model!R201+0,NA())</f>
        <v>0.193714285714286</v>
      </c>
      <c r="F15" s="108">
        <f>IFERROR(Model!W201+0,NA())</f>
        <v>0.180292942743009</v>
      </c>
      <c r="G15" s="108">
        <f>IFERROR(Model!X201+0,NA())</f>
        <v>0.229824436526807</v>
      </c>
      <c r="H15" s="108">
        <f>IFERROR(Model!Y201+0,NA())</f>
        <v>0.251365440881578</v>
      </c>
      <c r="I15" s="108">
        <f>IFERROR(Model!Z201+0,NA())</f>
        <v>0.266924285864245</v>
      </c>
      <c r="J15" s="108">
        <f>IFERROR(Model!AA201+0,NA())</f>
        <v>0.282875888601471</v>
      </c>
      <c r="K15" s="108">
        <f>IFERROR(Model!AB201+0,NA())</f>
        <v>0.29798890907104</v>
      </c>
      <c r="L15" s="108" t="n"/>
      <c r="M15" s="108" t="n"/>
      <c r="N15" s="108" t="n"/>
      <c r="O15" s="108" t="n"/>
      <c r="P15" s="108" t="n"/>
      <c r="Q15" s="108" t="n"/>
      <c r="R15" s="108" t="n"/>
      <c r="S15" s="108" t="n"/>
      <c r="T15" s="108" t="n"/>
      <c r="U15" s="108" t="n"/>
      <c r="V15" s="108" t="n"/>
    </row>
    <row r="17" ht="15" customHeight="1" s="251">
      <c r="C17" s="10">
        <f>C7</f>
        <v>2023</v>
      </c>
      <c r="D17" s="10">
        <f>D7</f>
        <v>2024</v>
      </c>
      <c r="E17" s="10">
        <f>E7</f>
        <v>2025</v>
      </c>
      <c r="F17" s="10" t="str">
        <f>F7</f>
        <v>2026E</v>
      </c>
      <c r="G17" s="10" t="str">
        <f>G7</f>
        <v>2027E</v>
      </c>
      <c r="H17" s="10" t="str">
        <f>H7</f>
        <v>2028E</v>
      </c>
      <c r="I17" s="10" t="str">
        <f>I7</f>
        <v>2029E</v>
      </c>
      <c r="J17" s="10" t="str">
        <f>J7</f>
        <v>2030E</v>
      </c>
      <c r="K17" s="10" t="str">
        <f>K7</f>
        <v>2031E</v>
      </c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</row>
    <row r="18" ht="15" customHeight="1" s="251">
      <c r="B18" t="inlineStr">
        <is>
          <t>ROIC</t>
        </is>
      </c>
      <c r="C18" s="108">
        <f>IFERROR(Model!H329+0,NA())</f>
        <v>0.0180139910068664</v>
      </c>
      <c r="D18" s="108">
        <f>IFERROR(Model!M329+0,NA())</f>
        <v>0.0219919379005674</v>
      </c>
      <c r="E18" s="108">
        <f>IFERROR(Model!R329+0,NA())</f>
        <v>0.0236405605776636</v>
      </c>
      <c r="F18" s="108">
        <f>IFERROR(Model!W329+0,NA())</f>
        <v>0.0271979816362464</v>
      </c>
      <c r="G18" s="108">
        <f>IFERROR(Model!X329+0,NA())</f>
        <v>0.0319769692076587</v>
      </c>
      <c r="H18" s="108">
        <f>IFERROR(Model!Y329+0,NA())</f>
        <v>0.0370590972984624</v>
      </c>
      <c r="I18" s="108">
        <f>IFERROR(Model!Z329+0,NA())</f>
        <v>0.0425153473975203</v>
      </c>
      <c r="J18" s="108">
        <f>IFERROR(Model!AA329+0,NA())</f>
        <v>0.0486155222841589</v>
      </c>
      <c r="K18" s="108">
        <f>IFERROR(Model!AB329+0,NA())</f>
        <v>0.0551465881736589</v>
      </c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</row>
    <row r="19" ht="15" customHeight="1" s="251">
      <c r="B19" t="inlineStr">
        <is>
          <t>RONTA</t>
        </is>
      </c>
      <c r="C19" s="108">
        <f>IFERROR(Model!H340+0,NA())</f>
        <v>2.13893398268398</v>
      </c>
      <c r="D19" s="108">
        <f>IFERROR(Model!M340+0,NA())</f>
        <v>2.46478873239437</v>
      </c>
      <c r="E19" s="108">
        <f>IFERROR(Model!R340+0,NA())</f>
        <v>2.733469665985</v>
      </c>
      <c r="F19" s="108">
        <f>IFERROR(Model!W340+0,NA())</f>
        <v>0.624609369568881</v>
      </c>
      <c r="G19" s="108">
        <f>IFERROR(Model!X340+0,NA())</f>
        <v>0.731928106165655</v>
      </c>
      <c r="H19" s="108">
        <f>IFERROR(Model!Y340+0,NA())</f>
        <v>1.12698252007328</v>
      </c>
      <c r="I19" s="108">
        <f>IFERROR(Model!Z340+0,NA())</f>
        <v>1.27274327811879</v>
      </c>
      <c r="J19" s="108">
        <f>IFERROR(Model!AA340+0,NA())</f>
        <v>1.3860318573948</v>
      </c>
      <c r="K19" s="108">
        <f>IFERROR(Model!AB340+0,NA())</f>
        <v>1.49547166201687</v>
      </c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</row>
    <row r="20" ht="15" customHeight="1" s="251">
      <c r="B20" t="inlineStr">
        <is>
          <t>Adj. EBITDA margin %</t>
        </is>
      </c>
      <c r="C20" s="108">
        <f>IFERROR(Model!H198+0,NA())</f>
        <v>0.402693602693603</v>
      </c>
      <c r="D20" s="108">
        <f>IFERROR(Model!M198+0,NA())</f>
        <v>0.4085554866708</v>
      </c>
      <c r="E20" s="108">
        <f>IFERROR(Model!R198+0,NA())</f>
        <v>0.406285714285714</v>
      </c>
      <c r="F20" s="108">
        <f>IFERROR(Model!W198+0,NA())</f>
        <v>0.400798934753662</v>
      </c>
      <c r="G20" s="108">
        <f>IFERROR(Model!X198+0,NA())</f>
        <v>0.407169668284563</v>
      </c>
      <c r="H20" s="108">
        <f>IFERROR(Model!Y198+0,NA())</f>
        <v>0.414018290823457</v>
      </c>
      <c r="I20" s="108">
        <f>IFERROR(Model!Z198+0,NA())</f>
        <v>0.420922571629308</v>
      </c>
      <c r="J20" s="108">
        <f>IFERROR(Model!AA198+0,NA())</f>
        <v>0.427729922848528</v>
      </c>
      <c r="K20" s="108">
        <f>IFERROR(Model!AB198+0,NA())</f>
        <v>0.434621218003464</v>
      </c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</row>
    <row r="21" ht="15" customHeight="1" s="251">
      <c r="B21" t="inlineStr">
        <is>
          <t>FCF margin %</t>
        </is>
      </c>
      <c r="C21" s="108">
        <f>IFERROR(Model!H236+0,NA())</f>
        <v>0.252525252525253</v>
      </c>
      <c r="D21" s="108">
        <f>IFERROR(Model!M236+0,NA())</f>
        <v>0.255424674519529</v>
      </c>
      <c r="E21" s="108">
        <f>IFERROR(Model!R236+0,NA())</f>
        <v>0.263428571428571</v>
      </c>
      <c r="F21" s="108">
        <f>IFERROR(Model!W236+0,NA())</f>
        <v>0.209159203254109</v>
      </c>
      <c r="G21" s="108">
        <f>IFERROR(Model!X236+0,NA())</f>
        <v>0.245040845514812</v>
      </c>
      <c r="H21" s="108">
        <f>IFERROR(Model!Y236+0,NA())</f>
        <v>0.255625609843708</v>
      </c>
      <c r="I21" s="108">
        <f>IFERROR(Model!Z236+0,NA())</f>
        <v>0.261260794102177</v>
      </c>
      <c r="J21" s="108">
        <f>IFERROR(Model!AA236+0,NA())</f>
        <v>0.264576995419441</v>
      </c>
      <c r="K21" s="108">
        <f>IFERROR(Model!AB236+0,NA())</f>
        <v>0.268772064758566</v>
      </c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2026-10-13T14:43:49Z</dcterms:modified>
  <cp:lastModifiedBy>Payton Liske</cp:lastModifiedBy>
  <cp:revision>3</cp:revision>
</cp:coreProperties>
</file>