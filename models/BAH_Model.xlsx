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4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\+0.00\x;\-0.00\x"/>
    <numFmt numFmtId="187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7" fontId="46" fillId="0" borderId="0" pivotButton="0" quotePrefix="0" xfId="0"/>
    <xf numFmtId="168" fontId="46" fillId="0" borderId="0" pivotButton="0" quotePrefix="0" xfId="0"/>
    <xf numFmtId="164" fontId="46" fillId="0" borderId="0" pivotButton="0" quotePrefix="0" xfId="0"/>
    <xf numFmtId="164" fontId="45" fillId="0" borderId="0" applyAlignment="1" pivotButton="0" quotePrefix="0" xfId="0">
      <alignment horizontal="right"/>
    </xf>
    <xf numFmtId="166" fontId="46" fillId="0" borderId="0" pivotButton="0" quotePrefix="0" xfId="0"/>
    <xf numFmtId="164" fontId="51" fillId="2" borderId="0" applyAlignment="1" pivotButton="0" quotePrefix="0" xfId="0">
      <alignment horizontal="right"/>
    </xf>
    <xf numFmtId="164" fontId="48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4" fontId="48" fillId="2" borderId="2" applyAlignment="1" pivotButton="0" quotePrefix="0" xfId="0">
      <alignment horizontal="right"/>
    </xf>
    <xf numFmtId="176" fontId="46" fillId="0" borderId="0" pivotButton="0" quotePrefix="0" xfId="0"/>
    <xf numFmtId="166" fontId="48" fillId="2" borderId="0" applyAlignment="1" pivotButton="0" quotePrefix="0" xfId="0">
      <alignment horizontal="right"/>
    </xf>
    <xf numFmtId="171" fontId="51" fillId="8" borderId="0" applyAlignment="1" pivotButton="0" quotePrefix="0" xfId="0">
      <alignment horizontal="center"/>
    </xf>
    <xf numFmtId="0" fontId="51" fillId="2" borderId="0" applyAlignment="1" pivotButton="0" quotePrefix="0" xfId="0">
      <alignment horizontal="right"/>
    </xf>
    <xf numFmtId="167" fontId="46" fillId="0" borderId="0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73" fontId="46" fillId="0" borderId="0" applyAlignment="1" pivotButton="0" quotePrefix="0" xfId="0">
      <alignment horizontal="right"/>
    </xf>
    <xf numFmtId="166" fontId="46" fillId="0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86" fontId="51" fillId="8" borderId="0" applyAlignment="1" pivotButton="0" quotePrefix="0" xfId="0">
      <alignment horizontal="center"/>
    </xf>
    <xf numFmtId="173" fontId="15" fillId="0" borderId="0" pivotButton="0" quotePrefix="0" xfId="0"/>
    <xf numFmtId="173" fontId="46" fillId="0" borderId="0" pivotButton="0" quotePrefix="0" xfId="0"/>
    <xf numFmtId="167" fontId="51" fillId="2" borderId="2" applyAlignment="1" pivotButton="0" quotePrefix="0" xfId="0">
      <alignment horizontal="right"/>
    </xf>
    <xf numFmtId="172" fontId="51" fillId="8" borderId="0" applyAlignment="1" pivotButton="0" quotePrefix="0" xfId="0">
      <alignment horizontal="center"/>
    </xf>
    <xf numFmtId="164" fontId="48" fillId="6" borderId="2" applyAlignment="1" pivotButton="0" quotePrefix="0" xfId="0">
      <alignment horizontal="right"/>
    </xf>
    <xf numFmtId="164" fontId="41" fillId="2" borderId="0" pivotButton="0" quotePrefix="0" xfId="0"/>
    <xf numFmtId="168" fontId="41" fillId="2" borderId="0" pivotButton="0" quotePrefix="0" xfId="0"/>
    <xf numFmtId="164" fontId="51" fillId="6" borderId="2" applyAlignment="1" pivotButton="0" quotePrefix="0" xfId="0">
      <alignment horizontal="right"/>
    </xf>
    <xf numFmtId="164" fontId="51" fillId="0" borderId="2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164" fontId="48" fillId="0" borderId="2" applyAlignment="1" pivotButton="0" quotePrefix="0" xfId="0">
      <alignment horizontal="right"/>
    </xf>
    <xf numFmtId="0" fontId="56" fillId="0" borderId="0" pivotButton="0" quotePrefix="0" xfId="0"/>
    <xf numFmtId="187" fontId="45" fillId="2" borderId="0" applyAlignment="1" pivotButton="0" quotePrefix="0" xfId="0">
      <alignment horizontal="right"/>
    </xf>
    <xf numFmtId="187" fontId="51" fillId="2" borderId="0" applyAlignment="1" pivotButton="0" quotePrefix="0" xfId="0">
      <alignment horizontal="right"/>
    </xf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0" fontId="57" fillId="0" borderId="0" pivotButton="0" quotePrefix="0" xfId="0"/>
    <xf numFmtId="0" fontId="41" fillId="2" borderId="0" pivotButton="0" quotePrefix="0" xfId="0"/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6" fontId="51" fillId="8" borderId="0" applyAlignment="1" pivotButton="0" quotePrefix="0" xfId="0">
      <alignment horizontal="center"/>
    </xf>
    <xf numFmtId="187" fontId="45" fillId="2" borderId="0" applyAlignment="1" pivotButton="0" quotePrefix="0" xfId="0">
      <alignment horizontal="right"/>
    </xf>
    <xf numFmtId="187" fontId="51" fillId="2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National Security vs. Civil &amp; Commercial, Ultra &amp; Other,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BAH model</author>
  </authors>
  <commentList>
    <comment ref="AU2" authorId="0" shapeId="0">
      <text>
        <t>Scenario toggle. Choose Bull / Base / Bear. Drives: FY27 revenue and adjusted EBITDA guidance end-points (high / mid / low), Q2–Q4/27E buybacks, 2028E–2031E customer-type growth, Ultra growth and margin, legacy adjusted EBITDA margin, book-to-bill, M&amp;A spend and the leverage target for 2028E+ buybacks (scenario table BC:BG).</t>
      </text>
    </comment>
    <comment ref="B11" authorId="0" shapeId="0">
      <text>
        <t>Source: Forms 10-Q / 10-K, revenue note "Revenue by customer type" (Defense, Intelligence, Civil, Global Commercial; "Clients" renamed "Customers" in FY2025; National Security and Civil &amp; Commercial from Q1 FY2027, with Q1 FY26 recast). FY2017–18: FY2019 10-K comparatives (ASC 606 recast). Q4 = fiscal year − nine months.</t>
      </text>
    </comment>
    <comment ref="H11" authorId="0" shapeId="0">
      <text>
        <t>FY2017 revenue by customer from the FY2019 10-K (ASC 606 recast: total $5,809.5m vs $5,804.3m as originally reported).</t>
      </text>
    </comment>
    <comment ref="I11" authorId="0" shapeId="0">
      <text>
        <t>FY2018 revenue by customer from the FY2019 10-K (ASC 606 recast: total $6,167.6m vs $6,171.9m as originally reported).</t>
      </text>
    </comment>
    <comment ref="AL11" authorId="0" shapeId="0">
      <text>
        <t>Q1 FY27: National Security reported as one customer type (Defense + Intelligence).</t>
      </text>
    </comment>
    <comment ref="B28" authorId="0" shapeId="0">
      <text>
        <t>Source: 8-K 22-Jun-2026 (Item 1.01; Ex. 99.1 announcement), 8-K 24-Aug-2026 (Ex. 99.1, closing), Q1 FY27 10-Q Note 5 (subsequent events / agreement).</t>
      </text>
    </comment>
    <comment ref="AP29" authorId="0" shapeId="0">
      <text>
        <t>ASSUMPTION: Ultra revenue is not disclosed. $180m ≈ $720m ÷ 4.0x EV / sales (defense software / edge-compute products). Replace with the Q2 FY27 10-Q.</t>
      </text>
    </comment>
    <comment ref="AP36" authorId="0" shapeId="0">
      <text>
        <t>ASSUMPTION: Defy Security intangibles were 37% of consideration (Q1 FY27 10-Q). Product businesses carry more technology intangibles.</t>
      </text>
    </comment>
    <comment ref="B44" authorId="0" shapeId="0">
      <text>
        <t>Source: Booz Allen earnings releases (Form 8-K Item 2.02, Ex. 99.1) — Exhibit 5 "Operating Data" (backlog as of period end; book-to-bill; headcount; revenue by contract type).</t>
      </text>
    </comment>
    <comment ref="B102" authorId="0" shapeId="0">
      <text>
        <t>Source: Booz Allen earnings releases (Form 8-K Item 2.02, Ex. 99.1) — Exhibit 4 "Adjusted Net Income" reconciliation (amortization of intangible assets FY2012–17; significant acquisition amortization / acquisition amortization from FY2022).</t>
      </text>
    </comment>
    <comment ref="C102" authorId="0" shapeId="0">
      <text>
        <t>Company items (2012): Amortization of intangible assets 16.4</t>
      </text>
    </comment>
    <comment ref="D102" authorId="0" shapeId="0">
      <text>
        <t>Company items (2013): Amortization of intangible assets 12.5</t>
      </text>
    </comment>
    <comment ref="E102" authorId="0" shapeId="0">
      <text>
        <t>Company items (2014): Amortization of intangible assets 8.4</t>
      </text>
    </comment>
    <comment ref="F102" authorId="0" shapeId="0">
      <text>
        <t>Company items (2015): Amortization of intangible assets 4.2</t>
      </text>
    </comment>
    <comment ref="G102" authorId="0" shapeId="0">
      <text>
        <t>Company items (2016): Amortization of intangible assets 4.2</t>
      </text>
    </comment>
    <comment ref="H102" authorId="0" shapeId="0">
      <text>
        <t>Company items (2017): Amortization of intangible assets 4.2</t>
      </text>
    </comment>
    <comment ref="M102" authorId="0" shapeId="0">
      <text>
        <t>Company items (Q1-22): Significant acquisition amortization 2.7</t>
      </text>
    </comment>
    <comment ref="N102" authorId="0" shapeId="0">
      <text>
        <t>Company items (Q2-22): Significant acquisition amortization 11.9</t>
      </text>
    </comment>
    <comment ref="O102" authorId="0" shapeId="0">
      <text>
        <t>Company items (Q3-22): Significant acquisition amortization 11.9</t>
      </text>
    </comment>
    <comment ref="P102" authorId="0" shapeId="0">
      <text>
        <t>Company items (Q4-22): Significant acquisition amortization 11.9</t>
      </text>
    </comment>
    <comment ref="Q102" authorId="0" shapeId="0">
      <text>
        <t>Company items (2022): Significant acquisition amortization 38.3</t>
      </text>
    </comment>
    <comment ref="R102" authorId="0" shapeId="0">
      <text>
        <t>Company items (Q1-23): Significant acquisition amortization 11.1</t>
      </text>
    </comment>
    <comment ref="S102" authorId="0" shapeId="0">
      <text>
        <t>Company items (Q2-23): Significant acquisition amortization 11.1</t>
      </text>
    </comment>
    <comment ref="T102" authorId="0" shapeId="0">
      <text>
        <t>Company items (Q3-23): Significant acquisition amortization 14.1</t>
      </text>
    </comment>
    <comment ref="U102" authorId="0" shapeId="0">
      <text>
        <t>Company items (Q4-23): Significant acquisition amortization 15.3</t>
      </text>
    </comment>
    <comment ref="V102" authorId="0" shapeId="0">
      <text>
        <t>Company items (2023): Significant acquisition amortization 51.6</t>
      </text>
    </comment>
    <comment ref="W102" authorId="0" shapeId="0">
      <text>
        <t>Company items (Q1-24): Significant acquisition amortization 13.1</t>
      </text>
    </comment>
    <comment ref="X102" authorId="0" shapeId="0">
      <text>
        <t>Company items (Q2-24): Significant acquisition amortization 13.6</t>
      </text>
    </comment>
    <comment ref="Y102" authorId="0" shapeId="0">
      <text>
        <t>Company items (Q3-24): Significant acquisition amortization 13.6</t>
      </text>
    </comment>
    <comment ref="Z102" authorId="0" shapeId="0">
      <text>
        <t>Company items (Q4-24): Significant acquisition amortization 13.6</t>
      </text>
    </comment>
    <comment ref="AA102" authorId="0" shapeId="0">
      <text>
        <t>Company items (2024): Significant acquisition amortization 53.9</t>
      </text>
    </comment>
    <comment ref="AB102" authorId="0" shapeId="0">
      <text>
        <t>Company items (Q1-25): Significant acquisition amortization 12.7</t>
      </text>
    </comment>
    <comment ref="AC102" authorId="0" shapeId="0">
      <text>
        <t>Company items (Q2-25): Significant acquisition amortization 13.3</t>
      </text>
    </comment>
    <comment ref="AD102" authorId="0" shapeId="0">
      <text>
        <t>Company items (Q3-25): Significant acquisition amortization 13.4</t>
      </text>
    </comment>
    <comment ref="AE102" authorId="0" shapeId="0">
      <text>
        <t>Company items (Q4-25): Acquisition amortization 13.0</t>
      </text>
    </comment>
    <comment ref="AF102" authorId="0" shapeId="0">
      <text>
        <t>Company items (2025): Acquisition amortization 54.0</t>
      </text>
    </comment>
    <comment ref="AG102" authorId="0" shapeId="0">
      <text>
        <t>Company items (Q1-26): Acquisition amortization 12.0</t>
      </text>
    </comment>
    <comment ref="AH102" authorId="0" shapeId="0">
      <text>
        <t>Company items (Q2-26): Acquisition amortization 12.0</t>
      </text>
    </comment>
    <comment ref="AI102" authorId="0" shapeId="0">
      <text>
        <t>Company items (Q3-26): Acquisition amortization 12.0</t>
      </text>
    </comment>
    <comment ref="AJ102" authorId="0" shapeId="0">
      <text>
        <t>Company items (Q4-26): Acquisition amortization 12.0</t>
      </text>
    </comment>
    <comment ref="AK102" authorId="0" shapeId="0">
      <text>
        <t>Company items (2026): Acquisition amortization 48.0</t>
      </text>
    </comment>
    <comment ref="AL102" authorId="0" shapeId="0">
      <text>
        <t>Company items (Q1-27): Acquisition amortization 15.0</t>
      </text>
    </comment>
    <comment ref="B109" authorId="0" shapeId="0">
      <text>
        <t>Source: Booz Allen earnings releases (Form 8-K Item 2.02, Ex. 99.1) — Exhibit 4 adjusted EBITDA reconciliation; per-period company labels in the cell comments.</t>
      </text>
    </comment>
    <comment ref="D109" authorId="0" shapeId="0">
      <text>
        <t>Company items (2013): Transaction expenses 2.7</t>
      </text>
    </comment>
    <comment ref="F109" authorId="0" shapeId="0">
      <text>
        <t>Company items (2015): Transaction expenses 2.0</t>
      </text>
    </comment>
    <comment ref="H109" authorId="0" shapeId="0">
      <text>
        <t>Company items (2017): Transaction expenses 3.4</t>
      </text>
    </comment>
    <comment ref="J109" authorId="0" shapeId="0">
      <text>
        <t>Company items (2019): Transaction expenses 3.7</t>
      </text>
    </comment>
    <comment ref="K109" authorId="0" shapeId="0">
      <text>
        <t>Company items (2020): Transaction expenses 1.1</t>
      </text>
    </comment>
    <comment ref="L109" authorId="0" shapeId="0">
      <text>
        <t>Company items (2021): Acquisition costs 0.4</t>
      </text>
    </comment>
    <comment ref="M109" authorId="0" shapeId="0">
      <text>
        <t>Company items (Q1-22): Acquisition costs 66.8</t>
      </text>
    </comment>
    <comment ref="N109" authorId="0" shapeId="0">
      <text>
        <t>Company items (Q2-22): Acquisition costs 13.7</t>
      </text>
    </comment>
    <comment ref="O109" authorId="0" shapeId="0">
      <text>
        <t>Company items (Q3-22): Acquisition costs 5.3</t>
      </text>
    </comment>
    <comment ref="P109" authorId="0" shapeId="0">
      <text>
        <t>Company items (Q4-22): Acquisition and divestiture costs 11.7</t>
      </text>
    </comment>
    <comment ref="Q109" authorId="0" shapeId="0">
      <text>
        <t>Company items (2022): Acquisition and divestiture costs 97.5</t>
      </text>
    </comment>
    <comment ref="R109" authorId="0" shapeId="0">
      <text>
        <t>Company items (Q1-23): Acquisition and divestiture costs 5.1</t>
      </text>
    </comment>
    <comment ref="S109" authorId="0" shapeId="0">
      <text>
        <t>Company items (Q2-23): Acquisition and divestiture costs 15.9</t>
      </text>
    </comment>
    <comment ref="T109" authorId="0" shapeId="0">
      <text>
        <t>Company items (Q3-23): Acquisition and divestiture costs 19.1</t>
      </text>
    </comment>
    <comment ref="U109" authorId="0" shapeId="0">
      <text>
        <t>Company items (Q4-23): Acquisition and divestiture costs 4.1</t>
      </text>
    </comment>
    <comment ref="V109" authorId="0" shapeId="0">
      <text>
        <t>Company items (2023): Acquisition and divestiture costs 44.3</t>
      </text>
    </comment>
    <comment ref="W109" authorId="0" shapeId="0">
      <text>
        <t>Company items (Q1-24): Acquisition and divestiture costs 3.3</t>
      </text>
    </comment>
    <comment ref="X109" authorId="0" shapeId="0">
      <text>
        <t>Company items (Q2-24): Acquisition and divestiture costs 0.3</t>
      </text>
    </comment>
    <comment ref="Y109" authorId="0" shapeId="0">
      <text>
        <t>Company items (Q3-24): Acquisition and divestiture costs 2.0</t>
      </text>
    </comment>
    <comment ref="Z109" authorId="0" shapeId="0">
      <text>
        <t>Company items (Q4-24): Acquisition and divestiture costs 2.1</t>
      </text>
    </comment>
    <comment ref="AA109" authorId="0" shapeId="0">
      <text>
        <t>Company items (2024): Acquisition and divestiture costs 7.6</t>
      </text>
    </comment>
    <comment ref="AB109" authorId="0" shapeId="0">
      <text>
        <t>Company items (Q1-25): Acquisition and divestiture costs 5.7</t>
      </text>
    </comment>
    <comment ref="AC109" authorId="0" shapeId="0">
      <text>
        <t>Company items (Q2-25): Acquisition and divestiture costs 1.7</t>
      </text>
    </comment>
    <comment ref="AD109" authorId="0" shapeId="0">
      <text>
        <t>Company items (Q3-25): Acquisition and divestiture costs 0.3</t>
      </text>
    </comment>
    <comment ref="AF109" authorId="0" shapeId="0">
      <text>
        <t>Company items (2025): Acquisition and divestiture costs 8.0</t>
      </text>
    </comment>
    <comment ref="AG109" authorId="0" shapeId="0">
      <text>
        <t>Company items (Q1-26): Other corporate expenses 14.0</t>
      </text>
    </comment>
    <comment ref="AI109" authorId="0" shapeId="0">
      <text>
        <t>Company items (Q3-26): Other corporate expenses 15.0</t>
      </text>
    </comment>
    <comment ref="AJ109" authorId="0" shapeId="0">
      <text>
        <t>Company items (Q4-26): Other corporate expenses 4.0</t>
      </text>
    </comment>
    <comment ref="AK109" authorId="0" shapeId="0">
      <text>
        <t>Company items (2026): Other corporate expenses 33.0</t>
      </text>
    </comment>
    <comment ref="AL109" authorId="0" shapeId="0">
      <text>
        <t>Company items (Q1-27): Other corporate expenses 10.0</t>
      </text>
    </comment>
    <comment ref="C111" authorId="0" shapeId="0">
      <text>
        <t>Company items (2012): Net restructuring charge 11.2</t>
      </text>
    </comment>
    <comment ref="P111" authorId="0" shapeId="0">
      <text>
        <t>Company items (Q4-22): Restructuring costs 4.2</t>
      </text>
    </comment>
    <comment ref="Q111" authorId="0" shapeId="0">
      <text>
        <t>Company items (2022): Restructuring costs 4.2</t>
      </text>
    </comment>
    <comment ref="T112" authorId="0" shapeId="0">
      <text>
        <t>Company items (Q3-23): Legal matter reserve 124.0</t>
      </text>
    </comment>
    <comment ref="U112" authorId="0" shapeId="0">
      <text>
        <t>Company items (Q4-23): Legal matter reserve 226.0</t>
      </text>
    </comment>
    <comment ref="V112" authorId="0" shapeId="0">
      <text>
        <t>Company items (2023): Legal matter reserve 350.0</t>
      </text>
    </comment>
    <comment ref="W112" authorId="0" shapeId="0">
      <text>
        <t>Company items (Q1-24): Legal matter reserve 27.5</t>
      </text>
    </comment>
    <comment ref="X112" authorId="0" shapeId="0">
      <text>
        <t>Company items (Q2-24): Change in provision for claimed indirect costs -18.3</t>
      </text>
    </comment>
    <comment ref="Z112" authorId="0" shapeId="0">
      <text>
        <t>Company items (Q4-24): DC tax assessment adjustment -20.1</t>
      </text>
    </comment>
    <comment ref="AA112" authorId="0" shapeId="0">
      <text>
        <t>Company items (2024): Change in provision for claimed indirect costs -18.3; DC tax assessment adjustment -20.1; Legal matter reserve 27.5</t>
      </text>
    </comment>
    <comment ref="AC112" authorId="0" shapeId="0">
      <text>
        <t>Company items (Q2-25): Change in provision for claimed costs -113.1; Insurance recoveries -115.3</t>
      </text>
    </comment>
    <comment ref="AF112" authorId="0" shapeId="0">
      <text>
        <t>Company items (2025): Change in provision for claimed costs -113.0; Insurance recoveries -115.0</t>
      </text>
    </comment>
    <comment ref="K113" authorId="0" shapeId="0">
      <text>
        <t>Company items (2020): COVID-19 supplemental employee benefit 2.7</t>
      </text>
    </comment>
    <comment ref="L113" authorId="0" shapeId="0">
      <text>
        <t>Company items (2021): COVID-19 supplemental employee benefits 0.6</t>
      </text>
    </comment>
    <comment ref="C114" authorId="0" shapeId="0">
      <text>
        <t>Company items (2012): Certain stock-based compensation expense 14.2</t>
      </text>
    </comment>
    <comment ref="D114" authorId="0" shapeId="0">
      <text>
        <t>Company items (2013): Certain stock-based compensation expense 5.9</t>
      </text>
    </comment>
    <comment ref="E114" authorId="0" shapeId="0">
      <text>
        <t>Company items (2014): Certain stock-based compensation expense 1.1</t>
      </text>
    </comment>
    <comment ref="M115" authorId="0" shapeId="0">
      <text>
        <t>Company items (Q1-22): Financing transaction costs 2.3</t>
      </text>
    </comment>
    <comment ref="Q115" authorId="0" shapeId="0">
      <text>
        <t>Company items (2022): Financing transaction costs 2.3</t>
      </text>
    </comment>
    <comment ref="S115" authorId="0" shapeId="0">
      <text>
        <t>Company items (Q2-23): Financing transaction costs 6.9</t>
      </text>
    </comment>
    <comment ref="V115" authorId="0" shapeId="0">
      <text>
        <t>Company items (2023): Financing transaction costs 6.9</t>
      </text>
    </comment>
    <comment ref="X115" authorId="0" shapeId="0">
      <text>
        <t>Company items (Q2-24): Financing transaction costs 0.8</t>
      </text>
    </comment>
    <comment ref="AA115" authorId="0" shapeId="0">
      <text>
        <t>Company items (2024): Financing transaction costs 0.8</t>
      </text>
    </comment>
    <comment ref="C117" authorId="0" shapeId="0">
      <text>
        <t>Company items (2012): Amortization or write-off of debt issuance costs and write-off of original issue discount 4.8; Net gain on sale of state and local transportation business -5.7</t>
      </text>
    </comment>
    <comment ref="D117" authorId="0" shapeId="0">
      <text>
        <t>Company items (2013): Amortization or write-off of debt issuance costs and write-off of original issue discount 13.0</t>
      </text>
    </comment>
    <comment ref="E117" authorId="0" shapeId="0">
      <text>
        <t>Company items (2014): Amortization or write-off of debt issuance costs and write-off of original issue discount 6.7</t>
      </text>
    </comment>
    <comment ref="F117" authorId="0" shapeId="0">
      <text>
        <t>Company items (2015): Amortization or write-off of debt issuance costs and write-off of original issue discount 6.5</t>
      </text>
    </comment>
    <comment ref="G117" authorId="0" shapeId="0">
      <text>
        <t>Company items (2016): Amortization or write-off of debt issuance costs and write-off of original issue discount 5.2</t>
      </text>
    </comment>
    <comment ref="H117" authorId="0" shapeId="0">
      <text>
        <t>Company items (2017): Amortization or write-off of debt issuance costs and write-off of original issue discount 8.9</t>
      </text>
    </comment>
    <comment ref="I117" authorId="0" shapeId="0">
      <text>
        <t>Company items (2018): Amortization or write-off of debt issuance costs and write-off of original issue discount 2.7</t>
      </text>
    </comment>
    <comment ref="J117" authorId="0" shapeId="0">
      <text>
        <t>Company items (2019): Amortization or write-off of debt issuance costs and write-off of original issue discount 2.9</t>
      </text>
    </comment>
    <comment ref="K117" authorId="0" shapeId="0">
      <text>
        <t>Company items (2020): Amortization or write-off of debt issuance costs and write-off 2.4</t>
      </text>
    </comment>
    <comment ref="L117" authorId="0" shapeId="0">
      <text>
        <t>Company items (2021): Loss on debt extinguishment 13.2; Amortization and write-off of debt issuance costs and debt discount 2.4</t>
      </text>
    </comment>
    <comment ref="M117" authorId="0" shapeId="0">
      <text>
        <t>Company items (Q1-22): Amortization and write-off of debt issuance costs and debt discount 0.9</t>
      </text>
    </comment>
    <comment ref="N117" authorId="0" shapeId="0">
      <text>
        <t>Company items (Q2-22): Gain on consolidation of equity method investment -5.7; Amortization and write-off of debt issuance costs and debt discount 0.8</t>
      </text>
    </comment>
    <comment ref="O117" authorId="0" shapeId="0">
      <text>
        <t>Company items (Q3-22): Gain associated with equity method investment activities -7.1; Amortization and write-off of debt issuance costs and debt discount 0.8</t>
      </text>
    </comment>
    <comment ref="P117" authorId="0" shapeId="0">
      <text>
        <t>Company items (Q4-22): Amortization and write-off of debt issuance costs and debt discount 0.8</t>
      </text>
    </comment>
    <comment ref="Q117" authorId="0" shapeId="0">
      <text>
        <t>Company items (2022): Gain associated with equity method investment activities -12.8; Amortization and write-off of debt issuance costs and debt discount 3.3</t>
      </text>
    </comment>
    <comment ref="R117" authorId="0" shapeId="0">
      <text>
        <t>Company items (Q1-23): Amortization and write-off of debt issuance costs and debt discount 0.8</t>
      </text>
    </comment>
    <comment ref="S117" authorId="0" shapeId="0">
      <text>
        <t>Company items (Q2-23): Amortization and write-off of debt issuance costs and debt discount 4.2; Gain on sale or divestiture -31.2</t>
      </text>
    </comment>
    <comment ref="T117" authorId="0" shapeId="0">
      <text>
        <t>Company items (Q3-23): Gains associated with divestitures or deconsolidation -13.5; Amortization and write-off of debt issuance costs and debt discount 0.8</t>
      </text>
    </comment>
    <comment ref="U117" authorId="0" shapeId="0">
      <text>
        <t>Company items (Q4-23): Amortization or write-off of debt issuance costs and debt discount 0.8</t>
      </text>
    </comment>
    <comment ref="V117" authorId="0" shapeId="0">
      <text>
        <t>Company items (2023): Gains associated with divestitures or deconsolidation -44.6; Amortization or write-off of debt issuance costs and debt discount 6.6</t>
      </text>
    </comment>
    <comment ref="W117" authorId="0" shapeId="0">
      <text>
        <t>Company items (Q1-24): Amortization or write-off of debt issuance costs and debt discount 0.8</t>
      </text>
    </comment>
    <comment ref="X117" authorId="0" shapeId="0">
      <text>
        <t>Company items (Q2-24): Amortization or write-off of debt issuance costs and debt discount 1.1</t>
      </text>
    </comment>
    <comment ref="Y117" authorId="0" shapeId="0">
      <text>
        <t>Company items (Q3-24): Amortization or write-off of debt issuance costs and debt discount 1.1</t>
      </text>
    </comment>
    <comment ref="Z117" authorId="0" shapeId="0">
      <text>
        <t>Company items (Q4-24): Valuation adjustments to cost method investments 5.7; Amortization or write-off of debt issuance costs and debt discount 1.1</t>
      </text>
    </comment>
    <comment ref="AA117" authorId="0" shapeId="0">
      <text>
        <t>Company items (2024): Valuation adjustments to cost method investments 5.7; Amortization or write-off of debt issuance costs and debt discount 4.0</t>
      </text>
    </comment>
    <comment ref="AB117" authorId="0" shapeId="0">
      <text>
        <t>Company items (Q1-25): Amortization or write-off of debt issuance costs and debt discount 1.1</t>
      </text>
    </comment>
    <comment ref="AC117" authorId="0" shapeId="0">
      <text>
        <t>Company items (Q2-25): Amortization or write-off of debt issuance costs and debt discount 1.1</t>
      </text>
    </comment>
    <comment ref="AD117" authorId="0" shapeId="0">
      <text>
        <t>Company items (Q3-25): Amortization or write-off of debt issuance costs and debt discount 1.1</t>
      </text>
    </comment>
    <comment ref="AE117" authorId="0" shapeId="0">
      <text>
        <t>Company items (Q4-25): Amortization or write-off of debt issuance costs and debt discount 1.0</t>
      </text>
    </comment>
    <comment ref="AF117" authorId="0" shapeId="0">
      <text>
        <t>Company items (2025): Amortization or write-off of debt issuance costs and debt discount 4.0</t>
      </text>
    </comment>
    <comment ref="AI117" authorId="0" shapeId="0">
      <text>
        <t>Company items (Q3-26): Gain associated with divestitures -7.0</t>
      </text>
    </comment>
    <comment ref="AK117" authorId="0" shapeId="0">
      <text>
        <t>Company items (2026): Gain associated with divestitures -7.0</t>
      </text>
    </comment>
    <comment ref="B120" authorId="0" shapeId="0">
      <text>
        <t>Source: Booz Allen earnings releases (Form 8-K Item 2.02, Ex. 99.1) — consolidated statements of operations, as originally reported (USD thousands to Q3 FY2025, USD millions from Q4 FY2025).</t>
      </text>
    </comment>
    <comment ref="AC120" authorId="0" shapeId="0">
      <text>
        <t>Q2 FY25 revenue includes the $113m reduction to the provision for claimed costs (adjusted out of adjusted EBITDA).</t>
      </text>
    </comment>
    <comment ref="AE129" authorId="0" shapeId="0">
      <text>
        <t>Q4 FY25: interest expense, net (interest income netted, previously in other income). The FY2025 annual column is on the new basis; Q1–Q3 FY25 on the old.</t>
      </text>
    </comment>
    <comment ref="AG132" authorId="0" shapeId="0">
      <text>
        <t>Q1 FY26: $86m release of tax reserves (IRS agreement); the adjusted net income bridge removes it inside the tax-effect line.</t>
      </text>
    </comment>
    <comment ref="B142" authorId="0" shapeId="0">
      <text>
        <t>Source: XBRL UndistributedEarningsDiluted ("earnings for diluted computations", as first filed; Q4 = FY − 9M).</t>
      </text>
    </comment>
    <comment ref="B145" authorId="0" shapeId="0">
      <text>
        <t>Source: XBRL company facts (WeightedAverageNumberOfSharesOutstandingBasic / Diluted, as first filed); Q4 diluted shares from the release non-GAAP exhibit; Q4 basic = 4 × FY − (Q1+Q2+Q3).</t>
      </text>
    </comment>
    <comment ref="B160" authorId="0" shapeId="0">
      <text>
        <t>Source: Booz Allen earnings releases (Form 8-K Item 2.02, Ex. 99.1) — Exhibit 4 "Adjusted Operating Income" reconciliation (published FY2012 – Q3 FY2025).</t>
      </text>
    </comment>
    <comment ref="B171" authorId="0" shapeId="0">
      <text>
        <t>Source: Booz Allen earnings releases (Form 8-K Item 2.02, Ex. 99.1) — Exhibit 4 "EBITDA, Adjusted EBITDA, Adjusted EBITDA Margin on Revenue" reconciliation.</t>
      </text>
    </comment>
    <comment ref="C197" authorId="0" shapeId="0">
      <text>
        <t>Company items (2012): Adjustments for tax effect -18.6</t>
      </text>
    </comment>
    <comment ref="D197" authorId="0" shapeId="0">
      <text>
        <t>Company items (2013): Adjustments for tax effect -13.6</t>
      </text>
    </comment>
    <comment ref="E197" authorId="0" shapeId="0">
      <text>
        <t>Company items (2014): Adjustments for tax effect -6.5</t>
      </text>
    </comment>
    <comment ref="F197" authorId="0" shapeId="0">
      <text>
        <t>Company items (2015): Adjustments for tax effect -5.1</t>
      </text>
    </comment>
    <comment ref="G197" authorId="0" shapeId="0">
      <text>
        <t>Company items (2016): Adjustments for tax effect -3.8</t>
      </text>
    </comment>
    <comment ref="H197" authorId="0" shapeId="0">
      <text>
        <t>Company items (2017): Adjustments for tax effect -6.6</t>
      </text>
    </comment>
    <comment ref="I197" authorId="0" shapeId="0">
      <text>
        <t>Company items (2018): Adjustments for tax effect -1.0</t>
      </text>
    </comment>
    <comment ref="J197" authorId="0" shapeId="0">
      <text>
        <t>Company items (2019): Adjustments for tax effect -1.7</t>
      </text>
    </comment>
    <comment ref="K197" authorId="0" shapeId="0">
      <text>
        <t>Company items (2020): of original issue discount Adjustments for tax effect -1.6</t>
      </text>
    </comment>
    <comment ref="L197" authorId="0" shapeId="0">
      <text>
        <t>Company items (2021): Adjustments for tax effect -4.3</t>
      </text>
    </comment>
    <comment ref="M197" authorId="0" shapeId="0">
      <text>
        <t>Company items (Q1-22): Adjustments for tax effect -18.9</t>
      </text>
    </comment>
    <comment ref="N197" authorId="0" shapeId="0">
      <text>
        <t>Company items (Q2-22): Adjustments for tax effect -5.4</t>
      </text>
    </comment>
    <comment ref="O197" authorId="0" shapeId="0">
      <text>
        <t>Company items (Q3-22): Adjustments for tax effect -2.8</t>
      </text>
    </comment>
    <comment ref="P197" authorId="0" shapeId="0">
      <text>
        <t>Company items (Q4-22): Adjustments for tax effect -4.3</t>
      </text>
    </comment>
    <comment ref="Q197" authorId="0" shapeId="0">
      <text>
        <t>Company items (2022): Adjustments for tax effect -31.4</t>
      </text>
    </comment>
    <comment ref="R197" authorId="0" shapeId="0">
      <text>
        <t>Company items (Q1-23): Adjustments for tax effect -4.4</t>
      </text>
    </comment>
    <comment ref="S197" authorId="0" shapeId="0">
      <text>
        <t>Company items (Q2-23): Adjustments for tax effect -0.1</t>
      </text>
    </comment>
    <comment ref="T197" authorId="0" shapeId="0">
      <text>
        <t>Company items (Q3-23): Adjustments for tax effect -33.0</t>
      </text>
    </comment>
    <comment ref="U197" authorId="0" shapeId="0">
      <text>
        <t>Company items (Q4-23): Adjustments for tax effect -43.9</t>
      </text>
    </comment>
    <comment ref="V197" authorId="0" shapeId="0">
      <text>
        <t>Company items (2023): Adjustments for tax effect -81.4</t>
      </text>
    </comment>
    <comment ref="W197" authorId="0" shapeId="0">
      <text>
        <t>Company items (Q1-24): Adjustments for tax effect -12.9</t>
      </text>
    </comment>
    <comment ref="X197" authorId="0" shapeId="0">
      <text>
        <t>Company items (Q2-24): Adjustments for tax effect 1.0</t>
      </text>
    </comment>
    <comment ref="Y197" authorId="0" shapeId="0">
      <text>
        <t>Company items (Q3-24): Adjustments for tax effect 22.0</t>
      </text>
    </comment>
    <comment ref="Z197" authorId="0" shapeId="0">
      <text>
        <t>Company items (Q4-24): Adjustments for tax effect 42.1</t>
      </text>
    </comment>
    <comment ref="AA197" authorId="0" shapeId="0">
      <text>
        <t>Company items (2024): Adjustments for tax effect 52.2</t>
      </text>
    </comment>
    <comment ref="AB197" authorId="0" shapeId="0">
      <text>
        <t>Company items (Q1-25): Adjustments for tax effect -5.1</t>
      </text>
    </comment>
    <comment ref="AC197" authorId="0" shapeId="0">
      <text>
        <t>Company items (Q2-25): Adjustments for tax effect 55.2</t>
      </text>
    </comment>
    <comment ref="AD197" authorId="0" shapeId="0">
      <text>
        <t>Company items (Q3-25): Adjustments for tax effect -3.8</t>
      </text>
    </comment>
    <comment ref="AE197" authorId="0" shapeId="0">
      <text>
        <t>Company items (Q4-25): Adjustments for tax effect -4.0</t>
      </text>
    </comment>
    <comment ref="AF197" authorId="0" shapeId="0">
      <text>
        <t>Company items (2025): Adjustments for tax effect 42.0</t>
      </text>
    </comment>
    <comment ref="AG197" authorId="0" shapeId="0">
      <text>
        <t>Company items (Q1-26): Adjustments for tax effect -113.0</t>
      </text>
    </comment>
    <comment ref="AH197" authorId="0" shapeId="0">
      <text>
        <t>Company items (Q2-26): Adjustments for tax effect -4.0</t>
      </text>
    </comment>
    <comment ref="AI197" authorId="0" shapeId="0">
      <text>
        <t>Company items (Q3-26): Adjustments for tax effect -5.0</t>
      </text>
    </comment>
    <comment ref="AJ197" authorId="0" shapeId="0">
      <text>
        <t>Company items (Q4-26): Adjustments for tax effect -6.0</t>
      </text>
    </comment>
    <comment ref="AK197" authorId="0" shapeId="0">
      <text>
        <t>Company items (2026): Adjustments for tax effect -128.0</t>
      </text>
    </comment>
    <comment ref="AL197" authorId="0" shapeId="0">
      <text>
        <t>Company items (Q1-27): Adjustments for tax effect -6.0</t>
      </text>
    </comment>
    <comment ref="C198" authorId="0" shapeId="0">
      <text>
        <t>Company items (2012): Release of income tax reserves -35.0</t>
      </text>
    </comment>
    <comment ref="G198" authorId="0" shapeId="0">
      <text>
        <t>Company items (2016): Release of income tax reserves -53.3</t>
      </text>
    </comment>
    <comment ref="I198" authorId="0" shapeId="0">
      <text>
        <t>Company items (2018): Re-measurement of deferred tax assets/liabilities -9.1</t>
      </text>
    </comment>
    <comment ref="J198" authorId="0" shapeId="0">
      <text>
        <t>Company items (2019): Release of income tax reserves -0.5; Re-measurement of deferred tax assets/liabilities -27.9</t>
      </text>
    </comment>
    <comment ref="K198" authorId="0" shapeId="0">
      <text>
        <t>Company items (2020): Research and development tax credits -38.4; Release of income tax reserves -0.1</t>
      </text>
    </comment>
    <comment ref="L198" authorId="0" shapeId="0">
      <text>
        <t>Company items (2021): Research and development tax credits -2.9; Release of income tax reserves -0.0; Re-measurement of deferred tax assets/liabilities -76.8</t>
      </text>
    </comment>
    <comment ref="B200" authorId="0" shapeId="0">
      <text>
        <t>Source: Booz Allen earnings releases (Form 8-K Item 2.02, Ex. 99.1) — Exhibit 4 "Adjusted Net Income" and "Adjusted Diluted Earnings Per Share".</t>
      </text>
    </comment>
    <comment ref="B229" authorId="0" shapeId="0">
      <text>
        <t>Source: Booz Allen earnings releases (Form 8-K Item 2.02, Ex. 99.1) — consolidated statements of cash flows (year to date; discrete quarters derived, Q4 = FY − 9M). Quarterly deferred taxes from the 10-Q (XBRL DeferredIncomeTaxExpenseBenefit, as first filed).</t>
      </text>
    </comment>
    <comment ref="B276" authorId="0" shapeId="0">
      <text>
        <t>Source: Booz Allen earnings releases (Form 8-K Item 2.02, Ex. 99.1) — consolidated balance sheets (period ends); Class A shares outstanding from XBRL (CommonStockSharesOutstanding, FY2017+).</t>
      </text>
    </comment>
    <comment ref="B321" authorId="0" shapeId="0">
      <text>
        <t>Source: Q1 FY27 10-Q Note 5 (Defy Security, provisional); Ultra (2027E) assumed pending the Q2 FY27 10-Q.</t>
      </text>
    </comment>
    <comment ref="B332" authorId="0" shapeId="0">
      <text>
        <t>Source: release balance sheets; Q1 FY27 10-Q Note 8 (Debt); 8-K 4-Aug-2026 and 424B2 30-Jul-2026 (new notes, use of proceeds).</t>
      </text>
    </comment>
  </commentList>
</comments>
</file>

<file path=xl/comments/comment2.xml><?xml version="1.0" encoding="utf-8"?>
<comments xmlns="http://schemas.openxmlformats.org/spreadsheetml/2006/main">
  <authors>
    <author>BAH model</author>
  </authors>
  <commentList>
    <comment ref="N26" authorId="0" shapeId="0">
      <text>
        <t>P/E on adjusted diluted EPS (company definition). BAH at $75.00 (user-provided, 12-Oct-2026) trades at ~12x FY2027E adjusted EPS. Exit multiples are assumptions: Base 13x, Bull 15x, Bear 10x applied to FY2030E–31E (FY2029E–31E for Bear), reflecting government-services peers and the Civil budget risk.</t>
      </text>
    </comment>
    <comment ref="P40" authorId="0" shapeId="0">
      <text>
        <t>Snapshot (values) of Model rows 266, 265 and 267 (Share Buyback Schedule) with Model!AU2 = Bull / Bear. Base panel (D40:H42) is live-linked.</t>
      </text>
    </comment>
  </commentList>
</comments>
</file>

<file path=xl/comments/comment3.xml><?xml version="1.0" encoding="utf-8"?>
<comments xmlns="http://schemas.openxmlformats.org/spreadsheetml/2006/main">
  <authors>
    <author>BAH model</author>
  </authors>
  <commentList>
    <comment ref="D31" authorId="0" shapeId="0">
      <text>
        <t>FY2027E UFCF excluded from the PV: valuation net debt (C48) is taken at the FY2027E year end, which already reflects the FY2027E cash flows (including the $720m Ultra Mission Solutions payment).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G399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width="13" customWidth="1" style="251" min="10" max="10"/>
    <col width="13" customWidth="1" style="251" min="11" max="11"/>
    <col width="13" customWidth="1" style="251" min="12" max="12"/>
    <col hidden="1" outlineLevel="1" width="9.5703125" customWidth="1" style="251" min="13" max="13"/>
    <col hidden="1" outlineLevel="1" width="9.5703125" customWidth="1" style="251" min="14" max="14"/>
    <col hidden="1" outlineLevel="1" width="9.5703125" customWidth="1" style="251" min="15" max="15"/>
    <col hidden="1" outlineLevel="1" width="9.5703125" customWidth="1" style="251" min="16" max="16"/>
    <col width="13" customWidth="1" style="251" min="17" max="17"/>
    <col hidden="1" outlineLevel="1" width="9.5703125" customWidth="1" style="251" min="18" max="18"/>
    <col hidden="1" outlineLevel="1" width="9.5703125" customWidth="1" style="251" min="19" max="19"/>
    <col hidden="1" outlineLevel="1" width="9.5703125" customWidth="1" style="251" min="20" max="20"/>
    <col hidden="1" outlineLevel="1" width="9.5703125" customWidth="1" style="251" min="21" max="21"/>
    <col width="13" customWidth="1" style="251" min="22" max="22"/>
    <col hidden="1" outlineLevel="1" width="9.5703125" customWidth="1" style="251" min="23" max="23"/>
    <col hidden="1" outlineLevel="1" width="9.5703125" customWidth="1" style="251" min="24" max="24"/>
    <col hidden="1" outlineLevel="1" width="9.5703125" customWidth="1" style="251" min="25" max="25"/>
    <col hidden="1" outlineLevel="1" width="9.5703125" customWidth="1" style="251" min="26" max="26"/>
    <col width="13" customWidth="1" style="251" min="27" max="27"/>
    <col hidden="1" outlineLevel="1" width="9.5703125" customWidth="1" style="251" min="28" max="28"/>
    <col hidden="1" outlineLevel="1" width="9.5703125" customWidth="1" style="251" min="29" max="29"/>
    <col hidden="1" outlineLevel="1" width="9.5703125" customWidth="1" style="251" min="30" max="30"/>
    <col hidden="1" outlineLevel="1" width="9.5703125" customWidth="1" style="251" min="31" max="31"/>
    <col width="13" customWidth="1" style="251" min="32" max="32"/>
    <col hidden="1" outlineLevel="1" width="9.5703125" customWidth="1" style="251" min="33" max="33"/>
    <col hidden="1" outlineLevel="1" width="9.5703125" customWidth="1" style="251" min="34" max="34"/>
    <col hidden="1" outlineLevel="1" width="9.5703125" customWidth="1" style="251" min="35" max="35"/>
    <col hidden="1" outlineLevel="1" width="9.5703125" customWidth="1" style="251" min="36" max="36"/>
    <col width="13" customWidth="1" style="251" min="37" max="37"/>
    <col hidden="1" outlineLevel="1" width="9.5703125" customWidth="1" style="251" min="38" max="38"/>
    <col hidden="1" outlineLevel="1" width="11.42578125" customWidth="1" style="251" min="39" max="39"/>
    <col hidden="1" outlineLevel="1" width="11.42578125" customWidth="1" style="251" min="40" max="40"/>
    <col hidden="1" outlineLevel="1" width="11.42578125" customWidth="1" style="251" min="41" max="41"/>
    <col width="14.140625" customWidth="1" style="251" min="42" max="42"/>
    <col width="13" customWidth="1" style="251" min="43" max="43"/>
    <col width="13" customWidth="1" style="251" min="44" max="44"/>
    <col width="13" customWidth="1" style="251" min="45" max="45"/>
    <col width="13" customWidth="1" style="251" min="46" max="46"/>
    <col width="86.85546875" customWidth="1" style="251" min="47" max="47"/>
    <col width="2" customWidth="1" style="251" min="48" max="48"/>
    <col width="14.140625" customWidth="1" style="251" min="49" max="49"/>
    <col width="12.42578125" customWidth="1" style="251" min="50" max="50"/>
    <col width="13.42578125" customWidth="1" style="251" min="51" max="51"/>
    <col width="13" customWidth="1" style="251" min="52" max="52"/>
    <col width="2" customWidth="1" style="251" min="53" max="53"/>
    <col width="6" customWidth="1" style="251" min="54" max="54"/>
    <col width="46" customWidth="1" style="251" min="55" max="55"/>
    <col width="11.5703125" customWidth="1" style="251" min="56" max="56"/>
    <col width="13" customWidth="1" style="251" min="57" max="57"/>
    <col width="13" customWidth="1" style="251" min="58" max="58"/>
    <col width="60" customWidth="1" style="251" min="59" max="59"/>
  </cols>
  <sheetData>
    <row r="1" ht="15" customHeight="1" s="251">
      <c r="AU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Booz Allen Hamilton Holding Corporation (NYSE: BAH) — 3-Statement Financial Model</t>
        </is>
      </c>
      <c r="AU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millions) · Fiscal years ended 31 March (2027 = Apr-2026 – Mar-2027) · Source: Booz Allen Forms 10-K / 10-Q, Form 8-K earnings releases (Ex. 99.1), deal and financing 8-Ks and the Jul-2026 424B2, SEC EDGAR (CIK 1443646); XBRL company facts; investor-relations releases are the same documents as filed on EDGAR</t>
        </is>
      </c>
    </row>
    <row r="4" ht="15" customHeight="1" s="251">
      <c r="B4" s="5" t="inlineStr">
        <is>
          <t>Basis notes: as originally reported in each period's release; one reportable segment (revenue by customer type: Defense / Intelligence / Civil / Global Commercial to FY2026, National Security / Civil &amp; Commercial from Q1 FY2027); USD thousands to Q3 FY2025, millions from Q4 FY2025. Acquisitions: Liberty Jun-21, EverWatch Oct-22, PGSC FY25, Defy Apr-26, Ultra Mission Solutions 24-Aug-26 ($720m). Q2–Q4/27E calibrated to FY27 revenue and adjusted EBITDA guidance (22-May-2026, reiterated 24-Jul-2026; assumed to exclude Ultra).</t>
        </is>
      </c>
    </row>
    <row r="5" ht="15" customHeight="1" s="251">
      <c r="AM5" s="153" t="n"/>
      <c r="AN5" s="153" t="n"/>
      <c r="AO5" s="153" t="n"/>
      <c r="AP5" s="153" t="n"/>
      <c r="AQ5" s="153" t="n"/>
      <c r="AR5" s="153" t="n"/>
      <c r="AS5" s="153" t="n"/>
      <c r="AT5" s="153" t="n"/>
      <c r="AW5" s="6" t="inlineStr">
        <is>
          <t>Forecast</t>
        </is>
      </c>
      <c r="AX5" s="6" t="inlineStr">
        <is>
          <t>Historical</t>
        </is>
      </c>
      <c r="AY5" s="6" t="inlineStr">
        <is>
          <t>Historical</t>
        </is>
      </c>
      <c r="AZ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2012</v>
      </c>
      <c r="D6" s="8" t="n">
        <v>2013</v>
      </c>
      <c r="E6" s="8" t="n">
        <v>2014</v>
      </c>
      <c r="F6" s="8" t="n">
        <v>2015</v>
      </c>
      <c r="G6" s="8" t="n">
        <v>2016</v>
      </c>
      <c r="H6" s="8" t="n">
        <v>2017</v>
      </c>
      <c r="I6" s="8" t="n">
        <v>2018</v>
      </c>
      <c r="J6" s="8" t="n">
        <v>2019</v>
      </c>
      <c r="K6" s="8" t="n">
        <v>2020</v>
      </c>
      <c r="L6" s="8" t="n">
        <v>2021</v>
      </c>
      <c r="M6" s="8" t="inlineStr">
        <is>
          <t>Q1/22</t>
        </is>
      </c>
      <c r="N6" s="8" t="inlineStr">
        <is>
          <t>Q2/22</t>
        </is>
      </c>
      <c r="O6" s="8" t="inlineStr">
        <is>
          <t>Q3/22</t>
        </is>
      </c>
      <c r="P6" s="8" t="inlineStr">
        <is>
          <t>Q4/22</t>
        </is>
      </c>
      <c r="Q6" s="8" t="n">
        <v>2022</v>
      </c>
      <c r="R6" s="8" t="inlineStr">
        <is>
          <t>Q1/23</t>
        </is>
      </c>
      <c r="S6" s="8" t="inlineStr">
        <is>
          <t>Q2/23</t>
        </is>
      </c>
      <c r="T6" s="8" t="inlineStr">
        <is>
          <t>Q3/23</t>
        </is>
      </c>
      <c r="U6" s="8" t="inlineStr">
        <is>
          <t>Q4/23</t>
        </is>
      </c>
      <c r="V6" s="8" t="n">
        <v>2023</v>
      </c>
      <c r="W6" s="8" t="inlineStr">
        <is>
          <t>Q1/24</t>
        </is>
      </c>
      <c r="X6" s="8" t="inlineStr">
        <is>
          <t>Q2/24</t>
        </is>
      </c>
      <c r="Y6" s="8" t="inlineStr">
        <is>
          <t>Q3/24</t>
        </is>
      </c>
      <c r="Z6" s="8" t="inlineStr">
        <is>
          <t>Q4/24</t>
        </is>
      </c>
      <c r="AA6" s="8" t="n">
        <v>2024</v>
      </c>
      <c r="AB6" s="8" t="inlineStr">
        <is>
          <t>Q1/25</t>
        </is>
      </c>
      <c r="AC6" s="8" t="inlineStr">
        <is>
          <t>Q2/25</t>
        </is>
      </c>
      <c r="AD6" s="8" t="inlineStr">
        <is>
          <t>Q3/25</t>
        </is>
      </c>
      <c r="AE6" s="8" t="inlineStr">
        <is>
          <t>Q4/25</t>
        </is>
      </c>
      <c r="AF6" s="8" t="n">
        <v>2025</v>
      </c>
      <c r="AG6" s="8" t="inlineStr">
        <is>
          <t>Q1/26</t>
        </is>
      </c>
      <c r="AH6" s="8" t="inlineStr">
        <is>
          <t>Q2/26</t>
        </is>
      </c>
      <c r="AI6" s="8" t="inlineStr">
        <is>
          <t>Q3/26</t>
        </is>
      </c>
      <c r="AJ6" s="8" t="inlineStr">
        <is>
          <t>Q4/26</t>
        </is>
      </c>
      <c r="AK6" s="8" t="n">
        <v>2026</v>
      </c>
      <c r="AL6" s="8" t="inlineStr">
        <is>
          <t>Q1/27</t>
        </is>
      </c>
      <c r="AM6" s="8" t="inlineStr">
        <is>
          <t>Q2/27E</t>
        </is>
      </c>
      <c r="AN6" s="8" t="inlineStr">
        <is>
          <t>Q3/27E</t>
        </is>
      </c>
      <c r="AO6" s="8" t="inlineStr">
        <is>
          <t>Q4/27E</t>
        </is>
      </c>
      <c r="AP6" s="8" t="inlineStr">
        <is>
          <t>2027E</t>
        </is>
      </c>
      <c r="AQ6" s="8" t="inlineStr">
        <is>
          <t>2028E</t>
        </is>
      </c>
      <c r="AR6" s="8" t="inlineStr">
        <is>
          <t>2029E</t>
        </is>
      </c>
      <c r="AS6" s="8" t="inlineStr">
        <is>
          <t>2030E</t>
        </is>
      </c>
      <c r="AT6" s="8" t="inlineStr">
        <is>
          <t>2031E</t>
        </is>
      </c>
      <c r="AU6" s="8" t="inlineStr">
        <is>
          <t>Modelling Notes</t>
        </is>
      </c>
      <c r="AW6" s="6" t="inlineStr">
        <is>
          <t>5Y CAGR</t>
        </is>
      </c>
      <c r="AX6" s="6" t="inlineStr">
        <is>
          <t>5Y CAGR</t>
        </is>
      </c>
      <c r="AY6" s="6" t="inlineStr">
        <is>
          <t>10Y CAGR</t>
        </is>
      </c>
      <c r="AZ6" s="6" t="inlineStr">
        <is>
          <t>14Y CAGR</t>
        </is>
      </c>
    </row>
    <row r="7" ht="15" customHeight="1" s="251">
      <c r="AW7" s="9" t="inlineStr">
        <is>
          <t>26-'31</t>
        </is>
      </c>
      <c r="AX7" s="9" t="inlineStr">
        <is>
          <t>21-'26</t>
        </is>
      </c>
      <c r="AY7" s="9" t="inlineStr">
        <is>
          <t>16-'26</t>
        </is>
      </c>
      <c r="AZ7" s="9" t="inlineStr">
        <is>
          <t>12-'26</t>
        </is>
      </c>
    </row>
    <row r="8" ht="15" customHeight="1" s="251">
      <c r="B8" s="10" t="inlineStr">
        <is>
          <t>REVENUE BUILD — CUSTOMER TYPE (NATIONAL SECURITY · CIVIL &amp; COMMERCIAL) · ULTRA MISSION SOLUTIONS · BACKLOG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inlineStr">
        <is>
          <t>REVENUE BUILD — modelling logic (one reportable segment: revenue by customer type → + Ultra Mission Solutions (closed 24-Aug-2026) + future M&amp;A = revenue; adjusted EBITDA = revenue × margin → GAAP P&amp;L)</t>
        </is>
      </c>
    </row>
    <row r="9" ht="15" customHeight="1" s="251">
      <c r="BC9" s="11" t="inlineStr">
        <is>
          <t>SCENARIO INPUT TABLE — driver assumptions per Bull / Base / Bear</t>
        </is>
      </c>
      <c r="BD9" s="12" t="inlineStr">
        <is>
          <t>Bull</t>
        </is>
      </c>
      <c r="BE9" s="12" t="inlineStr">
        <is>
          <t>Base</t>
        </is>
      </c>
      <c r="BF9" s="12" t="inlineStr">
        <is>
          <t>Bear</t>
        </is>
      </c>
      <c r="BG9" s="13" t="inlineStr">
        <is>
          <t>Bull / Bear = Base + Δ (Δ inputs on each block header). Outlook block = high / mid / low end of the FY27 guidance ranges.</t>
        </is>
      </c>
    </row>
    <row r="10" ht="15" customHeight="1" s="251">
      <c r="B10" s="14" t="inlineStr">
        <is>
          <t>National Security (Defense + Intelligence customers; one customer type from Q1 FY2027)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5" t="inlineStr">
        <is>
          <t>NATIONAL SECURITY — modelling logic</t>
        </is>
      </c>
    </row>
    <row r="11" ht="15" customHeight="1" s="251">
      <c r="B11" s="25" t="inlineStr">
        <is>
          <t xml:space="preserve">  National Security revenue (Defense + Intelligence)</t>
        </is>
      </c>
      <c r="C11" s="34" t="n"/>
      <c r="D11" s="34" t="n"/>
      <c r="E11" s="34" t="n"/>
      <c r="F11" s="34" t="n"/>
      <c r="G11" s="34" t="n"/>
      <c r="H11" s="253" t="n">
        <v>4044.19</v>
      </c>
      <c r="I11" s="253" t="n">
        <v>4324.591</v>
      </c>
      <c r="J11" s="253" t="n">
        <v>4681.441</v>
      </c>
      <c r="K11" s="253" t="n">
        <v>5182.974</v>
      </c>
      <c r="L11" s="253" t="n">
        <v>5470.213</v>
      </c>
      <c r="M11" s="253" t="n">
        <v>1352.682</v>
      </c>
      <c r="N11" s="253" t="n">
        <v>1392.743</v>
      </c>
      <c r="O11" s="253" t="n">
        <v>1315.148</v>
      </c>
      <c r="P11" s="253" t="n">
        <v>1467.936</v>
      </c>
      <c r="Q11" s="253" t="n">
        <v>5528.51</v>
      </c>
      <c r="R11" s="253" t="n">
        <v>1428.874</v>
      </c>
      <c r="S11" s="253" t="n">
        <v>1451.651</v>
      </c>
      <c r="T11" s="253" t="n">
        <v>1462.762</v>
      </c>
      <c r="U11" s="253" t="n">
        <v>1561.085</v>
      </c>
      <c r="V11" s="253" t="n">
        <v>5904.372</v>
      </c>
      <c r="W11" s="253" t="n">
        <v>1700.814</v>
      </c>
      <c r="X11" s="253" t="n">
        <v>1715.117</v>
      </c>
      <c r="Y11" s="253" t="n">
        <v>1633.019</v>
      </c>
      <c r="Z11" s="253" t="n">
        <v>1781.234</v>
      </c>
      <c r="AA11" s="253" t="n">
        <v>6830.184</v>
      </c>
      <c r="AB11" s="253" t="n">
        <v>1877.909</v>
      </c>
      <c r="AC11" s="253" t="n">
        <v>2040.528</v>
      </c>
      <c r="AD11" s="253" t="n">
        <v>1905.873</v>
      </c>
      <c r="AE11" s="253" t="n">
        <v>1985.69</v>
      </c>
      <c r="AF11" s="253" t="n">
        <v>7810</v>
      </c>
      <c r="AG11" s="253" t="n">
        <v>2001</v>
      </c>
      <c r="AH11" s="253" t="n">
        <v>2063</v>
      </c>
      <c r="AI11" s="253" t="n">
        <v>1888</v>
      </c>
      <c r="AJ11" s="253" t="n">
        <v>2017</v>
      </c>
      <c r="AK11" s="253" t="n">
        <v>7969</v>
      </c>
      <c r="AL11" s="253" t="n">
        <v>2028</v>
      </c>
      <c r="AM11" s="254">
        <f>AH11*(1+AM12)</f>
        <v>2254.23354780583</v>
      </c>
      <c r="AN11" s="254">
        <f>AI11*(1+AN12)</f>
        <v>2063.01160361483</v>
      </c>
      <c r="AO11" s="254">
        <f>AJ11*(1+AO12)</f>
        <v>2203.96949390419</v>
      </c>
      <c r="AP11" s="254">
        <f>SUM(AL11,AM11,AN11,AO11)</f>
        <v>8549.21464532485</v>
      </c>
      <c r="AQ11" s="254">
        <f>AP11*(1+AQ12)</f>
        <v>8891.18323113785</v>
      </c>
      <c r="AR11" s="254">
        <f>AQ11*(1+AR12)</f>
        <v>9335.74239269474</v>
      </c>
      <c r="AS11" s="254">
        <f>AR11*(1+AS12)</f>
        <v>9802.52951232948</v>
      </c>
      <c r="AT11" s="254">
        <f>AS11*(1+AT12)</f>
        <v>10292.655987946</v>
      </c>
      <c r="AU11" s="19" t="inlineStr">
        <is>
          <t>Revenue by customer type (10-Q / 10-K revenue note; FY2017–18 from the FY2019 10-K comparatives; Q4 = fiscal year − nine months). Q2–Q4/27E: prior-year quarter × (1 + growth). 2028E+: prior year × (1 + scenario lever). Excludes Ultra (own block below).</t>
        </is>
      </c>
      <c r="AW11" s="20">
        <f>IFERROR((AT11/AK11)^(1/5)-1,"n/m")</f>
        <v>0.0525063534892722</v>
      </c>
      <c r="AX11" s="20">
        <f>IFERROR((AK11/L11)^(1/5)-1,"n/m")</f>
        <v>0.078151813923399</v>
      </c>
      <c r="AY11" s="20" t="str">
        <f>IFERROR((AK11/G11)^(1/10)-1,"n/m")</f>
        <v>n/m</v>
      </c>
      <c r="AZ11" s="20" t="str">
        <f>IFERROR((AK11/C11)^(1/14)-1,"n/m")</f>
        <v>n/m</v>
      </c>
      <c r="BC11" s="15" t="inlineStr">
        <is>
          <t>FY27 guidance — Q4 FY26 release (22-May-2026), reiterated in the Q1 FY27 release (24-Jul-2026)</t>
        </is>
      </c>
      <c r="BD11" s="21" t="inlineStr">
        <is>
          <t>High</t>
        </is>
      </c>
      <c r="BE11" s="21" t="inlineStr">
        <is>
          <t>Mid</t>
        </is>
      </c>
      <c r="BF11" s="21" t="inlineStr">
        <is>
          <t>Low</t>
        </is>
      </c>
      <c r="BG11" s="13" t="inlineStr">
        <is>
          <t>Revenue $11.2–11.7bn (0–4% growth), adjusted EBITDA $1,240–1,290m (~11% margin), adjusted diluted EPS $6.00–6.35, free cash flow $825–925m; effective tax rate 20–23%, average diluted shares 118–120m, capex ~$220m ($105m new headquarters). Assumed to exclude Ultra (see the Ultra block).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  <v>0.0693342795467078</v>
      </c>
      <c r="J12" s="255">
        <f>IF(AND(ISNUMBER(J11),ISNUMBER(I11)),IFERROR(J11/I11-1,""),"")</f>
        <v>0.0825164738122055</v>
      </c>
      <c r="K12" s="255">
        <f>IF(AND(ISNUMBER(K11),ISNUMBER(J11)),IFERROR(K11/J11-1,""),"")</f>
        <v>0.107132184299663</v>
      </c>
      <c r="L12" s="255">
        <f>IF(AND(ISNUMBER(L11),ISNUMBER(K11)),IFERROR(L11/K11-1,""),"")</f>
        <v>0.055419726203527</v>
      </c>
      <c r="M12" s="23" t="n"/>
      <c r="N12" s="23" t="n"/>
      <c r="O12" s="23" t="n"/>
      <c r="P12" s="23" t="n"/>
      <c r="Q12" s="255">
        <f>IF(AND(ISNUMBER(Q11),ISNUMBER(L11)),IFERROR(Q11/L11-1,""),"")</f>
        <v>0.0106571718505295</v>
      </c>
      <c r="R12" s="255">
        <f>IF(AND(ISNUMBER(R11),ISNUMBER(M11)),IFERROR(R11/M11-1,""),"")</f>
        <v>0.0563266163074543</v>
      </c>
      <c r="S12" s="255">
        <f>IF(AND(ISNUMBER(S11),ISNUMBER(N11)),IFERROR(S11/N11-1,""),"")</f>
        <v>0.0422963892117929</v>
      </c>
      <c r="T12" s="255">
        <f>IF(AND(ISNUMBER(T11),ISNUMBER(O11)),IFERROR(T11/O11-1,""),"")</f>
        <v>0.112241359907782</v>
      </c>
      <c r="U12" s="255">
        <f>IF(AND(ISNUMBER(U11),ISNUMBER(P11)),IFERROR(U11/P11-1,""),"")</f>
        <v>0.0634557637390187</v>
      </c>
      <c r="V12" s="255">
        <f>IF(AND(ISNUMBER(V11),ISNUMBER(Q11)),IFERROR(V11/Q11-1,""),"")</f>
        <v>0.0679861300784479</v>
      </c>
      <c r="W12" s="255">
        <f>IF(AND(ISNUMBER(W11),ISNUMBER(R11)),IFERROR(W11/R11-1,""),"")</f>
        <v>0.190317690713107</v>
      </c>
      <c r="X12" s="255">
        <f>IF(AND(ISNUMBER(X11),ISNUMBER(S11)),IFERROR(X11/S11-1,""),"")</f>
        <v>0.181494036789834</v>
      </c>
      <c r="Y12" s="255">
        <f>IF(AND(ISNUMBER(Y11),ISNUMBER(T11)),IFERROR(Y11/T11-1,""),"")</f>
        <v>0.11639419126283</v>
      </c>
      <c r="Z12" s="255">
        <f>IF(AND(ISNUMBER(Z11),ISNUMBER(U11)),IFERROR(Z11/U11-1,""),"")</f>
        <v>0.141023070492638</v>
      </c>
      <c r="AA12" s="255">
        <f>IF(AND(ISNUMBER(AA11),ISNUMBER(V11)),IFERROR(AA11/V11-1,""),"")</f>
        <v>0.156801095865911</v>
      </c>
      <c r="AB12" s="255">
        <f>IF(AND(ISNUMBER(AB11),ISNUMBER(W11)),IFERROR(AB11/W11-1,""),"")</f>
        <v>0.10412367254738</v>
      </c>
      <c r="AC12" s="255">
        <f>IF(AND(ISNUMBER(AC11),ISNUMBER(X11)),IFERROR(AC11/X11-1,""),"")</f>
        <v>0.189731079570665</v>
      </c>
      <c r="AD12" s="255">
        <f>IF(AND(ISNUMBER(AD11),ISNUMBER(Y11)),IFERROR(AD11/Y11-1,""),"")</f>
        <v>0.167085624845761</v>
      </c>
      <c r="AE12" s="255">
        <f>IF(AND(ISNUMBER(AE11),ISNUMBER(Z11)),IFERROR(AE11/Z11-1,""),"")</f>
        <v>0.114783346825852</v>
      </c>
      <c r="AF12" s="255">
        <f>IF(AND(ISNUMBER(AF11),ISNUMBER(AA11)),IFERROR(AF11/AA11-1,""),"")</f>
        <v>0.143453822034663</v>
      </c>
      <c r="AG12" s="255">
        <f>IF(AND(ISNUMBER(AG11),ISNUMBER(AB11)),IFERROR(AG11/AB11-1,""),"")</f>
        <v>0.0655468395965939</v>
      </c>
      <c r="AH12" s="255">
        <f>IF(AND(ISNUMBER(AH11),ISNUMBER(AC11)),IFERROR(AH11/AC11-1,""),"")</f>
        <v>0.0110128358934549</v>
      </c>
      <c r="AI12" s="255">
        <f>IF(AND(ISNUMBER(AI11),ISNUMBER(AD11)),IFERROR(AI11/AD11-1,""),"")</f>
        <v>-0.00937785466292873</v>
      </c>
      <c r="AJ12" s="255">
        <f>IF(AND(ISNUMBER(AJ11),ISNUMBER(AE11)),IFERROR(AJ11/AE11-1,""),"")</f>
        <v>0.015767818743107</v>
      </c>
      <c r="AK12" s="255">
        <f>IF(AND(ISNUMBER(AK11),ISNUMBER(AF11)),IFERROR(AK11/AF11-1,""),"")</f>
        <v>0.0203585147247118</v>
      </c>
      <c r="AL12" s="255">
        <f>IF(AND(ISNUMBER(AL11),ISNUMBER(AG11)),IFERROR(AL11/AG11-1,""),"")</f>
        <v>0.0134932533733134</v>
      </c>
      <c r="AM12" s="256">
        <f>AM13+$AM$87</f>
        <v>0.0926968239485344</v>
      </c>
      <c r="AN12" s="256">
        <f>AN13+$AM$87</f>
        <v>0.0926968239485344</v>
      </c>
      <c r="AO12" s="256">
        <f>AO13+$AM$87</f>
        <v>0.0926968239485344</v>
      </c>
      <c r="AP12" s="256">
        <f>IF(AND(ISNUMBER(AP11),ISNUMBER(AK11)),IFERROR(AP11/AK11-1,""),"")</f>
        <v>0.0728089654065571</v>
      </c>
      <c r="AQ12" s="256">
        <f>CHOOSE(MATCH($AU$2,{"Bull","Base","Bear"},0),$BD$35,$BE$35,$BF$35)</f>
        <v>0.04</v>
      </c>
      <c r="AR12" s="256">
        <f>CHOOSE(MATCH($AU$2,{"Bull","Base","Bear"},0),$BD$36,$BE$36,$BF$36)</f>
        <v>0.05</v>
      </c>
      <c r="AS12" s="256">
        <f>CHOOSE(MATCH($AU$2,{"Bull","Base","Bear"},0),$BD$37,$BE$37,$BF$37)</f>
        <v>0.05</v>
      </c>
      <c r="AT12" s="256">
        <f>CHOOSE(MATCH($AU$2,{"Bull","Base","Bear"},0),$BD$38,$BE$38,$BF$38)</f>
        <v>0.05</v>
      </c>
      <c r="AU12" s="153" t="inlineStr">
        <is>
          <t>Q2–Q4/27E: Q1/27 y/y growth + guidance-calibration Δ (Group block). 2028E–2031E: scenario lever (Bull/Base/Bear table →).</t>
        </is>
      </c>
      <c r="BC12" s="25" t="inlineStr">
        <is>
          <t xml:space="preserve">  FY27 revenue ($m; legacy basis, excl. Ultra)</t>
        </is>
      </c>
      <c r="BD12" s="257" t="n">
        <v>11700</v>
      </c>
      <c r="BE12" s="257" t="n">
        <v>11450</v>
      </c>
      <c r="BF12" s="257" t="n">
        <v>11200</v>
      </c>
      <c r="BG12" s="13" t="inlineStr">
        <is>
          <t>Guided $11.2–11.7bn. Drives the Q2–Q4/27E revenue calibration.</t>
        </is>
      </c>
    </row>
    <row r="13" ht="15" customHeight="1" s="251">
      <c r="B13" s="25" t="inlineStr">
        <is>
          <t xml:space="preserve">    Q2–Q4/27E growth before calibration (Q1/27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256">
        <f>IFERROR(AL11/AG11-1,0)</f>
        <v>0.0134932533733134</v>
      </c>
      <c r="AN13" s="256">
        <f>IFERROR(AL11/AG11-1,0)</f>
        <v>0.0134932533733134</v>
      </c>
      <c r="AO13" s="256">
        <f>IFERROR(AL11/AG11-1,0)</f>
        <v>0.0134932533733134</v>
      </c>
      <c r="AP13" s="24" t="n"/>
      <c r="AQ13" s="46" t="n"/>
      <c r="AR13" s="46" t="n"/>
      <c r="AS13" s="46" t="n"/>
      <c r="AT13" s="46" t="n"/>
      <c r="AU13" s="19" t="n"/>
      <c r="BC13" s="25" t="inlineStr">
        <is>
          <t xml:space="preserve">  FY27 adjusted EBITDA ($m; legacy basis)</t>
        </is>
      </c>
      <c r="BD13" s="257" t="n">
        <v>1290</v>
      </c>
      <c r="BE13" s="257" t="n">
        <v>1265</v>
      </c>
      <c r="BF13" s="257" t="n">
        <v>1240</v>
      </c>
      <c r="BG13" s="13" t="inlineStr">
        <is>
          <t>Guided $1,240–1,290m. Drives the Q2–Q4/27E adjusted EBITDA margin calibration.</t>
        </is>
      </c>
    </row>
    <row r="14" ht="15" customHeight="1" s="251">
      <c r="B14" s="25" t="inlineStr">
        <is>
          <t xml:space="preserve">  National Security % of revenue</t>
        </is>
      </c>
      <c r="C14" s="215">
        <f>IF(AND(ISNUMBER(C11),ISNUMBER(C120)),IFERROR(C11/C120,""),"")</f>
      </c>
      <c r="D14" s="215">
        <f>IF(AND(ISNUMBER(D11),ISNUMBER(D120)),IFERROR(D11/D120,""),"")</f>
      </c>
      <c r="E14" s="215">
        <f>IF(AND(ISNUMBER(E11),ISNUMBER(E120)),IFERROR(E11/E120,""),"")</f>
      </c>
      <c r="F14" s="215">
        <f>IF(AND(ISNUMBER(F11),ISNUMBER(F120)),IFERROR(F11/F120,""),"")</f>
      </c>
      <c r="G14" s="215">
        <f>IF(AND(ISNUMBER(G11),ISNUMBER(G120)),IFERROR(G11/G120,""),"")</f>
      </c>
      <c r="H14" s="215">
        <f>IF(AND(ISNUMBER(H11),ISNUMBER(H120)),IFERROR(H11/H120,""),"")</f>
        <v>0.696759496950873</v>
      </c>
      <c r="I14" s="215">
        <f>IF(AND(ISNUMBER(I11),ISNUMBER(I120)),IFERROR(I11/I120,""),"")</f>
        <v>0.700695722986273</v>
      </c>
      <c r="J14" s="215">
        <f>IF(AND(ISNUMBER(J11),ISNUMBER(J120)),IFERROR(J11/J120,""),"")</f>
        <v>0.698301784432276</v>
      </c>
      <c r="K14" s="215">
        <f>IF(AND(ISNUMBER(K11),ISNUMBER(K120)),IFERROR(K11/K120,""),"")</f>
        <v>0.694411094770106</v>
      </c>
      <c r="L14" s="215">
        <f>IF(AND(ISNUMBER(L11),ISNUMBER(L120)),IFERROR(L11/L120,""),"")</f>
        <v>0.696049898854018</v>
      </c>
      <c r="M14" s="215">
        <f>IF(AND(ISNUMBER(M11),ISNUMBER(M120)),IFERROR(M11/M120,""),"")</f>
        <v>0.680058881907388</v>
      </c>
      <c r="N14" s="215">
        <f>IF(AND(ISNUMBER(N11),ISNUMBER(N120)),IFERROR(N11/N120,""),"")</f>
        <v>0.661309530027473</v>
      </c>
      <c r="O14" s="215">
        <f>IF(AND(ISNUMBER(O11),ISNUMBER(O120)),IFERROR(O11/O120,""),"")</f>
        <v>0.647690246833323</v>
      </c>
      <c r="P14" s="215">
        <f>IF(AND(ISNUMBER(P11),ISNUMBER(P120)),IFERROR(P11/P120,""),"")</f>
        <v>0.655891935751958</v>
      </c>
      <c r="Q14" s="215">
        <f>IF(AND(ISNUMBER(Q11),ISNUMBER(Q120)),IFERROR(Q11/Q120,""),"")</f>
        <v>0.661012470557289</v>
      </c>
      <c r="R14" s="215">
        <f>IF(AND(ISNUMBER(R11),ISNUMBER(R120)),IFERROR(R11/R120,""),"")</f>
        <v>0.635168029871977</v>
      </c>
      <c r="S14" s="215">
        <f>IF(AND(ISNUMBER(S11),ISNUMBER(S120)),IFERROR(S11/S120,""),"")</f>
        <v>0.631433733975474</v>
      </c>
      <c r="T14" s="215">
        <f>IF(AND(ISNUMBER(T11),ISNUMBER(T120)),IFERROR(T11/T120,""),"")</f>
        <v>0.642386676937157</v>
      </c>
      <c r="U14" s="215">
        <f>IF(AND(ISNUMBER(U11),ISNUMBER(U120)),IFERROR(U11/U120,""),"")</f>
        <v>0.641560851877378</v>
      </c>
      <c r="V14" s="215">
        <f>IF(AND(ISNUMBER(V11),ISNUMBER(V120)),IFERROR(V11/V120,""),"")</f>
        <v>0.637696161028009</v>
      </c>
      <c r="W14" s="215">
        <f>IF(AND(ISNUMBER(W11),ISNUMBER(W120)),IFERROR(W11/W120,""),"")</f>
        <v>0.640731953380052</v>
      </c>
      <c r="X14" s="215">
        <f>IF(AND(ISNUMBER(X11),ISNUMBER(X120)),IFERROR(X11/X120,""),"")</f>
        <v>0.643261665495248</v>
      </c>
      <c r="Y14" s="215">
        <f>IF(AND(ISNUMBER(Y11),ISNUMBER(Y120)),IFERROR(Y11/Y120,""),"")</f>
        <v>0.63546515858621</v>
      </c>
      <c r="Z14" s="215">
        <f>IF(AND(ISNUMBER(Z11),ISNUMBER(Z120)),IFERROR(Z11/Z120,""),"")</f>
        <v>0.642736854943498</v>
      </c>
      <c r="AA14" s="215">
        <f>IF(AND(ISNUMBER(AA11),ISNUMBER(AA120)),IFERROR(AA11/AA120,""),"")</f>
        <v>0.640616265624801</v>
      </c>
      <c r="AB14" s="215">
        <f>IF(AND(ISNUMBER(AB11),ISNUMBER(AB120)),IFERROR(AB11/AB120,""),"")</f>
        <v>0.638354379992909</v>
      </c>
      <c r="AC14" s="215">
        <f>IF(AND(ISNUMBER(AC11),ISNUMBER(AC120)),IFERROR(AC11/AC120,""),"")</f>
        <v>0.648530726999167</v>
      </c>
      <c r="AD14" s="215">
        <f>IF(AND(ISNUMBER(AD11),ISNUMBER(AD120)),IFERROR(AD11/AD120,""),"")</f>
        <v>0.653324946266784</v>
      </c>
      <c r="AE14" s="215">
        <f>IF(AND(ISNUMBER(AE11),ISNUMBER(AE120)),IFERROR(AE11/AE120,""),"")</f>
        <v>0.667683254875588</v>
      </c>
      <c r="AF14" s="215">
        <f>IF(AND(ISNUMBER(AF11),ISNUMBER(AF120)),IFERROR(AF11/AF120,""),"")</f>
        <v>0.651919866444073</v>
      </c>
      <c r="AG14" s="215">
        <f>IF(AND(ISNUMBER(AG11),ISNUMBER(AG120)),IFERROR(AG11/AG120,""),"")</f>
        <v>0.684336525307798</v>
      </c>
      <c r="AH14" s="215">
        <f>IF(AND(ISNUMBER(AH11),ISNUMBER(AH120)),IFERROR(AH11/AH120,""),"")</f>
        <v>0.713840830449827</v>
      </c>
      <c r="AI14" s="215">
        <f>IF(AND(ISNUMBER(AI11),ISNUMBER(AI120)),IFERROR(AI11/AI120,""),"")</f>
        <v>0.720610687022901</v>
      </c>
      <c r="AJ14" s="215">
        <f>IF(AND(ISNUMBER(AJ11),ISNUMBER(AJ120)),IFERROR(AJ11/AJ120,""),"")</f>
        <v>0.724757455982752</v>
      </c>
      <c r="AK14" s="215">
        <f>IF(AND(ISNUMBER(AK11),ISNUMBER(AK120)),IFERROR(AK11/AK120,""),"")</f>
        <v>0.710439511455826</v>
      </c>
      <c r="AL14" s="215">
        <f>IF(AND(ISNUMBER(AL11),ISNUMBER(AL120)),IFERROR(AL11/AL120,""),"")</f>
        <v>0.724285714285714</v>
      </c>
      <c r="AM14" s="256">
        <f>IF(AND(ISNUMBER(AM11),ISNUMBER(AM120)),IFERROR(AM11/AM120,""),"")</f>
        <v>0.743914650953046</v>
      </c>
      <c r="AN14" s="256">
        <f>IF(AND(ISNUMBER(AN11),ISNUMBER(AN120)),IFERROR(AN11/AN120,""),"")</f>
        <v>0.742561781117751</v>
      </c>
      <c r="AO14" s="256">
        <f>IF(AND(ISNUMBER(AO11),ISNUMBER(AO120)),IFERROR(AO11/AO120,""),"")</f>
        <v>0.747026218082971</v>
      </c>
      <c r="AP14" s="256">
        <f>IF(AND(ISNUMBER(AP11),ISNUMBER(AP120)),IFERROR(AP11/AP120,""),"")</f>
        <v>0.739628780457824</v>
      </c>
      <c r="AQ14" s="256">
        <f>IF(AND(ISNUMBER(AQ11),ISNUMBER(AQ120)),IFERROR(AQ11/AQ120,""),"")</f>
        <v>0.745877278083507</v>
      </c>
      <c r="AR14" s="256">
        <f>IF(AND(ISNUMBER(AR11),ISNUMBER(AR120)),IFERROR(AR11/AR120,""),"")</f>
        <v>0.748368321482069</v>
      </c>
      <c r="AS14" s="256">
        <f>IF(AND(ISNUMBER(AS11),ISNUMBER(AS120)),IFERROR(AS11/AS120,""),"")</f>
        <v>0.747797654892142</v>
      </c>
      <c r="AT14" s="256">
        <f>IF(AND(ISNUMBER(AT11),ISNUMBER(AT120)),IFERROR(AT11/AT120,""),"")</f>
        <v>0.745987593284783</v>
      </c>
      <c r="AU14" s="153" t="n"/>
      <c r="AW14" s="37">
        <f>IFERROR(AVERAGE(AP14,AQ14,AR14,AS14,AT14),"n/m")</f>
        <v>0.745531925640065</v>
      </c>
      <c r="AX14" s="37">
        <f>IFERROR(AVERAGE(Q14,V14,AA14,AF14,AK14),"n/m")</f>
        <v>0.660336855022</v>
      </c>
      <c r="AY14" s="37">
        <f>IFERROR(AVERAGE(H14,I14,J14,K14,L14,Q14,V14,AA14,AF14,AK14),"n/m")</f>
        <v>0.678790227310354</v>
      </c>
      <c r="AZ14" s="37">
        <f>IFERROR(AVERAGE(C14,D14,E14,F14,G14,H14,I14,J14,K14,L14,Q14,V14,AA14,AF14,AK14),"n/m")</f>
        <v>0.678790227310354</v>
      </c>
      <c r="BC14" s="25" t="inlineStr">
        <is>
          <t xml:space="preserve">  FY27 adjusted diluted EPS ($) — memo</t>
        </is>
      </c>
      <c r="BD14" s="258" t="n">
        <v>6.35</v>
      </c>
      <c r="BE14" s="258" t="n">
        <v>6.175</v>
      </c>
      <c r="BF14" s="258" t="n">
        <v>6</v>
      </c>
      <c r="BG14" s="13" t="inlineStr">
        <is>
          <t>Guided $6.00–6.35 (information row; not forced).</t>
        </is>
      </c>
    </row>
    <row r="15" ht="15" customHeight="1" s="251">
      <c r="B15" s="14" t="inlineStr">
        <is>
          <t>Civil &amp; Commercial (Civil customers + Global Commercial)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5" t="inlineStr">
        <is>
          <t>CIVIL &amp; COMMERCIAL — modelling logic</t>
        </is>
      </c>
      <c r="BC15" s="25" t="inlineStr">
        <is>
          <t xml:space="preserve">  FY27 free cash flow ($m)</t>
        </is>
      </c>
      <c r="BD15" s="257" t="n">
        <v>925</v>
      </c>
      <c r="BE15" s="257" t="n">
        <v>875</v>
      </c>
      <c r="BF15" s="257" t="n">
        <v>825</v>
      </c>
      <c r="BG15" s="13" t="inlineStr">
        <is>
          <t>Guided $825–925m. Drives the FY2027E payables &amp; accrued calibration (working-capital block).</t>
        </is>
      </c>
    </row>
    <row r="16" ht="15" customHeight="1" s="251">
      <c r="B16" s="25" t="inlineStr">
        <is>
          <t xml:space="preserve">  Civil &amp; Commercial revenue</t>
        </is>
      </c>
      <c r="C16" s="34" t="n"/>
      <c r="D16" s="34" t="n"/>
      <c r="E16" s="34" t="n"/>
      <c r="F16" s="34" t="n"/>
      <c r="G16" s="34" t="n"/>
      <c r="H16" s="253" t="n">
        <v>1765.301</v>
      </c>
      <c r="I16" s="253" t="n">
        <v>1843.009</v>
      </c>
      <c r="J16" s="253" t="n">
        <v>2022.596</v>
      </c>
      <c r="K16" s="253" t="n">
        <v>2280.867</v>
      </c>
      <c r="L16" s="253" t="n">
        <v>2388.725</v>
      </c>
      <c r="M16" s="253" t="n">
        <v>636.384</v>
      </c>
      <c r="N16" s="253" t="n">
        <v>713.295</v>
      </c>
      <c r="O16" s="253" t="n">
        <v>715.372</v>
      </c>
      <c r="P16" s="253" t="n">
        <v>770.14</v>
      </c>
      <c r="Q16" s="253" t="n">
        <v>2835.19</v>
      </c>
      <c r="R16" s="253" t="n">
        <v>820.726</v>
      </c>
      <c r="S16" s="253" t="n">
        <v>847.325</v>
      </c>
      <c r="T16" s="253" t="n">
        <v>814.312</v>
      </c>
      <c r="U16" s="253" t="n">
        <v>872.176</v>
      </c>
      <c r="V16" s="253" t="n">
        <v>3354.539</v>
      </c>
      <c r="W16" s="253" t="n">
        <v>953.672</v>
      </c>
      <c r="X16" s="253" t="n">
        <v>951.165</v>
      </c>
      <c r="Y16" s="253" t="n">
        <v>936.782</v>
      </c>
      <c r="Z16" s="253" t="n">
        <v>990.093</v>
      </c>
      <c r="AA16" s="253" t="n">
        <v>3831.712</v>
      </c>
      <c r="AB16" s="253" t="n">
        <v>1063.888</v>
      </c>
      <c r="AC16" s="253" t="n">
        <v>1105.858</v>
      </c>
      <c r="AD16" s="253" t="n">
        <v>1011.317</v>
      </c>
      <c r="AE16" s="253" t="n">
        <v>988.937</v>
      </c>
      <c r="AF16" s="253" t="n">
        <v>4170</v>
      </c>
      <c r="AG16" s="253" t="n">
        <v>923</v>
      </c>
      <c r="AH16" s="253" t="n">
        <v>827</v>
      </c>
      <c r="AI16" s="253" t="n">
        <v>732</v>
      </c>
      <c r="AJ16" s="253" t="n">
        <v>766</v>
      </c>
      <c r="AK16" s="253" t="n">
        <v>3248</v>
      </c>
      <c r="AL16" s="253" t="n">
        <v>772</v>
      </c>
      <c r="AM16" s="254">
        <f>AH16*(1+AM17)</f>
        <v>757.206661641439</v>
      </c>
      <c r="AN16" s="254">
        <f>AI16*(1+AN17)</f>
        <v>670.224034246111</v>
      </c>
      <c r="AO16" s="254">
        <f>AJ16*(1+AO17)</f>
        <v>701.354658787597</v>
      </c>
      <c r="AP16" s="254">
        <f>SUM(AL16,AM16,AN16,AO16)</f>
        <v>2900.78535467515</v>
      </c>
      <c r="AQ16" s="254">
        <f>AP16*(1+AQ17)</f>
        <v>2784.75394048814</v>
      </c>
      <c r="AR16" s="254">
        <f>AQ16*(1+AR17)</f>
        <v>2784.75394048814</v>
      </c>
      <c r="AS16" s="254">
        <f>AR16*(1+AS17)</f>
        <v>2840.4490192979</v>
      </c>
      <c r="AT16" s="254">
        <f>AS16*(1+AT17)</f>
        <v>2925.66248987684</v>
      </c>
      <c r="AU16" s="19" t="inlineStr">
        <is>
          <t>Civil customers + Global Commercial (reported separately to FY2024, inside Civil from FY2025). Same forecast logic as National Security.</t>
        </is>
      </c>
      <c r="AW16" s="20">
        <f>IFERROR((AT16/AK16)^(1/5)-1,"n/m")</f>
        <v>-0.0206867272061775</v>
      </c>
      <c r="AX16" s="20">
        <f>IFERROR((AK16/L16)^(1/5)-1,"n/m")</f>
        <v>0.0633836367534351</v>
      </c>
      <c r="AY16" s="20" t="str">
        <f>IFERROR((AK16/G16)^(1/10)-1,"n/m")</f>
        <v>n/m</v>
      </c>
      <c r="AZ16" s="20" t="str">
        <f>IFERROR((AK16/C16)^(1/14)-1,"n/m")</f>
        <v>n/m</v>
      </c>
      <c r="BC16" s="25" t="inlineStr">
        <is>
          <t xml:space="preserve">  Q2–Q4/27E share repurchases ($m)</t>
        </is>
      </c>
      <c r="BD16" s="257" t="n">
        <v>300</v>
      </c>
      <c r="BE16" s="257" t="n">
        <v>150</v>
      </c>
      <c r="BF16" s="257" t="n">
        <v>50</v>
      </c>
      <c r="BG16" s="13" t="inlineStr">
        <is>
          <t>Assumption. Q1/27 $72m (incl. shares withheld for taxes); $634m left on the $4,085m program at 30-Jun-2026; Ultra ($720m) funded in Q2.</t>
        </is>
      </c>
    </row>
    <row r="17" ht="15" customHeight="1" s="251">
      <c r="B17" s="22" t="inlineStr">
        <is>
          <t xml:space="preserve">    y/y %</t>
        </is>
      </c>
      <c r="C17" s="23" t="n"/>
      <c r="D17" s="255">
        <f>IF(AND(ISNUMBER(D16),ISNUMBER(C16)),IFERROR(D16/C16-1,""),"")</f>
      </c>
      <c r="E17" s="255">
        <f>IF(AND(ISNUMBER(E16),ISNUMBER(D16)),IFERROR(E16/D16-1,""),"")</f>
      </c>
      <c r="F17" s="255">
        <f>IF(AND(ISNUMBER(F16),ISNUMBER(E16)),IFERROR(F16/E16-1,""),"")</f>
      </c>
      <c r="G17" s="255">
        <f>IF(AND(ISNUMBER(G16),ISNUMBER(F16)),IFERROR(G16/F16-1,""),"")</f>
      </c>
      <c r="H17" s="255">
        <f>IF(AND(ISNUMBER(H16),ISNUMBER(G16)),IFERROR(H16/G16-1,""),"")</f>
      </c>
      <c r="I17" s="255">
        <f>IF(AND(ISNUMBER(I16),ISNUMBER(H16)),IFERROR(I16/H16-1,""),"")</f>
        <v>0.0440196884270729</v>
      </c>
      <c r="J17" s="255">
        <f>IF(AND(ISNUMBER(J16),ISNUMBER(I16)),IFERROR(J16/I16-1,""),"")</f>
        <v>0.097442280531457</v>
      </c>
      <c r="K17" s="255">
        <f>IF(AND(ISNUMBER(K16),ISNUMBER(J16)),IFERROR(K16/J16-1,""),"")</f>
        <v>0.127692826446804</v>
      </c>
      <c r="L17" s="255">
        <f>IF(AND(ISNUMBER(L16),ISNUMBER(K16)),IFERROR(L16/K16-1,""),"")</f>
        <v>0.0472881584064304</v>
      </c>
      <c r="M17" s="23" t="n"/>
      <c r="N17" s="23" t="n"/>
      <c r="O17" s="23" t="n"/>
      <c r="P17" s="23" t="n"/>
      <c r="Q17" s="255">
        <f>IF(AND(ISNUMBER(Q16),ISNUMBER(L16)),IFERROR(Q16/L16-1,""),"")</f>
        <v>0.186905148143884</v>
      </c>
      <c r="R17" s="255">
        <f>IF(AND(ISNUMBER(R16),ISNUMBER(M16)),IFERROR(R16/M16-1,""),"")</f>
        <v>0.289671016241766</v>
      </c>
      <c r="S17" s="255">
        <f>IF(AND(ISNUMBER(S16),ISNUMBER(N16)),IFERROR(S16/N16-1,""),"")</f>
        <v>0.187902620935237</v>
      </c>
      <c r="T17" s="255">
        <f>IF(AND(ISNUMBER(T16),ISNUMBER(O16)),IFERROR(T16/O16-1,""),"")</f>
        <v>0.138305664745056</v>
      </c>
      <c r="U17" s="255">
        <f>IF(AND(ISNUMBER(U16),ISNUMBER(P16)),IFERROR(U16/P16-1,""),"")</f>
        <v>0.132490196587634</v>
      </c>
      <c r="V17" s="255">
        <f>IF(AND(ISNUMBER(V16),ISNUMBER(Q16)),IFERROR(V16/Q16-1,""),"")</f>
        <v>0.183179610537565</v>
      </c>
      <c r="W17" s="255">
        <f>IF(AND(ISNUMBER(W16),ISNUMBER(R16)),IFERROR(W16/R16-1,""),"")</f>
        <v>0.161985851550944</v>
      </c>
      <c r="X17" s="255">
        <f>IF(AND(ISNUMBER(X16),ISNUMBER(S16)),IFERROR(X16/S16-1,""),"")</f>
        <v>0.122550379134335</v>
      </c>
      <c r="Y17" s="255">
        <f>IF(AND(ISNUMBER(Y16),ISNUMBER(T16)),IFERROR(Y16/T16-1,""),"")</f>
        <v>0.150396899468508</v>
      </c>
      <c r="Z17" s="255">
        <f>IF(AND(ISNUMBER(Z16),ISNUMBER(U16)),IFERROR(Z16/U16-1,""),"")</f>
        <v>0.135198629634386</v>
      </c>
      <c r="AA17" s="255">
        <f>IF(AND(ISNUMBER(AA16),ISNUMBER(V16)),IFERROR(AA16/V16-1,""),"")</f>
        <v>0.142246967467065</v>
      </c>
      <c r="AB17" s="255">
        <f>IF(AND(ISNUMBER(AB16),ISNUMBER(W16)),IFERROR(AB16/W16-1,""),"")</f>
        <v>0.115570133127532</v>
      </c>
      <c r="AC17" s="255">
        <f>IF(AND(ISNUMBER(AC16),ISNUMBER(X16)),IFERROR(AC16/X16-1,""),"")</f>
        <v>0.162635294612396</v>
      </c>
      <c r="AD17" s="255">
        <f>IF(AND(ISNUMBER(AD16),ISNUMBER(Y16)),IFERROR(AD16/Y16-1,""),"")</f>
        <v>0.0795649361324193</v>
      </c>
      <c r="AE17" s="255">
        <f>IF(AND(ISNUMBER(AE16),ISNUMBER(Z16)),IFERROR(AE16/Z16-1,""),"")</f>
        <v>-0.00116756708713217</v>
      </c>
      <c r="AF17" s="255">
        <f>IF(AND(ISNUMBER(AF16),ISNUMBER(AA16)),IFERROR(AF16/AA16-1,""),"")</f>
        <v>0.0882863847804845</v>
      </c>
      <c r="AG17" s="255">
        <f>IF(AND(ISNUMBER(AG16),ISNUMBER(AB16)),IFERROR(AG16/AB16-1,""),"")</f>
        <v>-0.132427473568646</v>
      </c>
      <c r="AH17" s="255">
        <f>IF(AND(ISNUMBER(AH16),ISNUMBER(AC16)),IFERROR(AH16/AC16-1,""),"")</f>
        <v>-0.252164382768855</v>
      </c>
      <c r="AI17" s="255">
        <f>IF(AND(ISNUMBER(AI16),ISNUMBER(AD16)),IFERROR(AI16/AD16-1,""),"")</f>
        <v>-0.276191342576067</v>
      </c>
      <c r="AJ17" s="255">
        <f>IF(AND(ISNUMBER(AJ16),ISNUMBER(AE16)),IFERROR(AJ16/AE16-1,""),"")</f>
        <v>-0.225430942517066</v>
      </c>
      <c r="AK17" s="255">
        <f>IF(AND(ISNUMBER(AK16),ISNUMBER(AF16)),IFERROR(AK16/AF16-1,""),"")</f>
        <v>-0.221103117505995</v>
      </c>
      <c r="AL17" s="255">
        <f>IF(AND(ISNUMBER(AL16),ISNUMBER(AG16)),IFERROR(AL16/AG16-1,""),"")</f>
        <v>-0.163596966413868</v>
      </c>
      <c r="AM17" s="256">
        <f>AM18+$AM$87</f>
        <v>-0.0843933958386468</v>
      </c>
      <c r="AN17" s="256">
        <f>AN18+$AM$87</f>
        <v>-0.0843933958386468</v>
      </c>
      <c r="AO17" s="256">
        <f>AO18+$AM$87</f>
        <v>-0.0843933958386468</v>
      </c>
      <c r="AP17" s="256">
        <f>IF(AND(ISNUMBER(AP16),ISNUMBER(AK16)),IFERROR(AP16/AK16-1,""),"")</f>
        <v>-0.106901060752726</v>
      </c>
      <c r="AQ17" s="256">
        <f>CHOOSE(MATCH($AU$2,{"Bull","Base","Bear"},0),$BD$40,$BE$40,$BF$40)</f>
        <v>-0.04</v>
      </c>
      <c r="AR17" s="256">
        <f>CHOOSE(MATCH($AU$2,{"Bull","Base","Bear"},0),$BD$41,$BE$41,$BF$41)</f>
        <v>0</v>
      </c>
      <c r="AS17" s="256">
        <f>CHOOSE(MATCH($AU$2,{"Bull","Base","Bear"},0),$BD$42,$BE$42,$BF$42)</f>
        <v>0.02</v>
      </c>
      <c r="AT17" s="256">
        <f>CHOOSE(MATCH($AU$2,{"Bull","Base","Bear"},0),$BD$43,$BE$43,$BF$43)</f>
        <v>0.03</v>
      </c>
      <c r="AU17" s="153" t="n"/>
    </row>
    <row r="18" ht="15" customHeight="1" s="251">
      <c r="B18" s="25" t="inlineStr">
        <is>
          <t xml:space="preserve">    Q2–Q4/27E growth before calibration (Q1/27 y/y)</t>
        </is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256">
        <f>IFERROR(AL16/AG16-1,0)</f>
        <v>-0.163596966413868</v>
      </c>
      <c r="AN18" s="256">
        <f>IFERROR(AL16/AG16-1,0)</f>
        <v>-0.163596966413868</v>
      </c>
      <c r="AO18" s="256">
        <f>IFERROR(AL16/AG16-1,0)</f>
        <v>-0.163596966413868</v>
      </c>
      <c r="AP18" s="24" t="n"/>
      <c r="AQ18" s="46" t="n"/>
      <c r="AR18" s="46" t="n"/>
      <c r="AS18" s="46" t="n"/>
      <c r="AT18" s="46" t="n"/>
      <c r="AU18" s="19" t="n"/>
      <c r="BC18" s="15" t="inlineStr">
        <is>
          <t>FY27 point estimates (all cases)</t>
        </is>
      </c>
      <c r="BD18" s="21" t="n"/>
      <c r="BE18" s="21" t="n"/>
      <c r="BF18" s="21" t="n"/>
    </row>
    <row r="19" ht="15" customHeight="1" s="251">
      <c r="B19" s="25" t="inlineStr">
        <is>
          <t xml:space="preserve">  Civil &amp; Commercial % of revenue</t>
        </is>
      </c>
      <c r="C19" s="215">
        <f>IF(AND(ISNUMBER(C16),ISNUMBER(C120)),IFERROR(C16/C120,""),"")</f>
      </c>
      <c r="D19" s="215">
        <f>IF(AND(ISNUMBER(D16),ISNUMBER(D120)),IFERROR(D16/D120,""),"")</f>
      </c>
      <c r="E19" s="215">
        <f>IF(AND(ISNUMBER(E16),ISNUMBER(E120)),IFERROR(E16/E120,""),"")</f>
      </c>
      <c r="F19" s="215">
        <f>IF(AND(ISNUMBER(F16),ISNUMBER(F120)),IFERROR(F16/F120,""),"")</f>
      </c>
      <c r="G19" s="215">
        <f>IF(AND(ISNUMBER(G16),ISNUMBER(G120)),IFERROR(G16/G120,""),"")</f>
      </c>
      <c r="H19" s="215">
        <f>IF(AND(ISNUMBER(H16),ISNUMBER(H120)),IFERROR(H16/H120,""),"")</f>
        <v>0.304137599056145</v>
      </c>
      <c r="I19" s="215">
        <f>IF(AND(ISNUMBER(I16),ISNUMBER(I120)),IFERROR(I16/I120,""),"")</f>
        <v>0.298615180886518</v>
      </c>
      <c r="J19" s="215">
        <f>IF(AND(ISNUMBER(J16),ISNUMBER(J120)),IFERROR(J16/J120,""),"")</f>
        <v>0.301698215567724</v>
      </c>
      <c r="K19" s="215">
        <f>IF(AND(ISNUMBER(K16),ISNUMBER(K120)),IFERROR(K16/K120,""),"")</f>
        <v>0.305588905229894</v>
      </c>
      <c r="L19" s="215">
        <f>IF(AND(ISNUMBER(L16),ISNUMBER(L120)),IFERROR(L16/L120,""),"")</f>
        <v>0.303950101145982</v>
      </c>
      <c r="M19" s="215">
        <f>IF(AND(ISNUMBER(M16),ISNUMBER(M120)),IFERROR(M16/M120,""),"")</f>
        <v>0.319941118092612</v>
      </c>
      <c r="N19" s="215">
        <f>IF(AND(ISNUMBER(N16),ISNUMBER(N120)),IFERROR(N16/N120,""),"")</f>
        <v>0.338690469972527</v>
      </c>
      <c r="O19" s="215">
        <f>IF(AND(ISNUMBER(O16),ISNUMBER(O120)),IFERROR(O16/O120,""),"")</f>
        <v>0.352309753166677</v>
      </c>
      <c r="P19" s="215">
        <f>IF(AND(ISNUMBER(P16),ISNUMBER(P120)),IFERROR(P16/P120,""),"")</f>
        <v>0.344108064248042</v>
      </c>
      <c r="Q19" s="215">
        <f>IF(AND(ISNUMBER(Q16),ISNUMBER(Q120)),IFERROR(Q16/Q120,""),"")</f>
        <v>0.338987529442711</v>
      </c>
      <c r="R19" s="215">
        <f>IF(AND(ISNUMBER(R16),ISNUMBER(R120)),IFERROR(R16/R120,""),"")</f>
        <v>0.364831970128023</v>
      </c>
      <c r="S19" s="215">
        <f>IF(AND(ISNUMBER(S16),ISNUMBER(S120)),IFERROR(S16/S120,""),"")</f>
        <v>0.368566266024526</v>
      </c>
      <c r="T19" s="215">
        <f>IF(AND(ISNUMBER(T16),ISNUMBER(T120)),IFERROR(T16/T120,""),"")</f>
        <v>0.357613323062843</v>
      </c>
      <c r="U19" s="215">
        <f>IF(AND(ISNUMBER(U16),ISNUMBER(U120)),IFERROR(U16/U120,""),"")</f>
        <v>0.358439148122622</v>
      </c>
      <c r="V19" s="215">
        <f>IF(AND(ISNUMBER(V16),ISNUMBER(V120)),IFERROR(V16/V120,""),"")</f>
        <v>0.362303838971991</v>
      </c>
      <c r="W19" s="215">
        <f>IF(AND(ISNUMBER(W16),ISNUMBER(W120)),IFERROR(W16/W120,""),"")</f>
        <v>0.359268046619948</v>
      </c>
      <c r="X19" s="215">
        <f>IF(AND(ISNUMBER(X16),ISNUMBER(X120)),IFERROR(X16/X120,""),"")</f>
        <v>0.356738334504752</v>
      </c>
      <c r="Y19" s="215">
        <f>IF(AND(ISNUMBER(Y16),ISNUMBER(Y120)),IFERROR(Y16/Y120,""),"")</f>
        <v>0.36453484141379</v>
      </c>
      <c r="Z19" s="215">
        <f>IF(AND(ISNUMBER(Z16),ISNUMBER(Z120)),IFERROR(Z16/Z120,""),"")</f>
        <v>0.357263145056502</v>
      </c>
      <c r="AA19" s="215">
        <f>IF(AND(ISNUMBER(AA16),ISNUMBER(AA120)),IFERROR(AA16/AA120,""),"")</f>
        <v>0.359383734375199</v>
      </c>
      <c r="AB19" s="215">
        <f>IF(AND(ISNUMBER(AB16),ISNUMBER(AB120)),IFERROR(AB16/AB120,""),"")</f>
        <v>0.361645620007091</v>
      </c>
      <c r="AC19" s="215">
        <f>IF(AND(ISNUMBER(AC16),ISNUMBER(AC120)),IFERROR(AC16/AC120,""),"")</f>
        <v>0.351469273000833</v>
      </c>
      <c r="AD19" s="215">
        <f>IF(AND(ISNUMBER(AD16),ISNUMBER(AD120)),IFERROR(AD16/AD120,""),"")</f>
        <v>0.346675053733216</v>
      </c>
      <c r="AE19" s="215">
        <f>IF(AND(ISNUMBER(AE16),ISNUMBER(AE120)),IFERROR(AE16/AE120,""),"")</f>
        <v>0.332527572293208</v>
      </c>
      <c r="AF19" s="215">
        <f>IF(AND(ISNUMBER(AF16),ISNUMBER(AF120)),IFERROR(AF16/AF120,""),"")</f>
        <v>0.348080133555927</v>
      </c>
      <c r="AG19" s="215">
        <f>IF(AND(ISNUMBER(AG16),ISNUMBER(AG120)),IFERROR(AG16/AG120,""),"")</f>
        <v>0.315663474692202</v>
      </c>
      <c r="AH19" s="215">
        <f>IF(AND(ISNUMBER(AH16),ISNUMBER(AH120)),IFERROR(AH16/AH120,""),"")</f>
        <v>0.286159169550173</v>
      </c>
      <c r="AI19" s="215">
        <f>IF(AND(ISNUMBER(AI16),ISNUMBER(AI120)),IFERROR(AI16/AI120,""),"")</f>
        <v>0.279389312977099</v>
      </c>
      <c r="AJ19" s="215">
        <f>IF(AND(ISNUMBER(AJ16),ISNUMBER(AJ120)),IFERROR(AJ16/AJ120,""),"")</f>
        <v>0.275242544017248</v>
      </c>
      <c r="AK19" s="215">
        <f>IF(AND(ISNUMBER(AK16),ISNUMBER(AK120)),IFERROR(AK16/AK120,""),"")</f>
        <v>0.289560488544174</v>
      </c>
      <c r="AL19" s="215">
        <f>IF(AND(ISNUMBER(AL16),ISNUMBER(AL120)),IFERROR(AL16/AL120,""),"")</f>
        <v>0.275714285714286</v>
      </c>
      <c r="AM19" s="256">
        <f>IF(AND(ISNUMBER(AM16),ISNUMBER(AM120)),IFERROR(AM16/AM120,""),"")</f>
        <v>0.249884103598139</v>
      </c>
      <c r="AN19" s="256">
        <f>IF(AND(ISNUMBER(AN16),ISNUMBER(AN120)),IFERROR(AN16/AN120,""),"")</f>
        <v>0.241240888682192</v>
      </c>
      <c r="AO19" s="256">
        <f>IF(AND(ISNUMBER(AO16),ISNUMBER(AO120)),IFERROR(AO16/AO120,""),"")</f>
        <v>0.237721220614928</v>
      </c>
      <c r="AP19" s="256">
        <f>IF(AND(ISNUMBER(AP16),ISNUMBER(AP120)),IFERROR(AP16/AP120,""),"")</f>
        <v>0.250959231140788</v>
      </c>
      <c r="AQ19" s="256">
        <f>IF(AND(ISNUMBER(AQ16),ISNUMBER(AQ120)),IFERROR(AQ16/AQ120,""),"")</f>
        <v>0.233611729200389</v>
      </c>
      <c r="AR19" s="256">
        <f>IF(AND(ISNUMBER(AR16),ISNUMBER(AR120)),IFERROR(AR16/AR120,""),"")</f>
        <v>0.223230413235743</v>
      </c>
      <c r="AS19" s="256">
        <f>IF(AND(ISNUMBER(AS16),ISNUMBER(AS120)),IFERROR(AS16/AS120,""),"")</f>
        <v>0.216687041115257</v>
      </c>
      <c r="AT19" s="256">
        <f>IF(AND(ISNUMBER(AT16),ISNUMBER(AT120)),IFERROR(AT16/AT120,""),"")</f>
        <v>0.212045163283684</v>
      </c>
      <c r="AU19" s="153" t="n"/>
      <c r="AW19" s="37">
        <f>IFERROR(AVERAGE(AP19,AQ19,AR19,AS19,AT19),"n/m")</f>
        <v>0.227306715595172</v>
      </c>
      <c r="AX19" s="37">
        <f>IFERROR(AVERAGE(Q19,V19,AA19,AF19,AK19),"n/m")</f>
        <v>0.339663144978</v>
      </c>
      <c r="AY19" s="37">
        <f>IFERROR(AVERAGE(H19,I19,J19,K19,L19,Q19,V19,AA19,AF19,AK19),"n/m")</f>
        <v>0.321230572677627</v>
      </c>
      <c r="AZ19" s="37">
        <f>IFERROR(AVERAGE(C19,D19,E19,F19,G19,H19,I19,J19,K19,L19,Q19,V19,AA19,AF19,AK19),"n/m")</f>
        <v>0.321230572677627</v>
      </c>
      <c r="BC19" s="25" t="inlineStr">
        <is>
          <t xml:space="preserve">  FY27 interest expense, net ($m)</t>
        </is>
      </c>
      <c r="BE19" s="259" t="n">
        <v>216</v>
      </c>
      <c r="BG19" s="13" t="inlineStr">
        <is>
          <t>Not guided (assumption): Q1 $48m; $1.2bn notes at 5.375% / 5.900% from 4-Aug-2026, Term Loan A-1 ($714m, ~5.0%) repaid, lower interest income after the Ultra payment.</t>
        </is>
      </c>
    </row>
    <row r="20" ht="15" customHeight="1" s="251">
      <c r="B20" s="25" t="inlineStr">
        <is>
          <t xml:space="preserve">  Revenue outside the customer split (FY2012–16 not split; FY2017–18 ASC 606 recast basis difference; rounding) — derived</t>
        </is>
      </c>
      <c r="C20" s="260">
        <f>IF(ISNUMBER(C11),C120-C11-C16,C120)</f>
        <v>5859.218</v>
      </c>
      <c r="D20" s="260">
        <f>IF(ISNUMBER(D11),D120-D11-D16,D120)</f>
        <v>5758.059</v>
      </c>
      <c r="E20" s="260">
        <f>IF(ISNUMBER(E11),E120-E11-E16,E120)</f>
        <v>5478.693</v>
      </c>
      <c r="F20" s="260">
        <f>IF(ISNUMBER(F11),F120-F11-F16,F120)</f>
        <v>5274.77</v>
      </c>
      <c r="G20" s="260">
        <f>IF(ISNUMBER(G11),G120-G11-G16,G120)</f>
        <v>5405.738</v>
      </c>
      <c r="H20" s="260">
        <f>IF(ISNUMBER(H11),H120-H11-H16,H120)</f>
        <v>-5.20700000000034</v>
      </c>
      <c r="I20" s="260">
        <f>IF(ISNUMBER(I11),I120-I11-I16,I120)</f>
        <v>4.2529999999997</v>
      </c>
      <c r="J20" s="260">
        <f>IF(ISNUMBER(J11),J120-J11-J16,J120)</f>
        <v>0</v>
      </c>
      <c r="K20" s="260">
        <f>IF(ISNUMBER(K11),K120-K11-K16,K120)</f>
        <v>0</v>
      </c>
      <c r="L20" s="260">
        <f>IF(ISNUMBER(L11),L120-L11-L16,L120)</f>
        <v>0</v>
      </c>
      <c r="M20" s="260">
        <f>IF(ISNUMBER(M11),M120-M11-M16,M120)</f>
        <v>0</v>
      </c>
      <c r="N20" s="260">
        <f>IF(ISNUMBER(N11),N120-N11-N16,N120)</f>
        <v>0</v>
      </c>
      <c r="O20" s="260">
        <f>IF(ISNUMBER(O11),O120-O11-O16,O120)</f>
        <v>0</v>
      </c>
      <c r="P20" s="260">
        <f>IF(ISNUMBER(P11),P120-P11-P16,P120)</f>
        <v>0</v>
      </c>
      <c r="Q20" s="260">
        <f>IF(ISNUMBER(Q11),Q120-Q11-Q16,Q120)</f>
        <v>0</v>
      </c>
      <c r="R20" s="260">
        <f>IF(ISNUMBER(R11),R120-R11-R16,R120)</f>
        <v>0</v>
      </c>
      <c r="S20" s="260">
        <f>IF(ISNUMBER(S11),S120-S11-S16,S120)</f>
        <v>0</v>
      </c>
      <c r="T20" s="260">
        <f>IF(ISNUMBER(T11),T120-T11-T16,T120)</f>
        <v>0</v>
      </c>
      <c r="U20" s="260">
        <f>IF(ISNUMBER(U11),U120-U11-U16,U120)</f>
        <v>0</v>
      </c>
      <c r="V20" s="260">
        <f>IF(ISNUMBER(V11),V120-V11-V16,V120)</f>
        <v>0</v>
      </c>
      <c r="W20" s="260">
        <f>IF(ISNUMBER(W11),W120-W11-W16,W120)</f>
        <v>0</v>
      </c>
      <c r="X20" s="260">
        <f>IF(ISNUMBER(X11),X120-X11-X16,X120)</f>
        <v>0</v>
      </c>
      <c r="Y20" s="260">
        <f>IF(ISNUMBER(Y11),Y120-Y11-Y16,Y120)</f>
        <v>0</v>
      </c>
      <c r="Z20" s="260">
        <f>IF(ISNUMBER(Z11),Z120-Z11-Z16,Z120)</f>
        <v>0</v>
      </c>
      <c r="AA20" s="260">
        <f>IF(ISNUMBER(AA11),AA120-AA11-AA16,AA120)</f>
        <v>0</v>
      </c>
      <c r="AB20" s="260">
        <f>IF(ISNUMBER(AB11),AB120-AB11-AB16,AB120)</f>
        <v>0</v>
      </c>
      <c r="AC20" s="260">
        <f>IF(ISNUMBER(AC11),AC120-AC11-AC16,AC120)</f>
        <v>0</v>
      </c>
      <c r="AD20" s="260">
        <f>IF(ISNUMBER(AD11),AD120-AD11-AD16,AD120)</f>
        <v>0</v>
      </c>
      <c r="AE20" s="260">
        <f>IF(ISNUMBER(AE11),AE120-AE11-AE16,AE120)</f>
        <v>-0.627000000000066</v>
      </c>
      <c r="AF20" s="260">
        <f>IF(ISNUMBER(AF11),AF120-AF11-AF16,AF120)</f>
        <v>0</v>
      </c>
      <c r="AG20" s="260">
        <f>IF(ISNUMBER(AG11),AG120-AG11-AG16,AG120)</f>
        <v>0</v>
      </c>
      <c r="AH20" s="260">
        <f>IF(ISNUMBER(AH11),AH120-AH11-AH16,AH120)</f>
        <v>0</v>
      </c>
      <c r="AI20" s="260">
        <f>IF(ISNUMBER(AI11),AI120-AI11-AI16,AI120)</f>
        <v>0</v>
      </c>
      <c r="AJ20" s="260">
        <f>IF(ISNUMBER(AJ11),AJ120-AJ11-AJ16,AJ120)</f>
        <v>0</v>
      </c>
      <c r="AK20" s="260">
        <f>IF(ISNUMBER(AK11),AK120-AK11-AK16,AK120)</f>
        <v>0</v>
      </c>
      <c r="AL20" s="260">
        <f>IF(ISNUMBER(AL11),AL120-AL11-AL16,AL120)</f>
        <v>0</v>
      </c>
      <c r="AM20" s="254">
        <f>0</f>
        <v>0</v>
      </c>
      <c r="AN20" s="254">
        <f>0</f>
        <v>0</v>
      </c>
      <c r="AO20" s="254">
        <f>0</f>
        <v>0</v>
      </c>
      <c r="AP20" s="254">
        <f>SUM(AL20,AM20,AN20,AO20)</f>
        <v>0</v>
      </c>
      <c r="AQ20" s="254">
        <f>0</f>
        <v>0</v>
      </c>
      <c r="AR20" s="254">
        <f>0</f>
        <v>0</v>
      </c>
      <c r="AS20" s="254">
        <f>0</f>
        <v>0</v>
      </c>
      <c r="AT20" s="254">
        <f>0</f>
        <v>0</v>
      </c>
      <c r="AU20" s="19" t="inlineStr">
        <is>
          <t>Derived = revenue − Σ customer types, so the build ties in every period. FY2012–16: no customer split published (whole revenue). FY2017–18: the split comes from the FY2019 10-K (ASC 606 full-retrospective recast: $5,809.5m / $6,167.6m vs $5,804.3m / $6,171.9m as originally reported). From FY2025 the 10-Q tables are in whole $m (±1 rounding).</t>
        </is>
      </c>
      <c r="BC20" s="25" t="inlineStr">
        <is>
          <t xml:space="preserve">  FY27 other income (expense) ($m)</t>
        </is>
      </c>
      <c r="BE20" s="259" t="n">
        <v>26</v>
      </c>
      <c r="BG20" s="13" t="inlineStr">
        <is>
          <t>Q1 $20m (incl. $18m net gains on investments and dispositions); ~$2m a quarter after (assumption).</t>
        </is>
      </c>
    </row>
    <row r="21" ht="15" customHeight="1" s="251">
      <c r="B21" s="25" t="inlineStr">
        <is>
          <t xml:space="preserve">  Legacy customer types (as reported; replaced by National Security / Civil &amp; Commercial):</t>
        </is>
      </c>
      <c r="AU21" s="153" t="n"/>
      <c r="BC21" s="25" t="inlineStr">
        <is>
          <t xml:space="preserve">  FY27 acquisition amortization excl. Ultra ($m)</t>
        </is>
      </c>
      <c r="BE21" s="259" t="n">
        <v>60</v>
      </c>
      <c r="BG21" s="13" t="inlineStr">
        <is>
          <t>Q1 $15m (incl. Defy, $86m over 8 years) × 4.</t>
        </is>
      </c>
    </row>
    <row r="22" ht="15" customHeight="1" s="251">
      <c r="B22" s="156" t="inlineStr">
        <is>
          <t xml:space="preserve">    Defense</t>
        </is>
      </c>
      <c r="C22" s="34" t="n"/>
      <c r="D22" s="34" t="n"/>
      <c r="E22" s="34" t="n"/>
      <c r="F22" s="34" t="n"/>
      <c r="G22" s="34" t="n"/>
      <c r="H22" s="253" t="n">
        <v>2699.284</v>
      </c>
      <c r="I22" s="253" t="n">
        <v>2830.102</v>
      </c>
      <c r="J22" s="253" t="n">
        <v>3114.571</v>
      </c>
      <c r="K22" s="253" t="n">
        <v>3568.659</v>
      </c>
      <c r="L22" s="253" t="n">
        <v>3898.802</v>
      </c>
      <c r="M22" s="253" t="n">
        <v>975.926</v>
      </c>
      <c r="N22" s="253" t="n">
        <v>999.174</v>
      </c>
      <c r="O22" s="253" t="n">
        <v>946.1609999999999</v>
      </c>
      <c r="P22" s="253" t="n">
        <v>1034.211</v>
      </c>
      <c r="Q22" s="253" t="n">
        <v>3955.473</v>
      </c>
      <c r="R22" s="253" t="n">
        <v>1019.991</v>
      </c>
      <c r="S22" s="253" t="n">
        <v>1019.108</v>
      </c>
      <c r="T22" s="253" t="n">
        <v>1043.535</v>
      </c>
      <c r="U22" s="253" t="n">
        <v>1127.796</v>
      </c>
      <c r="V22" s="253" t="n">
        <v>4210.43</v>
      </c>
      <c r="W22" s="253" t="n">
        <v>1224.317</v>
      </c>
      <c r="X22" s="253" t="n">
        <v>1270.135</v>
      </c>
      <c r="Y22" s="253" t="n">
        <v>1224.561</v>
      </c>
      <c r="Z22" s="253" t="n">
        <v>1336.766</v>
      </c>
      <c r="AA22" s="253" t="n">
        <v>5055.779</v>
      </c>
      <c r="AB22" s="253" t="n">
        <v>1416.87</v>
      </c>
      <c r="AC22" s="253" t="n">
        <v>1544.108</v>
      </c>
      <c r="AD22" s="253" t="n">
        <v>1454.686</v>
      </c>
      <c r="AE22" s="253" t="n">
        <v>1527.336</v>
      </c>
      <c r="AF22" s="253" t="n">
        <v>5943</v>
      </c>
      <c r="AG22" s="253" t="n">
        <v>1517</v>
      </c>
      <c r="AH22" s="253" t="n">
        <v>1580</v>
      </c>
      <c r="AI22" s="253" t="n">
        <v>1454</v>
      </c>
      <c r="AJ22" s="253" t="n">
        <v>1518</v>
      </c>
      <c r="AK22" s="253" t="n">
        <v>6069</v>
      </c>
      <c r="AL22" s="34" t="n"/>
      <c r="AM22" s="153" t="n"/>
      <c r="AN22" s="153" t="n"/>
      <c r="AO22" s="153" t="n"/>
      <c r="AP22" s="153" t="n"/>
      <c r="AQ22" s="153" t="n"/>
      <c r="AR22" s="153" t="n"/>
      <c r="AS22" s="153" t="n"/>
      <c r="AT22" s="153" t="n"/>
      <c r="AU22" s="153" t="n"/>
      <c r="BC22" s="25" t="inlineStr">
        <is>
          <t xml:space="preserve">  FY27 depreciation &amp; other amortization ($m)</t>
        </is>
      </c>
      <c r="BE22" s="259" t="n">
        <v>120</v>
      </c>
      <c r="BG22" s="13" t="inlineStr">
        <is>
          <t>Q1 $30m (D&amp;A $45m − acquisition amortization $15m) × 4.</t>
        </is>
      </c>
    </row>
    <row r="23" ht="15" customHeight="1" s="251">
      <c r="B23" s="156" t="inlineStr">
        <is>
          <t xml:space="preserve">    Intelligence</t>
        </is>
      </c>
      <c r="C23" s="34" t="n"/>
      <c r="D23" s="34" t="n"/>
      <c r="E23" s="34" t="n"/>
      <c r="F23" s="34" t="n"/>
      <c r="G23" s="34" t="n"/>
      <c r="H23" s="253" t="n">
        <v>1344.906</v>
      </c>
      <c r="I23" s="253" t="n">
        <v>1494.489</v>
      </c>
      <c r="J23" s="253" t="n">
        <v>1566.87</v>
      </c>
      <c r="K23" s="253" t="n">
        <v>1614.315</v>
      </c>
      <c r="L23" s="253" t="n">
        <v>1571.411</v>
      </c>
      <c r="M23" s="253" t="n">
        <v>376.756</v>
      </c>
      <c r="N23" s="253" t="n">
        <v>393.569</v>
      </c>
      <c r="O23" s="253" t="n">
        <v>368.987</v>
      </c>
      <c r="P23" s="253" t="n">
        <v>433.725</v>
      </c>
      <c r="Q23" s="253" t="n">
        <v>1573.037</v>
      </c>
      <c r="R23" s="253" t="n">
        <v>408.883</v>
      </c>
      <c r="S23" s="253" t="n">
        <v>432.543</v>
      </c>
      <c r="T23" s="253" t="n">
        <v>419.227</v>
      </c>
      <c r="U23" s="253" t="n">
        <v>433.289</v>
      </c>
      <c r="V23" s="253" t="n">
        <v>1693.942</v>
      </c>
      <c r="W23" s="253" t="n">
        <v>476.497</v>
      </c>
      <c r="X23" s="253" t="n">
        <v>444.982</v>
      </c>
      <c r="Y23" s="253" t="n">
        <v>408.458</v>
      </c>
      <c r="Z23" s="253" t="n">
        <v>444.468</v>
      </c>
      <c r="AA23" s="253" t="n">
        <v>1774.405</v>
      </c>
      <c r="AB23" s="253" t="n">
        <v>461.039</v>
      </c>
      <c r="AC23" s="253" t="n">
        <v>496.42</v>
      </c>
      <c r="AD23" s="253" t="n">
        <v>451.187</v>
      </c>
      <c r="AE23" s="253" t="n">
        <v>458.354</v>
      </c>
      <c r="AF23" s="253" t="n">
        <v>1867</v>
      </c>
      <c r="AG23" s="253" t="n">
        <v>484</v>
      </c>
      <c r="AH23" s="253" t="n">
        <v>483</v>
      </c>
      <c r="AI23" s="253" t="n">
        <v>434</v>
      </c>
      <c r="AJ23" s="253" t="n">
        <v>499</v>
      </c>
      <c r="AK23" s="253" t="n">
        <v>1900</v>
      </c>
      <c r="AL23" s="34" t="n"/>
      <c r="AM23" s="153" t="n"/>
      <c r="AN23" s="153" t="n"/>
      <c r="AO23" s="153" t="n"/>
      <c r="AP23" s="153" t="n"/>
      <c r="AQ23" s="153" t="n"/>
      <c r="AR23" s="153" t="n"/>
      <c r="AS23" s="153" t="n"/>
      <c r="AT23" s="153" t="n"/>
      <c r="AU23" s="153" t="n"/>
      <c r="BC23" s="25" t="inlineStr">
        <is>
          <t xml:space="preserve">  FY27 stock-based compensation ($m)</t>
        </is>
      </c>
      <c r="BE23" s="259" t="n">
        <v>84</v>
      </c>
      <c r="BG23" s="13" t="inlineStr">
        <is>
          <t>Q1 $21m × 4 (FY26 $69m).</t>
        </is>
      </c>
    </row>
    <row r="24" ht="15" customHeight="1" s="251">
      <c r="B24" s="156" t="inlineStr">
        <is>
          <t xml:space="preserve">    Civil (incl. Global Commercial from FY2025)</t>
        </is>
      </c>
      <c r="C24" s="34" t="n"/>
      <c r="D24" s="34" t="n"/>
      <c r="E24" s="34" t="n"/>
      <c r="F24" s="34" t="n"/>
      <c r="G24" s="34" t="n"/>
      <c r="H24" s="253" t="n">
        <v>1611.309</v>
      </c>
      <c r="I24" s="253" t="n">
        <v>1644.86</v>
      </c>
      <c r="J24" s="253" t="n">
        <v>1760.996</v>
      </c>
      <c r="K24" s="253" t="n">
        <v>2019.245</v>
      </c>
      <c r="L24" s="253" t="n">
        <v>2185.03</v>
      </c>
      <c r="M24" s="253" t="n">
        <v>592.896</v>
      </c>
      <c r="N24" s="253" t="n">
        <v>662.261</v>
      </c>
      <c r="O24" s="253" t="n">
        <v>651.372</v>
      </c>
      <c r="P24" s="253" t="n">
        <v>712.386</v>
      </c>
      <c r="Q24" s="253" t="n">
        <v>2618.914</v>
      </c>
      <c r="R24" s="253" t="n">
        <v>757.7140000000001</v>
      </c>
      <c r="S24" s="253" t="n">
        <v>783.782</v>
      </c>
      <c r="T24" s="253" t="n">
        <v>758.473</v>
      </c>
      <c r="U24" s="253" t="n">
        <v>824.92</v>
      </c>
      <c r="V24" s="253" t="n">
        <v>3124.889</v>
      </c>
      <c r="W24" s="253" t="n">
        <v>904.96</v>
      </c>
      <c r="X24" s="253" t="n">
        <v>916.069</v>
      </c>
      <c r="Y24" s="253" t="n">
        <v>893.202</v>
      </c>
      <c r="Z24" s="253" t="n">
        <v>944.234</v>
      </c>
      <c r="AA24" s="253" t="n">
        <v>3658.465</v>
      </c>
      <c r="AB24" s="253" t="n">
        <v>1063.888</v>
      </c>
      <c r="AC24" s="253" t="n">
        <v>1105.858</v>
      </c>
      <c r="AD24" s="253" t="n">
        <v>1011.317</v>
      </c>
      <c r="AE24" s="253" t="n">
        <v>988.937</v>
      </c>
      <c r="AF24" s="253" t="n">
        <v>4170</v>
      </c>
      <c r="AG24" s="253" t="n">
        <v>923</v>
      </c>
      <c r="AH24" s="253" t="n">
        <v>827</v>
      </c>
      <c r="AI24" s="253" t="n">
        <v>732</v>
      </c>
      <c r="AJ24" s="253" t="n">
        <v>766</v>
      </c>
      <c r="AK24" s="253" t="n">
        <v>3248</v>
      </c>
      <c r="AL24" s="34" t="n"/>
      <c r="AM24" s="153" t="n"/>
      <c r="AN24" s="153" t="n"/>
      <c r="AO24" s="153" t="n"/>
      <c r="AP24" s="153" t="n"/>
      <c r="AQ24" s="153" t="n"/>
      <c r="AR24" s="153" t="n"/>
      <c r="AS24" s="153" t="n"/>
      <c r="AT24" s="153" t="n"/>
      <c r="AU24" s="153" t="n"/>
      <c r="BC24" s="25" t="inlineStr">
        <is>
          <t xml:space="preserve">  Q2–Q4/27E effective tax rate</t>
        </is>
      </c>
      <c r="BE24" s="261" t="n">
        <v>0.215</v>
      </c>
      <c r="BG24" s="13" t="inlineStr">
        <is>
          <t>FY27 guidance 20–23% (Q1/27 21.1%).</t>
        </is>
      </c>
    </row>
    <row r="25" ht="15" customHeight="1" s="251">
      <c r="B25" s="156" t="inlineStr">
        <is>
          <t xml:space="preserve">    Global Commercial (to FY2024)</t>
        </is>
      </c>
      <c r="C25" s="34" t="n"/>
      <c r="D25" s="34" t="n"/>
      <c r="E25" s="34" t="n"/>
      <c r="F25" s="34" t="n"/>
      <c r="G25" s="34" t="n"/>
      <c r="H25" s="253" t="n">
        <v>153.992</v>
      </c>
      <c r="I25" s="253" t="n">
        <v>198.149</v>
      </c>
      <c r="J25" s="253" t="n">
        <v>261.6</v>
      </c>
      <c r="K25" s="253" t="n">
        <v>261.622</v>
      </c>
      <c r="L25" s="253" t="n">
        <v>203.695</v>
      </c>
      <c r="M25" s="253" t="n">
        <v>43.488</v>
      </c>
      <c r="N25" s="253" t="n">
        <v>51.034</v>
      </c>
      <c r="O25" s="253" t="n">
        <v>64</v>
      </c>
      <c r="P25" s="253" t="n">
        <v>57.754</v>
      </c>
      <c r="Q25" s="253" t="n">
        <v>216.276</v>
      </c>
      <c r="R25" s="253" t="n">
        <v>63.012</v>
      </c>
      <c r="S25" s="253" t="n">
        <v>63.543</v>
      </c>
      <c r="T25" s="253" t="n">
        <v>55.839</v>
      </c>
      <c r="U25" s="253" t="n">
        <v>47.256</v>
      </c>
      <c r="V25" s="253" t="n">
        <v>229.65</v>
      </c>
      <c r="W25" s="253" t="n">
        <v>48.712</v>
      </c>
      <c r="X25" s="253" t="n">
        <v>35.096</v>
      </c>
      <c r="Y25" s="253" t="n">
        <v>43.58</v>
      </c>
      <c r="Z25" s="253" t="n">
        <v>45.859</v>
      </c>
      <c r="AA25" s="253" t="n">
        <v>173.247</v>
      </c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153" t="n"/>
      <c r="AN25" s="153" t="n"/>
      <c r="AO25" s="153" t="n"/>
      <c r="AP25" s="153" t="n"/>
      <c r="AQ25" s="153" t="n"/>
      <c r="AR25" s="153" t="n"/>
      <c r="AS25" s="153" t="n"/>
      <c r="AT25" s="153" t="n"/>
      <c r="AU25" s="153" t="n"/>
      <c r="BC25" s="25" t="inlineStr">
        <is>
          <t xml:space="preserve">  FY27 capital expenditures ($m)</t>
        </is>
      </c>
      <c r="BE25" s="259" t="n">
        <v>220</v>
      </c>
      <c r="BG25" s="13" t="inlineStr">
        <is>
          <t>Guided ~$220m, of which ~$105m for the new headquarters (Q1 $20m).</t>
        </is>
      </c>
    </row>
    <row r="26" ht="15" customHeight="1" s="251">
      <c r="B26" s="57" t="inlineStr">
        <is>
          <t xml:space="preserve">    Check: legacy customer types vs National Security + Civil &amp; Commercial (should be 0; ±0.15, ±0.6 from Q4 FY25)</t>
        </is>
      </c>
      <c r="C26" s="260">
        <f>IF(ISNUMBER(C22),IF(ABS(C22+C23+C24+N(C25)-C11-C16)&lt;=1,0,ROUND(C22+C23+C24+N(C25)-C11-C16,1)),"")</f>
      </c>
      <c r="D26" s="260">
        <f>IF(ISNUMBER(D22),IF(ABS(D22+D23+D24+N(D25)-D11-D16)&lt;=1,0,ROUND(D22+D23+D24+N(D25)-D11-D16,1)),"")</f>
      </c>
      <c r="E26" s="260">
        <f>IF(ISNUMBER(E22),IF(ABS(E22+E23+E24+N(E25)-E11-E16)&lt;=1,0,ROUND(E22+E23+E24+N(E25)-E11-E16,1)),"")</f>
      </c>
      <c r="F26" s="260">
        <f>IF(ISNUMBER(F22),IF(ABS(F22+F23+F24+N(F25)-F11-F16)&lt;=1,0,ROUND(F22+F23+F24+N(F25)-F11-F16,1)),"")</f>
      </c>
      <c r="G26" s="260">
        <f>IF(ISNUMBER(G22),IF(ABS(G22+G23+G24+N(G25)-G11-G16)&lt;=1,0,ROUND(G22+G23+G24+N(G25)-G11-G16,1)),"")</f>
      </c>
      <c r="H26" s="260">
        <f>IF(ISNUMBER(H22),IF(ABS(H22+H23+H24+N(H25)-H11-H16)&lt;=1,0,ROUND(H22+H23+H24+N(H25)-H11-H16,1)),"")</f>
        <v>0</v>
      </c>
      <c r="I26" s="260">
        <f>IF(ISNUMBER(I22),IF(ABS(I22+I23+I24+N(I25)-I11-I16)&lt;=1,0,ROUND(I22+I23+I24+N(I25)-I11-I16,1)),"")</f>
        <v>0</v>
      </c>
      <c r="J26" s="260">
        <f>IF(ISNUMBER(J22),IF(ABS(J22+J23+J24+N(J25)-J11-J16)&lt;=1,0,ROUND(J22+J23+J24+N(J25)-J11-J16,1)),"")</f>
        <v>0</v>
      </c>
      <c r="K26" s="260">
        <f>IF(ISNUMBER(K22),IF(ABS(K22+K23+K24+N(K25)-K11-K16)&lt;=1,0,ROUND(K22+K23+K24+N(K25)-K11-K16,1)),"")</f>
        <v>0</v>
      </c>
      <c r="L26" s="260">
        <f>IF(ISNUMBER(L22),IF(ABS(L22+L23+L24+N(L25)-L11-L16)&lt;=1,0,ROUND(L22+L23+L24+N(L25)-L11-L16,1)),"")</f>
        <v>0</v>
      </c>
      <c r="M26" s="260">
        <f>IF(ISNUMBER(M22),IF(ABS(M22+M23+M24+N(M25)-M11-M16)&lt;=1,0,ROUND(M22+M23+M24+N(M25)-M11-M16,1)),"")</f>
        <v>0</v>
      </c>
      <c r="N26" s="260">
        <f>IF(ISNUMBER(N22),IF(ABS(N22+N23+N24+N(N25)-N11-N16)&lt;=1,0,ROUND(N22+N23+N24+N(N25)-N11-N16,1)),"")</f>
        <v>0</v>
      </c>
      <c r="O26" s="260">
        <f>IF(ISNUMBER(O22),IF(ABS(O22+O23+O24+N(O25)-O11-O16)&lt;=1,0,ROUND(O22+O23+O24+N(O25)-O11-O16,1)),"")</f>
        <v>0</v>
      </c>
      <c r="P26" s="260">
        <f>IF(ISNUMBER(P22),IF(ABS(P22+P23+P24+N(P25)-P11-P16)&lt;=1,0,ROUND(P22+P23+P24+N(P25)-P11-P16,1)),"")</f>
        <v>0</v>
      </c>
      <c r="Q26" s="260">
        <f>IF(ISNUMBER(Q22),IF(ABS(Q22+Q23+Q24+N(Q25)-Q11-Q16)&lt;=1,0,ROUND(Q22+Q23+Q24+N(Q25)-Q11-Q16,1)),"")</f>
        <v>0</v>
      </c>
      <c r="R26" s="260">
        <f>IF(ISNUMBER(R22),IF(ABS(R22+R23+R24+N(R25)-R11-R16)&lt;=1,0,ROUND(R22+R23+R24+N(R25)-R11-R16,1)),"")</f>
        <v>0</v>
      </c>
      <c r="S26" s="260">
        <f>IF(ISNUMBER(S22),IF(ABS(S22+S23+S24+N(S25)-S11-S16)&lt;=1,0,ROUND(S22+S23+S24+N(S25)-S11-S16,1)),"")</f>
        <v>0</v>
      </c>
      <c r="T26" s="260">
        <f>IF(ISNUMBER(T22),IF(ABS(T22+T23+T24+N(T25)-T11-T16)&lt;=1,0,ROUND(T22+T23+T24+N(T25)-T11-T16,1)),"")</f>
        <v>0</v>
      </c>
      <c r="U26" s="260">
        <f>IF(ISNUMBER(U22),IF(ABS(U22+U23+U24+N(U25)-U11-U16)&lt;=1,0,ROUND(U22+U23+U24+N(U25)-U11-U16,1)),"")</f>
        <v>0</v>
      </c>
      <c r="V26" s="260">
        <f>IF(ISNUMBER(V22),IF(ABS(V22+V23+V24+N(V25)-V11-V16)&lt;=1,0,ROUND(V22+V23+V24+N(V25)-V11-V16,1)),"")</f>
        <v>0</v>
      </c>
      <c r="W26" s="260">
        <f>IF(ISNUMBER(W22),IF(ABS(W22+W23+W24+N(W25)-W11-W16)&lt;=1,0,ROUND(W22+W23+W24+N(W25)-W11-W16,1)),"")</f>
        <v>0</v>
      </c>
      <c r="X26" s="260">
        <f>IF(ISNUMBER(X22),IF(ABS(X22+X23+X24+N(X25)-X11-X16)&lt;=1,0,ROUND(X22+X23+X24+N(X25)-X11-X16,1)),"")</f>
        <v>0</v>
      </c>
      <c r="Y26" s="260">
        <f>IF(ISNUMBER(Y22),IF(ABS(Y22+Y23+Y24+N(Y25)-Y11-Y16)&lt;=1,0,ROUND(Y22+Y23+Y24+N(Y25)-Y11-Y16,1)),"")</f>
        <v>0</v>
      </c>
      <c r="Z26" s="260">
        <f>IF(ISNUMBER(Z22),IF(ABS(Z22+Z23+Z24+N(Z25)-Z11-Z16)&lt;=1,0,ROUND(Z22+Z23+Z24+N(Z25)-Z11-Z16,1)),"")</f>
        <v>0</v>
      </c>
      <c r="AA26" s="260">
        <f>IF(ISNUMBER(AA22),IF(ABS(AA22+AA23+AA24+N(AA25)-AA11-AA16)&lt;=1,0,ROUND(AA22+AA23+AA24+N(AA25)-AA11-AA16,1)),"")</f>
        <v>0</v>
      </c>
      <c r="AB26" s="260">
        <f>IF(ISNUMBER(AB22),IF(ABS(AB22+AB23+AB24+N(AB25)-AB11-AB16)&lt;=1,0,ROUND(AB22+AB23+AB24+N(AB25)-AB11-AB16,1)),"")</f>
        <v>0</v>
      </c>
      <c r="AC26" s="260">
        <f>IF(ISNUMBER(AC22),IF(ABS(AC22+AC23+AC24+N(AC25)-AC11-AC16)&lt;=1,0,ROUND(AC22+AC23+AC24+N(AC25)-AC11-AC16,1)),"")</f>
        <v>0</v>
      </c>
      <c r="AD26" s="260">
        <f>IF(ISNUMBER(AD22),IF(ABS(AD22+AD23+AD24+N(AD25)-AD11-AD16)&lt;=1,0,ROUND(AD22+AD23+AD24+N(AD25)-AD11-AD16,1)),"")</f>
        <v>0</v>
      </c>
      <c r="AE26" s="260">
        <f>IF(ISNUMBER(AE22),IF(ABS(AE22+AE23+AE24+N(AE25)-AE11-AE16)&lt;=1,0,ROUND(AE22+AE23+AE24+N(AE25)-AE11-AE16,1)),"")</f>
        <v>0</v>
      </c>
      <c r="AF26" s="260">
        <f>IF(ISNUMBER(AF22),IF(ABS(AF22+AF23+AF24+N(AF25)-AF11-AF16)&lt;=1,0,ROUND(AF22+AF23+AF24+N(AF25)-AF11-AF16,1)),"")</f>
        <v>0</v>
      </c>
      <c r="AG26" s="260">
        <f>IF(ISNUMBER(AG22),IF(ABS(AG22+AG23+AG24+N(AG25)-AG11-AG16)&lt;=1,0,ROUND(AG22+AG23+AG24+N(AG25)-AG11-AG16,1)),"")</f>
        <v>0</v>
      </c>
      <c r="AH26" s="260">
        <f>IF(ISNUMBER(AH22),IF(ABS(AH22+AH23+AH24+N(AH25)-AH11-AH16)&lt;=1,0,ROUND(AH22+AH23+AH24+N(AH25)-AH11-AH16,1)),"")</f>
        <v>0</v>
      </c>
      <c r="AI26" s="260">
        <f>IF(ISNUMBER(AI22),IF(ABS(AI22+AI23+AI24+N(AI25)-AI11-AI16)&lt;=1,0,ROUND(AI22+AI23+AI24+N(AI25)-AI11-AI16,1)),"")</f>
        <v>0</v>
      </c>
      <c r="AJ26" s="260">
        <f>IF(ISNUMBER(AJ22),IF(ABS(AJ22+AJ23+AJ24+N(AJ25)-AJ11-AJ16)&lt;=1,0,ROUND(AJ22+AJ23+AJ24+N(AJ25)-AJ11-AJ16,1)),"")</f>
        <v>0</v>
      </c>
      <c r="AK26" s="260">
        <f>IF(ISNUMBER(AK22),IF(ABS(AK22+AK23+AK24+N(AK25)-AK11-AK16)&lt;=1,0,ROUND(AK22+AK23+AK24+N(AK25)-AK11-AK16,1)),"")</f>
        <v>0</v>
      </c>
      <c r="AL26" s="260">
        <f>IF(ISNUMBER(AL22),IF(ABS(AL22+AL23+AL24+N(AL25)-AL11-AL16)&lt;=1,0,ROUND(AL22+AL23+AL24+N(AL25)-AL11-AL16,1)),"")</f>
      </c>
      <c r="AM26" s="153" t="n"/>
      <c r="AN26" s="153" t="n"/>
      <c r="AO26" s="153" t="n"/>
      <c r="AP26" s="153" t="n"/>
      <c r="AQ26" s="153" t="n"/>
      <c r="AR26" s="153" t="n"/>
      <c r="AS26" s="153" t="n"/>
      <c r="AT26" s="153" t="n"/>
      <c r="AU26" s="153" t="n"/>
      <c r="BC26" s="25" t="inlineStr">
        <is>
          <t xml:space="preserve">  FY27 other corporate (acquisition) expenses, adjusted out ($m)</t>
        </is>
      </c>
      <c r="BE26" s="259" t="n">
        <v>25</v>
      </c>
      <c r="BG26" s="13" t="inlineStr">
        <is>
          <t>Q1 $10m (Defy; Ultra agreement). Ultra closing and integration costs (assumption).</t>
        </is>
      </c>
    </row>
    <row r="27" ht="15" customHeight="1" s="251">
      <c r="BC27" s="25" t="inlineStr">
        <is>
          <t xml:space="preserve">  FY27 non-operating adjusting items ($m)</t>
        </is>
      </c>
      <c r="BE27" s="259" t="n">
        <v>0</v>
      </c>
      <c r="BG27" s="13" t="inlineStr">
        <is>
          <t>None in Q1/27 (debt-cost amortization no longer adjusted out since FY2026).</t>
        </is>
      </c>
    </row>
    <row r="28" ht="15" customHeight="1" s="251">
      <c r="B28" s="14" t="inlineStr">
        <is>
          <t>Ultra I&amp;C Mission Solutions — acquired 24-Aug-2026 for $720m (National Security defense technology; revenue not disclosed)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5" t="inlineStr">
        <is>
          <t>ULTRA MISSION SOLUTIONS — modelling logic (closed after the FY27 guidance; added on top of the calibrated legacy business)</t>
        </is>
      </c>
      <c r="BC28" s="25" t="inlineStr">
        <is>
          <t xml:space="preserve">  Two-class allocation to participating securities (% of net income)</t>
        </is>
      </c>
      <c r="BE28" s="261" t="n">
        <v>0.008</v>
      </c>
      <c r="BG28" s="13" t="inlineStr">
        <is>
          <t>FY2026 0.7%, Q1/27 1.0%, FY2025 0.5%.</t>
        </is>
      </c>
    </row>
    <row r="29" ht="15" customHeight="1" s="251">
      <c r="B29" s="25" t="inlineStr">
        <is>
          <t xml:space="preserve">  Annualised revenue run-rate (USDm; FY2027E = assumption, then × (1 + growth))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24" t="n"/>
      <c r="AN29" s="24" t="n"/>
      <c r="AO29" s="24" t="n"/>
      <c r="AP29" s="262" t="n">
        <v>180</v>
      </c>
      <c r="AQ29" s="263">
        <f>AP29*(1+AQ30)</f>
        <v>207</v>
      </c>
      <c r="AR29" s="263">
        <f>AQ29*(1+AR30)</f>
        <v>238.05</v>
      </c>
      <c r="AS29" s="263">
        <f>AR29*(1+AS30)</f>
        <v>266.616</v>
      </c>
      <c r="AT29" s="263">
        <f>AS29*(1+AT30)</f>
        <v>293.2776</v>
      </c>
      <c r="AU29" s="19" t="inlineStr">
        <is>
          <t>Ultra I&amp;C Mission Solutions (Ultra Electronics Advanced Tactical Systems, Inc.): stock purchase agreement 19-Jun-2026 for $720m subject to adjustments (8-K Item 1.01, 22-Jun-2026); closed 24-Aug-2026 (8-K 24-Aug-2026, Ex. 99.1). Revenue and EBITDA not disclosed; the announcement (Ex. 99.1, 22-Jun-2026) says BAH 'expects revenue from this acquisition to grow at a strong double-digit rate for the next several years with EBITDA margins well above 20%'. Run-rate $180m is an ASSUMPTION (~4x EV / sales); replace with the Q2 FY27 10-Q disclosure.</t>
        </is>
      </c>
      <c r="BC29" s="25" t="inlineStr">
        <is>
          <t xml:space="preserve">  Tax rate on adjusting items (company assumed rate)</t>
        </is>
      </c>
      <c r="BE29" s="261" t="n">
        <v>0.26</v>
      </c>
      <c r="BG29" s="13" t="inlineStr">
        <is>
          <t>Release footnote: "assumed effective tax rate of 26%, which approximates the blended federal and state tax rates".</t>
        </is>
      </c>
    </row>
    <row r="30" ht="15" customHeight="1" s="251">
      <c r="B30" s="22" t="inlineStr">
        <is>
          <t xml:space="preserve">    Growth % (scenario lever from 2028E; company: "strong double-digit rate for the next several years")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4" t="n"/>
      <c r="AN30" s="24" t="n"/>
      <c r="AO30" s="24" t="n"/>
      <c r="AP30" s="24" t="n"/>
      <c r="AQ30" s="256">
        <f>CHOOSE(MATCH($AU$2,{"Bull","Base","Bear"},0),$BD$45,$BE$45,$BF$45)</f>
        <v>0.15</v>
      </c>
      <c r="AR30" s="256">
        <f>CHOOSE(MATCH($AU$2,{"Bull","Base","Bear"},0),$BD$46,$BE$46,$BF$46)</f>
        <v>0.15</v>
      </c>
      <c r="AS30" s="256">
        <f>CHOOSE(MATCH($AU$2,{"Bull","Base","Bear"},0),$BD$47,$BE$47,$BF$47)</f>
        <v>0.12</v>
      </c>
      <c r="AT30" s="256">
        <f>CHOOSE(MATCH($AU$2,{"Bull","Base","Bear"},0),$BD$48,$BE$48,$BF$48)</f>
        <v>0.1</v>
      </c>
      <c r="AU30" s="153" t="n"/>
      <c r="BC30" s="25" t="inlineStr">
        <is>
          <t xml:space="preserve">  FY27 Ultra adjusted EBITDA margin</t>
        </is>
      </c>
      <c r="BE30" s="261" t="n">
        <v>0.25</v>
      </c>
      <c r="BG30" s="13" t="inlineStr">
        <is>
          <t>Company: "EBITDA margins well above 20%" (8-K Ex. 99.1, 22-Jun-2026). 25% is an assumption.</t>
        </is>
      </c>
    </row>
    <row r="31" ht="15" customHeight="1" s="251">
      <c r="B31" s="25" t="inlineStr">
        <is>
          <t xml:space="preserve">  Share of the quarter consolidated (closed 24-Aug-2026: 38 of 91 days in Q2/27)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264" t="n">
        <v>0.4175824175824176</v>
      </c>
      <c r="AN31" s="264" t="n">
        <v>1</v>
      </c>
      <c r="AO31" s="264" t="n">
        <v>1</v>
      </c>
      <c r="AP31" s="24" t="n"/>
      <c r="AQ31" s="46" t="n"/>
      <c r="AR31" s="46" t="n"/>
      <c r="AS31" s="46" t="n"/>
      <c r="AT31" s="46" t="n"/>
      <c r="AU31" s="19" t="n"/>
    </row>
    <row r="32" ht="15" customHeight="1" s="251">
      <c r="B32" s="16" t="inlineStr">
        <is>
          <t xml:space="preserve">  Ultra revenue</t>
        </is>
      </c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  <c r="AJ32" s="43" t="n"/>
      <c r="AK32" s="43" t="n"/>
      <c r="AL32" s="43" t="n"/>
      <c r="AM32" s="265">
        <f>$AP$29/4*AM31</f>
        <v>18.7912087912088</v>
      </c>
      <c r="AN32" s="265">
        <f>$AP$29/4*AN31</f>
        <v>45</v>
      </c>
      <c r="AO32" s="265">
        <f>$AP$29/4*AO31</f>
        <v>45</v>
      </c>
      <c r="AP32" s="265">
        <f>SUM(AL32,AM32,AN32,AO32)</f>
        <v>108.791208791209</v>
      </c>
      <c r="AQ32" s="265">
        <f>AQ29</f>
        <v>207</v>
      </c>
      <c r="AR32" s="265">
        <f>AR29</f>
        <v>238.05</v>
      </c>
      <c r="AS32" s="265">
        <f>AS29</f>
        <v>266.616</v>
      </c>
      <c r="AT32" s="265">
        <f>AT29</f>
        <v>293.2776</v>
      </c>
      <c r="AU32" s="153" t="n"/>
      <c r="BC32" s="25" t="inlineStr">
        <is>
          <t xml:space="preserve">  Maximum net debt / adjusted EBITDA before buybacks (x) — buyback floor 2028E+</t>
        </is>
      </c>
      <c r="BD32" s="266" t="n">
        <v>3.25</v>
      </c>
      <c r="BE32" s="266" t="n">
        <v>3</v>
      </c>
      <c r="BF32" s="266" t="n">
        <v>2.5</v>
      </c>
      <c r="BG32" s="13" t="inlineStr">
        <is>
          <t>Assumption (no leverage target in the SEC filings). Net leverage ratio (net debt / LTM adjusted EBITDA, company definition) 2.6x at 31-Mar-2026, 2.7x at 30-Jun-2026; ~3.2x pro forma for Ultra. Target = leverage up to which surplus cash is returned via buybacks; below it free cash flow repays debt / builds cash.</t>
        </is>
      </c>
    </row>
    <row r="33" ht="15" customHeight="1" s="251">
      <c r="B33" s="25" t="inlineStr">
        <is>
          <t xml:space="preserve">  Adjusted EBITDA margin % (company: "EBITDA margins well above 20%")</t>
        </is>
      </c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256">
        <f>$BE$30</f>
        <v>0.25</v>
      </c>
      <c r="AN33" s="256">
        <f>$BE$30</f>
        <v>0.25</v>
      </c>
      <c r="AO33" s="256">
        <f>$BE$30</f>
        <v>0.25</v>
      </c>
      <c r="AP33" s="256">
        <f>$BE$30</f>
        <v>0.25</v>
      </c>
      <c r="AQ33" s="267">
        <f>CHOOSE(MATCH($AU$2,{"Bull","Base","Bear"},0),$BD$55,$BE$55,$BF$55)</f>
        <v>0.25</v>
      </c>
      <c r="AR33" s="267">
        <f>CHOOSE(MATCH($AU$2,{"Bull","Base","Bear"},0),$BD$56,$BE$56,$BF$56)</f>
        <v>0.25</v>
      </c>
      <c r="AS33" s="267">
        <f>CHOOSE(MATCH($AU$2,{"Bull","Base","Bear"},0),$BD$57,$BE$57,$BF$57)</f>
        <v>0.25</v>
      </c>
      <c r="AT33" s="267">
        <f>CHOOSE(MATCH($AU$2,{"Bull","Base","Bear"},0),$BD$58,$BE$58,$BF$58)</f>
        <v>0.25</v>
      </c>
      <c r="AU33" s="19" t="n"/>
    </row>
    <row r="34" ht="15" customHeight="1" s="251">
      <c r="B34" s="25" t="inlineStr">
        <is>
          <t xml:space="preserve">  Ultra adjusted EBITDA</t>
        </is>
      </c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254">
        <f>AM32*AM33</f>
        <v>4.6978021978022</v>
      </c>
      <c r="AN34" s="254">
        <f>AN32*AN33</f>
        <v>11.25</v>
      </c>
      <c r="AO34" s="254">
        <f>AO32*AO33</f>
        <v>11.25</v>
      </c>
      <c r="AP34" s="254">
        <f>SUM(AL34,AM34,AN34,AO34)</f>
        <v>27.1978021978022</v>
      </c>
      <c r="AQ34" s="254">
        <f>AQ32*AQ33</f>
        <v>51.75</v>
      </c>
      <c r="AR34" s="254">
        <f>AR32*AR33</f>
        <v>59.5125</v>
      </c>
      <c r="AS34" s="254">
        <f>AS32*AS33</f>
        <v>66.654</v>
      </c>
      <c r="AT34" s="254">
        <f>AT32*AT33</f>
        <v>73.3194</v>
      </c>
      <c r="AU34" s="19" t="n"/>
      <c r="BC34" s="15" t="inlineStr">
        <is>
          <t>NS_G (National Security revenue y/y, ex-Ultra)</t>
        </is>
      </c>
      <c r="BD34" s="268" t="n">
        <v>0.02</v>
      </c>
      <c r="BE34" s="21" t="inlineStr">
        <is>
          <t>Δ →</t>
        </is>
      </c>
      <c r="BF34" s="268" t="n">
        <v>-0.03</v>
      </c>
      <c r="BG34" s="13" t="inlineStr">
        <is>
          <t>FY26 +2.0%, Q1/27 +1.3% (incl. Defy); FY2022–25 CAGR +9%. Record $39.5bn backlog, Q1/27 book-to-bill 1.5x; defense / intelligence budget growth (FY26 NDAA). Assumption.</t>
        </is>
      </c>
    </row>
    <row r="35" ht="15" customHeight="1" s="251">
      <c r="B35" s="25" t="inlineStr">
        <is>
          <t xml:space="preserve">  Consideration (USDm; 8-K 22-Jun-2026, subject to adjustments)</t>
        </is>
      </c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24" t="n"/>
      <c r="AN35" s="24" t="n"/>
      <c r="AO35" s="24" t="n"/>
      <c r="AP35" s="262" t="n">
        <v>720</v>
      </c>
      <c r="AQ35" s="46" t="n"/>
      <c r="AR35" s="46" t="n"/>
      <c r="AS35" s="46" t="n"/>
      <c r="AT35" s="46" t="n"/>
      <c r="AU35" s="19" t="n"/>
      <c r="BC35" s="25" t="inlineStr">
        <is>
          <t xml:space="preserve">  2028E</t>
        </is>
      </c>
      <c r="BD35" s="33">
        <f>BE35+$BD$34</f>
        <v>0.06</v>
      </c>
      <c r="BE35" s="261" t="n">
        <v>0.04</v>
      </c>
      <c r="BF35" s="33">
        <f>BE35+$BF$34</f>
        <v>0.01</v>
      </c>
    </row>
    <row r="36" ht="15" customHeight="1" s="251">
      <c r="B36" s="25" t="inlineStr">
        <is>
          <t xml:space="preserve">  Acquired intangibles % of consideration (assumption; Defy 37%)</t>
        </is>
      </c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24" t="n"/>
      <c r="AN36" s="24" t="n"/>
      <c r="AO36" s="24" t="n"/>
      <c r="AP36" s="264" t="n">
        <v>0.4</v>
      </c>
      <c r="AQ36" s="46" t="n"/>
      <c r="AR36" s="46" t="n"/>
      <c r="AS36" s="46" t="n"/>
      <c r="AT36" s="46" t="n"/>
      <c r="AU36" s="19" t="n"/>
      <c r="BC36" s="25" t="inlineStr">
        <is>
          <t xml:space="preserve">  2029E</t>
        </is>
      </c>
      <c r="BD36" s="33">
        <f>BE36+$BD$34</f>
        <v>0.07</v>
      </c>
      <c r="BE36" s="261" t="n">
        <v>0.05</v>
      </c>
      <c r="BF36" s="33">
        <f>BE36+$BF$34</f>
        <v>0.02</v>
      </c>
    </row>
    <row r="37" ht="15" customHeight="1" s="251">
      <c r="B37" s="25" t="inlineStr">
        <is>
          <t xml:space="preserve">  Intangible amortization life (years; assumption)</t>
        </is>
      </c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24" t="n"/>
      <c r="AN37" s="24" t="n"/>
      <c r="AO37" s="24" t="n"/>
      <c r="AP37" s="269" t="n">
        <v>10</v>
      </c>
      <c r="AQ37" s="46" t="n"/>
      <c r="AR37" s="46" t="n"/>
      <c r="AS37" s="46" t="n"/>
      <c r="AT37" s="46" t="n"/>
      <c r="AU37" s="19" t="n"/>
      <c r="BC37" s="25" t="inlineStr">
        <is>
          <t xml:space="preserve">  2030E</t>
        </is>
      </c>
      <c r="BD37" s="33">
        <f>BE37+$BD$34</f>
        <v>0.07</v>
      </c>
      <c r="BE37" s="261" t="n">
        <v>0.05</v>
      </c>
      <c r="BF37" s="33">
        <f>BE37+$BF$34</f>
        <v>0.02</v>
      </c>
    </row>
    <row r="38" ht="15" customHeight="1" s="251">
      <c r="B38" s="25" t="inlineStr">
        <is>
          <t xml:space="preserve">  Ultra acquisition amortization (adjusted out by the company)</t>
        </is>
      </c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254">
        <f>$AP$35*$AP$36/$AP$37/4*AM31</f>
        <v>3.00659340659341</v>
      </c>
      <c r="AN38" s="254">
        <f>$AP$35*$AP$36/$AP$37/4*AN31</f>
        <v>7.2</v>
      </c>
      <c r="AO38" s="254">
        <f>$AP$35*$AP$36/$AP$37/4*AO31</f>
        <v>7.2</v>
      </c>
      <c r="AP38" s="254">
        <f>SUM(AL38,AM38,AN38,AO38)</f>
        <v>17.4065934065934</v>
      </c>
      <c r="AQ38" s="254">
        <f>AP35*AP36/AP37</f>
        <v>28.8</v>
      </c>
      <c r="AR38" s="254">
        <f>AP35*AP36/AP37</f>
        <v>28.8</v>
      </c>
      <c r="AS38" s="254">
        <f>AP35*AP36/AP37</f>
        <v>28.8</v>
      </c>
      <c r="AT38" s="254">
        <f>AP35*AP36/AP37</f>
        <v>28.8</v>
      </c>
      <c r="AU38" s="19" t="n"/>
      <c r="BC38" s="25" t="inlineStr">
        <is>
          <t xml:space="preserve">  2031E</t>
        </is>
      </c>
      <c r="BD38" s="33">
        <f>BE38+$BD$34</f>
        <v>0.07</v>
      </c>
      <c r="BE38" s="261" t="n">
        <v>0.05</v>
      </c>
      <c r="BF38" s="33">
        <f>BE38+$BF$34</f>
        <v>0.02</v>
      </c>
    </row>
    <row r="39" ht="15" customHeight="1" s="251">
      <c r="BC39" s="15" t="inlineStr">
        <is>
          <t>CC_G (Civil &amp; Commercial revenue y/y)</t>
        </is>
      </c>
      <c r="BD39" s="268" t="n">
        <v>0.04</v>
      </c>
      <c r="BE39" s="21" t="inlineStr">
        <is>
          <t>Δ →</t>
        </is>
      </c>
      <c r="BF39" s="268" t="n">
        <v>-0.04</v>
      </c>
      <c r="BG39" s="13" t="inlineStr">
        <is>
          <t>FY26 −22% (civil agency contract cuts and cancellations, contract sale Nov-2025), Q1/27 −16%. Assumed to trough in FY28. Assumption.</t>
        </is>
      </c>
    </row>
    <row r="40" ht="15" customHeight="1" s="251">
      <c r="B40" s="14" t="inlineStr">
        <is>
          <t>Backlog, book-to-bill &amp; headcount (operating data, release Exhibit 5)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5" t="inlineStr">
        <is>
          <t>BACKLOG — roll-forward: closing = opening + net bookings − revenue; net bookings = revenue × book-to-bill (company definition)</t>
        </is>
      </c>
      <c r="BC40" s="25" t="inlineStr">
        <is>
          <t xml:space="preserve">  2028E</t>
        </is>
      </c>
      <c r="BD40" s="33">
        <f>BE40+$BD$39</f>
        <v>0</v>
      </c>
      <c r="BE40" s="261" t="n">
        <v>-0.04</v>
      </c>
      <c r="BF40" s="33">
        <f>BE40+$BF$39</f>
        <v>-0.08</v>
      </c>
    </row>
    <row r="41" ht="15" customHeight="1" s="251">
      <c r="B41" s="25" t="inlineStr">
        <is>
          <t xml:space="preserve">  Funded backlog</t>
        </is>
      </c>
      <c r="C41" s="270" t="n">
        <v>2898</v>
      </c>
      <c r="D41" s="270" t="n">
        <v>2509</v>
      </c>
      <c r="E41" s="270" t="n">
        <v>2290</v>
      </c>
      <c r="F41" s="270" t="n">
        <v>2691</v>
      </c>
      <c r="G41" s="270" t="n">
        <v>2673</v>
      </c>
      <c r="H41" s="270" t="n">
        <v>2815</v>
      </c>
      <c r="I41" s="270" t="n">
        <v>2685</v>
      </c>
      <c r="J41" s="270" t="n">
        <v>3436</v>
      </c>
      <c r="K41" s="270" t="n">
        <v>3415</v>
      </c>
      <c r="L41" s="270" t="n">
        <v>3510</v>
      </c>
      <c r="M41" s="270" t="n">
        <v>3493</v>
      </c>
      <c r="N41" s="270" t="n">
        <v>4917</v>
      </c>
      <c r="O41" s="270" t="n">
        <v>4044</v>
      </c>
      <c r="P41" s="270" t="n">
        <v>3710</v>
      </c>
      <c r="Q41" s="270" t="n">
        <v>3710</v>
      </c>
      <c r="R41" s="270" t="n">
        <v>4020</v>
      </c>
      <c r="S41" s="270" t="n">
        <v>5475</v>
      </c>
      <c r="T41" s="270" t="n">
        <v>4544</v>
      </c>
      <c r="U41" s="270" t="n">
        <v>4619</v>
      </c>
      <c r="V41" s="270" t="n">
        <v>4619</v>
      </c>
      <c r="W41" s="270" t="n">
        <v>4903</v>
      </c>
      <c r="X41" s="270" t="n">
        <v>6282</v>
      </c>
      <c r="Y41" s="270" t="n">
        <v>5246</v>
      </c>
      <c r="Z41" s="270" t="n">
        <v>4822</v>
      </c>
      <c r="AA41" s="270" t="n">
        <v>4822</v>
      </c>
      <c r="AB41" s="270" t="n">
        <v>5136</v>
      </c>
      <c r="AC41" s="270" t="n">
        <v>6612</v>
      </c>
      <c r="AD41" s="270" t="n">
        <v>5330</v>
      </c>
      <c r="AE41" s="270" t="n">
        <v>4421</v>
      </c>
      <c r="AF41" s="270" t="n">
        <v>4421</v>
      </c>
      <c r="AG41" s="270" t="n">
        <v>4047</v>
      </c>
      <c r="AH41" s="270" t="n">
        <v>5440</v>
      </c>
      <c r="AI41" s="270" t="n">
        <v>4206</v>
      </c>
      <c r="AJ41" s="270" t="n">
        <v>4319</v>
      </c>
      <c r="AK41" s="270" t="n">
        <v>4319</v>
      </c>
      <c r="AL41" s="270" t="n">
        <v>4664</v>
      </c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19" t="n"/>
      <c r="BC41" s="25" t="inlineStr">
        <is>
          <t xml:space="preserve">  2029E</t>
        </is>
      </c>
      <c r="BD41" s="33">
        <f>BE41+$BD$39</f>
        <v>0.04</v>
      </c>
      <c r="BE41" s="261" t="n">
        <v>0</v>
      </c>
      <c r="BF41" s="33">
        <f>BE41+$BF$39</f>
        <v>-0.04</v>
      </c>
    </row>
    <row r="42" ht="15" customHeight="1" s="251">
      <c r="B42" s="25" t="inlineStr">
        <is>
          <t xml:space="preserve">  Unfunded backlog</t>
        </is>
      </c>
      <c r="C42" s="270" t="n">
        <v>2681</v>
      </c>
      <c r="D42" s="270" t="n">
        <v>3056</v>
      </c>
      <c r="E42" s="270" t="n">
        <v>2343</v>
      </c>
      <c r="F42" s="270" t="n">
        <v>2121</v>
      </c>
      <c r="G42" s="270" t="n">
        <v>2546</v>
      </c>
      <c r="H42" s="270" t="n">
        <v>3098</v>
      </c>
      <c r="I42" s="270" t="n">
        <v>4161</v>
      </c>
      <c r="J42" s="270" t="n">
        <v>3687</v>
      </c>
      <c r="K42" s="270" t="n">
        <v>4518</v>
      </c>
      <c r="L42" s="270" t="n">
        <v>6086</v>
      </c>
      <c r="M42" s="270" t="n">
        <v>9029</v>
      </c>
      <c r="N42" s="270" t="n">
        <v>9528</v>
      </c>
      <c r="O42" s="270" t="n">
        <v>9415</v>
      </c>
      <c r="P42" s="270" t="n">
        <v>9925</v>
      </c>
      <c r="Q42" s="270" t="n">
        <v>9925</v>
      </c>
      <c r="R42" s="270" t="n">
        <v>9991</v>
      </c>
      <c r="S42" s="270" t="n">
        <v>10380</v>
      </c>
      <c r="T42" s="270" t="n">
        <v>10131</v>
      </c>
      <c r="U42" s="270" t="n">
        <v>9519</v>
      </c>
      <c r="V42" s="270" t="n">
        <v>9519</v>
      </c>
      <c r="W42" s="270" t="n">
        <v>9045</v>
      </c>
      <c r="X42" s="270" t="n">
        <v>10128</v>
      </c>
      <c r="Y42" s="270" t="n">
        <v>9195</v>
      </c>
      <c r="Z42" s="270" t="n">
        <v>9463</v>
      </c>
      <c r="AA42" s="270" t="n">
        <v>9463</v>
      </c>
      <c r="AB42" s="270" t="n">
        <v>10119</v>
      </c>
      <c r="AC42" s="270" t="n">
        <v>10317</v>
      </c>
      <c r="AD42" s="270" t="n">
        <v>9340</v>
      </c>
      <c r="AE42" s="270" t="n">
        <v>8804</v>
      </c>
      <c r="AF42" s="270" t="n">
        <v>8804</v>
      </c>
      <c r="AG42" s="270" t="n">
        <v>10441</v>
      </c>
      <c r="AH42" s="270" t="n">
        <v>10668</v>
      </c>
      <c r="AI42" s="270" t="n">
        <v>10059</v>
      </c>
      <c r="AJ42" s="270" t="n">
        <v>10183</v>
      </c>
      <c r="AK42" s="270" t="n">
        <v>10183</v>
      </c>
      <c r="AL42" s="270" t="n">
        <v>10218</v>
      </c>
      <c r="AM42" s="35" t="n"/>
      <c r="AN42" s="35" t="n"/>
      <c r="AO42" s="35" t="n"/>
      <c r="AP42" s="35" t="n"/>
      <c r="AQ42" s="35" t="n"/>
      <c r="AR42" s="35" t="n"/>
      <c r="AS42" s="35" t="n"/>
      <c r="AT42" s="35" t="n"/>
      <c r="AU42" s="19" t="n"/>
      <c r="BC42" s="25" t="inlineStr">
        <is>
          <t xml:space="preserve">  2030E</t>
        </is>
      </c>
      <c r="BD42" s="33">
        <f>BE42+$BD$39</f>
        <v>0.06</v>
      </c>
      <c r="BE42" s="261" t="n">
        <v>0.02</v>
      </c>
      <c r="BF42" s="33">
        <f>BE42+$BF$39</f>
        <v>-0.02</v>
      </c>
    </row>
    <row r="43" ht="15" customHeight="1" s="251">
      <c r="B43" s="25" t="inlineStr">
        <is>
          <t xml:space="preserve">  Priced options</t>
        </is>
      </c>
      <c r="C43" s="270" t="n">
        <v>5225</v>
      </c>
      <c r="D43" s="270" t="n">
        <v>6265</v>
      </c>
      <c r="E43" s="270" t="n">
        <v>5205</v>
      </c>
      <c r="F43" s="270" t="n">
        <v>4548</v>
      </c>
      <c r="G43" s="270" t="n">
        <v>6595</v>
      </c>
      <c r="H43" s="270" t="n">
        <v>7679</v>
      </c>
      <c r="I43" s="270" t="n">
        <v>9174</v>
      </c>
      <c r="J43" s="270" t="n">
        <v>12198</v>
      </c>
      <c r="K43" s="270" t="n">
        <v>12796</v>
      </c>
      <c r="L43" s="270" t="n">
        <v>14436</v>
      </c>
      <c r="M43" s="270" t="n">
        <v>14295</v>
      </c>
      <c r="N43" s="270" t="n">
        <v>14550</v>
      </c>
      <c r="O43" s="270" t="n">
        <v>14302</v>
      </c>
      <c r="P43" s="270" t="n">
        <v>15612</v>
      </c>
      <c r="Q43" s="270" t="n">
        <v>15612</v>
      </c>
      <c r="R43" s="270" t="n">
        <v>14617</v>
      </c>
      <c r="S43" s="270" t="n">
        <v>15981</v>
      </c>
      <c r="T43" s="270" t="n">
        <v>15373</v>
      </c>
      <c r="U43" s="270" t="n">
        <v>17064</v>
      </c>
      <c r="V43" s="270" t="n">
        <v>17064</v>
      </c>
      <c r="W43" s="270" t="n">
        <v>17329</v>
      </c>
      <c r="X43" s="270" t="n">
        <v>18630</v>
      </c>
      <c r="Y43" s="270" t="n">
        <v>19880</v>
      </c>
      <c r="Z43" s="270" t="n">
        <v>19533</v>
      </c>
      <c r="AA43" s="270" t="n">
        <v>19533</v>
      </c>
      <c r="AB43" s="270" t="n">
        <v>20923</v>
      </c>
      <c r="AC43" s="270" t="n">
        <v>24325</v>
      </c>
      <c r="AD43" s="270" t="n">
        <v>24743</v>
      </c>
      <c r="AE43" s="270" t="n">
        <v>23802</v>
      </c>
      <c r="AF43" s="270" t="n">
        <v>23802</v>
      </c>
      <c r="AG43" s="270" t="n">
        <v>23777</v>
      </c>
      <c r="AH43" s="270" t="n">
        <v>24080</v>
      </c>
      <c r="AI43" s="270" t="n">
        <v>24191</v>
      </c>
      <c r="AJ43" s="270" t="n">
        <v>23685</v>
      </c>
      <c r="AK43" s="270" t="n">
        <v>23685</v>
      </c>
      <c r="AL43" s="270" t="n">
        <v>24601</v>
      </c>
      <c r="AM43" s="35" t="n"/>
      <c r="AN43" s="35" t="n"/>
      <c r="AO43" s="35" t="n"/>
      <c r="AP43" s="35" t="n"/>
      <c r="AQ43" s="35" t="n"/>
      <c r="AR43" s="35" t="n"/>
      <c r="AS43" s="35" t="n"/>
      <c r="AT43" s="35" t="n"/>
      <c r="AU43" s="19" t="n"/>
      <c r="BC43" s="25" t="inlineStr">
        <is>
          <t xml:space="preserve">  2031E</t>
        </is>
      </c>
      <c r="BD43" s="33">
        <f>BE43+$BD$39</f>
        <v>0.07</v>
      </c>
      <c r="BE43" s="261" t="n">
        <v>0.03</v>
      </c>
      <c r="BF43" s="33">
        <f>BE43+$BF$39</f>
        <v>-0.01</v>
      </c>
    </row>
    <row r="44" ht="15" customHeight="1" s="251">
      <c r="B44" s="16" t="inlineStr">
        <is>
          <t xml:space="preserve">  Total backlog (period end)</t>
        </is>
      </c>
      <c r="C44" s="271" t="n">
        <v>10804</v>
      </c>
      <c r="D44" s="271" t="n">
        <v>11830</v>
      </c>
      <c r="E44" s="271" t="n">
        <v>9838</v>
      </c>
      <c r="F44" s="271" t="n">
        <v>9360</v>
      </c>
      <c r="G44" s="271" t="n">
        <v>11814</v>
      </c>
      <c r="H44" s="271" t="n">
        <v>13592</v>
      </c>
      <c r="I44" s="271" t="n">
        <v>16020</v>
      </c>
      <c r="J44" s="271" t="n">
        <v>19321</v>
      </c>
      <c r="K44" s="271" t="n">
        <v>20729</v>
      </c>
      <c r="L44" s="271" t="n">
        <v>24032</v>
      </c>
      <c r="M44" s="271" t="n">
        <v>26817</v>
      </c>
      <c r="N44" s="271" t="n">
        <v>28995</v>
      </c>
      <c r="O44" s="271" t="n">
        <v>27761</v>
      </c>
      <c r="P44" s="271" t="n">
        <v>29247</v>
      </c>
      <c r="Q44" s="271" t="n">
        <v>29247</v>
      </c>
      <c r="R44" s="271" t="n">
        <v>28628</v>
      </c>
      <c r="S44" s="271" t="n">
        <v>31836</v>
      </c>
      <c r="T44" s="271" t="n">
        <v>30048</v>
      </c>
      <c r="U44" s="271" t="n">
        <v>31202</v>
      </c>
      <c r="V44" s="271" t="n">
        <v>31202</v>
      </c>
      <c r="W44" s="271" t="n">
        <v>31277</v>
      </c>
      <c r="X44" s="271" t="n">
        <v>35040</v>
      </c>
      <c r="Y44" s="271" t="n">
        <v>34321</v>
      </c>
      <c r="Z44" s="271" t="n">
        <v>33818</v>
      </c>
      <c r="AA44" s="271" t="n">
        <v>33818</v>
      </c>
      <c r="AB44" s="271" t="n">
        <v>36178</v>
      </c>
      <c r="AC44" s="271" t="n">
        <v>41254</v>
      </c>
      <c r="AD44" s="271" t="n">
        <v>39413</v>
      </c>
      <c r="AE44" s="271" t="n">
        <v>37027</v>
      </c>
      <c r="AF44" s="271" t="n">
        <v>37027</v>
      </c>
      <c r="AG44" s="271" t="n">
        <v>38265</v>
      </c>
      <c r="AH44" s="271" t="n">
        <v>40188</v>
      </c>
      <c r="AI44" s="271" t="n">
        <v>38456</v>
      </c>
      <c r="AJ44" s="271" t="n">
        <v>38187</v>
      </c>
      <c r="AK44" s="271" t="n">
        <v>38187</v>
      </c>
      <c r="AL44" s="271" t="n">
        <v>39483</v>
      </c>
      <c r="AM44" s="272">
        <f>AL44+AM45-AM120</f>
        <v>39483</v>
      </c>
      <c r="AN44" s="272">
        <f>AM44+AN45-AN120</f>
        <v>39483</v>
      </c>
      <c r="AO44" s="272">
        <f>AN44+AO45-AO120</f>
        <v>39483</v>
      </c>
      <c r="AP44" s="272">
        <f>AO44</f>
        <v>39483</v>
      </c>
      <c r="AQ44" s="272">
        <f>AP44+AQ45-AQ120</f>
        <v>40079.0218585813</v>
      </c>
      <c r="AR44" s="272">
        <f>AQ44+AR45-AR120</f>
        <v>40702.7616752404</v>
      </c>
      <c r="AS44" s="272">
        <f>AR44+AS45-AS120</f>
        <v>41358.1882768218</v>
      </c>
      <c r="AT44" s="272">
        <f>AS44+AT45-AT120</f>
        <v>42048.056049463</v>
      </c>
      <c r="AU44" s="153" t="inlineStr">
        <is>
          <t>Company definition: funded + unfunded + priced options (100% of unexercised option value). Acquired backlog (EverWatch, Liberty, Defy, Ultra) enters through net bookings.</t>
        </is>
      </c>
      <c r="AW44" s="20">
        <f>IFERROR((AT44/AK44)^(1/5)-1,"n/m")</f>
        <v>0.0194503428183033</v>
      </c>
      <c r="AX44" s="20">
        <f>IFERROR((AK44/L44)^(1/5)-1,"n/m")</f>
        <v>0.0970467247501725</v>
      </c>
      <c r="AY44" s="20">
        <f>IFERROR((AK44/G44)^(1/10)-1,"n/m")</f>
        <v>0.124480315855901</v>
      </c>
      <c r="AZ44" s="20">
        <f>IFERROR((AK44/C44)^(1/14)-1,"n/m")</f>
        <v>0.0943758419510332</v>
      </c>
      <c r="BC44" s="15" t="inlineStr">
        <is>
          <t>ULTRA_G (Ultra Mission Solutions revenue y/y)</t>
        </is>
      </c>
      <c r="BD44" s="268" t="n">
        <v>0.05</v>
      </c>
      <c r="BE44" s="21" t="inlineStr">
        <is>
          <t>Δ →</t>
        </is>
      </c>
      <c r="BF44" s="268" t="n">
        <v>-0.08</v>
      </c>
      <c r="BG44" s="13" t="inlineStr">
        <is>
          <t>Company: "expects revenue from this acquisition to grow at a strong double-digit rate for the next several years" (22-Jun-2026). Base = 15% fading to 10%.</t>
        </is>
      </c>
    </row>
    <row r="45" ht="15" customHeight="1" s="251">
      <c r="B45" s="25" t="inlineStr">
        <is>
          <t xml:space="preserve">  Net bookings (Δ total backlog + revenue; incl. acquired backlog)</t>
        </is>
      </c>
      <c r="C45" s="34" t="n"/>
      <c r="D45" s="211">
        <f>IF(AND(ISNUMBER(D44),ISNUMBER(C44)),D44-C44+D120,"")</f>
        <v>6784.059</v>
      </c>
      <c r="E45" s="211">
        <f>IF(AND(ISNUMBER(E44),ISNUMBER(D44)),E44-D44+E120,"")</f>
        <v>3486.693</v>
      </c>
      <c r="F45" s="211">
        <f>IF(AND(ISNUMBER(F44),ISNUMBER(E44)),F44-E44+F120,"")</f>
        <v>4796.77</v>
      </c>
      <c r="G45" s="211">
        <f>IF(AND(ISNUMBER(G44),ISNUMBER(F44)),G44-F44+G120,"")</f>
        <v>7859.738</v>
      </c>
      <c r="H45" s="211">
        <f>IF(AND(ISNUMBER(H44),ISNUMBER(G44)),H44-G44+H120,"")</f>
        <v>7582.284</v>
      </c>
      <c r="I45" s="211">
        <f>IF(AND(ISNUMBER(I44),ISNUMBER(H44)),I44-H44+I120,"")</f>
        <v>8599.853</v>
      </c>
      <c r="J45" s="211">
        <f>IF(AND(ISNUMBER(J44),ISNUMBER(I44)),J44-I44+J120,"")</f>
        <v>10005.037</v>
      </c>
      <c r="K45" s="211">
        <f>IF(AND(ISNUMBER(K44),ISNUMBER(J44)),K44-J44+K120,"")</f>
        <v>8871.841</v>
      </c>
      <c r="L45" s="211">
        <f>IF(AND(ISNUMBER(L44),ISNUMBER(K44)),L44-K44+L120,"")</f>
        <v>11161.938</v>
      </c>
      <c r="M45" s="34" t="n"/>
      <c r="N45" s="211">
        <f>IF(AND(ISNUMBER(N44),ISNUMBER(M44)),N44-M44+N120,"")</f>
        <v>4284.038</v>
      </c>
      <c r="O45" s="211">
        <f>IF(AND(ISNUMBER(O44),ISNUMBER(N44)),O44-N44+O120,"")</f>
        <v>796.52</v>
      </c>
      <c r="P45" s="211">
        <f>IF(AND(ISNUMBER(P44),ISNUMBER(O44)),P44-O44+P120,"")</f>
        <v>3724.076</v>
      </c>
      <c r="Q45" s="211">
        <f>IF(AND(ISNUMBER(Q44),ISNUMBER(L44)),Q44-L44+Q120,"")</f>
        <v>13578.7</v>
      </c>
      <c r="R45" s="211">
        <f>IF(AND(ISNUMBER(R44),ISNUMBER(P44)),R44-P44+R120,"")</f>
        <v>1630.6</v>
      </c>
      <c r="S45" s="211">
        <f>IF(AND(ISNUMBER(S44),ISNUMBER(R44)),S44-R44+S120,"")</f>
        <v>5506.976</v>
      </c>
      <c r="T45" s="211">
        <f>IF(AND(ISNUMBER(T44),ISNUMBER(S44)),T44-S44+T120,"")</f>
        <v>489.074</v>
      </c>
      <c r="U45" s="211">
        <f>IF(AND(ISNUMBER(U44),ISNUMBER(T44)),U44-T44+U120,"")</f>
        <v>3587.261</v>
      </c>
      <c r="V45" s="211">
        <f>IF(AND(ISNUMBER(V44),ISNUMBER(Q44)),V44-Q44+V120,"")</f>
        <v>11213.911</v>
      </c>
      <c r="W45" s="211">
        <f>IF(AND(ISNUMBER(W44),ISNUMBER(U44)),W44-U44+W120,"")</f>
        <v>2729.486</v>
      </c>
      <c r="X45" s="211">
        <f>IF(AND(ISNUMBER(X44),ISNUMBER(W44)),X44-W44+X120,"")</f>
        <v>6429.282</v>
      </c>
      <c r="Y45" s="211">
        <f>IF(AND(ISNUMBER(Y44),ISNUMBER(X44)),Y44-X44+Y120,"")</f>
        <v>1850.801</v>
      </c>
      <c r="Z45" s="211">
        <f>IF(AND(ISNUMBER(Z44),ISNUMBER(Y44)),Z44-Y44+Z120,"")</f>
        <v>2268.327</v>
      </c>
      <c r="AA45" s="211">
        <f>IF(AND(ISNUMBER(AA44),ISNUMBER(V44)),AA44-V44+AA120,"")</f>
        <v>13277.896</v>
      </c>
      <c r="AB45" s="211">
        <f>IF(AND(ISNUMBER(AB44),ISNUMBER(Z44)),AB44-Z44+AB120,"")</f>
        <v>5301.797</v>
      </c>
      <c r="AC45" s="211">
        <f>IF(AND(ISNUMBER(AC44),ISNUMBER(AB44)),AC44-AB44+AC120,"")</f>
        <v>8222.386</v>
      </c>
      <c r="AD45" s="211">
        <f>IF(AND(ISNUMBER(AD44),ISNUMBER(AC44)),AD44-AC44+AD120,"")</f>
        <v>1076.19</v>
      </c>
      <c r="AE45" s="211">
        <f>IF(AND(ISNUMBER(AE44),ISNUMBER(AD44)),AE44-AD44+AE120,"")</f>
        <v>588</v>
      </c>
      <c r="AF45" s="211">
        <f>IF(AND(ISNUMBER(AF44),ISNUMBER(AA44)),AF44-AA44+AF120,"")</f>
        <v>15189</v>
      </c>
      <c r="AG45" s="211">
        <f>IF(AND(ISNUMBER(AG44),ISNUMBER(AE44)),AG44-AE44+AG120,"")</f>
        <v>4162</v>
      </c>
      <c r="AH45" s="211">
        <f>IF(AND(ISNUMBER(AH44),ISNUMBER(AG44)),AH44-AG44+AH120,"")</f>
        <v>4813</v>
      </c>
      <c r="AI45" s="211">
        <f>IF(AND(ISNUMBER(AI44),ISNUMBER(AH44)),AI44-AH44+AI120,"")</f>
        <v>888</v>
      </c>
      <c r="AJ45" s="211">
        <f>IF(AND(ISNUMBER(AJ44),ISNUMBER(AI44)),AJ44-AI44+AJ120,"")</f>
        <v>2514</v>
      </c>
      <c r="AK45" s="211">
        <f>IF(AND(ISNUMBER(AK44),ISNUMBER(AF44)),AK44-AF44+AK120,"")</f>
        <v>12377</v>
      </c>
      <c r="AL45" s="211">
        <f>IF(AND(ISNUMBER(AL44),ISNUMBER(AJ44)),AL44-AJ44+AL120,"")</f>
        <v>4096</v>
      </c>
      <c r="AM45" s="273">
        <f>AM120*AM46</f>
        <v>3030.23141823847</v>
      </c>
      <c r="AN45" s="273">
        <f>AN120*AN46</f>
        <v>2778.23563786094</v>
      </c>
      <c r="AO45" s="273">
        <f>AO120*AO46</f>
        <v>2950.32415269179</v>
      </c>
      <c r="AP45" s="273">
        <f>SUM(AL45,AM45,AN45,AO45)</f>
        <v>12854.7912087912</v>
      </c>
      <c r="AQ45" s="273">
        <f>AQ120*AQ46</f>
        <v>12516.4590302073</v>
      </c>
      <c r="AR45" s="273">
        <f>AR120*AR46</f>
        <v>13098.536149842</v>
      </c>
      <c r="AS45" s="273">
        <f>AS120*AS46</f>
        <v>13763.9586332088</v>
      </c>
      <c r="AT45" s="273">
        <f>AT120*AT46</f>
        <v>14487.2232254639</v>
      </c>
      <c r="AU45" s="19" t="n"/>
      <c r="BC45" s="25" t="inlineStr">
        <is>
          <t xml:space="preserve">  2028E</t>
        </is>
      </c>
      <c r="BD45" s="33">
        <f>BE45+$BD$44</f>
        <v>0.2</v>
      </c>
      <c r="BE45" s="261" t="n">
        <v>0.15</v>
      </c>
      <c r="BF45" s="33">
        <f>BE45+$BF$44</f>
        <v>0.07</v>
      </c>
    </row>
    <row r="46" ht="15" customHeight="1" s="251">
      <c r="B46" s="25" t="inlineStr">
        <is>
          <t xml:space="preserve">  Book-to-bill (x)</t>
        </is>
      </c>
      <c r="C46" s="274">
        <f>IF(ISNUMBER(C45),IFERROR(C45/C120,""),"")</f>
      </c>
      <c r="D46" s="274">
        <f>IF(ISNUMBER(D45),IFERROR(D45/D120,""),"")</f>
        <v>1.17818504464786</v>
      </c>
      <c r="E46" s="274">
        <f>IF(ISNUMBER(E45),IFERROR(E45/E120,""),"")</f>
        <v>0.636409632735399</v>
      </c>
      <c r="F46" s="274">
        <f>IF(ISNUMBER(F45),IFERROR(F45/F120,""),"")</f>
        <v>0.909379935049301</v>
      </c>
      <c r="G46" s="274">
        <f>IF(ISNUMBER(G45),IFERROR(G45/G120,""),"")</f>
        <v>1.45396206771397</v>
      </c>
      <c r="H46" s="274">
        <f>IF(ISNUMBER(H45),IFERROR(H45/H120,""),"")</f>
        <v>1.30632546581111</v>
      </c>
      <c r="I46" s="274">
        <f>IF(ISNUMBER(I45),IFERROR(I45/I120,""),"")</f>
        <v>1.39339887064711</v>
      </c>
      <c r="J46" s="274">
        <f>IF(ISNUMBER(J45),IFERROR(J45/J120,""),"")</f>
        <v>1.49238988388638</v>
      </c>
      <c r="K46" s="274">
        <f>IF(ISNUMBER(K45),IFERROR(K45/K120,""),"")</f>
        <v>1.1886428180879</v>
      </c>
      <c r="L46" s="274">
        <f>IF(ISNUMBER(L45),IFERROR(L45/L120,""),"")</f>
        <v>1.42028579434015</v>
      </c>
      <c r="M46" s="274">
        <f>IF(ISNUMBER(M45),IFERROR(M45/M120,""),"")</f>
      </c>
      <c r="N46" s="274">
        <f>IF(ISNUMBER(N45),IFERROR(N45/N120,""),"")</f>
        <v>2.03416937396191</v>
      </c>
      <c r="O46" s="274">
        <f>IF(ISNUMBER(O45),IFERROR(O45/O120,""),"")</f>
        <v>0.392273900281701</v>
      </c>
      <c r="P46" s="274">
        <f>IF(ISNUMBER(P45),IFERROR(P45/P120,""),"")</f>
        <v>1.66396315406626</v>
      </c>
      <c r="Q46" s="274">
        <f>IF(ISNUMBER(Q45),IFERROR(Q45/Q120,""),"")</f>
        <v>1.6235278644619</v>
      </c>
      <c r="R46" s="274">
        <f>IF(ISNUMBER(R45),IFERROR(R45/R120,""),"")</f>
        <v>0.724839971550498</v>
      </c>
      <c r="S46" s="274">
        <f>IF(ISNUMBER(S45),IFERROR(S45/S120,""),"")</f>
        <v>2.39540386676503</v>
      </c>
      <c r="T46" s="274">
        <f>IF(ISNUMBER(T45),IFERROR(T45/T120,""),"")</f>
        <v>0.214781776964649</v>
      </c>
      <c r="U46" s="274">
        <f>IF(ISNUMBER(U45),IFERROR(U45/U120,""),"")</f>
        <v>1.47426067322823</v>
      </c>
      <c r="V46" s="274">
        <f>IF(ISNUMBER(V45),IFERROR(V45/V120,""),"")</f>
        <v>1.21114794169638</v>
      </c>
      <c r="W46" s="274">
        <f>IF(ISNUMBER(W45),IFERROR(W45/W120,""),"")</f>
        <v>1.02825405747101</v>
      </c>
      <c r="X46" s="274">
        <f>IF(ISNUMBER(X45),IFERROR(X45/X120,""),"")</f>
        <v>2.41132858414826</v>
      </c>
      <c r="Y46" s="274">
        <f>IF(ISNUMBER(Y45),IFERROR(Y45/Y120,""),"")</f>
        <v>0.720211798501129</v>
      </c>
      <c r="Z46" s="274">
        <f>IF(ISNUMBER(Z45),IFERROR(Z45/Z120,""),"")</f>
        <v>0.818498502702857</v>
      </c>
      <c r="AA46" s="274">
        <f>IF(ISNUMBER(AA45),IFERROR(AA45/AA120,""),"")</f>
        <v>1.24535973714244</v>
      </c>
      <c r="AB46" s="274">
        <f>IF(ISNUMBER(AB45),IFERROR(AB45/AB120,""),"")</f>
        <v>1.80223074535734</v>
      </c>
      <c r="AC46" s="274">
        <f>IF(ISNUMBER(AC45),IFERROR(AC45/AC120,""),"")</f>
        <v>2.61327948954769</v>
      </c>
      <c r="AD46" s="274">
        <f>IF(ISNUMBER(AD45),IFERROR(AD45/AD120,""),"")</f>
        <v>0.368913234996692</v>
      </c>
      <c r="AE46" s="274">
        <f>IF(ISNUMBER(AE45),IFERROR(AE45/AE120,""),"")</f>
        <v>0.197713517148621</v>
      </c>
      <c r="AF46" s="274">
        <f>IF(ISNUMBER(AF45),IFERROR(AF45/AF120,""),"")</f>
        <v>1.26786310517529</v>
      </c>
      <c r="AG46" s="274">
        <f>IF(ISNUMBER(AG45),IFERROR(AG45/AG120,""),"")</f>
        <v>1.4233926128591</v>
      </c>
      <c r="AH46" s="274">
        <f>IF(ISNUMBER(AH45),IFERROR(AH45/AH120,""),"")</f>
        <v>1.66539792387543</v>
      </c>
      <c r="AI46" s="274">
        <f>IF(ISNUMBER(AI45),IFERROR(AI45/AI120,""),"")</f>
        <v>0.338931297709924</v>
      </c>
      <c r="AJ46" s="274">
        <f>IF(ISNUMBER(AJ45),IFERROR(AJ45/AJ120,""),"")</f>
        <v>0.903341717570967</v>
      </c>
      <c r="AK46" s="274">
        <f>IF(ISNUMBER(AK45),IFERROR(AK45/AK120,""),"")</f>
        <v>1.10341446019435</v>
      </c>
      <c r="AL46" s="274">
        <f>IF(ISNUMBER(AL45),IFERROR(AL45/AL120,""),"")</f>
        <v>1.46285714285714</v>
      </c>
      <c r="AM46" s="275" t="n">
        <v>1</v>
      </c>
      <c r="AN46" s="275" t="n">
        <v>1</v>
      </c>
      <c r="AO46" s="275" t="n">
        <v>1</v>
      </c>
      <c r="AP46" s="276">
        <f>IFERROR(AP45/AP120,"")</f>
        <v>1.11212245091981</v>
      </c>
      <c r="AQ46" s="276">
        <f>CHOOSE(MATCH($AU$2,{"Bull","Base","Bear"},0),$BD$60,$BE$60,$BF$60)</f>
        <v>1.05</v>
      </c>
      <c r="AR46" s="276">
        <f>CHOOSE(MATCH($AU$2,{"Bull","Base","Bear"},0),$BD$61,$BE$61,$BF$61)</f>
        <v>1.05</v>
      </c>
      <c r="AS46" s="276">
        <f>CHOOSE(MATCH($AU$2,{"Bull","Base","Bear"},0),$BD$62,$BE$62,$BF$62)</f>
        <v>1.05</v>
      </c>
      <c r="AT46" s="276">
        <f>CHOOSE(MATCH($AU$2,{"Bull","Base","Bear"},0),$BD$63,$BE$63,$BF$63)</f>
        <v>1.05</v>
      </c>
      <c r="AU46" s="19" t="inlineStr">
        <is>
          <t>Q2–Q4/27E 1.0x (government awards are lumpy; Q1/27 1.5x, TTM 1.1x). 2028E+: scenario lever.</t>
        </is>
      </c>
      <c r="AW46" s="37">
        <f>IFERROR(AVERAGE(AP46,AQ46,AR46,AS46,AT46),"n/m")</f>
        <v>1.06242449018396</v>
      </c>
      <c r="AX46" s="37">
        <f>IFERROR(AVERAGE(Q46,V46,AA46,AF46,AK46),"n/m")</f>
        <v>1.29026262173407</v>
      </c>
      <c r="AY46" s="37">
        <f>IFERROR(AVERAGE(H46,I46,J46,K46,L46,Q46,V46,AA46,AF46,AK46),"n/m")</f>
        <v>1.3252355941443</v>
      </c>
      <c r="AZ46" s="37">
        <f>IFERROR(AVERAGE(C46,D46,E46,F46,G46,H46,I46,J46,K46,L46,Q46,V46,AA46,AF46,AK46),"n/m")</f>
        <v>1.24502090154211</v>
      </c>
      <c r="BC46" s="25" t="inlineStr">
        <is>
          <t xml:space="preserve">  2029E</t>
        </is>
      </c>
      <c r="BD46" s="33">
        <f>BE46+$BD$44</f>
        <v>0.2</v>
      </c>
      <c r="BE46" s="261" t="n">
        <v>0.15</v>
      </c>
      <c r="BF46" s="33">
        <f>BE46+$BF$44</f>
        <v>0.07</v>
      </c>
    </row>
    <row r="47" ht="15" customHeight="1" s="251">
      <c r="B47" s="156" t="inlineStr">
        <is>
          <t xml:space="preserve">  Memo: book-to-bill as published (quarter / fiscal year)</t>
        </is>
      </c>
      <c r="C47" s="34" t="n"/>
      <c r="D47" s="34" t="n"/>
      <c r="E47" s="34" t="n"/>
      <c r="F47" s="34" t="n"/>
      <c r="G47" s="34" t="n"/>
      <c r="H47" s="34" t="n"/>
      <c r="I47" s="277" t="n">
        <v>1.39</v>
      </c>
      <c r="J47" s="277" t="n">
        <v>1.49</v>
      </c>
      <c r="K47" s="277" t="n">
        <v>1.19</v>
      </c>
      <c r="L47" s="277" t="n">
        <v>1.42</v>
      </c>
      <c r="M47" s="277" t="n">
        <v>1.3</v>
      </c>
      <c r="N47" s="277" t="n">
        <v>2.03</v>
      </c>
      <c r="O47" s="277" t="n">
        <v>0.39</v>
      </c>
      <c r="P47" s="277" t="n">
        <v>1.66</v>
      </c>
      <c r="Q47" s="277" t="n">
        <v>1.36</v>
      </c>
      <c r="R47" s="277" t="n">
        <v>0.72</v>
      </c>
      <c r="S47" s="277" t="n">
        <v>2.4</v>
      </c>
      <c r="T47" s="277" t="n">
        <v>0.09</v>
      </c>
      <c r="U47" s="277" t="n">
        <v>1.47</v>
      </c>
      <c r="V47" s="277" t="n">
        <v>1.18</v>
      </c>
      <c r="W47" s="277" t="n">
        <v>1.03</v>
      </c>
      <c r="X47" s="277" t="n">
        <v>2.41</v>
      </c>
      <c r="Y47" s="277" t="n">
        <v>0.72</v>
      </c>
      <c r="Z47" s="277" t="n">
        <v>0.82</v>
      </c>
      <c r="AA47" s="277" t="n">
        <v>1.25</v>
      </c>
      <c r="AB47" s="277" t="n">
        <v>1.72</v>
      </c>
      <c r="AC47" s="277" t="n">
        <v>2.61</v>
      </c>
      <c r="AD47" s="277" t="n">
        <v>0.37</v>
      </c>
      <c r="AE47" s="277" t="n">
        <v>0.71</v>
      </c>
      <c r="AF47" s="277" t="n">
        <v>1.39</v>
      </c>
      <c r="AG47" s="277" t="n">
        <v>1.42</v>
      </c>
      <c r="AH47" s="277" t="n">
        <v>1.7</v>
      </c>
      <c r="AI47" s="277" t="n">
        <v>0.3</v>
      </c>
      <c r="AJ47" s="277" t="n">
        <v>0.9</v>
      </c>
      <c r="AK47" s="277" t="n">
        <v>1.1</v>
      </c>
      <c r="AL47" s="277" t="n">
        <v>1.5</v>
      </c>
      <c r="AM47" s="153" t="n"/>
      <c r="AN47" s="153" t="n"/>
      <c r="AO47" s="153" t="n"/>
      <c r="AP47" s="153" t="n"/>
      <c r="AQ47" s="153" t="n"/>
      <c r="AR47" s="153" t="n"/>
      <c r="AS47" s="153" t="n"/>
      <c r="AT47" s="153" t="n"/>
      <c r="AU47" s="153" t="n"/>
      <c r="BC47" s="25" t="inlineStr">
        <is>
          <t xml:space="preserve">  2030E</t>
        </is>
      </c>
      <c r="BD47" s="33">
        <f>BE47+$BD$44</f>
        <v>0.17</v>
      </c>
      <c r="BE47" s="261" t="n">
        <v>0.12</v>
      </c>
      <c r="BF47" s="33">
        <f>BE47+$BF$44</f>
        <v>0.04</v>
      </c>
    </row>
    <row r="48" ht="15" customHeight="1" s="251">
      <c r="B48" s="25" t="inlineStr">
        <is>
          <t xml:space="preserve">  Total backlog / revenue (x, annualised)</t>
        </is>
      </c>
      <c r="C48" s="274">
        <f>IF(ISNUMBER(C44),IFERROR(C44/(C120*1),""),"")</f>
        <v>1.84393207421195</v>
      </c>
      <c r="D48" s="274">
        <f>IF(ISNUMBER(D44),IFERROR(D44/(D120*1),""),"")</f>
        <v>2.05451177210932</v>
      </c>
      <c r="E48" s="274">
        <f>IF(ISNUMBER(E44),IFERROR(E44/(E120*1),""),"")</f>
        <v>1.7956837515809</v>
      </c>
      <c r="F48" s="274">
        <f>IF(ISNUMBER(F44),IFERROR(F44/(F120*1),""),"")</f>
        <v>1.77448495384633</v>
      </c>
      <c r="G48" s="274">
        <f>IF(ISNUMBER(G44),IFERROR(G44/(G120*1),""),"")</f>
        <v>2.18545552892131</v>
      </c>
      <c r="H48" s="274">
        <f>IF(ISNUMBER(H44),IFERROR(H44/(H120*1),""),"")</f>
        <v>2.34171863402962</v>
      </c>
      <c r="I48" s="274">
        <f>IF(ISNUMBER(I44),IFERROR(I44/(I120*1),""),"")</f>
        <v>2.59565482197972</v>
      </c>
      <c r="J48" s="274">
        <f>IF(ISNUMBER(J44),IFERROR(J44/(J120*1),""),"")</f>
        <v>2.88199483385906</v>
      </c>
      <c r="K48" s="274">
        <f>IF(ISNUMBER(K44),IFERROR(K44/(K120*1),""),"")</f>
        <v>2.77725637510231</v>
      </c>
      <c r="L48" s="274">
        <f>IF(ISNUMBER(L44),IFERROR(L44/(L120*1),""),"")</f>
        <v>3.05791953060324</v>
      </c>
      <c r="M48" s="274">
        <f>IF(ISNUMBER(M44),IFERROR(M44/(M120*4),""),"")</f>
        <v>3.37055180672738</v>
      </c>
      <c r="N48" s="274">
        <f>IF(ISNUMBER(N44),IFERROR(N44/(N120*4),""),"")</f>
        <v>3.4418894625833</v>
      </c>
      <c r="O48" s="274">
        <f>IF(ISNUMBER(O44),IFERROR(O44/(O120*4),""),"")</f>
        <v>3.4179668262317</v>
      </c>
      <c r="P48" s="274">
        <f>IF(ISNUMBER(P44),IFERROR(P44/(P120*4),""),"")</f>
        <v>3.26698020978734</v>
      </c>
      <c r="Q48" s="274">
        <f>IF(ISNUMBER(Q44),IFERROR(Q44/(Q120*1),""),"")</f>
        <v>3.49689730621615</v>
      </c>
      <c r="R48" s="274">
        <f>IF(ISNUMBER(R44),IFERROR(R44/(R120*4),""),"")</f>
        <v>3.18145448079659</v>
      </c>
      <c r="S48" s="274">
        <f>IF(ISNUMBER(S44),IFERROR(S44/(S120*4),""),"")</f>
        <v>3.46197611458319</v>
      </c>
      <c r="T48" s="274">
        <f>IF(ISNUMBER(T44),IFERROR(T44/(T120*4),""),"")</f>
        <v>3.29897052094047</v>
      </c>
      <c r="U48" s="274">
        <f>IF(ISNUMBER(U44),IFERROR(U44/(U120*4),""),"")</f>
        <v>3.2057802266177</v>
      </c>
      <c r="V48" s="274">
        <f>IF(ISNUMBER(V44),IFERROR(V44/(V120*1),""),"")</f>
        <v>3.36994275028672</v>
      </c>
      <c r="W48" s="274">
        <f>IF(ISNUMBER(W44),IFERROR(W44/(W120*4),""),"")</f>
        <v>2.94567385173627</v>
      </c>
      <c r="X48" s="274">
        <f>IF(ISNUMBER(X44),IFERROR(X44/(X120*4),""),"")</f>
        <v>3.28547392961435</v>
      </c>
      <c r="Y48" s="274">
        <f>IF(ISNUMBER(Y44),IFERROR(Y44/(Y120*4),""),"")</f>
        <v>3.33887721267133</v>
      </c>
      <c r="Z48" s="274">
        <f>IF(ISNUMBER(Z44),IFERROR(Z44/(Z120*4),""),"")</f>
        <v>3.05070459025586</v>
      </c>
      <c r="AA48" s="274">
        <f>IF(ISNUMBER(AA44),IFERROR(AA44/(AA120*1),""),"")</f>
        <v>3.17185611264638</v>
      </c>
      <c r="AB48" s="274">
        <f>IF(ISNUMBER(AB44),IFERROR(AB44/(AB120*4),""),"")</f>
        <v>3.07448134592564</v>
      </c>
      <c r="AC48" s="274">
        <f>IF(ISNUMBER(AC44),IFERROR(AC44/(AC120*4),""),"")</f>
        <v>3.27788770989955</v>
      </c>
      <c r="AD48" s="274">
        <f>IF(ISNUMBER(AD44),IFERROR(AD44/(AD120*4),""),"")</f>
        <v>3.37765109574625</v>
      </c>
      <c r="AE48" s="274">
        <f>IF(ISNUMBER(AE44),IFERROR(AE44/(AE120*4),""),"")</f>
        <v>3.11255884330868</v>
      </c>
      <c r="AF48" s="274">
        <f>IF(ISNUMBER(AF44),IFERROR(AF44/(AF120*1),""),"")</f>
        <v>3.09073455759599</v>
      </c>
      <c r="AG48" s="274">
        <f>IF(ISNUMBER(AG44),IFERROR(AG44/(AG120*4),""),"")</f>
        <v>3.27163132694938</v>
      </c>
      <c r="AH48" s="274">
        <f>IF(ISNUMBER(AH44),IFERROR(AH44/(AH120*4),""),"")</f>
        <v>3.47647058823529</v>
      </c>
      <c r="AI48" s="274">
        <f>IF(ISNUMBER(AI44),IFERROR(AI44/(AI120*4),""),"")</f>
        <v>3.66946564885496</v>
      </c>
      <c r="AJ48" s="274">
        <f>IF(ISNUMBER(AJ44),IFERROR(AJ44/(AJ120*4),""),"")</f>
        <v>3.4303808839382</v>
      </c>
      <c r="AK48" s="274">
        <f>IF(ISNUMBER(AK44),IFERROR(AK44/(AK120*1),""),"")</f>
        <v>3.40438619951859</v>
      </c>
      <c r="AL48" s="274">
        <f>IF(ISNUMBER(AL44),IFERROR(AL44/(AL120*4),""),"")</f>
        <v>3.52526785714286</v>
      </c>
      <c r="AM48" s="276">
        <f>IF(ISNUMBER(AM44),IFERROR(AM44/(AM120*4),""),"")</f>
        <v>3.25742447939439</v>
      </c>
      <c r="AN48" s="276">
        <f>IF(ISNUMBER(AN44),IFERROR(AN44/(AN120*4),""),"")</f>
        <v>3.55288437938253</v>
      </c>
      <c r="AO48" s="276">
        <f>IF(ISNUMBER(AO44),IFERROR(AO44/(AO120*4),""),"")</f>
        <v>3.3456493216158</v>
      </c>
      <c r="AP48" s="276">
        <f>IF(ISNUMBER(AP44),IFERROR(AP44/(AP120*1),""),"")</f>
        <v>3.41584161239721</v>
      </c>
      <c r="AQ48" s="276">
        <f>IF(ISNUMBER(AQ44),IFERROR(AQ44/(AQ120*1),""),"")</f>
        <v>3.362210737873</v>
      </c>
      <c r="AR48" s="276">
        <f>IF(ISNUMBER(AR44),IFERROR(AR44/(AR120*1),""),"")</f>
        <v>3.26279969533221</v>
      </c>
      <c r="AS48" s="276">
        <f>IF(ISNUMBER(AS44),IFERROR(AS44/(AS120*1),""),"")</f>
        <v>3.15505871878221</v>
      </c>
      <c r="AT48" s="276">
        <f>IF(ISNUMBER(AT44),IFERROR(AT44/(AT120*1),""),"")</f>
        <v>3.04754459600882</v>
      </c>
      <c r="AU48" s="19" t="n"/>
      <c r="BC48" s="25" t="inlineStr">
        <is>
          <t xml:space="preserve">  2031E</t>
        </is>
      </c>
      <c r="BD48" s="33">
        <f>BE48+$BD$44</f>
        <v>0.15</v>
      </c>
      <c r="BE48" s="261" t="n">
        <v>0.1</v>
      </c>
      <c r="BF48" s="33">
        <f>BE48+$BF$44</f>
        <v>0.02</v>
      </c>
    </row>
    <row r="49" ht="15" customHeight="1" s="251">
      <c r="B49" s="25" t="inlineStr">
        <is>
          <t xml:space="preserve">  Funded backlog % of total</t>
        </is>
      </c>
      <c r="C49" s="215">
        <f>IF(ISNUMBER(C41),IFERROR(C41/C44,""),"")</f>
        <v>0.26823398741207</v>
      </c>
      <c r="D49" s="215">
        <f>IF(ISNUMBER(D41),IFERROR(D41/D44,""),"")</f>
        <v>0.212087912087912</v>
      </c>
      <c r="E49" s="215">
        <f>IF(ISNUMBER(E41),IFERROR(E41/E44,""),"")</f>
        <v>0.23277088839195</v>
      </c>
      <c r="F49" s="215">
        <f>IF(ISNUMBER(F41),IFERROR(F41/F44,""),"")</f>
        <v>0.2875</v>
      </c>
      <c r="G49" s="215">
        <f>IF(ISNUMBER(G41),IFERROR(G41/G44,""),"")</f>
        <v>0.226256983240223</v>
      </c>
      <c r="H49" s="215">
        <f>IF(ISNUMBER(H41),IFERROR(H41/H44,""),"")</f>
        <v>0.207107121836374</v>
      </c>
      <c r="I49" s="215">
        <f>IF(ISNUMBER(I41),IFERROR(I41/I44,""),"")</f>
        <v>0.167602996254682</v>
      </c>
      <c r="J49" s="215">
        <f>IF(ISNUMBER(J41),IFERROR(J41/J44,""),"")</f>
        <v>0.177837586046271</v>
      </c>
      <c r="K49" s="215">
        <f>IF(ISNUMBER(K41),IFERROR(K41/K44,""),"")</f>
        <v>0.164745043176227</v>
      </c>
      <c r="L49" s="215">
        <f>IF(ISNUMBER(L41),IFERROR(L41/L44,""),"")</f>
        <v>0.146055259653795</v>
      </c>
      <c r="M49" s="215">
        <f>IF(ISNUMBER(M41),IFERROR(M41/M44,""),"")</f>
        <v>0.130253197598538</v>
      </c>
      <c r="N49" s="215">
        <f>IF(ISNUMBER(N41),IFERROR(N41/N44,""),"")</f>
        <v>0.169580962234868</v>
      </c>
      <c r="O49" s="215">
        <f>IF(ISNUMBER(O41),IFERROR(O41/O44,""),"")</f>
        <v>0.145671985879471</v>
      </c>
      <c r="P49" s="215">
        <f>IF(ISNUMBER(P41),IFERROR(P41/P44,""),"")</f>
        <v>0.126850617157315</v>
      </c>
      <c r="Q49" s="215">
        <f>IF(ISNUMBER(Q41),IFERROR(Q41/Q44,""),"")</f>
        <v>0.126850617157315</v>
      </c>
      <c r="R49" s="215">
        <f>IF(ISNUMBER(R41),IFERROR(R41/R44,""),"")</f>
        <v>0.14042196451027</v>
      </c>
      <c r="S49" s="215">
        <f>IF(ISNUMBER(S41),IFERROR(S41/S44,""),"")</f>
        <v>0.171975122502827</v>
      </c>
      <c r="T49" s="215">
        <f>IF(ISNUMBER(T41),IFERROR(T41/T44,""),"")</f>
        <v>0.15122470713525</v>
      </c>
      <c r="U49" s="215">
        <f>IF(ISNUMBER(U41),IFERROR(U41/U44,""),"")</f>
        <v>0.148035382347285</v>
      </c>
      <c r="V49" s="215">
        <f>IF(ISNUMBER(V41),IFERROR(V41/V44,""),"")</f>
        <v>0.148035382347285</v>
      </c>
      <c r="W49" s="215">
        <f>IF(ISNUMBER(W41),IFERROR(W41/W44,""),"")</f>
        <v>0.15676055887713</v>
      </c>
      <c r="X49" s="215">
        <f>IF(ISNUMBER(X41),IFERROR(X41/X44,""),"")</f>
        <v>0.179280821917808</v>
      </c>
      <c r="Y49" s="215">
        <f>IF(ISNUMBER(Y41),IFERROR(Y41/Y44,""),"")</f>
        <v>0.152851024154308</v>
      </c>
      <c r="Z49" s="215">
        <f>IF(ISNUMBER(Z41),IFERROR(Z41/Z44,""),"")</f>
        <v>0.142586788101011</v>
      </c>
      <c r="AA49" s="215">
        <f>IF(ISNUMBER(AA41),IFERROR(AA41/AA44,""),"")</f>
        <v>0.142586788101011</v>
      </c>
      <c r="AB49" s="215">
        <f>IF(ISNUMBER(AB41),IFERROR(AB41/AB44,""),"")</f>
        <v>0.141964729946376</v>
      </c>
      <c r="AC49" s="215">
        <f>IF(ISNUMBER(AC41),IFERROR(AC41/AC44,""),"")</f>
        <v>0.160275367237116</v>
      </c>
      <c r="AD49" s="215">
        <f>IF(ISNUMBER(AD41),IFERROR(AD41/AD44,""),"")</f>
        <v>0.135234567274757</v>
      </c>
      <c r="AE49" s="215">
        <f>IF(ISNUMBER(AE41),IFERROR(AE41/AE44,""),"")</f>
        <v>0.119399357225808</v>
      </c>
      <c r="AF49" s="215">
        <f>IF(ISNUMBER(AF41),IFERROR(AF41/AF44,""),"")</f>
        <v>0.119399357225808</v>
      </c>
      <c r="AG49" s="215">
        <f>IF(ISNUMBER(AG41),IFERROR(AG41/AG44,""),"")</f>
        <v>0.105762446099569</v>
      </c>
      <c r="AH49" s="215">
        <f>IF(ISNUMBER(AH41),IFERROR(AH41/AH44,""),"")</f>
        <v>0.135363790186125</v>
      </c>
      <c r="AI49" s="215">
        <f>IF(ISNUMBER(AI41),IFERROR(AI41/AI44,""),"")</f>
        <v>0.109371749531933</v>
      </c>
      <c r="AJ49" s="215">
        <f>IF(ISNUMBER(AJ41),IFERROR(AJ41/AJ44,""),"")</f>
        <v>0.113101317202189</v>
      </c>
      <c r="AK49" s="215">
        <f>IF(ISNUMBER(AK41),IFERROR(AK41/AK44,""),"")</f>
        <v>0.113101317202189</v>
      </c>
      <c r="AL49" s="215">
        <f>IF(ISNUMBER(AL41),IFERROR(AL41/AL44,""),"")</f>
        <v>0.118126788744523</v>
      </c>
      <c r="AM49" s="256">
        <f>IF(ISNUMBER(AM41),IFERROR(AM41/AM44,""),"")</f>
      </c>
      <c r="AN49" s="256">
        <f>IF(ISNUMBER(AN41),IFERROR(AN41/AN44,""),"")</f>
      </c>
      <c r="AO49" s="256">
        <f>IF(ISNUMBER(AO41),IFERROR(AO41/AO44,""),"")</f>
      </c>
      <c r="AP49" s="256">
        <f>IF(ISNUMBER(AP41),IFERROR(AP41/AP44,""),"")</f>
      </c>
      <c r="AQ49" s="256">
        <f>IF(ISNUMBER(AQ41),IFERROR(AQ41/AQ44,""),"")</f>
      </c>
      <c r="AR49" s="256">
        <f>IF(ISNUMBER(AR41),IFERROR(AR41/AR44,""),"")</f>
      </c>
      <c r="AS49" s="256">
        <f>IF(ISNUMBER(AS41),IFERROR(AS41/AS44,""),"")</f>
      </c>
      <c r="AT49" s="256">
        <f>IF(ISNUMBER(AT41),IFERROR(AT41/AT44,""),"")</f>
      </c>
      <c r="AU49" s="153" t="n"/>
      <c r="BC49" s="15" t="inlineStr">
        <is>
          <t>ADJ_M (legacy adjusted EBITDA margin on revenue)</t>
        </is>
      </c>
      <c r="BD49" s="268" t="n">
        <v>0.005</v>
      </c>
      <c r="BE49" s="21" t="inlineStr">
        <is>
          <t>Δ →</t>
        </is>
      </c>
      <c r="BF49" s="268" t="n">
        <v>-0.01</v>
      </c>
      <c r="BG49" s="13" t="inlineStr">
        <is>
          <t>FY26 11.0%, FY25 11.0%, FY24 11.0%; FY27 guided ~11% (calibrated). Mix shift to National Security and fixed-price / product work vs pricing pressure (outcomes-based contracts).</t>
        </is>
      </c>
    </row>
    <row r="50" ht="15" customHeight="1" s="251">
      <c r="B50" s="25" t="inlineStr">
        <is>
          <t xml:space="preserve">  Total headcount (period end)</t>
        </is>
      </c>
      <c r="C50" s="270" t="n">
        <v>24950</v>
      </c>
      <c r="D50" s="270" t="n">
        <v>24455</v>
      </c>
      <c r="E50" s="270" t="n">
        <v>22664</v>
      </c>
      <c r="F50" s="270" t="n">
        <v>22540</v>
      </c>
      <c r="G50" s="270" t="n">
        <v>22583</v>
      </c>
      <c r="H50" s="270" t="n">
        <v>23300</v>
      </c>
      <c r="I50" s="270" t="n">
        <v>24639</v>
      </c>
      <c r="J50" s="270" t="n">
        <v>26069</v>
      </c>
      <c r="K50" s="270" t="n">
        <v>27173</v>
      </c>
      <c r="L50" s="270" t="n">
        <v>27727</v>
      </c>
      <c r="M50" s="270" t="n">
        <v>28558</v>
      </c>
      <c r="N50" s="270" t="n">
        <v>29228</v>
      </c>
      <c r="O50" s="270" t="n">
        <v>29453</v>
      </c>
      <c r="P50" s="270" t="n">
        <v>29317</v>
      </c>
      <c r="Q50" s="270" t="n">
        <v>29317</v>
      </c>
      <c r="R50" s="270" t="n">
        <v>29291</v>
      </c>
      <c r="S50" s="270" t="n">
        <v>30012</v>
      </c>
      <c r="T50" s="270" t="n">
        <v>31130</v>
      </c>
      <c r="U50" s="270" t="n">
        <v>31925</v>
      </c>
      <c r="V50" s="270" t="n">
        <v>31925</v>
      </c>
      <c r="W50" s="270" t="n">
        <v>32574</v>
      </c>
      <c r="X50" s="270" t="n">
        <v>33117</v>
      </c>
      <c r="Y50" s="270" t="n">
        <v>33798</v>
      </c>
      <c r="Z50" s="270" t="n">
        <v>34234</v>
      </c>
      <c r="AA50" s="270" t="n">
        <v>34234</v>
      </c>
      <c r="AB50" s="270" t="n">
        <v>35100</v>
      </c>
      <c r="AC50" s="270" t="n">
        <v>35800</v>
      </c>
      <c r="AD50" s="270" t="n">
        <v>35900</v>
      </c>
      <c r="AE50" s="270" t="n">
        <v>35800</v>
      </c>
      <c r="AF50" s="270" t="n">
        <v>35800</v>
      </c>
      <c r="AG50" s="270" t="n">
        <v>33400</v>
      </c>
      <c r="AH50" s="270" t="n">
        <v>32500</v>
      </c>
      <c r="AI50" s="270" t="n">
        <v>31600</v>
      </c>
      <c r="AJ50" s="270" t="n">
        <v>31500</v>
      </c>
      <c r="AK50" s="270" t="n">
        <v>31500</v>
      </c>
      <c r="AL50" s="270" t="n">
        <v>30900</v>
      </c>
      <c r="AM50" s="35" t="n"/>
      <c r="AN50" s="35" t="n"/>
      <c r="AO50" s="35" t="n"/>
      <c r="AP50" s="35" t="n"/>
      <c r="AQ50" s="35" t="n"/>
      <c r="AR50" s="35" t="n"/>
      <c r="AS50" s="35" t="n"/>
      <c r="AT50" s="35" t="n"/>
      <c r="AU50" s="19" t="n"/>
      <c r="AW50" s="20">
        <f>IFERROR((AT50/AK50)^(1/5)-1,"n/m")</f>
        <v>-1</v>
      </c>
      <c r="AX50" s="20">
        <f>IFERROR((AK50/L50)^(1/5)-1,"n/m")</f>
        <v>0.0258444998145344</v>
      </c>
      <c r="AY50" s="20">
        <f>IFERROR((AK50/G50)^(1/10)-1,"n/m")</f>
        <v>0.0338389540282547</v>
      </c>
      <c r="AZ50" s="20">
        <f>IFERROR((AK50/C50)^(1/14)-1,"n/m")</f>
        <v>0.0167903804733287</v>
      </c>
      <c r="BC50" s="25" t="inlineStr">
        <is>
          <t xml:space="preserve">  2028E</t>
        </is>
      </c>
      <c r="BD50" s="33">
        <f>BE50+$BD$49</f>
        <v>0.117</v>
      </c>
      <c r="BE50" s="261" t="n">
        <v>0.112</v>
      </c>
      <c r="BF50" s="33">
        <f>BE50+$BF$49</f>
        <v>0.102</v>
      </c>
    </row>
    <row r="51" ht="15" customHeight="1" s="251">
      <c r="B51" s="25" t="inlineStr">
        <is>
          <t xml:space="preserve">  Client / customer staff headcount (period end)</t>
        </is>
      </c>
      <c r="C51" s="270" t="n">
        <v>22447</v>
      </c>
      <c r="D51" s="270" t="n">
        <v>21996</v>
      </c>
      <c r="E51" s="270" t="n">
        <v>20572</v>
      </c>
      <c r="F51" s="270" t="n">
        <v>20454</v>
      </c>
      <c r="G51" s="270" t="n">
        <v>20329</v>
      </c>
      <c r="H51" s="270" t="n">
        <v>21032</v>
      </c>
      <c r="I51" s="270" t="n">
        <v>22145</v>
      </c>
      <c r="J51" s="270" t="n">
        <v>23379</v>
      </c>
      <c r="K51" s="270" t="n">
        <v>24218</v>
      </c>
      <c r="L51" s="270" t="n">
        <v>24823</v>
      </c>
      <c r="M51" s="270" t="n">
        <v>25466</v>
      </c>
      <c r="N51" s="270" t="n">
        <v>26120</v>
      </c>
      <c r="O51" s="270" t="n">
        <v>26294</v>
      </c>
      <c r="P51" s="270" t="n">
        <v>26289</v>
      </c>
      <c r="Q51" s="270" t="n">
        <v>26289</v>
      </c>
      <c r="R51" s="270" t="n">
        <v>26438</v>
      </c>
      <c r="S51" s="270" t="n">
        <v>27208</v>
      </c>
      <c r="T51" s="270" t="n">
        <v>28269</v>
      </c>
      <c r="U51" s="270" t="n">
        <v>29070</v>
      </c>
      <c r="V51" s="270" t="n">
        <v>29070</v>
      </c>
      <c r="W51" s="270" t="n">
        <v>29747</v>
      </c>
      <c r="X51" s="270" t="n">
        <v>30249</v>
      </c>
      <c r="Y51" s="270" t="n">
        <v>30864</v>
      </c>
      <c r="Z51" s="270" t="n">
        <v>31228</v>
      </c>
      <c r="AA51" s="270" t="n">
        <v>31228</v>
      </c>
      <c r="AB51" s="270" t="n">
        <v>32000</v>
      </c>
      <c r="AC51" s="270" t="n">
        <v>32700</v>
      </c>
      <c r="AD51" s="270" t="n">
        <v>32700</v>
      </c>
      <c r="AE51" s="270" t="n">
        <v>32700</v>
      </c>
      <c r="AF51" s="270" t="n">
        <v>32700</v>
      </c>
      <c r="AG51" s="270" t="n">
        <v>30400</v>
      </c>
      <c r="AH51" s="270" t="n">
        <v>29600</v>
      </c>
      <c r="AI51" s="270" t="n">
        <v>29000</v>
      </c>
      <c r="AJ51" s="270" t="n">
        <v>28800</v>
      </c>
      <c r="AK51" s="270" t="n">
        <v>28800</v>
      </c>
      <c r="AL51" s="270" t="n">
        <v>28200</v>
      </c>
      <c r="AM51" s="35" t="n"/>
      <c r="AN51" s="35" t="n"/>
      <c r="AO51" s="35" t="n"/>
      <c r="AP51" s="35" t="n"/>
      <c r="AQ51" s="35" t="n"/>
      <c r="AR51" s="35" t="n"/>
      <c r="AS51" s="35" t="n"/>
      <c r="AT51" s="35" t="n"/>
      <c r="AU51" s="19" t="n"/>
      <c r="BC51" s="25" t="inlineStr">
        <is>
          <t xml:space="preserve">  2029E</t>
        </is>
      </c>
      <c r="BD51" s="33">
        <f>BE51+$BD$49</f>
        <v>0.118</v>
      </c>
      <c r="BE51" s="261" t="n">
        <v>0.113</v>
      </c>
      <c r="BF51" s="33">
        <f>BE51+$BF$49</f>
        <v>0.103</v>
      </c>
    </row>
    <row r="52" ht="15" customHeight="1" s="251">
      <c r="B52" s="25" t="inlineStr">
        <is>
          <t xml:space="preserve">  Revenue ex-billable expenses per average customer-staff head ($000, annualised)</t>
        </is>
      </c>
      <c r="C52" s="34" t="n"/>
      <c r="D52" s="260">
        <f>IFERROR(D186*1/AVERAGE(D51,C51)*1000,"")</f>
        <v>190.152284949261</v>
      </c>
      <c r="E52" s="260">
        <f>IFERROR(E186*1/AVERAGE(E51,D51)*1000,"")</f>
        <v>187.538902461943</v>
      </c>
      <c r="F52" s="260">
        <f>IFERROR(F186*1/AVERAGE(F51,E51)*1000,"")</f>
        <v>188.575196217033</v>
      </c>
      <c r="G52" s="260">
        <f>IFERROR(G186*1/AVERAGE(G51,F51)*1000,"")</f>
        <v>190.895961552608</v>
      </c>
      <c r="H52" s="260">
        <f>IFERROR(H186*1/AVERAGE(H51,G51)*1000,"")</f>
        <v>195.991731341118</v>
      </c>
      <c r="I52" s="260">
        <f>IFERROR(I186*1/AVERAGE(I51,H51)*1000,"")</f>
        <v>199.668388262269</v>
      </c>
      <c r="J52" s="260">
        <f>IFERROR(J186*1/AVERAGE(J51,I51)*1000,"")</f>
        <v>206.456945786838</v>
      </c>
      <c r="K52" s="260">
        <f>IFERROR(K186*1/AVERAGE(K51,J51)*1000,"")</f>
        <v>217.048469441351</v>
      </c>
      <c r="L52" s="260">
        <f>IFERROR(L186*1/AVERAGE(L51,K51)*1000,"")</f>
        <v>225.649966354683</v>
      </c>
      <c r="M52" s="34" t="n"/>
      <c r="N52" s="260">
        <f>IFERROR(N186*4/AVERAGE(N51,M51)*1000,"")</f>
        <v>227.335788779902</v>
      </c>
      <c r="O52" s="260">
        <f>IFERROR(O186*4/AVERAGE(O51,N51)*1000,"")</f>
        <v>215.052466898157</v>
      </c>
      <c r="P52" s="260">
        <f>IFERROR(P186*4/AVERAGE(P51,O51)*1000,"")</f>
        <v>240.55348686838</v>
      </c>
      <c r="Q52" s="260">
        <f>IFERROR(Q186*1/AVERAGE(Q51,L51)*1000,"")</f>
        <v>230.456135545469</v>
      </c>
      <c r="R52" s="260">
        <f>IFERROR(R186*4/AVERAGE(R51,P51)*1000,"")</f>
        <v>239.017429400497</v>
      </c>
      <c r="S52" s="260">
        <f>IFERROR(S186*4/AVERAGE(S51,R51)*1000,"")</f>
        <v>240.694180367595</v>
      </c>
      <c r="T52" s="260">
        <f>IFERROR(T186*4/AVERAGE(T51,S51)*1000,"")</f>
        <v>225.902337905799</v>
      </c>
      <c r="U52" s="260">
        <f>IFERROR(U186*4/AVERAGE(U51,T51)*1000,"")</f>
        <v>236.367847363923</v>
      </c>
      <c r="V52" s="260">
        <f>IFERROR(V186*1/AVERAGE(V51,Q51)*1000,"")</f>
        <v>233.026391372677</v>
      </c>
      <c r="W52" s="260">
        <f>IFERROR(W186*4/AVERAGE(W51,U51)*1000,"")</f>
        <v>250.564564666678</v>
      </c>
      <c r="X52" s="260">
        <f>IFERROR(X186*4/AVERAGE(X51,W51)*1000,"")</f>
        <v>245.548903260217</v>
      </c>
      <c r="Y52" s="260">
        <f>IFERROR(Y186*4/AVERAGE(Y51,X51)*1000,"")</f>
        <v>231.689493233846</v>
      </c>
      <c r="Z52" s="260">
        <f>IFERROR(Z186*4/AVERAGE(Z51,Y51)*1000,"")</f>
        <v>248.21735489274</v>
      </c>
      <c r="AA52" s="260">
        <f>IFERROR(AA186*1/AVERAGE(AA51,V51)*1000,"")</f>
        <v>244.78821851471</v>
      </c>
      <c r="AB52" s="260">
        <f>IFERROR(AB186*4/AVERAGE(AB51,Z51)*1000,"")</f>
        <v>252.649585626621</v>
      </c>
      <c r="AC52" s="260">
        <f>IFERROR(AC186*4/AVERAGE(AC51,AB51)*1000,"")</f>
        <v>269.349489953632</v>
      </c>
      <c r="AD52" s="260">
        <f>IFERROR(AD186*4/AVERAGE(AD51,AC51)*1000,"")</f>
        <v>242.037431192661</v>
      </c>
      <c r="AE52" s="260">
        <f>IFERROR(AE186*4/AVERAGE(AE51,AD51)*1000,"")</f>
        <v>250.275229357798</v>
      </c>
      <c r="AF52" s="260">
        <f>IFERROR(AF186*1/AVERAGE(AF51,AA51)*1000,"")</f>
        <v>256.538605931673</v>
      </c>
      <c r="AG52" s="260">
        <f>IFERROR(AG186*4/AVERAGE(AG51,AE51)*1000,"")</f>
        <v>259.017432646593</v>
      </c>
      <c r="AH52" s="260">
        <f>IFERROR(AH186*4/AVERAGE(AH51,AG51)*1000,"")</f>
        <v>262.933333333333</v>
      </c>
      <c r="AI52" s="260">
        <f>IFERROR(AI186*4/AVERAGE(AI51,AH51)*1000,"")</f>
        <v>252.013651877133</v>
      </c>
      <c r="AJ52" s="260">
        <f>IFERROR(AJ186*4/AVERAGE(AJ51,AI51)*1000,"")</f>
        <v>263.806228373702</v>
      </c>
      <c r="AK52" s="260">
        <f>IFERROR(AK186*1/AVERAGE(AK51,AF51)*1000,"")</f>
        <v>252.585365853659</v>
      </c>
      <c r="AL52" s="260">
        <f>IFERROR(AL186*4/AVERAGE(AL51,AJ51)*1000,"")</f>
        <v>275.789473684211</v>
      </c>
      <c r="AM52" s="35" t="n"/>
      <c r="AN52" s="35" t="n"/>
      <c r="AO52" s="35" t="n"/>
      <c r="AP52" s="35" t="n"/>
      <c r="AQ52" s="35" t="n"/>
      <c r="AR52" s="35" t="n"/>
      <c r="AS52" s="35" t="n"/>
      <c r="AT52" s="35" t="n"/>
      <c r="AU52" s="19" t="n"/>
      <c r="BC52" s="25" t="inlineStr">
        <is>
          <t xml:space="preserve">  2030E</t>
        </is>
      </c>
      <c r="BD52" s="33">
        <f>BE52+$BD$49</f>
        <v>0.119</v>
      </c>
      <c r="BE52" s="261" t="n">
        <v>0.114</v>
      </c>
      <c r="BF52" s="33">
        <f>BE52+$BF$49</f>
        <v>0.104</v>
      </c>
    </row>
    <row r="53" ht="15" customHeight="1" s="251">
      <c r="B53" s="25" t="inlineStr">
        <is>
          <t xml:space="preserve">  Revenue by contract type (% of revenue):</t>
        </is>
      </c>
      <c r="AU53" s="153" t="n"/>
      <c r="BC53" s="25" t="inlineStr">
        <is>
          <t xml:space="preserve">  2031E</t>
        </is>
      </c>
      <c r="BD53" s="33">
        <f>BE53+$BD$49</f>
        <v>0.12</v>
      </c>
      <c r="BE53" s="261" t="n">
        <v>0.115</v>
      </c>
      <c r="BF53" s="33">
        <f>BE53+$BF$49</f>
        <v>0.105</v>
      </c>
    </row>
    <row r="54" collapsed="1" ht="15" customHeight="1" s="251">
      <c r="B54" s="25" t="inlineStr">
        <is>
          <t xml:space="preserve">    Cost-reimbursable</t>
        </is>
      </c>
      <c r="C54" s="278" t="n">
        <v>0.54</v>
      </c>
      <c r="D54" s="278" t="n">
        <v>0.57</v>
      </c>
      <c r="E54" s="278" t="n">
        <v>0.55</v>
      </c>
      <c r="F54" s="278" t="n">
        <v>0.55</v>
      </c>
      <c r="G54" s="278" t="n">
        <v>0.51</v>
      </c>
      <c r="H54" s="278" t="n">
        <v>0.5</v>
      </c>
      <c r="I54" s="278" t="n">
        <v>0.51</v>
      </c>
      <c r="J54" s="278" t="n">
        <v>0.53</v>
      </c>
      <c r="K54" s="278" t="n">
        <v>0.57</v>
      </c>
      <c r="L54" s="278" t="n">
        <v>0.5600000000000001</v>
      </c>
      <c r="M54" s="278" t="n">
        <v>0.5600000000000001</v>
      </c>
      <c r="N54" s="278" t="n">
        <v>0.53</v>
      </c>
      <c r="O54" s="278" t="n">
        <v>0.53</v>
      </c>
      <c r="P54" s="278" t="n">
        <v>0.53</v>
      </c>
      <c r="Q54" s="278" t="n">
        <v>0.54</v>
      </c>
      <c r="R54" s="278" t="n">
        <v>0.53</v>
      </c>
      <c r="S54" s="278" t="n">
        <v>0.52</v>
      </c>
      <c r="T54" s="278" t="n">
        <v>0.53</v>
      </c>
      <c r="U54" s="278" t="n">
        <v>0.54</v>
      </c>
      <c r="V54" s="278" t="n">
        <v>0.53</v>
      </c>
      <c r="W54" s="278" t="n">
        <v>0.55</v>
      </c>
      <c r="X54" s="278" t="n">
        <v>0.55</v>
      </c>
      <c r="Y54" s="278" t="n">
        <v>0.55</v>
      </c>
      <c r="Z54" s="278" t="n">
        <v>0.5600000000000001</v>
      </c>
      <c r="AA54" s="278" t="n">
        <v>0.55</v>
      </c>
      <c r="AB54" s="278" t="n">
        <v>0.5600000000000001</v>
      </c>
      <c r="AC54" s="278" t="n">
        <v>0.57</v>
      </c>
      <c r="AD54" s="278" t="n">
        <v>0.57</v>
      </c>
      <c r="AE54" s="278" t="n">
        <v>0.59</v>
      </c>
      <c r="AF54" s="278" t="n">
        <v>0.57</v>
      </c>
      <c r="AG54" s="278" t="n">
        <v>0.6</v>
      </c>
      <c r="AH54" s="278" t="n">
        <v>0.59</v>
      </c>
      <c r="AI54" s="278" t="n">
        <v>0.58</v>
      </c>
      <c r="AJ54" s="278" t="n">
        <v>0.58</v>
      </c>
      <c r="AK54" s="278" t="n">
        <v>0.59</v>
      </c>
      <c r="AL54" s="278" t="n">
        <v>0.57</v>
      </c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153" t="n"/>
      <c r="AW54" s="37" t="str">
        <f>IFERROR(AVERAGE(AP54,AQ54,AR54,AS54,AT54),"n/m")</f>
        <v>n/m</v>
      </c>
      <c r="AX54" s="37">
        <f>IFERROR(AVERAGE(Q54,V54,AA54,AF54,AK54),"n/m")</f>
        <v>0.556</v>
      </c>
      <c r="AY54" s="37">
        <f>IFERROR(AVERAGE(H54,I54,J54,K54,L54,Q54,V54,AA54,AF54,AK54),"n/m")</f>
        <v>0.545</v>
      </c>
      <c r="AZ54" s="37">
        <f>IFERROR(AVERAGE(C54,D54,E54,F54,G54,H54,I54,J54,K54,L54,Q54,V54,AA54,AF54,AK54),"n/m")</f>
        <v>0.544666666666667</v>
      </c>
      <c r="BC54" s="15" t="inlineStr">
        <is>
          <t>ULTRA_M (Ultra adjusted EBITDA margin)</t>
        </is>
      </c>
      <c r="BD54" s="268" t="n">
        <v>0.03</v>
      </c>
      <c r="BE54" s="21" t="inlineStr">
        <is>
          <t>Δ →</t>
        </is>
      </c>
      <c r="BF54" s="268" t="n">
        <v>-0.03</v>
      </c>
      <c r="BG54" s="13" t="inlineStr">
        <is>
          <t>Company: "EBITDA margins well above 20%". Assumption.</t>
        </is>
      </c>
    </row>
    <row r="55" ht="15" customHeight="1" s="251">
      <c r="B55" s="25" t="inlineStr">
        <is>
          <t xml:space="preserve">    Time-and-materials</t>
        </is>
      </c>
      <c r="C55" s="278" t="n">
        <v>0.31</v>
      </c>
      <c r="D55" s="278" t="n">
        <v>0.28</v>
      </c>
      <c r="E55" s="278" t="n">
        <v>0.28</v>
      </c>
      <c r="F55" s="278" t="n">
        <v>0.25</v>
      </c>
      <c r="G55" s="278" t="n">
        <v>0.26</v>
      </c>
      <c r="H55" s="278" t="n">
        <v>0.26</v>
      </c>
      <c r="I55" s="278" t="n">
        <v>0.25</v>
      </c>
      <c r="J55" s="278" t="n">
        <v>0.24</v>
      </c>
      <c r="K55" s="278" t="n">
        <v>0.23</v>
      </c>
      <c r="L55" s="278" t="n">
        <v>0.25</v>
      </c>
      <c r="M55" s="278" t="n">
        <v>0.25</v>
      </c>
      <c r="N55" s="278" t="n">
        <v>0.24</v>
      </c>
      <c r="O55" s="278" t="n">
        <v>0.24</v>
      </c>
      <c r="P55" s="278" t="n">
        <v>0.24</v>
      </c>
      <c r="Q55" s="278" t="n">
        <v>0.24</v>
      </c>
      <c r="R55" s="278" t="n">
        <v>0.24</v>
      </c>
      <c r="S55" s="278" t="n">
        <v>0.25</v>
      </c>
      <c r="T55" s="278" t="n">
        <v>0.25</v>
      </c>
      <c r="U55" s="278" t="n">
        <v>0.25</v>
      </c>
      <c r="V55" s="278" t="n">
        <v>0.25</v>
      </c>
      <c r="W55" s="278" t="n">
        <v>0.24</v>
      </c>
      <c r="X55" s="278" t="n">
        <v>0.24</v>
      </c>
      <c r="Y55" s="278" t="n">
        <v>0.24</v>
      </c>
      <c r="Z55" s="278" t="n">
        <v>0.23</v>
      </c>
      <c r="AA55" s="278" t="n">
        <v>0.24</v>
      </c>
      <c r="AB55" s="278" t="n">
        <v>0.23</v>
      </c>
      <c r="AC55" s="278" t="n">
        <v>0.23</v>
      </c>
      <c r="AD55" s="278" t="n">
        <v>0.23</v>
      </c>
      <c r="AE55" s="278" t="n">
        <v>0.22</v>
      </c>
      <c r="AF55" s="278" t="n">
        <v>0.23</v>
      </c>
      <c r="AG55" s="278" t="n">
        <v>0.22</v>
      </c>
      <c r="AH55" s="278" t="n">
        <v>0.22</v>
      </c>
      <c r="AI55" s="278" t="n">
        <v>0.22</v>
      </c>
      <c r="AJ55" s="278" t="n">
        <v>0.23</v>
      </c>
      <c r="AK55" s="278" t="n">
        <v>0.22</v>
      </c>
      <c r="AL55" s="278" t="n">
        <v>0.22</v>
      </c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153" t="n"/>
      <c r="AW55" s="37" t="str">
        <f>IFERROR(AVERAGE(AP55,AQ55,AR55,AS55,AT55),"n/m")</f>
        <v>n/m</v>
      </c>
      <c r="AX55" s="37">
        <f>IFERROR(AVERAGE(Q55,V55,AA55,AF55,AK55),"n/m")</f>
        <v>0.236</v>
      </c>
      <c r="AY55" s="37">
        <f>IFERROR(AVERAGE(H55,I55,J55,K55,L55,Q55,V55,AA55,AF55,AK55),"n/m")</f>
        <v>0.241</v>
      </c>
      <c r="AZ55" s="37">
        <f>IFERROR(AVERAGE(C55,D55,E55,F55,G55,H55,I55,J55,K55,L55,Q55,V55,AA55,AF55,AK55),"n/m")</f>
        <v>0.252666666666667</v>
      </c>
      <c r="BC55" s="25" t="inlineStr">
        <is>
          <t xml:space="preserve">  2028E</t>
        </is>
      </c>
      <c r="BD55" s="33">
        <f>BE55+$BD$54</f>
        <v>0.28</v>
      </c>
      <c r="BE55" s="261" t="n">
        <v>0.25</v>
      </c>
      <c r="BF55" s="33">
        <f>BE55+$BF$54</f>
        <v>0.22</v>
      </c>
    </row>
    <row r="56" ht="15" customHeight="1" s="251">
      <c r="B56" s="25" t="inlineStr">
        <is>
          <t xml:space="preserve">    Fixed-price</t>
        </is>
      </c>
      <c r="C56" s="278" t="n">
        <v>0.15</v>
      </c>
      <c r="D56" s="278" t="n">
        <v>0.15</v>
      </c>
      <c r="E56" s="278" t="n">
        <v>0.17</v>
      </c>
      <c r="F56" s="278" t="n">
        <v>0.2</v>
      </c>
      <c r="G56" s="278" t="n">
        <v>0.23</v>
      </c>
      <c r="H56" s="278" t="n">
        <v>0.24</v>
      </c>
      <c r="I56" s="278" t="n">
        <v>0.24</v>
      </c>
      <c r="J56" s="278" t="n">
        <v>0.23</v>
      </c>
      <c r="K56" s="278" t="n">
        <v>0.2</v>
      </c>
      <c r="L56" s="278" t="n">
        <v>0.19</v>
      </c>
      <c r="M56" s="278" t="n">
        <v>0.19</v>
      </c>
      <c r="N56" s="278" t="n">
        <v>0.23</v>
      </c>
      <c r="O56" s="278" t="n">
        <v>0.23</v>
      </c>
      <c r="P56" s="278" t="n">
        <v>0.23</v>
      </c>
      <c r="Q56" s="278" t="n">
        <v>0.22</v>
      </c>
      <c r="R56" s="278" t="n">
        <v>0.23</v>
      </c>
      <c r="S56" s="278" t="n">
        <v>0.23</v>
      </c>
      <c r="T56" s="278" t="n">
        <v>0.22</v>
      </c>
      <c r="U56" s="278" t="n">
        <v>0.21</v>
      </c>
      <c r="V56" s="278" t="n">
        <v>0.22</v>
      </c>
      <c r="W56" s="278" t="n">
        <v>0.21</v>
      </c>
      <c r="X56" s="278" t="n">
        <v>0.21</v>
      </c>
      <c r="Y56" s="278" t="n">
        <v>0.21</v>
      </c>
      <c r="Z56" s="278" t="n">
        <v>0.21</v>
      </c>
      <c r="AA56" s="278" t="n">
        <v>0.21</v>
      </c>
      <c r="AB56" s="278" t="n">
        <v>0.21</v>
      </c>
      <c r="AC56" s="278" t="n">
        <v>0.2</v>
      </c>
      <c r="AD56" s="278" t="n">
        <v>0.2</v>
      </c>
      <c r="AE56" s="278" t="n">
        <v>0.19</v>
      </c>
      <c r="AF56" s="278" t="n">
        <v>0.2</v>
      </c>
      <c r="AG56" s="278" t="n">
        <v>0.18</v>
      </c>
      <c r="AH56" s="278" t="n">
        <v>0.19</v>
      </c>
      <c r="AI56" s="278" t="n">
        <v>0.2</v>
      </c>
      <c r="AJ56" s="278" t="n">
        <v>0.19</v>
      </c>
      <c r="AK56" s="278" t="n">
        <v>0.19</v>
      </c>
      <c r="AL56" s="278" t="n">
        <v>0.21</v>
      </c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153" t="n"/>
      <c r="AW56" s="37" t="str">
        <f>IFERROR(AVERAGE(AP56,AQ56,AR56,AS56,AT56),"n/m")</f>
        <v>n/m</v>
      </c>
      <c r="AX56" s="37">
        <f>IFERROR(AVERAGE(Q56,V56,AA56,AF56,AK56),"n/m")</f>
        <v>0.208</v>
      </c>
      <c r="AY56" s="37">
        <f>IFERROR(AVERAGE(H56,I56,J56,K56,L56,Q56,V56,AA56,AF56,AK56),"n/m")</f>
        <v>0.214</v>
      </c>
      <c r="AZ56" s="37">
        <f>IFERROR(AVERAGE(C56,D56,E56,F56,G56,H56,I56,J56,K56,L56,Q56,V56,AA56,AF56,AK56),"n/m")</f>
        <v>0.202666666666667</v>
      </c>
      <c r="BC56" s="25" t="inlineStr">
        <is>
          <t xml:space="preserve">  2029E</t>
        </is>
      </c>
      <c r="BD56" s="33">
        <f>BE56+$BD$54</f>
        <v>0.28</v>
      </c>
      <c r="BE56" s="261" t="n">
        <v>0.25</v>
      </c>
      <c r="BF56" s="33">
        <f>BE56+$BF$54</f>
        <v>0.22</v>
      </c>
    </row>
    <row r="57" ht="15" customHeight="1" s="251">
      <c r="BC57" s="25" t="inlineStr">
        <is>
          <t xml:space="preserve">  2030E</t>
        </is>
      </c>
      <c r="BD57" s="33">
        <f>BE57+$BD$54</f>
        <v>0.28</v>
      </c>
      <c r="BE57" s="261" t="n">
        <v>0.25</v>
      </c>
      <c r="BF57" s="33">
        <f>BE57+$BF$54</f>
        <v>0.22</v>
      </c>
    </row>
    <row r="58" ht="15" customHeight="1" s="251">
      <c r="B58" s="14" t="inlineStr">
        <is>
          <t>Future acquisitions (M&amp;A lever — bolt-ons from 2028E)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5" t="inlineStr">
        <is>
          <t>M&amp;A LEVER — acquired revenue = spend ÷ EV/sales; mid-year convention</t>
        </is>
      </c>
      <c r="BC58" s="25" t="inlineStr">
        <is>
          <t xml:space="preserve">  2031E</t>
        </is>
      </c>
      <c r="BD58" s="33">
        <f>BE58+$BD$54</f>
        <v>0.28</v>
      </c>
      <c r="BE58" s="261" t="n">
        <v>0.25</v>
      </c>
      <c r="BF58" s="33">
        <f>BE58+$BF$54</f>
        <v>0.22</v>
      </c>
    </row>
    <row r="59" ht="15" customHeight="1" s="251">
      <c r="B59" s="25" t="inlineStr">
        <is>
          <t xml:space="preserve">  Acquisition spend (USDm, scenario)</t>
        </is>
      </c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34" t="n"/>
      <c r="AI59" s="34" t="n"/>
      <c r="AJ59" s="34" t="n"/>
      <c r="AK59" s="34" t="n"/>
      <c r="AL59" s="34" t="n"/>
      <c r="AM59" s="35" t="n"/>
      <c r="AN59" s="35" t="n"/>
      <c r="AO59" s="35" t="n"/>
      <c r="AP59" s="279" t="n">
        <v>0</v>
      </c>
      <c r="AQ59" s="273">
        <f>MAX(0,CHOOSE(MATCH($AU$2,{"Bull","Base","Bear"},0),$BD$65,$BE$65,$BF$65))</f>
        <v>150</v>
      </c>
      <c r="AR59" s="273">
        <f>MAX(0,CHOOSE(MATCH($AU$2,{"Bull","Base","Bear"},0),$BD$66,$BE$66,$BF$66))</f>
        <v>150</v>
      </c>
      <c r="AS59" s="273">
        <f>MAX(0,CHOOSE(MATCH($AU$2,{"Bull","Base","Bear"},0),$BD$67,$BE$67,$BF$67))</f>
        <v>150</v>
      </c>
      <c r="AT59" s="273">
        <f>MAX(0,CHOOSE(MATCH($AU$2,{"Bull","Base","Bear"},0),$BD$68,$BE$68,$BF$68))</f>
        <v>150</v>
      </c>
      <c r="AU59" s="19" t="inlineStr">
        <is>
          <t>Scenario lever M&amp;A_spend (Base $150m p.a. of bolt-ons from 2028E). Funded from cash / revolver (debt schedule).</t>
        </is>
      </c>
      <c r="BC59" s="15" t="inlineStr">
        <is>
          <t>B2B (annual book-to-bill, x)</t>
        </is>
      </c>
      <c r="BD59" s="316" t="n">
        <v>0.1</v>
      </c>
      <c r="BE59" s="21" t="inlineStr">
        <is>
          <t>Δ →</t>
        </is>
      </c>
      <c r="BF59" s="316" t="n">
        <v>-0.15</v>
      </c>
      <c r="BG59" s="13" t="inlineStr">
        <is>
          <t>FY2022–26 1.1–1.4x (FY26 TTM 1.1x); Q1/27 1.5x.</t>
        </is>
      </c>
    </row>
    <row r="60" ht="15" customHeight="1" s="251">
      <c r="B60" s="25" t="inlineStr">
        <is>
          <t xml:space="preserve">  Purchase multiple — EV / sales (x)</t>
        </is>
      </c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24" t="n"/>
      <c r="AN60" s="24" t="n"/>
      <c r="AO60" s="24" t="n"/>
      <c r="AP60" s="275" t="n">
        <v>0</v>
      </c>
      <c r="AQ60" s="275" t="n">
        <v>2</v>
      </c>
      <c r="AR60" s="275" t="n">
        <v>2</v>
      </c>
      <c r="AS60" s="275" t="n">
        <v>2</v>
      </c>
      <c r="AT60" s="275" t="n">
        <v>2</v>
      </c>
      <c r="AU60" s="19" t="inlineStr">
        <is>
          <t>Assumption: technology-services bolt-ons ~1.5–2.5x sales (Liberty IT Solutions $725m, Q2 FY22; EverWatch $440m, Q3 FY23; Defy $235m, Q1 FY27 — target revenue not disclosed).</t>
        </is>
      </c>
      <c r="BC60" s="25" t="inlineStr">
        <is>
          <t xml:space="preserve">  2028E</t>
        </is>
      </c>
      <c r="BD60" s="281">
        <f>BE60+$BD$59</f>
        <v>1.15</v>
      </c>
      <c r="BE60" s="282" t="n">
        <v>1.05</v>
      </c>
      <c r="BF60" s="281">
        <f>BE60+$BF$59</f>
        <v>0.9</v>
      </c>
    </row>
    <row r="61" ht="15" customHeight="1" s="251">
      <c r="B61" s="25" t="inlineStr">
        <is>
          <t xml:space="preserve">  Annualised revenue acquired in the year</t>
        </is>
      </c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  <c r="AD61" s="34" t="n"/>
      <c r="AE61" s="34" t="n"/>
      <c r="AF61" s="34" t="n"/>
      <c r="AG61" s="34" t="n"/>
      <c r="AH61" s="34" t="n"/>
      <c r="AI61" s="34" t="n"/>
      <c r="AJ61" s="34" t="n"/>
      <c r="AK61" s="34" t="n"/>
      <c r="AL61" s="34" t="n"/>
      <c r="AM61" s="35" t="n"/>
      <c r="AN61" s="35" t="n"/>
      <c r="AO61" s="35" t="n"/>
      <c r="AP61" s="279" t="n">
        <v>0</v>
      </c>
      <c r="AQ61" s="273">
        <f>IFERROR(AQ59/AQ60,0)</f>
        <v>75</v>
      </c>
      <c r="AR61" s="273">
        <f>IFERROR(AR59/AR60,0)</f>
        <v>75</v>
      </c>
      <c r="AS61" s="273">
        <f>IFERROR(AS59/AS60,0)</f>
        <v>75</v>
      </c>
      <c r="AT61" s="273">
        <f>IFERROR(AT59/AT60,0)</f>
        <v>75</v>
      </c>
      <c r="AU61" s="19" t="n"/>
      <c r="BC61" s="25" t="inlineStr">
        <is>
          <t xml:space="preserve">  2029E</t>
        </is>
      </c>
      <c r="BD61" s="281">
        <f>BE61+$BD$59</f>
        <v>1.15</v>
      </c>
      <c r="BE61" s="282" t="n">
        <v>1.05</v>
      </c>
      <c r="BF61" s="281">
        <f>BE61+$BF$59</f>
        <v>0.9</v>
      </c>
    </row>
    <row r="62" ht="15" customHeight="1" s="251">
      <c r="B62" s="25" t="inlineStr">
        <is>
          <t xml:space="preserve">  Growth of acquired businesses after acquisition %</t>
        </is>
      </c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24" t="n"/>
      <c r="AN62" s="24" t="n"/>
      <c r="AO62" s="24" t="n"/>
      <c r="AP62" s="264" t="n">
        <v>0</v>
      </c>
      <c r="AQ62" s="264" t="n">
        <v>0.05</v>
      </c>
      <c r="AR62" s="264" t="n">
        <v>0.05</v>
      </c>
      <c r="AS62" s="264" t="n">
        <v>0.05</v>
      </c>
      <c r="AT62" s="264" t="n">
        <v>0.05</v>
      </c>
      <c r="AU62" s="19" t="n"/>
      <c r="BC62" s="25" t="inlineStr">
        <is>
          <t xml:space="preserve">  2030E</t>
        </is>
      </c>
      <c r="BD62" s="281">
        <f>BE62+$BD$59</f>
        <v>1.15</v>
      </c>
      <c r="BE62" s="282" t="n">
        <v>1.05</v>
      </c>
      <c r="BF62" s="281">
        <f>BE62+$BF$59</f>
        <v>0.9</v>
      </c>
    </row>
    <row r="63" ht="15" customHeight="1" s="251">
      <c r="B63" s="25" t="inlineStr">
        <is>
          <t xml:space="preserve">  Run-rate revenue of businesses acquired (year end)</t>
        </is>
      </c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  <c r="AE63" s="34" t="n"/>
      <c r="AF63" s="34" t="n"/>
      <c r="AG63" s="34" t="n"/>
      <c r="AH63" s="34" t="n"/>
      <c r="AI63" s="34" t="n"/>
      <c r="AJ63" s="34" t="n"/>
      <c r="AK63" s="34" t="n"/>
      <c r="AL63" s="34" t="n"/>
      <c r="AM63" s="35" t="n"/>
      <c r="AN63" s="35" t="n"/>
      <c r="AO63" s="35" t="n"/>
      <c r="AP63" s="279" t="n">
        <v>0</v>
      </c>
      <c r="AQ63" s="273">
        <f>AP63*(1+AQ62)+AQ61</f>
        <v>75</v>
      </c>
      <c r="AR63" s="273">
        <f>AQ63*(1+AR62)+AR61</f>
        <v>153.75</v>
      </c>
      <c r="AS63" s="273">
        <f>AR63*(1+AS62)+AS61</f>
        <v>236.4375</v>
      </c>
      <c r="AT63" s="273">
        <f>AS63*(1+AT62)+AT61</f>
        <v>323.259375</v>
      </c>
      <c r="AU63" s="19" t="n"/>
      <c r="BC63" s="25" t="inlineStr">
        <is>
          <t xml:space="preserve">  2031E</t>
        </is>
      </c>
      <c r="BD63" s="281">
        <f>BE63+$BD$59</f>
        <v>1.15</v>
      </c>
      <c r="BE63" s="282" t="n">
        <v>1.05</v>
      </c>
      <c r="BF63" s="281">
        <f>BE63+$BF$59</f>
        <v>0.9</v>
      </c>
    </row>
    <row r="64" ht="15" customHeight="1" s="251">
      <c r="B64" s="16" t="inlineStr">
        <is>
          <t xml:space="preserve">  Revenue from future acquisitions</t>
        </is>
      </c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  <c r="AB64" s="43" t="n"/>
      <c r="AC64" s="43" t="n"/>
      <c r="AD64" s="43" t="n"/>
      <c r="AE64" s="43" t="n"/>
      <c r="AF64" s="43" t="n"/>
      <c r="AG64" s="43" t="n"/>
      <c r="AH64" s="43" t="n"/>
      <c r="AI64" s="43" t="n"/>
      <c r="AJ64" s="43" t="n"/>
      <c r="AK64" s="43" t="n"/>
      <c r="AL64" s="43" t="n"/>
      <c r="AM64" s="32" t="n"/>
      <c r="AN64" s="32" t="n"/>
      <c r="AO64" s="32" t="n"/>
      <c r="AP64" s="283" t="n">
        <v>0</v>
      </c>
      <c r="AQ64" s="272">
        <f>AP63*(1+AQ62)+0.5*AQ61</f>
        <v>37.5</v>
      </c>
      <c r="AR64" s="272">
        <f>AQ63*(1+AR62)+0.5*AR61</f>
        <v>116.25</v>
      </c>
      <c r="AS64" s="272">
        <f>AR63*(1+AS62)+0.5*AS61</f>
        <v>198.9375</v>
      </c>
      <c r="AT64" s="272">
        <f>AS63*(1+AT62)+0.5*AT61</f>
        <v>285.759375</v>
      </c>
      <c r="AU64" s="153" t="inlineStr">
        <is>
          <t>Mid-year convention.</t>
        </is>
      </c>
      <c r="BC64" s="15" t="inlineStr">
        <is>
          <t>M&amp;A_spend (bolt-on acquisitions, $m)</t>
        </is>
      </c>
      <c r="BD64" s="284" t="n">
        <v>150</v>
      </c>
      <c r="BE64" s="21" t="inlineStr">
        <is>
          <t>Δ →</t>
        </is>
      </c>
      <c r="BF64" s="284" t="n">
        <v>-150</v>
      </c>
      <c r="BG64" s="13" t="inlineStr">
        <is>
          <t>Booz Allen bought Liberty IT ($725m, FY22), EverWatch ($440m, FY23), PGSC (FY25), Defy ($235m, Q1/27) and Ultra ($720m, Q2/27). Base $150m p.a. (assumption).</t>
        </is>
      </c>
    </row>
    <row r="65" ht="15" customHeight="1" s="251">
      <c r="B65" s="25" t="inlineStr">
        <is>
          <t xml:space="preserve">  Adjusted EBITDA margin of acquired businesses %</t>
        </is>
      </c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24" t="n"/>
      <c r="AN65" s="24" t="n"/>
      <c r="AO65" s="24" t="n"/>
      <c r="AP65" s="264" t="n">
        <v>0</v>
      </c>
      <c r="AQ65" s="264" t="n">
        <v>0.12</v>
      </c>
      <c r="AR65" s="264" t="n">
        <v>0.12</v>
      </c>
      <c r="AS65" s="264" t="n">
        <v>0.12</v>
      </c>
      <c r="AT65" s="264" t="n">
        <v>0.12</v>
      </c>
      <c r="AU65" s="19" t="n"/>
      <c r="BC65" s="25" t="inlineStr">
        <is>
          <t xml:space="preserve">  2028E</t>
        </is>
      </c>
      <c r="BD65" s="51">
        <f>MAX(0,BE65+$BD$64)</f>
        <v>300</v>
      </c>
      <c r="BE65" s="257" t="n">
        <v>150</v>
      </c>
      <c r="BF65" s="51">
        <f>MAX(0,BE65+$BF$64)</f>
        <v>0</v>
      </c>
    </row>
    <row r="66" ht="15" customHeight="1" s="251">
      <c r="B66" s="25" t="inlineStr">
        <is>
          <t xml:space="preserve">  Adjusted EBITDA from future acquisitions</t>
        </is>
      </c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  <c r="AE66" s="34" t="n"/>
      <c r="AF66" s="34" t="n"/>
      <c r="AG66" s="34" t="n"/>
      <c r="AH66" s="34" t="n"/>
      <c r="AI66" s="34" t="n"/>
      <c r="AJ66" s="34" t="n"/>
      <c r="AK66" s="34" t="n"/>
      <c r="AL66" s="34" t="n"/>
      <c r="AM66" s="35" t="n"/>
      <c r="AN66" s="35" t="n"/>
      <c r="AO66" s="35" t="n"/>
      <c r="AP66" s="279" t="n">
        <v>0</v>
      </c>
      <c r="AQ66" s="273">
        <f>AQ64*AQ65</f>
        <v>4.5</v>
      </c>
      <c r="AR66" s="273">
        <f>AR64*AR65</f>
        <v>13.95</v>
      </c>
      <c r="AS66" s="273">
        <f>AS64*AS65</f>
        <v>23.8725</v>
      </c>
      <c r="AT66" s="273">
        <f>AT64*AT65</f>
        <v>34.291125</v>
      </c>
      <c r="AU66" s="19" t="n"/>
      <c r="BC66" s="25" t="inlineStr">
        <is>
          <t xml:space="preserve">  2029E</t>
        </is>
      </c>
      <c r="BD66" s="51">
        <f>MAX(0,BE66+$BD$64)</f>
        <v>300</v>
      </c>
      <c r="BE66" s="257" t="n">
        <v>150</v>
      </c>
      <c r="BF66" s="51">
        <f>MAX(0,BE66+$BF$64)</f>
        <v>0</v>
      </c>
    </row>
    <row r="67" ht="15" customHeight="1" s="251">
      <c r="B67" s="25" t="inlineStr">
        <is>
          <t xml:space="preserve">  PP&amp;E % of spend</t>
        </is>
      </c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24" t="n"/>
      <c r="AN67" s="24" t="n"/>
      <c r="AO67" s="24" t="n"/>
      <c r="AP67" s="264" t="n">
        <v>0</v>
      </c>
      <c r="AQ67" s="264" t="n">
        <v>0.02</v>
      </c>
      <c r="AR67" s="264" t="n">
        <v>0.02</v>
      </c>
      <c r="AS67" s="264" t="n">
        <v>0.02</v>
      </c>
      <c r="AT67" s="264" t="n">
        <v>0.02</v>
      </c>
      <c r="AU67" s="19" t="n"/>
      <c r="BC67" s="25" t="inlineStr">
        <is>
          <t xml:space="preserve">  2030E</t>
        </is>
      </c>
      <c r="BD67" s="51">
        <f>MAX(0,BE67+$BD$64)</f>
        <v>300</v>
      </c>
      <c r="BE67" s="257" t="n">
        <v>150</v>
      </c>
      <c r="BF67" s="51">
        <f>MAX(0,BE67+$BF$64)</f>
        <v>0</v>
      </c>
    </row>
    <row r="68" ht="15" customHeight="1" s="251">
      <c r="B68" s="25" t="inlineStr">
        <is>
          <t xml:space="preserve">  Acquired intangibles % of spend</t>
        </is>
      </c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24" t="n"/>
      <c r="AN68" s="24" t="n"/>
      <c r="AO68" s="24" t="n"/>
      <c r="AP68" s="264" t="n">
        <v>0</v>
      </c>
      <c r="AQ68" s="264" t="n">
        <v>0.35</v>
      </c>
      <c r="AR68" s="264" t="n">
        <v>0.35</v>
      </c>
      <c r="AS68" s="264" t="n">
        <v>0.35</v>
      </c>
      <c r="AT68" s="264" t="n">
        <v>0.35</v>
      </c>
      <c r="AU68" s="19" t="inlineStr">
        <is>
          <t>Defy Security (Apr-2026): intangibles $86m of $235m (37%), goodwill $129m (Q1 FY27 10-Q Note 5).</t>
        </is>
      </c>
      <c r="BC68" s="25" t="inlineStr">
        <is>
          <t xml:space="preserve">  2031E</t>
        </is>
      </c>
      <c r="BD68" s="51">
        <f>MAX(0,BE68+$BD$64)</f>
        <v>300</v>
      </c>
      <c r="BE68" s="257" t="n">
        <v>150</v>
      </c>
      <c r="BF68" s="51">
        <f>MAX(0,BE68+$BF$64)</f>
        <v>0</v>
      </c>
    </row>
    <row r="69" ht="15" customHeight="1" s="251">
      <c r="B69" s="25" t="inlineStr">
        <is>
          <t xml:space="preserve">  Intangible amortization life (years)</t>
        </is>
      </c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24" t="n"/>
      <c r="AN69" s="24" t="n"/>
      <c r="AO69" s="24" t="n"/>
      <c r="AP69" s="269" t="n">
        <v>0</v>
      </c>
      <c r="AQ69" s="269" t="n">
        <v>8</v>
      </c>
      <c r="AR69" s="269" t="n">
        <v>8</v>
      </c>
      <c r="AS69" s="269" t="n">
        <v>8</v>
      </c>
      <c r="AT69" s="269" t="n">
        <v>8</v>
      </c>
      <c r="AU69" s="19" t="n"/>
    </row>
    <row r="70" ht="15" customHeight="1" s="251">
      <c r="B70" s="25" t="inlineStr">
        <is>
          <t xml:space="preserve">  Cumulative acquired intangibles (gross)</t>
        </is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  <c r="AE70" s="34" t="n"/>
      <c r="AF70" s="34" t="n"/>
      <c r="AG70" s="34" t="n"/>
      <c r="AH70" s="34" t="n"/>
      <c r="AI70" s="34" t="n"/>
      <c r="AJ70" s="34" t="n"/>
      <c r="AK70" s="34" t="n"/>
      <c r="AL70" s="34" t="n"/>
      <c r="AM70" s="35" t="n"/>
      <c r="AN70" s="35" t="n"/>
      <c r="AO70" s="35" t="n"/>
      <c r="AP70" s="279" t="n">
        <v>0</v>
      </c>
      <c r="AQ70" s="273">
        <f>AP70+AQ59*AQ68</f>
        <v>52.5</v>
      </c>
      <c r="AR70" s="273">
        <f>AQ70+AR59*AR68</f>
        <v>105</v>
      </c>
      <c r="AS70" s="273">
        <f>AR70+AS59*AS68</f>
        <v>157.5</v>
      </c>
      <c r="AT70" s="273">
        <f>AS70+AT59*AT68</f>
        <v>210</v>
      </c>
      <c r="AU70" s="19" t="n"/>
    </row>
    <row r="71" ht="15" customHeight="1" s="251">
      <c r="B71" s="25" t="inlineStr">
        <is>
          <t xml:space="preserve">  Amortization of future-acquisition intangibles (adjusted out as acquisition amortization)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  <c r="AE71" s="34" t="n"/>
      <c r="AF71" s="34" t="n"/>
      <c r="AG71" s="34" t="n"/>
      <c r="AH71" s="34" t="n"/>
      <c r="AI71" s="34" t="n"/>
      <c r="AJ71" s="34" t="n"/>
      <c r="AK71" s="34" t="n"/>
      <c r="AL71" s="34" t="n"/>
      <c r="AM71" s="35" t="n"/>
      <c r="AN71" s="35" t="n"/>
      <c r="AO71" s="35" t="n"/>
      <c r="AP71" s="279" t="n">
        <v>0</v>
      </c>
      <c r="AQ71" s="273">
        <f>IFERROR((AP70+0.5*AQ59*AQ68)/AQ69,0)</f>
        <v>3.28125</v>
      </c>
      <c r="AR71" s="273">
        <f>IFERROR((AQ70+0.5*AR59*AR68)/AR69,0)</f>
        <v>9.84375</v>
      </c>
      <c r="AS71" s="273">
        <f>IFERROR((AR70+0.5*AS59*AS68)/AS69,0)</f>
        <v>16.40625</v>
      </c>
      <c r="AT71" s="273">
        <f>IFERROR((AS70+0.5*AT59*AT68)/AT69,0)</f>
        <v>22.96875</v>
      </c>
      <c r="AU71" s="19" t="n"/>
    </row>
    <row r="72" collapsed="1" ht="15" customHeight="1" s="251">
      <c r="BC72" s="11" t="n"/>
      <c r="BD72" s="12" t="n"/>
      <c r="BE72" s="12" t="n"/>
      <c r="BF72" s="12" t="n"/>
      <c r="BG72" s="13" t="n"/>
    </row>
    <row r="73" ht="15" customHeight="1" s="251">
      <c r="B73" s="14" t="inlineStr">
        <is>
          <t>Group Total — revenue &amp; adjusted EBITDA (build) → FY27 guidance calibration</t>
        </is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5" t="inlineStr">
        <is>
          <t>GROUP TOTAL (CONSOLIDATED) — modelling logic</t>
        </is>
      </c>
    </row>
    <row r="74" ht="15" customHeight="1" s="251">
      <c r="B74" s="25" t="inlineStr">
        <is>
          <t xml:space="preserve">  Legacy revenue (excl. Ultra and future M&amp;A; FY27 guidance basis)</t>
        </is>
      </c>
      <c r="C74" s="260">
        <f>IF(ISNUMBER(C120),C11*N(ISNUMBER(C11))+N(C16)+N(C20),"")</f>
        <v>5859.218</v>
      </c>
      <c r="D74" s="260">
        <f>IF(ISNUMBER(D120),D11*N(ISNUMBER(D11))+N(D16)+N(D20),"")</f>
        <v>5758.059</v>
      </c>
      <c r="E74" s="260">
        <f>IF(ISNUMBER(E120),E11*N(ISNUMBER(E11))+N(E16)+N(E20),"")</f>
        <v>5478.693</v>
      </c>
      <c r="F74" s="260">
        <f>IF(ISNUMBER(F120),F11*N(ISNUMBER(F11))+N(F16)+N(F20),"")</f>
        <v>5274.77</v>
      </c>
      <c r="G74" s="260">
        <f>IF(ISNUMBER(G120),G11*N(ISNUMBER(G11))+N(G16)+N(G20),"")</f>
        <v>5405.738</v>
      </c>
      <c r="H74" s="260">
        <f>IF(ISNUMBER(H120),H11*N(ISNUMBER(H11))+N(H16)+N(H20),"")</f>
        <v>5804.284</v>
      </c>
      <c r="I74" s="260">
        <f>IF(ISNUMBER(I120),I11*N(ISNUMBER(I11))+N(I16)+N(I20),"")</f>
        <v>6171.853</v>
      </c>
      <c r="J74" s="260">
        <f>IF(ISNUMBER(J120),J11*N(ISNUMBER(J11))+N(J16)+N(J20),"")</f>
        <v>6704.037</v>
      </c>
      <c r="K74" s="260">
        <f>IF(ISNUMBER(K120),K11*N(ISNUMBER(K11))+N(K16)+N(K20),"")</f>
        <v>7463.841</v>
      </c>
      <c r="L74" s="260">
        <f>IF(ISNUMBER(L120),L11*N(ISNUMBER(L11))+N(L16)+N(L20),"")</f>
        <v>7858.938</v>
      </c>
      <c r="M74" s="260">
        <f>IF(ISNUMBER(M120),M11*N(ISNUMBER(M11))+N(M16)+N(M20),"")</f>
        <v>1989.066</v>
      </c>
      <c r="N74" s="260">
        <f>IF(ISNUMBER(N120),N11*N(ISNUMBER(N11))+N(N16)+N(N20),"")</f>
        <v>2106.038</v>
      </c>
      <c r="O74" s="260">
        <f>IF(ISNUMBER(O120),O11*N(ISNUMBER(O11))+N(O16)+N(O20),"")</f>
        <v>2030.52</v>
      </c>
      <c r="P74" s="260">
        <f>IF(ISNUMBER(P120),P11*N(ISNUMBER(P11))+N(P16)+N(P20),"")</f>
        <v>2238.076</v>
      </c>
      <c r="Q74" s="260">
        <f>IF(ISNUMBER(Q120),Q11*N(ISNUMBER(Q11))+N(Q16)+N(Q20),"")</f>
        <v>8363.7</v>
      </c>
      <c r="R74" s="260">
        <f>IF(ISNUMBER(R120),R11*N(ISNUMBER(R11))+N(R16)+N(R20),"")</f>
        <v>2249.6</v>
      </c>
      <c r="S74" s="260">
        <f>IF(ISNUMBER(S120),S11*N(ISNUMBER(S11))+N(S16)+N(S20),"")</f>
        <v>2298.976</v>
      </c>
      <c r="T74" s="260">
        <f>IF(ISNUMBER(T120),T11*N(ISNUMBER(T11))+N(T16)+N(T20),"")</f>
        <v>2277.074</v>
      </c>
      <c r="U74" s="260">
        <f>IF(ISNUMBER(U120),U11*N(ISNUMBER(U11))+N(U16)+N(U20),"")</f>
        <v>2433.261</v>
      </c>
      <c r="V74" s="260">
        <f>IF(ISNUMBER(V120),V11*N(ISNUMBER(V11))+N(V16)+N(V20),"")</f>
        <v>9258.911</v>
      </c>
      <c r="W74" s="260">
        <f>IF(ISNUMBER(W120),W11*N(ISNUMBER(W11))+N(W16)+N(W20),"")</f>
        <v>2654.486</v>
      </c>
      <c r="X74" s="260">
        <f>IF(ISNUMBER(X120),X11*N(ISNUMBER(X11))+N(X16)+N(X20),"")</f>
        <v>2666.282</v>
      </c>
      <c r="Y74" s="260">
        <f>IF(ISNUMBER(Y120),Y11*N(ISNUMBER(Y11))+N(Y16)+N(Y20),"")</f>
        <v>2569.801</v>
      </c>
      <c r="Z74" s="260">
        <f>IF(ISNUMBER(Z120),Z11*N(ISNUMBER(Z11))+N(Z16)+N(Z20),"")</f>
        <v>2771.327</v>
      </c>
      <c r="AA74" s="260">
        <f>IF(ISNUMBER(AA120),AA11*N(ISNUMBER(AA11))+N(AA16)+N(AA20),"")</f>
        <v>10661.896</v>
      </c>
      <c r="AB74" s="260">
        <f>IF(ISNUMBER(AB120),AB11*N(ISNUMBER(AB11))+N(AB16)+N(AB20),"")</f>
        <v>2941.797</v>
      </c>
      <c r="AC74" s="260">
        <f>IF(ISNUMBER(AC120),AC11*N(ISNUMBER(AC11))+N(AC16)+N(AC20),"")</f>
        <v>3146.386</v>
      </c>
      <c r="AD74" s="260">
        <f>IF(ISNUMBER(AD120),AD11*N(ISNUMBER(AD11))+N(AD16)+N(AD20),"")</f>
        <v>2917.19</v>
      </c>
      <c r="AE74" s="260">
        <f>IF(ISNUMBER(AE120),AE11*N(ISNUMBER(AE11))+N(AE16)+N(AE20),"")</f>
        <v>2974</v>
      </c>
      <c r="AF74" s="260">
        <f>IF(ISNUMBER(AF120),AF11*N(ISNUMBER(AF11))+N(AF16)+N(AF20),"")</f>
        <v>11980</v>
      </c>
      <c r="AG74" s="260">
        <f>IF(ISNUMBER(AG120),AG11*N(ISNUMBER(AG11))+N(AG16)+N(AG20),"")</f>
        <v>2924</v>
      </c>
      <c r="AH74" s="260">
        <f>IF(ISNUMBER(AH120),AH11*N(ISNUMBER(AH11))+N(AH16)+N(AH20),"")</f>
        <v>2890</v>
      </c>
      <c r="AI74" s="260">
        <f>IF(ISNUMBER(AI120),AI11*N(ISNUMBER(AI11))+N(AI16)+N(AI20),"")</f>
        <v>2620</v>
      </c>
      <c r="AJ74" s="260">
        <f>IF(ISNUMBER(AJ120),AJ11*N(ISNUMBER(AJ11))+N(AJ16)+N(AJ20),"")</f>
        <v>2783</v>
      </c>
      <c r="AK74" s="260">
        <f>IF(ISNUMBER(AK120),AK11*N(ISNUMBER(AK11))+N(AK16)+N(AK20),"")</f>
        <v>11217</v>
      </c>
      <c r="AL74" s="260">
        <f>IF(ISNUMBER(AL120),AL11*N(ISNUMBER(AL11))+N(AL16)+N(AL20),"")</f>
        <v>2800</v>
      </c>
      <c r="AM74" s="254">
        <f>AM11+AM16+AM20</f>
        <v>3011.44020944727</v>
      </c>
      <c r="AN74" s="254">
        <f>AN11+AN16+AN20</f>
        <v>2733.23563786094</v>
      </c>
      <c r="AO74" s="254">
        <f>AO11+AO16+AO20</f>
        <v>2905.32415269179</v>
      </c>
      <c r="AP74" s="254">
        <f>SUM(AL74,AM74,AN74,AO74)</f>
        <v>11450</v>
      </c>
      <c r="AQ74" s="254">
        <f>AQ11+AQ16+AQ20</f>
        <v>11675.937171626</v>
      </c>
      <c r="AR74" s="254">
        <f>AR11+AR16+AR20</f>
        <v>12120.4963331829</v>
      </c>
      <c r="AS74" s="254">
        <f>AS11+AS16+AS20</f>
        <v>12642.9785316274</v>
      </c>
      <c r="AT74" s="254">
        <f>AT11+AT16+AT20</f>
        <v>13218.3184778228</v>
      </c>
      <c r="AU74" s="19" t="n"/>
    </row>
    <row r="75" ht="15" customHeight="1" s="251">
      <c r="B75" s="55" t="inlineStr">
        <is>
          <t>Revenue (build)</t>
        </is>
      </c>
      <c r="C75" s="285">
        <f>C74</f>
        <v>5859.218</v>
      </c>
      <c r="D75" s="285">
        <f>D74</f>
        <v>5758.059</v>
      </c>
      <c r="E75" s="285">
        <f>E74</f>
        <v>5478.693</v>
      </c>
      <c r="F75" s="285">
        <f>F74</f>
        <v>5274.77</v>
      </c>
      <c r="G75" s="285">
        <f>G74</f>
        <v>5405.738</v>
      </c>
      <c r="H75" s="285">
        <f>H74</f>
        <v>5804.284</v>
      </c>
      <c r="I75" s="285">
        <f>I74</f>
        <v>6171.853</v>
      </c>
      <c r="J75" s="285">
        <f>J74</f>
        <v>6704.037</v>
      </c>
      <c r="K75" s="285">
        <f>K74</f>
        <v>7463.841</v>
      </c>
      <c r="L75" s="285">
        <f>L74</f>
        <v>7858.938</v>
      </c>
      <c r="M75" s="285">
        <f>M74</f>
        <v>1989.066</v>
      </c>
      <c r="N75" s="285">
        <f>N74</f>
        <v>2106.038</v>
      </c>
      <c r="O75" s="285">
        <f>O74</f>
        <v>2030.52</v>
      </c>
      <c r="P75" s="285">
        <f>P74</f>
        <v>2238.076</v>
      </c>
      <c r="Q75" s="285">
        <f>Q74</f>
        <v>8363.7</v>
      </c>
      <c r="R75" s="285">
        <f>R74</f>
        <v>2249.6</v>
      </c>
      <c r="S75" s="285">
        <f>S74</f>
        <v>2298.976</v>
      </c>
      <c r="T75" s="285">
        <f>T74</f>
        <v>2277.074</v>
      </c>
      <c r="U75" s="285">
        <f>U74</f>
        <v>2433.261</v>
      </c>
      <c r="V75" s="285">
        <f>V74</f>
        <v>9258.911</v>
      </c>
      <c r="W75" s="285">
        <f>W74</f>
        <v>2654.486</v>
      </c>
      <c r="X75" s="285">
        <f>X74</f>
        <v>2666.282</v>
      </c>
      <c r="Y75" s="285">
        <f>Y74</f>
        <v>2569.801</v>
      </c>
      <c r="Z75" s="285">
        <f>Z74</f>
        <v>2771.327</v>
      </c>
      <c r="AA75" s="285">
        <f>AA74</f>
        <v>10661.896</v>
      </c>
      <c r="AB75" s="285">
        <f>AB74</f>
        <v>2941.797</v>
      </c>
      <c r="AC75" s="285">
        <f>AC74</f>
        <v>3146.386</v>
      </c>
      <c r="AD75" s="285">
        <f>AD74</f>
        <v>2917.19</v>
      </c>
      <c r="AE75" s="285">
        <f>AE74</f>
        <v>2974</v>
      </c>
      <c r="AF75" s="285">
        <f>AF74</f>
        <v>11980</v>
      </c>
      <c r="AG75" s="285">
        <f>AG74</f>
        <v>2924</v>
      </c>
      <c r="AH75" s="285">
        <f>AH74</f>
        <v>2890</v>
      </c>
      <c r="AI75" s="285">
        <f>AI74</f>
        <v>2620</v>
      </c>
      <c r="AJ75" s="285">
        <f>AJ74</f>
        <v>2783</v>
      </c>
      <c r="AK75" s="285">
        <f>AK74</f>
        <v>11217</v>
      </c>
      <c r="AL75" s="285">
        <f>AL74</f>
        <v>2800</v>
      </c>
      <c r="AM75" s="285">
        <f>AM74+AM32+N(AM64)</f>
        <v>3030.23141823847</v>
      </c>
      <c r="AN75" s="285">
        <f>AN74+AN32+N(AN64)</f>
        <v>2778.23563786094</v>
      </c>
      <c r="AO75" s="285">
        <f>AO74+AO32+N(AO64)</f>
        <v>2950.32415269179</v>
      </c>
      <c r="AP75" s="285">
        <f>AP74+AP32+N(AP64)</f>
        <v>11558.7912087912</v>
      </c>
      <c r="AQ75" s="285">
        <f>AQ74+AQ32+N(AQ64)</f>
        <v>11920.437171626</v>
      </c>
      <c r="AR75" s="285">
        <f>AR74+AR32+N(AR64)</f>
        <v>12474.7963331829</v>
      </c>
      <c r="AS75" s="285">
        <f>AS74+AS32+N(AS64)</f>
        <v>13108.5320316274</v>
      </c>
      <c r="AT75" s="285">
        <f>AT74+AT32+N(AT64)</f>
        <v>13797.3554528228</v>
      </c>
      <c r="AU75" s="153" t="inlineStr">
        <is>
          <t>Σ customer types + Ultra + future acquisitions.</t>
        </is>
      </c>
      <c r="AW75" s="20">
        <f>IFERROR((AT75/AK75)^(1/5)-1,"n/m")</f>
        <v>0.0422786135714894</v>
      </c>
      <c r="AX75" s="20">
        <f>IFERROR((AK75/L75)^(1/5)-1,"n/m")</f>
        <v>0.0737485032521559</v>
      </c>
      <c r="AY75" s="20">
        <f>IFERROR((AK75/G75)^(1/10)-1,"n/m")</f>
        <v>0.0757272562268703</v>
      </c>
      <c r="AZ75" s="20">
        <f>IFERROR((AK75/C75)^(1/14)-1,"n/m")</f>
        <v>0.0474794331140254</v>
      </c>
    </row>
    <row r="76" ht="15" customHeight="1" s="251">
      <c r="B76" s="22" t="inlineStr">
        <is>
          <t xml:space="preserve">  Revenue y/y %</t>
        </is>
      </c>
      <c r="C76" s="23" t="n"/>
      <c r="D76" s="255">
        <f>IF(AND(ISNUMBER(D75),ISNUMBER(C75)),IFERROR(D75/C75-1,""),"")</f>
        <v>-0.0172649319414296</v>
      </c>
      <c r="E76" s="255">
        <f>IF(AND(ISNUMBER(E75),ISNUMBER(D75)),IFERROR(E75/D75-1,""),"")</f>
        <v>-0.0485173910166603</v>
      </c>
      <c r="F76" s="255">
        <f>IF(AND(ISNUMBER(F75),ISNUMBER(E75)),IFERROR(F75/E75-1,""),"")</f>
        <v>-0.0372211036464354</v>
      </c>
      <c r="G76" s="255">
        <f>IF(AND(ISNUMBER(G75),ISNUMBER(F75)),IFERROR(G75/F75-1,""),"")</f>
        <v>0.0248291394695883</v>
      </c>
      <c r="H76" s="255">
        <f>IF(AND(ISNUMBER(H75),ISNUMBER(G75)),IFERROR(H75/G75-1,""),"")</f>
        <v>0.0737264736100787</v>
      </c>
      <c r="I76" s="255">
        <f>IF(AND(ISNUMBER(I75),ISNUMBER(H75)),IFERROR(I75/H75-1,""),"")</f>
        <v>0.0633271907439403</v>
      </c>
      <c r="J76" s="255">
        <f>IF(AND(ISNUMBER(J75),ISNUMBER(I75)),IFERROR(J75/I75-1,""),"")</f>
        <v>0.0862275883758088</v>
      </c>
      <c r="K76" s="255">
        <f>IF(AND(ISNUMBER(K75),ISNUMBER(J75)),IFERROR(K75/J75-1,""),"")</f>
        <v>0.113335293346382</v>
      </c>
      <c r="L76" s="255">
        <f>IF(AND(ISNUMBER(L75),ISNUMBER(K75)),IFERROR(L75/K75-1,""),"")</f>
        <v>0.0529348093026096</v>
      </c>
      <c r="M76" s="23" t="n"/>
      <c r="N76" s="23" t="n"/>
      <c r="O76" s="23" t="n"/>
      <c r="P76" s="23" t="n"/>
      <c r="Q76" s="255">
        <f>IF(AND(ISNUMBER(Q75),ISNUMBER(L75)),IFERROR(Q75/L75-1,""),"")</f>
        <v>0.0642277620716694</v>
      </c>
      <c r="R76" s="255">
        <f>IF(AND(ISNUMBER(R75),ISNUMBER(M75)),IFERROR(R75/M75-1,""),"")</f>
        <v>0.130983084523088</v>
      </c>
      <c r="S76" s="255">
        <f>IF(AND(ISNUMBER(S75),ISNUMBER(N75)),IFERROR(S75/N75-1,""),"")</f>
        <v>0.0916118322651349</v>
      </c>
      <c r="T76" s="255">
        <f>IF(AND(ISNUMBER(T75),ISNUMBER(O75)),IFERROR(T75/O75-1,""),"")</f>
        <v>0.121424068711463</v>
      </c>
      <c r="U76" s="255">
        <f>IF(AND(ISNUMBER(U75),ISNUMBER(P75)),IFERROR(U75/P75-1,""),"")</f>
        <v>0.0872110687930168</v>
      </c>
      <c r="V76" s="255">
        <f>IF(AND(ISNUMBER(V75),ISNUMBER(Q75)),IFERROR(V75/Q75-1,""),"")</f>
        <v>0.107035283427191</v>
      </c>
      <c r="W76" s="255">
        <f>IF(AND(ISNUMBER(W75),ISNUMBER(R75)),IFERROR(W75/R75-1,""),"")</f>
        <v>0.179981330014225</v>
      </c>
      <c r="X76" s="255">
        <f>IF(AND(ISNUMBER(X75),ISNUMBER(S75)),IFERROR(X75/S75-1,""),"")</f>
        <v>0.159769392981919</v>
      </c>
      <c r="Y76" s="255">
        <f>IF(AND(ISNUMBER(Y75),ISNUMBER(T75)),IFERROR(Y75/T75-1,""),"")</f>
        <v>0.128554012737399</v>
      </c>
      <c r="Z76" s="255">
        <f>IF(AND(ISNUMBER(Z75),ISNUMBER(U75)),IFERROR(Z75/U75-1,""),"")</f>
        <v>0.138935362873115</v>
      </c>
      <c r="AA76" s="255">
        <f>IF(AND(ISNUMBER(AA75),ISNUMBER(V75)),IFERROR(AA75/V75-1,""),"")</f>
        <v>0.151528079274118</v>
      </c>
      <c r="AB76" s="255">
        <f>IF(AND(ISNUMBER(AB75),ISNUMBER(W75)),IFERROR(AB75/W75-1,""),"")</f>
        <v>0.108236020080724</v>
      </c>
      <c r="AC76" s="255">
        <f>IF(AND(ISNUMBER(AC75),ISNUMBER(X75)),IFERROR(AC75/X75-1,""),"")</f>
        <v>0.180064974372553</v>
      </c>
      <c r="AD76" s="255">
        <f>IF(AND(ISNUMBER(AD75),ISNUMBER(Y75)),IFERROR(AD75/Y75-1,""),"")</f>
        <v>0.135181284465217</v>
      </c>
      <c r="AE76" s="255">
        <f>IF(AND(ISNUMBER(AE75),ISNUMBER(Z75)),IFERROR(AE75/Z75-1,""),"")</f>
        <v>0.0731321132439442</v>
      </c>
      <c r="AF76" s="255">
        <f>IF(AND(ISNUMBER(AF75),ISNUMBER(AA75)),IFERROR(AF75/AA75-1,""),"")</f>
        <v>0.123627542418347</v>
      </c>
      <c r="AG76" s="255">
        <f>IF(AND(ISNUMBER(AG75),ISNUMBER(AB75)),IFERROR(AG75/AB75-1,""),"")</f>
        <v>-0.00604970363352742</v>
      </c>
      <c r="AH76" s="255">
        <f>IF(AND(ISNUMBER(AH75),ISNUMBER(AC75)),IFERROR(AH75/AC75-1,""),"")</f>
        <v>-0.0814858698201683</v>
      </c>
      <c r="AI76" s="255">
        <f>IF(AND(ISNUMBER(AI75),ISNUMBER(AD75)),IFERROR(AI75/AD75-1,""),"")</f>
        <v>-0.101875434921963</v>
      </c>
      <c r="AJ76" s="255">
        <f>IF(AND(ISNUMBER(AJ75),ISNUMBER(AE75)),IFERROR(AJ75/AE75-1,""),"")</f>
        <v>-0.0642232683254875</v>
      </c>
      <c r="AK76" s="255">
        <f>IF(AND(ISNUMBER(AK75),ISNUMBER(AF75)),IFERROR(AK75/AF75-1,""),"")</f>
        <v>-0.0636894824707847</v>
      </c>
      <c r="AL76" s="255">
        <f>IF(AND(ISNUMBER(AL75),ISNUMBER(AG75)),IFERROR(AL75/AG75-1,""),"")</f>
        <v>-0.0424076607387141</v>
      </c>
      <c r="AM76" s="256">
        <f>IF(AND(ISNUMBER(AM75),ISNUMBER(AH75)),IFERROR(AM75/AH75-1,""),"")</f>
        <v>0.0485229820894375</v>
      </c>
      <c r="AN76" s="256">
        <f>IF(AND(ISNUMBER(AN75),ISNUMBER(AI75)),IFERROR(AN75/AI75-1,""),"")</f>
        <v>0.0603952816263142</v>
      </c>
      <c r="AO76" s="256">
        <f>IF(AND(ISNUMBER(AO75),ISNUMBER(AJ75)),IFERROR(AO75/AJ75-1,""),"")</f>
        <v>0.0601236624835755</v>
      </c>
      <c r="AP76" s="256">
        <f>IF(AND(ISNUMBER(AP75),ISNUMBER(AK75)),IFERROR(AP75/AK75-1,""),"")</f>
        <v>0.0304708218588934</v>
      </c>
      <c r="AQ76" s="256">
        <f>IF(AND(ISNUMBER(AQ75),ISNUMBER(AP75)),IFERROR(AQ75/AP75-1,""),"")</f>
        <v>0.0312875244739888</v>
      </c>
      <c r="AR76" s="256">
        <f>IF(AND(ISNUMBER(AR75),ISNUMBER(AQ75)),IFERROR(AR75/AQ75-1,""),"")</f>
        <v>0.0465049354797509</v>
      </c>
      <c r="AS76" s="256">
        <f>IF(AND(ISNUMBER(AS75),ISNUMBER(AR75)),IFERROR(AS75/AR75-1,""),"")</f>
        <v>0.0508012861708023</v>
      </c>
      <c r="AT76" s="256">
        <f>IF(AND(ISNUMBER(AT75),ISNUMBER(AS75)),IFERROR(AT75/AS75-1,""),"")</f>
        <v>0.0525477162151693</v>
      </c>
      <c r="AU76" s="153" t="n"/>
    </row>
    <row r="77" ht="15" customHeight="1" s="251">
      <c r="B77" s="57" t="inlineStr">
        <is>
          <t xml:space="preserve">  Check: build vs consolidated revenue (should be 0; ±0.15, ±0.6 from Q4 FY25)</t>
        </is>
      </c>
      <c r="C77" s="260">
        <f>IF(ISNUMBER(C75),IF(ABS(C75-C120)&lt;=0.15,0,ROUND(C75-C120,1)),"")</f>
        <v>0</v>
      </c>
      <c r="D77" s="260">
        <f>IF(ISNUMBER(D75),IF(ABS(D75-D120)&lt;=0.15,0,ROUND(D75-D120,1)),"")</f>
        <v>0</v>
      </c>
      <c r="E77" s="260">
        <f>IF(ISNUMBER(E75),IF(ABS(E75-E120)&lt;=0.15,0,ROUND(E75-E120,1)),"")</f>
        <v>0</v>
      </c>
      <c r="F77" s="260">
        <f>IF(ISNUMBER(F75),IF(ABS(F75-F120)&lt;=0.15,0,ROUND(F75-F120,1)),"")</f>
        <v>0</v>
      </c>
      <c r="G77" s="260">
        <f>IF(ISNUMBER(G75),IF(ABS(G75-G120)&lt;=0.15,0,ROUND(G75-G120,1)),"")</f>
        <v>0</v>
      </c>
      <c r="H77" s="260">
        <f>IF(ISNUMBER(H75),IF(ABS(H75-H120)&lt;=0.15,0,ROUND(H75-H120,1)),"")</f>
        <v>0</v>
      </c>
      <c r="I77" s="260">
        <f>IF(ISNUMBER(I75),IF(ABS(I75-I120)&lt;=0.15,0,ROUND(I75-I120,1)),"")</f>
        <v>0</v>
      </c>
      <c r="J77" s="260">
        <f>IF(ISNUMBER(J75),IF(ABS(J75-J120)&lt;=0.15,0,ROUND(J75-J120,1)),"")</f>
        <v>0</v>
      </c>
      <c r="K77" s="260">
        <f>IF(ISNUMBER(K75),IF(ABS(K75-K120)&lt;=0.15,0,ROUND(K75-K120,1)),"")</f>
        <v>0</v>
      </c>
      <c r="L77" s="260">
        <f>IF(ISNUMBER(L75),IF(ABS(L75-L120)&lt;=0.15,0,ROUND(L75-L120,1)),"")</f>
        <v>0</v>
      </c>
      <c r="M77" s="260">
        <f>IF(ISNUMBER(M75),IF(ABS(M75-M120)&lt;=0.15,0,ROUND(M75-M120,1)),"")</f>
        <v>0</v>
      </c>
      <c r="N77" s="260">
        <f>IF(ISNUMBER(N75),IF(ABS(N75-N120)&lt;=0.15,0,ROUND(N75-N120,1)),"")</f>
        <v>0</v>
      </c>
      <c r="O77" s="260">
        <f>IF(ISNUMBER(O75),IF(ABS(O75-O120)&lt;=0.15,0,ROUND(O75-O120,1)),"")</f>
        <v>0</v>
      </c>
      <c r="P77" s="260">
        <f>IF(ISNUMBER(P75),IF(ABS(P75-P120)&lt;=0.15,0,ROUND(P75-P120,1)),"")</f>
        <v>0</v>
      </c>
      <c r="Q77" s="260">
        <f>IF(ISNUMBER(Q75),IF(ABS(Q75-Q120)&lt;=0.15,0,ROUND(Q75-Q120,1)),"")</f>
        <v>0</v>
      </c>
      <c r="R77" s="260">
        <f>IF(ISNUMBER(R75),IF(ABS(R75-R120)&lt;=0.15,0,ROUND(R75-R120,1)),"")</f>
        <v>0</v>
      </c>
      <c r="S77" s="260">
        <f>IF(ISNUMBER(S75),IF(ABS(S75-S120)&lt;=0.15,0,ROUND(S75-S120,1)),"")</f>
        <v>0</v>
      </c>
      <c r="T77" s="260">
        <f>IF(ISNUMBER(T75),IF(ABS(T75-T120)&lt;=0.15,0,ROUND(T75-T120,1)),"")</f>
        <v>0</v>
      </c>
      <c r="U77" s="260">
        <f>IF(ISNUMBER(U75),IF(ABS(U75-U120)&lt;=0.15,0,ROUND(U75-U120,1)),"")</f>
        <v>0</v>
      </c>
      <c r="V77" s="260">
        <f>IF(ISNUMBER(V75),IF(ABS(V75-V120)&lt;=0.15,0,ROUND(V75-V120,1)),"")</f>
        <v>0</v>
      </c>
      <c r="W77" s="260">
        <f>IF(ISNUMBER(W75),IF(ABS(W75-W120)&lt;=0.15,0,ROUND(W75-W120,1)),"")</f>
        <v>0</v>
      </c>
      <c r="X77" s="260">
        <f>IF(ISNUMBER(X75),IF(ABS(X75-X120)&lt;=0.15,0,ROUND(X75-X120,1)),"")</f>
        <v>0</v>
      </c>
      <c r="Y77" s="260">
        <f>IF(ISNUMBER(Y75),IF(ABS(Y75-Y120)&lt;=0.15,0,ROUND(Y75-Y120,1)),"")</f>
        <v>0</v>
      </c>
      <c r="Z77" s="260">
        <f>IF(ISNUMBER(Z75),IF(ABS(Z75-Z120)&lt;=0.15,0,ROUND(Z75-Z120,1)),"")</f>
        <v>0</v>
      </c>
      <c r="AA77" s="260">
        <f>IF(ISNUMBER(AA75),IF(ABS(AA75-AA120)&lt;=0.15,0,ROUND(AA75-AA120,1)),"")</f>
        <v>0</v>
      </c>
      <c r="AB77" s="260">
        <f>IF(ISNUMBER(AB75),IF(ABS(AB75-AB120)&lt;=0.15,0,ROUND(AB75-AB120,1)),"")</f>
        <v>0</v>
      </c>
      <c r="AC77" s="260">
        <f>IF(ISNUMBER(AC75),IF(ABS(AC75-AC120)&lt;=0.15,0,ROUND(AC75-AC120,1)),"")</f>
        <v>0</v>
      </c>
      <c r="AD77" s="260">
        <f>IF(ISNUMBER(AD75),IF(ABS(AD75-AD120)&lt;=0.15,0,ROUND(AD75-AD120,1)),"")</f>
        <v>0</v>
      </c>
      <c r="AE77" s="260">
        <f>IF(ISNUMBER(AE75),IF(ABS(AE75-AE120)&lt;=0.6,0,ROUND(AE75-AE120,1)),"")</f>
        <v>0</v>
      </c>
      <c r="AF77" s="260">
        <f>IF(ISNUMBER(AF75),IF(ABS(AF75-AF120)&lt;=0.6,0,ROUND(AF75-AF120,1)),"")</f>
        <v>0</v>
      </c>
      <c r="AG77" s="260">
        <f>IF(ISNUMBER(AG75),IF(ABS(AG75-AG120)&lt;=0.6,0,ROUND(AG75-AG120,1)),"")</f>
        <v>0</v>
      </c>
      <c r="AH77" s="260">
        <f>IF(ISNUMBER(AH75),IF(ABS(AH75-AH120)&lt;=0.6,0,ROUND(AH75-AH120,1)),"")</f>
        <v>0</v>
      </c>
      <c r="AI77" s="260">
        <f>IF(ISNUMBER(AI75),IF(ABS(AI75-AI120)&lt;=0.6,0,ROUND(AI75-AI120,1)),"")</f>
        <v>0</v>
      </c>
      <c r="AJ77" s="260">
        <f>IF(ISNUMBER(AJ75),IF(ABS(AJ75-AJ120)&lt;=0.6,0,ROUND(AJ75-AJ120,1)),"")</f>
        <v>0</v>
      </c>
      <c r="AK77" s="260">
        <f>IF(ISNUMBER(AK75),IF(ABS(AK75-AK120)&lt;=0.6,0,ROUND(AK75-AK120,1)),"")</f>
        <v>0</v>
      </c>
      <c r="AL77" s="260">
        <f>IF(ISNUMBER(AL75),IF(ABS(AL75-AL120)&lt;=0.6,0,ROUND(AL75-AL120,1)),"")</f>
        <v>0</v>
      </c>
      <c r="AM77" s="286">
        <f>IF(ISNUMBER(AM75),IF(ABS(AM75-AM120)&lt;=0.6,0,ROUND(AM75-AM120,1)),"")</f>
        <v>0</v>
      </c>
      <c r="AN77" s="286">
        <f>IF(ISNUMBER(AN75),IF(ABS(AN75-AN120)&lt;=0.6,0,ROUND(AN75-AN120,1)),"")</f>
        <v>0</v>
      </c>
      <c r="AO77" s="286">
        <f>IF(ISNUMBER(AO75),IF(ABS(AO75-AO120)&lt;=0.6,0,ROUND(AO75-AO120,1)),"")</f>
        <v>0</v>
      </c>
      <c r="AP77" s="286">
        <f>IF(ISNUMBER(AP75),IF(ABS(AP75-AP120)&lt;=0.6,0,ROUND(AP75-AP120,1)),"")</f>
        <v>0</v>
      </c>
      <c r="AQ77" s="286">
        <f>IF(ISNUMBER(AQ75),IF(ABS(AQ75-AQ120)&lt;=0.6,0,ROUND(AQ75-AQ120,1)),"")</f>
        <v>0</v>
      </c>
      <c r="AR77" s="286">
        <f>IF(ISNUMBER(AR75),IF(ABS(AR75-AR120)&lt;=0.6,0,ROUND(AR75-AR120,1)),"")</f>
        <v>0</v>
      </c>
      <c r="AS77" s="286">
        <f>IF(ISNUMBER(AS75),IF(ABS(AS75-AS120)&lt;=0.6,0,ROUND(AS75-AS120,1)),"")</f>
        <v>0</v>
      </c>
      <c r="AT77" s="286">
        <f>IF(ISNUMBER(AT75),IF(ABS(AT75-AT120)&lt;=0.6,0,ROUND(AT75-AT120,1)),"")</f>
        <v>0</v>
      </c>
      <c r="AU77" s="153" t="n"/>
    </row>
    <row r="78" ht="15" customHeight="1" s="251">
      <c r="B78" s="25" t="inlineStr">
        <is>
          <t xml:space="preserve">  Legacy adjusted EBITDA margin on revenue %</t>
        </is>
      </c>
      <c r="C78" s="215">
        <f>IF(ISNUMBER(C174),IFERROR(C174/C120,""),"")</f>
        <v>0.0832978052702596</v>
      </c>
      <c r="D78" s="215">
        <f>IF(ISNUMBER(D174),IFERROR(D174/D120,""),"")</f>
        <v>0.091842754650482</v>
      </c>
      <c r="E78" s="215">
        <f>IF(ISNUMBER(E174),IFERROR(E174/E120,""),"")</f>
        <v>0.0974743428770329</v>
      </c>
      <c r="F78" s="215">
        <f>IF(ISNUMBER(F174),IFERROR(F174/F120,""),"")</f>
        <v>0.0992500146925837</v>
      </c>
      <c r="G78" s="215">
        <f>IF(ISNUMBER(G174),IFERROR(G174/G120,""),"")</f>
        <v>0.0936264391651982</v>
      </c>
      <c r="H78" s="215">
        <f>IF(ISNUMBER(H174),IFERROR(H174/H120,""),"")</f>
        <v>0.0942657182177853</v>
      </c>
      <c r="I78" s="215">
        <f>IF(ISNUMBER(I174),IFERROR(I174/I120,""),"")</f>
        <v>0.0947593858764945</v>
      </c>
      <c r="J78" s="215">
        <f>IF(ISNUMBER(J174),IFERROR(J174/J120,""),"")</f>
        <v>0.100630262034652</v>
      </c>
      <c r="K78" s="215">
        <f>IF(ISNUMBER(K174),IFERROR(K174/K120,""),"")</f>
        <v>0.101030287220749</v>
      </c>
      <c r="L78" s="215">
        <f>IF(ISNUMBER(L174),IFERROR(L174/L120,""),"")</f>
        <v>0.106843189245163</v>
      </c>
      <c r="M78" s="215">
        <f>IF(ISNUMBER(M174),IFERROR(M174/M120,""),"")</f>
        <v>0.119724031279002</v>
      </c>
      <c r="N78" s="215">
        <f>IF(ISNUMBER(N174),IFERROR(N174/N120,""),"")</f>
        <v>0.128036151294516</v>
      </c>
      <c r="O78" s="215">
        <f>IF(ISNUMBER(O174),IFERROR(O174/O120,""),"")</f>
        <v>0.109397592734866</v>
      </c>
      <c r="P78" s="215">
        <f>IF(ISNUMBER(P174),IFERROR(P174/P120,""),"")</f>
        <v>0.0915978724583079</v>
      </c>
      <c r="Q78" s="215">
        <f>IF(ISNUMBER(Q174),IFERROR(Q174/Q120,""),"")</f>
        <v>0.111783660341715</v>
      </c>
      <c r="R78" s="215">
        <f>IF(ISNUMBER(R174),IFERROR(R174/R120,""),"")</f>
        <v>0.112278182788051</v>
      </c>
      <c r="S78" s="215">
        <f>IF(ISNUMBER(S174),IFERROR(S174/S120,""),"")</f>
        <v>0.124378853889732</v>
      </c>
      <c r="T78" s="215">
        <f>IF(ISNUMBER(T174),IFERROR(T174/T120,""),"")</f>
        <v>0.107194583926565</v>
      </c>
      <c r="U78" s="215">
        <f>IF(ISNUMBER(U174),IFERROR(U174/U120,""),"")</f>
        <v>0.0951192658740678</v>
      </c>
      <c r="V78" s="215">
        <f>IF(ISNUMBER(V174),IFERROR(V174/V120,""),"")</f>
        <v>0.109523139384319</v>
      </c>
      <c r="W78" s="215">
        <f>IF(ISNUMBER(W174),IFERROR(W174/W120,""),"")</f>
        <v>0.115648001157286</v>
      </c>
      <c r="X78" s="215">
        <f>IF(ISNUMBER(X174),IFERROR(X174/X120,""),"")</f>
        <v>0.109002348588784</v>
      </c>
      <c r="Y78" s="215">
        <f>IF(ISNUMBER(Y174),IFERROR(Y174/Y120,""),"")</f>
        <v>0.113091636278451</v>
      </c>
      <c r="Z78" s="215">
        <f>IF(ISNUMBER(Z174),IFERROR(Z174/Z120,""),"")</f>
        <v>0.103496988987586</v>
      </c>
      <c r="AA78" s="215">
        <f>IF(ISNUMBER(AA174),IFERROR(AA174/AA120,""),"")</f>
        <v>0.11021154211221</v>
      </c>
      <c r="AB78" s="215">
        <f>IF(ISNUMBER(AB174),IFERROR(AB174/AB120,""),"")</f>
        <v>0.102645763796754</v>
      </c>
      <c r="AC78" s="215">
        <f>IF(ISNUMBER(AC174),IFERROR(AC174/AC120,""),"")</f>
        <v>0.115672393660536</v>
      </c>
      <c r="AD78" s="215">
        <f>IF(ISNUMBER(AD174),IFERROR(AD174/AD120,""),"")</f>
        <v>0.11371251101231</v>
      </c>
      <c r="AE78" s="215">
        <f>IF(ISNUMBER(AE174),IFERROR(AE174/AE120,""),"")</f>
        <v>0.106254203093477</v>
      </c>
      <c r="AF78" s="215">
        <f>IF(ISNUMBER(AF174),IFERROR(AF174/AF120,""),"")</f>
        <v>0.109766277128548</v>
      </c>
      <c r="AG78" s="215">
        <f>IF(ISNUMBER(AG174),IFERROR(AG174/AG120,""),"")</f>
        <v>0.106361149110807</v>
      </c>
      <c r="AH78" s="215">
        <f>IF(ISNUMBER(AH174),IFERROR(AH174/AH120,""),"")</f>
        <v>0.112110726643599</v>
      </c>
      <c r="AI78" s="215">
        <f>IF(ISNUMBER(AI174),IFERROR(AI174/AI120,""),"")</f>
        <v>0.108778625954198</v>
      </c>
      <c r="AJ78" s="215">
        <f>IF(ISNUMBER(AJ174),IFERROR(AJ174/AJ120,""),"")</f>
        <v>0.11103126122889</v>
      </c>
      <c r="AK78" s="215">
        <f>IF(ISNUMBER(AK174),IFERROR(AK174/AK120,""),"")</f>
        <v>0.109565837567977</v>
      </c>
      <c r="AL78" s="215">
        <f>IF(ISNUMBER(AL174),IFERROR(AL174/AL120,""),"")</f>
        <v>0.119285714285714</v>
      </c>
      <c r="AM78" s="256">
        <f>AM79+$AM$91</f>
        <v>0.109045504427117</v>
      </c>
      <c r="AN78" s="256">
        <f>AN79+$AM$91</f>
        <v>0.105713403737717</v>
      </c>
      <c r="AO78" s="256">
        <f>AO79+$AM$91</f>
        <v>0.107966039012408</v>
      </c>
      <c r="AP78" s="256">
        <f>IFERROR(AP80/AP74,"")</f>
        <v>0.110480349344978</v>
      </c>
      <c r="AQ78" s="256">
        <f>CHOOSE(MATCH($AU$2,{"Bull","Base","Bear"},0),$BD$50,$BE$50,$BF$50)</f>
        <v>0.112</v>
      </c>
      <c r="AR78" s="256">
        <f>CHOOSE(MATCH($AU$2,{"Bull","Base","Bear"},0),$BD$51,$BE$51,$BF$51)</f>
        <v>0.113</v>
      </c>
      <c r="AS78" s="256">
        <f>CHOOSE(MATCH($AU$2,{"Bull","Base","Bear"},0),$BD$52,$BE$52,$BF$52)</f>
        <v>0.114</v>
      </c>
      <c r="AT78" s="256">
        <f>CHOOSE(MATCH($AU$2,{"Bull","Base","Bear"},0),$BD$53,$BE$53,$BF$53)</f>
        <v>0.115</v>
      </c>
      <c r="AU78" s="153" t="inlineStr">
        <is>
          <t>History = company adjusted EBITDA margin on revenue. Q2–Q4/27E: prior-year quarter margin + Q1/27 y/y drift + calibration Δ. 2028E+: scenario lever on legacy revenue.</t>
        </is>
      </c>
      <c r="AW78" s="37">
        <f>IFERROR(AVERAGE(AP78,AQ78,AR78,AS78,AT78),"n/m")</f>
        <v>0.112896069868996</v>
      </c>
      <c r="AX78" s="37">
        <f>IFERROR(AVERAGE(Q78,V78,AA78,AF78,AK78),"n/m")</f>
        <v>0.110170091306954</v>
      </c>
      <c r="AY78" s="37">
        <f>IFERROR(AVERAGE(H78,I78,J78,K78,L78,Q78,V78,AA78,AF78,AK78),"n/m")</f>
        <v>0.104837929912961</v>
      </c>
      <c r="AZ78" s="37">
        <f>IFERROR(AVERAGE(C78,D78,E78,F78,G78,H78,I78,J78,K78,L78,Q78,V78,AA78,AF78,AK78),"n/m")</f>
        <v>0.100924710385678</v>
      </c>
    </row>
    <row r="79" ht="15" customHeight="1" s="251">
      <c r="B79" s="25" t="inlineStr">
        <is>
          <t xml:space="preserve">  Q2–Q4/27E margin before calibration (prior-year quarter + Q1/27 y/y drift)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256">
        <f>AH78+IFERROR(AL78-AG78,0)</f>
        <v>0.125035291818506</v>
      </c>
      <c r="AN79" s="256">
        <f>AI78+IFERROR(AL78-AG78,0)</f>
        <v>0.121703191129106</v>
      </c>
      <c r="AO79" s="256">
        <f>AJ78+IFERROR(AL78-AG78,0)</f>
        <v>0.123955826403797</v>
      </c>
      <c r="AP79" s="24" t="n"/>
      <c r="AQ79" s="46" t="n"/>
      <c r="AR79" s="46" t="n"/>
      <c r="AS79" s="46" t="n"/>
      <c r="AT79" s="46" t="n"/>
      <c r="AU79" s="19" t="n"/>
    </row>
    <row r="80" collapsed="1" ht="15" customHeight="1" s="251">
      <c r="B80" s="25" t="inlineStr">
        <is>
          <t xml:space="preserve">  Legacy adjusted EBITDA</t>
        </is>
      </c>
      <c r="C80" s="260">
        <f>C174</f>
        <v>488.06</v>
      </c>
      <c r="D80" s="260">
        <f>D174</f>
        <v>528.836</v>
      </c>
      <c r="E80" s="260">
        <f>E174</f>
        <v>534.032</v>
      </c>
      <c r="F80" s="260">
        <f>F174</f>
        <v>523.521</v>
      </c>
      <c r="G80" s="260">
        <f>G174</f>
        <v>506.12</v>
      </c>
      <c r="H80" s="260">
        <f>H174</f>
        <v>547.145</v>
      </c>
      <c r="I80" s="260">
        <f>I174</f>
        <v>584.841</v>
      </c>
      <c r="J80" s="260">
        <f>J174</f>
        <v>674.629</v>
      </c>
      <c r="K80" s="260">
        <f>K174</f>
        <v>754.074</v>
      </c>
      <c r="L80" s="260">
        <f>L174</f>
        <v>839.674</v>
      </c>
      <c r="M80" s="260">
        <f>M174</f>
        <v>238.139</v>
      </c>
      <c r="N80" s="260">
        <f>N174</f>
        <v>269.649</v>
      </c>
      <c r="O80" s="260">
        <f>O174</f>
        <v>222.134</v>
      </c>
      <c r="P80" s="260">
        <f>P174</f>
        <v>205.003</v>
      </c>
      <c r="Q80" s="260">
        <f>Q174</f>
        <v>934.925</v>
      </c>
      <c r="R80" s="260">
        <f>R174</f>
        <v>252.581</v>
      </c>
      <c r="S80" s="260">
        <f>S174</f>
        <v>285.944</v>
      </c>
      <c r="T80" s="260">
        <f>T174</f>
        <v>244.09</v>
      </c>
      <c r="U80" s="260">
        <f>U174</f>
        <v>231.45</v>
      </c>
      <c r="V80" s="260">
        <f>V174</f>
        <v>1014.065</v>
      </c>
      <c r="W80" s="260">
        <f>W174</f>
        <v>306.986</v>
      </c>
      <c r="X80" s="260">
        <f>X174</f>
        <v>290.631</v>
      </c>
      <c r="Y80" s="260">
        <f>Y174</f>
        <v>290.623</v>
      </c>
      <c r="Z80" s="260">
        <f>Z174</f>
        <v>286.824</v>
      </c>
      <c r="AA80" s="260">
        <f>AA174</f>
        <v>1175.064</v>
      </c>
      <c r="AB80" s="260">
        <f>AB174</f>
        <v>301.963</v>
      </c>
      <c r="AC80" s="260">
        <f>AC174</f>
        <v>363.95</v>
      </c>
      <c r="AD80" s="260">
        <f>AD174</f>
        <v>331.721</v>
      </c>
      <c r="AE80" s="260">
        <f>AE174</f>
        <v>316</v>
      </c>
      <c r="AF80" s="260">
        <f>AF174</f>
        <v>1315</v>
      </c>
      <c r="AG80" s="260">
        <f>AG174</f>
        <v>311</v>
      </c>
      <c r="AH80" s="260">
        <f>AH174</f>
        <v>324</v>
      </c>
      <c r="AI80" s="260">
        <f>AI174</f>
        <v>285</v>
      </c>
      <c r="AJ80" s="260">
        <f>AJ174</f>
        <v>309</v>
      </c>
      <c r="AK80" s="260">
        <f>AK174</f>
        <v>1229</v>
      </c>
      <c r="AL80" s="260">
        <f>AL174</f>
        <v>334</v>
      </c>
      <c r="AM80" s="254">
        <f>AM74*AM78</f>
        <v>328.384016691279</v>
      </c>
      <c r="AN80" s="254">
        <f>AN74*AN78</f>
        <v>288.939642495509</v>
      </c>
      <c r="AO80" s="254">
        <f>AO74*AO78</f>
        <v>313.676340813212</v>
      </c>
      <c r="AP80" s="254">
        <f>SUM(AL80,AM80,AN80,AO80)</f>
        <v>1265</v>
      </c>
      <c r="AQ80" s="254">
        <f>AQ74*AQ78</f>
        <v>1307.70496322211</v>
      </c>
      <c r="AR80" s="254">
        <f>AR74*AR78</f>
        <v>1369.61608564967</v>
      </c>
      <c r="AS80" s="254">
        <f>AS74*AS78</f>
        <v>1441.29955260552</v>
      </c>
      <c r="AT80" s="254">
        <f>AT74*AT78</f>
        <v>1520.10662494962</v>
      </c>
      <c r="AU80" s="19" t="n"/>
    </row>
    <row r="81" ht="15" customHeight="1" s="251">
      <c r="B81" s="55" t="inlineStr">
        <is>
          <t>Adjusted EBITDA (build)</t>
        </is>
      </c>
      <c r="C81" s="285">
        <f>C80</f>
        <v>488.06</v>
      </c>
      <c r="D81" s="285">
        <f>D80</f>
        <v>528.836</v>
      </c>
      <c r="E81" s="285">
        <f>E80</f>
        <v>534.032</v>
      </c>
      <c r="F81" s="285">
        <f>F80</f>
        <v>523.521</v>
      </c>
      <c r="G81" s="285">
        <f>G80</f>
        <v>506.12</v>
      </c>
      <c r="H81" s="285">
        <f>H80</f>
        <v>547.145</v>
      </c>
      <c r="I81" s="285">
        <f>I80</f>
        <v>584.841</v>
      </c>
      <c r="J81" s="285">
        <f>J80</f>
        <v>674.629</v>
      </c>
      <c r="K81" s="285">
        <f>K80</f>
        <v>754.074</v>
      </c>
      <c r="L81" s="285">
        <f>L80</f>
        <v>839.674</v>
      </c>
      <c r="M81" s="285">
        <f>M80</f>
        <v>238.139</v>
      </c>
      <c r="N81" s="285">
        <f>N80</f>
        <v>269.649</v>
      </c>
      <c r="O81" s="285">
        <f>O80</f>
        <v>222.134</v>
      </c>
      <c r="P81" s="285">
        <f>P80</f>
        <v>205.003</v>
      </c>
      <c r="Q81" s="285">
        <f>Q80</f>
        <v>934.925</v>
      </c>
      <c r="R81" s="285">
        <f>R80</f>
        <v>252.581</v>
      </c>
      <c r="S81" s="285">
        <f>S80</f>
        <v>285.944</v>
      </c>
      <c r="T81" s="285">
        <f>T80</f>
        <v>244.09</v>
      </c>
      <c r="U81" s="285">
        <f>U80</f>
        <v>231.45</v>
      </c>
      <c r="V81" s="285">
        <f>V80</f>
        <v>1014.065</v>
      </c>
      <c r="W81" s="285">
        <f>W80</f>
        <v>306.986</v>
      </c>
      <c r="X81" s="285">
        <f>X80</f>
        <v>290.631</v>
      </c>
      <c r="Y81" s="285">
        <f>Y80</f>
        <v>290.623</v>
      </c>
      <c r="Z81" s="285">
        <f>Z80</f>
        <v>286.824</v>
      </c>
      <c r="AA81" s="285">
        <f>AA80</f>
        <v>1175.064</v>
      </c>
      <c r="AB81" s="285">
        <f>AB80</f>
        <v>301.963</v>
      </c>
      <c r="AC81" s="285">
        <f>AC80</f>
        <v>363.95</v>
      </c>
      <c r="AD81" s="285">
        <f>AD80</f>
        <v>331.721</v>
      </c>
      <c r="AE81" s="285">
        <f>AE80</f>
        <v>316</v>
      </c>
      <c r="AF81" s="285">
        <f>AF80</f>
        <v>1315</v>
      </c>
      <c r="AG81" s="285">
        <f>AG80</f>
        <v>311</v>
      </c>
      <c r="AH81" s="285">
        <f>AH80</f>
        <v>324</v>
      </c>
      <c r="AI81" s="285">
        <f>AI80</f>
        <v>285</v>
      </c>
      <c r="AJ81" s="285">
        <f>AJ80</f>
        <v>309</v>
      </c>
      <c r="AK81" s="285">
        <f>AK80</f>
        <v>1229</v>
      </c>
      <c r="AL81" s="285">
        <f>AL80</f>
        <v>334</v>
      </c>
      <c r="AM81" s="285">
        <f>AM80+AM34+N(AM66)</f>
        <v>333.081818889081</v>
      </c>
      <c r="AN81" s="285">
        <f>AN80+AN34+N(AN66)</f>
        <v>300.189642495509</v>
      </c>
      <c r="AO81" s="285">
        <f>AO80+AO34+N(AO66)</f>
        <v>324.926340813212</v>
      </c>
      <c r="AP81" s="285">
        <f>AP80+AP34+N(AP66)</f>
        <v>1292.1978021978</v>
      </c>
      <c r="AQ81" s="285">
        <f>AQ80+AQ34+N(AQ66)</f>
        <v>1363.95496322211</v>
      </c>
      <c r="AR81" s="285">
        <f>AR80+AR34+N(AR66)</f>
        <v>1443.07858564967</v>
      </c>
      <c r="AS81" s="285">
        <f>AS80+AS34+N(AS66)</f>
        <v>1531.82605260552</v>
      </c>
      <c r="AT81" s="285">
        <f>AT80+AT34+N(AT66)</f>
        <v>1627.71714994962</v>
      </c>
      <c r="AU81" s="153" t="inlineStr">
        <is>
          <t>Legacy + Ultra + future acquisitions. Company definition; drives the GAAP P&amp;L below (operating income = adjusted EBITDA − D&amp;A − operating adjusting items).</t>
        </is>
      </c>
      <c r="AW81" s="20">
        <f>IFERROR((AT81/AK81)^(1/5)-1,"n/m")</f>
        <v>0.0578045026063392</v>
      </c>
      <c r="AX81" s="20">
        <f>IFERROR((AK81/L81)^(1/5)-1,"n/m")</f>
        <v>0.0791659536631013</v>
      </c>
      <c r="AY81" s="20">
        <f>IFERROR((AK81/G81)^(1/10)-1,"n/m")</f>
        <v>0.0927727039345783</v>
      </c>
      <c r="AZ81" s="20">
        <f>IFERROR((AK81/C81)^(1/14)-1,"n/m")</f>
        <v>0.0681899220018383</v>
      </c>
    </row>
    <row r="82" ht="15" customHeight="1" s="251">
      <c r="B82" s="25" t="inlineStr">
        <is>
          <t xml:space="preserve">  Adjusted EBITDA margin on revenue %</t>
        </is>
      </c>
      <c r="C82" s="215">
        <f>IF(AND(ISNUMBER(C81),ISNUMBER(C120)),IFERROR(C81/C120,""),"")</f>
        <v>0.0832978052702596</v>
      </c>
      <c r="D82" s="215">
        <f>IF(AND(ISNUMBER(D81),ISNUMBER(D120)),IFERROR(D81/D120,""),"")</f>
        <v>0.091842754650482</v>
      </c>
      <c r="E82" s="215">
        <f>IF(AND(ISNUMBER(E81),ISNUMBER(E120)),IFERROR(E81/E120,""),"")</f>
        <v>0.0974743428770329</v>
      </c>
      <c r="F82" s="215">
        <f>IF(AND(ISNUMBER(F81),ISNUMBER(F120)),IFERROR(F81/F120,""),"")</f>
        <v>0.0992500146925837</v>
      </c>
      <c r="G82" s="215">
        <f>IF(AND(ISNUMBER(G81),ISNUMBER(G120)),IFERROR(G81/G120,""),"")</f>
        <v>0.0936264391651982</v>
      </c>
      <c r="H82" s="215">
        <f>IF(AND(ISNUMBER(H81),ISNUMBER(H120)),IFERROR(H81/H120,""),"")</f>
        <v>0.0942657182177853</v>
      </c>
      <c r="I82" s="215">
        <f>IF(AND(ISNUMBER(I81),ISNUMBER(I120)),IFERROR(I81/I120,""),"")</f>
        <v>0.0947593858764945</v>
      </c>
      <c r="J82" s="215">
        <f>IF(AND(ISNUMBER(J81),ISNUMBER(J120)),IFERROR(J81/J120,""),"")</f>
        <v>0.100630262034652</v>
      </c>
      <c r="K82" s="215">
        <f>IF(AND(ISNUMBER(K81),ISNUMBER(K120)),IFERROR(K81/K120,""),"")</f>
        <v>0.101030287220749</v>
      </c>
      <c r="L82" s="215">
        <f>IF(AND(ISNUMBER(L81),ISNUMBER(L120)),IFERROR(L81/L120,""),"")</f>
        <v>0.106843189245163</v>
      </c>
      <c r="M82" s="215">
        <f>IF(AND(ISNUMBER(M81),ISNUMBER(M120)),IFERROR(M81/M120,""),"")</f>
        <v>0.119724031279002</v>
      </c>
      <c r="N82" s="215">
        <f>IF(AND(ISNUMBER(N81),ISNUMBER(N120)),IFERROR(N81/N120,""),"")</f>
        <v>0.128036151294516</v>
      </c>
      <c r="O82" s="215">
        <f>IF(AND(ISNUMBER(O81),ISNUMBER(O120)),IFERROR(O81/O120,""),"")</f>
        <v>0.109397592734866</v>
      </c>
      <c r="P82" s="215">
        <f>IF(AND(ISNUMBER(P81),ISNUMBER(P120)),IFERROR(P81/P120,""),"")</f>
        <v>0.0915978724583079</v>
      </c>
      <c r="Q82" s="215">
        <f>IF(AND(ISNUMBER(Q81),ISNUMBER(Q120)),IFERROR(Q81/Q120,""),"")</f>
        <v>0.111783660341715</v>
      </c>
      <c r="R82" s="215">
        <f>IF(AND(ISNUMBER(R81),ISNUMBER(R120)),IFERROR(R81/R120,""),"")</f>
        <v>0.112278182788051</v>
      </c>
      <c r="S82" s="215">
        <f>IF(AND(ISNUMBER(S81),ISNUMBER(S120)),IFERROR(S81/S120,""),"")</f>
        <v>0.124378853889732</v>
      </c>
      <c r="T82" s="215">
        <f>IF(AND(ISNUMBER(T81),ISNUMBER(T120)),IFERROR(T81/T120,""),"")</f>
        <v>0.107194583926565</v>
      </c>
      <c r="U82" s="215">
        <f>IF(AND(ISNUMBER(U81),ISNUMBER(U120)),IFERROR(U81/U120,""),"")</f>
        <v>0.0951192658740678</v>
      </c>
      <c r="V82" s="215">
        <f>IF(AND(ISNUMBER(V81),ISNUMBER(V120)),IFERROR(V81/V120,""),"")</f>
        <v>0.109523139384319</v>
      </c>
      <c r="W82" s="215">
        <f>IF(AND(ISNUMBER(W81),ISNUMBER(W120)),IFERROR(W81/W120,""),"")</f>
        <v>0.115648001157286</v>
      </c>
      <c r="X82" s="215">
        <f>IF(AND(ISNUMBER(X81),ISNUMBER(X120)),IFERROR(X81/X120,""),"")</f>
        <v>0.109002348588784</v>
      </c>
      <c r="Y82" s="215">
        <f>IF(AND(ISNUMBER(Y81),ISNUMBER(Y120)),IFERROR(Y81/Y120,""),"")</f>
        <v>0.113091636278451</v>
      </c>
      <c r="Z82" s="215">
        <f>IF(AND(ISNUMBER(Z81),ISNUMBER(Z120)),IFERROR(Z81/Z120,""),"")</f>
        <v>0.103496988987586</v>
      </c>
      <c r="AA82" s="215">
        <f>IF(AND(ISNUMBER(AA81),ISNUMBER(AA120)),IFERROR(AA81/AA120,""),"")</f>
        <v>0.11021154211221</v>
      </c>
      <c r="AB82" s="215">
        <f>IF(AND(ISNUMBER(AB81),ISNUMBER(AB120)),IFERROR(AB81/AB120,""),"")</f>
        <v>0.102645763796754</v>
      </c>
      <c r="AC82" s="215">
        <f>IF(AND(ISNUMBER(AC81),ISNUMBER(AC120)),IFERROR(AC81/AC120,""),"")</f>
        <v>0.115672393660536</v>
      </c>
      <c r="AD82" s="215">
        <f>IF(AND(ISNUMBER(AD81),ISNUMBER(AD120)),IFERROR(AD81/AD120,""),"")</f>
        <v>0.11371251101231</v>
      </c>
      <c r="AE82" s="215">
        <f>IF(AND(ISNUMBER(AE81),ISNUMBER(AE120)),IFERROR(AE81/AE120,""),"")</f>
        <v>0.106254203093477</v>
      </c>
      <c r="AF82" s="215">
        <f>IF(AND(ISNUMBER(AF81),ISNUMBER(AF120)),IFERROR(AF81/AF120,""),"")</f>
        <v>0.109766277128548</v>
      </c>
      <c r="AG82" s="215">
        <f>IF(AND(ISNUMBER(AG81),ISNUMBER(AG120)),IFERROR(AG81/AG120,""),"")</f>
        <v>0.106361149110807</v>
      </c>
      <c r="AH82" s="215">
        <f>IF(AND(ISNUMBER(AH81),ISNUMBER(AH120)),IFERROR(AH81/AH120,""),"")</f>
        <v>0.112110726643599</v>
      </c>
      <c r="AI82" s="215">
        <f>IF(AND(ISNUMBER(AI81),ISNUMBER(AI120)),IFERROR(AI81/AI120,""),"")</f>
        <v>0.108778625954198</v>
      </c>
      <c r="AJ82" s="215">
        <f>IF(AND(ISNUMBER(AJ81),ISNUMBER(AJ120)),IFERROR(AJ81/AJ120,""),"")</f>
        <v>0.11103126122889</v>
      </c>
      <c r="AK82" s="215">
        <f>IF(AND(ISNUMBER(AK81),ISNUMBER(AK120)),IFERROR(AK81/AK120,""),"")</f>
        <v>0.109565837567977</v>
      </c>
      <c r="AL82" s="215">
        <f>IF(AND(ISNUMBER(AL81),ISNUMBER(AL120)),IFERROR(AL81/AL120,""),"")</f>
        <v>0.119285714285714</v>
      </c>
      <c r="AM82" s="256">
        <f>IF(AND(ISNUMBER(AM81),ISNUMBER(AM120)),IFERROR(AM81/AM120,""),"")</f>
        <v>0.109919597851278</v>
      </c>
      <c r="AN82" s="256">
        <f>IF(AND(ISNUMBER(AN81),ISNUMBER(AN120)),IFERROR(AN81/AN120,""),"")</f>
        <v>0.108050461380819</v>
      </c>
      <c r="AO82" s="256">
        <f>IF(AND(ISNUMBER(AO81),ISNUMBER(AO120)),IFERROR(AO81/AO120,""),"")</f>
        <v>0.110132420709351</v>
      </c>
      <c r="AP82" s="256">
        <f>IF(AND(ISNUMBER(AP81),ISNUMBER(AP120)),IFERROR(AP81/AP120,""),"")</f>
        <v>0.111793506678709</v>
      </c>
      <c r="AQ82" s="256">
        <f>IF(AND(ISNUMBER(AQ81),ISNUMBER(AQ120)),IFERROR(AQ81/AQ120,""),"")</f>
        <v>0.114421555483612</v>
      </c>
      <c r="AR82" s="256">
        <f>IF(AND(ISNUMBER(AR81),ISNUMBER(AR120)),IFERROR(AR81/AR120,""),"")</f>
        <v>0.115679530719959</v>
      </c>
      <c r="AS82" s="256">
        <f>IF(AND(ISNUMBER(AS81),ISNUMBER(AS120)),IFERROR(AS81/AS120,""),"")</f>
        <v>0.116857177364303</v>
      </c>
      <c r="AT82" s="256">
        <f>IF(AND(ISNUMBER(AT81),ISNUMBER(AT120)),IFERROR(AT81/AT120,""),"")</f>
        <v>0.11797312575698</v>
      </c>
      <c r="AU82" s="153" t="n"/>
      <c r="AW82" s="37">
        <f>IFERROR(AVERAGE(AP82,AQ82,AR82,AS82,AT82),"n/m")</f>
        <v>0.115344979200713</v>
      </c>
      <c r="AX82" s="37">
        <f>IFERROR(AVERAGE(Q82,V82,AA82,AF82,AK82),"n/m")</f>
        <v>0.110170091306954</v>
      </c>
      <c r="AY82" s="37">
        <f>IFERROR(AVERAGE(H82,I82,J82,K82,L82,Q82,V82,AA82,AF82,AK82),"n/m")</f>
        <v>0.104837929912961</v>
      </c>
      <c r="AZ82" s="37">
        <f>IFERROR(AVERAGE(C82,D82,E82,F82,G82,H82,I82,J82,K82,L82,Q82,V82,AA82,AF82,AK82),"n/m")</f>
        <v>0.100924710385678</v>
      </c>
    </row>
    <row r="83" ht="15" customHeight="1" s="251">
      <c r="B83" s="57" t="inlineStr">
        <is>
          <t xml:space="preserve">  Check: build vs adjusted EBITDA bridge (should be 0; ±0.15, ±0.6 from Q4 FY25)</t>
        </is>
      </c>
      <c r="C83" s="260">
        <f>IF(AND(ISNUMBER(C81),ISNUMBER(C174)),IF(ABS(C81-C174)&lt;=0.15,0,ROUND(C81-C174,1)),"")</f>
        <v>0</v>
      </c>
      <c r="D83" s="260">
        <f>IF(AND(ISNUMBER(D81),ISNUMBER(D174)),IF(ABS(D81-D174)&lt;=0.15,0,ROUND(D81-D174,1)),"")</f>
        <v>0</v>
      </c>
      <c r="E83" s="260">
        <f>IF(AND(ISNUMBER(E81),ISNUMBER(E174)),IF(ABS(E81-E174)&lt;=0.15,0,ROUND(E81-E174,1)),"")</f>
        <v>0</v>
      </c>
      <c r="F83" s="260">
        <f>IF(AND(ISNUMBER(F81),ISNUMBER(F174)),IF(ABS(F81-F174)&lt;=0.15,0,ROUND(F81-F174,1)),"")</f>
        <v>0</v>
      </c>
      <c r="G83" s="260">
        <f>IF(AND(ISNUMBER(G81),ISNUMBER(G174)),IF(ABS(G81-G174)&lt;=0.15,0,ROUND(G81-G174,1)),"")</f>
        <v>0</v>
      </c>
      <c r="H83" s="260">
        <f>IF(AND(ISNUMBER(H81),ISNUMBER(H174)),IF(ABS(H81-H174)&lt;=0.15,0,ROUND(H81-H174,1)),"")</f>
        <v>0</v>
      </c>
      <c r="I83" s="260">
        <f>IF(AND(ISNUMBER(I81),ISNUMBER(I174)),IF(ABS(I81-I174)&lt;=0.15,0,ROUND(I81-I174,1)),"")</f>
        <v>0</v>
      </c>
      <c r="J83" s="260">
        <f>IF(AND(ISNUMBER(J81),ISNUMBER(J174)),IF(ABS(J81-J174)&lt;=0.15,0,ROUND(J81-J174,1)),"")</f>
        <v>0</v>
      </c>
      <c r="K83" s="260">
        <f>IF(AND(ISNUMBER(K81),ISNUMBER(K174)),IF(ABS(K81-K174)&lt;=0.15,0,ROUND(K81-K174,1)),"")</f>
        <v>0</v>
      </c>
      <c r="L83" s="260">
        <f>IF(AND(ISNUMBER(L81),ISNUMBER(L174)),IF(ABS(L81-L174)&lt;=0.15,0,ROUND(L81-L174,1)),"")</f>
        <v>0</v>
      </c>
      <c r="M83" s="260">
        <f>IF(AND(ISNUMBER(M81),ISNUMBER(M174)),IF(ABS(M81-M174)&lt;=0.15,0,ROUND(M81-M174,1)),"")</f>
        <v>0</v>
      </c>
      <c r="N83" s="260">
        <f>IF(AND(ISNUMBER(N81),ISNUMBER(N174)),IF(ABS(N81-N174)&lt;=0.15,0,ROUND(N81-N174,1)),"")</f>
        <v>0</v>
      </c>
      <c r="O83" s="260">
        <f>IF(AND(ISNUMBER(O81),ISNUMBER(O174)),IF(ABS(O81-O174)&lt;=0.15,0,ROUND(O81-O174,1)),"")</f>
        <v>0</v>
      </c>
      <c r="P83" s="260">
        <f>IF(AND(ISNUMBER(P81),ISNUMBER(P174)),IF(ABS(P81-P174)&lt;=0.15,0,ROUND(P81-P174,1)),"")</f>
        <v>0</v>
      </c>
      <c r="Q83" s="260">
        <f>IF(AND(ISNUMBER(Q81),ISNUMBER(Q174)),IF(ABS(Q81-Q174)&lt;=0.15,0,ROUND(Q81-Q174,1)),"")</f>
        <v>0</v>
      </c>
      <c r="R83" s="260">
        <f>IF(AND(ISNUMBER(R81),ISNUMBER(R174)),IF(ABS(R81-R174)&lt;=0.15,0,ROUND(R81-R174,1)),"")</f>
        <v>0</v>
      </c>
      <c r="S83" s="260">
        <f>IF(AND(ISNUMBER(S81),ISNUMBER(S174)),IF(ABS(S81-S174)&lt;=0.15,0,ROUND(S81-S174,1)),"")</f>
        <v>0</v>
      </c>
      <c r="T83" s="260">
        <f>IF(AND(ISNUMBER(T81),ISNUMBER(T174)),IF(ABS(T81-T174)&lt;=0.15,0,ROUND(T81-T174,1)),"")</f>
        <v>0</v>
      </c>
      <c r="U83" s="260">
        <f>IF(AND(ISNUMBER(U81),ISNUMBER(U174)),IF(ABS(U81-U174)&lt;=0.15,0,ROUND(U81-U174,1)),"")</f>
        <v>0</v>
      </c>
      <c r="V83" s="260">
        <f>IF(AND(ISNUMBER(V81),ISNUMBER(V174)),IF(ABS(V81-V174)&lt;=0.15,0,ROUND(V81-V174,1)),"")</f>
        <v>0</v>
      </c>
      <c r="W83" s="260">
        <f>IF(AND(ISNUMBER(W81),ISNUMBER(W174)),IF(ABS(W81-W174)&lt;=0.15,0,ROUND(W81-W174,1)),"")</f>
        <v>0</v>
      </c>
      <c r="X83" s="260">
        <f>IF(AND(ISNUMBER(X81),ISNUMBER(X174)),IF(ABS(X81-X174)&lt;=0.15,0,ROUND(X81-X174,1)),"")</f>
        <v>0</v>
      </c>
      <c r="Y83" s="260">
        <f>IF(AND(ISNUMBER(Y81),ISNUMBER(Y174)),IF(ABS(Y81-Y174)&lt;=0.15,0,ROUND(Y81-Y174,1)),"")</f>
        <v>0</v>
      </c>
      <c r="Z83" s="260">
        <f>IF(AND(ISNUMBER(Z81),ISNUMBER(Z174)),IF(ABS(Z81-Z174)&lt;=0.15,0,ROUND(Z81-Z174,1)),"")</f>
        <v>0</v>
      </c>
      <c r="AA83" s="260">
        <f>IF(AND(ISNUMBER(AA81),ISNUMBER(AA174)),IF(ABS(AA81-AA174)&lt;=0.15,0,ROUND(AA81-AA174,1)),"")</f>
        <v>0</v>
      </c>
      <c r="AB83" s="260">
        <f>IF(AND(ISNUMBER(AB81),ISNUMBER(AB174)),IF(ABS(AB81-AB174)&lt;=0.15,0,ROUND(AB81-AB174,1)),"")</f>
        <v>0</v>
      </c>
      <c r="AC83" s="260">
        <f>IF(AND(ISNUMBER(AC81),ISNUMBER(AC174)),IF(ABS(AC81-AC174)&lt;=0.15,0,ROUND(AC81-AC174,1)),"")</f>
        <v>0</v>
      </c>
      <c r="AD83" s="260">
        <f>IF(AND(ISNUMBER(AD81),ISNUMBER(AD174)),IF(ABS(AD81-AD174)&lt;=0.15,0,ROUND(AD81-AD174,1)),"")</f>
        <v>0</v>
      </c>
      <c r="AE83" s="260">
        <f>IF(AND(ISNUMBER(AE81),ISNUMBER(AE174)),IF(ABS(AE81-AE174)&lt;=0.6,0,ROUND(AE81-AE174,1)),"")</f>
        <v>0</v>
      </c>
      <c r="AF83" s="260">
        <f>IF(AND(ISNUMBER(AF81),ISNUMBER(AF174)),IF(ABS(AF81-AF174)&lt;=0.6,0,ROUND(AF81-AF174,1)),"")</f>
        <v>0</v>
      </c>
      <c r="AG83" s="260">
        <f>IF(AND(ISNUMBER(AG81),ISNUMBER(AG174)),IF(ABS(AG81-AG174)&lt;=0.6,0,ROUND(AG81-AG174,1)),"")</f>
        <v>0</v>
      </c>
      <c r="AH83" s="260">
        <f>IF(AND(ISNUMBER(AH81),ISNUMBER(AH174)),IF(ABS(AH81-AH174)&lt;=0.6,0,ROUND(AH81-AH174,1)),"")</f>
        <v>0</v>
      </c>
      <c r="AI83" s="260">
        <f>IF(AND(ISNUMBER(AI81),ISNUMBER(AI174)),IF(ABS(AI81-AI174)&lt;=0.6,0,ROUND(AI81-AI174,1)),"")</f>
        <v>0</v>
      </c>
      <c r="AJ83" s="260">
        <f>IF(AND(ISNUMBER(AJ81),ISNUMBER(AJ174)),IF(ABS(AJ81-AJ174)&lt;=0.6,0,ROUND(AJ81-AJ174,1)),"")</f>
        <v>0</v>
      </c>
      <c r="AK83" s="260">
        <f>IF(AND(ISNUMBER(AK81),ISNUMBER(AK174)),IF(ABS(AK81-AK174)&lt;=0.6,0,ROUND(AK81-AK174,1)),"")</f>
        <v>0</v>
      </c>
      <c r="AL83" s="260">
        <f>IF(AND(ISNUMBER(AL81),ISNUMBER(AL174)),IF(ABS(AL81-AL174)&lt;=0.6,0,ROUND(AL81-AL174,1)),"")</f>
        <v>0</v>
      </c>
      <c r="AM83" s="286">
        <f>IF(AND(ISNUMBER(AM81),ISNUMBER(AM174)),IF(ABS(AM81-AM174)&lt;=0.6,0,ROUND(AM81-AM174,1)),"")</f>
        <v>0</v>
      </c>
      <c r="AN83" s="286">
        <f>IF(AND(ISNUMBER(AN81),ISNUMBER(AN174)),IF(ABS(AN81-AN174)&lt;=0.6,0,ROUND(AN81-AN174,1)),"")</f>
        <v>0</v>
      </c>
      <c r="AO83" s="286">
        <f>IF(AND(ISNUMBER(AO81),ISNUMBER(AO174)),IF(ABS(AO81-AO174)&lt;=0.6,0,ROUND(AO81-AO174,1)),"")</f>
        <v>0</v>
      </c>
      <c r="AP83" s="286">
        <f>IF(AND(ISNUMBER(AP81),ISNUMBER(AP174)),IF(ABS(AP81-AP174)&lt;=0.6,0,ROUND(AP81-AP174,1)),"")</f>
        <v>0</v>
      </c>
      <c r="AQ83" s="286">
        <f>IF(AND(ISNUMBER(AQ81),ISNUMBER(AQ174)),IF(ABS(AQ81-AQ174)&lt;=0.6,0,ROUND(AQ81-AQ174,1)),"")</f>
        <v>0</v>
      </c>
      <c r="AR83" s="286">
        <f>IF(AND(ISNUMBER(AR81),ISNUMBER(AR174)),IF(ABS(AR81-AR174)&lt;=0.6,0,ROUND(AR81-AR174,1)),"")</f>
        <v>0</v>
      </c>
      <c r="AS83" s="286">
        <f>IF(AND(ISNUMBER(AS81),ISNUMBER(AS174)),IF(ABS(AS81-AS174)&lt;=0.6,0,ROUND(AS81-AS174,1)),"")</f>
        <v>0</v>
      </c>
      <c r="AT83" s="286">
        <f>IF(AND(ISNUMBER(AT81),ISNUMBER(AT174)),IF(ABS(AT81-AT174)&lt;=0.6,0,ROUND(AT81-AT174,1)),"")</f>
        <v>0</v>
      </c>
      <c r="AU83" s="153" t="n"/>
    </row>
    <row r="84" ht="15" customHeight="1" s="251">
      <c r="B84" s="156" t="inlineStr">
        <is>
          <t xml:space="preserve">  Memo: FY27 revenue guidance (scenario end-point; legacy basis, excl. Ultra — assumption)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153" t="n"/>
      <c r="AN84" s="153" t="n"/>
      <c r="AO84" s="153" t="n"/>
      <c r="AP84" s="286">
        <f>CHOOSE(MATCH($AU$2,{"Bull","Base","Bear"},0),$BD$12,$BE$12,$BF$12)</f>
        <v>11450</v>
      </c>
      <c r="AQ84" s="153" t="n"/>
      <c r="AR84" s="153" t="n"/>
      <c r="AS84" s="153" t="n"/>
      <c r="AT84" s="153" t="n"/>
      <c r="AU84" s="153" t="inlineStr">
        <is>
          <t>Company FY27 revenue guidance $11.2–11.7bn (22-May-2026; reiterated 24-Jul-2026). The releases do not say whether the FY27 guidance includes Ultra Mission Solutions. The guidance was issued on 22-May-2026, before the 19-Jun-2026 agreement, and reiterated unchanged on 24-Jul-2026, before the 24-Aug-2026 close. The model therefore treats it as excluding Ultra (assumption) and calibrates the legacy business, with Ultra added in its own block. Defy Security (closed 6-Apr-2026, within Q1 actuals) is inside the guidance and the Q1 y/y trend.</t>
        </is>
      </c>
    </row>
    <row r="85" ht="15" customHeight="1" s="251">
      <c r="B85" s="25" t="inlineStr">
        <is>
          <t xml:space="preserve">  Legacy revenue before calibration (Q2–Q4/27E helper)</t>
        </is>
      </c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  <c r="AD85" s="34" t="n"/>
      <c r="AE85" s="34" t="n"/>
      <c r="AF85" s="34" t="n"/>
      <c r="AG85" s="34" t="n"/>
      <c r="AH85" s="34" t="n"/>
      <c r="AI85" s="34" t="n"/>
      <c r="AJ85" s="34" t="n"/>
      <c r="AK85" s="34" t="n"/>
      <c r="AL85" s="34" t="n"/>
      <c r="AM85" s="254">
        <f>AH11*(1+AM13)+AH16*(1+AM18)</f>
        <v>2782.54189048488</v>
      </c>
      <c r="AN85" s="254">
        <f>AI11*(1+AN13)+AI16*(1+AN18)</f>
        <v>2525.72228295386</v>
      </c>
      <c r="AO85" s="254">
        <f>AJ11*(1+AO13)+AJ16*(1+AO18)</f>
        <v>2684.90061578095</v>
      </c>
      <c r="AP85" s="35" t="n"/>
      <c r="AQ85" s="35" t="n"/>
      <c r="AR85" s="35" t="n"/>
      <c r="AS85" s="35" t="n"/>
      <c r="AT85" s="35" t="n"/>
      <c r="AU85" s="19" t="n"/>
    </row>
    <row r="86" ht="15" customHeight="1" s="251">
      <c r="B86" s="25" t="inlineStr">
        <is>
          <t xml:space="preserve">  Revenue sensitivity to +1.00 of growth (Q2–Q4/27E helper)</t>
        </is>
      </c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n"/>
      <c r="AD86" s="34" t="n"/>
      <c r="AE86" s="34" t="n"/>
      <c r="AF86" s="34" t="n"/>
      <c r="AG86" s="34" t="n"/>
      <c r="AH86" s="34" t="n"/>
      <c r="AI86" s="34" t="n"/>
      <c r="AJ86" s="34" t="n"/>
      <c r="AK86" s="34" t="n"/>
      <c r="AL86" s="34" t="n"/>
      <c r="AM86" s="254">
        <f>AH11+AH16</f>
        <v>2890</v>
      </c>
      <c r="AN86" s="254">
        <f>AI11+AI16</f>
        <v>2620</v>
      </c>
      <c r="AO86" s="254">
        <f>AJ11+AJ16</f>
        <v>2783</v>
      </c>
      <c r="AP86" s="35" t="n"/>
      <c r="AQ86" s="35" t="n"/>
      <c r="AR86" s="35" t="n"/>
      <c r="AS86" s="35" t="n"/>
      <c r="AT86" s="35" t="n"/>
      <c r="AU86" s="19" t="n"/>
    </row>
    <row r="87" ht="15" customHeight="1" s="251">
      <c r="B87" s="25" t="inlineStr">
        <is>
          <t xml:space="preserve">  Guidance calibration: Δ y/y growth applied to both customer types (Q2–Q4/27E)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256">
        <f>(AP84-AL74-((AM85+AN85+AO85)))/((AM86+AN86+AO86))</f>
        <v>0.079203570575221</v>
      </c>
      <c r="AN87" s="256">
        <f>$AM$87</f>
        <v>0.079203570575221</v>
      </c>
      <c r="AO87" s="256">
        <f>$AM$87</f>
        <v>0.079203570575221</v>
      </c>
      <c r="AP87" s="24" t="n"/>
      <c r="AQ87" s="46" t="n"/>
      <c r="AR87" s="46" t="n"/>
      <c r="AS87" s="46" t="n"/>
      <c r="AT87" s="46" t="n"/>
      <c r="AU87" s="19" t="inlineStr">
        <is>
          <t>Solves the uniform growth shift (vs Q1/27 y/y rates) so that FY27 legacy revenue = the guidance end-point for the active scenario (closed form; no circularity).</t>
        </is>
      </c>
    </row>
    <row r="88" collapsed="1" ht="15" customHeight="1" s="251">
      <c r="B88" s="57" t="inlineStr">
        <is>
          <t xml:space="preserve">  Check: FY27 legacy revenue vs guidance end-point (should be 0; ±0.15, ±0.6 from Q4 FY25)</t>
        </is>
      </c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153" t="n"/>
      <c r="AN88" s="153" t="n"/>
      <c r="AO88" s="153" t="n"/>
      <c r="AP88" s="286">
        <f>ROUND(AP74-AP84,1)</f>
        <v>0</v>
      </c>
      <c r="AQ88" s="153" t="n"/>
      <c r="AR88" s="153" t="n"/>
      <c r="AS88" s="153" t="n"/>
      <c r="AT88" s="153" t="n"/>
      <c r="AU88" s="153" t="n"/>
    </row>
    <row r="89" ht="15" customHeight="1" s="251">
      <c r="B89" s="156" t="inlineStr">
        <is>
          <t xml:space="preserve">  Memo: FY27 adjusted EBITDA guidance (scenario end-point; legacy basis)</t>
        </is>
      </c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 t="n"/>
      <c r="AF89" s="34" t="n"/>
      <c r="AG89" s="34" t="n"/>
      <c r="AH89" s="34" t="n"/>
      <c r="AI89" s="34" t="n"/>
      <c r="AJ89" s="34" t="n"/>
      <c r="AK89" s="34" t="n"/>
      <c r="AL89" s="34" t="n"/>
      <c r="AM89" s="153" t="n"/>
      <c r="AN89" s="153" t="n"/>
      <c r="AO89" s="153" t="n"/>
      <c r="AP89" s="286">
        <f>CHOOSE(MATCH($AU$2,{"Bull","Base","Bear"},0),$BD$13,$BE$13,$BF$13)</f>
        <v>1265</v>
      </c>
      <c r="AQ89" s="153" t="n"/>
      <c r="AR89" s="153" t="n"/>
      <c r="AS89" s="153" t="n"/>
      <c r="AT89" s="153" t="n"/>
      <c r="AU89" s="153" t="inlineStr">
        <is>
          <t>Company FY27 adjusted EBITDA guidance $1,240–1,290m (~11% margin on revenue). Drives the adjusted EBITDA margin calibration (legacy basis).</t>
        </is>
      </c>
    </row>
    <row r="90" ht="15" customHeight="1" s="251">
      <c r="B90" s="25" t="inlineStr">
        <is>
          <t xml:space="preserve">  Legacy adjusted EBITDA before margin calibration (Q2–Q4/27E helper)</t>
        </is>
      </c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  <c r="AA90" s="34" t="n"/>
      <c r="AB90" s="34" t="n"/>
      <c r="AC90" s="34" t="n"/>
      <c r="AD90" s="34" t="n"/>
      <c r="AE90" s="34" t="n"/>
      <c r="AF90" s="34" t="n"/>
      <c r="AG90" s="34" t="n"/>
      <c r="AH90" s="34" t="n"/>
      <c r="AI90" s="34" t="n"/>
      <c r="AJ90" s="34" t="n"/>
      <c r="AK90" s="34" t="n"/>
      <c r="AL90" s="34" t="n"/>
      <c r="AM90" s="254">
        <f>AM74*AM79</f>
        <v>376.536305382221</v>
      </c>
      <c r="AN90" s="254">
        <f>AN74*AN79</f>
        <v>332.643499235473</v>
      </c>
      <c r="AO90" s="254">
        <f>AO74*AO79</f>
        <v>360.131856317822</v>
      </c>
      <c r="AP90" s="35" t="n"/>
      <c r="AQ90" s="35" t="n"/>
      <c r="AR90" s="35" t="n"/>
      <c r="AS90" s="35" t="n"/>
      <c r="AT90" s="35" t="n"/>
      <c r="AU90" s="19" t="n"/>
    </row>
    <row r="91" ht="15" customHeight="1" s="251">
      <c r="B91" s="25" t="inlineStr">
        <is>
          <t xml:space="preserve">  Guidance calibration: Δ adjusted EBITDA margin (Q2–Q4/27E)</t>
        </is>
      </c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256">
        <f>(AP89-AL80-((AM90+AN90+AO90)))/((AM74+AN74+AO74))</f>
        <v>-0.0159897873913891</v>
      </c>
      <c r="AN91" s="256">
        <f>$AM$91</f>
        <v>-0.0159897873913891</v>
      </c>
      <c r="AO91" s="256">
        <f>$AM$91</f>
        <v>-0.0159897873913891</v>
      </c>
      <c r="AP91" s="24" t="n"/>
      <c r="AQ91" s="46" t="n"/>
      <c r="AR91" s="46" t="n"/>
      <c r="AS91" s="46" t="n"/>
      <c r="AT91" s="46" t="n"/>
      <c r="AU91" s="19" t="inlineStr">
        <is>
          <t>Solves the uniform margin shift so that FY27 legacy adjusted EBITDA = the guidance end-point for the active scenario.</t>
        </is>
      </c>
    </row>
    <row r="92" ht="15" customHeight="1" s="251">
      <c r="B92" s="57" t="inlineStr">
        <is>
          <t xml:space="preserve">  Check: FY27 legacy adjusted EBITDA vs guidance end-point (should be 0; ±0.15, ±0.6 from Q4 FY25)</t>
        </is>
      </c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153" t="n"/>
      <c r="AN92" s="153" t="n"/>
      <c r="AO92" s="153" t="n"/>
      <c r="AP92" s="286">
        <f>ROUND(AP80-AP89,1)</f>
        <v>0</v>
      </c>
      <c r="AQ92" s="153" t="n"/>
      <c r="AR92" s="153" t="n"/>
      <c r="AS92" s="153" t="n"/>
      <c r="AT92" s="153" t="n"/>
      <c r="AU92" s="153" t="n"/>
    </row>
    <row r="93" ht="15" customHeight="1" s="251">
      <c r="B93" s="156" t="inlineStr">
        <is>
          <t xml:space="preserve">  Memo: FY27 adjusted diluted EPS guidance (scenario end-point, $) — information, not forced</t>
        </is>
      </c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153" t="n"/>
      <c r="AN93" s="153" t="n"/>
      <c r="AO93" s="153" t="n"/>
      <c r="AP93" s="287">
        <f>CHOOSE(MATCH($AU$2,{"Bull","Base","Bear"},0),$BD$14,$BE$14,$BF$14)</f>
        <v>6.175</v>
      </c>
      <c r="AQ93" s="153" t="n"/>
      <c r="AR93" s="153" t="n"/>
      <c r="AS93" s="153" t="n"/>
      <c r="AT93" s="153" t="n"/>
      <c r="AU93" s="153" t="n"/>
    </row>
    <row r="94" ht="15" customHeight="1" s="251">
      <c r="B94" s="156" t="inlineStr">
        <is>
          <t xml:space="preserve">    Model FY27 adjusted EPS − guidance ($; incl. Ultra, which the guidance is assumed to exclude)</t>
        </is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153" t="n"/>
      <c r="AN94" s="153" t="n"/>
      <c r="AO94" s="153" t="n"/>
      <c r="AP94" s="287">
        <f>AP203-AP93</f>
        <v>0.229385733721053</v>
      </c>
      <c r="AQ94" s="153" t="n"/>
      <c r="AR94" s="153" t="n"/>
      <c r="AS94" s="153" t="n"/>
      <c r="AT94" s="153" t="n"/>
      <c r="AU94" s="153" t="n"/>
    </row>
    <row r="95" ht="15" customHeight="1" s="251">
      <c r="B95" s="156" t="inlineStr">
        <is>
          <t xml:space="preserve">  Memo: FY27 free cash flow guidance (scenario end-point) — solved via payables &amp; accrued % (working-capital block)</t>
        </is>
      </c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  <c r="AA95" s="34" t="n"/>
      <c r="AB95" s="34" t="n"/>
      <c r="AC95" s="34" t="n"/>
      <c r="AD95" s="34" t="n"/>
      <c r="AE95" s="34" t="n"/>
      <c r="AF95" s="34" t="n"/>
      <c r="AG95" s="34" t="n"/>
      <c r="AH95" s="34" t="n"/>
      <c r="AI95" s="34" t="n"/>
      <c r="AJ95" s="34" t="n"/>
      <c r="AK95" s="34" t="n"/>
      <c r="AL95" s="34" t="n"/>
      <c r="AM95" s="153" t="n"/>
      <c r="AN95" s="153" t="n"/>
      <c r="AO95" s="153" t="n"/>
      <c r="AP95" s="286">
        <f>CHOOSE(MATCH($AU$2,{"Bull","Base","Bear"},0),$BD$15,$BE$15,$BF$15)</f>
        <v>875</v>
      </c>
      <c r="AQ95" s="153" t="n"/>
      <c r="AR95" s="153" t="n"/>
      <c r="AS95" s="153" t="n"/>
      <c r="AT95" s="153" t="n"/>
      <c r="AU95" s="153" t="n"/>
    </row>
    <row r="96" ht="15" customHeight="1" s="251">
      <c r="B96" s="156" t="inlineStr">
        <is>
          <t xml:space="preserve">    Model FY27 diluted shares − guidance mid-point (119m)</t>
        </is>
      </c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35" t="n"/>
      <c r="AN96" s="35" t="n"/>
      <c r="AO96" s="35" t="n"/>
      <c r="AP96" s="254">
        <f>AP146-119</f>
        <v>0.899395499999997</v>
      </c>
      <c r="AQ96" s="35" t="n"/>
      <c r="AR96" s="35" t="n"/>
      <c r="AS96" s="35" t="n"/>
      <c r="AT96" s="35" t="n"/>
      <c r="AU96" s="153" t="n"/>
    </row>
    <row r="97" ht="15" customHeight="1" s="251">
      <c r="BC97" s="11" t="n"/>
      <c r="BD97" s="12" t="n"/>
      <c r="BE97" s="12" t="n"/>
      <c r="BF97" s="12" t="n"/>
      <c r="BG97" s="13" t="n"/>
    </row>
    <row r="98" ht="15" customHeight="1" s="251">
      <c r="B98" s="14" t="inlineStr">
        <is>
          <t>Cost drivers, D&amp;A &amp; adjusting items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5" t="inlineStr">
        <is>
          <t>COST DRIVERS — inputs that drive forecast cost lines (Q2–Q4/27E: point estimates / drift; 2028E+: % of revenue or schedules)</t>
        </is>
      </c>
    </row>
    <row r="99" ht="15" customHeight="1" s="251">
      <c r="B99" s="25" t="inlineStr">
        <is>
          <t xml:space="preserve">  Billable expenses % of revenue</t>
        </is>
      </c>
      <c r="C99" s="215">
        <f>IF(AND(ISNUMBER(C122),ISNUMBER(C120)),IFERROR(C122/C120,""),"")</f>
        <v>0.263315343446856</v>
      </c>
      <c r="D99" s="215">
        <f>IF(AND(ISNUMBER(D122),ISNUMBER(D120)),IFERROR(D122/D120,""),"")</f>
        <v>0.266164344616823</v>
      </c>
      <c r="E99" s="215">
        <f>IF(AND(ISNUMBER(E122),ISNUMBER(E120)),IFERROR(E122/E120,""),"")</f>
        <v>0.2714360888628</v>
      </c>
      <c r="F99" s="215">
        <f>IF(AND(ISNUMBER(F122),ISNUMBER(F120)),IFERROR(F122/F120,""),"")</f>
        <v>0.266651816098143</v>
      </c>
      <c r="G99" s="215">
        <f>IF(AND(ISNUMBER(G122),ISNUMBER(G120)),IFERROR(G122/G120,""),"")</f>
        <v>0.279903132560254</v>
      </c>
      <c r="H99" s="215">
        <f>IF(AND(ISNUMBER(H122),ISNUMBER(H120)),IFERROR(H122/H120,""),"")</f>
        <v>0.301686995329657</v>
      </c>
      <c r="I99" s="215">
        <f>IF(AND(ISNUMBER(I122),ISNUMBER(I120)),IFERROR(I122/I120,""),"")</f>
        <v>0.301580740824514</v>
      </c>
      <c r="J99" s="215">
        <f>IF(AND(ISNUMBER(J122),ISNUMBER(J120)),IFERROR(J122/J120,""),"")</f>
        <v>0.299023409327842</v>
      </c>
      <c r="K99" s="215">
        <f>IF(AND(ISNUMBER(K122),ISNUMBER(K120)),IFERROR(K122/K120,""),"")</f>
        <v>0.307939705575186</v>
      </c>
      <c r="L99" s="215">
        <f>IF(AND(ISNUMBER(L122),ISNUMBER(L120)),IFERROR(L122/L120,""),"")</f>
        <v>0.295954491561074</v>
      </c>
      <c r="M99" s="215">
        <f>IF(AND(ISNUMBER(M122),ISNUMBER(M120)),IFERROR(M122/M120,""),"")</f>
        <v>0.279299429983721</v>
      </c>
      <c r="N99" s="215">
        <f>IF(AND(ISNUMBER(N122),ISNUMBER(N120)),IFERROR(N122/N120,""),"")</f>
        <v>0.303945132993802</v>
      </c>
      <c r="O99" s="215">
        <f>IF(AND(ISNUMBER(O122),ISNUMBER(O120)),IFERROR(O122/O120,""),"")</f>
        <v>0.306103855170104</v>
      </c>
      <c r="P99" s="215">
        <f>IF(AND(ISNUMBER(P122),ISNUMBER(P120)),IFERROR(P122/P120,""),"")</f>
        <v>0.293532480577067</v>
      </c>
      <c r="Q99" s="215">
        <f>IF(AND(ISNUMBER(Q122),ISNUMBER(Q120)),IFERROR(Q122/Q120,""),"")</f>
        <v>0.295821586140105</v>
      </c>
      <c r="R99" s="215">
        <f>IF(AND(ISNUMBER(R122),ISNUMBER(R120)),IFERROR(R122/R120,""),"")</f>
        <v>0.299727062588905</v>
      </c>
      <c r="S99" s="215">
        <f>IF(AND(ISNUMBER(S122),ISNUMBER(S120)),IFERROR(S122/S120,""),"")</f>
        <v>0.297933079771168</v>
      </c>
      <c r="T99" s="215">
        <f>IF(AND(ISNUMBER(T122),ISNUMBER(T120)),IFERROR(T122/T120,""),"")</f>
        <v>0.312034655000233</v>
      </c>
      <c r="U99" s="215">
        <f>IF(AND(ISNUMBER(U122),ISNUMBER(U120)),IFERROR(U122/U120,""),"")</f>
        <v>0.303758618578114</v>
      </c>
      <c r="V99" s="215">
        <f>IF(AND(ISNUMBER(V122),ISNUMBER(V120)),IFERROR(V122/V120,""),"")</f>
        <v>0.303367966275948</v>
      </c>
      <c r="W99" s="215">
        <f>IF(AND(ISNUMBER(W122),ISNUMBER(W120)),IFERROR(W122/W120,""),"")</f>
        <v>0.306011785332452</v>
      </c>
      <c r="X99" s="215">
        <f>IF(AND(ISNUMBER(X122),ISNUMBER(X120)),IFERROR(X122/X120,""),"")</f>
        <v>0.309340122312644</v>
      </c>
      <c r="Y99" s="215">
        <f>IF(AND(ISNUMBER(Y122),ISNUMBER(Y120)),IFERROR(Y122/Y120,""),"")</f>
        <v>0.311267681816608</v>
      </c>
      <c r="Z99" s="215">
        <f>IF(AND(ISNUMBER(Z122),ISNUMBER(Z120)),IFERROR(Z122/Z120,""),"")</f>
        <v>0.304831584291569</v>
      </c>
      <c r="AA99" s="215">
        <f>IF(AND(ISNUMBER(AA122),ISNUMBER(AA120)),IFERROR(AA122/AA120,""),"")</f>
        <v>0.307804165412981</v>
      </c>
      <c r="AB99" s="215">
        <f>IF(AND(ISNUMBER(AB122),ISNUMBER(AB120)),IFERROR(AB122/AB120,""),"")</f>
        <v>0.321225767787512</v>
      </c>
      <c r="AC99" s="215">
        <f>IF(AND(ISNUMBER(AC122),ISNUMBER(AC120)),IFERROR(AC122/AC120,""),"")</f>
        <v>0.307661552015551</v>
      </c>
      <c r="AD99" s="215">
        <f>IF(AND(ISNUMBER(AD122),ISNUMBER(AD120)),IFERROR(AD122/AD120,""),"")</f>
        <v>0.321725358992729</v>
      </c>
      <c r="AE99" s="215">
        <f>IF(AND(ISNUMBER(AE122),ISNUMBER(AE120)),IFERROR(AE122/AE120,""),"")</f>
        <v>0.312037659717552</v>
      </c>
      <c r="AF99" s="215">
        <f>IF(AND(ISNUMBER(AF122),ISNUMBER(AF120)),IFERROR(AF122/AF120,""),"")</f>
        <v>0.315525876460768</v>
      </c>
      <c r="AG99" s="215">
        <f>IF(AND(ISNUMBER(AG122),ISNUMBER(AG120)),IFERROR(AG122/AG120,""),"")</f>
        <v>0.301299589603283</v>
      </c>
      <c r="AH99" s="215">
        <f>IF(AND(ISNUMBER(AH122),ISNUMBER(AH120)),IFERROR(AH122/AH120,""),"")</f>
        <v>0.317647058823529</v>
      </c>
      <c r="AI99" s="215">
        <f>IF(AND(ISNUMBER(AI122),ISNUMBER(AI120)),IFERROR(AI122/AI120,""),"")</f>
        <v>0.295419847328244</v>
      </c>
      <c r="AJ99" s="215">
        <f>IF(AND(ISNUMBER(AJ122),ISNUMBER(AJ120)),IFERROR(AJ122/AJ120,""),"")</f>
        <v>0.315127560186849</v>
      </c>
      <c r="AK99" s="215">
        <f>IF(AND(ISNUMBER(AK122),ISNUMBER(AK120)),IFERROR(AK122/AK120,""),"")</f>
        <v>0.307568868681466</v>
      </c>
      <c r="AL99" s="215">
        <f>IF(AND(ISNUMBER(AL122),ISNUMBER(AL120)),IFERROR(AL122/AL120,""),"")</f>
        <v>0.298214285714286</v>
      </c>
      <c r="AM99" s="256">
        <f>AH99+IFERROR(AL99-AG99,0)</f>
        <v>0.314561754934532</v>
      </c>
      <c r="AN99" s="256">
        <f>AI99+IFERROR(AL99-AG99,0)</f>
        <v>0.292334543439247</v>
      </c>
      <c r="AO99" s="256">
        <f>AJ99+IFERROR(AL99-AG99,0)</f>
        <v>0.312042256297851</v>
      </c>
      <c r="AP99" s="256">
        <f>IF(AND(ISNUMBER(AP122),ISNUMBER(AP120)),IFERROR(AP122/AP120,""),"")</f>
        <v>0.304616192243149</v>
      </c>
      <c r="AQ99" s="264" t="n">
        <v>0.305</v>
      </c>
      <c r="AR99" s="264" t="n">
        <v>0.305</v>
      </c>
      <c r="AS99" s="264" t="n">
        <v>0.305</v>
      </c>
      <c r="AT99" s="264" t="n">
        <v>0.305</v>
      </c>
      <c r="AU99" s="153" t="inlineStr">
        <is>
          <t>Subcontractor, travel and other direct non-labor costs (pass-through, low margin). Q2–Q4/27E: prior-year quarter + Q1/27 y/y drift; 2028E+ input.</t>
        </is>
      </c>
      <c r="AW99" s="37">
        <f>IFERROR(AVERAGE(AP99,AQ99,AR99,AS99,AT99),"n/m")</f>
        <v>0.30492323844863</v>
      </c>
      <c r="AX99" s="37">
        <f>IFERROR(AVERAGE(Q99,V99,AA99,AF99,AK99),"n/m")</f>
        <v>0.306017692594254</v>
      </c>
      <c r="AY99" s="37">
        <f>IFERROR(AVERAGE(H99,I99,J99,K99,L99,Q99,V99,AA99,AF99,AK99),"n/m")</f>
        <v>0.303627380558954</v>
      </c>
      <c r="AZ99" s="37">
        <f>IFERROR(AVERAGE(C99,D99,E99,F99,G99,H99,I99,J99,K99,L99,Q99,V99,AA99,AF99,AK99),"n/m")</f>
        <v>0.292249635411628</v>
      </c>
    </row>
    <row r="100" ht="15" customHeight="1" s="251">
      <c r="B100" s="25" t="inlineStr">
        <is>
          <t xml:space="preserve">  Cost of revenue (direct labor &amp; related) % of revenue</t>
        </is>
      </c>
      <c r="C100" s="215">
        <f>IF(AND(ISNUMBER(C121),ISNUMBER(C120)),IFERROR(C121/C120,""),"")</f>
        <v>0.500813931142347</v>
      </c>
      <c r="D100" s="215">
        <f>IF(AND(ISNUMBER(D121),ISNUMBER(D120)),IFERROR(D121/D120,""),"")</f>
        <v>0.498647200384713</v>
      </c>
      <c r="E100" s="215">
        <f>IF(AND(ISNUMBER(E121),ISNUMBER(E120)),IFERROR(E121/E120,""),"")</f>
        <v>0.495759298796264</v>
      </c>
      <c r="F100" s="215">
        <f>IF(AND(ISNUMBER(F121),ISNUMBER(F120)),IFERROR(F121/F120,""),"")</f>
        <v>0.491746369983905</v>
      </c>
      <c r="G100" s="215">
        <f>IF(AND(ISNUMBER(G121),ISNUMBER(G120)),IFERROR(G121/G120,""),"")</f>
        <v>0.477275443241977</v>
      </c>
      <c r="H100" s="215">
        <f>IF(AND(ISNUMBER(H121),ISNUMBER(H120)),IFERROR(H121/H120,""),"")</f>
        <v>0.463792261026511</v>
      </c>
      <c r="I100" s="215">
        <f>IF(AND(ISNUMBER(I121),ISNUMBER(I120)),IFERROR(I121/I120,""),"")</f>
        <v>0.464544926782929</v>
      </c>
      <c r="J100" s="215">
        <f>IF(AND(ISNUMBER(J121),ISNUMBER(J120)),IFERROR(J121/J120,""),"")</f>
        <v>0.462477459477029</v>
      </c>
      <c r="K100" s="215">
        <f>IF(AND(ISNUMBER(K121),ISNUMBER(K120)),IFERROR(K121/K120,""),"")</f>
        <v>0.452740083825473</v>
      </c>
      <c r="L100" s="215">
        <f>IF(AND(ISNUMBER(L121),ISNUMBER(L120)),IFERROR(L121/L120,""),"")</f>
        <v>0.465397487548572</v>
      </c>
      <c r="M100" s="215">
        <f>IF(AND(ISNUMBER(M121),ISNUMBER(M120)),IFERROR(M121/M120,""),"")</f>
        <v>0.484005558387706</v>
      </c>
      <c r="N100" s="215">
        <f>IF(AND(ISNUMBER(N121),ISNUMBER(N120)),IFERROR(N121/N120,""),"")</f>
        <v>0.44998665741074</v>
      </c>
      <c r="O100" s="215">
        <f>IF(AND(ISNUMBER(O121),ISNUMBER(O120)),IFERROR(O121/O120,""),"")</f>
        <v>0.457798002482123</v>
      </c>
      <c r="P100" s="215">
        <f>IF(AND(ISNUMBER(P121),ISNUMBER(P120)),IFERROR(P121/P120,""),"")</f>
        <v>0.473432537590323</v>
      </c>
      <c r="Q100" s="215">
        <f>IF(AND(ISNUMBER(Q121),ISNUMBER(Q120)),IFERROR(Q121/Q120,""),"")</f>
        <v>0.466255604576922</v>
      </c>
      <c r="R100" s="215">
        <f>IF(AND(ISNUMBER(R121),ISNUMBER(R120)),IFERROR(R121/R120,""),"")</f>
        <v>0.477850729018492</v>
      </c>
      <c r="S100" s="215">
        <f>IF(AND(ISNUMBER(S121),ISNUMBER(S120)),IFERROR(S121/S120,""),"")</f>
        <v>0.459965654273903</v>
      </c>
      <c r="T100" s="215">
        <f>IF(AND(ISNUMBER(T121),ISNUMBER(T120)),IFERROR(T121/T120,""),"")</f>
        <v>0.458252125315207</v>
      </c>
      <c r="U100" s="215">
        <f>IF(AND(ISNUMBER(U121),ISNUMBER(U120)),IFERROR(U121/U120,""),"")</f>
        <v>0.463950640724526</v>
      </c>
      <c r="V100" s="215">
        <f>IF(AND(ISNUMBER(V121),ISNUMBER(V120)),IFERROR(V121/V120,""),"")</f>
        <v>0.464936967209211</v>
      </c>
      <c r="W100" s="215">
        <f>IF(AND(ISNUMBER(W121),ISNUMBER(W120)),IFERROR(W121/W120,""),"")</f>
        <v>0.471622754838413</v>
      </c>
      <c r="X100" s="215">
        <f>IF(AND(ISNUMBER(X121),ISNUMBER(X120)),IFERROR(X121/X120,""),"")</f>
        <v>0.462333691635018</v>
      </c>
      <c r="Y100" s="215">
        <f>IF(AND(ISNUMBER(Y121),ISNUMBER(Y120)),IFERROR(Y121/Y120,""),"")</f>
        <v>0.45955348293506</v>
      </c>
      <c r="Z100" s="215">
        <f>IF(AND(ISNUMBER(Z121),ISNUMBER(Z120)),IFERROR(Z121/Z120,""),"")</f>
        <v>0.453025211387902</v>
      </c>
      <c r="AA100" s="215">
        <f>IF(AND(ISNUMBER(AA121),ISNUMBER(AA120)),IFERROR(AA121/AA120,""),"")</f>
        <v>0.461556837545592</v>
      </c>
      <c r="AB100" s="215">
        <f>IF(AND(ISNUMBER(AB121),ISNUMBER(AB120)),IFERROR(AB121/AB120,""),"")</f>
        <v>0.46612121774548</v>
      </c>
      <c r="AC100" s="215">
        <f>IF(AND(ISNUMBER(AC121),ISNUMBER(AC120)),IFERROR(AC121/AC120,""),"")</f>
        <v>0.432967220169426</v>
      </c>
      <c r="AD100" s="215">
        <f>IF(AND(ISNUMBER(AD121),ISNUMBER(AD120)),IFERROR(AD121/AD120,""),"")</f>
        <v>0.447558095290331</v>
      </c>
      <c r="AE100" s="215">
        <f>IF(AND(ISNUMBER(AE121),ISNUMBER(AE120)),IFERROR(AE121/AE120,""),"")</f>
        <v>0.463349024882313</v>
      </c>
      <c r="AF100" s="215">
        <f>IF(AND(ISNUMBER(AF121),ISNUMBER(AF120)),IFERROR(AF121/AF120,""),"")</f>
        <v>0.452337228714524</v>
      </c>
      <c r="AG100" s="215">
        <f>IF(AND(ISNUMBER(AG121),ISNUMBER(AG120)),IFERROR(AG121/AG120,""),"")</f>
        <v>0.486662106703146</v>
      </c>
      <c r="AH100" s="215">
        <f>IF(AND(ISNUMBER(AH121),ISNUMBER(AH120)),IFERROR(AH121/AH120,""),"")</f>
        <v>0.463667820069204</v>
      </c>
      <c r="AI100" s="215">
        <f>IF(AND(ISNUMBER(AI121),ISNUMBER(AI120)),IFERROR(AI121/AI120,""),"")</f>
        <v>0.480534351145038</v>
      </c>
      <c r="AJ100" s="215">
        <f>IF(AND(ISNUMBER(AJ121),ISNUMBER(AJ120)),IFERROR(AJ121/AJ120,""),"")</f>
        <v>0.46101329500539</v>
      </c>
      <c r="AK100" s="215">
        <f>IF(AND(ISNUMBER(AK121),ISNUMBER(AK120)),IFERROR(AK121/AK120,""),"")</f>
        <v>0.472942854595703</v>
      </c>
      <c r="AL100" s="215">
        <f>IF(AND(ISNUMBER(AL121),ISNUMBER(AL120)),IFERROR(AL121/AL120,""),"")</f>
        <v>0.477142857142857</v>
      </c>
      <c r="AM100" s="256">
        <f>AH100+IFERROR(AL100-AG100,0)</f>
        <v>0.454148570508915</v>
      </c>
      <c r="AN100" s="256">
        <f>AI100+IFERROR(AL100-AG100,0)</f>
        <v>0.471015101584749</v>
      </c>
      <c r="AO100" s="256">
        <f>AJ100+IFERROR(AL100-AG100,0)</f>
        <v>0.451494045445101</v>
      </c>
      <c r="AP100" s="256">
        <f>IF(AND(ISNUMBER(AP121),ISNUMBER(AP120)),IFERROR(AP121/AP120,""),"")</f>
        <v>0.463095136721536</v>
      </c>
      <c r="AQ100" s="264" t="n">
        <v>0.475</v>
      </c>
      <c r="AR100" s="264" t="n">
        <v>0.475</v>
      </c>
      <c r="AS100" s="264" t="n">
        <v>0.475</v>
      </c>
      <c r="AT100" s="264" t="n">
        <v>0.475</v>
      </c>
      <c r="AU100" s="153" t="inlineStr">
        <is>
          <t>G&amp;A is the implied balancing line: revenue − cost of revenue − billable expenses − D&amp;A − operating income (from the adjusted EBITDA build).</t>
        </is>
      </c>
      <c r="AW100" s="37">
        <f>IFERROR(AVERAGE(AP100,AQ100,AR100,AS100,AT100),"n/m")</f>
        <v>0.472619027344307</v>
      </c>
      <c r="AX100" s="37">
        <f>IFERROR(AVERAGE(Q100,V100,AA100,AF100,AK100),"n/m")</f>
        <v>0.46360589852839</v>
      </c>
      <c r="AY100" s="37">
        <f>IFERROR(AVERAGE(H100,I100,J100,K100,L100,Q100,V100,AA100,AF100,AK100),"n/m")</f>
        <v>0.462698171130246</v>
      </c>
      <c r="AZ100" s="37">
        <f>IFERROR(AVERAGE(C100,D100,E100,F100,G100,H100,I100,J100,K100,L100,Q100,V100,AA100,AF100,AK100),"n/m")</f>
        <v>0.472748263656778</v>
      </c>
    </row>
    <row r="101" ht="15" customHeight="1" s="251">
      <c r="B101" s="25" t="inlineStr">
        <is>
          <t xml:space="preserve">  Depreciation &amp; amortization (total, income statement)</t>
        </is>
      </c>
      <c r="C101" s="260">
        <f>IF(AND(ISNUMBER(C104),ISNUMBER(C102)),C104+C102,"")</f>
        <v>75.205</v>
      </c>
      <c r="D101" s="260">
        <f>IF(AND(ISNUMBER(D104),ISNUMBER(D102)),D104+D102,"")</f>
        <v>74.009</v>
      </c>
      <c r="E101" s="260">
        <f>IF(AND(ISNUMBER(E104),ISNUMBER(E102)),E104+E102,"")</f>
        <v>72.327</v>
      </c>
      <c r="F101" s="260">
        <f>IF(AND(ISNUMBER(F104),ISNUMBER(F102)),F104+F102,"")</f>
        <v>62.66</v>
      </c>
      <c r="G101" s="260">
        <f>IF(AND(ISNUMBER(G104),ISNUMBER(G102)),G104+G102,"")</f>
        <v>61.536</v>
      </c>
      <c r="H101" s="260">
        <f>IF(AND(ISNUMBER(H104),ISNUMBER(H102)),H104+H102,"")</f>
        <v>59.544</v>
      </c>
      <c r="I101" s="260">
        <f>IF(AND(ISNUMBER(I104),ISNUMBER(I102)),I104+I102,"")</f>
        <v>64.756</v>
      </c>
      <c r="J101" s="260">
        <f>IF(AND(ISNUMBER(J104),ISNUMBER(J102)),J104+J102,"")</f>
        <v>68.575</v>
      </c>
      <c r="K101" s="260">
        <f>IF(AND(ISNUMBER(K104),ISNUMBER(K102)),K104+K102,"")</f>
        <v>81.081</v>
      </c>
      <c r="L101" s="260">
        <f>IF(AND(ISNUMBER(L104),ISNUMBER(L102)),L104+L102,"")</f>
        <v>84.315</v>
      </c>
      <c r="M101" s="260">
        <f>IF(AND(ISNUMBER(M104),ISNUMBER(M102)),M104+M102,"")</f>
        <v>27.745</v>
      </c>
      <c r="N101" s="260">
        <f>IF(AND(ISNUMBER(N104),ISNUMBER(N102)),N104+N102,"")</f>
        <v>37.602</v>
      </c>
      <c r="O101" s="260">
        <f>IF(AND(ISNUMBER(O104),ISNUMBER(O102)),O104+O102,"")</f>
        <v>39.576</v>
      </c>
      <c r="P101" s="260">
        <f>IF(AND(ISNUMBER(P104),ISNUMBER(P102)),P104+P102,"")</f>
        <v>40.824</v>
      </c>
      <c r="Q101" s="260">
        <f>IF(AND(ISNUMBER(Q104),ISNUMBER(Q102)),Q104+Q102,"")</f>
        <v>145.747</v>
      </c>
      <c r="R101" s="260">
        <f>IF(AND(ISNUMBER(R104),ISNUMBER(R102)),R104+R102,"")</f>
        <v>40.102</v>
      </c>
      <c r="S101" s="260">
        <f>IF(AND(ISNUMBER(S104),ISNUMBER(S102)),S104+S102,"")</f>
        <v>39.052</v>
      </c>
      <c r="T101" s="260">
        <f>IF(AND(ISNUMBER(T104),ISNUMBER(T102)),T104+T102,"")</f>
        <v>42.046</v>
      </c>
      <c r="U101" s="260">
        <f>IF(AND(ISNUMBER(U104),ISNUMBER(U102)),U104+U102,"")</f>
        <v>44.284</v>
      </c>
      <c r="V101" s="260">
        <f>IF(AND(ISNUMBER(V104),ISNUMBER(V102)),V104+V102,"")</f>
        <v>165.484</v>
      </c>
      <c r="W101" s="260">
        <f>IF(AND(ISNUMBER(W104),ISNUMBER(W102)),W104+W102,"")</f>
        <v>41.847</v>
      </c>
      <c r="X101" s="260">
        <f>IF(AND(ISNUMBER(X104),ISNUMBER(X102)),X104+X102,"")</f>
        <v>40.907</v>
      </c>
      <c r="Y101" s="260">
        <f>IF(AND(ISNUMBER(Y104),ISNUMBER(Y102)),Y104+Y102,"")</f>
        <v>41.113</v>
      </c>
      <c r="Z101" s="260">
        <f>IF(AND(ISNUMBER(Z104),ISNUMBER(Z102)),Z104+Z102,"")</f>
        <v>40.335</v>
      </c>
      <c r="AA101" s="260">
        <f>IF(AND(ISNUMBER(AA104),ISNUMBER(AA102)),AA104+AA102,"")</f>
        <v>164.203</v>
      </c>
      <c r="AB101" s="260">
        <f>IF(AND(ISNUMBER(AB104),ISNUMBER(AB102)),AB104+AB102,"")</f>
        <v>41.129</v>
      </c>
      <c r="AC101" s="260">
        <f>IF(AND(ISNUMBER(AC104),ISNUMBER(AC102)),AC104+AC102,"")</f>
        <v>42.056</v>
      </c>
      <c r="AD101" s="260">
        <f>IF(AND(ISNUMBER(AD104),ISNUMBER(AD102)),AD104+AD102,"")</f>
        <v>40.156</v>
      </c>
      <c r="AE101" s="260">
        <f>IF(AND(ISNUMBER(AE104),ISNUMBER(AE102)),AE104+AE102,"")</f>
        <v>42</v>
      </c>
      <c r="AF101" s="260">
        <f>IF(AND(ISNUMBER(AF104),ISNUMBER(AF102)),AF104+AF102,"")</f>
        <v>165</v>
      </c>
      <c r="AG101" s="260">
        <f>IF(AND(ISNUMBER(AG104),ISNUMBER(AG102)),AG104+AG102,"")</f>
        <v>40</v>
      </c>
      <c r="AH101" s="260">
        <f>IF(AND(ISNUMBER(AH104),ISNUMBER(AH102)),AH104+AH102,"")</f>
        <v>41</v>
      </c>
      <c r="AI101" s="260">
        <f>IF(AND(ISNUMBER(AI104),ISNUMBER(AI102)),AI104+AI102,"")</f>
        <v>40</v>
      </c>
      <c r="AJ101" s="260">
        <f>IF(AND(ISNUMBER(AJ104),ISNUMBER(AJ102)),AJ104+AJ102,"")</f>
        <v>42</v>
      </c>
      <c r="AK101" s="260">
        <f>IF(AND(ISNUMBER(AK104),ISNUMBER(AK102)),AK104+AK102,"")</f>
        <v>163</v>
      </c>
      <c r="AL101" s="260">
        <f>IF(AND(ISNUMBER(AL104),ISNUMBER(AL102)),AL104+AL102,"")</f>
        <v>45</v>
      </c>
      <c r="AM101" s="254">
        <f>IF(AND(ISNUMBER(AM104),ISNUMBER(AM102)),AM104+AM102,"")</f>
        <v>48.0065934065934</v>
      </c>
      <c r="AN101" s="254">
        <f>IF(AND(ISNUMBER(AN104),ISNUMBER(AN102)),AN104+AN102,"")</f>
        <v>52.2</v>
      </c>
      <c r="AO101" s="254">
        <f>IF(AND(ISNUMBER(AO104),ISNUMBER(AO102)),AO104+AO102,"")</f>
        <v>52.2</v>
      </c>
      <c r="AP101" s="254">
        <f>IF(AND(ISNUMBER(AP104),ISNUMBER(AP102)),AP104+AP102,"")</f>
        <v>197.406593406593</v>
      </c>
      <c r="AQ101" s="254">
        <f>IF(AND(ISNUMBER(AQ104),ISNUMBER(AQ102)),AQ104+AQ102,"")</f>
        <v>201.58562171626</v>
      </c>
      <c r="AR101" s="254">
        <f>IF(AND(ISNUMBER(AR104),ISNUMBER(AR102)),AR104+AR102,"")</f>
        <v>206.391713331829</v>
      </c>
      <c r="AS101" s="254">
        <f>IF(AND(ISNUMBER(AS104),ISNUMBER(AS102)),AS104+AS102,"")</f>
        <v>212.591570316274</v>
      </c>
      <c r="AT101" s="254">
        <f>IF(AND(ISNUMBER(AT104),ISNUMBER(AT102)),AT104+AT102,"")</f>
        <v>221.742304528228</v>
      </c>
      <c r="AU101" s="19" t="n"/>
    </row>
    <row r="102" ht="15" customHeight="1" s="251">
      <c r="B102" s="25" t="inlineStr">
        <is>
          <t xml:space="preserve">  Acquisition amortization (adjusted out of adjusted net income / operating income where the company did so)</t>
        </is>
      </c>
      <c r="C102" s="253" t="n">
        <v>16.364</v>
      </c>
      <c r="D102" s="253" t="n">
        <v>12.51</v>
      </c>
      <c r="E102" s="253" t="n">
        <v>8.449999999999999</v>
      </c>
      <c r="F102" s="253" t="n">
        <v>4.225</v>
      </c>
      <c r="G102" s="253" t="n">
        <v>4.225</v>
      </c>
      <c r="H102" s="253" t="n">
        <v>4.225</v>
      </c>
      <c r="I102" s="253" t="n">
        <v>0</v>
      </c>
      <c r="J102" s="253" t="n">
        <v>0</v>
      </c>
      <c r="K102" s="253" t="n">
        <v>0</v>
      </c>
      <c r="L102" s="253" t="n">
        <v>0</v>
      </c>
      <c r="M102" s="253" t="n">
        <v>2.658</v>
      </c>
      <c r="N102" s="253" t="n">
        <v>11.868</v>
      </c>
      <c r="O102" s="253" t="n">
        <v>11.884</v>
      </c>
      <c r="P102" s="253" t="n">
        <v>11.885</v>
      </c>
      <c r="Q102" s="253" t="n">
        <v>38.295</v>
      </c>
      <c r="R102" s="253" t="n">
        <v>11.087</v>
      </c>
      <c r="S102" s="253" t="n">
        <v>11.087</v>
      </c>
      <c r="T102" s="253" t="n">
        <v>14.101</v>
      </c>
      <c r="U102" s="253" t="n">
        <v>15.278</v>
      </c>
      <c r="V102" s="253" t="n">
        <v>51.553</v>
      </c>
      <c r="W102" s="253" t="n">
        <v>13.108</v>
      </c>
      <c r="X102" s="253" t="n">
        <v>13.596</v>
      </c>
      <c r="Y102" s="253" t="n">
        <v>13.597</v>
      </c>
      <c r="Z102" s="253" t="n">
        <v>13.596</v>
      </c>
      <c r="AA102" s="253" t="n">
        <v>53.897</v>
      </c>
      <c r="AB102" s="253" t="n">
        <v>12.684</v>
      </c>
      <c r="AC102" s="253" t="n">
        <v>13.326</v>
      </c>
      <c r="AD102" s="253" t="n">
        <v>13.386</v>
      </c>
      <c r="AE102" s="253" t="n">
        <v>13</v>
      </c>
      <c r="AF102" s="253" t="n">
        <v>54</v>
      </c>
      <c r="AG102" s="253" t="n">
        <v>12</v>
      </c>
      <c r="AH102" s="253" t="n">
        <v>12</v>
      </c>
      <c r="AI102" s="253" t="n">
        <v>12</v>
      </c>
      <c r="AJ102" s="253" t="n">
        <v>12</v>
      </c>
      <c r="AK102" s="253" t="n">
        <v>48</v>
      </c>
      <c r="AL102" s="253" t="n">
        <v>15</v>
      </c>
      <c r="AM102" s="254">
        <f>($BE$21-AL102)/3+AM38</f>
        <v>18.0065934065934</v>
      </c>
      <c r="AN102" s="254">
        <f>($BE$21-AL102)/3+AN38</f>
        <v>22.2</v>
      </c>
      <c r="AO102" s="254">
        <f>($BE$21-AL102)/3+AO38</f>
        <v>22.2</v>
      </c>
      <c r="AP102" s="254">
        <f>SUM(AL102,AM102,AN102,AO102)</f>
        <v>77.4065934065934</v>
      </c>
      <c r="AQ102" s="254">
        <f>AQ103+AQ38+N(AQ71)</f>
        <v>82.38125</v>
      </c>
      <c r="AR102" s="254">
        <f>AR103+AR38+N(AR71)</f>
        <v>81.64375</v>
      </c>
      <c r="AS102" s="254">
        <f>AS103+AS38+N(AS71)</f>
        <v>81.50625</v>
      </c>
      <c r="AT102" s="254">
        <f>AT103+AT38+N(AT71)</f>
        <v>83.76875</v>
      </c>
      <c r="AU102" s="19" t="inlineStr">
        <is>
          <t>Carlyle-acquisition intangibles to FY2017; none adjusted FY2018–21; "significant acquisition amortization" (Liberty, EverWatch, PGSC, Defy) from FY2022. Q2–Q4/27E: FY27 point estimate (excl. Ultra) + Ultra. 2028E+: schedule + Ultra + future M&amp;A.</t>
        </is>
      </c>
    </row>
    <row r="103" ht="15" customHeight="1" s="251">
      <c r="B103" s="25" t="inlineStr">
        <is>
          <t xml:space="preserve">  Acquisition amortization schedule excl. Ultra (input; 10-K schedule ratios applied to the Q1/27 run-rate)</t>
        </is>
      </c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24" t="n"/>
      <c r="AN103" s="24" t="n"/>
      <c r="AO103" s="24" t="n"/>
      <c r="AP103" s="24" t="n"/>
      <c r="AQ103" s="262" t="n">
        <v>50.3</v>
      </c>
      <c r="AR103" s="262" t="n">
        <v>43</v>
      </c>
      <c r="AS103" s="262" t="n">
        <v>36.3</v>
      </c>
      <c r="AT103" s="262" t="n">
        <v>32</v>
      </c>
      <c r="AU103" s="19" t="inlineStr">
        <is>
          <t>FY26 10-K Note 6 (estimated annual amortization of intangible assets held at 31-Mar-2026): FY2027 $81m, FY2028 $65m, FY2029 $53m, FY2030 $42m, FY2031 $35m, thereafter $43m (total $319m). Excludes Defy Security ($86m over eight years, ~$10.75m a year) and Ultra. Model: Q1/27 acquisition amortization excl. Defy ($49.2m annualised) run off with the 10-K schedule ratios (FY28 80%, FY29 65%, FY30 52%, FY31 43% of FY27) + Defy $10.75m a year. Ultra added separately.</t>
        </is>
      </c>
    </row>
    <row r="104" ht="15" customHeight="1" s="251">
      <c r="B104" s="25" t="inlineStr">
        <is>
          <t xml:space="preserve">  Depreciation &amp; other amortization (D&amp;A − acquisition amortization adjusted out)</t>
        </is>
      </c>
      <c r="C104" s="260">
        <f>IF(ISNUMBER(C124),C124-C102,"")</f>
        <v>58.841</v>
      </c>
      <c r="D104" s="260">
        <f>IF(ISNUMBER(D124),D124-D102,"")</f>
        <v>61.499</v>
      </c>
      <c r="E104" s="260">
        <f>IF(ISNUMBER(E124),E124-E102,"")</f>
        <v>63.877</v>
      </c>
      <c r="F104" s="260">
        <f>IF(ISNUMBER(F124),F124-F102,"")</f>
        <v>58.435</v>
      </c>
      <c r="G104" s="260">
        <f>IF(ISNUMBER(G124),G124-G102,"")</f>
        <v>57.311</v>
      </c>
      <c r="H104" s="260">
        <f>IF(ISNUMBER(H124),H124-H102,"")</f>
        <v>55.319</v>
      </c>
      <c r="I104" s="260">
        <f>IF(ISNUMBER(I124),I124-I102,"")</f>
        <v>64.756</v>
      </c>
      <c r="J104" s="260">
        <f>IF(ISNUMBER(J124),J124-J102,"")</f>
        <v>68.575</v>
      </c>
      <c r="K104" s="260">
        <f>IF(ISNUMBER(K124),K124-K102,"")</f>
        <v>81.081</v>
      </c>
      <c r="L104" s="260">
        <f>IF(ISNUMBER(L124),L124-L102,"")</f>
        <v>84.315</v>
      </c>
      <c r="M104" s="260">
        <f>IF(ISNUMBER(M124),M124-M102,"")</f>
        <v>25.087</v>
      </c>
      <c r="N104" s="260">
        <f>IF(ISNUMBER(N124),N124-N102,"")</f>
        <v>25.734</v>
      </c>
      <c r="O104" s="260">
        <f>IF(ISNUMBER(O124),O124-O102,"")</f>
        <v>27.692</v>
      </c>
      <c r="P104" s="260">
        <f>IF(ISNUMBER(P124),P124-P102,"")</f>
        <v>28.939</v>
      </c>
      <c r="Q104" s="260">
        <f>IF(ISNUMBER(Q124),Q124-Q102,"")</f>
        <v>107.452</v>
      </c>
      <c r="R104" s="260">
        <f>IF(ISNUMBER(R124),R124-R102,"")</f>
        <v>29.015</v>
      </c>
      <c r="S104" s="260">
        <f>IF(ISNUMBER(S124),S124-S102,"")</f>
        <v>27.965</v>
      </c>
      <c r="T104" s="260">
        <f>IF(ISNUMBER(T124),T124-T102,"")</f>
        <v>27.945</v>
      </c>
      <c r="U104" s="260">
        <f>IF(ISNUMBER(U124),U124-U102,"")</f>
        <v>29.006</v>
      </c>
      <c r="V104" s="260">
        <f>IF(ISNUMBER(V124),V124-V102,"")</f>
        <v>113.931</v>
      </c>
      <c r="W104" s="260">
        <f>IF(ISNUMBER(W124),W124-W102,"")</f>
        <v>28.739</v>
      </c>
      <c r="X104" s="260">
        <f>IF(ISNUMBER(X124),X124-X102,"")</f>
        <v>27.311</v>
      </c>
      <c r="Y104" s="260">
        <f>IF(ISNUMBER(Y124),Y124-Y102,"")</f>
        <v>27.516</v>
      </c>
      <c r="Z104" s="260">
        <f>IF(ISNUMBER(Z124),Z124-Z102,"")</f>
        <v>26.739</v>
      </c>
      <c r="AA104" s="260">
        <f>IF(ISNUMBER(AA124),AA124-AA102,"")</f>
        <v>110.306</v>
      </c>
      <c r="AB104" s="260">
        <f>IF(ISNUMBER(AB124),AB124-AB102,"")</f>
        <v>28.445</v>
      </c>
      <c r="AC104" s="260">
        <f>IF(ISNUMBER(AC124),AC124-AC102,"")</f>
        <v>28.73</v>
      </c>
      <c r="AD104" s="260">
        <f>IF(ISNUMBER(AD124),AD124-AD102,"")</f>
        <v>26.77</v>
      </c>
      <c r="AE104" s="260">
        <f>IF(ISNUMBER(AE124),AE124-AE102,"")</f>
        <v>29</v>
      </c>
      <c r="AF104" s="260">
        <f>IF(ISNUMBER(AF124),AF124-AF102,"")</f>
        <v>111</v>
      </c>
      <c r="AG104" s="260">
        <f>IF(ISNUMBER(AG124),AG124-AG102,"")</f>
        <v>28</v>
      </c>
      <c r="AH104" s="260">
        <f>IF(ISNUMBER(AH124),AH124-AH102,"")</f>
        <v>29</v>
      </c>
      <c r="AI104" s="260">
        <f>IF(ISNUMBER(AI124),AI124-AI102,"")</f>
        <v>28</v>
      </c>
      <c r="AJ104" s="260">
        <f>IF(ISNUMBER(AJ124),AJ124-AJ102,"")</f>
        <v>30</v>
      </c>
      <c r="AK104" s="260">
        <f>IF(ISNUMBER(AK124),AK124-AK102,"")</f>
        <v>115</v>
      </c>
      <c r="AL104" s="260">
        <f>IF(ISNUMBER(AL124),AL124-AL102,"")</f>
        <v>30</v>
      </c>
      <c r="AM104" s="254">
        <f>($BE$22-AL104)/3</f>
        <v>30</v>
      </c>
      <c r="AN104" s="254">
        <f>($BE$22-AL104)/3</f>
        <v>30</v>
      </c>
      <c r="AO104" s="254">
        <f>($BE$22-AL104)/3</f>
        <v>30</v>
      </c>
      <c r="AP104" s="254">
        <f>SUM(AL104,AM104,AN104,AO104)</f>
        <v>120</v>
      </c>
      <c r="AQ104" s="254">
        <f>AQ120*AQ105</f>
        <v>119.20437171626</v>
      </c>
      <c r="AR104" s="254">
        <f>AR120*AR105</f>
        <v>124.747963331829</v>
      </c>
      <c r="AS104" s="254">
        <f>AS120*AS105</f>
        <v>131.085320316274</v>
      </c>
      <c r="AT104" s="254">
        <f>AT120*AT105</f>
        <v>137.973554528228</v>
      </c>
      <c r="AU104" s="19" t="n"/>
    </row>
    <row r="105" ht="15" customHeight="1" s="251">
      <c r="B105" s="25" t="inlineStr">
        <is>
          <t xml:space="preserve">  Depreciation &amp; other amortization % of revenue</t>
        </is>
      </c>
      <c r="C105" s="215">
        <f>IF(AND(ISNUMBER(C104),ISNUMBER(C120)),IFERROR(C104/C120,""),"")</f>
        <v>0.0100424664178735</v>
      </c>
      <c r="D105" s="215">
        <f>IF(AND(ISNUMBER(D104),ISNUMBER(D120)),IFERROR(D104/D120,""),"")</f>
        <v>0.0106805088311877</v>
      </c>
      <c r="E105" s="215">
        <f>IF(AND(ISNUMBER(E104),ISNUMBER(E120)),IFERROR(E104/E120,""),"")</f>
        <v>0.0116591676153418</v>
      </c>
      <c r="F105" s="215">
        <f>IF(AND(ISNUMBER(F104),ISNUMBER(F120)),IFERROR(F104/F120,""),"")</f>
        <v>0.0110782081493601</v>
      </c>
      <c r="G105" s="215">
        <f>IF(AND(ISNUMBER(G104),ISNUMBER(G120)),IFERROR(G104/G120,""),"")</f>
        <v>0.0106018826661596</v>
      </c>
      <c r="H105" s="215">
        <f>IF(AND(ISNUMBER(H104),ISNUMBER(H120)),IFERROR(H104/H120,""),"")</f>
        <v>0.00953071903442354</v>
      </c>
      <c r="I105" s="215">
        <f>IF(AND(ISNUMBER(I104),ISNUMBER(I120)),IFERROR(I104/I120,""),"")</f>
        <v>0.0104921487922671</v>
      </c>
      <c r="J105" s="215">
        <f>IF(AND(ISNUMBER(J104),ISNUMBER(J120)),IFERROR(J104/J120,""),"")</f>
        <v>0.0102289113261159</v>
      </c>
      <c r="K105" s="215">
        <f>IF(AND(ISNUMBER(K104),ISNUMBER(K120)),IFERROR(K104/K120,""),"")</f>
        <v>0.0108631735322336</v>
      </c>
      <c r="L105" s="215">
        <f>IF(AND(ISNUMBER(L104),ISNUMBER(L120)),IFERROR(L104/L120,""),"")</f>
        <v>0.0107285488191916</v>
      </c>
      <c r="M105" s="215">
        <f>IF(AND(ISNUMBER(M104),ISNUMBER(M120)),IFERROR(M104/M120,""),"")</f>
        <v>0.0126124522765962</v>
      </c>
      <c r="N105" s="215">
        <f>IF(AND(ISNUMBER(N104),ISNUMBER(N120)),IFERROR(N104/N120,""),"")</f>
        <v>0.0122191527408337</v>
      </c>
      <c r="O105" s="215">
        <f>IF(AND(ISNUMBER(O104),ISNUMBER(O120)),IFERROR(O104/O120,""),"")</f>
        <v>0.0136378858617497</v>
      </c>
      <c r="P105" s="215">
        <f>IF(AND(ISNUMBER(P104),ISNUMBER(P120)),IFERROR(P104/P120,""),"")</f>
        <v>0.0129303026349418</v>
      </c>
      <c r="Q105" s="215">
        <f>IF(AND(ISNUMBER(Q104),ISNUMBER(Q120)),IFERROR(Q104/Q120,""),"")</f>
        <v>0.0128474239869914</v>
      </c>
      <c r="R105" s="215">
        <f>IF(AND(ISNUMBER(R104),ISNUMBER(R120)),IFERROR(R104/R120,""),"")</f>
        <v>0.0128978485064011</v>
      </c>
      <c r="S105" s="215">
        <f>IF(AND(ISNUMBER(S104),ISNUMBER(S120)),IFERROR(S104/S120,""),"")</f>
        <v>0.012164111326086</v>
      </c>
      <c r="T105" s="215">
        <f>IF(AND(ISNUMBER(T104),ISNUMBER(T120)),IFERROR(T104/T120,""),"")</f>
        <v>0.0122723284355273</v>
      </c>
      <c r="U105" s="215">
        <f>IF(AND(ISNUMBER(U104),ISNUMBER(U120)),IFERROR(U104/U120,""),"")</f>
        <v>0.0119206283255269</v>
      </c>
      <c r="V105" s="215">
        <f>IF(AND(ISNUMBER(V104),ISNUMBER(V120)),IFERROR(V104/V120,""),"")</f>
        <v>0.0123050108160668</v>
      </c>
      <c r="W105" s="215">
        <f>IF(AND(ISNUMBER(W104),ISNUMBER(W120)),IFERROR(W104/W120,""),"")</f>
        <v>0.010826578102126</v>
      </c>
      <c r="X105" s="215">
        <f>IF(AND(ISNUMBER(X104),ISNUMBER(X120)),IFERROR(X104/X120,""),"")</f>
        <v>0.0102431025675454</v>
      </c>
      <c r="Y105" s="215">
        <f>IF(AND(ISNUMBER(Y104),ISNUMBER(Y120)),IFERROR(Y104/Y120,""),"")</f>
        <v>0.0107074438837871</v>
      </c>
      <c r="Z105" s="215">
        <f>IF(AND(ISNUMBER(Z104),ISNUMBER(Z120)),IFERROR(Z104/Z120,""),"")</f>
        <v>0.00964844639409207</v>
      </c>
      <c r="AA105" s="215">
        <f>IF(AND(ISNUMBER(AA104),ISNUMBER(AA120)),IFERROR(AA104/AA120,""),"")</f>
        <v>0.0103458146656092</v>
      </c>
      <c r="AB105" s="215">
        <f>IF(AND(ISNUMBER(AB104),ISNUMBER(AB120)),IFERROR(AB104/AB120,""),"")</f>
        <v>0.00966925997952952</v>
      </c>
      <c r="AC105" s="215">
        <f>IF(AND(ISNUMBER(AC104),ISNUMBER(AC120)),IFERROR(AC104/AC120,""),"")</f>
        <v>0.00913111105884656</v>
      </c>
      <c r="AD105" s="215">
        <f>IF(AND(ISNUMBER(AD104),ISNUMBER(AD120)),IFERROR(AD104/AD120,""),"")</f>
        <v>0.00917663916303018</v>
      </c>
      <c r="AE105" s="215">
        <f>IF(AND(ISNUMBER(AE104),ISNUMBER(AE120)),IFERROR(AE104/AE120,""),"")</f>
        <v>0.0097511768661735</v>
      </c>
      <c r="AF105" s="215">
        <f>IF(AND(ISNUMBER(AF104),ISNUMBER(AF120)),IFERROR(AF104/AF120,""),"")</f>
        <v>0.00926544240400668</v>
      </c>
      <c r="AG105" s="215">
        <f>IF(AND(ISNUMBER(AG104),ISNUMBER(AG120)),IFERROR(AG104/AG120,""),"")</f>
        <v>0.00957592339261286</v>
      </c>
      <c r="AH105" s="215">
        <f>IF(AND(ISNUMBER(AH104),ISNUMBER(AH120)),IFERROR(AH104/AH120,""),"")</f>
        <v>0.0100346020761246</v>
      </c>
      <c r="AI105" s="215">
        <f>IF(AND(ISNUMBER(AI104),ISNUMBER(AI120)),IFERROR(AI104/AI120,""),"")</f>
        <v>0.0106870229007634</v>
      </c>
      <c r="AJ105" s="215">
        <f>IF(AND(ISNUMBER(AJ104),ISNUMBER(AJ120)),IFERROR(AJ104/AJ120,""),"")</f>
        <v>0.0107797340998922</v>
      </c>
      <c r="AK105" s="215">
        <f>IF(AND(ISNUMBER(AK104),ISNUMBER(AK120)),IFERROR(AK104/AK120,""),"")</f>
        <v>0.0102522956227155</v>
      </c>
      <c r="AL105" s="215">
        <f>IF(AND(ISNUMBER(AL104),ISNUMBER(AL120)),IFERROR(AL104/AL120,""),"")</f>
        <v>0.0107142857142857</v>
      </c>
      <c r="AM105" s="256">
        <f>IF(AND(ISNUMBER(AM104),ISNUMBER(AM120)),IFERROR(AM104/AM120,""),"")</f>
        <v>0.00990023396214389</v>
      </c>
      <c r="AN105" s="256">
        <f>IF(AND(ISNUMBER(AN104),ISNUMBER(AN120)),IFERROR(AN104/AN120,""),"")</f>
        <v>0.0107982201333714</v>
      </c>
      <c r="AO105" s="256">
        <f>IF(AND(ISNUMBER(AO104),ISNUMBER(AO120)),IFERROR(AO104/AO120,""),"")</f>
        <v>0.0101683742014005</v>
      </c>
      <c r="AP105" s="256">
        <f>IF(AND(ISNUMBER(AP104),ISNUMBER(AP120)),IFERROR(AP104/AP120,""),"")</f>
        <v>0.0103817084185007</v>
      </c>
      <c r="AQ105" s="264" t="n">
        <v>0.01</v>
      </c>
      <c r="AR105" s="264" t="n">
        <v>0.01</v>
      </c>
      <c r="AS105" s="264" t="n">
        <v>0.01</v>
      </c>
      <c r="AT105" s="264" t="n">
        <v>0.01</v>
      </c>
      <c r="AU105" s="153" t="n"/>
      <c r="AW105" s="37">
        <f>IFERROR(AVERAGE(AP105,AQ105,AR105,AS105,AT105),"n/m")</f>
        <v>0.0100763416837001</v>
      </c>
      <c r="AX105" s="37">
        <f>IFERROR(AVERAGE(Q105,V105,AA105,AF105,AK105),"n/m")</f>
        <v>0.0110031974990779</v>
      </c>
      <c r="AY105" s="37">
        <f>IFERROR(AVERAGE(H105,I105,J105,K105,L105,Q105,V105,AA105,AF105,AK105),"n/m")</f>
        <v>0.0106859488999621</v>
      </c>
      <c r="AZ105" s="37">
        <f>IFERROR(AVERAGE(C105,D105,E105,F105,G105,H105,I105,J105,K105,L105,Q105,V105,AA105,AF105,AK105),"n/m")</f>
        <v>0.0107281148453029</v>
      </c>
    </row>
    <row r="106" ht="15" customHeight="1" s="251">
      <c r="B106" s="25" t="inlineStr">
        <is>
          <t xml:space="preserve">  Stock-based compensation (cash-flow statement)</t>
        </is>
      </c>
      <c r="C106" s="253" t="n">
        <v>31.263</v>
      </c>
      <c r="D106" s="253" t="n">
        <v>24.841</v>
      </c>
      <c r="E106" s="253" t="n">
        <v>20.065</v>
      </c>
      <c r="F106" s="253" t="n">
        <v>26.163</v>
      </c>
      <c r="G106" s="253" t="n">
        <v>24.992</v>
      </c>
      <c r="H106" s="253" t="n">
        <v>21.249</v>
      </c>
      <c r="I106" s="253" t="n">
        <v>23.318</v>
      </c>
      <c r="J106" s="253" t="n">
        <v>31.275</v>
      </c>
      <c r="K106" s="253" t="n">
        <v>43.29</v>
      </c>
      <c r="L106" s="253" t="n">
        <v>59.844</v>
      </c>
      <c r="M106" s="253" t="n">
        <v>12.444</v>
      </c>
      <c r="N106" s="253" t="n">
        <v>15.984</v>
      </c>
      <c r="O106" s="253" t="n">
        <v>16.759</v>
      </c>
      <c r="P106" s="253" t="n">
        <v>24.597</v>
      </c>
      <c r="Q106" s="253" t="n">
        <v>69.78400000000001</v>
      </c>
      <c r="R106" s="253" t="n">
        <v>13.696</v>
      </c>
      <c r="S106" s="253" t="n">
        <v>18.526</v>
      </c>
      <c r="T106" s="253" t="n">
        <v>18.77</v>
      </c>
      <c r="U106" s="253" t="n">
        <v>29.28</v>
      </c>
      <c r="V106" s="253" t="n">
        <v>80.27200000000001</v>
      </c>
      <c r="W106" s="253" t="n">
        <v>17.685</v>
      </c>
      <c r="X106" s="253" t="n">
        <v>19.825</v>
      </c>
      <c r="Y106" s="253" t="n">
        <v>23.767</v>
      </c>
      <c r="Z106" s="253" t="n">
        <v>33.705</v>
      </c>
      <c r="AA106" s="253" t="n">
        <v>94.982</v>
      </c>
      <c r="AB106" s="253" t="n">
        <v>19.928</v>
      </c>
      <c r="AC106" s="253" t="n">
        <v>25.784</v>
      </c>
      <c r="AD106" s="253" t="n">
        <v>25.118</v>
      </c>
      <c r="AE106" s="253" t="n">
        <v>23.17</v>
      </c>
      <c r="AF106" s="253" t="n">
        <v>94</v>
      </c>
      <c r="AG106" s="253" t="n">
        <v>19</v>
      </c>
      <c r="AH106" s="253" t="n">
        <v>17</v>
      </c>
      <c r="AI106" s="253" t="n">
        <v>16</v>
      </c>
      <c r="AJ106" s="253" t="n">
        <v>17</v>
      </c>
      <c r="AK106" s="253" t="n">
        <v>69</v>
      </c>
      <c r="AL106" s="253" t="n">
        <v>21</v>
      </c>
      <c r="AM106" s="254">
        <f>($BE$23-AL106)/3</f>
        <v>21</v>
      </c>
      <c r="AN106" s="254">
        <f>($BE$23-AL106)/3</f>
        <v>21</v>
      </c>
      <c r="AO106" s="254">
        <f>($BE$23-AL106)/3</f>
        <v>21</v>
      </c>
      <c r="AP106" s="254">
        <f>SUM(AL106,AM106,AN106,AO106)</f>
        <v>84</v>
      </c>
      <c r="AQ106" s="254">
        <f>AQ120*AQ107</f>
        <v>77.4828416155689</v>
      </c>
      <c r="AR106" s="254">
        <f>AR120*AR107</f>
        <v>81.0861761656887</v>
      </c>
      <c r="AS106" s="254">
        <f>AS120*AS107</f>
        <v>85.205458205578</v>
      </c>
      <c r="AT106" s="254">
        <f>AT120*AT107</f>
        <v>89.6828104433481</v>
      </c>
      <c r="AU106" s="19" t="inlineStr">
        <is>
          <t>Booz Allen does not adjust out stock-based compensation (since FY2016; FY2012–15 only the Carlyle-acquisition option expense).</t>
        </is>
      </c>
    </row>
    <row r="107" ht="15" customHeight="1" s="251">
      <c r="B107" s="25" t="inlineStr">
        <is>
          <t xml:space="preserve">  Stock-based compensation % of revenue</t>
        </is>
      </c>
      <c r="C107" s="215">
        <f>IF(AND(ISNUMBER(C106),ISNUMBER(C120)),IFERROR(C106/C120,""),"")</f>
        <v>0.00533569496816811</v>
      </c>
      <c r="D107" s="215">
        <f>IF(AND(ISNUMBER(D106),ISNUMBER(D120)),IFERROR(D106/D120,""),"")</f>
        <v>0.00431412738216125</v>
      </c>
      <c r="E107" s="215">
        <f>IF(AND(ISNUMBER(E106),ISNUMBER(E120)),IFERROR(E106/E120,""),"")</f>
        <v>0.00366236983893786</v>
      </c>
      <c r="F107" s="215">
        <f>IF(AND(ISNUMBER(F106),ISNUMBER(F120)),IFERROR(F106/F120,""),"")</f>
        <v>0.004960026693107</v>
      </c>
      <c r="G107" s="215">
        <f>IF(AND(ISNUMBER(G106),ISNUMBER(G120)),IFERROR(G106/G120,""),"")</f>
        <v>0.0046232355323177</v>
      </c>
      <c r="H107" s="215">
        <f>IF(AND(ISNUMBER(H106),ISNUMBER(H120)),IFERROR(H106/H120,""),"")</f>
        <v>0.00366091666086635</v>
      </c>
      <c r="I107" s="215">
        <f>IF(AND(ISNUMBER(I106),ISNUMBER(I120)),IFERROR(I106/I120,""),"")</f>
        <v>0.00377811979643715</v>
      </c>
      <c r="J107" s="215">
        <f>IF(AND(ISNUMBER(J106),ISNUMBER(J120)),IFERROR(J106/J120,""),"")</f>
        <v>0.00466509955121071</v>
      </c>
      <c r="K107" s="215">
        <f>IF(AND(ISNUMBER(K106),ISNUMBER(K120)),IFERROR(K106/K120,""),"")</f>
        <v>0.00579996278055762</v>
      </c>
      <c r="L107" s="215">
        <f>IF(AND(ISNUMBER(L106),ISNUMBER(L120)),IFERROR(L106/L120,""),"")</f>
        <v>0.00761476932379413</v>
      </c>
      <c r="M107" s="215">
        <f>IF(AND(ISNUMBER(M106),ISNUMBER(M120)),IFERROR(M106/M120,""),"")</f>
        <v>0.0062562026599419</v>
      </c>
      <c r="N107" s="215">
        <f>IF(AND(ISNUMBER(N106),ISNUMBER(N120)),IFERROR(N106/N120,""),"")</f>
        <v>0.00758960664527421</v>
      </c>
      <c r="O107" s="215">
        <f>IF(AND(ISNUMBER(O106),ISNUMBER(O120)),IFERROR(O106/O120,""),"")</f>
        <v>0.00825355081456967</v>
      </c>
      <c r="P107" s="215">
        <f>IF(AND(ISNUMBER(P106),ISNUMBER(P120)),IFERROR(P106/P120,""),"")</f>
        <v>0.0109902434054965</v>
      </c>
      <c r="Q107" s="215">
        <f>IF(AND(ISNUMBER(Q106),ISNUMBER(Q120)),IFERROR(Q106/Q120,""),"")</f>
        <v>0.00834367564594617</v>
      </c>
      <c r="R107" s="215">
        <f>IF(AND(ISNUMBER(R106),ISNUMBER(R120)),IFERROR(R106/R120,""),"")</f>
        <v>0.00608819345661451</v>
      </c>
      <c r="S107" s="215">
        <f>IF(AND(ISNUMBER(S106),ISNUMBER(S120)),IFERROR(S106/S120,""),"")</f>
        <v>0.0080583703353145</v>
      </c>
      <c r="T107" s="215">
        <f>IF(AND(ISNUMBER(T106),ISNUMBER(T120)),IFERROR(T106/T120,""),"")</f>
        <v>0.0082430347015512</v>
      </c>
      <c r="U107" s="215">
        <f>IF(AND(ISNUMBER(U106),ISNUMBER(U120)),IFERROR(U106/U120,""),"")</f>
        <v>0.0120332344125846</v>
      </c>
      <c r="V107" s="215">
        <f>IF(AND(ISNUMBER(V106),ISNUMBER(V120)),IFERROR(V106/V120,""),"")</f>
        <v>0.00866970208483482</v>
      </c>
      <c r="W107" s="215">
        <f>IF(AND(ISNUMBER(W106),ISNUMBER(W120)),IFERROR(W106/W120,""),"")</f>
        <v>0.00666230675166492</v>
      </c>
      <c r="X107" s="215">
        <f>IF(AND(ISNUMBER(X106),ISNUMBER(X120)),IFERROR(X106/X120,""),"")</f>
        <v>0.00743544756331101</v>
      </c>
      <c r="Y107" s="215">
        <f>IF(AND(ISNUMBER(Y106),ISNUMBER(Y120)),IFERROR(Y106/Y120,""),"")</f>
        <v>0.00924857605705656</v>
      </c>
      <c r="Z107" s="215">
        <f>IF(AND(ISNUMBER(Z106),ISNUMBER(Z120)),IFERROR(Z106/Z120,""),"")</f>
        <v>0.0121620436707758</v>
      </c>
      <c r="AA107" s="215">
        <f>IF(AND(ISNUMBER(AA106),ISNUMBER(AA120)),IFERROR(AA106/AA120,""),"")</f>
        <v>0.00890854684757758</v>
      </c>
      <c r="AB107" s="215">
        <f>IF(AND(ISNUMBER(AB106),ISNUMBER(AB120)),IFERROR(AB106/AB120,""),"")</f>
        <v>0.00677409080232253</v>
      </c>
      <c r="AC107" s="215">
        <f>IF(AND(ISNUMBER(AC106),ISNUMBER(AC120)),IFERROR(AC106/AC120,""),"")</f>
        <v>0.00819479873098851</v>
      </c>
      <c r="AD107" s="215">
        <f>IF(AND(ISNUMBER(AD106),ISNUMBER(AD120)),IFERROR(AD106/AD120,""),"")</f>
        <v>0.00861034077314128</v>
      </c>
      <c r="AE107" s="215">
        <f>IF(AND(ISNUMBER(AE106),ISNUMBER(AE120)),IFERROR(AE106/AE120,""),"")</f>
        <v>0.00779085406859449</v>
      </c>
      <c r="AF107" s="215">
        <f>IF(AND(ISNUMBER(AF106),ISNUMBER(AF120)),IFERROR(AF106/AF120,""),"")</f>
        <v>0.00784641068447412</v>
      </c>
      <c r="AG107" s="215">
        <f>IF(AND(ISNUMBER(AG106),ISNUMBER(AG120)),IFERROR(AG106/AG120,""),"")</f>
        <v>0.00649794801641587</v>
      </c>
      <c r="AH107" s="215">
        <f>IF(AND(ISNUMBER(AH106),ISNUMBER(AH120)),IFERROR(AH106/AH120,""),"")</f>
        <v>0.00588235294117647</v>
      </c>
      <c r="AI107" s="215">
        <f>IF(AND(ISNUMBER(AI106),ISNUMBER(AI120)),IFERROR(AI106/AI120,""),"")</f>
        <v>0.00610687022900763</v>
      </c>
      <c r="AJ107" s="215">
        <f>IF(AND(ISNUMBER(AJ106),ISNUMBER(AJ120)),IFERROR(AJ106/AJ120,""),"")</f>
        <v>0.00610851598993892</v>
      </c>
      <c r="AK107" s="215">
        <f>IF(AND(ISNUMBER(AK106),ISNUMBER(AK120)),IFERROR(AK106/AK120,""),"")</f>
        <v>0.00615137737362931</v>
      </c>
      <c r="AL107" s="215">
        <f>IF(AND(ISNUMBER(AL106),ISNUMBER(AL120)),IFERROR(AL106/AL120,""),"")</f>
        <v>0.0075</v>
      </c>
      <c r="AM107" s="256">
        <f>IF(AND(ISNUMBER(AM106),ISNUMBER(AM120)),IFERROR(AM106/AM120,""),"")</f>
        <v>0.00693016377350073</v>
      </c>
      <c r="AN107" s="256">
        <f>IF(AND(ISNUMBER(AN106),ISNUMBER(AN120)),IFERROR(AN106/AN120,""),"")</f>
        <v>0.00755875409335999</v>
      </c>
      <c r="AO107" s="256">
        <f>IF(AND(ISNUMBER(AO106),ISNUMBER(AO120)),IFERROR(AO106/AO120,""),"")</f>
        <v>0.00711786194098035</v>
      </c>
      <c r="AP107" s="256">
        <f>IF(AND(ISNUMBER(AP106),ISNUMBER(AP120)),IFERROR(AP106/AP120,""),"")</f>
        <v>0.00726719589295052</v>
      </c>
      <c r="AQ107" s="264" t="n">
        <v>0.0065</v>
      </c>
      <c r="AR107" s="264" t="n">
        <v>0.0065</v>
      </c>
      <c r="AS107" s="264" t="n">
        <v>0.0065</v>
      </c>
      <c r="AT107" s="264" t="n">
        <v>0.0065</v>
      </c>
      <c r="AU107" s="153" t="n"/>
      <c r="AW107" s="37">
        <f>IFERROR(AVERAGE(AP107,AQ107,AR107,AS107,AT107),"n/m")</f>
        <v>0.0066534391785901</v>
      </c>
      <c r="AX107" s="37">
        <f>IFERROR(AVERAGE(Q107,V107,AA107,AF107,AK107),"n/m")</f>
        <v>0.0079839425272924</v>
      </c>
      <c r="AY107" s="37">
        <f>IFERROR(AVERAGE(H107,I107,J107,K107,L107,Q107,V107,AA107,AF107,AK107),"n/m")</f>
        <v>0.0065438580749328</v>
      </c>
      <c r="AZ107" s="37">
        <f>IFERROR(AVERAGE(C107,D107,E107,F107,G107,H107,I107,J107,K107,L107,Q107,V107,AA107,AF107,AK107),"n/m")</f>
        <v>0.00588893567760133</v>
      </c>
    </row>
    <row r="108" ht="15" customHeight="1" s="251">
      <c r="B108" s="25" t="inlineStr">
        <is>
          <t xml:space="preserve">  Adjusting items (pre-tax, adjusted out by the company; forecast inputs):</t>
        </is>
      </c>
      <c r="AU108" s="153" t="n"/>
    </row>
    <row r="109" ht="15" customHeight="1" s="251">
      <c r="B109" s="25" t="inlineStr">
        <is>
          <t xml:space="preserve">  Acquisition, divestiture, transaction &amp; other corporate expenses</t>
        </is>
      </c>
      <c r="C109" s="253" t="n">
        <v>0</v>
      </c>
      <c r="D109" s="253" t="n">
        <v>2.725</v>
      </c>
      <c r="E109" s="253" t="n">
        <v>0</v>
      </c>
      <c r="F109" s="253" t="n">
        <v>2.039</v>
      </c>
      <c r="G109" s="253" t="n">
        <v>0</v>
      </c>
      <c r="H109" s="253" t="n">
        <v>3.354</v>
      </c>
      <c r="I109" s="253" t="n">
        <v>0</v>
      </c>
      <c r="J109" s="253" t="n">
        <v>3.66</v>
      </c>
      <c r="K109" s="253" t="n">
        <v>1.069</v>
      </c>
      <c r="L109" s="253" t="n">
        <v>0.411</v>
      </c>
      <c r="M109" s="253" t="n">
        <v>66.789</v>
      </c>
      <c r="N109" s="253" t="n">
        <v>13.68</v>
      </c>
      <c r="O109" s="253" t="n">
        <v>5.346</v>
      </c>
      <c r="P109" s="253" t="n">
        <v>11.67</v>
      </c>
      <c r="Q109" s="253" t="n">
        <v>97.485</v>
      </c>
      <c r="R109" s="253" t="n">
        <v>5.093</v>
      </c>
      <c r="S109" s="253" t="n">
        <v>15.932</v>
      </c>
      <c r="T109" s="253" t="n">
        <v>19.096</v>
      </c>
      <c r="U109" s="253" t="n">
        <v>4.148</v>
      </c>
      <c r="V109" s="253" t="n">
        <v>44.269</v>
      </c>
      <c r="W109" s="253" t="n">
        <v>3.268</v>
      </c>
      <c r="X109" s="253" t="n">
        <v>0.26</v>
      </c>
      <c r="Y109" s="253" t="n">
        <v>1.952</v>
      </c>
      <c r="Z109" s="253" t="n">
        <v>2.1</v>
      </c>
      <c r="AA109" s="253" t="n">
        <v>7.58</v>
      </c>
      <c r="AB109" s="253" t="n">
        <v>5.67</v>
      </c>
      <c r="AC109" s="253" t="n">
        <v>1.717</v>
      </c>
      <c r="AD109" s="253" t="n">
        <v>0.306</v>
      </c>
      <c r="AE109" s="253" t="n">
        <v>0</v>
      </c>
      <c r="AF109" s="253" t="n">
        <v>8</v>
      </c>
      <c r="AG109" s="253" t="n">
        <v>14</v>
      </c>
      <c r="AH109" s="253" t="n">
        <v>0</v>
      </c>
      <c r="AI109" s="253" t="n">
        <v>15</v>
      </c>
      <c r="AJ109" s="253" t="n">
        <v>4</v>
      </c>
      <c r="AK109" s="253" t="n">
        <v>33</v>
      </c>
      <c r="AL109" s="253" t="n">
        <v>10</v>
      </c>
      <c r="AM109" s="254">
        <f>($BE$26-AL109)/3</f>
        <v>5</v>
      </c>
      <c r="AN109" s="254">
        <f>($BE$26-AL109)/3</f>
        <v>5</v>
      </c>
      <c r="AO109" s="254">
        <f>($BE$26-AL109)/3</f>
        <v>5</v>
      </c>
      <c r="AP109" s="254">
        <f>SUM(AL109,AM109,AN109,AO109)</f>
        <v>25</v>
      </c>
      <c r="AQ109" s="254">
        <f>AQ59*AQ110</f>
        <v>4.5</v>
      </c>
      <c r="AR109" s="254">
        <f>AR59*AR110</f>
        <v>4.5</v>
      </c>
      <c r="AS109" s="254">
        <f>AS59*AS110</f>
        <v>4.5</v>
      </c>
      <c r="AT109" s="254">
        <f>AT59*AT110</f>
        <v>4.5</v>
      </c>
      <c r="AU109" s="19" t="inlineStr">
        <is>
          <t>Q2–Q4/27E: Ultra transaction &amp; integration costs (assumption, FY27 point estimate). 2028E+: % of acquisition spend.</t>
        </is>
      </c>
    </row>
    <row r="110" ht="15" customHeight="1" s="251">
      <c r="B110" s="25" t="inlineStr">
        <is>
          <t xml:space="preserve">  Acquisition costs % of acquisition spend</t>
        </is>
      </c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24" t="n"/>
      <c r="AN110" s="24" t="n"/>
      <c r="AO110" s="24" t="n"/>
      <c r="AP110" s="24" t="n"/>
      <c r="AQ110" s="264" t="n">
        <v>0.03</v>
      </c>
      <c r="AR110" s="264" t="n">
        <v>0.03</v>
      </c>
      <c r="AS110" s="264" t="n">
        <v>0.03</v>
      </c>
      <c r="AT110" s="264" t="n">
        <v>0.03</v>
      </c>
      <c r="AU110" s="153" t="n"/>
    </row>
    <row r="111" ht="15" customHeight="1" s="251">
      <c r="B111" s="25" t="inlineStr">
        <is>
          <t xml:space="preserve">  Restructuring (FY2012 restructuring charge net of revenue; FY2022)</t>
        </is>
      </c>
      <c r="C111" s="253" t="n">
        <v>11.182</v>
      </c>
      <c r="D111" s="253" t="n">
        <v>0</v>
      </c>
      <c r="E111" s="253" t="n">
        <v>0</v>
      </c>
      <c r="F111" s="253" t="n">
        <v>0</v>
      </c>
      <c r="G111" s="253" t="n">
        <v>0</v>
      </c>
      <c r="H111" s="253" t="n">
        <v>0</v>
      </c>
      <c r="I111" s="253" t="n">
        <v>0</v>
      </c>
      <c r="J111" s="253" t="n">
        <v>0</v>
      </c>
      <c r="K111" s="253" t="n">
        <v>0</v>
      </c>
      <c r="L111" s="253" t="n">
        <v>0</v>
      </c>
      <c r="M111" s="253" t="n">
        <v>0</v>
      </c>
      <c r="N111" s="253" t="n">
        <v>0</v>
      </c>
      <c r="O111" s="253" t="n">
        <v>0</v>
      </c>
      <c r="P111" s="253" t="n">
        <v>4.164</v>
      </c>
      <c r="Q111" s="253" t="n">
        <v>4.164</v>
      </c>
      <c r="R111" s="253" t="n">
        <v>0</v>
      </c>
      <c r="S111" s="253" t="n">
        <v>0</v>
      </c>
      <c r="T111" s="253" t="n">
        <v>0</v>
      </c>
      <c r="U111" s="253" t="n">
        <v>0</v>
      </c>
      <c r="V111" s="253" t="n">
        <v>0</v>
      </c>
      <c r="W111" s="253" t="n">
        <v>0</v>
      </c>
      <c r="X111" s="253" t="n">
        <v>0</v>
      </c>
      <c r="Y111" s="253" t="n">
        <v>0</v>
      </c>
      <c r="Z111" s="253" t="n">
        <v>0</v>
      </c>
      <c r="AA111" s="253" t="n">
        <v>0</v>
      </c>
      <c r="AB111" s="253" t="n">
        <v>0</v>
      </c>
      <c r="AC111" s="253" t="n">
        <v>0</v>
      </c>
      <c r="AD111" s="253" t="n">
        <v>0</v>
      </c>
      <c r="AE111" s="253" t="n">
        <v>0</v>
      </c>
      <c r="AF111" s="253" t="n">
        <v>0</v>
      </c>
      <c r="AG111" s="253" t="n">
        <v>0</v>
      </c>
      <c r="AH111" s="253" t="n">
        <v>0</v>
      </c>
      <c r="AI111" s="253" t="n">
        <v>0</v>
      </c>
      <c r="AJ111" s="253" t="n">
        <v>0</v>
      </c>
      <c r="AK111" s="253" t="n">
        <v>0</v>
      </c>
      <c r="AL111" s="253" t="n">
        <v>0</v>
      </c>
      <c r="AM111" s="254">
        <f>0</f>
        <v>0</v>
      </c>
      <c r="AN111" s="254">
        <f>0</f>
        <v>0</v>
      </c>
      <c r="AO111" s="254">
        <f>0</f>
        <v>0</v>
      </c>
      <c r="AP111" s="254">
        <f>SUM(AL111,AM111,AN111,AO111)</f>
        <v>0</v>
      </c>
      <c r="AQ111" s="254">
        <f>0</f>
        <v>0</v>
      </c>
      <c r="AR111" s="254">
        <f>0</f>
        <v>0</v>
      </c>
      <c r="AS111" s="254">
        <f>0</f>
        <v>0</v>
      </c>
      <c r="AT111" s="254">
        <f>0</f>
        <v>0</v>
      </c>
      <c r="AU111" s="19" t="n"/>
    </row>
    <row r="112" ht="15" customHeight="1" s="251">
      <c r="B112" s="25" t="inlineStr">
        <is>
          <t xml:space="preserve">  Legal matter reserve, change in provision for claimed costs, insurance recoveries, DC tax assessment</t>
        </is>
      </c>
      <c r="C112" s="253" t="n">
        <v>0</v>
      </c>
      <c r="D112" s="253" t="n">
        <v>0</v>
      </c>
      <c r="E112" s="253" t="n">
        <v>0</v>
      </c>
      <c r="F112" s="253" t="n">
        <v>0</v>
      </c>
      <c r="G112" s="253" t="n">
        <v>0</v>
      </c>
      <c r="H112" s="253" t="n">
        <v>0</v>
      </c>
      <c r="I112" s="253" t="n">
        <v>0</v>
      </c>
      <c r="J112" s="253" t="n">
        <v>0</v>
      </c>
      <c r="K112" s="253" t="n">
        <v>0</v>
      </c>
      <c r="L112" s="253" t="n">
        <v>0</v>
      </c>
      <c r="M112" s="253" t="n">
        <v>0</v>
      </c>
      <c r="N112" s="253" t="n">
        <v>0</v>
      </c>
      <c r="O112" s="253" t="n">
        <v>0</v>
      </c>
      <c r="P112" s="253" t="n">
        <v>0</v>
      </c>
      <c r="Q112" s="253" t="n">
        <v>0</v>
      </c>
      <c r="R112" s="253" t="n">
        <v>0</v>
      </c>
      <c r="S112" s="253" t="n">
        <v>0</v>
      </c>
      <c r="T112" s="253" t="n">
        <v>124</v>
      </c>
      <c r="U112" s="253" t="n">
        <v>226</v>
      </c>
      <c r="V112" s="253" t="n">
        <v>350</v>
      </c>
      <c r="W112" s="253" t="n">
        <v>27.453</v>
      </c>
      <c r="X112" s="253" t="n">
        <v>-18.345</v>
      </c>
      <c r="Y112" s="253" t="n">
        <v>0</v>
      </c>
      <c r="Z112" s="253" t="n">
        <v>-20.05</v>
      </c>
      <c r="AA112" s="253" t="n">
        <v>-10.942</v>
      </c>
      <c r="AB112" s="253" t="n">
        <v>0</v>
      </c>
      <c r="AC112" s="253" t="n">
        <v>-228.432</v>
      </c>
      <c r="AD112" s="253" t="n">
        <v>0</v>
      </c>
      <c r="AE112" s="253" t="n">
        <v>0</v>
      </c>
      <c r="AF112" s="253" t="n">
        <v>-228</v>
      </c>
      <c r="AG112" s="253" t="n">
        <v>0</v>
      </c>
      <c r="AH112" s="253" t="n">
        <v>0</v>
      </c>
      <c r="AI112" s="253" t="n">
        <v>0</v>
      </c>
      <c r="AJ112" s="253" t="n">
        <v>0</v>
      </c>
      <c r="AK112" s="253" t="n">
        <v>0</v>
      </c>
      <c r="AL112" s="253" t="n">
        <v>0</v>
      </c>
      <c r="AM112" s="254">
        <f>0</f>
        <v>0</v>
      </c>
      <c r="AN112" s="254">
        <f>0</f>
        <v>0</v>
      </c>
      <c r="AO112" s="254">
        <f>0</f>
        <v>0</v>
      </c>
      <c r="AP112" s="254">
        <f>SUM(AL112,AM112,AN112,AO112)</f>
        <v>0</v>
      </c>
      <c r="AQ112" s="254">
        <f>0</f>
        <v>0</v>
      </c>
      <c r="AR112" s="254">
        <f>0</f>
        <v>0</v>
      </c>
      <c r="AS112" s="254">
        <f>0</f>
        <v>0</v>
      </c>
      <c r="AT112" s="254">
        <f>0</f>
        <v>0</v>
      </c>
      <c r="AU112" s="19" t="inlineStr">
        <is>
          <t>FY2023–24 $377m legal reserve (DOJ civil settlement); Q2 FY25 claimed-costs provision release ($113m, booked in revenue) and insurance recoveries ($115m).</t>
        </is>
      </c>
    </row>
    <row r="113" ht="15" customHeight="1" s="251">
      <c r="B113" s="25" t="inlineStr">
        <is>
          <t xml:space="preserve">  COVID-19 supplemental employee benefits (FY2020–22)</t>
        </is>
      </c>
      <c r="C113" s="253" t="n">
        <v>0</v>
      </c>
      <c r="D113" s="253" t="n">
        <v>0</v>
      </c>
      <c r="E113" s="253" t="n">
        <v>0</v>
      </c>
      <c r="F113" s="253" t="n">
        <v>0</v>
      </c>
      <c r="G113" s="253" t="n">
        <v>0</v>
      </c>
      <c r="H113" s="253" t="n">
        <v>0</v>
      </c>
      <c r="I113" s="253" t="n">
        <v>0</v>
      </c>
      <c r="J113" s="253" t="n">
        <v>0</v>
      </c>
      <c r="K113" s="253" t="n">
        <v>2.722</v>
      </c>
      <c r="L113" s="253" t="n">
        <v>0.577</v>
      </c>
      <c r="M113" s="253" t="n">
        <v>0</v>
      </c>
      <c r="N113" s="253" t="n">
        <v>0</v>
      </c>
      <c r="O113" s="253" t="n">
        <v>0</v>
      </c>
      <c r="P113" s="253" t="n">
        <v>0</v>
      </c>
      <c r="Q113" s="253" t="n">
        <v>0</v>
      </c>
      <c r="R113" s="253" t="n">
        <v>0</v>
      </c>
      <c r="S113" s="253" t="n">
        <v>0</v>
      </c>
      <c r="T113" s="253" t="n">
        <v>0</v>
      </c>
      <c r="U113" s="253" t="n">
        <v>0</v>
      </c>
      <c r="V113" s="253" t="n">
        <v>0</v>
      </c>
      <c r="W113" s="253" t="n">
        <v>0</v>
      </c>
      <c r="X113" s="253" t="n">
        <v>0</v>
      </c>
      <c r="Y113" s="253" t="n">
        <v>0</v>
      </c>
      <c r="Z113" s="253" t="n">
        <v>0</v>
      </c>
      <c r="AA113" s="253" t="n">
        <v>0</v>
      </c>
      <c r="AB113" s="253" t="n">
        <v>0</v>
      </c>
      <c r="AC113" s="253" t="n">
        <v>0</v>
      </c>
      <c r="AD113" s="253" t="n">
        <v>0</v>
      </c>
      <c r="AE113" s="253" t="n">
        <v>0</v>
      </c>
      <c r="AF113" s="253" t="n">
        <v>0</v>
      </c>
      <c r="AG113" s="253" t="n">
        <v>0</v>
      </c>
      <c r="AH113" s="253" t="n">
        <v>0</v>
      </c>
      <c r="AI113" s="253" t="n">
        <v>0</v>
      </c>
      <c r="AJ113" s="253" t="n">
        <v>0</v>
      </c>
      <c r="AK113" s="253" t="n">
        <v>0</v>
      </c>
      <c r="AL113" s="253" t="n">
        <v>0</v>
      </c>
      <c r="AM113" s="254">
        <f>0</f>
        <v>0</v>
      </c>
      <c r="AN113" s="254">
        <f>0</f>
        <v>0</v>
      </c>
      <c r="AO113" s="254">
        <f>0</f>
        <v>0</v>
      </c>
      <c r="AP113" s="254">
        <f>SUM(AL113,AM113,AN113,AO113)</f>
        <v>0</v>
      </c>
      <c r="AQ113" s="254">
        <f>0</f>
        <v>0</v>
      </c>
      <c r="AR113" s="254">
        <f>0</f>
        <v>0</v>
      </c>
      <c r="AS113" s="254">
        <f>0</f>
        <v>0</v>
      </c>
      <c r="AT113" s="254">
        <f>0</f>
        <v>0</v>
      </c>
      <c r="AU113" s="19" t="n"/>
    </row>
    <row r="114" ht="15" customHeight="1" s="251">
      <c r="B114" s="25" t="inlineStr">
        <is>
          <t xml:space="preserve">  Certain stock-based compensation (Carlyle-acquisition options; FY2012–15)</t>
        </is>
      </c>
      <c r="C114" s="253" t="n">
        <v>14.241</v>
      </c>
      <c r="D114" s="253" t="n">
        <v>5.868</v>
      </c>
      <c r="E114" s="253" t="n">
        <v>1.094</v>
      </c>
      <c r="F114" s="253" t="n">
        <v>0</v>
      </c>
      <c r="G114" s="253" t="n">
        <v>0</v>
      </c>
      <c r="H114" s="253" t="n">
        <v>0</v>
      </c>
      <c r="I114" s="253" t="n">
        <v>0</v>
      </c>
      <c r="J114" s="253" t="n">
        <v>0</v>
      </c>
      <c r="K114" s="253" t="n">
        <v>0</v>
      </c>
      <c r="L114" s="253" t="n">
        <v>0</v>
      </c>
      <c r="M114" s="253" t="n">
        <v>0</v>
      </c>
      <c r="N114" s="253" t="n">
        <v>0</v>
      </c>
      <c r="O114" s="253" t="n">
        <v>0</v>
      </c>
      <c r="P114" s="253" t="n">
        <v>0</v>
      </c>
      <c r="Q114" s="253" t="n">
        <v>0</v>
      </c>
      <c r="R114" s="253" t="n">
        <v>0</v>
      </c>
      <c r="S114" s="253" t="n">
        <v>0</v>
      </c>
      <c r="T114" s="253" t="n">
        <v>0</v>
      </c>
      <c r="U114" s="253" t="n">
        <v>0</v>
      </c>
      <c r="V114" s="253" t="n">
        <v>0</v>
      </c>
      <c r="W114" s="253" t="n">
        <v>0</v>
      </c>
      <c r="X114" s="253" t="n">
        <v>0</v>
      </c>
      <c r="Y114" s="253" t="n">
        <v>0</v>
      </c>
      <c r="Z114" s="253" t="n">
        <v>0</v>
      </c>
      <c r="AA114" s="253" t="n">
        <v>0</v>
      </c>
      <c r="AB114" s="253" t="n">
        <v>0</v>
      </c>
      <c r="AC114" s="253" t="n">
        <v>0</v>
      </c>
      <c r="AD114" s="253" t="n">
        <v>0</v>
      </c>
      <c r="AE114" s="253" t="n">
        <v>0</v>
      </c>
      <c r="AF114" s="253" t="n">
        <v>0</v>
      </c>
      <c r="AG114" s="253" t="n">
        <v>0</v>
      </c>
      <c r="AH114" s="253" t="n">
        <v>0</v>
      </c>
      <c r="AI114" s="253" t="n">
        <v>0</v>
      </c>
      <c r="AJ114" s="253" t="n">
        <v>0</v>
      </c>
      <c r="AK114" s="253" t="n">
        <v>0</v>
      </c>
      <c r="AL114" s="253" t="n">
        <v>0</v>
      </c>
      <c r="AM114" s="254">
        <f>0</f>
        <v>0</v>
      </c>
      <c r="AN114" s="254">
        <f>0</f>
        <v>0</v>
      </c>
      <c r="AO114" s="254">
        <f>0</f>
        <v>0</v>
      </c>
      <c r="AP114" s="254">
        <f>SUM(AL114,AM114,AN114,AO114)</f>
        <v>0</v>
      </c>
      <c r="AQ114" s="254">
        <f>0</f>
        <v>0</v>
      </c>
      <c r="AR114" s="254">
        <f>0</f>
        <v>0</v>
      </c>
      <c r="AS114" s="254">
        <f>0</f>
        <v>0</v>
      </c>
      <c r="AT114" s="254">
        <f>0</f>
        <v>0</v>
      </c>
      <c r="AU114" s="19" t="n"/>
    </row>
    <row r="115" ht="15" customHeight="1" s="251">
      <c r="B115" s="25" t="inlineStr">
        <is>
          <t xml:space="preserve">  Financing transaction costs (debt refinancing costs in G&amp;A)</t>
        </is>
      </c>
      <c r="C115" s="253" t="n">
        <v>0</v>
      </c>
      <c r="D115" s="253" t="n">
        <v>0</v>
      </c>
      <c r="E115" s="253" t="n">
        <v>0</v>
      </c>
      <c r="F115" s="253" t="n">
        <v>0</v>
      </c>
      <c r="G115" s="253" t="n">
        <v>0</v>
      </c>
      <c r="H115" s="253" t="n">
        <v>0</v>
      </c>
      <c r="I115" s="253" t="n">
        <v>0</v>
      </c>
      <c r="J115" s="253" t="n">
        <v>0</v>
      </c>
      <c r="K115" s="253" t="n">
        <v>0</v>
      </c>
      <c r="L115" s="253" t="n">
        <v>0</v>
      </c>
      <c r="M115" s="253" t="n">
        <v>2.348</v>
      </c>
      <c r="N115" s="253" t="n">
        <v>0</v>
      </c>
      <c r="O115" s="253" t="n">
        <v>0</v>
      </c>
      <c r="P115" s="253" t="n">
        <v>0</v>
      </c>
      <c r="Q115" s="253" t="n">
        <v>2.348</v>
      </c>
      <c r="R115" s="253" t="n">
        <v>0</v>
      </c>
      <c r="S115" s="253" t="n">
        <v>6.888</v>
      </c>
      <c r="T115" s="253" t="n">
        <v>0</v>
      </c>
      <c r="U115" s="253" t="n">
        <v>0</v>
      </c>
      <c r="V115" s="253" t="n">
        <v>6.888</v>
      </c>
      <c r="W115" s="253" t="n">
        <v>0</v>
      </c>
      <c r="X115" s="253" t="n">
        <v>0.82</v>
      </c>
      <c r="Y115" s="253" t="n">
        <v>0</v>
      </c>
      <c r="Z115" s="253" t="n">
        <v>0</v>
      </c>
      <c r="AA115" s="253" t="n">
        <v>0.82</v>
      </c>
      <c r="AB115" s="253" t="n">
        <v>0</v>
      </c>
      <c r="AC115" s="253" t="n">
        <v>0</v>
      </c>
      <c r="AD115" s="253" t="n">
        <v>0</v>
      </c>
      <c r="AE115" s="253" t="n">
        <v>0</v>
      </c>
      <c r="AF115" s="253" t="n">
        <v>0</v>
      </c>
      <c r="AG115" s="253" t="n">
        <v>0</v>
      </c>
      <c r="AH115" s="253" t="n">
        <v>0</v>
      </c>
      <c r="AI115" s="253" t="n">
        <v>0</v>
      </c>
      <c r="AJ115" s="253" t="n">
        <v>0</v>
      </c>
      <c r="AK115" s="253" t="n">
        <v>0</v>
      </c>
      <c r="AL115" s="253" t="n">
        <v>0</v>
      </c>
      <c r="AM115" s="254">
        <f>0</f>
        <v>0</v>
      </c>
      <c r="AN115" s="254">
        <f>0</f>
        <v>0</v>
      </c>
      <c r="AO115" s="254">
        <f>0</f>
        <v>0</v>
      </c>
      <c r="AP115" s="254">
        <f>SUM(AL115,AM115,AN115,AO115)</f>
        <v>0</v>
      </c>
      <c r="AQ115" s="254">
        <f>0</f>
        <v>0</v>
      </c>
      <c r="AR115" s="254">
        <f>0</f>
        <v>0</v>
      </c>
      <c r="AS115" s="254">
        <f>0</f>
        <v>0</v>
      </c>
      <c r="AT115" s="254">
        <f>0</f>
        <v>0</v>
      </c>
      <c r="AU115" s="19" t="n"/>
    </row>
    <row r="116" ht="15" customHeight="1" s="251">
      <c r="B116" s="25" t="inlineStr">
        <is>
          <t xml:space="preserve">  Other operating items</t>
        </is>
      </c>
      <c r="C116" s="253" t="n">
        <v>0</v>
      </c>
      <c r="D116" s="253" t="n">
        <v>0</v>
      </c>
      <c r="E116" s="253" t="n">
        <v>0</v>
      </c>
      <c r="F116" s="253" t="n">
        <v>0</v>
      </c>
      <c r="G116" s="253" t="n">
        <v>0</v>
      </c>
      <c r="H116" s="253" t="n">
        <v>0</v>
      </c>
      <c r="I116" s="253" t="n">
        <v>0</v>
      </c>
      <c r="J116" s="253" t="n">
        <v>0</v>
      </c>
      <c r="K116" s="253" t="n">
        <v>0</v>
      </c>
      <c r="L116" s="253" t="n">
        <v>0</v>
      </c>
      <c r="M116" s="253" t="n">
        <v>0</v>
      </c>
      <c r="N116" s="253" t="n">
        <v>0</v>
      </c>
      <c r="O116" s="253" t="n">
        <v>0</v>
      </c>
      <c r="P116" s="253" t="n">
        <v>0</v>
      </c>
      <c r="Q116" s="253" t="n">
        <v>0</v>
      </c>
      <c r="R116" s="253" t="n">
        <v>0</v>
      </c>
      <c r="S116" s="253" t="n">
        <v>0</v>
      </c>
      <c r="T116" s="253" t="n">
        <v>0</v>
      </c>
      <c r="U116" s="253" t="n">
        <v>0</v>
      </c>
      <c r="V116" s="253" t="n">
        <v>0</v>
      </c>
      <c r="W116" s="253" t="n">
        <v>0</v>
      </c>
      <c r="X116" s="253" t="n">
        <v>0</v>
      </c>
      <c r="Y116" s="253" t="n">
        <v>0</v>
      </c>
      <c r="Z116" s="253" t="n">
        <v>0</v>
      </c>
      <c r="AA116" s="253" t="n">
        <v>0</v>
      </c>
      <c r="AB116" s="253" t="n">
        <v>0</v>
      </c>
      <c r="AC116" s="253" t="n">
        <v>0</v>
      </c>
      <c r="AD116" s="253" t="n">
        <v>0</v>
      </c>
      <c r="AE116" s="253" t="n">
        <v>0</v>
      </c>
      <c r="AF116" s="253" t="n">
        <v>0</v>
      </c>
      <c r="AG116" s="253" t="n">
        <v>0</v>
      </c>
      <c r="AH116" s="253" t="n">
        <v>0</v>
      </c>
      <c r="AI116" s="253" t="n">
        <v>0</v>
      </c>
      <c r="AJ116" s="253" t="n">
        <v>0</v>
      </c>
      <c r="AK116" s="253" t="n">
        <v>0</v>
      </c>
      <c r="AL116" s="253" t="n">
        <v>0</v>
      </c>
      <c r="AM116" s="254">
        <f>0</f>
        <v>0</v>
      </c>
      <c r="AN116" s="254">
        <f>0</f>
        <v>0</v>
      </c>
      <c r="AO116" s="254">
        <f>0</f>
        <v>0</v>
      </c>
      <c r="AP116" s="254">
        <f>SUM(AL116,AM116,AN116,AO116)</f>
        <v>0</v>
      </c>
      <c r="AQ116" s="254">
        <f>0</f>
        <v>0</v>
      </c>
      <c r="AR116" s="254">
        <f>0</f>
        <v>0</v>
      </c>
      <c r="AS116" s="254">
        <f>0</f>
        <v>0</v>
      </c>
      <c r="AT116" s="254">
        <f>0</f>
        <v>0</v>
      </c>
      <c r="AU116" s="19" t="n"/>
    </row>
    <row r="117" ht="15" customHeight="1" s="251">
      <c r="B117" s="25" t="inlineStr">
        <is>
          <t xml:space="preserve">  Non-operating items (debt issuance-cost amortization / write-offs, debt extinguishment, gains on divestitures &amp; investments)</t>
        </is>
      </c>
      <c r="C117" s="253" t="n">
        <v>-0.898</v>
      </c>
      <c r="D117" s="253" t="n">
        <v>13.018</v>
      </c>
      <c r="E117" s="253" t="n">
        <v>6.719</v>
      </c>
      <c r="F117" s="253" t="n">
        <v>6.545</v>
      </c>
      <c r="G117" s="253" t="n">
        <v>5.201</v>
      </c>
      <c r="H117" s="253" t="n">
        <v>8.866</v>
      </c>
      <c r="I117" s="253" t="n">
        <v>2.655</v>
      </c>
      <c r="J117" s="253" t="n">
        <v>2.92</v>
      </c>
      <c r="K117" s="253" t="n">
        <v>2.395</v>
      </c>
      <c r="L117" s="253" t="n">
        <v>15.641</v>
      </c>
      <c r="M117" s="253" t="n">
        <v>0.887</v>
      </c>
      <c r="N117" s="253" t="n">
        <v>-4.85</v>
      </c>
      <c r="O117" s="253" t="n">
        <v>-6.274</v>
      </c>
      <c r="P117" s="253" t="n">
        <v>0.8159999999999999</v>
      </c>
      <c r="Q117" s="253" t="n">
        <v>-9.420999999999999</v>
      </c>
      <c r="R117" s="253" t="n">
        <v>0.823</v>
      </c>
      <c r="S117" s="253" t="n">
        <v>-26.983</v>
      </c>
      <c r="T117" s="253" t="n">
        <v>-12.692</v>
      </c>
      <c r="U117" s="253" t="n">
        <v>0.774</v>
      </c>
      <c r="V117" s="253" t="n">
        <v>-38.078</v>
      </c>
      <c r="W117" s="253" t="n">
        <v>0.782</v>
      </c>
      <c r="X117" s="253" t="n">
        <v>1.106</v>
      </c>
      <c r="Y117" s="253" t="n">
        <v>1.062</v>
      </c>
      <c r="Z117" s="253" t="n">
        <v>6.736</v>
      </c>
      <c r="AA117" s="253" t="n">
        <v>9.686</v>
      </c>
      <c r="AB117" s="253" t="n">
        <v>1.076</v>
      </c>
      <c r="AC117" s="253" t="n">
        <v>1.089</v>
      </c>
      <c r="AD117" s="253" t="n">
        <v>1.099</v>
      </c>
      <c r="AE117" s="253" t="n">
        <v>1</v>
      </c>
      <c r="AF117" s="253" t="n">
        <v>4</v>
      </c>
      <c r="AG117" s="253" t="n">
        <v>0</v>
      </c>
      <c r="AH117" s="253" t="n">
        <v>0</v>
      </c>
      <c r="AI117" s="253" t="n">
        <v>-7</v>
      </c>
      <c r="AJ117" s="253" t="n">
        <v>0</v>
      </c>
      <c r="AK117" s="253" t="n">
        <v>-7</v>
      </c>
      <c r="AL117" s="253" t="n">
        <v>0</v>
      </c>
      <c r="AM117" s="254">
        <f>($BE$27-AL117)/3</f>
        <v>0</v>
      </c>
      <c r="AN117" s="254">
        <f>($BE$27-AL117)/3</f>
        <v>0</v>
      </c>
      <c r="AO117" s="254">
        <f>($BE$27-AL117)/3</f>
        <v>0</v>
      </c>
      <c r="AP117" s="254">
        <f>SUM(AL117,AM117,AN117,AO117)</f>
        <v>0</v>
      </c>
      <c r="AQ117" s="262" t="n">
        <v>0</v>
      </c>
      <c r="AR117" s="262" t="n">
        <v>0</v>
      </c>
      <c r="AS117" s="262" t="n">
        <v>0</v>
      </c>
      <c r="AT117" s="262" t="n">
        <v>0</v>
      </c>
      <c r="AU117" s="19" t="inlineStr">
        <is>
          <t>In adjusted net income only (below operating income). Forecast: amortization of debt issuance costs (input).</t>
        </is>
      </c>
    </row>
    <row r="118" ht="15" customHeight="1" s="251">
      <c r="BC118" s="11" t="n"/>
      <c r="BD118" s="12" t="n"/>
      <c r="BE118" s="12" t="n"/>
      <c r="BF118" s="12" t="n"/>
      <c r="BG118" s="13" t="n"/>
    </row>
    <row r="119" ht="15" customHeight="1" s="251">
      <c r="B119" s="10" t="inlineStr">
        <is>
          <t>CONSOLIDATED STATEMENT OF OPERATIONS (US GAAP)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inlineStr">
        <is>
          <t>CONSOLIDATED IS — forecast logic (operating income = adjusted EBITDA − D&amp;A − operating adjusting items; G&amp;A implied)</t>
        </is>
      </c>
    </row>
    <row r="120" ht="15" customHeight="1" s="251">
      <c r="B120" s="55" t="inlineStr">
        <is>
          <t>Revenue</t>
        </is>
      </c>
      <c r="C120" s="288" t="n">
        <v>5859.218</v>
      </c>
      <c r="D120" s="288" t="n">
        <v>5758.059</v>
      </c>
      <c r="E120" s="288" t="n">
        <v>5478.693</v>
      </c>
      <c r="F120" s="288" t="n">
        <v>5274.77</v>
      </c>
      <c r="G120" s="288" t="n">
        <v>5405.738</v>
      </c>
      <c r="H120" s="288" t="n">
        <v>5804.284</v>
      </c>
      <c r="I120" s="288" t="n">
        <v>6171.853</v>
      </c>
      <c r="J120" s="288" t="n">
        <v>6704.037</v>
      </c>
      <c r="K120" s="288" t="n">
        <v>7463.841</v>
      </c>
      <c r="L120" s="288" t="n">
        <v>7858.938</v>
      </c>
      <c r="M120" s="288" t="n">
        <v>1989.066</v>
      </c>
      <c r="N120" s="288" t="n">
        <v>2106.038</v>
      </c>
      <c r="O120" s="288" t="n">
        <v>2030.52</v>
      </c>
      <c r="P120" s="288" t="n">
        <v>2238.076</v>
      </c>
      <c r="Q120" s="288" t="n">
        <v>8363.700000000001</v>
      </c>
      <c r="R120" s="288" t="n">
        <v>2249.6</v>
      </c>
      <c r="S120" s="288" t="n">
        <v>2298.976</v>
      </c>
      <c r="T120" s="288" t="n">
        <v>2277.074</v>
      </c>
      <c r="U120" s="288" t="n">
        <v>2433.261</v>
      </c>
      <c r="V120" s="288" t="n">
        <v>9258.911</v>
      </c>
      <c r="W120" s="288" t="n">
        <v>2654.486</v>
      </c>
      <c r="X120" s="288" t="n">
        <v>2666.282</v>
      </c>
      <c r="Y120" s="288" t="n">
        <v>2569.801</v>
      </c>
      <c r="Z120" s="288" t="n">
        <v>2771.327</v>
      </c>
      <c r="AA120" s="288" t="n">
        <v>10661.896</v>
      </c>
      <c r="AB120" s="288" t="n">
        <v>2941.797</v>
      </c>
      <c r="AC120" s="288" t="n">
        <v>3146.386</v>
      </c>
      <c r="AD120" s="288" t="n">
        <v>2917.19</v>
      </c>
      <c r="AE120" s="288" t="n">
        <v>2974</v>
      </c>
      <c r="AF120" s="288" t="n">
        <v>11980</v>
      </c>
      <c r="AG120" s="288" t="n">
        <v>2924</v>
      </c>
      <c r="AH120" s="288" t="n">
        <v>2890</v>
      </c>
      <c r="AI120" s="288" t="n">
        <v>2620</v>
      </c>
      <c r="AJ120" s="288" t="n">
        <v>2783</v>
      </c>
      <c r="AK120" s="288" t="n">
        <v>11217</v>
      </c>
      <c r="AL120" s="288" t="n">
        <v>2800</v>
      </c>
      <c r="AM120" s="285">
        <f>AM75</f>
        <v>3030.23141823847</v>
      </c>
      <c r="AN120" s="285">
        <f>AN75</f>
        <v>2778.23563786094</v>
      </c>
      <c r="AO120" s="285">
        <f>AO75</f>
        <v>2950.32415269179</v>
      </c>
      <c r="AP120" s="285">
        <f>SUM(AL120,AM120,AN120,AO120)</f>
        <v>11558.7912087912</v>
      </c>
      <c r="AQ120" s="285">
        <f>AQ75</f>
        <v>11920.437171626</v>
      </c>
      <c r="AR120" s="285">
        <f>AR75</f>
        <v>12474.7963331829</v>
      </c>
      <c r="AS120" s="285">
        <f>AS75</f>
        <v>13108.5320316274</v>
      </c>
      <c r="AT120" s="285">
        <f>AT75</f>
        <v>13797.3554528228</v>
      </c>
      <c r="AU120" s="153" t="inlineStr">
        <is>
          <t>Forecast linked to the revenue build.</t>
        </is>
      </c>
      <c r="AW120" s="20">
        <f>IFERROR((AT120/AK120)^(1/5)-1,"n/m")</f>
        <v>0.0422786135714894</v>
      </c>
      <c r="AX120" s="20">
        <f>IFERROR((AK120/L120)^(1/5)-1,"n/m")</f>
        <v>0.0737485032521559</v>
      </c>
      <c r="AY120" s="20">
        <f>IFERROR((AK120/G120)^(1/10)-1,"n/m")</f>
        <v>0.0757272562268703</v>
      </c>
      <c r="AZ120" s="20">
        <f>IFERROR((AK120/C120)^(1/14)-1,"n/m")</f>
        <v>0.0474794331140254</v>
      </c>
    </row>
    <row r="121" ht="15" customHeight="1" s="251">
      <c r="B121" s="25" t="inlineStr">
        <is>
          <t>Cost of revenue</t>
        </is>
      </c>
      <c r="C121" s="253" t="n">
        <v>2934.378</v>
      </c>
      <c r="D121" s="253" t="n">
        <v>2871.24</v>
      </c>
      <c r="E121" s="253" t="n">
        <v>2716.113</v>
      </c>
      <c r="F121" s="253" t="n">
        <v>2593.849</v>
      </c>
      <c r="G121" s="253" t="n">
        <v>2580.026</v>
      </c>
      <c r="H121" s="253" t="n">
        <v>2691.982</v>
      </c>
      <c r="I121" s="253" t="n">
        <v>2867.103</v>
      </c>
      <c r="J121" s="253" t="n">
        <v>3100.466</v>
      </c>
      <c r="K121" s="253" t="n">
        <v>3379.18</v>
      </c>
      <c r="L121" s="253" t="n">
        <v>3657.53</v>
      </c>
      <c r="M121" s="253" t="n">
        <v>962.7190000000001</v>
      </c>
      <c r="N121" s="253" t="n">
        <v>947.689</v>
      </c>
      <c r="O121" s="253" t="n">
        <v>929.568</v>
      </c>
      <c r="P121" s="253" t="n">
        <v>1059.578</v>
      </c>
      <c r="Q121" s="253" t="n">
        <v>3899.622</v>
      </c>
      <c r="R121" s="253" t="n">
        <v>1074.973</v>
      </c>
      <c r="S121" s="253" t="n">
        <v>1057.45</v>
      </c>
      <c r="T121" s="253" t="n">
        <v>1043.474</v>
      </c>
      <c r="U121" s="253" t="n">
        <v>1128.913</v>
      </c>
      <c r="V121" s="253" t="n">
        <v>4304.81</v>
      </c>
      <c r="W121" s="253" t="n">
        <v>1251.916</v>
      </c>
      <c r="X121" s="253" t="n">
        <v>1232.712</v>
      </c>
      <c r="Y121" s="253" t="n">
        <v>1180.961</v>
      </c>
      <c r="Z121" s="253" t="n">
        <v>1255.481</v>
      </c>
      <c r="AA121" s="253" t="n">
        <v>4921.071</v>
      </c>
      <c r="AB121" s="253" t="n">
        <v>1371.234</v>
      </c>
      <c r="AC121" s="253" t="n">
        <v>1362.282</v>
      </c>
      <c r="AD121" s="253" t="n">
        <v>1305.612</v>
      </c>
      <c r="AE121" s="253" t="n">
        <v>1378</v>
      </c>
      <c r="AF121" s="253" t="n">
        <v>5419</v>
      </c>
      <c r="AG121" s="253" t="n">
        <v>1423</v>
      </c>
      <c r="AH121" s="253" t="n">
        <v>1340</v>
      </c>
      <c r="AI121" s="253" t="n">
        <v>1259</v>
      </c>
      <c r="AJ121" s="253" t="n">
        <v>1283</v>
      </c>
      <c r="AK121" s="253" t="n">
        <v>5305</v>
      </c>
      <c r="AL121" s="253" t="n">
        <v>1336</v>
      </c>
      <c r="AM121" s="254">
        <f>AM120*AM100</f>
        <v>1376.17526690421</v>
      </c>
      <c r="AN121" s="254">
        <f>AN120*AN100</f>
        <v>1308.59094119344</v>
      </c>
      <c r="AO121" s="254">
        <f>AO120*AO100</f>
        <v>1332.05378707321</v>
      </c>
      <c r="AP121" s="254">
        <f>SUM(AL121,AM121,AN121,AO121)</f>
        <v>5352.81999517085</v>
      </c>
      <c r="AQ121" s="254">
        <f>AQ120*AQ100</f>
        <v>5662.20765652234</v>
      </c>
      <c r="AR121" s="254">
        <f>AR120*AR100</f>
        <v>5925.52825826187</v>
      </c>
      <c r="AS121" s="254">
        <f>AS120*AS100</f>
        <v>6226.55271502301</v>
      </c>
      <c r="AT121" s="254">
        <f>AT120*AT100</f>
        <v>6553.74384009083</v>
      </c>
      <c r="AU121" s="19" t="n"/>
    </row>
    <row r="122" ht="15" customHeight="1" s="251">
      <c r="B122" s="25" t="inlineStr">
        <is>
          <t>Billable expenses</t>
        </is>
      </c>
      <c r="C122" s="253" t="n">
        <v>1542.822</v>
      </c>
      <c r="D122" s="253" t="n">
        <v>1532.59</v>
      </c>
      <c r="E122" s="253" t="n">
        <v>1487.115</v>
      </c>
      <c r="F122" s="253" t="n">
        <v>1406.527</v>
      </c>
      <c r="G122" s="253" t="n">
        <v>1513.083</v>
      </c>
      <c r="H122" s="253" t="n">
        <v>1751.077</v>
      </c>
      <c r="I122" s="253" t="n">
        <v>1861.312</v>
      </c>
      <c r="J122" s="253" t="n">
        <v>2004.664</v>
      </c>
      <c r="K122" s="253" t="n">
        <v>2298.413</v>
      </c>
      <c r="L122" s="253" t="n">
        <v>2325.888</v>
      </c>
      <c r="M122" s="253" t="n">
        <v>555.545</v>
      </c>
      <c r="N122" s="253" t="n">
        <v>640.12</v>
      </c>
      <c r="O122" s="253" t="n">
        <v>621.55</v>
      </c>
      <c r="P122" s="253" t="n">
        <v>656.948</v>
      </c>
      <c r="Q122" s="253" t="n">
        <v>2474.163</v>
      </c>
      <c r="R122" s="253" t="n">
        <v>674.266</v>
      </c>
      <c r="S122" s="253" t="n">
        <v>684.941</v>
      </c>
      <c r="T122" s="253" t="n">
        <v>710.526</v>
      </c>
      <c r="U122" s="253" t="n">
        <v>739.124</v>
      </c>
      <c r="V122" s="253" t="n">
        <v>2808.857</v>
      </c>
      <c r="W122" s="253" t="n">
        <v>812.304</v>
      </c>
      <c r="X122" s="253" t="n">
        <v>824.788</v>
      </c>
      <c r="Y122" s="253" t="n">
        <v>799.896</v>
      </c>
      <c r="Z122" s="253" t="n">
        <v>844.788</v>
      </c>
      <c r="AA122" s="253" t="n">
        <v>3281.776</v>
      </c>
      <c r="AB122" s="253" t="n">
        <v>944.981</v>
      </c>
      <c r="AC122" s="253" t="n">
        <v>968.022</v>
      </c>
      <c r="AD122" s="253" t="n">
        <v>938.534</v>
      </c>
      <c r="AE122" s="253" t="n">
        <v>928</v>
      </c>
      <c r="AF122" s="253" t="n">
        <v>3780</v>
      </c>
      <c r="AG122" s="253" t="n">
        <v>881</v>
      </c>
      <c r="AH122" s="253" t="n">
        <v>918</v>
      </c>
      <c r="AI122" s="253" t="n">
        <v>774</v>
      </c>
      <c r="AJ122" s="253" t="n">
        <v>877</v>
      </c>
      <c r="AK122" s="253" t="n">
        <v>3450</v>
      </c>
      <c r="AL122" s="253" t="n">
        <v>835</v>
      </c>
      <c r="AM122" s="254">
        <f>AM120*AM99</f>
        <v>953.19491277885</v>
      </c>
      <c r="AN122" s="254">
        <f>AN120*AN99</f>
        <v>812.174246760724</v>
      </c>
      <c r="AO122" s="254">
        <f>AO120*AO99</f>
        <v>920.625805415993</v>
      </c>
      <c r="AP122" s="254">
        <f>SUM(AL122,AM122,AN122,AO122)</f>
        <v>3520.99496495557</v>
      </c>
      <c r="AQ122" s="254">
        <f>AQ120*AQ99</f>
        <v>3635.73333734593</v>
      </c>
      <c r="AR122" s="254">
        <f>AR120*AR99</f>
        <v>3804.81288162078</v>
      </c>
      <c r="AS122" s="254">
        <f>AS120*AS99</f>
        <v>3998.10226964635</v>
      </c>
      <c r="AT122" s="254">
        <f>AT120*AT99</f>
        <v>4208.19341311095</v>
      </c>
      <c r="AU122" s="19" t="n"/>
    </row>
    <row r="123" ht="15" customHeight="1" s="251">
      <c r="B123" s="25" t="inlineStr">
        <is>
          <t>General and administrative expenses</t>
        </is>
      </c>
      <c r="C123" s="253" t="n">
        <v>903.721</v>
      </c>
      <c r="D123" s="253" t="n">
        <v>833.986</v>
      </c>
      <c r="E123" s="253" t="n">
        <v>742.527</v>
      </c>
      <c r="F123" s="253" t="n">
        <v>752.912</v>
      </c>
      <c r="G123" s="253" t="n">
        <v>806.509</v>
      </c>
      <c r="H123" s="253" t="n">
        <v>817.434</v>
      </c>
      <c r="I123" s="253" t="n">
        <v>858.597</v>
      </c>
      <c r="J123" s="253" t="n">
        <v>927.938</v>
      </c>
      <c r="K123" s="253" t="n">
        <v>1035.965</v>
      </c>
      <c r="L123" s="253" t="n">
        <v>1036.834</v>
      </c>
      <c r="M123" s="253" t="n">
        <v>301.8</v>
      </c>
      <c r="N123" s="253" t="n">
        <v>262.26</v>
      </c>
      <c r="O123" s="253" t="n">
        <v>262.614</v>
      </c>
      <c r="P123" s="253" t="n">
        <v>332.381</v>
      </c>
      <c r="Q123" s="253" t="n">
        <v>1158.987</v>
      </c>
      <c r="R123" s="253" t="n">
        <v>253.064</v>
      </c>
      <c r="S123" s="253" t="n">
        <v>293.612</v>
      </c>
      <c r="T123" s="253" t="n">
        <v>422.388</v>
      </c>
      <c r="U123" s="253" t="n">
        <v>563.848</v>
      </c>
      <c r="V123" s="253" t="n">
        <v>1532.912</v>
      </c>
      <c r="W123" s="253" t="n">
        <v>314.001</v>
      </c>
      <c r="X123" s="253" t="n">
        <v>300.886</v>
      </c>
      <c r="Y123" s="253" t="n">
        <v>300.273</v>
      </c>
      <c r="Z123" s="253" t="n">
        <v>366.284</v>
      </c>
      <c r="AA123" s="253" t="n">
        <v>1281.443</v>
      </c>
      <c r="AB123" s="253" t="n">
        <v>329.289</v>
      </c>
      <c r="AC123" s="253" t="n">
        <v>225.417</v>
      </c>
      <c r="AD123" s="253" t="n">
        <v>341.629</v>
      </c>
      <c r="AE123" s="253" t="n">
        <v>352</v>
      </c>
      <c r="AF123" s="253" t="n">
        <v>1246</v>
      </c>
      <c r="AG123" s="253" t="n">
        <v>323</v>
      </c>
      <c r="AH123" s="253" t="n">
        <v>308</v>
      </c>
      <c r="AI123" s="253" t="n">
        <v>317</v>
      </c>
      <c r="AJ123" s="253" t="n">
        <v>318</v>
      </c>
      <c r="AK123" s="253" t="n">
        <v>1266</v>
      </c>
      <c r="AL123" s="253" t="n">
        <v>305</v>
      </c>
      <c r="AM123" s="254">
        <f>AM120-AM121-AM122-AM124-AM125-AM126-AM127</f>
        <v>372.779419666338</v>
      </c>
      <c r="AN123" s="254">
        <f>AN120-AN121-AN122-AN124-AN125-AN126-AN127</f>
        <v>362.280807411269</v>
      </c>
      <c r="AO123" s="254">
        <f>AO120-AO121-AO122-AO124-AO125-AO126-AO127</f>
        <v>377.71821938938</v>
      </c>
      <c r="AP123" s="254">
        <f>SUM(AL123,AM123,AN123,AO123)</f>
        <v>1417.77844646699</v>
      </c>
      <c r="AQ123" s="254">
        <f>AQ120-AQ121-AQ122-AQ124-AQ125-AQ126-AQ127</f>
        <v>1263.04121453561</v>
      </c>
      <c r="AR123" s="254">
        <f>AR120-AR121-AR122-AR124-AR125-AR126-AR127</f>
        <v>1305.87660765057</v>
      </c>
      <c r="AS123" s="254">
        <f>AS120-AS121-AS122-AS124-AS125-AS126-AS127</f>
        <v>1356.5509943525</v>
      </c>
      <c r="AT123" s="254">
        <f>AT120-AT121-AT122-AT124-AT125-AT126-AT127</f>
        <v>1412.20104967139</v>
      </c>
      <c r="AU123" s="19" t="inlineStr">
        <is>
          <t>Forecast = implied balancing line (revenue − other operating costs − operating income).</t>
        </is>
      </c>
    </row>
    <row r="124" ht="15" customHeight="1" s="251">
      <c r="B124" s="25" t="inlineStr">
        <is>
          <t>Depreciation and amortization</t>
        </is>
      </c>
      <c r="C124" s="253" t="n">
        <v>75.205</v>
      </c>
      <c r="D124" s="253" t="n">
        <v>74.009</v>
      </c>
      <c r="E124" s="253" t="n">
        <v>72.327</v>
      </c>
      <c r="F124" s="253" t="n">
        <v>62.66</v>
      </c>
      <c r="G124" s="253" t="n">
        <v>61.536</v>
      </c>
      <c r="H124" s="253" t="n">
        <v>59.544</v>
      </c>
      <c r="I124" s="253" t="n">
        <v>64.756</v>
      </c>
      <c r="J124" s="253" t="n">
        <v>68.575</v>
      </c>
      <c r="K124" s="253" t="n">
        <v>81.081</v>
      </c>
      <c r="L124" s="253" t="n">
        <v>84.315</v>
      </c>
      <c r="M124" s="253" t="n">
        <v>27.745</v>
      </c>
      <c r="N124" s="253" t="n">
        <v>37.602</v>
      </c>
      <c r="O124" s="253" t="n">
        <v>39.576</v>
      </c>
      <c r="P124" s="253" t="n">
        <v>40.824</v>
      </c>
      <c r="Q124" s="253" t="n">
        <v>145.747</v>
      </c>
      <c r="R124" s="253" t="n">
        <v>40.102</v>
      </c>
      <c r="S124" s="253" t="n">
        <v>39.052</v>
      </c>
      <c r="T124" s="253" t="n">
        <v>42.046</v>
      </c>
      <c r="U124" s="253" t="n">
        <v>44.284</v>
      </c>
      <c r="V124" s="253" t="n">
        <v>165.484</v>
      </c>
      <c r="W124" s="253" t="n">
        <v>41.847</v>
      </c>
      <c r="X124" s="253" t="n">
        <v>40.907</v>
      </c>
      <c r="Y124" s="253" t="n">
        <v>41.113</v>
      </c>
      <c r="Z124" s="253" t="n">
        <v>40.335</v>
      </c>
      <c r="AA124" s="253" t="n">
        <v>164.203</v>
      </c>
      <c r="AB124" s="253" t="n">
        <v>41.129</v>
      </c>
      <c r="AC124" s="253" t="n">
        <v>42.056</v>
      </c>
      <c r="AD124" s="253" t="n">
        <v>40.156</v>
      </c>
      <c r="AE124" s="253" t="n">
        <v>42</v>
      </c>
      <c r="AF124" s="253" t="n">
        <v>165</v>
      </c>
      <c r="AG124" s="253" t="n">
        <v>40</v>
      </c>
      <c r="AH124" s="253" t="n">
        <v>41</v>
      </c>
      <c r="AI124" s="253" t="n">
        <v>40</v>
      </c>
      <c r="AJ124" s="253" t="n">
        <v>42</v>
      </c>
      <c r="AK124" s="253" t="n">
        <v>163</v>
      </c>
      <c r="AL124" s="253" t="n">
        <v>45</v>
      </c>
      <c r="AM124" s="254">
        <f>AM101</f>
        <v>48.0065934065934</v>
      </c>
      <c r="AN124" s="254">
        <f>AN101</f>
        <v>52.2</v>
      </c>
      <c r="AO124" s="254">
        <f>AO101</f>
        <v>52.2</v>
      </c>
      <c r="AP124" s="254">
        <f>SUM(AL124,AM124,AN124,AO124)</f>
        <v>197.406593406593</v>
      </c>
      <c r="AQ124" s="254">
        <f>AQ101</f>
        <v>201.58562171626</v>
      </c>
      <c r="AR124" s="254">
        <f>AR101</f>
        <v>206.391713331829</v>
      </c>
      <c r="AS124" s="254">
        <f>AS101</f>
        <v>212.591570316274</v>
      </c>
      <c r="AT124" s="254">
        <f>AT101</f>
        <v>221.742304528228</v>
      </c>
      <c r="AU124" s="19" t="n"/>
    </row>
    <row r="125" ht="15" customHeight="1" s="251">
      <c r="B125" s="25" t="inlineStr">
        <is>
          <t>Restructuring charge (shown separately in FY2012)</t>
        </is>
      </c>
      <c r="C125" s="253" t="n">
        <v>15.66</v>
      </c>
      <c r="D125" s="253" t="n">
        <v>0</v>
      </c>
      <c r="E125" s="253" t="n">
        <v>0</v>
      </c>
      <c r="F125" s="253" t="n">
        <v>0</v>
      </c>
      <c r="G125" s="253" t="n">
        <v>0</v>
      </c>
      <c r="H125" s="253" t="n">
        <v>0</v>
      </c>
      <c r="I125" s="253" t="n">
        <v>0</v>
      </c>
      <c r="J125" s="253" t="n">
        <v>0</v>
      </c>
      <c r="K125" s="253" t="n">
        <v>0</v>
      </c>
      <c r="L125" s="253" t="n">
        <v>0</v>
      </c>
      <c r="M125" s="253" t="n">
        <v>0</v>
      </c>
      <c r="N125" s="253" t="n">
        <v>0</v>
      </c>
      <c r="O125" s="253" t="n">
        <v>0</v>
      </c>
      <c r="P125" s="253" t="n">
        <v>0</v>
      </c>
      <c r="Q125" s="253" t="n">
        <v>0</v>
      </c>
      <c r="R125" s="253" t="n">
        <v>0</v>
      </c>
      <c r="S125" s="253" t="n">
        <v>0</v>
      </c>
      <c r="T125" s="253" t="n">
        <v>0</v>
      </c>
      <c r="U125" s="253" t="n">
        <v>0</v>
      </c>
      <c r="V125" s="253" t="n">
        <v>0</v>
      </c>
      <c r="W125" s="253" t="n">
        <v>0</v>
      </c>
      <c r="X125" s="253" t="n">
        <v>0</v>
      </c>
      <c r="Y125" s="253" t="n">
        <v>0</v>
      </c>
      <c r="Z125" s="253" t="n">
        <v>0</v>
      </c>
      <c r="AA125" s="253" t="n">
        <v>0</v>
      </c>
      <c r="AB125" s="253" t="n">
        <v>0</v>
      </c>
      <c r="AC125" s="253" t="n">
        <v>0</v>
      </c>
      <c r="AD125" s="253" t="n">
        <v>0</v>
      </c>
      <c r="AE125" s="253" t="n">
        <v>0</v>
      </c>
      <c r="AF125" s="253" t="n">
        <v>0</v>
      </c>
      <c r="AG125" s="253" t="n">
        <v>0</v>
      </c>
      <c r="AH125" s="253" t="n">
        <v>0</v>
      </c>
      <c r="AI125" s="253" t="n">
        <v>0</v>
      </c>
      <c r="AJ125" s="253" t="n">
        <v>0</v>
      </c>
      <c r="AK125" s="253" t="n">
        <v>0</v>
      </c>
      <c r="AL125" s="253" t="n">
        <v>0</v>
      </c>
      <c r="AM125" s="254">
        <f>0</f>
        <v>0</v>
      </c>
      <c r="AN125" s="254">
        <f>0</f>
        <v>0</v>
      </c>
      <c r="AO125" s="254">
        <f>0</f>
        <v>0</v>
      </c>
      <c r="AP125" s="254">
        <f>SUM(AL125,AM125,AN125,AO125)</f>
        <v>0</v>
      </c>
      <c r="AQ125" s="254">
        <f>0</f>
        <v>0</v>
      </c>
      <c r="AR125" s="254">
        <f>0</f>
        <v>0</v>
      </c>
      <c r="AS125" s="254">
        <f>0</f>
        <v>0</v>
      </c>
      <c r="AT125" s="254">
        <f>0</f>
        <v>0</v>
      </c>
      <c r="AU125" s="19" t="n"/>
    </row>
    <row r="126" ht="15" customHeight="1" s="251">
      <c r="B126" s="25" t="inlineStr">
        <is>
          <t>Other operating costs (none presented separately since FY2012)</t>
        </is>
      </c>
      <c r="C126" s="253" t="n">
        <v>0</v>
      </c>
      <c r="D126" s="253" t="n">
        <v>0</v>
      </c>
      <c r="E126" s="253" t="n">
        <v>0</v>
      </c>
      <c r="F126" s="253" t="n">
        <v>0</v>
      </c>
      <c r="G126" s="253" t="n">
        <v>0</v>
      </c>
      <c r="H126" s="253" t="n">
        <v>0</v>
      </c>
      <c r="I126" s="253" t="n">
        <v>0</v>
      </c>
      <c r="J126" s="253" t="n">
        <v>0</v>
      </c>
      <c r="K126" s="253" t="n">
        <v>0</v>
      </c>
      <c r="L126" s="253" t="n">
        <v>0</v>
      </c>
      <c r="M126" s="253" t="n">
        <v>0</v>
      </c>
      <c r="N126" s="253" t="n">
        <v>0</v>
      </c>
      <c r="O126" s="253" t="n">
        <v>0</v>
      </c>
      <c r="P126" s="253" t="n">
        <v>0</v>
      </c>
      <c r="Q126" s="253" t="n">
        <v>0</v>
      </c>
      <c r="R126" s="253" t="n">
        <v>0</v>
      </c>
      <c r="S126" s="253" t="n">
        <v>0</v>
      </c>
      <c r="T126" s="253" t="n">
        <v>0</v>
      </c>
      <c r="U126" s="253" t="n">
        <v>0</v>
      </c>
      <c r="V126" s="253" t="n">
        <v>0</v>
      </c>
      <c r="W126" s="253" t="n">
        <v>0</v>
      </c>
      <c r="X126" s="253" t="n">
        <v>0</v>
      </c>
      <c r="Y126" s="253" t="n">
        <v>0</v>
      </c>
      <c r="Z126" s="253" t="n">
        <v>0</v>
      </c>
      <c r="AA126" s="253" t="n">
        <v>0</v>
      </c>
      <c r="AB126" s="253" t="n">
        <v>0</v>
      </c>
      <c r="AC126" s="253" t="n">
        <v>0</v>
      </c>
      <c r="AD126" s="253" t="n">
        <v>0</v>
      </c>
      <c r="AE126" s="253" t="n">
        <v>0</v>
      </c>
      <c r="AF126" s="253" t="n">
        <v>0</v>
      </c>
      <c r="AG126" s="253" t="n">
        <v>0</v>
      </c>
      <c r="AH126" s="253" t="n">
        <v>0</v>
      </c>
      <c r="AI126" s="253" t="n">
        <v>0</v>
      </c>
      <c r="AJ126" s="253" t="n">
        <v>0</v>
      </c>
      <c r="AK126" s="253" t="n">
        <v>0</v>
      </c>
      <c r="AL126" s="253" t="n">
        <v>0</v>
      </c>
      <c r="AM126" s="254">
        <f>0</f>
        <v>0</v>
      </c>
      <c r="AN126" s="254">
        <f>0</f>
        <v>0</v>
      </c>
      <c r="AO126" s="254">
        <f>0</f>
        <v>0</v>
      </c>
      <c r="AP126" s="254">
        <f>SUM(AL126,AM126,AN126,AO126)</f>
        <v>0</v>
      </c>
      <c r="AQ126" s="254">
        <f>0</f>
        <v>0</v>
      </c>
      <c r="AR126" s="254">
        <f>0</f>
        <v>0</v>
      </c>
      <c r="AS126" s="254">
        <f>0</f>
        <v>0</v>
      </c>
      <c r="AT126" s="254">
        <f>0</f>
        <v>0</v>
      </c>
      <c r="AU126" s="19" t="n"/>
    </row>
    <row r="127" ht="15" customHeight="1" s="251">
      <c r="B127" s="55" t="inlineStr">
        <is>
          <t>Operating income</t>
        </is>
      </c>
      <c r="C127" s="288" t="n">
        <v>387.432</v>
      </c>
      <c r="D127" s="288" t="n">
        <v>446.234</v>
      </c>
      <c r="E127" s="288" t="n">
        <v>460.611</v>
      </c>
      <c r="F127" s="288" t="n">
        <v>458.822</v>
      </c>
      <c r="G127" s="288" t="n">
        <v>444.584</v>
      </c>
      <c r="H127" s="288" t="n">
        <v>484.247</v>
      </c>
      <c r="I127" s="288" t="n">
        <v>520.085</v>
      </c>
      <c r="J127" s="288" t="n">
        <v>602.394</v>
      </c>
      <c r="K127" s="288" t="n">
        <v>669.202</v>
      </c>
      <c r="L127" s="288" t="n">
        <v>754.371</v>
      </c>
      <c r="M127" s="288" t="n">
        <v>141.257</v>
      </c>
      <c r="N127" s="288" t="n">
        <v>218.367</v>
      </c>
      <c r="O127" s="288" t="n">
        <v>177.212</v>
      </c>
      <c r="P127" s="288" t="n">
        <v>148.345</v>
      </c>
      <c r="Q127" s="288" t="n">
        <v>685.181</v>
      </c>
      <c r="R127" s="288" t="n">
        <v>207.195</v>
      </c>
      <c r="S127" s="288" t="n">
        <v>223.921</v>
      </c>
      <c r="T127" s="288" t="n">
        <v>58.64</v>
      </c>
      <c r="U127" s="288" t="n">
        <v>-42.908</v>
      </c>
      <c r="V127" s="288" t="n">
        <v>446.848</v>
      </c>
      <c r="W127" s="288" t="n">
        <v>234.418</v>
      </c>
      <c r="X127" s="288" t="n">
        <v>266.989</v>
      </c>
      <c r="Y127" s="288" t="n">
        <v>247.558</v>
      </c>
      <c r="Z127" s="288" t="n">
        <v>264.439</v>
      </c>
      <c r="AA127" s="288" t="n">
        <v>1013.403</v>
      </c>
      <c r="AB127" s="288" t="n">
        <v>255.164</v>
      </c>
      <c r="AC127" s="288" t="n">
        <v>548.609</v>
      </c>
      <c r="AD127" s="288" t="n">
        <v>291.259</v>
      </c>
      <c r="AE127" s="288" t="n">
        <v>274</v>
      </c>
      <c r="AF127" s="288" t="n">
        <v>1370</v>
      </c>
      <c r="AG127" s="288" t="n">
        <v>257</v>
      </c>
      <c r="AH127" s="288" t="n">
        <v>283</v>
      </c>
      <c r="AI127" s="288" t="n">
        <v>230</v>
      </c>
      <c r="AJ127" s="288" t="n">
        <v>263</v>
      </c>
      <c r="AK127" s="288" t="n">
        <v>1033</v>
      </c>
      <c r="AL127" s="288" t="n">
        <v>279</v>
      </c>
      <c r="AM127" s="285">
        <f>AM81-AM124-AM156</f>
        <v>280.075225482488</v>
      </c>
      <c r="AN127" s="285">
        <f>AN81-AN124-AN156</f>
        <v>242.989642495509</v>
      </c>
      <c r="AO127" s="285">
        <f>AO81-AO124-AO156</f>
        <v>267.726340813212</v>
      </c>
      <c r="AP127" s="285">
        <f>SUM(AL127,AM127,AN127,AO127)</f>
        <v>1069.79120879121</v>
      </c>
      <c r="AQ127" s="285">
        <f>AQ81-AQ124-AQ156</f>
        <v>1157.86934150585</v>
      </c>
      <c r="AR127" s="285">
        <f>AR81-AR124-AR156</f>
        <v>1232.18687231784</v>
      </c>
      <c r="AS127" s="285">
        <f>AS81-AS124-AS156</f>
        <v>1314.73448228925</v>
      </c>
      <c r="AT127" s="285">
        <f>AT81-AT124-AT156</f>
        <v>1401.47484542139</v>
      </c>
      <c r="AU127" s="153" t="inlineStr">
        <is>
          <t>Forecast = adjusted EBITDA − D&amp;A − operating adjusting items.</t>
        </is>
      </c>
      <c r="AW127" s="20">
        <f>IFERROR((AT127/AK127)^(1/5)-1,"n/m")</f>
        <v>0.0629112338943918</v>
      </c>
      <c r="AX127" s="20">
        <f>IFERROR((AK127/L127)^(1/5)-1,"n/m")</f>
        <v>0.0648858772809193</v>
      </c>
      <c r="AY127" s="20">
        <f>IFERROR((AK127/G127)^(1/10)-1,"n/m")</f>
        <v>0.0879643110632287</v>
      </c>
      <c r="AZ127" s="20">
        <f>IFERROR((AK127/C127)^(1/14)-1,"n/m")</f>
        <v>0.0725604381592315</v>
      </c>
    </row>
    <row r="128" ht="15" customHeight="1" s="251">
      <c r="B128" s="25" t="inlineStr">
        <is>
          <t xml:space="preserve">  Operating margin %</t>
        </is>
      </c>
      <c r="C128" s="215">
        <f>IF(AND(ISNUMBER(C127),ISNUMBER(C120)),IFERROR(C127/C120,""),"")</f>
        <v>0.0661234997571348</v>
      </c>
      <c r="D128" s="215">
        <f>IF(AND(ISNUMBER(D127),ISNUMBER(D120)),IFERROR(D127/D120,""),"")</f>
        <v>0.0774972955296221</v>
      </c>
      <c r="E128" s="215">
        <f>IF(AND(ISNUMBER(E127),ISNUMBER(E120)),IFERROR(E127/E120,""),"")</f>
        <v>0.084073153943833</v>
      </c>
      <c r="F128" s="215">
        <f>IF(AND(ISNUMBER(F127),ISNUMBER(F120)),IFERROR(F127/F120,""),"")</f>
        <v>0.0869842666125727</v>
      </c>
      <c r="G128" s="215">
        <f>IF(AND(ISNUMBER(G127),ISNUMBER(G120)),IFERROR(G127/G120,""),"")</f>
        <v>0.0822429795894659</v>
      </c>
      <c r="H128" s="215">
        <f>IF(AND(ISNUMBER(H127),ISNUMBER(H120)),IFERROR(H127/H120,""),"")</f>
        <v>0.0834292395065438</v>
      </c>
      <c r="I128" s="215">
        <f>IF(AND(ISNUMBER(I127),ISNUMBER(I120)),IFERROR(I127/I120,""),"")</f>
        <v>0.0842672370842274</v>
      </c>
      <c r="J128" s="215">
        <f>IF(AND(ISNUMBER(J127),ISNUMBER(J120)),IFERROR(J127/J120,""),"")</f>
        <v>0.0898554110008641</v>
      </c>
      <c r="K128" s="215">
        <f>IF(AND(ISNUMBER(K127),ISNUMBER(K120)),IFERROR(K127/K120,""),"")</f>
        <v>0.0896591982599844</v>
      </c>
      <c r="L128" s="215">
        <f>IF(AND(ISNUMBER(L127),ISNUMBER(L120)),IFERROR(L127/L120,""),"")</f>
        <v>0.0959889236942701</v>
      </c>
      <c r="M128" s="215">
        <f>IF(AND(ISNUMBER(M127),ISNUMBER(M120)),IFERROR(M127/M120,""),"")</f>
        <v>0.0710167485644016</v>
      </c>
      <c r="N128" s="215">
        <f>IF(AND(ISNUMBER(N127),ISNUMBER(N120)),IFERROR(N127/N120,""),"")</f>
        <v>0.103686163307595</v>
      </c>
      <c r="O128" s="215">
        <f>IF(AND(ISNUMBER(O127),ISNUMBER(O120)),IFERROR(O127/O120,""),"")</f>
        <v>0.0872741957725115</v>
      </c>
      <c r="P128" s="215">
        <f>IF(AND(ISNUMBER(P127),ISNUMBER(P120)),IFERROR(P127/P120,""),"")</f>
        <v>0.0662823782570386</v>
      </c>
      <c r="Q128" s="215">
        <f>IF(AND(ISNUMBER(Q127),ISNUMBER(Q120)),IFERROR(Q127/Q120,""),"")</f>
        <v>0.0819231918887574</v>
      </c>
      <c r="R128" s="215">
        <f>IF(AND(ISNUMBER(R127),ISNUMBER(R120)),IFERROR(R127/R120,""),"")</f>
        <v>0.0921030405405405</v>
      </c>
      <c r="S128" s="215">
        <f>IF(AND(ISNUMBER(S127),ISNUMBER(S120)),IFERROR(S127/S120,""),"")</f>
        <v>0.0974003208384951</v>
      </c>
      <c r="T128" s="215">
        <f>IF(AND(ISNUMBER(T127),ISNUMBER(T120)),IFERROR(T127/T120,""),"")</f>
        <v>0.0257523470910475</v>
      </c>
      <c r="U128" s="215">
        <f>IF(AND(ISNUMBER(U127),ISNUMBER(U120)),IFERROR(U127/U120,""),"")</f>
        <v>-0.0176339488447807</v>
      </c>
      <c r="V128" s="215">
        <f>IF(AND(ISNUMBER(V127),ISNUMBER(V120)),IFERROR(V127/V120,""),"")</f>
        <v>0.048261399207747</v>
      </c>
      <c r="W128" s="215">
        <f>IF(AND(ISNUMBER(W127),ISNUMBER(W120)),IFERROR(W127/W120,""),"")</f>
        <v>0.0883101285898664</v>
      </c>
      <c r="X128" s="215">
        <f>IF(AND(ISNUMBER(X127),ISNUMBER(X120)),IFERROR(X127/X120,""),"")</f>
        <v>0.100135319519841</v>
      </c>
      <c r="Y128" s="215">
        <f>IF(AND(ISNUMBER(Y127),ISNUMBER(Y120)),IFERROR(Y127/Y120,""),"")</f>
        <v>0.0963335293277573</v>
      </c>
      <c r="Z128" s="215">
        <f>IF(AND(ISNUMBER(Z127),ISNUMBER(Z120)),IFERROR(Z127/Z120,""),"")</f>
        <v>0.095419631100913</v>
      </c>
      <c r="AA128" s="215">
        <f>IF(AND(ISNUMBER(AA127),ISNUMBER(AA120)),IFERROR(AA127/AA120,""),"")</f>
        <v>0.095049041934005</v>
      </c>
      <c r="AB128" s="215">
        <f>IF(AND(ISNUMBER(AB127),ISNUMBER(AB120)),IFERROR(AB127/AB120,""),"")</f>
        <v>0.0867374601306616</v>
      </c>
      <c r="AC128" s="215">
        <f>IF(AND(ISNUMBER(AC127),ISNUMBER(AC120)),IFERROR(AC127/AC120,""),"")</f>
        <v>0.174361632679525</v>
      </c>
      <c r="AD128" s="215">
        <f>IF(AND(ISNUMBER(AD127),ISNUMBER(AD120)),IFERROR(AD127/AD120,""),"")</f>
        <v>0.0998423140076581</v>
      </c>
      <c r="AE128" s="215">
        <f>IF(AND(ISNUMBER(AE127),ISNUMBER(AE120)),IFERROR(AE127/AE120,""),"")</f>
        <v>0.0921318090114324</v>
      </c>
      <c r="AF128" s="215">
        <f>IF(AND(ISNUMBER(AF127),ISNUMBER(AF120)),IFERROR(AF127/AF120,""),"")</f>
        <v>0.114357262103506</v>
      </c>
      <c r="AG128" s="215">
        <f>IF(AND(ISNUMBER(AG127),ISNUMBER(AG120)),IFERROR(AG127/AG120,""),"")</f>
        <v>0.0878932968536252</v>
      </c>
      <c r="AH128" s="215">
        <f>IF(AND(ISNUMBER(AH127),ISNUMBER(AH120)),IFERROR(AH127/AH120,""),"")</f>
        <v>0.097923875432526</v>
      </c>
      <c r="AI128" s="215">
        <f>IF(AND(ISNUMBER(AI127),ISNUMBER(AI120)),IFERROR(AI127/AI120,""),"")</f>
        <v>0.0877862595419847</v>
      </c>
      <c r="AJ128" s="215">
        <f>IF(AND(ISNUMBER(AJ127),ISNUMBER(AJ120)),IFERROR(AJ127/AJ120,""),"")</f>
        <v>0.094502335609055</v>
      </c>
      <c r="AK128" s="215">
        <f>IF(AND(ISNUMBER(AK127),ISNUMBER(AK120)),IFERROR(AK127/AK120,""),"")</f>
        <v>0.0920923598110012</v>
      </c>
      <c r="AL128" s="215">
        <f>IF(AND(ISNUMBER(AL127),ISNUMBER(AL120)),IFERROR(AL127/AL120,""),"")</f>
        <v>0.0996428571428571</v>
      </c>
      <c r="AM128" s="256">
        <f>IF(AND(ISNUMBER(AM127),ISNUMBER(AM120)),IFERROR(AM127/AM120,""),"")</f>
        <v>0.0924270086425611</v>
      </c>
      <c r="AN128" s="256">
        <f>IF(AND(ISNUMBER(AN127),ISNUMBER(AN120)),IFERROR(AN127/AN120,""),"")</f>
        <v>0.0874618549931909</v>
      </c>
      <c r="AO128" s="256">
        <f>IF(AND(ISNUMBER(AO127),ISNUMBER(AO120)),IFERROR(AO127/AO120,""),"")</f>
        <v>0.0907447205653475</v>
      </c>
      <c r="AP128" s="256">
        <f>IF(AND(ISNUMBER(AP127),ISNUMBER(AP120)),IFERROR(AP127/AP120,""),"")</f>
        <v>0.0925521699862148</v>
      </c>
      <c r="AQ128" s="256">
        <f>IF(AND(ISNUMBER(AQ127),ISNUMBER(AQ120)),IFERROR(AQ127/AQ120,""),"")</f>
        <v>0.097133127320356</v>
      </c>
      <c r="AR128" s="256">
        <f>IF(AND(ISNUMBER(AR127),ISNUMBER(AR120)),IFERROR(AR127/AR120,""),"")</f>
        <v>0.0987741073607933</v>
      </c>
      <c r="AS128" s="256">
        <f>IF(AND(ISNUMBER(AS127),ISNUMBER(AS120)),IFERROR(AS127/AS120,""),"")</f>
        <v>0.100296088007196</v>
      </c>
      <c r="AT128" s="256">
        <f>IF(AND(ISNUMBER(AT127),ISNUMBER(AT120)),IFERROR(AT127/AT120,""),"")</f>
        <v>0.101575613545179</v>
      </c>
      <c r="AU128" s="153" t="n"/>
      <c r="AW128" s="37">
        <f>IFERROR(AVERAGE(AP128,AQ128,AR128,AS128,AT128),"n/m")</f>
        <v>0.0980662212439478</v>
      </c>
      <c r="AX128" s="37">
        <f>IFERROR(AVERAGE(Q128,V128,AA128,AF128,AK128),"n/m")</f>
        <v>0.0863366509890033</v>
      </c>
      <c r="AY128" s="37">
        <f>IFERROR(AVERAGE(H128,I128,J128,K128,L128,Q128,V128,AA128,AF128,AK128),"n/m")</f>
        <v>0.0874883264490906</v>
      </c>
      <c r="AZ128" s="37">
        <f>IFERROR(AVERAGE(C128,D128,E128,F128,G128,H128,I128,J128,K128,L128,Q128,V128,AA128,AF128,AK128),"n/m")</f>
        <v>0.0847869639949023</v>
      </c>
    </row>
    <row r="129" ht="15" customHeight="1" s="251">
      <c r="B129" s="25" t="inlineStr">
        <is>
          <t>Interest expense (gross to Q3 FY2025; net of interest income from Q4 FY2025)</t>
        </is>
      </c>
      <c r="C129" s="253" t="n">
        <v>48.078</v>
      </c>
      <c r="D129" s="253" t="n">
        <v>70.28400000000001</v>
      </c>
      <c r="E129" s="253" t="n">
        <v>78.03</v>
      </c>
      <c r="F129" s="253" t="n">
        <v>71.83199999999999</v>
      </c>
      <c r="G129" s="253" t="n">
        <v>70.815</v>
      </c>
      <c r="H129" s="253" t="n">
        <v>62.298</v>
      </c>
      <c r="I129" s="253" t="n">
        <v>82.26900000000001</v>
      </c>
      <c r="J129" s="253" t="n">
        <v>89.517</v>
      </c>
      <c r="K129" s="253" t="n">
        <v>96.95999999999999</v>
      </c>
      <c r="L129" s="253" t="n">
        <v>81.27</v>
      </c>
      <c r="M129" s="253" t="n">
        <v>21.27</v>
      </c>
      <c r="N129" s="253" t="n">
        <v>24.254</v>
      </c>
      <c r="O129" s="253" t="n">
        <v>23.677</v>
      </c>
      <c r="P129" s="253" t="n">
        <v>23.151</v>
      </c>
      <c r="Q129" s="253" t="n">
        <v>92.352</v>
      </c>
      <c r="R129" s="253" t="n">
        <v>24.655</v>
      </c>
      <c r="S129" s="253" t="n">
        <v>28.342</v>
      </c>
      <c r="T129" s="253" t="n">
        <v>32.031</v>
      </c>
      <c r="U129" s="253" t="n">
        <v>34.822</v>
      </c>
      <c r="V129" s="253" t="n">
        <v>119.85</v>
      </c>
      <c r="W129" s="253" t="n">
        <v>35.474</v>
      </c>
      <c r="X129" s="253" t="n">
        <v>44.756</v>
      </c>
      <c r="Y129" s="253" t="n">
        <v>46.582</v>
      </c>
      <c r="Z129" s="253" t="n">
        <v>46.09</v>
      </c>
      <c r="AA129" s="253" t="n">
        <v>172.901</v>
      </c>
      <c r="AB129" s="253" t="n">
        <v>45.931</v>
      </c>
      <c r="AC129" s="253" t="n">
        <v>47.045</v>
      </c>
      <c r="AD129" s="253" t="n">
        <v>45.629</v>
      </c>
      <c r="AE129" s="253" t="n">
        <v>43</v>
      </c>
      <c r="AF129" s="253" t="n">
        <v>168</v>
      </c>
      <c r="AG129" s="253" t="n">
        <v>44</v>
      </c>
      <c r="AH129" s="253" t="n">
        <v>48</v>
      </c>
      <c r="AI129" s="253" t="n">
        <v>47</v>
      </c>
      <c r="AJ129" s="253" t="n">
        <v>45</v>
      </c>
      <c r="AK129" s="253" t="n">
        <v>184</v>
      </c>
      <c r="AL129" s="253" t="n">
        <v>48</v>
      </c>
      <c r="AM129" s="254">
        <f>($BE$19-AL129)/3</f>
        <v>56</v>
      </c>
      <c r="AN129" s="254">
        <f>($BE$19-AL129)/3</f>
        <v>56</v>
      </c>
      <c r="AO129" s="254">
        <f>($BE$19-AL129)/3</f>
        <v>56</v>
      </c>
      <c r="AP129" s="254">
        <f>SUM(AL129,AM129,AN129,AO129)</f>
        <v>216</v>
      </c>
      <c r="AQ129" s="254">
        <f>AP333*AQ342+AP339*AQ343+AQ344-AP248*AQ345</f>
        <v>215.7797740467</v>
      </c>
      <c r="AR129" s="254">
        <f>AQ333*AR342+AQ339*AR343+AR344-AQ248*AR345</f>
        <v>230.091318931648</v>
      </c>
      <c r="AS129" s="254">
        <f>AR333*AS342+AR339*AS343+AS344-AR248*AS345</f>
        <v>251.934466632195</v>
      </c>
      <c r="AT129" s="254">
        <f>AS333*AT342+AS339*AT343+AT344-AS248*AT345</f>
        <v>273.060798679911</v>
      </c>
      <c r="AU129" s="19" t="inlineStr">
        <is>
          <t>From the Q4 FY25 release interest income is netted in "interest expense, net" (previously in other income); FY2025 annual is on the new basis, Q1–Q3 FY25 on the old. Q2–Q4/27E: FY27 point estimate. 2028E+ = rate × opening notes &amp; term loans + rate × opening revolver + fees − yield × opening cash (no circularity).</t>
        </is>
      </c>
    </row>
    <row r="130" ht="15" customHeight="1" s="251">
      <c r="B130" s="25" t="inlineStr">
        <is>
          <t>Other income (expense), net</t>
        </is>
      </c>
      <c r="C130" s="253" t="n">
        <v>4.52</v>
      </c>
      <c r="D130" s="253" t="n">
        <v>-7.639</v>
      </c>
      <c r="E130" s="253" t="n">
        <v>-1.794</v>
      </c>
      <c r="F130" s="253" t="n">
        <v>-1.072</v>
      </c>
      <c r="G130" s="253" t="n">
        <v>5.693</v>
      </c>
      <c r="H130" s="253" t="n">
        <v>-10.049</v>
      </c>
      <c r="I130" s="253" t="n">
        <v>0.188</v>
      </c>
      <c r="J130" s="253" t="n">
        <v>2.526</v>
      </c>
      <c r="K130" s="253" t="n">
        <v>7.192</v>
      </c>
      <c r="L130" s="253" t="n">
        <v>-10.662</v>
      </c>
      <c r="M130" s="253" t="n">
        <v>-0.533</v>
      </c>
      <c r="N130" s="253" t="n">
        <v>6.848</v>
      </c>
      <c r="O130" s="253" t="n">
        <v>5.401</v>
      </c>
      <c r="P130" s="253" t="n">
        <v>-0.502</v>
      </c>
      <c r="Q130" s="253" t="n">
        <v>11.214</v>
      </c>
      <c r="R130" s="253" t="n">
        <v>-2.958</v>
      </c>
      <c r="S130" s="253" t="n">
        <v>26.46</v>
      </c>
      <c r="T130" s="253" t="n">
        <v>14.619</v>
      </c>
      <c r="U130" s="253" t="n">
        <v>2.83</v>
      </c>
      <c r="V130" s="253" t="n">
        <v>40.951</v>
      </c>
      <c r="W130" s="253" t="n">
        <v>1.924</v>
      </c>
      <c r="X130" s="253" t="n">
        <v>3.556</v>
      </c>
      <c r="Y130" s="253" t="n">
        <v>6.408</v>
      </c>
      <c r="Z130" s="253" t="n">
        <v>0.929</v>
      </c>
      <c r="AA130" s="253" t="n">
        <v>12.818</v>
      </c>
      <c r="AB130" s="253" t="n">
        <v>5.128</v>
      </c>
      <c r="AC130" s="253" t="n">
        <v>11.788</v>
      </c>
      <c r="AD130" s="253" t="n">
        <v>2.766</v>
      </c>
      <c r="AE130" s="253" t="n">
        <v>11</v>
      </c>
      <c r="AF130" s="253" t="n">
        <v>17</v>
      </c>
      <c r="AG130" s="253" t="n">
        <v>3</v>
      </c>
      <c r="AH130" s="253" t="n">
        <v>-2</v>
      </c>
      <c r="AI130" s="253" t="n">
        <v>4</v>
      </c>
      <c r="AJ130" s="253" t="n">
        <v>8</v>
      </c>
      <c r="AK130" s="253" t="n">
        <v>13</v>
      </c>
      <c r="AL130" s="253" t="n">
        <v>20</v>
      </c>
      <c r="AM130" s="254">
        <f>($BE$20-AL130)/3</f>
        <v>2</v>
      </c>
      <c r="AN130" s="254">
        <f>($BE$20-AL130)/3</f>
        <v>2</v>
      </c>
      <c r="AO130" s="254">
        <f>($BE$20-AL130)/3</f>
        <v>2</v>
      </c>
      <c r="AP130" s="254">
        <f>SUM(AL130,AM130,AN130,AO130)</f>
        <v>26</v>
      </c>
      <c r="AQ130" s="262" t="n">
        <v>8</v>
      </c>
      <c r="AR130" s="262" t="n">
        <v>8</v>
      </c>
      <c r="AS130" s="262" t="n">
        <v>8</v>
      </c>
      <c r="AT130" s="262" t="n">
        <v>8</v>
      </c>
      <c r="AU130" s="19" t="inlineStr">
        <is>
          <t>Gains / losses on investments and dispositions; interest income to Q3 FY2025. 2028E+ input.</t>
        </is>
      </c>
    </row>
    <row r="131" ht="15" customHeight="1" s="251">
      <c r="B131" s="16" t="inlineStr">
        <is>
          <t>Income before income taxes</t>
        </is>
      </c>
      <c r="C131" s="289" t="n">
        <v>343.874</v>
      </c>
      <c r="D131" s="289" t="n">
        <v>368.311</v>
      </c>
      <c r="E131" s="289" t="n">
        <v>380.787</v>
      </c>
      <c r="F131" s="289" t="n">
        <v>385.918</v>
      </c>
      <c r="G131" s="289" t="n">
        <v>379.462</v>
      </c>
      <c r="H131" s="289" t="n">
        <v>411.9</v>
      </c>
      <c r="I131" s="289" t="n">
        <v>438.004</v>
      </c>
      <c r="J131" s="289" t="n">
        <v>515.403</v>
      </c>
      <c r="K131" s="289" t="n">
        <v>579.434</v>
      </c>
      <c r="L131" s="289" t="n">
        <v>662.439</v>
      </c>
      <c r="M131" s="289" t="n">
        <v>119.454</v>
      </c>
      <c r="N131" s="289" t="n">
        <v>200.961</v>
      </c>
      <c r="O131" s="289" t="n">
        <v>158.936</v>
      </c>
      <c r="P131" s="289" t="n">
        <v>124.692</v>
      </c>
      <c r="Q131" s="289" t="n">
        <v>604.043</v>
      </c>
      <c r="R131" s="289" t="n">
        <v>179.582</v>
      </c>
      <c r="S131" s="289" t="n">
        <v>222.039</v>
      </c>
      <c r="T131" s="289" t="n">
        <v>41.228</v>
      </c>
      <c r="U131" s="289" t="n">
        <v>-74.90000000000001</v>
      </c>
      <c r="V131" s="289" t="n">
        <v>367.949</v>
      </c>
      <c r="W131" s="289" t="n">
        <v>200.868</v>
      </c>
      <c r="X131" s="289" t="n">
        <v>225.789</v>
      </c>
      <c r="Y131" s="289" t="n">
        <v>207.384</v>
      </c>
      <c r="Z131" s="289" t="n">
        <v>219.278</v>
      </c>
      <c r="AA131" s="289" t="n">
        <v>853.3200000000001</v>
      </c>
      <c r="AB131" s="289" t="n">
        <v>214.361</v>
      </c>
      <c r="AC131" s="289" t="n">
        <v>513.352</v>
      </c>
      <c r="AD131" s="289" t="n">
        <v>248.396</v>
      </c>
      <c r="AE131" s="289" t="n">
        <v>242</v>
      </c>
      <c r="AF131" s="289" t="n">
        <v>1219</v>
      </c>
      <c r="AG131" s="289" t="n">
        <v>216</v>
      </c>
      <c r="AH131" s="289" t="n">
        <v>233</v>
      </c>
      <c r="AI131" s="289" t="n">
        <v>187</v>
      </c>
      <c r="AJ131" s="289" t="n">
        <v>226</v>
      </c>
      <c r="AK131" s="289" t="n">
        <v>862</v>
      </c>
      <c r="AL131" s="289" t="n">
        <v>251</v>
      </c>
      <c r="AM131" s="265">
        <f>AM127-AM129+AM130</f>
        <v>226.075225482488</v>
      </c>
      <c r="AN131" s="265">
        <f>AN127-AN129+AN130</f>
        <v>188.989642495509</v>
      </c>
      <c r="AO131" s="265">
        <f>AO127-AO129+AO130</f>
        <v>213.726340813212</v>
      </c>
      <c r="AP131" s="265">
        <f>SUM(AL131,AM131,AN131,AO131)</f>
        <v>879.791208791209</v>
      </c>
      <c r="AQ131" s="265">
        <f>AQ127-AQ129+AQ130</f>
        <v>950.089567459151</v>
      </c>
      <c r="AR131" s="265">
        <f>AR127-AR129+AR130</f>
        <v>1010.09555338619</v>
      </c>
      <c r="AS131" s="265">
        <f>AS127-AS129+AS130</f>
        <v>1070.80001565705</v>
      </c>
      <c r="AT131" s="265">
        <f>AT127-AT129+AT130</f>
        <v>1136.41404674148</v>
      </c>
      <c r="AU131" s="153" t="n"/>
    </row>
    <row r="132" ht="15" customHeight="1" s="251">
      <c r="B132" s="25" t="inlineStr">
        <is>
          <t>Income tax expense (benefit)</t>
        </is>
      </c>
      <c r="C132" s="253" t="n">
        <v>103.919</v>
      </c>
      <c r="D132" s="253" t="n">
        <v>149.253</v>
      </c>
      <c r="E132" s="253" t="n">
        <v>148.599</v>
      </c>
      <c r="F132" s="253" t="n">
        <v>153.349</v>
      </c>
      <c r="G132" s="253" t="n">
        <v>85.36799999999999</v>
      </c>
      <c r="H132" s="253" t="n">
        <v>159.41</v>
      </c>
      <c r="I132" s="253" t="n">
        <v>132.893</v>
      </c>
      <c r="J132" s="253" t="n">
        <v>96.874</v>
      </c>
      <c r="K132" s="253" t="n">
        <v>96.831</v>
      </c>
      <c r="L132" s="253" t="n">
        <v>53.481</v>
      </c>
      <c r="M132" s="253" t="n">
        <v>27.352</v>
      </c>
      <c r="N132" s="253" t="n">
        <v>46.127</v>
      </c>
      <c r="O132" s="253" t="n">
        <v>30.09</v>
      </c>
      <c r="P132" s="253" t="n">
        <v>33.897</v>
      </c>
      <c r="Q132" s="253" t="n">
        <v>137.466</v>
      </c>
      <c r="R132" s="253" t="n">
        <v>41.489</v>
      </c>
      <c r="S132" s="253" t="n">
        <v>51.258</v>
      </c>
      <c r="T132" s="253" t="n">
        <v>10.539</v>
      </c>
      <c r="U132" s="253" t="n">
        <v>-6.552</v>
      </c>
      <c r="V132" s="253" t="n">
        <v>96.73399999999999</v>
      </c>
      <c r="W132" s="253" t="n">
        <v>39.48</v>
      </c>
      <c r="X132" s="253" t="n">
        <v>55.071</v>
      </c>
      <c r="Y132" s="253" t="n">
        <v>61.74</v>
      </c>
      <c r="Z132" s="253" t="n">
        <v>91.32299999999999</v>
      </c>
      <c r="AA132" s="253" t="n">
        <v>247.614</v>
      </c>
      <c r="AB132" s="253" t="n">
        <v>49.128</v>
      </c>
      <c r="AC132" s="253" t="n">
        <v>123.24</v>
      </c>
      <c r="AD132" s="253" t="n">
        <v>61.446</v>
      </c>
      <c r="AE132" s="253" t="n">
        <v>49</v>
      </c>
      <c r="AF132" s="253" t="n">
        <v>284</v>
      </c>
      <c r="AG132" s="253" t="n">
        <v>-55</v>
      </c>
      <c r="AH132" s="253" t="n">
        <v>58</v>
      </c>
      <c r="AI132" s="253" t="n">
        <v>-13</v>
      </c>
      <c r="AJ132" s="253" t="n">
        <v>21</v>
      </c>
      <c r="AK132" s="253" t="n">
        <v>11</v>
      </c>
      <c r="AL132" s="253" t="n">
        <v>53</v>
      </c>
      <c r="AM132" s="254">
        <f>AM131*AM133</f>
        <v>48.6061734787348</v>
      </c>
      <c r="AN132" s="254">
        <f>AN131*AN133</f>
        <v>40.6327731365344</v>
      </c>
      <c r="AO132" s="254">
        <f>AO131*AO133</f>
        <v>45.9511632748406</v>
      </c>
      <c r="AP132" s="254">
        <f>SUM(AL132,AM132,AN132,AO132)</f>
        <v>188.19010989011</v>
      </c>
      <c r="AQ132" s="254">
        <f>AQ131*AQ133</f>
        <v>213.770152678309</v>
      </c>
      <c r="AR132" s="254">
        <f>AR131*AR133</f>
        <v>227.271499511892</v>
      </c>
      <c r="AS132" s="254">
        <f>AS131*AS133</f>
        <v>240.930003522837</v>
      </c>
      <c r="AT132" s="254">
        <f>AT131*AT133</f>
        <v>255.693160516834</v>
      </c>
      <c r="AU132" s="19" t="n"/>
    </row>
    <row r="133" ht="15" customHeight="1" s="251">
      <c r="B133" s="25" t="inlineStr">
        <is>
          <t xml:space="preserve">  Effective tax rate</t>
        </is>
      </c>
      <c r="C133" s="215">
        <f>IF(AND(ISNUMBER(C132),ISNUMBER(C131)),IFERROR(C132/C131,""),"")</f>
        <v>0.302200806109214</v>
      </c>
      <c r="D133" s="215">
        <f>IF(AND(ISNUMBER(D132),ISNUMBER(D131)),IFERROR(D132/D131,""),"")</f>
        <v>0.405236335596819</v>
      </c>
      <c r="E133" s="215">
        <f>IF(AND(ISNUMBER(E132),ISNUMBER(E131)),IFERROR(E132/E131,""),"")</f>
        <v>0.390241788716527</v>
      </c>
      <c r="F133" s="215">
        <f>IF(AND(ISNUMBER(F132),ISNUMBER(F131)),IFERROR(F132/F131,""),"")</f>
        <v>0.397361615680015</v>
      </c>
      <c r="G133" s="215">
        <f>IF(AND(ISNUMBER(G132),ISNUMBER(G131)),IFERROR(G132/G131,""),"")</f>
        <v>0.224971143355593</v>
      </c>
      <c r="H133" s="215">
        <f>IF(AND(ISNUMBER(H132),ISNUMBER(H131)),IFERROR(H132/H131,""),"")</f>
        <v>0.387011410536538</v>
      </c>
      <c r="I133" s="215">
        <f>IF(AND(ISNUMBER(I132),ISNUMBER(I131)),IFERROR(I132/I131,""),"")</f>
        <v>0.303405904968904</v>
      </c>
      <c r="J133" s="215">
        <f>IF(AND(ISNUMBER(J132),ISNUMBER(J131)),IFERROR(J132/J131,""),"")</f>
        <v>0.187957772849595</v>
      </c>
      <c r="K133" s="215">
        <f>IF(AND(ISNUMBER(K132),ISNUMBER(K131)),IFERROR(K132/K131,""),"")</f>
        <v>0.167113079315332</v>
      </c>
      <c r="L133" s="215">
        <f>IF(AND(ISNUMBER(L132),ISNUMBER(L131)),IFERROR(L132/L131,""),"")</f>
        <v>0.0807334713083016</v>
      </c>
      <c r="M133" s="215">
        <f>IF(AND(ISNUMBER(M132),ISNUMBER(M131)),IFERROR(M132/M131,""),"")</f>
        <v>0.228975170358464</v>
      </c>
      <c r="N133" s="215">
        <f>IF(AND(ISNUMBER(N132),ISNUMBER(N131)),IFERROR(N132/N131,""),"")</f>
        <v>0.229532098267823</v>
      </c>
      <c r="O133" s="215">
        <f>IF(AND(ISNUMBER(O132),ISNUMBER(O131)),IFERROR(O132/O131,""),"")</f>
        <v>0.189321487894498</v>
      </c>
      <c r="P133" s="215">
        <f>IF(AND(ISNUMBER(P132),ISNUMBER(P131)),IFERROR(P132/P131,""),"")</f>
        <v>0.271845828120489</v>
      </c>
      <c r="Q133" s="215">
        <f>IF(AND(ISNUMBER(Q132),ISNUMBER(Q131)),IFERROR(Q132/Q131,""),"")</f>
        <v>0.227576513592575</v>
      </c>
      <c r="R133" s="215">
        <f>IF(AND(ISNUMBER(R132),ISNUMBER(R131)),IFERROR(R132/R131,""),"")</f>
        <v>0.231030949649742</v>
      </c>
      <c r="S133" s="215">
        <f>IF(AND(ISNUMBER(S132),ISNUMBER(S131)),IFERROR(S132/S131,""),"")</f>
        <v>0.230851336927297</v>
      </c>
      <c r="T133" s="215">
        <f>IF(AND(ISNUMBER(T132),ISNUMBER(T131)),IFERROR(T132/T131,""),"")</f>
        <v>0.25562724362084</v>
      </c>
      <c r="U133" s="215">
        <f>IF(AND(ISNUMBER(U132),ISNUMBER(U131)),IFERROR(U132/U131,""),"")</f>
        <v>0.0874766355140187</v>
      </c>
      <c r="V133" s="215">
        <f>IF(AND(ISNUMBER(V132),ISNUMBER(V131)),IFERROR(V132/V131,""),"")</f>
        <v>0.262900565023957</v>
      </c>
      <c r="W133" s="215">
        <f>IF(AND(ISNUMBER(W132),ISNUMBER(W131)),IFERROR(W132/W131,""),"")</f>
        <v>0.196546986080411</v>
      </c>
      <c r="X133" s="215">
        <f>IF(AND(ISNUMBER(X132),ISNUMBER(X131)),IFERROR(X132/X131,""),"")</f>
        <v>0.243904707492393</v>
      </c>
      <c r="Y133" s="215">
        <f>IF(AND(ISNUMBER(Y132),ISNUMBER(Y131)),IFERROR(Y132/Y131,""),"")</f>
        <v>0.297708598541835</v>
      </c>
      <c r="Z133" s="215">
        <f>IF(AND(ISNUMBER(Z132),ISNUMBER(Z131)),IFERROR(Z132/Z131,""),"")</f>
        <v>0.416471328633059</v>
      </c>
      <c r="AA133" s="215">
        <f>IF(AND(ISNUMBER(AA132),ISNUMBER(AA131)),IFERROR(AA132/AA131,""),"")</f>
        <v>0.290177190268598</v>
      </c>
      <c r="AB133" s="215">
        <f>IF(AND(ISNUMBER(AB132),ISNUMBER(AB131)),IFERROR(AB132/AB131,""),"")</f>
        <v>0.229183480203955</v>
      </c>
      <c r="AC133" s="215">
        <f>IF(AND(ISNUMBER(AC132),ISNUMBER(AC131)),IFERROR(AC132/AC131,""),"")</f>
        <v>0.240069192289112</v>
      </c>
      <c r="AD133" s="215">
        <f>IF(AND(ISNUMBER(AD132),ISNUMBER(AD131)),IFERROR(AD132/AD131,""),"")</f>
        <v>0.247371133190551</v>
      </c>
      <c r="AE133" s="215">
        <f>IF(AND(ISNUMBER(AE132),ISNUMBER(AE131)),IFERROR(AE132/AE131,""),"")</f>
        <v>0.202479338842975</v>
      </c>
      <c r="AF133" s="215">
        <f>IF(AND(ISNUMBER(AF132),ISNUMBER(AF131)),IFERROR(AF132/AF131,""),"")</f>
        <v>0.232977850697293</v>
      </c>
      <c r="AG133" s="215">
        <f>IF(AND(ISNUMBER(AG132),ISNUMBER(AG131)),IFERROR(AG132/AG131,""),"")</f>
        <v>-0.25462962962963</v>
      </c>
      <c r="AH133" s="215">
        <f>IF(AND(ISNUMBER(AH132),ISNUMBER(AH131)),IFERROR(AH132/AH131,""),"")</f>
        <v>0.248927038626609</v>
      </c>
      <c r="AI133" s="215">
        <f>IF(AND(ISNUMBER(AI132),ISNUMBER(AI131)),IFERROR(AI132/AI131,""),"")</f>
        <v>-0.0695187165775401</v>
      </c>
      <c r="AJ133" s="215">
        <f>IF(AND(ISNUMBER(AJ132),ISNUMBER(AJ131)),IFERROR(AJ132/AJ131,""),"")</f>
        <v>0.0929203539823009</v>
      </c>
      <c r="AK133" s="215">
        <f>IF(AND(ISNUMBER(AK132),ISNUMBER(AK131)),IFERROR(AK132/AK131,""),"")</f>
        <v>0.0127610208816705</v>
      </c>
      <c r="AL133" s="215">
        <f>IF(AND(ISNUMBER(AL132),ISNUMBER(AL131)),IFERROR(AL132/AL131,""),"")</f>
        <v>0.211155378486056</v>
      </c>
      <c r="AM133" s="256">
        <f>$BE$24</f>
        <v>0.215</v>
      </c>
      <c r="AN133" s="256">
        <f>$BE$24</f>
        <v>0.215</v>
      </c>
      <c r="AO133" s="256">
        <f>$BE$24</f>
        <v>0.215</v>
      </c>
      <c r="AP133" s="256">
        <f>IF(AND(ISNUMBER(AP132),ISNUMBER(AP131)),IFERROR(AP132/AP131,""),"")</f>
        <v>0.213903148849003</v>
      </c>
      <c r="AQ133" s="264" t="n">
        <v>0.225</v>
      </c>
      <c r="AR133" s="264" t="n">
        <v>0.225</v>
      </c>
      <c r="AS133" s="264" t="n">
        <v>0.225</v>
      </c>
      <c r="AT133" s="264" t="n">
        <v>0.225</v>
      </c>
      <c r="AU133" s="153" t="inlineStr">
        <is>
          <t>Q2–Q4/27E: FY27 guidance 20–23% (Q1/27 21.1%). 2028E+: input. FY2021, FY2024 and FY2026 include discrete benefits (tax method change, IRS agreement).</t>
        </is>
      </c>
      <c r="AW133" s="37">
        <f>IFERROR(AVERAGE(AP133,AQ133,AR133,AS133,AT133),"n/m")</f>
        <v>0.222780629769801</v>
      </c>
      <c r="AX133" s="37">
        <f>IFERROR(AVERAGE(Q133,V133,AA133,AF133,AK133),"n/m")</f>
        <v>0.205278628092819</v>
      </c>
      <c r="AY133" s="37">
        <f>IFERROR(AVERAGE(H133,I133,J133,K133,L133,Q133,V133,AA133,AF133,AK133),"n/m")</f>
        <v>0.215261477944277</v>
      </c>
      <c r="AZ133" s="37">
        <f>IFERROR(AVERAGE(C133,D133,E133,F133,G133,H133,I133,J133,K133,L133,Q133,V133,AA133,AF133,AK133),"n/m")</f>
        <v>0.258175097926729</v>
      </c>
    </row>
    <row r="134" ht="15" customHeight="1" s="251">
      <c r="B134" s="16" t="inlineStr">
        <is>
          <t>Net income</t>
        </is>
      </c>
      <c r="C134" s="289" t="n">
        <v>239.955</v>
      </c>
      <c r="D134" s="289" t="n">
        <v>219.058</v>
      </c>
      <c r="E134" s="289" t="n">
        <v>232.188</v>
      </c>
      <c r="F134" s="289" t="n">
        <v>232.569</v>
      </c>
      <c r="G134" s="289" t="n">
        <v>294.094</v>
      </c>
      <c r="H134" s="289" t="n">
        <v>252.49</v>
      </c>
      <c r="I134" s="289" t="n">
        <v>305.111</v>
      </c>
      <c r="J134" s="289" t="n">
        <v>418.529</v>
      </c>
      <c r="K134" s="289" t="n">
        <v>482.603</v>
      </c>
      <c r="L134" s="289" t="n">
        <v>608.958</v>
      </c>
      <c r="M134" s="289" t="n">
        <v>92.102</v>
      </c>
      <c r="N134" s="289" t="n">
        <v>154.834</v>
      </c>
      <c r="O134" s="289" t="n">
        <v>128.846</v>
      </c>
      <c r="P134" s="289" t="n">
        <v>90.795</v>
      </c>
      <c r="Q134" s="289" t="n">
        <v>466.577</v>
      </c>
      <c r="R134" s="289" t="n">
        <v>138.093</v>
      </c>
      <c r="S134" s="289" t="n">
        <v>170.781</v>
      </c>
      <c r="T134" s="289" t="n">
        <v>30.689</v>
      </c>
      <c r="U134" s="289" t="n">
        <v>-68.348</v>
      </c>
      <c r="V134" s="289" t="n">
        <v>271.215</v>
      </c>
      <c r="W134" s="289" t="n">
        <v>161.388</v>
      </c>
      <c r="X134" s="289" t="n">
        <v>170.718</v>
      </c>
      <c r="Y134" s="289" t="n">
        <v>145.644</v>
      </c>
      <c r="Z134" s="289" t="n">
        <v>127.955</v>
      </c>
      <c r="AA134" s="289" t="n">
        <v>605.706</v>
      </c>
      <c r="AB134" s="289" t="n">
        <v>165.233</v>
      </c>
      <c r="AC134" s="289" t="n">
        <v>390.112</v>
      </c>
      <c r="AD134" s="289" t="n">
        <v>186.95</v>
      </c>
      <c r="AE134" s="289" t="n">
        <v>193</v>
      </c>
      <c r="AF134" s="289" t="n">
        <v>935</v>
      </c>
      <c r="AG134" s="289" t="n">
        <v>271</v>
      </c>
      <c r="AH134" s="289" t="n">
        <v>175</v>
      </c>
      <c r="AI134" s="289" t="n">
        <v>200</v>
      </c>
      <c r="AJ134" s="289" t="n">
        <v>205</v>
      </c>
      <c r="AK134" s="289" t="n">
        <v>851</v>
      </c>
      <c r="AL134" s="289" t="n">
        <v>198</v>
      </c>
      <c r="AM134" s="265">
        <f>AM131-AM132</f>
        <v>177.469052003753</v>
      </c>
      <c r="AN134" s="265">
        <f>AN131-AN132</f>
        <v>148.356869358975</v>
      </c>
      <c r="AO134" s="265">
        <f>AO131-AO132</f>
        <v>167.775177538372</v>
      </c>
      <c r="AP134" s="265">
        <f>SUM(AL134,AM134,AN134,AO134)</f>
        <v>691.601098901099</v>
      </c>
      <c r="AQ134" s="265">
        <f>AQ131-AQ132</f>
        <v>736.319414780842</v>
      </c>
      <c r="AR134" s="265">
        <f>AR131-AR132</f>
        <v>782.824053874296</v>
      </c>
      <c r="AS134" s="265">
        <f>AS131-AS132</f>
        <v>829.870012134216</v>
      </c>
      <c r="AT134" s="265">
        <f>AT131-AT132</f>
        <v>880.720886224649</v>
      </c>
      <c r="AU134" s="153" t="n"/>
    </row>
    <row r="135" ht="15" customHeight="1" s="251">
      <c r="B135" s="25" t="inlineStr">
        <is>
          <t xml:space="preserve">  Net income attributable to non-controlling interest (FY2020–25)</t>
        </is>
      </c>
      <c r="C135" s="253" t="n">
        <v>0</v>
      </c>
      <c r="D135" s="253" t="n">
        <v>0</v>
      </c>
      <c r="E135" s="253" t="n">
        <v>0</v>
      </c>
      <c r="F135" s="253" t="n">
        <v>0</v>
      </c>
      <c r="G135" s="253" t="n">
        <v>0</v>
      </c>
      <c r="H135" s="253" t="n">
        <v>0</v>
      </c>
      <c r="I135" s="253" t="n">
        <v>0</v>
      </c>
      <c r="J135" s="253" t="n">
        <v>0</v>
      </c>
      <c r="K135" s="253" t="n">
        <v>0</v>
      </c>
      <c r="L135" s="253" t="n">
        <v>0</v>
      </c>
      <c r="M135" s="253" t="n">
        <v>0</v>
      </c>
      <c r="N135" s="253" t="n">
        <v>0</v>
      </c>
      <c r="O135" s="253" t="n">
        <v>-0.08500000000000001</v>
      </c>
      <c r="P135" s="253" t="n">
        <v>-0.078</v>
      </c>
      <c r="Q135" s="253" t="n">
        <v>-0.163</v>
      </c>
      <c r="R135" s="253" t="n">
        <v>-0.191</v>
      </c>
      <c r="S135" s="253" t="n">
        <v>-0.151</v>
      </c>
      <c r="T135" s="253" t="n">
        <v>-0.308</v>
      </c>
      <c r="U135" s="253" t="n">
        <v>0.074</v>
      </c>
      <c r="V135" s="253" t="n">
        <v>-0.576</v>
      </c>
      <c r="W135" s="253" t="n">
        <v>0</v>
      </c>
      <c r="X135" s="253" t="n">
        <v>0</v>
      </c>
      <c r="Y135" s="253" t="n">
        <v>0</v>
      </c>
      <c r="Z135" s="253" t="n">
        <v>0</v>
      </c>
      <c r="AA135" s="253" t="n">
        <v>0</v>
      </c>
      <c r="AB135" s="253" t="n">
        <v>0</v>
      </c>
      <c r="AC135" s="253" t="n">
        <v>0</v>
      </c>
      <c r="AD135" s="253" t="n">
        <v>0</v>
      </c>
      <c r="AE135" s="253" t="n">
        <v>0</v>
      </c>
      <c r="AF135" s="253" t="n">
        <v>0</v>
      </c>
      <c r="AG135" s="253" t="n">
        <v>0</v>
      </c>
      <c r="AH135" s="253" t="n">
        <v>0</v>
      </c>
      <c r="AI135" s="253" t="n">
        <v>0</v>
      </c>
      <c r="AJ135" s="253" t="n">
        <v>0</v>
      </c>
      <c r="AK135" s="253" t="n">
        <v>0</v>
      </c>
      <c r="AL135" s="253" t="n">
        <v>0</v>
      </c>
      <c r="AM135" s="254">
        <f>0</f>
        <v>0</v>
      </c>
      <c r="AN135" s="254">
        <f>0</f>
        <v>0</v>
      </c>
      <c r="AO135" s="254">
        <f>0</f>
        <v>0</v>
      </c>
      <c r="AP135" s="254">
        <f>SUM(AL135,AM135,AN135,AO135)</f>
        <v>0</v>
      </c>
      <c r="AQ135" s="254">
        <f>0</f>
        <v>0</v>
      </c>
      <c r="AR135" s="254">
        <f>0</f>
        <v>0</v>
      </c>
      <c r="AS135" s="254">
        <f>0</f>
        <v>0</v>
      </c>
      <c r="AT135" s="254">
        <f>0</f>
        <v>0</v>
      </c>
      <c r="AU135" s="19" t="n"/>
    </row>
    <row r="136" ht="15" customHeight="1" s="251">
      <c r="B136" s="55" t="inlineStr">
        <is>
          <t>Net income attributable to common stockholders</t>
        </is>
      </c>
      <c r="C136" s="285">
        <f>IF(ISNUMBER(C134),C134-N(C135),"")</f>
        <v>239.955</v>
      </c>
      <c r="D136" s="285">
        <f>IF(ISNUMBER(D134),D134-N(D135),"")</f>
        <v>219.058</v>
      </c>
      <c r="E136" s="285">
        <f>IF(ISNUMBER(E134),E134-N(E135),"")</f>
        <v>232.188</v>
      </c>
      <c r="F136" s="285">
        <f>IF(ISNUMBER(F134),F134-N(F135),"")</f>
        <v>232.569</v>
      </c>
      <c r="G136" s="285">
        <f>IF(ISNUMBER(G134),G134-N(G135),"")</f>
        <v>294.094</v>
      </c>
      <c r="H136" s="285">
        <f>IF(ISNUMBER(H134),H134-N(H135),"")</f>
        <v>252.49</v>
      </c>
      <c r="I136" s="285">
        <f>IF(ISNUMBER(I134),I134-N(I135),"")</f>
        <v>305.111</v>
      </c>
      <c r="J136" s="285">
        <f>IF(ISNUMBER(J134),J134-N(J135),"")</f>
        <v>418.529</v>
      </c>
      <c r="K136" s="285">
        <f>IF(ISNUMBER(K134),K134-N(K135),"")</f>
        <v>482.603</v>
      </c>
      <c r="L136" s="285">
        <f>IF(ISNUMBER(L134),L134-N(L135),"")</f>
        <v>608.958</v>
      </c>
      <c r="M136" s="285">
        <f>IF(ISNUMBER(M134),M134-N(M135),"")</f>
        <v>92.102</v>
      </c>
      <c r="N136" s="285">
        <f>IF(ISNUMBER(N134),N134-N(N135),"")</f>
        <v>154.834</v>
      </c>
      <c r="O136" s="285">
        <f>IF(ISNUMBER(O134),O134-N(O135),"")</f>
        <v>128.931</v>
      </c>
      <c r="P136" s="285">
        <f>IF(ISNUMBER(P134),P134-N(P135),"")</f>
        <v>90.873</v>
      </c>
      <c r="Q136" s="285">
        <f>IF(ISNUMBER(Q134),Q134-N(Q135),"")</f>
        <v>466.74</v>
      </c>
      <c r="R136" s="285">
        <f>IF(ISNUMBER(R134),R134-N(R135),"")</f>
        <v>138.284</v>
      </c>
      <c r="S136" s="285">
        <f>IF(ISNUMBER(S134),S134-N(S135),"")</f>
        <v>170.932</v>
      </c>
      <c r="T136" s="285">
        <f>IF(ISNUMBER(T134),T134-N(T135),"")</f>
        <v>30.997</v>
      </c>
      <c r="U136" s="285">
        <f>IF(ISNUMBER(U134),U134-N(U135),"")</f>
        <v>-68.422</v>
      </c>
      <c r="V136" s="285">
        <f>IF(ISNUMBER(V134),V134-N(V135),"")</f>
        <v>271.791</v>
      </c>
      <c r="W136" s="285">
        <f>IF(ISNUMBER(W134),W134-N(W135),"")</f>
        <v>161.388</v>
      </c>
      <c r="X136" s="285">
        <f>IF(ISNUMBER(X134),X134-N(X135),"")</f>
        <v>170.718</v>
      </c>
      <c r="Y136" s="285">
        <f>IF(ISNUMBER(Y134),Y134-N(Y135),"")</f>
        <v>145.644</v>
      </c>
      <c r="Z136" s="285">
        <f>IF(ISNUMBER(Z134),Z134-N(Z135),"")</f>
        <v>127.955</v>
      </c>
      <c r="AA136" s="285">
        <f>IF(ISNUMBER(AA134),AA134-N(AA135),"")</f>
        <v>605.706</v>
      </c>
      <c r="AB136" s="285">
        <f>IF(ISNUMBER(AB134),AB134-N(AB135),"")</f>
        <v>165.233</v>
      </c>
      <c r="AC136" s="285">
        <f>IF(ISNUMBER(AC134),AC134-N(AC135),"")</f>
        <v>390.112</v>
      </c>
      <c r="AD136" s="285">
        <f>IF(ISNUMBER(AD134),AD134-N(AD135),"")</f>
        <v>186.95</v>
      </c>
      <c r="AE136" s="285">
        <f>IF(ISNUMBER(AE134),AE134-N(AE135),"")</f>
        <v>193</v>
      </c>
      <c r="AF136" s="285">
        <f>IF(ISNUMBER(AF134),AF134-N(AF135),"")</f>
        <v>935</v>
      </c>
      <c r="AG136" s="285">
        <f>IF(ISNUMBER(AG134),AG134-N(AG135),"")</f>
        <v>271</v>
      </c>
      <c r="AH136" s="285">
        <f>IF(ISNUMBER(AH134),AH134-N(AH135),"")</f>
        <v>175</v>
      </c>
      <c r="AI136" s="285">
        <f>IF(ISNUMBER(AI134),AI134-N(AI135),"")</f>
        <v>200</v>
      </c>
      <c r="AJ136" s="285">
        <f>IF(ISNUMBER(AJ134),AJ134-N(AJ135),"")</f>
        <v>205</v>
      </c>
      <c r="AK136" s="285">
        <f>IF(ISNUMBER(AK134),AK134-N(AK135),"")</f>
        <v>851</v>
      </c>
      <c r="AL136" s="285">
        <f>IF(ISNUMBER(AL134),AL134-N(AL135),"")</f>
        <v>198</v>
      </c>
      <c r="AM136" s="285">
        <f>IF(ISNUMBER(AM134),AM134-N(AM135),"")</f>
        <v>177.469052003753</v>
      </c>
      <c r="AN136" s="285">
        <f>IF(ISNUMBER(AN134),AN134-N(AN135),"")</f>
        <v>148.356869358975</v>
      </c>
      <c r="AO136" s="285">
        <f>IF(ISNUMBER(AO134),AO134-N(AO135),"")</f>
        <v>167.775177538372</v>
      </c>
      <c r="AP136" s="285">
        <f>IF(ISNUMBER(AP134),AP134-N(AP135),"")</f>
        <v>691.601098901099</v>
      </c>
      <c r="AQ136" s="285">
        <f>IF(ISNUMBER(AQ134),AQ134-N(AQ135),"")</f>
        <v>736.319414780842</v>
      </c>
      <c r="AR136" s="285">
        <f>IF(ISNUMBER(AR134),AR134-N(AR135),"")</f>
        <v>782.824053874296</v>
      </c>
      <c r="AS136" s="285">
        <f>IF(ISNUMBER(AS134),AS134-N(AS135),"")</f>
        <v>829.870012134216</v>
      </c>
      <c r="AT136" s="285">
        <f>IF(ISNUMBER(AT134),AT134-N(AT135),"")</f>
        <v>880.720886224649</v>
      </c>
      <c r="AU136" s="153" t="n"/>
      <c r="AW136" s="20">
        <f>IFERROR((AT136/AK136)^(1/5)-1,"n/m")</f>
        <v>0.00688934962016519</v>
      </c>
      <c r="AX136" s="20">
        <f>IFERROR((AK136/L136)^(1/5)-1,"n/m")</f>
        <v>0.0692233734691057</v>
      </c>
      <c r="AY136" s="20">
        <f>IFERROR((AK136/G136)^(1/10)-1,"n/m")</f>
        <v>0.112101277360908</v>
      </c>
      <c r="AZ136" s="20">
        <f>IFERROR((AK136/C136)^(1/14)-1,"n/m")</f>
        <v>0.0946402450085961</v>
      </c>
    </row>
    <row r="137" ht="15" customHeight="1" s="251">
      <c r="B137" s="57" t="inlineStr">
        <is>
          <t xml:space="preserve">  Check: net income attributable vs reported (should be 0; ±0.15, ±0.6 from Q4 FY25)</t>
        </is>
      </c>
      <c r="C137" s="260">
        <f>IF(ISNUMBER(C138),IF(ABS(C136-C138)&lt;=0.15,0,ROUND(C136-C138,1)),"")</f>
        <v>0</v>
      </c>
      <c r="D137" s="260">
        <f>IF(ISNUMBER(D138),IF(ABS(D136-D138)&lt;=0.15,0,ROUND(D136-D138,1)),"")</f>
        <v>0</v>
      </c>
      <c r="E137" s="260">
        <f>IF(ISNUMBER(E138),IF(ABS(E136-E138)&lt;=0.15,0,ROUND(E136-E138,1)),"")</f>
        <v>0</v>
      </c>
      <c r="F137" s="260">
        <f>IF(ISNUMBER(F138),IF(ABS(F136-F138)&lt;=0.15,0,ROUND(F136-F138,1)),"")</f>
        <v>0</v>
      </c>
      <c r="G137" s="260">
        <f>IF(ISNUMBER(G138),IF(ABS(G136-G138)&lt;=0.15,0,ROUND(G136-G138,1)),"")</f>
        <v>0</v>
      </c>
      <c r="H137" s="260">
        <f>IF(ISNUMBER(H138),IF(ABS(H136-H138)&lt;=0.15,0,ROUND(H136-H138,1)),"")</f>
        <v>0</v>
      </c>
      <c r="I137" s="260">
        <f>IF(ISNUMBER(I138),IF(ABS(I136-I138)&lt;=0.15,0,ROUND(I136-I138,1)),"")</f>
        <v>0</v>
      </c>
      <c r="J137" s="260">
        <f>IF(ISNUMBER(J138),IF(ABS(J136-J138)&lt;=0.15,0,ROUND(J136-J138,1)),"")</f>
        <v>0</v>
      </c>
      <c r="K137" s="260">
        <f>IF(ISNUMBER(K138),IF(ABS(K136-K138)&lt;=0.15,0,ROUND(K136-K138,1)),"")</f>
        <v>0</v>
      </c>
      <c r="L137" s="260">
        <f>IF(ISNUMBER(L138),IF(ABS(L136-L138)&lt;=0.15,0,ROUND(L136-L138,1)),"")</f>
        <v>0</v>
      </c>
      <c r="M137" s="260">
        <f>IF(ISNUMBER(M138),IF(ABS(M136-M138)&lt;=0.15,0,ROUND(M136-M138,1)),"")</f>
        <v>0</v>
      </c>
      <c r="N137" s="260">
        <f>IF(ISNUMBER(N138),IF(ABS(N136-N138)&lt;=0.15,0,ROUND(N136-N138,1)),"")</f>
        <v>0</v>
      </c>
      <c r="O137" s="260">
        <f>IF(ISNUMBER(O138),IF(ABS(O136-O138)&lt;=0.15,0,ROUND(O136-O138,1)),"")</f>
        <v>0</v>
      </c>
      <c r="P137" s="260">
        <f>IF(ISNUMBER(P138),IF(ABS(P136-P138)&lt;=0.15,0,ROUND(P136-P138,1)),"")</f>
        <v>0</v>
      </c>
      <c r="Q137" s="260">
        <f>IF(ISNUMBER(Q138),IF(ABS(Q136-Q138)&lt;=0.15,0,ROUND(Q136-Q138,1)),"")</f>
        <v>0</v>
      </c>
      <c r="R137" s="260">
        <f>IF(ISNUMBER(R138),IF(ABS(R136-R138)&lt;=0.15,0,ROUND(R136-R138,1)),"")</f>
        <v>0</v>
      </c>
      <c r="S137" s="260">
        <f>IF(ISNUMBER(S138),IF(ABS(S136-S138)&lt;=0.15,0,ROUND(S136-S138,1)),"")</f>
        <v>0</v>
      </c>
      <c r="T137" s="260">
        <f>IF(ISNUMBER(T138),IF(ABS(T136-T138)&lt;=0.15,0,ROUND(T136-T138,1)),"")</f>
        <v>0</v>
      </c>
      <c r="U137" s="260">
        <f>IF(ISNUMBER(U138),IF(ABS(U136-U138)&lt;=0.15,0,ROUND(U136-U138,1)),"")</f>
        <v>0</v>
      </c>
      <c r="V137" s="260">
        <f>IF(ISNUMBER(V138),IF(ABS(V136-V138)&lt;=0.15,0,ROUND(V136-V138,1)),"")</f>
        <v>0</v>
      </c>
      <c r="W137" s="260">
        <f>IF(ISNUMBER(W138),IF(ABS(W136-W138)&lt;=0.15,0,ROUND(W136-W138,1)),"")</f>
        <v>0</v>
      </c>
      <c r="X137" s="260">
        <f>IF(ISNUMBER(X138),IF(ABS(X136-X138)&lt;=0.15,0,ROUND(X136-X138,1)),"")</f>
        <v>0</v>
      </c>
      <c r="Y137" s="260">
        <f>IF(ISNUMBER(Y138),IF(ABS(Y136-Y138)&lt;=0.15,0,ROUND(Y136-Y138,1)),"")</f>
        <v>0</v>
      </c>
      <c r="Z137" s="260">
        <f>IF(ISNUMBER(Z138),IF(ABS(Z136-Z138)&lt;=0.15,0,ROUND(Z136-Z138,1)),"")</f>
        <v>0</v>
      </c>
      <c r="AA137" s="260">
        <f>IF(ISNUMBER(AA138),IF(ABS(AA136-AA138)&lt;=0.15,0,ROUND(AA136-AA138,1)),"")</f>
        <v>0</v>
      </c>
      <c r="AB137" s="260">
        <f>IF(ISNUMBER(AB138),IF(ABS(AB136-AB138)&lt;=0.15,0,ROUND(AB136-AB138,1)),"")</f>
        <v>0</v>
      </c>
      <c r="AC137" s="260">
        <f>IF(ISNUMBER(AC138),IF(ABS(AC136-AC138)&lt;=0.15,0,ROUND(AC136-AC138,1)),"")</f>
        <v>0</v>
      </c>
      <c r="AD137" s="260">
        <f>IF(ISNUMBER(AD138),IF(ABS(AD136-AD138)&lt;=0.15,0,ROUND(AD136-AD138,1)),"")</f>
        <v>0</v>
      </c>
      <c r="AE137" s="260">
        <f>IF(ISNUMBER(AE138),IF(ABS(AE136-AE138)&lt;=0.6,0,ROUND(AE136-AE138,1)),"")</f>
        <v>0</v>
      </c>
      <c r="AF137" s="260">
        <f>IF(ISNUMBER(AF138),IF(ABS(AF136-AF138)&lt;=0.6,0,ROUND(AF136-AF138,1)),"")</f>
        <v>0</v>
      </c>
      <c r="AG137" s="260">
        <f>IF(ISNUMBER(AG138),IF(ABS(AG136-AG138)&lt;=0.6,0,ROUND(AG136-AG138,1)),"")</f>
        <v>0</v>
      </c>
      <c r="AH137" s="260">
        <f>IF(ISNUMBER(AH138),IF(ABS(AH136-AH138)&lt;=0.6,0,ROUND(AH136-AH138,1)),"")</f>
        <v>0</v>
      </c>
      <c r="AI137" s="260">
        <f>IF(ISNUMBER(AI138),IF(ABS(AI136-AI138)&lt;=0.6,0,ROUND(AI136-AI138,1)),"")</f>
        <v>0</v>
      </c>
      <c r="AJ137" s="260">
        <f>IF(ISNUMBER(AJ138),IF(ABS(AJ136-AJ138)&lt;=0.6,0,ROUND(AJ136-AJ138,1)),"")</f>
        <v>0</v>
      </c>
      <c r="AK137" s="260">
        <f>IF(ISNUMBER(AK138),IF(ABS(AK136-AK138)&lt;=0.6,0,ROUND(AK136-AK138,1)),"")</f>
        <v>0</v>
      </c>
      <c r="AL137" s="260">
        <f>IF(ISNUMBER(AL138),IF(ABS(AL136-AL138)&lt;=0.6,0,ROUND(AL136-AL138,1)),"")</f>
        <v>0</v>
      </c>
      <c r="AM137" s="153" t="n"/>
      <c r="AN137" s="153" t="n"/>
      <c r="AO137" s="153" t="n"/>
      <c r="AP137" s="153" t="n"/>
      <c r="AQ137" s="153" t="n"/>
      <c r="AR137" s="153" t="n"/>
      <c r="AS137" s="153" t="n"/>
      <c r="AT137" s="153" t="n"/>
      <c r="AU137" s="153" t="n"/>
    </row>
    <row r="138" ht="15" customHeight="1" s="251">
      <c r="B138" s="156" t="inlineStr">
        <is>
          <t xml:space="preserve">  Memo: net income attributable to common stockholders as reported</t>
        </is>
      </c>
      <c r="C138" s="253" t="n">
        <v>239.955</v>
      </c>
      <c r="D138" s="253" t="n">
        <v>219.058</v>
      </c>
      <c r="E138" s="253" t="n">
        <v>232.188</v>
      </c>
      <c r="F138" s="253" t="n">
        <v>232.569</v>
      </c>
      <c r="G138" s="253" t="n">
        <v>294.094</v>
      </c>
      <c r="H138" s="253" t="n">
        <v>252.49</v>
      </c>
      <c r="I138" s="253" t="n">
        <v>305.111</v>
      </c>
      <c r="J138" s="253" t="n">
        <v>418.529</v>
      </c>
      <c r="K138" s="253" t="n">
        <v>482.603</v>
      </c>
      <c r="L138" s="253" t="n">
        <v>608.958</v>
      </c>
      <c r="M138" s="253" t="n">
        <v>92.102</v>
      </c>
      <c r="N138" s="253" t="n">
        <v>154.834</v>
      </c>
      <c r="O138" s="253" t="n">
        <v>128.931</v>
      </c>
      <c r="P138" s="253" t="n">
        <v>90.873</v>
      </c>
      <c r="Q138" s="253" t="n">
        <v>466.74</v>
      </c>
      <c r="R138" s="253" t="n">
        <v>138.284</v>
      </c>
      <c r="S138" s="253" t="n">
        <v>170.932</v>
      </c>
      <c r="T138" s="253" t="n">
        <v>30.997</v>
      </c>
      <c r="U138" s="253" t="n">
        <v>-68.422</v>
      </c>
      <c r="V138" s="253" t="n">
        <v>271.791</v>
      </c>
      <c r="W138" s="253" t="n">
        <v>161.388</v>
      </c>
      <c r="X138" s="253" t="n">
        <v>170.718</v>
      </c>
      <c r="Y138" s="253" t="n">
        <v>145.644</v>
      </c>
      <c r="Z138" s="253" t="n">
        <v>127.955</v>
      </c>
      <c r="AA138" s="253" t="n">
        <v>605.706</v>
      </c>
      <c r="AB138" s="253" t="n">
        <v>165.233</v>
      </c>
      <c r="AC138" s="253" t="n">
        <v>390.112</v>
      </c>
      <c r="AD138" s="253" t="n">
        <v>186.95</v>
      </c>
      <c r="AE138" s="253" t="n">
        <v>193</v>
      </c>
      <c r="AF138" s="253" t="n">
        <v>935</v>
      </c>
      <c r="AG138" s="253" t="n">
        <v>271</v>
      </c>
      <c r="AH138" s="253" t="n">
        <v>175</v>
      </c>
      <c r="AI138" s="253" t="n">
        <v>200</v>
      </c>
      <c r="AJ138" s="253" t="n">
        <v>205</v>
      </c>
      <c r="AK138" s="253" t="n">
        <v>851</v>
      </c>
      <c r="AL138" s="253" t="n">
        <v>198</v>
      </c>
      <c r="AM138" s="153" t="n"/>
      <c r="AN138" s="153" t="n"/>
      <c r="AO138" s="153" t="n"/>
      <c r="AP138" s="153" t="n"/>
      <c r="AQ138" s="153" t="n"/>
      <c r="AR138" s="153" t="n"/>
      <c r="AS138" s="153" t="n"/>
      <c r="AT138" s="153" t="n"/>
      <c r="AU138" s="153" t="n"/>
    </row>
    <row r="139" ht="15" customHeight="1" s="251">
      <c r="B139" s="156" t="inlineStr">
        <is>
          <t xml:space="preserve">  Memo: depreciation &amp; amortization (total)</t>
        </is>
      </c>
      <c r="C139" s="260">
        <f>C101</f>
        <v>75.205</v>
      </c>
      <c r="D139" s="260">
        <f>D101</f>
        <v>74.009</v>
      </c>
      <c r="E139" s="260">
        <f>E101</f>
        <v>72.327</v>
      </c>
      <c r="F139" s="260">
        <f>F101</f>
        <v>62.66</v>
      </c>
      <c r="G139" s="260">
        <f>G101</f>
        <v>61.536</v>
      </c>
      <c r="H139" s="260">
        <f>H101</f>
        <v>59.544</v>
      </c>
      <c r="I139" s="260">
        <f>I101</f>
        <v>64.756</v>
      </c>
      <c r="J139" s="260">
        <f>J101</f>
        <v>68.575</v>
      </c>
      <c r="K139" s="260">
        <f>K101</f>
        <v>81.081</v>
      </c>
      <c r="L139" s="260">
        <f>L101</f>
        <v>84.315</v>
      </c>
      <c r="M139" s="260">
        <f>M101</f>
        <v>27.745</v>
      </c>
      <c r="N139" s="260">
        <f>N101</f>
        <v>37.602</v>
      </c>
      <c r="O139" s="260">
        <f>O101</f>
        <v>39.576</v>
      </c>
      <c r="P139" s="260">
        <f>P101</f>
        <v>40.824</v>
      </c>
      <c r="Q139" s="260">
        <f>Q101</f>
        <v>145.747</v>
      </c>
      <c r="R139" s="260">
        <f>R101</f>
        <v>40.102</v>
      </c>
      <c r="S139" s="260">
        <f>S101</f>
        <v>39.052</v>
      </c>
      <c r="T139" s="260">
        <f>T101</f>
        <v>42.046</v>
      </c>
      <c r="U139" s="260">
        <f>U101</f>
        <v>44.284</v>
      </c>
      <c r="V139" s="260">
        <f>V101</f>
        <v>165.484</v>
      </c>
      <c r="W139" s="260">
        <f>W101</f>
        <v>41.847</v>
      </c>
      <c r="X139" s="260">
        <f>X101</f>
        <v>40.907</v>
      </c>
      <c r="Y139" s="260">
        <f>Y101</f>
        <v>41.113</v>
      </c>
      <c r="Z139" s="260">
        <f>Z101</f>
        <v>40.335</v>
      </c>
      <c r="AA139" s="260">
        <f>AA101</f>
        <v>164.203</v>
      </c>
      <c r="AB139" s="260">
        <f>AB101</f>
        <v>41.129</v>
      </c>
      <c r="AC139" s="260">
        <f>AC101</f>
        <v>42.056</v>
      </c>
      <c r="AD139" s="260">
        <f>AD101</f>
        <v>40.156</v>
      </c>
      <c r="AE139" s="260">
        <f>AE101</f>
        <v>42</v>
      </c>
      <c r="AF139" s="260">
        <f>AF101</f>
        <v>165</v>
      </c>
      <c r="AG139" s="260">
        <f>AG101</f>
        <v>40</v>
      </c>
      <c r="AH139" s="260">
        <f>AH101</f>
        <v>41</v>
      </c>
      <c r="AI139" s="260">
        <f>AI101</f>
        <v>40</v>
      </c>
      <c r="AJ139" s="260">
        <f>AJ101</f>
        <v>42</v>
      </c>
      <c r="AK139" s="260">
        <f>AK101</f>
        <v>163</v>
      </c>
      <c r="AL139" s="260">
        <f>AL101</f>
        <v>45</v>
      </c>
      <c r="AM139" s="254">
        <f>AM101</f>
        <v>48.0065934065934</v>
      </c>
      <c r="AN139" s="254">
        <f>AN101</f>
        <v>52.2</v>
      </c>
      <c r="AO139" s="254">
        <f>AO101</f>
        <v>52.2</v>
      </c>
      <c r="AP139" s="254">
        <f>AP101</f>
        <v>197.406593406593</v>
      </c>
      <c r="AQ139" s="254">
        <f>AQ101</f>
        <v>201.58562171626</v>
      </c>
      <c r="AR139" s="254">
        <f>AR101</f>
        <v>206.391713331829</v>
      </c>
      <c r="AS139" s="254">
        <f>AS101</f>
        <v>212.591570316274</v>
      </c>
      <c r="AT139" s="254">
        <f>AT101</f>
        <v>221.742304528228</v>
      </c>
      <c r="AU139" s="153" t="n"/>
      <c r="AW139" s="20">
        <f>IFERROR((AT139/AK139)^(1/5)-1,"n/m")</f>
        <v>0.063487012217929</v>
      </c>
      <c r="AX139" s="20">
        <f>IFERROR((AK139/L139)^(1/5)-1,"n/m")</f>
        <v>0.1409235695452</v>
      </c>
      <c r="AY139" s="20">
        <f>IFERROR((AK139/G139)^(1/10)-1,"n/m")</f>
        <v>0.102315296891787</v>
      </c>
      <c r="AZ139" s="20">
        <f>IFERROR((AK139/C139)^(1/14)-1,"n/m")</f>
        <v>0.0568072348425308</v>
      </c>
    </row>
    <row r="140" ht="15" customHeight="1" s="251">
      <c r="B140" s="156" t="inlineStr">
        <is>
          <t xml:space="preserve">  Memo: stock-based compensation</t>
        </is>
      </c>
      <c r="C140" s="260">
        <f>C106</f>
        <v>31.263</v>
      </c>
      <c r="D140" s="260">
        <f>D106</f>
        <v>24.841</v>
      </c>
      <c r="E140" s="260">
        <f>E106</f>
        <v>20.065</v>
      </c>
      <c r="F140" s="260">
        <f>F106</f>
        <v>26.163</v>
      </c>
      <c r="G140" s="260">
        <f>G106</f>
        <v>24.992</v>
      </c>
      <c r="H140" s="260">
        <f>H106</f>
        <v>21.249</v>
      </c>
      <c r="I140" s="260">
        <f>I106</f>
        <v>23.318</v>
      </c>
      <c r="J140" s="260">
        <f>J106</f>
        <v>31.275</v>
      </c>
      <c r="K140" s="260">
        <f>K106</f>
        <v>43.29</v>
      </c>
      <c r="L140" s="260">
        <f>L106</f>
        <v>59.844</v>
      </c>
      <c r="M140" s="260">
        <f>M106</f>
        <v>12.444</v>
      </c>
      <c r="N140" s="260">
        <f>N106</f>
        <v>15.984</v>
      </c>
      <c r="O140" s="260">
        <f>O106</f>
        <v>16.759</v>
      </c>
      <c r="P140" s="260">
        <f>P106</f>
        <v>24.597</v>
      </c>
      <c r="Q140" s="260">
        <f>Q106</f>
        <v>69.784</v>
      </c>
      <c r="R140" s="260">
        <f>R106</f>
        <v>13.696</v>
      </c>
      <c r="S140" s="260">
        <f>S106</f>
        <v>18.526</v>
      </c>
      <c r="T140" s="260">
        <f>T106</f>
        <v>18.77</v>
      </c>
      <c r="U140" s="260">
        <f>U106</f>
        <v>29.28</v>
      </c>
      <c r="V140" s="260">
        <f>V106</f>
        <v>80.272</v>
      </c>
      <c r="W140" s="260">
        <f>W106</f>
        <v>17.685</v>
      </c>
      <c r="X140" s="260">
        <f>X106</f>
        <v>19.825</v>
      </c>
      <c r="Y140" s="260">
        <f>Y106</f>
        <v>23.767</v>
      </c>
      <c r="Z140" s="260">
        <f>Z106</f>
        <v>33.705</v>
      </c>
      <c r="AA140" s="260">
        <f>AA106</f>
        <v>94.982</v>
      </c>
      <c r="AB140" s="260">
        <f>AB106</f>
        <v>19.928</v>
      </c>
      <c r="AC140" s="260">
        <f>AC106</f>
        <v>25.784</v>
      </c>
      <c r="AD140" s="260">
        <f>AD106</f>
        <v>25.118</v>
      </c>
      <c r="AE140" s="260">
        <f>AE106</f>
        <v>23.17</v>
      </c>
      <c r="AF140" s="260">
        <f>AF106</f>
        <v>94</v>
      </c>
      <c r="AG140" s="260">
        <f>AG106</f>
        <v>19</v>
      </c>
      <c r="AH140" s="260">
        <f>AH106</f>
        <v>17</v>
      </c>
      <c r="AI140" s="260">
        <f>AI106</f>
        <v>16</v>
      </c>
      <c r="AJ140" s="260">
        <f>AJ106</f>
        <v>17</v>
      </c>
      <c r="AK140" s="260">
        <f>AK106</f>
        <v>69</v>
      </c>
      <c r="AL140" s="260">
        <f>AL106</f>
        <v>21</v>
      </c>
      <c r="AM140" s="254">
        <f>AM106</f>
        <v>21</v>
      </c>
      <c r="AN140" s="254">
        <f>AN106</f>
        <v>21</v>
      </c>
      <c r="AO140" s="254">
        <f>AO106</f>
        <v>21</v>
      </c>
      <c r="AP140" s="254">
        <f>AP106</f>
        <v>84</v>
      </c>
      <c r="AQ140" s="254">
        <f>AQ106</f>
        <v>77.4828416155689</v>
      </c>
      <c r="AR140" s="254">
        <f>AR106</f>
        <v>81.0861761656887</v>
      </c>
      <c r="AS140" s="254">
        <f>AS106</f>
        <v>85.205458205578</v>
      </c>
      <c r="AT140" s="254">
        <f>AT106</f>
        <v>89.6828104433481</v>
      </c>
      <c r="AU140" s="153" t="n"/>
    </row>
    <row r="141" ht="15" customHeight="1" s="251">
      <c r="B141" s="25" t="inlineStr">
        <is>
          <t>(Earnings per share — Class A common stock; two-class method)</t>
        </is>
      </c>
      <c r="AU141" s="153" t="n"/>
    </row>
    <row r="142" ht="15" customHeight="1" s="251">
      <c r="B142" s="25" t="inlineStr">
        <is>
          <t xml:space="preserve">  Earnings allocated to participating securities (unvested restricted stock; two-class method)</t>
        </is>
      </c>
      <c r="C142" s="253" t="n">
        <v>1.194</v>
      </c>
      <c r="D142" s="253" t="n">
        <v>9.064</v>
      </c>
      <c r="E142" s="253" t="n">
        <v>3.106</v>
      </c>
      <c r="F142" s="253" t="n">
        <v>3.468</v>
      </c>
      <c r="G142" s="253" t="n">
        <v>3.498</v>
      </c>
      <c r="H142" s="253" t="n">
        <v>2.241</v>
      </c>
      <c r="I142" s="253" t="n">
        <v>1.873</v>
      </c>
      <c r="J142" s="253" t="n">
        <v>1.854</v>
      </c>
      <c r="K142" s="253" t="n">
        <v>1.511</v>
      </c>
      <c r="L142" s="253" t="n">
        <v>3.503</v>
      </c>
      <c r="M142" s="253" t="n">
        <v>0.48</v>
      </c>
      <c r="N142" s="253" t="n">
        <v>1.089</v>
      </c>
      <c r="O142" s="253" t="n">
        <v>0.9360000000000001</v>
      </c>
      <c r="P142" s="253" t="n">
        <v>0.659</v>
      </c>
      <c r="Q142" s="253" t="n">
        <v>3.105</v>
      </c>
      <c r="R142" s="253" t="n">
        <v>0.912</v>
      </c>
      <c r="S142" s="253" t="n">
        <v>1.386</v>
      </c>
      <c r="T142" s="253" t="n">
        <v>0.471</v>
      </c>
      <c r="U142" s="253" t="n">
        <v>-0.467</v>
      </c>
      <c r="V142" s="253" t="n">
        <v>2.134</v>
      </c>
      <c r="W142" s="253" t="n">
        <v>1.239</v>
      </c>
      <c r="X142" s="253" t="n">
        <v>1.438</v>
      </c>
      <c r="Y142" s="253" t="n">
        <v>1.211</v>
      </c>
      <c r="Z142" s="253" t="n">
        <v>1.069</v>
      </c>
      <c r="AA142" s="253" t="n">
        <v>4.956</v>
      </c>
      <c r="AB142" s="253" t="n">
        <v>0.798</v>
      </c>
      <c r="AC142" s="253" t="n">
        <v>2.326</v>
      </c>
      <c r="AD142" s="253" t="n">
        <v>1.081</v>
      </c>
      <c r="AE142" s="253" t="n">
        <v>1.2</v>
      </c>
      <c r="AF142" s="253" t="n">
        <v>5</v>
      </c>
      <c r="AG142" s="253" t="n">
        <v>2</v>
      </c>
      <c r="AH142" s="253" t="n">
        <v>1</v>
      </c>
      <c r="AI142" s="253" t="n">
        <v>2</v>
      </c>
      <c r="AJ142" s="253" t="n">
        <v>1</v>
      </c>
      <c r="AK142" s="253" t="n">
        <v>6</v>
      </c>
      <c r="AL142" s="253" t="n">
        <v>2</v>
      </c>
      <c r="AM142" s="254">
        <f>AM136*AM143</f>
        <v>1.41975241603002</v>
      </c>
      <c r="AN142" s="254">
        <f>AN136*AN143</f>
        <v>1.1868549548718</v>
      </c>
      <c r="AO142" s="254">
        <f>AO136*AO143</f>
        <v>1.34220142030697</v>
      </c>
      <c r="AP142" s="254">
        <f>SUM(AL142,AM142,AN142,AO142)</f>
        <v>5.94880879120879</v>
      </c>
      <c r="AQ142" s="254">
        <f>AQ136*AQ143</f>
        <v>5.89055531824674</v>
      </c>
      <c r="AR142" s="254">
        <f>AR136*AR143</f>
        <v>6.26259243099437</v>
      </c>
      <c r="AS142" s="254">
        <f>AS136*AS143</f>
        <v>6.63896009707373</v>
      </c>
      <c r="AT142" s="254">
        <f>AT136*AT143</f>
        <v>7.04576708979719</v>
      </c>
      <c r="AU142" s="19" t="inlineStr">
        <is>
          <t>Net income attributable − earnings for diluted EPS (XBRL "UndistributedEarningsDiluted", as first filed; Q4 = fiscal year − nine months).</t>
        </is>
      </c>
    </row>
    <row r="143" ht="15" customHeight="1" s="251">
      <c r="B143" s="25" t="inlineStr">
        <is>
          <t xml:space="preserve">  Allocation % of net income attributable</t>
        </is>
      </c>
      <c r="C143" s="215">
        <f>IF(AND(ISNUMBER(C142),ISNUMBER(C136)),IFERROR(C142/C136,""),"")</f>
        <v>0.00497593298743514</v>
      </c>
      <c r="D143" s="215">
        <f>IF(AND(ISNUMBER(D142),ISNUMBER(D136)),IFERROR(D142/D136,""),"")</f>
        <v>0.041377169516749</v>
      </c>
      <c r="E143" s="215">
        <f>IF(AND(ISNUMBER(E142),ISNUMBER(E136)),IFERROR(E142/E136,""),"")</f>
        <v>0.0133770909780006</v>
      </c>
      <c r="F143" s="215">
        <f>IF(AND(ISNUMBER(F142),ISNUMBER(F136)),IFERROR(F142/F136,""),"")</f>
        <v>0.0149117036234408</v>
      </c>
      <c r="G143" s="215">
        <f>IF(AND(ISNUMBER(G142),ISNUMBER(G136)),IFERROR(G142/G136,""),"")</f>
        <v>0.0118941562901657</v>
      </c>
      <c r="H143" s="215">
        <f>IF(AND(ISNUMBER(H142),ISNUMBER(H136)),IFERROR(H142/H136,""),"")</f>
        <v>0.00887559903362509</v>
      </c>
      <c r="I143" s="215">
        <f>IF(AND(ISNUMBER(I142),ISNUMBER(I136)),IFERROR(I142/I136,""),"")</f>
        <v>0.00613874950427877</v>
      </c>
      <c r="J143" s="215">
        <f>IF(AND(ISNUMBER(J142),ISNUMBER(J136)),IFERROR(J142/J136,""),"")</f>
        <v>0.00442980056340182</v>
      </c>
      <c r="K143" s="215">
        <f>IF(AND(ISNUMBER(K142),ISNUMBER(K136)),IFERROR(K142/K136,""),"")</f>
        <v>0.00313093785160888</v>
      </c>
      <c r="L143" s="215">
        <f>IF(AND(ISNUMBER(L142),ISNUMBER(L136)),IFERROR(L142/L136,""),"")</f>
        <v>0.00575244926579501</v>
      </c>
      <c r="M143" s="215">
        <f>IF(AND(ISNUMBER(M142),ISNUMBER(M136)),IFERROR(M142/M136,""),"")</f>
        <v>0.00521161321143949</v>
      </c>
      <c r="N143" s="215">
        <f>IF(AND(ISNUMBER(N142),ISNUMBER(N136)),IFERROR(N142/N136,""),"")</f>
        <v>0.00703333893072581</v>
      </c>
      <c r="O143" s="215">
        <f>IF(AND(ISNUMBER(O142),ISNUMBER(O136)),IFERROR(O142/O136,""),"")</f>
        <v>0.00725969704725784</v>
      </c>
      <c r="P143" s="215">
        <f>IF(AND(ISNUMBER(P142),ISNUMBER(P136)),IFERROR(P142/P136,""),"")</f>
        <v>0.0072518789959614</v>
      </c>
      <c r="Q143" s="215">
        <f>IF(AND(ISNUMBER(Q142),ISNUMBER(Q136)),IFERROR(Q142/Q136,""),"")</f>
        <v>0.0066525260316236</v>
      </c>
      <c r="R143" s="215">
        <f>IF(AND(ISNUMBER(R142),ISNUMBER(R136)),IFERROR(R142/R136,""),"")</f>
        <v>0.00659512308003818</v>
      </c>
      <c r="S143" s="215">
        <f>IF(AND(ISNUMBER(S142),ISNUMBER(S136)),IFERROR(S142/S136,""),"")</f>
        <v>0.0081084875857066</v>
      </c>
      <c r="T143" s="215">
        <f>IF(AND(ISNUMBER(T142),ISNUMBER(T136)),IFERROR(T142/T136,""),"")</f>
        <v>0.0151950188727941</v>
      </c>
      <c r="U143" s="215">
        <f>IF(AND(ISNUMBER(U142),ISNUMBER(U136)),IFERROR(U142/U136,""),"")</f>
        <v>0.00682529011136769</v>
      </c>
      <c r="V143" s="215">
        <f>IF(AND(ISNUMBER(V142),ISNUMBER(V136)),IFERROR(V142/V136,""),"")</f>
        <v>0.00785162128252959</v>
      </c>
      <c r="W143" s="215">
        <f>IF(AND(ISNUMBER(W142),ISNUMBER(W136)),IFERROR(W142/W136,""),"")</f>
        <v>0.00767715071752547</v>
      </c>
      <c r="X143" s="215">
        <f>IF(AND(ISNUMBER(X142),ISNUMBER(X136)),IFERROR(X142/X136,""),"")</f>
        <v>0.00842324769502923</v>
      </c>
      <c r="Y143" s="215">
        <f>IF(AND(ISNUMBER(Y142),ISNUMBER(Y136)),IFERROR(Y142/Y136,""),"")</f>
        <v>0.00831479497953915</v>
      </c>
      <c r="Z143" s="215">
        <f>IF(AND(ISNUMBER(Z142),ISNUMBER(Z136)),IFERROR(Z142/Z136,""),"")</f>
        <v>0.00835449962877574</v>
      </c>
      <c r="AA143" s="215">
        <f>IF(AND(ISNUMBER(AA142),ISNUMBER(AA136)),IFERROR(AA142/AA136,""),"")</f>
        <v>0.00818218739784648</v>
      </c>
      <c r="AB143" s="215">
        <f>IF(AND(ISNUMBER(AB142),ISNUMBER(AB136)),IFERROR(AB142/AB136,""),"")</f>
        <v>0.00482954373521028</v>
      </c>
      <c r="AC143" s="215">
        <f>IF(AND(ISNUMBER(AC142),ISNUMBER(AC136)),IFERROR(AC142/AC136,""),"")</f>
        <v>0.00596239028791732</v>
      </c>
      <c r="AD143" s="215">
        <f>IF(AND(ISNUMBER(AD142),ISNUMBER(AD136)),IFERROR(AD142/AD136,""),"")</f>
        <v>0.00578229473121155</v>
      </c>
      <c r="AE143" s="215">
        <f>IF(AND(ISNUMBER(AE142),ISNUMBER(AE136)),IFERROR(AE142/AE136,""),"")</f>
        <v>0.00621761658031088</v>
      </c>
      <c r="AF143" s="215">
        <f>IF(AND(ISNUMBER(AF142),ISNUMBER(AF136)),IFERROR(AF142/AF136,""),"")</f>
        <v>0.0053475935828877</v>
      </c>
      <c r="AG143" s="215">
        <f>IF(AND(ISNUMBER(AG142),ISNUMBER(AG136)),IFERROR(AG142/AG136,""),"")</f>
        <v>0.00738007380073801</v>
      </c>
      <c r="AH143" s="215">
        <f>IF(AND(ISNUMBER(AH142),ISNUMBER(AH136)),IFERROR(AH142/AH136,""),"")</f>
        <v>0.00571428571428571</v>
      </c>
      <c r="AI143" s="215">
        <f>IF(AND(ISNUMBER(AI142),ISNUMBER(AI136)),IFERROR(AI142/AI136,""),"")</f>
        <v>0.01</v>
      </c>
      <c r="AJ143" s="215">
        <f>IF(AND(ISNUMBER(AJ142),ISNUMBER(AJ136)),IFERROR(AJ142/AJ136,""),"")</f>
        <v>0.00487804878048781</v>
      </c>
      <c r="AK143" s="215">
        <f>IF(AND(ISNUMBER(AK142),ISNUMBER(AK136)),IFERROR(AK142/AK136,""),"")</f>
        <v>0.00705052878965923</v>
      </c>
      <c r="AL143" s="215">
        <f>IF(AND(ISNUMBER(AL142),ISNUMBER(AL136)),IFERROR(AL142/AL136,""),"")</f>
        <v>0.0101010101010101</v>
      </c>
      <c r="AM143" s="256">
        <f>$BE$28</f>
        <v>0.008</v>
      </c>
      <c r="AN143" s="256">
        <f>$BE$28</f>
        <v>0.008</v>
      </c>
      <c r="AO143" s="256">
        <f>$BE$28</f>
        <v>0.008</v>
      </c>
      <c r="AP143" s="256">
        <f>IF(AND(ISNUMBER(AP142),ISNUMBER(AP136)),IFERROR(AP142/AP136,""),"")</f>
        <v>0.00860150280365516</v>
      </c>
      <c r="AQ143" s="256">
        <f>$BE$28</f>
        <v>0.008</v>
      </c>
      <c r="AR143" s="256">
        <f>$BE$28</f>
        <v>0.008</v>
      </c>
      <c r="AS143" s="256">
        <f>$BE$28</f>
        <v>0.008</v>
      </c>
      <c r="AT143" s="256">
        <f>$BE$28</f>
        <v>0.008</v>
      </c>
      <c r="AU143" s="153" t="n"/>
    </row>
    <row r="144" ht="15" customHeight="1" s="251">
      <c r="B144" s="25" t="inlineStr">
        <is>
          <t xml:space="preserve">  Earnings for diluted EPS</t>
        </is>
      </c>
      <c r="C144" s="260">
        <f>IF(ISNUMBER(C142),C136-C142,"")</f>
        <v>238.761</v>
      </c>
      <c r="D144" s="260">
        <f>IF(ISNUMBER(D142),D136-D142,"")</f>
        <v>209.994</v>
      </c>
      <c r="E144" s="260">
        <f>IF(ISNUMBER(E142),E136-E142,"")</f>
        <v>229.082</v>
      </c>
      <c r="F144" s="260">
        <f>IF(ISNUMBER(F142),F136-F142,"")</f>
        <v>229.101</v>
      </c>
      <c r="G144" s="260">
        <f>IF(ISNUMBER(G142),G136-G142,"")</f>
        <v>290.596</v>
      </c>
      <c r="H144" s="260">
        <f>IF(ISNUMBER(H142),H136-H142,"")</f>
        <v>250.249</v>
      </c>
      <c r="I144" s="260">
        <f>IF(ISNUMBER(I142),I136-I142,"")</f>
        <v>303.238</v>
      </c>
      <c r="J144" s="260">
        <f>IF(ISNUMBER(J142),J136-J142,"")</f>
        <v>416.675</v>
      </c>
      <c r="K144" s="260">
        <f>IF(ISNUMBER(K142),K136-K142,"")</f>
        <v>481.092</v>
      </c>
      <c r="L144" s="260">
        <f>IF(ISNUMBER(L142),L136-L142,"")</f>
        <v>605.455</v>
      </c>
      <c r="M144" s="260">
        <f>IF(ISNUMBER(M142),M136-M142,"")</f>
        <v>91.622</v>
      </c>
      <c r="N144" s="260">
        <f>IF(ISNUMBER(N142),N136-N142,"")</f>
        <v>153.745</v>
      </c>
      <c r="O144" s="260">
        <f>IF(ISNUMBER(O142),O136-O142,"")</f>
        <v>127.995</v>
      </c>
      <c r="P144" s="260">
        <f>IF(ISNUMBER(P142),P136-P142,"")</f>
        <v>90.214</v>
      </c>
      <c r="Q144" s="260">
        <f>IF(ISNUMBER(Q142),Q136-Q142,"")</f>
        <v>463.635</v>
      </c>
      <c r="R144" s="260">
        <f>IF(ISNUMBER(R142),R136-R142,"")</f>
        <v>137.372</v>
      </c>
      <c r="S144" s="260">
        <f>IF(ISNUMBER(S142),S136-S142,"")</f>
        <v>169.546</v>
      </c>
      <c r="T144" s="260">
        <f>IF(ISNUMBER(T142),T136-T142,"")</f>
        <v>30.526</v>
      </c>
      <c r="U144" s="260">
        <f>IF(ISNUMBER(U142),U136-U142,"")</f>
        <v>-67.955</v>
      </c>
      <c r="V144" s="260">
        <f>IF(ISNUMBER(V142),V136-V142,"")</f>
        <v>269.657</v>
      </c>
      <c r="W144" s="260">
        <f>IF(ISNUMBER(W142),W136-W142,"")</f>
        <v>160.149</v>
      </c>
      <c r="X144" s="260">
        <f>IF(ISNUMBER(X142),X136-X142,"")</f>
        <v>169.28</v>
      </c>
      <c r="Y144" s="260">
        <f>IF(ISNUMBER(Y142),Y136-Y142,"")</f>
        <v>144.433</v>
      </c>
      <c r="Z144" s="260">
        <f>IF(ISNUMBER(Z142),Z136-Z142,"")</f>
        <v>126.886</v>
      </c>
      <c r="AA144" s="260">
        <f>IF(ISNUMBER(AA142),AA136-AA142,"")</f>
        <v>600.75</v>
      </c>
      <c r="AB144" s="260">
        <f>IF(ISNUMBER(AB142),AB136-AB142,"")</f>
        <v>164.435</v>
      </c>
      <c r="AC144" s="260">
        <f>IF(ISNUMBER(AC142),AC136-AC142,"")</f>
        <v>387.786</v>
      </c>
      <c r="AD144" s="260">
        <f>IF(ISNUMBER(AD142),AD136-AD142,"")</f>
        <v>185.869</v>
      </c>
      <c r="AE144" s="260">
        <f>IF(ISNUMBER(AE142),AE136-AE142,"")</f>
        <v>191.8</v>
      </c>
      <c r="AF144" s="260">
        <f>IF(ISNUMBER(AF142),AF136-AF142,"")</f>
        <v>930</v>
      </c>
      <c r="AG144" s="260">
        <f>IF(ISNUMBER(AG142),AG136-AG142,"")</f>
        <v>269</v>
      </c>
      <c r="AH144" s="260">
        <f>IF(ISNUMBER(AH142),AH136-AH142,"")</f>
        <v>174</v>
      </c>
      <c r="AI144" s="260">
        <f>IF(ISNUMBER(AI142),AI136-AI142,"")</f>
        <v>198</v>
      </c>
      <c r="AJ144" s="260">
        <f>IF(ISNUMBER(AJ142),AJ136-AJ142,"")</f>
        <v>204</v>
      </c>
      <c r="AK144" s="260">
        <f>IF(ISNUMBER(AK142),AK136-AK142,"")</f>
        <v>845</v>
      </c>
      <c r="AL144" s="260">
        <f>IF(ISNUMBER(AL142),AL136-AL142,"")</f>
        <v>196</v>
      </c>
      <c r="AM144" s="254">
        <f>IF(ISNUMBER(AM142),AM136-AM142,"")</f>
        <v>176.049299587723</v>
      </c>
      <c r="AN144" s="254">
        <f>IF(ISNUMBER(AN142),AN136-AN142,"")</f>
        <v>147.170014404103</v>
      </c>
      <c r="AO144" s="254">
        <f>IF(ISNUMBER(AO142),AO136-AO142,"")</f>
        <v>166.432976118065</v>
      </c>
      <c r="AP144" s="254">
        <f>IF(ISNUMBER(AP142),AP136-AP142,"")</f>
        <v>685.65229010989</v>
      </c>
      <c r="AQ144" s="254">
        <f>IF(ISNUMBER(AQ142),AQ136-AQ142,"")</f>
        <v>730.428859462595</v>
      </c>
      <c r="AR144" s="254">
        <f>IF(ISNUMBER(AR142),AR136-AR142,"")</f>
        <v>776.561461443302</v>
      </c>
      <c r="AS144" s="254">
        <f>IF(ISNUMBER(AS142),AS136-AS142,"")</f>
        <v>823.231052037142</v>
      </c>
      <c r="AT144" s="254">
        <f>IF(ISNUMBER(AT142),AT136-AT142,"")</f>
        <v>873.675119134852</v>
      </c>
      <c r="AU144" s="19" t="n"/>
    </row>
    <row r="145" ht="15" customHeight="1" s="251">
      <c r="B145" s="25" t="inlineStr">
        <is>
          <t xml:space="preserve">  Weighted-average basic shares (m)</t>
        </is>
      </c>
      <c r="C145" s="253" t="n">
        <v>130.145689</v>
      </c>
      <c r="D145" s="253" t="n">
        <v>134.402729</v>
      </c>
      <c r="E145" s="253" t="n">
        <v>141.314544</v>
      </c>
      <c r="F145" s="253" t="n">
        <v>145.41412</v>
      </c>
      <c r="G145" s="253" t="n">
        <v>146.494407</v>
      </c>
      <c r="H145" s="253" t="n">
        <v>148.218968</v>
      </c>
      <c r="I145" s="253" t="n">
        <v>145.964574</v>
      </c>
      <c r="J145" s="253" t="n">
        <v>141.910799</v>
      </c>
      <c r="K145" s="253" t="n">
        <v>140.059494</v>
      </c>
      <c r="L145" s="253" t="n">
        <v>137.722589</v>
      </c>
      <c r="M145" s="34" t="n"/>
      <c r="N145" s="253" t="n">
        <v>134.75924</v>
      </c>
      <c r="O145" s="253" t="n">
        <v>133.587858</v>
      </c>
      <c r="P145" s="34" t="n"/>
      <c r="Q145" s="253" t="n">
        <v>134.134034</v>
      </c>
      <c r="R145" s="253" t="n">
        <v>132.371487</v>
      </c>
      <c r="S145" s="253" t="n">
        <v>132.266373</v>
      </c>
      <c r="T145" s="253" t="n">
        <v>132.224802</v>
      </c>
      <c r="U145" s="253" t="n">
        <v>131.783922</v>
      </c>
      <c r="V145" s="253" t="n">
        <v>132.161646</v>
      </c>
      <c r="W145" s="253" t="n">
        <v>131.031979</v>
      </c>
      <c r="X145" s="253" t="n">
        <v>130.792215</v>
      </c>
      <c r="Y145" s="253" t="n">
        <v>130.121092</v>
      </c>
      <c r="Z145" s="253" t="n">
        <v>129.520718</v>
      </c>
      <c r="AA145" s="253" t="n">
        <v>130.366501</v>
      </c>
      <c r="AB145" s="253" t="n">
        <v>129.387052</v>
      </c>
      <c r="AC145" s="253" t="n">
        <v>128.391878</v>
      </c>
      <c r="AD145" s="253" t="n">
        <v>127.429723</v>
      </c>
      <c r="AE145" s="253" t="n">
        <v>125.844011</v>
      </c>
      <c r="AF145" s="253" t="n">
        <v>127.763166</v>
      </c>
      <c r="AG145" s="253" t="n">
        <v>124.114149</v>
      </c>
      <c r="AH145" s="253" t="n">
        <v>122.662037</v>
      </c>
      <c r="AI145" s="253" t="n">
        <v>121.087018</v>
      </c>
      <c r="AJ145" s="253" t="n">
        <v>120.423472</v>
      </c>
      <c r="AK145" s="253" t="n">
        <v>122.071669</v>
      </c>
      <c r="AL145" s="253" t="n">
        <v>119.965259</v>
      </c>
      <c r="AM145" s="254">
        <f>AL304-$AP$267/3*0.5+$AP$268/3*0.5</f>
        <v>120.050923666667</v>
      </c>
      <c r="AN145" s="254">
        <f>AL304-$AP$267/3*1.5+$AP$268/3*1.5</f>
        <v>119.584257</v>
      </c>
      <c r="AO145" s="254">
        <f>AL304-$AP$267/3*2.5+$AP$268/3*2.5</f>
        <v>119.117590333333</v>
      </c>
      <c r="AP145" s="254">
        <f>AVERAGE(AL145,AM145,AN145,AO145)</f>
        <v>119.6795075</v>
      </c>
      <c r="AQ145" s="254">
        <f>AVERAGE(AQ269,AQ270)</f>
        <v>114.761456140641</v>
      </c>
      <c r="AR145" s="254">
        <f>AVERAGE(AR269,AR270)</f>
        <v>106.681310910556</v>
      </c>
      <c r="AS145" s="254">
        <f>AVERAGE(AS269,AS270)</f>
        <v>98.6202201460992</v>
      </c>
      <c r="AT145" s="254">
        <f>AVERAGE(AT269,AT270)</f>
        <v>90.291097041407</v>
      </c>
      <c r="AU145" s="19" t="inlineStr">
        <is>
          <t>Q2–Q4/27E: Class A shares outstanding at 30-Jun-2026 − Q2–Q4 buybacks + equity-plan issuance (mid-quarter). 2027E+: average of beginning and ending shares. Q1 FY22 basic shares are not in the XBRL company facts (blank).</t>
        </is>
      </c>
    </row>
    <row r="146" ht="15" customHeight="1" s="251">
      <c r="B146" s="25" t="inlineStr">
        <is>
          <t xml:space="preserve">  Weighted-average diluted shares (m)</t>
        </is>
      </c>
      <c r="C146" s="253" t="n">
        <v>140.812012</v>
      </c>
      <c r="D146" s="253" t="n">
        <v>144.854724</v>
      </c>
      <c r="E146" s="253" t="n">
        <v>148.681074</v>
      </c>
      <c r="F146" s="253" t="n">
        <v>150.375531</v>
      </c>
      <c r="G146" s="253" t="n">
        <v>149.719137</v>
      </c>
      <c r="H146" s="253" t="n">
        <v>150.27464</v>
      </c>
      <c r="I146" s="253" t="n">
        <v>147.750022</v>
      </c>
      <c r="J146" s="253" t="n">
        <v>143.156176</v>
      </c>
      <c r="K146" s="253" t="n">
        <v>141.238135</v>
      </c>
      <c r="L146" s="253" t="n">
        <v>138.70322</v>
      </c>
      <c r="M146" s="253" t="n">
        <v>136.392343</v>
      </c>
      <c r="N146" s="253" t="n">
        <v>135.316429</v>
      </c>
      <c r="O146" s="253" t="n">
        <v>134.26225</v>
      </c>
      <c r="P146" s="253" t="n">
        <v>133.406723</v>
      </c>
      <c r="Q146" s="253" t="n">
        <v>134.850808</v>
      </c>
      <c r="R146" s="253" t="n">
        <v>133.011088</v>
      </c>
      <c r="S146" s="253" t="n">
        <v>132.729245</v>
      </c>
      <c r="T146" s="253" t="n">
        <v>132.759877</v>
      </c>
      <c r="U146" s="253" t="n">
        <v>132.364339</v>
      </c>
      <c r="V146" s="253" t="n">
        <v>132.716436</v>
      </c>
      <c r="W146" s="253" t="n">
        <v>131.530633</v>
      </c>
      <c r="X146" s="253" t="n">
        <v>131.133145</v>
      </c>
      <c r="Y146" s="253" t="n">
        <v>130.48905</v>
      </c>
      <c r="Z146" s="253" t="n">
        <v>130.040939</v>
      </c>
      <c r="AA146" s="253" t="n">
        <v>130.815903</v>
      </c>
      <c r="AB146" s="253" t="n">
        <v>129.917263</v>
      </c>
      <c r="AC146" s="253" t="n">
        <v>128.848077</v>
      </c>
      <c r="AD146" s="253" t="n">
        <v>127.940137</v>
      </c>
      <c r="AE146" s="253" t="n">
        <v>126.255581</v>
      </c>
      <c r="AF146" s="253" t="n">
        <v>128.290417</v>
      </c>
      <c r="AG146" s="253" t="n">
        <v>124.47567</v>
      </c>
      <c r="AH146" s="253" t="n">
        <v>122.881563</v>
      </c>
      <c r="AI146" s="253" t="n">
        <v>121.347528</v>
      </c>
      <c r="AJ146" s="253" t="n">
        <v>120.738749</v>
      </c>
      <c r="AK146" s="253" t="n">
        <v>122.375151</v>
      </c>
      <c r="AL146" s="253" t="n">
        <v>120.185147</v>
      </c>
      <c r="AM146" s="254">
        <f>AM145+(AL146-AL145)</f>
        <v>120.270811666667</v>
      </c>
      <c r="AN146" s="254">
        <f>AN145+(AL146-AL145)</f>
        <v>119.804145</v>
      </c>
      <c r="AO146" s="254">
        <f>AO145+(AL146-AL145)</f>
        <v>119.337478333333</v>
      </c>
      <c r="AP146" s="254">
        <f>AVERAGE(AL146,AM146,AN146,AO146)</f>
        <v>119.8993955</v>
      </c>
      <c r="AQ146" s="254">
        <f>AQ145+AQ329</f>
        <v>115.011456140641</v>
      </c>
      <c r="AR146" s="254">
        <f>AR145+AR329</f>
        <v>106.931310910556</v>
      </c>
      <c r="AS146" s="254">
        <f>AS145+AS329</f>
        <v>98.8702201460992</v>
      </c>
      <c r="AT146" s="254">
        <f>AT145+AT329</f>
        <v>90.541097041407</v>
      </c>
      <c r="AU146" s="19" t="n"/>
      <c r="AW146" s="20">
        <f>IFERROR((AT146/AK146)^(1/5)-1,"n/m")</f>
        <v>-0.0584779350777149</v>
      </c>
      <c r="AX146" s="20">
        <f>IFERROR((AK146/L146)^(1/5)-1,"n/m")</f>
        <v>-0.0247379175305844</v>
      </c>
      <c r="AY146" s="20">
        <f>IFERROR((AK146/G146)^(1/10)-1,"n/m")</f>
        <v>-0.0199649850514401</v>
      </c>
      <c r="AZ146" s="20">
        <f>IFERROR((AK146/C146)^(1/14)-1,"n/m")</f>
        <v>-0.00997381527623842</v>
      </c>
    </row>
    <row r="147" ht="15" customHeight="1" s="251">
      <c r="B147" s="55" t="inlineStr">
        <is>
          <t>EPS – diluted ($)</t>
        </is>
      </c>
      <c r="C147" s="290">
        <f>IF(ISNUMBER(C146),IFERROR(C144/C146,""),"")</f>
        <v>1.695601082669</v>
      </c>
      <c r="D147" s="290">
        <f>IF(ISNUMBER(D146),IFERROR(D144/D146,""),"")</f>
        <v>1.4496869290918</v>
      </c>
      <c r="E147" s="290">
        <f>IF(ISNUMBER(E146),IFERROR(E144/E146,""),"")</f>
        <v>1.54076099826936</v>
      </c>
      <c r="F147" s="290">
        <f>IF(ISNUMBER(F146),IFERROR(F144/F146,""),"")</f>
        <v>1.5235257922381</v>
      </c>
      <c r="G147" s="290">
        <f>IF(ISNUMBER(G146),IFERROR(G144/G146,""),"")</f>
        <v>1.94094092327022</v>
      </c>
      <c r="H147" s="290">
        <f>IF(ISNUMBER(H146),IFERROR(H144/H146,""),"")</f>
        <v>1.66527765430015</v>
      </c>
      <c r="I147" s="290">
        <f>IF(ISNUMBER(I146),IFERROR(I144/I146,""),"")</f>
        <v>2.05237194482448</v>
      </c>
      <c r="J147" s="290">
        <f>IF(ISNUMBER(J146),IFERROR(J144/J146,""),"")</f>
        <v>2.91063237118041</v>
      </c>
      <c r="K147" s="290">
        <f>IF(ISNUMBER(K146),IFERROR(K144/K146,""),"")</f>
        <v>3.40624718671059</v>
      </c>
      <c r="L147" s="290">
        <f>IF(ISNUMBER(L146),IFERROR(L144/L146,""),"")</f>
        <v>4.36511135069539</v>
      </c>
      <c r="M147" s="290">
        <f>IF(ISNUMBER(M146),IFERROR(M144/M146,""),"")</f>
        <v>0.67175325230684</v>
      </c>
      <c r="N147" s="290">
        <f>IF(ISNUMBER(N146),IFERROR(N144/N146,""),"")</f>
        <v>1.13618871807502</v>
      </c>
      <c r="O147" s="290">
        <f>IF(ISNUMBER(O146),IFERROR(O144/O146,""),"")</f>
        <v>0.953320832922136</v>
      </c>
      <c r="P147" s="290">
        <f>IF(ISNUMBER(P146),IFERROR(P144/P146,""),"")</f>
        <v>0.676232786259205</v>
      </c>
      <c r="Q147" s="290">
        <f>IF(ISNUMBER(Q146),IFERROR(Q144/Q146,""),"")</f>
        <v>3.43813290314137</v>
      </c>
      <c r="R147" s="290">
        <f>IF(ISNUMBER(R146),IFERROR(R144/R146,""),"")</f>
        <v>1.03278607870646</v>
      </c>
      <c r="S147" s="290">
        <f>IF(ISNUMBER(S146),IFERROR(S144/S146,""),"")</f>
        <v>1.27738238848567</v>
      </c>
      <c r="T147" s="290">
        <f>IF(ISNUMBER(T146),IFERROR(T144/T146,""),"")</f>
        <v>0.229933928004468</v>
      </c>
      <c r="U147" s="290">
        <f>IF(ISNUMBER(U146),IFERROR(U144/U146,""),"")</f>
        <v>-0.513393565921105</v>
      </c>
      <c r="V147" s="290">
        <f>IF(ISNUMBER(V146),IFERROR(V144/V146,""),"")</f>
        <v>2.03182822058302</v>
      </c>
      <c r="W147" s="290">
        <f>IF(ISNUMBER(W146),IFERROR(W144/W146,""),"")</f>
        <v>1.21757948203595</v>
      </c>
      <c r="X147" s="290">
        <f>IF(ISNUMBER(X146),IFERROR(X144/X146,""),"")</f>
        <v>1.29090170147296</v>
      </c>
      <c r="Y147" s="290">
        <f>IF(ISNUMBER(Y146),IFERROR(Y144/Y146,""),"")</f>
        <v>1.10685915791402</v>
      </c>
      <c r="Z147" s="290">
        <f>IF(ISNUMBER(Z146),IFERROR(Z144/Z146,""),"")</f>
        <v>0.975738878661896</v>
      </c>
      <c r="AA147" s="290">
        <f>IF(ISNUMBER(AA146),IFERROR(AA144/AA146,""),"")</f>
        <v>4.59233156078891</v>
      </c>
      <c r="AB147" s="290">
        <f>IF(ISNUMBER(AB146),IFERROR(AB144/AB146,""),"")</f>
        <v>1.26569014927601</v>
      </c>
      <c r="AC147" s="290">
        <f>IF(ISNUMBER(AC146),IFERROR(AC144/AC146,""),"")</f>
        <v>3.00963746630072</v>
      </c>
      <c r="AD147" s="290">
        <f>IF(ISNUMBER(AD146),IFERROR(AD144/AD146,""),"")</f>
        <v>1.45278099866346</v>
      </c>
      <c r="AE147" s="290">
        <f>IF(ISNUMBER(AE146),IFERROR(AE144/AE146,""),"")</f>
        <v>1.51914076574563</v>
      </c>
      <c r="AF147" s="290">
        <f>IF(ISNUMBER(AF146),IFERROR(AF144/AF146,""),"")</f>
        <v>7.24917746584299</v>
      </c>
      <c r="AG147" s="290">
        <f>IF(ISNUMBER(AG146),IFERROR(AG144/AG146,""),"")</f>
        <v>2.16106488922695</v>
      </c>
      <c r="AH147" s="290">
        <f>IF(ISNUMBER(AH146),IFERROR(AH144/AH146,""),"")</f>
        <v>1.41599761389754</v>
      </c>
      <c r="AI147" s="290">
        <f>IF(ISNUMBER(AI146),IFERROR(AI144/AI146,""),"")</f>
        <v>1.63167724356115</v>
      </c>
      <c r="AJ147" s="290">
        <f>IF(ISNUMBER(AJ146),IFERROR(AJ144/AJ146,""),"")</f>
        <v>1.68959842378357</v>
      </c>
      <c r="AK147" s="290">
        <f>IF(ISNUMBER(AK146),IFERROR(AK144/AK146,""),"")</f>
        <v>6.90499658709308</v>
      </c>
      <c r="AL147" s="290">
        <f>IF(ISNUMBER(AL146),IFERROR(AL144/AL146,""),"")</f>
        <v>1.63081715912866</v>
      </c>
      <c r="AM147" s="290">
        <f>IF(ISNUMBER(AM146),IFERROR(AM144/AM146,""),"")</f>
        <v>1.4637741040249</v>
      </c>
      <c r="AN147" s="290">
        <f>IF(ISNUMBER(AN146),IFERROR(AN144/AN146,""),"")</f>
        <v>1.22842172450797</v>
      </c>
      <c r="AO147" s="290">
        <f>IF(ISNUMBER(AO146),IFERROR(AO144/AO146,""),"")</f>
        <v>1.39464130164695</v>
      </c>
      <c r="AP147" s="290">
        <f>IF(ISNUMBER(AP146),IFERROR(AP144/AP146,""),"")</f>
        <v>5.7185633609795</v>
      </c>
      <c r="AQ147" s="290">
        <f>IF(ISNUMBER(AQ146),IFERROR(AQ144/AQ146,""),"")</f>
        <v>6.35092262956305</v>
      </c>
      <c r="AR147" s="290">
        <f>IF(ISNUMBER(AR146),IFERROR(AR144/AR146,""),"")</f>
        <v>7.26224578031094</v>
      </c>
      <c r="AS147" s="290">
        <f>IF(ISNUMBER(AS146),IFERROR(AS144/AS146,""),"")</f>
        <v>8.32638028741783</v>
      </c>
      <c r="AT147" s="290">
        <f>IF(ISNUMBER(AT146),IFERROR(AT144/AT146,""),"")</f>
        <v>9.64948678206644</v>
      </c>
      <c r="AU147" s="19" t="inlineStr">
        <is>
          <t>Earnings for diluted EPS (two-class) / weighted diluted shares (±$0.01 vs reported).</t>
        </is>
      </c>
      <c r="AW147" s="20">
        <f>IFERROR((AT147/AK147)^(1/5)-1,"n/m")</f>
        <v>0.0692226484026817</v>
      </c>
      <c r="AX147" s="20">
        <f>IFERROR((AK147/L147)^(1/5)-1,"n/m")</f>
        <v>0.096058232268917</v>
      </c>
      <c r="AY147" s="20">
        <f>IFERROR((AK147/G147)^(1/10)-1,"n/m")</f>
        <v>0.135311704233791</v>
      </c>
      <c r="AZ147" s="20">
        <f>IFERROR((AK147/C147)^(1/14)-1,"n/m")</f>
        <v>0.105503150297864</v>
      </c>
    </row>
    <row r="148" ht="15" customHeight="1" s="251">
      <c r="B148" s="22" t="inlineStr">
        <is>
          <t xml:space="preserve">  EPS – diluted y/y %</t>
        </is>
      </c>
      <c r="C148" s="23" t="n"/>
      <c r="D148" s="255">
        <f>IF(AND(ISNUMBER(D147),ISNUMBER(C147)),IFERROR(D147/C147-1,""),"")</f>
        <v>-0.145030665579733</v>
      </c>
      <c r="E148" s="255">
        <f>IF(AND(ISNUMBER(E147),ISNUMBER(D147)),IFERROR(E147/D147-1,""),"")</f>
        <v>0.0628232671136892</v>
      </c>
      <c r="F148" s="255">
        <f>IF(AND(ISNUMBER(F147),ISNUMBER(E147)),IFERROR(F147/E147-1,""),"")</f>
        <v>-0.0111861645320819</v>
      </c>
      <c r="G148" s="255">
        <f>IF(AND(ISNUMBER(G147),ISNUMBER(F147)),IFERROR(G147/F147-1,""),"")</f>
        <v>0.273979694442141</v>
      </c>
      <c r="H148" s="255">
        <f>IF(AND(ISNUMBER(H147),ISNUMBER(G147)),IFERROR(H147/G147-1,""),"")</f>
        <v>-0.142025584429231</v>
      </c>
      <c r="I148" s="255">
        <f>IF(AND(ISNUMBER(I147),ISNUMBER(H147)),IFERROR(I147/H147-1,""),"")</f>
        <v>0.232450300119477</v>
      </c>
      <c r="J148" s="255">
        <f>IF(AND(ISNUMBER(J147),ISNUMBER(I147)),IFERROR(J147/I147-1,""),"")</f>
        <v>0.418179769276336</v>
      </c>
      <c r="K148" s="255">
        <f>IF(AND(ISNUMBER(K147),ISNUMBER(J147)),IFERROR(K147/J147-1,""),"")</f>
        <v>0.170277366677256</v>
      </c>
      <c r="L148" s="255">
        <f>IF(AND(ISNUMBER(L147),ISNUMBER(K147)),IFERROR(L147/K147-1,""),"")</f>
        <v>0.281501638438278</v>
      </c>
      <c r="M148" s="23" t="n"/>
      <c r="N148" s="23" t="n"/>
      <c r="O148" s="23" t="n"/>
      <c r="P148" s="23" t="n"/>
      <c r="Q148" s="255">
        <f>IF(AND(ISNUMBER(Q147),ISNUMBER(L147)),IFERROR(Q147/L147-1,""),"")</f>
        <v>-0.212360779160042</v>
      </c>
      <c r="R148" s="255">
        <f>IF(AND(ISNUMBER(R147),ISNUMBER(M147)),IFERROR(R147/M147-1,""),"")</f>
        <v>0.537448572314036</v>
      </c>
      <c r="S148" s="255">
        <f>IF(AND(ISNUMBER(S147),ISNUMBER(N147)),IFERROR(S147/N147-1,""),"")</f>
        <v>0.124269558537656</v>
      </c>
      <c r="T148" s="255">
        <f>IF(AND(ISNUMBER(T147),ISNUMBER(O147)),IFERROR(T147/O147-1,""),"")</f>
        <v>-0.758807402435893</v>
      </c>
      <c r="U148" s="255">
        <f>IF(AND(ISNUMBER(U147),ISNUMBER(P147)),IFERROR(U147/P147-1,""),"")</f>
        <v>-1.75919650208193</v>
      </c>
      <c r="V148" s="255">
        <f>IF(AND(ISNUMBER(V147),ISNUMBER(Q147)),IFERROR(V147/Q147-1,""),"")</f>
        <v>-0.409031506976777</v>
      </c>
      <c r="W148" s="255">
        <f>IF(AND(ISNUMBER(W147),ISNUMBER(R147)),IFERROR(W147/R147-1,""),"")</f>
        <v>0.178927085811356</v>
      </c>
      <c r="X148" s="255">
        <f>IF(AND(ISNUMBER(X147),ISNUMBER(S147)),IFERROR(X147/S147-1,""),"")</f>
        <v>0.0105836068425142</v>
      </c>
      <c r="Y148" s="255">
        <f>IF(AND(ISNUMBER(Y147),ISNUMBER(T147)),IFERROR(Y147/T147-1,""),"")</f>
        <v>3.81381398352186</v>
      </c>
      <c r="Z148" s="255">
        <f>IF(AND(ISNUMBER(Z147),ISNUMBER(U147)),IFERROR(Z147/U147-1,""),"")</f>
        <v>-2.90056701803669</v>
      </c>
      <c r="AA148" s="255">
        <f>IF(AND(ISNUMBER(AA147),ISNUMBER(V147)),IFERROR(AA147/V147-1,""),"")</f>
        <v>1.26019675987726</v>
      </c>
      <c r="AB148" s="255">
        <f>IF(AND(ISNUMBER(AB147),ISNUMBER(W147)),IFERROR(AB147/W147-1,""),"")</f>
        <v>0.0395133689010698</v>
      </c>
      <c r="AC148" s="255">
        <f>IF(AND(ISNUMBER(AC147),ISNUMBER(X147)),IFERROR(AC147/X147-1,""),"")</f>
        <v>1.33142265043623</v>
      </c>
      <c r="AD148" s="255">
        <f>IF(AND(ISNUMBER(AD147),ISNUMBER(Y147)),IFERROR(AD147/Y147-1,""),"")</f>
        <v>0.312525616539477</v>
      </c>
      <c r="AE148" s="255">
        <f>IF(AND(ISNUMBER(AE147),ISNUMBER(Z147)),IFERROR(AE147/Z147-1,""),"")</f>
        <v>0.556913226445324</v>
      </c>
      <c r="AF148" s="255">
        <f>IF(AND(ISNUMBER(AF147),ISNUMBER(AA147)),IFERROR(AF147/AA147-1,""),"")</f>
        <v>0.578539652436957</v>
      </c>
      <c r="AG148" s="255">
        <f>IF(AND(ISNUMBER(AG147),ISNUMBER(AB147)),IFERROR(AG147/AB147-1,""),"")</f>
        <v>0.707420169512349</v>
      </c>
      <c r="AH148" s="255">
        <f>IF(AND(ISNUMBER(AH147),ISNUMBER(AC147)),IFERROR(AH147/AC147-1,""),"")</f>
        <v>-0.529512232037035</v>
      </c>
      <c r="AI148" s="255">
        <f>IF(AND(ISNUMBER(AI147),ISNUMBER(AD147)),IFERROR(AI147/AD147-1,""),"")</f>
        <v>0.123140545658482</v>
      </c>
      <c r="AJ148" s="255">
        <f>IF(AND(ISNUMBER(AJ147),ISNUMBER(AE147)),IFERROR(AJ147/AE147-1,""),"")</f>
        <v>0.112206624877366</v>
      </c>
      <c r="AK148" s="255">
        <f>IF(AND(ISNUMBER(AK147),ISNUMBER(AF147)),IFERROR(AK147/AF147-1,""),"")</f>
        <v>-0.0474786112454326</v>
      </c>
      <c r="AL148" s="255">
        <f>IF(AND(ISNUMBER(AL147),ISNUMBER(AG147)),IFERROR(AL147/AG147-1,""),"")</f>
        <v>-0.24536409468388</v>
      </c>
      <c r="AM148" s="256">
        <f>IF(AND(ISNUMBER(AM147),ISNUMBER(AH147)),IFERROR(AM147/AH147-1,""),"")</f>
        <v>0.0337405159856588</v>
      </c>
      <c r="AN148" s="256">
        <f>IF(AND(ISNUMBER(AN147),ISNUMBER(AI147)),IFERROR(AN147/AI147-1,""),"")</f>
        <v>-0.247141719138692</v>
      </c>
      <c r="AO148" s="256">
        <f>IF(AND(ISNUMBER(AO147),ISNUMBER(AJ147)),IFERROR(AO147/AJ147-1,""),"")</f>
        <v>-0.174572323212822</v>
      </c>
      <c r="AP148" s="256">
        <f>IF(AND(ISNUMBER(AP147),ISNUMBER(AK147)),IFERROR(AP147/AK147-1,""),"")</f>
        <v>-0.171822420351558</v>
      </c>
      <c r="AQ148" s="256">
        <f>IF(AND(ISNUMBER(AQ147),ISNUMBER(AP147)),IFERROR(AQ147/AP147-1,""),"")</f>
        <v>0.110580093052469</v>
      </c>
      <c r="AR148" s="256">
        <f>IF(AND(ISNUMBER(AR147),ISNUMBER(AQ147)),IFERROR(AR147/AQ147-1,""),"")</f>
        <v>0.143494607619017</v>
      </c>
      <c r="AS148" s="256">
        <f>IF(AND(ISNUMBER(AS147),ISNUMBER(AR147)),IFERROR(AS147/AR147-1,""),"")</f>
        <v>0.146529674056464</v>
      </c>
      <c r="AT148" s="256">
        <f>IF(AND(ISNUMBER(AT147),ISNUMBER(AS147)),IFERROR(AT147/AS147-1,""),"")</f>
        <v>0.158905364513314</v>
      </c>
      <c r="AU148" s="153" t="n"/>
    </row>
    <row r="149" collapsed="1" ht="15" customHeight="1" s="251">
      <c r="B149" s="156" t="inlineStr">
        <is>
          <t xml:space="preserve">  Memo: EPS – diluted as reported ($)</t>
        </is>
      </c>
      <c r="C149" s="291" t="n">
        <v>1.7</v>
      </c>
      <c r="D149" s="291" t="n">
        <v>1.45</v>
      </c>
      <c r="E149" s="291" t="n">
        <v>1.54</v>
      </c>
      <c r="F149" s="291" t="n">
        <v>1.52</v>
      </c>
      <c r="G149" s="291" t="n">
        <v>1.94</v>
      </c>
      <c r="H149" s="291" t="n">
        <v>1.67</v>
      </c>
      <c r="I149" s="291" t="n">
        <v>2.05</v>
      </c>
      <c r="J149" s="291" t="n">
        <v>2.91</v>
      </c>
      <c r="K149" s="291" t="n">
        <v>3.41</v>
      </c>
      <c r="L149" s="291" t="n">
        <v>4.37</v>
      </c>
      <c r="M149" s="291" t="n">
        <v>0.67</v>
      </c>
      <c r="N149" s="291" t="n">
        <v>1.14</v>
      </c>
      <c r="O149" s="291" t="n">
        <v>0.95</v>
      </c>
      <c r="P149" s="291" t="n">
        <v>0.68</v>
      </c>
      <c r="Q149" s="291" t="n">
        <v>3.44</v>
      </c>
      <c r="R149" s="291" t="n">
        <v>1.03</v>
      </c>
      <c r="S149" s="291" t="n">
        <v>1.28</v>
      </c>
      <c r="T149" s="291" t="n">
        <v>0.23</v>
      </c>
      <c r="U149" s="291" t="n">
        <v>-0.52</v>
      </c>
      <c r="V149" s="291" t="n">
        <v>2.03</v>
      </c>
      <c r="W149" s="291" t="n">
        <v>1.22</v>
      </c>
      <c r="X149" s="291" t="n">
        <v>1.29</v>
      </c>
      <c r="Y149" s="291" t="n">
        <v>1.11</v>
      </c>
      <c r="Z149" s="291" t="n">
        <v>0.98</v>
      </c>
      <c r="AA149" s="291" t="n">
        <v>4.59</v>
      </c>
      <c r="AB149" s="291" t="n">
        <v>1.27</v>
      </c>
      <c r="AC149" s="291" t="n">
        <v>3.01</v>
      </c>
      <c r="AD149" s="291" t="n">
        <v>1.45</v>
      </c>
      <c r="AE149" s="291" t="n">
        <v>1.52</v>
      </c>
      <c r="AF149" s="291" t="n">
        <v>7.25</v>
      </c>
      <c r="AG149" s="291" t="n">
        <v>2.16</v>
      </c>
      <c r="AH149" s="291" t="n">
        <v>1.42</v>
      </c>
      <c r="AI149" s="291" t="n">
        <v>1.63</v>
      </c>
      <c r="AJ149" s="291" t="n">
        <v>1.68</v>
      </c>
      <c r="AK149" s="291" t="n">
        <v>6.9</v>
      </c>
      <c r="AL149" s="291" t="n">
        <v>1.63</v>
      </c>
      <c r="AM149" s="153" t="n"/>
      <c r="AN149" s="153" t="n"/>
      <c r="AO149" s="153" t="n"/>
      <c r="AP149" s="153" t="n"/>
      <c r="AQ149" s="153" t="n"/>
      <c r="AR149" s="153" t="n"/>
      <c r="AS149" s="153" t="n"/>
      <c r="AT149" s="153" t="n"/>
      <c r="AU149" s="153" t="n"/>
    </row>
    <row r="150" ht="15" customHeight="1" s="251">
      <c r="B150" s="57" t="inlineStr">
        <is>
          <t xml:space="preserve">  Check: model vs reported diluted EPS (should be 0.00; ±0.01 rounding)</t>
        </is>
      </c>
      <c r="C150" s="292">
        <f>IF(AND(ISNUMBER(C149),ISNUMBER(C147)),IF(ABS(C147-C149)&lt;=0.0101,0,ROUND(C147-C149,2)),"n/p")</f>
        <v>0</v>
      </c>
      <c r="D150" s="292">
        <f>IF(AND(ISNUMBER(D149),ISNUMBER(D147)),IF(ABS(D147-D149)&lt;=0.0101,0,ROUND(D147-D149,2)),"n/p")</f>
        <v>0</v>
      </c>
      <c r="E150" s="292">
        <f>IF(AND(ISNUMBER(E149),ISNUMBER(E147)),IF(ABS(E147-E149)&lt;=0.0101,0,ROUND(E147-E149,2)),"n/p")</f>
        <v>0</v>
      </c>
      <c r="F150" s="292">
        <f>IF(AND(ISNUMBER(F149),ISNUMBER(F147)),IF(ABS(F147-F149)&lt;=0.0101,0,ROUND(F147-F149,2)),"n/p")</f>
        <v>0</v>
      </c>
      <c r="G150" s="292">
        <f>IF(AND(ISNUMBER(G149),ISNUMBER(G147)),IF(ABS(G147-G149)&lt;=0.0101,0,ROUND(G147-G149,2)),"n/p")</f>
        <v>0</v>
      </c>
      <c r="H150" s="292">
        <f>IF(AND(ISNUMBER(H149),ISNUMBER(H147)),IF(ABS(H147-H149)&lt;=0.0101,0,ROUND(H147-H149,2)),"n/p")</f>
        <v>0</v>
      </c>
      <c r="I150" s="292">
        <f>IF(AND(ISNUMBER(I149),ISNUMBER(I147)),IF(ABS(I147-I149)&lt;=0.0101,0,ROUND(I147-I149,2)),"n/p")</f>
        <v>0</v>
      </c>
      <c r="J150" s="292">
        <f>IF(AND(ISNUMBER(J149),ISNUMBER(J147)),IF(ABS(J147-J149)&lt;=0.0101,0,ROUND(J147-J149,2)),"n/p")</f>
        <v>0</v>
      </c>
      <c r="K150" s="292">
        <f>IF(AND(ISNUMBER(K149),ISNUMBER(K147)),IF(ABS(K147-K149)&lt;=0.0101,0,ROUND(K147-K149,2)),"n/p")</f>
        <v>0</v>
      </c>
      <c r="L150" s="292">
        <f>IF(AND(ISNUMBER(L149),ISNUMBER(L147)),IF(ABS(L147-L149)&lt;=0.0101,0,ROUND(L147-L149,2)),"n/p")</f>
        <v>0</v>
      </c>
      <c r="M150" s="292">
        <f>IF(AND(ISNUMBER(M149),ISNUMBER(M147)),IF(ABS(M147-M149)&lt;=0.0101,0,ROUND(M147-M149,2)),"n/p")</f>
        <v>0</v>
      </c>
      <c r="N150" s="292">
        <f>IF(AND(ISNUMBER(N149),ISNUMBER(N147)),IF(ABS(N147-N149)&lt;=0.0101,0,ROUND(N147-N149,2)),"n/p")</f>
        <v>0</v>
      </c>
      <c r="O150" s="292">
        <f>IF(AND(ISNUMBER(O149),ISNUMBER(O147)),IF(ABS(O147-O149)&lt;=0.0101,0,ROUND(O147-O149,2)),"n/p")</f>
        <v>0</v>
      </c>
      <c r="P150" s="292">
        <f>IF(AND(ISNUMBER(P149),ISNUMBER(P147)),IF(ABS(P147-P149)&lt;=0.0101,0,ROUND(P147-P149,2)),"n/p")</f>
        <v>0</v>
      </c>
      <c r="Q150" s="292">
        <f>IF(AND(ISNUMBER(Q149),ISNUMBER(Q147)),IF(ABS(Q147-Q149)&lt;=0.0101,0,ROUND(Q147-Q149,2)),"n/p")</f>
        <v>0</v>
      </c>
      <c r="R150" s="292">
        <f>IF(AND(ISNUMBER(R149),ISNUMBER(R147)),IF(ABS(R147-R149)&lt;=0.0101,0,ROUND(R147-R149,2)),"n/p")</f>
        <v>0</v>
      </c>
      <c r="S150" s="292">
        <f>IF(AND(ISNUMBER(S149),ISNUMBER(S147)),IF(ABS(S147-S149)&lt;=0.0101,0,ROUND(S147-S149,2)),"n/p")</f>
        <v>0</v>
      </c>
      <c r="T150" s="292">
        <f>IF(AND(ISNUMBER(T149),ISNUMBER(T147)),IF(ABS(T147-T149)&lt;=0.0101,0,ROUND(T147-T149,2)),"n/p")</f>
        <v>0</v>
      </c>
      <c r="U150" s="292">
        <f>IF(AND(ISNUMBER(U149),ISNUMBER(U147)),IF(ABS(U147-U149)&lt;=0.0101,0,ROUND(U147-U149,2)),"n/p")</f>
        <v>0</v>
      </c>
      <c r="V150" s="292">
        <f>IF(AND(ISNUMBER(V149),ISNUMBER(V147)),IF(ABS(V147-V149)&lt;=0.0101,0,ROUND(V147-V149,2)),"n/p")</f>
        <v>0</v>
      </c>
      <c r="W150" s="292">
        <f>IF(AND(ISNUMBER(W149),ISNUMBER(W147)),IF(ABS(W147-W149)&lt;=0.0101,0,ROUND(W147-W149,2)),"n/p")</f>
        <v>0</v>
      </c>
      <c r="X150" s="292">
        <f>IF(AND(ISNUMBER(X149),ISNUMBER(X147)),IF(ABS(X147-X149)&lt;=0.0101,0,ROUND(X147-X149,2)),"n/p")</f>
        <v>0</v>
      </c>
      <c r="Y150" s="292">
        <f>IF(AND(ISNUMBER(Y149),ISNUMBER(Y147)),IF(ABS(Y147-Y149)&lt;=0.0101,0,ROUND(Y147-Y149,2)),"n/p")</f>
        <v>0</v>
      </c>
      <c r="Z150" s="292">
        <f>IF(AND(ISNUMBER(Z149),ISNUMBER(Z147)),IF(ABS(Z147-Z149)&lt;=0.0101,0,ROUND(Z147-Z149,2)),"n/p")</f>
        <v>0</v>
      </c>
      <c r="AA150" s="292">
        <f>IF(AND(ISNUMBER(AA149),ISNUMBER(AA147)),IF(ABS(AA147-AA149)&lt;=0.0101,0,ROUND(AA147-AA149,2)),"n/p")</f>
        <v>0</v>
      </c>
      <c r="AB150" s="292">
        <f>IF(AND(ISNUMBER(AB149),ISNUMBER(AB147)),IF(ABS(AB147-AB149)&lt;=0.0101,0,ROUND(AB147-AB149,2)),"n/p")</f>
        <v>0</v>
      </c>
      <c r="AC150" s="292">
        <f>IF(AND(ISNUMBER(AC149),ISNUMBER(AC147)),IF(ABS(AC147-AC149)&lt;=0.0101,0,ROUND(AC147-AC149,2)),"n/p")</f>
        <v>0</v>
      </c>
      <c r="AD150" s="292">
        <f>IF(AND(ISNUMBER(AD149),ISNUMBER(AD147)),IF(ABS(AD147-AD149)&lt;=0.0101,0,ROUND(AD147-AD149,2)),"n/p")</f>
        <v>0</v>
      </c>
      <c r="AE150" s="292">
        <f>IF(AND(ISNUMBER(AE149),ISNUMBER(AE147)),IF(ABS(AE147-AE149)&lt;=0.0101,0,ROUND(AE147-AE149,2)),"n/p")</f>
        <v>0</v>
      </c>
      <c r="AF150" s="292">
        <f>IF(AND(ISNUMBER(AF149),ISNUMBER(AF147)),IF(ABS(AF147-AF149)&lt;=0.0101,0,ROUND(AF147-AF149,2)),"n/p")</f>
        <v>0</v>
      </c>
      <c r="AG150" s="292">
        <f>IF(AND(ISNUMBER(AG149),ISNUMBER(AG147)),IF(ABS(AG147-AG149)&lt;=0.0101,0,ROUND(AG147-AG149,2)),"n/p")</f>
        <v>0</v>
      </c>
      <c r="AH150" s="292">
        <f>IF(AND(ISNUMBER(AH149),ISNUMBER(AH147)),IF(ABS(AH147-AH149)&lt;=0.0101,0,ROUND(AH147-AH149,2)),"n/p")</f>
        <v>0</v>
      </c>
      <c r="AI150" s="292">
        <f>IF(AND(ISNUMBER(AI149),ISNUMBER(AI147)),IF(ABS(AI147-AI149)&lt;=0.0101,0,ROUND(AI147-AI149,2)),"n/p")</f>
        <v>0</v>
      </c>
      <c r="AJ150" s="292">
        <f>IF(AND(ISNUMBER(AJ149),ISNUMBER(AJ147)),IF(ABS(AJ147-AJ149)&lt;=0.0101,0,ROUND(AJ147-AJ149,2)),"n/p")</f>
        <v>0</v>
      </c>
      <c r="AK150" s="292">
        <f>IF(AND(ISNUMBER(AK149),ISNUMBER(AK147)),IF(ABS(AK147-AK149)&lt;=0.0101,0,ROUND(AK147-AK149,2)),"n/p")</f>
        <v>0</v>
      </c>
      <c r="AL150" s="292">
        <f>IF(AND(ISNUMBER(AL149),ISNUMBER(AL147)),IF(ABS(AL147-AL149)&lt;=0.0101,0,ROUND(AL147-AL149,2)),"n/p")</f>
        <v>0</v>
      </c>
      <c r="AM150" s="153" t="n"/>
      <c r="AN150" s="153" t="n"/>
      <c r="AO150" s="153" t="n"/>
      <c r="AP150" s="153" t="n"/>
      <c r="AQ150" s="153" t="n"/>
      <c r="AR150" s="153" t="n"/>
      <c r="AS150" s="153" t="n"/>
      <c r="AT150" s="153" t="n"/>
      <c r="AU150" s="153" t="n"/>
    </row>
    <row r="151" ht="15" customHeight="1" s="251">
      <c r="B151" s="25" t="inlineStr">
        <is>
          <t xml:space="preserve">  Cash dividends paid per share ($)</t>
        </is>
      </c>
      <c r="C151" s="291" t="n">
        <v>0.09</v>
      </c>
      <c r="D151" s="291" t="n">
        <v>8.359999999999999</v>
      </c>
      <c r="E151" s="34" t="n"/>
      <c r="F151" s="34" t="n"/>
      <c r="G151" s="34" t="n"/>
      <c r="H151" s="34" t="n"/>
      <c r="I151" s="291" t="n">
        <v>0.7</v>
      </c>
      <c r="J151" s="291" t="n">
        <v>0.8</v>
      </c>
      <c r="K151" s="291" t="n">
        <v>1.04</v>
      </c>
      <c r="L151" s="291" t="n">
        <v>1.3</v>
      </c>
      <c r="M151" s="291" t="n">
        <v>0.37</v>
      </c>
      <c r="N151" s="291" t="n">
        <v>0.37</v>
      </c>
      <c r="O151" s="291" t="n">
        <v>0.37</v>
      </c>
      <c r="P151" s="34" t="n"/>
      <c r="Q151" s="291" t="n">
        <v>1.54</v>
      </c>
      <c r="R151" s="291" t="n">
        <v>0.43</v>
      </c>
      <c r="S151" s="291" t="n">
        <v>0.43</v>
      </c>
      <c r="T151" s="291" t="n">
        <v>0.43</v>
      </c>
      <c r="U151" s="34" t="n"/>
      <c r="V151" s="291" t="n">
        <v>1.76</v>
      </c>
      <c r="W151" s="291" t="n">
        <v>0.47</v>
      </c>
      <c r="X151" s="291" t="n">
        <v>0.47</v>
      </c>
      <c r="Y151" s="291" t="n">
        <v>0.47</v>
      </c>
      <c r="Z151" s="34" t="n"/>
      <c r="AA151" s="291" t="n">
        <v>1.92</v>
      </c>
      <c r="AB151" s="291" t="n">
        <v>0.51</v>
      </c>
      <c r="AC151" s="291" t="n">
        <v>0.51</v>
      </c>
      <c r="AD151" s="291" t="n">
        <v>0.51</v>
      </c>
      <c r="AE151" s="34" t="n"/>
      <c r="AF151" s="291" t="n">
        <v>2.08</v>
      </c>
      <c r="AG151" s="291" t="n">
        <v>0.55</v>
      </c>
      <c r="AH151" s="291" t="n">
        <v>0.55</v>
      </c>
      <c r="AI151" s="291" t="n">
        <v>0.55</v>
      </c>
      <c r="AJ151" s="34" t="n"/>
      <c r="AK151" s="291" t="n">
        <v>2.24</v>
      </c>
      <c r="AL151" s="291" t="n">
        <v>0.59</v>
      </c>
      <c r="AM151" s="293" t="n">
        <v>0.59</v>
      </c>
      <c r="AN151" s="293" t="n">
        <v>0.59</v>
      </c>
      <c r="AO151" s="293" t="n">
        <v>0.59</v>
      </c>
      <c r="AP151" s="294">
        <f>SUM(AL151,AM151,AN151,AO151)</f>
        <v>2.36</v>
      </c>
      <c r="AQ151" s="294">
        <f>AP151*(1+AQ152)</f>
        <v>2.5016</v>
      </c>
      <c r="AR151" s="294">
        <f>AQ151*(1+AR152)</f>
        <v>2.651696</v>
      </c>
      <c r="AS151" s="294">
        <f>AR151*(1+AS152)</f>
        <v>2.81079776</v>
      </c>
      <c r="AT151" s="294">
        <f>AS151*(1+AT152)</f>
        <v>2.9794456256</v>
      </c>
      <c r="AU151" s="19" t="inlineStr">
        <is>
          <t>Quarterly dividend $0.59 (declared 24-Jul-2026). 2028E+: prior year × (1 + growth).</t>
        </is>
      </c>
      <c r="AW151" s="20">
        <f>IFERROR((AT151/AK151)^(1/5)-1,"n/m")</f>
        <v>0.0587111553330379</v>
      </c>
      <c r="AX151" s="20">
        <f>IFERROR((AK151/L151)^(1/5)-1,"n/m")</f>
        <v>0.114964226209005</v>
      </c>
      <c r="AY151" s="20" t="str">
        <f>IFERROR((AK151/G151)^(1/10)-1,"n/m")</f>
        <v>n/m</v>
      </c>
      <c r="AZ151" s="20">
        <f>IFERROR((AK151/C151)^(1/14)-1,"n/m")</f>
        <v>0.258098600388751</v>
      </c>
    </row>
    <row r="152" ht="15" customHeight="1" s="251">
      <c r="B152" s="25" t="inlineStr">
        <is>
          <t xml:space="preserve">  Dividend per share growth %</t>
        </is>
      </c>
      <c r="C152" s="36" t="n"/>
      <c r="D152" s="215">
        <f>IF(AND(ISNUMBER(D151),ISNUMBER(C151)),IFERROR(D151/C151-1,""),"")</f>
        <v>91.8888888888889</v>
      </c>
      <c r="E152" s="215">
        <f>IF(AND(ISNUMBER(E151),ISNUMBER(D151)),IFERROR(E151/D151-1,""),"")</f>
      </c>
      <c r="F152" s="215">
        <f>IF(AND(ISNUMBER(F151),ISNUMBER(E151)),IFERROR(F151/E151-1,""),"")</f>
      </c>
      <c r="G152" s="215">
        <f>IF(AND(ISNUMBER(G151),ISNUMBER(F151)),IFERROR(G151/F151-1,""),"")</f>
      </c>
      <c r="H152" s="215">
        <f>IF(AND(ISNUMBER(H151),ISNUMBER(G151)),IFERROR(H151/G151-1,""),"")</f>
      </c>
      <c r="I152" s="215">
        <f>IF(AND(ISNUMBER(I151),ISNUMBER(H151)),IFERROR(I151/H151-1,""),"")</f>
      </c>
      <c r="J152" s="215">
        <f>IF(AND(ISNUMBER(J151),ISNUMBER(I151)),IFERROR(J151/I151-1,""),"")</f>
        <v>0.142857142857143</v>
      </c>
      <c r="K152" s="215">
        <f>IF(AND(ISNUMBER(K151),ISNUMBER(J151)),IFERROR(K151/J151-1,""),"")</f>
        <v>0.3</v>
      </c>
      <c r="L152" s="215">
        <f>IF(AND(ISNUMBER(L151),ISNUMBER(K151)),IFERROR(L151/K151-1,""),"")</f>
        <v>0.25</v>
      </c>
      <c r="M152" s="36" t="n"/>
      <c r="N152" s="36" t="n"/>
      <c r="O152" s="36" t="n"/>
      <c r="P152" s="36" t="n"/>
      <c r="Q152" s="215">
        <f>IF(AND(ISNUMBER(Q151),ISNUMBER(L151)),IFERROR(Q151/L151-1,""),"")</f>
        <v>0.184615384615385</v>
      </c>
      <c r="R152" s="215">
        <f>IF(AND(ISNUMBER(R151),ISNUMBER(M151)),IFERROR(R151/M151-1,""),"")</f>
        <v>0.162162162162162</v>
      </c>
      <c r="S152" s="215">
        <f>IF(AND(ISNUMBER(S151),ISNUMBER(N151)),IFERROR(S151/N151-1,""),"")</f>
        <v>0.162162162162162</v>
      </c>
      <c r="T152" s="215">
        <f>IF(AND(ISNUMBER(T151),ISNUMBER(O151)),IFERROR(T151/O151-1,""),"")</f>
        <v>0.162162162162162</v>
      </c>
      <c r="U152" s="215">
        <f>IF(AND(ISNUMBER(U151),ISNUMBER(P151)),IFERROR(U151/P151-1,""),"")</f>
      </c>
      <c r="V152" s="215">
        <f>IF(AND(ISNUMBER(V151),ISNUMBER(Q151)),IFERROR(V151/Q151-1,""),"")</f>
        <v>0.142857142857143</v>
      </c>
      <c r="W152" s="215">
        <f>IF(AND(ISNUMBER(W151),ISNUMBER(R151)),IFERROR(W151/R151-1,""),"")</f>
        <v>0.0930232558139534</v>
      </c>
      <c r="X152" s="215">
        <f>IF(AND(ISNUMBER(X151),ISNUMBER(S151)),IFERROR(X151/S151-1,""),"")</f>
        <v>0.0930232558139534</v>
      </c>
      <c r="Y152" s="215">
        <f>IF(AND(ISNUMBER(Y151),ISNUMBER(T151)),IFERROR(Y151/T151-1,""),"")</f>
        <v>0.0930232558139534</v>
      </c>
      <c r="Z152" s="215">
        <f>IF(AND(ISNUMBER(Z151),ISNUMBER(U151)),IFERROR(Z151/U151-1,""),"")</f>
      </c>
      <c r="AA152" s="215">
        <f>IF(AND(ISNUMBER(AA151),ISNUMBER(V151)),IFERROR(AA151/V151-1,""),"")</f>
        <v>0.0909090909090908</v>
      </c>
      <c r="AB152" s="215">
        <f>IF(AND(ISNUMBER(AB151),ISNUMBER(W151)),IFERROR(AB151/W151-1,""),"")</f>
        <v>0.0851063829787235</v>
      </c>
      <c r="AC152" s="215">
        <f>IF(AND(ISNUMBER(AC151),ISNUMBER(X151)),IFERROR(AC151/X151-1,""),"")</f>
        <v>0.0851063829787235</v>
      </c>
      <c r="AD152" s="215">
        <f>IF(AND(ISNUMBER(AD151),ISNUMBER(Y151)),IFERROR(AD151/Y151-1,""),"")</f>
        <v>0.0851063829787235</v>
      </c>
      <c r="AE152" s="215">
        <f>IF(AND(ISNUMBER(AE151),ISNUMBER(Z151)),IFERROR(AE151/Z151-1,""),"")</f>
      </c>
      <c r="AF152" s="215">
        <f>IF(AND(ISNUMBER(AF151),ISNUMBER(AA151)),IFERROR(AF151/AA151-1,""),"")</f>
        <v>0.0833333333333335</v>
      </c>
      <c r="AG152" s="215">
        <f>IF(AND(ISNUMBER(AG151),ISNUMBER(AB151)),IFERROR(AG151/AB151-1,""),"")</f>
        <v>0.0784313725490198</v>
      </c>
      <c r="AH152" s="215">
        <f>IF(AND(ISNUMBER(AH151),ISNUMBER(AC151)),IFERROR(AH151/AC151-1,""),"")</f>
        <v>0.0784313725490198</v>
      </c>
      <c r="AI152" s="215">
        <f>IF(AND(ISNUMBER(AI151),ISNUMBER(AD151)),IFERROR(AI151/AD151-1,""),"")</f>
        <v>0.0784313725490198</v>
      </c>
      <c r="AJ152" s="215">
        <f>IF(AND(ISNUMBER(AJ151),ISNUMBER(AE151)),IFERROR(AJ151/AE151-1,""),"")</f>
      </c>
      <c r="AK152" s="215">
        <f>IF(AND(ISNUMBER(AK151),ISNUMBER(AF151)),IFERROR(AK151/AF151-1,""),"")</f>
        <v>0.0769230769230771</v>
      </c>
      <c r="AL152" s="215">
        <f>IF(AND(ISNUMBER(AL151),ISNUMBER(AG151)),IFERROR(AL151/AG151-1,""),"")</f>
        <v>0.0727272727272725</v>
      </c>
      <c r="AM152" s="256">
        <f>IF(AND(ISNUMBER(AM151),ISNUMBER(AH151)),IFERROR(AM151/AH151-1,""),"")</f>
        <v>0.0727272727272725</v>
      </c>
      <c r="AN152" s="256">
        <f>IF(AND(ISNUMBER(AN151),ISNUMBER(AI151)),IFERROR(AN151/AI151-1,""),"")</f>
        <v>0.0727272727272725</v>
      </c>
      <c r="AO152" s="256">
        <f>IF(AND(ISNUMBER(AO151),ISNUMBER(AJ151)),IFERROR(AO151/AJ151-1,""),"")</f>
      </c>
      <c r="AP152" s="256">
        <f>IF(AND(ISNUMBER(AP151),ISNUMBER(AK151)),IFERROR(AP151/AK151-1,""),"")</f>
        <v>0.0535714285714284</v>
      </c>
      <c r="AQ152" s="264" t="n">
        <v>0.06</v>
      </c>
      <c r="AR152" s="264" t="n">
        <v>0.06</v>
      </c>
      <c r="AS152" s="264" t="n">
        <v>0.06</v>
      </c>
      <c r="AT152" s="264" t="n">
        <v>0.06</v>
      </c>
      <c r="AU152" s="19" t="n"/>
    </row>
    <row r="153" ht="15" customHeight="1" s="251">
      <c r="BC153" s="11" t="n"/>
      <c r="BD153" s="12" t="n"/>
      <c r="BE153" s="12" t="n"/>
      <c r="BF153" s="12" t="n"/>
      <c r="BG153" s="13" t="n"/>
    </row>
    <row r="154" ht="15" customHeight="1" s="251">
      <c r="B154" s="10" t="inlineStr">
        <is>
          <t>RECONCILIATION: OPERATING INCOME → ADJUSTED OPERATING INCOME (company definition, published FY2012 – Q3 FY2025)</t>
        </is>
      </c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inlineStr">
        <is>
          <t>ADJUSTED OPERATING INCOME — per the release reconciliations; not published from Q4 FY2025 (model continuation on the last definition)</t>
        </is>
      </c>
    </row>
    <row r="155" ht="15" customHeight="1" s="251">
      <c r="B155" s="16" t="inlineStr">
        <is>
          <t>Operating income (GAAP)</t>
        </is>
      </c>
      <c r="C155" s="295">
        <f>C127</f>
        <v>387.432</v>
      </c>
      <c r="D155" s="295">
        <f>D127</f>
        <v>446.234</v>
      </c>
      <c r="E155" s="295">
        <f>E127</f>
        <v>460.611</v>
      </c>
      <c r="F155" s="295">
        <f>F127</f>
        <v>458.822</v>
      </c>
      <c r="G155" s="295">
        <f>G127</f>
        <v>444.584</v>
      </c>
      <c r="H155" s="295">
        <f>H127</f>
        <v>484.247</v>
      </c>
      <c r="I155" s="295">
        <f>I127</f>
        <v>520.085</v>
      </c>
      <c r="J155" s="295">
        <f>J127</f>
        <v>602.394</v>
      </c>
      <c r="K155" s="295">
        <f>K127</f>
        <v>669.202</v>
      </c>
      <c r="L155" s="295">
        <f>L127</f>
        <v>754.371</v>
      </c>
      <c r="M155" s="295">
        <f>M127</f>
        <v>141.257</v>
      </c>
      <c r="N155" s="295">
        <f>N127</f>
        <v>218.367</v>
      </c>
      <c r="O155" s="295">
        <f>O127</f>
        <v>177.212</v>
      </c>
      <c r="P155" s="295">
        <f>P127</f>
        <v>148.345</v>
      </c>
      <c r="Q155" s="295">
        <f>Q127</f>
        <v>685.181</v>
      </c>
      <c r="R155" s="295">
        <f>R127</f>
        <v>207.195</v>
      </c>
      <c r="S155" s="295">
        <f>S127</f>
        <v>223.921</v>
      </c>
      <c r="T155" s="295">
        <f>T127</f>
        <v>58.64</v>
      </c>
      <c r="U155" s="295">
        <f>U127</f>
        <v>-42.908</v>
      </c>
      <c r="V155" s="295">
        <f>V127</f>
        <v>446.848</v>
      </c>
      <c r="W155" s="295">
        <f>W127</f>
        <v>234.418</v>
      </c>
      <c r="X155" s="295">
        <f>X127</f>
        <v>266.989</v>
      </c>
      <c r="Y155" s="295">
        <f>Y127</f>
        <v>247.558</v>
      </c>
      <c r="Z155" s="295">
        <f>Z127</f>
        <v>264.439</v>
      </c>
      <c r="AA155" s="295">
        <f>AA127</f>
        <v>1013.403</v>
      </c>
      <c r="AB155" s="295">
        <f>AB127</f>
        <v>255.164</v>
      </c>
      <c r="AC155" s="295">
        <f>AC127</f>
        <v>548.609</v>
      </c>
      <c r="AD155" s="295">
        <f>AD127</f>
        <v>291.259</v>
      </c>
      <c r="AE155" s="295">
        <f>AE127</f>
        <v>274</v>
      </c>
      <c r="AF155" s="295">
        <f>AF127</f>
        <v>1370</v>
      </c>
      <c r="AG155" s="295">
        <f>AG127</f>
        <v>257</v>
      </c>
      <c r="AH155" s="295">
        <f>AH127</f>
        <v>283</v>
      </c>
      <c r="AI155" s="295">
        <f>AI127</f>
        <v>230</v>
      </c>
      <c r="AJ155" s="295">
        <f>AJ127</f>
        <v>263</v>
      </c>
      <c r="AK155" s="295">
        <f>AK127</f>
        <v>1033</v>
      </c>
      <c r="AL155" s="295">
        <f>AL127</f>
        <v>279</v>
      </c>
      <c r="AM155" s="265">
        <f>AM127</f>
        <v>280.075225482488</v>
      </c>
      <c r="AN155" s="265">
        <f>AN127</f>
        <v>242.989642495509</v>
      </c>
      <c r="AO155" s="265">
        <f>AO127</f>
        <v>267.726340813212</v>
      </c>
      <c r="AP155" s="265">
        <f>AP127</f>
        <v>1069.79120879121</v>
      </c>
      <c r="AQ155" s="265">
        <f>AQ127</f>
        <v>1157.86934150585</v>
      </c>
      <c r="AR155" s="265">
        <f>AR127</f>
        <v>1232.18687231784</v>
      </c>
      <c r="AS155" s="265">
        <f>AS127</f>
        <v>1314.73448228925</v>
      </c>
      <c r="AT155" s="265">
        <f>AT127</f>
        <v>1401.47484542139</v>
      </c>
      <c r="AU155" s="153" t="n"/>
    </row>
    <row r="156" collapsed="1" ht="15" customHeight="1" s="251">
      <c r="B156" s="25" t="inlineStr">
        <is>
          <t xml:space="preserve">  (+) Operating adjusting items (as in adjusted EBITDA)</t>
        </is>
      </c>
      <c r="C156" s="260">
        <f>IF(ISNUMBER(C109),N(C109)+N(C111)+N(C112)+N(C113)+N(C114)+N(C115)+N(C116),"")</f>
        <v>25.423</v>
      </c>
      <c r="D156" s="260">
        <f>IF(ISNUMBER(D109),N(D109)+N(D111)+N(D112)+N(D113)+N(D114)+N(D115)+N(D116),"")</f>
        <v>8.593</v>
      </c>
      <c r="E156" s="260">
        <f>IF(ISNUMBER(E109),N(E109)+N(E111)+N(E112)+N(E113)+N(E114)+N(E115)+N(E116),"")</f>
        <v>1.094</v>
      </c>
      <c r="F156" s="260">
        <f>IF(ISNUMBER(F109),N(F109)+N(F111)+N(F112)+N(F113)+N(F114)+N(F115)+N(F116),"")</f>
        <v>2.039</v>
      </c>
      <c r="G156" s="260">
        <f>IF(ISNUMBER(G109),N(G109)+N(G111)+N(G112)+N(G113)+N(G114)+N(G115)+N(G116),"")</f>
        <v>0</v>
      </c>
      <c r="H156" s="260">
        <f>IF(ISNUMBER(H109),N(H109)+N(H111)+N(H112)+N(H113)+N(H114)+N(H115)+N(H116),"")</f>
        <v>3.354</v>
      </c>
      <c r="I156" s="260">
        <f>IF(ISNUMBER(I109),N(I109)+N(I111)+N(I112)+N(I113)+N(I114)+N(I115)+N(I116),"")</f>
        <v>0</v>
      </c>
      <c r="J156" s="260">
        <f>IF(ISNUMBER(J109),N(J109)+N(J111)+N(J112)+N(J113)+N(J114)+N(J115)+N(J116),"")</f>
        <v>3.66</v>
      </c>
      <c r="K156" s="260">
        <f>IF(ISNUMBER(K109),N(K109)+N(K111)+N(K112)+N(K113)+N(K114)+N(K115)+N(K116),"")</f>
        <v>3.791</v>
      </c>
      <c r="L156" s="260">
        <f>IF(ISNUMBER(L109),N(L109)+N(L111)+N(L112)+N(L113)+N(L114)+N(L115)+N(L116),"")</f>
        <v>0.988</v>
      </c>
      <c r="M156" s="260">
        <f>IF(ISNUMBER(M109),N(M109)+N(M111)+N(M112)+N(M113)+N(M114)+N(M115)+N(M116),"")</f>
        <v>69.137</v>
      </c>
      <c r="N156" s="260">
        <f>IF(ISNUMBER(N109),N(N109)+N(N111)+N(N112)+N(N113)+N(N114)+N(N115)+N(N116),"")</f>
        <v>13.68</v>
      </c>
      <c r="O156" s="260">
        <f>IF(ISNUMBER(O109),N(O109)+N(O111)+N(O112)+N(O113)+N(O114)+N(O115)+N(O116),"")</f>
        <v>5.346</v>
      </c>
      <c r="P156" s="260">
        <f>IF(ISNUMBER(P109),N(P109)+N(P111)+N(P112)+N(P113)+N(P114)+N(P115)+N(P116),"")</f>
        <v>15.834</v>
      </c>
      <c r="Q156" s="260">
        <f>IF(ISNUMBER(Q109),N(Q109)+N(Q111)+N(Q112)+N(Q113)+N(Q114)+N(Q115)+N(Q116),"")</f>
        <v>103.997</v>
      </c>
      <c r="R156" s="260">
        <f>IF(ISNUMBER(R109),N(R109)+N(R111)+N(R112)+N(R113)+N(R114)+N(R115)+N(R116),"")</f>
        <v>5.093</v>
      </c>
      <c r="S156" s="260">
        <f>IF(ISNUMBER(S109),N(S109)+N(S111)+N(S112)+N(S113)+N(S114)+N(S115)+N(S116),"")</f>
        <v>22.82</v>
      </c>
      <c r="T156" s="260">
        <f>IF(ISNUMBER(T109),N(T109)+N(T111)+N(T112)+N(T113)+N(T114)+N(T115)+N(T116),"")</f>
        <v>143.096</v>
      </c>
      <c r="U156" s="260">
        <f>IF(ISNUMBER(U109),N(U109)+N(U111)+N(U112)+N(U113)+N(U114)+N(U115)+N(U116),"")</f>
        <v>230.148</v>
      </c>
      <c r="V156" s="260">
        <f>IF(ISNUMBER(V109),N(V109)+N(V111)+N(V112)+N(V113)+N(V114)+N(V115)+N(V116),"")</f>
        <v>401.157</v>
      </c>
      <c r="W156" s="260">
        <f>IF(ISNUMBER(W109),N(W109)+N(W111)+N(W112)+N(W113)+N(W114)+N(W115)+N(W116),"")</f>
        <v>30.721</v>
      </c>
      <c r="X156" s="260">
        <f>IF(ISNUMBER(X109),N(X109)+N(X111)+N(X112)+N(X113)+N(X114)+N(X115)+N(X116),"")</f>
        <v>-17.265</v>
      </c>
      <c r="Y156" s="260">
        <f>IF(ISNUMBER(Y109),N(Y109)+N(Y111)+N(Y112)+N(Y113)+N(Y114)+N(Y115)+N(Y116),"")</f>
        <v>1.952</v>
      </c>
      <c r="Z156" s="260">
        <f>IF(ISNUMBER(Z109),N(Z109)+N(Z111)+N(Z112)+N(Z113)+N(Z114)+N(Z115)+N(Z116),"")</f>
        <v>-17.95</v>
      </c>
      <c r="AA156" s="260">
        <f>IF(ISNUMBER(AA109),N(AA109)+N(AA111)+N(AA112)+N(AA113)+N(AA114)+N(AA115)+N(AA116),"")</f>
        <v>-2.542</v>
      </c>
      <c r="AB156" s="260">
        <f>IF(ISNUMBER(AB109),N(AB109)+N(AB111)+N(AB112)+N(AB113)+N(AB114)+N(AB115)+N(AB116),"")</f>
        <v>5.67</v>
      </c>
      <c r="AC156" s="260">
        <f>IF(ISNUMBER(AC109),N(AC109)+N(AC111)+N(AC112)+N(AC113)+N(AC114)+N(AC115)+N(AC116),"")</f>
        <v>-226.715</v>
      </c>
      <c r="AD156" s="260">
        <f>IF(ISNUMBER(AD109),N(AD109)+N(AD111)+N(AD112)+N(AD113)+N(AD114)+N(AD115)+N(AD116),"")</f>
        <v>0.306</v>
      </c>
      <c r="AE156" s="260">
        <f>IF(ISNUMBER(AE109),N(AE109)+N(AE111)+N(AE112)+N(AE113)+N(AE114)+N(AE115)+N(AE116),"")</f>
        <v>0</v>
      </c>
      <c r="AF156" s="260">
        <f>IF(ISNUMBER(AF109),N(AF109)+N(AF111)+N(AF112)+N(AF113)+N(AF114)+N(AF115)+N(AF116),"")</f>
        <v>-220</v>
      </c>
      <c r="AG156" s="260">
        <f>IF(ISNUMBER(AG109),N(AG109)+N(AG111)+N(AG112)+N(AG113)+N(AG114)+N(AG115)+N(AG116),"")</f>
        <v>14</v>
      </c>
      <c r="AH156" s="260">
        <f>IF(ISNUMBER(AH109),N(AH109)+N(AH111)+N(AH112)+N(AH113)+N(AH114)+N(AH115)+N(AH116),"")</f>
        <v>0</v>
      </c>
      <c r="AI156" s="260">
        <f>IF(ISNUMBER(AI109),N(AI109)+N(AI111)+N(AI112)+N(AI113)+N(AI114)+N(AI115)+N(AI116),"")</f>
        <v>15</v>
      </c>
      <c r="AJ156" s="260">
        <f>IF(ISNUMBER(AJ109),N(AJ109)+N(AJ111)+N(AJ112)+N(AJ113)+N(AJ114)+N(AJ115)+N(AJ116),"")</f>
        <v>4</v>
      </c>
      <c r="AK156" s="260">
        <f>IF(ISNUMBER(AK109),N(AK109)+N(AK111)+N(AK112)+N(AK113)+N(AK114)+N(AK115)+N(AK116),"")</f>
        <v>33</v>
      </c>
      <c r="AL156" s="260">
        <f>IF(ISNUMBER(AL109),N(AL109)+N(AL111)+N(AL112)+N(AL113)+N(AL114)+N(AL115)+N(AL116),"")</f>
        <v>10</v>
      </c>
      <c r="AM156" s="254">
        <f>IF(ISNUMBER(AM109),N(AM109)+N(AM111)+N(AM112)+N(AM113)+N(AM114)+N(AM115)+N(AM116),"")</f>
        <v>5</v>
      </c>
      <c r="AN156" s="254">
        <f>IF(ISNUMBER(AN109),N(AN109)+N(AN111)+N(AN112)+N(AN113)+N(AN114)+N(AN115)+N(AN116),"")</f>
        <v>5</v>
      </c>
      <c r="AO156" s="254">
        <f>IF(ISNUMBER(AO109),N(AO109)+N(AO111)+N(AO112)+N(AO113)+N(AO114)+N(AO115)+N(AO116),"")</f>
        <v>5</v>
      </c>
      <c r="AP156" s="254">
        <f>IF(ISNUMBER(AP109),N(AP109)+N(AP111)+N(AP112)+N(AP113)+N(AP114)+N(AP115)+N(AP116),"")</f>
        <v>25</v>
      </c>
      <c r="AQ156" s="254">
        <f>IF(ISNUMBER(AQ109),N(AQ109)+N(AQ111)+N(AQ112)+N(AQ113)+N(AQ114)+N(AQ115)+N(AQ116),"")</f>
        <v>4.5</v>
      </c>
      <c r="AR156" s="254">
        <f>IF(ISNUMBER(AR109),N(AR109)+N(AR111)+N(AR112)+N(AR113)+N(AR114)+N(AR115)+N(AR116),"")</f>
        <v>4.5</v>
      </c>
      <c r="AS156" s="254">
        <f>IF(ISNUMBER(AS109),N(AS109)+N(AS111)+N(AS112)+N(AS113)+N(AS114)+N(AS115)+N(AS116),"")</f>
        <v>4.5</v>
      </c>
      <c r="AT156" s="254">
        <f>IF(ISNUMBER(AT109),N(AT109)+N(AT111)+N(AT112)+N(AT113)+N(AT114)+N(AT115)+N(AT116),"")</f>
        <v>4.5</v>
      </c>
      <c r="AU156" s="19" t="n"/>
    </row>
    <row r="157" ht="15" customHeight="1" s="251">
      <c r="B157" s="25" t="inlineStr">
        <is>
          <t xml:space="preserve">  (+) Acquisition amortization (adjusted out)</t>
        </is>
      </c>
      <c r="C157" s="260">
        <f>N(C102)</f>
        <v>16.364</v>
      </c>
      <c r="D157" s="260">
        <f>N(D102)</f>
        <v>12.51</v>
      </c>
      <c r="E157" s="260">
        <f>N(E102)</f>
        <v>8.45</v>
      </c>
      <c r="F157" s="260">
        <f>N(F102)</f>
        <v>4.225</v>
      </c>
      <c r="G157" s="260">
        <f>N(G102)</f>
        <v>4.225</v>
      </c>
      <c r="H157" s="260">
        <f>N(H102)</f>
        <v>4.225</v>
      </c>
      <c r="I157" s="260">
        <f>N(I102)</f>
        <v>0</v>
      </c>
      <c r="J157" s="260">
        <f>N(J102)</f>
        <v>0</v>
      </c>
      <c r="K157" s="260">
        <f>N(K102)</f>
        <v>0</v>
      </c>
      <c r="L157" s="260">
        <f>N(L102)</f>
        <v>0</v>
      </c>
      <c r="M157" s="260">
        <f>N(M102)</f>
        <v>2.658</v>
      </c>
      <c r="N157" s="260">
        <f>N(N102)</f>
        <v>11.868</v>
      </c>
      <c r="O157" s="260">
        <f>N(O102)</f>
        <v>11.884</v>
      </c>
      <c r="P157" s="260">
        <f>N(P102)</f>
        <v>11.885</v>
      </c>
      <c r="Q157" s="260">
        <f>N(Q102)</f>
        <v>38.295</v>
      </c>
      <c r="R157" s="260">
        <f>N(R102)</f>
        <v>11.087</v>
      </c>
      <c r="S157" s="260">
        <f>N(S102)</f>
        <v>11.087</v>
      </c>
      <c r="T157" s="260">
        <f>N(T102)</f>
        <v>14.101</v>
      </c>
      <c r="U157" s="260">
        <f>N(U102)</f>
        <v>15.278</v>
      </c>
      <c r="V157" s="260">
        <f>N(V102)</f>
        <v>51.553</v>
      </c>
      <c r="W157" s="260">
        <f>N(W102)</f>
        <v>13.108</v>
      </c>
      <c r="X157" s="260">
        <f>N(X102)</f>
        <v>13.596</v>
      </c>
      <c r="Y157" s="260">
        <f>N(Y102)</f>
        <v>13.597</v>
      </c>
      <c r="Z157" s="260">
        <f>N(Z102)</f>
        <v>13.596</v>
      </c>
      <c r="AA157" s="260">
        <f>N(AA102)</f>
        <v>53.897</v>
      </c>
      <c r="AB157" s="260">
        <f>N(AB102)</f>
        <v>12.684</v>
      </c>
      <c r="AC157" s="260">
        <f>N(AC102)</f>
        <v>13.326</v>
      </c>
      <c r="AD157" s="260">
        <f>N(AD102)</f>
        <v>13.386</v>
      </c>
      <c r="AE157" s="260">
        <f>N(AE102)</f>
        <v>13</v>
      </c>
      <c r="AF157" s="260">
        <f>N(AF102)</f>
        <v>54</v>
      </c>
      <c r="AG157" s="260">
        <f>N(AG102)</f>
        <v>12</v>
      </c>
      <c r="AH157" s="260">
        <f>N(AH102)</f>
        <v>12</v>
      </c>
      <c r="AI157" s="260">
        <f>N(AI102)</f>
        <v>12</v>
      </c>
      <c r="AJ157" s="260">
        <f>N(AJ102)</f>
        <v>12</v>
      </c>
      <c r="AK157" s="260">
        <f>N(AK102)</f>
        <v>48</v>
      </c>
      <c r="AL157" s="260">
        <f>N(AL102)</f>
        <v>15</v>
      </c>
      <c r="AM157" s="254">
        <f>N(AM102)</f>
        <v>18.0065934065934</v>
      </c>
      <c r="AN157" s="254">
        <f>N(AN102)</f>
        <v>22.2</v>
      </c>
      <c r="AO157" s="254">
        <f>N(AO102)</f>
        <v>22.2</v>
      </c>
      <c r="AP157" s="254">
        <f>N(AP102)</f>
        <v>77.4065934065934</v>
      </c>
      <c r="AQ157" s="254">
        <f>N(AQ102)</f>
        <v>82.38125</v>
      </c>
      <c r="AR157" s="254">
        <f>N(AR102)</f>
        <v>81.64375</v>
      </c>
      <c r="AS157" s="254">
        <f>N(AS102)</f>
        <v>81.50625</v>
      </c>
      <c r="AT157" s="254">
        <f>N(AT102)</f>
        <v>83.76875</v>
      </c>
      <c r="AU157" s="19" t="n"/>
    </row>
    <row r="158" ht="15" customHeight="1" s="251">
      <c r="B158" s="55" t="inlineStr">
        <is>
          <t xml:space="preserve">  = Adjusted operating income (model bridge)</t>
        </is>
      </c>
      <c r="C158" s="285">
        <f>IF(ISNUMBER(C155),C155+N(C156)+C157,"")</f>
        <v>429.219</v>
      </c>
      <c r="D158" s="285">
        <f>IF(ISNUMBER(D155),D155+N(D156)+D157,"")</f>
        <v>467.337</v>
      </c>
      <c r="E158" s="285">
        <f>IF(ISNUMBER(E155),E155+N(E156)+E157,"")</f>
        <v>470.155</v>
      </c>
      <c r="F158" s="285">
        <f>IF(ISNUMBER(F155),F155+N(F156)+F157,"")</f>
        <v>465.086</v>
      </c>
      <c r="G158" s="285">
        <f>IF(ISNUMBER(G155),G155+N(G156)+G157,"")</f>
        <v>448.809</v>
      </c>
      <c r="H158" s="285">
        <f>IF(ISNUMBER(H155),H155+N(H156)+H157,"")</f>
        <v>491.826</v>
      </c>
      <c r="I158" s="285">
        <f>IF(ISNUMBER(I155),I155+N(I156)+I157,"")</f>
        <v>520.085</v>
      </c>
      <c r="J158" s="285">
        <f>IF(ISNUMBER(J155),J155+N(J156)+J157,"")</f>
        <v>606.054</v>
      </c>
      <c r="K158" s="285">
        <f>IF(ISNUMBER(K155),K155+N(K156)+K157,"")</f>
        <v>672.993</v>
      </c>
      <c r="L158" s="285">
        <f>IF(ISNUMBER(L155),L155+N(L156)+L157,"")</f>
        <v>755.359</v>
      </c>
      <c r="M158" s="285">
        <f>IF(ISNUMBER(M155),M155+N(M156)+M157,"")</f>
        <v>213.052</v>
      </c>
      <c r="N158" s="285">
        <f>IF(ISNUMBER(N155),N155+N(N156)+N157,"")</f>
        <v>243.915</v>
      </c>
      <c r="O158" s="285">
        <f>IF(ISNUMBER(O155),O155+N(O156)+O157,"")</f>
        <v>194.442</v>
      </c>
      <c r="P158" s="285">
        <f>IF(ISNUMBER(P155),P155+N(P156)+P157,"")</f>
        <v>176.064</v>
      </c>
      <c r="Q158" s="285">
        <f>IF(ISNUMBER(Q155),Q155+N(Q156)+Q157,"")</f>
        <v>827.473</v>
      </c>
      <c r="R158" s="285">
        <f>IF(ISNUMBER(R155),R155+N(R156)+R157,"")</f>
        <v>223.375</v>
      </c>
      <c r="S158" s="285">
        <f>IF(ISNUMBER(S155),S155+N(S156)+S157,"")</f>
        <v>257.828</v>
      </c>
      <c r="T158" s="285">
        <f>IF(ISNUMBER(T155),T155+N(T156)+T157,"")</f>
        <v>215.837</v>
      </c>
      <c r="U158" s="285">
        <f>IF(ISNUMBER(U155),U155+N(U156)+U157,"")</f>
        <v>202.518</v>
      </c>
      <c r="V158" s="285">
        <f>IF(ISNUMBER(V155),V155+N(V156)+V157,"")</f>
        <v>899.558</v>
      </c>
      <c r="W158" s="285">
        <f>IF(ISNUMBER(W155),W155+N(W156)+W157,"")</f>
        <v>278.247</v>
      </c>
      <c r="X158" s="285">
        <f>IF(ISNUMBER(X155),X155+N(X156)+X157,"")</f>
        <v>263.32</v>
      </c>
      <c r="Y158" s="285">
        <f>IF(ISNUMBER(Y155),Y155+N(Y156)+Y157,"")</f>
        <v>263.107</v>
      </c>
      <c r="Z158" s="285">
        <f>IF(ISNUMBER(Z155),Z155+N(Z156)+Z157,"")</f>
        <v>260.085</v>
      </c>
      <c r="AA158" s="285">
        <f>IF(ISNUMBER(AA155),AA155+N(AA156)+AA157,"")</f>
        <v>1064.758</v>
      </c>
      <c r="AB158" s="285">
        <f>IF(ISNUMBER(AB155),AB155+N(AB156)+AB157,"")</f>
        <v>273.518</v>
      </c>
      <c r="AC158" s="285">
        <f>IF(ISNUMBER(AC155),AC155+N(AC156)+AC157,"")</f>
        <v>335.22</v>
      </c>
      <c r="AD158" s="285">
        <f>IF(ISNUMBER(AD155),AD155+N(AD156)+AD157,"")</f>
        <v>304.951</v>
      </c>
      <c r="AE158" s="285">
        <f>IF(ISNUMBER(AE155),AE155+N(AE156)+AE157,"")</f>
        <v>287</v>
      </c>
      <c r="AF158" s="285">
        <f>IF(ISNUMBER(AF155),AF155+N(AF156)+AF157,"")</f>
        <v>1204</v>
      </c>
      <c r="AG158" s="285">
        <f>IF(ISNUMBER(AG155),AG155+N(AG156)+AG157,"")</f>
        <v>283</v>
      </c>
      <c r="AH158" s="285">
        <f>IF(ISNUMBER(AH155),AH155+N(AH156)+AH157,"")</f>
        <v>295</v>
      </c>
      <c r="AI158" s="285">
        <f>IF(ISNUMBER(AI155),AI155+N(AI156)+AI157,"")</f>
        <v>257</v>
      </c>
      <c r="AJ158" s="285">
        <f>IF(ISNUMBER(AJ155),AJ155+N(AJ156)+AJ157,"")</f>
        <v>279</v>
      </c>
      <c r="AK158" s="285">
        <f>IF(ISNUMBER(AK155),AK155+N(AK156)+AK157,"")</f>
        <v>1114</v>
      </c>
      <c r="AL158" s="285">
        <f>IF(ISNUMBER(AL155),AL155+N(AL156)+AL157,"")</f>
        <v>304</v>
      </c>
      <c r="AM158" s="285">
        <f>IF(ISNUMBER(AM155),AM155+N(AM156)+AM157,"")</f>
        <v>303.081818889081</v>
      </c>
      <c r="AN158" s="285">
        <f>IF(ISNUMBER(AN155),AN155+N(AN156)+AN157,"")</f>
        <v>270.189642495509</v>
      </c>
      <c r="AO158" s="285">
        <f>IF(ISNUMBER(AO155),AO155+N(AO156)+AO157,"")</f>
        <v>294.926340813212</v>
      </c>
      <c r="AP158" s="285">
        <f>IF(ISNUMBER(AP155),AP155+N(AP156)+AP157,"")</f>
        <v>1172.1978021978</v>
      </c>
      <c r="AQ158" s="285">
        <f>IF(ISNUMBER(AQ155),AQ155+N(AQ156)+AQ157,"")</f>
        <v>1244.75059150585</v>
      </c>
      <c r="AR158" s="285">
        <f>IF(ISNUMBER(AR155),AR155+N(AR156)+AR157,"")</f>
        <v>1318.33062231784</v>
      </c>
      <c r="AS158" s="285">
        <f>IF(ISNUMBER(AS155),AS155+N(AS156)+AS157,"")</f>
        <v>1400.74073228925</v>
      </c>
      <c r="AT158" s="285">
        <f>IF(ISNUMBER(AT155),AT155+N(AT156)+AT157,"")</f>
        <v>1489.74359542139</v>
      </c>
      <c r="AU158" s="153" t="n"/>
      <c r="AW158" s="20">
        <f>IFERROR((AT158/AK158)^(1/5)-1,"n/m")</f>
        <v>0.0598521062740784</v>
      </c>
      <c r="AX158" s="20">
        <f>IFERROR((AK158/L158)^(1/5)-1,"n/m")</f>
        <v>0.0808025397193357</v>
      </c>
      <c r="AY158" s="20">
        <f>IFERROR((AK158/G158)^(1/10)-1,"n/m")</f>
        <v>0.095172079664732</v>
      </c>
      <c r="AZ158" s="20">
        <f>IFERROR((AK158/C158)^(1/14)-1,"n/m")</f>
        <v>0.0704987410650417</v>
      </c>
    </row>
    <row r="159" ht="15" customHeight="1" s="251">
      <c r="B159" s="25" t="inlineStr">
        <is>
          <t xml:space="preserve">  Adjusted operating margin %</t>
        </is>
      </c>
      <c r="C159" s="215">
        <f>IF(AND(ISNUMBER(C158),ISNUMBER(C120)),IFERROR(C158/C120,""),"")</f>
        <v>0.0732553388523861</v>
      </c>
      <c r="D159" s="215">
        <f>IF(AND(ISNUMBER(D158),ISNUMBER(D120)),IFERROR(D158/D120,""),"")</f>
        <v>0.0811622458192943</v>
      </c>
      <c r="E159" s="215">
        <f>IF(AND(ISNUMBER(E158),ISNUMBER(E120)),IFERROR(E158/E120,""),"")</f>
        <v>0.0858151752616911</v>
      </c>
      <c r="F159" s="215">
        <f>IF(AND(ISNUMBER(F158),ISNUMBER(F120)),IFERROR(F158/F120,""),"")</f>
        <v>0.0881718065432237</v>
      </c>
      <c r="G159" s="215">
        <f>IF(AND(ISNUMBER(G158),ISNUMBER(G120)),IFERROR(G158/G120,""),"")</f>
        <v>0.0830245564990386</v>
      </c>
      <c r="H159" s="215">
        <f>IF(AND(ISNUMBER(H158),ISNUMBER(H120)),IFERROR(H158/H120,""),"")</f>
        <v>0.0847349991833618</v>
      </c>
      <c r="I159" s="215">
        <f>IF(AND(ISNUMBER(I158),ISNUMBER(I120)),IFERROR(I158/I120,""),"")</f>
        <v>0.0842672370842274</v>
      </c>
      <c r="J159" s="215">
        <f>IF(AND(ISNUMBER(J158),ISNUMBER(J120)),IFERROR(J158/J120,""),"")</f>
        <v>0.0904013507085358</v>
      </c>
      <c r="K159" s="215">
        <f>IF(AND(ISNUMBER(K158),ISNUMBER(K120)),IFERROR(K158/K120,""),"")</f>
        <v>0.0901671136885151</v>
      </c>
      <c r="L159" s="215">
        <f>IF(AND(ISNUMBER(L158),ISNUMBER(L120)),IFERROR(L158/L120,""),"")</f>
        <v>0.0961146404259711</v>
      </c>
      <c r="M159" s="215">
        <f>IF(AND(ISNUMBER(M158),ISNUMBER(M120)),IFERROR(M158/M120,""),"")</f>
        <v>0.107111579002406</v>
      </c>
      <c r="N159" s="215">
        <f>IF(AND(ISNUMBER(N158),ISNUMBER(N120)),IFERROR(N158/N120,""),"")</f>
        <v>0.115816998553682</v>
      </c>
      <c r="O159" s="215">
        <f>IF(AND(ISNUMBER(O158),ISNUMBER(O120)),IFERROR(O158/O120,""),"")</f>
        <v>0.0957597068731163</v>
      </c>
      <c r="P159" s="215">
        <f>IF(AND(ISNUMBER(P158),ISNUMBER(P120)),IFERROR(P158/P120,""),"")</f>
        <v>0.0786675698233661</v>
      </c>
      <c r="Q159" s="215">
        <f>IF(AND(ISNUMBER(Q158),ISNUMBER(Q120)),IFERROR(Q158/Q120,""),"")</f>
        <v>0.0989362363547234</v>
      </c>
      <c r="R159" s="215">
        <f>IF(AND(ISNUMBER(R158),ISNUMBER(R120)),IFERROR(R158/R120,""),"")</f>
        <v>0.0992954302987198</v>
      </c>
      <c r="S159" s="215">
        <f>IF(AND(ISNUMBER(S158),ISNUMBER(S120)),IFERROR(S158/S120,""),"")</f>
        <v>0.112149061147224</v>
      </c>
      <c r="T159" s="215">
        <f>IF(AND(ISNUMBER(T158),ISNUMBER(T120)),IFERROR(T158/T120,""),"")</f>
        <v>0.0947869941863989</v>
      </c>
      <c r="U159" s="215">
        <f>IF(AND(ISNUMBER(U158),ISNUMBER(U120)),IFERROR(U158/U120,""),"")</f>
        <v>0.0832290494114688</v>
      </c>
      <c r="V159" s="215">
        <f>IF(AND(ISNUMBER(V158),ISNUMBER(V120)),IFERROR(V158/V120,""),"")</f>
        <v>0.0971559182283964</v>
      </c>
      <c r="W159" s="215">
        <f>IF(AND(ISNUMBER(W158),ISNUMBER(W120)),IFERROR(W158/W120,""),"")</f>
        <v>0.10482142305516</v>
      </c>
      <c r="X159" s="215">
        <f>IF(AND(ISNUMBER(X158),ISNUMBER(X120)),IFERROR(X158/X120,""),"")</f>
        <v>0.0987592460212386</v>
      </c>
      <c r="Y159" s="215">
        <f>IF(AND(ISNUMBER(Y158),ISNUMBER(Y120)),IFERROR(Y158/Y120,""),"")</f>
        <v>0.102384192394664</v>
      </c>
      <c r="Z159" s="215">
        <f>IF(AND(ISNUMBER(Z158),ISNUMBER(Z120)),IFERROR(Z158/Z120,""),"")</f>
        <v>0.093848542593494</v>
      </c>
      <c r="AA159" s="215">
        <f>IF(AND(ISNUMBER(AA158),ISNUMBER(AA120)),IFERROR(AA158/AA120,""),"")</f>
        <v>0.0998657274466005</v>
      </c>
      <c r="AB159" s="215">
        <f>IF(AND(ISNUMBER(AB158),ISNUMBER(AB120)),IFERROR(AB158/AB120,""),"")</f>
        <v>0.0929765038172247</v>
      </c>
      <c r="AC159" s="215">
        <f>IF(AND(ISNUMBER(AC158),ISNUMBER(AC120)),IFERROR(AC158/AC120,""),"")</f>
        <v>0.10654128260169</v>
      </c>
      <c r="AD159" s="215">
        <f>IF(AND(ISNUMBER(AD158),ISNUMBER(AD120)),IFERROR(AD158/AD120,""),"")</f>
        <v>0.10453587184928</v>
      </c>
      <c r="AE159" s="215">
        <f>IF(AND(ISNUMBER(AE158),ISNUMBER(AE120)),IFERROR(AE158/AE120,""),"")</f>
        <v>0.0965030262273033</v>
      </c>
      <c r="AF159" s="215">
        <f>IF(AND(ISNUMBER(AF158),ISNUMBER(AF120)),IFERROR(AF158/AF120,""),"")</f>
        <v>0.100500834724541</v>
      </c>
      <c r="AG159" s="215">
        <f>IF(AND(ISNUMBER(AG158),ISNUMBER(AG120)),IFERROR(AG158/AG120,""),"")</f>
        <v>0.0967852257181943</v>
      </c>
      <c r="AH159" s="215">
        <f>IF(AND(ISNUMBER(AH158),ISNUMBER(AH120)),IFERROR(AH158/AH120,""),"")</f>
        <v>0.102076124567474</v>
      </c>
      <c r="AI159" s="215">
        <f>IF(AND(ISNUMBER(AI158),ISNUMBER(AI120)),IFERROR(AI158/AI120,""),"")</f>
        <v>0.0980916030534351</v>
      </c>
      <c r="AJ159" s="215">
        <f>IF(AND(ISNUMBER(AJ158),ISNUMBER(AJ120)),IFERROR(AJ158/AJ120,""),"")</f>
        <v>0.100251527128997</v>
      </c>
      <c r="AK159" s="215">
        <f>IF(AND(ISNUMBER(AK158),ISNUMBER(AK120)),IFERROR(AK158/AK120,""),"")</f>
        <v>0.0993135419452617</v>
      </c>
      <c r="AL159" s="215">
        <f>IF(AND(ISNUMBER(AL158),ISNUMBER(AL120)),IFERROR(AL158/AL120,""),"")</f>
        <v>0.108571428571429</v>
      </c>
      <c r="AM159" s="256">
        <f>IF(AND(ISNUMBER(AM158),ISNUMBER(AM120)),IFERROR(AM158/AM120,""),"")</f>
        <v>0.100019363889134</v>
      </c>
      <c r="AN159" s="256">
        <f>IF(AND(ISNUMBER(AN158),ISNUMBER(AN120)),IFERROR(AN158/AN120,""),"")</f>
        <v>0.0972522412474476</v>
      </c>
      <c r="AO159" s="256">
        <f>IF(AND(ISNUMBER(AO158),ISNUMBER(AO120)),IFERROR(AO158/AO120,""),"")</f>
        <v>0.0999640465079506</v>
      </c>
      <c r="AP159" s="256">
        <f>IF(AND(ISNUMBER(AP158),ISNUMBER(AP120)),IFERROR(AP158/AP120,""),"")</f>
        <v>0.101411798260208</v>
      </c>
      <c r="AQ159" s="256">
        <f>IF(AND(ISNUMBER(AQ158),ISNUMBER(AQ120)),IFERROR(AQ158/AQ120,""),"")</f>
        <v>0.104421555483612</v>
      </c>
      <c r="AR159" s="256">
        <f>IF(AND(ISNUMBER(AR158),ISNUMBER(AR120)),IFERROR(AR158/AR120,""),"")</f>
        <v>0.105679530719959</v>
      </c>
      <c r="AS159" s="256">
        <f>IF(AND(ISNUMBER(AS158),ISNUMBER(AS120)),IFERROR(AS158/AS120,""),"")</f>
        <v>0.106857177364302</v>
      </c>
      <c r="AT159" s="256">
        <f>IF(AND(ISNUMBER(AT158),ISNUMBER(AT120)),IFERROR(AT158/AT120,""),"")</f>
        <v>0.10797312575698</v>
      </c>
      <c r="AU159" s="153" t="n"/>
      <c r="AW159" s="37">
        <f>IFERROR(AVERAGE(AP159,AQ159,AR159,AS159,AT159),"n/m")</f>
        <v>0.105268637517012</v>
      </c>
      <c r="AX159" s="37">
        <f>IFERROR(AVERAGE(Q159,V159,AA159,AF159,AK159),"n/m")</f>
        <v>0.0991544517399046</v>
      </c>
      <c r="AY159" s="37">
        <f>IFERROR(AVERAGE(H159,I159,J159,K159,L159,Q159,V159,AA159,AF159,AK159),"n/m")</f>
        <v>0.0941457599790134</v>
      </c>
      <c r="AZ159" s="37">
        <f>IFERROR(AVERAGE(C159,D159,E159,F159,G159,H159,I159,J159,K159,L159,Q159,V159,AA159,AF159,AK159),"n/m")</f>
        <v>0.0901924481843845</v>
      </c>
    </row>
    <row r="160" ht="15" customHeight="1" s="251">
      <c r="B160" s="156" t="inlineStr">
        <is>
          <t xml:space="preserve">  Company-published adjusted operating income</t>
        </is>
      </c>
      <c r="C160" s="253" t="n">
        <v>429.219</v>
      </c>
      <c r="D160" s="253" t="n">
        <v>467.337</v>
      </c>
      <c r="E160" s="253" t="n">
        <v>470.155</v>
      </c>
      <c r="F160" s="253" t="n">
        <v>465.086</v>
      </c>
      <c r="G160" s="253" t="n">
        <v>448.809</v>
      </c>
      <c r="H160" s="253" t="n">
        <v>491.826</v>
      </c>
      <c r="I160" s="253" t="n">
        <v>520.085</v>
      </c>
      <c r="J160" s="253" t="n">
        <v>606.054</v>
      </c>
      <c r="K160" s="253" t="n">
        <v>672.9930000000001</v>
      </c>
      <c r="L160" s="253" t="n">
        <v>755.359</v>
      </c>
      <c r="M160" s="253" t="n">
        <v>213.052</v>
      </c>
      <c r="N160" s="253" t="n">
        <v>243.915</v>
      </c>
      <c r="O160" s="253" t="n">
        <v>194.442</v>
      </c>
      <c r="P160" s="253" t="n">
        <v>176.064</v>
      </c>
      <c r="Q160" s="253" t="n">
        <v>827.473</v>
      </c>
      <c r="R160" s="253" t="n">
        <v>223.375</v>
      </c>
      <c r="S160" s="253" t="n">
        <v>257.828</v>
      </c>
      <c r="T160" s="253" t="n">
        <v>215.837</v>
      </c>
      <c r="U160" s="253" t="n">
        <v>202.518</v>
      </c>
      <c r="V160" s="253" t="n">
        <v>899.558</v>
      </c>
      <c r="W160" s="253" t="n">
        <v>278.247</v>
      </c>
      <c r="X160" s="253" t="n">
        <v>263.32</v>
      </c>
      <c r="Y160" s="253" t="n">
        <v>263.107</v>
      </c>
      <c r="Z160" s="253" t="n">
        <v>260.085</v>
      </c>
      <c r="AA160" s="253" t="n">
        <v>1064.758</v>
      </c>
      <c r="AB160" s="253" t="n">
        <v>273.518</v>
      </c>
      <c r="AC160" s="253" t="n">
        <v>335.22</v>
      </c>
      <c r="AD160" s="253" t="n">
        <v>304.951</v>
      </c>
      <c r="AE160" s="34" t="n"/>
      <c r="AF160" s="34" t="n"/>
      <c r="AG160" s="34" t="n"/>
      <c r="AH160" s="34" t="n"/>
      <c r="AI160" s="34" t="n"/>
      <c r="AJ160" s="34" t="n"/>
      <c r="AK160" s="34" t="n"/>
      <c r="AL160" s="34" t="n"/>
      <c r="AM160" s="153" t="n"/>
      <c r="AN160" s="153" t="n"/>
      <c r="AO160" s="153" t="n"/>
      <c r="AP160" s="153" t="n"/>
      <c r="AQ160" s="153" t="n"/>
      <c r="AR160" s="153" t="n"/>
      <c r="AS160" s="153" t="n"/>
      <c r="AT160" s="153" t="n"/>
      <c r="AU160" s="153" t="n"/>
    </row>
    <row r="161" ht="15" customHeight="1" s="251">
      <c r="B161" s="57" t="inlineStr">
        <is>
          <t xml:space="preserve">  Check: model bridge vs company-published (should be 0; ±0.15, ±0.6 from Q4 FY25)</t>
        </is>
      </c>
      <c r="C161" s="260">
        <f>IF(ISNUMBER(C160),IF(ABS(C158-C160)&lt;=0.15,0,ROUND(C158-C160,1)),"n/p")</f>
        <v>0</v>
      </c>
      <c r="D161" s="260">
        <f>IF(ISNUMBER(D160),IF(ABS(D158-D160)&lt;=0.15,0,ROUND(D158-D160,1)),"n/p")</f>
        <v>0</v>
      </c>
      <c r="E161" s="260">
        <f>IF(ISNUMBER(E160),IF(ABS(E158-E160)&lt;=0.15,0,ROUND(E158-E160,1)),"n/p")</f>
        <v>0</v>
      </c>
      <c r="F161" s="260">
        <f>IF(ISNUMBER(F160),IF(ABS(F158-F160)&lt;=0.15,0,ROUND(F158-F160,1)),"n/p")</f>
        <v>0</v>
      </c>
      <c r="G161" s="260">
        <f>IF(ISNUMBER(G160),IF(ABS(G158-G160)&lt;=0.15,0,ROUND(G158-G160,1)),"n/p")</f>
        <v>0</v>
      </c>
      <c r="H161" s="260">
        <f>IF(ISNUMBER(H160),IF(ABS(H158-H160)&lt;=0.15,0,ROUND(H158-H160,1)),"n/p")</f>
        <v>0</v>
      </c>
      <c r="I161" s="260">
        <f>IF(ISNUMBER(I160),IF(ABS(I158-I160)&lt;=0.15,0,ROUND(I158-I160,1)),"n/p")</f>
        <v>0</v>
      </c>
      <c r="J161" s="260">
        <f>IF(ISNUMBER(J160),IF(ABS(J158-J160)&lt;=0.15,0,ROUND(J158-J160,1)),"n/p")</f>
        <v>0</v>
      </c>
      <c r="K161" s="260">
        <f>IF(ISNUMBER(K160),IF(ABS(K158-K160)&lt;=0.15,0,ROUND(K158-K160,1)),"n/p")</f>
        <v>0</v>
      </c>
      <c r="L161" s="260">
        <f>IF(ISNUMBER(L160),IF(ABS(L158-L160)&lt;=0.15,0,ROUND(L158-L160,1)),"n/p")</f>
        <v>0</v>
      </c>
      <c r="M161" s="260">
        <f>IF(ISNUMBER(M160),IF(ABS(M158-M160)&lt;=0.15,0,ROUND(M158-M160,1)),"n/p")</f>
        <v>0</v>
      </c>
      <c r="N161" s="260">
        <f>IF(ISNUMBER(N160),IF(ABS(N158-N160)&lt;=0.15,0,ROUND(N158-N160,1)),"n/p")</f>
        <v>0</v>
      </c>
      <c r="O161" s="260">
        <f>IF(ISNUMBER(O160),IF(ABS(O158-O160)&lt;=0.15,0,ROUND(O158-O160,1)),"n/p")</f>
        <v>0</v>
      </c>
      <c r="P161" s="260">
        <f>IF(ISNUMBER(P160),IF(ABS(P158-P160)&lt;=0.15,0,ROUND(P158-P160,1)),"n/p")</f>
        <v>0</v>
      </c>
      <c r="Q161" s="260">
        <f>IF(ISNUMBER(Q160),IF(ABS(Q158-Q160)&lt;=0.15,0,ROUND(Q158-Q160,1)),"n/p")</f>
        <v>0</v>
      </c>
      <c r="R161" s="260">
        <f>IF(ISNUMBER(R160),IF(ABS(R158-R160)&lt;=0.15,0,ROUND(R158-R160,1)),"n/p")</f>
        <v>0</v>
      </c>
      <c r="S161" s="260">
        <f>IF(ISNUMBER(S160),IF(ABS(S158-S160)&lt;=0.15,0,ROUND(S158-S160,1)),"n/p")</f>
        <v>0</v>
      </c>
      <c r="T161" s="260">
        <f>IF(ISNUMBER(T160),IF(ABS(T158-T160)&lt;=0.15,0,ROUND(T158-T160,1)),"n/p")</f>
        <v>0</v>
      </c>
      <c r="U161" s="260">
        <f>IF(ISNUMBER(U160),IF(ABS(U158-U160)&lt;=0.15,0,ROUND(U158-U160,1)),"n/p")</f>
        <v>0</v>
      </c>
      <c r="V161" s="260">
        <f>IF(ISNUMBER(V160),IF(ABS(V158-V160)&lt;=0.15,0,ROUND(V158-V160,1)),"n/p")</f>
        <v>0</v>
      </c>
      <c r="W161" s="260">
        <f>IF(ISNUMBER(W160),IF(ABS(W158-W160)&lt;=0.15,0,ROUND(W158-W160,1)),"n/p")</f>
        <v>0</v>
      </c>
      <c r="X161" s="260">
        <f>IF(ISNUMBER(X160),IF(ABS(X158-X160)&lt;=0.15,0,ROUND(X158-X160,1)),"n/p")</f>
        <v>0</v>
      </c>
      <c r="Y161" s="260">
        <f>IF(ISNUMBER(Y160),IF(ABS(Y158-Y160)&lt;=0.15,0,ROUND(Y158-Y160,1)),"n/p")</f>
        <v>0</v>
      </c>
      <c r="Z161" s="260">
        <f>IF(ISNUMBER(Z160),IF(ABS(Z158-Z160)&lt;=0.15,0,ROUND(Z158-Z160,1)),"n/p")</f>
        <v>0</v>
      </c>
      <c r="AA161" s="260">
        <f>IF(ISNUMBER(AA160),IF(ABS(AA158-AA160)&lt;=0.15,0,ROUND(AA158-AA160,1)),"n/p")</f>
        <v>0</v>
      </c>
      <c r="AB161" s="260">
        <f>IF(ISNUMBER(AB160),IF(ABS(AB158-AB160)&lt;=0.15,0,ROUND(AB158-AB160,1)),"n/p")</f>
        <v>0</v>
      </c>
      <c r="AC161" s="260">
        <f>IF(ISNUMBER(AC160),IF(ABS(AC158-AC160)&lt;=0.15,0,ROUND(AC158-AC160,1)),"n/p")</f>
        <v>0</v>
      </c>
      <c r="AD161" s="260">
        <f>IF(ISNUMBER(AD160),IF(ABS(AD158-AD160)&lt;=0.15,0,ROUND(AD158-AD160,1)),"n/p")</f>
        <v>0</v>
      </c>
      <c r="AE161" s="260" t="str">
        <f>IF(ISNUMBER(AE160),IF(ABS(AE158-AE160)&lt;=0.6,0,ROUND(AE158-AE160,1)),"n/p")</f>
        <v>n/p</v>
      </c>
      <c r="AF161" s="260" t="str">
        <f>IF(ISNUMBER(AF160),IF(ABS(AF158-AF160)&lt;=0.6,0,ROUND(AF158-AF160,1)),"n/p")</f>
        <v>n/p</v>
      </c>
      <c r="AG161" s="260" t="str">
        <f>IF(ISNUMBER(AG160),IF(ABS(AG158-AG160)&lt;=0.6,0,ROUND(AG158-AG160,1)),"n/p")</f>
        <v>n/p</v>
      </c>
      <c r="AH161" s="260" t="str">
        <f>IF(ISNUMBER(AH160),IF(ABS(AH158-AH160)&lt;=0.6,0,ROUND(AH158-AH160,1)),"n/p")</f>
        <v>n/p</v>
      </c>
      <c r="AI161" s="260" t="str">
        <f>IF(ISNUMBER(AI160),IF(ABS(AI158-AI160)&lt;=0.6,0,ROUND(AI158-AI160,1)),"n/p")</f>
        <v>n/p</v>
      </c>
      <c r="AJ161" s="260" t="str">
        <f>IF(ISNUMBER(AJ160),IF(ABS(AJ158-AJ160)&lt;=0.6,0,ROUND(AJ158-AJ160,1)),"n/p")</f>
        <v>n/p</v>
      </c>
      <c r="AK161" s="260" t="str">
        <f>IF(ISNUMBER(AK160),IF(ABS(AK158-AK160)&lt;=0.6,0,ROUND(AK158-AK160,1)),"n/p")</f>
        <v>n/p</v>
      </c>
      <c r="AL161" s="260" t="str">
        <f>IF(ISNUMBER(AL160),IF(ABS(AL158-AL160)&lt;=0.6,0,ROUND(AL158-AL160,1)),"n/p")</f>
        <v>n/p</v>
      </c>
      <c r="AM161" s="153" t="n"/>
      <c r="AN161" s="153" t="n"/>
      <c r="AO161" s="153" t="n"/>
      <c r="AP161" s="153" t="n"/>
      <c r="AQ161" s="153" t="n"/>
      <c r="AR161" s="153" t="n"/>
      <c r="AS161" s="153" t="n"/>
      <c r="AT161" s="153" t="n"/>
      <c r="AU161" s="153" t="n"/>
    </row>
    <row r="162" ht="15" customHeight="1" s="251">
      <c r="B162" s="158" t="inlineStr">
        <is>
          <t xml:space="preserve">  Definition / basis (company adjusted definition in force)</t>
        </is>
      </c>
      <c r="C162" s="296" t="inlineStr">
        <is>
          <t>FY2012–15: adds back Carlyle-acquisition stock-based compensation and intangible amortization, transaction expenses, restructuring (FY2012)</t>
        </is>
      </c>
      <c r="G162" s="296" t="inlineStr">
        <is>
          <t>FY2016–17: Carlyle intangible amortization and transaction expenses (option expense fully vested)</t>
        </is>
      </c>
      <c r="I162" s="296" t="inlineStr">
        <is>
          <t>FY2018–21: transaction / acquisition costs and COVID-19 benefits only (Carlyle amortization ended FY2017)</t>
        </is>
      </c>
      <c r="M162" s="296" t="inlineStr">
        <is>
          <t>FY2022+: acquisition &amp; divestiture costs, financing transaction costs, significant acquisition amortization, restructuring, legal matters</t>
        </is>
      </c>
      <c r="AE162" s="296" t="inlineStr">
        <is>
          <t>Q4 FY25+: adjusted operating income no longer published — model continuation (operating income + EBITDA items + acquisition amortization)</t>
        </is>
      </c>
      <c r="AM162" s="153" t="n"/>
      <c r="AN162" s="153" t="n"/>
      <c r="AO162" s="153" t="n"/>
      <c r="AP162" s="153" t="n"/>
      <c r="AQ162" s="153" t="n"/>
      <c r="AR162" s="153" t="n"/>
      <c r="AS162" s="153" t="n"/>
      <c r="AT162" s="153" t="n"/>
      <c r="AU162" s="19" t="inlineStr">
        <is>
          <t>Basis changes are flagged in the column where they take effect (cell comment gives the detail).</t>
        </is>
      </c>
    </row>
    <row r="163" ht="15" customHeight="1" s="251">
      <c r="BC163" s="11" t="n"/>
      <c r="BD163" s="12" t="n"/>
      <c r="BE163" s="12" t="n"/>
      <c r="BF163" s="12" t="n"/>
      <c r="BG163" s="13" t="n"/>
    </row>
    <row r="164" ht="15" customHeight="1" s="251">
      <c r="B164" s="10" t="inlineStr">
        <is>
          <t>RECONCILIATION: NET INCOME → EBITDA → ADJUSTED EBITDA (company definitions, as published)</t>
        </is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inlineStr">
        <is>
          <t>EBITDA — net income + income tax + interest &amp; other, net + D&amp;A; adjusted EBITDA adds back the operating adjusting items (company definition)</t>
        </is>
      </c>
    </row>
    <row r="165" ht="15" customHeight="1" s="251">
      <c r="B165" s="16" t="inlineStr">
        <is>
          <t>Net income attributable to common stockholders</t>
        </is>
      </c>
      <c r="C165" s="295">
        <f>C136</f>
        <v>239.955</v>
      </c>
      <c r="D165" s="295">
        <f>D136</f>
        <v>219.058</v>
      </c>
      <c r="E165" s="295">
        <f>E136</f>
        <v>232.188</v>
      </c>
      <c r="F165" s="295">
        <f>F136</f>
        <v>232.569</v>
      </c>
      <c r="G165" s="295">
        <f>G136</f>
        <v>294.094</v>
      </c>
      <c r="H165" s="295">
        <f>H136</f>
        <v>252.49</v>
      </c>
      <c r="I165" s="295">
        <f>I136</f>
        <v>305.111</v>
      </c>
      <c r="J165" s="295">
        <f>J136</f>
        <v>418.529</v>
      </c>
      <c r="K165" s="295">
        <f>K136</f>
        <v>482.603</v>
      </c>
      <c r="L165" s="295">
        <f>L136</f>
        <v>608.958</v>
      </c>
      <c r="M165" s="295">
        <f>M136</f>
        <v>92.102</v>
      </c>
      <c r="N165" s="295">
        <f>N136</f>
        <v>154.834</v>
      </c>
      <c r="O165" s="295">
        <f>O136</f>
        <v>128.931</v>
      </c>
      <c r="P165" s="295">
        <f>P136</f>
        <v>90.873</v>
      </c>
      <c r="Q165" s="295">
        <f>Q136</f>
        <v>466.74</v>
      </c>
      <c r="R165" s="295">
        <f>R136</f>
        <v>138.284</v>
      </c>
      <c r="S165" s="295">
        <f>S136</f>
        <v>170.932</v>
      </c>
      <c r="T165" s="295">
        <f>T136</f>
        <v>30.997</v>
      </c>
      <c r="U165" s="295">
        <f>U136</f>
        <v>-68.422</v>
      </c>
      <c r="V165" s="295">
        <f>V136</f>
        <v>271.791</v>
      </c>
      <c r="W165" s="295">
        <f>W136</f>
        <v>161.388</v>
      </c>
      <c r="X165" s="295">
        <f>X136</f>
        <v>170.718</v>
      </c>
      <c r="Y165" s="295">
        <f>Y136</f>
        <v>145.644</v>
      </c>
      <c r="Z165" s="295">
        <f>Z136</f>
        <v>127.955</v>
      </c>
      <c r="AA165" s="295">
        <f>AA136</f>
        <v>605.706</v>
      </c>
      <c r="AB165" s="295">
        <f>AB136</f>
        <v>165.233</v>
      </c>
      <c r="AC165" s="295">
        <f>AC136</f>
        <v>390.112</v>
      </c>
      <c r="AD165" s="295">
        <f>AD136</f>
        <v>186.95</v>
      </c>
      <c r="AE165" s="295">
        <f>AE136</f>
        <v>193</v>
      </c>
      <c r="AF165" s="295">
        <f>AF136</f>
        <v>935</v>
      </c>
      <c r="AG165" s="295">
        <f>AG136</f>
        <v>271</v>
      </c>
      <c r="AH165" s="295">
        <f>AH136</f>
        <v>175</v>
      </c>
      <c r="AI165" s="295">
        <f>AI136</f>
        <v>200</v>
      </c>
      <c r="AJ165" s="295">
        <f>AJ136</f>
        <v>205</v>
      </c>
      <c r="AK165" s="295">
        <f>AK136</f>
        <v>851</v>
      </c>
      <c r="AL165" s="295">
        <f>AL136</f>
        <v>198</v>
      </c>
      <c r="AM165" s="265">
        <f>AM136</f>
        <v>177.469052003753</v>
      </c>
      <c r="AN165" s="265">
        <f>AN136</f>
        <v>148.356869358975</v>
      </c>
      <c r="AO165" s="265">
        <f>AO136</f>
        <v>167.775177538372</v>
      </c>
      <c r="AP165" s="265">
        <f>AP136</f>
        <v>691.601098901099</v>
      </c>
      <c r="AQ165" s="265">
        <f>AQ136</f>
        <v>736.319414780842</v>
      </c>
      <c r="AR165" s="265">
        <f>AR136</f>
        <v>782.824053874296</v>
      </c>
      <c r="AS165" s="265">
        <f>AS136</f>
        <v>829.870012134216</v>
      </c>
      <c r="AT165" s="265">
        <f>AT136</f>
        <v>880.720886224649</v>
      </c>
      <c r="AU165" s="153" t="n"/>
    </row>
    <row r="166" ht="15" customHeight="1" s="251">
      <c r="B166" s="25" t="inlineStr">
        <is>
          <t xml:space="preserve">  (+) Non-controlling interest (where the company bridge starts from consolidated net income: FY2022, Q3–Q4 FY2022)</t>
        </is>
      </c>
      <c r="C166" s="253" t="n">
        <v>0</v>
      </c>
      <c r="D166" s="253" t="n">
        <v>0</v>
      </c>
      <c r="E166" s="253" t="n">
        <v>0</v>
      </c>
      <c r="F166" s="253" t="n">
        <v>0</v>
      </c>
      <c r="G166" s="253" t="n">
        <v>0</v>
      </c>
      <c r="H166" s="253" t="n">
        <v>0</v>
      </c>
      <c r="I166" s="253" t="n">
        <v>0</v>
      </c>
      <c r="J166" s="253" t="n">
        <v>0</v>
      </c>
      <c r="K166" s="253" t="n">
        <v>0</v>
      </c>
      <c r="L166" s="253" t="n">
        <v>0</v>
      </c>
      <c r="M166" s="253" t="n">
        <v>0</v>
      </c>
      <c r="N166" s="253" t="n">
        <v>0</v>
      </c>
      <c r="O166" s="253" t="n">
        <v>-0.08500000000000001</v>
      </c>
      <c r="P166" s="253" t="n">
        <v>-0.078</v>
      </c>
      <c r="Q166" s="253" t="n">
        <v>-0.163</v>
      </c>
      <c r="R166" s="253" t="n">
        <v>0</v>
      </c>
      <c r="S166" s="253" t="n">
        <v>0</v>
      </c>
      <c r="T166" s="253" t="n">
        <v>0</v>
      </c>
      <c r="U166" s="253" t="n">
        <v>0</v>
      </c>
      <c r="V166" s="253" t="n">
        <v>0</v>
      </c>
      <c r="W166" s="253" t="n">
        <v>0</v>
      </c>
      <c r="X166" s="253" t="n">
        <v>0</v>
      </c>
      <c r="Y166" s="253" t="n">
        <v>0</v>
      </c>
      <c r="Z166" s="253" t="n">
        <v>0</v>
      </c>
      <c r="AA166" s="253" t="n">
        <v>0</v>
      </c>
      <c r="AB166" s="253" t="n">
        <v>0</v>
      </c>
      <c r="AC166" s="253" t="n">
        <v>0</v>
      </c>
      <c r="AD166" s="253" t="n">
        <v>0</v>
      </c>
      <c r="AE166" s="253" t="n">
        <v>0</v>
      </c>
      <c r="AF166" s="253" t="n">
        <v>0</v>
      </c>
      <c r="AG166" s="253" t="n">
        <v>0</v>
      </c>
      <c r="AH166" s="253" t="n">
        <v>0</v>
      </c>
      <c r="AI166" s="253" t="n">
        <v>0</v>
      </c>
      <c r="AJ166" s="253" t="n">
        <v>0</v>
      </c>
      <c r="AK166" s="253" t="n">
        <v>0</v>
      </c>
      <c r="AL166" s="253" t="n">
        <v>0</v>
      </c>
      <c r="AM166" s="254">
        <f>0</f>
        <v>0</v>
      </c>
      <c r="AN166" s="254">
        <f>0</f>
        <v>0</v>
      </c>
      <c r="AO166" s="254">
        <f>0</f>
        <v>0</v>
      </c>
      <c r="AP166" s="254">
        <f>SUM(AL166,AM166,AN166,AO166)</f>
        <v>0</v>
      </c>
      <c r="AQ166" s="254">
        <f>0</f>
        <v>0</v>
      </c>
      <c r="AR166" s="254">
        <f>0</f>
        <v>0</v>
      </c>
      <c r="AS166" s="254">
        <f>0</f>
        <v>0</v>
      </c>
      <c r="AT166" s="254">
        <f>0</f>
        <v>0</v>
      </c>
      <c r="AU166" s="19" t="n"/>
    </row>
    <row r="167" ht="15" customHeight="1" s="251">
      <c r="B167" s="25" t="inlineStr">
        <is>
          <t xml:space="preserve">  (+) Income tax expense (benefit)</t>
        </is>
      </c>
      <c r="C167" s="260">
        <f>C132</f>
        <v>103.919</v>
      </c>
      <c r="D167" s="260">
        <f>D132</f>
        <v>149.253</v>
      </c>
      <c r="E167" s="260">
        <f>E132</f>
        <v>148.599</v>
      </c>
      <c r="F167" s="260">
        <f>F132</f>
        <v>153.349</v>
      </c>
      <c r="G167" s="260">
        <f>G132</f>
        <v>85.368</v>
      </c>
      <c r="H167" s="260">
        <f>H132</f>
        <v>159.41</v>
      </c>
      <c r="I167" s="260">
        <f>I132</f>
        <v>132.893</v>
      </c>
      <c r="J167" s="260">
        <f>J132</f>
        <v>96.874</v>
      </c>
      <c r="K167" s="260">
        <f>K132</f>
        <v>96.831</v>
      </c>
      <c r="L167" s="260">
        <f>L132</f>
        <v>53.481</v>
      </c>
      <c r="M167" s="260">
        <f>M132</f>
        <v>27.352</v>
      </c>
      <c r="N167" s="260">
        <f>N132</f>
        <v>46.127</v>
      </c>
      <c r="O167" s="260">
        <f>O132</f>
        <v>30.09</v>
      </c>
      <c r="P167" s="260">
        <f>P132</f>
        <v>33.897</v>
      </c>
      <c r="Q167" s="260">
        <f>Q132</f>
        <v>137.466</v>
      </c>
      <c r="R167" s="260">
        <f>R132</f>
        <v>41.489</v>
      </c>
      <c r="S167" s="260">
        <f>S132</f>
        <v>51.258</v>
      </c>
      <c r="T167" s="260">
        <f>T132</f>
        <v>10.539</v>
      </c>
      <c r="U167" s="260">
        <f>U132</f>
        <v>-6.552</v>
      </c>
      <c r="V167" s="260">
        <f>V132</f>
        <v>96.734</v>
      </c>
      <c r="W167" s="260">
        <f>W132</f>
        <v>39.48</v>
      </c>
      <c r="X167" s="260">
        <f>X132</f>
        <v>55.071</v>
      </c>
      <c r="Y167" s="260">
        <f>Y132</f>
        <v>61.74</v>
      </c>
      <c r="Z167" s="260">
        <f>Z132</f>
        <v>91.323</v>
      </c>
      <c r="AA167" s="260">
        <f>AA132</f>
        <v>247.614</v>
      </c>
      <c r="AB167" s="260">
        <f>AB132</f>
        <v>49.128</v>
      </c>
      <c r="AC167" s="260">
        <f>AC132</f>
        <v>123.24</v>
      </c>
      <c r="AD167" s="260">
        <f>AD132</f>
        <v>61.446</v>
      </c>
      <c r="AE167" s="260">
        <f>AE132</f>
        <v>49</v>
      </c>
      <c r="AF167" s="260">
        <f>AF132</f>
        <v>284</v>
      </c>
      <c r="AG167" s="260">
        <f>AG132</f>
        <v>-55</v>
      </c>
      <c r="AH167" s="260">
        <f>AH132</f>
        <v>58</v>
      </c>
      <c r="AI167" s="260">
        <f>AI132</f>
        <v>-13</v>
      </c>
      <c r="AJ167" s="260">
        <f>AJ132</f>
        <v>21</v>
      </c>
      <c r="AK167" s="260">
        <f>AK132</f>
        <v>11</v>
      </c>
      <c r="AL167" s="260">
        <f>AL132</f>
        <v>53</v>
      </c>
      <c r="AM167" s="254">
        <f>AM132</f>
        <v>48.6061734787348</v>
      </c>
      <c r="AN167" s="254">
        <f>AN132</f>
        <v>40.6327731365344</v>
      </c>
      <c r="AO167" s="254">
        <f>AO132</f>
        <v>45.9511632748406</v>
      </c>
      <c r="AP167" s="254">
        <f>AP132</f>
        <v>188.19010989011</v>
      </c>
      <c r="AQ167" s="254">
        <f>AQ132</f>
        <v>213.770152678309</v>
      </c>
      <c r="AR167" s="254">
        <f>AR132</f>
        <v>227.271499511892</v>
      </c>
      <c r="AS167" s="254">
        <f>AS132</f>
        <v>240.930003522837</v>
      </c>
      <c r="AT167" s="254">
        <f>AT132</f>
        <v>255.693160516834</v>
      </c>
      <c r="AU167" s="19" t="n"/>
    </row>
    <row r="168" ht="15" customHeight="1" s="251">
      <c r="B168" s="25" t="inlineStr">
        <is>
          <t xml:space="preserve">  (+) Interest &amp; other, net (interest expense − other income)</t>
        </is>
      </c>
      <c r="C168" s="260">
        <f>C129-C130</f>
        <v>43.558</v>
      </c>
      <c r="D168" s="260">
        <f>D129-D130</f>
        <v>77.923</v>
      </c>
      <c r="E168" s="260">
        <f>E129-E130</f>
        <v>79.824</v>
      </c>
      <c r="F168" s="260">
        <f>F129-F130</f>
        <v>72.904</v>
      </c>
      <c r="G168" s="260">
        <f>G129-G130</f>
        <v>65.122</v>
      </c>
      <c r="H168" s="260">
        <f>H129-H130</f>
        <v>72.347</v>
      </c>
      <c r="I168" s="260">
        <f>I129-I130</f>
        <v>82.081</v>
      </c>
      <c r="J168" s="260">
        <f>J129-J130</f>
        <v>86.991</v>
      </c>
      <c r="K168" s="260">
        <f>K129-K130</f>
        <v>89.768</v>
      </c>
      <c r="L168" s="260">
        <f>L129-L130</f>
        <v>91.932</v>
      </c>
      <c r="M168" s="260">
        <f>M129-M130</f>
        <v>21.803</v>
      </c>
      <c r="N168" s="260">
        <f>N129-N130</f>
        <v>17.406</v>
      </c>
      <c r="O168" s="260">
        <f>O129-O130</f>
        <v>18.276</v>
      </c>
      <c r="P168" s="260">
        <f>P129-P130</f>
        <v>23.653</v>
      </c>
      <c r="Q168" s="260">
        <f>Q129-Q130</f>
        <v>81.138</v>
      </c>
      <c r="R168" s="260">
        <f>R129-R130</f>
        <v>27.613</v>
      </c>
      <c r="S168" s="260">
        <f>S129-S130</f>
        <v>1.882</v>
      </c>
      <c r="T168" s="260">
        <f>T129-T130</f>
        <v>17.412</v>
      </c>
      <c r="U168" s="260">
        <f>U129-U130</f>
        <v>31.992</v>
      </c>
      <c r="V168" s="260">
        <f>V129-V130</f>
        <v>78.899</v>
      </c>
      <c r="W168" s="260">
        <f>W129-W130</f>
        <v>33.55</v>
      </c>
      <c r="X168" s="260">
        <f>X129-X130</f>
        <v>41.2</v>
      </c>
      <c r="Y168" s="260">
        <f>Y129-Y130</f>
        <v>40.174</v>
      </c>
      <c r="Z168" s="260">
        <f>Z129-Z130</f>
        <v>45.161</v>
      </c>
      <c r="AA168" s="260">
        <f>AA129-AA130</f>
        <v>160.083</v>
      </c>
      <c r="AB168" s="260">
        <f>AB129-AB130</f>
        <v>40.803</v>
      </c>
      <c r="AC168" s="260">
        <f>AC129-AC130</f>
        <v>35.257</v>
      </c>
      <c r="AD168" s="260">
        <f>AD129-AD130</f>
        <v>42.863</v>
      </c>
      <c r="AE168" s="260">
        <f>AE129-AE130</f>
        <v>32</v>
      </c>
      <c r="AF168" s="260">
        <f>AF129-AF130</f>
        <v>151</v>
      </c>
      <c r="AG168" s="260">
        <f>AG129-AG130</f>
        <v>41</v>
      </c>
      <c r="AH168" s="260">
        <f>AH129-AH130</f>
        <v>50</v>
      </c>
      <c r="AI168" s="260">
        <f>AI129-AI130</f>
        <v>43</v>
      </c>
      <c r="AJ168" s="260">
        <f>AJ129-AJ130</f>
        <v>37</v>
      </c>
      <c r="AK168" s="260">
        <f>AK129-AK130</f>
        <v>171</v>
      </c>
      <c r="AL168" s="260">
        <f>AL129-AL130</f>
        <v>28</v>
      </c>
      <c r="AM168" s="254">
        <f>AM129-AM130</f>
        <v>54</v>
      </c>
      <c r="AN168" s="254">
        <f>AN129-AN130</f>
        <v>54</v>
      </c>
      <c r="AO168" s="254">
        <f>AO129-AO130</f>
        <v>54</v>
      </c>
      <c r="AP168" s="254">
        <f>AP129-AP130</f>
        <v>190</v>
      </c>
      <c r="AQ168" s="254">
        <f>AQ129-AQ130</f>
        <v>207.7797740467</v>
      </c>
      <c r="AR168" s="254">
        <f>AR129-AR130</f>
        <v>222.091318931648</v>
      </c>
      <c r="AS168" s="254">
        <f>AS129-AS130</f>
        <v>243.934466632195</v>
      </c>
      <c r="AT168" s="254">
        <f>AT129-AT130</f>
        <v>265.060798679911</v>
      </c>
      <c r="AU168" s="19" t="n"/>
    </row>
    <row r="169" ht="15" customHeight="1" s="251">
      <c r="B169" s="25" t="inlineStr">
        <is>
          <t xml:space="preserve">  (+) Depreciation and amortization</t>
        </is>
      </c>
      <c r="C169" s="260">
        <f>C124</f>
        <v>75.205</v>
      </c>
      <c r="D169" s="260">
        <f>D124</f>
        <v>74.009</v>
      </c>
      <c r="E169" s="260">
        <f>E124</f>
        <v>72.327</v>
      </c>
      <c r="F169" s="260">
        <f>F124</f>
        <v>62.66</v>
      </c>
      <c r="G169" s="260">
        <f>G124</f>
        <v>61.536</v>
      </c>
      <c r="H169" s="260">
        <f>H124</f>
        <v>59.544</v>
      </c>
      <c r="I169" s="260">
        <f>I124</f>
        <v>64.756</v>
      </c>
      <c r="J169" s="260">
        <f>J124</f>
        <v>68.575</v>
      </c>
      <c r="K169" s="260">
        <f>K124</f>
        <v>81.081</v>
      </c>
      <c r="L169" s="260">
        <f>L124</f>
        <v>84.315</v>
      </c>
      <c r="M169" s="260">
        <f>M124</f>
        <v>27.745</v>
      </c>
      <c r="N169" s="260">
        <f>N124</f>
        <v>37.602</v>
      </c>
      <c r="O169" s="260">
        <f>O124</f>
        <v>39.576</v>
      </c>
      <c r="P169" s="260">
        <f>P124</f>
        <v>40.824</v>
      </c>
      <c r="Q169" s="260">
        <f>Q124</f>
        <v>145.747</v>
      </c>
      <c r="R169" s="260">
        <f>R124</f>
        <v>40.102</v>
      </c>
      <c r="S169" s="260">
        <f>S124</f>
        <v>39.052</v>
      </c>
      <c r="T169" s="260">
        <f>T124</f>
        <v>42.046</v>
      </c>
      <c r="U169" s="260">
        <f>U124</f>
        <v>44.284</v>
      </c>
      <c r="V169" s="260">
        <f>V124</f>
        <v>165.484</v>
      </c>
      <c r="W169" s="260">
        <f>W124</f>
        <v>41.847</v>
      </c>
      <c r="X169" s="260">
        <f>X124</f>
        <v>40.907</v>
      </c>
      <c r="Y169" s="260">
        <f>Y124</f>
        <v>41.113</v>
      </c>
      <c r="Z169" s="260">
        <f>Z124</f>
        <v>40.335</v>
      </c>
      <c r="AA169" s="260">
        <f>AA124</f>
        <v>164.203</v>
      </c>
      <c r="AB169" s="260">
        <f>AB124</f>
        <v>41.129</v>
      </c>
      <c r="AC169" s="260">
        <f>AC124</f>
        <v>42.056</v>
      </c>
      <c r="AD169" s="260">
        <f>AD124</f>
        <v>40.156</v>
      </c>
      <c r="AE169" s="260">
        <f>AE124</f>
        <v>42</v>
      </c>
      <c r="AF169" s="260">
        <f>AF124</f>
        <v>165</v>
      </c>
      <c r="AG169" s="260">
        <f>AG124</f>
        <v>40</v>
      </c>
      <c r="AH169" s="260">
        <f>AH124</f>
        <v>41</v>
      </c>
      <c r="AI169" s="260">
        <f>AI124</f>
        <v>40</v>
      </c>
      <c r="AJ169" s="260">
        <f>AJ124</f>
        <v>42</v>
      </c>
      <c r="AK169" s="260">
        <f>AK124</f>
        <v>163</v>
      </c>
      <c r="AL169" s="260">
        <f>AL124</f>
        <v>45</v>
      </c>
      <c r="AM169" s="254">
        <f>AM124</f>
        <v>48.0065934065934</v>
      </c>
      <c r="AN169" s="254">
        <f>AN124</f>
        <v>52.2</v>
      </c>
      <c r="AO169" s="254">
        <f>AO124</f>
        <v>52.2</v>
      </c>
      <c r="AP169" s="254">
        <f>AP124</f>
        <v>197.406593406593</v>
      </c>
      <c r="AQ169" s="254">
        <f>AQ124</f>
        <v>201.58562171626</v>
      </c>
      <c r="AR169" s="254">
        <f>AR124</f>
        <v>206.391713331829</v>
      </c>
      <c r="AS169" s="254">
        <f>AS124</f>
        <v>212.591570316274</v>
      </c>
      <c r="AT169" s="254">
        <f>AT124</f>
        <v>221.742304528228</v>
      </c>
      <c r="AU169" s="19" t="n"/>
    </row>
    <row r="170" ht="15" customHeight="1" s="251">
      <c r="B170" s="16" t="inlineStr">
        <is>
          <t xml:space="preserve">  = EBITDA</t>
        </is>
      </c>
      <c r="C170" s="295">
        <f>IF(ISNUMBER(C165),C165+N(C166)+C167+C168+C169,"")</f>
        <v>462.637</v>
      </c>
      <c r="D170" s="295">
        <f>IF(ISNUMBER(D165),D165+N(D166)+D167+D168+D169,"")</f>
        <v>520.243</v>
      </c>
      <c r="E170" s="295">
        <f>IF(ISNUMBER(E165),E165+N(E166)+E167+E168+E169,"")</f>
        <v>532.938</v>
      </c>
      <c r="F170" s="295">
        <f>IF(ISNUMBER(F165),F165+N(F166)+F167+F168+F169,"")</f>
        <v>521.482</v>
      </c>
      <c r="G170" s="295">
        <f>IF(ISNUMBER(G165),G165+N(G166)+G167+G168+G169,"")</f>
        <v>506.12</v>
      </c>
      <c r="H170" s="295">
        <f>IF(ISNUMBER(H165),H165+N(H166)+H167+H168+H169,"")</f>
        <v>543.791</v>
      </c>
      <c r="I170" s="295">
        <f>IF(ISNUMBER(I165),I165+N(I166)+I167+I168+I169,"")</f>
        <v>584.841</v>
      </c>
      <c r="J170" s="295">
        <f>IF(ISNUMBER(J165),J165+N(J166)+J167+J168+J169,"")</f>
        <v>670.969</v>
      </c>
      <c r="K170" s="295">
        <f>IF(ISNUMBER(K165),K165+N(K166)+K167+K168+K169,"")</f>
        <v>750.283</v>
      </c>
      <c r="L170" s="295">
        <f>IF(ISNUMBER(L165),L165+N(L166)+L167+L168+L169,"")</f>
        <v>838.686</v>
      </c>
      <c r="M170" s="295">
        <f>IF(ISNUMBER(M165),M165+N(M166)+M167+M168+M169,"")</f>
        <v>169.002</v>
      </c>
      <c r="N170" s="295">
        <f>IF(ISNUMBER(N165),N165+N(N166)+N167+N168+N169,"")</f>
        <v>255.969</v>
      </c>
      <c r="O170" s="295">
        <f>IF(ISNUMBER(O165),O165+N(O166)+O167+O168+O169,"")</f>
        <v>216.788</v>
      </c>
      <c r="P170" s="295">
        <f>IF(ISNUMBER(P165),P165+N(P166)+P167+P168+P169,"")</f>
        <v>189.169</v>
      </c>
      <c r="Q170" s="295">
        <f>IF(ISNUMBER(Q165),Q165+N(Q166)+Q167+Q168+Q169,"")</f>
        <v>830.928</v>
      </c>
      <c r="R170" s="295">
        <f>IF(ISNUMBER(R165),R165+N(R166)+R167+R168+R169,"")</f>
        <v>247.488</v>
      </c>
      <c r="S170" s="295">
        <f>IF(ISNUMBER(S165),S165+N(S166)+S167+S168+S169,"")</f>
        <v>263.124</v>
      </c>
      <c r="T170" s="295">
        <f>IF(ISNUMBER(T165),T165+N(T166)+T167+T168+T169,"")</f>
        <v>100.994</v>
      </c>
      <c r="U170" s="295">
        <f>IF(ISNUMBER(U165),U165+N(U166)+U167+U168+U169,"")</f>
        <v>1.30200000000001</v>
      </c>
      <c r="V170" s="295">
        <f>IF(ISNUMBER(V165),V165+N(V166)+V167+V168+V169,"")</f>
        <v>612.908</v>
      </c>
      <c r="W170" s="295">
        <f>IF(ISNUMBER(W165),W165+N(W166)+W167+W168+W169,"")</f>
        <v>276.265</v>
      </c>
      <c r="X170" s="295">
        <f>IF(ISNUMBER(X165),X165+N(X166)+X167+X168+X169,"")</f>
        <v>307.896</v>
      </c>
      <c r="Y170" s="295">
        <f>IF(ISNUMBER(Y165),Y165+N(Y166)+Y167+Y168+Y169,"")</f>
        <v>288.671</v>
      </c>
      <c r="Z170" s="295">
        <f>IF(ISNUMBER(Z165),Z165+N(Z166)+Z167+Z168+Z169,"")</f>
        <v>304.774</v>
      </c>
      <c r="AA170" s="295">
        <f>IF(ISNUMBER(AA165),AA165+N(AA166)+AA167+AA168+AA169,"")</f>
        <v>1177.606</v>
      </c>
      <c r="AB170" s="295">
        <f>IF(ISNUMBER(AB165),AB165+N(AB166)+AB167+AB168+AB169,"")</f>
        <v>296.293</v>
      </c>
      <c r="AC170" s="295">
        <f>IF(ISNUMBER(AC165),AC165+N(AC166)+AC167+AC168+AC169,"")</f>
        <v>590.665</v>
      </c>
      <c r="AD170" s="295">
        <f>IF(ISNUMBER(AD165),AD165+N(AD166)+AD167+AD168+AD169,"")</f>
        <v>331.415</v>
      </c>
      <c r="AE170" s="295">
        <f>IF(ISNUMBER(AE165),AE165+N(AE166)+AE167+AE168+AE169,"")</f>
        <v>316</v>
      </c>
      <c r="AF170" s="295">
        <f>IF(ISNUMBER(AF165),AF165+N(AF166)+AF167+AF168+AF169,"")</f>
        <v>1535</v>
      </c>
      <c r="AG170" s="295">
        <f>IF(ISNUMBER(AG165),AG165+N(AG166)+AG167+AG168+AG169,"")</f>
        <v>297</v>
      </c>
      <c r="AH170" s="295">
        <f>IF(ISNUMBER(AH165),AH165+N(AH166)+AH167+AH168+AH169,"")</f>
        <v>324</v>
      </c>
      <c r="AI170" s="295">
        <f>IF(ISNUMBER(AI165),AI165+N(AI166)+AI167+AI168+AI169,"")</f>
        <v>270</v>
      </c>
      <c r="AJ170" s="295">
        <f>IF(ISNUMBER(AJ165),AJ165+N(AJ166)+AJ167+AJ168+AJ169,"")</f>
        <v>305</v>
      </c>
      <c r="AK170" s="295">
        <f>IF(ISNUMBER(AK165),AK165+N(AK166)+AK167+AK168+AK169,"")</f>
        <v>1196</v>
      </c>
      <c r="AL170" s="295">
        <f>IF(ISNUMBER(AL165),AL165+N(AL166)+AL167+AL168+AL169,"")</f>
        <v>324</v>
      </c>
      <c r="AM170" s="265">
        <f>IF(ISNUMBER(AM165),AM165+N(AM166)+AM167+AM168+AM169,"")</f>
        <v>328.081818889081</v>
      </c>
      <c r="AN170" s="265">
        <f>IF(ISNUMBER(AN165),AN165+N(AN166)+AN167+AN168+AN169,"")</f>
        <v>295.189642495509</v>
      </c>
      <c r="AO170" s="265">
        <f>IF(ISNUMBER(AO165),AO165+N(AO166)+AO167+AO168+AO169,"")</f>
        <v>319.926340813212</v>
      </c>
      <c r="AP170" s="265">
        <f>IF(ISNUMBER(AP165),AP165+N(AP166)+AP167+AP168+AP169,"")</f>
        <v>1267.1978021978</v>
      </c>
      <c r="AQ170" s="265">
        <f>IF(ISNUMBER(AQ165),AQ165+N(AQ166)+AQ167+AQ168+AQ169,"")</f>
        <v>1359.45496322211</v>
      </c>
      <c r="AR170" s="265">
        <f>IF(ISNUMBER(AR165),AR165+N(AR166)+AR167+AR168+AR169,"")</f>
        <v>1438.57858564967</v>
      </c>
      <c r="AS170" s="265">
        <f>IF(ISNUMBER(AS165),AS165+N(AS166)+AS167+AS168+AS169,"")</f>
        <v>1527.32605260552</v>
      </c>
      <c r="AT170" s="265">
        <f>IF(ISNUMBER(AT165),AT165+N(AT166)+AT167+AT168+AT169,"")</f>
        <v>1623.21714994962</v>
      </c>
      <c r="AU170" s="153" t="n"/>
      <c r="AW170" s="20">
        <f>IFERROR((AT170/AK170)^(1/5)-1,"n/m")</f>
        <v>0.0629897788076463</v>
      </c>
      <c r="AX170" s="20">
        <f>IFERROR((AK170/L170)^(1/5)-1,"n/m")</f>
        <v>0.073560087940584</v>
      </c>
      <c r="AY170" s="20">
        <f>IFERROR((AK170/G170)^(1/10)-1,"n/m")</f>
        <v>0.0898024201783156</v>
      </c>
      <c r="AZ170" s="20">
        <f>IFERROR((AK170/C170)^(1/14)-1,"n/m")</f>
        <v>0.0701967549042941</v>
      </c>
    </row>
    <row r="171" ht="15" customHeight="1" s="251">
      <c r="B171" s="156" t="inlineStr">
        <is>
          <t xml:space="preserve">  Company-published EBITDA</t>
        </is>
      </c>
      <c r="C171" s="253" t="n">
        <v>462.637</v>
      </c>
      <c r="D171" s="253" t="n">
        <v>520.2430000000001</v>
      </c>
      <c r="E171" s="253" t="n">
        <v>532.938</v>
      </c>
      <c r="F171" s="253" t="n">
        <v>521.482</v>
      </c>
      <c r="G171" s="253" t="n">
        <v>506.12</v>
      </c>
      <c r="H171" s="253" t="n">
        <v>543.7910000000001</v>
      </c>
      <c r="I171" s="253" t="n">
        <v>584.841</v>
      </c>
      <c r="J171" s="253" t="n">
        <v>670.9690000000001</v>
      </c>
      <c r="K171" s="253" t="n">
        <v>750.283</v>
      </c>
      <c r="L171" s="253" t="n">
        <v>838.686</v>
      </c>
      <c r="M171" s="253" t="n">
        <v>169.002</v>
      </c>
      <c r="N171" s="253" t="n">
        <v>255.969</v>
      </c>
      <c r="O171" s="253" t="n">
        <v>216.788</v>
      </c>
      <c r="P171" s="253" t="n">
        <v>189.169</v>
      </c>
      <c r="Q171" s="253" t="n">
        <v>830.928</v>
      </c>
      <c r="R171" s="253" t="n">
        <v>247.488</v>
      </c>
      <c r="S171" s="253" t="n">
        <v>263.124</v>
      </c>
      <c r="T171" s="253" t="n">
        <v>100.994</v>
      </c>
      <c r="U171" s="253" t="n">
        <v>1.302</v>
      </c>
      <c r="V171" s="253" t="n">
        <v>612.908</v>
      </c>
      <c r="W171" s="253" t="n">
        <v>276.265</v>
      </c>
      <c r="X171" s="253" t="n">
        <v>307.896</v>
      </c>
      <c r="Y171" s="253" t="n">
        <v>288.671</v>
      </c>
      <c r="Z171" s="253" t="n">
        <v>304.774</v>
      </c>
      <c r="AA171" s="253" t="n">
        <v>1177.606</v>
      </c>
      <c r="AB171" s="253" t="n">
        <v>296.293</v>
      </c>
      <c r="AC171" s="253" t="n">
        <v>590.665</v>
      </c>
      <c r="AD171" s="253" t="n">
        <v>331.415</v>
      </c>
      <c r="AE171" s="253" t="n">
        <v>316</v>
      </c>
      <c r="AF171" s="253" t="n">
        <v>1535</v>
      </c>
      <c r="AG171" s="253" t="n">
        <v>297</v>
      </c>
      <c r="AH171" s="253" t="n">
        <v>324</v>
      </c>
      <c r="AI171" s="253" t="n">
        <v>270</v>
      </c>
      <c r="AJ171" s="253" t="n">
        <v>305</v>
      </c>
      <c r="AK171" s="253" t="n">
        <v>1196</v>
      </c>
      <c r="AL171" s="253" t="n">
        <v>324</v>
      </c>
      <c r="AM171" s="153" t="n"/>
      <c r="AN171" s="153" t="n"/>
      <c r="AO171" s="153" t="n"/>
      <c r="AP171" s="153" t="n"/>
      <c r="AQ171" s="153" t="n"/>
      <c r="AR171" s="153" t="n"/>
      <c r="AS171" s="153" t="n"/>
      <c r="AT171" s="153" t="n"/>
      <c r="AU171" s="153" t="n"/>
    </row>
    <row r="172" ht="15" customHeight="1" s="251">
      <c r="B172" s="57" t="inlineStr">
        <is>
          <t xml:space="preserve">  Check: model vs company-published EBITDA (should be 0; ±0.15, ±0.6 from Q4 FY25)</t>
        </is>
      </c>
      <c r="C172" s="260">
        <f>IF(ISNUMBER(C171),IF(ABS(C170-C171)&lt;=0.15,0,ROUND(C170-C171,1)),"n/p")</f>
        <v>0</v>
      </c>
      <c r="D172" s="260">
        <f>IF(ISNUMBER(D171),IF(ABS(D170-D171)&lt;=0.15,0,ROUND(D170-D171,1)),"n/p")</f>
        <v>0</v>
      </c>
      <c r="E172" s="260">
        <f>IF(ISNUMBER(E171),IF(ABS(E170-E171)&lt;=0.15,0,ROUND(E170-E171,1)),"n/p")</f>
        <v>0</v>
      </c>
      <c r="F172" s="260">
        <f>IF(ISNUMBER(F171),IF(ABS(F170-F171)&lt;=0.15,0,ROUND(F170-F171,1)),"n/p")</f>
        <v>0</v>
      </c>
      <c r="G172" s="260">
        <f>IF(ISNUMBER(G171),IF(ABS(G170-G171)&lt;=0.15,0,ROUND(G170-G171,1)),"n/p")</f>
        <v>0</v>
      </c>
      <c r="H172" s="260">
        <f>IF(ISNUMBER(H171),IF(ABS(H170-H171)&lt;=0.15,0,ROUND(H170-H171,1)),"n/p")</f>
        <v>0</v>
      </c>
      <c r="I172" s="260">
        <f>IF(ISNUMBER(I171),IF(ABS(I170-I171)&lt;=0.15,0,ROUND(I170-I171,1)),"n/p")</f>
        <v>0</v>
      </c>
      <c r="J172" s="260">
        <f>IF(ISNUMBER(J171),IF(ABS(J170-J171)&lt;=0.15,0,ROUND(J170-J171,1)),"n/p")</f>
        <v>0</v>
      </c>
      <c r="K172" s="260">
        <f>IF(ISNUMBER(K171),IF(ABS(K170-K171)&lt;=0.15,0,ROUND(K170-K171,1)),"n/p")</f>
        <v>0</v>
      </c>
      <c r="L172" s="260">
        <f>IF(ISNUMBER(L171),IF(ABS(L170-L171)&lt;=0.15,0,ROUND(L170-L171,1)),"n/p")</f>
        <v>0</v>
      </c>
      <c r="M172" s="260">
        <f>IF(ISNUMBER(M171),IF(ABS(M170-M171)&lt;=0.15,0,ROUND(M170-M171,1)),"n/p")</f>
        <v>0</v>
      </c>
      <c r="N172" s="260">
        <f>IF(ISNUMBER(N171),IF(ABS(N170-N171)&lt;=0.15,0,ROUND(N170-N171,1)),"n/p")</f>
        <v>0</v>
      </c>
      <c r="O172" s="260">
        <f>IF(ISNUMBER(O171),IF(ABS(O170-O171)&lt;=0.15,0,ROUND(O170-O171,1)),"n/p")</f>
        <v>0</v>
      </c>
      <c r="P172" s="260">
        <f>IF(ISNUMBER(P171),IF(ABS(P170-P171)&lt;=0.15,0,ROUND(P170-P171,1)),"n/p")</f>
        <v>0</v>
      </c>
      <c r="Q172" s="260">
        <f>IF(ISNUMBER(Q171),IF(ABS(Q170-Q171)&lt;=0.15,0,ROUND(Q170-Q171,1)),"n/p")</f>
        <v>0</v>
      </c>
      <c r="R172" s="260">
        <f>IF(ISNUMBER(R171),IF(ABS(R170-R171)&lt;=0.15,0,ROUND(R170-R171,1)),"n/p")</f>
        <v>0</v>
      </c>
      <c r="S172" s="260">
        <f>IF(ISNUMBER(S171),IF(ABS(S170-S171)&lt;=0.15,0,ROUND(S170-S171,1)),"n/p")</f>
        <v>0</v>
      </c>
      <c r="T172" s="260">
        <f>IF(ISNUMBER(T171),IF(ABS(T170-T171)&lt;=0.15,0,ROUND(T170-T171,1)),"n/p")</f>
        <v>0</v>
      </c>
      <c r="U172" s="260">
        <f>IF(ISNUMBER(U171),IF(ABS(U170-U171)&lt;=0.15,0,ROUND(U170-U171,1)),"n/p")</f>
        <v>0</v>
      </c>
      <c r="V172" s="260">
        <f>IF(ISNUMBER(V171),IF(ABS(V170-V171)&lt;=0.15,0,ROUND(V170-V171,1)),"n/p")</f>
        <v>0</v>
      </c>
      <c r="W172" s="260">
        <f>IF(ISNUMBER(W171),IF(ABS(W170-W171)&lt;=0.15,0,ROUND(W170-W171,1)),"n/p")</f>
        <v>0</v>
      </c>
      <c r="X172" s="260">
        <f>IF(ISNUMBER(X171),IF(ABS(X170-X171)&lt;=0.15,0,ROUND(X170-X171,1)),"n/p")</f>
        <v>0</v>
      </c>
      <c r="Y172" s="260">
        <f>IF(ISNUMBER(Y171),IF(ABS(Y170-Y171)&lt;=0.15,0,ROUND(Y170-Y171,1)),"n/p")</f>
        <v>0</v>
      </c>
      <c r="Z172" s="260">
        <f>IF(ISNUMBER(Z171),IF(ABS(Z170-Z171)&lt;=0.15,0,ROUND(Z170-Z171,1)),"n/p")</f>
        <v>0</v>
      </c>
      <c r="AA172" s="260">
        <f>IF(ISNUMBER(AA171),IF(ABS(AA170-AA171)&lt;=0.15,0,ROUND(AA170-AA171,1)),"n/p")</f>
        <v>0</v>
      </c>
      <c r="AB172" s="260">
        <f>IF(ISNUMBER(AB171),IF(ABS(AB170-AB171)&lt;=0.15,0,ROUND(AB170-AB171,1)),"n/p")</f>
        <v>0</v>
      </c>
      <c r="AC172" s="260">
        <f>IF(ISNUMBER(AC171),IF(ABS(AC170-AC171)&lt;=0.15,0,ROUND(AC170-AC171,1)),"n/p")</f>
        <v>0</v>
      </c>
      <c r="AD172" s="260">
        <f>IF(ISNUMBER(AD171),IF(ABS(AD170-AD171)&lt;=0.15,0,ROUND(AD170-AD171,1)),"n/p")</f>
        <v>0</v>
      </c>
      <c r="AE172" s="260">
        <f>IF(ISNUMBER(AE171),IF(ABS(AE170-AE171)&lt;=0.6,0,ROUND(AE170-AE171,1)),"n/p")</f>
        <v>0</v>
      </c>
      <c r="AF172" s="260">
        <f>IF(ISNUMBER(AF171),IF(ABS(AF170-AF171)&lt;=0.6,0,ROUND(AF170-AF171,1)),"n/p")</f>
        <v>0</v>
      </c>
      <c r="AG172" s="260">
        <f>IF(ISNUMBER(AG171),IF(ABS(AG170-AG171)&lt;=0.6,0,ROUND(AG170-AG171,1)),"n/p")</f>
        <v>0</v>
      </c>
      <c r="AH172" s="260">
        <f>IF(ISNUMBER(AH171),IF(ABS(AH170-AH171)&lt;=0.6,0,ROUND(AH170-AH171,1)),"n/p")</f>
        <v>0</v>
      </c>
      <c r="AI172" s="260">
        <f>IF(ISNUMBER(AI171),IF(ABS(AI170-AI171)&lt;=0.6,0,ROUND(AI170-AI171,1)),"n/p")</f>
        <v>0</v>
      </c>
      <c r="AJ172" s="260">
        <f>IF(ISNUMBER(AJ171),IF(ABS(AJ170-AJ171)&lt;=0.6,0,ROUND(AJ170-AJ171,1)),"n/p")</f>
        <v>0</v>
      </c>
      <c r="AK172" s="260">
        <f>IF(ISNUMBER(AK171),IF(ABS(AK170-AK171)&lt;=0.6,0,ROUND(AK170-AK171,1)),"n/p")</f>
        <v>0</v>
      </c>
      <c r="AL172" s="260">
        <f>IF(ISNUMBER(AL171),IF(ABS(AL170-AL171)&lt;=0.6,0,ROUND(AL170-AL171,1)),"n/p")</f>
        <v>0</v>
      </c>
      <c r="AM172" s="153" t="n"/>
      <c r="AN172" s="153" t="n"/>
      <c r="AO172" s="153" t="n"/>
      <c r="AP172" s="153" t="n"/>
      <c r="AQ172" s="153" t="n"/>
      <c r="AR172" s="153" t="n"/>
      <c r="AS172" s="153" t="n"/>
      <c r="AT172" s="153" t="n"/>
      <c r="AU172" s="153" t="n"/>
    </row>
    <row r="173" ht="15" customHeight="1" s="251">
      <c r="B173" s="25" t="inlineStr">
        <is>
          <t xml:space="preserve">  (+) Operating adjusting items</t>
        </is>
      </c>
      <c r="C173" s="260">
        <f>C156</f>
        <v>25.423</v>
      </c>
      <c r="D173" s="260">
        <f>D156</f>
        <v>8.593</v>
      </c>
      <c r="E173" s="260">
        <f>E156</f>
        <v>1.094</v>
      </c>
      <c r="F173" s="260">
        <f>F156</f>
        <v>2.039</v>
      </c>
      <c r="G173" s="260">
        <f>G156</f>
        <v>0</v>
      </c>
      <c r="H173" s="260">
        <f>H156</f>
        <v>3.354</v>
      </c>
      <c r="I173" s="260">
        <f>I156</f>
        <v>0</v>
      </c>
      <c r="J173" s="260">
        <f>J156</f>
        <v>3.66</v>
      </c>
      <c r="K173" s="260">
        <f>K156</f>
        <v>3.791</v>
      </c>
      <c r="L173" s="260">
        <f>L156</f>
        <v>0.988</v>
      </c>
      <c r="M173" s="260">
        <f>M156</f>
        <v>69.137</v>
      </c>
      <c r="N173" s="260">
        <f>N156</f>
        <v>13.68</v>
      </c>
      <c r="O173" s="260">
        <f>O156</f>
        <v>5.346</v>
      </c>
      <c r="P173" s="260">
        <f>P156</f>
        <v>15.834</v>
      </c>
      <c r="Q173" s="260">
        <f>Q156</f>
        <v>103.997</v>
      </c>
      <c r="R173" s="260">
        <f>R156</f>
        <v>5.093</v>
      </c>
      <c r="S173" s="260">
        <f>S156</f>
        <v>22.82</v>
      </c>
      <c r="T173" s="260">
        <f>T156</f>
        <v>143.096</v>
      </c>
      <c r="U173" s="260">
        <f>U156</f>
        <v>230.148</v>
      </c>
      <c r="V173" s="260">
        <f>V156</f>
        <v>401.157</v>
      </c>
      <c r="W173" s="260">
        <f>W156</f>
        <v>30.721</v>
      </c>
      <c r="X173" s="260">
        <f>X156</f>
        <v>-17.265</v>
      </c>
      <c r="Y173" s="260">
        <f>Y156</f>
        <v>1.952</v>
      </c>
      <c r="Z173" s="260">
        <f>Z156</f>
        <v>-17.95</v>
      </c>
      <c r="AA173" s="260">
        <f>AA156</f>
        <v>-2.542</v>
      </c>
      <c r="AB173" s="260">
        <f>AB156</f>
        <v>5.67</v>
      </c>
      <c r="AC173" s="260">
        <f>AC156</f>
        <v>-226.715</v>
      </c>
      <c r="AD173" s="260">
        <f>AD156</f>
        <v>0.306</v>
      </c>
      <c r="AE173" s="260">
        <f>AE156</f>
        <v>0</v>
      </c>
      <c r="AF173" s="260">
        <f>AF156</f>
        <v>-220</v>
      </c>
      <c r="AG173" s="260">
        <f>AG156</f>
        <v>14</v>
      </c>
      <c r="AH173" s="260">
        <f>AH156</f>
        <v>0</v>
      </c>
      <c r="AI173" s="260">
        <f>AI156</f>
        <v>15</v>
      </c>
      <c r="AJ173" s="260">
        <f>AJ156</f>
        <v>4</v>
      </c>
      <c r="AK173" s="260">
        <f>AK156</f>
        <v>33</v>
      </c>
      <c r="AL173" s="260">
        <f>AL156</f>
        <v>10</v>
      </c>
      <c r="AM173" s="254">
        <f>AM156</f>
        <v>5</v>
      </c>
      <c r="AN173" s="254">
        <f>AN156</f>
        <v>5</v>
      </c>
      <c r="AO173" s="254">
        <f>AO156</f>
        <v>5</v>
      </c>
      <c r="AP173" s="254">
        <f>AP156</f>
        <v>25</v>
      </c>
      <c r="AQ173" s="254">
        <f>AQ156</f>
        <v>4.5</v>
      </c>
      <c r="AR173" s="254">
        <f>AR156</f>
        <v>4.5</v>
      </c>
      <c r="AS173" s="254">
        <f>AS156</f>
        <v>4.5</v>
      </c>
      <c r="AT173" s="254">
        <f>AT156</f>
        <v>4.5</v>
      </c>
      <c r="AU173" s="19" t="n"/>
    </row>
    <row r="174" ht="15" customHeight="1" s="251">
      <c r="B174" s="55" t="inlineStr">
        <is>
          <t xml:space="preserve">  = Adjusted EBITDA</t>
        </is>
      </c>
      <c r="C174" s="285">
        <f>IF(ISNUMBER(C170),C170+N(C173),"")</f>
        <v>488.06</v>
      </c>
      <c r="D174" s="285">
        <f>IF(ISNUMBER(D170),D170+N(D173),"")</f>
        <v>528.836</v>
      </c>
      <c r="E174" s="285">
        <f>IF(ISNUMBER(E170),E170+N(E173),"")</f>
        <v>534.032</v>
      </c>
      <c r="F174" s="285">
        <f>IF(ISNUMBER(F170),F170+N(F173),"")</f>
        <v>523.521</v>
      </c>
      <c r="G174" s="285">
        <f>IF(ISNUMBER(G170),G170+N(G173),"")</f>
        <v>506.12</v>
      </c>
      <c r="H174" s="285">
        <f>IF(ISNUMBER(H170),H170+N(H173),"")</f>
        <v>547.145</v>
      </c>
      <c r="I174" s="285">
        <f>IF(ISNUMBER(I170),I170+N(I173),"")</f>
        <v>584.841</v>
      </c>
      <c r="J174" s="285">
        <f>IF(ISNUMBER(J170),J170+N(J173),"")</f>
        <v>674.629</v>
      </c>
      <c r="K174" s="285">
        <f>IF(ISNUMBER(K170),K170+N(K173),"")</f>
        <v>754.074</v>
      </c>
      <c r="L174" s="285">
        <f>IF(ISNUMBER(L170),L170+N(L173),"")</f>
        <v>839.674</v>
      </c>
      <c r="M174" s="285">
        <f>IF(ISNUMBER(M170),M170+N(M173),"")</f>
        <v>238.139</v>
      </c>
      <c r="N174" s="285">
        <f>IF(ISNUMBER(N170),N170+N(N173),"")</f>
        <v>269.649</v>
      </c>
      <c r="O174" s="285">
        <f>IF(ISNUMBER(O170),O170+N(O173),"")</f>
        <v>222.134</v>
      </c>
      <c r="P174" s="285">
        <f>IF(ISNUMBER(P170),P170+N(P173),"")</f>
        <v>205.003</v>
      </c>
      <c r="Q174" s="285">
        <f>IF(ISNUMBER(Q170),Q170+N(Q173),"")</f>
        <v>934.925</v>
      </c>
      <c r="R174" s="285">
        <f>IF(ISNUMBER(R170),R170+N(R173),"")</f>
        <v>252.581</v>
      </c>
      <c r="S174" s="285">
        <f>IF(ISNUMBER(S170),S170+N(S173),"")</f>
        <v>285.944</v>
      </c>
      <c r="T174" s="285">
        <f>IF(ISNUMBER(T170),T170+N(T173),"")</f>
        <v>244.09</v>
      </c>
      <c r="U174" s="285">
        <f>IF(ISNUMBER(U170),U170+N(U173),"")</f>
        <v>231.45</v>
      </c>
      <c r="V174" s="285">
        <f>IF(ISNUMBER(V170),V170+N(V173),"")</f>
        <v>1014.065</v>
      </c>
      <c r="W174" s="285">
        <f>IF(ISNUMBER(W170),W170+N(W173),"")</f>
        <v>306.986</v>
      </c>
      <c r="X174" s="285">
        <f>IF(ISNUMBER(X170),X170+N(X173),"")</f>
        <v>290.631</v>
      </c>
      <c r="Y174" s="285">
        <f>IF(ISNUMBER(Y170),Y170+N(Y173),"")</f>
        <v>290.623</v>
      </c>
      <c r="Z174" s="285">
        <f>IF(ISNUMBER(Z170),Z170+N(Z173),"")</f>
        <v>286.824</v>
      </c>
      <c r="AA174" s="285">
        <f>IF(ISNUMBER(AA170),AA170+N(AA173),"")</f>
        <v>1175.064</v>
      </c>
      <c r="AB174" s="285">
        <f>IF(ISNUMBER(AB170),AB170+N(AB173),"")</f>
        <v>301.963</v>
      </c>
      <c r="AC174" s="285">
        <f>IF(ISNUMBER(AC170),AC170+N(AC173),"")</f>
        <v>363.95</v>
      </c>
      <c r="AD174" s="285">
        <f>IF(ISNUMBER(AD170),AD170+N(AD173),"")</f>
        <v>331.721</v>
      </c>
      <c r="AE174" s="285">
        <f>IF(ISNUMBER(AE170),AE170+N(AE173),"")</f>
        <v>316</v>
      </c>
      <c r="AF174" s="285">
        <f>IF(ISNUMBER(AF170),AF170+N(AF173),"")</f>
        <v>1315</v>
      </c>
      <c r="AG174" s="285">
        <f>IF(ISNUMBER(AG170),AG170+N(AG173),"")</f>
        <v>311</v>
      </c>
      <c r="AH174" s="285">
        <f>IF(ISNUMBER(AH170),AH170+N(AH173),"")</f>
        <v>324</v>
      </c>
      <c r="AI174" s="285">
        <f>IF(ISNUMBER(AI170),AI170+N(AI173),"")</f>
        <v>285</v>
      </c>
      <c r="AJ174" s="285">
        <f>IF(ISNUMBER(AJ170),AJ170+N(AJ173),"")</f>
        <v>309</v>
      </c>
      <c r="AK174" s="285">
        <f>IF(ISNUMBER(AK170),AK170+N(AK173),"")</f>
        <v>1229</v>
      </c>
      <c r="AL174" s="285">
        <f>IF(ISNUMBER(AL170),AL170+N(AL173),"")</f>
        <v>334</v>
      </c>
      <c r="AM174" s="285">
        <f>IF(ISNUMBER(AM170),AM170+N(AM173),"")</f>
        <v>333.081818889081</v>
      </c>
      <c r="AN174" s="285">
        <f>IF(ISNUMBER(AN170),AN170+N(AN173),"")</f>
        <v>300.189642495509</v>
      </c>
      <c r="AO174" s="285">
        <f>IF(ISNUMBER(AO170),AO170+N(AO173),"")</f>
        <v>324.926340813212</v>
      </c>
      <c r="AP174" s="285">
        <f>IF(ISNUMBER(AP170),AP170+N(AP173),"")</f>
        <v>1292.1978021978</v>
      </c>
      <c r="AQ174" s="285">
        <f>IF(ISNUMBER(AQ170),AQ170+N(AQ173),"")</f>
        <v>1363.95496322211</v>
      </c>
      <c r="AR174" s="285">
        <f>IF(ISNUMBER(AR170),AR170+N(AR173),"")</f>
        <v>1443.07858564967</v>
      </c>
      <c r="AS174" s="285">
        <f>IF(ISNUMBER(AS170),AS170+N(AS173),"")</f>
        <v>1531.82605260552</v>
      </c>
      <c r="AT174" s="285">
        <f>IF(ISNUMBER(AT170),AT170+N(AT173),"")</f>
        <v>1627.71714994962</v>
      </c>
      <c r="AU174" s="153" t="inlineStr">
        <is>
          <t>Company definition. Used for leverage (net debt / adjusted EBITDA, the company "net leverage ratio") and EV / EBITDA.</t>
        </is>
      </c>
      <c r="AW174" s="20">
        <f>IFERROR((AT174/AK174)^(1/5)-1,"n/m")</f>
        <v>0.0578045026063392</v>
      </c>
      <c r="AX174" s="20">
        <f>IFERROR((AK174/L174)^(1/5)-1,"n/m")</f>
        <v>0.0791659536631013</v>
      </c>
      <c r="AY174" s="20">
        <f>IFERROR((AK174/G174)^(1/10)-1,"n/m")</f>
        <v>0.0927727039345783</v>
      </c>
      <c r="AZ174" s="20">
        <f>IFERROR((AK174/C174)^(1/14)-1,"n/m")</f>
        <v>0.0681899220018383</v>
      </c>
    </row>
    <row r="175" ht="15" customHeight="1" s="251">
      <c r="B175" s="25" t="inlineStr">
        <is>
          <t xml:space="preserve">  Adjusted EBITDA margin on revenue %</t>
        </is>
      </c>
      <c r="C175" s="215">
        <f>IF(AND(ISNUMBER(C174),ISNUMBER(C120)),IFERROR(C174/C120,""),"")</f>
        <v>0.0832978052702596</v>
      </c>
      <c r="D175" s="215">
        <f>IF(AND(ISNUMBER(D174),ISNUMBER(D120)),IFERROR(D174/D120,""),"")</f>
        <v>0.091842754650482</v>
      </c>
      <c r="E175" s="215">
        <f>IF(AND(ISNUMBER(E174),ISNUMBER(E120)),IFERROR(E174/E120,""),"")</f>
        <v>0.0974743428770329</v>
      </c>
      <c r="F175" s="215">
        <f>IF(AND(ISNUMBER(F174),ISNUMBER(F120)),IFERROR(F174/F120,""),"")</f>
        <v>0.0992500146925837</v>
      </c>
      <c r="G175" s="215">
        <f>IF(AND(ISNUMBER(G174),ISNUMBER(G120)),IFERROR(G174/G120,""),"")</f>
        <v>0.0936264391651982</v>
      </c>
      <c r="H175" s="215">
        <f>IF(AND(ISNUMBER(H174),ISNUMBER(H120)),IFERROR(H174/H120,""),"")</f>
        <v>0.0942657182177853</v>
      </c>
      <c r="I175" s="215">
        <f>IF(AND(ISNUMBER(I174),ISNUMBER(I120)),IFERROR(I174/I120,""),"")</f>
        <v>0.0947593858764945</v>
      </c>
      <c r="J175" s="215">
        <f>IF(AND(ISNUMBER(J174),ISNUMBER(J120)),IFERROR(J174/J120,""),"")</f>
        <v>0.100630262034652</v>
      </c>
      <c r="K175" s="215">
        <f>IF(AND(ISNUMBER(K174),ISNUMBER(K120)),IFERROR(K174/K120,""),"")</f>
        <v>0.101030287220749</v>
      </c>
      <c r="L175" s="215">
        <f>IF(AND(ISNUMBER(L174),ISNUMBER(L120)),IFERROR(L174/L120,""),"")</f>
        <v>0.106843189245163</v>
      </c>
      <c r="M175" s="215">
        <f>IF(AND(ISNUMBER(M174),ISNUMBER(M120)),IFERROR(M174/M120,""),"")</f>
        <v>0.119724031279002</v>
      </c>
      <c r="N175" s="215">
        <f>IF(AND(ISNUMBER(N174),ISNUMBER(N120)),IFERROR(N174/N120,""),"")</f>
        <v>0.128036151294516</v>
      </c>
      <c r="O175" s="215">
        <f>IF(AND(ISNUMBER(O174),ISNUMBER(O120)),IFERROR(O174/O120,""),"")</f>
        <v>0.109397592734866</v>
      </c>
      <c r="P175" s="215">
        <f>IF(AND(ISNUMBER(P174),ISNUMBER(P120)),IFERROR(P174/P120,""),"")</f>
        <v>0.0915978724583079</v>
      </c>
      <c r="Q175" s="215">
        <f>IF(AND(ISNUMBER(Q174),ISNUMBER(Q120)),IFERROR(Q174/Q120,""),"")</f>
        <v>0.111783660341715</v>
      </c>
      <c r="R175" s="215">
        <f>IF(AND(ISNUMBER(R174),ISNUMBER(R120)),IFERROR(R174/R120,""),"")</f>
        <v>0.112278182788051</v>
      </c>
      <c r="S175" s="215">
        <f>IF(AND(ISNUMBER(S174),ISNUMBER(S120)),IFERROR(S174/S120,""),"")</f>
        <v>0.124378853889732</v>
      </c>
      <c r="T175" s="215">
        <f>IF(AND(ISNUMBER(T174),ISNUMBER(T120)),IFERROR(T174/T120,""),"")</f>
        <v>0.107194583926565</v>
      </c>
      <c r="U175" s="215">
        <f>IF(AND(ISNUMBER(U174),ISNUMBER(U120)),IFERROR(U174/U120,""),"")</f>
        <v>0.0951192658740678</v>
      </c>
      <c r="V175" s="215">
        <f>IF(AND(ISNUMBER(V174),ISNUMBER(V120)),IFERROR(V174/V120,""),"")</f>
        <v>0.109523139384319</v>
      </c>
      <c r="W175" s="215">
        <f>IF(AND(ISNUMBER(W174),ISNUMBER(W120)),IFERROR(W174/W120,""),"")</f>
        <v>0.115648001157286</v>
      </c>
      <c r="X175" s="215">
        <f>IF(AND(ISNUMBER(X174),ISNUMBER(X120)),IFERROR(X174/X120,""),"")</f>
        <v>0.109002348588784</v>
      </c>
      <c r="Y175" s="215">
        <f>IF(AND(ISNUMBER(Y174),ISNUMBER(Y120)),IFERROR(Y174/Y120,""),"")</f>
        <v>0.113091636278451</v>
      </c>
      <c r="Z175" s="215">
        <f>IF(AND(ISNUMBER(Z174),ISNUMBER(Z120)),IFERROR(Z174/Z120,""),"")</f>
        <v>0.103496988987586</v>
      </c>
      <c r="AA175" s="215">
        <f>IF(AND(ISNUMBER(AA174),ISNUMBER(AA120)),IFERROR(AA174/AA120,""),"")</f>
        <v>0.11021154211221</v>
      </c>
      <c r="AB175" s="215">
        <f>IF(AND(ISNUMBER(AB174),ISNUMBER(AB120)),IFERROR(AB174/AB120,""),"")</f>
        <v>0.102645763796754</v>
      </c>
      <c r="AC175" s="215">
        <f>IF(AND(ISNUMBER(AC174),ISNUMBER(AC120)),IFERROR(AC174/AC120,""),"")</f>
        <v>0.115672393660536</v>
      </c>
      <c r="AD175" s="215">
        <f>IF(AND(ISNUMBER(AD174),ISNUMBER(AD120)),IFERROR(AD174/AD120,""),"")</f>
        <v>0.11371251101231</v>
      </c>
      <c r="AE175" s="215">
        <f>IF(AND(ISNUMBER(AE174),ISNUMBER(AE120)),IFERROR(AE174/AE120,""),"")</f>
        <v>0.106254203093477</v>
      </c>
      <c r="AF175" s="215">
        <f>IF(AND(ISNUMBER(AF174),ISNUMBER(AF120)),IFERROR(AF174/AF120,""),"")</f>
        <v>0.109766277128548</v>
      </c>
      <c r="AG175" s="215">
        <f>IF(AND(ISNUMBER(AG174),ISNUMBER(AG120)),IFERROR(AG174/AG120,""),"")</f>
        <v>0.106361149110807</v>
      </c>
      <c r="AH175" s="215">
        <f>IF(AND(ISNUMBER(AH174),ISNUMBER(AH120)),IFERROR(AH174/AH120,""),"")</f>
        <v>0.112110726643599</v>
      </c>
      <c r="AI175" s="215">
        <f>IF(AND(ISNUMBER(AI174),ISNUMBER(AI120)),IFERROR(AI174/AI120,""),"")</f>
        <v>0.108778625954198</v>
      </c>
      <c r="AJ175" s="215">
        <f>IF(AND(ISNUMBER(AJ174),ISNUMBER(AJ120)),IFERROR(AJ174/AJ120,""),"")</f>
        <v>0.11103126122889</v>
      </c>
      <c r="AK175" s="215">
        <f>IF(AND(ISNUMBER(AK174),ISNUMBER(AK120)),IFERROR(AK174/AK120,""),"")</f>
        <v>0.109565837567977</v>
      </c>
      <c r="AL175" s="215">
        <f>IF(AND(ISNUMBER(AL174),ISNUMBER(AL120)),IFERROR(AL174/AL120,""),"")</f>
        <v>0.119285714285714</v>
      </c>
      <c r="AM175" s="256">
        <f>IF(AND(ISNUMBER(AM174),ISNUMBER(AM120)),IFERROR(AM174/AM120,""),"")</f>
        <v>0.109919597851278</v>
      </c>
      <c r="AN175" s="256">
        <f>IF(AND(ISNUMBER(AN174),ISNUMBER(AN120)),IFERROR(AN174/AN120,""),"")</f>
        <v>0.108050461380819</v>
      </c>
      <c r="AO175" s="256">
        <f>IF(AND(ISNUMBER(AO174),ISNUMBER(AO120)),IFERROR(AO174/AO120,""),"")</f>
        <v>0.110132420709351</v>
      </c>
      <c r="AP175" s="256">
        <f>IF(AND(ISNUMBER(AP174),ISNUMBER(AP120)),IFERROR(AP174/AP120,""),"")</f>
        <v>0.111793506678709</v>
      </c>
      <c r="AQ175" s="256">
        <f>IF(AND(ISNUMBER(AQ174),ISNUMBER(AQ120)),IFERROR(AQ174/AQ120,""),"")</f>
        <v>0.114421555483612</v>
      </c>
      <c r="AR175" s="256">
        <f>IF(AND(ISNUMBER(AR174),ISNUMBER(AR120)),IFERROR(AR174/AR120,""),"")</f>
        <v>0.115679530719959</v>
      </c>
      <c r="AS175" s="256">
        <f>IF(AND(ISNUMBER(AS174),ISNUMBER(AS120)),IFERROR(AS174/AS120,""),"")</f>
        <v>0.116857177364303</v>
      </c>
      <c r="AT175" s="256">
        <f>IF(AND(ISNUMBER(AT174),ISNUMBER(AT120)),IFERROR(AT174/AT120,""),"")</f>
        <v>0.11797312575698</v>
      </c>
      <c r="AU175" s="153" t="n"/>
      <c r="AW175" s="37">
        <f>IFERROR(AVERAGE(AP175,AQ175,AR175,AS175,AT175),"n/m")</f>
        <v>0.115344979200713</v>
      </c>
      <c r="AX175" s="37">
        <f>IFERROR(AVERAGE(Q175,V175,AA175,AF175,AK175),"n/m")</f>
        <v>0.110170091306954</v>
      </c>
      <c r="AY175" s="37">
        <f>IFERROR(AVERAGE(H175,I175,J175,K175,L175,Q175,V175,AA175,AF175,AK175),"n/m")</f>
        <v>0.104837929912961</v>
      </c>
      <c r="AZ175" s="37">
        <f>IFERROR(AVERAGE(C175,D175,E175,F175,G175,H175,I175,J175,K175,L175,Q175,V175,AA175,AF175,AK175),"n/m")</f>
        <v>0.100924710385678</v>
      </c>
    </row>
    <row r="176" ht="15" customHeight="1" s="251">
      <c r="B176" s="25" t="inlineStr">
        <is>
          <t xml:space="preserve">  Adjusted EBITDA margin on revenue ex-billable expenses %</t>
        </is>
      </c>
      <c r="C176" s="215">
        <f>IF(AND(ISNUMBER(C174),ISNUMBER(C186)),IFERROR(C174/C186,""),"")</f>
        <v>0.113071182532835</v>
      </c>
      <c r="D176" s="215">
        <f>IF(AND(ISNUMBER(D174),ISNUMBER(D186)),IFERROR(D174/D186,""),"")</f>
        <v>0.125154391145693</v>
      </c>
      <c r="E176" s="215">
        <f>IF(AND(ISNUMBER(E174),ISNUMBER(E186)),IFERROR(E174/E186,""),"")</f>
        <v>0.133789694201141</v>
      </c>
      <c r="F176" s="215">
        <f>IF(AND(ISNUMBER(F174),ISNUMBER(F186)),IFERROR(F174/F186,""),"")</f>
        <v>0.135338188423013</v>
      </c>
      <c r="G176" s="215">
        <f>IF(AND(ISNUMBER(G174),ISNUMBER(G186)),IFERROR(G174/G186,""),"")</f>
        <v>0.130019228521408</v>
      </c>
      <c r="H176" s="215">
        <f>IF(AND(ISNUMBER(H174),ISNUMBER(H186)),IFERROR(H174/H186,""),"")</f>
        <v>0.134990638277295</v>
      </c>
      <c r="I176" s="215">
        <f>IF(AND(ISNUMBER(I174),ISNUMBER(I186)),IFERROR(I174/I186,""),"")</f>
        <v>0.13567693707124</v>
      </c>
      <c r="J176" s="215">
        <f>IF(AND(ISNUMBER(J174),ISNUMBER(J186)),IFERROR(J174/J186,""),"")</f>
        <v>0.143557236252581</v>
      </c>
      <c r="K176" s="215">
        <f>IF(AND(ISNUMBER(K174),ISNUMBER(K186)),IFERROR(K174/K186,""),"")</f>
        <v>0.145984805131346</v>
      </c>
      <c r="L176" s="215">
        <f>IF(AND(ISNUMBER(L174),ISNUMBER(L186)),IFERROR(L174/L186,""),"")</f>
        <v>0.151756083895862</v>
      </c>
      <c r="M176" s="215">
        <f>IF(AND(ISNUMBER(M174),ISNUMBER(M186)),IFERROR(M174/M186,""),"")</f>
        <v>0.166121738014302</v>
      </c>
      <c r="N176" s="215">
        <f>IF(AND(ISNUMBER(N174),ISNUMBER(N186)),IFERROR(N174/N186,""),"")</f>
        <v>0.183945486718902</v>
      </c>
      <c r="O176" s="215">
        <f>IF(AND(ISNUMBER(O174),ISNUMBER(O186)),IFERROR(O174/O186,""),"")</f>
        <v>0.157657011859727</v>
      </c>
      <c r="P176" s="215">
        <f>IF(AND(ISNUMBER(P174),ISNUMBER(P186)),IFERROR(P174/P186,""),"")</f>
        <v>0.129656169519482</v>
      </c>
      <c r="Q176" s="215">
        <f>IF(AND(ISNUMBER(Q174),ISNUMBER(Q186)),IFERROR(Q174/Q186,""),"")</f>
        <v>0.158743378299517</v>
      </c>
      <c r="R176" s="215">
        <f>IF(AND(ISNUMBER(R174),ISNUMBER(R186)),IFERROR(R174/R186,""),"")</f>
        <v>0.160334887712701</v>
      </c>
      <c r="S176" s="215">
        <f>IF(AND(ISNUMBER(S174),ISNUMBER(S186)),IFERROR(S174/S186,""),"")</f>
        <v>0.177160966150053</v>
      </c>
      <c r="T176" s="215">
        <f>IF(AND(ISNUMBER(T174),ISNUMBER(T186)),IFERROR(T174/T186,""),"")</f>
        <v>0.155813929735954</v>
      </c>
      <c r="U176" s="215">
        <f>IF(AND(ISNUMBER(U174),ISNUMBER(U186)),IFERROR(U174/U186,""),"")</f>
        <v>0.136618230993125</v>
      </c>
      <c r="V176" s="215">
        <f>IF(AND(ISNUMBER(V174),ISNUMBER(V186)),IFERROR(V174/V186,""),"")</f>
        <v>0.157218063600708</v>
      </c>
      <c r="W176" s="215">
        <f>IF(AND(ISNUMBER(W174),ISNUMBER(W186)),IFERROR(W174/W186,""),"")</f>
        <v>0.166642601002507</v>
      </c>
      <c r="X176" s="215">
        <f>IF(AND(ISNUMBER(X174),ISNUMBER(X186)),IFERROR(X174/X186,""),"")</f>
        <v>0.157823484627156</v>
      </c>
      <c r="Y176" s="215">
        <f>IF(AND(ISNUMBER(Y174),ISNUMBER(Y186)),IFERROR(Y174/Y186,""),"")</f>
        <v>0.164202598444549</v>
      </c>
      <c r="Z176" s="215">
        <f>IF(AND(ISNUMBER(Z174),ISNUMBER(Z186)),IFERROR(Z174/Z186,""),"")</f>
        <v>0.148880453497178</v>
      </c>
      <c r="AA176" s="215">
        <f>IF(AND(ISNUMBER(AA174),ISNUMBER(AA186)),IFERROR(AA174/AA186,""),"")</f>
        <v>0.159220175281703</v>
      </c>
      <c r="AB176" s="215">
        <f>IF(AND(ISNUMBER(AB174),ISNUMBER(AB186)),IFERROR(AB174/AB186,""),"")</f>
        <v>0.151222245815338</v>
      </c>
      <c r="AC176" s="215">
        <f>IF(AND(ISNUMBER(AC174),ISNUMBER(AC186)),IFERROR(AC174/AC186,""),"")</f>
        <v>0.167074924117365</v>
      </c>
      <c r="AD176" s="215">
        <f>IF(AND(ISNUMBER(AD174),ISNUMBER(AD186)),IFERROR(AD174/AD186,""),"")</f>
        <v>0.167649657141009</v>
      </c>
      <c r="AE176" s="215">
        <f>IF(AND(ISNUMBER(AE174),ISNUMBER(AE186)),IFERROR(AE174/AE186,""),"")</f>
        <v>0.1544477028348</v>
      </c>
      <c r="AF176" s="215">
        <f>IF(AND(ISNUMBER(AF174),ISNUMBER(AF186)),IFERROR(AF174/AF186,""),"")</f>
        <v>0.160365853658537</v>
      </c>
      <c r="AG176" s="215">
        <f>IF(AND(ISNUMBER(AG174),ISNUMBER(AG186)),IFERROR(AG174/AG186,""),"")</f>
        <v>0.152227116984826</v>
      </c>
      <c r="AH176" s="215">
        <f>IF(AND(ISNUMBER(AH174),ISNUMBER(AH186)),IFERROR(AH174/AH186,""),"")</f>
        <v>0.164300202839757</v>
      </c>
      <c r="AI176" s="215">
        <f>IF(AND(ISNUMBER(AI174),ISNUMBER(AI186)),IFERROR(AI174/AI186,""),"")</f>
        <v>0.154387865655471</v>
      </c>
      <c r="AJ176" s="215">
        <f>IF(AND(ISNUMBER(AJ174),ISNUMBER(AJ186)),IFERROR(AJ174/AJ186,""),"")</f>
        <v>0.16211962224554</v>
      </c>
      <c r="AK176" s="215">
        <f>IF(AND(ISNUMBER(AK174),ISNUMBER(AK186)),IFERROR(AK174/AK186,""),"")</f>
        <v>0.15823355220806</v>
      </c>
      <c r="AL176" s="215">
        <f>IF(AND(ISNUMBER(AL174),ISNUMBER(AL186)),IFERROR(AL174/AL186,""),"")</f>
        <v>0.169974554707379</v>
      </c>
      <c r="AM176" s="256">
        <f>IF(AND(ISNUMBER(AM174),ISNUMBER(AM186)),IFERROR(AM174/AM186,""),"")</f>
        <v>0.160363969537153</v>
      </c>
      <c r="AN176" s="256">
        <f>IF(AND(ISNUMBER(AN174),ISNUMBER(AN186)),IFERROR(AN174/AN186,""),"")</f>
        <v>0.152685792953556</v>
      </c>
      <c r="AO176" s="256">
        <f>IF(AND(ISNUMBER(AO174),ISNUMBER(AO186)),IFERROR(AO174/AO186,""),"")</f>
        <v>0.160086025221097</v>
      </c>
      <c r="AP176" s="256">
        <f>IF(AND(ISNUMBER(AP174),ISNUMBER(AP186)),IFERROR(AP174/AP186,""),"")</f>
        <v>0.160765185256944</v>
      </c>
      <c r="AQ176" s="256">
        <f>IF(AND(ISNUMBER(AQ174),ISNUMBER(AQ186)),IFERROR(AQ174/AQ186,""),"")</f>
        <v>0.164635331631096</v>
      </c>
      <c r="AR176" s="256">
        <f>IF(AND(ISNUMBER(AR174),ISNUMBER(AR186)),IFERROR(AR174/AR186,""),"")</f>
        <v>0.166445367942388</v>
      </c>
      <c r="AS176" s="256">
        <f>IF(AND(ISNUMBER(AS174),ISNUMBER(AS186)),IFERROR(AS174/AS186,""),"")</f>
        <v>0.168139823545759</v>
      </c>
      <c r="AT176" s="256">
        <f>IF(AND(ISNUMBER(AT174),ISNUMBER(AT186)),IFERROR(AT174/AT186,""),"")</f>
        <v>0.169745504686303</v>
      </c>
      <c r="AU176" s="153" t="n"/>
      <c r="AW176" s="37">
        <f>IFERROR(AVERAGE(AP176,AQ176,AR176,AS176,AT176),"n/m")</f>
        <v>0.165946242612498</v>
      </c>
      <c r="AX176" s="37">
        <f>IFERROR(AVERAGE(Q176,V176,AA176,AF176,AK176),"n/m")</f>
        <v>0.158756204609705</v>
      </c>
      <c r="AY176" s="37">
        <f>IFERROR(AVERAGE(H176,I176,J176,K176,L176,Q176,V176,AA176,AF176,AK176),"n/m")</f>
        <v>0.150574672367685</v>
      </c>
      <c r="AZ176" s="37">
        <f>IFERROR(AVERAGE(C176,D176,E176,F176,G176,H176,I176,J176,K176,L176,Q176,V176,AA176,AF176,AK176),"n/m")</f>
        <v>0.142874627233396</v>
      </c>
    </row>
    <row r="177" ht="15" customHeight="1" s="251">
      <c r="B177" s="156" t="inlineStr">
        <is>
          <t xml:space="preserve">  Company-published adjusted EBITDA</t>
        </is>
      </c>
      <c r="C177" s="253" t="n">
        <v>488.06</v>
      </c>
      <c r="D177" s="253" t="n">
        <v>528.836</v>
      </c>
      <c r="E177" s="253" t="n">
        <v>534.032</v>
      </c>
      <c r="F177" s="253" t="n">
        <v>523.521</v>
      </c>
      <c r="G177" s="253" t="n">
        <v>506.12</v>
      </c>
      <c r="H177" s="253" t="n">
        <v>547.145</v>
      </c>
      <c r="I177" s="253" t="n">
        <v>584.841</v>
      </c>
      <c r="J177" s="253" t="n">
        <v>674.629</v>
      </c>
      <c r="K177" s="253" t="n">
        <v>754.074</v>
      </c>
      <c r="L177" s="253" t="n">
        <v>839.674</v>
      </c>
      <c r="M177" s="253" t="n">
        <v>238.139</v>
      </c>
      <c r="N177" s="253" t="n">
        <v>269.649</v>
      </c>
      <c r="O177" s="253" t="n">
        <v>222.134</v>
      </c>
      <c r="P177" s="253" t="n">
        <v>205.003</v>
      </c>
      <c r="Q177" s="253" t="n">
        <v>934.925</v>
      </c>
      <c r="R177" s="253" t="n">
        <v>252.581</v>
      </c>
      <c r="S177" s="253" t="n">
        <v>285.944</v>
      </c>
      <c r="T177" s="253" t="n">
        <v>244.09</v>
      </c>
      <c r="U177" s="253" t="n">
        <v>231.45</v>
      </c>
      <c r="V177" s="253" t="n">
        <v>1014.065</v>
      </c>
      <c r="W177" s="253" t="n">
        <v>306.986</v>
      </c>
      <c r="X177" s="253" t="n">
        <v>290.631</v>
      </c>
      <c r="Y177" s="253" t="n">
        <v>290.623</v>
      </c>
      <c r="Z177" s="253" t="n">
        <v>286.824</v>
      </c>
      <c r="AA177" s="253" t="n">
        <v>1175.064</v>
      </c>
      <c r="AB177" s="253" t="n">
        <v>301.963</v>
      </c>
      <c r="AC177" s="253" t="n">
        <v>363.95</v>
      </c>
      <c r="AD177" s="253" t="n">
        <v>331.721</v>
      </c>
      <c r="AE177" s="253" t="n">
        <v>316</v>
      </c>
      <c r="AF177" s="253" t="n">
        <v>1315</v>
      </c>
      <c r="AG177" s="253" t="n">
        <v>311</v>
      </c>
      <c r="AH177" s="253" t="n">
        <v>324</v>
      </c>
      <c r="AI177" s="253" t="n">
        <v>285</v>
      </c>
      <c r="AJ177" s="253" t="n">
        <v>309</v>
      </c>
      <c r="AK177" s="253" t="n">
        <v>1229</v>
      </c>
      <c r="AL177" s="253" t="n">
        <v>334</v>
      </c>
      <c r="AM177" s="153" t="n"/>
      <c r="AN177" s="153" t="n"/>
      <c r="AO177" s="153" t="n"/>
      <c r="AP177" s="153" t="n"/>
      <c r="AQ177" s="153" t="n"/>
      <c r="AR177" s="153" t="n"/>
      <c r="AS177" s="153" t="n"/>
      <c r="AT177" s="153" t="n"/>
      <c r="AU177" s="153" t="n"/>
    </row>
    <row r="178" ht="15" customHeight="1" s="251">
      <c r="B178" s="57" t="inlineStr">
        <is>
          <t xml:space="preserve">  Check: model vs company-published adjusted EBITDA (should be 0; ±0.15, ±0.6 from Q4 FY25)</t>
        </is>
      </c>
      <c r="C178" s="260">
        <f>IF(AND(ISNUMBER(C177),ISNUMBER(C174)),IF(ABS(C174-C177)&lt;=0.15,0,ROUND(C174-C177,1)),"n/p")</f>
        <v>0</v>
      </c>
      <c r="D178" s="260">
        <f>IF(AND(ISNUMBER(D177),ISNUMBER(D174)),IF(ABS(D174-D177)&lt;=0.15,0,ROUND(D174-D177,1)),"n/p")</f>
        <v>0</v>
      </c>
      <c r="E178" s="260">
        <f>IF(AND(ISNUMBER(E177),ISNUMBER(E174)),IF(ABS(E174-E177)&lt;=0.15,0,ROUND(E174-E177,1)),"n/p")</f>
        <v>0</v>
      </c>
      <c r="F178" s="260">
        <f>IF(AND(ISNUMBER(F177),ISNUMBER(F174)),IF(ABS(F174-F177)&lt;=0.15,0,ROUND(F174-F177,1)),"n/p")</f>
        <v>0</v>
      </c>
      <c r="G178" s="260">
        <f>IF(AND(ISNUMBER(G177),ISNUMBER(G174)),IF(ABS(G174-G177)&lt;=0.15,0,ROUND(G174-G177,1)),"n/p")</f>
        <v>0</v>
      </c>
      <c r="H178" s="260">
        <f>IF(AND(ISNUMBER(H177),ISNUMBER(H174)),IF(ABS(H174-H177)&lt;=0.15,0,ROUND(H174-H177,1)),"n/p")</f>
        <v>0</v>
      </c>
      <c r="I178" s="260">
        <f>IF(AND(ISNUMBER(I177),ISNUMBER(I174)),IF(ABS(I174-I177)&lt;=0.15,0,ROUND(I174-I177,1)),"n/p")</f>
        <v>0</v>
      </c>
      <c r="J178" s="260">
        <f>IF(AND(ISNUMBER(J177),ISNUMBER(J174)),IF(ABS(J174-J177)&lt;=0.15,0,ROUND(J174-J177,1)),"n/p")</f>
        <v>0</v>
      </c>
      <c r="K178" s="260">
        <f>IF(AND(ISNUMBER(K177),ISNUMBER(K174)),IF(ABS(K174-K177)&lt;=0.15,0,ROUND(K174-K177,1)),"n/p")</f>
        <v>0</v>
      </c>
      <c r="L178" s="260">
        <f>IF(AND(ISNUMBER(L177),ISNUMBER(L174)),IF(ABS(L174-L177)&lt;=0.15,0,ROUND(L174-L177,1)),"n/p")</f>
        <v>0</v>
      </c>
      <c r="M178" s="260">
        <f>IF(AND(ISNUMBER(M177),ISNUMBER(M174)),IF(ABS(M174-M177)&lt;=0.15,0,ROUND(M174-M177,1)),"n/p")</f>
        <v>0</v>
      </c>
      <c r="N178" s="260">
        <f>IF(AND(ISNUMBER(N177),ISNUMBER(N174)),IF(ABS(N174-N177)&lt;=0.15,0,ROUND(N174-N177,1)),"n/p")</f>
        <v>0</v>
      </c>
      <c r="O178" s="260">
        <f>IF(AND(ISNUMBER(O177),ISNUMBER(O174)),IF(ABS(O174-O177)&lt;=0.15,0,ROUND(O174-O177,1)),"n/p")</f>
        <v>0</v>
      </c>
      <c r="P178" s="260">
        <f>IF(AND(ISNUMBER(P177),ISNUMBER(P174)),IF(ABS(P174-P177)&lt;=0.15,0,ROUND(P174-P177,1)),"n/p")</f>
        <v>0</v>
      </c>
      <c r="Q178" s="260">
        <f>IF(AND(ISNUMBER(Q177),ISNUMBER(Q174)),IF(ABS(Q174-Q177)&lt;=0.15,0,ROUND(Q174-Q177,1)),"n/p")</f>
        <v>0</v>
      </c>
      <c r="R178" s="260">
        <f>IF(AND(ISNUMBER(R177),ISNUMBER(R174)),IF(ABS(R174-R177)&lt;=0.15,0,ROUND(R174-R177,1)),"n/p")</f>
        <v>0</v>
      </c>
      <c r="S178" s="260">
        <f>IF(AND(ISNUMBER(S177),ISNUMBER(S174)),IF(ABS(S174-S177)&lt;=0.15,0,ROUND(S174-S177,1)),"n/p")</f>
        <v>0</v>
      </c>
      <c r="T178" s="260">
        <f>IF(AND(ISNUMBER(T177),ISNUMBER(T174)),IF(ABS(T174-T177)&lt;=0.15,0,ROUND(T174-T177,1)),"n/p")</f>
        <v>0</v>
      </c>
      <c r="U178" s="260">
        <f>IF(AND(ISNUMBER(U177),ISNUMBER(U174)),IF(ABS(U174-U177)&lt;=0.15,0,ROUND(U174-U177,1)),"n/p")</f>
        <v>0</v>
      </c>
      <c r="V178" s="260">
        <f>IF(AND(ISNUMBER(V177),ISNUMBER(V174)),IF(ABS(V174-V177)&lt;=0.15,0,ROUND(V174-V177,1)),"n/p")</f>
        <v>0</v>
      </c>
      <c r="W178" s="260">
        <f>IF(AND(ISNUMBER(W177),ISNUMBER(W174)),IF(ABS(W174-W177)&lt;=0.15,0,ROUND(W174-W177,1)),"n/p")</f>
        <v>0</v>
      </c>
      <c r="X178" s="260">
        <f>IF(AND(ISNUMBER(X177),ISNUMBER(X174)),IF(ABS(X174-X177)&lt;=0.15,0,ROUND(X174-X177,1)),"n/p")</f>
        <v>0</v>
      </c>
      <c r="Y178" s="260">
        <f>IF(AND(ISNUMBER(Y177),ISNUMBER(Y174)),IF(ABS(Y174-Y177)&lt;=0.15,0,ROUND(Y174-Y177,1)),"n/p")</f>
        <v>0</v>
      </c>
      <c r="Z178" s="260">
        <f>IF(AND(ISNUMBER(Z177),ISNUMBER(Z174)),IF(ABS(Z174-Z177)&lt;=0.15,0,ROUND(Z174-Z177,1)),"n/p")</f>
        <v>0</v>
      </c>
      <c r="AA178" s="260">
        <f>IF(AND(ISNUMBER(AA177),ISNUMBER(AA174)),IF(ABS(AA174-AA177)&lt;=0.15,0,ROUND(AA174-AA177,1)),"n/p")</f>
        <v>0</v>
      </c>
      <c r="AB178" s="260">
        <f>IF(AND(ISNUMBER(AB177),ISNUMBER(AB174)),IF(ABS(AB174-AB177)&lt;=0.15,0,ROUND(AB174-AB177,1)),"n/p")</f>
        <v>0</v>
      </c>
      <c r="AC178" s="260">
        <f>IF(AND(ISNUMBER(AC177),ISNUMBER(AC174)),IF(ABS(AC174-AC177)&lt;=0.15,0,ROUND(AC174-AC177,1)),"n/p")</f>
        <v>0</v>
      </c>
      <c r="AD178" s="260">
        <f>IF(AND(ISNUMBER(AD177),ISNUMBER(AD174)),IF(ABS(AD174-AD177)&lt;=0.15,0,ROUND(AD174-AD177,1)),"n/p")</f>
        <v>0</v>
      </c>
      <c r="AE178" s="260">
        <f>IF(AND(ISNUMBER(AE177),ISNUMBER(AE174)),IF(ABS(AE174-AE177)&lt;=0.6,0,ROUND(AE174-AE177,1)),"n/p")</f>
        <v>0</v>
      </c>
      <c r="AF178" s="260">
        <f>IF(AND(ISNUMBER(AF177),ISNUMBER(AF174)),IF(ABS(AF174-AF177)&lt;=0.6,0,ROUND(AF174-AF177,1)),"n/p")</f>
        <v>0</v>
      </c>
      <c r="AG178" s="260">
        <f>IF(AND(ISNUMBER(AG177),ISNUMBER(AG174)),IF(ABS(AG174-AG177)&lt;=0.6,0,ROUND(AG174-AG177,1)),"n/p")</f>
        <v>0</v>
      </c>
      <c r="AH178" s="260">
        <f>IF(AND(ISNUMBER(AH177),ISNUMBER(AH174)),IF(ABS(AH174-AH177)&lt;=0.6,0,ROUND(AH174-AH177,1)),"n/p")</f>
        <v>0</v>
      </c>
      <c r="AI178" s="260">
        <f>IF(AND(ISNUMBER(AI177),ISNUMBER(AI174)),IF(ABS(AI174-AI177)&lt;=0.6,0,ROUND(AI174-AI177,1)),"n/p")</f>
        <v>0</v>
      </c>
      <c r="AJ178" s="260">
        <f>IF(AND(ISNUMBER(AJ177),ISNUMBER(AJ174)),IF(ABS(AJ174-AJ177)&lt;=0.6,0,ROUND(AJ174-AJ177,1)),"n/p")</f>
        <v>0</v>
      </c>
      <c r="AK178" s="260">
        <f>IF(AND(ISNUMBER(AK177),ISNUMBER(AK174)),IF(ABS(AK174-AK177)&lt;=0.6,0,ROUND(AK174-AK177,1)),"n/p")</f>
        <v>0</v>
      </c>
      <c r="AL178" s="260">
        <f>IF(AND(ISNUMBER(AL177),ISNUMBER(AL174)),IF(ABS(AL174-AL177)&lt;=0.6,0,ROUND(AL174-AL177,1)),"n/p")</f>
        <v>0</v>
      </c>
      <c r="AM178" s="153" t="n"/>
      <c r="AN178" s="153" t="n"/>
      <c r="AO178" s="153" t="n"/>
      <c r="AP178" s="153" t="n"/>
      <c r="AQ178" s="153" t="n"/>
      <c r="AR178" s="153" t="n"/>
      <c r="AS178" s="153" t="n"/>
      <c r="AT178" s="153" t="n"/>
      <c r="AU178" s="153" t="n"/>
    </row>
    <row r="179" ht="15" customHeight="1" s="251">
      <c r="B179" s="158" t="inlineStr">
        <is>
          <t xml:space="preserve">  Definition / basis (company adjusted EBITDA definition)</t>
        </is>
      </c>
      <c r="C179" s="296" t="inlineStr">
        <is>
          <t>Adjusted EBITDA = EBITDA + Carlyle option expense, transaction expenses, restructuring (FY2012–15)</t>
        </is>
      </c>
      <c r="I179" s="296" t="inlineStr">
        <is>
          <t>FY2018–21: transaction / acquisition costs, COVID-19 benefits</t>
        </is>
      </c>
      <c r="M179" s="296" t="inlineStr">
        <is>
          <t>FY2022+: acquisition &amp; divestiture costs, financing transaction costs, restructuring, legal matter reserve (FY2023–24), claimed-costs provision, DC tax, insurance recoveries</t>
        </is>
      </c>
      <c r="AG179" s="296" t="inlineStr">
        <is>
          <t>FY2026+: "other corporate expenses" (severance, divestiture and acquisition costs); EBITDA from net income before interest expense, net and other income (expense)</t>
        </is>
      </c>
      <c r="AM179" s="153" t="n"/>
      <c r="AN179" s="153" t="n"/>
      <c r="AO179" s="153" t="n"/>
      <c r="AP179" s="153" t="n"/>
      <c r="AQ179" s="153" t="n"/>
      <c r="AR179" s="153" t="n"/>
      <c r="AS179" s="153" t="n"/>
      <c r="AT179" s="153" t="n"/>
      <c r="AU179" s="19" t="n"/>
    </row>
    <row r="180" ht="15" customHeight="1" s="251">
      <c r="B180" s="25" t="inlineStr">
        <is>
          <t>To adjusted EBITA / EBIT (for NOPAT, ROIC and the DCF):</t>
        </is>
      </c>
      <c r="AU180" s="153" t="n"/>
    </row>
    <row r="181" ht="15" customHeight="1" s="251">
      <c r="B181" s="16" t="inlineStr">
        <is>
          <t xml:space="preserve">  = Adjusted EBITA (adjusted EBITDA − depreciation &amp; other amortization; before acquisition amortization)</t>
        </is>
      </c>
      <c r="C181" s="295">
        <f>IF(ISNUMBER(C174),C174-C104,"")</f>
        <v>429.219</v>
      </c>
      <c r="D181" s="295">
        <f>IF(ISNUMBER(D174),D174-D104,"")</f>
        <v>467.337</v>
      </c>
      <c r="E181" s="295">
        <f>IF(ISNUMBER(E174),E174-E104,"")</f>
        <v>470.155</v>
      </c>
      <c r="F181" s="295">
        <f>IF(ISNUMBER(F174),F174-F104,"")</f>
        <v>465.086</v>
      </c>
      <c r="G181" s="295">
        <f>IF(ISNUMBER(G174),G174-G104,"")</f>
        <v>448.809</v>
      </c>
      <c r="H181" s="295">
        <f>IF(ISNUMBER(H174),H174-H104,"")</f>
        <v>491.826</v>
      </c>
      <c r="I181" s="295">
        <f>IF(ISNUMBER(I174),I174-I104,"")</f>
        <v>520.085</v>
      </c>
      <c r="J181" s="295">
        <f>IF(ISNUMBER(J174),J174-J104,"")</f>
        <v>606.054</v>
      </c>
      <c r="K181" s="295">
        <f>IF(ISNUMBER(K174),K174-K104,"")</f>
        <v>672.993</v>
      </c>
      <c r="L181" s="295">
        <f>IF(ISNUMBER(L174),L174-L104,"")</f>
        <v>755.359</v>
      </c>
      <c r="M181" s="295">
        <f>IF(ISNUMBER(M174),M174-M104,"")</f>
        <v>213.052</v>
      </c>
      <c r="N181" s="295">
        <f>IF(ISNUMBER(N174),N174-N104,"")</f>
        <v>243.915</v>
      </c>
      <c r="O181" s="295">
        <f>IF(ISNUMBER(O174),O174-O104,"")</f>
        <v>194.442</v>
      </c>
      <c r="P181" s="295">
        <f>IF(ISNUMBER(P174),P174-P104,"")</f>
        <v>176.064</v>
      </c>
      <c r="Q181" s="295">
        <f>IF(ISNUMBER(Q174),Q174-Q104,"")</f>
        <v>827.473</v>
      </c>
      <c r="R181" s="295">
        <f>IF(ISNUMBER(R174),R174-R104,"")</f>
        <v>223.566</v>
      </c>
      <c r="S181" s="295">
        <f>IF(ISNUMBER(S174),S174-S104,"")</f>
        <v>257.979</v>
      </c>
      <c r="T181" s="295">
        <f>IF(ISNUMBER(T174),T174-T104,"")</f>
        <v>216.145</v>
      </c>
      <c r="U181" s="295">
        <f>IF(ISNUMBER(U174),U174-U104,"")</f>
        <v>202.444</v>
      </c>
      <c r="V181" s="295">
        <f>IF(ISNUMBER(V174),V174-V104,"")</f>
        <v>900.134</v>
      </c>
      <c r="W181" s="295">
        <f>IF(ISNUMBER(W174),W174-W104,"")</f>
        <v>278.247</v>
      </c>
      <c r="X181" s="295">
        <f>IF(ISNUMBER(X174),X174-X104,"")</f>
        <v>263.32</v>
      </c>
      <c r="Y181" s="295">
        <f>IF(ISNUMBER(Y174),Y174-Y104,"")</f>
        <v>263.107</v>
      </c>
      <c r="Z181" s="295">
        <f>IF(ISNUMBER(Z174),Z174-Z104,"")</f>
        <v>260.085</v>
      </c>
      <c r="AA181" s="295">
        <f>IF(ISNUMBER(AA174),AA174-AA104,"")</f>
        <v>1064.758</v>
      </c>
      <c r="AB181" s="295">
        <f>IF(ISNUMBER(AB174),AB174-AB104,"")</f>
        <v>273.518</v>
      </c>
      <c r="AC181" s="295">
        <f>IF(ISNUMBER(AC174),AC174-AC104,"")</f>
        <v>335.22</v>
      </c>
      <c r="AD181" s="295">
        <f>IF(ISNUMBER(AD174),AD174-AD104,"")</f>
        <v>304.951</v>
      </c>
      <c r="AE181" s="295">
        <f>IF(ISNUMBER(AE174),AE174-AE104,"")</f>
        <v>287</v>
      </c>
      <c r="AF181" s="295">
        <f>IF(ISNUMBER(AF174),AF174-AF104,"")</f>
        <v>1204</v>
      </c>
      <c r="AG181" s="295">
        <f>IF(ISNUMBER(AG174),AG174-AG104,"")</f>
        <v>283</v>
      </c>
      <c r="AH181" s="295">
        <f>IF(ISNUMBER(AH174),AH174-AH104,"")</f>
        <v>295</v>
      </c>
      <c r="AI181" s="295">
        <f>IF(ISNUMBER(AI174),AI174-AI104,"")</f>
        <v>257</v>
      </c>
      <c r="AJ181" s="295">
        <f>IF(ISNUMBER(AJ174),AJ174-AJ104,"")</f>
        <v>279</v>
      </c>
      <c r="AK181" s="295">
        <f>IF(ISNUMBER(AK174),AK174-AK104,"")</f>
        <v>1114</v>
      </c>
      <c r="AL181" s="295">
        <f>IF(ISNUMBER(AL174),AL174-AL104,"")</f>
        <v>304</v>
      </c>
      <c r="AM181" s="265">
        <f>IF(ISNUMBER(AM174),AM174-AM104,"")</f>
        <v>303.081818889081</v>
      </c>
      <c r="AN181" s="265">
        <f>IF(ISNUMBER(AN174),AN174-AN104,"")</f>
        <v>270.189642495509</v>
      </c>
      <c r="AO181" s="265">
        <f>IF(ISNUMBER(AO174),AO174-AO104,"")</f>
        <v>294.926340813212</v>
      </c>
      <c r="AP181" s="265">
        <f>IF(ISNUMBER(AP174),AP174-AP104,"")</f>
        <v>1172.1978021978</v>
      </c>
      <c r="AQ181" s="265">
        <f>IF(ISNUMBER(AQ174),AQ174-AQ104,"")</f>
        <v>1244.75059150585</v>
      </c>
      <c r="AR181" s="265">
        <f>IF(ISNUMBER(AR174),AR174-AR104,"")</f>
        <v>1318.33062231784</v>
      </c>
      <c r="AS181" s="265">
        <f>IF(ISNUMBER(AS174),AS174-AS104,"")</f>
        <v>1400.74073228925</v>
      </c>
      <c r="AT181" s="265">
        <f>IF(ISNUMBER(AT174),AT174-AT104,"")</f>
        <v>1489.74359542139</v>
      </c>
      <c r="AU181" s="153" t="n"/>
      <c r="AW181" s="20">
        <f>IFERROR((AT181/AK181)^(1/5)-1,"n/m")</f>
        <v>0.0598521062740784</v>
      </c>
      <c r="AX181" s="20">
        <f>IFERROR((AK181/L181)^(1/5)-1,"n/m")</f>
        <v>0.0808025397193357</v>
      </c>
      <c r="AY181" s="20">
        <f>IFERROR((AK181/G181)^(1/10)-1,"n/m")</f>
        <v>0.095172079664732</v>
      </c>
      <c r="AZ181" s="20">
        <f>IFERROR((AK181/C181)^(1/14)-1,"n/m")</f>
        <v>0.0704987410650417</v>
      </c>
    </row>
    <row r="182" ht="15" customHeight="1" s="251">
      <c r="B182" s="55" t="inlineStr">
        <is>
          <t xml:space="preserve">  = Adjusted EBIT, full-cost (adjusted EBITDA − total D&amp;A)</t>
        </is>
      </c>
      <c r="C182" s="285">
        <f>IF(ISNUMBER(C174),C174-C101,"")</f>
        <v>412.855</v>
      </c>
      <c r="D182" s="285">
        <f>IF(ISNUMBER(D174),D174-D101,"")</f>
        <v>454.827</v>
      </c>
      <c r="E182" s="285">
        <f>IF(ISNUMBER(E174),E174-E101,"")</f>
        <v>461.705</v>
      </c>
      <c r="F182" s="285">
        <f>IF(ISNUMBER(F174),F174-F101,"")</f>
        <v>460.861</v>
      </c>
      <c r="G182" s="285">
        <f>IF(ISNUMBER(G174),G174-G101,"")</f>
        <v>444.584</v>
      </c>
      <c r="H182" s="285">
        <f>IF(ISNUMBER(H174),H174-H101,"")</f>
        <v>487.601</v>
      </c>
      <c r="I182" s="285">
        <f>IF(ISNUMBER(I174),I174-I101,"")</f>
        <v>520.085</v>
      </c>
      <c r="J182" s="285">
        <f>IF(ISNUMBER(J174),J174-J101,"")</f>
        <v>606.054</v>
      </c>
      <c r="K182" s="285">
        <f>IF(ISNUMBER(K174),K174-K101,"")</f>
        <v>672.993</v>
      </c>
      <c r="L182" s="285">
        <f>IF(ISNUMBER(L174),L174-L101,"")</f>
        <v>755.359</v>
      </c>
      <c r="M182" s="285">
        <f>IF(ISNUMBER(M174),M174-M101,"")</f>
        <v>210.394</v>
      </c>
      <c r="N182" s="285">
        <f>IF(ISNUMBER(N174),N174-N101,"")</f>
        <v>232.047</v>
      </c>
      <c r="O182" s="285">
        <f>IF(ISNUMBER(O174),O174-O101,"")</f>
        <v>182.558</v>
      </c>
      <c r="P182" s="285">
        <f>IF(ISNUMBER(P174),P174-P101,"")</f>
        <v>164.179</v>
      </c>
      <c r="Q182" s="285">
        <f>IF(ISNUMBER(Q174),Q174-Q101,"")</f>
        <v>789.178</v>
      </c>
      <c r="R182" s="285">
        <f>IF(ISNUMBER(R174),R174-R101,"")</f>
        <v>212.479</v>
      </c>
      <c r="S182" s="285">
        <f>IF(ISNUMBER(S174),S174-S101,"")</f>
        <v>246.892</v>
      </c>
      <c r="T182" s="285">
        <f>IF(ISNUMBER(T174),T174-T101,"")</f>
        <v>202.044</v>
      </c>
      <c r="U182" s="285">
        <f>IF(ISNUMBER(U174),U174-U101,"")</f>
        <v>187.166</v>
      </c>
      <c r="V182" s="285">
        <f>IF(ISNUMBER(V174),V174-V101,"")</f>
        <v>848.581</v>
      </c>
      <c r="W182" s="285">
        <f>IF(ISNUMBER(W174),W174-W101,"")</f>
        <v>265.139</v>
      </c>
      <c r="X182" s="285">
        <f>IF(ISNUMBER(X174),X174-X101,"")</f>
        <v>249.724</v>
      </c>
      <c r="Y182" s="285">
        <f>IF(ISNUMBER(Y174),Y174-Y101,"")</f>
        <v>249.51</v>
      </c>
      <c r="Z182" s="285">
        <f>IF(ISNUMBER(Z174),Z174-Z101,"")</f>
        <v>246.489</v>
      </c>
      <c r="AA182" s="285">
        <f>IF(ISNUMBER(AA174),AA174-AA101,"")</f>
        <v>1010.861</v>
      </c>
      <c r="AB182" s="285">
        <f>IF(ISNUMBER(AB174),AB174-AB101,"")</f>
        <v>260.834</v>
      </c>
      <c r="AC182" s="285">
        <f>IF(ISNUMBER(AC174),AC174-AC101,"")</f>
        <v>321.894</v>
      </c>
      <c r="AD182" s="285">
        <f>IF(ISNUMBER(AD174),AD174-AD101,"")</f>
        <v>291.565</v>
      </c>
      <c r="AE182" s="285">
        <f>IF(ISNUMBER(AE174),AE174-AE101,"")</f>
        <v>274</v>
      </c>
      <c r="AF182" s="285">
        <f>IF(ISNUMBER(AF174),AF174-AF101,"")</f>
        <v>1150</v>
      </c>
      <c r="AG182" s="285">
        <f>IF(ISNUMBER(AG174),AG174-AG101,"")</f>
        <v>271</v>
      </c>
      <c r="AH182" s="285">
        <f>IF(ISNUMBER(AH174),AH174-AH101,"")</f>
        <v>283</v>
      </c>
      <c r="AI182" s="285">
        <f>IF(ISNUMBER(AI174),AI174-AI101,"")</f>
        <v>245</v>
      </c>
      <c r="AJ182" s="285">
        <f>IF(ISNUMBER(AJ174),AJ174-AJ101,"")</f>
        <v>267</v>
      </c>
      <c r="AK182" s="285">
        <f>IF(ISNUMBER(AK174),AK174-AK101,"")</f>
        <v>1066</v>
      </c>
      <c r="AL182" s="285">
        <f>IF(ISNUMBER(AL174),AL174-AL101,"")</f>
        <v>289</v>
      </c>
      <c r="AM182" s="285">
        <f>IF(ISNUMBER(AM174),AM174-AM101,"")</f>
        <v>285.075225482488</v>
      </c>
      <c r="AN182" s="285">
        <f>IF(ISNUMBER(AN174),AN174-AN101,"")</f>
        <v>247.989642495509</v>
      </c>
      <c r="AO182" s="285">
        <f>IF(ISNUMBER(AO174),AO174-AO101,"")</f>
        <v>272.726340813212</v>
      </c>
      <c r="AP182" s="285">
        <f>IF(ISNUMBER(AP174),AP174-AP101,"")</f>
        <v>1094.79120879121</v>
      </c>
      <c r="AQ182" s="285">
        <f>IF(ISNUMBER(AQ174),AQ174-AQ101,"")</f>
        <v>1162.36934150585</v>
      </c>
      <c r="AR182" s="285">
        <f>IF(ISNUMBER(AR174),AR174-AR101,"")</f>
        <v>1236.68687231784</v>
      </c>
      <c r="AS182" s="285">
        <f>IF(ISNUMBER(AS174),AS174-AS101,"")</f>
        <v>1319.23448228925</v>
      </c>
      <c r="AT182" s="285">
        <f>IF(ISNUMBER(AT174),AT174-AT101,"")</f>
        <v>1405.97484542139</v>
      </c>
      <c r="AU182" s="153" t="n"/>
      <c r="AW182" s="20">
        <f>IFERROR((AT182/AK182)^(1/5)-1,"n/m")</f>
        <v>0.0569247531918289</v>
      </c>
      <c r="AX182" s="20">
        <f>IFERROR((AK182/L182)^(1/5)-1,"n/m")</f>
        <v>0.0713238153427422</v>
      </c>
      <c r="AY182" s="20">
        <f>IFERROR((AK182/G182)^(1/10)-1,"n/m")</f>
        <v>0.0913909232511421</v>
      </c>
      <c r="AZ182" s="20">
        <f>IFERROR((AK182/C182)^(1/14)-1,"n/m")</f>
        <v>0.0701032664308172</v>
      </c>
    </row>
    <row r="183" ht="15" customHeight="1" s="251">
      <c r="B183" s="25" t="inlineStr">
        <is>
          <t xml:space="preserve">  Adjusted EBIT (full-cost) margin %</t>
        </is>
      </c>
      <c r="C183" s="215">
        <f>IF(AND(ISNUMBER(C182),ISNUMBER(C120)),IFERROR(C182/C120,""),"")</f>
        <v>0.0704624746851884</v>
      </c>
      <c r="D183" s="215">
        <f>IF(AND(ISNUMBER(D182),ISNUMBER(D120)),IFERROR(D182/D120,""),"")</f>
        <v>0.0789896386959564</v>
      </c>
      <c r="E183" s="215">
        <f>IF(AND(ISNUMBER(E182),ISNUMBER(E120)),IFERROR(E182/E120,""),"")</f>
        <v>0.0842728366053729</v>
      </c>
      <c r="F183" s="215">
        <f>IF(AND(ISNUMBER(F182),ISNUMBER(F120)),IFERROR(F182/F120,""),"")</f>
        <v>0.0873708237515569</v>
      </c>
      <c r="G183" s="215">
        <f>IF(AND(ISNUMBER(G182),ISNUMBER(G120)),IFERROR(G182/G120,""),"")</f>
        <v>0.0822429795894659</v>
      </c>
      <c r="H183" s="215">
        <f>IF(AND(ISNUMBER(H182),ISNUMBER(H120)),IFERROR(H182/H120,""),"")</f>
        <v>0.0840070885573483</v>
      </c>
      <c r="I183" s="215">
        <f>IF(AND(ISNUMBER(I182),ISNUMBER(I120)),IFERROR(I182/I120,""),"")</f>
        <v>0.0842672370842274</v>
      </c>
      <c r="J183" s="215">
        <f>IF(AND(ISNUMBER(J182),ISNUMBER(J120)),IFERROR(J182/J120,""),"")</f>
        <v>0.0904013507085358</v>
      </c>
      <c r="K183" s="215">
        <f>IF(AND(ISNUMBER(K182),ISNUMBER(K120)),IFERROR(K182/K120,""),"")</f>
        <v>0.0901671136885151</v>
      </c>
      <c r="L183" s="215">
        <f>IF(AND(ISNUMBER(L182),ISNUMBER(L120)),IFERROR(L182/L120,""),"")</f>
        <v>0.096114640425971</v>
      </c>
      <c r="M183" s="215">
        <f>IF(AND(ISNUMBER(M182),ISNUMBER(M120)),IFERROR(M182/M120,""),"")</f>
        <v>0.105775273419786</v>
      </c>
      <c r="N183" s="215">
        <f>IF(AND(ISNUMBER(N182),ISNUMBER(N120)),IFERROR(N182/N120,""),"")</f>
        <v>0.110181772598595</v>
      </c>
      <c r="O183" s="215">
        <f>IF(AND(ISNUMBER(O182),ISNUMBER(O120)),IFERROR(O182/O120,""),"")</f>
        <v>0.0899070188917125</v>
      </c>
      <c r="P183" s="215">
        <f>IF(AND(ISNUMBER(P182),ISNUMBER(P120)),IFERROR(P182/P120,""),"")</f>
        <v>0.07335720502789</v>
      </c>
      <c r="Q183" s="215">
        <f>IF(AND(ISNUMBER(Q182),ISNUMBER(Q120)),IFERROR(Q182/Q120,""),"")</f>
        <v>0.0943575211927735</v>
      </c>
      <c r="R183" s="215">
        <f>IF(AND(ISNUMBER(R182),ISNUMBER(R120)),IFERROR(R182/R120,""),"")</f>
        <v>0.0944519025604552</v>
      </c>
      <c r="S183" s="215">
        <f>IF(AND(ISNUMBER(S182),ISNUMBER(S120)),IFERROR(S182/S120,""),"")</f>
        <v>0.107392160683713</v>
      </c>
      <c r="T183" s="215">
        <f>IF(AND(ISNUMBER(T182),ISNUMBER(T120)),IFERROR(T182/T120,""),"")</f>
        <v>0.0887296592029947</v>
      </c>
      <c r="U183" s="215">
        <f>IF(AND(ISNUMBER(U182),ISNUMBER(U120)),IFERROR(U182/U120,""),"")</f>
        <v>0.0769198207672749</v>
      </c>
      <c r="V183" s="215">
        <f>IF(AND(ISNUMBER(V182),ISNUMBER(V120)),IFERROR(V182/V120,""),"")</f>
        <v>0.0916501951471399</v>
      </c>
      <c r="W183" s="215">
        <f>IF(AND(ISNUMBER(W182),ISNUMBER(W120)),IFERROR(W182/W120,""),"")</f>
        <v>0.0998833672507597</v>
      </c>
      <c r="X183" s="215">
        <f>IF(AND(ISNUMBER(X182),ISNUMBER(X120)),IFERROR(X182/X120,""),"")</f>
        <v>0.0936600104565084</v>
      </c>
      <c r="Y183" s="215">
        <f>IF(AND(ISNUMBER(Y182),ISNUMBER(Y120)),IFERROR(Y182/Y120,""),"")</f>
        <v>0.0970931212183356</v>
      </c>
      <c r="Z183" s="215">
        <f>IF(AND(ISNUMBER(Z182),ISNUMBER(Z120)),IFERROR(Z182/Z120,""),"")</f>
        <v>0.0889425895969692</v>
      </c>
      <c r="AA183" s="215">
        <f>IF(AND(ISNUMBER(AA182),ISNUMBER(AA120)),IFERROR(AA182/AA120,""),"")</f>
        <v>0.0948106228010478</v>
      </c>
      <c r="AB183" s="215">
        <f>IF(AND(ISNUMBER(AB182),ISNUMBER(AB120)),IFERROR(AB182/AB120,""),"")</f>
        <v>0.0886648534892108</v>
      </c>
      <c r="AC183" s="215">
        <f>IF(AND(ISNUMBER(AC182),ISNUMBER(AC120)),IFERROR(AC182/AC120,""),"")</f>
        <v>0.102305947204189</v>
      </c>
      <c r="AD183" s="215">
        <f>IF(AND(ISNUMBER(AD182),ISNUMBER(AD120)),IFERROR(AD182/AD120,""),"")</f>
        <v>0.099947209472129</v>
      </c>
      <c r="AE183" s="215">
        <f>IF(AND(ISNUMBER(AE182),ISNUMBER(AE120)),IFERROR(AE182/AE120,""),"")</f>
        <v>0.0921318090114324</v>
      </c>
      <c r="AF183" s="215">
        <f>IF(AND(ISNUMBER(AF182),ISNUMBER(AF120)),IFERROR(AF182/AF120,""),"")</f>
        <v>0.0959933222036728</v>
      </c>
      <c r="AG183" s="215">
        <f>IF(AND(ISNUMBER(AG182),ISNUMBER(AG120)),IFERROR(AG182/AG120,""),"")</f>
        <v>0.0926812585499316</v>
      </c>
      <c r="AH183" s="215">
        <f>IF(AND(ISNUMBER(AH182),ISNUMBER(AH120)),IFERROR(AH182/AH120,""),"")</f>
        <v>0.097923875432526</v>
      </c>
      <c r="AI183" s="215">
        <f>IF(AND(ISNUMBER(AI182),ISNUMBER(AI120)),IFERROR(AI182/AI120,""),"")</f>
        <v>0.0935114503816794</v>
      </c>
      <c r="AJ183" s="215">
        <f>IF(AND(ISNUMBER(AJ182),ISNUMBER(AJ120)),IFERROR(AJ182/AJ120,""),"")</f>
        <v>0.0959396334890406</v>
      </c>
      <c r="AK183" s="215">
        <f>IF(AND(ISNUMBER(AK182),ISNUMBER(AK120)),IFERROR(AK182/AK120,""),"")</f>
        <v>0.0950343229027369</v>
      </c>
      <c r="AL183" s="215">
        <f>IF(AND(ISNUMBER(AL182),ISNUMBER(AL120)),IFERROR(AL182/AL120,""),"")</f>
        <v>0.103214285714286</v>
      </c>
      <c r="AM183" s="256">
        <f>IF(AND(ISNUMBER(AM182),ISNUMBER(AM120)),IFERROR(AM182/AM120,""),"")</f>
        <v>0.0940770476362518</v>
      </c>
      <c r="AN183" s="256">
        <f>IF(AND(ISNUMBER(AN182),ISNUMBER(AN120)),IFERROR(AN182/AN120,""),"")</f>
        <v>0.0892615583487528</v>
      </c>
      <c r="AO183" s="256">
        <f>IF(AND(ISNUMBER(AO182),ISNUMBER(AO120)),IFERROR(AO182/AO120,""),"")</f>
        <v>0.0924394495989143</v>
      </c>
      <c r="AP183" s="256">
        <f>IF(AND(ISNUMBER(AP182),ISNUMBER(AP120)),IFERROR(AP182/AP120,""),"")</f>
        <v>0.0947150259067358</v>
      </c>
      <c r="AQ183" s="256">
        <f>IF(AND(ISNUMBER(AQ182),ISNUMBER(AQ120)),IFERROR(AQ182/AQ120,""),"")</f>
        <v>0.0975106302537812</v>
      </c>
      <c r="AR183" s="256">
        <f>IF(AND(ISNUMBER(AR182),ISNUMBER(AR120)),IFERROR(AR182/AR120,""),"")</f>
        <v>0.0991348346929126</v>
      </c>
      <c r="AS183" s="256">
        <f>IF(AND(ISNUMBER(AS182),ISNUMBER(AS120)),IFERROR(AS182/AS120,""),"")</f>
        <v>0.100639375874147</v>
      </c>
      <c r="AT183" s="256">
        <f>IF(AND(ISNUMBER(AT182),ISNUMBER(AT120)),IFERROR(AT182/AT120,""),"")</f>
        <v>0.101901763002978</v>
      </c>
      <c r="AU183" s="153" t="n"/>
      <c r="AW183" s="37">
        <f>IFERROR(AVERAGE(AP183,AQ183,AR183,AS183,AT183),"n/m")</f>
        <v>0.0987803259461109</v>
      </c>
      <c r="AX183" s="37">
        <f>IFERROR(AVERAGE(Q183,V183,AA183,AF183,AK183),"n/m")</f>
        <v>0.0943691968494742</v>
      </c>
      <c r="AY183" s="37">
        <f>IFERROR(AVERAGE(H183,I183,J183,K183,L183,Q183,V183,AA183,AF183,AK183),"n/m")</f>
        <v>0.0916803414711968</v>
      </c>
      <c r="AZ183" s="37">
        <f>IFERROR(AVERAGE(C183,D183,E183,F183,G183,H183,I183,J183,K183,L183,Q183,V183,AA183,AF183,AK183),"n/m")</f>
        <v>0.0880094778693006</v>
      </c>
    </row>
    <row r="184" ht="15" customHeight="1" s="251">
      <c r="B184" s="156" t="inlineStr">
        <is>
          <t xml:space="preserve">  Memo: acquisition, restructuring, legal &amp; financing costs (cash items adjusted out; deducted in the DCF)</t>
        </is>
      </c>
      <c r="C184" s="260">
        <f>IF(ISNUMBER(C109),C109+C111+C112+C115,"")</f>
        <v>11.182</v>
      </c>
      <c r="D184" s="260">
        <f>IF(ISNUMBER(D109),D109+D111+D112+D115,"")</f>
        <v>2.725</v>
      </c>
      <c r="E184" s="260">
        <f>IF(ISNUMBER(E109),E109+E111+E112+E115,"")</f>
        <v>0</v>
      </c>
      <c r="F184" s="260">
        <f>IF(ISNUMBER(F109),F109+F111+F112+F115,"")</f>
        <v>2.039</v>
      </c>
      <c r="G184" s="260">
        <f>IF(ISNUMBER(G109),G109+G111+G112+G115,"")</f>
        <v>0</v>
      </c>
      <c r="H184" s="260">
        <f>IF(ISNUMBER(H109),H109+H111+H112+H115,"")</f>
        <v>3.354</v>
      </c>
      <c r="I184" s="260">
        <f>IF(ISNUMBER(I109),I109+I111+I112+I115,"")</f>
        <v>0</v>
      </c>
      <c r="J184" s="260">
        <f>IF(ISNUMBER(J109),J109+J111+J112+J115,"")</f>
        <v>3.66</v>
      </c>
      <c r="K184" s="260">
        <f>IF(ISNUMBER(K109),K109+K111+K112+K115,"")</f>
        <v>1.069</v>
      </c>
      <c r="L184" s="260">
        <f>IF(ISNUMBER(L109),L109+L111+L112+L115,"")</f>
        <v>0.411</v>
      </c>
      <c r="M184" s="260">
        <f>IF(ISNUMBER(M109),M109+M111+M112+M115,"")</f>
        <v>69.137</v>
      </c>
      <c r="N184" s="260">
        <f>IF(ISNUMBER(N109),N109+N111+N112+N115,"")</f>
        <v>13.68</v>
      </c>
      <c r="O184" s="260">
        <f>IF(ISNUMBER(O109),O109+O111+O112+O115,"")</f>
        <v>5.346</v>
      </c>
      <c r="P184" s="260">
        <f>IF(ISNUMBER(P109),P109+P111+P112+P115,"")</f>
        <v>15.834</v>
      </c>
      <c r="Q184" s="260">
        <f>IF(ISNUMBER(Q109),Q109+Q111+Q112+Q115,"")</f>
        <v>103.997</v>
      </c>
      <c r="R184" s="260">
        <f>IF(ISNUMBER(R109),R109+R111+R112+R115,"")</f>
        <v>5.093</v>
      </c>
      <c r="S184" s="260">
        <f>IF(ISNUMBER(S109),S109+S111+S112+S115,"")</f>
        <v>22.82</v>
      </c>
      <c r="T184" s="260">
        <f>IF(ISNUMBER(T109),T109+T111+T112+T115,"")</f>
        <v>143.096</v>
      </c>
      <c r="U184" s="260">
        <f>IF(ISNUMBER(U109),U109+U111+U112+U115,"")</f>
        <v>230.148</v>
      </c>
      <c r="V184" s="260">
        <f>IF(ISNUMBER(V109),V109+V111+V112+V115,"")</f>
        <v>401.157</v>
      </c>
      <c r="W184" s="260">
        <f>IF(ISNUMBER(W109),W109+W111+W112+W115,"")</f>
        <v>30.721</v>
      </c>
      <c r="X184" s="260">
        <f>IF(ISNUMBER(X109),X109+X111+X112+X115,"")</f>
        <v>-17.265</v>
      </c>
      <c r="Y184" s="260">
        <f>IF(ISNUMBER(Y109),Y109+Y111+Y112+Y115,"")</f>
        <v>1.952</v>
      </c>
      <c r="Z184" s="260">
        <f>IF(ISNUMBER(Z109),Z109+Z111+Z112+Z115,"")</f>
        <v>-17.95</v>
      </c>
      <c r="AA184" s="260">
        <f>IF(ISNUMBER(AA109),AA109+AA111+AA112+AA115,"")</f>
        <v>-2.542</v>
      </c>
      <c r="AB184" s="260">
        <f>IF(ISNUMBER(AB109),AB109+AB111+AB112+AB115,"")</f>
        <v>5.67</v>
      </c>
      <c r="AC184" s="260">
        <f>IF(ISNUMBER(AC109),AC109+AC111+AC112+AC115,"")</f>
        <v>-226.715</v>
      </c>
      <c r="AD184" s="260">
        <f>IF(ISNUMBER(AD109),AD109+AD111+AD112+AD115,"")</f>
        <v>0.306</v>
      </c>
      <c r="AE184" s="260">
        <f>IF(ISNUMBER(AE109),AE109+AE111+AE112+AE115,"")</f>
        <v>0</v>
      </c>
      <c r="AF184" s="260">
        <f>IF(ISNUMBER(AF109),AF109+AF111+AF112+AF115,"")</f>
        <v>-220</v>
      </c>
      <c r="AG184" s="260">
        <f>IF(ISNUMBER(AG109),AG109+AG111+AG112+AG115,"")</f>
        <v>14</v>
      </c>
      <c r="AH184" s="260">
        <f>IF(ISNUMBER(AH109),AH109+AH111+AH112+AH115,"")</f>
        <v>0</v>
      </c>
      <c r="AI184" s="260">
        <f>IF(ISNUMBER(AI109),AI109+AI111+AI112+AI115,"")</f>
        <v>15</v>
      </c>
      <c r="AJ184" s="260">
        <f>IF(ISNUMBER(AJ109),AJ109+AJ111+AJ112+AJ115,"")</f>
        <v>4</v>
      </c>
      <c r="AK184" s="260">
        <f>IF(ISNUMBER(AK109),AK109+AK111+AK112+AK115,"")</f>
        <v>33</v>
      </c>
      <c r="AL184" s="260">
        <f>IF(ISNUMBER(AL109),AL109+AL111+AL112+AL115,"")</f>
        <v>10</v>
      </c>
      <c r="AM184" s="254">
        <f>IF(ISNUMBER(AM109),AM109+AM111+AM112+AM115,"")</f>
        <v>5</v>
      </c>
      <c r="AN184" s="254">
        <f>IF(ISNUMBER(AN109),AN109+AN111+AN112+AN115,"")</f>
        <v>5</v>
      </c>
      <c r="AO184" s="254">
        <f>IF(ISNUMBER(AO109),AO109+AO111+AO112+AO115,"")</f>
        <v>5</v>
      </c>
      <c r="AP184" s="254">
        <f>IF(ISNUMBER(AP109),AP109+AP111+AP112+AP115,"")</f>
        <v>25</v>
      </c>
      <c r="AQ184" s="254">
        <f>IF(ISNUMBER(AQ109),AQ109+AQ111+AQ112+AQ115,"")</f>
        <v>4.5</v>
      </c>
      <c r="AR184" s="254">
        <f>IF(ISNUMBER(AR109),AR109+AR111+AR112+AR115,"")</f>
        <v>4.5</v>
      </c>
      <c r="AS184" s="254">
        <f>IF(ISNUMBER(AS109),AS109+AS111+AS112+AS115,"")</f>
        <v>4.5</v>
      </c>
      <c r="AT184" s="254">
        <f>IF(ISNUMBER(AT109),AT109+AT111+AT112+AT115,"")</f>
        <v>4.5</v>
      </c>
      <c r="AU184" s="153" t="n"/>
    </row>
    <row r="185" ht="15" customHeight="1" s="251">
      <c r="B185" s="25" t="inlineStr">
        <is>
          <t xml:space="preserve">  Revenue, excluding billable expenses (company non-GAAP):</t>
        </is>
      </c>
      <c r="AU185" s="153" t="n"/>
    </row>
    <row r="186" ht="15" customHeight="1" s="251">
      <c r="B186" s="25" t="inlineStr">
        <is>
          <t xml:space="preserve">  Revenue, excluding billable expenses</t>
        </is>
      </c>
      <c r="C186" s="260">
        <f>IF(ISNUMBER(C120),C120-C122,"")</f>
        <v>4316.396</v>
      </c>
      <c r="D186" s="260">
        <f>IF(ISNUMBER(D120),D120-D122,"")</f>
        <v>4225.469</v>
      </c>
      <c r="E186" s="260">
        <f>IF(ISNUMBER(E120),E120-E122,"")</f>
        <v>3991.578</v>
      </c>
      <c r="F186" s="260">
        <f>IF(ISNUMBER(F120),F120-F122,"")</f>
        <v>3868.243</v>
      </c>
      <c r="G186" s="260">
        <f>IF(ISNUMBER(G120),G120-G122,"")</f>
        <v>3892.655</v>
      </c>
      <c r="H186" s="260">
        <f>IF(ISNUMBER(H120),H120-H122,"")</f>
        <v>4053.207</v>
      </c>
      <c r="I186" s="260">
        <f>IF(ISNUMBER(I120),I120-I122,"")</f>
        <v>4310.541</v>
      </c>
      <c r="J186" s="260">
        <f>IF(ISNUMBER(J120),J120-J122,"")</f>
        <v>4699.373</v>
      </c>
      <c r="K186" s="260">
        <f>IF(ISNUMBER(K120),K120-K122,"")</f>
        <v>5165.428</v>
      </c>
      <c r="L186" s="260">
        <f>IF(ISNUMBER(L120),L120-L122,"")</f>
        <v>5533.05</v>
      </c>
      <c r="M186" s="260">
        <f>IF(ISNUMBER(M120),M120-M122,"")</f>
        <v>1433.521</v>
      </c>
      <c r="N186" s="260">
        <f>IF(ISNUMBER(N120),N120-N122,"")</f>
        <v>1465.918</v>
      </c>
      <c r="O186" s="260">
        <f>IF(ISNUMBER(O120),O120-O122,"")</f>
        <v>1408.97</v>
      </c>
      <c r="P186" s="260">
        <f>IF(ISNUMBER(P120),P120-P122,"")</f>
        <v>1581.128</v>
      </c>
      <c r="Q186" s="260">
        <f>IF(ISNUMBER(Q120),Q120-Q122,"")</f>
        <v>5889.537</v>
      </c>
      <c r="R186" s="260">
        <f>IF(ISNUMBER(R120),R120-R122,"")</f>
        <v>1575.334</v>
      </c>
      <c r="S186" s="260">
        <f>IF(ISNUMBER(S120),S120-S122,"")</f>
        <v>1614.035</v>
      </c>
      <c r="T186" s="260">
        <f>IF(ISNUMBER(T120),T120-T122,"")</f>
        <v>1566.548</v>
      </c>
      <c r="U186" s="260">
        <f>IF(ISNUMBER(U120),U120-U122,"")</f>
        <v>1694.137</v>
      </c>
      <c r="V186" s="260">
        <f>IF(ISNUMBER(V120),V120-V122,"")</f>
        <v>6450.054</v>
      </c>
      <c r="W186" s="260">
        <f>IF(ISNUMBER(W120),W120-W122,"")</f>
        <v>1842.182</v>
      </c>
      <c r="X186" s="260">
        <f>IF(ISNUMBER(X120),X120-X122,"")</f>
        <v>1841.494</v>
      </c>
      <c r="Y186" s="260">
        <f>IF(ISNUMBER(Y120),Y120-Y122,"")</f>
        <v>1769.905</v>
      </c>
      <c r="Z186" s="260">
        <f>IF(ISNUMBER(Z120),Z120-Z122,"")</f>
        <v>1926.539</v>
      </c>
      <c r="AA186" s="260">
        <f>IF(ISNUMBER(AA120),AA120-AA122,"")</f>
        <v>7380.12</v>
      </c>
      <c r="AB186" s="260">
        <f>IF(ISNUMBER(AB120),AB120-AB122,"")</f>
        <v>1996.816</v>
      </c>
      <c r="AC186" s="260">
        <f>IF(ISNUMBER(AC120),AC120-AC122,"")</f>
        <v>2178.364</v>
      </c>
      <c r="AD186" s="260">
        <f>IF(ISNUMBER(AD120),AD120-AD122,"")</f>
        <v>1978.656</v>
      </c>
      <c r="AE186" s="260">
        <f>IF(ISNUMBER(AE120),AE120-AE122,"")</f>
        <v>2046</v>
      </c>
      <c r="AF186" s="260">
        <f>IF(ISNUMBER(AF120),AF120-AF122,"")</f>
        <v>8200</v>
      </c>
      <c r="AG186" s="260">
        <f>IF(ISNUMBER(AG120),AG120-AG122,"")</f>
        <v>2043</v>
      </c>
      <c r="AH186" s="260">
        <f>IF(ISNUMBER(AH120),AH120-AH122,"")</f>
        <v>1972</v>
      </c>
      <c r="AI186" s="260">
        <f>IF(ISNUMBER(AI120),AI120-AI122,"")</f>
        <v>1846</v>
      </c>
      <c r="AJ186" s="260">
        <f>IF(ISNUMBER(AJ120),AJ120-AJ122,"")</f>
        <v>1906</v>
      </c>
      <c r="AK186" s="260">
        <f>IF(ISNUMBER(AK120),AK120-AK122,"")</f>
        <v>7767</v>
      </c>
      <c r="AL186" s="260">
        <f>IF(ISNUMBER(AL120),AL120-AL122,"")</f>
        <v>1965</v>
      </c>
      <c r="AM186" s="254">
        <f>IF(ISNUMBER(AM120),AM120-AM122,"")</f>
        <v>2077.03650545962</v>
      </c>
      <c r="AN186" s="254">
        <f>IF(ISNUMBER(AN120),AN120-AN122,"")</f>
        <v>1966.06139110022</v>
      </c>
      <c r="AO186" s="254">
        <f>IF(ISNUMBER(AO120),AO120-AO122,"")</f>
        <v>2029.6983472758</v>
      </c>
      <c r="AP186" s="254">
        <f>IF(ISNUMBER(AP120),AP120-AP122,"")</f>
        <v>8037.79624383564</v>
      </c>
      <c r="AQ186" s="254">
        <f>IF(ISNUMBER(AQ120),AQ120-AQ122,"")</f>
        <v>8284.70383428006</v>
      </c>
      <c r="AR186" s="254">
        <f>IF(ISNUMBER(AR120),AR120-AR122,"")</f>
        <v>8669.9834515621</v>
      </c>
      <c r="AS186" s="254">
        <f>IF(ISNUMBER(AS120),AS120-AS122,"")</f>
        <v>9110.42976198103</v>
      </c>
      <c r="AT186" s="254">
        <f>IF(ISNUMBER(AT120),AT120-AT122,"")</f>
        <v>9589.16203971184</v>
      </c>
      <c r="AU186" s="19" t="n"/>
      <c r="AW186" s="20">
        <f>IFERROR((AT186/AK186)^(1/5)-1,"n/m")</f>
        <v>0.0430508239159464</v>
      </c>
      <c r="AX186" s="20">
        <f>IFERROR((AK186/L186)^(1/5)-1,"n/m")</f>
        <v>0.0701822464706221</v>
      </c>
      <c r="AY186" s="20">
        <f>IFERROR((AK186/G186)^(1/10)-1,"n/m")</f>
        <v>0.0715211286906095</v>
      </c>
      <c r="AZ186" s="20">
        <f>IFERROR((AK186/C186)^(1/14)-1,"n/m")</f>
        <v>0.0428544915632501</v>
      </c>
    </row>
    <row r="187" ht="15" customHeight="1" s="251">
      <c r="B187" s="22" t="inlineStr">
        <is>
          <t xml:space="preserve">    y/y %</t>
        </is>
      </c>
      <c r="C187" s="23" t="n"/>
      <c r="D187" s="255">
        <f>IF(AND(ISNUMBER(D186),ISNUMBER(C186)),IFERROR(D186/C186-1,""),"")</f>
        <v>-0.0210654907473734</v>
      </c>
      <c r="E187" s="255">
        <f>IF(AND(ISNUMBER(E186),ISNUMBER(D186)),IFERROR(E186/D186-1,""),"")</f>
        <v>-0.0553526720939143</v>
      </c>
      <c r="F187" s="255">
        <f>IF(AND(ISNUMBER(F186),ISNUMBER(E186)),IFERROR(F186/E186-1,""),"")</f>
        <v>-0.0308988074390629</v>
      </c>
      <c r="G187" s="255">
        <f>IF(AND(ISNUMBER(G186),ISNUMBER(F186)),IFERROR(G186/F186-1,""),"")</f>
        <v>0.00631087550601128</v>
      </c>
      <c r="H187" s="255">
        <f>IF(AND(ISNUMBER(H186),ISNUMBER(G186)),IFERROR(H186/G186-1,""),"")</f>
        <v>0.0412448573017643</v>
      </c>
      <c r="I187" s="255">
        <f>IF(AND(ISNUMBER(I186),ISNUMBER(H186)),IFERROR(I186/H186-1,""),"")</f>
        <v>0.0634889853886074</v>
      </c>
      <c r="J187" s="255">
        <f>IF(AND(ISNUMBER(J186),ISNUMBER(I186)),IFERROR(J186/I186-1,""),"")</f>
        <v>0.090204918593745</v>
      </c>
      <c r="K187" s="255">
        <f>IF(AND(ISNUMBER(K186),ISNUMBER(J186)),IFERROR(K186/J186-1,""),"")</f>
        <v>0.0991738685139485</v>
      </c>
      <c r="L187" s="255">
        <f>IF(AND(ISNUMBER(L186),ISNUMBER(K186)),IFERROR(L186/K186-1,""),"")</f>
        <v>0.0711697075247202</v>
      </c>
      <c r="M187" s="23" t="n"/>
      <c r="N187" s="23" t="n"/>
      <c r="O187" s="23" t="n"/>
      <c r="P187" s="23" t="n"/>
      <c r="Q187" s="255">
        <f>IF(AND(ISNUMBER(Q186),ISNUMBER(L186)),IFERROR(Q186/L186-1,""),"")</f>
        <v>0.0644286605037006</v>
      </c>
      <c r="R187" s="255">
        <f>IF(AND(ISNUMBER(R186),ISNUMBER(M186)),IFERROR(R186/M186-1,""),"")</f>
        <v>0.0989263498755859</v>
      </c>
      <c r="S187" s="255">
        <f>IF(AND(ISNUMBER(S186),ISNUMBER(N186)),IFERROR(S186/N186-1,""),"")</f>
        <v>0.101040440188332</v>
      </c>
      <c r="T187" s="255">
        <f>IF(AND(ISNUMBER(T186),ISNUMBER(O186)),IFERROR(T186/O186-1,""),"")</f>
        <v>0.111839144907273</v>
      </c>
      <c r="U187" s="255">
        <f>IF(AND(ISNUMBER(U186),ISNUMBER(P186)),IFERROR(U186/P186-1,""),"")</f>
        <v>0.0714736567817405</v>
      </c>
      <c r="V187" s="255">
        <f>IF(AND(ISNUMBER(V186),ISNUMBER(Q186)),IFERROR(V186/Q186-1,""),"")</f>
        <v>0.095171657806038</v>
      </c>
      <c r="W187" s="255">
        <f>IF(AND(ISNUMBER(W186),ISNUMBER(R186)),IFERROR(W186/R186-1,""),"")</f>
        <v>0.169391379859763</v>
      </c>
      <c r="X187" s="255">
        <f>IF(AND(ISNUMBER(X186),ISNUMBER(S186)),IFERROR(X186/S186-1,""),"")</f>
        <v>0.140925692441614</v>
      </c>
      <c r="Y187" s="255">
        <f>IF(AND(ISNUMBER(Y186),ISNUMBER(T186)),IFERROR(Y186/T186-1,""),"")</f>
        <v>0.129812173007147</v>
      </c>
      <c r="Z187" s="255">
        <f>IF(AND(ISNUMBER(Z186),ISNUMBER(U186)),IFERROR(Z186/U186-1,""),"")</f>
        <v>0.137180169018208</v>
      </c>
      <c r="AA187" s="255">
        <f>IF(AND(ISNUMBER(AA186),ISNUMBER(V186)),IFERROR(AA186/V186-1,""),"")</f>
        <v>0.144195071855213</v>
      </c>
      <c r="AB187" s="255">
        <f>IF(AND(ISNUMBER(AB186),ISNUMBER(W186)),IFERROR(AB186/W186-1,""),"")</f>
        <v>0.0839406746998941</v>
      </c>
      <c r="AC187" s="255">
        <f>IF(AND(ISNUMBER(AC186),ISNUMBER(X186)),IFERROR(AC186/X186-1,""),"")</f>
        <v>0.182932988106396</v>
      </c>
      <c r="AD187" s="255">
        <f>IF(AND(ISNUMBER(AD186),ISNUMBER(Y186)),IFERROR(AD186/Y186-1,""),"")</f>
        <v>0.11794474844695</v>
      </c>
      <c r="AE187" s="255">
        <f>IF(AND(ISNUMBER(AE186),ISNUMBER(Z186)),IFERROR(AE186/Z186-1,""),"")</f>
        <v>0.0620080880791927</v>
      </c>
      <c r="AF187" s="255">
        <f>IF(AND(ISNUMBER(AF186),ISNUMBER(AA186)),IFERROR(AF186/AA186-1,""),"")</f>
        <v>0.111093044557541</v>
      </c>
      <c r="AG187" s="255">
        <f>IF(AND(ISNUMBER(AG186),ISNUMBER(AB186)),IFERROR(AG186/AB186-1,""),"")</f>
        <v>0.0231288210831644</v>
      </c>
      <c r="AH187" s="255">
        <f>IF(AND(ISNUMBER(AH186),ISNUMBER(AC186)),IFERROR(AH186/AC186-1,""),"")</f>
        <v>-0.0947334788859897</v>
      </c>
      <c r="AI187" s="255">
        <f>IF(AND(ISNUMBER(AI186),ISNUMBER(AD186)),IFERROR(AI186/AD186-1,""),"")</f>
        <v>-0.0670434881050571</v>
      </c>
      <c r="AJ187" s="255">
        <f>IF(AND(ISNUMBER(AJ186),ISNUMBER(AE186)),IFERROR(AJ186/AE186-1,""),"")</f>
        <v>-0.0684261974584556</v>
      </c>
      <c r="AK187" s="255">
        <f>IF(AND(ISNUMBER(AK186),ISNUMBER(AF186)),IFERROR(AK186/AF186-1,""),"")</f>
        <v>-0.0528048780487805</v>
      </c>
      <c r="AL187" s="255">
        <f>IF(AND(ISNUMBER(AL186),ISNUMBER(AG186)),IFERROR(AL186/AG186-1,""),"")</f>
        <v>-0.0381791483113069</v>
      </c>
      <c r="AM187" s="256">
        <f>IF(AND(ISNUMBER(AM186),ISNUMBER(AH186)),IFERROR(AM186/AH186-1,""),"")</f>
        <v>0.0532639480018378</v>
      </c>
      <c r="AN187" s="256">
        <f>IF(AND(ISNUMBER(AN186),ISNUMBER(AI186)),IFERROR(AN186/AI186-1,""),"")</f>
        <v>0.0650386734020694</v>
      </c>
      <c r="AO187" s="256">
        <f>IF(AND(ISNUMBER(AO186),ISNUMBER(AJ186)),IFERROR(AO186/AJ186-1,""),"")</f>
        <v>0.0648994476788027</v>
      </c>
      <c r="AP187" s="256">
        <f>IF(AND(ISNUMBER(AP186),ISNUMBER(AK186)),IFERROR(AP186/AK186-1,""),"")</f>
        <v>0.0348649728126229</v>
      </c>
      <c r="AQ187" s="256">
        <f>IF(AND(ISNUMBER(AQ186),ISNUMBER(AP186)),IFERROR(AQ186/AP186-1,""),"")</f>
        <v>0.0307183191703546</v>
      </c>
      <c r="AR187" s="256">
        <f>IF(AND(ISNUMBER(AR186),ISNUMBER(AQ186)),IFERROR(AR186/AQ186-1,""),"")</f>
        <v>0.0465049354797509</v>
      </c>
      <c r="AS187" s="256">
        <f>IF(AND(ISNUMBER(AS186),ISNUMBER(AR186)),IFERROR(AS186/AR186-1,""),"")</f>
        <v>0.0508012861708025</v>
      </c>
      <c r="AT187" s="256">
        <f>IF(AND(ISNUMBER(AT186),ISNUMBER(AS186)),IFERROR(AT186/AS186-1,""),"")</f>
        <v>0.0525477162151693</v>
      </c>
      <c r="AU187" s="153" t="n"/>
    </row>
    <row r="188" ht="15" customHeight="1" s="251">
      <c r="B188" s="156" t="inlineStr">
        <is>
          <t xml:space="preserve">  Company-published revenue, excluding billable expenses</t>
        </is>
      </c>
      <c r="C188" s="34" t="n"/>
      <c r="D188" s="34" t="n"/>
      <c r="E188" s="34" t="n"/>
      <c r="F188" s="34" t="n"/>
      <c r="G188" s="34" t="n"/>
      <c r="H188" s="253" t="n">
        <v>4053.207</v>
      </c>
      <c r="I188" s="253" t="n">
        <v>4310.541</v>
      </c>
      <c r="J188" s="253" t="n">
        <v>4699.373</v>
      </c>
      <c r="K188" s="253" t="n">
        <v>5165.428</v>
      </c>
      <c r="L188" s="253" t="n">
        <v>5533.05</v>
      </c>
      <c r="M188" s="253" t="n">
        <v>1433.521</v>
      </c>
      <c r="N188" s="253" t="n">
        <v>1465.918</v>
      </c>
      <c r="O188" s="253" t="n">
        <v>1408.97</v>
      </c>
      <c r="P188" s="253" t="n">
        <v>1581.128</v>
      </c>
      <c r="Q188" s="253" t="n">
        <v>5889.537</v>
      </c>
      <c r="R188" s="253" t="n">
        <v>1575.334</v>
      </c>
      <c r="S188" s="253" t="n">
        <v>1614.035</v>
      </c>
      <c r="T188" s="253" t="n">
        <v>1566.548</v>
      </c>
      <c r="U188" s="253" t="n">
        <v>1694.137</v>
      </c>
      <c r="V188" s="253" t="n">
        <v>6450.054</v>
      </c>
      <c r="W188" s="253" t="n">
        <v>1842.182</v>
      </c>
      <c r="X188" s="253" t="n">
        <v>1841.494</v>
      </c>
      <c r="Y188" s="253" t="n">
        <v>1769.905</v>
      </c>
      <c r="Z188" s="253" t="n">
        <v>1926.539</v>
      </c>
      <c r="AA188" s="253" t="n">
        <v>7380.12</v>
      </c>
      <c r="AB188" s="253" t="n">
        <v>1996.816</v>
      </c>
      <c r="AC188" s="253" t="n">
        <v>2178.364</v>
      </c>
      <c r="AD188" s="253" t="n">
        <v>1978.656</v>
      </c>
      <c r="AE188" s="253" t="n">
        <v>2046</v>
      </c>
      <c r="AF188" s="253" t="n">
        <v>8200</v>
      </c>
      <c r="AG188" s="253" t="n">
        <v>2043</v>
      </c>
      <c r="AH188" s="253" t="n">
        <v>1972</v>
      </c>
      <c r="AI188" s="253" t="n">
        <v>1846</v>
      </c>
      <c r="AJ188" s="253" t="n">
        <v>1906</v>
      </c>
      <c r="AK188" s="253" t="n">
        <v>7767</v>
      </c>
      <c r="AL188" s="253" t="n">
        <v>1965</v>
      </c>
      <c r="AM188" s="153" t="n"/>
      <c r="AN188" s="153" t="n"/>
      <c r="AO188" s="153" t="n"/>
      <c r="AP188" s="153" t="n"/>
      <c r="AQ188" s="153" t="n"/>
      <c r="AR188" s="153" t="n"/>
      <c r="AS188" s="153" t="n"/>
      <c r="AT188" s="153" t="n"/>
      <c r="AU188" s="153" t="n"/>
    </row>
    <row r="189" ht="15" customHeight="1" s="251">
      <c r="B189" s="57" t="inlineStr">
        <is>
          <t xml:space="preserve">  Check: model vs company-published (should be 0; ±0.15, ±0.6 from Q4 FY25)</t>
        </is>
      </c>
      <c r="C189" s="260" t="str">
        <f>IF(ISNUMBER(C188),IF(ABS(C186-C188)&lt;=0.15,0,ROUND(C186-C188,1)),"n/p")</f>
        <v>n/p</v>
      </c>
      <c r="D189" s="260" t="str">
        <f>IF(ISNUMBER(D188),IF(ABS(D186-D188)&lt;=0.15,0,ROUND(D186-D188,1)),"n/p")</f>
        <v>n/p</v>
      </c>
      <c r="E189" s="260" t="str">
        <f>IF(ISNUMBER(E188),IF(ABS(E186-E188)&lt;=0.15,0,ROUND(E186-E188,1)),"n/p")</f>
        <v>n/p</v>
      </c>
      <c r="F189" s="260" t="str">
        <f>IF(ISNUMBER(F188),IF(ABS(F186-F188)&lt;=0.15,0,ROUND(F186-F188,1)),"n/p")</f>
        <v>n/p</v>
      </c>
      <c r="G189" s="260" t="str">
        <f>IF(ISNUMBER(G188),IF(ABS(G186-G188)&lt;=0.15,0,ROUND(G186-G188,1)),"n/p")</f>
        <v>n/p</v>
      </c>
      <c r="H189" s="260">
        <f>IF(ISNUMBER(H188),IF(ABS(H186-H188)&lt;=0.15,0,ROUND(H186-H188,1)),"n/p")</f>
        <v>0</v>
      </c>
      <c r="I189" s="260">
        <f>IF(ISNUMBER(I188),IF(ABS(I186-I188)&lt;=0.15,0,ROUND(I186-I188,1)),"n/p")</f>
        <v>0</v>
      </c>
      <c r="J189" s="260">
        <f>IF(ISNUMBER(J188),IF(ABS(J186-J188)&lt;=0.15,0,ROUND(J186-J188,1)),"n/p")</f>
        <v>0</v>
      </c>
      <c r="K189" s="260">
        <f>IF(ISNUMBER(K188),IF(ABS(K186-K188)&lt;=0.15,0,ROUND(K186-K188,1)),"n/p")</f>
        <v>0</v>
      </c>
      <c r="L189" s="260">
        <f>IF(ISNUMBER(L188),IF(ABS(L186-L188)&lt;=0.15,0,ROUND(L186-L188,1)),"n/p")</f>
        <v>0</v>
      </c>
      <c r="M189" s="260">
        <f>IF(ISNUMBER(M188),IF(ABS(M186-M188)&lt;=0.15,0,ROUND(M186-M188,1)),"n/p")</f>
        <v>0</v>
      </c>
      <c r="N189" s="260">
        <f>IF(ISNUMBER(N188),IF(ABS(N186-N188)&lt;=0.15,0,ROUND(N186-N188,1)),"n/p")</f>
        <v>0</v>
      </c>
      <c r="O189" s="260">
        <f>IF(ISNUMBER(O188),IF(ABS(O186-O188)&lt;=0.15,0,ROUND(O186-O188,1)),"n/p")</f>
        <v>0</v>
      </c>
      <c r="P189" s="260">
        <f>IF(ISNUMBER(P188),IF(ABS(P186-P188)&lt;=0.15,0,ROUND(P186-P188,1)),"n/p")</f>
        <v>0</v>
      </c>
      <c r="Q189" s="260">
        <f>IF(ISNUMBER(Q188),IF(ABS(Q186-Q188)&lt;=0.15,0,ROUND(Q186-Q188,1)),"n/p")</f>
        <v>0</v>
      </c>
      <c r="R189" s="260">
        <f>IF(ISNUMBER(R188),IF(ABS(R186-R188)&lt;=0.15,0,ROUND(R186-R188,1)),"n/p")</f>
        <v>0</v>
      </c>
      <c r="S189" s="260">
        <f>IF(ISNUMBER(S188),IF(ABS(S186-S188)&lt;=0.15,0,ROUND(S186-S188,1)),"n/p")</f>
        <v>0</v>
      </c>
      <c r="T189" s="260">
        <f>IF(ISNUMBER(T188),IF(ABS(T186-T188)&lt;=0.15,0,ROUND(T186-T188,1)),"n/p")</f>
        <v>0</v>
      </c>
      <c r="U189" s="260">
        <f>IF(ISNUMBER(U188),IF(ABS(U186-U188)&lt;=0.15,0,ROUND(U186-U188,1)),"n/p")</f>
        <v>0</v>
      </c>
      <c r="V189" s="260">
        <f>IF(ISNUMBER(V188),IF(ABS(V186-V188)&lt;=0.15,0,ROUND(V186-V188,1)),"n/p")</f>
        <v>0</v>
      </c>
      <c r="W189" s="260">
        <f>IF(ISNUMBER(W188),IF(ABS(W186-W188)&lt;=0.15,0,ROUND(W186-W188,1)),"n/p")</f>
        <v>0</v>
      </c>
      <c r="X189" s="260">
        <f>IF(ISNUMBER(X188),IF(ABS(X186-X188)&lt;=0.15,0,ROUND(X186-X188,1)),"n/p")</f>
        <v>0</v>
      </c>
      <c r="Y189" s="260">
        <f>IF(ISNUMBER(Y188),IF(ABS(Y186-Y188)&lt;=0.15,0,ROUND(Y186-Y188,1)),"n/p")</f>
        <v>0</v>
      </c>
      <c r="Z189" s="260">
        <f>IF(ISNUMBER(Z188),IF(ABS(Z186-Z188)&lt;=0.15,0,ROUND(Z186-Z188,1)),"n/p")</f>
        <v>0</v>
      </c>
      <c r="AA189" s="260">
        <f>IF(ISNUMBER(AA188),IF(ABS(AA186-AA188)&lt;=0.15,0,ROUND(AA186-AA188,1)),"n/p")</f>
        <v>0</v>
      </c>
      <c r="AB189" s="260">
        <f>IF(ISNUMBER(AB188),IF(ABS(AB186-AB188)&lt;=0.15,0,ROUND(AB186-AB188,1)),"n/p")</f>
        <v>0</v>
      </c>
      <c r="AC189" s="260">
        <f>IF(ISNUMBER(AC188),IF(ABS(AC186-AC188)&lt;=0.15,0,ROUND(AC186-AC188,1)),"n/p")</f>
        <v>0</v>
      </c>
      <c r="AD189" s="260">
        <f>IF(ISNUMBER(AD188),IF(ABS(AD186-AD188)&lt;=0.15,0,ROUND(AD186-AD188,1)),"n/p")</f>
        <v>0</v>
      </c>
      <c r="AE189" s="260">
        <f>IF(ISNUMBER(AE188),IF(ABS(AE186-AE188)&lt;=0.6,0,ROUND(AE186-AE188,1)),"n/p")</f>
        <v>0</v>
      </c>
      <c r="AF189" s="260">
        <f>IF(ISNUMBER(AF188),IF(ABS(AF186-AF188)&lt;=0.6,0,ROUND(AF186-AF188,1)),"n/p")</f>
        <v>0</v>
      </c>
      <c r="AG189" s="260">
        <f>IF(ISNUMBER(AG188),IF(ABS(AG186-AG188)&lt;=0.6,0,ROUND(AG186-AG188,1)),"n/p")</f>
        <v>0</v>
      </c>
      <c r="AH189" s="260">
        <f>IF(ISNUMBER(AH188),IF(ABS(AH186-AH188)&lt;=0.6,0,ROUND(AH186-AH188,1)),"n/p")</f>
        <v>0</v>
      </c>
      <c r="AI189" s="260">
        <f>IF(ISNUMBER(AI188),IF(ABS(AI186-AI188)&lt;=0.6,0,ROUND(AI186-AI188,1)),"n/p")</f>
        <v>0</v>
      </c>
      <c r="AJ189" s="260">
        <f>IF(ISNUMBER(AJ188),IF(ABS(AJ186-AJ188)&lt;=0.6,0,ROUND(AJ186-AJ188,1)),"n/p")</f>
        <v>0</v>
      </c>
      <c r="AK189" s="260">
        <f>IF(ISNUMBER(AK188),IF(ABS(AK186-AK188)&lt;=0.6,0,ROUND(AK186-AK188,1)),"n/p")</f>
        <v>0</v>
      </c>
      <c r="AL189" s="260">
        <f>IF(ISNUMBER(AL188),IF(ABS(AL186-AL188)&lt;=0.6,0,ROUND(AL186-AL188,1)),"n/p")</f>
        <v>0</v>
      </c>
      <c r="AM189" s="153" t="n"/>
      <c r="AN189" s="153" t="n"/>
      <c r="AO189" s="153" t="n"/>
      <c r="AP189" s="153" t="n"/>
      <c r="AQ189" s="153" t="n"/>
      <c r="AR189" s="153" t="n"/>
      <c r="AS189" s="153" t="n"/>
      <c r="AT189" s="153" t="n"/>
      <c r="AU189" s="153" t="n"/>
    </row>
    <row r="190" ht="15" customHeight="1" s="251">
      <c r="BC190" s="11" t="n"/>
      <c r="BD190" s="12" t="n"/>
      <c r="BE190" s="12" t="n"/>
      <c r="BF190" s="12" t="n"/>
      <c r="BG190" s="13" t="n"/>
    </row>
    <row r="191" ht="15" customHeight="1" s="251">
      <c r="B191" s="10" t="inlineStr">
        <is>
          <t>RECONCILIATION: NET INCOME → ADJUSTED NET INCOME → ADJUSTED DILUTED EPS (company definition)</t>
        </is>
      </c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inlineStr">
        <is>
          <t>ADJUSTED EPS — net income + pre-tax adjusting items − tax effect at the company's assumed rate (40% to Q2 FY2018, 36.5% Q3 FY2018 – FY2018, 26% from FY2019; discrete items specifically) ± discrete tax items; ÷ diluted shares (no two-class adjustment)</t>
        </is>
      </c>
    </row>
    <row r="192" ht="15" customHeight="1" s="251">
      <c r="B192" s="16" t="inlineStr">
        <is>
          <t>Net income attributable to common stockholders</t>
        </is>
      </c>
      <c r="C192" s="295">
        <f>C136</f>
        <v>239.955</v>
      </c>
      <c r="D192" s="295">
        <f>D136</f>
        <v>219.058</v>
      </c>
      <c r="E192" s="295">
        <f>E136</f>
        <v>232.188</v>
      </c>
      <c r="F192" s="295">
        <f>F136</f>
        <v>232.569</v>
      </c>
      <c r="G192" s="295">
        <f>G136</f>
        <v>294.094</v>
      </c>
      <c r="H192" s="295">
        <f>H136</f>
        <v>252.49</v>
      </c>
      <c r="I192" s="295">
        <f>I136</f>
        <v>305.111</v>
      </c>
      <c r="J192" s="295">
        <f>J136</f>
        <v>418.529</v>
      </c>
      <c r="K192" s="295">
        <f>K136</f>
        <v>482.603</v>
      </c>
      <c r="L192" s="295">
        <f>L136</f>
        <v>608.958</v>
      </c>
      <c r="M192" s="295">
        <f>M136</f>
        <v>92.102</v>
      </c>
      <c r="N192" s="295">
        <f>N136</f>
        <v>154.834</v>
      </c>
      <c r="O192" s="295">
        <f>O136</f>
        <v>128.931</v>
      </c>
      <c r="P192" s="295">
        <f>P136</f>
        <v>90.873</v>
      </c>
      <c r="Q192" s="295">
        <f>Q136</f>
        <v>466.74</v>
      </c>
      <c r="R192" s="295">
        <f>R136</f>
        <v>138.284</v>
      </c>
      <c r="S192" s="295">
        <f>S136</f>
        <v>170.932</v>
      </c>
      <c r="T192" s="295">
        <f>T136</f>
        <v>30.997</v>
      </c>
      <c r="U192" s="295">
        <f>U136</f>
        <v>-68.422</v>
      </c>
      <c r="V192" s="295">
        <f>V136</f>
        <v>271.791</v>
      </c>
      <c r="W192" s="295">
        <f>W136</f>
        <v>161.388</v>
      </c>
      <c r="X192" s="295">
        <f>X136</f>
        <v>170.718</v>
      </c>
      <c r="Y192" s="295">
        <f>Y136</f>
        <v>145.644</v>
      </c>
      <c r="Z192" s="295">
        <f>Z136</f>
        <v>127.955</v>
      </c>
      <c r="AA192" s="295">
        <f>AA136</f>
        <v>605.706</v>
      </c>
      <c r="AB192" s="295">
        <f>AB136</f>
        <v>165.233</v>
      </c>
      <c r="AC192" s="295">
        <f>AC136</f>
        <v>390.112</v>
      </c>
      <c r="AD192" s="295">
        <f>AD136</f>
        <v>186.95</v>
      </c>
      <c r="AE192" s="295">
        <f>AE136</f>
        <v>193</v>
      </c>
      <c r="AF192" s="295">
        <f>AF136</f>
        <v>935</v>
      </c>
      <c r="AG192" s="295">
        <f>AG136</f>
        <v>271</v>
      </c>
      <c r="AH192" s="295">
        <f>AH136</f>
        <v>175</v>
      </c>
      <c r="AI192" s="295">
        <f>AI136</f>
        <v>200</v>
      </c>
      <c r="AJ192" s="295">
        <f>AJ136</f>
        <v>205</v>
      </c>
      <c r="AK192" s="295">
        <f>AK136</f>
        <v>851</v>
      </c>
      <c r="AL192" s="295">
        <f>AL136</f>
        <v>198</v>
      </c>
      <c r="AM192" s="265">
        <f>AM136</f>
        <v>177.469052003753</v>
      </c>
      <c r="AN192" s="265">
        <f>AN136</f>
        <v>148.356869358975</v>
      </c>
      <c r="AO192" s="265">
        <f>AO136</f>
        <v>167.775177538372</v>
      </c>
      <c r="AP192" s="265">
        <f>AP136</f>
        <v>691.601098901099</v>
      </c>
      <c r="AQ192" s="265">
        <f>AQ136</f>
        <v>736.319414780842</v>
      </c>
      <c r="AR192" s="265">
        <f>AR136</f>
        <v>782.824053874296</v>
      </c>
      <c r="AS192" s="265">
        <f>AS136</f>
        <v>829.870012134216</v>
      </c>
      <c r="AT192" s="265">
        <f>AT136</f>
        <v>880.720886224649</v>
      </c>
      <c r="AU192" s="153" t="n"/>
    </row>
    <row r="193" ht="15" customHeight="1" s="251">
      <c r="B193" s="25" t="inlineStr">
        <is>
          <t xml:space="preserve">  (+) Non-controlling interest (bridge starts from consolidated net income: FY2022)</t>
        </is>
      </c>
      <c r="C193" s="253" t="n">
        <v>0</v>
      </c>
      <c r="D193" s="253" t="n">
        <v>0</v>
      </c>
      <c r="E193" s="253" t="n">
        <v>0</v>
      </c>
      <c r="F193" s="253" t="n">
        <v>0</v>
      </c>
      <c r="G193" s="253" t="n">
        <v>0</v>
      </c>
      <c r="H193" s="253" t="n">
        <v>0</v>
      </c>
      <c r="I193" s="253" t="n">
        <v>0</v>
      </c>
      <c r="J193" s="253" t="n">
        <v>0</v>
      </c>
      <c r="K193" s="253" t="n">
        <v>0</v>
      </c>
      <c r="L193" s="253" t="n">
        <v>0</v>
      </c>
      <c r="M193" s="253" t="n">
        <v>0</v>
      </c>
      <c r="N193" s="253" t="n">
        <v>0</v>
      </c>
      <c r="O193" s="253" t="n">
        <v>-0.08500000000000001</v>
      </c>
      <c r="P193" s="253" t="n">
        <v>-0.078</v>
      </c>
      <c r="Q193" s="253" t="n">
        <v>-0.163</v>
      </c>
      <c r="R193" s="253" t="n">
        <v>0</v>
      </c>
      <c r="S193" s="253" t="n">
        <v>0</v>
      </c>
      <c r="T193" s="253" t="n">
        <v>0</v>
      </c>
      <c r="U193" s="253" t="n">
        <v>0</v>
      </c>
      <c r="V193" s="253" t="n">
        <v>0</v>
      </c>
      <c r="W193" s="253" t="n">
        <v>0</v>
      </c>
      <c r="X193" s="253" t="n">
        <v>0</v>
      </c>
      <c r="Y193" s="253" t="n">
        <v>0</v>
      </c>
      <c r="Z193" s="253" t="n">
        <v>0</v>
      </c>
      <c r="AA193" s="253" t="n">
        <v>0</v>
      </c>
      <c r="AB193" s="253" t="n">
        <v>0</v>
      </c>
      <c r="AC193" s="253" t="n">
        <v>0</v>
      </c>
      <c r="AD193" s="253" t="n">
        <v>0</v>
      </c>
      <c r="AE193" s="253" t="n">
        <v>0</v>
      </c>
      <c r="AF193" s="253" t="n">
        <v>0</v>
      </c>
      <c r="AG193" s="253" t="n">
        <v>0</v>
      </c>
      <c r="AH193" s="253" t="n">
        <v>0</v>
      </c>
      <c r="AI193" s="253" t="n">
        <v>0</v>
      </c>
      <c r="AJ193" s="253" t="n">
        <v>0</v>
      </c>
      <c r="AK193" s="253" t="n">
        <v>0</v>
      </c>
      <c r="AL193" s="253" t="n">
        <v>0</v>
      </c>
      <c r="AM193" s="254">
        <f>0</f>
        <v>0</v>
      </c>
      <c r="AN193" s="254">
        <f>0</f>
        <v>0</v>
      </c>
      <c r="AO193" s="254">
        <f>0</f>
        <v>0</v>
      </c>
      <c r="AP193" s="254">
        <f>SUM(AL193,AM193,AN193,AO193)</f>
        <v>0</v>
      </c>
      <c r="AQ193" s="254">
        <f>0</f>
        <v>0</v>
      </c>
      <c r="AR193" s="254">
        <f>0</f>
        <v>0</v>
      </c>
      <c r="AS193" s="254">
        <f>0</f>
        <v>0</v>
      </c>
      <c r="AT193" s="254">
        <f>0</f>
        <v>0</v>
      </c>
      <c r="AU193" s="19" t="n"/>
    </row>
    <row r="194" ht="15" customHeight="1" s="251">
      <c r="B194" s="25" t="inlineStr">
        <is>
          <t xml:space="preserve">  (+) Operating adjusting items</t>
        </is>
      </c>
      <c r="C194" s="260">
        <f>C156</f>
        <v>25.423</v>
      </c>
      <c r="D194" s="260">
        <f>D156</f>
        <v>8.593</v>
      </c>
      <c r="E194" s="260">
        <f>E156</f>
        <v>1.094</v>
      </c>
      <c r="F194" s="260">
        <f>F156</f>
        <v>2.039</v>
      </c>
      <c r="G194" s="260">
        <f>G156</f>
        <v>0</v>
      </c>
      <c r="H194" s="260">
        <f>H156</f>
        <v>3.354</v>
      </c>
      <c r="I194" s="260">
        <f>I156</f>
        <v>0</v>
      </c>
      <c r="J194" s="260">
        <f>J156</f>
        <v>3.66</v>
      </c>
      <c r="K194" s="260">
        <f>K156</f>
        <v>3.791</v>
      </c>
      <c r="L194" s="260">
        <f>L156</f>
        <v>0.988</v>
      </c>
      <c r="M194" s="260">
        <f>M156</f>
        <v>69.137</v>
      </c>
      <c r="N194" s="260">
        <f>N156</f>
        <v>13.68</v>
      </c>
      <c r="O194" s="260">
        <f>O156</f>
        <v>5.346</v>
      </c>
      <c r="P194" s="260">
        <f>P156</f>
        <v>15.834</v>
      </c>
      <c r="Q194" s="260">
        <f>Q156</f>
        <v>103.997</v>
      </c>
      <c r="R194" s="260">
        <f>R156</f>
        <v>5.093</v>
      </c>
      <c r="S194" s="260">
        <f>S156</f>
        <v>22.82</v>
      </c>
      <c r="T194" s="260">
        <f>T156</f>
        <v>143.096</v>
      </c>
      <c r="U194" s="260">
        <f>U156</f>
        <v>230.148</v>
      </c>
      <c r="V194" s="260">
        <f>V156</f>
        <v>401.157</v>
      </c>
      <c r="W194" s="260">
        <f>W156</f>
        <v>30.721</v>
      </c>
      <c r="X194" s="260">
        <f>X156</f>
        <v>-17.265</v>
      </c>
      <c r="Y194" s="260">
        <f>Y156</f>
        <v>1.952</v>
      </c>
      <c r="Z194" s="260">
        <f>Z156</f>
        <v>-17.95</v>
      </c>
      <c r="AA194" s="260">
        <f>AA156</f>
        <v>-2.542</v>
      </c>
      <c r="AB194" s="260">
        <f>AB156</f>
        <v>5.67</v>
      </c>
      <c r="AC194" s="260">
        <f>AC156</f>
        <v>-226.715</v>
      </c>
      <c r="AD194" s="260">
        <f>AD156</f>
        <v>0.306</v>
      </c>
      <c r="AE194" s="260">
        <f>AE156</f>
        <v>0</v>
      </c>
      <c r="AF194" s="260">
        <f>AF156</f>
        <v>-220</v>
      </c>
      <c r="AG194" s="260">
        <f>AG156</f>
        <v>14</v>
      </c>
      <c r="AH194" s="260">
        <f>AH156</f>
        <v>0</v>
      </c>
      <c r="AI194" s="260">
        <f>AI156</f>
        <v>15</v>
      </c>
      <c r="AJ194" s="260">
        <f>AJ156</f>
        <v>4</v>
      </c>
      <c r="AK194" s="260">
        <f>AK156</f>
        <v>33</v>
      </c>
      <c r="AL194" s="260">
        <f>AL156</f>
        <v>10</v>
      </c>
      <c r="AM194" s="254">
        <f>AM156</f>
        <v>5</v>
      </c>
      <c r="AN194" s="254">
        <f>AN156</f>
        <v>5</v>
      </c>
      <c r="AO194" s="254">
        <f>AO156</f>
        <v>5</v>
      </c>
      <c r="AP194" s="254">
        <f>AP156</f>
        <v>25</v>
      </c>
      <c r="AQ194" s="254">
        <f>AQ156</f>
        <v>4.5</v>
      </c>
      <c r="AR194" s="254">
        <f>AR156</f>
        <v>4.5</v>
      </c>
      <c r="AS194" s="254">
        <f>AS156</f>
        <v>4.5</v>
      </c>
      <c r="AT194" s="254">
        <f>AT156</f>
        <v>4.5</v>
      </c>
      <c r="AU194" s="19" t="n"/>
    </row>
    <row r="195" ht="15" customHeight="1" s="251">
      <c r="B195" s="25" t="inlineStr">
        <is>
          <t xml:space="preserve">  (+) Acquisition amortization</t>
        </is>
      </c>
      <c r="C195" s="260">
        <f>C157</f>
        <v>16.364</v>
      </c>
      <c r="D195" s="260">
        <f>D157</f>
        <v>12.51</v>
      </c>
      <c r="E195" s="260">
        <f>E157</f>
        <v>8.45</v>
      </c>
      <c r="F195" s="260">
        <f>F157</f>
        <v>4.225</v>
      </c>
      <c r="G195" s="260">
        <f>G157</f>
        <v>4.225</v>
      </c>
      <c r="H195" s="260">
        <f>H157</f>
        <v>4.225</v>
      </c>
      <c r="I195" s="260">
        <f>I157</f>
        <v>0</v>
      </c>
      <c r="J195" s="260">
        <f>J157</f>
        <v>0</v>
      </c>
      <c r="K195" s="260">
        <f>K157</f>
        <v>0</v>
      </c>
      <c r="L195" s="260">
        <f>L157</f>
        <v>0</v>
      </c>
      <c r="M195" s="260">
        <f>M157</f>
        <v>2.658</v>
      </c>
      <c r="N195" s="260">
        <f>N157</f>
        <v>11.868</v>
      </c>
      <c r="O195" s="260">
        <f>O157</f>
        <v>11.884</v>
      </c>
      <c r="P195" s="260">
        <f>P157</f>
        <v>11.885</v>
      </c>
      <c r="Q195" s="260">
        <f>Q157</f>
        <v>38.295</v>
      </c>
      <c r="R195" s="260">
        <f>R157</f>
        <v>11.087</v>
      </c>
      <c r="S195" s="260">
        <f>S157</f>
        <v>11.087</v>
      </c>
      <c r="T195" s="260">
        <f>T157</f>
        <v>14.101</v>
      </c>
      <c r="U195" s="260">
        <f>U157</f>
        <v>15.278</v>
      </c>
      <c r="V195" s="260">
        <f>V157</f>
        <v>51.553</v>
      </c>
      <c r="W195" s="260">
        <f>W157</f>
        <v>13.108</v>
      </c>
      <c r="X195" s="260">
        <f>X157</f>
        <v>13.596</v>
      </c>
      <c r="Y195" s="260">
        <f>Y157</f>
        <v>13.597</v>
      </c>
      <c r="Z195" s="260">
        <f>Z157</f>
        <v>13.596</v>
      </c>
      <c r="AA195" s="260">
        <f>AA157</f>
        <v>53.897</v>
      </c>
      <c r="AB195" s="260">
        <f>AB157</f>
        <v>12.684</v>
      </c>
      <c r="AC195" s="260">
        <f>AC157</f>
        <v>13.326</v>
      </c>
      <c r="AD195" s="260">
        <f>AD157</f>
        <v>13.386</v>
      </c>
      <c r="AE195" s="260">
        <f>AE157</f>
        <v>13</v>
      </c>
      <c r="AF195" s="260">
        <f>AF157</f>
        <v>54</v>
      </c>
      <c r="AG195" s="260">
        <f>AG157</f>
        <v>12</v>
      </c>
      <c r="AH195" s="260">
        <f>AH157</f>
        <v>12</v>
      </c>
      <c r="AI195" s="260">
        <f>AI157</f>
        <v>12</v>
      </c>
      <c r="AJ195" s="260">
        <f>AJ157</f>
        <v>12</v>
      </c>
      <c r="AK195" s="260">
        <f>AK157</f>
        <v>48</v>
      </c>
      <c r="AL195" s="260">
        <f>AL157</f>
        <v>15</v>
      </c>
      <c r="AM195" s="254">
        <f>AM157</f>
        <v>18.0065934065934</v>
      </c>
      <c r="AN195" s="254">
        <f>AN157</f>
        <v>22.2</v>
      </c>
      <c r="AO195" s="254">
        <f>AO157</f>
        <v>22.2</v>
      </c>
      <c r="AP195" s="254">
        <f>AP157</f>
        <v>77.4065934065934</v>
      </c>
      <c r="AQ195" s="254">
        <f>AQ157</f>
        <v>82.38125</v>
      </c>
      <c r="AR195" s="254">
        <f>AR157</f>
        <v>81.64375</v>
      </c>
      <c r="AS195" s="254">
        <f>AS157</f>
        <v>81.50625</v>
      </c>
      <c r="AT195" s="254">
        <f>AT157</f>
        <v>83.76875</v>
      </c>
      <c r="AU195" s="19" t="n"/>
    </row>
    <row r="196" ht="15" customHeight="1" s="251">
      <c r="B196" s="25" t="inlineStr">
        <is>
          <t xml:space="preserve">  (+) Non-operating items (debt costs, gains)</t>
        </is>
      </c>
      <c r="C196" s="260">
        <f>C117</f>
        <v>-0.898</v>
      </c>
      <c r="D196" s="260">
        <f>D117</f>
        <v>13.018</v>
      </c>
      <c r="E196" s="260">
        <f>E117</f>
        <v>6.719</v>
      </c>
      <c r="F196" s="260">
        <f>F117</f>
        <v>6.545</v>
      </c>
      <c r="G196" s="260">
        <f>G117</f>
        <v>5.201</v>
      </c>
      <c r="H196" s="260">
        <f>H117</f>
        <v>8.866</v>
      </c>
      <c r="I196" s="260">
        <f>I117</f>
        <v>2.655</v>
      </c>
      <c r="J196" s="260">
        <f>J117</f>
        <v>2.92</v>
      </c>
      <c r="K196" s="260">
        <f>K117</f>
        <v>2.395</v>
      </c>
      <c r="L196" s="260">
        <f>L117</f>
        <v>15.641</v>
      </c>
      <c r="M196" s="260">
        <f>M117</f>
        <v>0.887</v>
      </c>
      <c r="N196" s="260">
        <f>N117</f>
        <v>-4.85</v>
      </c>
      <c r="O196" s="260">
        <f>O117</f>
        <v>-6.274</v>
      </c>
      <c r="P196" s="260">
        <f>P117</f>
        <v>0.816</v>
      </c>
      <c r="Q196" s="260">
        <f>Q117</f>
        <v>-9.421</v>
      </c>
      <c r="R196" s="260">
        <f>R117</f>
        <v>0.823</v>
      </c>
      <c r="S196" s="260">
        <f>S117</f>
        <v>-26.983</v>
      </c>
      <c r="T196" s="260">
        <f>T117</f>
        <v>-12.692</v>
      </c>
      <c r="U196" s="260">
        <f>U117</f>
        <v>0.774</v>
      </c>
      <c r="V196" s="260">
        <f>V117</f>
        <v>-38.078</v>
      </c>
      <c r="W196" s="260">
        <f>W117</f>
        <v>0.782</v>
      </c>
      <c r="X196" s="260">
        <f>X117</f>
        <v>1.106</v>
      </c>
      <c r="Y196" s="260">
        <f>Y117</f>
        <v>1.062</v>
      </c>
      <c r="Z196" s="260">
        <f>Z117</f>
        <v>6.736</v>
      </c>
      <c r="AA196" s="260">
        <f>AA117</f>
        <v>9.686</v>
      </c>
      <c r="AB196" s="260">
        <f>AB117</f>
        <v>1.076</v>
      </c>
      <c r="AC196" s="260">
        <f>AC117</f>
        <v>1.089</v>
      </c>
      <c r="AD196" s="260">
        <f>AD117</f>
        <v>1.099</v>
      </c>
      <c r="AE196" s="260">
        <f>AE117</f>
        <v>1</v>
      </c>
      <c r="AF196" s="260">
        <f>AF117</f>
        <v>4</v>
      </c>
      <c r="AG196" s="260">
        <f>AG117</f>
        <v>0</v>
      </c>
      <c r="AH196" s="260">
        <f>AH117</f>
        <v>0</v>
      </c>
      <c r="AI196" s="260">
        <f>AI117</f>
        <v>-7</v>
      </c>
      <c r="AJ196" s="260">
        <f>AJ117</f>
        <v>0</v>
      </c>
      <c r="AK196" s="260">
        <f>AK117</f>
        <v>-7</v>
      </c>
      <c r="AL196" s="260">
        <f>AL117</f>
        <v>0</v>
      </c>
      <c r="AM196" s="254">
        <f>AM117</f>
        <v>0</v>
      </c>
      <c r="AN196" s="254">
        <f>AN117</f>
        <v>0</v>
      </c>
      <c r="AO196" s="254">
        <f>AO117</f>
        <v>0</v>
      </c>
      <c r="AP196" s="254">
        <f>AP117</f>
        <v>0</v>
      </c>
      <c r="AQ196" s="254">
        <f>AQ117</f>
        <v>0</v>
      </c>
      <c r="AR196" s="254">
        <f>AR117</f>
        <v>0</v>
      </c>
      <c r="AS196" s="254">
        <f>AS117</f>
        <v>0</v>
      </c>
      <c r="AT196" s="254">
        <f>AT117</f>
        <v>0</v>
      </c>
      <c r="AU196" s="19" t="n"/>
    </row>
    <row r="197" ht="15" customHeight="1" s="251">
      <c r="B197" s="25" t="inlineStr">
        <is>
          <t xml:space="preserve">  (−) Tax effect of the adjustments</t>
        </is>
      </c>
      <c r="C197" s="253" t="n">
        <v>-18.628</v>
      </c>
      <c r="D197" s="253" t="n">
        <v>-13.649</v>
      </c>
      <c r="E197" s="253" t="n">
        <v>-6.505</v>
      </c>
      <c r="F197" s="253" t="n">
        <v>-5.124</v>
      </c>
      <c r="G197" s="253" t="n">
        <v>-3.77</v>
      </c>
      <c r="H197" s="253" t="n">
        <v>-6.578</v>
      </c>
      <c r="I197" s="253" t="n">
        <v>-0.969</v>
      </c>
      <c r="J197" s="253" t="n">
        <v>-1.711</v>
      </c>
      <c r="K197" s="253" t="n">
        <v>-1.608</v>
      </c>
      <c r="L197" s="253" t="n">
        <v>-4.324</v>
      </c>
      <c r="M197" s="253" t="n">
        <v>-18.897</v>
      </c>
      <c r="N197" s="253" t="n">
        <v>-5.381</v>
      </c>
      <c r="O197" s="253" t="n">
        <v>-2.848</v>
      </c>
      <c r="P197" s="253" t="n">
        <v>-4.272</v>
      </c>
      <c r="Q197" s="253" t="n">
        <v>-31.399</v>
      </c>
      <c r="R197" s="253" t="n">
        <v>-4.421</v>
      </c>
      <c r="S197" s="253" t="n">
        <v>-0.077</v>
      </c>
      <c r="T197" s="253" t="n">
        <v>-33.02</v>
      </c>
      <c r="U197" s="253" t="n">
        <v>-43.871</v>
      </c>
      <c r="V197" s="253" t="n">
        <v>-81.389</v>
      </c>
      <c r="W197" s="253" t="n">
        <v>-12.942</v>
      </c>
      <c r="X197" s="253" t="n">
        <v>0.988</v>
      </c>
      <c r="Y197" s="253" t="n">
        <v>22.048</v>
      </c>
      <c r="Z197" s="253" t="n">
        <v>42.124</v>
      </c>
      <c r="AA197" s="253" t="n">
        <v>52.218</v>
      </c>
      <c r="AB197" s="253" t="n">
        <v>-5.052</v>
      </c>
      <c r="AC197" s="253" t="n">
        <v>55.198</v>
      </c>
      <c r="AD197" s="253" t="n">
        <v>-3.845</v>
      </c>
      <c r="AE197" s="253" t="n">
        <v>-4</v>
      </c>
      <c r="AF197" s="253" t="n">
        <v>42</v>
      </c>
      <c r="AG197" s="253" t="n">
        <v>-113</v>
      </c>
      <c r="AH197" s="253" t="n">
        <v>-4</v>
      </c>
      <c r="AI197" s="253" t="n">
        <v>-5</v>
      </c>
      <c r="AJ197" s="253" t="n">
        <v>-6</v>
      </c>
      <c r="AK197" s="253" t="n">
        <v>-128</v>
      </c>
      <c r="AL197" s="253" t="n">
        <v>-6</v>
      </c>
      <c r="AM197" s="254">
        <f>-(AM194+AM195+AM196)*$BE$29</f>
        <v>-5.98171428571429</v>
      </c>
      <c r="AN197" s="254">
        <f>-(AN194+AN195+AN196)*$BE$29</f>
        <v>-7.072</v>
      </c>
      <c r="AO197" s="254">
        <f>-(AO194+AO195+AO196)*$BE$29</f>
        <v>-7.072</v>
      </c>
      <c r="AP197" s="254">
        <f>SUM(AL197,AM197,AN197,AO197)</f>
        <v>-26.1257142857143</v>
      </c>
      <c r="AQ197" s="254">
        <f>-(AQ194+AQ195+AQ196)*$BE$29</f>
        <v>-22.589125</v>
      </c>
      <c r="AR197" s="254">
        <f>-(AR194+AR195+AR196)*$BE$29</f>
        <v>-22.397375</v>
      </c>
      <c r="AS197" s="254">
        <f>-(AS194+AS195+AS196)*$BE$29</f>
        <v>-22.361625</v>
      </c>
      <c r="AT197" s="254">
        <f>-(AT194+AT195+AT196)*$BE$29</f>
        <v>-22.949875</v>
      </c>
      <c r="AU197" s="19" t="inlineStr">
        <is>
          <t>Historical as published (includes the FY2026 IRS-agreement release, $86m + $20m, per the release footnote). Forecast: items × 26% (company assumed rate).</t>
        </is>
      </c>
    </row>
    <row r="198" ht="15" customHeight="1" s="251">
      <c r="B198" s="25" t="inlineStr">
        <is>
          <t xml:space="preserve">  (±) Discrete tax items (release of tax reserves, R&amp;D credits, deferred-tax remeasurement)</t>
        </is>
      </c>
      <c r="C198" s="253" t="n">
        <v>-35.022</v>
      </c>
      <c r="D198" s="253" t="n">
        <v>0</v>
      </c>
      <c r="E198" s="253" t="n">
        <v>0</v>
      </c>
      <c r="F198" s="253" t="n">
        <v>0</v>
      </c>
      <c r="G198" s="253" t="n">
        <v>-53.301</v>
      </c>
      <c r="H198" s="253" t="n">
        <v>0</v>
      </c>
      <c r="I198" s="253" t="n">
        <v>-9.106999999999999</v>
      </c>
      <c r="J198" s="253" t="n">
        <v>-28.37</v>
      </c>
      <c r="K198" s="253" t="n">
        <v>-38.463</v>
      </c>
      <c r="L198" s="253" t="n">
        <v>-79.724</v>
      </c>
      <c r="M198" s="253" t="n">
        <v>0</v>
      </c>
      <c r="N198" s="253" t="n">
        <v>0</v>
      </c>
      <c r="O198" s="253" t="n">
        <v>0</v>
      </c>
      <c r="P198" s="253" t="n">
        <v>0</v>
      </c>
      <c r="Q198" s="253" t="n">
        <v>0</v>
      </c>
      <c r="R198" s="253" t="n">
        <v>0</v>
      </c>
      <c r="S198" s="253" t="n">
        <v>0</v>
      </c>
      <c r="T198" s="253" t="n">
        <v>0</v>
      </c>
      <c r="U198" s="253" t="n">
        <v>0</v>
      </c>
      <c r="V198" s="253" t="n">
        <v>0</v>
      </c>
      <c r="W198" s="253" t="n">
        <v>0</v>
      </c>
      <c r="X198" s="253" t="n">
        <v>0</v>
      </c>
      <c r="Y198" s="253" t="n">
        <v>0</v>
      </c>
      <c r="Z198" s="253" t="n">
        <v>0</v>
      </c>
      <c r="AA198" s="253" t="n">
        <v>0</v>
      </c>
      <c r="AB198" s="253" t="n">
        <v>0</v>
      </c>
      <c r="AC198" s="253" t="n">
        <v>0</v>
      </c>
      <c r="AD198" s="253" t="n">
        <v>0</v>
      </c>
      <c r="AE198" s="253" t="n">
        <v>0</v>
      </c>
      <c r="AF198" s="253" t="n">
        <v>0</v>
      </c>
      <c r="AG198" s="253" t="n">
        <v>0</v>
      </c>
      <c r="AH198" s="253" t="n">
        <v>0</v>
      </c>
      <c r="AI198" s="253" t="n">
        <v>0</v>
      </c>
      <c r="AJ198" s="253" t="n">
        <v>0</v>
      </c>
      <c r="AK198" s="253" t="n">
        <v>0</v>
      </c>
      <c r="AL198" s="253" t="n">
        <v>0</v>
      </c>
      <c r="AM198" s="254">
        <f>0</f>
        <v>0</v>
      </c>
      <c r="AN198" s="254">
        <f>0</f>
        <v>0</v>
      </c>
      <c r="AO198" s="254">
        <f>0</f>
        <v>0</v>
      </c>
      <c r="AP198" s="254">
        <f>SUM(AL198,AM198,AN198,AO198)</f>
        <v>0</v>
      </c>
      <c r="AQ198" s="254">
        <f>0</f>
        <v>0</v>
      </c>
      <c r="AR198" s="254">
        <f>0</f>
        <v>0</v>
      </c>
      <c r="AS198" s="254">
        <f>0</f>
        <v>0</v>
      </c>
      <c r="AT198" s="254">
        <f>0</f>
        <v>0</v>
      </c>
      <c r="AU198" s="19" t="n"/>
    </row>
    <row r="199" ht="15" customHeight="1" s="251">
      <c r="B199" s="55" t="inlineStr">
        <is>
          <t xml:space="preserve">  = Adjusted net income (model bridge)</t>
        </is>
      </c>
      <c r="C199" s="285">
        <f>IF(ISNUMBER(C192),C192+N(C193)+N(C194)+C195+N(C196)+N(C197)+N(C198),"")</f>
        <v>227.194</v>
      </c>
      <c r="D199" s="285">
        <f>IF(ISNUMBER(D192),D192+N(D193)+N(D194)+D195+N(D196)+N(D197)+N(D198),"")</f>
        <v>239.53</v>
      </c>
      <c r="E199" s="285">
        <f>IF(ISNUMBER(E192),E192+N(E193)+N(E194)+E195+N(E196)+N(E197)+N(E198),"")</f>
        <v>241.946</v>
      </c>
      <c r="F199" s="285">
        <f>IF(ISNUMBER(F192),F192+N(F193)+N(F194)+F195+N(F196)+N(F197)+N(F198),"")</f>
        <v>240.254</v>
      </c>
      <c r="G199" s="285">
        <f>IF(ISNUMBER(G192),G192+N(G193)+N(G194)+G195+N(G196)+N(G197)+N(G198),"")</f>
        <v>246.449</v>
      </c>
      <c r="H199" s="285">
        <f>IF(ISNUMBER(H192),H192+N(H193)+N(H194)+H195+N(H196)+N(H197)+N(H198),"")</f>
        <v>262.357</v>
      </c>
      <c r="I199" s="285">
        <f>IF(ISNUMBER(I192),I192+N(I193)+N(I194)+I195+N(I196)+N(I197)+N(I198),"")</f>
        <v>297.69</v>
      </c>
      <c r="J199" s="285">
        <f>IF(ISNUMBER(J192),J192+N(J193)+N(J194)+J195+N(J196)+N(J197)+N(J198),"")</f>
        <v>395.028</v>
      </c>
      <c r="K199" s="285">
        <f>IF(ISNUMBER(K192),K192+N(K193)+N(K194)+K195+N(K196)+N(K197)+N(K198),"")</f>
        <v>448.718</v>
      </c>
      <c r="L199" s="285">
        <f>IF(ISNUMBER(L192),L192+N(L193)+N(L194)+L195+N(L196)+N(L197)+N(L198),"")</f>
        <v>541.539</v>
      </c>
      <c r="M199" s="285">
        <f>IF(ISNUMBER(M192),M192+N(M193)+N(M194)+M195+N(M196)+N(M197)+N(M198),"")</f>
        <v>145.887</v>
      </c>
      <c r="N199" s="285">
        <f>IF(ISNUMBER(N192),N192+N(N193)+N(N194)+N195+N(N196)+N(N197)+N(N198),"")</f>
        <v>170.151</v>
      </c>
      <c r="O199" s="285">
        <f>IF(ISNUMBER(O192),O192+N(O193)+N(O194)+O195+N(O196)+N(O197)+N(O198),"")</f>
        <v>136.954</v>
      </c>
      <c r="P199" s="285">
        <f>IF(ISNUMBER(P192),P192+N(P193)+N(P194)+P195+N(P196)+N(P197)+N(P198),"")</f>
        <v>115.058</v>
      </c>
      <c r="Q199" s="285">
        <f>IF(ISNUMBER(Q192),Q192+N(Q193)+N(Q194)+Q195+N(Q196)+N(Q197)+N(Q198),"")</f>
        <v>568.049</v>
      </c>
      <c r="R199" s="285">
        <f>IF(ISNUMBER(R192),R192+N(R193)+N(R194)+R195+N(R196)+N(R197)+N(R198),"")</f>
        <v>150.866</v>
      </c>
      <c r="S199" s="285">
        <f>IF(ISNUMBER(S192),S192+N(S193)+N(S194)+S195+N(S196)+N(S197)+N(S198),"")</f>
        <v>177.779</v>
      </c>
      <c r="T199" s="285">
        <f>IF(ISNUMBER(T192),T192+N(T193)+N(T194)+T195+N(T196)+N(T197)+N(T198),"")</f>
        <v>142.482</v>
      </c>
      <c r="U199" s="285">
        <f>IF(ISNUMBER(U192),U192+N(U193)+N(U194)+U195+N(U196)+N(U197)+N(U198),"")</f>
        <v>133.907</v>
      </c>
      <c r="V199" s="285">
        <f>IF(ISNUMBER(V192),V192+N(V193)+N(V194)+V195+N(V196)+N(V197)+N(V198),"")</f>
        <v>605.034</v>
      </c>
      <c r="W199" s="285">
        <f>IF(ISNUMBER(W192),W192+N(W193)+N(W194)+W195+N(W196)+N(W197)+N(W198),"")</f>
        <v>193.057</v>
      </c>
      <c r="X199" s="285">
        <f>IF(ISNUMBER(X192),X192+N(X193)+N(X194)+X195+N(X196)+N(X197)+N(X198),"")</f>
        <v>169.143</v>
      </c>
      <c r="Y199" s="285">
        <f>IF(ISNUMBER(Y192),Y192+N(Y193)+N(Y194)+Y195+N(Y196)+N(Y197)+N(Y198),"")</f>
        <v>184.303</v>
      </c>
      <c r="Z199" s="285">
        <f>IF(ISNUMBER(Z192),Z192+N(Z193)+N(Z194)+Z195+N(Z196)+N(Z197)+N(Z198),"")</f>
        <v>172.461</v>
      </c>
      <c r="AA199" s="285">
        <f>IF(ISNUMBER(AA192),AA192+N(AA193)+N(AA194)+AA195+N(AA196)+N(AA197)+N(AA198),"")</f>
        <v>718.965</v>
      </c>
      <c r="AB199" s="285">
        <f>IF(ISNUMBER(AB192),AB192+N(AB193)+N(AB194)+AB195+N(AB196)+N(AB197)+N(AB198),"")</f>
        <v>179.611</v>
      </c>
      <c r="AC199" s="285">
        <f>IF(ISNUMBER(AC192),AC192+N(AC193)+N(AC194)+AC195+N(AC196)+N(AC197)+N(AC198),"")</f>
        <v>233.01</v>
      </c>
      <c r="AD199" s="285">
        <f>IF(ISNUMBER(AD192),AD192+N(AD193)+N(AD194)+AD195+N(AD196)+N(AD197)+N(AD198),"")</f>
        <v>197.896</v>
      </c>
      <c r="AE199" s="285">
        <f>IF(ISNUMBER(AE192),AE192+N(AE193)+N(AE194)+AE195+N(AE196)+N(AE197)+N(AE198),"")</f>
        <v>203</v>
      </c>
      <c r="AF199" s="285">
        <f>IF(ISNUMBER(AF192),AF192+N(AF193)+N(AF194)+AF195+N(AF196)+N(AF197)+N(AF198),"")</f>
        <v>815</v>
      </c>
      <c r="AG199" s="285">
        <f>IF(ISNUMBER(AG192),AG192+N(AG193)+N(AG194)+AG195+N(AG196)+N(AG197)+N(AG198),"")</f>
        <v>184</v>
      </c>
      <c r="AH199" s="285">
        <f>IF(ISNUMBER(AH192),AH192+N(AH193)+N(AH194)+AH195+N(AH196)+N(AH197)+N(AH198),"")</f>
        <v>183</v>
      </c>
      <c r="AI199" s="285">
        <f>IF(ISNUMBER(AI192),AI192+N(AI193)+N(AI194)+AI195+N(AI196)+N(AI197)+N(AI198),"")</f>
        <v>215</v>
      </c>
      <c r="AJ199" s="285">
        <f>IF(ISNUMBER(AJ192),AJ192+N(AJ193)+N(AJ194)+AJ195+N(AJ196)+N(AJ197)+N(AJ198),"")</f>
        <v>215</v>
      </c>
      <c r="AK199" s="285">
        <f>IF(ISNUMBER(AK192),AK192+N(AK193)+N(AK194)+AK195+N(AK196)+N(AK197)+N(AK198),"")</f>
        <v>797</v>
      </c>
      <c r="AL199" s="285">
        <f>IF(ISNUMBER(AL192),AL192+N(AL193)+N(AL194)+AL195+N(AL196)+N(AL197)+N(AL198),"")</f>
        <v>217</v>
      </c>
      <c r="AM199" s="285">
        <f>IF(ISNUMBER(AM192),AM192+N(AM193)+N(AM194)+AM195+N(AM196)+N(AM197)+N(AM198),"")</f>
        <v>194.493931124632</v>
      </c>
      <c r="AN199" s="285">
        <f>IF(ISNUMBER(AN192),AN192+N(AN193)+N(AN194)+AN195+N(AN196)+N(AN197)+N(AN198),"")</f>
        <v>168.484869358975</v>
      </c>
      <c r="AO199" s="285">
        <f>IF(ISNUMBER(AO192),AO192+N(AO193)+N(AO194)+AO195+N(AO196)+N(AO197)+N(AO198),"")</f>
        <v>187.903177538372</v>
      </c>
      <c r="AP199" s="285">
        <f>IF(ISNUMBER(AP192),AP192+N(AP193)+N(AP194)+AP195+N(AP196)+N(AP197)+N(AP198),"")</f>
        <v>767.881978021978</v>
      </c>
      <c r="AQ199" s="285">
        <f>IF(ISNUMBER(AQ192),AQ192+N(AQ193)+N(AQ194)+AQ195+N(AQ196)+N(AQ197)+N(AQ198),"")</f>
        <v>800.611539780842</v>
      </c>
      <c r="AR199" s="285">
        <f>IF(ISNUMBER(AR192),AR192+N(AR193)+N(AR194)+AR195+N(AR196)+N(AR197)+N(AR198),"")</f>
        <v>846.570428874296</v>
      </c>
      <c r="AS199" s="285">
        <f>IF(ISNUMBER(AS192),AS192+N(AS193)+N(AS194)+AS195+N(AS196)+N(AS197)+N(AS198),"")</f>
        <v>893.514637134216</v>
      </c>
      <c r="AT199" s="285">
        <f>IF(ISNUMBER(AT192),AT192+N(AT193)+N(AT194)+AT195+N(AT196)+N(AT197)+N(AT198),"")</f>
        <v>946.039761224649</v>
      </c>
      <c r="AU199" s="153" t="n"/>
      <c r="AW199" s="20">
        <f>IFERROR((AT199/AK199)^(1/5)-1,"n/m")</f>
        <v>0.0348805237401719</v>
      </c>
      <c r="AX199" s="20">
        <f>IFERROR((AK199/L199)^(1/5)-1,"n/m")</f>
        <v>0.0803530853185535</v>
      </c>
      <c r="AY199" s="20">
        <f>IFERROR((AK199/G199)^(1/10)-1,"n/m")</f>
        <v>0.124535386220759</v>
      </c>
      <c r="AZ199" s="20">
        <f>IFERROR((AK199/C199)^(1/14)-1,"n/m")</f>
        <v>0.0937875146345171</v>
      </c>
    </row>
    <row r="200" ht="15" customHeight="1" s="251">
      <c r="B200" s="156" t="inlineStr">
        <is>
          <t xml:space="preserve">  Company-published adjusted net income</t>
        </is>
      </c>
      <c r="C200" s="253" t="n">
        <v>227.194</v>
      </c>
      <c r="D200" s="253" t="n">
        <v>239.53</v>
      </c>
      <c r="E200" s="253" t="n">
        <v>241.946</v>
      </c>
      <c r="F200" s="253" t="n">
        <v>240.254</v>
      </c>
      <c r="G200" s="253" t="n">
        <v>246.449</v>
      </c>
      <c r="H200" s="253" t="n">
        <v>262.357</v>
      </c>
      <c r="I200" s="253" t="n">
        <v>297.69</v>
      </c>
      <c r="J200" s="253" t="n">
        <v>395.028</v>
      </c>
      <c r="K200" s="253" t="n">
        <v>448.718</v>
      </c>
      <c r="L200" s="253" t="n">
        <v>541.539</v>
      </c>
      <c r="M200" s="253" t="n">
        <v>145.887</v>
      </c>
      <c r="N200" s="253" t="n">
        <v>170.151</v>
      </c>
      <c r="O200" s="253" t="n">
        <v>136.954</v>
      </c>
      <c r="P200" s="253" t="n">
        <v>115.058</v>
      </c>
      <c r="Q200" s="253" t="n">
        <v>568.049</v>
      </c>
      <c r="R200" s="253" t="n">
        <v>150.866</v>
      </c>
      <c r="S200" s="253" t="n">
        <v>177.779</v>
      </c>
      <c r="T200" s="253" t="n">
        <v>142.482</v>
      </c>
      <c r="U200" s="253" t="n">
        <v>133.907</v>
      </c>
      <c r="V200" s="253" t="n">
        <v>605.034</v>
      </c>
      <c r="W200" s="253" t="n">
        <v>193.057</v>
      </c>
      <c r="X200" s="253" t="n">
        <v>169.143</v>
      </c>
      <c r="Y200" s="253" t="n">
        <v>184.303</v>
      </c>
      <c r="Z200" s="253" t="n">
        <v>172.461</v>
      </c>
      <c r="AA200" s="253" t="n">
        <v>718.965</v>
      </c>
      <c r="AB200" s="253" t="n">
        <v>179.611</v>
      </c>
      <c r="AC200" s="253" t="n">
        <v>233.01</v>
      </c>
      <c r="AD200" s="253" t="n">
        <v>197.896</v>
      </c>
      <c r="AE200" s="253" t="n">
        <v>203</v>
      </c>
      <c r="AF200" s="253" t="n">
        <v>815</v>
      </c>
      <c r="AG200" s="253" t="n">
        <v>184</v>
      </c>
      <c r="AH200" s="253" t="n">
        <v>183</v>
      </c>
      <c r="AI200" s="253" t="n">
        <v>215</v>
      </c>
      <c r="AJ200" s="253" t="n">
        <v>215</v>
      </c>
      <c r="AK200" s="253" t="n">
        <v>797</v>
      </c>
      <c r="AL200" s="253" t="n">
        <v>217</v>
      </c>
      <c r="AM200" s="153" t="n"/>
      <c r="AN200" s="153" t="n"/>
      <c r="AO200" s="153" t="n"/>
      <c r="AP200" s="153" t="n"/>
      <c r="AQ200" s="153" t="n"/>
      <c r="AR200" s="153" t="n"/>
      <c r="AS200" s="153" t="n"/>
      <c r="AT200" s="153" t="n"/>
      <c r="AU200" s="153" t="n"/>
    </row>
    <row r="201" ht="15" customHeight="1" s="251">
      <c r="B201" s="57" t="inlineStr">
        <is>
          <t xml:space="preserve">  Check: model vs company-published adjusted net income (should be 0; ±0.15, ±0.6 from Q4 FY25)</t>
        </is>
      </c>
      <c r="C201" s="260">
        <f>IF(ISNUMBER(C200),IF(ABS(C199-C200)&lt;=0.15,0,ROUND(C199-C200,1)),"n/p")</f>
        <v>0</v>
      </c>
      <c r="D201" s="260">
        <f>IF(ISNUMBER(D200),IF(ABS(D199-D200)&lt;=0.15,0,ROUND(D199-D200,1)),"n/p")</f>
        <v>0</v>
      </c>
      <c r="E201" s="260">
        <f>IF(ISNUMBER(E200),IF(ABS(E199-E200)&lt;=0.15,0,ROUND(E199-E200,1)),"n/p")</f>
        <v>0</v>
      </c>
      <c r="F201" s="260">
        <f>IF(ISNUMBER(F200),IF(ABS(F199-F200)&lt;=0.15,0,ROUND(F199-F200,1)),"n/p")</f>
        <v>0</v>
      </c>
      <c r="G201" s="260">
        <f>IF(ISNUMBER(G200),IF(ABS(G199-G200)&lt;=0.15,0,ROUND(G199-G200,1)),"n/p")</f>
        <v>0</v>
      </c>
      <c r="H201" s="260">
        <f>IF(ISNUMBER(H200),IF(ABS(H199-H200)&lt;=0.15,0,ROUND(H199-H200,1)),"n/p")</f>
        <v>0</v>
      </c>
      <c r="I201" s="260">
        <f>IF(ISNUMBER(I200),IF(ABS(I199-I200)&lt;=0.15,0,ROUND(I199-I200,1)),"n/p")</f>
        <v>0</v>
      </c>
      <c r="J201" s="260">
        <f>IF(ISNUMBER(J200),IF(ABS(J199-J200)&lt;=0.15,0,ROUND(J199-J200,1)),"n/p")</f>
        <v>0</v>
      </c>
      <c r="K201" s="260">
        <f>IF(ISNUMBER(K200),IF(ABS(K199-K200)&lt;=0.15,0,ROUND(K199-K200,1)),"n/p")</f>
        <v>0</v>
      </c>
      <c r="L201" s="260">
        <f>IF(ISNUMBER(L200),IF(ABS(L199-L200)&lt;=0.15,0,ROUND(L199-L200,1)),"n/p")</f>
        <v>0</v>
      </c>
      <c r="M201" s="260">
        <f>IF(ISNUMBER(M200),IF(ABS(M199-M200)&lt;=0.15,0,ROUND(M199-M200,1)),"n/p")</f>
        <v>0</v>
      </c>
      <c r="N201" s="260">
        <f>IF(ISNUMBER(N200),IF(ABS(N199-N200)&lt;=0.15,0,ROUND(N199-N200,1)),"n/p")</f>
        <v>0</v>
      </c>
      <c r="O201" s="260">
        <f>IF(ISNUMBER(O200),IF(ABS(O199-O200)&lt;=0.15,0,ROUND(O199-O200,1)),"n/p")</f>
        <v>0</v>
      </c>
      <c r="P201" s="260">
        <f>IF(ISNUMBER(P200),IF(ABS(P199-P200)&lt;=0.15,0,ROUND(P199-P200,1)),"n/p")</f>
        <v>0</v>
      </c>
      <c r="Q201" s="260">
        <f>IF(ISNUMBER(Q200),IF(ABS(Q199-Q200)&lt;=0.15,0,ROUND(Q199-Q200,1)),"n/p")</f>
        <v>0</v>
      </c>
      <c r="R201" s="260">
        <f>IF(ISNUMBER(R200),IF(ABS(R199-R200)&lt;=0.15,0,ROUND(R199-R200,1)),"n/p")</f>
        <v>0</v>
      </c>
      <c r="S201" s="260">
        <f>IF(ISNUMBER(S200),IF(ABS(S199-S200)&lt;=0.15,0,ROUND(S199-S200,1)),"n/p")</f>
        <v>0</v>
      </c>
      <c r="T201" s="260">
        <f>IF(ISNUMBER(T200),IF(ABS(T199-T200)&lt;=0.15,0,ROUND(T199-T200,1)),"n/p")</f>
        <v>0</v>
      </c>
      <c r="U201" s="260">
        <f>IF(ISNUMBER(U200),IF(ABS(U199-U200)&lt;=0.15,0,ROUND(U199-U200,1)),"n/p")</f>
        <v>0</v>
      </c>
      <c r="V201" s="260">
        <f>IF(ISNUMBER(V200),IF(ABS(V199-V200)&lt;=0.15,0,ROUND(V199-V200,1)),"n/p")</f>
        <v>0</v>
      </c>
      <c r="W201" s="260">
        <f>IF(ISNUMBER(W200),IF(ABS(W199-W200)&lt;=0.15,0,ROUND(W199-W200,1)),"n/p")</f>
        <v>0</v>
      </c>
      <c r="X201" s="260">
        <f>IF(ISNUMBER(X200),IF(ABS(X199-X200)&lt;=0.15,0,ROUND(X199-X200,1)),"n/p")</f>
        <v>0</v>
      </c>
      <c r="Y201" s="260">
        <f>IF(ISNUMBER(Y200),IF(ABS(Y199-Y200)&lt;=0.15,0,ROUND(Y199-Y200,1)),"n/p")</f>
        <v>0</v>
      </c>
      <c r="Z201" s="260">
        <f>IF(ISNUMBER(Z200),IF(ABS(Z199-Z200)&lt;=0.15,0,ROUND(Z199-Z200,1)),"n/p")</f>
        <v>0</v>
      </c>
      <c r="AA201" s="260">
        <f>IF(ISNUMBER(AA200),IF(ABS(AA199-AA200)&lt;=0.15,0,ROUND(AA199-AA200,1)),"n/p")</f>
        <v>0</v>
      </c>
      <c r="AB201" s="260">
        <f>IF(ISNUMBER(AB200),IF(ABS(AB199-AB200)&lt;=0.15,0,ROUND(AB199-AB200,1)),"n/p")</f>
        <v>0</v>
      </c>
      <c r="AC201" s="260">
        <f>IF(ISNUMBER(AC200),IF(ABS(AC199-AC200)&lt;=0.15,0,ROUND(AC199-AC200,1)),"n/p")</f>
        <v>0</v>
      </c>
      <c r="AD201" s="260">
        <f>IF(ISNUMBER(AD200),IF(ABS(AD199-AD200)&lt;=0.15,0,ROUND(AD199-AD200,1)),"n/p")</f>
        <v>0</v>
      </c>
      <c r="AE201" s="260">
        <f>IF(ISNUMBER(AE200),IF(ABS(AE199-AE200)&lt;=0.6,0,ROUND(AE199-AE200,1)),"n/p")</f>
        <v>0</v>
      </c>
      <c r="AF201" s="260">
        <f>IF(ISNUMBER(AF200),IF(ABS(AF199-AF200)&lt;=0.6,0,ROUND(AF199-AF200,1)),"n/p")</f>
        <v>0</v>
      </c>
      <c r="AG201" s="260">
        <f>IF(ISNUMBER(AG200),IF(ABS(AG199-AG200)&lt;=0.6,0,ROUND(AG199-AG200,1)),"n/p")</f>
        <v>0</v>
      </c>
      <c r="AH201" s="260">
        <f>IF(ISNUMBER(AH200),IF(ABS(AH199-AH200)&lt;=0.6,0,ROUND(AH199-AH200,1)),"n/p")</f>
        <v>0</v>
      </c>
      <c r="AI201" s="260">
        <f>IF(ISNUMBER(AI200),IF(ABS(AI199-AI200)&lt;=0.6,0,ROUND(AI199-AI200,1)),"n/p")</f>
        <v>0</v>
      </c>
      <c r="AJ201" s="260">
        <f>IF(ISNUMBER(AJ200),IF(ABS(AJ199-AJ200)&lt;=0.6,0,ROUND(AJ199-AJ200,1)),"n/p")</f>
        <v>0</v>
      </c>
      <c r="AK201" s="260">
        <f>IF(ISNUMBER(AK200),IF(ABS(AK199-AK200)&lt;=0.6,0,ROUND(AK199-AK200,1)),"n/p")</f>
        <v>0</v>
      </c>
      <c r="AL201" s="260">
        <f>IF(ISNUMBER(AL200),IF(ABS(AL199-AL200)&lt;=0.6,0,ROUND(AL199-AL200,1)),"n/p")</f>
        <v>0</v>
      </c>
      <c r="AM201" s="153" t="n"/>
      <c r="AN201" s="153" t="n"/>
      <c r="AO201" s="153" t="n"/>
      <c r="AP201" s="153" t="n"/>
      <c r="AQ201" s="153" t="n"/>
      <c r="AR201" s="153" t="n"/>
      <c r="AS201" s="153" t="n"/>
      <c r="AT201" s="153" t="n"/>
      <c r="AU201" s="153" t="n"/>
    </row>
    <row r="202" ht="15" customHeight="1" s="251">
      <c r="B202" s="25" t="inlineStr">
        <is>
          <t xml:space="preserve">  Weighted-average diluted shares (m; company adjusted share count)</t>
        </is>
      </c>
      <c r="C202" s="253" t="n">
        <v>140.812012</v>
      </c>
      <c r="D202" s="253" t="n">
        <v>144.854724</v>
      </c>
      <c r="E202" s="253" t="n">
        <v>148.681074</v>
      </c>
      <c r="F202" s="253" t="n">
        <v>150.375531</v>
      </c>
      <c r="G202" s="253" t="n">
        <v>149.719137</v>
      </c>
      <c r="H202" s="253" t="n">
        <v>150.27464</v>
      </c>
      <c r="I202" s="253" t="n">
        <v>147.750022</v>
      </c>
      <c r="J202" s="253" t="n">
        <v>143.156176</v>
      </c>
      <c r="K202" s="253" t="n">
        <v>141.238135</v>
      </c>
      <c r="L202" s="253" t="n">
        <v>138.70322</v>
      </c>
      <c r="M202" s="253" t="n">
        <v>136.392343</v>
      </c>
      <c r="N202" s="253" t="n">
        <v>135.316429</v>
      </c>
      <c r="O202" s="253" t="n">
        <v>134.26225</v>
      </c>
      <c r="P202" s="253" t="n">
        <v>133.406723</v>
      </c>
      <c r="Q202" s="253" t="n">
        <v>134.850808</v>
      </c>
      <c r="R202" s="253" t="n">
        <v>133.011088</v>
      </c>
      <c r="S202" s="253" t="n">
        <v>132.729245</v>
      </c>
      <c r="T202" s="253" t="n">
        <v>132.759877</v>
      </c>
      <c r="U202" s="253" t="n">
        <v>132.364339</v>
      </c>
      <c r="V202" s="253" t="n">
        <v>132.716436</v>
      </c>
      <c r="W202" s="253" t="n">
        <v>131.530633</v>
      </c>
      <c r="X202" s="253" t="n">
        <v>131.133145</v>
      </c>
      <c r="Y202" s="253" t="n">
        <v>130.48905</v>
      </c>
      <c r="Z202" s="253" t="n">
        <v>130.040939</v>
      </c>
      <c r="AA202" s="253" t="n">
        <v>130.815903</v>
      </c>
      <c r="AB202" s="253" t="n">
        <v>129.917263</v>
      </c>
      <c r="AC202" s="253" t="n">
        <v>128.848077</v>
      </c>
      <c r="AD202" s="253" t="n">
        <v>127.940137</v>
      </c>
      <c r="AE202" s="253" t="n">
        <v>126.255581</v>
      </c>
      <c r="AF202" s="253" t="n">
        <v>128.290417</v>
      </c>
      <c r="AG202" s="253" t="n">
        <v>124.47567</v>
      </c>
      <c r="AH202" s="253" t="n">
        <v>122.881563</v>
      </c>
      <c r="AI202" s="253" t="n">
        <v>121.347528</v>
      </c>
      <c r="AJ202" s="253" t="n">
        <v>120.738749</v>
      </c>
      <c r="AK202" s="253" t="n">
        <v>122.375151</v>
      </c>
      <c r="AL202" s="253" t="n">
        <v>120.185147</v>
      </c>
      <c r="AM202" s="254">
        <f>AM146</f>
        <v>120.270811666667</v>
      </c>
      <c r="AN202" s="254">
        <f>AN146</f>
        <v>119.804145</v>
      </c>
      <c r="AO202" s="254">
        <f>AO146</f>
        <v>119.337478333333</v>
      </c>
      <c r="AP202" s="254">
        <f>AP146</f>
        <v>119.8993955</v>
      </c>
      <c r="AQ202" s="254">
        <f>AQ146</f>
        <v>115.011456140641</v>
      </c>
      <c r="AR202" s="254">
        <f>AR146</f>
        <v>106.931310910556</v>
      </c>
      <c r="AS202" s="254">
        <f>AS146</f>
        <v>98.8702201460992</v>
      </c>
      <c r="AT202" s="254">
        <f>AT146</f>
        <v>90.541097041407</v>
      </c>
      <c r="AU202" s="19" t="n"/>
    </row>
    <row r="203" ht="15" customHeight="1" s="251">
      <c r="B203" s="55" t="inlineStr">
        <is>
          <t>Adjusted diluted EPS ($) (model bridge)</t>
        </is>
      </c>
      <c r="C203" s="290">
        <f>IF(AND(ISNUMBER(C199),ISNUMBER(C202)),IFERROR(C199/C202,""),"")</f>
        <v>1.6134561020263</v>
      </c>
      <c r="D203" s="290">
        <f>IF(AND(ISNUMBER(D199),ISNUMBER(D202)),IFERROR(D199/D202,""),"")</f>
        <v>1.65358776977132</v>
      </c>
      <c r="E203" s="290">
        <f>IF(AND(ISNUMBER(E199),ISNUMBER(E202)),IFERROR(E199/E202,""),"")</f>
        <v>1.6272817614971</v>
      </c>
      <c r="F203" s="290">
        <f>IF(AND(ISNUMBER(F199),ISNUMBER(F202)),IFERROR(F199/F202,""),"")</f>
        <v>1.59769344388882</v>
      </c>
      <c r="G203" s="290">
        <f>IF(AND(ISNUMBER(G199),ISNUMBER(G202)),IFERROR(G199/G202,""),"")</f>
        <v>1.64607547797981</v>
      </c>
      <c r="H203" s="290">
        <f>IF(AND(ISNUMBER(H199),ISNUMBER(H202)),IFERROR(H199/H202,""),"")</f>
        <v>1.74585013146596</v>
      </c>
      <c r="I203" s="290">
        <f>IF(AND(ISNUMBER(I199),ISNUMBER(I202)),IFERROR(I199/I202,""),"")</f>
        <v>2.01482203501804</v>
      </c>
      <c r="J203" s="290">
        <f>IF(AND(ISNUMBER(J199),ISNUMBER(J202)),IFERROR(J199/J202,""),"")</f>
        <v>2.75941989397649</v>
      </c>
      <c r="K203" s="290">
        <f>IF(AND(ISNUMBER(K199),ISNUMBER(K202)),IFERROR(K199/K202,""),"")</f>
        <v>3.17703147241359</v>
      </c>
      <c r="L203" s="290">
        <f>IF(AND(ISNUMBER(L199),ISNUMBER(L202)),IFERROR(L199/L202,""),"")</f>
        <v>3.90430013088377</v>
      </c>
      <c r="M203" s="290">
        <f>IF(AND(ISNUMBER(M199),ISNUMBER(M202)),IFERROR(M199/M202,""),"")</f>
        <v>1.06961283009853</v>
      </c>
      <c r="N203" s="290">
        <f>IF(AND(ISNUMBER(N199),ISNUMBER(N202)),IFERROR(N199/N202,""),"")</f>
        <v>1.25743046322927</v>
      </c>
      <c r="O203" s="290">
        <f>IF(AND(ISNUMBER(O199),ISNUMBER(O202)),IFERROR(O199/O202,""),"")</f>
        <v>1.02004844995522</v>
      </c>
      <c r="P203" s="290">
        <f>IF(AND(ISNUMBER(P199),ISNUMBER(P202)),IFERROR(P199/P202,""),"")</f>
        <v>0.86246028245518</v>
      </c>
      <c r="Q203" s="290">
        <f>IF(AND(ISNUMBER(Q199),ISNUMBER(Q202)),IFERROR(Q199/Q202,""),"")</f>
        <v>4.21242563114638</v>
      </c>
      <c r="R203" s="290">
        <f>IF(AND(ISNUMBER(R199),ISNUMBER(R202)),IFERROR(R199/R202,""),"")</f>
        <v>1.13423626758094</v>
      </c>
      <c r="S203" s="290">
        <f>IF(AND(ISNUMBER(S199),ISNUMBER(S202)),IFERROR(S199/S202,""),"")</f>
        <v>1.339410918822</v>
      </c>
      <c r="T203" s="290">
        <f>IF(AND(ISNUMBER(T199),ISNUMBER(T202)),IFERROR(T199/T202,""),"")</f>
        <v>1.07323088285175</v>
      </c>
      <c r="U203" s="290">
        <f>IF(AND(ISNUMBER(U199),ISNUMBER(U202)),IFERROR(U199/U202,""),"")</f>
        <v>1.01165465722607</v>
      </c>
      <c r="V203" s="290">
        <f>IF(AND(ISNUMBER(V199),ISNUMBER(V202)),IFERROR(V199/V202,""),"")</f>
        <v>4.55884755675627</v>
      </c>
      <c r="W203" s="290">
        <f>IF(AND(ISNUMBER(W199),ISNUMBER(W202)),IFERROR(W199/W202,""),"")</f>
        <v>1.46777215008157</v>
      </c>
      <c r="X203" s="290">
        <f>IF(AND(ISNUMBER(X199),ISNUMBER(X202)),IFERROR(X199/X202,""),"")</f>
        <v>1.28985696179254</v>
      </c>
      <c r="Y203" s="290">
        <f>IF(AND(ISNUMBER(Y199),ISNUMBER(Y202)),IFERROR(Y199/Y202,""),"")</f>
        <v>1.41240203679926</v>
      </c>
      <c r="Z203" s="290">
        <f>IF(AND(ISNUMBER(Z199),ISNUMBER(Z202)),IFERROR(Z199/Z202,""),"")</f>
        <v>1.32620543442861</v>
      </c>
      <c r="AA203" s="290">
        <f>IF(AND(ISNUMBER(AA199),ISNUMBER(AA202)),IFERROR(AA199/AA202,""),"")</f>
        <v>5.49600609338759</v>
      </c>
      <c r="AB203" s="290">
        <f>IF(AND(ISNUMBER(AB199),ISNUMBER(AB202)),IFERROR(AB199/AB202,""),"")</f>
        <v>1.38250295497681</v>
      </c>
      <c r="AC203" s="290">
        <f>IF(AND(ISNUMBER(AC199),ISNUMBER(AC202)),IFERROR(AC199/AC202,""),"")</f>
        <v>1.80840882863933</v>
      </c>
      <c r="AD203" s="290">
        <f>IF(AND(ISNUMBER(AD199),ISNUMBER(AD202)),IFERROR(AD199/AD202,""),"")</f>
        <v>1.5467859003465</v>
      </c>
      <c r="AE203" s="290">
        <f>IF(AND(ISNUMBER(AE199),ISNUMBER(AE202)),IFERROR(AE199/AE202,""),"")</f>
        <v>1.6078497155702</v>
      </c>
      <c r="AF203" s="290">
        <f>IF(AND(ISNUMBER(AF199),ISNUMBER(AF202)),IFERROR(AF199/AF202,""),"")</f>
        <v>6.35277380071187</v>
      </c>
      <c r="AG203" s="290">
        <f>IF(AND(ISNUMBER(AG199),ISNUMBER(AG202)),IFERROR(AG199/AG202,""),"")</f>
        <v>1.47820051902512</v>
      </c>
      <c r="AH203" s="290">
        <f>IF(AND(ISNUMBER(AH199),ISNUMBER(AH202)),IFERROR(AH199/AH202,""),"")</f>
        <v>1.48923886978879</v>
      </c>
      <c r="AI203" s="290">
        <f>IF(AND(ISNUMBER(AI199),ISNUMBER(AI202)),IFERROR(AI199/AI202,""),"")</f>
        <v>1.77177074427095</v>
      </c>
      <c r="AJ203" s="290">
        <f>IF(AND(ISNUMBER(AJ199),ISNUMBER(AJ202)),IFERROR(AJ199/AJ202,""),"")</f>
        <v>1.78070422114445</v>
      </c>
      <c r="AK203" s="290">
        <f>IF(AND(ISNUMBER(AK199),ISNUMBER(AK202)),IFERROR(AK199/AK202,""),"")</f>
        <v>6.51276009457181</v>
      </c>
      <c r="AL203" s="290">
        <f>IF(AND(ISNUMBER(AL199),ISNUMBER(AL202)),IFERROR(AL199/AL202,""),"")</f>
        <v>1.8055475690353</v>
      </c>
      <c r="AM203" s="290">
        <f>IF(AND(ISNUMBER(AM199),ISNUMBER(AM202)),IFERROR(AM199/AM202,""),"")</f>
        <v>1.61713327140151</v>
      </c>
      <c r="AN203" s="290">
        <f>IF(AND(ISNUMBER(AN199),ISNUMBER(AN202)),IFERROR(AN199/AN202,""),"")</f>
        <v>1.40633589396239</v>
      </c>
      <c r="AO203" s="290">
        <f>IF(AND(ISNUMBER(AO199),ISNUMBER(AO202)),IFERROR(AO199/AO202,""),"")</f>
        <v>1.57455294147846</v>
      </c>
      <c r="AP203" s="290">
        <f>IF(AND(ISNUMBER(AP199),ISNUMBER(AP202)),IFERROR(AP199/AP202,""),"")</f>
        <v>6.40438573372105</v>
      </c>
      <c r="AQ203" s="290">
        <f>IF(AND(ISNUMBER(AQ199),ISNUMBER(AQ202)),IFERROR(AQ199/AQ202,""),"")</f>
        <v>6.96114601663524</v>
      </c>
      <c r="AR203" s="290">
        <f>IF(AND(ISNUMBER(AR199),ISNUMBER(AR202)),IFERROR(AR199/AR202,""),"")</f>
        <v>7.91695548914032</v>
      </c>
      <c r="AS203" s="290">
        <f>IF(AND(ISNUMBER(AS199),ISNUMBER(AS202)),IFERROR(AS199/AS202,""),"")</f>
        <v>9.03724737149246</v>
      </c>
      <c r="AT203" s="290">
        <f>IF(AND(ISNUMBER(AT199),ISNUMBER(AT202)),IFERROR(AT199/AT202,""),"")</f>
        <v>10.4487331403992</v>
      </c>
      <c r="AU203" s="19" t="n"/>
      <c r="AW203" s="20">
        <f>IFERROR((AT203/AK203)^(1/5)-1,"n/m")</f>
        <v>0.0991569526579208</v>
      </c>
      <c r="AX203" s="20">
        <f>IFERROR((AK203/L203)^(1/5)-1,"n/m")</f>
        <v>0.107756678679686</v>
      </c>
      <c r="AY203" s="20">
        <f>IFERROR((AK203/G203)^(1/10)-1,"n/m")</f>
        <v>0.147444090331593</v>
      </c>
      <c r="AZ203" s="20">
        <f>IFERROR((AK203/C203)^(1/14)-1,"n/m")</f>
        <v>0.104806652098507</v>
      </c>
    </row>
    <row r="204" ht="15" customHeight="1" s="251">
      <c r="B204" s="156" t="inlineStr">
        <is>
          <t xml:space="preserve">  Company-published adjusted diluted EPS ($)</t>
        </is>
      </c>
      <c r="C204" s="291" t="n">
        <v>1.61</v>
      </c>
      <c r="D204" s="291" t="n">
        <v>1.65</v>
      </c>
      <c r="E204" s="291" t="n">
        <v>1.63</v>
      </c>
      <c r="F204" s="291" t="n">
        <v>1.6</v>
      </c>
      <c r="G204" s="291" t="n">
        <v>1.65</v>
      </c>
      <c r="H204" s="291" t="n">
        <v>1.75</v>
      </c>
      <c r="I204" s="291" t="n">
        <v>2.01</v>
      </c>
      <c r="J204" s="291" t="n">
        <v>2.76</v>
      </c>
      <c r="K204" s="291" t="n">
        <v>3.18</v>
      </c>
      <c r="L204" s="291" t="n">
        <v>3.9</v>
      </c>
      <c r="M204" s="291" t="n">
        <v>1.07</v>
      </c>
      <c r="N204" s="291" t="n">
        <v>1.26</v>
      </c>
      <c r="O204" s="291" t="n">
        <v>1.02</v>
      </c>
      <c r="P204" s="291" t="n">
        <v>0.86</v>
      </c>
      <c r="Q204" s="291" t="n">
        <v>4.21</v>
      </c>
      <c r="R204" s="291" t="n">
        <v>1.13</v>
      </c>
      <c r="S204" s="291" t="n">
        <v>1.34</v>
      </c>
      <c r="T204" s="291" t="n">
        <v>1.07</v>
      </c>
      <c r="U204" s="291" t="n">
        <v>1.01</v>
      </c>
      <c r="V204" s="291" t="n">
        <v>4.56</v>
      </c>
      <c r="W204" s="291" t="n">
        <v>1.47</v>
      </c>
      <c r="X204" s="291" t="n">
        <v>1.29</v>
      </c>
      <c r="Y204" s="291" t="n">
        <v>1.41</v>
      </c>
      <c r="Z204" s="291" t="n">
        <v>1.33</v>
      </c>
      <c r="AA204" s="291" t="n">
        <v>5.5</v>
      </c>
      <c r="AB204" s="291" t="n">
        <v>1.38</v>
      </c>
      <c r="AC204" s="291" t="n">
        <v>1.81</v>
      </c>
      <c r="AD204" s="291" t="n">
        <v>1.55</v>
      </c>
      <c r="AE204" s="291" t="n">
        <v>1.61</v>
      </c>
      <c r="AF204" s="291" t="n">
        <v>6.35</v>
      </c>
      <c r="AG204" s="291" t="n">
        <v>1.48</v>
      </c>
      <c r="AH204" s="291" t="n">
        <v>1.49</v>
      </c>
      <c r="AI204" s="291" t="n">
        <v>1.77</v>
      </c>
      <c r="AJ204" s="291" t="n">
        <v>1.78</v>
      </c>
      <c r="AK204" s="291" t="n">
        <v>6.51</v>
      </c>
      <c r="AL204" s="291" t="n">
        <v>1.81</v>
      </c>
      <c r="AM204" s="153" t="n"/>
      <c r="AN204" s="153" t="n"/>
      <c r="AO204" s="153" t="n"/>
      <c r="AP204" s="153" t="n"/>
      <c r="AQ204" s="153" t="n"/>
      <c r="AR204" s="153" t="n"/>
      <c r="AS204" s="153" t="n"/>
      <c r="AT204" s="153" t="n"/>
      <c r="AU204" s="153" t="n"/>
    </row>
    <row r="205" ht="15" customHeight="1" s="251">
      <c r="B205" s="57" t="inlineStr">
        <is>
          <t xml:space="preserve">  Check: model vs company-published (should be 0.00; ±0.01 rounding)</t>
        </is>
      </c>
      <c r="C205" s="292">
        <f>IF(AND(ISNUMBER(C204),ISNUMBER(C203)),IF(ABS(C203-C204)&lt;=0.0101,0,ROUND(C203-C204,2)),"n/p")</f>
        <v>0</v>
      </c>
      <c r="D205" s="292">
        <f>IF(AND(ISNUMBER(D204),ISNUMBER(D203)),IF(ABS(D203-D204)&lt;=0.0101,0,ROUND(D203-D204,2)),"n/p")</f>
        <v>0</v>
      </c>
      <c r="E205" s="292">
        <f>IF(AND(ISNUMBER(E204),ISNUMBER(E203)),IF(ABS(E203-E204)&lt;=0.0101,0,ROUND(E203-E204,2)),"n/p")</f>
        <v>0</v>
      </c>
      <c r="F205" s="292">
        <f>IF(AND(ISNUMBER(F204),ISNUMBER(F203)),IF(ABS(F203-F204)&lt;=0.0101,0,ROUND(F203-F204,2)),"n/p")</f>
        <v>0</v>
      </c>
      <c r="G205" s="292">
        <f>IF(AND(ISNUMBER(G204),ISNUMBER(G203)),IF(ABS(G203-G204)&lt;=0.0101,0,ROUND(G203-G204,2)),"n/p")</f>
        <v>0</v>
      </c>
      <c r="H205" s="292">
        <f>IF(AND(ISNUMBER(H204),ISNUMBER(H203)),IF(ABS(H203-H204)&lt;=0.0101,0,ROUND(H203-H204,2)),"n/p")</f>
        <v>0</v>
      </c>
      <c r="I205" s="292">
        <f>IF(AND(ISNUMBER(I204),ISNUMBER(I203)),IF(ABS(I203-I204)&lt;=0.0101,0,ROUND(I203-I204,2)),"n/p")</f>
        <v>0</v>
      </c>
      <c r="J205" s="292">
        <f>IF(AND(ISNUMBER(J204),ISNUMBER(J203)),IF(ABS(J203-J204)&lt;=0.0101,0,ROUND(J203-J204,2)),"n/p")</f>
        <v>0</v>
      </c>
      <c r="K205" s="292">
        <f>IF(AND(ISNUMBER(K204),ISNUMBER(K203)),IF(ABS(K203-K204)&lt;=0.0101,0,ROUND(K203-K204,2)),"n/p")</f>
        <v>0</v>
      </c>
      <c r="L205" s="292">
        <f>IF(AND(ISNUMBER(L204),ISNUMBER(L203)),IF(ABS(L203-L204)&lt;=0.0101,0,ROUND(L203-L204,2)),"n/p")</f>
        <v>0</v>
      </c>
      <c r="M205" s="292">
        <f>IF(AND(ISNUMBER(M204),ISNUMBER(M203)),IF(ABS(M203-M204)&lt;=0.0101,0,ROUND(M203-M204,2)),"n/p")</f>
        <v>0</v>
      </c>
      <c r="N205" s="292">
        <f>IF(AND(ISNUMBER(N204),ISNUMBER(N203)),IF(ABS(N203-N204)&lt;=0.0101,0,ROUND(N203-N204,2)),"n/p")</f>
        <v>0</v>
      </c>
      <c r="O205" s="292">
        <f>IF(AND(ISNUMBER(O204),ISNUMBER(O203)),IF(ABS(O203-O204)&lt;=0.0101,0,ROUND(O203-O204,2)),"n/p")</f>
        <v>0</v>
      </c>
      <c r="P205" s="292">
        <f>IF(AND(ISNUMBER(P204),ISNUMBER(P203)),IF(ABS(P203-P204)&lt;=0.0101,0,ROUND(P203-P204,2)),"n/p")</f>
        <v>0</v>
      </c>
      <c r="Q205" s="292">
        <f>IF(AND(ISNUMBER(Q204),ISNUMBER(Q203)),IF(ABS(Q203-Q204)&lt;=0.0101,0,ROUND(Q203-Q204,2)),"n/p")</f>
        <v>0</v>
      </c>
      <c r="R205" s="292">
        <f>IF(AND(ISNUMBER(R204),ISNUMBER(R203)),IF(ABS(R203-R204)&lt;=0.0101,0,ROUND(R203-R204,2)),"n/p")</f>
        <v>0</v>
      </c>
      <c r="S205" s="292">
        <f>IF(AND(ISNUMBER(S204),ISNUMBER(S203)),IF(ABS(S203-S204)&lt;=0.0101,0,ROUND(S203-S204,2)),"n/p")</f>
        <v>0</v>
      </c>
      <c r="T205" s="292">
        <f>IF(AND(ISNUMBER(T204),ISNUMBER(T203)),IF(ABS(T203-T204)&lt;=0.0101,0,ROUND(T203-T204,2)),"n/p")</f>
        <v>0</v>
      </c>
      <c r="U205" s="292">
        <f>IF(AND(ISNUMBER(U204),ISNUMBER(U203)),IF(ABS(U203-U204)&lt;=0.0101,0,ROUND(U203-U204,2)),"n/p")</f>
        <v>0</v>
      </c>
      <c r="V205" s="292">
        <f>IF(AND(ISNUMBER(V204),ISNUMBER(V203)),IF(ABS(V203-V204)&lt;=0.0101,0,ROUND(V203-V204,2)),"n/p")</f>
        <v>0</v>
      </c>
      <c r="W205" s="292">
        <f>IF(AND(ISNUMBER(W204),ISNUMBER(W203)),IF(ABS(W203-W204)&lt;=0.0101,0,ROUND(W203-W204,2)),"n/p")</f>
        <v>0</v>
      </c>
      <c r="X205" s="292">
        <f>IF(AND(ISNUMBER(X204),ISNUMBER(X203)),IF(ABS(X203-X204)&lt;=0.0101,0,ROUND(X203-X204,2)),"n/p")</f>
        <v>0</v>
      </c>
      <c r="Y205" s="292">
        <f>IF(AND(ISNUMBER(Y204),ISNUMBER(Y203)),IF(ABS(Y203-Y204)&lt;=0.0101,0,ROUND(Y203-Y204,2)),"n/p")</f>
        <v>0</v>
      </c>
      <c r="Z205" s="292">
        <f>IF(AND(ISNUMBER(Z204),ISNUMBER(Z203)),IF(ABS(Z203-Z204)&lt;=0.0101,0,ROUND(Z203-Z204,2)),"n/p")</f>
        <v>0</v>
      </c>
      <c r="AA205" s="292">
        <f>IF(AND(ISNUMBER(AA204),ISNUMBER(AA203)),IF(ABS(AA203-AA204)&lt;=0.0101,0,ROUND(AA203-AA204,2)),"n/p")</f>
        <v>0</v>
      </c>
      <c r="AB205" s="292">
        <f>IF(AND(ISNUMBER(AB204),ISNUMBER(AB203)),IF(ABS(AB203-AB204)&lt;=0.0101,0,ROUND(AB203-AB204,2)),"n/p")</f>
        <v>0</v>
      </c>
      <c r="AC205" s="292">
        <f>IF(AND(ISNUMBER(AC204),ISNUMBER(AC203)),IF(ABS(AC203-AC204)&lt;=0.0101,0,ROUND(AC203-AC204,2)),"n/p")</f>
        <v>0</v>
      </c>
      <c r="AD205" s="292">
        <f>IF(AND(ISNUMBER(AD204),ISNUMBER(AD203)),IF(ABS(AD203-AD204)&lt;=0.0101,0,ROUND(AD203-AD204,2)),"n/p")</f>
        <v>0</v>
      </c>
      <c r="AE205" s="292">
        <f>IF(AND(ISNUMBER(AE204),ISNUMBER(AE203)),IF(ABS(AE203-AE204)&lt;=0.0101,0,ROUND(AE203-AE204,2)),"n/p")</f>
        <v>0</v>
      </c>
      <c r="AF205" s="292">
        <f>IF(AND(ISNUMBER(AF204),ISNUMBER(AF203)),IF(ABS(AF203-AF204)&lt;=0.0101,0,ROUND(AF203-AF204,2)),"n/p")</f>
        <v>0</v>
      </c>
      <c r="AG205" s="292">
        <f>IF(AND(ISNUMBER(AG204),ISNUMBER(AG203)),IF(ABS(AG203-AG204)&lt;=0.0101,0,ROUND(AG203-AG204,2)),"n/p")</f>
        <v>0</v>
      </c>
      <c r="AH205" s="292">
        <f>IF(AND(ISNUMBER(AH204),ISNUMBER(AH203)),IF(ABS(AH203-AH204)&lt;=0.0101,0,ROUND(AH203-AH204,2)),"n/p")</f>
        <v>0</v>
      </c>
      <c r="AI205" s="292">
        <f>IF(AND(ISNUMBER(AI204),ISNUMBER(AI203)),IF(ABS(AI203-AI204)&lt;=0.0101,0,ROUND(AI203-AI204,2)),"n/p")</f>
        <v>0</v>
      </c>
      <c r="AJ205" s="292">
        <f>IF(AND(ISNUMBER(AJ204),ISNUMBER(AJ203)),IF(ABS(AJ203-AJ204)&lt;=0.0101,0,ROUND(AJ203-AJ204,2)),"n/p")</f>
        <v>0</v>
      </c>
      <c r="AK205" s="292">
        <f>IF(AND(ISNUMBER(AK204),ISNUMBER(AK203)),IF(ABS(AK203-AK204)&lt;=0.0101,0,ROUND(AK203-AK204,2)),"n/p")</f>
        <v>0</v>
      </c>
      <c r="AL205" s="292">
        <f>IF(AND(ISNUMBER(AL204),ISNUMBER(AL203)),IF(ABS(AL203-AL204)&lt;=0.0101,0,ROUND(AL203-AL204,2)),"n/p")</f>
        <v>0</v>
      </c>
      <c r="AM205" s="153" t="n"/>
      <c r="AN205" s="153" t="n"/>
      <c r="AO205" s="153" t="n"/>
      <c r="AP205" s="153" t="n"/>
      <c r="AQ205" s="153" t="n"/>
      <c r="AR205" s="153" t="n"/>
      <c r="AS205" s="153" t="n"/>
      <c r="AT205" s="153" t="n"/>
      <c r="AU205" s="153" t="n"/>
    </row>
    <row r="206" ht="15" customHeight="1" s="251">
      <c r="B206" s="22" t="inlineStr">
        <is>
          <t xml:space="preserve">  Adjusted EPS y/y %</t>
        </is>
      </c>
      <c r="C206" s="23" t="n"/>
      <c r="D206" s="255">
        <f>IF(AND(ISNUMBER(D203),ISNUMBER(C203)),IFERROR(D203/C203-1,""),"")</f>
        <v>0.0248731079169882</v>
      </c>
      <c r="E206" s="255">
        <f>IF(AND(ISNUMBER(E203),ISNUMBER(D203)),IFERROR(E203/D203-1,""),"")</f>
        <v>-0.0159084439030784</v>
      </c>
      <c r="F206" s="255">
        <f>IF(AND(ISNUMBER(F203),ISNUMBER(E203)),IFERROR(F203/E203-1,""),"")</f>
        <v>-0.0181826640649216</v>
      </c>
      <c r="G206" s="255">
        <f>IF(AND(ISNUMBER(G203),ISNUMBER(F203)),IFERROR(G203/F203-1,""),"")</f>
        <v>0.030282426379137</v>
      </c>
      <c r="H206" s="255">
        <f>IF(AND(ISNUMBER(H203),ISNUMBER(G203)),IFERROR(H203/G203-1,""),"")</f>
        <v>0.0606136564336646</v>
      </c>
      <c r="I206" s="255">
        <f>IF(AND(ISNUMBER(I203),ISNUMBER(H203)),IFERROR(I203/H203-1,""),"")</f>
        <v>0.154063569778596</v>
      </c>
      <c r="J206" s="255">
        <f>IF(AND(ISNUMBER(J203),ISNUMBER(I203)),IFERROR(J203/I203-1,""),"")</f>
        <v>0.369560113011067</v>
      </c>
      <c r="K206" s="255">
        <f>IF(AND(ISNUMBER(K203),ISNUMBER(J203)),IFERROR(K203/J203-1,""),"")</f>
        <v>0.151340352132962</v>
      </c>
      <c r="L206" s="255">
        <f>IF(AND(ISNUMBER(L203),ISNUMBER(K203)),IFERROR(L203/K203-1,""),"")</f>
        <v>0.228914527534619</v>
      </c>
      <c r="M206" s="23" t="n"/>
      <c r="N206" s="23" t="n"/>
      <c r="O206" s="23" t="n"/>
      <c r="P206" s="23" t="n"/>
      <c r="Q206" s="255">
        <f>IF(AND(ISNUMBER(Q203),ISNUMBER(L203)),IFERROR(Q203/L203-1,""),"")</f>
        <v>0.0789195220483394</v>
      </c>
      <c r="R206" s="255">
        <f>IF(AND(ISNUMBER(R203),ISNUMBER(M203)),IFERROR(R203/M203-1,""),"")</f>
        <v>0.0604175975305501</v>
      </c>
      <c r="S206" s="255">
        <f>IF(AND(ISNUMBER(S203),ISNUMBER(N203)),IFERROR(S203/N203-1,""),"")</f>
        <v>0.0651968104718841</v>
      </c>
      <c r="T206" s="255">
        <f>IF(AND(ISNUMBER(T203),ISNUMBER(O203)),IFERROR(T203/O203-1,""),"")</f>
        <v>0.0521371635816599</v>
      </c>
      <c r="U206" s="255">
        <f>IF(AND(ISNUMBER(U203),ISNUMBER(P203)),IFERROR(U203/P203-1,""),"")</f>
        <v>0.172986951174346</v>
      </c>
      <c r="V206" s="255">
        <f>IF(AND(ISNUMBER(V203),ISNUMBER(Q203)),IFERROR(V203/Q203-1,""),"")</f>
        <v>0.0822381107570109</v>
      </c>
      <c r="W206" s="255">
        <f>IF(AND(ISNUMBER(W203),ISNUMBER(R203)),IFERROR(W203/R203-1,""),"")</f>
        <v>0.294062085681659</v>
      </c>
      <c r="X206" s="255">
        <f>IF(AND(ISNUMBER(X203),ISNUMBER(S203)),IFERROR(X203/S203-1,""),"")</f>
        <v>-0.0369968292277656</v>
      </c>
      <c r="Y206" s="255">
        <f>IF(AND(ISNUMBER(Y203),ISNUMBER(T203)),IFERROR(Y203/T203-1,""),"")</f>
        <v>0.3160281346417</v>
      </c>
      <c r="Z206" s="255">
        <f>IF(AND(ISNUMBER(Z203),ISNUMBER(U203)),IFERROR(Z203/U203-1,""),"")</f>
        <v>0.310927029254269</v>
      </c>
      <c r="AA206" s="255">
        <f>IF(AND(ISNUMBER(AA203),ISNUMBER(V203)),IFERROR(AA203/V203-1,""),"")</f>
        <v>0.205569176192882</v>
      </c>
      <c r="AB206" s="255">
        <f>IF(AND(ISNUMBER(AB203),ISNUMBER(W203)),IFERROR(AB203/W203-1,""),"")</f>
        <v>-0.058094299649995</v>
      </c>
      <c r="AC206" s="255">
        <f>IF(AND(ISNUMBER(AC203),ISNUMBER(X203)),IFERROR(AC203/X203-1,""),"")</f>
        <v>0.402022768575946</v>
      </c>
      <c r="AD206" s="255">
        <f>IF(AND(ISNUMBER(AD203),ISNUMBER(Y203)),IFERROR(AD203/Y203-1,""),"")</f>
        <v>0.095145617215183</v>
      </c>
      <c r="AE206" s="255">
        <f>IF(AND(ISNUMBER(AE203),ISNUMBER(Z203)),IFERROR(AE203/Z203-1,""),"")</f>
        <v>0.21236851684515</v>
      </c>
      <c r="AF206" s="255">
        <f>IF(AND(ISNUMBER(AF203),ISNUMBER(AA203)),IFERROR(AF203/AA203-1,""),"")</f>
        <v>0.155889148004235</v>
      </c>
      <c r="AG206" s="255">
        <f>IF(AND(ISNUMBER(AG203),ISNUMBER(AB203)),IFERROR(AG203/AB203-1,""),"")</f>
        <v>0.0692205132031083</v>
      </c>
      <c r="AH206" s="255">
        <f>IF(AND(ISNUMBER(AH203),ISNUMBER(AC203)),IFERROR(AH203/AC203-1,""),"")</f>
        <v>-0.17649214812266</v>
      </c>
      <c r="AI206" s="255">
        <f>IF(AND(ISNUMBER(AI203),ISNUMBER(AD203)),IFERROR(AI203/AD203-1,""),"")</f>
        <v>0.145453125654977</v>
      </c>
      <c r="AJ206" s="255">
        <f>IF(AND(ISNUMBER(AJ203),ISNUMBER(AE203)),IFERROR(AJ203/AE203-1,""),"")</f>
        <v>0.107506630688398</v>
      </c>
      <c r="AK206" s="255">
        <f>IF(AND(ISNUMBER(AK203),ISNUMBER(AF203)),IFERROR(AK203/AF203-1,""),"")</f>
        <v>0.0251836912313832</v>
      </c>
      <c r="AL206" s="255">
        <f>IF(AND(ISNUMBER(AL203),ISNUMBER(AG203)),IFERROR(AL203/AG203-1,""),"")</f>
        <v>0.221449692242065</v>
      </c>
      <c r="AM206" s="256">
        <f>IF(AND(ISNUMBER(AM203),ISNUMBER(AH203)),IFERROR(AM203/AH203-1,""),"")</f>
        <v>0.0858790380826293</v>
      </c>
      <c r="AN206" s="256">
        <f>IF(AND(ISNUMBER(AN203),ISNUMBER(AI203)),IFERROR(AN203/AI203-1,""),"")</f>
        <v>-0.206254026651135</v>
      </c>
      <c r="AO206" s="256">
        <f>IF(AND(ISNUMBER(AO203),ISNUMBER(AJ203)),IFERROR(AO203/AJ203-1,""),"")</f>
        <v>-0.115769523774981</v>
      </c>
      <c r="AP206" s="256">
        <f>IF(AND(ISNUMBER(AP203),ISNUMBER(AK203)),IFERROR(AP203/AK203-1,""),"")</f>
        <v>-0.0166403121375663</v>
      </c>
      <c r="AQ206" s="256">
        <f>IF(AND(ISNUMBER(AQ203),ISNUMBER(AP203)),IFERROR(AQ203/AP203-1,""),"")</f>
        <v>0.0869342207142019</v>
      </c>
      <c r="AR206" s="256">
        <f>IF(AND(ISNUMBER(AR203),ISNUMBER(AQ203)),IFERROR(AR203/AQ203-1,""),"")</f>
        <v>0.137306338671959</v>
      </c>
      <c r="AS206" s="256">
        <f>IF(AND(ISNUMBER(AS203),ISNUMBER(AR203)),IFERROR(AS203/AR203-1,""),"")</f>
        <v>0.141505391041902</v>
      </c>
      <c r="AT206" s="256">
        <f>IF(AND(ISNUMBER(AT203),ISNUMBER(AS203)),IFERROR(AT203/AS203-1,""),"")</f>
        <v>0.156185363848642</v>
      </c>
      <c r="AU206" s="153" t="n"/>
    </row>
    <row r="207" ht="15" customHeight="1" s="251">
      <c r="B207" s="25" t="inlineStr">
        <is>
          <t xml:space="preserve">  Adjusted income before tax (income before tax + pre-tax adjusting items)</t>
        </is>
      </c>
      <c r="C207" s="260">
        <f>IF(ISNUMBER(C131),C131+N(C194)+C195+N(C196),"")</f>
        <v>384.763</v>
      </c>
      <c r="D207" s="260">
        <f>IF(ISNUMBER(D131),D131+N(D194)+D195+N(D196),"")</f>
        <v>402.432</v>
      </c>
      <c r="E207" s="260">
        <f>IF(ISNUMBER(E131),E131+N(E194)+E195+N(E196),"")</f>
        <v>397.05</v>
      </c>
      <c r="F207" s="260">
        <f>IF(ISNUMBER(F131),F131+N(F194)+F195+N(F196),"")</f>
        <v>398.727</v>
      </c>
      <c r="G207" s="260">
        <f>IF(ISNUMBER(G131),G131+N(G194)+G195+N(G196),"")</f>
        <v>388.888</v>
      </c>
      <c r="H207" s="260">
        <f>IF(ISNUMBER(H131),H131+N(H194)+H195+N(H196),"")</f>
        <v>428.345</v>
      </c>
      <c r="I207" s="260">
        <f>IF(ISNUMBER(I131),I131+N(I194)+I195+N(I196),"")</f>
        <v>440.659</v>
      </c>
      <c r="J207" s="260">
        <f>IF(ISNUMBER(J131),J131+N(J194)+J195+N(J196),"")</f>
        <v>521.983</v>
      </c>
      <c r="K207" s="260">
        <f>IF(ISNUMBER(K131),K131+N(K194)+K195+N(K196),"")</f>
        <v>585.62</v>
      </c>
      <c r="L207" s="260">
        <f>IF(ISNUMBER(L131),L131+N(L194)+L195+N(L196),"")</f>
        <v>679.068</v>
      </c>
      <c r="M207" s="260">
        <f>IF(ISNUMBER(M131),M131+N(M194)+M195+N(M196),"")</f>
        <v>192.136</v>
      </c>
      <c r="N207" s="260">
        <f>IF(ISNUMBER(N131),N131+N(N194)+N195+N(N196),"")</f>
        <v>221.659</v>
      </c>
      <c r="O207" s="260">
        <f>IF(ISNUMBER(O131),O131+N(O194)+O195+N(O196),"")</f>
        <v>169.892</v>
      </c>
      <c r="P207" s="260">
        <f>IF(ISNUMBER(P131),P131+N(P194)+P195+N(P196),"")</f>
        <v>153.227</v>
      </c>
      <c r="Q207" s="260">
        <f>IF(ISNUMBER(Q131),Q131+N(Q194)+Q195+N(Q196),"")</f>
        <v>736.914</v>
      </c>
      <c r="R207" s="260">
        <f>IF(ISNUMBER(R131),R131+N(R194)+R195+N(R196),"")</f>
        <v>196.585</v>
      </c>
      <c r="S207" s="260">
        <f>IF(ISNUMBER(S131),S131+N(S194)+S195+N(S196),"")</f>
        <v>228.963</v>
      </c>
      <c r="T207" s="260">
        <f>IF(ISNUMBER(T131),T131+N(T194)+T195+N(T196),"")</f>
        <v>185.733</v>
      </c>
      <c r="U207" s="260">
        <f>IF(ISNUMBER(U131),U131+N(U194)+U195+N(U196),"")</f>
        <v>171.3</v>
      </c>
      <c r="V207" s="260">
        <f>IF(ISNUMBER(V131),V131+N(V194)+V195+N(V196),"")</f>
        <v>782.581</v>
      </c>
      <c r="W207" s="260">
        <f>IF(ISNUMBER(W131),W131+N(W194)+W195+N(W196),"")</f>
        <v>245.479</v>
      </c>
      <c r="X207" s="260">
        <f>IF(ISNUMBER(X131),X131+N(X194)+X195+N(X196),"")</f>
        <v>223.226</v>
      </c>
      <c r="Y207" s="260">
        <f>IF(ISNUMBER(Y131),Y131+N(Y194)+Y195+N(Y196),"")</f>
        <v>223.995</v>
      </c>
      <c r="Z207" s="260">
        <f>IF(ISNUMBER(Z131),Z131+N(Z194)+Z195+N(Z196),"")</f>
        <v>221.66</v>
      </c>
      <c r="AA207" s="260">
        <f>IF(ISNUMBER(AA131),AA131+N(AA194)+AA195+N(AA196),"")</f>
        <v>914.361</v>
      </c>
      <c r="AB207" s="260">
        <f>IF(ISNUMBER(AB131),AB131+N(AB194)+AB195+N(AB196),"")</f>
        <v>233.791</v>
      </c>
      <c r="AC207" s="260">
        <f>IF(ISNUMBER(AC131),AC131+N(AC194)+AC195+N(AC196),"")</f>
        <v>301.052</v>
      </c>
      <c r="AD207" s="260">
        <f>IF(ISNUMBER(AD131),AD131+N(AD194)+AD195+N(AD196),"")</f>
        <v>263.187</v>
      </c>
      <c r="AE207" s="260">
        <f>IF(ISNUMBER(AE131),AE131+N(AE194)+AE195+N(AE196),"")</f>
        <v>256</v>
      </c>
      <c r="AF207" s="260">
        <f>IF(ISNUMBER(AF131),AF131+N(AF194)+AF195+N(AF196),"")</f>
        <v>1057</v>
      </c>
      <c r="AG207" s="260">
        <f>IF(ISNUMBER(AG131),AG131+N(AG194)+AG195+N(AG196),"")</f>
        <v>242</v>
      </c>
      <c r="AH207" s="260">
        <f>IF(ISNUMBER(AH131),AH131+N(AH194)+AH195+N(AH196),"")</f>
        <v>245</v>
      </c>
      <c r="AI207" s="260">
        <f>IF(ISNUMBER(AI131),AI131+N(AI194)+AI195+N(AI196),"")</f>
        <v>207</v>
      </c>
      <c r="AJ207" s="260">
        <f>IF(ISNUMBER(AJ131),AJ131+N(AJ194)+AJ195+N(AJ196),"")</f>
        <v>242</v>
      </c>
      <c r="AK207" s="260">
        <f>IF(ISNUMBER(AK131),AK131+N(AK194)+AK195+N(AK196),"")</f>
        <v>936</v>
      </c>
      <c r="AL207" s="260">
        <f>IF(ISNUMBER(AL131),AL131+N(AL194)+AL195+N(AL196),"")</f>
        <v>276</v>
      </c>
      <c r="AM207" s="254">
        <f>IF(ISNUMBER(AM131),AM131+N(AM194)+AM195+N(AM196),"")</f>
        <v>249.081818889081</v>
      </c>
      <c r="AN207" s="254">
        <f>IF(ISNUMBER(AN131),AN131+N(AN194)+AN195+N(AN196),"")</f>
        <v>216.189642495509</v>
      </c>
      <c r="AO207" s="254">
        <f>IF(ISNUMBER(AO131),AO131+N(AO194)+AO195+N(AO196),"")</f>
        <v>240.926340813212</v>
      </c>
      <c r="AP207" s="254">
        <f>IF(ISNUMBER(AP131),AP131+N(AP194)+AP195+N(AP196),"")</f>
        <v>982.197802197802</v>
      </c>
      <c r="AQ207" s="254">
        <f>IF(ISNUMBER(AQ131),AQ131+N(AQ194)+AQ195+N(AQ196),"")</f>
        <v>1036.97081745915</v>
      </c>
      <c r="AR207" s="254">
        <f>IF(ISNUMBER(AR131),AR131+N(AR194)+AR195+N(AR196),"")</f>
        <v>1096.23930338619</v>
      </c>
      <c r="AS207" s="254">
        <f>IF(ISNUMBER(AS131),AS131+N(AS194)+AS195+N(AS196),"")</f>
        <v>1156.80626565705</v>
      </c>
      <c r="AT207" s="254">
        <f>IF(ISNUMBER(AT131),AT131+N(AT194)+AT195+N(AT196),"")</f>
        <v>1224.68279674148</v>
      </c>
      <c r="AU207" s="19" t="n"/>
    </row>
    <row r="208" ht="15" customHeight="1" s="251">
      <c r="B208" s="25" t="inlineStr">
        <is>
          <t xml:space="preserve">  Adjusted income tax (tax − tax effect − discrete items)</t>
        </is>
      </c>
      <c r="C208" s="260">
        <f>IF(ISNUMBER(C132),C132-N(C197)-N(C198),"")</f>
        <v>157.569</v>
      </c>
      <c r="D208" s="260">
        <f>IF(ISNUMBER(D132),D132-N(D197)-N(D198),"")</f>
        <v>162.902</v>
      </c>
      <c r="E208" s="260">
        <f>IF(ISNUMBER(E132),E132-N(E197)-N(E198),"")</f>
        <v>155.104</v>
      </c>
      <c r="F208" s="260">
        <f>IF(ISNUMBER(F132),F132-N(F197)-N(F198),"")</f>
        <v>158.473</v>
      </c>
      <c r="G208" s="260">
        <f>IF(ISNUMBER(G132),G132-N(G197)-N(G198),"")</f>
        <v>142.439</v>
      </c>
      <c r="H208" s="260">
        <f>IF(ISNUMBER(H132),H132-N(H197)-N(H198),"")</f>
        <v>165.988</v>
      </c>
      <c r="I208" s="260">
        <f>IF(ISNUMBER(I132),I132-N(I197)-N(I198),"")</f>
        <v>142.969</v>
      </c>
      <c r="J208" s="260">
        <f>IF(ISNUMBER(J132),J132-N(J197)-N(J198),"")</f>
        <v>126.955</v>
      </c>
      <c r="K208" s="260">
        <f>IF(ISNUMBER(K132),K132-N(K197)-N(K198),"")</f>
        <v>136.902</v>
      </c>
      <c r="L208" s="260">
        <f>IF(ISNUMBER(L132),L132-N(L197)-N(L198),"")</f>
        <v>137.529</v>
      </c>
      <c r="M208" s="260">
        <f>IF(ISNUMBER(M132),M132-N(M197)-N(M198),"")</f>
        <v>46.249</v>
      </c>
      <c r="N208" s="260">
        <f>IF(ISNUMBER(N132),N132-N(N197)-N(N198),"")</f>
        <v>51.508</v>
      </c>
      <c r="O208" s="260">
        <f>IF(ISNUMBER(O132),O132-N(O197)-N(O198),"")</f>
        <v>32.938</v>
      </c>
      <c r="P208" s="260">
        <f>IF(ISNUMBER(P132),P132-N(P197)-N(P198),"")</f>
        <v>38.169</v>
      </c>
      <c r="Q208" s="260">
        <f>IF(ISNUMBER(Q132),Q132-N(Q197)-N(Q198),"")</f>
        <v>168.865</v>
      </c>
      <c r="R208" s="260">
        <f>IF(ISNUMBER(R132),R132-N(R197)-N(R198),"")</f>
        <v>45.91</v>
      </c>
      <c r="S208" s="260">
        <f>IF(ISNUMBER(S132),S132-N(S197)-N(S198),"")</f>
        <v>51.335</v>
      </c>
      <c r="T208" s="260">
        <f>IF(ISNUMBER(T132),T132-N(T197)-N(T198),"")</f>
        <v>43.559</v>
      </c>
      <c r="U208" s="260">
        <f>IF(ISNUMBER(U132),U132-N(U197)-N(U198),"")</f>
        <v>37.319</v>
      </c>
      <c r="V208" s="260">
        <f>IF(ISNUMBER(V132),V132-N(V197)-N(V198),"")</f>
        <v>178.123</v>
      </c>
      <c r="W208" s="260">
        <f>IF(ISNUMBER(W132),W132-N(W197)-N(W198),"")</f>
        <v>52.422</v>
      </c>
      <c r="X208" s="260">
        <f>IF(ISNUMBER(X132),X132-N(X197)-N(X198),"")</f>
        <v>54.083</v>
      </c>
      <c r="Y208" s="260">
        <f>IF(ISNUMBER(Y132),Y132-N(Y197)-N(Y198),"")</f>
        <v>39.692</v>
      </c>
      <c r="Z208" s="260">
        <f>IF(ISNUMBER(Z132),Z132-N(Z197)-N(Z198),"")</f>
        <v>49.199</v>
      </c>
      <c r="AA208" s="260">
        <f>IF(ISNUMBER(AA132),AA132-N(AA197)-N(AA198),"")</f>
        <v>195.396</v>
      </c>
      <c r="AB208" s="260">
        <f>IF(ISNUMBER(AB132),AB132-N(AB197)-N(AB198),"")</f>
        <v>54.18</v>
      </c>
      <c r="AC208" s="260">
        <f>IF(ISNUMBER(AC132),AC132-N(AC197)-N(AC198),"")</f>
        <v>68.042</v>
      </c>
      <c r="AD208" s="260">
        <f>IF(ISNUMBER(AD132),AD132-N(AD197)-N(AD198),"")</f>
        <v>65.291</v>
      </c>
      <c r="AE208" s="260">
        <f>IF(ISNUMBER(AE132),AE132-N(AE197)-N(AE198),"")</f>
        <v>53</v>
      </c>
      <c r="AF208" s="260">
        <f>IF(ISNUMBER(AF132),AF132-N(AF197)-N(AF198),"")</f>
        <v>242</v>
      </c>
      <c r="AG208" s="260">
        <f>IF(ISNUMBER(AG132),AG132-N(AG197)-N(AG198),"")</f>
        <v>58</v>
      </c>
      <c r="AH208" s="260">
        <f>IF(ISNUMBER(AH132),AH132-N(AH197)-N(AH198),"")</f>
        <v>62</v>
      </c>
      <c r="AI208" s="260">
        <f>IF(ISNUMBER(AI132),AI132-N(AI197)-N(AI198),"")</f>
        <v>-8</v>
      </c>
      <c r="AJ208" s="260">
        <f>IF(ISNUMBER(AJ132),AJ132-N(AJ197)-N(AJ198),"")</f>
        <v>27</v>
      </c>
      <c r="AK208" s="260">
        <f>IF(ISNUMBER(AK132),AK132-N(AK197)-N(AK198),"")</f>
        <v>139</v>
      </c>
      <c r="AL208" s="260">
        <f>IF(ISNUMBER(AL132),AL132-N(AL197)-N(AL198),"")</f>
        <v>59</v>
      </c>
      <c r="AM208" s="254">
        <f>IF(ISNUMBER(AM132),AM132-N(AM197)-N(AM198),"")</f>
        <v>54.5878877644491</v>
      </c>
      <c r="AN208" s="254">
        <f>IF(ISNUMBER(AN132),AN132-N(AN197)-N(AN198),"")</f>
        <v>47.7047731365344</v>
      </c>
      <c r="AO208" s="254">
        <f>IF(ISNUMBER(AO132),AO132-N(AO197)-N(AO198),"")</f>
        <v>53.0231632748406</v>
      </c>
      <c r="AP208" s="254">
        <f>IF(ISNUMBER(AP132),AP132-N(AP197)-N(AP198),"")</f>
        <v>214.315824175824</v>
      </c>
      <c r="AQ208" s="254">
        <f>IF(ISNUMBER(AQ132),AQ132-N(AQ197)-N(AQ198),"")</f>
        <v>236.359277678309</v>
      </c>
      <c r="AR208" s="254">
        <f>IF(ISNUMBER(AR132),AR132-N(AR197)-N(AR198),"")</f>
        <v>249.668874511892</v>
      </c>
      <c r="AS208" s="254">
        <f>IF(ISNUMBER(AS132),AS132-N(AS197)-N(AS198),"")</f>
        <v>263.291628522837</v>
      </c>
      <c r="AT208" s="254">
        <f>IF(ISNUMBER(AT132),AT132-N(AT197)-N(AT198),"")</f>
        <v>278.643035516834</v>
      </c>
      <c r="AU208" s="19" t="n"/>
    </row>
    <row r="209" ht="15" customHeight="1" s="251">
      <c r="B209" s="25" t="inlineStr">
        <is>
          <t xml:space="preserve">  Adjusted effective tax rate</t>
        </is>
      </c>
      <c r="C209" s="215">
        <f>IF(AND(ISNUMBER(C208),ISNUMBER(C207)),IFERROR(C208/C207,""),"")</f>
        <v>0.409522225369903</v>
      </c>
      <c r="D209" s="215">
        <f>IF(AND(ISNUMBER(D208),ISNUMBER(D207)),IFERROR(D208/D207,""),"")</f>
        <v>0.404793853371501</v>
      </c>
      <c r="E209" s="215">
        <f>IF(AND(ISNUMBER(E208),ISNUMBER(E207)),IFERROR(E208/E207,""),"")</f>
        <v>0.390640977206901</v>
      </c>
      <c r="F209" s="215">
        <f>IF(AND(ISNUMBER(F208),ISNUMBER(F207)),IFERROR(F208/F207,""),"")</f>
        <v>0.397447376274995</v>
      </c>
      <c r="G209" s="215">
        <f>IF(AND(ISNUMBER(G208),ISNUMBER(G207)),IFERROR(G208/G207,""),"")</f>
        <v>0.366272551480118</v>
      </c>
      <c r="H209" s="215">
        <f>IF(AND(ISNUMBER(H208),ISNUMBER(H207)),IFERROR(H208/H207,""),"")</f>
        <v>0.387510067819164</v>
      </c>
      <c r="I209" s="215">
        <f>IF(AND(ISNUMBER(I208),ISNUMBER(I207)),IFERROR(I208/I207,""),"")</f>
        <v>0.324443617400303</v>
      </c>
      <c r="J209" s="215">
        <f>IF(AND(ISNUMBER(J208),ISNUMBER(J207)),IFERROR(J208/J207,""),"")</f>
        <v>0.243216733111998</v>
      </c>
      <c r="K209" s="215">
        <f>IF(AND(ISNUMBER(K208),ISNUMBER(K207)),IFERROR(K208/K207,""),"")</f>
        <v>0.233772753662785</v>
      </c>
      <c r="L209" s="215">
        <f>IF(AND(ISNUMBER(L208),ISNUMBER(L207)),IFERROR(L208/L207,""),"")</f>
        <v>0.202526109314531</v>
      </c>
      <c r="M209" s="215">
        <f>IF(AND(ISNUMBER(M208),ISNUMBER(M207)),IFERROR(M208/M207,""),"")</f>
        <v>0.240709705625182</v>
      </c>
      <c r="N209" s="215">
        <f>IF(AND(ISNUMBER(N208),ISNUMBER(N207)),IFERROR(N208/N207,""),"")</f>
        <v>0.232374954321728</v>
      </c>
      <c r="O209" s="215">
        <f>IF(AND(ISNUMBER(O208),ISNUMBER(O207)),IFERROR(O208/O207,""),"")</f>
        <v>0.193876109528406</v>
      </c>
      <c r="P209" s="215">
        <f>IF(AND(ISNUMBER(P208),ISNUMBER(P207)),IFERROR(P208/P207,""),"")</f>
        <v>0.249101007002682</v>
      </c>
      <c r="Q209" s="215">
        <f>IF(AND(ISNUMBER(Q208),ISNUMBER(Q207)),IFERROR(Q208/Q207,""),"")</f>
        <v>0.229151569925392</v>
      </c>
      <c r="R209" s="215">
        <f>IF(AND(ISNUMBER(R208),ISNUMBER(R207)),IFERROR(R208/R207,""),"")</f>
        <v>0.233537655467101</v>
      </c>
      <c r="S209" s="215">
        <f>IF(AND(ISNUMBER(S208),ISNUMBER(S207)),IFERROR(S208/S207,""),"")</f>
        <v>0.224206531186262</v>
      </c>
      <c r="T209" s="215">
        <f>IF(AND(ISNUMBER(T208),ISNUMBER(T207)),IFERROR(T208/T207,""),"")</f>
        <v>0.234524828651882</v>
      </c>
      <c r="U209" s="215">
        <f>IF(AND(ISNUMBER(U208),ISNUMBER(U207)),IFERROR(U208/U207,""),"")</f>
        <v>0.217857559836544</v>
      </c>
      <c r="V209" s="215">
        <f>IF(AND(ISNUMBER(V208),ISNUMBER(V207)),IFERROR(V208/V207,""),"")</f>
        <v>0.22760966596429</v>
      </c>
      <c r="W209" s="215">
        <f>IF(AND(ISNUMBER(W208),ISNUMBER(W207)),IFERROR(W208/W207,""),"")</f>
        <v>0.213549835220121</v>
      </c>
      <c r="X209" s="215">
        <f>IF(AND(ISNUMBER(X208),ISNUMBER(X207)),IFERROR(X208/X207,""),"")</f>
        <v>0.24227912519151</v>
      </c>
      <c r="Y209" s="215">
        <f>IF(AND(ISNUMBER(Y208),ISNUMBER(Y207)),IFERROR(Y208/Y207,""),"")</f>
        <v>0.177200383937142</v>
      </c>
      <c r="Z209" s="215">
        <f>IF(AND(ISNUMBER(Z208),ISNUMBER(Z207)),IFERROR(Z208/Z207,""),"")</f>
        <v>0.22195705133989</v>
      </c>
      <c r="AA209" s="215">
        <f>IF(AND(ISNUMBER(AA208),ISNUMBER(AA207)),IFERROR(AA208/AA207,""),"")</f>
        <v>0.213696778405903</v>
      </c>
      <c r="AB209" s="215">
        <f>IF(AND(ISNUMBER(AB208),ISNUMBER(AB207)),IFERROR(AB208/AB207,""),"")</f>
        <v>0.231745447857274</v>
      </c>
      <c r="AC209" s="215">
        <f>IF(AND(ISNUMBER(AC208),ISNUMBER(AC207)),IFERROR(AC208/AC207,""),"")</f>
        <v>0.226014110519113</v>
      </c>
      <c r="AD209" s="215">
        <f>IF(AND(ISNUMBER(AD208),ISNUMBER(AD207)),IFERROR(AD208/AD207,""),"")</f>
        <v>0.248078362533104</v>
      </c>
      <c r="AE209" s="215">
        <f>IF(AND(ISNUMBER(AE208),ISNUMBER(AE207)),IFERROR(AE208/AE207,""),"")</f>
        <v>0.20703125</v>
      </c>
      <c r="AF209" s="215">
        <f>IF(AND(ISNUMBER(AF208),ISNUMBER(AF207)),IFERROR(AF208/AF207,""),"")</f>
        <v>0.228949858088931</v>
      </c>
      <c r="AG209" s="215">
        <f>IF(AND(ISNUMBER(AG208),ISNUMBER(AG207)),IFERROR(AG208/AG207,""),"")</f>
        <v>0.239669421487603</v>
      </c>
      <c r="AH209" s="215">
        <f>IF(AND(ISNUMBER(AH208),ISNUMBER(AH207)),IFERROR(AH208/AH207,""),"")</f>
        <v>0.253061224489796</v>
      </c>
      <c r="AI209" s="215">
        <f>IF(AND(ISNUMBER(AI208),ISNUMBER(AI207)),IFERROR(AI208/AI207,""),"")</f>
        <v>-0.0386473429951691</v>
      </c>
      <c r="AJ209" s="215">
        <f>IF(AND(ISNUMBER(AJ208),ISNUMBER(AJ207)),IFERROR(AJ208/AJ207,""),"")</f>
        <v>0.111570247933884</v>
      </c>
      <c r="AK209" s="215">
        <f>IF(AND(ISNUMBER(AK208),ISNUMBER(AK207)),IFERROR(AK208/AK207,""),"")</f>
        <v>0.148504273504274</v>
      </c>
      <c r="AL209" s="215">
        <f>IF(AND(ISNUMBER(AL208),ISNUMBER(AL207)),IFERROR(AL208/AL207,""),"")</f>
        <v>0.213768115942029</v>
      </c>
      <c r="AM209" s="256">
        <f>IF(AND(ISNUMBER(AM208),ISNUMBER(AM207)),IFERROR(AM208/AM207,""),"")</f>
        <v>0.219156452317211</v>
      </c>
      <c r="AN209" s="256">
        <f>IF(AND(ISNUMBER(AN208),ISNUMBER(AN207)),IFERROR(AN208/AN207,""),"")</f>
        <v>0.220661695841999</v>
      </c>
      <c r="AO209" s="256">
        <f>IF(AND(ISNUMBER(AO208),ISNUMBER(AO207)),IFERROR(AO208/AO207,""),"")</f>
        <v>0.22008039094384</v>
      </c>
      <c r="AP209" s="256">
        <f>IF(AND(ISNUMBER(AP208),ISNUMBER(AP207)),IFERROR(AP208/AP207,""),"")</f>
        <v>0.218200268516447</v>
      </c>
      <c r="AQ209" s="256">
        <f>IF(AND(ISNUMBER(AQ208),ISNUMBER(AQ207)),IFERROR(AQ208/AQ207,""),"")</f>
        <v>0.227932429436588</v>
      </c>
      <c r="AR209" s="256">
        <f>IF(AND(ISNUMBER(AR208),ISNUMBER(AR207)),IFERROR(AR208/AR207,""),"")</f>
        <v>0.227750340405317</v>
      </c>
      <c r="AS209" s="256">
        <f>IF(AND(ISNUMBER(AS208),ISNUMBER(AS207)),IFERROR(AS208/AS207,""),"")</f>
        <v>0.22760218053737</v>
      </c>
      <c r="AT209" s="256">
        <f>IF(AND(ISNUMBER(AT208),ISNUMBER(AT207)),IFERROR(AT208/AT207,""),"")</f>
        <v>0.22752261749591</v>
      </c>
      <c r="AU209" s="153" t="n"/>
      <c r="AW209" s="37">
        <f>IFERROR(AVERAGE(AP209,AQ209,AR209,AS209,AT209),"n/m")</f>
        <v>0.225801567278326</v>
      </c>
      <c r="AX209" s="37">
        <f>IFERROR(AVERAGE(Q209,V209,AA209,AF209,AK209),"n/m")</f>
        <v>0.209582429177758</v>
      </c>
      <c r="AY209" s="37">
        <f>IFERROR(AVERAGE(H209,I209,J209,K209,L209,Q209,V209,AA209,AF209,AK209),"n/m")</f>
        <v>0.243938142719757</v>
      </c>
      <c r="AZ209" s="37">
        <f>IFERROR(AVERAGE(C209,D209,E209,F209,G209,H209,I209,J209,K209,L209,Q209,V209,AA209,AF209,AK209),"n/m")</f>
        <v>0.293870560726733</v>
      </c>
    </row>
    <row r="210" ht="15" customHeight="1" s="251">
      <c r="B210" s="158" t="inlineStr">
        <is>
          <t xml:space="preserve">  Definition / basis (company adjusted EPS definition)</t>
        </is>
      </c>
      <c r="C210" s="296" t="inlineStr">
        <is>
          <t>Adjusted EPS = adjusted net income ÷ diluted shares (no two-class adjustment); tax effect at an assumed marginal rate of 40%</t>
        </is>
      </c>
      <c r="I210" s="296" t="inlineStr">
        <is>
          <t>FY2018: 40% to Q2, 36.5% from Q3 FY2018 (2017 Tax Act blended rate); deferred-tax remeasurement adjusted out</t>
        </is>
      </c>
      <c r="J210" s="296" t="inlineStr">
        <is>
          <t>FY2019+: tax effect at an assumed 26% (blended federal and state); discrete tax items (reserve releases, R&amp;D credits, deferred-tax remeasurement) adjusted out</t>
        </is>
      </c>
      <c r="M210" s="296" t="inlineStr">
        <is>
          <t>FY2022+: significant acquisition amortization added back; gains on investments / divestitures removed</t>
        </is>
      </c>
      <c r="AG210" s="296" t="inlineStr">
        <is>
          <t>FY2026: "acquisition amortization"; FY2026 tax effect includes the IRS agreement ($86m reserve release + $20m interest, net)</t>
        </is>
      </c>
      <c r="AM210" s="153" t="n"/>
      <c r="AN210" s="153" t="n"/>
      <c r="AO210" s="153" t="n"/>
      <c r="AP210" s="153" t="n"/>
      <c r="AQ210" s="153" t="n"/>
      <c r="AR210" s="153" t="n"/>
      <c r="AS210" s="153" t="n"/>
      <c r="AT210" s="153" t="n"/>
      <c r="AU210" s="19" t="n"/>
    </row>
    <row r="211" ht="15" customHeight="1" s="251">
      <c r="BC211" s="11" t="n"/>
      <c r="BD211" s="12" t="n"/>
      <c r="BE211" s="12" t="n"/>
      <c r="BF211" s="12" t="n"/>
      <c r="BG211" s="13" t="n"/>
    </row>
    <row r="212" ht="15" customHeight="1" s="251">
      <c r="B212" s="10" t="inlineStr">
        <is>
          <t>GROWTH &amp; MARGINS</t>
        </is>
      </c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inlineStr">
        <is>
          <t>GROWTH &amp; MARGINS (consolidated) — forecast outputs</t>
        </is>
      </c>
    </row>
    <row r="213" ht="15" customHeight="1" s="251">
      <c r="B213" s="22" t="inlineStr">
        <is>
          <t xml:space="preserve">  Revenue y/y %</t>
        </is>
      </c>
      <c r="C213" s="23" t="n"/>
      <c r="D213" s="255">
        <f>IF(AND(ISNUMBER(D120),ISNUMBER(C120)),IFERROR(D120/C120-1,""),"")</f>
        <v>-0.0172649319414296</v>
      </c>
      <c r="E213" s="255">
        <f>IF(AND(ISNUMBER(E120),ISNUMBER(D120)),IFERROR(E120/D120-1,""),"")</f>
        <v>-0.0485173910166603</v>
      </c>
      <c r="F213" s="255">
        <f>IF(AND(ISNUMBER(F120),ISNUMBER(E120)),IFERROR(F120/E120-1,""),"")</f>
        <v>-0.0372211036464354</v>
      </c>
      <c r="G213" s="255">
        <f>IF(AND(ISNUMBER(G120),ISNUMBER(F120)),IFERROR(G120/F120-1,""),"")</f>
        <v>0.0248291394695883</v>
      </c>
      <c r="H213" s="255">
        <f>IF(AND(ISNUMBER(H120),ISNUMBER(G120)),IFERROR(H120/G120-1,""),"")</f>
        <v>0.0737264736100787</v>
      </c>
      <c r="I213" s="255">
        <f>IF(AND(ISNUMBER(I120),ISNUMBER(H120)),IFERROR(I120/H120-1,""),"")</f>
        <v>0.0633271907439403</v>
      </c>
      <c r="J213" s="255">
        <f>IF(AND(ISNUMBER(J120),ISNUMBER(I120)),IFERROR(J120/I120-1,""),"")</f>
        <v>0.0862275883758088</v>
      </c>
      <c r="K213" s="255">
        <f>IF(AND(ISNUMBER(K120),ISNUMBER(J120)),IFERROR(K120/J120-1,""),"")</f>
        <v>0.113335293346382</v>
      </c>
      <c r="L213" s="255">
        <f>IF(AND(ISNUMBER(L120),ISNUMBER(K120)),IFERROR(L120/K120-1,""),"")</f>
        <v>0.0529348093026096</v>
      </c>
      <c r="M213" s="23" t="n"/>
      <c r="N213" s="23" t="n"/>
      <c r="O213" s="23" t="n"/>
      <c r="P213" s="23" t="n"/>
      <c r="Q213" s="255">
        <f>IF(AND(ISNUMBER(Q120),ISNUMBER(L120)),IFERROR(Q120/L120-1,""),"")</f>
        <v>0.0642277620716694</v>
      </c>
      <c r="R213" s="255">
        <f>IF(AND(ISNUMBER(R120),ISNUMBER(M120)),IFERROR(R120/M120-1,""),"")</f>
        <v>0.130983084523088</v>
      </c>
      <c r="S213" s="255">
        <f>IF(AND(ISNUMBER(S120),ISNUMBER(N120)),IFERROR(S120/N120-1,""),"")</f>
        <v>0.0916118322651349</v>
      </c>
      <c r="T213" s="255">
        <f>IF(AND(ISNUMBER(T120),ISNUMBER(O120)),IFERROR(T120/O120-1,""),"")</f>
        <v>0.121424068711463</v>
      </c>
      <c r="U213" s="255">
        <f>IF(AND(ISNUMBER(U120),ISNUMBER(P120)),IFERROR(U120/P120-1,""),"")</f>
        <v>0.0872110687930168</v>
      </c>
      <c r="V213" s="255">
        <f>IF(AND(ISNUMBER(V120),ISNUMBER(Q120)),IFERROR(V120/Q120-1,""),"")</f>
        <v>0.107035283427191</v>
      </c>
      <c r="W213" s="255">
        <f>IF(AND(ISNUMBER(W120),ISNUMBER(R120)),IFERROR(W120/R120-1,""),"")</f>
        <v>0.179981330014225</v>
      </c>
      <c r="X213" s="255">
        <f>IF(AND(ISNUMBER(X120),ISNUMBER(S120)),IFERROR(X120/S120-1,""),"")</f>
        <v>0.159769392981919</v>
      </c>
      <c r="Y213" s="255">
        <f>IF(AND(ISNUMBER(Y120),ISNUMBER(T120)),IFERROR(Y120/T120-1,""),"")</f>
        <v>0.128554012737399</v>
      </c>
      <c r="Z213" s="255">
        <f>IF(AND(ISNUMBER(Z120),ISNUMBER(U120)),IFERROR(Z120/U120-1,""),"")</f>
        <v>0.138935362873116</v>
      </c>
      <c r="AA213" s="255">
        <f>IF(AND(ISNUMBER(AA120),ISNUMBER(V120)),IFERROR(AA120/V120-1,""),"")</f>
        <v>0.151528079274118</v>
      </c>
      <c r="AB213" s="255">
        <f>IF(AND(ISNUMBER(AB120),ISNUMBER(W120)),IFERROR(AB120/W120-1,""),"")</f>
        <v>0.108236020080724</v>
      </c>
      <c r="AC213" s="255">
        <f>IF(AND(ISNUMBER(AC120),ISNUMBER(X120)),IFERROR(AC120/X120-1,""),"")</f>
        <v>0.180064974372553</v>
      </c>
      <c r="AD213" s="255">
        <f>IF(AND(ISNUMBER(AD120),ISNUMBER(Y120)),IFERROR(AD120/Y120-1,""),"")</f>
        <v>0.135181284465217</v>
      </c>
      <c r="AE213" s="255">
        <f>IF(AND(ISNUMBER(AE120),ISNUMBER(Z120)),IFERROR(AE120/Z120-1,""),"")</f>
        <v>0.073132113243944</v>
      </c>
      <c r="AF213" s="255">
        <f>IF(AND(ISNUMBER(AF120),ISNUMBER(AA120)),IFERROR(AF120/AA120-1,""),"")</f>
        <v>0.123627542418347</v>
      </c>
      <c r="AG213" s="255">
        <f>IF(AND(ISNUMBER(AG120),ISNUMBER(AB120)),IFERROR(AG120/AB120-1,""),"")</f>
        <v>-0.00604970363352742</v>
      </c>
      <c r="AH213" s="255">
        <f>IF(AND(ISNUMBER(AH120),ISNUMBER(AC120)),IFERROR(AH120/AC120-1,""),"")</f>
        <v>-0.0814858698201683</v>
      </c>
      <c r="AI213" s="255">
        <f>IF(AND(ISNUMBER(AI120),ISNUMBER(AD120)),IFERROR(AI120/AD120-1,""),"")</f>
        <v>-0.101875434921963</v>
      </c>
      <c r="AJ213" s="255">
        <f>IF(AND(ISNUMBER(AJ120),ISNUMBER(AE120)),IFERROR(AJ120/AE120-1,""),"")</f>
        <v>-0.0642232683254875</v>
      </c>
      <c r="AK213" s="255">
        <f>IF(AND(ISNUMBER(AK120),ISNUMBER(AF120)),IFERROR(AK120/AF120-1,""),"")</f>
        <v>-0.0636894824707847</v>
      </c>
      <c r="AL213" s="255">
        <f>IF(AND(ISNUMBER(AL120),ISNUMBER(AG120)),IFERROR(AL120/AG120-1,""),"")</f>
        <v>-0.0424076607387141</v>
      </c>
      <c r="AM213" s="256">
        <f>IF(AND(ISNUMBER(AM120),ISNUMBER(AH120)),IFERROR(AM120/AH120-1,""),"")</f>
        <v>0.0485229820894375</v>
      </c>
      <c r="AN213" s="256">
        <f>IF(AND(ISNUMBER(AN120),ISNUMBER(AI120)),IFERROR(AN120/AI120-1,""),"")</f>
        <v>0.0603952816263142</v>
      </c>
      <c r="AO213" s="256">
        <f>IF(AND(ISNUMBER(AO120),ISNUMBER(AJ120)),IFERROR(AO120/AJ120-1,""),"")</f>
        <v>0.0601236624835755</v>
      </c>
      <c r="AP213" s="256">
        <f>IF(AND(ISNUMBER(AP120),ISNUMBER(AK120)),IFERROR(AP120/AK120-1,""),"")</f>
        <v>0.0304708218588934</v>
      </c>
      <c r="AQ213" s="256">
        <f>IF(AND(ISNUMBER(AQ120),ISNUMBER(AP120)),IFERROR(AQ120/AP120-1,""),"")</f>
        <v>0.0312875244739888</v>
      </c>
      <c r="AR213" s="256">
        <f>IF(AND(ISNUMBER(AR120),ISNUMBER(AQ120)),IFERROR(AR120/AQ120-1,""),"")</f>
        <v>0.0465049354797509</v>
      </c>
      <c r="AS213" s="256">
        <f>IF(AND(ISNUMBER(AS120),ISNUMBER(AR120)),IFERROR(AS120/AR120-1,""),"")</f>
        <v>0.0508012861708023</v>
      </c>
      <c r="AT213" s="256">
        <f>IF(AND(ISNUMBER(AT120),ISNUMBER(AS120)),IFERROR(AT120/AS120-1,""),"")</f>
        <v>0.0525477162151693</v>
      </c>
      <c r="AU213" s="153" t="n"/>
      <c r="AW213" s="37">
        <f>IFERROR(AVERAGE(AP213,AQ213,AR213,AS213,AT213),"n/m")</f>
        <v>0.0423224568397209</v>
      </c>
      <c r="AX213" s="37">
        <f>IFERROR(AVERAGE(Q213,V213,AA213,AF213,AK213),"n/m")</f>
        <v>0.0765458369441081</v>
      </c>
      <c r="AY213" s="37">
        <f>IFERROR(AVERAGE(H213,I213,J213,K213,L213,Q213,V213,AA213,AF213,AK213),"n/m")</f>
        <v>0.077228054009936</v>
      </c>
      <c r="AZ213" s="37">
        <f>IFERROR(AVERAGE(C213,D213,E213,F213,G213,H213,I213,J213,K213,L213,Q213,V213,AA213,AF213,AK213),"n/m")</f>
        <v>0.0495790180688874</v>
      </c>
    </row>
    <row r="214" ht="15" customHeight="1" s="251">
      <c r="B214" s="22" t="inlineStr">
        <is>
          <t xml:space="preserve">  National Security revenue y/y %</t>
        </is>
      </c>
      <c r="C214" s="23" t="n"/>
      <c r="D214" s="255">
        <f>IF(AND(ISNUMBER(D11),ISNUMBER(C11)),IFERROR(D11/C11-1,""),"")</f>
      </c>
      <c r="E214" s="255">
        <f>IF(AND(ISNUMBER(E11),ISNUMBER(D11)),IFERROR(E11/D11-1,""),"")</f>
      </c>
      <c r="F214" s="255">
        <f>IF(AND(ISNUMBER(F11),ISNUMBER(E11)),IFERROR(F11/E11-1,""),"")</f>
      </c>
      <c r="G214" s="255">
        <f>IF(AND(ISNUMBER(G11),ISNUMBER(F11)),IFERROR(G11/F11-1,""),"")</f>
      </c>
      <c r="H214" s="255">
        <f>IF(AND(ISNUMBER(H11),ISNUMBER(G11)),IFERROR(H11/G11-1,""),"")</f>
      </c>
      <c r="I214" s="255">
        <f>IF(AND(ISNUMBER(I11),ISNUMBER(H11)),IFERROR(I11/H11-1,""),"")</f>
        <v>0.0693342795467078</v>
      </c>
      <c r="J214" s="255">
        <f>IF(AND(ISNUMBER(J11),ISNUMBER(I11)),IFERROR(J11/I11-1,""),"")</f>
        <v>0.0825164738122055</v>
      </c>
      <c r="K214" s="255">
        <f>IF(AND(ISNUMBER(K11),ISNUMBER(J11)),IFERROR(K11/J11-1,""),"")</f>
        <v>0.107132184299663</v>
      </c>
      <c r="L214" s="255">
        <f>IF(AND(ISNUMBER(L11),ISNUMBER(K11)),IFERROR(L11/K11-1,""),"")</f>
        <v>0.055419726203527</v>
      </c>
      <c r="M214" s="23" t="n"/>
      <c r="N214" s="23" t="n"/>
      <c r="O214" s="23" t="n"/>
      <c r="P214" s="23" t="n"/>
      <c r="Q214" s="255">
        <f>IF(AND(ISNUMBER(Q11),ISNUMBER(L11)),IFERROR(Q11/L11-1,""),"")</f>
        <v>0.0106571718505295</v>
      </c>
      <c r="R214" s="255">
        <f>IF(AND(ISNUMBER(R11),ISNUMBER(M11)),IFERROR(R11/M11-1,""),"")</f>
        <v>0.0563266163074543</v>
      </c>
      <c r="S214" s="255">
        <f>IF(AND(ISNUMBER(S11),ISNUMBER(N11)),IFERROR(S11/N11-1,""),"")</f>
        <v>0.0422963892117929</v>
      </c>
      <c r="T214" s="255">
        <f>IF(AND(ISNUMBER(T11),ISNUMBER(O11)),IFERROR(T11/O11-1,""),"")</f>
        <v>0.112241359907782</v>
      </c>
      <c r="U214" s="255">
        <f>IF(AND(ISNUMBER(U11),ISNUMBER(P11)),IFERROR(U11/P11-1,""),"")</f>
        <v>0.0634557637390187</v>
      </c>
      <c r="V214" s="255">
        <f>IF(AND(ISNUMBER(V11),ISNUMBER(Q11)),IFERROR(V11/Q11-1,""),"")</f>
        <v>0.0679861300784479</v>
      </c>
      <c r="W214" s="255">
        <f>IF(AND(ISNUMBER(W11),ISNUMBER(R11)),IFERROR(W11/R11-1,""),"")</f>
        <v>0.190317690713107</v>
      </c>
      <c r="X214" s="255">
        <f>IF(AND(ISNUMBER(X11),ISNUMBER(S11)),IFERROR(X11/S11-1,""),"")</f>
        <v>0.181494036789834</v>
      </c>
      <c r="Y214" s="255">
        <f>IF(AND(ISNUMBER(Y11),ISNUMBER(T11)),IFERROR(Y11/T11-1,""),"")</f>
        <v>0.11639419126283</v>
      </c>
      <c r="Z214" s="255">
        <f>IF(AND(ISNUMBER(Z11),ISNUMBER(U11)),IFERROR(Z11/U11-1,""),"")</f>
        <v>0.141023070492638</v>
      </c>
      <c r="AA214" s="255">
        <f>IF(AND(ISNUMBER(AA11),ISNUMBER(V11)),IFERROR(AA11/V11-1,""),"")</f>
        <v>0.156801095865911</v>
      </c>
      <c r="AB214" s="255">
        <f>IF(AND(ISNUMBER(AB11),ISNUMBER(W11)),IFERROR(AB11/W11-1,""),"")</f>
        <v>0.10412367254738</v>
      </c>
      <c r="AC214" s="255">
        <f>IF(AND(ISNUMBER(AC11),ISNUMBER(X11)),IFERROR(AC11/X11-1,""),"")</f>
        <v>0.189731079570665</v>
      </c>
      <c r="AD214" s="255">
        <f>IF(AND(ISNUMBER(AD11),ISNUMBER(Y11)),IFERROR(AD11/Y11-1,""),"")</f>
        <v>0.167085624845761</v>
      </c>
      <c r="AE214" s="255">
        <f>IF(AND(ISNUMBER(AE11),ISNUMBER(Z11)),IFERROR(AE11/Z11-1,""),"")</f>
        <v>0.114783346825852</v>
      </c>
      <c r="AF214" s="255">
        <f>IF(AND(ISNUMBER(AF11),ISNUMBER(AA11)),IFERROR(AF11/AA11-1,""),"")</f>
        <v>0.143453822034663</v>
      </c>
      <c r="AG214" s="255">
        <f>IF(AND(ISNUMBER(AG11),ISNUMBER(AB11)),IFERROR(AG11/AB11-1,""),"")</f>
        <v>0.0655468395965939</v>
      </c>
      <c r="AH214" s="255">
        <f>IF(AND(ISNUMBER(AH11),ISNUMBER(AC11)),IFERROR(AH11/AC11-1,""),"")</f>
        <v>0.0110128358934549</v>
      </c>
      <c r="AI214" s="255">
        <f>IF(AND(ISNUMBER(AI11),ISNUMBER(AD11)),IFERROR(AI11/AD11-1,""),"")</f>
        <v>-0.00937785466292873</v>
      </c>
      <c r="AJ214" s="255">
        <f>IF(AND(ISNUMBER(AJ11),ISNUMBER(AE11)),IFERROR(AJ11/AE11-1,""),"")</f>
        <v>0.015767818743107</v>
      </c>
      <c r="AK214" s="255">
        <f>IF(AND(ISNUMBER(AK11),ISNUMBER(AF11)),IFERROR(AK11/AF11-1,""),"")</f>
        <v>0.0203585147247118</v>
      </c>
      <c r="AL214" s="255">
        <f>IF(AND(ISNUMBER(AL11),ISNUMBER(AG11)),IFERROR(AL11/AG11-1,""),"")</f>
        <v>0.0134932533733134</v>
      </c>
      <c r="AM214" s="256">
        <f>IF(AND(ISNUMBER(AM11),ISNUMBER(AH11)),IFERROR(AM11/AH11-1,""),"")</f>
        <v>0.0926968239485344</v>
      </c>
      <c r="AN214" s="256">
        <f>IF(AND(ISNUMBER(AN11),ISNUMBER(AI11)),IFERROR(AN11/AI11-1,""),"")</f>
        <v>0.0926968239485344</v>
      </c>
      <c r="AO214" s="256">
        <f>IF(AND(ISNUMBER(AO11),ISNUMBER(AJ11)),IFERROR(AO11/AJ11-1,""),"")</f>
        <v>0.0926968239485344</v>
      </c>
      <c r="AP214" s="256">
        <f>IF(AND(ISNUMBER(AP11),ISNUMBER(AK11)),IFERROR(AP11/AK11-1,""),"")</f>
        <v>0.0728089654065571</v>
      </c>
      <c r="AQ214" s="256">
        <f>IF(AND(ISNUMBER(AQ11),ISNUMBER(AP11)),IFERROR(AQ11/AP11-1,""),"")</f>
        <v>0.04</v>
      </c>
      <c r="AR214" s="256">
        <f>IF(AND(ISNUMBER(AR11),ISNUMBER(AQ11)),IFERROR(AR11/AQ11-1,""),"")</f>
        <v>0.05</v>
      </c>
      <c r="AS214" s="256">
        <f>IF(AND(ISNUMBER(AS11),ISNUMBER(AR11)),IFERROR(AS11/AR11-1,""),"")</f>
        <v>0.05</v>
      </c>
      <c r="AT214" s="256">
        <f>IF(AND(ISNUMBER(AT11),ISNUMBER(AS11)),IFERROR(AT11/AS11-1,""),"")</f>
        <v>0.05</v>
      </c>
      <c r="AU214" s="153" t="n"/>
      <c r="AW214" s="37">
        <f>IFERROR(AVERAGE(AP214,AQ214,AR214,AS214,AT214),"n/m")</f>
        <v>0.0525617930813115</v>
      </c>
      <c r="AX214" s="37">
        <f>IFERROR(AVERAGE(Q214,V214,AA214,AF214,AK214),"n/m")</f>
        <v>0.0798513469108526</v>
      </c>
      <c r="AY214" s="37">
        <f>IFERROR(AVERAGE(H214,I214,J214,K214,L214,Q214,V214,AA214,AF214,AK214),"n/m")</f>
        <v>0.0792954887129296</v>
      </c>
      <c r="AZ214" s="37">
        <f>IFERROR(AVERAGE(C214,D214,E214,F214,G214,H214,I214,J214,K214,L214,Q214,V214,AA214,AF214,AK214),"n/m")</f>
        <v>0.0792954887129296</v>
      </c>
    </row>
    <row r="215" ht="15" customHeight="1" s="251">
      <c r="B215" s="22" t="inlineStr">
        <is>
          <t xml:space="preserve">  Civil &amp; Commercial revenue y/y %</t>
        </is>
      </c>
      <c r="C215" s="23" t="n"/>
      <c r="D215" s="255">
        <f>IF(AND(ISNUMBER(D16),ISNUMBER(C16)),IFERROR(D16/C16-1,""),"")</f>
      </c>
      <c r="E215" s="255">
        <f>IF(AND(ISNUMBER(E16),ISNUMBER(D16)),IFERROR(E16/D16-1,""),"")</f>
      </c>
      <c r="F215" s="255">
        <f>IF(AND(ISNUMBER(F16),ISNUMBER(E16)),IFERROR(F16/E16-1,""),"")</f>
      </c>
      <c r="G215" s="255">
        <f>IF(AND(ISNUMBER(G16),ISNUMBER(F16)),IFERROR(G16/F16-1,""),"")</f>
      </c>
      <c r="H215" s="255">
        <f>IF(AND(ISNUMBER(H16),ISNUMBER(G16)),IFERROR(H16/G16-1,""),"")</f>
      </c>
      <c r="I215" s="255">
        <f>IF(AND(ISNUMBER(I16),ISNUMBER(H16)),IFERROR(I16/H16-1,""),"")</f>
        <v>0.0440196884270729</v>
      </c>
      <c r="J215" s="255">
        <f>IF(AND(ISNUMBER(J16),ISNUMBER(I16)),IFERROR(J16/I16-1,""),"")</f>
        <v>0.097442280531457</v>
      </c>
      <c r="K215" s="255">
        <f>IF(AND(ISNUMBER(K16),ISNUMBER(J16)),IFERROR(K16/J16-1,""),"")</f>
        <v>0.127692826446804</v>
      </c>
      <c r="L215" s="255">
        <f>IF(AND(ISNUMBER(L16),ISNUMBER(K16)),IFERROR(L16/K16-1,""),"")</f>
        <v>0.0472881584064304</v>
      </c>
      <c r="M215" s="23" t="n"/>
      <c r="N215" s="23" t="n"/>
      <c r="O215" s="23" t="n"/>
      <c r="P215" s="23" t="n"/>
      <c r="Q215" s="255">
        <f>IF(AND(ISNUMBER(Q16),ISNUMBER(L16)),IFERROR(Q16/L16-1,""),"")</f>
        <v>0.186905148143884</v>
      </c>
      <c r="R215" s="255">
        <f>IF(AND(ISNUMBER(R16),ISNUMBER(M16)),IFERROR(R16/M16-1,""),"")</f>
        <v>0.289671016241766</v>
      </c>
      <c r="S215" s="255">
        <f>IF(AND(ISNUMBER(S16),ISNUMBER(N16)),IFERROR(S16/N16-1,""),"")</f>
        <v>0.187902620935237</v>
      </c>
      <c r="T215" s="255">
        <f>IF(AND(ISNUMBER(T16),ISNUMBER(O16)),IFERROR(T16/O16-1,""),"")</f>
        <v>0.138305664745056</v>
      </c>
      <c r="U215" s="255">
        <f>IF(AND(ISNUMBER(U16),ISNUMBER(P16)),IFERROR(U16/P16-1,""),"")</f>
        <v>0.132490196587634</v>
      </c>
      <c r="V215" s="255">
        <f>IF(AND(ISNUMBER(V16),ISNUMBER(Q16)),IFERROR(V16/Q16-1,""),"")</f>
        <v>0.183179610537565</v>
      </c>
      <c r="W215" s="255">
        <f>IF(AND(ISNUMBER(W16),ISNUMBER(R16)),IFERROR(W16/R16-1,""),"")</f>
        <v>0.161985851550944</v>
      </c>
      <c r="X215" s="255">
        <f>IF(AND(ISNUMBER(X16),ISNUMBER(S16)),IFERROR(X16/S16-1,""),"")</f>
        <v>0.122550379134335</v>
      </c>
      <c r="Y215" s="255">
        <f>IF(AND(ISNUMBER(Y16),ISNUMBER(T16)),IFERROR(Y16/T16-1,""),"")</f>
        <v>0.150396899468508</v>
      </c>
      <c r="Z215" s="255">
        <f>IF(AND(ISNUMBER(Z16),ISNUMBER(U16)),IFERROR(Z16/U16-1,""),"")</f>
        <v>0.135198629634386</v>
      </c>
      <c r="AA215" s="255">
        <f>IF(AND(ISNUMBER(AA16),ISNUMBER(V16)),IFERROR(AA16/V16-1,""),"")</f>
        <v>0.142246967467065</v>
      </c>
      <c r="AB215" s="255">
        <f>IF(AND(ISNUMBER(AB16),ISNUMBER(W16)),IFERROR(AB16/W16-1,""),"")</f>
        <v>0.115570133127532</v>
      </c>
      <c r="AC215" s="255">
        <f>IF(AND(ISNUMBER(AC16),ISNUMBER(X16)),IFERROR(AC16/X16-1,""),"")</f>
        <v>0.162635294612396</v>
      </c>
      <c r="AD215" s="255">
        <f>IF(AND(ISNUMBER(AD16),ISNUMBER(Y16)),IFERROR(AD16/Y16-1,""),"")</f>
        <v>0.0795649361324193</v>
      </c>
      <c r="AE215" s="255">
        <f>IF(AND(ISNUMBER(AE16),ISNUMBER(Z16)),IFERROR(AE16/Z16-1,""),"")</f>
        <v>-0.00116756708713217</v>
      </c>
      <c r="AF215" s="255">
        <f>IF(AND(ISNUMBER(AF16),ISNUMBER(AA16)),IFERROR(AF16/AA16-1,""),"")</f>
        <v>0.0882863847804845</v>
      </c>
      <c r="AG215" s="255">
        <f>IF(AND(ISNUMBER(AG16),ISNUMBER(AB16)),IFERROR(AG16/AB16-1,""),"")</f>
        <v>-0.132427473568646</v>
      </c>
      <c r="AH215" s="255">
        <f>IF(AND(ISNUMBER(AH16),ISNUMBER(AC16)),IFERROR(AH16/AC16-1,""),"")</f>
        <v>-0.252164382768855</v>
      </c>
      <c r="AI215" s="255">
        <f>IF(AND(ISNUMBER(AI16),ISNUMBER(AD16)),IFERROR(AI16/AD16-1,""),"")</f>
        <v>-0.276191342576067</v>
      </c>
      <c r="AJ215" s="255">
        <f>IF(AND(ISNUMBER(AJ16),ISNUMBER(AE16)),IFERROR(AJ16/AE16-1,""),"")</f>
        <v>-0.225430942517066</v>
      </c>
      <c r="AK215" s="255">
        <f>IF(AND(ISNUMBER(AK16),ISNUMBER(AF16)),IFERROR(AK16/AF16-1,""),"")</f>
        <v>-0.221103117505995</v>
      </c>
      <c r="AL215" s="255">
        <f>IF(AND(ISNUMBER(AL16),ISNUMBER(AG16)),IFERROR(AL16/AG16-1,""),"")</f>
        <v>-0.163596966413868</v>
      </c>
      <c r="AM215" s="256">
        <f>IF(AND(ISNUMBER(AM16),ISNUMBER(AH16)),IFERROR(AM16/AH16-1,""),"")</f>
        <v>-0.0843933958386469</v>
      </c>
      <c r="AN215" s="256">
        <f>IF(AND(ISNUMBER(AN16),ISNUMBER(AI16)),IFERROR(AN16/AI16-1,""),"")</f>
        <v>-0.0843933958386467</v>
      </c>
      <c r="AO215" s="256">
        <f>IF(AND(ISNUMBER(AO16),ISNUMBER(AJ16)),IFERROR(AO16/AJ16-1,""),"")</f>
        <v>-0.0843933958386468</v>
      </c>
      <c r="AP215" s="256">
        <f>IF(AND(ISNUMBER(AP16),ISNUMBER(AK16)),IFERROR(AP16/AK16-1,""),"")</f>
        <v>-0.106901060752726</v>
      </c>
      <c r="AQ215" s="256">
        <f>IF(AND(ISNUMBER(AQ16),ISNUMBER(AP16)),IFERROR(AQ16/AP16-1,""),"")</f>
        <v>-0.04</v>
      </c>
      <c r="AR215" s="256">
        <f>IF(AND(ISNUMBER(AR16),ISNUMBER(AQ16)),IFERROR(AR16/AQ16-1,""),"")</f>
        <v>0</v>
      </c>
      <c r="AS215" s="256">
        <f>IF(AND(ISNUMBER(AS16),ISNUMBER(AR16)),IFERROR(AS16/AR16-1,""),"")</f>
        <v>0.02</v>
      </c>
      <c r="AT215" s="256">
        <f>IF(AND(ISNUMBER(AT16),ISNUMBER(AS16)),IFERROR(AT16/AS16-1,""),"")</f>
        <v>0.03</v>
      </c>
      <c r="AU215" s="153" t="n"/>
      <c r="AW215" s="37">
        <f>IFERROR(AVERAGE(AP215,AQ215,AR215,AS215,AT215),"n/m")</f>
        <v>-0.0193802121505452</v>
      </c>
      <c r="AX215" s="37">
        <f>IFERROR(AVERAGE(Q215,V215,AA215,AF215,AK215),"n/m")</f>
        <v>0.0759029986846008</v>
      </c>
      <c r="AY215" s="37">
        <f>IFERROR(AVERAGE(H215,I215,J215,K215,L215,Q215,V215,AA215,AF215,AK215),"n/m")</f>
        <v>0.0773286608038631</v>
      </c>
      <c r="AZ215" s="37">
        <f>IFERROR(AVERAGE(C215,D215,E215,F215,G215,H215,I215,J215,K215,L215,Q215,V215,AA215,AF215,AK215),"n/m")</f>
        <v>0.0773286608038631</v>
      </c>
    </row>
    <row r="216" ht="15" customHeight="1" s="251">
      <c r="B216" s="22" t="inlineStr">
        <is>
          <t xml:space="preserve">  Revenue ex-billable expenses y/y %</t>
        </is>
      </c>
      <c r="C216" s="23" t="n"/>
      <c r="D216" s="255">
        <f>IF(AND(ISNUMBER(D186),ISNUMBER(C186)),IFERROR(D186/C186-1,""),"")</f>
        <v>-0.0210654907473734</v>
      </c>
      <c r="E216" s="255">
        <f>IF(AND(ISNUMBER(E186),ISNUMBER(D186)),IFERROR(E186/D186-1,""),"")</f>
        <v>-0.0553526720939143</v>
      </c>
      <c r="F216" s="255">
        <f>IF(AND(ISNUMBER(F186),ISNUMBER(E186)),IFERROR(F186/E186-1,""),"")</f>
        <v>-0.0308988074390629</v>
      </c>
      <c r="G216" s="255">
        <f>IF(AND(ISNUMBER(G186),ISNUMBER(F186)),IFERROR(G186/F186-1,""),"")</f>
        <v>0.00631087550601128</v>
      </c>
      <c r="H216" s="255">
        <f>IF(AND(ISNUMBER(H186),ISNUMBER(G186)),IFERROR(H186/G186-1,""),"")</f>
        <v>0.0412448573017643</v>
      </c>
      <c r="I216" s="255">
        <f>IF(AND(ISNUMBER(I186),ISNUMBER(H186)),IFERROR(I186/H186-1,""),"")</f>
        <v>0.0634889853886074</v>
      </c>
      <c r="J216" s="255">
        <f>IF(AND(ISNUMBER(J186),ISNUMBER(I186)),IFERROR(J186/I186-1,""),"")</f>
        <v>0.090204918593745</v>
      </c>
      <c r="K216" s="255">
        <f>IF(AND(ISNUMBER(K186),ISNUMBER(J186)),IFERROR(K186/J186-1,""),"")</f>
        <v>0.0991738685139485</v>
      </c>
      <c r="L216" s="255">
        <f>IF(AND(ISNUMBER(L186),ISNUMBER(K186)),IFERROR(L186/K186-1,""),"")</f>
        <v>0.0711697075247202</v>
      </c>
      <c r="M216" s="23" t="n"/>
      <c r="N216" s="23" t="n"/>
      <c r="O216" s="23" t="n"/>
      <c r="P216" s="23" t="n"/>
      <c r="Q216" s="255">
        <f>IF(AND(ISNUMBER(Q186),ISNUMBER(L186)),IFERROR(Q186/L186-1,""),"")</f>
        <v>0.0644286605037006</v>
      </c>
      <c r="R216" s="255">
        <f>IF(AND(ISNUMBER(R186),ISNUMBER(M186)),IFERROR(R186/M186-1,""),"")</f>
        <v>0.0989263498755859</v>
      </c>
      <c r="S216" s="255">
        <f>IF(AND(ISNUMBER(S186),ISNUMBER(N186)),IFERROR(S186/N186-1,""),"")</f>
        <v>0.101040440188332</v>
      </c>
      <c r="T216" s="255">
        <f>IF(AND(ISNUMBER(T186),ISNUMBER(O186)),IFERROR(T186/O186-1,""),"")</f>
        <v>0.111839144907273</v>
      </c>
      <c r="U216" s="255">
        <f>IF(AND(ISNUMBER(U186),ISNUMBER(P186)),IFERROR(U186/P186-1,""),"")</f>
        <v>0.0714736567817405</v>
      </c>
      <c r="V216" s="255">
        <f>IF(AND(ISNUMBER(V186),ISNUMBER(Q186)),IFERROR(V186/Q186-1,""),"")</f>
        <v>0.095171657806038</v>
      </c>
      <c r="W216" s="255">
        <f>IF(AND(ISNUMBER(W186),ISNUMBER(R186)),IFERROR(W186/R186-1,""),"")</f>
        <v>0.169391379859763</v>
      </c>
      <c r="X216" s="255">
        <f>IF(AND(ISNUMBER(X186),ISNUMBER(S186)),IFERROR(X186/S186-1,""),"")</f>
        <v>0.140925692441614</v>
      </c>
      <c r="Y216" s="255">
        <f>IF(AND(ISNUMBER(Y186),ISNUMBER(T186)),IFERROR(Y186/T186-1,""),"")</f>
        <v>0.129812173007147</v>
      </c>
      <c r="Z216" s="255">
        <f>IF(AND(ISNUMBER(Z186),ISNUMBER(U186)),IFERROR(Z186/U186-1,""),"")</f>
        <v>0.137180169018208</v>
      </c>
      <c r="AA216" s="255">
        <f>IF(AND(ISNUMBER(AA186),ISNUMBER(V186)),IFERROR(AA186/V186-1,""),"")</f>
        <v>0.144195071855213</v>
      </c>
      <c r="AB216" s="255">
        <f>IF(AND(ISNUMBER(AB186),ISNUMBER(W186)),IFERROR(AB186/W186-1,""),"")</f>
        <v>0.0839406746998941</v>
      </c>
      <c r="AC216" s="255">
        <f>IF(AND(ISNUMBER(AC186),ISNUMBER(X186)),IFERROR(AC186/X186-1,""),"")</f>
        <v>0.182932988106396</v>
      </c>
      <c r="AD216" s="255">
        <f>IF(AND(ISNUMBER(AD186),ISNUMBER(Y186)),IFERROR(AD186/Y186-1,""),"")</f>
        <v>0.11794474844695</v>
      </c>
      <c r="AE216" s="255">
        <f>IF(AND(ISNUMBER(AE186),ISNUMBER(Z186)),IFERROR(AE186/Z186-1,""),"")</f>
        <v>0.0620080880791927</v>
      </c>
      <c r="AF216" s="255">
        <f>IF(AND(ISNUMBER(AF186),ISNUMBER(AA186)),IFERROR(AF186/AA186-1,""),"")</f>
        <v>0.111093044557541</v>
      </c>
      <c r="AG216" s="255">
        <f>IF(AND(ISNUMBER(AG186),ISNUMBER(AB186)),IFERROR(AG186/AB186-1,""),"")</f>
        <v>0.0231288210831644</v>
      </c>
      <c r="AH216" s="255">
        <f>IF(AND(ISNUMBER(AH186),ISNUMBER(AC186)),IFERROR(AH186/AC186-1,""),"")</f>
        <v>-0.0947334788859897</v>
      </c>
      <c r="AI216" s="255">
        <f>IF(AND(ISNUMBER(AI186),ISNUMBER(AD186)),IFERROR(AI186/AD186-1,""),"")</f>
        <v>-0.0670434881050571</v>
      </c>
      <c r="AJ216" s="255">
        <f>IF(AND(ISNUMBER(AJ186),ISNUMBER(AE186)),IFERROR(AJ186/AE186-1,""),"")</f>
        <v>-0.0684261974584556</v>
      </c>
      <c r="AK216" s="255">
        <f>IF(AND(ISNUMBER(AK186),ISNUMBER(AF186)),IFERROR(AK186/AF186-1,""),"")</f>
        <v>-0.0528048780487805</v>
      </c>
      <c r="AL216" s="255">
        <f>IF(AND(ISNUMBER(AL186),ISNUMBER(AG186)),IFERROR(AL186/AG186-1,""),"")</f>
        <v>-0.0381791483113069</v>
      </c>
      <c r="AM216" s="256">
        <f>IF(AND(ISNUMBER(AM186),ISNUMBER(AH186)),IFERROR(AM186/AH186-1,""),"")</f>
        <v>0.0532639480018378</v>
      </c>
      <c r="AN216" s="256">
        <f>IF(AND(ISNUMBER(AN186),ISNUMBER(AI186)),IFERROR(AN186/AI186-1,""),"")</f>
        <v>0.0650386734020694</v>
      </c>
      <c r="AO216" s="256">
        <f>IF(AND(ISNUMBER(AO186),ISNUMBER(AJ186)),IFERROR(AO186/AJ186-1,""),"")</f>
        <v>0.0648994476788027</v>
      </c>
      <c r="AP216" s="256">
        <f>IF(AND(ISNUMBER(AP186),ISNUMBER(AK186)),IFERROR(AP186/AK186-1,""),"")</f>
        <v>0.0348649728126229</v>
      </c>
      <c r="AQ216" s="256">
        <f>IF(AND(ISNUMBER(AQ186),ISNUMBER(AP186)),IFERROR(AQ186/AP186-1,""),"")</f>
        <v>0.0307183191703546</v>
      </c>
      <c r="AR216" s="256">
        <f>IF(AND(ISNUMBER(AR186),ISNUMBER(AQ186)),IFERROR(AR186/AQ186-1,""),"")</f>
        <v>0.0465049354797509</v>
      </c>
      <c r="AS216" s="256">
        <f>IF(AND(ISNUMBER(AS186),ISNUMBER(AR186)),IFERROR(AS186/AR186-1,""),"")</f>
        <v>0.0508012861708025</v>
      </c>
      <c r="AT216" s="256">
        <f>IF(AND(ISNUMBER(AT186),ISNUMBER(AS186)),IFERROR(AT186/AS186-1,""),"")</f>
        <v>0.0525477162151693</v>
      </c>
      <c r="AU216" s="153" t="n"/>
    </row>
    <row r="217" ht="15" customHeight="1" s="251">
      <c r="B217" s="22" t="inlineStr">
        <is>
          <t xml:space="preserve">  Adjusted EBITDA y/y %</t>
        </is>
      </c>
      <c r="C217" s="23" t="n"/>
      <c r="D217" s="255">
        <f>IF(AND(ISNUMBER(D174),ISNUMBER(C174)),IFERROR(D174/C174-1,""),"")</f>
        <v>0.0835471048641558</v>
      </c>
      <c r="E217" s="255">
        <f>IF(AND(ISNUMBER(E174),ISNUMBER(D174)),IFERROR(E174/D174-1,""),"")</f>
        <v>0.00982535228312775</v>
      </c>
      <c r="F217" s="255">
        <f>IF(AND(ISNUMBER(F174),ISNUMBER(E174)),IFERROR(F174/E174-1,""),"")</f>
        <v>-0.0196823411331157</v>
      </c>
      <c r="G217" s="255">
        <f>IF(AND(ISNUMBER(G174),ISNUMBER(F174)),IFERROR(G174/F174-1,""),"")</f>
        <v>-0.0332383992237177</v>
      </c>
      <c r="H217" s="255">
        <f>IF(AND(ISNUMBER(H174),ISNUMBER(G174)),IFERROR(H174/G174-1,""),"")</f>
        <v>0.0810578518928318</v>
      </c>
      <c r="I217" s="255">
        <f>IF(AND(ISNUMBER(I174),ISNUMBER(H174)),IFERROR(I174/H174-1,""),"")</f>
        <v>0.0688958137239673</v>
      </c>
      <c r="J217" s="255">
        <f>IF(AND(ISNUMBER(J174),ISNUMBER(I174)),IFERROR(J174/I174-1,""),"")</f>
        <v>0.153525488124123</v>
      </c>
      <c r="K217" s="255">
        <f>IF(AND(ISNUMBER(K174),ISNUMBER(J174)),IFERROR(K174/J174-1,""),"")</f>
        <v>0.117761021242787</v>
      </c>
      <c r="L217" s="255">
        <f>IF(AND(ISNUMBER(L174),ISNUMBER(K174)),IFERROR(L174/K174-1,""),"")</f>
        <v>0.113516710561563</v>
      </c>
      <c r="M217" s="23" t="n"/>
      <c r="N217" s="23" t="n"/>
      <c r="O217" s="23" t="n"/>
      <c r="P217" s="23" t="n"/>
      <c r="Q217" s="255">
        <f>IF(AND(ISNUMBER(Q174),ISNUMBER(L174)),IFERROR(Q174/L174-1,""),"")</f>
        <v>0.113438072394763</v>
      </c>
      <c r="R217" s="255">
        <f>IF(AND(ISNUMBER(R174),ISNUMBER(M174)),IFERROR(R174/M174-1,""),"")</f>
        <v>0.0606452534024244</v>
      </c>
      <c r="S217" s="255">
        <f>IF(AND(ISNUMBER(S174),ISNUMBER(N174)),IFERROR(S174/N174-1,""),"")</f>
        <v>0.0604304113866545</v>
      </c>
      <c r="T217" s="255">
        <f>IF(AND(ISNUMBER(T174),ISNUMBER(O174)),IFERROR(T174/O174-1,""),"")</f>
        <v>0.0988412399722689</v>
      </c>
      <c r="U217" s="255">
        <f>IF(AND(ISNUMBER(U174),ISNUMBER(P174)),IFERROR(U174/P174-1,""),"")</f>
        <v>0.129007868177539</v>
      </c>
      <c r="V217" s="255">
        <f>IF(AND(ISNUMBER(V174),ISNUMBER(Q174)),IFERROR(V174/Q174-1,""),"")</f>
        <v>0.0846485012166751</v>
      </c>
      <c r="W217" s="255">
        <f>IF(AND(ISNUMBER(W174),ISNUMBER(R174)),IFERROR(W174/R174-1,""),"")</f>
        <v>0.215396249124043</v>
      </c>
      <c r="X217" s="255">
        <f>IF(AND(ISNUMBER(X174),ISNUMBER(S174)),IFERROR(X174/S174-1,""),"")</f>
        <v>0.0163913213776123</v>
      </c>
      <c r="Y217" s="255">
        <f>IF(AND(ISNUMBER(Y174),ISNUMBER(T174)),IFERROR(Y174/T174-1,""),"")</f>
        <v>0.190638698840592</v>
      </c>
      <c r="Z217" s="255">
        <f>IF(AND(ISNUMBER(Z174),ISNUMBER(U174)),IFERROR(Z174/U174-1,""),"")</f>
        <v>0.239248217757615</v>
      </c>
      <c r="AA217" s="255">
        <f>IF(AND(ISNUMBER(AA174),ISNUMBER(V174)),IFERROR(AA174/V174-1,""),"")</f>
        <v>0.158765956817364</v>
      </c>
      <c r="AB217" s="255">
        <f>IF(AND(ISNUMBER(AB174),ISNUMBER(W174)),IFERROR(AB174/W174-1,""),"")</f>
        <v>-0.0163623096818747</v>
      </c>
      <c r="AC217" s="255">
        <f>IF(AND(ISNUMBER(AC174),ISNUMBER(X174)),IFERROR(AC174/X174-1,""),"")</f>
        <v>0.252275221844883</v>
      </c>
      <c r="AD217" s="255">
        <f>IF(AND(ISNUMBER(AD174),ISNUMBER(Y174)),IFERROR(AD174/Y174-1,""),"")</f>
        <v>0.141413446286082</v>
      </c>
      <c r="AE217" s="255">
        <f>IF(AND(ISNUMBER(AE174),ISNUMBER(Z174)),IFERROR(AE174/Z174-1,""),"")</f>
        <v>0.101720915962402</v>
      </c>
      <c r="AF217" s="255">
        <f>IF(AND(ISNUMBER(AF174),ISNUMBER(AA174)),IFERROR(AF174/AA174-1,""),"")</f>
        <v>0.11908798159079</v>
      </c>
      <c r="AG217" s="255">
        <f>IF(AND(ISNUMBER(AG174),ISNUMBER(AB174)),IFERROR(AG174/AB174-1,""),"")</f>
        <v>0.0299275076747814</v>
      </c>
      <c r="AH217" s="255">
        <f>IF(AND(ISNUMBER(AH174),ISNUMBER(AC174)),IFERROR(AH174/AC174-1,""),"")</f>
        <v>-0.109767825250721</v>
      </c>
      <c r="AI217" s="255">
        <f>IF(AND(ISNUMBER(AI174),ISNUMBER(AD174)),IFERROR(AI174/AD174-1,""),"")</f>
        <v>-0.140844263703534</v>
      </c>
      <c r="AJ217" s="255">
        <f>IF(AND(ISNUMBER(AJ174),ISNUMBER(AE174)),IFERROR(AJ174/AE174-1,""),"")</f>
        <v>-0.0221518987341772</v>
      </c>
      <c r="AK217" s="255">
        <f>IF(AND(ISNUMBER(AK174),ISNUMBER(AF174)),IFERROR(AK174/AF174-1,""),"")</f>
        <v>-0.0653992395437263</v>
      </c>
      <c r="AL217" s="255">
        <f>IF(AND(ISNUMBER(AL174),ISNUMBER(AG174)),IFERROR(AL174/AG174-1,""),"")</f>
        <v>0.0739549839228295</v>
      </c>
      <c r="AM217" s="256">
        <f>IF(AND(ISNUMBER(AM174),ISNUMBER(AH174)),IFERROR(AM174/AH174-1,""),"")</f>
        <v>0.0280303052132131</v>
      </c>
      <c r="AN217" s="256">
        <f>IF(AND(ISNUMBER(AN174),ISNUMBER(AI174)),IFERROR(AN174/AI174-1,""),"")</f>
        <v>0.0532969912123122</v>
      </c>
      <c r="AO217" s="256">
        <f>IF(AND(ISNUMBER(AO174),ISNUMBER(AJ174)),IFERROR(AO174/AJ174-1,""),"")</f>
        <v>0.0515415560298129</v>
      </c>
      <c r="AP217" s="256">
        <f>IF(AND(ISNUMBER(AP174),ISNUMBER(AK174)),IFERROR(AP174/AK174-1,""),"")</f>
        <v>0.0514221336027683</v>
      </c>
      <c r="AQ217" s="256">
        <f>IF(AND(ISNUMBER(AQ174),ISNUMBER(AP174)),IFERROR(AQ174/AP174-1,""),"")</f>
        <v>0.0555310966341704</v>
      </c>
      <c r="AR217" s="256">
        <f>IF(AND(ISNUMBER(AR174),ISNUMBER(AQ174)),IFERROR(AR174/AQ174-1,""),"")</f>
        <v>0.0580104362395064</v>
      </c>
      <c r="AS217" s="256">
        <f>IF(AND(ISNUMBER(AS174),ISNUMBER(AR174)),IFERROR(AS174/AR174-1,""),"")</f>
        <v>0.0614987068884416</v>
      </c>
      <c r="AT217" s="256">
        <f>IF(AND(ISNUMBER(AT174),ISNUMBER(AS174)),IFERROR(AT174/AS174-1,""),"")</f>
        <v>0.0625992077762332</v>
      </c>
      <c r="AU217" s="153" t="n"/>
    </row>
    <row r="218" ht="15" customHeight="1" s="251">
      <c r="B218" s="22" t="inlineStr">
        <is>
          <t xml:space="preserve">  Operating income (GAAP) y/y %</t>
        </is>
      </c>
      <c r="C218" s="23" t="n"/>
      <c r="D218" s="255">
        <f>IF(AND(ISNUMBER(D127),ISNUMBER(C127)),IFERROR(D127/C127-1,""),"")</f>
        <v>0.151773730615953</v>
      </c>
      <c r="E218" s="255">
        <f>IF(AND(ISNUMBER(E127),ISNUMBER(D127)),IFERROR(E127/D127-1,""),"")</f>
        <v>0.032218522120681</v>
      </c>
      <c r="F218" s="255">
        <f>IF(AND(ISNUMBER(F127),ISNUMBER(E127)),IFERROR(F127/E127-1,""),"")</f>
        <v>-0.00388397150741082</v>
      </c>
      <c r="G218" s="255">
        <f>IF(AND(ISNUMBER(G127),ISNUMBER(F127)),IFERROR(G127/F127-1,""),"")</f>
        <v>-0.0310316419003448</v>
      </c>
      <c r="H218" s="255">
        <f>IF(AND(ISNUMBER(H127),ISNUMBER(G127)),IFERROR(H127/G127-1,""),"")</f>
        <v>0.0892137368866177</v>
      </c>
      <c r="I218" s="255">
        <f>IF(AND(ISNUMBER(I127),ISNUMBER(H127)),IFERROR(I127/H127-1,""),"")</f>
        <v>0.0740076861601622</v>
      </c>
      <c r="J218" s="255">
        <f>IF(AND(ISNUMBER(J127),ISNUMBER(I127)),IFERROR(J127/I127-1,""),"")</f>
        <v>0.158260668929117</v>
      </c>
      <c r="K218" s="255">
        <f>IF(AND(ISNUMBER(K127),ISNUMBER(J127)),IFERROR(K127/J127-1,""),"")</f>
        <v>0.110904159071969</v>
      </c>
      <c r="L218" s="255">
        <f>IF(AND(ISNUMBER(L127),ISNUMBER(K127)),IFERROR(L127/K127-1,""),"")</f>
        <v>0.127269494113885</v>
      </c>
      <c r="M218" s="23" t="n"/>
      <c r="N218" s="23" t="n"/>
      <c r="O218" s="23" t="n"/>
      <c r="P218" s="23" t="n"/>
      <c r="Q218" s="255">
        <f>IF(AND(ISNUMBER(Q127),ISNUMBER(L127)),IFERROR(Q127/L127-1,""),"")</f>
        <v>-0.0917187961891429</v>
      </c>
      <c r="R218" s="255">
        <f>IF(AND(ISNUMBER(R127),ISNUMBER(M127)),IFERROR(R127/M127-1,""),"")</f>
        <v>0.466794565933016</v>
      </c>
      <c r="S218" s="255">
        <f>IF(AND(ISNUMBER(S127),ISNUMBER(N127)),IFERROR(S127/N127-1,""),"")</f>
        <v>0.0254342460170265</v>
      </c>
      <c r="T218" s="255">
        <f>IF(AND(ISNUMBER(T127),ISNUMBER(O127)),IFERROR(T127/O127-1,""),"")</f>
        <v>-0.669096900887073</v>
      </c>
      <c r="U218" s="255">
        <f>IF(AND(ISNUMBER(U127),ISNUMBER(P127)),IFERROR(U127/P127-1,""),"")</f>
        <v>-1.28924466614985</v>
      </c>
      <c r="V218" s="255">
        <f>IF(AND(ISNUMBER(V127),ISNUMBER(Q127)),IFERROR(V127/Q127-1,""),"")</f>
        <v>-0.347839475992475</v>
      </c>
      <c r="W218" s="255">
        <f>IF(AND(ISNUMBER(W127),ISNUMBER(R127)),IFERROR(W127/R127-1,""),"")</f>
        <v>0.131388305702358</v>
      </c>
      <c r="X218" s="255">
        <f>IF(AND(ISNUMBER(X127),ISNUMBER(S127)),IFERROR(X127/S127-1,""),"")</f>
        <v>0.192335689819177</v>
      </c>
      <c r="Y218" s="255">
        <f>IF(AND(ISNUMBER(Y127),ISNUMBER(T127)),IFERROR(Y127/T127-1,""),"")</f>
        <v>3.22165757162347</v>
      </c>
      <c r="Z218" s="255">
        <f>IF(AND(ISNUMBER(Z127),ISNUMBER(U127)),IFERROR(Z127/U127-1,""),"")</f>
        <v>-7.1629299897455</v>
      </c>
      <c r="AA218" s="255">
        <f>IF(AND(ISNUMBER(AA127),ISNUMBER(V127)),IFERROR(AA127/V127-1,""),"")</f>
        <v>1.26789199011745</v>
      </c>
      <c r="AB218" s="255">
        <f>IF(AND(ISNUMBER(AB127),ISNUMBER(W127)),IFERROR(AB127/W127-1,""),"")</f>
        <v>0.088500029861188</v>
      </c>
      <c r="AC218" s="255">
        <f>IF(AND(ISNUMBER(AC127),ISNUMBER(X127)),IFERROR(AC127/X127-1,""),"")</f>
        <v>1.05480001048732</v>
      </c>
      <c r="AD218" s="255">
        <f>IF(AND(ISNUMBER(AD127),ISNUMBER(Y127)),IFERROR(AD127/Y127-1,""),"")</f>
        <v>0.176528328714887</v>
      </c>
      <c r="AE218" s="255">
        <f>IF(AND(ISNUMBER(AE127),ISNUMBER(Z127)),IFERROR(AE127/Z127-1,""),"")</f>
        <v>0.0361557864006443</v>
      </c>
      <c r="AF218" s="255">
        <f>IF(AND(ISNUMBER(AF127),ISNUMBER(AA127)),IFERROR(AF127/AA127-1,""),"")</f>
        <v>0.351880742409486</v>
      </c>
      <c r="AG218" s="255">
        <f>IF(AND(ISNUMBER(AG127),ISNUMBER(AB127)),IFERROR(AG127/AB127-1,""),"")</f>
        <v>0.00719537238795454</v>
      </c>
      <c r="AH218" s="255">
        <f>IF(AND(ISNUMBER(AH127),ISNUMBER(AC127)),IFERROR(AH127/AC127-1,""),"")</f>
        <v>-0.484149913690807</v>
      </c>
      <c r="AI218" s="255">
        <f>IF(AND(ISNUMBER(AI127),ISNUMBER(AD127)),IFERROR(AI127/AD127-1,""),"")</f>
        <v>-0.210324831164016</v>
      </c>
      <c r="AJ218" s="255">
        <f>IF(AND(ISNUMBER(AJ127),ISNUMBER(AE127)),IFERROR(AJ127/AE127-1,""),"")</f>
        <v>-0.0401459854014599</v>
      </c>
      <c r="AK218" s="255">
        <f>IF(AND(ISNUMBER(AK127),ISNUMBER(AF127)),IFERROR(AK127/AF127-1,""),"")</f>
        <v>-0.245985401459854</v>
      </c>
      <c r="AL218" s="255">
        <f>IF(AND(ISNUMBER(AL127),ISNUMBER(AG127)),IFERROR(AL127/AG127-1,""),"")</f>
        <v>0.0856031128404668</v>
      </c>
      <c r="AM218" s="256">
        <f>IF(AND(ISNUMBER(AM127),ISNUMBER(AH127)),IFERROR(AM127/AH127-1,""),"")</f>
        <v>-0.0103348922880294</v>
      </c>
      <c r="AN218" s="256">
        <f>IF(AND(ISNUMBER(AN127),ISNUMBER(AI127)),IFERROR(AN127/AI127-1,""),"")</f>
        <v>0.0564767065022129</v>
      </c>
      <c r="AO218" s="256">
        <f>IF(AND(ISNUMBER(AO127),ISNUMBER(AJ127)),IFERROR(AO127/AJ127-1,""),"")</f>
        <v>0.0179708776167766</v>
      </c>
      <c r="AP218" s="256">
        <f>IF(AND(ISNUMBER(AP127),ISNUMBER(AK127)),IFERROR(AP127/AK127-1,""),"")</f>
        <v>0.0356158845994277</v>
      </c>
      <c r="AQ218" s="256">
        <f>IF(AND(ISNUMBER(AQ127),ISNUMBER(AP127)),IFERROR(AQ127/AP127-1,""),"")</f>
        <v>0.0823320775033891</v>
      </c>
      <c r="AR218" s="256">
        <f>IF(AND(ISNUMBER(AR127),ISNUMBER(AQ127)),IFERROR(AR127/AQ127-1,""),"")</f>
        <v>0.0641847297859473</v>
      </c>
      <c r="AS218" s="256">
        <f>IF(AND(ISNUMBER(AS127),ISNUMBER(AR127)),IFERROR(AS127/AR127-1,""),"")</f>
        <v>0.0669927685693748</v>
      </c>
      <c r="AT218" s="256">
        <f>IF(AND(ISNUMBER(AT127),ISNUMBER(AS127)),IFERROR(AT127/AS127-1,""),"")</f>
        <v>0.0659755747648083</v>
      </c>
      <c r="AU218" s="153" t="n"/>
    </row>
    <row r="219" ht="15" customHeight="1" s="251">
      <c r="B219" s="22" t="inlineStr">
        <is>
          <t xml:space="preserve">  Net income y/y %</t>
        </is>
      </c>
      <c r="C219" s="23" t="n"/>
      <c r="D219" s="255">
        <f>IF(AND(ISNUMBER(D136),ISNUMBER(C136)),IFERROR(D136/C136-1,""),"")</f>
        <v>-0.0870871621762415</v>
      </c>
      <c r="E219" s="255">
        <f>IF(AND(ISNUMBER(E136),ISNUMBER(D136)),IFERROR(E136/D136-1,""),"")</f>
        <v>0.0599384637858467</v>
      </c>
      <c r="F219" s="255">
        <f>IF(AND(ISNUMBER(F136),ISNUMBER(E136)),IFERROR(F136/E136-1,""),"")</f>
        <v>0.00164091167502201</v>
      </c>
      <c r="G219" s="255">
        <f>IF(AND(ISNUMBER(G136),ISNUMBER(F136)),IFERROR(G136/F136-1,""),"")</f>
        <v>0.264545145741694</v>
      </c>
      <c r="H219" s="255">
        <f>IF(AND(ISNUMBER(H136),ISNUMBER(G136)),IFERROR(H136/G136-1,""),"")</f>
        <v>-0.141464973783892</v>
      </c>
      <c r="I219" s="255">
        <f>IF(AND(ISNUMBER(I136),ISNUMBER(H136)),IFERROR(I136/H136-1,""),"")</f>
        <v>0.208408253792229</v>
      </c>
      <c r="J219" s="255">
        <f>IF(AND(ISNUMBER(J136),ISNUMBER(I136)),IFERROR(J136/I136-1,""),"")</f>
        <v>0.371727010825568</v>
      </c>
      <c r="K219" s="255">
        <f>IF(AND(ISNUMBER(K136),ISNUMBER(J136)),IFERROR(K136/J136-1,""),"")</f>
        <v>0.153093334034201</v>
      </c>
      <c r="L219" s="255">
        <f>IF(AND(ISNUMBER(L136),ISNUMBER(K136)),IFERROR(L136/K136-1,""),"")</f>
        <v>0.261819756611542</v>
      </c>
      <c r="M219" s="23" t="n"/>
      <c r="N219" s="23" t="n"/>
      <c r="O219" s="23" t="n"/>
      <c r="P219" s="23" t="n"/>
      <c r="Q219" s="255">
        <f>IF(AND(ISNUMBER(Q136),ISNUMBER(L136)),IFERROR(Q136/L136-1,""),"")</f>
        <v>-0.233543200023647</v>
      </c>
      <c r="R219" s="255">
        <f>IF(AND(ISNUMBER(R136),ISNUMBER(M136)),IFERROR(R136/M136-1,""),"")</f>
        <v>0.501422336105622</v>
      </c>
      <c r="S219" s="255">
        <f>IF(AND(ISNUMBER(S136),ISNUMBER(N136)),IFERROR(S136/N136-1,""),"")</f>
        <v>0.103969412402961</v>
      </c>
      <c r="T219" s="255">
        <f>IF(AND(ISNUMBER(T136),ISNUMBER(O136)),IFERROR(T136/O136-1,""),"")</f>
        <v>-0.759584584002296</v>
      </c>
      <c r="U219" s="255">
        <f>IF(AND(ISNUMBER(U136),ISNUMBER(P136)),IFERROR(U136/P136-1,""),"")</f>
        <v>-1.75294091754427</v>
      </c>
      <c r="V219" s="255">
        <f>IF(AND(ISNUMBER(V136),ISNUMBER(Q136)),IFERROR(V136/Q136-1,""),"")</f>
        <v>-0.417682221365214</v>
      </c>
      <c r="W219" s="255">
        <f>IF(AND(ISNUMBER(W136),ISNUMBER(R136)),IFERROR(W136/R136-1,""),"")</f>
        <v>0.167076451360968</v>
      </c>
      <c r="X219" s="255">
        <f>IF(AND(ISNUMBER(X136),ISNUMBER(S136)),IFERROR(X136/S136-1,""),"")</f>
        <v>-0.00125195984368065</v>
      </c>
      <c r="Y219" s="255">
        <f>IF(AND(ISNUMBER(Y136),ISNUMBER(T136)),IFERROR(Y136/T136-1,""),"")</f>
        <v>3.69864825628287</v>
      </c>
      <c r="Z219" s="255">
        <f>IF(AND(ISNUMBER(Z136),ISNUMBER(U136)),IFERROR(Z136/U136-1,""),"")</f>
        <v>-2.87008564496799</v>
      </c>
      <c r="AA219" s="255">
        <f>IF(AND(ISNUMBER(AA136),ISNUMBER(V136)),IFERROR(AA136/V136-1,""),"")</f>
        <v>1.22857269004492</v>
      </c>
      <c r="AB219" s="255">
        <f>IF(AND(ISNUMBER(AB136),ISNUMBER(W136)),IFERROR(AB136/W136-1,""),"")</f>
        <v>0.0238245718392942</v>
      </c>
      <c r="AC219" s="255">
        <f>IF(AND(ISNUMBER(AC136),ISNUMBER(X136)),IFERROR(AC136/X136-1,""),"")</f>
        <v>1.2851251771928</v>
      </c>
      <c r="AD219" s="255">
        <f>IF(AND(ISNUMBER(AD136),ISNUMBER(Y136)),IFERROR(AD136/Y136-1,""),"")</f>
        <v>0.283609348823158</v>
      </c>
      <c r="AE219" s="255">
        <f>IF(AND(ISNUMBER(AE136),ISNUMBER(Z136)),IFERROR(AE136/Z136-1,""),"")</f>
        <v>0.508342776757454</v>
      </c>
      <c r="AF219" s="255">
        <f>IF(AND(ISNUMBER(AF136),ISNUMBER(AA136)),IFERROR(AF136/AA136-1,""),"")</f>
        <v>0.543653191482336</v>
      </c>
      <c r="AG219" s="255">
        <f>IF(AND(ISNUMBER(AG136),ISNUMBER(AB136)),IFERROR(AG136/AB136-1,""),"")</f>
        <v>0.640108210829556</v>
      </c>
      <c r="AH219" s="255">
        <f>IF(AND(ISNUMBER(AH136),ISNUMBER(AC136)),IFERROR(AH136/AC136-1,""),"")</f>
        <v>-0.551410876876384</v>
      </c>
      <c r="AI219" s="255">
        <f>IF(AND(ISNUMBER(AI136),ISNUMBER(AD136)),IFERROR(AI136/AD136-1,""),"")</f>
        <v>0.0698047606311849</v>
      </c>
      <c r="AJ219" s="255">
        <f>IF(AND(ISNUMBER(AJ136),ISNUMBER(AE136)),IFERROR(AJ136/AE136-1,""),"")</f>
        <v>0.0621761658031088</v>
      </c>
      <c r="AK219" s="255">
        <f>IF(AND(ISNUMBER(AK136),ISNUMBER(AF136)),IFERROR(AK136/AF136-1,""),"")</f>
        <v>-0.0898395721925134</v>
      </c>
      <c r="AL219" s="255">
        <f>IF(AND(ISNUMBER(AL136),ISNUMBER(AG136)),IFERROR(AL136/AG136-1,""),"")</f>
        <v>-0.269372693726937</v>
      </c>
      <c r="AM219" s="256">
        <f>IF(AND(ISNUMBER(AM136),ISNUMBER(AH136)),IFERROR(AM136/AH136-1,""),"")</f>
        <v>0.0141088685928734</v>
      </c>
      <c r="AN219" s="256">
        <f>IF(AND(ISNUMBER(AN136),ISNUMBER(AI136)),IFERROR(AN136/AI136-1,""),"")</f>
        <v>-0.258215653205127</v>
      </c>
      <c r="AO219" s="256">
        <f>IF(AND(ISNUMBER(AO136),ISNUMBER(AJ136)),IFERROR(AO136/AJ136-1,""),"")</f>
        <v>-0.181584499812822</v>
      </c>
      <c r="AP219" s="256">
        <f>IF(AND(ISNUMBER(AP136),ISNUMBER(AK136)),IFERROR(AP136/AK136-1,""),"")</f>
        <v>-0.187307756872974</v>
      </c>
      <c r="AQ219" s="256">
        <f>IF(AND(ISNUMBER(AQ136),ISNUMBER(AP136)),IFERROR(AQ136/AP136-1,""),"")</f>
        <v>0.064659116289429</v>
      </c>
      <c r="AR219" s="256">
        <f>IF(AND(ISNUMBER(AR136),ISNUMBER(AQ136)),IFERROR(AR136/AQ136-1,""),"")</f>
        <v>0.0631582410566964</v>
      </c>
      <c r="AS219" s="256">
        <f>IF(AND(ISNUMBER(AS136),ISNUMBER(AR136)),IFERROR(AS136/AR136-1,""),"")</f>
        <v>0.060097742305034</v>
      </c>
      <c r="AT219" s="256">
        <f>IF(AND(ISNUMBER(AT136),ISNUMBER(AS136)),IFERROR(AT136/AS136-1,""),"")</f>
        <v>0.0612757098664858</v>
      </c>
      <c r="AU219" s="153" t="n"/>
    </row>
    <row r="220" ht="15" customHeight="1" s="251">
      <c r="B220" s="22" t="inlineStr">
        <is>
          <t xml:space="preserve">  Adjusted EPS y/y %</t>
        </is>
      </c>
      <c r="C220" s="23" t="n"/>
      <c r="D220" s="255">
        <f>IF(AND(ISNUMBER(D203),ISNUMBER(C203)),IFERROR(D203/C203-1,""),"")</f>
        <v>0.0248731079169882</v>
      </c>
      <c r="E220" s="255">
        <f>IF(AND(ISNUMBER(E203),ISNUMBER(D203)),IFERROR(E203/D203-1,""),"")</f>
        <v>-0.0159084439030784</v>
      </c>
      <c r="F220" s="255">
        <f>IF(AND(ISNUMBER(F203),ISNUMBER(E203)),IFERROR(F203/E203-1,""),"")</f>
        <v>-0.0181826640649216</v>
      </c>
      <c r="G220" s="255">
        <f>IF(AND(ISNUMBER(G203),ISNUMBER(F203)),IFERROR(G203/F203-1,""),"")</f>
        <v>0.030282426379137</v>
      </c>
      <c r="H220" s="255">
        <f>IF(AND(ISNUMBER(H203),ISNUMBER(G203)),IFERROR(H203/G203-1,""),"")</f>
        <v>0.0606136564336646</v>
      </c>
      <c r="I220" s="255">
        <f>IF(AND(ISNUMBER(I203),ISNUMBER(H203)),IFERROR(I203/H203-1,""),"")</f>
        <v>0.154063569778596</v>
      </c>
      <c r="J220" s="255">
        <f>IF(AND(ISNUMBER(J203),ISNUMBER(I203)),IFERROR(J203/I203-1,""),"")</f>
        <v>0.369560113011067</v>
      </c>
      <c r="K220" s="255">
        <f>IF(AND(ISNUMBER(K203),ISNUMBER(J203)),IFERROR(K203/J203-1,""),"")</f>
        <v>0.151340352132962</v>
      </c>
      <c r="L220" s="255">
        <f>IF(AND(ISNUMBER(L203),ISNUMBER(K203)),IFERROR(L203/K203-1,""),"")</f>
        <v>0.228914527534619</v>
      </c>
      <c r="M220" s="23" t="n"/>
      <c r="N220" s="23" t="n"/>
      <c r="O220" s="23" t="n"/>
      <c r="P220" s="23" t="n"/>
      <c r="Q220" s="255">
        <f>IF(AND(ISNUMBER(Q203),ISNUMBER(L203)),IFERROR(Q203/L203-1,""),"")</f>
        <v>0.0789195220483394</v>
      </c>
      <c r="R220" s="255">
        <f>IF(AND(ISNUMBER(R203),ISNUMBER(M203)),IFERROR(R203/M203-1,""),"")</f>
        <v>0.0604175975305501</v>
      </c>
      <c r="S220" s="255">
        <f>IF(AND(ISNUMBER(S203),ISNUMBER(N203)),IFERROR(S203/N203-1,""),"")</f>
        <v>0.0651968104718841</v>
      </c>
      <c r="T220" s="255">
        <f>IF(AND(ISNUMBER(T203),ISNUMBER(O203)),IFERROR(T203/O203-1,""),"")</f>
        <v>0.0521371635816599</v>
      </c>
      <c r="U220" s="255">
        <f>IF(AND(ISNUMBER(U203),ISNUMBER(P203)),IFERROR(U203/P203-1,""),"")</f>
        <v>0.172986951174346</v>
      </c>
      <c r="V220" s="255">
        <f>IF(AND(ISNUMBER(V203),ISNUMBER(Q203)),IFERROR(V203/Q203-1,""),"")</f>
        <v>0.0822381107570109</v>
      </c>
      <c r="W220" s="255">
        <f>IF(AND(ISNUMBER(W203),ISNUMBER(R203)),IFERROR(W203/R203-1,""),"")</f>
        <v>0.294062085681659</v>
      </c>
      <c r="X220" s="255">
        <f>IF(AND(ISNUMBER(X203),ISNUMBER(S203)),IFERROR(X203/S203-1,""),"")</f>
        <v>-0.0369968292277656</v>
      </c>
      <c r="Y220" s="255">
        <f>IF(AND(ISNUMBER(Y203),ISNUMBER(T203)),IFERROR(Y203/T203-1,""),"")</f>
        <v>0.3160281346417</v>
      </c>
      <c r="Z220" s="255">
        <f>IF(AND(ISNUMBER(Z203),ISNUMBER(U203)),IFERROR(Z203/U203-1,""),"")</f>
        <v>0.310927029254269</v>
      </c>
      <c r="AA220" s="255">
        <f>IF(AND(ISNUMBER(AA203),ISNUMBER(V203)),IFERROR(AA203/V203-1,""),"")</f>
        <v>0.205569176192882</v>
      </c>
      <c r="AB220" s="255">
        <f>IF(AND(ISNUMBER(AB203),ISNUMBER(W203)),IFERROR(AB203/W203-1,""),"")</f>
        <v>-0.058094299649995</v>
      </c>
      <c r="AC220" s="255">
        <f>IF(AND(ISNUMBER(AC203),ISNUMBER(X203)),IFERROR(AC203/X203-1,""),"")</f>
        <v>0.402022768575946</v>
      </c>
      <c r="AD220" s="255">
        <f>IF(AND(ISNUMBER(AD203),ISNUMBER(Y203)),IFERROR(AD203/Y203-1,""),"")</f>
        <v>0.095145617215183</v>
      </c>
      <c r="AE220" s="255">
        <f>IF(AND(ISNUMBER(AE203),ISNUMBER(Z203)),IFERROR(AE203/Z203-1,""),"")</f>
        <v>0.21236851684515</v>
      </c>
      <c r="AF220" s="255">
        <f>IF(AND(ISNUMBER(AF203),ISNUMBER(AA203)),IFERROR(AF203/AA203-1,""),"")</f>
        <v>0.155889148004235</v>
      </c>
      <c r="AG220" s="255">
        <f>IF(AND(ISNUMBER(AG203),ISNUMBER(AB203)),IFERROR(AG203/AB203-1,""),"")</f>
        <v>0.0692205132031083</v>
      </c>
      <c r="AH220" s="255">
        <f>IF(AND(ISNUMBER(AH203),ISNUMBER(AC203)),IFERROR(AH203/AC203-1,""),"")</f>
        <v>-0.17649214812266</v>
      </c>
      <c r="AI220" s="255">
        <f>IF(AND(ISNUMBER(AI203),ISNUMBER(AD203)),IFERROR(AI203/AD203-1,""),"")</f>
        <v>0.145453125654977</v>
      </c>
      <c r="AJ220" s="255">
        <f>IF(AND(ISNUMBER(AJ203),ISNUMBER(AE203)),IFERROR(AJ203/AE203-1,""),"")</f>
        <v>0.107506630688398</v>
      </c>
      <c r="AK220" s="255">
        <f>IF(AND(ISNUMBER(AK203),ISNUMBER(AF203)),IFERROR(AK203/AF203-1,""),"")</f>
        <v>0.0251836912313832</v>
      </c>
      <c r="AL220" s="255">
        <f>IF(AND(ISNUMBER(AL203),ISNUMBER(AG203)),IFERROR(AL203/AG203-1,""),"")</f>
        <v>0.221449692242065</v>
      </c>
      <c r="AM220" s="256">
        <f>IF(AND(ISNUMBER(AM203),ISNUMBER(AH203)),IFERROR(AM203/AH203-1,""),"")</f>
        <v>0.0858790380826293</v>
      </c>
      <c r="AN220" s="256">
        <f>IF(AND(ISNUMBER(AN203),ISNUMBER(AI203)),IFERROR(AN203/AI203-1,""),"")</f>
        <v>-0.206254026651135</v>
      </c>
      <c r="AO220" s="256">
        <f>IF(AND(ISNUMBER(AO203),ISNUMBER(AJ203)),IFERROR(AO203/AJ203-1,""),"")</f>
        <v>-0.115769523774981</v>
      </c>
      <c r="AP220" s="256">
        <f>IF(AND(ISNUMBER(AP203),ISNUMBER(AK203)),IFERROR(AP203/AK203-1,""),"")</f>
        <v>-0.0166403121375663</v>
      </c>
      <c r="AQ220" s="256">
        <f>IF(AND(ISNUMBER(AQ203),ISNUMBER(AP203)),IFERROR(AQ203/AP203-1,""),"")</f>
        <v>0.0869342207142019</v>
      </c>
      <c r="AR220" s="256">
        <f>IF(AND(ISNUMBER(AR203),ISNUMBER(AQ203)),IFERROR(AR203/AQ203-1,""),"")</f>
        <v>0.137306338671959</v>
      </c>
      <c r="AS220" s="256">
        <f>IF(AND(ISNUMBER(AS203),ISNUMBER(AR203)),IFERROR(AS203/AR203-1,""),"")</f>
        <v>0.141505391041902</v>
      </c>
      <c r="AT220" s="256">
        <f>IF(AND(ISNUMBER(AT203),ISNUMBER(AS203)),IFERROR(AT203/AS203-1,""),"")</f>
        <v>0.156185363848642</v>
      </c>
      <c r="AU220" s="153" t="n"/>
    </row>
    <row r="221" ht="15" customHeight="1" s="251">
      <c r="B221" s="25" t="inlineStr">
        <is>
          <t xml:space="preserve">  Adjusted EBITDA margin on revenue %</t>
        </is>
      </c>
      <c r="C221" s="215">
        <f>IF(AND(ISNUMBER(C174),ISNUMBER(C120)),IFERROR(C174/C120,""),"")</f>
        <v>0.0832978052702596</v>
      </c>
      <c r="D221" s="215">
        <f>IF(AND(ISNUMBER(D174),ISNUMBER(D120)),IFERROR(D174/D120,""),"")</f>
        <v>0.091842754650482</v>
      </c>
      <c r="E221" s="215">
        <f>IF(AND(ISNUMBER(E174),ISNUMBER(E120)),IFERROR(E174/E120,""),"")</f>
        <v>0.0974743428770329</v>
      </c>
      <c r="F221" s="215">
        <f>IF(AND(ISNUMBER(F174),ISNUMBER(F120)),IFERROR(F174/F120,""),"")</f>
        <v>0.0992500146925837</v>
      </c>
      <c r="G221" s="215">
        <f>IF(AND(ISNUMBER(G174),ISNUMBER(G120)),IFERROR(G174/G120,""),"")</f>
        <v>0.0936264391651982</v>
      </c>
      <c r="H221" s="215">
        <f>IF(AND(ISNUMBER(H174),ISNUMBER(H120)),IFERROR(H174/H120,""),"")</f>
        <v>0.0942657182177853</v>
      </c>
      <c r="I221" s="215">
        <f>IF(AND(ISNUMBER(I174),ISNUMBER(I120)),IFERROR(I174/I120,""),"")</f>
        <v>0.0947593858764945</v>
      </c>
      <c r="J221" s="215">
        <f>IF(AND(ISNUMBER(J174),ISNUMBER(J120)),IFERROR(J174/J120,""),"")</f>
        <v>0.100630262034652</v>
      </c>
      <c r="K221" s="215">
        <f>IF(AND(ISNUMBER(K174),ISNUMBER(K120)),IFERROR(K174/K120,""),"")</f>
        <v>0.101030287220749</v>
      </c>
      <c r="L221" s="215">
        <f>IF(AND(ISNUMBER(L174),ISNUMBER(L120)),IFERROR(L174/L120,""),"")</f>
        <v>0.106843189245163</v>
      </c>
      <c r="M221" s="215">
        <f>IF(AND(ISNUMBER(M174),ISNUMBER(M120)),IFERROR(M174/M120,""),"")</f>
        <v>0.119724031279002</v>
      </c>
      <c r="N221" s="215">
        <f>IF(AND(ISNUMBER(N174),ISNUMBER(N120)),IFERROR(N174/N120,""),"")</f>
        <v>0.128036151294516</v>
      </c>
      <c r="O221" s="215">
        <f>IF(AND(ISNUMBER(O174),ISNUMBER(O120)),IFERROR(O174/O120,""),"")</f>
        <v>0.109397592734866</v>
      </c>
      <c r="P221" s="215">
        <f>IF(AND(ISNUMBER(P174),ISNUMBER(P120)),IFERROR(P174/P120,""),"")</f>
        <v>0.0915978724583079</v>
      </c>
      <c r="Q221" s="215">
        <f>IF(AND(ISNUMBER(Q174),ISNUMBER(Q120)),IFERROR(Q174/Q120,""),"")</f>
        <v>0.111783660341715</v>
      </c>
      <c r="R221" s="215">
        <f>IF(AND(ISNUMBER(R174),ISNUMBER(R120)),IFERROR(R174/R120,""),"")</f>
        <v>0.112278182788051</v>
      </c>
      <c r="S221" s="215">
        <f>IF(AND(ISNUMBER(S174),ISNUMBER(S120)),IFERROR(S174/S120,""),"")</f>
        <v>0.124378853889732</v>
      </c>
      <c r="T221" s="215">
        <f>IF(AND(ISNUMBER(T174),ISNUMBER(T120)),IFERROR(T174/T120,""),"")</f>
        <v>0.107194583926565</v>
      </c>
      <c r="U221" s="215">
        <f>IF(AND(ISNUMBER(U174),ISNUMBER(U120)),IFERROR(U174/U120,""),"")</f>
        <v>0.0951192658740678</v>
      </c>
      <c r="V221" s="215">
        <f>IF(AND(ISNUMBER(V174),ISNUMBER(V120)),IFERROR(V174/V120,""),"")</f>
        <v>0.109523139384319</v>
      </c>
      <c r="W221" s="215">
        <f>IF(AND(ISNUMBER(W174),ISNUMBER(W120)),IFERROR(W174/W120,""),"")</f>
        <v>0.115648001157286</v>
      </c>
      <c r="X221" s="215">
        <f>IF(AND(ISNUMBER(X174),ISNUMBER(X120)),IFERROR(X174/X120,""),"")</f>
        <v>0.109002348588784</v>
      </c>
      <c r="Y221" s="215">
        <f>IF(AND(ISNUMBER(Y174),ISNUMBER(Y120)),IFERROR(Y174/Y120,""),"")</f>
        <v>0.113091636278451</v>
      </c>
      <c r="Z221" s="215">
        <f>IF(AND(ISNUMBER(Z174),ISNUMBER(Z120)),IFERROR(Z174/Z120,""),"")</f>
        <v>0.103496988987586</v>
      </c>
      <c r="AA221" s="215">
        <f>IF(AND(ISNUMBER(AA174),ISNUMBER(AA120)),IFERROR(AA174/AA120,""),"")</f>
        <v>0.11021154211221</v>
      </c>
      <c r="AB221" s="215">
        <f>IF(AND(ISNUMBER(AB174),ISNUMBER(AB120)),IFERROR(AB174/AB120,""),"")</f>
        <v>0.102645763796754</v>
      </c>
      <c r="AC221" s="215">
        <f>IF(AND(ISNUMBER(AC174),ISNUMBER(AC120)),IFERROR(AC174/AC120,""),"")</f>
        <v>0.115672393660536</v>
      </c>
      <c r="AD221" s="215">
        <f>IF(AND(ISNUMBER(AD174),ISNUMBER(AD120)),IFERROR(AD174/AD120,""),"")</f>
        <v>0.11371251101231</v>
      </c>
      <c r="AE221" s="215">
        <f>IF(AND(ISNUMBER(AE174),ISNUMBER(AE120)),IFERROR(AE174/AE120,""),"")</f>
        <v>0.106254203093477</v>
      </c>
      <c r="AF221" s="215">
        <f>IF(AND(ISNUMBER(AF174),ISNUMBER(AF120)),IFERROR(AF174/AF120,""),"")</f>
        <v>0.109766277128548</v>
      </c>
      <c r="AG221" s="215">
        <f>IF(AND(ISNUMBER(AG174),ISNUMBER(AG120)),IFERROR(AG174/AG120,""),"")</f>
        <v>0.106361149110807</v>
      </c>
      <c r="AH221" s="215">
        <f>IF(AND(ISNUMBER(AH174),ISNUMBER(AH120)),IFERROR(AH174/AH120,""),"")</f>
        <v>0.112110726643599</v>
      </c>
      <c r="AI221" s="215">
        <f>IF(AND(ISNUMBER(AI174),ISNUMBER(AI120)),IFERROR(AI174/AI120,""),"")</f>
        <v>0.108778625954198</v>
      </c>
      <c r="AJ221" s="215">
        <f>IF(AND(ISNUMBER(AJ174),ISNUMBER(AJ120)),IFERROR(AJ174/AJ120,""),"")</f>
        <v>0.11103126122889</v>
      </c>
      <c r="AK221" s="215">
        <f>IF(AND(ISNUMBER(AK174),ISNUMBER(AK120)),IFERROR(AK174/AK120,""),"")</f>
        <v>0.109565837567977</v>
      </c>
      <c r="AL221" s="215">
        <f>IF(AND(ISNUMBER(AL174),ISNUMBER(AL120)),IFERROR(AL174/AL120,""),"")</f>
        <v>0.119285714285714</v>
      </c>
      <c r="AM221" s="256">
        <f>IF(AND(ISNUMBER(AM174),ISNUMBER(AM120)),IFERROR(AM174/AM120,""),"")</f>
        <v>0.109919597851278</v>
      </c>
      <c r="AN221" s="256">
        <f>IF(AND(ISNUMBER(AN174),ISNUMBER(AN120)),IFERROR(AN174/AN120,""),"")</f>
        <v>0.108050461380819</v>
      </c>
      <c r="AO221" s="256">
        <f>IF(AND(ISNUMBER(AO174),ISNUMBER(AO120)),IFERROR(AO174/AO120,""),"")</f>
        <v>0.110132420709351</v>
      </c>
      <c r="AP221" s="256">
        <f>IF(AND(ISNUMBER(AP174),ISNUMBER(AP120)),IFERROR(AP174/AP120,""),"")</f>
        <v>0.111793506678709</v>
      </c>
      <c r="AQ221" s="256">
        <f>IF(AND(ISNUMBER(AQ174),ISNUMBER(AQ120)),IFERROR(AQ174/AQ120,""),"")</f>
        <v>0.114421555483612</v>
      </c>
      <c r="AR221" s="256">
        <f>IF(AND(ISNUMBER(AR174),ISNUMBER(AR120)),IFERROR(AR174/AR120,""),"")</f>
        <v>0.115679530719959</v>
      </c>
      <c r="AS221" s="256">
        <f>IF(AND(ISNUMBER(AS174),ISNUMBER(AS120)),IFERROR(AS174/AS120,""),"")</f>
        <v>0.116857177364303</v>
      </c>
      <c r="AT221" s="256">
        <f>IF(AND(ISNUMBER(AT174),ISNUMBER(AT120)),IFERROR(AT174/AT120,""),"")</f>
        <v>0.11797312575698</v>
      </c>
      <c r="AU221" s="153" t="n"/>
      <c r="AW221" s="37">
        <f>IFERROR(AVERAGE(AP221,AQ221,AR221,AS221,AT221),"n/m")</f>
        <v>0.115344979200713</v>
      </c>
      <c r="AX221" s="37">
        <f>IFERROR(AVERAGE(Q221,V221,AA221,AF221,AK221),"n/m")</f>
        <v>0.110170091306954</v>
      </c>
      <c r="AY221" s="37">
        <f>IFERROR(AVERAGE(H221,I221,J221,K221,L221,Q221,V221,AA221,AF221,AK221),"n/m")</f>
        <v>0.104837929912961</v>
      </c>
      <c r="AZ221" s="37">
        <f>IFERROR(AVERAGE(C221,D221,E221,F221,G221,H221,I221,J221,K221,L221,Q221,V221,AA221,AF221,AK221),"n/m")</f>
        <v>0.100924710385678</v>
      </c>
    </row>
    <row r="222" collapsed="1" ht="15" customHeight="1" s="251">
      <c r="B222" s="25" t="inlineStr">
        <is>
          <t xml:space="preserve">  Incremental adjusted EBITDA margin (Δ adjusted EBITDA / Δ revenue)</t>
        </is>
      </c>
      <c r="C222" s="36" t="n"/>
      <c r="D222" s="215">
        <f>IFERROR((D174-C174)/(D120-C120),"")</f>
        <v>-0.40308820767307</v>
      </c>
      <c r="E222" s="215">
        <f>IFERROR((E174-D174)/(E120-D120),"")</f>
        <v>-0.018599256888813</v>
      </c>
      <c r="F222" s="215">
        <f>IFERROR((F174-E174)/(F120-E120),"")</f>
        <v>0.0515439651240914</v>
      </c>
      <c r="G222" s="215">
        <f>IFERROR((G174-F174)/(G120-F120),"")</f>
        <v>-0.13286451652312</v>
      </c>
      <c r="H222" s="215">
        <f>IFERROR((H174-G174)/(H120-G120),"")</f>
        <v>0.102936674812945</v>
      </c>
      <c r="I222" s="215">
        <f>IFERROR((I174-H174)/(I120-H120),"")</f>
        <v>0.102554894455191</v>
      </c>
      <c r="J222" s="215">
        <f>IFERROR((J174-I174)/(J120-I120),"")</f>
        <v>0.168716083159208</v>
      </c>
      <c r="K222" s="215">
        <f>IFERROR((K174-J174)/(K120-J120),"")</f>
        <v>0.104559860174466</v>
      </c>
      <c r="L222" s="215">
        <f>IFERROR((L174-K174)/(L120-K120),"")</f>
        <v>0.216655656712149</v>
      </c>
      <c r="M222" s="36" t="n"/>
      <c r="N222" s="36" t="n"/>
      <c r="O222" s="36" t="n"/>
      <c r="P222" s="36" t="n"/>
      <c r="Q222" s="215">
        <f>IFERROR((Q174-L174)/(Q120-L120),"")</f>
        <v>0.18870477571608</v>
      </c>
      <c r="R222" s="215">
        <f>IFERROR((R174-M174)/(R120-M120),"")</f>
        <v>0.0554323044209201</v>
      </c>
      <c r="S222" s="215">
        <f>IFERROR((S174-N174)/(S120-N120),"")</f>
        <v>0.0844571831365517</v>
      </c>
      <c r="T222" s="215">
        <f>IFERROR((T174-O174)/(T120-O120),"")</f>
        <v>0.0890514856785937</v>
      </c>
      <c r="U222" s="215">
        <f>IFERROR((U174-P174)/(U120-P120),"")</f>
        <v>0.135497092501986</v>
      </c>
      <c r="V222" s="215">
        <f>IFERROR((V174-Q174)/(V120-Q120),"")</f>
        <v>0.0884037394536037</v>
      </c>
      <c r="W222" s="215">
        <f>IFERROR((W174-R174)/(W120-R120),"")</f>
        <v>0.134371156325484</v>
      </c>
      <c r="X222" s="215">
        <f>IFERROR((X174-S174)/(X120-S120),"")</f>
        <v>0.0127604776398969</v>
      </c>
      <c r="Y222" s="215">
        <f>IFERROR((Y174-T174)/(Y120-T120),"")</f>
        <v>0.158963812699205</v>
      </c>
      <c r="Z222" s="215">
        <f>IFERROR((Z174-U174)/(Z120-U120),"")</f>
        <v>0.163796418450835</v>
      </c>
      <c r="AA222" s="215">
        <f>IFERROR((AA174-V174)/(AA120-V120),"")</f>
        <v>0.114754612486947</v>
      </c>
      <c r="AB222" s="215">
        <f>IFERROR((AB174-W174)/(AB120-W120),"")</f>
        <v>-0.0174827973868037</v>
      </c>
      <c r="AC222" s="215">
        <f>IFERROR((AC174-X174)/(AC120-X120),"")</f>
        <v>0.152714828453835</v>
      </c>
      <c r="AD222" s="215">
        <f>IFERROR((AD174-Y174)/(AD120-Y120),"")</f>
        <v>0.118305415542806</v>
      </c>
      <c r="AE222" s="215">
        <f>IFERROR((AE174-Z174)/(AE120-Z120),"")</f>
        <v>0.143956027689925</v>
      </c>
      <c r="AF222" s="215">
        <f>IFERROR((AF174-AA174)/(AF120-AA120),"")</f>
        <v>0.106164612200555</v>
      </c>
      <c r="AG222" s="215">
        <f>IFERROR((AG174-AB174)/(AG120-AB120),"")</f>
        <v>-0.507782210484911</v>
      </c>
      <c r="AH222" s="215">
        <f>IFERROR((AH174-AC174)/(AH120-AC120),"")</f>
        <v>0.155819740547456</v>
      </c>
      <c r="AI222" s="215">
        <f>IFERROR((AI174-AD174)/(AI120-AD120),"")</f>
        <v>0.157209192772301</v>
      </c>
      <c r="AJ222" s="215">
        <f>IFERROR((AJ174-AE174)/(AJ120-AE120),"")</f>
        <v>0.0366492146596859</v>
      </c>
      <c r="AK222" s="215">
        <f>IFERROR((AK174-AF174)/(AK120-AF120),"")</f>
        <v>0.112712975098296</v>
      </c>
      <c r="AL222" s="215">
        <f>IFERROR((AL174-AG174)/(AL120-AG120),"")</f>
        <v>-0.185483870967742</v>
      </c>
      <c r="AM222" s="256">
        <f>IFERROR((AM174-AH174)/(AM120-AH120),"")</f>
        <v>0.0647630823617341</v>
      </c>
      <c r="AN222" s="256">
        <f>IFERROR((AN174-AI174)/(AN120-AI120),"")</f>
        <v>0.0959938146731367</v>
      </c>
      <c r="AO222" s="256">
        <f>IFERROR((AO174-AJ174)/(AO120-AJ120),"")</f>
        <v>0.095182557670251</v>
      </c>
      <c r="AP222" s="256">
        <f>IFERROR((AP174-AK174)/(AP120-AK120),"")</f>
        <v>0.184901777963541</v>
      </c>
      <c r="AQ222" s="256">
        <f>IFERROR((AQ174-AP174)/(AQ120-AP120),"")</f>
        <v>0.198418255417084</v>
      </c>
      <c r="AR222" s="256">
        <f>IFERROR((AR174-AQ174)/(AR120-AQ120),"")</f>
        <v>0.142729890501565</v>
      </c>
      <c r="AS222" s="256">
        <f>IFERROR((AS174-AR174)/(AS120-AR120),"")</f>
        <v>0.140038611007216</v>
      </c>
      <c r="AT222" s="256">
        <f>IFERROR((AT174-AS174)/(AT120-AS120),"")</f>
        <v>0.139209983855785</v>
      </c>
      <c r="AU222" s="153" t="n"/>
    </row>
    <row r="223" ht="15" customHeight="1" s="251">
      <c r="B223" s="25" t="inlineStr">
        <is>
          <t xml:space="preserve">  Operating margin (GAAP) %</t>
        </is>
      </c>
      <c r="C223" s="215">
        <f>IF(AND(ISNUMBER(C127),ISNUMBER(C120)),IFERROR(C127/C120,""),"")</f>
        <v>0.0661234997571348</v>
      </c>
      <c r="D223" s="215">
        <f>IF(AND(ISNUMBER(D127),ISNUMBER(D120)),IFERROR(D127/D120,""),"")</f>
        <v>0.0774972955296221</v>
      </c>
      <c r="E223" s="215">
        <f>IF(AND(ISNUMBER(E127),ISNUMBER(E120)),IFERROR(E127/E120,""),"")</f>
        <v>0.084073153943833</v>
      </c>
      <c r="F223" s="215">
        <f>IF(AND(ISNUMBER(F127),ISNUMBER(F120)),IFERROR(F127/F120,""),"")</f>
        <v>0.0869842666125727</v>
      </c>
      <c r="G223" s="215">
        <f>IF(AND(ISNUMBER(G127),ISNUMBER(G120)),IFERROR(G127/G120,""),"")</f>
        <v>0.0822429795894659</v>
      </c>
      <c r="H223" s="215">
        <f>IF(AND(ISNUMBER(H127),ISNUMBER(H120)),IFERROR(H127/H120,""),"")</f>
        <v>0.0834292395065438</v>
      </c>
      <c r="I223" s="215">
        <f>IF(AND(ISNUMBER(I127),ISNUMBER(I120)),IFERROR(I127/I120,""),"")</f>
        <v>0.0842672370842274</v>
      </c>
      <c r="J223" s="215">
        <f>IF(AND(ISNUMBER(J127),ISNUMBER(J120)),IFERROR(J127/J120,""),"")</f>
        <v>0.0898554110008641</v>
      </c>
      <c r="K223" s="215">
        <f>IF(AND(ISNUMBER(K127),ISNUMBER(K120)),IFERROR(K127/K120,""),"")</f>
        <v>0.0896591982599844</v>
      </c>
      <c r="L223" s="215">
        <f>IF(AND(ISNUMBER(L127),ISNUMBER(L120)),IFERROR(L127/L120,""),"")</f>
        <v>0.0959889236942701</v>
      </c>
      <c r="M223" s="215">
        <f>IF(AND(ISNUMBER(M127),ISNUMBER(M120)),IFERROR(M127/M120,""),"")</f>
        <v>0.0710167485644016</v>
      </c>
      <c r="N223" s="215">
        <f>IF(AND(ISNUMBER(N127),ISNUMBER(N120)),IFERROR(N127/N120,""),"")</f>
        <v>0.103686163307595</v>
      </c>
      <c r="O223" s="215">
        <f>IF(AND(ISNUMBER(O127),ISNUMBER(O120)),IFERROR(O127/O120,""),"")</f>
        <v>0.0872741957725115</v>
      </c>
      <c r="P223" s="215">
        <f>IF(AND(ISNUMBER(P127),ISNUMBER(P120)),IFERROR(P127/P120,""),"")</f>
        <v>0.0662823782570386</v>
      </c>
      <c r="Q223" s="215">
        <f>IF(AND(ISNUMBER(Q127),ISNUMBER(Q120)),IFERROR(Q127/Q120,""),"")</f>
        <v>0.0819231918887574</v>
      </c>
      <c r="R223" s="215">
        <f>IF(AND(ISNUMBER(R127),ISNUMBER(R120)),IFERROR(R127/R120,""),"")</f>
        <v>0.0921030405405405</v>
      </c>
      <c r="S223" s="215">
        <f>IF(AND(ISNUMBER(S127),ISNUMBER(S120)),IFERROR(S127/S120,""),"")</f>
        <v>0.0974003208384951</v>
      </c>
      <c r="T223" s="215">
        <f>IF(AND(ISNUMBER(T127),ISNUMBER(T120)),IFERROR(T127/T120,""),"")</f>
        <v>0.0257523470910475</v>
      </c>
      <c r="U223" s="215">
        <f>IF(AND(ISNUMBER(U127),ISNUMBER(U120)),IFERROR(U127/U120,""),"")</f>
        <v>-0.0176339488447807</v>
      </c>
      <c r="V223" s="215">
        <f>IF(AND(ISNUMBER(V127),ISNUMBER(V120)),IFERROR(V127/V120,""),"")</f>
        <v>0.048261399207747</v>
      </c>
      <c r="W223" s="215">
        <f>IF(AND(ISNUMBER(W127),ISNUMBER(W120)),IFERROR(W127/W120,""),"")</f>
        <v>0.0883101285898664</v>
      </c>
      <c r="X223" s="215">
        <f>IF(AND(ISNUMBER(X127),ISNUMBER(X120)),IFERROR(X127/X120,""),"")</f>
        <v>0.100135319519841</v>
      </c>
      <c r="Y223" s="215">
        <f>IF(AND(ISNUMBER(Y127),ISNUMBER(Y120)),IFERROR(Y127/Y120,""),"")</f>
        <v>0.0963335293277573</v>
      </c>
      <c r="Z223" s="215">
        <f>IF(AND(ISNUMBER(Z127),ISNUMBER(Z120)),IFERROR(Z127/Z120,""),"")</f>
        <v>0.095419631100913</v>
      </c>
      <c r="AA223" s="215">
        <f>IF(AND(ISNUMBER(AA127),ISNUMBER(AA120)),IFERROR(AA127/AA120,""),"")</f>
        <v>0.095049041934005</v>
      </c>
      <c r="AB223" s="215">
        <f>IF(AND(ISNUMBER(AB127),ISNUMBER(AB120)),IFERROR(AB127/AB120,""),"")</f>
        <v>0.0867374601306616</v>
      </c>
      <c r="AC223" s="215">
        <f>IF(AND(ISNUMBER(AC127),ISNUMBER(AC120)),IFERROR(AC127/AC120,""),"")</f>
        <v>0.174361632679525</v>
      </c>
      <c r="AD223" s="215">
        <f>IF(AND(ISNUMBER(AD127),ISNUMBER(AD120)),IFERROR(AD127/AD120,""),"")</f>
        <v>0.0998423140076581</v>
      </c>
      <c r="AE223" s="215">
        <f>IF(AND(ISNUMBER(AE127),ISNUMBER(AE120)),IFERROR(AE127/AE120,""),"")</f>
        <v>0.0921318090114324</v>
      </c>
      <c r="AF223" s="215">
        <f>IF(AND(ISNUMBER(AF127),ISNUMBER(AF120)),IFERROR(AF127/AF120,""),"")</f>
        <v>0.114357262103506</v>
      </c>
      <c r="AG223" s="215">
        <f>IF(AND(ISNUMBER(AG127),ISNUMBER(AG120)),IFERROR(AG127/AG120,""),"")</f>
        <v>0.0878932968536252</v>
      </c>
      <c r="AH223" s="215">
        <f>IF(AND(ISNUMBER(AH127),ISNUMBER(AH120)),IFERROR(AH127/AH120,""),"")</f>
        <v>0.097923875432526</v>
      </c>
      <c r="AI223" s="215">
        <f>IF(AND(ISNUMBER(AI127),ISNUMBER(AI120)),IFERROR(AI127/AI120,""),"")</f>
        <v>0.0877862595419847</v>
      </c>
      <c r="AJ223" s="215">
        <f>IF(AND(ISNUMBER(AJ127),ISNUMBER(AJ120)),IFERROR(AJ127/AJ120,""),"")</f>
        <v>0.094502335609055</v>
      </c>
      <c r="AK223" s="215">
        <f>IF(AND(ISNUMBER(AK127),ISNUMBER(AK120)),IFERROR(AK127/AK120,""),"")</f>
        <v>0.0920923598110012</v>
      </c>
      <c r="AL223" s="215">
        <f>IF(AND(ISNUMBER(AL127),ISNUMBER(AL120)),IFERROR(AL127/AL120,""),"")</f>
        <v>0.0996428571428571</v>
      </c>
      <c r="AM223" s="256">
        <f>IF(AND(ISNUMBER(AM127),ISNUMBER(AM120)),IFERROR(AM127/AM120,""),"")</f>
        <v>0.0924270086425611</v>
      </c>
      <c r="AN223" s="256">
        <f>IF(AND(ISNUMBER(AN127),ISNUMBER(AN120)),IFERROR(AN127/AN120,""),"")</f>
        <v>0.0874618549931909</v>
      </c>
      <c r="AO223" s="256">
        <f>IF(AND(ISNUMBER(AO127),ISNUMBER(AO120)),IFERROR(AO127/AO120,""),"")</f>
        <v>0.0907447205653475</v>
      </c>
      <c r="AP223" s="256">
        <f>IF(AND(ISNUMBER(AP127),ISNUMBER(AP120)),IFERROR(AP127/AP120,""),"")</f>
        <v>0.0925521699862148</v>
      </c>
      <c r="AQ223" s="256">
        <f>IF(AND(ISNUMBER(AQ127),ISNUMBER(AQ120)),IFERROR(AQ127/AQ120,""),"")</f>
        <v>0.097133127320356</v>
      </c>
      <c r="AR223" s="256">
        <f>IF(AND(ISNUMBER(AR127),ISNUMBER(AR120)),IFERROR(AR127/AR120,""),"")</f>
        <v>0.0987741073607933</v>
      </c>
      <c r="AS223" s="256">
        <f>IF(AND(ISNUMBER(AS127),ISNUMBER(AS120)),IFERROR(AS127/AS120,""),"")</f>
        <v>0.100296088007196</v>
      </c>
      <c r="AT223" s="256">
        <f>IF(AND(ISNUMBER(AT127),ISNUMBER(AT120)),IFERROR(AT127/AT120,""),"")</f>
        <v>0.101575613545179</v>
      </c>
      <c r="AU223" s="153" t="n"/>
      <c r="AW223" s="37">
        <f>IFERROR(AVERAGE(AP223,AQ223,AR223,AS223,AT223),"n/m")</f>
        <v>0.0980662212439478</v>
      </c>
      <c r="AX223" s="37">
        <f>IFERROR(AVERAGE(Q223,V223,AA223,AF223,AK223),"n/m")</f>
        <v>0.0863366509890033</v>
      </c>
      <c r="AY223" s="37">
        <f>IFERROR(AVERAGE(H223,I223,J223,K223,L223,Q223,V223,AA223,AF223,AK223),"n/m")</f>
        <v>0.0874883264490906</v>
      </c>
      <c r="AZ223" s="37">
        <f>IFERROR(AVERAGE(C223,D223,E223,F223,G223,H223,I223,J223,K223,L223,Q223,V223,AA223,AF223,AK223),"n/m")</f>
        <v>0.0847869639949023</v>
      </c>
    </row>
    <row r="224" ht="15" customHeight="1" s="251">
      <c r="B224" s="25" t="inlineStr">
        <is>
          <t xml:space="preserve">  Net margin %</t>
        </is>
      </c>
      <c r="C224" s="215">
        <f>IF(AND(ISNUMBER(C136),ISNUMBER(C120)),IFERROR(C136/C120,""),"")</f>
        <v>0.0409534173331663</v>
      </c>
      <c r="D224" s="215">
        <f>IF(AND(ISNUMBER(D136),ISNUMBER(D120)),IFERROR(D136/D120,""),"")</f>
        <v>0.0380437227197568</v>
      </c>
      <c r="E224" s="215">
        <f>IF(AND(ISNUMBER(E136),ISNUMBER(E120)),IFERROR(E136/E120,""),"")</f>
        <v>0.0423801808204986</v>
      </c>
      <c r="F224" s="215">
        <f>IF(AND(ISNUMBER(F136),ISNUMBER(F120)),IFERROR(F136/F120,""),"")</f>
        <v>0.0440908323964836</v>
      </c>
      <c r="G224" s="215">
        <f>IF(AND(ISNUMBER(G136),ISNUMBER(G120)),IFERROR(G136/G120,""),"")</f>
        <v>0.0544040425192638</v>
      </c>
      <c r="H224" s="215">
        <f>IF(AND(ISNUMBER(H136),ISNUMBER(H120)),IFERROR(H136/H120,""),"")</f>
        <v>0.0435006281567201</v>
      </c>
      <c r="I224" s="215">
        <f>IF(AND(ISNUMBER(I136),ISNUMBER(I120)),IFERROR(I136/I120,""),"")</f>
        <v>0.0494358825461332</v>
      </c>
      <c r="J224" s="215">
        <f>IF(AND(ISNUMBER(J136),ISNUMBER(J120)),IFERROR(J136/J120,""),"")</f>
        <v>0.0624293988830909</v>
      </c>
      <c r="K224" s="215">
        <f>IF(AND(ISNUMBER(K136),ISNUMBER(K120)),IFERROR(K136/K120,""),"")</f>
        <v>0.0646587996716436</v>
      </c>
      <c r="L224" s="215">
        <f>IF(AND(ISNUMBER(L136),ISNUMBER(L120)),IFERROR(L136/L120,""),"")</f>
        <v>0.0774860420072025</v>
      </c>
      <c r="M224" s="215">
        <f>IF(AND(ISNUMBER(M136),ISNUMBER(M120)),IFERROR(M136/M120,""),"")</f>
        <v>0.0463041447593996</v>
      </c>
      <c r="N224" s="215">
        <f>IF(AND(ISNUMBER(N136),ISNUMBER(N120)),IFERROR(N136/N120,""),"")</f>
        <v>0.0735190912984476</v>
      </c>
      <c r="O224" s="215">
        <f>IF(AND(ISNUMBER(O136),ISNUMBER(O120)),IFERROR(O136/O120,""),"")</f>
        <v>0.0634965427575202</v>
      </c>
      <c r="P224" s="215">
        <f>IF(AND(ISNUMBER(P136),ISNUMBER(P120)),IFERROR(P136/P120,""),"")</f>
        <v>0.0406031788017923</v>
      </c>
      <c r="Q224" s="215">
        <f>IF(AND(ISNUMBER(Q136),ISNUMBER(Q120)),IFERROR(Q136/Q120,""),"")</f>
        <v>0.055805444958571</v>
      </c>
      <c r="R224" s="215">
        <f>IF(AND(ISNUMBER(R136),ISNUMBER(R120)),IFERROR(R136/R120,""),"")</f>
        <v>0.0614704836415363</v>
      </c>
      <c r="S224" s="215">
        <f>IF(AND(ISNUMBER(S136),ISNUMBER(S120)),IFERROR(S136/S120,""),"")</f>
        <v>0.0743513633896135</v>
      </c>
      <c r="T224" s="215">
        <f>IF(AND(ISNUMBER(T136),ISNUMBER(T120)),IFERROR(T136/T120,""),"")</f>
        <v>0.0136126449996794</v>
      </c>
      <c r="U224" s="215">
        <f>IF(AND(ISNUMBER(U136),ISNUMBER(U120)),IFERROR(U136/U120,""),"")</f>
        <v>-0.0281194660170035</v>
      </c>
      <c r="V224" s="215">
        <f>IF(AND(ISNUMBER(V136),ISNUMBER(V120)),IFERROR(V136/V120,""),"")</f>
        <v>0.0293545320826607</v>
      </c>
      <c r="W224" s="215">
        <f>IF(AND(ISNUMBER(W136),ISNUMBER(W120)),IFERROR(W136/W120,""),"")</f>
        <v>0.0607982110284251</v>
      </c>
      <c r="X224" s="215">
        <f>IF(AND(ISNUMBER(X136),ISNUMBER(X120)),IFERROR(X136/X120,""),"")</f>
        <v>0.0640284861091212</v>
      </c>
      <c r="Y224" s="215">
        <f>IF(AND(ISNUMBER(Y136),ISNUMBER(Y120)),IFERROR(Y136/Y120,""),"")</f>
        <v>0.0566752055898492</v>
      </c>
      <c r="Z224" s="215">
        <f>IF(AND(ISNUMBER(Z136),ISNUMBER(Z120)),IFERROR(Z136/Z120,""),"")</f>
        <v>0.0461710220410655</v>
      </c>
      <c r="AA224" s="215">
        <f>IF(AND(ISNUMBER(AA136),ISNUMBER(AA120)),IFERROR(AA136/AA120,""),"")</f>
        <v>0.056810345927216</v>
      </c>
      <c r="AB224" s="215">
        <f>IF(AND(ISNUMBER(AB136),ISNUMBER(AB120)),IFERROR(AB136/AB120,""),"")</f>
        <v>0.0561673698083178</v>
      </c>
      <c r="AC224" s="215">
        <f>IF(AND(ISNUMBER(AC136),ISNUMBER(AC120)),IFERROR(AC136/AC120,""),"")</f>
        <v>0.123987330225853</v>
      </c>
      <c r="AD224" s="215">
        <f>IF(AND(ISNUMBER(AD136),ISNUMBER(AD120)),IFERROR(AD136/AD120,""),"")</f>
        <v>0.0640856440615798</v>
      </c>
      <c r="AE224" s="215">
        <f>IF(AND(ISNUMBER(AE136),ISNUMBER(AE120)),IFERROR(AE136/AE120,""),"")</f>
        <v>0.0648957632817754</v>
      </c>
      <c r="AF224" s="215">
        <f>IF(AND(ISNUMBER(AF136),ISNUMBER(AF120)),IFERROR(AF136/AF120,""),"")</f>
        <v>0.0780467445742905</v>
      </c>
      <c r="AG224" s="215">
        <f>IF(AND(ISNUMBER(AG136),ISNUMBER(AG120)),IFERROR(AG136/AG120,""),"")</f>
        <v>0.0926812585499316</v>
      </c>
      <c r="AH224" s="215">
        <f>IF(AND(ISNUMBER(AH136),ISNUMBER(AH120)),IFERROR(AH136/AH120,""),"")</f>
        <v>0.0605536332179931</v>
      </c>
      <c r="AI224" s="215">
        <f>IF(AND(ISNUMBER(AI136),ISNUMBER(AI120)),IFERROR(AI136/AI120,""),"")</f>
        <v>0.0763358778625954</v>
      </c>
      <c r="AJ224" s="215">
        <f>IF(AND(ISNUMBER(AJ136),ISNUMBER(AJ120)),IFERROR(AJ136/AJ120,""),"")</f>
        <v>0.0736615163492634</v>
      </c>
      <c r="AK224" s="215">
        <f>IF(AND(ISNUMBER(AK136),ISNUMBER(AK120)),IFERROR(AK136/AK120,""),"")</f>
        <v>0.0758669876080949</v>
      </c>
      <c r="AL224" s="215">
        <f>IF(AND(ISNUMBER(AL136),ISNUMBER(AL120)),IFERROR(AL136/AL120,""),"")</f>
        <v>0.0707142857142857</v>
      </c>
      <c r="AM224" s="256">
        <f>IF(AND(ISNUMBER(AM136),ISNUMBER(AM120)),IFERROR(AM136/AM120,""),"")</f>
        <v>0.0585661711959012</v>
      </c>
      <c r="AN224" s="256">
        <f>IF(AND(ISNUMBER(AN136),ISNUMBER(AN120)),IFERROR(AN136/AN120,""),"")</f>
        <v>0.053399671121201</v>
      </c>
      <c r="AO224" s="256">
        <f>IF(AND(ISNUMBER(AO136),ISNUMBER(AO120)),IFERROR(AO136/AO120,""),"")</f>
        <v>0.0568666928972189</v>
      </c>
      <c r="AP224" s="256">
        <f>IF(AND(ISNUMBER(AP136),ISNUMBER(AP120)),IFERROR(AP136/AP120,""),"")</f>
        <v>0.0598333412558825</v>
      </c>
      <c r="AQ224" s="256">
        <f>IF(AND(ISNUMBER(AQ136),ISNUMBER(AQ120)),IFERROR(AQ136/AQ120,""),"")</f>
        <v>0.0617694975594931</v>
      </c>
      <c r="AR224" s="256">
        <f>IF(AND(ISNUMBER(AR136),ISNUMBER(AR120)),IFERROR(AR136/AR120,""),"")</f>
        <v>0.0627524516606327</v>
      </c>
      <c r="AS224" s="256">
        <f>IF(AND(ISNUMBER(AS136),ISNUMBER(AS120)),IFERROR(AS136/AS120,""),"")</f>
        <v>0.0633076236249766</v>
      </c>
      <c r="AT224" s="256">
        <f>IF(AND(ISNUMBER(AT136),ISNUMBER(AT120)),IFERROR(AT136/AT120,""),"")</f>
        <v>0.063832586558786</v>
      </c>
      <c r="AU224" s="153" t="n"/>
      <c r="AW224" s="37">
        <f>IFERROR(AVERAGE(AP224,AQ224,AR224,AS224,AT224),"n/m")</f>
        <v>0.0622991001319542</v>
      </c>
      <c r="AX224" s="37">
        <f>IFERROR(AVERAGE(Q224,V224,AA224,AF224,AK224),"n/m")</f>
        <v>0.0591768110301666</v>
      </c>
      <c r="AY224" s="37">
        <f>IFERROR(AVERAGE(H224,I224,J224,K224,L224,Q224,V224,AA224,AF224,AK224),"n/m")</f>
        <v>0.0593394806415623</v>
      </c>
      <c r="AZ224" s="37">
        <f>IFERROR(AVERAGE(C224,D224,E224,F224,G224,H224,I224,J224,K224,L224,Q224,V224,AA224,AF224,AK224),"n/m")</f>
        <v>0.0542178001469862</v>
      </c>
    </row>
    <row r="225" ht="15" customHeight="1" s="251">
      <c r="B225" s="25" t="inlineStr">
        <is>
          <t xml:space="preserve">  Billable expenses % of revenue</t>
        </is>
      </c>
      <c r="C225" s="215">
        <f>IF(AND(ISNUMBER(C122),ISNUMBER(C120)),IFERROR(C122/C120,""),"")</f>
        <v>0.263315343446856</v>
      </c>
      <c r="D225" s="215">
        <f>IF(AND(ISNUMBER(D122),ISNUMBER(D120)),IFERROR(D122/D120,""),"")</f>
        <v>0.266164344616823</v>
      </c>
      <c r="E225" s="215">
        <f>IF(AND(ISNUMBER(E122),ISNUMBER(E120)),IFERROR(E122/E120,""),"")</f>
        <v>0.2714360888628</v>
      </c>
      <c r="F225" s="215">
        <f>IF(AND(ISNUMBER(F122),ISNUMBER(F120)),IFERROR(F122/F120,""),"")</f>
        <v>0.266651816098143</v>
      </c>
      <c r="G225" s="215">
        <f>IF(AND(ISNUMBER(G122),ISNUMBER(G120)),IFERROR(G122/G120,""),"")</f>
        <v>0.279903132560254</v>
      </c>
      <c r="H225" s="215">
        <f>IF(AND(ISNUMBER(H122),ISNUMBER(H120)),IFERROR(H122/H120,""),"")</f>
        <v>0.301686995329657</v>
      </c>
      <c r="I225" s="215">
        <f>IF(AND(ISNUMBER(I122),ISNUMBER(I120)),IFERROR(I122/I120,""),"")</f>
        <v>0.301580740824514</v>
      </c>
      <c r="J225" s="215">
        <f>IF(AND(ISNUMBER(J122),ISNUMBER(J120)),IFERROR(J122/J120,""),"")</f>
        <v>0.299023409327842</v>
      </c>
      <c r="K225" s="215">
        <f>IF(AND(ISNUMBER(K122),ISNUMBER(K120)),IFERROR(K122/K120,""),"")</f>
        <v>0.307939705575186</v>
      </c>
      <c r="L225" s="215">
        <f>IF(AND(ISNUMBER(L122),ISNUMBER(L120)),IFERROR(L122/L120,""),"")</f>
        <v>0.295954491561074</v>
      </c>
      <c r="M225" s="215">
        <f>IF(AND(ISNUMBER(M122),ISNUMBER(M120)),IFERROR(M122/M120,""),"")</f>
        <v>0.279299429983721</v>
      </c>
      <c r="N225" s="215">
        <f>IF(AND(ISNUMBER(N122),ISNUMBER(N120)),IFERROR(N122/N120,""),"")</f>
        <v>0.303945132993802</v>
      </c>
      <c r="O225" s="215">
        <f>IF(AND(ISNUMBER(O122),ISNUMBER(O120)),IFERROR(O122/O120,""),"")</f>
        <v>0.306103855170104</v>
      </c>
      <c r="P225" s="215">
        <f>IF(AND(ISNUMBER(P122),ISNUMBER(P120)),IFERROR(P122/P120,""),"")</f>
        <v>0.293532480577067</v>
      </c>
      <c r="Q225" s="215">
        <f>IF(AND(ISNUMBER(Q122),ISNUMBER(Q120)),IFERROR(Q122/Q120,""),"")</f>
        <v>0.295821586140105</v>
      </c>
      <c r="R225" s="215">
        <f>IF(AND(ISNUMBER(R122),ISNUMBER(R120)),IFERROR(R122/R120,""),"")</f>
        <v>0.299727062588905</v>
      </c>
      <c r="S225" s="215">
        <f>IF(AND(ISNUMBER(S122),ISNUMBER(S120)),IFERROR(S122/S120,""),"")</f>
        <v>0.297933079771168</v>
      </c>
      <c r="T225" s="215">
        <f>IF(AND(ISNUMBER(T122),ISNUMBER(T120)),IFERROR(T122/T120,""),"")</f>
        <v>0.312034655000233</v>
      </c>
      <c r="U225" s="215">
        <f>IF(AND(ISNUMBER(U122),ISNUMBER(U120)),IFERROR(U122/U120,""),"")</f>
        <v>0.303758618578114</v>
      </c>
      <c r="V225" s="215">
        <f>IF(AND(ISNUMBER(V122),ISNUMBER(V120)),IFERROR(V122/V120,""),"")</f>
        <v>0.303367966275948</v>
      </c>
      <c r="W225" s="215">
        <f>IF(AND(ISNUMBER(W122),ISNUMBER(W120)),IFERROR(W122/W120,""),"")</f>
        <v>0.306011785332452</v>
      </c>
      <c r="X225" s="215">
        <f>IF(AND(ISNUMBER(X122),ISNUMBER(X120)),IFERROR(X122/X120,""),"")</f>
        <v>0.309340122312644</v>
      </c>
      <c r="Y225" s="215">
        <f>IF(AND(ISNUMBER(Y122),ISNUMBER(Y120)),IFERROR(Y122/Y120,""),"")</f>
        <v>0.311267681816608</v>
      </c>
      <c r="Z225" s="215">
        <f>IF(AND(ISNUMBER(Z122),ISNUMBER(Z120)),IFERROR(Z122/Z120,""),"")</f>
        <v>0.304831584291569</v>
      </c>
      <c r="AA225" s="215">
        <f>IF(AND(ISNUMBER(AA122),ISNUMBER(AA120)),IFERROR(AA122/AA120,""),"")</f>
        <v>0.307804165412981</v>
      </c>
      <c r="AB225" s="215">
        <f>IF(AND(ISNUMBER(AB122),ISNUMBER(AB120)),IFERROR(AB122/AB120,""),"")</f>
        <v>0.321225767787512</v>
      </c>
      <c r="AC225" s="215">
        <f>IF(AND(ISNUMBER(AC122),ISNUMBER(AC120)),IFERROR(AC122/AC120,""),"")</f>
        <v>0.307661552015551</v>
      </c>
      <c r="AD225" s="215">
        <f>IF(AND(ISNUMBER(AD122),ISNUMBER(AD120)),IFERROR(AD122/AD120,""),"")</f>
        <v>0.321725358992729</v>
      </c>
      <c r="AE225" s="215">
        <f>IF(AND(ISNUMBER(AE122),ISNUMBER(AE120)),IFERROR(AE122/AE120,""),"")</f>
        <v>0.312037659717552</v>
      </c>
      <c r="AF225" s="215">
        <f>IF(AND(ISNUMBER(AF122),ISNUMBER(AF120)),IFERROR(AF122/AF120,""),"")</f>
        <v>0.315525876460768</v>
      </c>
      <c r="AG225" s="215">
        <f>IF(AND(ISNUMBER(AG122),ISNUMBER(AG120)),IFERROR(AG122/AG120,""),"")</f>
        <v>0.301299589603283</v>
      </c>
      <c r="AH225" s="215">
        <f>IF(AND(ISNUMBER(AH122),ISNUMBER(AH120)),IFERROR(AH122/AH120,""),"")</f>
        <v>0.317647058823529</v>
      </c>
      <c r="AI225" s="215">
        <f>IF(AND(ISNUMBER(AI122),ISNUMBER(AI120)),IFERROR(AI122/AI120,""),"")</f>
        <v>0.295419847328244</v>
      </c>
      <c r="AJ225" s="215">
        <f>IF(AND(ISNUMBER(AJ122),ISNUMBER(AJ120)),IFERROR(AJ122/AJ120,""),"")</f>
        <v>0.315127560186849</v>
      </c>
      <c r="AK225" s="215">
        <f>IF(AND(ISNUMBER(AK122),ISNUMBER(AK120)),IFERROR(AK122/AK120,""),"")</f>
        <v>0.307568868681466</v>
      </c>
      <c r="AL225" s="215">
        <f>IF(AND(ISNUMBER(AL122),ISNUMBER(AL120)),IFERROR(AL122/AL120,""),"")</f>
        <v>0.298214285714286</v>
      </c>
      <c r="AM225" s="256">
        <f>IF(AND(ISNUMBER(AM122),ISNUMBER(AM120)),IFERROR(AM122/AM120,""),"")</f>
        <v>0.314561754934532</v>
      </c>
      <c r="AN225" s="256">
        <f>IF(AND(ISNUMBER(AN122),ISNUMBER(AN120)),IFERROR(AN122/AN120,""),"")</f>
        <v>0.292334543439247</v>
      </c>
      <c r="AO225" s="256">
        <f>IF(AND(ISNUMBER(AO122),ISNUMBER(AO120)),IFERROR(AO122/AO120,""),"")</f>
        <v>0.312042256297851</v>
      </c>
      <c r="AP225" s="256">
        <f>IF(AND(ISNUMBER(AP122),ISNUMBER(AP120)),IFERROR(AP122/AP120,""),"")</f>
        <v>0.304616192243149</v>
      </c>
      <c r="AQ225" s="256">
        <f>IF(AND(ISNUMBER(AQ122),ISNUMBER(AQ120)),IFERROR(AQ122/AQ120,""),"")</f>
        <v>0.305</v>
      </c>
      <c r="AR225" s="256">
        <f>IF(AND(ISNUMBER(AR122),ISNUMBER(AR120)),IFERROR(AR122/AR120,""),"")</f>
        <v>0.305</v>
      </c>
      <c r="AS225" s="256">
        <f>IF(AND(ISNUMBER(AS122),ISNUMBER(AS120)),IFERROR(AS122/AS120,""),"")</f>
        <v>0.305</v>
      </c>
      <c r="AT225" s="256">
        <f>IF(AND(ISNUMBER(AT122),ISNUMBER(AT120)),IFERROR(AT122/AT120,""),"")</f>
        <v>0.305</v>
      </c>
      <c r="AU225" s="153" t="n"/>
      <c r="AW225" s="37">
        <f>IFERROR(AVERAGE(AP225,AQ225,AR225,AS225,AT225),"n/m")</f>
        <v>0.30492323844863</v>
      </c>
      <c r="AX225" s="37">
        <f>IFERROR(AVERAGE(Q225,V225,AA225,AF225,AK225),"n/m")</f>
        <v>0.306017692594254</v>
      </c>
      <c r="AY225" s="37">
        <f>IFERROR(AVERAGE(H225,I225,J225,K225,L225,Q225,V225,AA225,AF225,AK225),"n/m")</f>
        <v>0.303627380558954</v>
      </c>
      <c r="AZ225" s="37">
        <f>IFERROR(AVERAGE(C225,D225,E225,F225,G225,H225,I225,J225,K225,L225,Q225,V225,AA225,AF225,AK225),"n/m")</f>
        <v>0.292249635411628</v>
      </c>
    </row>
    <row r="226" ht="15" customHeight="1" s="251">
      <c r="B226" s="25" t="inlineStr">
        <is>
          <t xml:space="preserve">  G&amp;A % of revenue</t>
        </is>
      </c>
      <c r="C226" s="215">
        <f>IF(AND(ISNUMBER(C123),ISNUMBER(C120)),IFERROR(C123/C120,""),"")</f>
        <v>0.154239183454174</v>
      </c>
      <c r="D226" s="215">
        <f>IF(AND(ISNUMBER(D123),ISNUMBER(D120)),IFERROR(D123/D120,""),"")</f>
        <v>0.144838043514316</v>
      </c>
      <c r="E226" s="215">
        <f>IF(AND(ISNUMBER(E123),ISNUMBER(E120)),IFERROR(E123/E120,""),"")</f>
        <v>0.135529952125443</v>
      </c>
      <c r="F226" s="215">
        <f>IF(AND(ISNUMBER(F123),ISNUMBER(F120)),IFERROR(F123/F120,""),"")</f>
        <v>0.142738356364353</v>
      </c>
      <c r="G226" s="215">
        <f>IF(AND(ISNUMBER(G123),ISNUMBER(G120)),IFERROR(G123/G120,""),"")</f>
        <v>0.149194985032571</v>
      </c>
      <c r="H226" s="215">
        <f>IF(AND(ISNUMBER(H123),ISNUMBER(H120)),IFERROR(H123/H120,""),"")</f>
        <v>0.140832874476852</v>
      </c>
      <c r="I226" s="215">
        <f>IF(AND(ISNUMBER(I123),ISNUMBER(I120)),IFERROR(I123/I120,""),"")</f>
        <v>0.139114946516063</v>
      </c>
      <c r="J226" s="215">
        <f>IF(AND(ISNUMBER(J123),ISNUMBER(J120)),IFERROR(J123/J120,""),"")</f>
        <v>0.138414808868149</v>
      </c>
      <c r="K226" s="215">
        <f>IF(AND(ISNUMBER(K123),ISNUMBER(K120)),IFERROR(K123/K120,""),"")</f>
        <v>0.138797838807124</v>
      </c>
      <c r="L226" s="215">
        <f>IF(AND(ISNUMBER(L123),ISNUMBER(L120)),IFERROR(L123/L120,""),"")</f>
        <v>0.131930548376893</v>
      </c>
      <c r="M226" s="215">
        <f>IF(AND(ISNUMBER(M123),ISNUMBER(M120)),IFERROR(M123/M120,""),"")</f>
        <v>0.151729505204955</v>
      </c>
      <c r="N226" s="215">
        <f>IF(AND(ISNUMBER(N123),ISNUMBER(N120)),IFERROR(N123/N120,""),"")</f>
        <v>0.124527667591943</v>
      </c>
      <c r="O226" s="215">
        <f>IF(AND(ISNUMBER(O123),ISNUMBER(O120)),IFERROR(O123/O120,""),"")</f>
        <v>0.129333372732108</v>
      </c>
      <c r="P226" s="215">
        <f>IF(AND(ISNUMBER(P123),ISNUMBER(P120)),IFERROR(P123/P120,""),"")</f>
        <v>0.148511936145153</v>
      </c>
      <c r="Q226" s="215">
        <f>IF(AND(ISNUMBER(Q123),ISNUMBER(Q120)),IFERROR(Q123/Q120,""),"")</f>
        <v>0.138573478245274</v>
      </c>
      <c r="R226" s="215">
        <f>IF(AND(ISNUMBER(R123),ISNUMBER(R120)),IFERROR(R123/R120,""),"")</f>
        <v>0.112492887624467</v>
      </c>
      <c r="S226" s="215">
        <f>IF(AND(ISNUMBER(S123),ISNUMBER(S120)),IFERROR(S123/S120,""),"")</f>
        <v>0.127714251910416</v>
      </c>
      <c r="T226" s="215">
        <f>IF(AND(ISNUMBER(T123),ISNUMBER(T120)),IFERROR(T123/T120,""),"")</f>
        <v>0.185495947869942</v>
      </c>
      <c r="U226" s="215">
        <f>IF(AND(ISNUMBER(U123),ISNUMBER(U120)),IFERROR(U123/U120,""),"")</f>
        <v>0.231725244435348</v>
      </c>
      <c r="V226" s="215">
        <f>IF(AND(ISNUMBER(V123),ISNUMBER(V120)),IFERROR(V123/V120,""),"")</f>
        <v>0.165560723069916</v>
      </c>
      <c r="W226" s="215">
        <f>IF(AND(ISNUMBER(W123),ISNUMBER(W120)),IFERROR(W123/W120,""),"")</f>
        <v>0.118290697332742</v>
      </c>
      <c r="X226" s="215">
        <f>IF(AND(ISNUMBER(X123),ISNUMBER(X120)),IFERROR(X123/X120,""),"")</f>
        <v>0.112848528400222</v>
      </c>
      <c r="Y226" s="215">
        <f>IF(AND(ISNUMBER(Y123),ISNUMBER(Y120)),IFERROR(Y123/Y120,""),"")</f>
        <v>0.11684679086046</v>
      </c>
      <c r="Z226" s="215">
        <f>IF(AND(ISNUMBER(Z123),ISNUMBER(Z120)),IFERROR(Z123/Z120,""),"")</f>
        <v>0.132169173829</v>
      </c>
      <c r="AA226" s="215">
        <f>IF(AND(ISNUMBER(AA123),ISNUMBER(AA120)),IFERROR(AA123/AA120,""),"")</f>
        <v>0.12018903579626</v>
      </c>
      <c r="AB226" s="215">
        <f>IF(AND(ISNUMBER(AB123),ISNUMBER(AB120)),IFERROR(AB123/AB120,""),"")</f>
        <v>0.111934644028803</v>
      </c>
      <c r="AC226" s="215">
        <f>IF(AND(ISNUMBER(AC123),ISNUMBER(AC120)),IFERROR(AC123/AC120,""),"")</f>
        <v>0.0716431486791513</v>
      </c>
      <c r="AD226" s="215">
        <f>IF(AND(ISNUMBER(AD123),ISNUMBER(AD120)),IFERROR(AD123/AD120,""),"")</f>
        <v>0.117108930169101</v>
      </c>
      <c r="AE226" s="215">
        <f>IF(AND(ISNUMBER(AE123),ISNUMBER(AE120)),IFERROR(AE123/AE120,""),"")</f>
        <v>0.118359112306658</v>
      </c>
      <c r="AF226" s="215">
        <f>IF(AND(ISNUMBER(AF123),ISNUMBER(AF120)),IFERROR(AF123/AF120,""),"")</f>
        <v>0.104006677796327</v>
      </c>
      <c r="AG226" s="215">
        <f>IF(AND(ISNUMBER(AG123),ISNUMBER(AG120)),IFERROR(AG123/AG120,""),"")</f>
        <v>0.11046511627907</v>
      </c>
      <c r="AH226" s="215">
        <f>IF(AND(ISNUMBER(AH123),ISNUMBER(AH120)),IFERROR(AH123/AH120,""),"")</f>
        <v>0.106574394463668</v>
      </c>
      <c r="AI226" s="215">
        <f>IF(AND(ISNUMBER(AI123),ISNUMBER(AI120)),IFERROR(AI123/AI120,""),"")</f>
        <v>0.120992366412214</v>
      </c>
      <c r="AJ226" s="215">
        <f>IF(AND(ISNUMBER(AJ123),ISNUMBER(AJ120)),IFERROR(AJ123/AJ120,""),"")</f>
        <v>0.114265181458857</v>
      </c>
      <c r="AK226" s="215">
        <f>IF(AND(ISNUMBER(AK123),ISNUMBER(AK120)),IFERROR(AK123/AK120,""),"")</f>
        <v>0.11286440224659</v>
      </c>
      <c r="AL226" s="215">
        <f>IF(AND(ISNUMBER(AL123),ISNUMBER(AL120)),IFERROR(AL123/AL120,""),"")</f>
        <v>0.108928571428571</v>
      </c>
      <c r="AM226" s="256">
        <f>IF(AND(ISNUMBER(AM123),ISNUMBER(AM120)),IFERROR(AM123/AM120,""),"")</f>
        <v>0.123020115698966</v>
      </c>
      <c r="AN226" s="256">
        <f>IF(AND(ISNUMBER(AN123),ISNUMBER(AN120)),IFERROR(AN123/AN120,""),"")</f>
        <v>0.130399596950747</v>
      </c>
      <c r="AO226" s="256">
        <f>IF(AND(ISNUMBER(AO123),ISNUMBER(AO120)),IFERROR(AO123/AO120,""),"")</f>
        <v>0.128026006581264</v>
      </c>
      <c r="AP226" s="256">
        <f>IF(AND(ISNUMBER(AP123),ISNUMBER(AP120)),IFERROR(AP123/AP120,""),"")</f>
        <v>0.122658020277127</v>
      </c>
      <c r="AQ226" s="256">
        <f>IF(AND(ISNUMBER(AQ123),ISNUMBER(AQ120)),IFERROR(AQ123/AQ120,""),"")</f>
        <v>0.105955947449814</v>
      </c>
      <c r="AR226" s="256">
        <f>IF(AND(ISNUMBER(AR123),ISNUMBER(AR120)),IFERROR(AR123/AR120,""),"")</f>
        <v>0.10468119661216</v>
      </c>
      <c r="AS226" s="256">
        <f>IF(AND(ISNUMBER(AS123),ISNUMBER(AS120)),IFERROR(AS123/AS120,""),"")</f>
        <v>0.103486110502649</v>
      </c>
      <c r="AT226" s="256">
        <f>IF(AND(ISNUMBER(AT123),ISNUMBER(AT120)),IFERROR(AT123/AT120,""),"")</f>
        <v>0.102353023700819</v>
      </c>
      <c r="AU226" s="153" t="n"/>
      <c r="AW226" s="37">
        <f>IFERROR(AVERAGE(AP226,AQ226,AR226,AS226,AT226),"n/m")</f>
        <v>0.107826859708514</v>
      </c>
      <c r="AX226" s="37">
        <f>IFERROR(AVERAGE(Q226,V226,AA226,AF226,AK226),"n/m")</f>
        <v>0.128238863430873</v>
      </c>
      <c r="AY226" s="37">
        <f>IFERROR(AVERAGE(H226,I226,J226,K226,L226,Q226,V226,AA226,AF226,AK226),"n/m")</f>
        <v>0.133028533419945</v>
      </c>
      <c r="AZ226" s="37">
        <f>IFERROR(AVERAGE(C226,D226,E226,F226,G226,H226,I226,J226,K226,L226,Q226,V226,AA226,AF226,AK226),"n/m")</f>
        <v>0.13712172364602</v>
      </c>
    </row>
    <row r="227" ht="15" customHeight="1" s="251">
      <c r="BC227" s="11" t="n"/>
      <c r="BD227" s="12" t="n"/>
      <c r="BE227" s="12" t="n"/>
      <c r="BF227" s="12" t="n"/>
      <c r="BG227" s="13" t="n"/>
    </row>
    <row r="228" ht="15" customHeight="1" s="251">
      <c r="B228" s="10" t="inlineStr">
        <is>
          <t>CONSOLIDATED STATEMENT OF CASH FLOWS</t>
        </is>
      </c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inlineStr">
        <is>
          <t>CASH FLOW — forecast logic (annual; 2027E = Q1/27 actual + Q2–Q4 estimate; quarters = discrete, derived from year-to-date statements)</t>
        </is>
      </c>
    </row>
    <row r="229" ht="15" customHeight="1" s="251">
      <c r="B229" s="25" t="inlineStr">
        <is>
          <t>Net income</t>
        </is>
      </c>
      <c r="C229" s="253" t="n">
        <v>239.955</v>
      </c>
      <c r="D229" s="253" t="n">
        <v>219.058</v>
      </c>
      <c r="E229" s="253" t="n">
        <v>232.188</v>
      </c>
      <c r="F229" s="253" t="n">
        <v>232.569</v>
      </c>
      <c r="G229" s="253" t="n">
        <v>294.094</v>
      </c>
      <c r="H229" s="253" t="n">
        <v>252.49</v>
      </c>
      <c r="I229" s="253" t="n">
        <v>305.111</v>
      </c>
      <c r="J229" s="253" t="n">
        <v>418.529</v>
      </c>
      <c r="K229" s="253" t="n">
        <v>482.603</v>
      </c>
      <c r="L229" s="253" t="n">
        <v>608.958</v>
      </c>
      <c r="M229" s="253" t="n">
        <v>92.102</v>
      </c>
      <c r="N229" s="253" t="n">
        <v>154.834</v>
      </c>
      <c r="O229" s="253" t="n">
        <v>128.846</v>
      </c>
      <c r="P229" s="253" t="n">
        <v>90.795</v>
      </c>
      <c r="Q229" s="253" t="n">
        <v>466.577</v>
      </c>
      <c r="R229" s="253" t="n">
        <v>138.093</v>
      </c>
      <c r="S229" s="253" t="n">
        <v>170.781</v>
      </c>
      <c r="T229" s="253" t="n">
        <v>30.689</v>
      </c>
      <c r="U229" s="253" t="n">
        <v>-68.348</v>
      </c>
      <c r="V229" s="253" t="n">
        <v>271.215</v>
      </c>
      <c r="W229" s="253" t="n">
        <v>161.388</v>
      </c>
      <c r="X229" s="253" t="n">
        <v>170.718</v>
      </c>
      <c r="Y229" s="253" t="n">
        <v>145.644</v>
      </c>
      <c r="Z229" s="253" t="n">
        <v>127.956</v>
      </c>
      <c r="AA229" s="253" t="n">
        <v>605.706</v>
      </c>
      <c r="AB229" s="253" t="n">
        <v>165.233</v>
      </c>
      <c r="AC229" s="253" t="n">
        <v>390.112</v>
      </c>
      <c r="AD229" s="253" t="n">
        <v>186.95</v>
      </c>
      <c r="AE229" s="253" t="n">
        <v>192.705</v>
      </c>
      <c r="AF229" s="253" t="n">
        <v>935</v>
      </c>
      <c r="AG229" s="253" t="n">
        <v>271</v>
      </c>
      <c r="AH229" s="253" t="n">
        <v>175</v>
      </c>
      <c r="AI229" s="253" t="n">
        <v>200</v>
      </c>
      <c r="AJ229" s="253" t="n">
        <v>205</v>
      </c>
      <c r="AK229" s="253" t="n">
        <v>851</v>
      </c>
      <c r="AL229" s="253" t="n">
        <v>198</v>
      </c>
      <c r="AM229" s="35" t="n"/>
      <c r="AN229" s="35" t="n"/>
      <c r="AO229" s="35" t="n"/>
      <c r="AP229" s="254">
        <f>AL229+(AM134+AN134+AO134)</f>
        <v>691.601098901099</v>
      </c>
      <c r="AQ229" s="254">
        <f>AQ134</f>
        <v>736.319414780842</v>
      </c>
      <c r="AR229" s="254">
        <f>AR134</f>
        <v>782.824053874296</v>
      </c>
      <c r="AS229" s="254">
        <f>AS134</f>
        <v>829.870012134216</v>
      </c>
      <c r="AT229" s="254">
        <f>AT134</f>
        <v>880.720886224649</v>
      </c>
      <c r="AU229" s="19" t="n"/>
    </row>
    <row r="230" ht="15" customHeight="1" s="251">
      <c r="B230" s="25" t="inlineStr">
        <is>
          <t>Non-cash items:</t>
        </is>
      </c>
      <c r="AU230" s="153" t="n"/>
    </row>
    <row r="231" ht="15" customHeight="1" s="251">
      <c r="B231" s="25" t="inlineStr">
        <is>
          <t xml:space="preserve">  Depreciation and amortization</t>
        </is>
      </c>
      <c r="C231" s="253" t="n">
        <v>75.205</v>
      </c>
      <c r="D231" s="253" t="n">
        <v>74.009</v>
      </c>
      <c r="E231" s="253" t="n">
        <v>72.327</v>
      </c>
      <c r="F231" s="253" t="n">
        <v>62.66</v>
      </c>
      <c r="G231" s="253" t="n">
        <v>61.536</v>
      </c>
      <c r="H231" s="253" t="n">
        <v>59.544</v>
      </c>
      <c r="I231" s="253" t="n">
        <v>64.756</v>
      </c>
      <c r="J231" s="253" t="n">
        <v>68.575</v>
      </c>
      <c r="K231" s="253" t="n">
        <v>81.081</v>
      </c>
      <c r="L231" s="253" t="n">
        <v>84.315</v>
      </c>
      <c r="M231" s="253" t="n">
        <v>27.745</v>
      </c>
      <c r="N231" s="253" t="n">
        <v>37.602</v>
      </c>
      <c r="O231" s="253" t="n">
        <v>39.576</v>
      </c>
      <c r="P231" s="253" t="n">
        <v>40.824</v>
      </c>
      <c r="Q231" s="253" t="n">
        <v>145.747</v>
      </c>
      <c r="R231" s="253" t="n">
        <v>40.102</v>
      </c>
      <c r="S231" s="253" t="n">
        <v>39.052</v>
      </c>
      <c r="T231" s="253" t="n">
        <v>42.046</v>
      </c>
      <c r="U231" s="253" t="n">
        <v>44.284</v>
      </c>
      <c r="V231" s="253" t="n">
        <v>165.484</v>
      </c>
      <c r="W231" s="253" t="n">
        <v>41.847</v>
      </c>
      <c r="X231" s="253" t="n">
        <v>40.907</v>
      </c>
      <c r="Y231" s="253" t="n">
        <v>41.113</v>
      </c>
      <c r="Z231" s="253" t="n">
        <v>40.336</v>
      </c>
      <c r="AA231" s="253" t="n">
        <v>164.203</v>
      </c>
      <c r="AB231" s="253" t="n">
        <v>41.129</v>
      </c>
      <c r="AC231" s="253" t="n">
        <v>42.056</v>
      </c>
      <c r="AD231" s="253" t="n">
        <v>40.156</v>
      </c>
      <c r="AE231" s="253" t="n">
        <v>41.659</v>
      </c>
      <c r="AF231" s="253" t="n">
        <v>165</v>
      </c>
      <c r="AG231" s="253" t="n">
        <v>40</v>
      </c>
      <c r="AH231" s="253" t="n">
        <v>41</v>
      </c>
      <c r="AI231" s="253" t="n">
        <v>40</v>
      </c>
      <c r="AJ231" s="253" t="n">
        <v>42</v>
      </c>
      <c r="AK231" s="253" t="n">
        <v>163</v>
      </c>
      <c r="AL231" s="253" t="n">
        <v>45</v>
      </c>
      <c r="AM231" s="35" t="n"/>
      <c r="AN231" s="35" t="n"/>
      <c r="AO231" s="35" t="n"/>
      <c r="AP231" s="254">
        <f>AL231+(AM139+AN139+AO139)</f>
        <v>197.406593406593</v>
      </c>
      <c r="AQ231" s="254">
        <f>AQ139</f>
        <v>201.58562171626</v>
      </c>
      <c r="AR231" s="254">
        <f>AR139</f>
        <v>206.391713331829</v>
      </c>
      <c r="AS231" s="254">
        <f>AS139</f>
        <v>212.591570316274</v>
      </c>
      <c r="AT231" s="254">
        <f>AT139</f>
        <v>221.742304528228</v>
      </c>
      <c r="AU231" s="19" t="n"/>
    </row>
    <row r="232" ht="15" customHeight="1" s="251">
      <c r="B232" s="25" t="inlineStr">
        <is>
          <t xml:space="preserve">  Stock-based compensation expense</t>
        </is>
      </c>
      <c r="C232" s="253" t="n">
        <v>31.263</v>
      </c>
      <c r="D232" s="253" t="n">
        <v>24.841</v>
      </c>
      <c r="E232" s="253" t="n">
        <v>20.065</v>
      </c>
      <c r="F232" s="253" t="n">
        <v>26.163</v>
      </c>
      <c r="G232" s="253" t="n">
        <v>24.992</v>
      </c>
      <c r="H232" s="253" t="n">
        <v>21.249</v>
      </c>
      <c r="I232" s="253" t="n">
        <v>23.318</v>
      </c>
      <c r="J232" s="253" t="n">
        <v>31.275</v>
      </c>
      <c r="K232" s="253" t="n">
        <v>43.29</v>
      </c>
      <c r="L232" s="253" t="n">
        <v>59.844</v>
      </c>
      <c r="M232" s="253" t="n">
        <v>12.444</v>
      </c>
      <c r="N232" s="253" t="n">
        <v>15.984</v>
      </c>
      <c r="O232" s="253" t="n">
        <v>16.759</v>
      </c>
      <c r="P232" s="253" t="n">
        <v>24.597</v>
      </c>
      <c r="Q232" s="253" t="n">
        <v>69.78400000000001</v>
      </c>
      <c r="R232" s="253" t="n">
        <v>13.696</v>
      </c>
      <c r="S232" s="253" t="n">
        <v>18.526</v>
      </c>
      <c r="T232" s="253" t="n">
        <v>18.77</v>
      </c>
      <c r="U232" s="253" t="n">
        <v>29.28</v>
      </c>
      <c r="V232" s="253" t="n">
        <v>80.27200000000001</v>
      </c>
      <c r="W232" s="253" t="n">
        <v>17.685</v>
      </c>
      <c r="X232" s="253" t="n">
        <v>19.825</v>
      </c>
      <c r="Y232" s="253" t="n">
        <v>23.767</v>
      </c>
      <c r="Z232" s="253" t="n">
        <v>33.705</v>
      </c>
      <c r="AA232" s="253" t="n">
        <v>94.982</v>
      </c>
      <c r="AB232" s="253" t="n">
        <v>19.928</v>
      </c>
      <c r="AC232" s="253" t="n">
        <v>25.784</v>
      </c>
      <c r="AD232" s="253" t="n">
        <v>25.118</v>
      </c>
      <c r="AE232" s="253" t="n">
        <v>23.17</v>
      </c>
      <c r="AF232" s="253" t="n">
        <v>94</v>
      </c>
      <c r="AG232" s="253" t="n">
        <v>19</v>
      </c>
      <c r="AH232" s="253" t="n">
        <v>17</v>
      </c>
      <c r="AI232" s="253" t="n">
        <v>16</v>
      </c>
      <c r="AJ232" s="253" t="n">
        <v>17</v>
      </c>
      <c r="AK232" s="253" t="n">
        <v>69</v>
      </c>
      <c r="AL232" s="253" t="n">
        <v>21</v>
      </c>
      <c r="AM232" s="35" t="n"/>
      <c r="AN232" s="35" t="n"/>
      <c r="AO232" s="35" t="n"/>
      <c r="AP232" s="254">
        <f>AL232+(AM140+AN140+AO140)</f>
        <v>84</v>
      </c>
      <c r="AQ232" s="254">
        <f>AQ140</f>
        <v>77.4828416155689</v>
      </c>
      <c r="AR232" s="254">
        <f>AR140</f>
        <v>81.0861761656887</v>
      </c>
      <c r="AS232" s="254">
        <f>AS140</f>
        <v>85.205458205578</v>
      </c>
      <c r="AT232" s="254">
        <f>AT140</f>
        <v>89.6828104433481</v>
      </c>
      <c r="AU232" s="19" t="n"/>
    </row>
    <row r="233" ht="15" customHeight="1" s="251">
      <c r="B233" s="25" t="inlineStr">
        <is>
          <t xml:space="preserve">  Deferred income taxes</t>
        </is>
      </c>
      <c r="C233" s="253" t="n">
        <v>74.785</v>
      </c>
      <c r="D233" s="253" t="n">
        <v>-48.088</v>
      </c>
      <c r="E233" s="253" t="n">
        <v>-26.371</v>
      </c>
      <c r="F233" s="253" t="n">
        <v>-2.543</v>
      </c>
      <c r="G233" s="253" t="n">
        <v>3.549</v>
      </c>
      <c r="H233" s="253" t="n">
        <v>15.536</v>
      </c>
      <c r="I233" s="253" t="n">
        <v>13.505</v>
      </c>
      <c r="J233" s="253" t="n">
        <v>23.006</v>
      </c>
      <c r="K233" s="253" t="n">
        <v>65.434</v>
      </c>
      <c r="L233" s="253" t="n">
        <v>231.998</v>
      </c>
      <c r="M233" s="253" t="n">
        <v>0</v>
      </c>
      <c r="N233" s="253" t="n">
        <v>0</v>
      </c>
      <c r="O233" s="253" t="n">
        <v>0</v>
      </c>
      <c r="P233" s="253" t="n">
        <v>-130.197</v>
      </c>
      <c r="Q233" s="253" t="n">
        <v>-130.197</v>
      </c>
      <c r="R233" s="253" t="n">
        <v>0</v>
      </c>
      <c r="S233" s="253" t="n">
        <v>0</v>
      </c>
      <c r="T233" s="253" t="n">
        <v>0</v>
      </c>
      <c r="U233" s="253" t="n">
        <v>-353.902</v>
      </c>
      <c r="V233" s="253" t="n">
        <v>-353.902</v>
      </c>
      <c r="W233" s="253" t="n">
        <v>0</v>
      </c>
      <c r="X233" s="253" t="n">
        <v>0</v>
      </c>
      <c r="Y233" s="253" t="n">
        <v>0</v>
      </c>
      <c r="Z233" s="253" t="n">
        <v>-101.006</v>
      </c>
      <c r="AA233" s="253" t="n">
        <v>-101.006</v>
      </c>
      <c r="AB233" s="253" t="n">
        <v>0</v>
      </c>
      <c r="AC233" s="253" t="n">
        <v>0</v>
      </c>
      <c r="AD233" s="253" t="n">
        <v>0</v>
      </c>
      <c r="AE233" s="253" t="n">
        <v>-91</v>
      </c>
      <c r="AF233" s="253" t="n">
        <v>-91</v>
      </c>
      <c r="AG233" s="253" t="n">
        <v>0</v>
      </c>
      <c r="AH233" s="253" t="n">
        <v>0</v>
      </c>
      <c r="AI233" s="253" t="n">
        <v>0</v>
      </c>
      <c r="AJ233" s="253" t="n">
        <v>35</v>
      </c>
      <c r="AK233" s="253" t="n">
        <v>35</v>
      </c>
      <c r="AL233" s="253" t="n">
        <v>0</v>
      </c>
      <c r="AM233" s="35" t="n"/>
      <c r="AN233" s="35" t="n"/>
      <c r="AO233" s="35" t="n"/>
      <c r="AP233" s="254">
        <f>AL233+0.0</f>
        <v>0</v>
      </c>
      <c r="AQ233" s="262" t="n">
        <v>10</v>
      </c>
      <c r="AR233" s="262" t="n">
        <v>10</v>
      </c>
      <c r="AS233" s="262" t="n">
        <v>10</v>
      </c>
      <c r="AT233" s="262" t="n">
        <v>10</v>
      </c>
      <c r="AU233" s="19" t="inlineStr">
        <is>
          <t>Annual: release cash-flow statement; quarters: XBRL (the quarterly releases fold deferred taxes into working capital). Forecast input.</t>
        </is>
      </c>
    </row>
    <row r="234" ht="15" customHeight="1" s="251">
      <c r="B234" s="25" t="inlineStr">
        <is>
          <t xml:space="preserve">  Working capital &amp; other operating items, net (derived)</t>
        </is>
      </c>
      <c r="C234" s="253" t="n">
        <v>-61.162</v>
      </c>
      <c r="D234" s="253" t="n">
        <v>194.834</v>
      </c>
      <c r="E234" s="253" t="n">
        <v>34.509</v>
      </c>
      <c r="F234" s="253" t="n">
        <v>-8.891</v>
      </c>
      <c r="G234" s="253" t="n">
        <v>-134.937</v>
      </c>
      <c r="H234" s="253" t="n">
        <v>33.458</v>
      </c>
      <c r="I234" s="253" t="n">
        <v>-37.547</v>
      </c>
      <c r="J234" s="253" t="n">
        <v>-41.775</v>
      </c>
      <c r="K234" s="253" t="n">
        <v>-120.98</v>
      </c>
      <c r="L234" s="253" t="n">
        <v>-266.431</v>
      </c>
      <c r="M234" s="253" t="n">
        <v>-142.953</v>
      </c>
      <c r="N234" s="253" t="n">
        <v>261.988</v>
      </c>
      <c r="O234" s="253" t="n">
        <v>-163.776</v>
      </c>
      <c r="P234" s="253" t="n">
        <v>229.356</v>
      </c>
      <c r="Q234" s="253" t="n">
        <v>184.615</v>
      </c>
      <c r="R234" s="253" t="n">
        <v>-237.525</v>
      </c>
      <c r="S234" s="253" t="n">
        <v>44.367</v>
      </c>
      <c r="T234" s="253" t="n">
        <v>47.077</v>
      </c>
      <c r="U234" s="253" t="n">
        <v>585.8339999999999</v>
      </c>
      <c r="V234" s="253" t="n">
        <v>439.753</v>
      </c>
      <c r="W234" s="253" t="n">
        <v>-292.452</v>
      </c>
      <c r="X234" s="253" t="n">
        <v>-278.835</v>
      </c>
      <c r="Y234" s="253" t="n">
        <v>23.461</v>
      </c>
      <c r="Z234" s="253" t="n">
        <v>42.779</v>
      </c>
      <c r="AA234" s="253" t="n">
        <v>-505.047</v>
      </c>
      <c r="AB234" s="253" t="n">
        <v>-174.162</v>
      </c>
      <c r="AC234" s="253" t="n">
        <v>129.139</v>
      </c>
      <c r="AD234" s="253" t="n">
        <v>-101.452</v>
      </c>
      <c r="AE234" s="253" t="n">
        <v>52.475</v>
      </c>
      <c r="AF234" s="253" t="n">
        <v>-94</v>
      </c>
      <c r="AG234" s="253" t="n">
        <v>-211</v>
      </c>
      <c r="AH234" s="253" t="n">
        <v>188</v>
      </c>
      <c r="AI234" s="253" t="n">
        <v>5</v>
      </c>
      <c r="AJ234" s="253" t="n">
        <v>-59</v>
      </c>
      <c r="AK234" s="253" t="n">
        <v>-77</v>
      </c>
      <c r="AL234" s="253" t="n">
        <v>17</v>
      </c>
      <c r="AM234" s="35" t="n"/>
      <c r="AN234" s="35" t="n"/>
      <c r="AO234" s="35" t="n"/>
      <c r="AP234" s="254">
        <f>AL234-(AP277-AL277)-(AP278-AL278)+(AP288-AL288)+(AP289-AL289)+(AP290-AL290)</f>
        <v>121.992307692308</v>
      </c>
      <c r="AQ234" s="254">
        <f>-(AQ277-AP277)-(AQ278-AP278)+(AQ288-AP288)+(AQ289-AP289)+(AQ290-AP290)</f>
        <v>-15.8943031060511</v>
      </c>
      <c r="AR234" s="254">
        <f>-(AR277-AQ277)-(AR278-AQ278)+(AR288-AQ288)+(AR289-AQ289)+(AR290-AQ290)</f>
        <v>-24.3640284944291</v>
      </c>
      <c r="AS234" s="254">
        <f>-(AS277-AR277)-(AS278-AR278)+(AS288-AR288)+(AS289-AR289)+(AS290-AR290)</f>
        <v>-27.8526191782864</v>
      </c>
      <c r="AT234" s="254">
        <f>-(AT277-AS277)-(AT278-AS278)+(AT288-AS288)+(AT289-AS289)+(AT290-AS290)</f>
        <v>-30.273718963176</v>
      </c>
      <c r="AU234" s="19" t="inlineStr">
        <is>
          <t>History: net cash from operating activities − net income − D&amp;A − stock-based compensation − deferred taxes (incl. noncash lease expense, gains and the working-capital lines). Forecast linked to the balance sheet: −Δ(receivables, other current assets) + Δ(payables &amp; accrued, accrued compensation, other current liabilities).</t>
        </is>
      </c>
    </row>
    <row r="235" ht="15" customHeight="1" s="251">
      <c r="B235" s="16" t="inlineStr">
        <is>
          <t>Net cash provided by operating activities</t>
        </is>
      </c>
      <c r="C235" s="289" t="n">
        <v>360.046</v>
      </c>
      <c r="D235" s="289" t="n">
        <v>464.654</v>
      </c>
      <c r="E235" s="289" t="n">
        <v>332.718</v>
      </c>
      <c r="F235" s="289" t="n">
        <v>309.958</v>
      </c>
      <c r="G235" s="289" t="n">
        <v>249.234</v>
      </c>
      <c r="H235" s="289" t="n">
        <v>382.277</v>
      </c>
      <c r="I235" s="289" t="n">
        <v>369.143</v>
      </c>
      <c r="J235" s="289" t="n">
        <v>499.61</v>
      </c>
      <c r="K235" s="289" t="n">
        <v>551.428</v>
      </c>
      <c r="L235" s="289" t="n">
        <v>718.684</v>
      </c>
      <c r="M235" s="289" t="n">
        <v>-10.662</v>
      </c>
      <c r="N235" s="289" t="n">
        <v>470.408</v>
      </c>
      <c r="O235" s="289" t="n">
        <v>21.405</v>
      </c>
      <c r="P235" s="289" t="n">
        <v>255.375</v>
      </c>
      <c r="Q235" s="289" t="n">
        <v>736.526</v>
      </c>
      <c r="R235" s="289" t="n">
        <v>-45.634</v>
      </c>
      <c r="S235" s="289" t="n">
        <v>272.726</v>
      </c>
      <c r="T235" s="289" t="n">
        <v>138.582</v>
      </c>
      <c r="U235" s="289" t="n">
        <v>237.148</v>
      </c>
      <c r="V235" s="289" t="n">
        <v>602.822</v>
      </c>
      <c r="W235" s="289" t="n">
        <v>-71.532</v>
      </c>
      <c r="X235" s="289" t="n">
        <v>-47.385</v>
      </c>
      <c r="Y235" s="289" t="n">
        <v>233.985</v>
      </c>
      <c r="Z235" s="289" t="n">
        <v>143.77</v>
      </c>
      <c r="AA235" s="289" t="n">
        <v>258.838</v>
      </c>
      <c r="AB235" s="289" t="n">
        <v>52.128</v>
      </c>
      <c r="AC235" s="289" t="n">
        <v>587.091</v>
      </c>
      <c r="AD235" s="289" t="n">
        <v>150.772</v>
      </c>
      <c r="AE235" s="289" t="n">
        <v>219.009</v>
      </c>
      <c r="AF235" s="289" t="n">
        <v>1009</v>
      </c>
      <c r="AG235" s="289" t="n">
        <v>119</v>
      </c>
      <c r="AH235" s="289" t="n">
        <v>421</v>
      </c>
      <c r="AI235" s="289" t="n">
        <v>261</v>
      </c>
      <c r="AJ235" s="289" t="n">
        <v>240</v>
      </c>
      <c r="AK235" s="289" t="n">
        <v>1041</v>
      </c>
      <c r="AL235" s="289" t="n">
        <v>281</v>
      </c>
      <c r="AM235" s="32" t="n"/>
      <c r="AN235" s="32" t="n"/>
      <c r="AO235" s="32" t="n"/>
      <c r="AP235" s="265">
        <f>SUM(AP229:AP234)</f>
        <v>1095</v>
      </c>
      <c r="AQ235" s="265">
        <f>SUM(AQ229:AQ234)</f>
        <v>1009.49357500662</v>
      </c>
      <c r="AR235" s="265">
        <f>SUM(AR229:AR234)</f>
        <v>1055.93791487738</v>
      </c>
      <c r="AS235" s="265">
        <f>SUM(AS229:AS234)</f>
        <v>1109.81442147778</v>
      </c>
      <c r="AT235" s="265">
        <f>SUM(AT229:AT234)</f>
        <v>1171.87228223305</v>
      </c>
      <c r="AU235" s="153" t="n"/>
      <c r="AW235" s="20">
        <f>IFERROR((AT235/AK235)^(1/5)-1,"n/m")</f>
        <v>0.0239668819780496</v>
      </c>
      <c r="AX235" s="20">
        <f>IFERROR((AK235/L235)^(1/5)-1,"n/m")</f>
        <v>0.0769177883904071</v>
      </c>
      <c r="AY235" s="20">
        <f>IFERROR((AK235/G235)^(1/10)-1,"n/m")</f>
        <v>0.15367729135802</v>
      </c>
      <c r="AZ235" s="20">
        <f>IFERROR((AK235/C235)^(1/14)-1,"n/m")</f>
        <v>0.0787857364766971</v>
      </c>
    </row>
    <row r="236" ht="15" customHeight="1" s="251">
      <c r="B236" s="25" t="inlineStr">
        <is>
          <t>Purchases of property, equipment and software</t>
        </is>
      </c>
      <c r="C236" s="253" t="n">
        <v>-76.925</v>
      </c>
      <c r="D236" s="253" t="n">
        <v>-33.113</v>
      </c>
      <c r="E236" s="253" t="n">
        <v>-20.905</v>
      </c>
      <c r="F236" s="253" t="n">
        <v>-36.041</v>
      </c>
      <c r="G236" s="253" t="n">
        <v>-66.63500000000001</v>
      </c>
      <c r="H236" s="253" t="n">
        <v>-53.919</v>
      </c>
      <c r="I236" s="253" t="n">
        <v>-78.437</v>
      </c>
      <c r="J236" s="253" t="n">
        <v>-94.681</v>
      </c>
      <c r="K236" s="253" t="n">
        <v>-128.079</v>
      </c>
      <c r="L236" s="253" t="n">
        <v>-87.20999999999999</v>
      </c>
      <c r="M236" s="253" t="n">
        <v>-9.007999999999999</v>
      </c>
      <c r="N236" s="253" t="n">
        <v>-20.667</v>
      </c>
      <c r="O236" s="253" t="n">
        <v>-21.933</v>
      </c>
      <c r="P236" s="253" t="n">
        <v>-28.356</v>
      </c>
      <c r="Q236" s="253" t="n">
        <v>-79.964</v>
      </c>
      <c r="R236" s="253" t="n">
        <v>-13.734</v>
      </c>
      <c r="S236" s="253" t="n">
        <v>-16</v>
      </c>
      <c r="T236" s="253" t="n">
        <v>-21.664</v>
      </c>
      <c r="U236" s="253" t="n">
        <v>-24.732</v>
      </c>
      <c r="V236" s="253" t="n">
        <v>-76.13</v>
      </c>
      <c r="W236" s="253" t="n">
        <v>-10.488</v>
      </c>
      <c r="X236" s="253" t="n">
        <v>-16.948</v>
      </c>
      <c r="Y236" s="253" t="n">
        <v>-23.096</v>
      </c>
      <c r="Z236" s="253" t="n">
        <v>-16.167</v>
      </c>
      <c r="AA236" s="253" t="n">
        <v>-66.699</v>
      </c>
      <c r="AB236" s="253" t="n">
        <v>-32.442</v>
      </c>
      <c r="AC236" s="253" t="n">
        <v>-23.805</v>
      </c>
      <c r="AD236" s="253" t="n">
        <v>-17.181</v>
      </c>
      <c r="AE236" s="253" t="n">
        <v>-24.572</v>
      </c>
      <c r="AF236" s="253" t="n">
        <v>-98</v>
      </c>
      <c r="AG236" s="253" t="n">
        <v>-23</v>
      </c>
      <c r="AH236" s="253" t="n">
        <v>-26</v>
      </c>
      <c r="AI236" s="253" t="n">
        <v>-13</v>
      </c>
      <c r="AJ236" s="253" t="n">
        <v>-28</v>
      </c>
      <c r="AK236" s="253" t="n">
        <v>-90</v>
      </c>
      <c r="AL236" s="253" t="n">
        <v>-20</v>
      </c>
      <c r="AM236" s="35" t="n"/>
      <c r="AN236" s="35" t="n"/>
      <c r="AO236" s="35" t="n"/>
      <c r="AP236" s="254">
        <f>-$BE$25</f>
        <v>-220</v>
      </c>
      <c r="AQ236" s="254">
        <f>-AQ120*AQ261</f>
        <v>-107.283934544634</v>
      </c>
      <c r="AR236" s="254">
        <f>-AR120*AR261</f>
        <v>-112.273166998646</v>
      </c>
      <c r="AS236" s="254">
        <f>-AS120*AS261</f>
        <v>-117.976788284646</v>
      </c>
      <c r="AT236" s="254">
        <f>-AT120*AT261</f>
        <v>-124.176199075405</v>
      </c>
      <c r="AU236" s="19" t="inlineStr">
        <is>
          <t>2027E: FY27 guidance ~$220m, of which ~$105m for the new headquarters. 2028E+: revenue × capex %.</t>
        </is>
      </c>
    </row>
    <row r="237" ht="15" customHeight="1" s="251">
      <c r="B237" s="25" t="inlineStr">
        <is>
          <t>Payments for business acquisitions, net of cash acquired</t>
        </is>
      </c>
      <c r="C237" s="253" t="n">
        <v>0</v>
      </c>
      <c r="D237" s="253" t="n">
        <v>-157.964</v>
      </c>
      <c r="E237" s="253" t="n">
        <v>3.563</v>
      </c>
      <c r="F237" s="253" t="n">
        <v>-24.534</v>
      </c>
      <c r="G237" s="253" t="n">
        <v>-51.118</v>
      </c>
      <c r="H237" s="253" t="n">
        <v>-247.627</v>
      </c>
      <c r="I237" s="253" t="n">
        <v>-19.113</v>
      </c>
      <c r="J237" s="253" t="n">
        <v>0</v>
      </c>
      <c r="K237" s="253" t="n">
        <v>0</v>
      </c>
      <c r="L237" s="253" t="n">
        <v>0</v>
      </c>
      <c r="M237" s="253" t="n">
        <v>-665.583</v>
      </c>
      <c r="N237" s="253" t="n">
        <v>-113.998</v>
      </c>
      <c r="O237" s="253" t="n">
        <v>-0.632</v>
      </c>
      <c r="P237" s="253" t="n">
        <v>-0.121</v>
      </c>
      <c r="Q237" s="253" t="n">
        <v>-780.3339999999999</v>
      </c>
      <c r="R237" s="253" t="n">
        <v>0</v>
      </c>
      <c r="S237" s="253" t="n">
        <v>0</v>
      </c>
      <c r="T237" s="253" t="n">
        <v>-440.069</v>
      </c>
      <c r="U237" s="253" t="n">
        <v>-0.226</v>
      </c>
      <c r="V237" s="253" t="n">
        <v>-440.295</v>
      </c>
      <c r="W237" s="253" t="n">
        <v>0</v>
      </c>
      <c r="X237" s="253" t="n">
        <v>0</v>
      </c>
      <c r="Y237" s="253" t="n">
        <v>0</v>
      </c>
      <c r="Z237" s="253" t="n">
        <v>-0.406</v>
      </c>
      <c r="AA237" s="253" t="n">
        <v>-0.406</v>
      </c>
      <c r="AB237" s="253" t="n">
        <v>0</v>
      </c>
      <c r="AC237" s="253" t="n">
        <v>0</v>
      </c>
      <c r="AD237" s="253" t="n">
        <v>0</v>
      </c>
      <c r="AE237" s="253" t="n">
        <v>-97</v>
      </c>
      <c r="AF237" s="253" t="n">
        <v>-97</v>
      </c>
      <c r="AG237" s="253" t="n">
        <v>0</v>
      </c>
      <c r="AH237" s="253" t="n">
        <v>0</v>
      </c>
      <c r="AI237" s="253" t="n">
        <v>0</v>
      </c>
      <c r="AJ237" s="253" t="n">
        <v>0</v>
      </c>
      <c r="AK237" s="253" t="n">
        <v>0</v>
      </c>
      <c r="AL237" s="253" t="n">
        <v>-220</v>
      </c>
      <c r="AM237" s="35" t="n"/>
      <c r="AN237" s="35" t="n"/>
      <c r="AO237" s="35" t="n"/>
      <c r="AP237" s="254">
        <f>AL237-AP35</f>
        <v>-940</v>
      </c>
      <c r="AQ237" s="254">
        <f>-AQ59</f>
        <v>-150</v>
      </c>
      <c r="AR237" s="254">
        <f>-AR59</f>
        <v>-150</v>
      </c>
      <c r="AS237" s="254">
        <f>-AS59</f>
        <v>-150</v>
      </c>
      <c r="AT237" s="254">
        <f>-AT59</f>
        <v>-150</v>
      </c>
      <c r="AU237" s="19" t="inlineStr">
        <is>
          <t>2027E = Q1 actual (Defy Security, $220m net of cash) + Ultra Mission Solutions ($720m, Q2). 2028E+: M&amp;A lever.</t>
        </is>
      </c>
    </row>
    <row r="238" ht="15" customHeight="1" s="251">
      <c r="B238" s="25" t="inlineStr">
        <is>
          <t>Other investing activities, net (strategic investments, divestitures; derived)</t>
        </is>
      </c>
      <c r="C238" s="253" t="n">
        <v>23.332</v>
      </c>
      <c r="D238" s="253" t="n">
        <v>0.625</v>
      </c>
      <c r="E238" s="253" t="n">
        <v>3.786</v>
      </c>
      <c r="F238" s="253" t="n">
        <v>0</v>
      </c>
      <c r="G238" s="253" t="n">
        <v>0</v>
      </c>
      <c r="H238" s="253" t="n">
        <v>0.65</v>
      </c>
      <c r="I238" s="253" t="n">
        <v>1.097</v>
      </c>
      <c r="J238" s="253" t="n">
        <v>5.469</v>
      </c>
      <c r="K238" s="253" t="n">
        <v>0</v>
      </c>
      <c r="L238" s="253" t="n">
        <v>-71.074</v>
      </c>
      <c r="M238" s="253" t="n">
        <v>-2</v>
      </c>
      <c r="N238" s="253" t="n">
        <v>0</v>
      </c>
      <c r="O238" s="253" t="n">
        <v>-1.427</v>
      </c>
      <c r="P238" s="253" t="n">
        <v>-4</v>
      </c>
      <c r="Q238" s="253" t="n">
        <v>-7.427</v>
      </c>
      <c r="R238" s="253" t="n">
        <v>0</v>
      </c>
      <c r="S238" s="253" t="n">
        <v>44.063</v>
      </c>
      <c r="T238" s="253" t="n">
        <v>7.346</v>
      </c>
      <c r="U238" s="253" t="n">
        <v>-3</v>
      </c>
      <c r="V238" s="253" t="n">
        <v>48.409</v>
      </c>
      <c r="W238" s="253" t="n">
        <v>-4.566</v>
      </c>
      <c r="X238" s="253" t="n">
        <v>-5</v>
      </c>
      <c r="Y238" s="253" t="n">
        <v>-8.156000000000001</v>
      </c>
      <c r="Z238" s="253" t="n">
        <v>-5.813</v>
      </c>
      <c r="AA238" s="253" t="n">
        <v>-23.535</v>
      </c>
      <c r="AB238" s="253" t="n">
        <v>-94.88500000000001</v>
      </c>
      <c r="AC238" s="253" t="n">
        <v>-2.14</v>
      </c>
      <c r="AD238" s="253" t="n">
        <v>-13.312</v>
      </c>
      <c r="AE238" s="253" t="n">
        <v>87.337</v>
      </c>
      <c r="AF238" s="253" t="n">
        <v>-23</v>
      </c>
      <c r="AG238" s="253" t="n">
        <v>-9</v>
      </c>
      <c r="AH238" s="253" t="n">
        <v>-3</v>
      </c>
      <c r="AI238" s="253" t="n">
        <v>22</v>
      </c>
      <c r="AJ238" s="253" t="n">
        <v>-220</v>
      </c>
      <c r="AK238" s="253" t="n">
        <v>-210</v>
      </c>
      <c r="AL238" s="253" t="n">
        <v>-88</v>
      </c>
      <c r="AM238" s="35" t="n"/>
      <c r="AN238" s="35" t="n"/>
      <c r="AO238" s="35" t="n"/>
      <c r="AP238" s="254">
        <f>AL238</f>
        <v>-88</v>
      </c>
      <c r="AQ238" s="262" t="n">
        <v>0</v>
      </c>
      <c r="AR238" s="262" t="n">
        <v>0</v>
      </c>
      <c r="AS238" s="262" t="n">
        <v>0</v>
      </c>
      <c r="AT238" s="262" t="n">
        <v>0</v>
      </c>
      <c r="AU238" s="19" t="n"/>
    </row>
    <row r="239" ht="15" customHeight="1" s="251">
      <c r="B239" s="16" t="inlineStr">
        <is>
          <t>Net cash used in investing activities</t>
        </is>
      </c>
      <c r="C239" s="289" t="n">
        <v>-53.593</v>
      </c>
      <c r="D239" s="289" t="n">
        <v>-190.452</v>
      </c>
      <c r="E239" s="289" t="n">
        <v>-13.556</v>
      </c>
      <c r="F239" s="289" t="n">
        <v>-60.575</v>
      </c>
      <c r="G239" s="289" t="n">
        <v>-117.753</v>
      </c>
      <c r="H239" s="289" t="n">
        <v>-300.896</v>
      </c>
      <c r="I239" s="289" t="n">
        <v>-96.453</v>
      </c>
      <c r="J239" s="289" t="n">
        <v>-89.212</v>
      </c>
      <c r="K239" s="289" t="n">
        <v>-128.079</v>
      </c>
      <c r="L239" s="289" t="n">
        <v>-158.284</v>
      </c>
      <c r="M239" s="289" t="n">
        <v>-676.591</v>
      </c>
      <c r="N239" s="289" t="n">
        <v>-134.665</v>
      </c>
      <c r="O239" s="289" t="n">
        <v>-23.992</v>
      </c>
      <c r="P239" s="289" t="n">
        <v>-32.477</v>
      </c>
      <c r="Q239" s="289" t="n">
        <v>-867.725</v>
      </c>
      <c r="R239" s="289" t="n">
        <v>-13.734</v>
      </c>
      <c r="S239" s="289" t="n">
        <v>28.063</v>
      </c>
      <c r="T239" s="289" t="n">
        <v>-454.387</v>
      </c>
      <c r="U239" s="289" t="n">
        <v>-27.958</v>
      </c>
      <c r="V239" s="289" t="n">
        <v>-468.016</v>
      </c>
      <c r="W239" s="289" t="n">
        <v>-15.054</v>
      </c>
      <c r="X239" s="289" t="n">
        <v>-21.948</v>
      </c>
      <c r="Y239" s="289" t="n">
        <v>-31.252</v>
      </c>
      <c r="Z239" s="289" t="n">
        <v>-22.386</v>
      </c>
      <c r="AA239" s="289" t="n">
        <v>-90.64</v>
      </c>
      <c r="AB239" s="289" t="n">
        <v>-127.327</v>
      </c>
      <c r="AC239" s="289" t="n">
        <v>-25.945</v>
      </c>
      <c r="AD239" s="289" t="n">
        <v>-30.493</v>
      </c>
      <c r="AE239" s="289" t="n">
        <v>-34.235</v>
      </c>
      <c r="AF239" s="289" t="n">
        <v>-218</v>
      </c>
      <c r="AG239" s="289" t="n">
        <v>-32</v>
      </c>
      <c r="AH239" s="289" t="n">
        <v>-29</v>
      </c>
      <c r="AI239" s="289" t="n">
        <v>9</v>
      </c>
      <c r="AJ239" s="289" t="n">
        <v>-248</v>
      </c>
      <c r="AK239" s="289" t="n">
        <v>-300</v>
      </c>
      <c r="AL239" s="289" t="n">
        <v>-328</v>
      </c>
      <c r="AM239" s="32" t="n"/>
      <c r="AN239" s="32" t="n"/>
      <c r="AO239" s="32" t="n"/>
      <c r="AP239" s="265">
        <f>SUM(AP236:AP238)</f>
        <v>-1248</v>
      </c>
      <c r="AQ239" s="265">
        <f>SUM(AQ236:AQ238)</f>
        <v>-257.283934544634</v>
      </c>
      <c r="AR239" s="265">
        <f>SUM(AR236:AR238)</f>
        <v>-262.273166998646</v>
      </c>
      <c r="AS239" s="265">
        <f>SUM(AS236:AS238)</f>
        <v>-267.976788284646</v>
      </c>
      <c r="AT239" s="265">
        <f>SUM(AT236:AT238)</f>
        <v>-274.176199075405</v>
      </c>
      <c r="AU239" s="153" t="n"/>
    </row>
    <row r="240" ht="15" customHeight="1" s="251">
      <c r="B240" s="25" t="inlineStr">
        <is>
          <t>Repurchases of common stock</t>
        </is>
      </c>
      <c r="C240" s="253" t="n">
        <v>-5.377</v>
      </c>
      <c r="D240" s="253" t="n">
        <v>-1.067</v>
      </c>
      <c r="E240" s="253" t="n">
        <v>-3.709</v>
      </c>
      <c r="F240" s="253" t="n">
        <v>-62.14</v>
      </c>
      <c r="G240" s="253" t="n">
        <v>-63.152</v>
      </c>
      <c r="H240" s="253" t="n">
        <v>-46.548</v>
      </c>
      <c r="I240" s="253" t="n">
        <v>-270.318</v>
      </c>
      <c r="J240" s="253" t="n">
        <v>-252.824</v>
      </c>
      <c r="K240" s="253" t="n">
        <v>-182.224</v>
      </c>
      <c r="L240" s="253" t="n">
        <v>-313.397</v>
      </c>
      <c r="M240" s="253" t="n">
        <v>-123.805</v>
      </c>
      <c r="N240" s="253" t="n">
        <v>-108.576</v>
      </c>
      <c r="O240" s="253" t="n">
        <v>-82.767</v>
      </c>
      <c r="P240" s="253" t="n">
        <v>-103.711</v>
      </c>
      <c r="Q240" s="253" t="n">
        <v>-418.859</v>
      </c>
      <c r="R240" s="253" t="n">
        <v>-73.39700000000001</v>
      </c>
      <c r="S240" s="253" t="n">
        <v>-29.869</v>
      </c>
      <c r="T240" s="253" t="n">
        <v>-10.809</v>
      </c>
      <c r="U240" s="253" t="n">
        <v>-109.783</v>
      </c>
      <c r="V240" s="253" t="n">
        <v>-223.858</v>
      </c>
      <c r="W240" s="253" t="n">
        <v>-128.39</v>
      </c>
      <c r="X240" s="253" t="n">
        <v>-80.797</v>
      </c>
      <c r="Y240" s="253" t="n">
        <v>-94.467</v>
      </c>
      <c r="Z240" s="253" t="n">
        <v>-100.487</v>
      </c>
      <c r="AA240" s="253" t="n">
        <v>-404.141</v>
      </c>
      <c r="AB240" s="253" t="n">
        <v>-116.289</v>
      </c>
      <c r="AC240" s="253" t="n">
        <v>-232.283</v>
      </c>
      <c r="AD240" s="253" t="n">
        <v>-148.544</v>
      </c>
      <c r="AE240" s="253" t="n">
        <v>-314.884</v>
      </c>
      <c r="AF240" s="253" t="n">
        <v>-812</v>
      </c>
      <c r="AG240" s="253" t="n">
        <v>-181</v>
      </c>
      <c r="AH240" s="253" t="n">
        <v>-214</v>
      </c>
      <c r="AI240" s="253" t="n">
        <v>-126</v>
      </c>
      <c r="AJ240" s="253" t="n">
        <v>-77</v>
      </c>
      <c r="AK240" s="253" t="n">
        <v>-598</v>
      </c>
      <c r="AL240" s="253" t="n">
        <v>-72</v>
      </c>
      <c r="AM240" s="35" t="n"/>
      <c r="AN240" s="35" t="n"/>
      <c r="AO240" s="35" t="n"/>
      <c r="AP240" s="254">
        <f>AL240-CHOOSE(MATCH($AU$2,{"Bull","Base","Bear"},0),$BD$16,$BE$16,$BF$16)</f>
        <v>-222</v>
      </c>
      <c r="AQ240" s="254">
        <f>-AQ350</f>
        <v>-758.009537927119</v>
      </c>
      <c r="AR240" s="254">
        <f>-AR350</f>
        <v>-782.655535506648</v>
      </c>
      <c r="AS240" s="254">
        <f>-AS350</f>
        <v>-864.343739012234</v>
      </c>
      <c r="AT240" s="254">
        <f>-AT350</f>
        <v>-948.76268092131</v>
      </c>
      <c r="AU240" s="19" t="inlineStr">
        <is>
          <t>2027E: Q1 actual + Q2–Q4 scenario input ($634m left on the $4,085m program at 30-Jun-2026). 2028E+ = leverage plug (surplus cash returned until net debt / adjusted EBITDA reaches the target). Includes shares withheld for taxes historically.</t>
        </is>
      </c>
    </row>
    <row r="241" ht="15" customHeight="1" s="251">
      <c r="B241" s="25" t="inlineStr">
        <is>
          <t>Cash dividends paid</t>
        </is>
      </c>
      <c r="C241" s="253" t="n">
        <v>-11.906</v>
      </c>
      <c r="D241" s="253" t="n">
        <v>-1122.457</v>
      </c>
      <c r="E241" s="253" t="n">
        <v>-345.802</v>
      </c>
      <c r="F241" s="253" t="n">
        <v>-215.094</v>
      </c>
      <c r="G241" s="253" t="n">
        <v>-80.015</v>
      </c>
      <c r="H241" s="253" t="n">
        <v>-92.925</v>
      </c>
      <c r="I241" s="253" t="n">
        <v>-103.411</v>
      </c>
      <c r="J241" s="253" t="n">
        <v>-114.234</v>
      </c>
      <c r="K241" s="253" t="n">
        <v>-146.602</v>
      </c>
      <c r="L241" s="253" t="n">
        <v>-181.066</v>
      </c>
      <c r="M241" s="253" t="n">
        <v>-51.641</v>
      </c>
      <c r="N241" s="253" t="n">
        <v>-50.228</v>
      </c>
      <c r="O241" s="253" t="n">
        <v>-49.795</v>
      </c>
      <c r="P241" s="253" t="n">
        <v>-57.393</v>
      </c>
      <c r="Q241" s="253" t="n">
        <v>-209.057</v>
      </c>
      <c r="R241" s="253" t="n">
        <v>-58.899</v>
      </c>
      <c r="S241" s="253" t="n">
        <v>-56.998</v>
      </c>
      <c r="T241" s="253" t="n">
        <v>-57.319</v>
      </c>
      <c r="U241" s="253" t="n">
        <v>-62.51</v>
      </c>
      <c r="V241" s="253" t="n">
        <v>-235.726</v>
      </c>
      <c r="W241" s="253" t="n">
        <v>-63.034</v>
      </c>
      <c r="X241" s="253" t="n">
        <v>-62.088</v>
      </c>
      <c r="Y241" s="253" t="n">
        <v>-61.665</v>
      </c>
      <c r="Z241" s="253" t="n">
        <v>-66.626</v>
      </c>
      <c r="AA241" s="253" t="n">
        <v>-253.413</v>
      </c>
      <c r="AB241" s="253" t="n">
        <v>-66.434</v>
      </c>
      <c r="AC241" s="253" t="n">
        <v>-66.52</v>
      </c>
      <c r="AD241" s="253" t="n">
        <v>-65.483</v>
      </c>
      <c r="AE241" s="253" t="n">
        <v>-69.563</v>
      </c>
      <c r="AF241" s="253" t="n">
        <v>-268</v>
      </c>
      <c r="AG241" s="253" t="n">
        <v>-70</v>
      </c>
      <c r="AH241" s="253" t="n">
        <v>-68</v>
      </c>
      <c r="AI241" s="253" t="n">
        <v>-67</v>
      </c>
      <c r="AJ241" s="253" t="n">
        <v>-71</v>
      </c>
      <c r="AK241" s="253" t="n">
        <v>-276</v>
      </c>
      <c r="AL241" s="253" t="n">
        <v>-73</v>
      </c>
      <c r="AM241" s="35" t="n"/>
      <c r="AN241" s="35" t="n"/>
      <c r="AO241" s="35" t="n"/>
      <c r="AP241" s="254">
        <f>AL241-(AM151*AM145+AN151*AN145+AO151*AO145)</f>
        <v>-284.66413489</v>
      </c>
      <c r="AQ241" s="254">
        <f>-AQ151*AQ269</f>
        <v>-297.4008573112</v>
      </c>
      <c r="AR241" s="254">
        <f>-AR151*AR269</f>
        <v>-293.380079654754</v>
      </c>
      <c r="AS241" s="254">
        <f>-AS151*AS269</f>
        <v>-288.736295048469</v>
      </c>
      <c r="AT241" s="254">
        <f>-AT151*AT269</f>
        <v>-281.606694268632</v>
      </c>
      <c r="AU241" s="19" t="inlineStr">
        <is>
          <t>Forecast = DPS × beginning shares (no circularity with plug-driven buybacks).</t>
        </is>
      </c>
    </row>
    <row r="242" ht="15" customHeight="1" s="251">
      <c r="B242" s="25" t="inlineStr">
        <is>
          <t>Proceeds from issuance of common stock &amp; option exercises</t>
        </is>
      </c>
      <c r="C242" s="253" t="n">
        <v>16.106</v>
      </c>
      <c r="D242" s="253" t="n">
        <v>21.35</v>
      </c>
      <c r="E242" s="253" t="n">
        <v>19.698</v>
      </c>
      <c r="F242" s="253" t="n">
        <v>11.119</v>
      </c>
      <c r="G242" s="253" t="n">
        <v>13.939</v>
      </c>
      <c r="H242" s="253" t="n">
        <v>21.001</v>
      </c>
      <c r="I242" s="253" t="n">
        <v>21.002</v>
      </c>
      <c r="J242" s="253" t="n">
        <v>23.382</v>
      </c>
      <c r="K242" s="253" t="n">
        <v>23.912</v>
      </c>
      <c r="L242" s="253" t="n">
        <v>31.155</v>
      </c>
      <c r="M242" s="253" t="n">
        <v>7.552</v>
      </c>
      <c r="N242" s="253" t="n">
        <v>6.99</v>
      </c>
      <c r="O242" s="253" t="n">
        <v>6.256</v>
      </c>
      <c r="P242" s="253" t="n">
        <v>8.502000000000001</v>
      </c>
      <c r="Q242" s="253" t="n">
        <v>29.3</v>
      </c>
      <c r="R242" s="253" t="n">
        <v>10.677</v>
      </c>
      <c r="S242" s="253" t="n">
        <v>9.367000000000001</v>
      </c>
      <c r="T242" s="253" t="n">
        <v>8.664</v>
      </c>
      <c r="U242" s="253" t="n">
        <v>7.339</v>
      </c>
      <c r="V242" s="253" t="n">
        <v>36.047</v>
      </c>
      <c r="W242" s="253" t="n">
        <v>18.101</v>
      </c>
      <c r="X242" s="253" t="n">
        <v>8.978999999999999</v>
      </c>
      <c r="Y242" s="253" t="n">
        <v>8.228</v>
      </c>
      <c r="Z242" s="253" t="n">
        <v>9.102</v>
      </c>
      <c r="AA242" s="253" t="n">
        <v>44.41</v>
      </c>
      <c r="AB242" s="253" t="n">
        <v>11.642</v>
      </c>
      <c r="AC242" s="253" t="n">
        <v>9.029</v>
      </c>
      <c r="AD242" s="253" t="n">
        <v>9.188000000000001</v>
      </c>
      <c r="AE242" s="253" t="n">
        <v>8.141</v>
      </c>
      <c r="AF242" s="253" t="n">
        <v>38</v>
      </c>
      <c r="AG242" s="253" t="n">
        <v>11</v>
      </c>
      <c r="AH242" s="253" t="n">
        <v>16</v>
      </c>
      <c r="AI242" s="253" t="n">
        <v>10</v>
      </c>
      <c r="AJ242" s="253" t="n">
        <v>8</v>
      </c>
      <c r="AK242" s="253" t="n">
        <v>45</v>
      </c>
      <c r="AL242" s="253" t="n">
        <v>9</v>
      </c>
      <c r="AM242" s="35" t="n"/>
      <c r="AN242" s="35" t="n"/>
      <c r="AO242" s="35" t="n"/>
      <c r="AP242" s="254">
        <f>AL242+30.0</f>
        <v>39</v>
      </c>
      <c r="AQ242" s="262" t="n">
        <v>45</v>
      </c>
      <c r="AR242" s="262" t="n">
        <v>45</v>
      </c>
      <c r="AS242" s="262" t="n">
        <v>45</v>
      </c>
      <c r="AT242" s="262" t="n">
        <v>45</v>
      </c>
      <c r="AU242" s="19" t="n"/>
    </row>
    <row r="243" ht="15" customHeight="1" s="251">
      <c r="B243" s="25" t="inlineStr">
        <is>
          <t>Net debt issuance / (repayment) (forecast; included in other financing historically)</t>
        </is>
      </c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  <c r="AA243" s="34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5" t="n"/>
      <c r="AN243" s="35" t="n"/>
      <c r="AO243" s="35" t="n"/>
      <c r="AP243" s="254">
        <f>AP332-AL332</f>
        <v>471.9</v>
      </c>
      <c r="AQ243" s="254">
        <f>AQ341</f>
        <v>83.964889666333</v>
      </c>
      <c r="AR243" s="254">
        <f>AR341</f>
        <v>237.370867282663</v>
      </c>
      <c r="AS243" s="254">
        <f>AS341</f>
        <v>266.242400867569</v>
      </c>
      <c r="AT243" s="254">
        <f>AT341</f>
        <v>287.673292032298</v>
      </c>
      <c r="AU243" s="19" t="inlineStr">
        <is>
          <t>Per the debt schedule: $1.2bn notes issued 4-Aug-2026, Term Loan A-1 ($714m) repaid; term-loan amortization; maturities refinanced; revolver to minimum cash.</t>
        </is>
      </c>
    </row>
    <row r="244" ht="15" customHeight="1" s="251">
      <c r="B244" s="25" t="inlineStr">
        <is>
          <t>Debt &amp; other financing, net (derived historically)</t>
        </is>
      </c>
      <c r="C244" s="253" t="n">
        <v>-13.539</v>
      </c>
      <c r="D244" s="253" t="n">
        <v>693.9880000000001</v>
      </c>
      <c r="E244" s="253" t="n">
        <v>-79.739</v>
      </c>
      <c r="F244" s="253" t="n">
        <v>-36.045</v>
      </c>
      <c r="G244" s="253" t="n">
        <v>-21.941</v>
      </c>
      <c r="H244" s="253" t="n">
        <v>66.979</v>
      </c>
      <c r="I244" s="253" t="n">
        <v>149.578</v>
      </c>
      <c r="J244" s="253" t="n">
        <v>-69.69</v>
      </c>
      <c r="K244" s="253" t="n">
        <v>339.476</v>
      </c>
      <c r="L244" s="253" t="n">
        <v>151.962</v>
      </c>
      <c r="M244" s="253" t="n">
        <v>486.054</v>
      </c>
      <c r="N244" s="253" t="n">
        <v>-17.094</v>
      </c>
      <c r="O244" s="253" t="n">
        <v>-17.095</v>
      </c>
      <c r="P244" s="253" t="n">
        <v>-17.095</v>
      </c>
      <c r="Q244" s="253" t="n">
        <v>434.77</v>
      </c>
      <c r="R244" s="253" t="n">
        <v>-17.095</v>
      </c>
      <c r="S244" s="253" t="n">
        <v>35.403</v>
      </c>
      <c r="T244" s="253" t="n">
        <v>-10.312</v>
      </c>
      <c r="U244" s="253" t="n">
        <v>-10.313</v>
      </c>
      <c r="V244" s="253" t="n">
        <v>-2.317</v>
      </c>
      <c r="W244" s="253" t="n">
        <v>64.687</v>
      </c>
      <c r="X244" s="253" t="n">
        <v>550.895</v>
      </c>
      <c r="Y244" s="253" t="n">
        <v>-10.312</v>
      </c>
      <c r="Z244" s="253" t="n">
        <v>-10.929</v>
      </c>
      <c r="AA244" s="253" t="n">
        <v>594.341</v>
      </c>
      <c r="AB244" s="253" t="n">
        <v>-10.313</v>
      </c>
      <c r="AC244" s="253" t="n">
        <v>-10.312</v>
      </c>
      <c r="AD244" s="253" t="n">
        <v>-20.625</v>
      </c>
      <c r="AE244" s="253" t="n">
        <v>623.25</v>
      </c>
      <c r="AF244" s="253" t="n">
        <v>582</v>
      </c>
      <c r="AG244" s="253" t="n">
        <v>-21</v>
      </c>
      <c r="AH244" s="253" t="n">
        <v>-21</v>
      </c>
      <c r="AI244" s="253" t="n">
        <v>-21</v>
      </c>
      <c r="AJ244" s="253" t="n">
        <v>-6</v>
      </c>
      <c r="AK244" s="253" t="n">
        <v>-69</v>
      </c>
      <c r="AL244" s="253" t="n">
        <v>-5</v>
      </c>
      <c r="AM244" s="35" t="n"/>
      <c r="AN244" s="35" t="n"/>
      <c r="AO244" s="35" t="n"/>
      <c r="AP244" s="254">
        <f>AL244</f>
        <v>-5</v>
      </c>
      <c r="AQ244" s="262" t="n">
        <v>0</v>
      </c>
      <c r="AR244" s="262" t="n">
        <v>0</v>
      </c>
      <c r="AS244" s="262" t="n">
        <v>0</v>
      </c>
      <c r="AT244" s="262" t="n">
        <v>0</v>
      </c>
      <c r="AU244" s="19" t="n"/>
    </row>
    <row r="245" ht="15" customHeight="1" s="251">
      <c r="B245" s="16" t="inlineStr">
        <is>
          <t>Net cash provided by (used in) financing activities</t>
        </is>
      </c>
      <c r="C245" s="289" t="n">
        <v>-14.716</v>
      </c>
      <c r="D245" s="289" t="n">
        <v>-408.186</v>
      </c>
      <c r="E245" s="289" t="n">
        <v>-409.552</v>
      </c>
      <c r="F245" s="289" t="n">
        <v>-302.16</v>
      </c>
      <c r="G245" s="289" t="n">
        <v>-151.169</v>
      </c>
      <c r="H245" s="289" t="n">
        <v>-51.493</v>
      </c>
      <c r="I245" s="289" t="n">
        <v>-203.149</v>
      </c>
      <c r="J245" s="289" t="n">
        <v>-413.366</v>
      </c>
      <c r="K245" s="289" t="n">
        <v>34.562</v>
      </c>
      <c r="L245" s="289" t="n">
        <v>-311.346</v>
      </c>
      <c r="M245" s="289" t="n">
        <v>318.16</v>
      </c>
      <c r="N245" s="289" t="n">
        <v>-168.908</v>
      </c>
      <c r="O245" s="289" t="n">
        <v>-143.401</v>
      </c>
      <c r="P245" s="289" t="n">
        <v>-169.697</v>
      </c>
      <c r="Q245" s="289" t="n">
        <v>-163.846</v>
      </c>
      <c r="R245" s="289" t="n">
        <v>-138.714</v>
      </c>
      <c r="S245" s="289" t="n">
        <v>-42.097</v>
      </c>
      <c r="T245" s="289" t="n">
        <v>-69.776</v>
      </c>
      <c r="U245" s="289" t="n">
        <v>-175.267</v>
      </c>
      <c r="V245" s="289" t="n">
        <v>-425.854</v>
      </c>
      <c r="W245" s="289" t="n">
        <v>-108.636</v>
      </c>
      <c r="X245" s="289" t="n">
        <v>416.989</v>
      </c>
      <c r="Y245" s="289" t="n">
        <v>-158.216</v>
      </c>
      <c r="Z245" s="289" t="n">
        <v>-168.94</v>
      </c>
      <c r="AA245" s="289" t="n">
        <v>-18.803</v>
      </c>
      <c r="AB245" s="289" t="n">
        <v>-181.394</v>
      </c>
      <c r="AC245" s="289" t="n">
        <v>-300.086</v>
      </c>
      <c r="AD245" s="289" t="n">
        <v>-225.464</v>
      </c>
      <c r="AE245" s="289" t="n">
        <v>246.944</v>
      </c>
      <c r="AF245" s="289" t="n">
        <v>-460</v>
      </c>
      <c r="AG245" s="289" t="n">
        <v>-261</v>
      </c>
      <c r="AH245" s="289" t="n">
        <v>-287</v>
      </c>
      <c r="AI245" s="289" t="n">
        <v>-204</v>
      </c>
      <c r="AJ245" s="289" t="n">
        <v>-146</v>
      </c>
      <c r="AK245" s="289" t="n">
        <v>-898</v>
      </c>
      <c r="AL245" s="289" t="n">
        <v>-141</v>
      </c>
      <c r="AM245" s="32" t="n"/>
      <c r="AN245" s="32" t="n"/>
      <c r="AO245" s="32" t="n"/>
      <c r="AP245" s="265">
        <f>SUM(AP240:AP244)</f>
        <v>-0.764134890000321</v>
      </c>
      <c r="AQ245" s="265">
        <f>SUM(AQ240:AQ244)</f>
        <v>-926.445505571986</v>
      </c>
      <c r="AR245" s="265">
        <f>SUM(AR240:AR244)</f>
        <v>-793.664747878739</v>
      </c>
      <c r="AS245" s="265">
        <f>SUM(AS240:AS244)</f>
        <v>-841.837633193134</v>
      </c>
      <c r="AT245" s="265">
        <f>SUM(AT240:AT244)</f>
        <v>-897.696083157644</v>
      </c>
      <c r="AU245" s="153" t="n"/>
    </row>
    <row r="246" ht="15" customHeight="1" s="251">
      <c r="B246" s="25" t="inlineStr">
        <is>
          <t>Net change in cash and cash equivalents</t>
        </is>
      </c>
      <c r="C246" s="253" t="n">
        <v>291.737</v>
      </c>
      <c r="D246" s="253" t="n">
        <v>-133.984</v>
      </c>
      <c r="E246" s="253" t="n">
        <v>-90.39</v>
      </c>
      <c r="F246" s="253" t="n">
        <v>-52.777</v>
      </c>
      <c r="G246" s="253" t="n">
        <v>-19.688</v>
      </c>
      <c r="H246" s="253" t="n">
        <v>29.888</v>
      </c>
      <c r="I246" s="253" t="n">
        <v>69.541</v>
      </c>
      <c r="J246" s="253" t="n">
        <v>-2.968</v>
      </c>
      <c r="K246" s="253" t="n">
        <v>457.911</v>
      </c>
      <c r="L246" s="253" t="n">
        <v>249.054</v>
      </c>
      <c r="M246" s="253" t="n">
        <v>-369.093</v>
      </c>
      <c r="N246" s="253" t="n">
        <v>166.835</v>
      </c>
      <c r="O246" s="253" t="n">
        <v>-145.988</v>
      </c>
      <c r="P246" s="253" t="n">
        <v>53.201</v>
      </c>
      <c r="Q246" s="253" t="n">
        <v>-295.045</v>
      </c>
      <c r="R246" s="253" t="n">
        <v>-198.082</v>
      </c>
      <c r="S246" s="253" t="n">
        <v>258.692</v>
      </c>
      <c r="T246" s="253" t="n">
        <v>-385.581</v>
      </c>
      <c r="U246" s="253" t="n">
        <v>33.923</v>
      </c>
      <c r="V246" s="253" t="n">
        <v>-291.048</v>
      </c>
      <c r="W246" s="253" t="n">
        <v>-195.222</v>
      </c>
      <c r="X246" s="253" t="n">
        <v>347.656</v>
      </c>
      <c r="Y246" s="253" t="n">
        <v>44.517</v>
      </c>
      <c r="Z246" s="253" t="n">
        <v>-47.556</v>
      </c>
      <c r="AA246" s="253" t="n">
        <v>149.395</v>
      </c>
      <c r="AB246" s="253" t="n">
        <v>-256.593</v>
      </c>
      <c r="AC246" s="253" t="n">
        <v>261.06</v>
      </c>
      <c r="AD246" s="253" t="n">
        <v>-105.185</v>
      </c>
      <c r="AE246" s="253" t="n">
        <v>431.718</v>
      </c>
      <c r="AF246" s="253" t="n">
        <v>331</v>
      </c>
      <c r="AG246" s="253" t="n">
        <v>-174</v>
      </c>
      <c r="AH246" s="253" t="n">
        <v>105</v>
      </c>
      <c r="AI246" s="253" t="n">
        <v>66</v>
      </c>
      <c r="AJ246" s="253" t="n">
        <v>-154</v>
      </c>
      <c r="AK246" s="253" t="n">
        <v>-157</v>
      </c>
      <c r="AL246" s="253" t="n">
        <v>-188</v>
      </c>
      <c r="AM246" s="35" t="n"/>
      <c r="AN246" s="35" t="n"/>
      <c r="AO246" s="35" t="n"/>
      <c r="AP246" s="254">
        <f>AP235+AP239+AP245</f>
        <v>-153.76413489</v>
      </c>
      <c r="AQ246" s="254">
        <f>AQ235+AQ239+AQ245</f>
        <v>-174.23586511</v>
      </c>
      <c r="AR246" s="254">
        <f>AR235+AR239+AR245</f>
        <v>0</v>
      </c>
      <c r="AS246" s="254">
        <f>AS235+AS239+AS245</f>
        <v>0</v>
      </c>
      <c r="AT246" s="254">
        <f>AT235+AT239+AT245</f>
        <v>0</v>
      </c>
      <c r="AU246" s="19" t="n"/>
    </row>
    <row r="247" ht="15" customHeight="1" s="251">
      <c r="B247" s="25" t="inlineStr">
        <is>
          <t>Cash and cash equivalents — beginning of period</t>
        </is>
      </c>
      <c r="C247" s="253" t="n">
        <v>192.631</v>
      </c>
      <c r="D247" s="253" t="n">
        <v>484.368</v>
      </c>
      <c r="E247" s="253" t="n">
        <v>350.384</v>
      </c>
      <c r="F247" s="253" t="n">
        <v>259.994</v>
      </c>
      <c r="G247" s="253" t="n">
        <v>207.217</v>
      </c>
      <c r="H247" s="253" t="n">
        <v>187.529</v>
      </c>
      <c r="I247" s="253" t="n">
        <v>217.417</v>
      </c>
      <c r="J247" s="253" t="n">
        <v>286.958</v>
      </c>
      <c r="K247" s="253" t="n">
        <v>283.99</v>
      </c>
      <c r="L247" s="253" t="n">
        <v>741.901</v>
      </c>
      <c r="M247" s="253" t="n">
        <v>990.955</v>
      </c>
      <c r="N247" s="253" t="n">
        <v>621.862</v>
      </c>
      <c r="O247" s="253" t="n">
        <v>788.697</v>
      </c>
      <c r="P247" s="253" t="n">
        <v>642.7089999999999</v>
      </c>
      <c r="Q247" s="253" t="n">
        <v>990.955</v>
      </c>
      <c r="R247" s="253" t="n">
        <v>695.91</v>
      </c>
      <c r="S247" s="253" t="n">
        <v>497.828</v>
      </c>
      <c r="T247" s="253" t="n">
        <v>756.52</v>
      </c>
      <c r="U247" s="253" t="n">
        <v>370.939</v>
      </c>
      <c r="V247" s="253" t="n">
        <v>695.91</v>
      </c>
      <c r="W247" s="253" t="n">
        <v>404.862</v>
      </c>
      <c r="X247" s="253" t="n">
        <v>209.64</v>
      </c>
      <c r="Y247" s="253" t="n">
        <v>557.296</v>
      </c>
      <c r="Z247" s="253" t="n">
        <v>601.813</v>
      </c>
      <c r="AA247" s="253" t="n">
        <v>404.862</v>
      </c>
      <c r="AB247" s="253" t="n">
        <v>554.2569999999999</v>
      </c>
      <c r="AC247" s="253" t="n">
        <v>297.664</v>
      </c>
      <c r="AD247" s="253" t="n">
        <v>558.724</v>
      </c>
      <c r="AE247" s="253" t="n">
        <v>453.539</v>
      </c>
      <c r="AF247" s="253" t="n">
        <v>554</v>
      </c>
      <c r="AG247" s="253" t="n">
        <v>885</v>
      </c>
      <c r="AH247" s="253" t="n">
        <v>711</v>
      </c>
      <c r="AI247" s="253" t="n">
        <v>816</v>
      </c>
      <c r="AJ247" s="253" t="n">
        <v>882</v>
      </c>
      <c r="AK247" s="253" t="n">
        <v>885</v>
      </c>
      <c r="AL247" s="253" t="n">
        <v>728</v>
      </c>
      <c r="AM247" s="35" t="n"/>
      <c r="AN247" s="35" t="n"/>
      <c r="AO247" s="35" t="n"/>
      <c r="AP247" s="254">
        <f>AK248</f>
        <v>728</v>
      </c>
      <c r="AQ247" s="254">
        <f>AP248</f>
        <v>574.23586511</v>
      </c>
      <c r="AR247" s="254">
        <f>AQ248</f>
        <v>400</v>
      </c>
      <c r="AS247" s="254">
        <f>AR248</f>
        <v>400</v>
      </c>
      <c r="AT247" s="254">
        <f>AS248</f>
        <v>400</v>
      </c>
      <c r="AU247" s="19" t="n"/>
    </row>
    <row r="248" ht="15" customHeight="1" s="251">
      <c r="B248" s="16" t="inlineStr">
        <is>
          <t>Cash and cash equivalents — end of period</t>
        </is>
      </c>
      <c r="C248" s="289" t="n">
        <v>484.368</v>
      </c>
      <c r="D248" s="289" t="n">
        <v>350.384</v>
      </c>
      <c r="E248" s="289" t="n">
        <v>259.994</v>
      </c>
      <c r="F248" s="289" t="n">
        <v>207.217</v>
      </c>
      <c r="G248" s="289" t="n">
        <v>187.529</v>
      </c>
      <c r="H248" s="289" t="n">
        <v>217.417</v>
      </c>
      <c r="I248" s="289" t="n">
        <v>286.958</v>
      </c>
      <c r="J248" s="289" t="n">
        <v>283.99</v>
      </c>
      <c r="K248" s="289" t="n">
        <v>741.901</v>
      </c>
      <c r="L248" s="289" t="n">
        <v>990.955</v>
      </c>
      <c r="M248" s="289" t="n">
        <v>621.862</v>
      </c>
      <c r="N248" s="289" t="n">
        <v>788.697</v>
      </c>
      <c r="O248" s="289" t="n">
        <v>642.7089999999999</v>
      </c>
      <c r="P248" s="289" t="n">
        <v>695.91</v>
      </c>
      <c r="Q248" s="289" t="n">
        <v>695.91</v>
      </c>
      <c r="R248" s="289" t="n">
        <v>497.828</v>
      </c>
      <c r="S248" s="289" t="n">
        <v>756.52</v>
      </c>
      <c r="T248" s="289" t="n">
        <v>370.939</v>
      </c>
      <c r="U248" s="289" t="n">
        <v>404.862</v>
      </c>
      <c r="V248" s="289" t="n">
        <v>404.862</v>
      </c>
      <c r="W248" s="289" t="n">
        <v>209.64</v>
      </c>
      <c r="X248" s="289" t="n">
        <v>557.296</v>
      </c>
      <c r="Y248" s="289" t="n">
        <v>601.813</v>
      </c>
      <c r="Z248" s="289" t="n">
        <v>554.2569999999999</v>
      </c>
      <c r="AA248" s="289" t="n">
        <v>554.2569999999999</v>
      </c>
      <c r="AB248" s="289" t="n">
        <v>297.664</v>
      </c>
      <c r="AC248" s="289" t="n">
        <v>558.724</v>
      </c>
      <c r="AD248" s="289" t="n">
        <v>453.539</v>
      </c>
      <c r="AE248" s="289" t="n">
        <v>885</v>
      </c>
      <c r="AF248" s="289" t="n">
        <v>885</v>
      </c>
      <c r="AG248" s="289" t="n">
        <v>711</v>
      </c>
      <c r="AH248" s="289" t="n">
        <v>816</v>
      </c>
      <c r="AI248" s="289" t="n">
        <v>882</v>
      </c>
      <c r="AJ248" s="289" t="n">
        <v>728</v>
      </c>
      <c r="AK248" s="289" t="n">
        <v>728</v>
      </c>
      <c r="AL248" s="289" t="n">
        <v>540</v>
      </c>
      <c r="AM248" s="32" t="n"/>
      <c r="AN248" s="32" t="n"/>
      <c r="AO248" s="32" t="n"/>
      <c r="AP248" s="265">
        <f>AP247+AP246</f>
        <v>574.23586511</v>
      </c>
      <c r="AQ248" s="265">
        <f>AQ247+AQ246</f>
        <v>400</v>
      </c>
      <c r="AR248" s="265">
        <f>AR247+AR246</f>
        <v>400</v>
      </c>
      <c r="AS248" s="265">
        <f>AS247+AS246</f>
        <v>400</v>
      </c>
      <c r="AT248" s="265">
        <f>AT247+AT246</f>
        <v>400</v>
      </c>
      <c r="AU248" s="153" t="n"/>
    </row>
    <row r="249" ht="15" customHeight="1" s="251">
      <c r="B249" s="57" t="inlineStr">
        <is>
          <t xml:space="preserve">  Check: beginning cash + CFO + CFI + CFF = ending cash (should be 0; ±0.15, ±0.6 from Q4 FY25)</t>
        </is>
      </c>
      <c r="C249" s="260">
        <f>IF(AND(ISNUMBER(C247),ISNUMBER(C235)),IF(ABS(C247+C246-C248)&lt;=0.15,0,ROUND(C247+C246-C248,1)),"")</f>
        <v>0</v>
      </c>
      <c r="D249" s="260">
        <f>IF(AND(ISNUMBER(D247),ISNUMBER(D235)),IF(ABS(D247+D246-D248)&lt;=0.15,0,ROUND(D247+D246-D248,1)),"")</f>
        <v>0</v>
      </c>
      <c r="E249" s="260">
        <f>IF(AND(ISNUMBER(E247),ISNUMBER(E235)),IF(ABS(E247+E246-E248)&lt;=0.15,0,ROUND(E247+E246-E248,1)),"")</f>
        <v>0</v>
      </c>
      <c r="F249" s="260">
        <f>IF(AND(ISNUMBER(F247),ISNUMBER(F235)),IF(ABS(F247+F246-F248)&lt;=0.15,0,ROUND(F247+F246-F248,1)),"")</f>
        <v>0</v>
      </c>
      <c r="G249" s="260">
        <f>IF(AND(ISNUMBER(G247),ISNUMBER(G235)),IF(ABS(G247+G246-G248)&lt;=0.15,0,ROUND(G247+G246-G248,1)),"")</f>
        <v>0</v>
      </c>
      <c r="H249" s="260">
        <f>IF(AND(ISNUMBER(H247),ISNUMBER(H235)),IF(ABS(H247+H246-H248)&lt;=0.15,0,ROUND(H247+H246-H248,1)),"")</f>
        <v>0</v>
      </c>
      <c r="I249" s="260">
        <f>IF(AND(ISNUMBER(I247),ISNUMBER(I235)),IF(ABS(I247+I246-I248)&lt;=0.15,0,ROUND(I247+I246-I248,1)),"")</f>
        <v>0</v>
      </c>
      <c r="J249" s="260">
        <f>IF(AND(ISNUMBER(J247),ISNUMBER(J235)),IF(ABS(J247+J246-J248)&lt;=0.15,0,ROUND(J247+J246-J248,1)),"")</f>
        <v>0</v>
      </c>
      <c r="K249" s="260">
        <f>IF(AND(ISNUMBER(K247),ISNUMBER(K235)),IF(ABS(K247+K246-K248)&lt;=0.15,0,ROUND(K247+K246-K248,1)),"")</f>
        <v>0</v>
      </c>
      <c r="L249" s="260">
        <f>IF(AND(ISNUMBER(L247),ISNUMBER(L235)),IF(ABS(L247+L246-L248)&lt;=0.15,0,ROUND(L247+L246-L248,1)),"")</f>
        <v>0</v>
      </c>
      <c r="M249" s="260">
        <f>IF(AND(ISNUMBER(M247),ISNUMBER(M235)),IF(ABS(M247+M246-M248)&lt;=0.15,0,ROUND(M247+M246-M248,1)),"")</f>
        <v>0</v>
      </c>
      <c r="N249" s="260">
        <f>IF(AND(ISNUMBER(N247),ISNUMBER(N235)),IF(ABS(N247+N246-N248)&lt;=0.15,0,ROUND(N247+N246-N248,1)),"")</f>
        <v>0</v>
      </c>
      <c r="O249" s="260">
        <f>IF(AND(ISNUMBER(O247),ISNUMBER(O235)),IF(ABS(O247+O246-O248)&lt;=0.15,0,ROUND(O247+O246-O248,1)),"")</f>
        <v>0</v>
      </c>
      <c r="P249" s="260">
        <f>IF(AND(ISNUMBER(P247),ISNUMBER(P235)),IF(ABS(P247+P246-P248)&lt;=0.15,0,ROUND(P247+P246-P248,1)),"")</f>
        <v>0</v>
      </c>
      <c r="Q249" s="260">
        <f>IF(AND(ISNUMBER(Q247),ISNUMBER(Q235)),IF(ABS(Q247+Q246-Q248)&lt;=0.15,0,ROUND(Q247+Q246-Q248,1)),"")</f>
        <v>0</v>
      </c>
      <c r="R249" s="260">
        <f>IF(AND(ISNUMBER(R247),ISNUMBER(R235)),IF(ABS(R247+R246-R248)&lt;=0.15,0,ROUND(R247+R246-R248,1)),"")</f>
        <v>0</v>
      </c>
      <c r="S249" s="260">
        <f>IF(AND(ISNUMBER(S247),ISNUMBER(S235)),IF(ABS(S247+S246-S248)&lt;=0.15,0,ROUND(S247+S246-S248,1)),"")</f>
        <v>0</v>
      </c>
      <c r="T249" s="260">
        <f>IF(AND(ISNUMBER(T247),ISNUMBER(T235)),IF(ABS(T247+T246-T248)&lt;=0.15,0,ROUND(T247+T246-T248,1)),"")</f>
        <v>0</v>
      </c>
      <c r="U249" s="260">
        <f>IF(AND(ISNUMBER(U247),ISNUMBER(U235)),IF(ABS(U247+U246-U248)&lt;=0.15,0,ROUND(U247+U246-U248,1)),"")</f>
        <v>0</v>
      </c>
      <c r="V249" s="260">
        <f>IF(AND(ISNUMBER(V247),ISNUMBER(V235)),IF(ABS(V247+V246-V248)&lt;=0.15,0,ROUND(V247+V246-V248,1)),"")</f>
        <v>0</v>
      </c>
      <c r="W249" s="260">
        <f>IF(AND(ISNUMBER(W247),ISNUMBER(W235)),IF(ABS(W247+W246-W248)&lt;=0.15,0,ROUND(W247+W246-W248,1)),"")</f>
        <v>0</v>
      </c>
      <c r="X249" s="260">
        <f>IF(AND(ISNUMBER(X247),ISNUMBER(X235)),IF(ABS(X247+X246-X248)&lt;=0.15,0,ROUND(X247+X246-X248,1)),"")</f>
        <v>0</v>
      </c>
      <c r="Y249" s="260">
        <f>IF(AND(ISNUMBER(Y247),ISNUMBER(Y235)),IF(ABS(Y247+Y246-Y248)&lt;=0.15,0,ROUND(Y247+Y246-Y248,1)),"")</f>
        <v>0</v>
      </c>
      <c r="Z249" s="260">
        <f>IF(AND(ISNUMBER(Z247),ISNUMBER(Z235)),IF(ABS(Z247+Z246-Z248)&lt;=0.15,0,ROUND(Z247+Z246-Z248,1)),"")</f>
        <v>0</v>
      </c>
      <c r="AA249" s="260">
        <f>IF(AND(ISNUMBER(AA247),ISNUMBER(AA235)),IF(ABS(AA247+AA246-AA248)&lt;=0.15,0,ROUND(AA247+AA246-AA248,1)),"")</f>
        <v>0</v>
      </c>
      <c r="AB249" s="260">
        <f>IF(AND(ISNUMBER(AB247),ISNUMBER(AB235)),IF(ABS(AB247+AB246-AB248)&lt;=0.15,0,ROUND(AB247+AB246-AB248,1)),"")</f>
        <v>0</v>
      </c>
      <c r="AC249" s="260">
        <f>IF(AND(ISNUMBER(AC247),ISNUMBER(AC235)),IF(ABS(AC247+AC246-AC248)&lt;=0.15,0,ROUND(AC247+AC246-AC248,1)),"")</f>
        <v>0</v>
      </c>
      <c r="AD249" s="260">
        <f>IF(AND(ISNUMBER(AD247),ISNUMBER(AD235)),IF(ABS(AD247+AD246-AD248)&lt;=0.15,0,ROUND(AD247+AD246-AD248,1)),"")</f>
        <v>0</v>
      </c>
      <c r="AE249" s="260">
        <f>IF(AND(ISNUMBER(AE247),ISNUMBER(AE235)),IF(ABS(AE247+AE246-AE248)&lt;=0.6,0,ROUND(AE247+AE246-AE248,1)),"")</f>
        <v>0</v>
      </c>
      <c r="AF249" s="260">
        <f>IF(AND(ISNUMBER(AF247),ISNUMBER(AF235)),IF(ABS(AF247+AF246-AF248)&lt;=0.6,0,ROUND(AF247+AF246-AF248,1)),"")</f>
        <v>0</v>
      </c>
      <c r="AG249" s="260">
        <f>IF(AND(ISNUMBER(AG247),ISNUMBER(AG235)),IF(ABS(AG247+AG246-AG248)&lt;=0.6,0,ROUND(AG247+AG246-AG248,1)),"")</f>
        <v>0</v>
      </c>
      <c r="AH249" s="260">
        <f>IF(AND(ISNUMBER(AH247),ISNUMBER(AH235)),IF(ABS(AH247+AH246-AH248)&lt;=0.6,0,ROUND(AH247+AH246-AH248,1)),"")</f>
        <v>0</v>
      </c>
      <c r="AI249" s="260">
        <f>IF(AND(ISNUMBER(AI247),ISNUMBER(AI235)),IF(ABS(AI247+AI246-AI248)&lt;=0.6,0,ROUND(AI247+AI246-AI248,1)),"")</f>
        <v>0</v>
      </c>
      <c r="AJ249" s="260">
        <f>IF(AND(ISNUMBER(AJ247),ISNUMBER(AJ235)),IF(ABS(AJ247+AJ246-AJ248)&lt;=0.6,0,ROUND(AJ247+AJ246-AJ248,1)),"")</f>
        <v>0</v>
      </c>
      <c r="AK249" s="260">
        <f>IF(AND(ISNUMBER(AK247),ISNUMBER(AK235)),IF(ABS(AK247+AK246-AK248)&lt;=0.6,0,ROUND(AK247+AK246-AK248,1)),"")</f>
        <v>0</v>
      </c>
      <c r="AL249" s="260">
        <f>IF(AND(ISNUMBER(AL247),ISNUMBER(AL235)),IF(ABS(AL247+AL246-AL248)&lt;=0.6,0,ROUND(AL247+AL246-AL248,1)),"")</f>
        <v>0</v>
      </c>
      <c r="AM249" s="153" t="n"/>
      <c r="AN249" s="153" t="n"/>
      <c r="AO249" s="153" t="n"/>
      <c r="AP249" s="286">
        <f>IF(AND(ISNUMBER(AP247),ISNUMBER(AP235)),IF(ABS(AP247+AP246-AP248)&lt;=0.6,0,ROUND(AP247+AP246-AP248,1)),"")</f>
        <v>0</v>
      </c>
      <c r="AQ249" s="286">
        <f>IF(AND(ISNUMBER(AQ247),ISNUMBER(AQ235)),IF(ABS(AQ247+AQ246-AQ248)&lt;=0.6,0,ROUND(AQ247+AQ246-AQ248,1)),"")</f>
        <v>0</v>
      </c>
      <c r="AR249" s="286">
        <f>IF(AND(ISNUMBER(AR247),ISNUMBER(AR235)),IF(ABS(AR247+AR246-AR248)&lt;=0.6,0,ROUND(AR247+AR246-AR248,1)),"")</f>
        <v>0</v>
      </c>
      <c r="AS249" s="286">
        <f>IF(AND(ISNUMBER(AS247),ISNUMBER(AS235)),IF(ABS(AS247+AS246-AS248)&lt;=0.6,0,ROUND(AS247+AS246-AS248,1)),"")</f>
        <v>0</v>
      </c>
      <c r="AT249" s="286">
        <f>IF(AND(ISNUMBER(AT247),ISNUMBER(AT235)),IF(ABS(AT247+AT246-AT248)&lt;=0.6,0,ROUND(AT247+AT246-AT248,1)),"")</f>
        <v>0</v>
      </c>
      <c r="AU249" s="153" t="n"/>
    </row>
    <row r="250" ht="15" customHeight="1" s="251">
      <c r="B250" s="57" t="inlineStr">
        <is>
          <t xml:space="preserve">  Check: CFO = sum of operating lines (should be 0; ±0.15, ±0.6 from Q4 FY25)</t>
        </is>
      </c>
      <c r="C250" s="260">
        <f>IF(ISNUMBER(C229),IF(ABS(SUM(C229:C234)-C235)&lt;=0.15,0,ROUND(SUM(C229:C234)-C235,1)),"")</f>
        <v>0</v>
      </c>
      <c r="D250" s="260">
        <f>IF(ISNUMBER(D229),IF(ABS(SUM(D229:D234)-D235)&lt;=0.15,0,ROUND(SUM(D229:D234)-D235,1)),"")</f>
        <v>0</v>
      </c>
      <c r="E250" s="260">
        <f>IF(ISNUMBER(E229),IF(ABS(SUM(E229:E234)-E235)&lt;=0.15,0,ROUND(SUM(E229:E234)-E235,1)),"")</f>
        <v>0</v>
      </c>
      <c r="F250" s="260">
        <f>IF(ISNUMBER(F229),IF(ABS(SUM(F229:F234)-F235)&lt;=0.15,0,ROUND(SUM(F229:F234)-F235,1)),"")</f>
        <v>0</v>
      </c>
      <c r="G250" s="260">
        <f>IF(ISNUMBER(G229),IF(ABS(SUM(G229:G234)-G235)&lt;=0.15,0,ROUND(SUM(G229:G234)-G235,1)),"")</f>
        <v>0</v>
      </c>
      <c r="H250" s="260">
        <f>IF(ISNUMBER(H229),IF(ABS(SUM(H229:H234)-H235)&lt;=0.15,0,ROUND(SUM(H229:H234)-H235,1)),"")</f>
        <v>0</v>
      </c>
      <c r="I250" s="260">
        <f>IF(ISNUMBER(I229),IF(ABS(SUM(I229:I234)-I235)&lt;=0.15,0,ROUND(SUM(I229:I234)-I235,1)),"")</f>
        <v>0</v>
      </c>
      <c r="J250" s="260">
        <f>IF(ISNUMBER(J229),IF(ABS(SUM(J229:J234)-J235)&lt;=0.15,0,ROUND(SUM(J229:J234)-J235,1)),"")</f>
        <v>0</v>
      </c>
      <c r="K250" s="260">
        <f>IF(ISNUMBER(K229),IF(ABS(SUM(K229:K234)-K235)&lt;=0.15,0,ROUND(SUM(K229:K234)-K235,1)),"")</f>
        <v>0</v>
      </c>
      <c r="L250" s="260">
        <f>IF(ISNUMBER(L229),IF(ABS(SUM(L229:L234)-L235)&lt;=0.15,0,ROUND(SUM(L229:L234)-L235,1)),"")</f>
        <v>0</v>
      </c>
      <c r="M250" s="260">
        <f>IF(ISNUMBER(M229),IF(ABS(SUM(M229:M234)-M235)&lt;=0.15,0,ROUND(SUM(M229:M234)-M235,1)),"")</f>
        <v>0</v>
      </c>
      <c r="N250" s="260">
        <f>IF(ISNUMBER(N229),IF(ABS(SUM(N229:N234)-N235)&lt;=0.15,0,ROUND(SUM(N229:N234)-N235,1)),"")</f>
        <v>0</v>
      </c>
      <c r="O250" s="260">
        <f>IF(ISNUMBER(O229),IF(ABS(SUM(O229:O234)-O235)&lt;=0.15,0,ROUND(SUM(O229:O234)-O235,1)),"")</f>
        <v>0</v>
      </c>
      <c r="P250" s="260">
        <f>IF(ISNUMBER(P229),IF(ABS(SUM(P229:P234)-P235)&lt;=0.15,0,ROUND(SUM(P229:P234)-P235,1)),"")</f>
        <v>0</v>
      </c>
      <c r="Q250" s="260">
        <f>IF(ISNUMBER(Q229),IF(ABS(SUM(Q229:Q234)-Q235)&lt;=0.15,0,ROUND(SUM(Q229:Q234)-Q235,1)),"")</f>
        <v>0</v>
      </c>
      <c r="R250" s="260">
        <f>IF(ISNUMBER(R229),IF(ABS(SUM(R229:R234)-R235)&lt;=0.15,0,ROUND(SUM(R229:R234)-R235,1)),"")</f>
        <v>0</v>
      </c>
      <c r="S250" s="260">
        <f>IF(ISNUMBER(S229),IF(ABS(SUM(S229:S234)-S235)&lt;=0.15,0,ROUND(SUM(S229:S234)-S235,1)),"")</f>
        <v>0</v>
      </c>
      <c r="T250" s="260">
        <f>IF(ISNUMBER(T229),IF(ABS(SUM(T229:T234)-T235)&lt;=0.15,0,ROUND(SUM(T229:T234)-T235,1)),"")</f>
        <v>0</v>
      </c>
      <c r="U250" s="260">
        <f>IF(ISNUMBER(U229),IF(ABS(SUM(U229:U234)-U235)&lt;=0.15,0,ROUND(SUM(U229:U234)-U235,1)),"")</f>
        <v>0</v>
      </c>
      <c r="V250" s="260">
        <f>IF(ISNUMBER(V229),IF(ABS(SUM(V229:V234)-V235)&lt;=0.15,0,ROUND(SUM(V229:V234)-V235,1)),"")</f>
        <v>0</v>
      </c>
      <c r="W250" s="260">
        <f>IF(ISNUMBER(W229),IF(ABS(SUM(W229:W234)-W235)&lt;=0.15,0,ROUND(SUM(W229:W234)-W235,1)),"")</f>
        <v>0</v>
      </c>
      <c r="X250" s="260">
        <f>IF(ISNUMBER(X229),IF(ABS(SUM(X229:X234)-X235)&lt;=0.15,0,ROUND(SUM(X229:X234)-X235,1)),"")</f>
        <v>0</v>
      </c>
      <c r="Y250" s="260">
        <f>IF(ISNUMBER(Y229),IF(ABS(SUM(Y229:Y234)-Y235)&lt;=0.15,0,ROUND(SUM(Y229:Y234)-Y235,1)),"")</f>
        <v>0</v>
      </c>
      <c r="Z250" s="260">
        <f>IF(ISNUMBER(Z229),IF(ABS(SUM(Z229:Z234)-Z235)&lt;=0.15,0,ROUND(SUM(Z229:Z234)-Z235,1)),"")</f>
        <v>0</v>
      </c>
      <c r="AA250" s="260">
        <f>IF(ISNUMBER(AA229),IF(ABS(SUM(AA229:AA234)-AA235)&lt;=0.15,0,ROUND(SUM(AA229:AA234)-AA235,1)),"")</f>
        <v>0</v>
      </c>
      <c r="AB250" s="260">
        <f>IF(ISNUMBER(AB229),IF(ABS(SUM(AB229:AB234)-AB235)&lt;=0.15,0,ROUND(SUM(AB229:AB234)-AB235,1)),"")</f>
        <v>0</v>
      </c>
      <c r="AC250" s="260">
        <f>IF(ISNUMBER(AC229),IF(ABS(SUM(AC229:AC234)-AC235)&lt;=0.15,0,ROUND(SUM(AC229:AC234)-AC235,1)),"")</f>
        <v>0</v>
      </c>
      <c r="AD250" s="260">
        <f>IF(ISNUMBER(AD229),IF(ABS(SUM(AD229:AD234)-AD235)&lt;=0.15,0,ROUND(SUM(AD229:AD234)-AD235,1)),"")</f>
        <v>0</v>
      </c>
      <c r="AE250" s="260">
        <f>IF(ISNUMBER(AE229),IF(ABS(SUM(AE229:AE234)-AE235)&lt;=0.6,0,ROUND(SUM(AE229:AE234)-AE235,1)),"")</f>
        <v>0</v>
      </c>
      <c r="AF250" s="260">
        <f>IF(ISNUMBER(AF229),IF(ABS(SUM(AF229:AF234)-AF235)&lt;=0.6,0,ROUND(SUM(AF229:AF234)-AF235,1)),"")</f>
        <v>0</v>
      </c>
      <c r="AG250" s="260">
        <f>IF(ISNUMBER(AG229),IF(ABS(SUM(AG229:AG234)-AG235)&lt;=0.6,0,ROUND(SUM(AG229:AG234)-AG235,1)),"")</f>
        <v>0</v>
      </c>
      <c r="AH250" s="260">
        <f>IF(ISNUMBER(AH229),IF(ABS(SUM(AH229:AH234)-AH235)&lt;=0.6,0,ROUND(SUM(AH229:AH234)-AH235,1)),"")</f>
        <v>0</v>
      </c>
      <c r="AI250" s="260">
        <f>IF(ISNUMBER(AI229),IF(ABS(SUM(AI229:AI234)-AI235)&lt;=0.6,0,ROUND(SUM(AI229:AI234)-AI235,1)),"")</f>
        <v>0</v>
      </c>
      <c r="AJ250" s="260">
        <f>IF(ISNUMBER(AJ229),IF(ABS(SUM(AJ229:AJ234)-AJ235)&lt;=0.6,0,ROUND(SUM(AJ229:AJ234)-AJ235,1)),"")</f>
        <v>0</v>
      </c>
      <c r="AK250" s="260">
        <f>IF(ISNUMBER(AK229),IF(ABS(SUM(AK229:AK234)-AK235)&lt;=0.6,0,ROUND(SUM(AK229:AK234)-AK235,1)),"")</f>
        <v>0</v>
      </c>
      <c r="AL250" s="260">
        <f>IF(ISNUMBER(AL229),IF(ABS(SUM(AL229:AL234)-AL235)&lt;=0.6,0,ROUND(SUM(AL229:AL234)-AL235,1)),"")</f>
        <v>0</v>
      </c>
      <c r="AM250" s="153" t="n"/>
      <c r="AN250" s="153" t="n"/>
      <c r="AO250" s="153" t="n"/>
      <c r="AP250" s="286">
        <f>IF(ISNUMBER(AP229),IF(ABS(SUM(AP229:AP234)-AP235)&lt;=0.6,0,ROUND(SUM(AP229:AP234)-AP235,1)),"")</f>
        <v>0</v>
      </c>
      <c r="AQ250" s="286">
        <f>IF(ISNUMBER(AQ229),IF(ABS(SUM(AQ229:AQ234)-AQ235)&lt;=0.6,0,ROUND(SUM(AQ229:AQ234)-AQ235,1)),"")</f>
        <v>0</v>
      </c>
      <c r="AR250" s="286">
        <f>IF(ISNUMBER(AR229),IF(ABS(SUM(AR229:AR234)-AR235)&lt;=0.6,0,ROUND(SUM(AR229:AR234)-AR235,1)),"")</f>
        <v>0</v>
      </c>
      <c r="AS250" s="286">
        <f>IF(ISNUMBER(AS229),IF(ABS(SUM(AS229:AS234)-AS235)&lt;=0.6,0,ROUND(SUM(AS229:AS234)-AS235,1)),"")</f>
        <v>0</v>
      </c>
      <c r="AT250" s="286">
        <f>IF(ISNUMBER(AT229),IF(ABS(SUM(AT229:AT234)-AT235)&lt;=0.6,0,ROUND(SUM(AT229:AT234)-AT235,1)),"")</f>
        <v>0</v>
      </c>
      <c r="AU250" s="153" t="n"/>
    </row>
    <row r="251" ht="15" customHeight="1" s="251">
      <c r="B251" s="25" t="inlineStr">
        <is>
          <t>(Memo)</t>
        </is>
      </c>
      <c r="AU251" s="153" t="n"/>
    </row>
    <row r="252" ht="15" customHeight="1" s="251">
      <c r="B252" s="55" t="inlineStr">
        <is>
          <t>Free cash flow (company definition: CFO − purchases of property, equipment and software)</t>
        </is>
      </c>
      <c r="C252" s="285">
        <f>IF(AND(ISNUMBER(C235),ISNUMBER(C236)),C235+C236,"")</f>
        <v>283.121</v>
      </c>
      <c r="D252" s="285">
        <f>IF(AND(ISNUMBER(D235),ISNUMBER(D236)),D235+D236,"")</f>
        <v>431.541</v>
      </c>
      <c r="E252" s="285">
        <f>IF(AND(ISNUMBER(E235),ISNUMBER(E236)),E235+E236,"")</f>
        <v>311.813</v>
      </c>
      <c r="F252" s="285">
        <f>IF(AND(ISNUMBER(F235),ISNUMBER(F236)),F235+F236,"")</f>
        <v>273.917</v>
      </c>
      <c r="G252" s="285">
        <f>IF(AND(ISNUMBER(G235),ISNUMBER(G236)),G235+G236,"")</f>
        <v>182.599</v>
      </c>
      <c r="H252" s="285">
        <f>IF(AND(ISNUMBER(H235),ISNUMBER(H236)),H235+H236,"")</f>
        <v>328.358</v>
      </c>
      <c r="I252" s="285">
        <f>IF(AND(ISNUMBER(I235),ISNUMBER(I236)),I235+I236,"")</f>
        <v>290.706</v>
      </c>
      <c r="J252" s="285">
        <f>IF(AND(ISNUMBER(J235),ISNUMBER(J236)),J235+J236,"")</f>
        <v>404.929</v>
      </c>
      <c r="K252" s="285">
        <f>IF(AND(ISNUMBER(K235),ISNUMBER(K236)),K235+K236,"")</f>
        <v>423.349</v>
      </c>
      <c r="L252" s="285">
        <f>IF(AND(ISNUMBER(L235),ISNUMBER(L236)),L235+L236,"")</f>
        <v>631.474</v>
      </c>
      <c r="M252" s="285">
        <f>IF(AND(ISNUMBER(M235),ISNUMBER(M236)),M235+M236,"")</f>
        <v>-19.67</v>
      </c>
      <c r="N252" s="285">
        <f>IF(AND(ISNUMBER(N235),ISNUMBER(N236)),N235+N236,"")</f>
        <v>449.741</v>
      </c>
      <c r="O252" s="285">
        <f>IF(AND(ISNUMBER(O235),ISNUMBER(O236)),O235+O236,"")</f>
        <v>-0.527999999999999</v>
      </c>
      <c r="P252" s="285">
        <f>IF(AND(ISNUMBER(P235),ISNUMBER(P236)),P235+P236,"")</f>
        <v>227.019</v>
      </c>
      <c r="Q252" s="285">
        <f>IF(AND(ISNUMBER(Q235),ISNUMBER(Q236)),Q235+Q236,"")</f>
        <v>656.562</v>
      </c>
      <c r="R252" s="285">
        <f>IF(AND(ISNUMBER(R235),ISNUMBER(R236)),R235+R236,"")</f>
        <v>-59.368</v>
      </c>
      <c r="S252" s="285">
        <f>IF(AND(ISNUMBER(S235),ISNUMBER(S236)),S235+S236,"")</f>
        <v>256.726</v>
      </c>
      <c r="T252" s="285">
        <f>IF(AND(ISNUMBER(T235),ISNUMBER(T236)),T235+T236,"")</f>
        <v>116.918</v>
      </c>
      <c r="U252" s="285">
        <f>IF(AND(ISNUMBER(U235),ISNUMBER(U236)),U235+U236,"")</f>
        <v>212.416</v>
      </c>
      <c r="V252" s="285">
        <f>IF(AND(ISNUMBER(V235),ISNUMBER(V236)),V235+V236,"")</f>
        <v>526.692</v>
      </c>
      <c r="W252" s="285">
        <f>IF(AND(ISNUMBER(W235),ISNUMBER(W236)),W235+W236,"")</f>
        <v>-82.02</v>
      </c>
      <c r="X252" s="285">
        <f>IF(AND(ISNUMBER(X235),ISNUMBER(X236)),X235+X236,"")</f>
        <v>-64.333</v>
      </c>
      <c r="Y252" s="285">
        <f>IF(AND(ISNUMBER(Y235),ISNUMBER(Y236)),Y235+Y236,"")</f>
        <v>210.889</v>
      </c>
      <c r="Z252" s="285">
        <f>IF(AND(ISNUMBER(Z235),ISNUMBER(Z236)),Z235+Z236,"")</f>
        <v>127.603</v>
      </c>
      <c r="AA252" s="285">
        <f>IF(AND(ISNUMBER(AA235),ISNUMBER(AA236)),AA235+AA236,"")</f>
        <v>192.139</v>
      </c>
      <c r="AB252" s="285">
        <f>IF(AND(ISNUMBER(AB235),ISNUMBER(AB236)),AB235+AB236,"")</f>
        <v>19.686</v>
      </c>
      <c r="AC252" s="285">
        <f>IF(AND(ISNUMBER(AC235),ISNUMBER(AC236)),AC235+AC236,"")</f>
        <v>563.286</v>
      </c>
      <c r="AD252" s="285">
        <f>IF(AND(ISNUMBER(AD235),ISNUMBER(AD236)),AD235+AD236,"")</f>
        <v>133.591</v>
      </c>
      <c r="AE252" s="285">
        <f>IF(AND(ISNUMBER(AE235),ISNUMBER(AE236)),AE235+AE236,"")</f>
        <v>194.437</v>
      </c>
      <c r="AF252" s="285">
        <f>IF(AND(ISNUMBER(AF235),ISNUMBER(AF236)),AF235+AF236,"")</f>
        <v>911</v>
      </c>
      <c r="AG252" s="285">
        <f>IF(AND(ISNUMBER(AG235),ISNUMBER(AG236)),AG235+AG236,"")</f>
        <v>96</v>
      </c>
      <c r="AH252" s="285">
        <f>IF(AND(ISNUMBER(AH235),ISNUMBER(AH236)),AH235+AH236,"")</f>
        <v>395</v>
      </c>
      <c r="AI252" s="285">
        <f>IF(AND(ISNUMBER(AI235),ISNUMBER(AI236)),AI235+AI236,"")</f>
        <v>248</v>
      </c>
      <c r="AJ252" s="285">
        <f>IF(AND(ISNUMBER(AJ235),ISNUMBER(AJ236)),AJ235+AJ236,"")</f>
        <v>212</v>
      </c>
      <c r="AK252" s="285">
        <f>IF(AND(ISNUMBER(AK235),ISNUMBER(AK236)),AK235+AK236,"")</f>
        <v>951</v>
      </c>
      <c r="AL252" s="285">
        <f>IF(AND(ISNUMBER(AL235),ISNUMBER(AL236)),AL235+AL236,"")</f>
        <v>261</v>
      </c>
      <c r="AM252" s="56" t="n"/>
      <c r="AN252" s="56" t="n"/>
      <c r="AO252" s="56" t="n"/>
      <c r="AP252" s="285">
        <f>IF(AND(ISNUMBER(AP235),ISNUMBER(AP236)),AP235+AP236,"")</f>
        <v>875</v>
      </c>
      <c r="AQ252" s="285">
        <f>IF(AND(ISNUMBER(AQ235),ISNUMBER(AQ236)),AQ235+AQ236,"")</f>
        <v>902.209640461986</v>
      </c>
      <c r="AR252" s="285">
        <f>IF(AND(ISNUMBER(AR235),ISNUMBER(AR236)),AR235+AR236,"")</f>
        <v>943.664747878739</v>
      </c>
      <c r="AS252" s="285">
        <f>IF(AND(ISNUMBER(AS235),ISNUMBER(AS236)),AS235+AS236,"")</f>
        <v>991.837633193134</v>
      </c>
      <c r="AT252" s="285">
        <f>IF(AND(ISNUMBER(AT235),ISNUMBER(AT236)),AT235+AT236,"")</f>
        <v>1047.69608315764</v>
      </c>
      <c r="AU252" s="153" t="n"/>
      <c r="AW252" s="20">
        <f>IFERROR((AT252/AK252)^(1/5)-1,"n/m")</f>
        <v>0.0195557086595959</v>
      </c>
      <c r="AX252" s="20">
        <f>IFERROR((AK252/L252)^(1/5)-1,"n/m")</f>
        <v>0.0853379994202927</v>
      </c>
      <c r="AY252" s="20">
        <f>IFERROR((AK252/G252)^(1/10)-1,"n/m")</f>
        <v>0.179419250914568</v>
      </c>
      <c r="AZ252" s="20">
        <f>IFERROR((AK252/C252)^(1/14)-1,"n/m")</f>
        <v>0.0904011896925208</v>
      </c>
    </row>
    <row r="253" ht="15" customHeight="1" s="251">
      <c r="B253" s="156" t="inlineStr">
        <is>
          <t xml:space="preserve">  Company-published free cash flow</t>
        </is>
      </c>
      <c r="C253" s="253" t="n">
        <v>283.121</v>
      </c>
      <c r="D253" s="253" t="n">
        <v>431.541</v>
      </c>
      <c r="E253" s="253" t="n">
        <v>311.813</v>
      </c>
      <c r="F253" s="253" t="n">
        <v>273.917</v>
      </c>
      <c r="G253" s="253" t="n">
        <v>182.599</v>
      </c>
      <c r="H253" s="253" t="n">
        <v>328.358</v>
      </c>
      <c r="I253" s="253" t="n">
        <v>290.706</v>
      </c>
      <c r="J253" s="253" t="n">
        <v>404.929</v>
      </c>
      <c r="K253" s="253" t="n">
        <v>423.349</v>
      </c>
      <c r="L253" s="253" t="n">
        <v>631.474</v>
      </c>
      <c r="M253" s="253" t="n">
        <v>-19.67</v>
      </c>
      <c r="N253" s="253" t="n">
        <v>449.741</v>
      </c>
      <c r="O253" s="253" t="n">
        <v>-0.528</v>
      </c>
      <c r="P253" s="253" t="n">
        <v>227.019</v>
      </c>
      <c r="Q253" s="253" t="n">
        <v>656.562</v>
      </c>
      <c r="R253" s="253" t="n">
        <v>-59.368</v>
      </c>
      <c r="S253" s="253" t="n">
        <v>256.726</v>
      </c>
      <c r="T253" s="253" t="n">
        <v>116.918</v>
      </c>
      <c r="U253" s="253" t="n">
        <v>212.416</v>
      </c>
      <c r="V253" s="253" t="n">
        <v>526.692</v>
      </c>
      <c r="W253" s="253" t="n">
        <v>-82.02</v>
      </c>
      <c r="X253" s="253" t="n">
        <v>-64.333</v>
      </c>
      <c r="Y253" s="253" t="n">
        <v>210.889</v>
      </c>
      <c r="Z253" s="253" t="n">
        <v>127.603</v>
      </c>
      <c r="AA253" s="253" t="n">
        <v>192.139</v>
      </c>
      <c r="AB253" s="253" t="n">
        <v>19.686</v>
      </c>
      <c r="AC253" s="253" t="n">
        <v>563.2859999999999</v>
      </c>
      <c r="AD253" s="253" t="n">
        <v>133.591</v>
      </c>
      <c r="AE253" s="253" t="n">
        <v>194</v>
      </c>
      <c r="AF253" s="253" t="n">
        <v>911</v>
      </c>
      <c r="AG253" s="253" t="n">
        <v>96</v>
      </c>
      <c r="AH253" s="253" t="n">
        <v>395</v>
      </c>
      <c r="AI253" s="253" t="n">
        <v>248</v>
      </c>
      <c r="AJ253" s="253" t="n">
        <v>212</v>
      </c>
      <c r="AK253" s="253" t="n">
        <v>951</v>
      </c>
      <c r="AL253" s="253" t="n">
        <v>261</v>
      </c>
      <c r="AM253" s="153" t="n"/>
      <c r="AN253" s="153" t="n"/>
      <c r="AO253" s="153" t="n"/>
      <c r="AP253" s="153" t="n"/>
      <c r="AQ253" s="153" t="n"/>
      <c r="AR253" s="153" t="n"/>
      <c r="AS253" s="153" t="n"/>
      <c r="AT253" s="153" t="n"/>
      <c r="AU253" s="153" t="n"/>
    </row>
    <row r="254" ht="15" customHeight="1" s="251">
      <c r="B254" s="57" t="inlineStr">
        <is>
          <t xml:space="preserve">  Check: model vs company-published free cash flow (should be 0; ±0.15, ±0.6 from Q4 FY25)</t>
        </is>
      </c>
      <c r="C254" s="260">
        <f>IF(ISNUMBER(C253),IF(ABS(C252-C253)&lt;=0.15,0,ROUND(C252-C253,1)),"n/p")</f>
        <v>0</v>
      </c>
      <c r="D254" s="260">
        <f>IF(ISNUMBER(D253),IF(ABS(D252-D253)&lt;=0.15,0,ROUND(D252-D253,1)),"n/p")</f>
        <v>0</v>
      </c>
      <c r="E254" s="260">
        <f>IF(ISNUMBER(E253),IF(ABS(E252-E253)&lt;=0.15,0,ROUND(E252-E253,1)),"n/p")</f>
        <v>0</v>
      </c>
      <c r="F254" s="260">
        <f>IF(ISNUMBER(F253),IF(ABS(F252-F253)&lt;=0.15,0,ROUND(F252-F253,1)),"n/p")</f>
        <v>0</v>
      </c>
      <c r="G254" s="260">
        <f>IF(ISNUMBER(G253),IF(ABS(G252-G253)&lt;=0.15,0,ROUND(G252-G253,1)),"n/p")</f>
        <v>0</v>
      </c>
      <c r="H254" s="260">
        <f>IF(ISNUMBER(H253),IF(ABS(H252-H253)&lt;=0.15,0,ROUND(H252-H253,1)),"n/p")</f>
        <v>0</v>
      </c>
      <c r="I254" s="260">
        <f>IF(ISNUMBER(I253),IF(ABS(I252-I253)&lt;=0.15,0,ROUND(I252-I253,1)),"n/p")</f>
        <v>0</v>
      </c>
      <c r="J254" s="260">
        <f>IF(ISNUMBER(J253),IF(ABS(J252-J253)&lt;=0.15,0,ROUND(J252-J253,1)),"n/p")</f>
        <v>0</v>
      </c>
      <c r="K254" s="260">
        <f>IF(ISNUMBER(K253),IF(ABS(K252-K253)&lt;=0.15,0,ROUND(K252-K253,1)),"n/p")</f>
        <v>0</v>
      </c>
      <c r="L254" s="260">
        <f>IF(ISNUMBER(L253),IF(ABS(L252-L253)&lt;=0.15,0,ROUND(L252-L253,1)),"n/p")</f>
        <v>0</v>
      </c>
      <c r="M254" s="260">
        <f>IF(ISNUMBER(M253),IF(ABS(M252-M253)&lt;=0.15,0,ROUND(M252-M253,1)),"n/p")</f>
        <v>0</v>
      </c>
      <c r="N254" s="260">
        <f>IF(ISNUMBER(N253),IF(ABS(N252-N253)&lt;=0.15,0,ROUND(N252-N253,1)),"n/p")</f>
        <v>0</v>
      </c>
      <c r="O254" s="260">
        <f>IF(ISNUMBER(O253),IF(ABS(O252-O253)&lt;=0.15,0,ROUND(O252-O253,1)),"n/p")</f>
        <v>0</v>
      </c>
      <c r="P254" s="260">
        <f>IF(ISNUMBER(P253),IF(ABS(P252-P253)&lt;=0.15,0,ROUND(P252-P253,1)),"n/p")</f>
        <v>0</v>
      </c>
      <c r="Q254" s="260">
        <f>IF(ISNUMBER(Q253),IF(ABS(Q252-Q253)&lt;=0.15,0,ROUND(Q252-Q253,1)),"n/p")</f>
        <v>0</v>
      </c>
      <c r="R254" s="260">
        <f>IF(ISNUMBER(R253),IF(ABS(R252-R253)&lt;=0.15,0,ROUND(R252-R253,1)),"n/p")</f>
        <v>0</v>
      </c>
      <c r="S254" s="260">
        <f>IF(ISNUMBER(S253),IF(ABS(S252-S253)&lt;=0.15,0,ROUND(S252-S253,1)),"n/p")</f>
        <v>0</v>
      </c>
      <c r="T254" s="260">
        <f>IF(ISNUMBER(T253),IF(ABS(T252-T253)&lt;=0.15,0,ROUND(T252-T253,1)),"n/p")</f>
        <v>0</v>
      </c>
      <c r="U254" s="260">
        <f>IF(ISNUMBER(U253),IF(ABS(U252-U253)&lt;=0.15,0,ROUND(U252-U253,1)),"n/p")</f>
        <v>0</v>
      </c>
      <c r="V254" s="260">
        <f>IF(ISNUMBER(V253),IF(ABS(V252-V253)&lt;=0.15,0,ROUND(V252-V253,1)),"n/p")</f>
        <v>0</v>
      </c>
      <c r="W254" s="260">
        <f>IF(ISNUMBER(W253),IF(ABS(W252-W253)&lt;=0.15,0,ROUND(W252-W253,1)),"n/p")</f>
        <v>0</v>
      </c>
      <c r="X254" s="260">
        <f>IF(ISNUMBER(X253),IF(ABS(X252-X253)&lt;=0.15,0,ROUND(X252-X253,1)),"n/p")</f>
        <v>0</v>
      </c>
      <c r="Y254" s="260">
        <f>IF(ISNUMBER(Y253),IF(ABS(Y252-Y253)&lt;=0.15,0,ROUND(Y252-Y253,1)),"n/p")</f>
        <v>0</v>
      </c>
      <c r="Z254" s="260">
        <f>IF(ISNUMBER(Z253),IF(ABS(Z252-Z253)&lt;=0.15,0,ROUND(Z252-Z253,1)),"n/p")</f>
        <v>0</v>
      </c>
      <c r="AA254" s="260">
        <f>IF(ISNUMBER(AA253),IF(ABS(AA252-AA253)&lt;=0.15,0,ROUND(AA252-AA253,1)),"n/p")</f>
        <v>0</v>
      </c>
      <c r="AB254" s="260">
        <f>IF(ISNUMBER(AB253),IF(ABS(AB252-AB253)&lt;=0.15,0,ROUND(AB252-AB253,1)),"n/p")</f>
        <v>0</v>
      </c>
      <c r="AC254" s="260">
        <f>IF(ISNUMBER(AC253),IF(ABS(AC252-AC253)&lt;=0.15,0,ROUND(AC252-AC253,1)),"n/p")</f>
        <v>0</v>
      </c>
      <c r="AD254" s="260">
        <f>IF(ISNUMBER(AD253),IF(ABS(AD252-AD253)&lt;=0.15,0,ROUND(AD252-AD253,1)),"n/p")</f>
        <v>0</v>
      </c>
      <c r="AE254" s="260">
        <f>IF(ISNUMBER(AE253),IF(ABS(AE252-AE253)&lt;=0.6,0,ROUND(AE252-AE253,1)),"n/p")</f>
        <v>0</v>
      </c>
      <c r="AF254" s="260">
        <f>IF(ISNUMBER(AF253),IF(ABS(AF252-AF253)&lt;=0.6,0,ROUND(AF252-AF253,1)),"n/p")</f>
        <v>0</v>
      </c>
      <c r="AG254" s="260">
        <f>IF(ISNUMBER(AG253),IF(ABS(AG252-AG253)&lt;=0.6,0,ROUND(AG252-AG253,1)),"n/p")</f>
        <v>0</v>
      </c>
      <c r="AH254" s="260">
        <f>IF(ISNUMBER(AH253),IF(ABS(AH252-AH253)&lt;=0.6,0,ROUND(AH252-AH253,1)),"n/p")</f>
        <v>0</v>
      </c>
      <c r="AI254" s="260">
        <f>IF(ISNUMBER(AI253),IF(ABS(AI252-AI253)&lt;=0.6,0,ROUND(AI252-AI253,1)),"n/p")</f>
        <v>0</v>
      </c>
      <c r="AJ254" s="260">
        <f>IF(ISNUMBER(AJ253),IF(ABS(AJ252-AJ253)&lt;=0.6,0,ROUND(AJ252-AJ253,1)),"n/p")</f>
        <v>0</v>
      </c>
      <c r="AK254" s="260">
        <f>IF(ISNUMBER(AK253),IF(ABS(AK252-AK253)&lt;=0.6,0,ROUND(AK252-AK253,1)),"n/p")</f>
        <v>0</v>
      </c>
      <c r="AL254" s="260">
        <f>IF(ISNUMBER(AL253),IF(ABS(AL252-AL253)&lt;=0.6,0,ROUND(AL252-AL253,1)),"n/p")</f>
        <v>0</v>
      </c>
      <c r="AM254" s="153" t="n"/>
      <c r="AN254" s="153" t="n"/>
      <c r="AO254" s="153" t="n"/>
      <c r="AP254" s="153" t="n"/>
      <c r="AQ254" s="153" t="n"/>
      <c r="AR254" s="153" t="n"/>
      <c r="AS254" s="153" t="n"/>
      <c r="AT254" s="153" t="n"/>
      <c r="AU254" s="153" t="n"/>
    </row>
    <row r="255" ht="15" customHeight="1" s="251">
      <c r="B255" s="22" t="inlineStr">
        <is>
          <t xml:space="preserve">  FCF y/y %</t>
        </is>
      </c>
      <c r="C255" s="23" t="n"/>
      <c r="D255" s="255">
        <f>IF(AND(ISNUMBER(D252),ISNUMBER(C252)),IFERROR(D252/C252-1,""),"")</f>
        <v>0.524228156865793</v>
      </c>
      <c r="E255" s="255">
        <f>IF(AND(ISNUMBER(E252),ISNUMBER(D252)),IFERROR(E252/D252-1,""),"")</f>
        <v>-0.277442931262615</v>
      </c>
      <c r="F255" s="255">
        <f>IF(AND(ISNUMBER(F252),ISNUMBER(E252)),IFERROR(F252/E252-1,""),"")</f>
        <v>-0.121534381183594</v>
      </c>
      <c r="G255" s="255">
        <f>IF(AND(ISNUMBER(G252),ISNUMBER(F252)),IFERROR(G252/F252-1,""),"")</f>
        <v>-0.333378359137987</v>
      </c>
      <c r="H255" s="255">
        <f>IF(AND(ISNUMBER(H252),ISNUMBER(G252)),IFERROR(H252/G252-1,""),"")</f>
        <v>0.798246430703345</v>
      </c>
      <c r="I255" s="255">
        <f>IF(AND(ISNUMBER(I252),ISNUMBER(H252)),IFERROR(I252/H252-1,""),"")</f>
        <v>-0.114667527515699</v>
      </c>
      <c r="J255" s="255">
        <f>IF(AND(ISNUMBER(J252),ISNUMBER(I252)),IFERROR(J252/I252-1,""),"")</f>
        <v>0.392915866889573</v>
      </c>
      <c r="K255" s="255">
        <f>IF(AND(ISNUMBER(K252),ISNUMBER(J252)),IFERROR(K252/J252-1,""),"")</f>
        <v>0.0454894561762678</v>
      </c>
      <c r="L255" s="255">
        <f>IF(AND(ISNUMBER(L252),ISNUMBER(K252)),IFERROR(L252/K252-1,""),"")</f>
        <v>0.491615664617136</v>
      </c>
      <c r="M255" s="23" t="n"/>
      <c r="N255" s="23" t="n"/>
      <c r="O255" s="23" t="n"/>
      <c r="P255" s="23" t="n"/>
      <c r="Q255" s="255">
        <f>IF(AND(ISNUMBER(Q252),ISNUMBER(L252)),IFERROR(Q252/L252-1,""),"")</f>
        <v>0.0397292683467569</v>
      </c>
      <c r="R255" s="255">
        <f>IF(AND(ISNUMBER(R252),ISNUMBER(M252)),IFERROR(R252/M252-1,""),"")</f>
        <v>2.01820030503305</v>
      </c>
      <c r="S255" s="255">
        <f>IF(AND(ISNUMBER(S252),ISNUMBER(N252)),IFERROR(S252/N252-1,""),"")</f>
        <v>-0.429169232958525</v>
      </c>
      <c r="T255" s="255">
        <f>IF(AND(ISNUMBER(T252),ISNUMBER(O252)),IFERROR(T252/O252-1,""),"")</f>
        <v>-222.435606060607</v>
      </c>
      <c r="U255" s="255">
        <f>IF(AND(ISNUMBER(U252),ISNUMBER(P252)),IFERROR(U252/P252-1,""),"")</f>
        <v>-0.0643250124438924</v>
      </c>
      <c r="V255" s="255">
        <f>IF(AND(ISNUMBER(V252),ISNUMBER(Q252)),IFERROR(V252/Q252-1,""),"")</f>
        <v>-0.19780310161112</v>
      </c>
      <c r="W255" s="255">
        <f>IF(AND(ISNUMBER(W252),ISNUMBER(R252)),IFERROR(W252/R252-1,""),"")</f>
        <v>0.381552351435116</v>
      </c>
      <c r="X255" s="255">
        <f>IF(AND(ISNUMBER(X252),ISNUMBER(S252)),IFERROR(X252/S252-1,""),"")</f>
        <v>-1.25059012332214</v>
      </c>
      <c r="Y255" s="255">
        <f>IF(AND(ISNUMBER(Y252),ISNUMBER(T252)),IFERROR(Y252/T252-1,""),"")</f>
        <v>0.803734241092048</v>
      </c>
      <c r="Z255" s="255">
        <f>IF(AND(ISNUMBER(Z252),ISNUMBER(U252)),IFERROR(Z252/U252-1,""),"")</f>
        <v>-0.399277832178367</v>
      </c>
      <c r="AA255" s="255">
        <f>IF(AND(ISNUMBER(AA252),ISNUMBER(V252)),IFERROR(AA252/V252-1,""),"")</f>
        <v>-0.635196661426412</v>
      </c>
      <c r="AB255" s="255">
        <f>IF(AND(ISNUMBER(AB252),ISNUMBER(W252)),IFERROR(AB252/W252-1,""),"")</f>
        <v>-1.24001463057791</v>
      </c>
      <c r="AC255" s="255">
        <f>IF(AND(ISNUMBER(AC252),ISNUMBER(X252)),IFERROR(AC252/X252-1,""),"")</f>
        <v>-9.75578629941088</v>
      </c>
      <c r="AD255" s="255">
        <f>IF(AND(ISNUMBER(AD252),ISNUMBER(Y252)),IFERROR(AD252/Y252-1,""),"")</f>
        <v>-0.366534053459403</v>
      </c>
      <c r="AE255" s="255">
        <f>IF(AND(ISNUMBER(AE252),ISNUMBER(Z252)),IFERROR(AE252/Z252-1,""),"")</f>
        <v>0.523765115240237</v>
      </c>
      <c r="AF255" s="255">
        <f>IF(AND(ISNUMBER(AF252),ISNUMBER(AA252)),IFERROR(AF252/AA252-1,""),"")</f>
        <v>3.74135912022026</v>
      </c>
      <c r="AG255" s="255">
        <f>IF(AND(ISNUMBER(AG252),ISNUMBER(AB252)),IFERROR(AG252/AB252-1,""),"")</f>
        <v>3.87656202377324</v>
      </c>
      <c r="AH255" s="255">
        <f>IF(AND(ISNUMBER(AH252),ISNUMBER(AC252)),IFERROR(AH252/AC252-1,""),"")</f>
        <v>-0.298757647092241</v>
      </c>
      <c r="AI255" s="255">
        <f>IF(AND(ISNUMBER(AI252),ISNUMBER(AD252)),IFERROR(AI252/AD252-1,""),"")</f>
        <v>0.856412482876841</v>
      </c>
      <c r="AJ255" s="255">
        <f>IF(AND(ISNUMBER(AJ252),ISNUMBER(AE252)),IFERROR(AJ252/AE252-1,""),"")</f>
        <v>0.0903274582512588</v>
      </c>
      <c r="AK255" s="255">
        <f>IF(AND(ISNUMBER(AK252),ISNUMBER(AF252)),IFERROR(AK252/AF252-1,""),"")</f>
        <v>0.0439077936333698</v>
      </c>
      <c r="AL255" s="255">
        <f>IF(AND(ISNUMBER(AL252),ISNUMBER(AG252)),IFERROR(AL252/AG252-1,""),"")</f>
        <v>1.71875</v>
      </c>
      <c r="AM255" s="24" t="n"/>
      <c r="AN255" s="24" t="n"/>
      <c r="AO255" s="24" t="n"/>
      <c r="AP255" s="256">
        <f>IF(AND(ISNUMBER(AP252),ISNUMBER(AK252)),IFERROR(AP252/AK252-1,""),"")</f>
        <v>-0.0799158780231335</v>
      </c>
      <c r="AQ255" s="256">
        <f>IF(AND(ISNUMBER(AQ252),ISNUMBER(AP252)),IFERROR(AQ252/AP252-1,""),"")</f>
        <v>0.0310967319565554</v>
      </c>
      <c r="AR255" s="256">
        <f>IF(AND(ISNUMBER(AR252),ISNUMBER(AQ252)),IFERROR(AR252/AQ252-1,""),"")</f>
        <v>0.0459484199210343</v>
      </c>
      <c r="AS255" s="256">
        <f>IF(AND(ISNUMBER(AS252),ISNUMBER(AR252)),IFERROR(AS252/AR252-1,""),"")</f>
        <v>0.0510487282932666</v>
      </c>
      <c r="AT255" s="256">
        <f>IF(AND(ISNUMBER(AT252),ISNUMBER(AS252)),IFERROR(AT252/AS252-1,""),"")</f>
        <v>0.0563181392751535</v>
      </c>
      <c r="AU255" s="153" t="n"/>
    </row>
    <row r="256" ht="15" customHeight="1" s="251">
      <c r="B256" s="25" t="inlineStr">
        <is>
          <t xml:space="preserve">  FCF % of revenue</t>
        </is>
      </c>
      <c r="C256" s="215">
        <f>IF(AND(ISNUMBER(C252),ISNUMBER(C120)),IFERROR(C252/C120,""),"")</f>
        <v>0.0483206120680268</v>
      </c>
      <c r="D256" s="215">
        <f>IF(AND(ISNUMBER(D252),ISNUMBER(D120)),IFERROR(D252/D120,""),"")</f>
        <v>0.0749455675949135</v>
      </c>
      <c r="E256" s="215">
        <f>IF(AND(ISNUMBER(E252),ISNUMBER(E120)),IFERROR(E252/E120,""),"")</f>
        <v>0.0569137566204202</v>
      </c>
      <c r="F256" s="215">
        <f>IF(AND(ISNUMBER(F252),ISNUMBER(F120)),IFERROR(F252/F120,""),"")</f>
        <v>0.051929657596445</v>
      </c>
      <c r="G256" s="215">
        <f>IF(AND(ISNUMBER(G252),ISNUMBER(G120)),IFERROR(G252/G120,""),"")</f>
        <v>0.0337787365943374</v>
      </c>
      <c r="H256" s="215">
        <f>IF(AND(ISNUMBER(H252),ISNUMBER(H120)),IFERROR(H252/H120,""),"")</f>
        <v>0.056571663274919</v>
      </c>
      <c r="I256" s="215">
        <f>IF(AND(ISNUMBER(I252),ISNUMBER(I120)),IFERROR(I252/I120,""),"")</f>
        <v>0.0471018995429736</v>
      </c>
      <c r="J256" s="215">
        <f>IF(AND(ISNUMBER(J252),ISNUMBER(J120)),IFERROR(J252/J120,""),"")</f>
        <v>0.0604007704611416</v>
      </c>
      <c r="K256" s="215">
        <f>IF(AND(ISNUMBER(K252),ISNUMBER(K120)),IFERROR(K252/K120,""),"")</f>
        <v>0.0567199917575951</v>
      </c>
      <c r="L256" s="215">
        <f>IF(AND(ISNUMBER(L252),ISNUMBER(L120)),IFERROR(L252/L120,""),"")</f>
        <v>0.0803510601559651</v>
      </c>
      <c r="M256" s="215">
        <f>IF(AND(ISNUMBER(M252),ISNUMBER(M120)),IFERROR(M252/M120,""),"")</f>
        <v>-0.00988906351021032</v>
      </c>
      <c r="N256" s="215">
        <f>IF(AND(ISNUMBER(N252),ISNUMBER(N120)),IFERROR(N252/N120,""),"")</f>
        <v>0.213548378519286</v>
      </c>
      <c r="O256" s="215">
        <f>IF(AND(ISNUMBER(O252),ISNUMBER(O120)),IFERROR(O252/O120,""),"")</f>
        <v>-0.000260031913007505</v>
      </c>
      <c r="P256" s="215">
        <f>IF(AND(ISNUMBER(P252),ISNUMBER(P120)),IFERROR(P252/P120,""),"")</f>
        <v>0.101434893185039</v>
      </c>
      <c r="Q256" s="215">
        <f>IF(AND(ISNUMBER(Q252),ISNUMBER(Q120)),IFERROR(Q252/Q120,""),"")</f>
        <v>0.0785013809677535</v>
      </c>
      <c r="R256" s="215">
        <f>IF(AND(ISNUMBER(R252),ISNUMBER(R120)),IFERROR(R252/R120,""),"")</f>
        <v>-0.0263904694167852</v>
      </c>
      <c r="S256" s="215">
        <f>IF(AND(ISNUMBER(S252),ISNUMBER(S120)),IFERROR(S252/S120,""),"")</f>
        <v>0.111669717300224</v>
      </c>
      <c r="T256" s="215">
        <f>IF(AND(ISNUMBER(T252),ISNUMBER(T120)),IFERROR(T252/T120,""),"")</f>
        <v>0.051345718233136</v>
      </c>
      <c r="U256" s="215">
        <f>IF(AND(ISNUMBER(U252),ISNUMBER(U120)),IFERROR(U252/U120,""),"")</f>
        <v>0.0872968415636465</v>
      </c>
      <c r="V256" s="215">
        <f>IF(AND(ISNUMBER(V252),ISNUMBER(V120)),IFERROR(V252/V120,""),"")</f>
        <v>0.0568848755539393</v>
      </c>
      <c r="W256" s="215">
        <f>IF(AND(ISNUMBER(W252),ISNUMBER(W120)),IFERROR(W252/W120,""),"")</f>
        <v>-0.0308986372503001</v>
      </c>
      <c r="X256" s="215">
        <f>IF(AND(ISNUMBER(X252),ISNUMBER(X120)),IFERROR(X252/X120,""),"")</f>
        <v>-0.0241283555152831</v>
      </c>
      <c r="Y256" s="215">
        <f>IF(AND(ISNUMBER(Y252),ISNUMBER(Y120)),IFERROR(Y252/Y120,""),"")</f>
        <v>0.0820643310513149</v>
      </c>
      <c r="Z256" s="215">
        <f>IF(AND(ISNUMBER(Z252),ISNUMBER(Z120)),IFERROR(Z252/Z120,""),"")</f>
        <v>0.0460440070767542</v>
      </c>
      <c r="AA256" s="215">
        <f>IF(AND(ISNUMBER(AA252),ISNUMBER(AA120)),IFERROR(AA252/AA120,""),"")</f>
        <v>0.0180210911830316</v>
      </c>
      <c r="AB256" s="215">
        <f>IF(AND(ISNUMBER(AB252),ISNUMBER(AB120)),IFERROR(AB252/AB120,""),"")</f>
        <v>0.00669182815809521</v>
      </c>
      <c r="AC256" s="215">
        <f>IF(AND(ISNUMBER(AC252),ISNUMBER(AC120)),IFERROR(AC252/AC120,""),"")</f>
        <v>0.179026349596013</v>
      </c>
      <c r="AD256" s="215">
        <f>IF(AND(ISNUMBER(AD252),ISNUMBER(AD120)),IFERROR(AD252/AD120,""),"")</f>
        <v>0.0457944117455497</v>
      </c>
      <c r="AE256" s="215">
        <f>IF(AND(ISNUMBER(AE252),ISNUMBER(AE120)),IFERROR(AE252/AE120,""),"")</f>
        <v>0.0653789509078682</v>
      </c>
      <c r="AF256" s="215">
        <f>IF(AND(ISNUMBER(AF252),ISNUMBER(AF120)),IFERROR(AF252/AF120,""),"")</f>
        <v>0.0760434056761269</v>
      </c>
      <c r="AG256" s="215">
        <f>IF(AND(ISNUMBER(AG252),ISNUMBER(AG120)),IFERROR(AG252/AG120,""),"")</f>
        <v>0.0328317373461012</v>
      </c>
      <c r="AH256" s="215">
        <f>IF(AND(ISNUMBER(AH252),ISNUMBER(AH120)),IFERROR(AH252/AH120,""),"")</f>
        <v>0.136678200692042</v>
      </c>
      <c r="AI256" s="215">
        <f>IF(AND(ISNUMBER(AI252),ISNUMBER(AI120)),IFERROR(AI252/AI120,""),"")</f>
        <v>0.0946564885496183</v>
      </c>
      <c r="AJ256" s="215">
        <f>IF(AND(ISNUMBER(AJ252),ISNUMBER(AJ120)),IFERROR(AJ252/AJ120,""),"")</f>
        <v>0.0761767876392382</v>
      </c>
      <c r="AK256" s="215">
        <f>IF(AND(ISNUMBER(AK252),ISNUMBER(AK120)),IFERROR(AK252/AK120,""),"")</f>
        <v>0.0847820272800214</v>
      </c>
      <c r="AL256" s="215">
        <f>IF(AND(ISNUMBER(AL252),ISNUMBER(AL120)),IFERROR(AL252/AL120,""),"")</f>
        <v>0.0932142857142857</v>
      </c>
      <c r="AM256" s="24" t="n"/>
      <c r="AN256" s="24" t="n"/>
      <c r="AO256" s="24" t="n"/>
      <c r="AP256" s="256">
        <f>IF(AND(ISNUMBER(AP252),ISNUMBER(AP120)),IFERROR(AP252/AP120,""),"")</f>
        <v>0.0756999572182345</v>
      </c>
      <c r="AQ256" s="256">
        <f>IF(AND(ISNUMBER(AQ252),ISNUMBER(AQ120)),IFERROR(AQ252/AQ120,""),"")</f>
        <v>0.0756859524086499</v>
      </c>
      <c r="AR256" s="256">
        <f>IF(AND(ISNUMBER(AR252),ISNUMBER(AR120)),IFERROR(AR252/AR120,""),"")</f>
        <v>0.075645703759395</v>
      </c>
      <c r="AS256" s="256">
        <f>IF(AND(ISNUMBER(AS252),ISNUMBER(AS120)),IFERROR(AS252/AS120,""),"")</f>
        <v>0.0756635167690856</v>
      </c>
      <c r="AT256" s="256">
        <f>IF(AND(ISNUMBER(AT252),ISNUMBER(AT120)),IFERROR(AT252/AT120,""),"")</f>
        <v>0.075934557657808</v>
      </c>
      <c r="AU256" s="153" t="n"/>
      <c r="AW256" s="37">
        <f>IFERROR(AVERAGE(AP256,AQ256,AR256,AS256,AT256),"n/m")</f>
        <v>0.0757259375626346</v>
      </c>
      <c r="AX256" s="37">
        <f>IFERROR(AVERAGE(Q256,V256,AA256,AF256,AK256),"n/m")</f>
        <v>0.0628465561321745</v>
      </c>
      <c r="AY256" s="37">
        <f>IFERROR(AVERAGE(H256,I256,J256,K256,L256,Q256,V256,AA256,AF256,AK256),"n/m")</f>
        <v>0.0615378165853467</v>
      </c>
      <c r="AZ256" s="37">
        <f>IFERROR(AVERAGE(C256,D256,E256,F256,G256,H256,I256,J256,K256,L256,Q256,V256,AA256,AF256,AK256),"n/m")</f>
        <v>0.058751099755174</v>
      </c>
    </row>
    <row r="257" ht="15" customHeight="1" s="251">
      <c r="B257" s="25" t="inlineStr">
        <is>
          <t xml:space="preserve">  FCF / adjusted net income conversion %</t>
        </is>
      </c>
      <c r="C257" s="215">
        <f>IF(AND(ISNUMBER(C252),ISNUMBER(C199)),IFERROR(C252/C199,""),"")</f>
        <v>1.24616407123428</v>
      </c>
      <c r="D257" s="215">
        <f>IF(AND(ISNUMBER(D252),ISNUMBER(D199)),IFERROR(D252/D199,""),"")</f>
        <v>1.80161566400868</v>
      </c>
      <c r="E257" s="215">
        <f>IF(AND(ISNUMBER(E252),ISNUMBER(E199)),IFERROR(E252/E199,""),"")</f>
        <v>1.28877104808511</v>
      </c>
      <c r="F257" s="215">
        <f>IF(AND(ISNUMBER(F252),ISNUMBER(F199)),IFERROR(F252/F199,""),"")</f>
        <v>1.14011421245848</v>
      </c>
      <c r="G257" s="215">
        <f>IF(AND(ISNUMBER(G252),ISNUMBER(G199)),IFERROR(G252/G199,""),"")</f>
        <v>0.740920028078832</v>
      </c>
      <c r="H257" s="215">
        <f>IF(AND(ISNUMBER(H252),ISNUMBER(H199)),IFERROR(H252/H199,""),"")</f>
        <v>1.25156942639228</v>
      </c>
      <c r="I257" s="215">
        <f>IF(AND(ISNUMBER(I252),ISNUMBER(I199)),IFERROR(I252/I199,""),"")</f>
        <v>0.976539353018241</v>
      </c>
      <c r="J257" s="215">
        <f>IF(AND(ISNUMBER(J252),ISNUMBER(J199)),IFERROR(J252/J199,""),"")</f>
        <v>1.02506404609294</v>
      </c>
      <c r="K257" s="215">
        <f>IF(AND(ISNUMBER(K252),ISNUMBER(K199)),IFERROR(K252/K199,""),"")</f>
        <v>0.9434633778899</v>
      </c>
      <c r="L257" s="215">
        <f>IF(AND(ISNUMBER(L252),ISNUMBER(L199)),IFERROR(L252/L199,""),"")</f>
        <v>1.1660729882797</v>
      </c>
      <c r="M257" s="215">
        <f>IF(AND(ISNUMBER(M252),ISNUMBER(M199)),IFERROR(M252/M199,""),"")</f>
        <v>-0.13483038241927</v>
      </c>
      <c r="N257" s="215">
        <f>IF(AND(ISNUMBER(N252),ISNUMBER(N199)),IFERROR(N252/N199,""),"")</f>
        <v>2.64318752167193</v>
      </c>
      <c r="O257" s="215">
        <f>IF(AND(ISNUMBER(O252),ISNUMBER(O199)),IFERROR(O252/O199,""),"")</f>
        <v>-0.0038553090818815</v>
      </c>
      <c r="P257" s="215">
        <f>IF(AND(ISNUMBER(P252),ISNUMBER(P199)),IFERROR(P252/P199,""),"")</f>
        <v>1.97308314067688</v>
      </c>
      <c r="Q257" s="215">
        <f>IF(AND(ISNUMBER(Q252),ISNUMBER(Q199)),IFERROR(Q252/Q199,""),"")</f>
        <v>1.15581930432058</v>
      </c>
      <c r="R257" s="215">
        <f>IF(AND(ISNUMBER(R252),ISNUMBER(R199)),IFERROR(R252/R199,""),"")</f>
        <v>-0.393514774700728</v>
      </c>
      <c r="S257" s="215">
        <f>IF(AND(ISNUMBER(S252),ISNUMBER(S199)),IFERROR(S252/S199,""),"")</f>
        <v>1.44407382199247</v>
      </c>
      <c r="T257" s="215">
        <f>IF(AND(ISNUMBER(T252),ISNUMBER(T199)),IFERROR(T252/T199,""),"")</f>
        <v>0.820580845299757</v>
      </c>
      <c r="U257" s="215">
        <f>IF(AND(ISNUMBER(U252),ISNUMBER(U199)),IFERROR(U252/U199,""),"")</f>
        <v>1.58629496590918</v>
      </c>
      <c r="V257" s="215">
        <f>IF(AND(ISNUMBER(V252),ISNUMBER(V199)),IFERROR(V252/V199,""),"")</f>
        <v>0.870516367675205</v>
      </c>
      <c r="W257" s="215">
        <f>IF(AND(ISNUMBER(W252),ISNUMBER(W199)),IFERROR(W252/W199,""),"")</f>
        <v>-0.424848619837665</v>
      </c>
      <c r="X257" s="215">
        <f>IF(AND(ISNUMBER(X252),ISNUMBER(X199)),IFERROR(X252/X199,""),"")</f>
        <v>-0.380346807139521</v>
      </c>
      <c r="Y257" s="215">
        <f>IF(AND(ISNUMBER(Y252),ISNUMBER(Y199)),IFERROR(Y252/Y199,""),"")</f>
        <v>1.14425158570398</v>
      </c>
      <c r="Z257" s="215">
        <f>IF(AND(ISNUMBER(Z252),ISNUMBER(Z199)),IFERROR(Z252/Z199,""),"")</f>
        <v>0.739894816799161</v>
      </c>
      <c r="AA257" s="215">
        <f>IF(AND(ISNUMBER(AA252),ISNUMBER(AA199)),IFERROR(AA252/AA199,""),"")</f>
        <v>0.267243885307352</v>
      </c>
      <c r="AB257" s="215">
        <f>IF(AND(ISNUMBER(AB252),ISNUMBER(AB199)),IFERROR(AB252/AB199,""),"")</f>
        <v>0.109603532077657</v>
      </c>
      <c r="AC257" s="215">
        <f>IF(AND(ISNUMBER(AC252),ISNUMBER(AC199)),IFERROR(AC252/AC199,""),"")</f>
        <v>2.41743272820909</v>
      </c>
      <c r="AD257" s="215">
        <f>IF(AND(ISNUMBER(AD252),ISNUMBER(AD199)),IFERROR(AD252/AD199,""),"")</f>
        <v>0.675056595383434</v>
      </c>
      <c r="AE257" s="215">
        <f>IF(AND(ISNUMBER(AE252),ISNUMBER(AE199)),IFERROR(AE252/AE199,""),"")</f>
        <v>0.957817733990148</v>
      </c>
      <c r="AF257" s="215">
        <f>IF(AND(ISNUMBER(AF252),ISNUMBER(AF199)),IFERROR(AF252/AF199,""),"")</f>
        <v>1.11779141104294</v>
      </c>
      <c r="AG257" s="215">
        <f>IF(AND(ISNUMBER(AG252),ISNUMBER(AG199)),IFERROR(AG252/AG199,""),"")</f>
        <v>0.521739130434783</v>
      </c>
      <c r="AH257" s="215">
        <f>IF(AND(ISNUMBER(AH252),ISNUMBER(AH199)),IFERROR(AH252/AH199,""),"")</f>
        <v>2.15846994535519</v>
      </c>
      <c r="AI257" s="215">
        <f>IF(AND(ISNUMBER(AI252),ISNUMBER(AI199)),IFERROR(AI252/AI199,""),"")</f>
        <v>1.15348837209302</v>
      </c>
      <c r="AJ257" s="215">
        <f>IF(AND(ISNUMBER(AJ252),ISNUMBER(AJ199)),IFERROR(AJ252/AJ199,""),"")</f>
        <v>0.986046511627907</v>
      </c>
      <c r="AK257" s="215">
        <f>IF(AND(ISNUMBER(AK252),ISNUMBER(AK199)),IFERROR(AK252/AK199,""),"")</f>
        <v>1.19322459222083</v>
      </c>
      <c r="AL257" s="215">
        <f>IF(AND(ISNUMBER(AL252),ISNUMBER(AL199)),IFERROR(AL252/AL199,""),"")</f>
        <v>1.20276497695853</v>
      </c>
      <c r="AM257" s="24" t="n"/>
      <c r="AN257" s="24" t="n"/>
      <c r="AO257" s="24" t="n"/>
      <c r="AP257" s="256">
        <f>IF(AND(ISNUMBER(AP252),ISNUMBER(AP199)),IFERROR(AP252/AP199,""),"")</f>
        <v>1.13949802840008</v>
      </c>
      <c r="AQ257" s="256">
        <f>IF(AND(ISNUMBER(AQ252),ISNUMBER(AQ199)),IFERROR(AQ252/AQ199,""),"")</f>
        <v>1.12690061987984</v>
      </c>
      <c r="AR257" s="256">
        <f>IF(AND(ISNUMBER(AR252),ISNUMBER(AR199)),IFERROR(AR252/AR199,""),"")</f>
        <v>1.11469136612007</v>
      </c>
      <c r="AS257" s="256">
        <f>IF(AND(ISNUMBER(AS252),ISNUMBER(AS199)),IFERROR(AS252/AS199,""),"")</f>
        <v>1.11004072230341</v>
      </c>
      <c r="AT257" s="256">
        <f>IF(AND(ISNUMBER(AT252),ISNUMBER(AT199)),IFERROR(AT252/AT199,""),"")</f>
        <v>1.10745459768139</v>
      </c>
      <c r="AU257" s="153" t="n"/>
      <c r="AW257" s="37">
        <f>IFERROR(AVERAGE(AP257,AQ257,AR257,AS257,AT257),"n/m")</f>
        <v>1.11971706687696</v>
      </c>
      <c r="AX257" s="37">
        <f>IFERROR(AVERAGE(Q257,V257,AA257,AF257,AK257),"n/m")</f>
        <v>0.920919112113382</v>
      </c>
      <c r="AY257" s="37">
        <f>IFERROR(AVERAGE(H257,I257,J257,K257,L257,Q257,V257,AA257,AF257,AK257),"n/m")</f>
        <v>0.996730475223996</v>
      </c>
      <c r="AZ257" s="37">
        <f>IFERROR(AVERAGE(C257,D257,E257,F257,G257,H257,I257,J257,K257,L257,Q257,V257,AA257,AF257,AK257),"n/m")</f>
        <v>1.07899265174036</v>
      </c>
    </row>
    <row r="258" ht="15" customHeight="1" s="251">
      <c r="B258" s="25" t="inlineStr">
        <is>
          <t xml:space="preserve">  FCF per diluted share ($)</t>
        </is>
      </c>
      <c r="C258" s="292">
        <f>IF(AND(ISNUMBER(C252),ISNUMBER(C146)),IFERROR(C252/C146,""),"")</f>
        <v>2.01063102485887</v>
      </c>
      <c r="D258" s="292">
        <f>IF(AND(ISNUMBER(D252),ISNUMBER(D146)),IFERROR(D252/D146,""),"")</f>
        <v>2.97912962783319</v>
      </c>
      <c r="E258" s="292">
        <f>IF(AND(ISNUMBER(E252),ISNUMBER(E146)),IFERROR(E252/E146,""),"")</f>
        <v>2.0971936212944</v>
      </c>
      <c r="F258" s="292">
        <f>IF(AND(ISNUMBER(F252),ISNUMBER(F146)),IFERROR(F252/F146,""),"")</f>
        <v>1.82155300252938</v>
      </c>
      <c r="G258" s="292">
        <f>IF(AND(ISNUMBER(G252),ISNUMBER(G146)),IFERROR(G252/G146,""),"")</f>
        <v>1.21961028936468</v>
      </c>
      <c r="H258" s="292">
        <f>IF(AND(ISNUMBER(H252),ISNUMBER(H146)),IFERROR(H252/H146,""),"")</f>
        <v>2.18505264760574</v>
      </c>
      <c r="I258" s="292">
        <f>IF(AND(ISNUMBER(I252),ISNUMBER(I146)),IFERROR(I252/I146,""),"")</f>
        <v>1.96755300652341</v>
      </c>
      <c r="J258" s="292">
        <f>IF(AND(ISNUMBER(J252),ISNUMBER(J146)),IFERROR(J252/J146,""),"")</f>
        <v>2.82858212138888</v>
      </c>
      <c r="K258" s="292">
        <f>IF(AND(ISNUMBER(K252),ISNUMBER(K146)),IFERROR(K252/K146,""),"")</f>
        <v>2.99741284462585</v>
      </c>
      <c r="L258" s="292">
        <f>IF(AND(ISNUMBER(L252),ISNUMBER(L146)),IFERROR(L252/L146,""),"")</f>
        <v>4.55269892076046</v>
      </c>
      <c r="M258" s="292">
        <f>IF(AND(ISNUMBER(M252),ISNUMBER(M146)),IFERROR(M252/M146,""),"")</f>
        <v>-0.144216306922743</v>
      </c>
      <c r="N258" s="292">
        <f>IF(AND(ISNUMBER(N252),ISNUMBER(N146)),IFERROR(N252/N146,""),"")</f>
        <v>3.32362450977774</v>
      </c>
      <c r="O258" s="292">
        <f>IF(AND(ISNUMBER(O252),ISNUMBER(O146)),IFERROR(O252/O146,""),"")</f>
        <v>-0.0039326020530715</v>
      </c>
      <c r="P258" s="292">
        <f>IF(AND(ISNUMBER(P252),ISNUMBER(P146)),IFERROR(P252/P146,""),"")</f>
        <v>1.70170584281573</v>
      </c>
      <c r="Q258" s="292">
        <f>IF(AND(ISNUMBER(Q252),ISNUMBER(Q146)),IFERROR(Q252/Q146,""),"")</f>
        <v>4.86880286249379</v>
      </c>
      <c r="R258" s="292">
        <f>IF(AND(ISNUMBER(R252),ISNUMBER(R146)),IFERROR(R252/R146,""),"")</f>
        <v>-0.446338729294508</v>
      </c>
      <c r="S258" s="292">
        <f>IF(AND(ISNUMBER(S252),ISNUMBER(S146)),IFERROR(S252/S146,""),"")</f>
        <v>1.93420824476173</v>
      </c>
      <c r="T258" s="292">
        <f>IF(AND(ISNUMBER(T252),ISNUMBER(T146)),IFERROR(T252/T146,""),"")</f>
        <v>0.880672705052295</v>
      </c>
      <c r="U258" s="292">
        <f>IF(AND(ISNUMBER(U252),ISNUMBER(U146)),IFERROR(U252/U146,""),"")</f>
        <v>1.60478268999628</v>
      </c>
      <c r="V258" s="292">
        <f>IF(AND(ISNUMBER(V252),ISNUMBER(V146)),IFERROR(V252/V146,""),"")</f>
        <v>3.96855141589245</v>
      </c>
      <c r="W258" s="292">
        <f>IF(AND(ISNUMBER(W252),ISNUMBER(W146)),IFERROR(W252/W146,""),"")</f>
        <v>-0.623580972198317</v>
      </c>
      <c r="X258" s="292">
        <f>IF(AND(ISNUMBER(X252),ISNUMBER(X146)),IFERROR(X252/X146,""),"")</f>
        <v>-0.490592977084474</v>
      </c>
      <c r="Y258" s="292">
        <f>IF(AND(ISNUMBER(Y252),ISNUMBER(Y146)),IFERROR(Y252/Y146,""),"")</f>
        <v>1.61614327025908</v>
      </c>
      <c r="Z258" s="292">
        <f>IF(AND(ISNUMBER(Z252),ISNUMBER(Z146)),IFERROR(Z252/Z146,""),"")</f>
        <v>0.981252526944611</v>
      </c>
      <c r="AA258" s="292">
        <f>IF(AND(ISNUMBER(AA252),ISNUMBER(AA146)),IFERROR(AA252/AA146,""),"")</f>
        <v>1.46877402206978</v>
      </c>
      <c r="AB258" s="292">
        <f>IF(AND(ISNUMBER(AB252),ISNUMBER(AB146)),IFERROR(AB252/AB146,""),"")</f>
        <v>0.151527206973257</v>
      </c>
      <c r="AC258" s="292">
        <f>IF(AND(ISNUMBER(AC252),ISNUMBER(AC146)),IFERROR(AC252/AC146,""),"")</f>
        <v>4.37170668833498</v>
      </c>
      <c r="AD258" s="292">
        <f>IF(AND(ISNUMBER(AD252),ISNUMBER(AD146)),IFERROR(AD252/AD146,""),"")</f>
        <v>1.04416802367501</v>
      </c>
      <c r="AE258" s="292">
        <f>IF(AND(ISNUMBER(AE252),ISNUMBER(AE146)),IFERROR(AE252/AE146,""),"")</f>
        <v>1.54002697116415</v>
      </c>
      <c r="AF258" s="292">
        <f>IF(AND(ISNUMBER(AF252),ISNUMBER(AF146)),IFERROR(AF252/AF146,""),"")</f>
        <v>7.10107599073437</v>
      </c>
      <c r="AG258" s="292">
        <f>IF(AND(ISNUMBER(AG252),ISNUMBER(AG146)),IFERROR(AG252/AG146,""),"")</f>
        <v>0.771235053404412</v>
      </c>
      <c r="AH258" s="292">
        <f>IF(AND(ISNUMBER(AH252),ISNUMBER(AH146)),IFERROR(AH252/AH146,""),"")</f>
        <v>3.21447734189384</v>
      </c>
      <c r="AI258" s="292">
        <f>IF(AND(ISNUMBER(AI252),ISNUMBER(AI146)),IFERROR(AI252/AI146,""),"")</f>
        <v>2.04371695153114</v>
      </c>
      <c r="AJ258" s="292">
        <f>IF(AND(ISNUMBER(AJ252),ISNUMBER(AJ146)),IFERROR(AJ252/AJ146,""),"")</f>
        <v>1.75585718550057</v>
      </c>
      <c r="AK258" s="292">
        <f>IF(AND(ISNUMBER(AK252),ISNUMBER(AK146)),IFERROR(AK252/AK146,""),"")</f>
        <v>7.77118550807754</v>
      </c>
      <c r="AL258" s="292">
        <f>IF(AND(ISNUMBER(AL252),ISNUMBER(AL146)),IFERROR(AL252/AL146,""),"")</f>
        <v>2.17164938026826</v>
      </c>
      <c r="AM258" s="35" t="n"/>
      <c r="AN258" s="35" t="n"/>
      <c r="AO258" s="35" t="n"/>
      <c r="AP258" s="294">
        <f>IF(AND(ISNUMBER(AP252),ISNUMBER(AP146)),IFERROR(AP252/AP146,""),"")</f>
        <v>7.29778491668876</v>
      </c>
      <c r="AQ258" s="294">
        <f>IF(AND(ISNUMBER(AQ252),ISNUMBER(AQ146)),IFERROR(AQ252/AQ146,""),"")</f>
        <v>7.84451976122035</v>
      </c>
      <c r="AR258" s="294">
        <f>IF(AND(ISNUMBER(AR252),ISNUMBER(AR146)),IFERROR(AR252/AR146,""),"")</f>
        <v>8.82496192970158</v>
      </c>
      <c r="AS258" s="294">
        <f>IF(AND(ISNUMBER(AS252),ISNUMBER(AS146)),IFERROR(AS252/AS146,""),"")</f>
        <v>10.0317125998861</v>
      </c>
      <c r="AT258" s="294">
        <f>IF(AND(ISNUMBER(AT252),ISNUMBER(AT146)),IFERROR(AT252/AT146,""),"")</f>
        <v>11.571497556281</v>
      </c>
      <c r="AU258" s="19" t="n"/>
    </row>
    <row r="259" ht="15" customHeight="1" s="251">
      <c r="B259" s="25" t="inlineStr">
        <is>
          <t xml:space="preserve">  FCF / adjusted EBITDA %</t>
        </is>
      </c>
      <c r="C259" s="215">
        <f>IF(AND(ISNUMBER(C252),ISNUMBER(C174)),IFERROR(C252/C174,""),"")</f>
        <v>0.580094660492562</v>
      </c>
      <c r="D259" s="215">
        <f>IF(AND(ISNUMBER(D252),ISNUMBER(D174)),IFERROR(D252/D174,""),"")</f>
        <v>0.816020467592978</v>
      </c>
      <c r="E259" s="215">
        <f>IF(AND(ISNUMBER(E252),ISNUMBER(E174)),IFERROR(E252/E174,""),"")</f>
        <v>0.583884486322917</v>
      </c>
      <c r="F259" s="215">
        <f>IF(AND(ISNUMBER(F252),ISNUMBER(F174)),IFERROR(F252/F174,""),"")</f>
        <v>0.523220653994778</v>
      </c>
      <c r="G259" s="215">
        <f>IF(AND(ISNUMBER(G252),ISNUMBER(G174)),IFERROR(G252/G174,""),"")</f>
        <v>0.360782027977555</v>
      </c>
      <c r="H259" s="215">
        <f>IF(AND(ISNUMBER(H252),ISNUMBER(H174)),IFERROR(H252/H174,""),"")</f>
        <v>0.600129764504839</v>
      </c>
      <c r="I259" s="215">
        <f>IF(AND(ISNUMBER(I252),ISNUMBER(I174)),IFERROR(I252/I174,""),"")</f>
        <v>0.497068433984621</v>
      </c>
      <c r="J259" s="215">
        <f>IF(AND(ISNUMBER(J252),ISNUMBER(J174)),IFERROR(J252/J174,""),"")</f>
        <v>0.600224716103221</v>
      </c>
      <c r="K259" s="215">
        <f>IF(AND(ISNUMBER(K252),ISNUMBER(K174)),IFERROR(K252/K174,""),"")</f>
        <v>0.561415723125317</v>
      </c>
      <c r="L259" s="215">
        <f>IF(AND(ISNUMBER(L252),ISNUMBER(L174)),IFERROR(L252/L174,""),"")</f>
        <v>0.752046627619767</v>
      </c>
      <c r="M259" s="215">
        <f>IF(AND(ISNUMBER(M252),ISNUMBER(M174)),IFERROR(M252/M174,""),"")</f>
        <v>-0.0825988183371896</v>
      </c>
      <c r="N259" s="215">
        <f>IF(AND(ISNUMBER(N252),ISNUMBER(N174)),IFERROR(N252/N174,""),"")</f>
        <v>1.66787564574688</v>
      </c>
      <c r="O259" s="215">
        <f>IF(AND(ISNUMBER(O252),ISNUMBER(O174)),IFERROR(O252/O174,""),"")</f>
        <v>-0.00237694364662771</v>
      </c>
      <c r="P259" s="215">
        <f>IF(AND(ISNUMBER(P252),ISNUMBER(P174)),IFERROR(P252/P174,""),"")</f>
        <v>1.10739355033829</v>
      </c>
      <c r="Q259" s="215">
        <f>IF(AND(ISNUMBER(Q252),ISNUMBER(Q174)),IFERROR(Q252/Q174,""),"")</f>
        <v>0.702261678744284</v>
      </c>
      <c r="R259" s="215">
        <f>IF(AND(ISNUMBER(R252),ISNUMBER(R174)),IFERROR(R252/R174,""),"")</f>
        <v>-0.235045391379399</v>
      </c>
      <c r="S259" s="215">
        <f>IF(AND(ISNUMBER(S252),ISNUMBER(S174)),IFERROR(S252/S174,""),"")</f>
        <v>0.897819153400666</v>
      </c>
      <c r="T259" s="215">
        <f>IF(AND(ISNUMBER(T252),ISNUMBER(T174)),IFERROR(T252/T174,""),"")</f>
        <v>0.47899545249703</v>
      </c>
      <c r="U259" s="215">
        <f>IF(AND(ISNUMBER(U252),ISNUMBER(U174)),IFERROR(U252/U174,""),"")</f>
        <v>0.917761935623245</v>
      </c>
      <c r="V259" s="215">
        <f>IF(AND(ISNUMBER(V252),ISNUMBER(V174)),IFERROR(V252/V174,""),"")</f>
        <v>0.519386824315996</v>
      </c>
      <c r="W259" s="215">
        <f>IF(AND(ISNUMBER(W252),ISNUMBER(W174)),IFERROR(W252/W174,""),"")</f>
        <v>-0.267178307805568</v>
      </c>
      <c r="X259" s="215">
        <f>IF(AND(ISNUMBER(X252),ISNUMBER(X174)),IFERROR(X252/X174,""),"")</f>
        <v>-0.221356290278738</v>
      </c>
      <c r="Y259" s="215">
        <f>IF(AND(ISNUMBER(Y252),ISNUMBER(Y174)),IFERROR(Y252/Y174,""),"")</f>
        <v>0.725644563575491</v>
      </c>
      <c r="Z259" s="215">
        <f>IF(AND(ISNUMBER(Z252),ISNUMBER(Z174)),IFERROR(Z252/Z174,""),"")</f>
        <v>0.444882576074527</v>
      </c>
      <c r="AA259" s="215">
        <f>IF(AND(ISNUMBER(AA252),ISNUMBER(AA174)),IFERROR(AA252/AA174,""),"")</f>
        <v>0.163513646916253</v>
      </c>
      <c r="AB259" s="215">
        <f>IF(AND(ISNUMBER(AB252),ISNUMBER(AB174)),IFERROR(AB252/AB174,""),"")</f>
        <v>0.0651934177366101</v>
      </c>
      <c r="AC259" s="215">
        <f>IF(AND(ISNUMBER(AC252),ISNUMBER(AC174)),IFERROR(AC252/AC174,""),"")</f>
        <v>1.54770160736365</v>
      </c>
      <c r="AD259" s="215">
        <f>IF(AND(ISNUMBER(AD252),ISNUMBER(AD174)),IFERROR(AD252/AD174,""),"")</f>
        <v>0.402720961289759</v>
      </c>
      <c r="AE259" s="215">
        <f>IF(AND(ISNUMBER(AE252),ISNUMBER(AE174)),IFERROR(AE252/AE174,""),"")</f>
        <v>0.615306962025316</v>
      </c>
      <c r="AF259" s="215">
        <f>IF(AND(ISNUMBER(AF252),ISNUMBER(AF174)),IFERROR(AF252/AF174,""),"")</f>
        <v>0.69277566539924</v>
      </c>
      <c r="AG259" s="215">
        <f>IF(AND(ISNUMBER(AG252),ISNUMBER(AG174)),IFERROR(AG252/AG174,""),"")</f>
        <v>0.308681672025724</v>
      </c>
      <c r="AH259" s="215">
        <f>IF(AND(ISNUMBER(AH252),ISNUMBER(AH174)),IFERROR(AH252/AH174,""),"")</f>
        <v>1.21913580246914</v>
      </c>
      <c r="AI259" s="215">
        <f>IF(AND(ISNUMBER(AI252),ISNUMBER(AI174)),IFERROR(AI252/AI174,""),"")</f>
        <v>0.870175438596491</v>
      </c>
      <c r="AJ259" s="215">
        <f>IF(AND(ISNUMBER(AJ252),ISNUMBER(AJ174)),IFERROR(AJ252/AJ174,""),"")</f>
        <v>0.686084142394822</v>
      </c>
      <c r="AK259" s="215">
        <f>IF(AND(ISNUMBER(AK252),ISNUMBER(AK174)),IFERROR(AK252/AK174,""),"")</f>
        <v>0.77379983726607</v>
      </c>
      <c r="AL259" s="215">
        <f>IF(AND(ISNUMBER(AL252),ISNUMBER(AL174)),IFERROR(AL252/AL174,""),"")</f>
        <v>0.781437125748503</v>
      </c>
      <c r="AM259" s="24" t="n"/>
      <c r="AN259" s="24" t="n"/>
      <c r="AO259" s="24" t="n"/>
      <c r="AP259" s="256">
        <f>IF(AND(ISNUMBER(AP252),ISNUMBER(AP174)),IFERROR(AP252/AP174,""),"")</f>
        <v>0.677140913342971</v>
      </c>
      <c r="AQ259" s="256">
        <f>IF(AND(ISNUMBER(AQ252),ISNUMBER(AQ174)),IFERROR(AQ252/AQ174,""),"")</f>
        <v>0.661465858323261</v>
      </c>
      <c r="AR259" s="256">
        <f>IF(AND(ISNUMBER(AR252),ISNUMBER(AR174)),IFERROR(AR252/AR174,""),"")</f>
        <v>0.653924711559562</v>
      </c>
      <c r="AS259" s="256">
        <f>IF(AND(ISNUMBER(AS252),ISNUMBER(AS174)),IFERROR(AS252/AS174,""),"")</f>
        <v>0.64748711611615</v>
      </c>
      <c r="AT259" s="256">
        <f>IF(AND(ISNUMBER(AT252),ISNUMBER(AT174)),IFERROR(AT252/AT174,""),"")</f>
        <v>0.643659792605902</v>
      </c>
      <c r="AU259" s="153" t="n"/>
      <c r="AW259" s="37">
        <f>IFERROR(AVERAGE(AP259,AQ259,AR259,AS259,AT259),"n/m")</f>
        <v>0.65673567838957</v>
      </c>
      <c r="AX259" s="37">
        <f>IFERROR(AVERAGE(Q259,V259,AA259,AF259,AK259),"n/m")</f>
        <v>0.570347530528369</v>
      </c>
      <c r="AY259" s="37">
        <f>IFERROR(AVERAGE(H259,I259,J259,K259,L259,Q259,V259,AA259,AF259,AK259),"n/m")</f>
        <v>0.586262291797961</v>
      </c>
      <c r="AZ259" s="37">
        <f>IFERROR(AVERAGE(C259,D259,E259,F259,G259,H259,I259,J259,K259,L259,Q259,V259,AA259,AF259,AK259),"n/m")</f>
        <v>0.581775014290693</v>
      </c>
    </row>
    <row r="260" ht="15" customHeight="1" s="251">
      <c r="B260" s="25" t="inlineStr">
        <is>
          <t>Capex ratios</t>
        </is>
      </c>
      <c r="AU260" s="153" t="n"/>
    </row>
    <row r="261" ht="15" customHeight="1" s="251">
      <c r="B261" s="25" t="inlineStr">
        <is>
          <t xml:space="preserve">  Capex % of revenue</t>
        </is>
      </c>
      <c r="C261" s="215">
        <f>IF(ISNUMBER(C236),IFERROR(-C236/C120,""),"")</f>
        <v>0.0131288851174338</v>
      </c>
      <c r="D261" s="215">
        <f>IF(ISNUMBER(D236),IFERROR(-D236/D120,""),"")</f>
        <v>0.00575072259593033</v>
      </c>
      <c r="E261" s="215">
        <f>IF(ISNUMBER(E236),IFERROR(-E236/E120,""),"")</f>
        <v>0.00381569107814583</v>
      </c>
      <c r="F261" s="215">
        <f>IF(ISNUMBER(F236),IFERROR(-F236/F120,""),"")</f>
        <v>0.00683271498093756</v>
      </c>
      <c r="G261" s="215">
        <f>IF(ISNUMBER(G236),IFERROR(-G236/G120,""),"")</f>
        <v>0.0123267165371315</v>
      </c>
      <c r="H261" s="215">
        <f>IF(ISNUMBER(H236),IFERROR(-H236/H120,""),"")</f>
        <v>0.00928951788024156</v>
      </c>
      <c r="I261" s="215">
        <f>IF(ISNUMBER(I236),IFERROR(-I236/I120,""),"")</f>
        <v>0.0127088250481662</v>
      </c>
      <c r="J261" s="215">
        <f>IF(ISNUMBER(J236),IFERROR(-J236/J120,""),"")</f>
        <v>0.0141229829131313</v>
      </c>
      <c r="K261" s="215">
        <f>IF(ISNUMBER(K236),IFERROR(-K236/K120,""),"")</f>
        <v>0.0171599314615625</v>
      </c>
      <c r="L261" s="215">
        <f>IF(ISNUMBER(L236),IFERROR(-L236/L120,""),"")</f>
        <v>0.0110969192020601</v>
      </c>
      <c r="M261" s="215">
        <f>IF(ISNUMBER(M236),IFERROR(-M236/M120,""),"")</f>
        <v>0.0045287587239438</v>
      </c>
      <c r="N261" s="215">
        <f>IF(ISNUMBER(N236),IFERROR(-N236/N120,""),"")</f>
        <v>0.00981321324686449</v>
      </c>
      <c r="O261" s="215">
        <f>IF(ISNUMBER(O236),IFERROR(-O236/O120,""),"")</f>
        <v>0.0108016665681697</v>
      </c>
      <c r="P261" s="215">
        <f>IF(ISNUMBER(P236),IFERROR(-P236/P120,""),"")</f>
        <v>0.0126698110341204</v>
      </c>
      <c r="Q261" s="215">
        <f>IF(ISNUMBER(Q236),IFERROR(-Q236/Q120,""),"")</f>
        <v>0.00956084029795425</v>
      </c>
      <c r="R261" s="215">
        <f>IF(ISNUMBER(R236),IFERROR(-R236/R120,""),"")</f>
        <v>0.0061050853485064</v>
      </c>
      <c r="S261" s="215">
        <f>IF(ISNUMBER(S236),IFERROR(-S236/S120,""),"")</f>
        <v>0.00695962028311735</v>
      </c>
      <c r="T261" s="215">
        <f>IF(ISNUMBER(T236),IFERROR(-T236/T120,""),"")</f>
        <v>0.00951396397306368</v>
      </c>
      <c r="U261" s="215">
        <f>IF(ISNUMBER(U236),IFERROR(-U236/U120,""),"")</f>
        <v>0.0101641377558758</v>
      </c>
      <c r="V261" s="215">
        <f>IF(ISNUMBER(V236),IFERROR(-V236/V120,""),"")</f>
        <v>0.00822234925900033</v>
      </c>
      <c r="W261" s="215">
        <f>IF(ISNUMBER(W236),IFERROR(-W236/W120,""),"")</f>
        <v>0.00395104739674649</v>
      </c>
      <c r="X261" s="215">
        <f>IF(ISNUMBER(X236),IFERROR(-X236/X120,""),"")</f>
        <v>0.00635641691313972</v>
      </c>
      <c r="Y261" s="215">
        <f>IF(ISNUMBER(Y236),IFERROR(-Y236/Y120,""),"")</f>
        <v>0.00898746634467027</v>
      </c>
      <c r="Z261" s="215">
        <f>IF(ISNUMBER(Z236),IFERROR(-Z236/Z120,""),"")</f>
        <v>0.00583366740915092</v>
      </c>
      <c r="AA261" s="215">
        <f>IF(ISNUMBER(AA236),IFERROR(-AA236/AA120,""),"")</f>
        <v>0.0062558291695961</v>
      </c>
      <c r="AB261" s="215">
        <f>IF(ISNUMBER(AB236),IFERROR(-AB236/AB120,""),"")</f>
        <v>0.011027953322408</v>
      </c>
      <c r="AC261" s="215">
        <f>IF(ISNUMBER(AC236),IFERROR(-AC236/AC120,""),"")</f>
        <v>0.00756582313803837</v>
      </c>
      <c r="AD261" s="215">
        <f>IF(ISNUMBER(AD236),IFERROR(-AD236/AD120,""),"")</f>
        <v>0.00588957181397167</v>
      </c>
      <c r="AE261" s="215">
        <f>IF(ISNUMBER(AE236),IFERROR(-AE236/AE120,""),"")</f>
        <v>0.00826227303295225</v>
      </c>
      <c r="AF261" s="215">
        <f>IF(ISNUMBER(AF236),IFERROR(-AF236/AF120,""),"")</f>
        <v>0.00818030050083472</v>
      </c>
      <c r="AG261" s="215">
        <f>IF(ISNUMBER(AG236),IFERROR(-AG236/AG120,""),"")</f>
        <v>0.00786593707250342</v>
      </c>
      <c r="AH261" s="215">
        <f>IF(ISNUMBER(AH236),IFERROR(-AH236/AH120,""),"")</f>
        <v>0.00899653979238754</v>
      </c>
      <c r="AI261" s="215">
        <f>IF(ISNUMBER(AI236),IFERROR(-AI236/AI120,""),"")</f>
        <v>0.0049618320610687</v>
      </c>
      <c r="AJ261" s="215">
        <f>IF(ISNUMBER(AJ236),IFERROR(-AJ236/AJ120,""),"")</f>
        <v>0.0100610851598994</v>
      </c>
      <c r="AK261" s="215">
        <f>IF(ISNUMBER(AK236),IFERROR(-AK236/AK120,""),"")</f>
        <v>0.00802353570473389</v>
      </c>
      <c r="AL261" s="215">
        <f>IF(ISNUMBER(AL236),IFERROR(-AL236/AL120,""),"")</f>
        <v>0.00714285714285714</v>
      </c>
      <c r="AM261" s="24" t="n"/>
      <c r="AN261" s="24" t="n"/>
      <c r="AO261" s="24" t="n"/>
      <c r="AP261" s="256">
        <f>IF(ISNUMBER(AP236),IFERROR(-AP236/AP120,""),"")</f>
        <v>0.0190331321005847</v>
      </c>
      <c r="AQ261" s="264" t="n">
        <v>0.008999999999999999</v>
      </c>
      <c r="AR261" s="264" t="n">
        <v>0.008999999999999999</v>
      </c>
      <c r="AS261" s="264" t="n">
        <v>0.008999999999999999</v>
      </c>
      <c r="AT261" s="264" t="n">
        <v>0.008999999999999999</v>
      </c>
      <c r="AU261" s="153" t="inlineStr">
        <is>
          <t>2028E+ input: headquarters build-out complete in FY27; FY2022–26 range 0.8–1.0% of revenue.</t>
        </is>
      </c>
      <c r="AW261" s="37">
        <f>IFERROR(AVERAGE(AP261,AQ261,AR261,AS261,AT261),"n/m")</f>
        <v>0.0110066264201169</v>
      </c>
      <c r="AX261" s="37">
        <f>IFERROR(AVERAGE(Q261,V261,AA261,AF261,AK261),"n/m")</f>
        <v>0.00804857098642386</v>
      </c>
      <c r="AY261" s="37">
        <f>IFERROR(AVERAGE(H261,I261,J261,K261,L261,Q261,V261,AA261,AF261,AK261),"n/m")</f>
        <v>0.0104621031437281</v>
      </c>
      <c r="AZ261" s="37">
        <f>IFERROR(AVERAGE(C261,D261,E261,F261,G261,H261,I261,J261,K261,L261,Q261,V261,AA261,AF261,AK261),"n/m")</f>
        <v>0.009765050783124</v>
      </c>
    </row>
    <row r="262" ht="15" customHeight="1" s="251">
      <c r="B262" s="25" t="inlineStr">
        <is>
          <t xml:space="preserve">  Capex / depreciation &amp; other amortization (x)</t>
        </is>
      </c>
      <c r="C262" s="274">
        <f>IF(ISNUMBER(C236),IFERROR(-C236/C104,""),"")</f>
        <v>1.30733672099386</v>
      </c>
      <c r="D262" s="274">
        <f>IF(ISNUMBER(D236),IFERROR(-D236/D104,""),"")</f>
        <v>0.538431519211695</v>
      </c>
      <c r="E262" s="274">
        <f>IF(ISNUMBER(E236),IFERROR(-E236/E104,""),"")</f>
        <v>0.327269596255303</v>
      </c>
      <c r="F262" s="274">
        <f>IF(ISNUMBER(F236),IFERROR(-F236/F104,""),"")</f>
        <v>0.616770770942072</v>
      </c>
      <c r="G262" s="274">
        <f>IF(ISNUMBER(G236),IFERROR(-G236/G104,""),"")</f>
        <v>1.16269128090593</v>
      </c>
      <c r="H262" s="274">
        <f>IF(ISNUMBER(H236),IFERROR(-H236/H104,""),"")</f>
        <v>0.97469223955603</v>
      </c>
      <c r="I262" s="274">
        <f>IF(ISNUMBER(I236),IFERROR(-I236/I104,""),"")</f>
        <v>1.21126999814689</v>
      </c>
      <c r="J262" s="274">
        <f>IF(ISNUMBER(J236),IFERROR(-J236/J104,""),"")</f>
        <v>1.38069267225665</v>
      </c>
      <c r="K262" s="274">
        <f>IF(ISNUMBER(K236),IFERROR(-K236/K104,""),"")</f>
        <v>1.57964257964258</v>
      </c>
      <c r="L262" s="274">
        <f>IF(ISNUMBER(L236),IFERROR(-L236/L104,""),"")</f>
        <v>1.03433552748621</v>
      </c>
      <c r="M262" s="274">
        <f>IF(ISNUMBER(M236),IFERROR(-M236/M104,""),"")</f>
        <v>0.359070434886595</v>
      </c>
      <c r="N262" s="274">
        <f>IF(ISNUMBER(N236),IFERROR(-N236/N104,""),"")</f>
        <v>0.803100955933784</v>
      </c>
      <c r="O262" s="274">
        <f>IF(ISNUMBER(O236),IFERROR(-O236/O104,""),"")</f>
        <v>0.79203380037556</v>
      </c>
      <c r="P262" s="274">
        <f>IF(ISNUMBER(P236),IFERROR(-P236/P104,""),"")</f>
        <v>0.979854176025433</v>
      </c>
      <c r="Q262" s="274">
        <f>IF(ISNUMBER(Q236),IFERROR(-Q236/Q104,""),"")</f>
        <v>0.74418344935413</v>
      </c>
      <c r="R262" s="274">
        <f>IF(ISNUMBER(R236),IFERROR(-R236/R104,""),"")</f>
        <v>0.473341375150784</v>
      </c>
      <c r="S262" s="274">
        <f>IF(ISNUMBER(S236),IFERROR(-S236/S104,""),"")</f>
        <v>0.572143751117468</v>
      </c>
      <c r="T262" s="274">
        <f>IF(ISNUMBER(T236),IFERROR(-T236/T104,""),"")</f>
        <v>0.775237072821614</v>
      </c>
      <c r="U262" s="274">
        <f>IF(ISNUMBER(U236),IFERROR(-U236/U104,""),"")</f>
        <v>0.852651175618837</v>
      </c>
      <c r="V262" s="274">
        <f>IF(ISNUMBER(V236),IFERROR(-V236/V104,""),"")</f>
        <v>0.668211461323081</v>
      </c>
      <c r="W262" s="274">
        <f>IF(ISNUMBER(W236),IFERROR(-W236/W104,""),"")</f>
        <v>0.364939629075472</v>
      </c>
      <c r="X262" s="274">
        <f>IF(ISNUMBER(X236),IFERROR(-X236/X104,""),"")</f>
        <v>0.620555819999268</v>
      </c>
      <c r="Y262" s="274">
        <f>IF(ISNUMBER(Y236),IFERROR(-Y236/Y104,""),"")</f>
        <v>0.839366186945777</v>
      </c>
      <c r="Z262" s="274">
        <f>IF(ISNUMBER(Z236),IFERROR(-Z236/Z104,""),"")</f>
        <v>0.604622461572983</v>
      </c>
      <c r="AA262" s="274">
        <f>IF(ISNUMBER(AA236),IFERROR(-AA236/AA104,""),"")</f>
        <v>0.604672456620673</v>
      </c>
      <c r="AB262" s="274">
        <f>IF(ISNUMBER(AB236),IFERROR(-AB236/AB104,""),"")</f>
        <v>1.14051678678151</v>
      </c>
      <c r="AC262" s="274">
        <f>IF(ISNUMBER(AC236),IFERROR(-AC236/AC104,""),"")</f>
        <v>0.828576400974591</v>
      </c>
      <c r="AD262" s="274">
        <f>IF(ISNUMBER(AD236),IFERROR(-AD236/AD104,""),"")</f>
        <v>0.641800522973478</v>
      </c>
      <c r="AE262" s="274">
        <f>IF(ISNUMBER(AE236),IFERROR(-AE236/AE104,""),"")</f>
        <v>0.847310344827586</v>
      </c>
      <c r="AF262" s="274">
        <f>IF(ISNUMBER(AF236),IFERROR(-AF236/AF104,""),"")</f>
        <v>0.882882882882883</v>
      </c>
      <c r="AG262" s="274">
        <f>IF(ISNUMBER(AG236),IFERROR(-AG236/AG104,""),"")</f>
        <v>0.821428571428571</v>
      </c>
      <c r="AH262" s="274">
        <f>IF(ISNUMBER(AH236),IFERROR(-AH236/AH104,""),"")</f>
        <v>0.896551724137931</v>
      </c>
      <c r="AI262" s="274">
        <f>IF(ISNUMBER(AI236),IFERROR(-AI236/AI104,""),"")</f>
        <v>0.464285714285714</v>
      </c>
      <c r="AJ262" s="274">
        <f>IF(ISNUMBER(AJ236),IFERROR(-AJ236/AJ104,""),"")</f>
        <v>0.933333333333333</v>
      </c>
      <c r="AK262" s="274">
        <f>IF(ISNUMBER(AK236),IFERROR(-AK236/AK104,""),"")</f>
        <v>0.782608695652174</v>
      </c>
      <c r="AL262" s="274">
        <f>IF(ISNUMBER(AL236),IFERROR(-AL236/AL104,""),"")</f>
        <v>0.666666666666667</v>
      </c>
      <c r="AM262" s="35" t="n"/>
      <c r="AN262" s="35" t="n"/>
      <c r="AO262" s="35" t="n"/>
      <c r="AP262" s="276">
        <f>IF(ISNUMBER(AP236),IFERROR(-AP236/AP104,""),"")</f>
        <v>1.83333333333333</v>
      </c>
      <c r="AQ262" s="276">
        <f>IF(ISNUMBER(AQ236),IFERROR(-AQ236/AQ104,""),"")</f>
        <v>0.9</v>
      </c>
      <c r="AR262" s="276">
        <f>IF(ISNUMBER(AR236),IFERROR(-AR236/AR104,""),"")</f>
        <v>0.9</v>
      </c>
      <c r="AS262" s="276">
        <f>IF(ISNUMBER(AS236),IFERROR(-AS236/AS104,""),"")</f>
        <v>0.9</v>
      </c>
      <c r="AT262" s="276">
        <f>IF(ISNUMBER(AT236),IFERROR(-AT236/AT104,""),"")</f>
        <v>0.9</v>
      </c>
      <c r="AU262" s="19" t="n"/>
    </row>
    <row r="263" ht="15" customHeight="1" s="251">
      <c r="BC263" s="11" t="n"/>
      <c r="BD263" s="12" t="n"/>
      <c r="BE263" s="12" t="n"/>
      <c r="BF263" s="12" t="n"/>
      <c r="BG263" s="13" t="n"/>
    </row>
    <row r="264" ht="15" customHeight="1" s="251">
      <c r="B264" s="10" t="inlineStr">
        <is>
          <t>SHARE BUYBACK SCHEDULE</t>
        </is>
      </c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inlineStr">
        <is>
          <t>SHARES — 2027E = Q2–Q4 from Class A shares outstanding at 30-Jun-2026; 2028E+ buybacks via the leverage plug</t>
        </is>
      </c>
    </row>
    <row r="265" ht="15" customHeight="1" s="251">
      <c r="B265" s="25" t="inlineStr">
        <is>
          <t xml:space="preserve">  Avg buyback price ($)</t>
        </is>
      </c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  <c r="AA265" s="34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5" t="n"/>
      <c r="AN265" s="35" t="n"/>
      <c r="AO265" s="35" t="n"/>
      <c r="AP265" s="317">
        <f>AP385</f>
        <v>75</v>
      </c>
      <c r="AQ265" s="317">
        <f>AP265*(1+AQ330)</f>
        <v>80.25</v>
      </c>
      <c r="AR265" s="317">
        <f>AQ265*(1+AR330)</f>
        <v>85.8675</v>
      </c>
      <c r="AS265" s="317">
        <f>AR265*(1+AS330)</f>
        <v>91.878225</v>
      </c>
      <c r="AT265" s="317">
        <f>AS265*(1+AT330)</f>
        <v>98.30970075</v>
      </c>
      <c r="AU265" s="19" t="n"/>
    </row>
    <row r="266" ht="15" customHeight="1" s="251">
      <c r="B266" s="25" t="inlineStr">
        <is>
          <t xml:space="preserve">  Buyback cash deployed (USDm; 2027E = Q2–Q4)</t>
        </is>
      </c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  <c r="AA266" s="34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5" t="n"/>
      <c r="AN266" s="35" t="n"/>
      <c r="AO266" s="35" t="n"/>
      <c r="AP266" s="273">
        <f>CHOOSE(MATCH($AU$2,{"Bull","Base","Bear"},0),$BD$16,$BE$16,$BF$16)</f>
        <v>150</v>
      </c>
      <c r="AQ266" s="273">
        <f>-AQ240</f>
        <v>758.009537927119</v>
      </c>
      <c r="AR266" s="273">
        <f>-AR240</f>
        <v>782.655535506648</v>
      </c>
      <c r="AS266" s="273">
        <f>-AS240</f>
        <v>864.343739012234</v>
      </c>
      <c r="AT266" s="273">
        <f>-AT240</f>
        <v>948.76268092131</v>
      </c>
      <c r="AU266" s="19" t="n"/>
    </row>
    <row r="267" ht="15" customHeight="1" s="251">
      <c r="B267" s="25" t="inlineStr">
        <is>
          <t xml:space="preserve">  Implied shares repurchased (m)</t>
        </is>
      </c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  <c r="AA267" s="34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5" t="n"/>
      <c r="AN267" s="35" t="n"/>
      <c r="AO267" s="35" t="n"/>
      <c r="AP267" s="317">
        <f>IFERROR(AP266/AP265,0)</f>
        <v>2</v>
      </c>
      <c r="AQ267" s="317">
        <f>IFERROR(AQ266/AQ265,0)</f>
        <v>9.44560171871799</v>
      </c>
      <c r="AR267" s="317">
        <f>IFERROR(AR266/AR265,0)</f>
        <v>9.11468874145221</v>
      </c>
      <c r="AS267" s="317">
        <f>IFERROR(AS266/AS265,0)</f>
        <v>9.40749278746116</v>
      </c>
      <c r="AT267" s="317">
        <f>IFERROR(AT266/AT265,0)</f>
        <v>9.65075342192322</v>
      </c>
      <c r="AU267" s="19" t="n"/>
    </row>
    <row r="268" ht="15" customHeight="1" s="251">
      <c r="B268" s="25" t="inlineStr">
        <is>
          <t xml:space="preserve">  Shares issued under equity plans (m)</t>
        </is>
      </c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24" t="n"/>
      <c r="AN268" s="24" t="n"/>
      <c r="AO268" s="24" t="n"/>
      <c r="AP268" s="318" t="n">
        <v>0.6</v>
      </c>
      <c r="AQ268" s="318" t="n">
        <v>1.2</v>
      </c>
      <c r="AR268" s="318" t="n">
        <v>1.2</v>
      </c>
      <c r="AS268" s="318" t="n">
        <v>1.2</v>
      </c>
      <c r="AT268" s="318" t="n">
        <v>1.2</v>
      </c>
      <c r="AU268" s="19" t="n"/>
    </row>
    <row r="269" ht="15" customHeight="1" s="251">
      <c r="B269" s="25" t="inlineStr">
        <is>
          <t xml:space="preserve">  Beginning shares outstanding (m)</t>
        </is>
      </c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5" t="n"/>
      <c r="AN269" s="35" t="n"/>
      <c r="AO269" s="35" t="n"/>
      <c r="AP269" s="254">
        <f>AL304</f>
        <v>120.284257</v>
      </c>
      <c r="AQ269" s="254">
        <f>AP270</f>
        <v>118.884257</v>
      </c>
      <c r="AR269" s="254">
        <f>AQ270</f>
        <v>110.638655281282</v>
      </c>
      <c r="AS269" s="254">
        <f>AR270</f>
        <v>102.72396653983</v>
      </c>
      <c r="AT269" s="254">
        <f>AS270</f>
        <v>94.5164737523686</v>
      </c>
      <c r="AU269" s="19" t="inlineStr">
        <is>
          <t>2027E begins from Class A shares outstanding at 30-Jun-2026 (120.28m, Q1 FY27 10-Q cover / balance sheet).</t>
        </is>
      </c>
    </row>
    <row r="270" ht="15" customHeight="1" s="251">
      <c r="B270" s="25" t="inlineStr">
        <is>
          <t xml:space="preserve">  Ending shares outstanding (m)</t>
        </is>
      </c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5" t="n"/>
      <c r="AN270" s="35" t="n"/>
      <c r="AO270" s="35" t="n"/>
      <c r="AP270" s="254">
        <f>AP269-AP267+AP268</f>
        <v>118.884257</v>
      </c>
      <c r="AQ270" s="254">
        <f>AQ269-AQ267+AQ268</f>
        <v>110.638655281282</v>
      </c>
      <c r="AR270" s="254">
        <f>AR269-AR267+AR268</f>
        <v>102.72396653983</v>
      </c>
      <c r="AS270" s="254">
        <f>AS269-AS267+AS268</f>
        <v>94.5164737523686</v>
      </c>
      <c r="AT270" s="254">
        <f>AT269-AT267+AT268</f>
        <v>86.0657203304454</v>
      </c>
      <c r="AU270" s="19" t="n"/>
    </row>
    <row r="271" ht="15" customHeight="1" s="251">
      <c r="B271" s="25" t="inlineStr">
        <is>
          <t xml:space="preserve">  % of shares repurchased</t>
        </is>
      </c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24" t="n"/>
      <c r="AN271" s="24" t="n"/>
      <c r="AO271" s="24" t="n"/>
      <c r="AP271" s="256">
        <f>IF(AND(ISNUMBER(AP267),ISNUMBER(AP269)),IFERROR(AP267/AP269,""),"")</f>
        <v>0.0166272798276503</v>
      </c>
      <c r="AQ271" s="256">
        <f>IF(AND(ISNUMBER(AQ267),ISNUMBER(AQ269)),IFERROR(AQ267/AQ269,""),"")</f>
        <v>0.0794520818573816</v>
      </c>
      <c r="AR271" s="256">
        <f>IF(AND(ISNUMBER(AR267),ISNUMBER(AR269)),IFERROR(AR267/AR269,""),"")</f>
        <v>0.0823824974940223</v>
      </c>
      <c r="AS271" s="256">
        <f>IF(AND(ISNUMBER(AS267),ISNUMBER(AS269)),IFERROR(AS267/AS269,""),"")</f>
        <v>0.0915803108499859</v>
      </c>
      <c r="AT271" s="256">
        <f>IF(AND(ISNUMBER(AT267),ISNUMBER(AT269)),IFERROR(AT267/AT269,""),"")</f>
        <v>0.102106575063391</v>
      </c>
      <c r="AU271" s="153" t="n"/>
    </row>
    <row r="272" ht="15" customHeight="1" s="251">
      <c r="B272" s="156" t="inlineStr">
        <is>
          <t xml:space="preserve">  Memo: cumulative shares repurchased since Q2/27 (m)</t>
        </is>
      </c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153" t="n"/>
      <c r="AN272" s="153" t="n"/>
      <c r="AO272" s="153" t="n"/>
      <c r="AP272" s="286">
        <f>AP267</f>
        <v>2</v>
      </c>
      <c r="AQ272" s="286">
        <f>AP272+AQ267</f>
        <v>11.445601718718</v>
      </c>
      <c r="AR272" s="286">
        <f>AQ272+AR267</f>
        <v>20.5602904601702</v>
      </c>
      <c r="AS272" s="286">
        <f>AR272+AS267</f>
        <v>29.9677832476314</v>
      </c>
      <c r="AT272" s="286">
        <f>AS272+AT267</f>
        <v>39.6185366695546</v>
      </c>
      <c r="AU272" s="153" t="n"/>
    </row>
    <row r="273" ht="15" customHeight="1" s="251">
      <c r="BC273" s="11" t="n"/>
      <c r="BD273" s="12" t="n"/>
      <c r="BE273" s="12" t="n"/>
      <c r="BF273" s="12" t="n"/>
      <c r="BG273" s="13" t="n"/>
    </row>
    <row r="274" ht="15" customHeight="1" s="251">
      <c r="B274" s="10" t="inlineStr">
        <is>
          <t>CONSOLIDATED BALANCE SHEET (condensed, as in the releases)</t>
        </is>
      </c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inlineStr">
        <is>
          <t>BS FORECAST — 2027E rolled forward from the 30-Jun-2026 balance sheet + Q2–Q4 flows; 2028E+ from prior year end</t>
        </is>
      </c>
    </row>
    <row r="275" ht="15" customHeight="1" s="251">
      <c r="B275" s="25" t="inlineStr">
        <is>
          <t>ASSETS</t>
        </is>
      </c>
      <c r="AU275" s="153" t="n"/>
    </row>
    <row r="276" ht="15" customHeight="1" s="251">
      <c r="B276" s="25" t="inlineStr">
        <is>
          <t xml:space="preserve">  Cash and cash equivalents</t>
        </is>
      </c>
      <c r="C276" s="253" t="n">
        <v>484.368</v>
      </c>
      <c r="D276" s="253" t="n">
        <v>350.384</v>
      </c>
      <c r="E276" s="253" t="n">
        <v>259.994</v>
      </c>
      <c r="F276" s="253" t="n">
        <v>207.217</v>
      </c>
      <c r="G276" s="253" t="n">
        <v>187.529</v>
      </c>
      <c r="H276" s="253" t="n">
        <v>217.417</v>
      </c>
      <c r="I276" s="253" t="n">
        <v>286.958</v>
      </c>
      <c r="J276" s="253" t="n">
        <v>283.99</v>
      </c>
      <c r="K276" s="253" t="n">
        <v>741.901</v>
      </c>
      <c r="L276" s="253" t="n">
        <v>990.955</v>
      </c>
      <c r="M276" s="253" t="n">
        <v>621.862</v>
      </c>
      <c r="N276" s="253" t="n">
        <v>788.697</v>
      </c>
      <c r="O276" s="253" t="n">
        <v>642.7089999999999</v>
      </c>
      <c r="P276" s="253" t="n">
        <v>695.91</v>
      </c>
      <c r="Q276" s="253" t="n">
        <v>695.91</v>
      </c>
      <c r="R276" s="253" t="n">
        <v>497.828</v>
      </c>
      <c r="S276" s="253" t="n">
        <v>756.52</v>
      </c>
      <c r="T276" s="253" t="n">
        <v>370.939</v>
      </c>
      <c r="U276" s="253" t="n">
        <v>404.862</v>
      </c>
      <c r="V276" s="253" t="n">
        <v>404.862</v>
      </c>
      <c r="W276" s="253" t="n">
        <v>209.64</v>
      </c>
      <c r="X276" s="253" t="n">
        <v>557.296</v>
      </c>
      <c r="Y276" s="253" t="n">
        <v>601.813</v>
      </c>
      <c r="Z276" s="253" t="n">
        <v>554.2569999999999</v>
      </c>
      <c r="AA276" s="253" t="n">
        <v>554.2569999999999</v>
      </c>
      <c r="AB276" s="253" t="n">
        <v>297.664</v>
      </c>
      <c r="AC276" s="253" t="n">
        <v>558.724</v>
      </c>
      <c r="AD276" s="253" t="n">
        <v>453.539</v>
      </c>
      <c r="AE276" s="253" t="n">
        <v>885</v>
      </c>
      <c r="AF276" s="253" t="n">
        <v>885</v>
      </c>
      <c r="AG276" s="253" t="n">
        <v>711</v>
      </c>
      <c r="AH276" s="253" t="n">
        <v>816</v>
      </c>
      <c r="AI276" s="253" t="n">
        <v>882</v>
      </c>
      <c r="AJ276" s="253" t="n">
        <v>728</v>
      </c>
      <c r="AK276" s="253" t="n">
        <v>728</v>
      </c>
      <c r="AL276" s="253" t="n">
        <v>540</v>
      </c>
      <c r="AM276" s="35" t="n"/>
      <c r="AN276" s="35" t="n"/>
      <c r="AO276" s="35" t="n"/>
      <c r="AP276" s="254">
        <f>AP248</f>
        <v>574.23586511</v>
      </c>
      <c r="AQ276" s="254">
        <f>AQ248</f>
        <v>400</v>
      </c>
      <c r="AR276" s="254">
        <f>AR248</f>
        <v>400</v>
      </c>
      <c r="AS276" s="254">
        <f>AS248</f>
        <v>400</v>
      </c>
      <c r="AT276" s="254">
        <f>AT248</f>
        <v>400</v>
      </c>
      <c r="AU276" s="19" t="n"/>
    </row>
    <row r="277" ht="15" customHeight="1" s="251">
      <c r="B277" s="25" t="inlineStr">
        <is>
          <t xml:space="preserve">  Accounts receivable, net (billed &amp; unbilled)</t>
        </is>
      </c>
      <c r="C277" s="253" t="n">
        <v>1077.315</v>
      </c>
      <c r="D277" s="253" t="n">
        <v>1029.586</v>
      </c>
      <c r="E277" s="253" t="n">
        <v>916.737</v>
      </c>
      <c r="F277" s="253" t="n">
        <v>857.3099999999999</v>
      </c>
      <c r="G277" s="253" t="n">
        <v>892.289</v>
      </c>
      <c r="H277" s="253" t="n">
        <v>991.8099999999999</v>
      </c>
      <c r="I277" s="253" t="n">
        <v>1130.452</v>
      </c>
      <c r="J277" s="253" t="n">
        <v>1330.364</v>
      </c>
      <c r="K277" s="253" t="n">
        <v>1459.471</v>
      </c>
      <c r="L277" s="253" t="n">
        <v>1411.894</v>
      </c>
      <c r="M277" s="253" t="n">
        <v>1672.772</v>
      </c>
      <c r="N277" s="253" t="n">
        <v>1511.579</v>
      </c>
      <c r="O277" s="253" t="n">
        <v>1618.494</v>
      </c>
      <c r="P277" s="253" t="n">
        <v>1622.989</v>
      </c>
      <c r="Q277" s="253" t="n">
        <v>1622.989</v>
      </c>
      <c r="R277" s="253" t="n">
        <v>1828.376</v>
      </c>
      <c r="S277" s="253" t="n">
        <v>1655.774</v>
      </c>
      <c r="T277" s="253" t="n">
        <v>1807.776</v>
      </c>
      <c r="U277" s="253" t="n">
        <v>1774.83</v>
      </c>
      <c r="V277" s="253" t="n">
        <v>1774.83</v>
      </c>
      <c r="W277" s="253" t="n">
        <v>2099.966</v>
      </c>
      <c r="X277" s="253" t="n">
        <v>2009.847</v>
      </c>
      <c r="Y277" s="253" t="n">
        <v>1968.086</v>
      </c>
      <c r="Z277" s="253" t="n">
        <v>2047.342</v>
      </c>
      <c r="AA277" s="253" t="n">
        <v>2047.342</v>
      </c>
      <c r="AB277" s="253" t="n">
        <v>2281.581</v>
      </c>
      <c r="AC277" s="253" t="n">
        <v>2225.358</v>
      </c>
      <c r="AD277" s="253" t="n">
        <v>2223.712</v>
      </c>
      <c r="AE277" s="253" t="n">
        <v>2271</v>
      </c>
      <c r="AF277" s="253" t="n">
        <v>2271</v>
      </c>
      <c r="AG277" s="253" t="n">
        <v>2286</v>
      </c>
      <c r="AH277" s="253" t="n">
        <v>2217</v>
      </c>
      <c r="AI277" s="253" t="n">
        <v>2048</v>
      </c>
      <c r="AJ277" s="253" t="n">
        <v>2063</v>
      </c>
      <c r="AK277" s="253" t="n">
        <v>2063</v>
      </c>
      <c r="AL277" s="253" t="n">
        <v>2320</v>
      </c>
      <c r="AM277" s="35" t="n"/>
      <c r="AN277" s="35" t="n"/>
      <c r="AO277" s="35" t="n"/>
      <c r="AP277" s="254">
        <f>AP307*AP308/365</f>
        <v>2248.42239951829</v>
      </c>
      <c r="AQ277" s="254">
        <f>AQ307*AQ308/365</f>
        <v>2318.76997037108</v>
      </c>
      <c r="AR277" s="254">
        <f>AR307*AR308/365</f>
        <v>2426.60421823557</v>
      </c>
      <c r="AS277" s="254">
        <f>AS307*AS308/365</f>
        <v>2549.87883354944</v>
      </c>
      <c r="AT277" s="254">
        <f>AT307*AT308/365</f>
        <v>2683.86914287786</v>
      </c>
      <c r="AU277" s="19" t="n"/>
    </row>
    <row r="278" ht="15" customHeight="1" s="251">
      <c r="B278" s="25" t="inlineStr">
        <is>
          <t xml:space="preserve">  Prepaid expenses &amp; other current assets (derived)</t>
        </is>
      </c>
      <c r="C278" s="253" t="n">
        <v>95.98</v>
      </c>
      <c r="D278" s="253" t="n">
        <v>44.382</v>
      </c>
      <c r="E278" s="253" t="n">
        <v>79.246</v>
      </c>
      <c r="F278" s="253" t="n">
        <v>98.681</v>
      </c>
      <c r="G278" s="253" t="n">
        <v>109.953</v>
      </c>
      <c r="H278" s="253" t="n">
        <v>85.253</v>
      </c>
      <c r="I278" s="253" t="n">
        <v>71.309</v>
      </c>
      <c r="J278" s="253" t="n">
        <v>84.986</v>
      </c>
      <c r="K278" s="253" t="n">
        <v>126.816</v>
      </c>
      <c r="L278" s="253" t="n">
        <v>233.323</v>
      </c>
      <c r="M278" s="253" t="n">
        <v>182.181</v>
      </c>
      <c r="N278" s="253" t="n">
        <v>119.633</v>
      </c>
      <c r="O278" s="253" t="n">
        <v>93.937</v>
      </c>
      <c r="P278" s="253" t="n">
        <v>126.777</v>
      </c>
      <c r="Q278" s="253" t="n">
        <v>126.777</v>
      </c>
      <c r="R278" s="253" t="n">
        <v>94.949</v>
      </c>
      <c r="S278" s="253" t="n">
        <v>305.753</v>
      </c>
      <c r="T278" s="253" t="n">
        <v>106.651</v>
      </c>
      <c r="U278" s="253" t="n">
        <v>108.366</v>
      </c>
      <c r="V278" s="253" t="n">
        <v>108.366</v>
      </c>
      <c r="W278" s="253" t="n">
        <v>98.15000000000001</v>
      </c>
      <c r="X278" s="253" t="n">
        <v>133.412</v>
      </c>
      <c r="Y278" s="253" t="n">
        <v>107.036</v>
      </c>
      <c r="Z278" s="253" t="n">
        <v>137.31</v>
      </c>
      <c r="AA278" s="253" t="n">
        <v>137.31</v>
      </c>
      <c r="AB278" s="253" t="n">
        <v>121.44</v>
      </c>
      <c r="AC278" s="253" t="n">
        <v>132.941</v>
      </c>
      <c r="AD278" s="253" t="n">
        <v>169.142</v>
      </c>
      <c r="AE278" s="253" t="n">
        <v>157</v>
      </c>
      <c r="AF278" s="253" t="n">
        <v>157</v>
      </c>
      <c r="AG278" s="253" t="n">
        <v>138</v>
      </c>
      <c r="AH278" s="253" t="n">
        <v>188</v>
      </c>
      <c r="AI278" s="253" t="n">
        <v>147</v>
      </c>
      <c r="AJ278" s="253" t="n">
        <v>170</v>
      </c>
      <c r="AK278" s="253" t="n">
        <v>170</v>
      </c>
      <c r="AL278" s="253" t="n">
        <v>180</v>
      </c>
      <c r="AM278" s="35" t="n"/>
      <c r="AN278" s="35" t="n"/>
      <c r="AO278" s="35" t="n"/>
      <c r="AP278" s="254">
        <f>AP307*AP309</f>
        <v>175.693626373626</v>
      </c>
      <c r="AQ278" s="254">
        <f>AQ307*AQ309</f>
        <v>181.190645008715</v>
      </c>
      <c r="AR278" s="254">
        <f>AR307*AR309</f>
        <v>189.61690426438</v>
      </c>
      <c r="AS278" s="254">
        <f>AS307*AS309</f>
        <v>199.249686880736</v>
      </c>
      <c r="AT278" s="254">
        <f>AT307*AT309</f>
        <v>209.719802882906</v>
      </c>
      <c r="AU278" s="19" t="n"/>
    </row>
    <row r="279" ht="15" customHeight="1" s="251">
      <c r="B279" s="16" t="inlineStr">
        <is>
          <t>Total current assets</t>
        </is>
      </c>
      <c r="C279" s="295">
        <f>IF(ISNUMBER(C276),SUM(C276:C278),"")</f>
        <v>1657.663</v>
      </c>
      <c r="D279" s="295">
        <f>IF(ISNUMBER(D276),SUM(D276:D278),"")</f>
        <v>1424.352</v>
      </c>
      <c r="E279" s="295">
        <f>IF(ISNUMBER(E276),SUM(E276:E278),"")</f>
        <v>1255.977</v>
      </c>
      <c r="F279" s="295">
        <f>IF(ISNUMBER(F276),SUM(F276:F278),"")</f>
        <v>1163.208</v>
      </c>
      <c r="G279" s="295">
        <f>IF(ISNUMBER(G276),SUM(G276:G278),"")</f>
        <v>1189.771</v>
      </c>
      <c r="H279" s="295">
        <f>IF(ISNUMBER(H276),SUM(H276:H278),"")</f>
        <v>1294.48</v>
      </c>
      <c r="I279" s="295">
        <f>IF(ISNUMBER(I276),SUM(I276:I278),"")</f>
        <v>1488.719</v>
      </c>
      <c r="J279" s="295">
        <f>IF(ISNUMBER(J276),SUM(J276:J278),"")</f>
        <v>1699.34</v>
      </c>
      <c r="K279" s="295">
        <f>IF(ISNUMBER(K276),SUM(K276:K278),"")</f>
        <v>2328.188</v>
      </c>
      <c r="L279" s="295">
        <f>IF(ISNUMBER(L276),SUM(L276:L278),"")</f>
        <v>2636.172</v>
      </c>
      <c r="M279" s="295">
        <f>IF(ISNUMBER(M276),SUM(M276:M278),"")</f>
        <v>2476.815</v>
      </c>
      <c r="N279" s="295">
        <f>IF(ISNUMBER(N276),SUM(N276:N278),"")</f>
        <v>2419.909</v>
      </c>
      <c r="O279" s="295">
        <f>IF(ISNUMBER(O276),SUM(O276:O278),"")</f>
        <v>2355.14</v>
      </c>
      <c r="P279" s="295">
        <f>IF(ISNUMBER(P276),SUM(P276:P278),"")</f>
        <v>2445.676</v>
      </c>
      <c r="Q279" s="295">
        <f>IF(ISNUMBER(Q276),SUM(Q276:Q278),"")</f>
        <v>2445.676</v>
      </c>
      <c r="R279" s="295">
        <f>IF(ISNUMBER(R276),SUM(R276:R278),"")</f>
        <v>2421.153</v>
      </c>
      <c r="S279" s="295">
        <f>IF(ISNUMBER(S276),SUM(S276:S278),"")</f>
        <v>2718.047</v>
      </c>
      <c r="T279" s="295">
        <f>IF(ISNUMBER(T276),SUM(T276:T278),"")</f>
        <v>2285.366</v>
      </c>
      <c r="U279" s="295">
        <f>IF(ISNUMBER(U276),SUM(U276:U278),"")</f>
        <v>2288.058</v>
      </c>
      <c r="V279" s="295">
        <f>IF(ISNUMBER(V276),SUM(V276:V278),"")</f>
        <v>2288.058</v>
      </c>
      <c r="W279" s="295">
        <f>IF(ISNUMBER(W276),SUM(W276:W278),"")</f>
        <v>2407.756</v>
      </c>
      <c r="X279" s="295">
        <f>IF(ISNUMBER(X276),SUM(X276:X278),"")</f>
        <v>2700.555</v>
      </c>
      <c r="Y279" s="295">
        <f>IF(ISNUMBER(Y276),SUM(Y276:Y278),"")</f>
        <v>2676.935</v>
      </c>
      <c r="Z279" s="295">
        <f>IF(ISNUMBER(Z276),SUM(Z276:Z278),"")</f>
        <v>2738.909</v>
      </c>
      <c r="AA279" s="295">
        <f>IF(ISNUMBER(AA276),SUM(AA276:AA278),"")</f>
        <v>2738.909</v>
      </c>
      <c r="AB279" s="295">
        <f>IF(ISNUMBER(AB276),SUM(AB276:AB278),"")</f>
        <v>2700.685</v>
      </c>
      <c r="AC279" s="295">
        <f>IF(ISNUMBER(AC276),SUM(AC276:AC278),"")</f>
        <v>2917.023</v>
      </c>
      <c r="AD279" s="295">
        <f>IF(ISNUMBER(AD276),SUM(AD276:AD278),"")</f>
        <v>2846.393</v>
      </c>
      <c r="AE279" s="295">
        <f>IF(ISNUMBER(AE276),SUM(AE276:AE278),"")</f>
        <v>3313</v>
      </c>
      <c r="AF279" s="295">
        <f>IF(ISNUMBER(AF276),SUM(AF276:AF278),"")</f>
        <v>3313</v>
      </c>
      <c r="AG279" s="295">
        <f>IF(ISNUMBER(AG276),SUM(AG276:AG278),"")</f>
        <v>3135</v>
      </c>
      <c r="AH279" s="295">
        <f>IF(ISNUMBER(AH276),SUM(AH276:AH278),"")</f>
        <v>3221</v>
      </c>
      <c r="AI279" s="295">
        <f>IF(ISNUMBER(AI276),SUM(AI276:AI278),"")</f>
        <v>3077</v>
      </c>
      <c r="AJ279" s="295">
        <f>IF(ISNUMBER(AJ276),SUM(AJ276:AJ278),"")</f>
        <v>2961</v>
      </c>
      <c r="AK279" s="295">
        <f>IF(ISNUMBER(AK276),SUM(AK276:AK278),"")</f>
        <v>2961</v>
      </c>
      <c r="AL279" s="295">
        <f>IF(ISNUMBER(AL276),SUM(AL276:AL278),"")</f>
        <v>3040</v>
      </c>
      <c r="AM279" s="32" t="n"/>
      <c r="AN279" s="32" t="n"/>
      <c r="AO279" s="32" t="n"/>
      <c r="AP279" s="265">
        <f>IF(ISNUMBER(AP276),SUM(AP276:AP278),"")</f>
        <v>2998.35189100192</v>
      </c>
      <c r="AQ279" s="265">
        <f>IF(ISNUMBER(AQ276),SUM(AQ276:AQ278),"")</f>
        <v>2899.9606153798</v>
      </c>
      <c r="AR279" s="265">
        <f>IF(ISNUMBER(AR276),SUM(AR276:AR278),"")</f>
        <v>3016.22112249995</v>
      </c>
      <c r="AS279" s="265">
        <f>IF(ISNUMBER(AS276),SUM(AS276:AS278),"")</f>
        <v>3149.12852043017</v>
      </c>
      <c r="AT279" s="265">
        <f>IF(ISNUMBER(AT276),SUM(AT276:AT278),"")</f>
        <v>3293.58894576076</v>
      </c>
      <c r="AU279" s="153" t="n"/>
    </row>
    <row r="280" ht="15" customHeight="1" s="251">
      <c r="B280" s="25" t="inlineStr">
        <is>
          <t xml:space="preserve">  Property and equipment, net</t>
        </is>
      </c>
      <c r="C280" s="253" t="n">
        <v>191.079</v>
      </c>
      <c r="D280" s="253" t="n">
        <v>166.57</v>
      </c>
      <c r="E280" s="253" t="n">
        <v>129.427</v>
      </c>
      <c r="F280" s="253" t="n">
        <v>111.367</v>
      </c>
      <c r="G280" s="253" t="n">
        <v>130.169</v>
      </c>
      <c r="H280" s="253" t="n">
        <v>139.167</v>
      </c>
      <c r="I280" s="253" t="n">
        <v>169.896</v>
      </c>
      <c r="J280" s="253" t="n">
        <v>172.453</v>
      </c>
      <c r="K280" s="253" t="n">
        <v>208.077</v>
      </c>
      <c r="L280" s="253" t="n">
        <v>204.642</v>
      </c>
      <c r="M280" s="253" t="n">
        <v>195.93</v>
      </c>
      <c r="N280" s="253" t="n">
        <v>195.214</v>
      </c>
      <c r="O280" s="253" t="n">
        <v>195.515</v>
      </c>
      <c r="P280" s="253" t="n">
        <v>202.229</v>
      </c>
      <c r="Q280" s="253" t="n">
        <v>202.229</v>
      </c>
      <c r="R280" s="253" t="n">
        <v>194.948</v>
      </c>
      <c r="S280" s="253" t="n">
        <v>191.247</v>
      </c>
      <c r="T280" s="253" t="n">
        <v>192.306</v>
      </c>
      <c r="U280" s="253" t="n">
        <v>195.186</v>
      </c>
      <c r="V280" s="253" t="n">
        <v>195.186</v>
      </c>
      <c r="W280" s="253" t="n">
        <v>183.316</v>
      </c>
      <c r="X280" s="253" t="n">
        <v>178.914</v>
      </c>
      <c r="Y280" s="253" t="n">
        <v>178.719</v>
      </c>
      <c r="Z280" s="253" t="n">
        <v>188.279</v>
      </c>
      <c r="AA280" s="253" t="n">
        <v>188.279</v>
      </c>
      <c r="AB280" s="253" t="n">
        <v>185.529</v>
      </c>
      <c r="AC280" s="253" t="n">
        <v>181.142</v>
      </c>
      <c r="AD280" s="253" t="n">
        <v>177.267</v>
      </c>
      <c r="AE280" s="253" t="n">
        <v>177</v>
      </c>
      <c r="AF280" s="253" t="n">
        <v>177</v>
      </c>
      <c r="AG280" s="253" t="n">
        <v>171</v>
      </c>
      <c r="AH280" s="253" t="n">
        <v>171</v>
      </c>
      <c r="AI280" s="253" t="n">
        <v>163</v>
      </c>
      <c r="AJ280" s="253" t="n">
        <v>171</v>
      </c>
      <c r="AK280" s="253" t="n">
        <v>171</v>
      </c>
      <c r="AL280" s="253" t="n">
        <v>167</v>
      </c>
      <c r="AM280" s="35" t="n"/>
      <c r="AN280" s="35" t="n"/>
      <c r="AO280" s="35" t="n"/>
      <c r="AP280" s="254">
        <f>AL280-(AP236-AL236)-((AM104+AN104+AO104))</f>
        <v>277</v>
      </c>
      <c r="AQ280" s="254">
        <f>AP280-AQ236-AQ104+AQ59*AQ67</f>
        <v>268.079562828374</v>
      </c>
      <c r="AR280" s="254">
        <f>AQ280-AR236-AR104+AR59*AR67</f>
        <v>258.604766495191</v>
      </c>
      <c r="AS280" s="254">
        <f>AR280-AS236-AS104+AS59*AS67</f>
        <v>248.496234463564</v>
      </c>
      <c r="AT280" s="254">
        <f>AS280-AT236-AT104+AT59*AT67</f>
        <v>237.698879010741</v>
      </c>
      <c r="AU280" s="19" t="inlineStr">
        <is>
          <t>Roll-forward: prior − capex (negative cash flow) − depreciation &amp; other amortization (incl. software) + acquired PP&amp;E.</t>
        </is>
      </c>
    </row>
    <row r="281" ht="15" customHeight="1" s="251">
      <c r="B281" s="25" t="inlineStr">
        <is>
          <t xml:space="preserve">  Operating lease right-of-use assets</t>
        </is>
      </c>
      <c r="C281" s="253" t="n">
        <v>0</v>
      </c>
      <c r="D281" s="253" t="n">
        <v>0</v>
      </c>
      <c r="E281" s="253" t="n">
        <v>0</v>
      </c>
      <c r="F281" s="253" t="n">
        <v>0</v>
      </c>
      <c r="G281" s="253" t="n">
        <v>0</v>
      </c>
      <c r="H281" s="253" t="n">
        <v>0</v>
      </c>
      <c r="I281" s="253" t="n">
        <v>0</v>
      </c>
      <c r="J281" s="253" t="n">
        <v>0</v>
      </c>
      <c r="K281" s="253" t="n">
        <v>240.122</v>
      </c>
      <c r="L281" s="253" t="n">
        <v>239.374</v>
      </c>
      <c r="M281" s="253" t="n">
        <v>237.923</v>
      </c>
      <c r="N281" s="253" t="n">
        <v>234.15</v>
      </c>
      <c r="O281" s="253" t="n">
        <v>229.041</v>
      </c>
      <c r="P281" s="253" t="n">
        <v>227.231</v>
      </c>
      <c r="Q281" s="253" t="n">
        <v>227.231</v>
      </c>
      <c r="R281" s="253" t="n">
        <v>213.467</v>
      </c>
      <c r="S281" s="253" t="n">
        <v>198.656</v>
      </c>
      <c r="T281" s="253" t="n">
        <v>191.04</v>
      </c>
      <c r="U281" s="253" t="n">
        <v>187.798</v>
      </c>
      <c r="V281" s="253" t="n">
        <v>187.798</v>
      </c>
      <c r="W281" s="253" t="n">
        <v>183.127</v>
      </c>
      <c r="X281" s="253" t="n">
        <v>169.64</v>
      </c>
      <c r="Y281" s="253" t="n">
        <v>158.567</v>
      </c>
      <c r="Z281" s="253" t="n">
        <v>174.345</v>
      </c>
      <c r="AA281" s="253" t="n">
        <v>174.345</v>
      </c>
      <c r="AB281" s="253" t="n">
        <v>179.134</v>
      </c>
      <c r="AC281" s="253" t="n">
        <v>171.076</v>
      </c>
      <c r="AD281" s="253" t="n">
        <v>179.941</v>
      </c>
      <c r="AE281" s="253" t="n">
        <v>178</v>
      </c>
      <c r="AF281" s="253" t="n">
        <v>178</v>
      </c>
      <c r="AG281" s="253" t="n">
        <v>165</v>
      </c>
      <c r="AH281" s="253" t="n">
        <v>160</v>
      </c>
      <c r="AI281" s="253" t="n">
        <v>159</v>
      </c>
      <c r="AJ281" s="253" t="n">
        <v>147</v>
      </c>
      <c r="AK281" s="253" t="n">
        <v>147</v>
      </c>
      <c r="AL281" s="253" t="n">
        <v>186</v>
      </c>
      <c r="AM281" s="35" t="n"/>
      <c r="AN281" s="35" t="n"/>
      <c r="AO281" s="35" t="n"/>
      <c r="AP281" s="254">
        <f>AL281</f>
        <v>186</v>
      </c>
      <c r="AQ281" s="254">
        <f>AP281</f>
        <v>186</v>
      </c>
      <c r="AR281" s="254">
        <f>AQ281</f>
        <v>186</v>
      </c>
      <c r="AS281" s="254">
        <f>AR281</f>
        <v>186</v>
      </c>
      <c r="AT281" s="254">
        <f>AS281</f>
        <v>186</v>
      </c>
      <c r="AU281" s="19" t="n"/>
    </row>
    <row r="282" ht="15" customHeight="1" s="251">
      <c r="B282" s="25" t="inlineStr">
        <is>
          <t xml:space="preserve">  Intangible assets, net</t>
        </is>
      </c>
      <c r="C282" s="253" t="n">
        <v>223.834</v>
      </c>
      <c r="D282" s="253" t="n">
        <v>236.22</v>
      </c>
      <c r="E282" s="253" t="n">
        <v>220.887</v>
      </c>
      <c r="F282" s="253" t="n">
        <v>219.382</v>
      </c>
      <c r="G282" s="253" t="n">
        <v>220.658</v>
      </c>
      <c r="H282" s="253" t="n">
        <v>271.88</v>
      </c>
      <c r="I282" s="253" t="n">
        <v>260.972</v>
      </c>
      <c r="J282" s="253" t="n">
        <v>287.051</v>
      </c>
      <c r="K282" s="253" t="n">
        <v>300.987</v>
      </c>
      <c r="L282" s="253" t="n">
        <v>307.128</v>
      </c>
      <c r="M282" s="253" t="n">
        <v>609.7619999999999</v>
      </c>
      <c r="N282" s="253" t="n">
        <v>682.28</v>
      </c>
      <c r="O282" s="253" t="n">
        <v>664.64</v>
      </c>
      <c r="P282" s="253" t="n">
        <v>646.682</v>
      </c>
      <c r="Q282" s="253" t="n">
        <v>646.682</v>
      </c>
      <c r="R282" s="253" t="n">
        <v>626.907</v>
      </c>
      <c r="S282" s="253" t="n">
        <v>607.235</v>
      </c>
      <c r="T282" s="253" t="n">
        <v>714.861</v>
      </c>
      <c r="U282" s="253" t="n">
        <v>685.615</v>
      </c>
      <c r="V282" s="253" t="n">
        <v>685.615</v>
      </c>
      <c r="W282" s="253" t="n">
        <v>657.78</v>
      </c>
      <c r="X282" s="253" t="n">
        <v>637.787</v>
      </c>
      <c r="Y282" s="253" t="n">
        <v>619.154</v>
      </c>
      <c r="Z282" s="253" t="n">
        <v>601.043</v>
      </c>
      <c r="AA282" s="253" t="n">
        <v>601.043</v>
      </c>
      <c r="AB282" s="253" t="n">
        <v>621.942</v>
      </c>
      <c r="AC282" s="253" t="n">
        <v>598.486</v>
      </c>
      <c r="AD282" s="253" t="n">
        <v>580.062</v>
      </c>
      <c r="AE282" s="253" t="n">
        <v>563</v>
      </c>
      <c r="AF282" s="253" t="n">
        <v>563</v>
      </c>
      <c r="AG282" s="253" t="n">
        <v>549</v>
      </c>
      <c r="AH282" s="253" t="n">
        <v>537</v>
      </c>
      <c r="AI282" s="253" t="n">
        <v>517</v>
      </c>
      <c r="AJ282" s="253" t="n">
        <v>509</v>
      </c>
      <c r="AK282" s="253" t="n">
        <v>509</v>
      </c>
      <c r="AL282" s="253" t="n">
        <v>597</v>
      </c>
      <c r="AM282" s="35" t="n"/>
      <c r="AN282" s="35" t="n"/>
      <c r="AO282" s="35" t="n"/>
      <c r="AP282" s="254">
        <f>AL282-((AM102+AN102+AO102))+AP35*AP36</f>
        <v>822.593406593407</v>
      </c>
      <c r="AQ282" s="254">
        <f>AP282-AQ102+AQ59*AQ68</f>
        <v>792.712156593407</v>
      </c>
      <c r="AR282" s="254">
        <f>AQ282-AR102+AR59*AR68</f>
        <v>763.568406593407</v>
      </c>
      <c r="AS282" s="254">
        <f>AR282-AS102+AS59*AS68</f>
        <v>734.562156593407</v>
      </c>
      <c r="AT282" s="254">
        <f>AS282-AT102+AT59*AT68</f>
        <v>703.293406593407</v>
      </c>
      <c r="AU282" s="19" t="inlineStr">
        <is>
          <t>Roll-forward: prior − acquisition amortization + acquired intangibles (Ultra 2027E, M&amp;A lever). Software amortization runs through PP&amp;E in the model.</t>
        </is>
      </c>
    </row>
    <row r="283" ht="15" customHeight="1" s="251">
      <c r="B283" s="25" t="inlineStr">
        <is>
          <t xml:space="preserve">  Goodwill</t>
        </is>
      </c>
      <c r="C283" s="253" t="n">
        <v>1188.004</v>
      </c>
      <c r="D283" s="253" t="n">
        <v>1277.369</v>
      </c>
      <c r="E283" s="253" t="n">
        <v>1273.789</v>
      </c>
      <c r="F283" s="253" t="n">
        <v>1304.231</v>
      </c>
      <c r="G283" s="253" t="n">
        <v>1361.913</v>
      </c>
      <c r="H283" s="253" t="n">
        <v>1571.19</v>
      </c>
      <c r="I283" s="253" t="n">
        <v>1581.146</v>
      </c>
      <c r="J283" s="253" t="n">
        <v>1581.16</v>
      </c>
      <c r="K283" s="253" t="n">
        <v>1581.16</v>
      </c>
      <c r="L283" s="253" t="n">
        <v>1581.16</v>
      </c>
      <c r="M283" s="253" t="n">
        <v>1925.151</v>
      </c>
      <c r="N283" s="253" t="n">
        <v>2022.83</v>
      </c>
      <c r="O283" s="253" t="n">
        <v>2021.931</v>
      </c>
      <c r="P283" s="253" t="n">
        <v>2021.931</v>
      </c>
      <c r="Q283" s="253" t="n">
        <v>2021.931</v>
      </c>
      <c r="R283" s="253" t="n">
        <v>2021.931</v>
      </c>
      <c r="S283" s="253" t="n">
        <v>2014.89</v>
      </c>
      <c r="T283" s="253" t="n">
        <v>2337.584</v>
      </c>
      <c r="U283" s="253" t="n">
        <v>2338.399</v>
      </c>
      <c r="V283" s="253" t="n">
        <v>2338.399</v>
      </c>
      <c r="W283" s="253" t="n">
        <v>2343.789</v>
      </c>
      <c r="X283" s="253" t="n">
        <v>2343.789</v>
      </c>
      <c r="Y283" s="253" t="n">
        <v>2343.789</v>
      </c>
      <c r="Z283" s="253" t="n">
        <v>2343.789</v>
      </c>
      <c r="AA283" s="253" t="n">
        <v>2343.789</v>
      </c>
      <c r="AB283" s="253" t="n">
        <v>2394.109</v>
      </c>
      <c r="AC283" s="253" t="n">
        <v>2404.937</v>
      </c>
      <c r="AD283" s="253" t="n">
        <v>2404.941</v>
      </c>
      <c r="AE283" s="253" t="n">
        <v>2405</v>
      </c>
      <c r="AF283" s="253" t="n">
        <v>2405</v>
      </c>
      <c r="AG283" s="253" t="n">
        <v>2405</v>
      </c>
      <c r="AH283" s="253" t="n">
        <v>2405</v>
      </c>
      <c r="AI283" s="253" t="n">
        <v>2399</v>
      </c>
      <c r="AJ283" s="253" t="n">
        <v>2399</v>
      </c>
      <c r="AK283" s="253" t="n">
        <v>2399</v>
      </c>
      <c r="AL283" s="253" t="n">
        <v>2528</v>
      </c>
      <c r="AM283" s="35" t="n"/>
      <c r="AN283" s="35" t="n"/>
      <c r="AO283" s="35" t="n"/>
      <c r="AP283" s="254">
        <f>AL283+AP35*(1-AP36)</f>
        <v>2960</v>
      </c>
      <c r="AQ283" s="254">
        <f>AP283+AQ59*(1-AQ67-AQ68)</f>
        <v>3054.5</v>
      </c>
      <c r="AR283" s="254">
        <f>AQ283+AR59*(1-AR67-AR68)</f>
        <v>3149</v>
      </c>
      <c r="AS283" s="254">
        <f>AR283+AS59*(1-AS67-AS68)</f>
        <v>3243.5</v>
      </c>
      <c r="AT283" s="254">
        <f>AS283+AT59*(1-AT67-AT68)</f>
        <v>3338</v>
      </c>
      <c r="AU283" s="19" t="inlineStr">
        <is>
          <t>2027E: + Ultra consideration less acquired intangibles (assumption: no net working capital acquired). 2028E+: M&amp;A lever.</t>
        </is>
      </c>
    </row>
    <row r="284" ht="15" customHeight="1" s="251">
      <c r="B284" s="25" t="inlineStr">
        <is>
          <t xml:space="preserve">  Deferred tax assets &amp; other long-term assets (derived)</t>
        </is>
      </c>
      <c r="C284" s="253" t="n">
        <v>54.211</v>
      </c>
      <c r="D284" s="253" t="n">
        <v>73.017</v>
      </c>
      <c r="E284" s="253" t="n">
        <v>60.738</v>
      </c>
      <c r="F284" s="253" t="n">
        <v>79.30500000000001</v>
      </c>
      <c r="G284" s="253" t="n">
        <v>107.66</v>
      </c>
      <c r="H284" s="253" t="n">
        <v>96.38800000000001</v>
      </c>
      <c r="I284" s="253" t="n">
        <v>102.633</v>
      </c>
      <c r="J284" s="253" t="n">
        <v>91.837</v>
      </c>
      <c r="K284" s="253" t="n">
        <v>135.432</v>
      </c>
      <c r="L284" s="253" t="n">
        <v>531.125</v>
      </c>
      <c r="M284" s="253" t="n">
        <v>539.361</v>
      </c>
      <c r="N284" s="253" t="n">
        <v>471.409</v>
      </c>
      <c r="O284" s="253" t="n">
        <v>477.766</v>
      </c>
      <c r="P284" s="253" t="n">
        <v>481.826</v>
      </c>
      <c r="Q284" s="253" t="n">
        <v>481.826</v>
      </c>
      <c r="R284" s="253" t="n">
        <v>483.993</v>
      </c>
      <c r="S284" s="253" t="n">
        <v>475.582</v>
      </c>
      <c r="T284" s="253" t="n">
        <v>624.572</v>
      </c>
      <c r="U284" s="253" t="n">
        <v>855.596</v>
      </c>
      <c r="V284" s="253" t="n">
        <v>855.596</v>
      </c>
      <c r="W284" s="253" t="n">
        <v>990.549</v>
      </c>
      <c r="X284" s="253" t="n">
        <v>1131.924</v>
      </c>
      <c r="Y284" s="253" t="n">
        <v>497.564</v>
      </c>
      <c r="Z284" s="253" t="n">
        <v>517.323</v>
      </c>
      <c r="AA284" s="253" t="n">
        <v>517.323</v>
      </c>
      <c r="AB284" s="253" t="n">
        <v>559.388</v>
      </c>
      <c r="AC284" s="253" t="n">
        <v>605.71</v>
      </c>
      <c r="AD284" s="253" t="n">
        <v>632.385</v>
      </c>
      <c r="AE284" s="253" t="n">
        <v>676</v>
      </c>
      <c r="AF284" s="253" t="n">
        <v>676</v>
      </c>
      <c r="AG284" s="253" t="n">
        <v>745</v>
      </c>
      <c r="AH284" s="253" t="n">
        <v>659</v>
      </c>
      <c r="AI284" s="253" t="n">
        <v>736</v>
      </c>
      <c r="AJ284" s="253" t="n">
        <v>931</v>
      </c>
      <c r="AK284" s="253" t="n">
        <v>931</v>
      </c>
      <c r="AL284" s="253" t="n">
        <v>1092</v>
      </c>
      <c r="AM284" s="35" t="n"/>
      <c r="AN284" s="35" t="n"/>
      <c r="AO284" s="35" t="n"/>
      <c r="AP284" s="254">
        <f>AL284</f>
        <v>1092</v>
      </c>
      <c r="AQ284" s="254">
        <f>AP284</f>
        <v>1092</v>
      </c>
      <c r="AR284" s="254">
        <f>AQ284</f>
        <v>1092</v>
      </c>
      <c r="AS284" s="254">
        <f>AR284</f>
        <v>1092</v>
      </c>
      <c r="AT284" s="254">
        <f>AS284</f>
        <v>1092</v>
      </c>
      <c r="AU284" s="19" t="n"/>
    </row>
    <row r="285" ht="15" customHeight="1" s="251">
      <c r="B285" s="55" t="inlineStr">
        <is>
          <t>TOTAL ASSETS</t>
        </is>
      </c>
      <c r="C285" s="285">
        <f>IF(ISNUMBER(C276),C279+SUM(C280:C284),"")</f>
        <v>3314.791</v>
      </c>
      <c r="D285" s="285">
        <f>IF(ISNUMBER(D276),D279+SUM(D280:D284),"")</f>
        <v>3177.528</v>
      </c>
      <c r="E285" s="285">
        <f>IF(ISNUMBER(E276),E279+SUM(E280:E284),"")</f>
        <v>2940.818</v>
      </c>
      <c r="F285" s="285">
        <f>IF(ISNUMBER(F276),F279+SUM(F280:F284),"")</f>
        <v>2877.493</v>
      </c>
      <c r="G285" s="285">
        <f>IF(ISNUMBER(G276),G279+SUM(G280:G284),"")</f>
        <v>3010.171</v>
      </c>
      <c r="H285" s="285">
        <f>IF(ISNUMBER(H276),H279+SUM(H280:H284),"")</f>
        <v>3373.105</v>
      </c>
      <c r="I285" s="285">
        <f>IF(ISNUMBER(I276),I279+SUM(I280:I284),"")</f>
        <v>3603.366</v>
      </c>
      <c r="J285" s="285">
        <f>IF(ISNUMBER(J276),J279+SUM(J280:J284),"")</f>
        <v>3831.841</v>
      </c>
      <c r="K285" s="285">
        <f>IF(ISNUMBER(K276),K279+SUM(K280:K284),"")</f>
        <v>4793.966</v>
      </c>
      <c r="L285" s="285">
        <f>IF(ISNUMBER(L276),L279+SUM(L280:L284),"")</f>
        <v>5499.601</v>
      </c>
      <c r="M285" s="285">
        <f>IF(ISNUMBER(M276),M279+SUM(M280:M284),"")</f>
        <v>5984.942</v>
      </c>
      <c r="N285" s="285">
        <f>IF(ISNUMBER(N276),N279+SUM(N280:N284),"")</f>
        <v>6025.792</v>
      </c>
      <c r="O285" s="285">
        <f>IF(ISNUMBER(O276),O279+SUM(O280:O284),"")</f>
        <v>5944.033</v>
      </c>
      <c r="P285" s="285">
        <f>IF(ISNUMBER(P276),P279+SUM(P280:P284),"")</f>
        <v>6025.575</v>
      </c>
      <c r="Q285" s="285">
        <f>IF(ISNUMBER(Q276),Q279+SUM(Q280:Q284),"")</f>
        <v>6025.575</v>
      </c>
      <c r="R285" s="285">
        <f>IF(ISNUMBER(R276),R279+SUM(R280:R284),"")</f>
        <v>5962.399</v>
      </c>
      <c r="S285" s="285">
        <f>IF(ISNUMBER(S276),S279+SUM(S280:S284),"")</f>
        <v>6205.657</v>
      </c>
      <c r="T285" s="285">
        <f>IF(ISNUMBER(T276),T279+SUM(T280:T284),"")</f>
        <v>6345.729</v>
      </c>
      <c r="U285" s="285">
        <f>IF(ISNUMBER(U276),U279+SUM(U280:U284),"")</f>
        <v>6550.652</v>
      </c>
      <c r="V285" s="285">
        <f>IF(ISNUMBER(V276),V279+SUM(V280:V284),"")</f>
        <v>6550.652</v>
      </c>
      <c r="W285" s="285">
        <f>IF(ISNUMBER(W276),W279+SUM(W280:W284),"")</f>
        <v>6766.317</v>
      </c>
      <c r="X285" s="285">
        <f>IF(ISNUMBER(X276),X279+SUM(X280:X284),"")</f>
        <v>7162.609</v>
      </c>
      <c r="Y285" s="285">
        <f>IF(ISNUMBER(Y276),Y279+SUM(Y280:Y284),"")</f>
        <v>6474.728</v>
      </c>
      <c r="Z285" s="285">
        <f>IF(ISNUMBER(Z276),Z279+SUM(Z280:Z284),"")</f>
        <v>6563.688</v>
      </c>
      <c r="AA285" s="285">
        <f>IF(ISNUMBER(AA276),AA279+SUM(AA280:AA284),"")</f>
        <v>6563.688</v>
      </c>
      <c r="AB285" s="285">
        <f>IF(ISNUMBER(AB276),AB279+SUM(AB280:AB284),"")</f>
        <v>6640.787</v>
      </c>
      <c r="AC285" s="285">
        <f>IF(ISNUMBER(AC276),AC279+SUM(AC280:AC284),"")</f>
        <v>6878.374</v>
      </c>
      <c r="AD285" s="285">
        <f>IF(ISNUMBER(AD276),AD279+SUM(AD280:AD284),"")</f>
        <v>6820.989</v>
      </c>
      <c r="AE285" s="285">
        <f>IF(ISNUMBER(AE276),AE279+SUM(AE280:AE284),"")</f>
        <v>7312</v>
      </c>
      <c r="AF285" s="285">
        <f>IF(ISNUMBER(AF276),AF279+SUM(AF280:AF284),"")</f>
        <v>7312</v>
      </c>
      <c r="AG285" s="285">
        <f>IF(ISNUMBER(AG276),AG279+SUM(AG280:AG284),"")</f>
        <v>7170</v>
      </c>
      <c r="AH285" s="285">
        <f>IF(ISNUMBER(AH276),AH279+SUM(AH280:AH284),"")</f>
        <v>7153</v>
      </c>
      <c r="AI285" s="285">
        <f>IF(ISNUMBER(AI276),AI279+SUM(AI280:AI284),"")</f>
        <v>7051</v>
      </c>
      <c r="AJ285" s="285">
        <f>IF(ISNUMBER(AJ276),AJ279+SUM(AJ280:AJ284),"")</f>
        <v>7118</v>
      </c>
      <c r="AK285" s="285">
        <f>IF(ISNUMBER(AK276),AK279+SUM(AK280:AK284),"")</f>
        <v>7118</v>
      </c>
      <c r="AL285" s="285">
        <f>IF(ISNUMBER(AL276),AL279+SUM(AL280:AL284),"")</f>
        <v>7610</v>
      </c>
      <c r="AM285" s="56" t="n"/>
      <c r="AN285" s="56" t="n"/>
      <c r="AO285" s="56" t="n"/>
      <c r="AP285" s="285">
        <f>IF(ISNUMBER(AP276),AP279+SUM(AP280:AP284),"")</f>
        <v>8335.94529759532</v>
      </c>
      <c r="AQ285" s="285">
        <f>IF(ISNUMBER(AQ276),AQ279+SUM(AQ280:AQ284),"")</f>
        <v>8293.25233480158</v>
      </c>
      <c r="AR285" s="285">
        <f>IF(ISNUMBER(AR276),AR279+SUM(AR280:AR284),"")</f>
        <v>8465.39429558855</v>
      </c>
      <c r="AS285" s="285">
        <f>IF(ISNUMBER(AS276),AS279+SUM(AS280:AS284),"")</f>
        <v>8653.68691148714</v>
      </c>
      <c r="AT285" s="285">
        <f>IF(ISNUMBER(AT276),AT279+SUM(AT280:AT284),"")</f>
        <v>8850.58123136491</v>
      </c>
      <c r="AU285" s="153" t="n"/>
      <c r="AW285" s="20">
        <f>IFERROR((AT285/AK285)^(1/5)-1,"n/m")</f>
        <v>0.0445344347167762</v>
      </c>
      <c r="AX285" s="20">
        <f>IFERROR((AK285/L285)^(1/5)-1,"n/m")</f>
        <v>0.0529442087314174</v>
      </c>
      <c r="AY285" s="20">
        <f>IFERROR((AK285/G285)^(1/10)-1,"n/m")</f>
        <v>0.0898749772925886</v>
      </c>
      <c r="AZ285" s="20">
        <f>IFERROR((AK285/C285)^(1/14)-1,"n/m")</f>
        <v>0.0561054256078033</v>
      </c>
    </row>
    <row r="286" ht="15" customHeight="1" s="251">
      <c r="B286" s="25" t="inlineStr">
        <is>
          <t>LIABILITIES AND STOCKHOLDERS' EQUITY</t>
        </is>
      </c>
      <c r="AU286" s="153" t="n"/>
    </row>
    <row r="287" ht="15" customHeight="1" s="251">
      <c r="B287" s="25" t="inlineStr">
        <is>
          <t xml:space="preserve">  Current portion of long-term debt</t>
        </is>
      </c>
      <c r="C287" s="253" t="n">
        <v>42.5</v>
      </c>
      <c r="D287" s="253" t="n">
        <v>55.562</v>
      </c>
      <c r="E287" s="253" t="n">
        <v>73.688</v>
      </c>
      <c r="F287" s="253" t="n">
        <v>57.063</v>
      </c>
      <c r="G287" s="253" t="n">
        <v>112.813</v>
      </c>
      <c r="H287" s="253" t="n">
        <v>193.15</v>
      </c>
      <c r="I287" s="253" t="n">
        <v>63.1</v>
      </c>
      <c r="J287" s="253" t="n">
        <v>57.924</v>
      </c>
      <c r="K287" s="253" t="n">
        <v>177.865</v>
      </c>
      <c r="L287" s="253" t="n">
        <v>77.86499999999999</v>
      </c>
      <c r="M287" s="253" t="n">
        <v>77.86499999999999</v>
      </c>
      <c r="N287" s="253" t="n">
        <v>68.379</v>
      </c>
      <c r="O287" s="253" t="n">
        <v>68.379</v>
      </c>
      <c r="P287" s="253" t="n">
        <v>68.379</v>
      </c>
      <c r="Q287" s="253" t="n">
        <v>68.379</v>
      </c>
      <c r="R287" s="253" t="n">
        <v>68.379</v>
      </c>
      <c r="S287" s="253" t="n">
        <v>41.25</v>
      </c>
      <c r="T287" s="253" t="n">
        <v>41.25</v>
      </c>
      <c r="U287" s="253" t="n">
        <v>41.25</v>
      </c>
      <c r="V287" s="253" t="n">
        <v>41.25</v>
      </c>
      <c r="W287" s="253" t="n">
        <v>116.25</v>
      </c>
      <c r="X287" s="253" t="n">
        <v>41.25</v>
      </c>
      <c r="Y287" s="253" t="n">
        <v>51.563</v>
      </c>
      <c r="Z287" s="253" t="n">
        <v>61.875</v>
      </c>
      <c r="AA287" s="253" t="n">
        <v>61.875</v>
      </c>
      <c r="AB287" s="253" t="n">
        <v>72.188</v>
      </c>
      <c r="AC287" s="253" t="n">
        <v>82.5</v>
      </c>
      <c r="AD287" s="253" t="n">
        <v>82.5</v>
      </c>
      <c r="AE287" s="253" t="n">
        <v>83</v>
      </c>
      <c r="AF287" s="253" t="n">
        <v>83</v>
      </c>
      <c r="AG287" s="253" t="n">
        <v>83</v>
      </c>
      <c r="AH287" s="253" t="n">
        <v>83</v>
      </c>
      <c r="AI287" s="253" t="n">
        <v>83</v>
      </c>
      <c r="AJ287" s="253" t="n">
        <v>19</v>
      </c>
      <c r="AK287" s="253" t="n">
        <v>19</v>
      </c>
      <c r="AL287" s="253" t="n">
        <v>19</v>
      </c>
      <c r="AM287" s="35" t="n"/>
      <c r="AN287" s="35" t="n"/>
      <c r="AO287" s="35" t="n"/>
      <c r="AP287" s="254">
        <f>AP339+MIN(AP333,AP336)</f>
        <v>23.4</v>
      </c>
      <c r="AQ287" s="254">
        <f>AQ339+MIN(AQ333,AQ336)</f>
        <v>844.864889666333</v>
      </c>
      <c r="AR287" s="254">
        <f>AR339+MIN(AR333,AR336)</f>
        <v>1619.735756949</v>
      </c>
      <c r="AS287" s="254">
        <f>AS339+MIN(AS333,AS336)</f>
        <v>1319.47815781656</v>
      </c>
      <c r="AT287" s="254">
        <f>AT339+MIN(AT333,AT336)</f>
        <v>1001.75144984886</v>
      </c>
      <c r="AU287" s="19" t="inlineStr">
        <is>
          <t>Revolver borrowings (none since FY2012) + notes / term-loan amortization due in the next fiscal year.</t>
        </is>
      </c>
    </row>
    <row r="288" ht="15" customHeight="1" s="251">
      <c r="B288" s="25" t="inlineStr">
        <is>
          <t xml:space="preserve">  Accounts payable and other accrued expenses</t>
        </is>
      </c>
      <c r="C288" s="253" t="n">
        <v>443.951</v>
      </c>
      <c r="D288" s="253" t="n">
        <v>451.065</v>
      </c>
      <c r="E288" s="253" t="n">
        <v>488.807</v>
      </c>
      <c r="F288" s="253" t="n">
        <v>481.815</v>
      </c>
      <c r="G288" s="253" t="n">
        <v>484.769</v>
      </c>
      <c r="H288" s="253" t="n">
        <v>504.117</v>
      </c>
      <c r="I288" s="253" t="n">
        <v>557.559</v>
      </c>
      <c r="J288" s="253" t="n">
        <v>664.948</v>
      </c>
      <c r="K288" s="253" t="n">
        <v>698.011</v>
      </c>
      <c r="L288" s="253" t="n">
        <v>666.971</v>
      </c>
      <c r="M288" s="253" t="n">
        <v>823.178</v>
      </c>
      <c r="N288" s="253" t="n">
        <v>858.8049999999999</v>
      </c>
      <c r="O288" s="253" t="n">
        <v>796.438</v>
      </c>
      <c r="P288" s="253" t="n">
        <v>902.616</v>
      </c>
      <c r="Q288" s="253" t="n">
        <v>902.616</v>
      </c>
      <c r="R288" s="253" t="n">
        <v>898.329</v>
      </c>
      <c r="S288" s="253" t="n">
        <v>944.759</v>
      </c>
      <c r="T288" s="253" t="n">
        <v>986.58</v>
      </c>
      <c r="U288" s="253" t="n">
        <v>1316.64</v>
      </c>
      <c r="V288" s="253" t="n">
        <v>1316.64</v>
      </c>
      <c r="W288" s="253" t="n">
        <v>1391.029</v>
      </c>
      <c r="X288" s="253" t="n">
        <v>1056.369</v>
      </c>
      <c r="Y288" s="253" t="n">
        <v>993.5119999999999</v>
      </c>
      <c r="Z288" s="253" t="n">
        <v>1050.67</v>
      </c>
      <c r="AA288" s="253" t="n">
        <v>1050.67</v>
      </c>
      <c r="AB288" s="253" t="n">
        <v>1138.961</v>
      </c>
      <c r="AC288" s="253" t="n">
        <v>1025.043</v>
      </c>
      <c r="AD288" s="253" t="n">
        <v>946.127</v>
      </c>
      <c r="AE288" s="253" t="n">
        <v>987</v>
      </c>
      <c r="AF288" s="253" t="n">
        <v>987</v>
      </c>
      <c r="AG288" s="253" t="n">
        <v>949</v>
      </c>
      <c r="AH288" s="253" t="n">
        <v>1001</v>
      </c>
      <c r="AI288" s="253" t="n">
        <v>866</v>
      </c>
      <c r="AJ288" s="253" t="n">
        <v>909</v>
      </c>
      <c r="AK288" s="253" t="n">
        <v>909</v>
      </c>
      <c r="AL288" s="253" t="n">
        <v>1192</v>
      </c>
      <c r="AM288" s="35" t="n"/>
      <c r="AN288" s="35" t="n"/>
      <c r="AO288" s="35" t="n"/>
      <c r="AP288" s="254">
        <f>AP307*AP310</f>
        <v>1159.0075094084</v>
      </c>
      <c r="AQ288" s="254">
        <f>AQ307*AQ310</f>
        <v>1195.26998522455</v>
      </c>
      <c r="AR288" s="254">
        <f>AR307*AR310</f>
        <v>1250.8559387683</v>
      </c>
      <c r="AS288" s="254">
        <f>AS307*AS310</f>
        <v>1314.40102927212</v>
      </c>
      <c r="AT288" s="254">
        <f>AT307*AT310</f>
        <v>1383.46980155124</v>
      </c>
      <c r="AU288" s="19" t="n"/>
    </row>
    <row r="289" ht="15" customHeight="1" s="251">
      <c r="B289" s="25" t="inlineStr">
        <is>
          <t xml:space="preserve">  Accrued compensation and benefits</t>
        </is>
      </c>
      <c r="C289" s="253" t="n">
        <v>357.872</v>
      </c>
      <c r="D289" s="253" t="n">
        <v>385.433</v>
      </c>
      <c r="E289" s="253" t="n">
        <v>331.44</v>
      </c>
      <c r="F289" s="253" t="n">
        <v>279.239</v>
      </c>
      <c r="G289" s="253" t="n">
        <v>241.367</v>
      </c>
      <c r="H289" s="253" t="n">
        <v>263.816</v>
      </c>
      <c r="I289" s="253" t="n">
        <v>282.75</v>
      </c>
      <c r="J289" s="253" t="n">
        <v>325.553</v>
      </c>
      <c r="K289" s="253" t="n">
        <v>348.775</v>
      </c>
      <c r="L289" s="253" t="n">
        <v>425.615</v>
      </c>
      <c r="M289" s="253" t="n">
        <v>337.379</v>
      </c>
      <c r="N289" s="253" t="n">
        <v>384.694</v>
      </c>
      <c r="O289" s="253" t="n">
        <v>404.678</v>
      </c>
      <c r="P289" s="253" t="n">
        <v>438.634</v>
      </c>
      <c r="Q289" s="253" t="n">
        <v>438.634</v>
      </c>
      <c r="R289" s="253" t="n">
        <v>361.119</v>
      </c>
      <c r="S289" s="253" t="n">
        <v>394.152</v>
      </c>
      <c r="T289" s="253" t="n">
        <v>430.135</v>
      </c>
      <c r="U289" s="253" t="n">
        <v>445.205</v>
      </c>
      <c r="V289" s="253" t="n">
        <v>445.205</v>
      </c>
      <c r="W289" s="253" t="n">
        <v>372.506</v>
      </c>
      <c r="X289" s="253" t="n">
        <v>435.576</v>
      </c>
      <c r="Y289" s="253" t="n">
        <v>474.786</v>
      </c>
      <c r="Z289" s="253" t="n">
        <v>506.13</v>
      </c>
      <c r="AA289" s="253" t="n">
        <v>506.13</v>
      </c>
      <c r="AB289" s="253" t="n">
        <v>407.427</v>
      </c>
      <c r="AC289" s="253" t="n">
        <v>680.497</v>
      </c>
      <c r="AD289" s="253" t="n">
        <v>706.894</v>
      </c>
      <c r="AE289" s="253" t="n">
        <v>702</v>
      </c>
      <c r="AF289" s="253" t="n">
        <v>702</v>
      </c>
      <c r="AG289" s="253" t="n">
        <v>656</v>
      </c>
      <c r="AH289" s="253" t="n">
        <v>675</v>
      </c>
      <c r="AI289" s="253" t="n">
        <v>670</v>
      </c>
      <c r="AJ289" s="253" t="n">
        <v>641</v>
      </c>
      <c r="AK289" s="253" t="n">
        <v>641</v>
      </c>
      <c r="AL289" s="253" t="n">
        <v>607</v>
      </c>
      <c r="AM289" s="35" t="n"/>
      <c r="AN289" s="35" t="n"/>
      <c r="AO289" s="35" t="n"/>
      <c r="AP289" s="254">
        <f>AP307*AP313</f>
        <v>660.006978021978</v>
      </c>
      <c r="AQ289" s="254">
        <f>AQ307*AQ313</f>
        <v>680.656962499844</v>
      </c>
      <c r="AR289" s="254">
        <f>AR307*AR313</f>
        <v>712.310870624742</v>
      </c>
      <c r="AS289" s="254">
        <f>AS307*AS313</f>
        <v>748.497179005923</v>
      </c>
      <c r="AT289" s="254">
        <f>AT307*AT313</f>
        <v>787.828996356181</v>
      </c>
      <c r="AU289" s="19" t="n"/>
    </row>
    <row r="290" ht="15" customHeight="1" s="251">
      <c r="B290" s="25" t="inlineStr">
        <is>
          <t xml:space="preserve">  Operating lease liabilities (current) &amp; other current liabilities (derived)</t>
        </is>
      </c>
      <c r="C290" s="253" t="n">
        <v>70.123</v>
      </c>
      <c r="D290" s="253" t="n">
        <v>72.586</v>
      </c>
      <c r="E290" s="253" t="n">
        <v>23.169</v>
      </c>
      <c r="F290" s="253" t="n">
        <v>30.877</v>
      </c>
      <c r="G290" s="253" t="n">
        <v>100.964</v>
      </c>
      <c r="H290" s="253" t="n">
        <v>140.318</v>
      </c>
      <c r="I290" s="253" t="n">
        <v>132.757</v>
      </c>
      <c r="J290" s="253" t="n">
        <v>130.814</v>
      </c>
      <c r="K290" s="253" t="n">
        <v>103.027</v>
      </c>
      <c r="L290" s="253" t="n">
        <v>120.654</v>
      </c>
      <c r="M290" s="253" t="n">
        <v>132.491</v>
      </c>
      <c r="N290" s="253" t="n">
        <v>125.406</v>
      </c>
      <c r="O290" s="253" t="n">
        <v>122.859</v>
      </c>
      <c r="P290" s="253" t="n">
        <v>124.325</v>
      </c>
      <c r="Q290" s="253" t="n">
        <v>124.325</v>
      </c>
      <c r="R290" s="253" t="n">
        <v>188.164</v>
      </c>
      <c r="S290" s="253" t="n">
        <v>120.019</v>
      </c>
      <c r="T290" s="253" t="n">
        <v>124.754</v>
      </c>
      <c r="U290" s="253" t="n">
        <v>93.959</v>
      </c>
      <c r="V290" s="253" t="n">
        <v>93.959</v>
      </c>
      <c r="W290" s="253" t="n">
        <v>112.67</v>
      </c>
      <c r="X290" s="253" t="n">
        <v>72.54600000000001</v>
      </c>
      <c r="Y290" s="253" t="n">
        <v>77.547</v>
      </c>
      <c r="Z290" s="253" t="n">
        <v>73.515</v>
      </c>
      <c r="AA290" s="253" t="n">
        <v>73.515</v>
      </c>
      <c r="AB290" s="253" t="n">
        <v>118.362</v>
      </c>
      <c r="AC290" s="253" t="n">
        <v>86.815</v>
      </c>
      <c r="AD290" s="253" t="n">
        <v>78.80800000000001</v>
      </c>
      <c r="AE290" s="253" t="n">
        <v>74</v>
      </c>
      <c r="AF290" s="253" t="n">
        <v>74</v>
      </c>
      <c r="AG290" s="253" t="n">
        <v>72</v>
      </c>
      <c r="AH290" s="253" t="n">
        <v>75</v>
      </c>
      <c r="AI290" s="253" t="n">
        <v>84</v>
      </c>
      <c r="AJ290" s="253" t="n">
        <v>94</v>
      </c>
      <c r="AK290" s="253" t="n">
        <v>94</v>
      </c>
      <c r="AL290" s="253" t="n">
        <v>88</v>
      </c>
      <c r="AM290" s="35" t="n"/>
      <c r="AN290" s="35" t="n"/>
      <c r="AO290" s="35" t="n"/>
      <c r="AP290" s="254">
        <f>AP307*AP314</f>
        <v>97.0938461538461</v>
      </c>
      <c r="AQ290" s="254">
        <f>AQ307*AQ314</f>
        <v>100.131672241658</v>
      </c>
      <c r="AR290" s="254">
        <f>AR307*AR314</f>
        <v>104.788289198736</v>
      </c>
      <c r="AS290" s="254">
        <f>AS307*AS314</f>
        <v>110.11166906567</v>
      </c>
      <c r="AT290" s="254">
        <f>AT307*AT314</f>
        <v>115.897785803711</v>
      </c>
      <c r="AU290" s="19" t="n"/>
    </row>
    <row r="291" ht="15" customHeight="1" s="251">
      <c r="B291" s="16" t="inlineStr">
        <is>
          <t>Total current liabilities</t>
        </is>
      </c>
      <c r="C291" s="295">
        <f>IF(ISNUMBER(C287),SUM(C287:C290),"")</f>
        <v>914.446</v>
      </c>
      <c r="D291" s="295">
        <f>IF(ISNUMBER(D287),SUM(D287:D290),"")</f>
        <v>964.646</v>
      </c>
      <c r="E291" s="295">
        <f>IF(ISNUMBER(E287),SUM(E287:E290),"")</f>
        <v>917.104</v>
      </c>
      <c r="F291" s="295">
        <f>IF(ISNUMBER(F287),SUM(F287:F290),"")</f>
        <v>848.994</v>
      </c>
      <c r="G291" s="295">
        <f>IF(ISNUMBER(G287),SUM(G287:G290),"")</f>
        <v>939.913</v>
      </c>
      <c r="H291" s="295">
        <f>IF(ISNUMBER(H287),SUM(H287:H290),"")</f>
        <v>1101.401</v>
      </c>
      <c r="I291" s="295">
        <f>IF(ISNUMBER(I287),SUM(I287:I290),"")</f>
        <v>1036.166</v>
      </c>
      <c r="J291" s="295">
        <f>IF(ISNUMBER(J287),SUM(J287:J290),"")</f>
        <v>1179.239</v>
      </c>
      <c r="K291" s="295">
        <f>IF(ISNUMBER(K287),SUM(K287:K290),"")</f>
        <v>1327.678</v>
      </c>
      <c r="L291" s="295">
        <f>IF(ISNUMBER(L287),SUM(L287:L290),"")</f>
        <v>1291.105</v>
      </c>
      <c r="M291" s="295">
        <f>IF(ISNUMBER(M287),SUM(M287:M290),"")</f>
        <v>1370.913</v>
      </c>
      <c r="N291" s="295">
        <f>IF(ISNUMBER(N287),SUM(N287:N290),"")</f>
        <v>1437.284</v>
      </c>
      <c r="O291" s="295">
        <f>IF(ISNUMBER(O287),SUM(O287:O290),"")</f>
        <v>1392.354</v>
      </c>
      <c r="P291" s="295">
        <f>IF(ISNUMBER(P287),SUM(P287:P290),"")</f>
        <v>1533.954</v>
      </c>
      <c r="Q291" s="295">
        <f>IF(ISNUMBER(Q287),SUM(Q287:Q290),"")</f>
        <v>1533.954</v>
      </c>
      <c r="R291" s="295">
        <f>IF(ISNUMBER(R287),SUM(R287:R290),"")</f>
        <v>1515.991</v>
      </c>
      <c r="S291" s="295">
        <f>IF(ISNUMBER(S287),SUM(S287:S290),"")</f>
        <v>1500.18</v>
      </c>
      <c r="T291" s="295">
        <f>IF(ISNUMBER(T287),SUM(T287:T290),"")</f>
        <v>1582.719</v>
      </c>
      <c r="U291" s="295">
        <f>IF(ISNUMBER(U287),SUM(U287:U290),"")</f>
        <v>1897.054</v>
      </c>
      <c r="V291" s="295">
        <f>IF(ISNUMBER(V287),SUM(V287:V290),"")</f>
        <v>1897.054</v>
      </c>
      <c r="W291" s="295">
        <f>IF(ISNUMBER(W287),SUM(W287:W290),"")</f>
        <v>1992.455</v>
      </c>
      <c r="X291" s="295">
        <f>IF(ISNUMBER(X287),SUM(X287:X290),"")</f>
        <v>1605.741</v>
      </c>
      <c r="Y291" s="295">
        <f>IF(ISNUMBER(Y287),SUM(Y287:Y290),"")</f>
        <v>1597.408</v>
      </c>
      <c r="Z291" s="295">
        <f>IF(ISNUMBER(Z287),SUM(Z287:Z290),"")</f>
        <v>1692.19</v>
      </c>
      <c r="AA291" s="295">
        <f>IF(ISNUMBER(AA287),SUM(AA287:AA290),"")</f>
        <v>1692.19</v>
      </c>
      <c r="AB291" s="295">
        <f>IF(ISNUMBER(AB287),SUM(AB287:AB290),"")</f>
        <v>1736.938</v>
      </c>
      <c r="AC291" s="295">
        <f>IF(ISNUMBER(AC287),SUM(AC287:AC290),"")</f>
        <v>1874.855</v>
      </c>
      <c r="AD291" s="295">
        <f>IF(ISNUMBER(AD287),SUM(AD287:AD290),"")</f>
        <v>1814.329</v>
      </c>
      <c r="AE291" s="295">
        <f>IF(ISNUMBER(AE287),SUM(AE287:AE290),"")</f>
        <v>1846</v>
      </c>
      <c r="AF291" s="295">
        <f>IF(ISNUMBER(AF287),SUM(AF287:AF290),"")</f>
        <v>1846</v>
      </c>
      <c r="AG291" s="295">
        <f>IF(ISNUMBER(AG287),SUM(AG287:AG290),"")</f>
        <v>1760</v>
      </c>
      <c r="AH291" s="295">
        <f>IF(ISNUMBER(AH287),SUM(AH287:AH290),"")</f>
        <v>1834</v>
      </c>
      <c r="AI291" s="295">
        <f>IF(ISNUMBER(AI287),SUM(AI287:AI290),"")</f>
        <v>1703</v>
      </c>
      <c r="AJ291" s="295">
        <f>IF(ISNUMBER(AJ287),SUM(AJ287:AJ290),"")</f>
        <v>1663</v>
      </c>
      <c r="AK291" s="295">
        <f>IF(ISNUMBER(AK287),SUM(AK287:AK290),"")</f>
        <v>1663</v>
      </c>
      <c r="AL291" s="295">
        <f>IF(ISNUMBER(AL287),SUM(AL287:AL290),"")</f>
        <v>1906</v>
      </c>
      <c r="AM291" s="32" t="n"/>
      <c r="AN291" s="32" t="n"/>
      <c r="AO291" s="32" t="n"/>
      <c r="AP291" s="265">
        <f>IF(ISNUMBER(AP287),SUM(AP287:AP290),"")</f>
        <v>1939.50833358422</v>
      </c>
      <c r="AQ291" s="265">
        <f>IF(ISNUMBER(AQ287),SUM(AQ287:AQ290),"")</f>
        <v>2820.92350963239</v>
      </c>
      <c r="AR291" s="265">
        <f>IF(ISNUMBER(AR287),SUM(AR287:AR290),"")</f>
        <v>3687.69085554078</v>
      </c>
      <c r="AS291" s="265">
        <f>IF(ISNUMBER(AS287),SUM(AS287:AS290),"")</f>
        <v>3492.48803516028</v>
      </c>
      <c r="AT291" s="265">
        <f>IF(ISNUMBER(AT287),SUM(AT287:AT290),"")</f>
        <v>3288.94803355999</v>
      </c>
      <c r="AU291" s="153" t="n"/>
    </row>
    <row r="292" ht="15" customHeight="1" s="251">
      <c r="B292" s="25" t="inlineStr">
        <is>
          <t xml:space="preserve">  Long-term debt, net of current portion</t>
        </is>
      </c>
      <c r="C292" s="253" t="n">
        <v>922.925</v>
      </c>
      <c r="D292" s="253" t="n">
        <v>1659.611</v>
      </c>
      <c r="E292" s="253" t="n">
        <v>1585.231</v>
      </c>
      <c r="F292" s="253" t="n">
        <v>1569.272</v>
      </c>
      <c r="G292" s="253" t="n">
        <v>1484.448</v>
      </c>
      <c r="H292" s="253" t="n">
        <v>1470.174</v>
      </c>
      <c r="I292" s="253" t="n">
        <v>1755.479</v>
      </c>
      <c r="J292" s="253" t="n">
        <v>1701.837</v>
      </c>
      <c r="K292" s="253" t="n">
        <v>2007.979</v>
      </c>
      <c r="L292" s="253" t="n">
        <v>2278.731</v>
      </c>
      <c r="M292" s="253" t="n">
        <v>2770.791</v>
      </c>
      <c r="N292" s="253" t="n">
        <v>2764.083</v>
      </c>
      <c r="O292" s="253" t="n">
        <v>2747.892</v>
      </c>
      <c r="P292" s="253" t="n">
        <v>2731.693</v>
      </c>
      <c r="Q292" s="253" t="n">
        <v>2731.693</v>
      </c>
      <c r="R292" s="253" t="n">
        <v>2715.497</v>
      </c>
      <c r="S292" s="253" t="n">
        <v>2790.011</v>
      </c>
      <c r="T292" s="253" t="n">
        <v>2780.461</v>
      </c>
      <c r="U292" s="253" t="n">
        <v>2770.895</v>
      </c>
      <c r="V292" s="253" t="n">
        <v>2770.895</v>
      </c>
      <c r="W292" s="253" t="n">
        <v>2761.333</v>
      </c>
      <c r="X292" s="253" t="n">
        <v>3389.152</v>
      </c>
      <c r="Y292" s="253" t="n">
        <v>3369.543</v>
      </c>
      <c r="Z292" s="253" t="n">
        <v>3349.941</v>
      </c>
      <c r="AA292" s="253" t="n">
        <v>3349.941</v>
      </c>
      <c r="AB292" s="253" t="n">
        <v>3330.351</v>
      </c>
      <c r="AC292" s="253" t="n">
        <v>3310.775</v>
      </c>
      <c r="AD292" s="253" t="n">
        <v>3291.215</v>
      </c>
      <c r="AE292" s="253" t="n">
        <v>3915</v>
      </c>
      <c r="AF292" s="253" t="n">
        <v>3915</v>
      </c>
      <c r="AG292" s="253" t="n">
        <v>3896</v>
      </c>
      <c r="AH292" s="253" t="n">
        <v>3877</v>
      </c>
      <c r="AI292" s="253" t="n">
        <v>3857</v>
      </c>
      <c r="AJ292" s="253" t="n">
        <v>3921</v>
      </c>
      <c r="AK292" s="253" t="n">
        <v>3921</v>
      </c>
      <c r="AL292" s="253" t="n">
        <v>3917</v>
      </c>
      <c r="AM292" s="35" t="n"/>
      <c r="AN292" s="35" t="n"/>
      <c r="AO292" s="35" t="n"/>
      <c r="AP292" s="254">
        <f>AP332-AP287</f>
        <v>4384.5</v>
      </c>
      <c r="AQ292" s="254">
        <f>AQ332-AQ287</f>
        <v>3647</v>
      </c>
      <c r="AR292" s="254">
        <f>AR332-AR287</f>
        <v>3109.5</v>
      </c>
      <c r="AS292" s="254">
        <f>AS332-AS287</f>
        <v>3676</v>
      </c>
      <c r="AT292" s="254">
        <f>AT332-AT287</f>
        <v>4281.4</v>
      </c>
      <c r="AU292" s="19" t="n"/>
    </row>
    <row r="293" ht="15" customHeight="1" s="251">
      <c r="B293" s="25" t="inlineStr">
        <is>
          <t xml:space="preserve">  Operating lease liabilities, net of current portion</t>
        </is>
      </c>
      <c r="C293" s="253" t="n">
        <v>0</v>
      </c>
      <c r="D293" s="253" t="n">
        <v>0</v>
      </c>
      <c r="E293" s="253" t="n">
        <v>0</v>
      </c>
      <c r="F293" s="253" t="n">
        <v>0</v>
      </c>
      <c r="G293" s="253" t="n">
        <v>0</v>
      </c>
      <c r="H293" s="253" t="n">
        <v>0</v>
      </c>
      <c r="I293" s="253" t="n">
        <v>0</v>
      </c>
      <c r="J293" s="253" t="n">
        <v>0</v>
      </c>
      <c r="K293" s="253" t="n">
        <v>270.266</v>
      </c>
      <c r="L293" s="253" t="n">
        <v>263.144</v>
      </c>
      <c r="M293" s="253" t="n">
        <v>259.707</v>
      </c>
      <c r="N293" s="253" t="n">
        <v>254.103</v>
      </c>
      <c r="O293" s="253" t="n">
        <v>250.792</v>
      </c>
      <c r="P293" s="253" t="n">
        <v>247.07</v>
      </c>
      <c r="Q293" s="253" t="n">
        <v>247.07</v>
      </c>
      <c r="R293" s="253" t="n">
        <v>229.998</v>
      </c>
      <c r="S293" s="253" t="n">
        <v>212.129</v>
      </c>
      <c r="T293" s="253" t="n">
        <v>199.439</v>
      </c>
      <c r="U293" s="253" t="n">
        <v>198.144</v>
      </c>
      <c r="V293" s="253" t="n">
        <v>198.144</v>
      </c>
      <c r="W293" s="253" t="n">
        <v>195.473</v>
      </c>
      <c r="X293" s="253" t="n">
        <v>180.031</v>
      </c>
      <c r="Y293" s="253" t="n">
        <v>165.169</v>
      </c>
      <c r="Z293" s="253" t="n">
        <v>182.134</v>
      </c>
      <c r="AA293" s="253" t="n">
        <v>182.134</v>
      </c>
      <c r="AB293" s="253" t="n">
        <v>181.049</v>
      </c>
      <c r="AC293" s="253" t="n">
        <v>169.701</v>
      </c>
      <c r="AD293" s="253" t="n">
        <v>181.679</v>
      </c>
      <c r="AE293" s="253" t="n">
        <v>180</v>
      </c>
      <c r="AF293" s="253" t="n">
        <v>180</v>
      </c>
      <c r="AG293" s="253" t="n">
        <v>164</v>
      </c>
      <c r="AH293" s="253" t="n">
        <v>160</v>
      </c>
      <c r="AI293" s="253" t="n">
        <v>156</v>
      </c>
      <c r="AJ293" s="253" t="n">
        <v>139</v>
      </c>
      <c r="AK293" s="253" t="n">
        <v>139</v>
      </c>
      <c r="AL293" s="253" t="n">
        <v>195</v>
      </c>
      <c r="AM293" s="35" t="n"/>
      <c r="AN293" s="35" t="n"/>
      <c r="AO293" s="35" t="n"/>
      <c r="AP293" s="254">
        <f>AL293</f>
        <v>195</v>
      </c>
      <c r="AQ293" s="254">
        <f>AP293</f>
        <v>195</v>
      </c>
      <c r="AR293" s="254">
        <f>AQ293</f>
        <v>195</v>
      </c>
      <c r="AS293" s="254">
        <f>AR293</f>
        <v>195</v>
      </c>
      <c r="AT293" s="254">
        <f>AS293</f>
        <v>195</v>
      </c>
      <c r="AU293" s="19" t="n"/>
    </row>
    <row r="294" ht="15" customHeight="1" s="251">
      <c r="B294" s="25" t="inlineStr">
        <is>
          <t xml:space="preserve">  Deferred tax liabilities &amp; other long-term liabilities (derived)</t>
        </is>
      </c>
      <c r="C294" s="253" t="n">
        <v>292.235</v>
      </c>
      <c r="D294" s="253" t="n">
        <v>326.478</v>
      </c>
      <c r="E294" s="253" t="n">
        <v>266.847</v>
      </c>
      <c r="F294" s="253" t="n">
        <v>272.729</v>
      </c>
      <c r="G294" s="253" t="n">
        <v>177.322</v>
      </c>
      <c r="H294" s="253" t="n">
        <v>227.939</v>
      </c>
      <c r="I294" s="253" t="n">
        <v>257.093</v>
      </c>
      <c r="J294" s="253" t="n">
        <v>275.399</v>
      </c>
      <c r="K294" s="253" t="n">
        <v>331.687</v>
      </c>
      <c r="L294" s="253" t="n">
        <v>595.4450000000001</v>
      </c>
      <c r="M294" s="253" t="n">
        <v>559.998</v>
      </c>
      <c r="N294" s="253" t="n">
        <v>522.224</v>
      </c>
      <c r="O294" s="253" t="n">
        <v>478.741</v>
      </c>
      <c r="P294" s="253" t="n">
        <v>466.137</v>
      </c>
      <c r="Q294" s="253" t="n">
        <v>466.137</v>
      </c>
      <c r="R294" s="253" t="n">
        <v>401.789</v>
      </c>
      <c r="S294" s="253" t="n">
        <v>484.802</v>
      </c>
      <c r="T294" s="253" t="n">
        <v>577.431</v>
      </c>
      <c r="U294" s="253" t="n">
        <v>692.557</v>
      </c>
      <c r="V294" s="253" t="n">
        <v>692.557</v>
      </c>
      <c r="W294" s="253" t="n">
        <v>799.985</v>
      </c>
      <c r="X294" s="253" t="n">
        <v>915.5549999999999</v>
      </c>
      <c r="Y294" s="253" t="n">
        <v>256.365</v>
      </c>
      <c r="Z294" s="253" t="n">
        <v>292.861</v>
      </c>
      <c r="AA294" s="253" t="n">
        <v>292.861</v>
      </c>
      <c r="AB294" s="253" t="n">
        <v>308.508</v>
      </c>
      <c r="AC294" s="253" t="n">
        <v>322.274</v>
      </c>
      <c r="AD294" s="253" t="n">
        <v>323.849</v>
      </c>
      <c r="AE294" s="253" t="n">
        <v>368</v>
      </c>
      <c r="AF294" s="253" t="n">
        <v>368</v>
      </c>
      <c r="AG294" s="253" t="n">
        <v>285</v>
      </c>
      <c r="AH294" s="253" t="n">
        <v>286</v>
      </c>
      <c r="AI294" s="253" t="n">
        <v>310</v>
      </c>
      <c r="AJ294" s="253" t="n">
        <v>290</v>
      </c>
      <c r="AK294" s="253" t="n">
        <v>290</v>
      </c>
      <c r="AL294" s="253" t="n">
        <v>390</v>
      </c>
      <c r="AM294" s="35" t="n"/>
      <c r="AN294" s="35" t="n"/>
      <c r="AO294" s="35" t="n"/>
      <c r="AP294" s="254">
        <f>AL294+(AP233-AL233)</f>
        <v>390</v>
      </c>
      <c r="AQ294" s="254">
        <f>AP294+AQ233</f>
        <v>400</v>
      </c>
      <c r="AR294" s="254">
        <f>AQ294+AR233</f>
        <v>410</v>
      </c>
      <c r="AS294" s="254">
        <f>AR294+AS233</f>
        <v>420</v>
      </c>
      <c r="AT294" s="254">
        <f>AS294+AT233</f>
        <v>430</v>
      </c>
      <c r="AU294" s="19" t="n"/>
    </row>
    <row r="295" ht="15" customHeight="1" s="251">
      <c r="B295" s="16" t="inlineStr">
        <is>
          <t>Total liabilities</t>
        </is>
      </c>
      <c r="C295" s="295">
        <f>IF(ISNUMBER(C287),C291+SUM(C292:C294),"")</f>
        <v>2129.606</v>
      </c>
      <c r="D295" s="295">
        <f>IF(ISNUMBER(D287),D291+SUM(D292:D294),"")</f>
        <v>2950.735</v>
      </c>
      <c r="E295" s="295">
        <f>IF(ISNUMBER(E287),E291+SUM(E292:E294),"")</f>
        <v>2769.182</v>
      </c>
      <c r="F295" s="295">
        <f>IF(ISNUMBER(F287),F291+SUM(F292:F294),"")</f>
        <v>2690.995</v>
      </c>
      <c r="G295" s="295">
        <f>IF(ISNUMBER(G287),G291+SUM(G292:G294),"")</f>
        <v>2601.683</v>
      </c>
      <c r="H295" s="295">
        <f>IF(ISNUMBER(H287),H291+SUM(H292:H294),"")</f>
        <v>2799.514</v>
      </c>
      <c r="I295" s="295">
        <f>IF(ISNUMBER(I287),I291+SUM(I292:I294),"")</f>
        <v>3048.738</v>
      </c>
      <c r="J295" s="295">
        <f>IF(ISNUMBER(J287),J291+SUM(J292:J294),"")</f>
        <v>3156.475</v>
      </c>
      <c r="K295" s="295">
        <f>IF(ISNUMBER(K287),K291+SUM(K292:K294),"")</f>
        <v>3937.61</v>
      </c>
      <c r="L295" s="295">
        <f>IF(ISNUMBER(L287),L291+SUM(L292:L294),"")</f>
        <v>4428.425</v>
      </c>
      <c r="M295" s="295">
        <f>IF(ISNUMBER(M287),M291+SUM(M292:M294),"")</f>
        <v>4961.409</v>
      </c>
      <c r="N295" s="295">
        <f>IF(ISNUMBER(N287),N291+SUM(N292:N294),"")</f>
        <v>4977.694</v>
      </c>
      <c r="O295" s="295">
        <f>IF(ISNUMBER(O287),O291+SUM(O292:O294),"")</f>
        <v>4869.779</v>
      </c>
      <c r="P295" s="295">
        <f>IF(ISNUMBER(P287),P291+SUM(P292:P294),"")</f>
        <v>4978.854</v>
      </c>
      <c r="Q295" s="295">
        <f>IF(ISNUMBER(Q287),Q291+SUM(Q292:Q294),"")</f>
        <v>4978.854</v>
      </c>
      <c r="R295" s="295">
        <f>IF(ISNUMBER(R287),R291+SUM(R292:R294),"")</f>
        <v>4863.275</v>
      </c>
      <c r="S295" s="295">
        <f>IF(ISNUMBER(S287),S291+SUM(S292:S294),"")</f>
        <v>4987.122</v>
      </c>
      <c r="T295" s="295">
        <f>IF(ISNUMBER(T287),T291+SUM(T292:T294),"")</f>
        <v>5140.05</v>
      </c>
      <c r="U295" s="295">
        <f>IF(ISNUMBER(U287),U291+SUM(U292:U294),"")</f>
        <v>5558.65</v>
      </c>
      <c r="V295" s="295">
        <f>IF(ISNUMBER(V287),V291+SUM(V292:V294),"")</f>
        <v>5558.65</v>
      </c>
      <c r="W295" s="295">
        <f>IF(ISNUMBER(W287),W291+SUM(W292:W294),"")</f>
        <v>5749.246</v>
      </c>
      <c r="X295" s="295">
        <f>IF(ISNUMBER(X287),X291+SUM(X292:X294),"")</f>
        <v>6090.479</v>
      </c>
      <c r="Y295" s="295">
        <f>IF(ISNUMBER(Y287),Y291+SUM(Y292:Y294),"")</f>
        <v>5388.485</v>
      </c>
      <c r="Z295" s="295">
        <f>IF(ISNUMBER(Z287),Z291+SUM(Z292:Z294),"")</f>
        <v>5517.126</v>
      </c>
      <c r="AA295" s="295">
        <f>IF(ISNUMBER(AA287),AA291+SUM(AA292:AA294),"")</f>
        <v>5517.126</v>
      </c>
      <c r="AB295" s="295">
        <f>IF(ISNUMBER(AB287),AB291+SUM(AB292:AB294),"")</f>
        <v>5556.846</v>
      </c>
      <c r="AC295" s="295">
        <f>IF(ISNUMBER(AC287),AC291+SUM(AC292:AC294),"")</f>
        <v>5677.605</v>
      </c>
      <c r="AD295" s="295">
        <f>IF(ISNUMBER(AD287),AD291+SUM(AD292:AD294),"")</f>
        <v>5611.072</v>
      </c>
      <c r="AE295" s="295">
        <f>IF(ISNUMBER(AE287),AE291+SUM(AE292:AE294),"")</f>
        <v>6309</v>
      </c>
      <c r="AF295" s="295">
        <f>IF(ISNUMBER(AF287),AF291+SUM(AF292:AF294),"")</f>
        <v>6309</v>
      </c>
      <c r="AG295" s="295">
        <f>IF(ISNUMBER(AG287),AG291+SUM(AG292:AG294),"")</f>
        <v>6105</v>
      </c>
      <c r="AH295" s="295">
        <f>IF(ISNUMBER(AH287),AH291+SUM(AH292:AH294),"")</f>
        <v>6157</v>
      </c>
      <c r="AI295" s="295">
        <f>IF(ISNUMBER(AI287),AI291+SUM(AI292:AI294),"")</f>
        <v>6026</v>
      </c>
      <c r="AJ295" s="295">
        <f>IF(ISNUMBER(AJ287),AJ291+SUM(AJ292:AJ294),"")</f>
        <v>6013</v>
      </c>
      <c r="AK295" s="295">
        <f>IF(ISNUMBER(AK287),AK291+SUM(AK292:AK294),"")</f>
        <v>6013</v>
      </c>
      <c r="AL295" s="295">
        <f>IF(ISNUMBER(AL287),AL291+SUM(AL292:AL294),"")</f>
        <v>6408</v>
      </c>
      <c r="AM295" s="32" t="n"/>
      <c r="AN295" s="32" t="n"/>
      <c r="AO295" s="32" t="n"/>
      <c r="AP295" s="265">
        <f>IF(ISNUMBER(AP287),AP291+SUM(AP292:AP294),"")</f>
        <v>6909.00833358423</v>
      </c>
      <c r="AQ295" s="265">
        <f>IF(ISNUMBER(AQ287),AQ291+SUM(AQ292:AQ294),"")</f>
        <v>7062.92350963239</v>
      </c>
      <c r="AR295" s="265">
        <f>IF(ISNUMBER(AR287),AR291+SUM(AR292:AR294),"")</f>
        <v>7402.19085554078</v>
      </c>
      <c r="AS295" s="265">
        <f>IF(ISNUMBER(AS287),AS291+SUM(AS292:AS294),"")</f>
        <v>7783.48803516028</v>
      </c>
      <c r="AT295" s="265">
        <f>IF(ISNUMBER(AT287),AT291+SUM(AT292:AT294),"")</f>
        <v>8195.34803355999</v>
      </c>
      <c r="AU295" s="153" t="n"/>
    </row>
    <row r="296" ht="15" customHeight="1" s="251">
      <c r="B296" s="25" t="inlineStr">
        <is>
          <t xml:space="preserve">  Stockholders' equity (attributable to common stockholders)</t>
        </is>
      </c>
      <c r="C296" s="253" t="n">
        <v>1185.185</v>
      </c>
      <c r="D296" s="253" t="n">
        <v>226.793</v>
      </c>
      <c r="E296" s="253" t="n">
        <v>171.636</v>
      </c>
      <c r="F296" s="253" t="n">
        <v>186.498</v>
      </c>
      <c r="G296" s="253" t="n">
        <v>408.488</v>
      </c>
      <c r="H296" s="253" t="n">
        <v>573.591</v>
      </c>
      <c r="I296" s="253" t="n">
        <v>554.628</v>
      </c>
      <c r="J296" s="253" t="n">
        <v>675.366</v>
      </c>
      <c r="K296" s="253" t="n">
        <v>856.356</v>
      </c>
      <c r="L296" s="253" t="n">
        <v>1071.176</v>
      </c>
      <c r="M296" s="253" t="n">
        <v>1023.533</v>
      </c>
      <c r="N296" s="253" t="n">
        <v>1048.098</v>
      </c>
      <c r="O296" s="253" t="n">
        <v>1074.254</v>
      </c>
      <c r="P296" s="253" t="n">
        <v>1046.721</v>
      </c>
      <c r="Q296" s="253" t="n">
        <v>1046.721</v>
      </c>
      <c r="R296" s="253" t="n">
        <v>1099.124</v>
      </c>
      <c r="S296" s="253" t="n">
        <v>1218.535</v>
      </c>
      <c r="T296" s="253" t="n">
        <v>1205.679</v>
      </c>
      <c r="U296" s="253" t="n">
        <v>992.002</v>
      </c>
      <c r="V296" s="253" t="n">
        <v>992.002</v>
      </c>
      <c r="W296" s="253" t="n">
        <v>1017.071</v>
      </c>
      <c r="X296" s="253" t="n">
        <v>1072.13</v>
      </c>
      <c r="Y296" s="253" t="n">
        <v>1086.243</v>
      </c>
      <c r="Z296" s="253" t="n">
        <v>1046.562</v>
      </c>
      <c r="AA296" s="253" t="n">
        <v>1046.562</v>
      </c>
      <c r="AB296" s="253" t="n">
        <v>1083.941</v>
      </c>
      <c r="AC296" s="253" t="n">
        <v>1200.769</v>
      </c>
      <c r="AD296" s="253" t="n">
        <v>1209.917</v>
      </c>
      <c r="AE296" s="253" t="n">
        <v>1003</v>
      </c>
      <c r="AF296" s="253" t="n">
        <v>1003</v>
      </c>
      <c r="AG296" s="253" t="n">
        <v>1065</v>
      </c>
      <c r="AH296" s="253" t="n">
        <v>996</v>
      </c>
      <c r="AI296" s="253" t="n">
        <v>1025</v>
      </c>
      <c r="AJ296" s="253" t="n">
        <v>1105</v>
      </c>
      <c r="AK296" s="253" t="n">
        <v>1105</v>
      </c>
      <c r="AL296" s="253" t="n">
        <v>1202</v>
      </c>
      <c r="AM296" s="35" t="n"/>
      <c r="AN296" s="35" t="n"/>
      <c r="AO296" s="35" t="n"/>
      <c r="AP296" s="254">
        <f>AL296+((AM136+AN136+AO136))+(AP241-AL241)+(AP240-AL240)+(AP232-AL232)+(AP242-AL242)</f>
        <v>1426.9369640111</v>
      </c>
      <c r="AQ296" s="254">
        <f>AP296+AQ136+AQ241+AQ240+AQ232+AQ242</f>
        <v>1230.32882516919</v>
      </c>
      <c r="AR296" s="254">
        <f>AQ296+AR136+AR241+AR240+AR232+AR242</f>
        <v>1063.20344004777</v>
      </c>
      <c r="AS296" s="254">
        <f>AR296+AS136+AS241+AS240+AS232+AS242</f>
        <v>870.198876326865</v>
      </c>
      <c r="AT296" s="254">
        <f>AS296+AT136+AT241+AT240+AT232+AT242</f>
        <v>655.23319780492</v>
      </c>
      <c r="AU296" s="19" t="inlineStr">
        <is>
          <t>+ net income − dividends − repurchases (treasury stock) + stock-based compensation + stock issuance (AOCI held flat).</t>
        </is>
      </c>
    </row>
    <row r="297" ht="15" customHeight="1" s="251">
      <c r="B297" s="25" t="inlineStr">
        <is>
          <t xml:space="preserve">  Non-controlling interests (FY2022–25)</t>
        </is>
      </c>
      <c r="C297" s="253" t="n">
        <v>0</v>
      </c>
      <c r="D297" s="253" t="n">
        <v>0</v>
      </c>
      <c r="E297" s="253" t="n">
        <v>0</v>
      </c>
      <c r="F297" s="253" t="n">
        <v>0</v>
      </c>
      <c r="G297" s="253" t="n">
        <v>0</v>
      </c>
      <c r="H297" s="253" t="n">
        <v>0</v>
      </c>
      <c r="I297" s="253" t="n">
        <v>0</v>
      </c>
      <c r="J297" s="253" t="n">
        <v>0</v>
      </c>
      <c r="K297" s="253" t="n">
        <v>0</v>
      </c>
      <c r="L297" s="253" t="n">
        <v>0</v>
      </c>
      <c r="M297" s="253" t="n">
        <v>0</v>
      </c>
      <c r="N297" s="253" t="n">
        <v>0</v>
      </c>
      <c r="O297" s="253" t="n">
        <v>0</v>
      </c>
      <c r="P297" s="253" t="n">
        <v>0</v>
      </c>
      <c r="Q297" s="253" t="n">
        <v>0</v>
      </c>
      <c r="R297" s="253" t="n">
        <v>0</v>
      </c>
      <c r="S297" s="253" t="n">
        <v>0</v>
      </c>
      <c r="T297" s="253" t="n">
        <v>0</v>
      </c>
      <c r="U297" s="253" t="n">
        <v>0</v>
      </c>
      <c r="V297" s="253" t="n">
        <v>0</v>
      </c>
      <c r="W297" s="253" t="n">
        <v>0</v>
      </c>
      <c r="X297" s="253" t="n">
        <v>0</v>
      </c>
      <c r="Y297" s="253" t="n">
        <v>0</v>
      </c>
      <c r="Z297" s="253" t="n">
        <v>0</v>
      </c>
      <c r="AA297" s="253" t="n">
        <v>0</v>
      </c>
      <c r="AB297" s="253" t="n">
        <v>0</v>
      </c>
      <c r="AC297" s="253" t="n">
        <v>0</v>
      </c>
      <c r="AD297" s="253" t="n">
        <v>0</v>
      </c>
      <c r="AE297" s="253" t="n">
        <v>0</v>
      </c>
      <c r="AF297" s="253" t="n">
        <v>0</v>
      </c>
      <c r="AG297" s="253" t="n">
        <v>0</v>
      </c>
      <c r="AH297" s="253" t="n">
        <v>0</v>
      </c>
      <c r="AI297" s="253" t="n">
        <v>0</v>
      </c>
      <c r="AJ297" s="253" t="n">
        <v>0</v>
      </c>
      <c r="AK297" s="253" t="n">
        <v>0</v>
      </c>
      <c r="AL297" s="253" t="n">
        <v>0</v>
      </c>
      <c r="AM297" s="35" t="n"/>
      <c r="AN297" s="35" t="n"/>
      <c r="AO297" s="35" t="n"/>
      <c r="AP297" s="254">
        <f>AL297</f>
        <v>0</v>
      </c>
      <c r="AQ297" s="254">
        <f>AP297</f>
        <v>0</v>
      </c>
      <c r="AR297" s="254">
        <f>AQ297</f>
        <v>0</v>
      </c>
      <c r="AS297" s="254">
        <f>AR297</f>
        <v>0</v>
      </c>
      <c r="AT297" s="254">
        <f>AS297</f>
        <v>0</v>
      </c>
      <c r="AU297" s="19" t="n"/>
    </row>
    <row r="298" ht="15" customHeight="1" s="251">
      <c r="B298" s="16" t="inlineStr">
        <is>
          <t>Total equity</t>
        </is>
      </c>
      <c r="C298" s="295">
        <f>IF(ISNUMBER(C296),C296+N(C297),"")</f>
        <v>1185.185</v>
      </c>
      <c r="D298" s="295">
        <f>IF(ISNUMBER(D296),D296+N(D297),"")</f>
        <v>226.793</v>
      </c>
      <c r="E298" s="295">
        <f>IF(ISNUMBER(E296),E296+N(E297),"")</f>
        <v>171.636</v>
      </c>
      <c r="F298" s="295">
        <f>IF(ISNUMBER(F296),F296+N(F297),"")</f>
        <v>186.498</v>
      </c>
      <c r="G298" s="295">
        <f>IF(ISNUMBER(G296),G296+N(G297),"")</f>
        <v>408.488</v>
      </c>
      <c r="H298" s="295">
        <f>IF(ISNUMBER(H296),H296+N(H297),"")</f>
        <v>573.591</v>
      </c>
      <c r="I298" s="295">
        <f>IF(ISNUMBER(I296),I296+N(I297),"")</f>
        <v>554.628</v>
      </c>
      <c r="J298" s="295">
        <f>IF(ISNUMBER(J296),J296+N(J297),"")</f>
        <v>675.366</v>
      </c>
      <c r="K298" s="295">
        <f>IF(ISNUMBER(K296),K296+N(K297),"")</f>
        <v>856.356</v>
      </c>
      <c r="L298" s="295">
        <f>IF(ISNUMBER(L296),L296+N(L297),"")</f>
        <v>1071.176</v>
      </c>
      <c r="M298" s="295">
        <f>IF(ISNUMBER(M296),M296+N(M297),"")</f>
        <v>1023.533</v>
      </c>
      <c r="N298" s="295">
        <f>IF(ISNUMBER(N296),N296+N(N297),"")</f>
        <v>1048.098</v>
      </c>
      <c r="O298" s="295">
        <f>IF(ISNUMBER(O296),O296+N(O297),"")</f>
        <v>1074.254</v>
      </c>
      <c r="P298" s="295">
        <f>IF(ISNUMBER(P296),P296+N(P297),"")</f>
        <v>1046.721</v>
      </c>
      <c r="Q298" s="295">
        <f>IF(ISNUMBER(Q296),Q296+N(Q297),"")</f>
        <v>1046.721</v>
      </c>
      <c r="R298" s="295">
        <f>IF(ISNUMBER(R296),R296+N(R297),"")</f>
        <v>1099.124</v>
      </c>
      <c r="S298" s="295">
        <f>IF(ISNUMBER(S296),S296+N(S297),"")</f>
        <v>1218.535</v>
      </c>
      <c r="T298" s="295">
        <f>IF(ISNUMBER(T296),T296+N(T297),"")</f>
        <v>1205.679</v>
      </c>
      <c r="U298" s="295">
        <f>IF(ISNUMBER(U296),U296+N(U297),"")</f>
        <v>992.002</v>
      </c>
      <c r="V298" s="295">
        <f>IF(ISNUMBER(V296),V296+N(V297),"")</f>
        <v>992.002</v>
      </c>
      <c r="W298" s="295">
        <f>IF(ISNUMBER(W296),W296+N(W297),"")</f>
        <v>1017.071</v>
      </c>
      <c r="X298" s="295">
        <f>IF(ISNUMBER(X296),X296+N(X297),"")</f>
        <v>1072.13</v>
      </c>
      <c r="Y298" s="295">
        <f>IF(ISNUMBER(Y296),Y296+N(Y297),"")</f>
        <v>1086.243</v>
      </c>
      <c r="Z298" s="295">
        <f>IF(ISNUMBER(Z296),Z296+N(Z297),"")</f>
        <v>1046.562</v>
      </c>
      <c r="AA298" s="295">
        <f>IF(ISNUMBER(AA296),AA296+N(AA297),"")</f>
        <v>1046.562</v>
      </c>
      <c r="AB298" s="295">
        <f>IF(ISNUMBER(AB296),AB296+N(AB297),"")</f>
        <v>1083.941</v>
      </c>
      <c r="AC298" s="295">
        <f>IF(ISNUMBER(AC296),AC296+N(AC297),"")</f>
        <v>1200.769</v>
      </c>
      <c r="AD298" s="295">
        <f>IF(ISNUMBER(AD296),AD296+N(AD297),"")</f>
        <v>1209.917</v>
      </c>
      <c r="AE298" s="295">
        <f>IF(ISNUMBER(AE296),AE296+N(AE297),"")</f>
        <v>1003</v>
      </c>
      <c r="AF298" s="295">
        <f>IF(ISNUMBER(AF296),AF296+N(AF297),"")</f>
        <v>1003</v>
      </c>
      <c r="AG298" s="295">
        <f>IF(ISNUMBER(AG296),AG296+N(AG297),"")</f>
        <v>1065</v>
      </c>
      <c r="AH298" s="295">
        <f>IF(ISNUMBER(AH296),AH296+N(AH297),"")</f>
        <v>996</v>
      </c>
      <c r="AI298" s="295">
        <f>IF(ISNUMBER(AI296),AI296+N(AI297),"")</f>
        <v>1025</v>
      </c>
      <c r="AJ298" s="295">
        <f>IF(ISNUMBER(AJ296),AJ296+N(AJ297),"")</f>
        <v>1105</v>
      </c>
      <c r="AK298" s="295">
        <f>IF(ISNUMBER(AK296),AK296+N(AK297),"")</f>
        <v>1105</v>
      </c>
      <c r="AL298" s="295">
        <f>IF(ISNUMBER(AL296),AL296+N(AL297),"")</f>
        <v>1202</v>
      </c>
      <c r="AM298" s="32" t="n"/>
      <c r="AN298" s="32" t="n"/>
      <c r="AO298" s="32" t="n"/>
      <c r="AP298" s="265">
        <f>IF(ISNUMBER(AP296),AP296+N(AP297),"")</f>
        <v>1426.9369640111</v>
      </c>
      <c r="AQ298" s="265">
        <f>IF(ISNUMBER(AQ296),AQ296+N(AQ297),"")</f>
        <v>1230.32882516919</v>
      </c>
      <c r="AR298" s="265">
        <f>IF(ISNUMBER(AR296),AR296+N(AR297),"")</f>
        <v>1063.20344004777</v>
      </c>
      <c r="AS298" s="265">
        <f>IF(ISNUMBER(AS296),AS296+N(AS297),"")</f>
        <v>870.198876326865</v>
      </c>
      <c r="AT298" s="265">
        <f>IF(ISNUMBER(AT296),AT296+N(AT297),"")</f>
        <v>655.23319780492</v>
      </c>
      <c r="AU298" s="153" t="n"/>
      <c r="AW298" s="20">
        <f>IFERROR((AT298/AK298)^(1/5)-1,"n/m")</f>
        <v>-0.099244913941567</v>
      </c>
      <c r="AX298" s="20">
        <f>IFERROR((AK298/L298)^(1/5)-1,"n/m")</f>
        <v>0.00623701459908044</v>
      </c>
      <c r="AY298" s="20">
        <f>IFERROR((AK298/G298)^(1/10)-1,"n/m")</f>
        <v>0.104633722958487</v>
      </c>
      <c r="AZ298" s="20">
        <f>IFERROR((AK298/C298)^(1/14)-1,"n/m")</f>
        <v>-0.00499132640832556</v>
      </c>
    </row>
    <row r="299" ht="15" customHeight="1" s="251">
      <c r="B299" s="55" t="inlineStr">
        <is>
          <t>TOTAL LIABILITIES AND STOCKHOLDERS' EQUITY</t>
        </is>
      </c>
      <c r="C299" s="285">
        <f>IF(ISNUMBER(C295),C295+C298,"")</f>
        <v>3314.791</v>
      </c>
      <c r="D299" s="285">
        <f>IF(ISNUMBER(D295),D295+D298,"")</f>
        <v>3177.528</v>
      </c>
      <c r="E299" s="285">
        <f>IF(ISNUMBER(E295),E295+E298,"")</f>
        <v>2940.818</v>
      </c>
      <c r="F299" s="285">
        <f>IF(ISNUMBER(F295),F295+F298,"")</f>
        <v>2877.493</v>
      </c>
      <c r="G299" s="285">
        <f>IF(ISNUMBER(G295),G295+G298,"")</f>
        <v>3010.171</v>
      </c>
      <c r="H299" s="285">
        <f>IF(ISNUMBER(H295),H295+H298,"")</f>
        <v>3373.105</v>
      </c>
      <c r="I299" s="285">
        <f>IF(ISNUMBER(I295),I295+I298,"")</f>
        <v>3603.366</v>
      </c>
      <c r="J299" s="285">
        <f>IF(ISNUMBER(J295),J295+J298,"")</f>
        <v>3831.841</v>
      </c>
      <c r="K299" s="285">
        <f>IF(ISNUMBER(K295),K295+K298,"")</f>
        <v>4793.966</v>
      </c>
      <c r="L299" s="285">
        <f>IF(ISNUMBER(L295),L295+L298,"")</f>
        <v>5499.601</v>
      </c>
      <c r="M299" s="285">
        <f>IF(ISNUMBER(M295),M295+M298,"")</f>
        <v>5984.942</v>
      </c>
      <c r="N299" s="285">
        <f>IF(ISNUMBER(N295),N295+N298,"")</f>
        <v>6025.792</v>
      </c>
      <c r="O299" s="285">
        <f>IF(ISNUMBER(O295),O295+O298,"")</f>
        <v>5944.033</v>
      </c>
      <c r="P299" s="285">
        <f>IF(ISNUMBER(P295),P295+P298,"")</f>
        <v>6025.575</v>
      </c>
      <c r="Q299" s="285">
        <f>IF(ISNUMBER(Q295),Q295+Q298,"")</f>
        <v>6025.575</v>
      </c>
      <c r="R299" s="285">
        <f>IF(ISNUMBER(R295),R295+R298,"")</f>
        <v>5962.399</v>
      </c>
      <c r="S299" s="285">
        <f>IF(ISNUMBER(S295),S295+S298,"")</f>
        <v>6205.657</v>
      </c>
      <c r="T299" s="285">
        <f>IF(ISNUMBER(T295),T295+T298,"")</f>
        <v>6345.729</v>
      </c>
      <c r="U299" s="285">
        <f>IF(ISNUMBER(U295),U295+U298,"")</f>
        <v>6550.652</v>
      </c>
      <c r="V299" s="285">
        <f>IF(ISNUMBER(V295),V295+V298,"")</f>
        <v>6550.652</v>
      </c>
      <c r="W299" s="285">
        <f>IF(ISNUMBER(W295),W295+W298,"")</f>
        <v>6766.317</v>
      </c>
      <c r="X299" s="285">
        <f>IF(ISNUMBER(X295),X295+X298,"")</f>
        <v>7162.609</v>
      </c>
      <c r="Y299" s="285">
        <f>IF(ISNUMBER(Y295),Y295+Y298,"")</f>
        <v>6474.728</v>
      </c>
      <c r="Z299" s="285">
        <f>IF(ISNUMBER(Z295),Z295+Z298,"")</f>
        <v>6563.688</v>
      </c>
      <c r="AA299" s="285">
        <f>IF(ISNUMBER(AA295),AA295+AA298,"")</f>
        <v>6563.688</v>
      </c>
      <c r="AB299" s="285">
        <f>IF(ISNUMBER(AB295),AB295+AB298,"")</f>
        <v>6640.787</v>
      </c>
      <c r="AC299" s="285">
        <f>IF(ISNUMBER(AC295),AC295+AC298,"")</f>
        <v>6878.374</v>
      </c>
      <c r="AD299" s="285">
        <f>IF(ISNUMBER(AD295),AD295+AD298,"")</f>
        <v>6820.989</v>
      </c>
      <c r="AE299" s="285">
        <f>IF(ISNUMBER(AE295),AE295+AE298,"")</f>
        <v>7312</v>
      </c>
      <c r="AF299" s="285">
        <f>IF(ISNUMBER(AF295),AF295+AF298,"")</f>
        <v>7312</v>
      </c>
      <c r="AG299" s="285">
        <f>IF(ISNUMBER(AG295),AG295+AG298,"")</f>
        <v>7170</v>
      </c>
      <c r="AH299" s="285">
        <f>IF(ISNUMBER(AH295),AH295+AH298,"")</f>
        <v>7153</v>
      </c>
      <c r="AI299" s="285">
        <f>IF(ISNUMBER(AI295),AI295+AI298,"")</f>
        <v>7051</v>
      </c>
      <c r="AJ299" s="285">
        <f>IF(ISNUMBER(AJ295),AJ295+AJ298,"")</f>
        <v>7118</v>
      </c>
      <c r="AK299" s="285">
        <f>IF(ISNUMBER(AK295),AK295+AK298,"")</f>
        <v>7118</v>
      </c>
      <c r="AL299" s="285">
        <f>IF(ISNUMBER(AL295),AL295+AL298,"")</f>
        <v>7610</v>
      </c>
      <c r="AM299" s="56" t="n"/>
      <c r="AN299" s="56" t="n"/>
      <c r="AO299" s="56" t="n"/>
      <c r="AP299" s="285">
        <f>IF(ISNUMBER(AP295),AP295+AP298,"")</f>
        <v>8335.94529759533</v>
      </c>
      <c r="AQ299" s="285">
        <f>IF(ISNUMBER(AQ295),AQ295+AQ298,"")</f>
        <v>8293.25233480158</v>
      </c>
      <c r="AR299" s="285">
        <f>IF(ISNUMBER(AR295),AR295+AR298,"")</f>
        <v>8465.39429558855</v>
      </c>
      <c r="AS299" s="285">
        <f>IF(ISNUMBER(AS295),AS295+AS298,"")</f>
        <v>8653.68691148714</v>
      </c>
      <c r="AT299" s="285">
        <f>IF(ISNUMBER(AT295),AT295+AT298,"")</f>
        <v>8850.58123136491</v>
      </c>
      <c r="AU299" s="153" t="n"/>
    </row>
    <row r="300" ht="15" customHeight="1" s="251">
      <c r="B300" s="57" t="inlineStr">
        <is>
          <t>BS tie-out check (TA − TL&amp;E)</t>
        </is>
      </c>
      <c r="C300" s="260">
        <f>IF(ISNUMBER(C285),IF(ABS(C285-C299)&lt;=0.15,0,ROUND(C285-C299,1)),"")</f>
        <v>0</v>
      </c>
      <c r="D300" s="260">
        <f>IF(ISNUMBER(D285),IF(ABS(D285-D299)&lt;=0.15,0,ROUND(D285-D299,1)),"")</f>
        <v>0</v>
      </c>
      <c r="E300" s="260">
        <f>IF(ISNUMBER(E285),IF(ABS(E285-E299)&lt;=0.15,0,ROUND(E285-E299,1)),"")</f>
        <v>0</v>
      </c>
      <c r="F300" s="260">
        <f>IF(ISNUMBER(F285),IF(ABS(F285-F299)&lt;=0.15,0,ROUND(F285-F299,1)),"")</f>
        <v>0</v>
      </c>
      <c r="G300" s="260">
        <f>IF(ISNUMBER(G285),IF(ABS(G285-G299)&lt;=0.15,0,ROUND(G285-G299,1)),"")</f>
        <v>0</v>
      </c>
      <c r="H300" s="260">
        <f>IF(ISNUMBER(H285),IF(ABS(H285-H299)&lt;=0.15,0,ROUND(H285-H299,1)),"")</f>
        <v>0</v>
      </c>
      <c r="I300" s="260">
        <f>IF(ISNUMBER(I285),IF(ABS(I285-I299)&lt;=0.15,0,ROUND(I285-I299,1)),"")</f>
        <v>0</v>
      </c>
      <c r="J300" s="260">
        <f>IF(ISNUMBER(J285),IF(ABS(J285-J299)&lt;=0.15,0,ROUND(J285-J299,1)),"")</f>
        <v>0</v>
      </c>
      <c r="K300" s="260">
        <f>IF(ISNUMBER(K285),IF(ABS(K285-K299)&lt;=0.15,0,ROUND(K285-K299,1)),"")</f>
        <v>0</v>
      </c>
      <c r="L300" s="260">
        <f>IF(ISNUMBER(L285),IF(ABS(L285-L299)&lt;=0.15,0,ROUND(L285-L299,1)),"")</f>
        <v>0</v>
      </c>
      <c r="M300" s="260">
        <f>IF(ISNUMBER(M285),IF(ABS(M285-M299)&lt;=0.15,0,ROUND(M285-M299,1)),"")</f>
        <v>0</v>
      </c>
      <c r="N300" s="260">
        <f>IF(ISNUMBER(N285),IF(ABS(N285-N299)&lt;=0.15,0,ROUND(N285-N299,1)),"")</f>
        <v>0</v>
      </c>
      <c r="O300" s="260">
        <f>IF(ISNUMBER(O285),IF(ABS(O285-O299)&lt;=0.15,0,ROUND(O285-O299,1)),"")</f>
        <v>0</v>
      </c>
      <c r="P300" s="260">
        <f>IF(ISNUMBER(P285),IF(ABS(P285-P299)&lt;=0.15,0,ROUND(P285-P299,1)),"")</f>
        <v>0</v>
      </c>
      <c r="Q300" s="260">
        <f>IF(ISNUMBER(Q285),IF(ABS(Q285-Q299)&lt;=0.15,0,ROUND(Q285-Q299,1)),"")</f>
        <v>0</v>
      </c>
      <c r="R300" s="260">
        <f>IF(ISNUMBER(R285),IF(ABS(R285-R299)&lt;=0.15,0,ROUND(R285-R299,1)),"")</f>
        <v>0</v>
      </c>
      <c r="S300" s="260">
        <f>IF(ISNUMBER(S285),IF(ABS(S285-S299)&lt;=0.15,0,ROUND(S285-S299,1)),"")</f>
        <v>0</v>
      </c>
      <c r="T300" s="260">
        <f>IF(ISNUMBER(T285),IF(ABS(T285-T299)&lt;=0.15,0,ROUND(T285-T299,1)),"")</f>
        <v>0</v>
      </c>
      <c r="U300" s="260">
        <f>IF(ISNUMBER(U285),IF(ABS(U285-U299)&lt;=0.15,0,ROUND(U285-U299,1)),"")</f>
        <v>0</v>
      </c>
      <c r="V300" s="260">
        <f>IF(ISNUMBER(V285),IF(ABS(V285-V299)&lt;=0.15,0,ROUND(V285-V299,1)),"")</f>
        <v>0</v>
      </c>
      <c r="W300" s="260">
        <f>IF(ISNUMBER(W285),IF(ABS(W285-W299)&lt;=0.15,0,ROUND(W285-W299,1)),"")</f>
        <v>0</v>
      </c>
      <c r="X300" s="260">
        <f>IF(ISNUMBER(X285),IF(ABS(X285-X299)&lt;=0.15,0,ROUND(X285-X299,1)),"")</f>
        <v>0</v>
      </c>
      <c r="Y300" s="260">
        <f>IF(ISNUMBER(Y285),IF(ABS(Y285-Y299)&lt;=0.15,0,ROUND(Y285-Y299,1)),"")</f>
        <v>0</v>
      </c>
      <c r="Z300" s="260">
        <f>IF(ISNUMBER(Z285),IF(ABS(Z285-Z299)&lt;=0.15,0,ROUND(Z285-Z299,1)),"")</f>
        <v>0</v>
      </c>
      <c r="AA300" s="260">
        <f>IF(ISNUMBER(AA285),IF(ABS(AA285-AA299)&lt;=0.15,0,ROUND(AA285-AA299,1)),"")</f>
        <v>0</v>
      </c>
      <c r="AB300" s="260">
        <f>IF(ISNUMBER(AB285),IF(ABS(AB285-AB299)&lt;=0.15,0,ROUND(AB285-AB299,1)),"")</f>
        <v>0</v>
      </c>
      <c r="AC300" s="260">
        <f>IF(ISNUMBER(AC285),IF(ABS(AC285-AC299)&lt;=0.15,0,ROUND(AC285-AC299,1)),"")</f>
        <v>0</v>
      </c>
      <c r="AD300" s="260">
        <f>IF(ISNUMBER(AD285),IF(ABS(AD285-AD299)&lt;=0.15,0,ROUND(AD285-AD299,1)),"")</f>
        <v>0</v>
      </c>
      <c r="AE300" s="260">
        <f>IF(ISNUMBER(AE285),IF(ABS(AE285-AE299)&lt;=0.6,0,ROUND(AE285-AE299,1)),"")</f>
        <v>0</v>
      </c>
      <c r="AF300" s="260">
        <f>IF(ISNUMBER(AF285),IF(ABS(AF285-AF299)&lt;=0.6,0,ROUND(AF285-AF299,1)),"")</f>
        <v>0</v>
      </c>
      <c r="AG300" s="260">
        <f>IF(ISNUMBER(AG285),IF(ABS(AG285-AG299)&lt;=0.6,0,ROUND(AG285-AG299,1)),"")</f>
        <v>0</v>
      </c>
      <c r="AH300" s="260">
        <f>IF(ISNUMBER(AH285),IF(ABS(AH285-AH299)&lt;=0.6,0,ROUND(AH285-AH299,1)),"")</f>
        <v>0</v>
      </c>
      <c r="AI300" s="260">
        <f>IF(ISNUMBER(AI285),IF(ABS(AI285-AI299)&lt;=0.6,0,ROUND(AI285-AI299,1)),"")</f>
        <v>0</v>
      </c>
      <c r="AJ300" s="260">
        <f>IF(ISNUMBER(AJ285),IF(ABS(AJ285-AJ299)&lt;=0.6,0,ROUND(AJ285-AJ299,1)),"")</f>
        <v>0</v>
      </c>
      <c r="AK300" s="260">
        <f>IF(ISNUMBER(AK285),IF(ABS(AK285-AK299)&lt;=0.6,0,ROUND(AK285-AK299,1)),"")</f>
        <v>0</v>
      </c>
      <c r="AL300" s="260">
        <f>IF(ISNUMBER(AL285),IF(ABS(AL285-AL299)&lt;=0.6,0,ROUND(AL285-AL299,1)),"")</f>
        <v>0</v>
      </c>
      <c r="AM300" s="153" t="n"/>
      <c r="AN300" s="153" t="n"/>
      <c r="AO300" s="153" t="n"/>
      <c r="AP300" s="286">
        <f>IF(ISNUMBER(AP285),IF(ABS(AP285-AP299)&lt;=0.6,0,ROUND(AP285-AP299,1)),"")</f>
        <v>0</v>
      </c>
      <c r="AQ300" s="286">
        <f>IF(ISNUMBER(AQ285),IF(ABS(AQ285-AQ299)&lt;=0.6,0,ROUND(AQ285-AQ299,1)),"")</f>
        <v>0</v>
      </c>
      <c r="AR300" s="286">
        <f>IF(ISNUMBER(AR285),IF(ABS(AR285-AR299)&lt;=0.6,0,ROUND(AR285-AR299,1)),"")</f>
        <v>0</v>
      </c>
      <c r="AS300" s="286">
        <f>IF(ISNUMBER(AS285),IF(ABS(AS285-AS299)&lt;=0.6,0,ROUND(AS285-AS299,1)),"")</f>
        <v>0</v>
      </c>
      <c r="AT300" s="286">
        <f>IF(ISNUMBER(AT285),IF(ABS(AT285-AT299)&lt;=0.6,0,ROUND(AT285-AT299,1)),"")</f>
        <v>0</v>
      </c>
      <c r="AU300" s="153" t="n"/>
    </row>
    <row r="301" ht="15" customHeight="1" s="251">
      <c r="B301" s="57" t="inlineStr">
        <is>
          <t xml:space="preserve">  Check: model total assets vs reported (should be 0; ±0.15, ±0.6 from Q4 FY25)</t>
        </is>
      </c>
      <c r="C301" s="260">
        <f>IF(ISNUMBER(C302),IF(ABS(C285-C302)&lt;=0.15,0,ROUND(C285-C302,1)),"")</f>
        <v>0</v>
      </c>
      <c r="D301" s="260">
        <f>IF(ISNUMBER(D302),IF(ABS(D285-D302)&lt;=0.15,0,ROUND(D285-D302,1)),"")</f>
        <v>0</v>
      </c>
      <c r="E301" s="260">
        <f>IF(ISNUMBER(E302),IF(ABS(E285-E302)&lt;=0.15,0,ROUND(E285-E302,1)),"")</f>
        <v>0</v>
      </c>
      <c r="F301" s="260">
        <f>IF(ISNUMBER(F302),IF(ABS(F285-F302)&lt;=0.15,0,ROUND(F285-F302,1)),"")</f>
        <v>0</v>
      </c>
      <c r="G301" s="260">
        <f>IF(ISNUMBER(G302),IF(ABS(G285-G302)&lt;=0.15,0,ROUND(G285-G302,1)),"")</f>
        <v>0</v>
      </c>
      <c r="H301" s="260">
        <f>IF(ISNUMBER(H302),IF(ABS(H285-H302)&lt;=0.15,0,ROUND(H285-H302,1)),"")</f>
        <v>0</v>
      </c>
      <c r="I301" s="260">
        <f>IF(ISNUMBER(I302),IF(ABS(I285-I302)&lt;=0.15,0,ROUND(I285-I302,1)),"")</f>
        <v>0</v>
      </c>
      <c r="J301" s="260">
        <f>IF(ISNUMBER(J302),IF(ABS(J285-J302)&lt;=0.15,0,ROUND(J285-J302,1)),"")</f>
        <v>0</v>
      </c>
      <c r="K301" s="260">
        <f>IF(ISNUMBER(K302),IF(ABS(K285-K302)&lt;=0.15,0,ROUND(K285-K302,1)),"")</f>
        <v>0</v>
      </c>
      <c r="L301" s="260">
        <f>IF(ISNUMBER(L302),IF(ABS(L285-L302)&lt;=0.15,0,ROUND(L285-L302,1)),"")</f>
        <v>0</v>
      </c>
      <c r="M301" s="260">
        <f>IF(ISNUMBER(M302),IF(ABS(M285-M302)&lt;=0.15,0,ROUND(M285-M302,1)),"")</f>
        <v>0</v>
      </c>
      <c r="N301" s="260">
        <f>IF(ISNUMBER(N302),IF(ABS(N285-N302)&lt;=0.15,0,ROUND(N285-N302,1)),"")</f>
        <v>0</v>
      </c>
      <c r="O301" s="260">
        <f>IF(ISNUMBER(O302),IF(ABS(O285-O302)&lt;=0.15,0,ROUND(O285-O302,1)),"")</f>
        <v>0</v>
      </c>
      <c r="P301" s="260">
        <f>IF(ISNUMBER(P302),IF(ABS(P285-P302)&lt;=0.15,0,ROUND(P285-P302,1)),"")</f>
        <v>0</v>
      </c>
      <c r="Q301" s="260">
        <f>IF(ISNUMBER(Q302),IF(ABS(Q285-Q302)&lt;=0.15,0,ROUND(Q285-Q302,1)),"")</f>
        <v>0</v>
      </c>
      <c r="R301" s="260">
        <f>IF(ISNUMBER(R302),IF(ABS(R285-R302)&lt;=0.15,0,ROUND(R285-R302,1)),"")</f>
        <v>0</v>
      </c>
      <c r="S301" s="260">
        <f>IF(ISNUMBER(S302),IF(ABS(S285-S302)&lt;=0.15,0,ROUND(S285-S302,1)),"")</f>
        <v>0</v>
      </c>
      <c r="T301" s="260">
        <f>IF(ISNUMBER(T302),IF(ABS(T285-T302)&lt;=0.15,0,ROUND(T285-T302,1)),"")</f>
        <v>0</v>
      </c>
      <c r="U301" s="260">
        <f>IF(ISNUMBER(U302),IF(ABS(U285-U302)&lt;=0.15,0,ROUND(U285-U302,1)),"")</f>
        <v>0</v>
      </c>
      <c r="V301" s="260">
        <f>IF(ISNUMBER(V302),IF(ABS(V285-V302)&lt;=0.15,0,ROUND(V285-V302,1)),"")</f>
        <v>0</v>
      </c>
      <c r="W301" s="260">
        <f>IF(ISNUMBER(W302),IF(ABS(W285-W302)&lt;=0.15,0,ROUND(W285-W302,1)),"")</f>
        <v>0</v>
      </c>
      <c r="X301" s="260">
        <f>IF(ISNUMBER(X302),IF(ABS(X285-X302)&lt;=0.15,0,ROUND(X285-X302,1)),"")</f>
        <v>0</v>
      </c>
      <c r="Y301" s="260">
        <f>IF(ISNUMBER(Y302),IF(ABS(Y285-Y302)&lt;=0.15,0,ROUND(Y285-Y302,1)),"")</f>
        <v>0</v>
      </c>
      <c r="Z301" s="260">
        <f>IF(ISNUMBER(Z302),IF(ABS(Z285-Z302)&lt;=0.15,0,ROUND(Z285-Z302,1)),"")</f>
        <v>0</v>
      </c>
      <c r="AA301" s="260">
        <f>IF(ISNUMBER(AA302),IF(ABS(AA285-AA302)&lt;=0.15,0,ROUND(AA285-AA302,1)),"")</f>
        <v>0</v>
      </c>
      <c r="AB301" s="260">
        <f>IF(ISNUMBER(AB302),IF(ABS(AB285-AB302)&lt;=0.15,0,ROUND(AB285-AB302,1)),"")</f>
        <v>0</v>
      </c>
      <c r="AC301" s="260">
        <f>IF(ISNUMBER(AC302),IF(ABS(AC285-AC302)&lt;=0.15,0,ROUND(AC285-AC302,1)),"")</f>
        <v>0</v>
      </c>
      <c r="AD301" s="260">
        <f>IF(ISNUMBER(AD302),IF(ABS(AD285-AD302)&lt;=0.15,0,ROUND(AD285-AD302,1)),"")</f>
        <v>0</v>
      </c>
      <c r="AE301" s="260">
        <f>IF(ISNUMBER(AE302),IF(ABS(AE285-AE302)&lt;=0.6,0,ROUND(AE285-AE302,1)),"")</f>
        <v>0</v>
      </c>
      <c r="AF301" s="260">
        <f>IF(ISNUMBER(AF302),IF(ABS(AF285-AF302)&lt;=0.6,0,ROUND(AF285-AF302,1)),"")</f>
        <v>0</v>
      </c>
      <c r="AG301" s="260">
        <f>IF(ISNUMBER(AG302),IF(ABS(AG285-AG302)&lt;=0.6,0,ROUND(AG285-AG302,1)),"")</f>
        <v>0</v>
      </c>
      <c r="AH301" s="260">
        <f>IF(ISNUMBER(AH302),IF(ABS(AH285-AH302)&lt;=0.6,0,ROUND(AH285-AH302,1)),"")</f>
        <v>0</v>
      </c>
      <c r="AI301" s="260">
        <f>IF(ISNUMBER(AI302),IF(ABS(AI285-AI302)&lt;=0.6,0,ROUND(AI285-AI302,1)),"")</f>
        <v>0</v>
      </c>
      <c r="AJ301" s="260">
        <f>IF(ISNUMBER(AJ302),IF(ABS(AJ285-AJ302)&lt;=0.6,0,ROUND(AJ285-AJ302,1)),"")</f>
        <v>0</v>
      </c>
      <c r="AK301" s="260">
        <f>IF(ISNUMBER(AK302),IF(ABS(AK285-AK302)&lt;=0.6,0,ROUND(AK285-AK302,1)),"")</f>
        <v>0</v>
      </c>
      <c r="AL301" s="260">
        <f>IF(ISNUMBER(AL302),IF(ABS(AL285-AL302)&lt;=0.6,0,ROUND(AL285-AL302,1)),"")</f>
        <v>0</v>
      </c>
      <c r="AM301" s="153" t="n"/>
      <c r="AN301" s="153" t="n"/>
      <c r="AO301" s="153" t="n"/>
      <c r="AP301" s="153" t="n"/>
      <c r="AQ301" s="153" t="n"/>
      <c r="AR301" s="153" t="n"/>
      <c r="AS301" s="153" t="n"/>
      <c r="AT301" s="153" t="n"/>
      <c r="AU301" s="153" t="n"/>
    </row>
    <row r="302" ht="15" customHeight="1" s="251">
      <c r="B302" s="156" t="inlineStr">
        <is>
          <t xml:space="preserve">  Memo: total assets as reported</t>
        </is>
      </c>
      <c r="C302" s="253" t="n">
        <v>3314.791</v>
      </c>
      <c r="D302" s="253" t="n">
        <v>3177.528</v>
      </c>
      <c r="E302" s="253" t="n">
        <v>2940.818</v>
      </c>
      <c r="F302" s="253" t="n">
        <v>2877.493</v>
      </c>
      <c r="G302" s="253" t="n">
        <v>3010.171</v>
      </c>
      <c r="H302" s="253" t="n">
        <v>3373.105</v>
      </c>
      <c r="I302" s="253" t="n">
        <v>3603.366</v>
      </c>
      <c r="J302" s="253" t="n">
        <v>3831.841</v>
      </c>
      <c r="K302" s="253" t="n">
        <v>4793.966</v>
      </c>
      <c r="L302" s="253" t="n">
        <v>5499.601</v>
      </c>
      <c r="M302" s="253" t="n">
        <v>5984.942</v>
      </c>
      <c r="N302" s="253" t="n">
        <v>6025.792</v>
      </c>
      <c r="O302" s="253" t="n">
        <v>5944.033</v>
      </c>
      <c r="P302" s="253" t="n">
        <v>6025.575</v>
      </c>
      <c r="Q302" s="253" t="n">
        <v>6025.575</v>
      </c>
      <c r="R302" s="253" t="n">
        <v>5962.399</v>
      </c>
      <c r="S302" s="253" t="n">
        <v>6205.657</v>
      </c>
      <c r="T302" s="253" t="n">
        <v>6345.729</v>
      </c>
      <c r="U302" s="253" t="n">
        <v>6550.652</v>
      </c>
      <c r="V302" s="253" t="n">
        <v>6550.652</v>
      </c>
      <c r="W302" s="253" t="n">
        <v>6766.317</v>
      </c>
      <c r="X302" s="253" t="n">
        <v>7162.609</v>
      </c>
      <c r="Y302" s="253" t="n">
        <v>6474.728</v>
      </c>
      <c r="Z302" s="253" t="n">
        <v>6563.688</v>
      </c>
      <c r="AA302" s="253" t="n">
        <v>6563.688</v>
      </c>
      <c r="AB302" s="253" t="n">
        <v>6640.787</v>
      </c>
      <c r="AC302" s="253" t="n">
        <v>6878.374</v>
      </c>
      <c r="AD302" s="253" t="n">
        <v>6820.989</v>
      </c>
      <c r="AE302" s="253" t="n">
        <v>7312</v>
      </c>
      <c r="AF302" s="253" t="n">
        <v>7312</v>
      </c>
      <c r="AG302" s="253" t="n">
        <v>7170</v>
      </c>
      <c r="AH302" s="253" t="n">
        <v>7153</v>
      </c>
      <c r="AI302" s="253" t="n">
        <v>7051</v>
      </c>
      <c r="AJ302" s="253" t="n">
        <v>7118</v>
      </c>
      <c r="AK302" s="253" t="n">
        <v>7118</v>
      </c>
      <c r="AL302" s="253" t="n">
        <v>7610</v>
      </c>
      <c r="AM302" s="153" t="n"/>
      <c r="AN302" s="153" t="n"/>
      <c r="AO302" s="153" t="n"/>
      <c r="AP302" s="153" t="n"/>
      <c r="AQ302" s="153" t="n"/>
      <c r="AR302" s="153" t="n"/>
      <c r="AS302" s="153" t="n"/>
      <c r="AT302" s="153" t="n"/>
      <c r="AU302" s="153" t="n"/>
    </row>
    <row r="303" ht="15" customHeight="1" s="251">
      <c r="B303" s="57" t="inlineStr">
        <is>
          <t xml:space="preserve">  Check: BS cash vs cash-flow ending cash (should be 0; ±0.15, ±0.6 from Q4 FY25)</t>
        </is>
      </c>
      <c r="C303" s="260">
        <f>IF(AND(ISNUMBER(C276),ISNUMBER(C248)),IF(ABS(C276-C248)&lt;=0.15,0,ROUND(C276-C248,1)),"")</f>
        <v>0</v>
      </c>
      <c r="D303" s="260">
        <f>IF(AND(ISNUMBER(D276),ISNUMBER(D248)),IF(ABS(D276-D248)&lt;=0.15,0,ROUND(D276-D248,1)),"")</f>
        <v>0</v>
      </c>
      <c r="E303" s="260">
        <f>IF(AND(ISNUMBER(E276),ISNUMBER(E248)),IF(ABS(E276-E248)&lt;=0.15,0,ROUND(E276-E248,1)),"")</f>
        <v>0</v>
      </c>
      <c r="F303" s="260">
        <f>IF(AND(ISNUMBER(F276),ISNUMBER(F248)),IF(ABS(F276-F248)&lt;=0.15,0,ROUND(F276-F248,1)),"")</f>
        <v>0</v>
      </c>
      <c r="G303" s="260">
        <f>IF(AND(ISNUMBER(G276),ISNUMBER(G248)),IF(ABS(G276-G248)&lt;=0.15,0,ROUND(G276-G248,1)),"")</f>
        <v>0</v>
      </c>
      <c r="H303" s="260">
        <f>IF(AND(ISNUMBER(H276),ISNUMBER(H248)),IF(ABS(H276-H248)&lt;=0.15,0,ROUND(H276-H248,1)),"")</f>
        <v>0</v>
      </c>
      <c r="I303" s="260">
        <f>IF(AND(ISNUMBER(I276),ISNUMBER(I248)),IF(ABS(I276-I248)&lt;=0.15,0,ROUND(I276-I248,1)),"")</f>
        <v>0</v>
      </c>
      <c r="J303" s="260">
        <f>IF(AND(ISNUMBER(J276),ISNUMBER(J248)),IF(ABS(J276-J248)&lt;=0.15,0,ROUND(J276-J248,1)),"")</f>
        <v>0</v>
      </c>
      <c r="K303" s="260">
        <f>IF(AND(ISNUMBER(K276),ISNUMBER(K248)),IF(ABS(K276-K248)&lt;=0.15,0,ROUND(K276-K248,1)),"")</f>
        <v>0</v>
      </c>
      <c r="L303" s="260">
        <f>IF(AND(ISNUMBER(L276),ISNUMBER(L248)),IF(ABS(L276-L248)&lt;=0.15,0,ROUND(L276-L248,1)),"")</f>
        <v>0</v>
      </c>
      <c r="M303" s="260">
        <f>IF(AND(ISNUMBER(M276),ISNUMBER(M248)),IF(ABS(M276-M248)&lt;=0.15,0,ROUND(M276-M248,1)),"")</f>
        <v>0</v>
      </c>
      <c r="N303" s="260">
        <f>IF(AND(ISNUMBER(N276),ISNUMBER(N248)),IF(ABS(N276-N248)&lt;=0.15,0,ROUND(N276-N248,1)),"")</f>
        <v>0</v>
      </c>
      <c r="O303" s="260">
        <f>IF(AND(ISNUMBER(O276),ISNUMBER(O248)),IF(ABS(O276-O248)&lt;=0.15,0,ROUND(O276-O248,1)),"")</f>
        <v>0</v>
      </c>
      <c r="P303" s="260">
        <f>IF(AND(ISNUMBER(P276),ISNUMBER(P248)),IF(ABS(P276-P248)&lt;=0.15,0,ROUND(P276-P248,1)),"")</f>
        <v>0</v>
      </c>
      <c r="Q303" s="260">
        <f>IF(AND(ISNUMBER(Q276),ISNUMBER(Q248)),IF(ABS(Q276-Q248)&lt;=0.15,0,ROUND(Q276-Q248,1)),"")</f>
        <v>0</v>
      </c>
      <c r="R303" s="260">
        <f>IF(AND(ISNUMBER(R276),ISNUMBER(R248)),IF(ABS(R276-R248)&lt;=0.15,0,ROUND(R276-R248,1)),"")</f>
        <v>0</v>
      </c>
      <c r="S303" s="260">
        <f>IF(AND(ISNUMBER(S276),ISNUMBER(S248)),IF(ABS(S276-S248)&lt;=0.15,0,ROUND(S276-S248,1)),"")</f>
        <v>0</v>
      </c>
      <c r="T303" s="260">
        <f>IF(AND(ISNUMBER(T276),ISNUMBER(T248)),IF(ABS(T276-T248)&lt;=0.15,0,ROUND(T276-T248,1)),"")</f>
        <v>0</v>
      </c>
      <c r="U303" s="260">
        <f>IF(AND(ISNUMBER(U276),ISNUMBER(U248)),IF(ABS(U276-U248)&lt;=0.15,0,ROUND(U276-U248,1)),"")</f>
        <v>0</v>
      </c>
      <c r="V303" s="260">
        <f>IF(AND(ISNUMBER(V276),ISNUMBER(V248)),IF(ABS(V276-V248)&lt;=0.15,0,ROUND(V276-V248,1)),"")</f>
        <v>0</v>
      </c>
      <c r="W303" s="260">
        <f>IF(AND(ISNUMBER(W276),ISNUMBER(W248)),IF(ABS(W276-W248)&lt;=0.15,0,ROUND(W276-W248,1)),"")</f>
        <v>0</v>
      </c>
      <c r="X303" s="260">
        <f>IF(AND(ISNUMBER(X276),ISNUMBER(X248)),IF(ABS(X276-X248)&lt;=0.15,0,ROUND(X276-X248,1)),"")</f>
        <v>0</v>
      </c>
      <c r="Y303" s="260">
        <f>IF(AND(ISNUMBER(Y276),ISNUMBER(Y248)),IF(ABS(Y276-Y248)&lt;=0.15,0,ROUND(Y276-Y248,1)),"")</f>
        <v>0</v>
      </c>
      <c r="Z303" s="260">
        <f>IF(AND(ISNUMBER(Z276),ISNUMBER(Z248)),IF(ABS(Z276-Z248)&lt;=0.15,0,ROUND(Z276-Z248,1)),"")</f>
        <v>0</v>
      </c>
      <c r="AA303" s="260">
        <f>IF(AND(ISNUMBER(AA276),ISNUMBER(AA248)),IF(ABS(AA276-AA248)&lt;=0.15,0,ROUND(AA276-AA248,1)),"")</f>
        <v>0</v>
      </c>
      <c r="AB303" s="260">
        <f>IF(AND(ISNUMBER(AB276),ISNUMBER(AB248)),IF(ABS(AB276-AB248)&lt;=0.15,0,ROUND(AB276-AB248,1)),"")</f>
        <v>0</v>
      </c>
      <c r="AC303" s="260">
        <f>IF(AND(ISNUMBER(AC276),ISNUMBER(AC248)),IF(ABS(AC276-AC248)&lt;=0.15,0,ROUND(AC276-AC248,1)),"")</f>
        <v>0</v>
      </c>
      <c r="AD303" s="260">
        <f>IF(AND(ISNUMBER(AD276),ISNUMBER(AD248)),IF(ABS(AD276-AD248)&lt;=0.15,0,ROUND(AD276-AD248,1)),"")</f>
        <v>0</v>
      </c>
      <c r="AE303" s="260">
        <f>IF(AND(ISNUMBER(AE276),ISNUMBER(AE248)),IF(ABS(AE276-AE248)&lt;=0.6,0,ROUND(AE276-AE248,1)),"")</f>
        <v>0</v>
      </c>
      <c r="AF303" s="260">
        <f>IF(AND(ISNUMBER(AF276),ISNUMBER(AF248)),IF(ABS(AF276-AF248)&lt;=0.6,0,ROUND(AF276-AF248,1)),"")</f>
        <v>0</v>
      </c>
      <c r="AG303" s="260">
        <f>IF(AND(ISNUMBER(AG276),ISNUMBER(AG248)),IF(ABS(AG276-AG248)&lt;=0.6,0,ROUND(AG276-AG248,1)),"")</f>
        <v>0</v>
      </c>
      <c r="AH303" s="260">
        <f>IF(AND(ISNUMBER(AH276),ISNUMBER(AH248)),IF(ABS(AH276-AH248)&lt;=0.6,0,ROUND(AH276-AH248,1)),"")</f>
        <v>0</v>
      </c>
      <c r="AI303" s="260">
        <f>IF(AND(ISNUMBER(AI276),ISNUMBER(AI248)),IF(ABS(AI276-AI248)&lt;=0.6,0,ROUND(AI276-AI248,1)),"")</f>
        <v>0</v>
      </c>
      <c r="AJ303" s="260">
        <f>IF(AND(ISNUMBER(AJ276),ISNUMBER(AJ248)),IF(ABS(AJ276-AJ248)&lt;=0.6,0,ROUND(AJ276-AJ248,1)),"")</f>
        <v>0</v>
      </c>
      <c r="AK303" s="260">
        <f>IF(AND(ISNUMBER(AK276),ISNUMBER(AK248)),IF(ABS(AK276-AK248)&lt;=0.6,0,ROUND(AK276-AK248,1)),"")</f>
        <v>0</v>
      </c>
      <c r="AL303" s="260">
        <f>IF(AND(ISNUMBER(AL276),ISNUMBER(AL248)),IF(ABS(AL276-AL248)&lt;=0.6,0,ROUND(AL276-AL248,1)),"")</f>
        <v>0</v>
      </c>
      <c r="AM303" s="153" t="n"/>
      <c r="AN303" s="153" t="n"/>
      <c r="AO303" s="153" t="n"/>
      <c r="AP303" s="286">
        <f>IF(AND(ISNUMBER(AP276),ISNUMBER(AP248)),IF(ABS(AP276-AP248)&lt;=0.6,0,ROUND(AP276-AP248,1)),"")</f>
        <v>0</v>
      </c>
      <c r="AQ303" s="286">
        <f>IF(AND(ISNUMBER(AQ276),ISNUMBER(AQ248)),IF(ABS(AQ276-AQ248)&lt;=0.6,0,ROUND(AQ276-AQ248,1)),"")</f>
        <v>0</v>
      </c>
      <c r="AR303" s="286">
        <f>IF(AND(ISNUMBER(AR276),ISNUMBER(AR248)),IF(ABS(AR276-AR248)&lt;=0.6,0,ROUND(AR276-AR248,1)),"")</f>
        <v>0</v>
      </c>
      <c r="AS303" s="286">
        <f>IF(AND(ISNUMBER(AS276),ISNUMBER(AS248)),IF(ABS(AS276-AS248)&lt;=0.6,0,ROUND(AS276-AS248,1)),"")</f>
        <v>0</v>
      </c>
      <c r="AT303" s="286">
        <f>IF(AND(ISNUMBER(AT276),ISNUMBER(AT248)),IF(ABS(AT276-AT248)&lt;=0.6,0,ROUND(AT276-AT248,1)),"")</f>
        <v>0</v>
      </c>
      <c r="AU303" s="153" t="n"/>
    </row>
    <row r="304" ht="15" customHeight="1" s="251">
      <c r="B304" s="156" t="inlineStr">
        <is>
          <t xml:space="preserve">  Memo: Class A shares outstanding at period end (m; XBRL from FY2017)</t>
        </is>
      </c>
      <c r="C304" s="34" t="n"/>
      <c r="D304" s="34" t="n"/>
      <c r="E304" s="34" t="n"/>
      <c r="F304" s="34" t="n"/>
      <c r="G304" s="34" t="n"/>
      <c r="H304" s="253" t="n">
        <v>148.887708</v>
      </c>
      <c r="I304" s="253" t="n">
        <v>143.446539</v>
      </c>
      <c r="J304" s="253" t="n">
        <v>140.027853</v>
      </c>
      <c r="K304" s="253" t="n">
        <v>138.719921</v>
      </c>
      <c r="L304" s="253" t="n">
        <v>136.246029</v>
      </c>
      <c r="M304" s="253" t="n">
        <v>135.429357</v>
      </c>
      <c r="N304" s="253" t="n">
        <v>134.32511</v>
      </c>
      <c r="O304" s="253" t="n">
        <v>133.427292</v>
      </c>
      <c r="P304" s="253" t="n">
        <v>132.584348</v>
      </c>
      <c r="Q304" s="253" t="n">
        <v>132.584348</v>
      </c>
      <c r="R304" s="253" t="n">
        <v>132.423378</v>
      </c>
      <c r="S304" s="253" t="n">
        <v>132.314959</v>
      </c>
      <c r="T304" s="253" t="n">
        <v>132.355835</v>
      </c>
      <c r="U304" s="253" t="n">
        <v>131.637588</v>
      </c>
      <c r="V304" s="253" t="n">
        <v>131.637588</v>
      </c>
      <c r="W304" s="253" t="n">
        <v>131.11637</v>
      </c>
      <c r="X304" s="253" t="n">
        <v>130.573866</v>
      </c>
      <c r="Y304" s="253" t="n">
        <v>129.93905</v>
      </c>
      <c r="Z304" s="253" t="n">
        <v>129.643123</v>
      </c>
      <c r="AA304" s="253" t="n">
        <v>129.643123</v>
      </c>
      <c r="AB304" s="253" t="n">
        <v>129.350374</v>
      </c>
      <c r="AC304" s="253" t="n">
        <v>127.901888</v>
      </c>
      <c r="AD304" s="253" t="n">
        <v>127.102565</v>
      </c>
      <c r="AE304" s="253" t="n">
        <v>124.879004</v>
      </c>
      <c r="AF304" s="253" t="n">
        <v>124.879004</v>
      </c>
      <c r="AG304" s="253" t="n">
        <v>123.708985</v>
      </c>
      <c r="AH304" s="253" t="n">
        <v>122.025314</v>
      </c>
      <c r="AI304" s="253" t="n">
        <v>120.863944</v>
      </c>
      <c r="AJ304" s="253" t="n">
        <v>120.34132</v>
      </c>
      <c r="AK304" s="253" t="n">
        <v>120.34132</v>
      </c>
      <c r="AL304" s="253" t="n">
        <v>120.284257</v>
      </c>
      <c r="AM304" s="153" t="n"/>
      <c r="AN304" s="153" t="n"/>
      <c r="AO304" s="153" t="n"/>
      <c r="AP304" s="286">
        <f>AP270</f>
        <v>118.884257</v>
      </c>
      <c r="AQ304" s="286">
        <f>AQ270</f>
        <v>110.638655281282</v>
      </c>
      <c r="AR304" s="286">
        <f>AR270</f>
        <v>102.72396653983</v>
      </c>
      <c r="AS304" s="286">
        <f>AS270</f>
        <v>94.5164737523686</v>
      </c>
      <c r="AT304" s="286">
        <f>AT270</f>
        <v>86.0657203304454</v>
      </c>
      <c r="AU304" s="153" t="n"/>
    </row>
    <row r="305" ht="15" customHeight="1" s="251">
      <c r="BC305" s="11" t="n"/>
      <c r="BD305" s="12" t="n"/>
      <c r="BE305" s="12" t="n"/>
      <c r="BF305" s="12" t="n"/>
      <c r="BG305" s="13" t="n"/>
    </row>
    <row r="306" ht="15" customHeight="1" s="251">
      <c r="B306" s="10" t="inlineStr">
        <is>
          <t>WORKING CAPITAL &amp; CASH CONVERSION</t>
        </is>
      </c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inlineStr">
        <is>
          <t>WORKING CAPITAL — forecast drivers (blue = input); revenue basis (Booz Allen has no inventories)</t>
        </is>
      </c>
    </row>
    <row r="307" ht="15" customHeight="1" s="251">
      <c r="B307" s="25" t="inlineStr">
        <is>
          <t xml:space="preserve">  Revenue — annualised (quarters × 4)</t>
        </is>
      </c>
      <c r="C307" s="260">
        <f>IF(ISNUMBER(C120),C120*1,"")</f>
        <v>5859.218</v>
      </c>
      <c r="D307" s="260">
        <f>IF(ISNUMBER(D120),D120*1,"")</f>
        <v>5758.059</v>
      </c>
      <c r="E307" s="260">
        <f>IF(ISNUMBER(E120),E120*1,"")</f>
        <v>5478.693</v>
      </c>
      <c r="F307" s="260">
        <f>IF(ISNUMBER(F120),F120*1,"")</f>
        <v>5274.77</v>
      </c>
      <c r="G307" s="260">
        <f>IF(ISNUMBER(G120),G120*1,"")</f>
        <v>5405.738</v>
      </c>
      <c r="H307" s="260">
        <f>IF(ISNUMBER(H120),H120*1,"")</f>
        <v>5804.284</v>
      </c>
      <c r="I307" s="260">
        <f>IF(ISNUMBER(I120),I120*1,"")</f>
        <v>6171.853</v>
      </c>
      <c r="J307" s="260">
        <f>IF(ISNUMBER(J120),J120*1,"")</f>
        <v>6704.037</v>
      </c>
      <c r="K307" s="260">
        <f>IF(ISNUMBER(K120),K120*1,"")</f>
        <v>7463.841</v>
      </c>
      <c r="L307" s="260">
        <f>IF(ISNUMBER(L120),L120*1,"")</f>
        <v>7858.938</v>
      </c>
      <c r="M307" s="260">
        <f>IF(ISNUMBER(M120),M120*4,"")</f>
        <v>7956.264</v>
      </c>
      <c r="N307" s="260">
        <f>IF(ISNUMBER(N120),N120*4,"")</f>
        <v>8424.152</v>
      </c>
      <c r="O307" s="260">
        <f>IF(ISNUMBER(O120),O120*4,"")</f>
        <v>8122.08</v>
      </c>
      <c r="P307" s="260">
        <f>IF(ISNUMBER(P120),P120*4,"")</f>
        <v>8952.304</v>
      </c>
      <c r="Q307" s="260">
        <f>IF(ISNUMBER(Q120),Q120*1,"")</f>
        <v>8363.7</v>
      </c>
      <c r="R307" s="260">
        <f>IF(ISNUMBER(R120),R120*4,"")</f>
        <v>8998.4</v>
      </c>
      <c r="S307" s="260">
        <f>IF(ISNUMBER(S120),S120*4,"")</f>
        <v>9195.904</v>
      </c>
      <c r="T307" s="260">
        <f>IF(ISNUMBER(T120),T120*4,"")</f>
        <v>9108.296</v>
      </c>
      <c r="U307" s="260">
        <f>IF(ISNUMBER(U120),U120*4,"")</f>
        <v>9733.044</v>
      </c>
      <c r="V307" s="260">
        <f>IF(ISNUMBER(V120),V120*1,"")</f>
        <v>9258.911</v>
      </c>
      <c r="W307" s="260">
        <f>IF(ISNUMBER(W120),W120*4,"")</f>
        <v>10617.944</v>
      </c>
      <c r="X307" s="260">
        <f>IF(ISNUMBER(X120),X120*4,"")</f>
        <v>10665.128</v>
      </c>
      <c r="Y307" s="260">
        <f>IF(ISNUMBER(Y120),Y120*4,"")</f>
        <v>10279.204</v>
      </c>
      <c r="Z307" s="260">
        <f>IF(ISNUMBER(Z120),Z120*4,"")</f>
        <v>11085.308</v>
      </c>
      <c r="AA307" s="260">
        <f>IF(ISNUMBER(AA120),AA120*1,"")</f>
        <v>10661.896</v>
      </c>
      <c r="AB307" s="260">
        <f>IF(ISNUMBER(AB120),AB120*4,"")</f>
        <v>11767.188</v>
      </c>
      <c r="AC307" s="260">
        <f>IF(ISNUMBER(AC120),AC120*4,"")</f>
        <v>12585.544</v>
      </c>
      <c r="AD307" s="260">
        <f>IF(ISNUMBER(AD120),AD120*4,"")</f>
        <v>11668.76</v>
      </c>
      <c r="AE307" s="260">
        <f>IF(ISNUMBER(AE120),AE120*4,"")</f>
        <v>11896</v>
      </c>
      <c r="AF307" s="260">
        <f>IF(ISNUMBER(AF120),AF120*1,"")</f>
        <v>11980</v>
      </c>
      <c r="AG307" s="260">
        <f>IF(ISNUMBER(AG120),AG120*4,"")</f>
        <v>11696</v>
      </c>
      <c r="AH307" s="260">
        <f>IF(ISNUMBER(AH120),AH120*4,"")</f>
        <v>11560</v>
      </c>
      <c r="AI307" s="260">
        <f>IF(ISNUMBER(AI120),AI120*4,"")</f>
        <v>10480</v>
      </c>
      <c r="AJ307" s="260">
        <f>IF(ISNUMBER(AJ120),AJ120*4,"")</f>
        <v>11132</v>
      </c>
      <c r="AK307" s="260">
        <f>IF(ISNUMBER(AK120),AK120*1,"")</f>
        <v>11217</v>
      </c>
      <c r="AL307" s="260">
        <f>IF(ISNUMBER(AL120),AL120*4,"")</f>
        <v>11200</v>
      </c>
      <c r="AM307" s="35" t="n"/>
      <c r="AN307" s="35" t="n"/>
      <c r="AO307" s="35" t="n"/>
      <c r="AP307" s="254">
        <f>IF(ISNUMBER(AP120),AP120*1,"")</f>
        <v>11558.7912087912</v>
      </c>
      <c r="AQ307" s="254">
        <f>IF(ISNUMBER(AQ120),AQ120*1,"")</f>
        <v>11920.437171626</v>
      </c>
      <c r="AR307" s="254">
        <f>IF(ISNUMBER(AR120),AR120*1,"")</f>
        <v>12474.7963331829</v>
      </c>
      <c r="AS307" s="254">
        <f>IF(ISNUMBER(AS120),AS120*1,"")</f>
        <v>13108.5320316274</v>
      </c>
      <c r="AT307" s="254">
        <f>IF(ISNUMBER(AT120),AT120*1,"")</f>
        <v>13797.3554528228</v>
      </c>
      <c r="AU307" s="19" t="n"/>
    </row>
    <row r="308" ht="15" customHeight="1" s="251">
      <c r="B308" s="25" t="inlineStr">
        <is>
          <t xml:space="preserve">  DSO — receivables / revenue × 365</t>
        </is>
      </c>
      <c r="C308" s="299">
        <f>IFERROR(C277/C307*365,"")</f>
        <v>67.1113406260016</v>
      </c>
      <c r="D308" s="299">
        <f>IFERROR(D277/D307*365,"")</f>
        <v>65.2648557439234</v>
      </c>
      <c r="E308" s="299">
        <f>IFERROR(E277/E307*365,"")</f>
        <v>61.0746039246952</v>
      </c>
      <c r="F308" s="299">
        <f>IFERROR(F277/F307*365,"")</f>
        <v>59.3235629231227</v>
      </c>
      <c r="G308" s="299">
        <f>IFERROR(G277/G307*365,"")</f>
        <v>60.2481076589357</v>
      </c>
      <c r="H308" s="299">
        <f>IFERROR(H277/H307*365,"")</f>
        <v>62.3695618615492</v>
      </c>
      <c r="I308" s="299">
        <f>IFERROR(I277/I307*365,"")</f>
        <v>66.8543110148605</v>
      </c>
      <c r="J308" s="299">
        <f>IFERROR(J277/J307*365,"")</f>
        <v>72.4314111034888</v>
      </c>
      <c r="K308" s="299">
        <f>IFERROR(K277/K307*365,"")</f>
        <v>71.3716858384309</v>
      </c>
      <c r="L308" s="299">
        <f>IFERROR(L277/L307*365,"")</f>
        <v>65.5739121494533</v>
      </c>
      <c r="M308" s="299">
        <f>IFERROR(M277/M307*365,"")</f>
        <v>76.7397587611472</v>
      </c>
      <c r="N308" s="299">
        <f>IFERROR(N277/N307*365,"")</f>
        <v>65.4933974363236</v>
      </c>
      <c r="O308" s="299">
        <f>IFERROR(O277/O307*365,"")</f>
        <v>72.7338698953963</v>
      </c>
      <c r="P308" s="299">
        <f>IFERROR(P277/P307*365,"")</f>
        <v>66.1719022276277</v>
      </c>
      <c r="Q308" s="299">
        <f>IFERROR(Q277/Q307*365,"")</f>
        <v>70.8288179872544</v>
      </c>
      <c r="R308" s="299">
        <f>IFERROR(R277/R307*365,"")</f>
        <v>74.1639891536273</v>
      </c>
      <c r="S308" s="299">
        <f>IFERROR(S277/S307*365,"")</f>
        <v>65.7202935132859</v>
      </c>
      <c r="T308" s="299">
        <f>IFERROR(T277/T307*365,"")</f>
        <v>72.4436535659359</v>
      </c>
      <c r="U308" s="299">
        <f>IFERROR(U277/U307*365,"")</f>
        <v>66.5581035080084</v>
      </c>
      <c r="V308" s="299">
        <f>IFERROR(V277/V307*365,"")</f>
        <v>69.9664301773718</v>
      </c>
      <c r="W308" s="299">
        <f>IFERROR(W277/W307*365,"")</f>
        <v>72.1879480622614</v>
      </c>
      <c r="X308" s="299">
        <f>IFERROR(X277/X307*365,"")</f>
        <v>68.7843741772251</v>
      </c>
      <c r="Y308" s="299">
        <f>IFERROR(Y277/Y307*365,"")</f>
        <v>69.8839511308463</v>
      </c>
      <c r="Z308" s="299">
        <f>IFERROR(Z277/Z307*365,"")</f>
        <v>67.4117336207528</v>
      </c>
      <c r="AA308" s="299">
        <f>IFERROR(AA277/AA307*365,"")</f>
        <v>70.0888312922955</v>
      </c>
      <c r="AB308" s="299">
        <f>IFERROR(AB277/AB307*365,"")</f>
        <v>70.771119234264</v>
      </c>
      <c r="AC308" s="299">
        <f>IFERROR(AC277/AC307*365,"")</f>
        <v>64.5387811603535</v>
      </c>
      <c r="AD308" s="299">
        <f>IFERROR(AD277/AD307*365,"")</f>
        <v>69.5579376043384</v>
      </c>
      <c r="AE308" s="299">
        <f>IFERROR(AE277/AE307*365,"")</f>
        <v>69.6801445864156</v>
      </c>
      <c r="AF308" s="299">
        <f>IFERROR(AF277/AF307*365,"")</f>
        <v>69.1915692821369</v>
      </c>
      <c r="AG308" s="299">
        <f>IFERROR(AG277/AG307*365,"")</f>
        <v>71.3397742818058</v>
      </c>
      <c r="AH308" s="299">
        <f>IFERROR(AH277/AH307*365,"")</f>
        <v>70.0004325259516</v>
      </c>
      <c r="AI308" s="299">
        <f>IFERROR(AI277/AI307*365,"")</f>
        <v>71.3282442748092</v>
      </c>
      <c r="AJ308" s="299">
        <f>IFERROR(AJ277/AJ307*365,"")</f>
        <v>67.6423823212361</v>
      </c>
      <c r="AK308" s="299">
        <f>IFERROR(AK277/AK307*365,"")</f>
        <v>67.1298029776233</v>
      </c>
      <c r="AL308" s="299">
        <f>IFERROR(AL277/AL307*365,"")</f>
        <v>75.6071428571429</v>
      </c>
      <c r="AM308" s="35" t="n"/>
      <c r="AN308" s="35" t="n"/>
      <c r="AO308" s="35" t="n"/>
      <c r="AP308" s="300" t="n">
        <v>71</v>
      </c>
      <c r="AQ308" s="300" t="n">
        <v>71</v>
      </c>
      <c r="AR308" s="300" t="n">
        <v>71</v>
      </c>
      <c r="AS308" s="300" t="n">
        <v>71</v>
      </c>
      <c r="AT308" s="300" t="n">
        <v>71</v>
      </c>
      <c r="AU308" s="19" t="inlineStr">
        <is>
          <t>FY2027E+ input 71d = FY2026 year-end DSO (67.1d) + the Q1/27 y/y increase in quarter-end DSO (+4.3d; Defy Security brought $221m of current billed and unbilled receivables). Year ends are compared with year ends (Q1 is seasonally high).</t>
        </is>
      </c>
    </row>
    <row r="309" ht="15" customHeight="1" s="251">
      <c r="B309" s="25" t="inlineStr">
        <is>
          <t xml:space="preserve">  Other current assets % of revenue</t>
        </is>
      </c>
      <c r="C309" s="215">
        <f>IFERROR(C278/C307,"")</f>
        <v>0.016381025590787</v>
      </c>
      <c r="D309" s="215">
        <f>IFERROR(D278/D307,"")</f>
        <v>0.00770780570327605</v>
      </c>
      <c r="E309" s="215">
        <f>IFERROR(E278/E307,"")</f>
        <v>0.0144643987169933</v>
      </c>
      <c r="F309" s="215">
        <f>IFERROR(F278/F307,"")</f>
        <v>0.0187081142874476</v>
      </c>
      <c r="G309" s="215">
        <f>IFERROR(G278/G307,"")</f>
        <v>0.0203400534765096</v>
      </c>
      <c r="H309" s="215">
        <f>IFERROR(H278/H307,"")</f>
        <v>0.0146879442839117</v>
      </c>
      <c r="I309" s="215">
        <f>IFERROR(I278/I307,"")</f>
        <v>0.0115539044756899</v>
      </c>
      <c r="J309" s="215">
        <f>IFERROR(J278/J307,"")</f>
        <v>0.0126768393432196</v>
      </c>
      <c r="K309" s="215">
        <f>IFERROR(K278/K307,"")</f>
        <v>0.0169907156382351</v>
      </c>
      <c r="L309" s="215">
        <f>IFERROR(L278/L307,"")</f>
        <v>0.0296888714480252</v>
      </c>
      <c r="M309" s="215">
        <f>IFERROR(M278/M307,"")</f>
        <v>0.0228978073125779</v>
      </c>
      <c r="N309" s="215">
        <f>IFERROR(N278/N307,"")</f>
        <v>0.0142011920012839</v>
      </c>
      <c r="O309" s="215">
        <f>IFERROR(O278/O307,"")</f>
        <v>0.0115656334338002</v>
      </c>
      <c r="P309" s="215">
        <f>IFERROR(P278/P307,"")</f>
        <v>0.014161382365925</v>
      </c>
      <c r="Q309" s="215">
        <f>IFERROR(Q278/Q307,"")</f>
        <v>0.0151580042325765</v>
      </c>
      <c r="R309" s="215">
        <f>IFERROR(R278/R307,"")</f>
        <v>0.0105517647581792</v>
      </c>
      <c r="S309" s="215">
        <f>IFERROR(S278/S307,"")</f>
        <v>0.0332488246941247</v>
      </c>
      <c r="T309" s="215">
        <f>IFERROR(T278/T307,"")</f>
        <v>0.0117092154229507</v>
      </c>
      <c r="U309" s="215">
        <f>IFERROR(U278/U307,"")</f>
        <v>0.0111338241150456</v>
      </c>
      <c r="V309" s="215">
        <f>IFERROR(V278/V307,"")</f>
        <v>0.0117039682096523</v>
      </c>
      <c r="W309" s="215">
        <f>IFERROR(W278/W307,"")</f>
        <v>0.00924378580259983</v>
      </c>
      <c r="X309" s="215">
        <f>IFERROR(X278/X307,"")</f>
        <v>0.0125091794491355</v>
      </c>
      <c r="Y309" s="215">
        <f>IFERROR(Y278/Y307,"")</f>
        <v>0.0104128685450741</v>
      </c>
      <c r="Z309" s="215">
        <f>IFERROR(Z278/Z307,"")</f>
        <v>0.0123866653051047</v>
      </c>
      <c r="AA309" s="215">
        <f>IFERROR(AA278/AA307,"")</f>
        <v>0.0128785724415245</v>
      </c>
      <c r="AB309" s="215">
        <f>IFERROR(AB278/AB307,"")</f>
        <v>0.0103202226394275</v>
      </c>
      <c r="AC309" s="215">
        <f>IFERROR(AC278/AC307,"")</f>
        <v>0.0105629919533077</v>
      </c>
      <c r="AD309" s="215">
        <f>IFERROR(AD278/AD307,"")</f>
        <v>0.0144952848460333</v>
      </c>
      <c r="AE309" s="215">
        <f>IFERROR(AE278/AE307,"")</f>
        <v>0.0131977135171486</v>
      </c>
      <c r="AF309" s="215">
        <f>IFERROR(AF278/AF307,"")</f>
        <v>0.0131051752921536</v>
      </c>
      <c r="AG309" s="215">
        <f>IFERROR(AG278/AG307,"")</f>
        <v>0.0117989056087551</v>
      </c>
      <c r="AH309" s="215">
        <f>IFERROR(AH278/AH307,"")</f>
        <v>0.0162629757785467</v>
      </c>
      <c r="AI309" s="215">
        <f>IFERROR(AI278/AI307,"")</f>
        <v>0.0140267175572519</v>
      </c>
      <c r="AJ309" s="215">
        <f>IFERROR(AJ278/AJ307,"")</f>
        <v>0.0152712899748473</v>
      </c>
      <c r="AK309" s="215">
        <f>IFERROR(AK278/AK307,"")</f>
        <v>0.0151555674422751</v>
      </c>
      <c r="AL309" s="215">
        <f>IFERROR(AL278/AL307,"")</f>
        <v>0.0160714285714286</v>
      </c>
      <c r="AM309" s="24" t="n"/>
      <c r="AN309" s="24" t="n"/>
      <c r="AO309" s="24" t="n"/>
      <c r="AP309" s="264" t="n">
        <v>0.0152</v>
      </c>
      <c r="AQ309" s="264" t="n">
        <v>0.0152</v>
      </c>
      <c r="AR309" s="264" t="n">
        <v>0.0152</v>
      </c>
      <c r="AS309" s="264" t="n">
        <v>0.0152</v>
      </c>
      <c r="AT309" s="264" t="n">
        <v>0.0152</v>
      </c>
      <c r="AU309" s="153" t="n"/>
    </row>
    <row r="310" ht="15" customHeight="1" s="251">
      <c r="B310" s="25" t="inlineStr">
        <is>
          <t xml:space="preserve">  Accounts payable &amp; accrued expenses % of revenue (FY2027E: solved to the FCF guidance)</t>
        </is>
      </c>
      <c r="C310" s="215">
        <f>IFERROR(C288/C307,"")</f>
        <v>0.075769667556319</v>
      </c>
      <c r="D310" s="215">
        <f>IFERROR(D288/D307,"")</f>
        <v>0.0783362935322476</v>
      </c>
      <c r="E310" s="215">
        <f>IFERROR(E288/E307,"")</f>
        <v>0.089219636873247</v>
      </c>
      <c r="F310" s="215">
        <f>IFERROR(F288/F307,"")</f>
        <v>0.0913433192347723</v>
      </c>
      <c r="G310" s="215">
        <f>IFERROR(G288/G307,"")</f>
        <v>0.0896767471897454</v>
      </c>
      <c r="H310" s="215">
        <f>IFERROR(H288/H307,"")</f>
        <v>0.0868525730305409</v>
      </c>
      <c r="I310" s="215">
        <f>IFERROR(I288/I307,"")</f>
        <v>0.0903389954362166</v>
      </c>
      <c r="J310" s="215">
        <f>IFERROR(J288/J307,"")</f>
        <v>0.0991862067587037</v>
      </c>
      <c r="K310" s="215">
        <f>IFERROR(K288/K307,"")</f>
        <v>0.0935190071707047</v>
      </c>
      <c r="L310" s="215">
        <f>IFERROR(L288/L307,"")</f>
        <v>0.0848678281976522</v>
      </c>
      <c r="M310" s="215">
        <f>IFERROR(M288/M307,"")</f>
        <v>0.103462881573563</v>
      </c>
      <c r="N310" s="215">
        <f>IFERROR(N288/N307,"")</f>
        <v>0.101945572681974</v>
      </c>
      <c r="O310" s="215">
        <f>IFERROR(O288/O307,"")</f>
        <v>0.0980583791344089</v>
      </c>
      <c r="P310" s="215">
        <f>IFERROR(P288/P307,"")</f>
        <v>0.100824994325483</v>
      </c>
      <c r="Q310" s="215">
        <f>IFERROR(Q288/Q307,"")</f>
        <v>0.107920657125435</v>
      </c>
      <c r="R310" s="215">
        <f>IFERROR(R288/R307,"")</f>
        <v>0.0998320812588905</v>
      </c>
      <c r="S310" s="215">
        <f>IFERROR(S288/S307,"")</f>
        <v>0.102736935922776</v>
      </c>
      <c r="T310" s="215">
        <f>IFERROR(T288/T307,"")</f>
        <v>0.108316637930959</v>
      </c>
      <c r="U310" s="215">
        <f>IFERROR(U288/U307,"")</f>
        <v>0.135275254072621</v>
      </c>
      <c r="V310" s="215">
        <f>IFERROR(V288/V307,"")</f>
        <v>0.142202468519246</v>
      </c>
      <c r="W310" s="215">
        <f>IFERROR(W288/W307,"")</f>
        <v>0.131007377699487</v>
      </c>
      <c r="X310" s="215">
        <f>IFERROR(X288/X307,"")</f>
        <v>0.0990488815511637</v>
      </c>
      <c r="Y310" s="215">
        <f>IFERROR(Y288/Y307,"")</f>
        <v>0.0966526201834305</v>
      </c>
      <c r="Z310" s="215">
        <f>IFERROR(Z288/Z307,"")</f>
        <v>0.0947804066427383</v>
      </c>
      <c r="AA310" s="215">
        <f>IFERROR(AA288/AA307,"")</f>
        <v>0.0985443864768518</v>
      </c>
      <c r="AB310" s="215">
        <f>IFERROR(AB288/AB307,"")</f>
        <v>0.0967912639791257</v>
      </c>
      <c r="AC310" s="215">
        <f>IFERROR(AC288/AC307,"")</f>
        <v>0.0814460622441112</v>
      </c>
      <c r="AD310" s="215">
        <f>IFERROR(AD288/AD307,"")</f>
        <v>0.0810820515633195</v>
      </c>
      <c r="AE310" s="215">
        <f>IFERROR(AE288/AE307,"")</f>
        <v>0.0829690652320108</v>
      </c>
      <c r="AF310" s="215">
        <f>IFERROR(AF288/AF307,"")</f>
        <v>0.0823873121869783</v>
      </c>
      <c r="AG310" s="215">
        <f>IFERROR(AG288/AG307,"")</f>
        <v>0.0811388508891929</v>
      </c>
      <c r="AH310" s="215">
        <f>IFERROR(AH288/AH307,"")</f>
        <v>0.0865916955017301</v>
      </c>
      <c r="AI310" s="215">
        <f>IFERROR(AI288/AI307,"")</f>
        <v>0.0826335877862595</v>
      </c>
      <c r="AJ310" s="215">
        <f>IFERROR(AJ288/AJ307,"")</f>
        <v>0.0816564858066834</v>
      </c>
      <c r="AK310" s="215">
        <f>IFERROR(AK288/AK307,"")</f>
        <v>0.0810377106178122</v>
      </c>
      <c r="AL310" s="215">
        <f>IFERROR(AL288/AL307,"")</f>
        <v>0.106428571428571</v>
      </c>
      <c r="AM310" s="24" t="n"/>
      <c r="AN310" s="24" t="n"/>
      <c r="AO310" s="24" t="n"/>
      <c r="AP310" s="256">
        <f>(CHOOSE(MATCH($AU$2,{"Bull","Base","Bear"},0),$BD$15,$BE$15,$BF$15)-AP311+AL288)/AP307</f>
        <v>0.10027065014609</v>
      </c>
      <c r="AQ310" s="256">
        <f>AP310</f>
        <v>0.10027065014609</v>
      </c>
      <c r="AR310" s="256">
        <f>AQ310</f>
        <v>0.10027065014609</v>
      </c>
      <c r="AS310" s="256">
        <f>AR310</f>
        <v>0.10027065014609</v>
      </c>
      <c r="AT310" s="256">
        <f>AS310</f>
        <v>0.10027065014609</v>
      </c>
      <c r="AU310" s="153" t="inlineStr">
        <is>
          <t>FY2027E: solved so that FY27 free cash flow = the guidance end-point for the active scenario (one working-capital plug, closed form; Q1/27 10.6% incl. $172m of accrued expenses acquired with Defy, FY2026 year end 8.1%). 2028E+: held at the FY2027E level.</t>
        </is>
      </c>
    </row>
    <row r="311" ht="15" customHeight="1" s="251">
      <c r="B311" s="25" t="inlineStr">
        <is>
          <t xml:space="preserve">  FY2027E free cash flow before the payables calibration (helper: all CFO lines except Δ payables &amp; accrued + capex)</t>
        </is>
      </c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  <c r="AA311" s="34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5" t="n"/>
      <c r="AN311" s="35" t="n"/>
      <c r="AO311" s="35" t="n"/>
      <c r="AP311" s="254">
        <f>AP229+AP231+AP232+AP233+AL234-(AP277-AL277)-(AP278-AL278)+(AP289-AL289)+(AP290-AL290)+AP236</f>
        <v>907.9924905916</v>
      </c>
      <c r="AQ311" s="35" t="n"/>
      <c r="AR311" s="35" t="n"/>
      <c r="AS311" s="35" t="n"/>
      <c r="AT311" s="35" t="n"/>
      <c r="AU311" s="19" t="n"/>
    </row>
    <row r="312" ht="15" customHeight="1" s="251">
      <c r="B312" s="57" t="inlineStr">
        <is>
          <t xml:space="preserve">  Check: FY27 free cash flow vs guidance end-point (should be 0)</t>
        </is>
      </c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  <c r="AC312" s="44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153" t="n"/>
      <c r="AN312" s="153" t="n"/>
      <c r="AO312" s="153" t="n"/>
      <c r="AP312" s="286">
        <f>ROUND(AP252-CHOOSE(MATCH($AU$2,{"Bull","Base","Bear"},0),$BD$15,$BE$15,$BF$15),1)</f>
        <v>0</v>
      </c>
      <c r="AQ312" s="153" t="n"/>
      <c r="AR312" s="153" t="n"/>
      <c r="AS312" s="153" t="n"/>
      <c r="AT312" s="153" t="n"/>
      <c r="AU312" s="153" t="n"/>
    </row>
    <row r="313" ht="15" customHeight="1" s="251">
      <c r="B313" s="25" t="inlineStr">
        <is>
          <t xml:space="preserve">  Accrued compensation &amp; benefits % of revenue</t>
        </is>
      </c>
      <c r="C313" s="215">
        <f>IFERROR(C289/C307,"")</f>
        <v>0.0610784579102536</v>
      </c>
      <c r="D313" s="215">
        <f>IFERROR(D289/D307,"")</f>
        <v>0.0669380081030778</v>
      </c>
      <c r="E313" s="215">
        <f>IFERROR(E289/E307,"")</f>
        <v>0.0604961803846282</v>
      </c>
      <c r="F313" s="215">
        <f>IFERROR(F289/F307,"")</f>
        <v>0.0529386115413563</v>
      </c>
      <c r="G313" s="215">
        <f>IFERROR(G289/G307,"")</f>
        <v>0.0446501476764135</v>
      </c>
      <c r="H313" s="215">
        <f>IFERROR(H289/H307,"")</f>
        <v>0.0454519454940523</v>
      </c>
      <c r="I313" s="215">
        <f>IFERROR(I289/I307,"")</f>
        <v>0.04581282153026</v>
      </c>
      <c r="J313" s="215">
        <f>IFERROR(J289/J307,"")</f>
        <v>0.048560740341976</v>
      </c>
      <c r="K313" s="215">
        <f>IFERROR(K289/K307,"")</f>
        <v>0.0467286213626469</v>
      </c>
      <c r="L313" s="215">
        <f>IFERROR(L289/L307,"")</f>
        <v>0.0541568084644516</v>
      </c>
      <c r="M313" s="215">
        <f>IFERROR(M289/M307,"")</f>
        <v>0.0424041987545914</v>
      </c>
      <c r="N313" s="215">
        <f>IFERROR(N289/N307,"")</f>
        <v>0.0456656052739789</v>
      </c>
      <c r="O313" s="215">
        <f>IFERROR(O289/O307,"")</f>
        <v>0.0498244292102516</v>
      </c>
      <c r="P313" s="215">
        <f>IFERROR(P289/P307,"")</f>
        <v>0.048996772227574</v>
      </c>
      <c r="Q313" s="215">
        <f>IFERROR(Q289/Q307,"")</f>
        <v>0.0524449705273982</v>
      </c>
      <c r="R313" s="215">
        <f>IFERROR(R289/R307,"")</f>
        <v>0.0401314678165007</v>
      </c>
      <c r="S313" s="215">
        <f>IFERROR(S289/S307,"")</f>
        <v>0.0428616914661136</v>
      </c>
      <c r="T313" s="215">
        <f>IFERROR(T289/T307,"")</f>
        <v>0.0472245302524204</v>
      </c>
      <c r="U313" s="215">
        <f>IFERROR(U289/U307,"")</f>
        <v>0.0457415994420656</v>
      </c>
      <c r="V313" s="215">
        <f>IFERROR(V289/V307,"")</f>
        <v>0.0480839485334722</v>
      </c>
      <c r="W313" s="215">
        <f>IFERROR(W289/W307,"")</f>
        <v>0.0350826864409908</v>
      </c>
      <c r="X313" s="215">
        <f>IFERROR(X289/X307,"")</f>
        <v>0.0408411413346375</v>
      </c>
      <c r="Y313" s="215">
        <f>IFERROR(Y289/Y307,"")</f>
        <v>0.0461889850614892</v>
      </c>
      <c r="Z313" s="215">
        <f>IFERROR(Z289/Z307,"")</f>
        <v>0.0456577300333017</v>
      </c>
      <c r="AA313" s="215">
        <f>IFERROR(AA289/AA307,"")</f>
        <v>0.0474709188684639</v>
      </c>
      <c r="AB313" s="215">
        <f>IFERROR(AB289/AB307,"")</f>
        <v>0.0346239900305834</v>
      </c>
      <c r="AC313" s="215">
        <f>IFERROR(AC289/AC307,"")</f>
        <v>0.0540697327028534</v>
      </c>
      <c r="AD313" s="215">
        <f>IFERROR(AD289/AD307,"")</f>
        <v>0.0605800444948735</v>
      </c>
      <c r="AE313" s="215">
        <f>IFERROR(AE289/AE307,"")</f>
        <v>0.0590114324142569</v>
      </c>
      <c r="AF313" s="215">
        <f>IFERROR(AF289/AF307,"")</f>
        <v>0.0585976627712855</v>
      </c>
      <c r="AG313" s="215">
        <f>IFERROR(AG289/AG307,"")</f>
        <v>0.0560875512995896</v>
      </c>
      <c r="AH313" s="215">
        <f>IFERROR(AH289/AH307,"")</f>
        <v>0.0583910034602076</v>
      </c>
      <c r="AI313" s="215">
        <f>IFERROR(AI289/AI307,"")</f>
        <v>0.0639312977099237</v>
      </c>
      <c r="AJ313" s="215">
        <f>IFERROR(AJ289/AJ307,"")</f>
        <v>0.0575817463169242</v>
      </c>
      <c r="AK313" s="215">
        <f>IFERROR(AK289/AK307,"")</f>
        <v>0.0571454042970491</v>
      </c>
      <c r="AL313" s="215">
        <f>IFERROR(AL289/AL307,"")</f>
        <v>0.0541964285714286</v>
      </c>
      <c r="AM313" s="24" t="n"/>
      <c r="AN313" s="24" t="n"/>
      <c r="AO313" s="24" t="n"/>
      <c r="AP313" s="264" t="n">
        <v>0.0571</v>
      </c>
      <c r="AQ313" s="264" t="n">
        <v>0.0571</v>
      </c>
      <c r="AR313" s="264" t="n">
        <v>0.0571</v>
      </c>
      <c r="AS313" s="264" t="n">
        <v>0.0571</v>
      </c>
      <c r="AT313" s="264" t="n">
        <v>0.0571</v>
      </c>
      <c r="AU313" s="153" t="n"/>
    </row>
    <row r="314" ht="15" customHeight="1" s="251">
      <c r="B314" s="25" t="inlineStr">
        <is>
          <t xml:space="preserve">  Other current liabilities % of revenue</t>
        </is>
      </c>
      <c r="C314" s="215">
        <f>IFERROR(C290/C307,"")</f>
        <v>0.0119679793446839</v>
      </c>
      <c r="D314" s="215">
        <f>IFERROR(D290/D307,"")</f>
        <v>0.0126059840651164</v>
      </c>
      <c r="E314" s="215">
        <f>IFERROR(E290/E307,"")</f>
        <v>0.00422892832286825</v>
      </c>
      <c r="F314" s="215">
        <f>IFERROR(F290/F307,"")</f>
        <v>0.00585371494870866</v>
      </c>
      <c r="G314" s="215">
        <f>IFERROR(G290/G307,"")</f>
        <v>0.0186771907924505</v>
      </c>
      <c r="H314" s="215">
        <f>IFERROR(H290/H307,"")</f>
        <v>0.0241749025375051</v>
      </c>
      <c r="I314" s="215">
        <f>IFERROR(I290/I307,"")</f>
        <v>0.0215100716105844</v>
      </c>
      <c r="J314" s="215">
        <f>IFERROR(J290/J307,"")</f>
        <v>0.0195127204697707</v>
      </c>
      <c r="K314" s="215">
        <f>IFERROR(K290/K307,"")</f>
        <v>0.0138034826840497</v>
      </c>
      <c r="L314" s="215">
        <f>IFERROR(L290/L307,"")</f>
        <v>0.0153524560188667</v>
      </c>
      <c r="M314" s="215">
        <f>IFERROR(M290/M307,"")</f>
        <v>0.0166524137459491</v>
      </c>
      <c r="N314" s="215">
        <f>IFERROR(N290/N307,"")</f>
        <v>0.0148864835297369</v>
      </c>
      <c r="O314" s="215">
        <f>IFERROR(O290/O307,"")</f>
        <v>0.0151265439394835</v>
      </c>
      <c r="P314" s="215">
        <f>IFERROR(P290/P307,"")</f>
        <v>0.0138874863945639</v>
      </c>
      <c r="Q314" s="215">
        <f>IFERROR(Q290/Q307,"")</f>
        <v>0.0148648325501871</v>
      </c>
      <c r="R314" s="215">
        <f>IFERROR(R290/R307,"")</f>
        <v>0.0209108285917496</v>
      </c>
      <c r="S314" s="215">
        <f>IFERROR(S290/S307,"")</f>
        <v>0.0130513541681166</v>
      </c>
      <c r="T314" s="215">
        <f>IFERROR(T290/T307,"")</f>
        <v>0.0136967441549989</v>
      </c>
      <c r="U314" s="215">
        <f>IFERROR(U290/U307,"")</f>
        <v>0.00965360888125031</v>
      </c>
      <c r="V314" s="215">
        <f>IFERROR(V290/V307,"")</f>
        <v>0.010147953684834</v>
      </c>
      <c r="W314" s="215">
        <f>IFERROR(W290/W307,"")</f>
        <v>0.0106112821841969</v>
      </c>
      <c r="X314" s="215">
        <f>IFERROR(X290/X307,"")</f>
        <v>0.00680216871283683</v>
      </c>
      <c r="Y314" s="215">
        <f>IFERROR(Y290/Y307,"")</f>
        <v>0.00754406664173607</v>
      </c>
      <c r="Z314" s="215">
        <f>IFERROR(Z290/Z307,"")</f>
        <v>0.0066317507822065</v>
      </c>
      <c r="AA314" s="215">
        <f>IFERROR(AA290/AA307,"")</f>
        <v>0.0068951150902241</v>
      </c>
      <c r="AB314" s="215">
        <f>IFERROR(AB290/AB307,"")</f>
        <v>0.0100586478264816</v>
      </c>
      <c r="AC314" s="215">
        <f>IFERROR(AC290/AC307,"")</f>
        <v>0.00689799344390676</v>
      </c>
      <c r="AD314" s="215">
        <f>IFERROR(AD290/AD307,"")</f>
        <v>0.00675375961113263</v>
      </c>
      <c r="AE314" s="215">
        <f>IFERROR(AE290/AE307,"")</f>
        <v>0.00622057834566241</v>
      </c>
      <c r="AF314" s="215">
        <f>IFERROR(AF290/AF307,"")</f>
        <v>0.00617696160267112</v>
      </c>
      <c r="AG314" s="215">
        <f>IFERROR(AG290/AG307,"")</f>
        <v>0.00615595075239398</v>
      </c>
      <c r="AH314" s="215">
        <f>IFERROR(AH290/AH307,"")</f>
        <v>0.0064878892733564</v>
      </c>
      <c r="AI314" s="215">
        <f>IFERROR(AI290/AI307,"")</f>
        <v>0.00801526717557252</v>
      </c>
      <c r="AJ314" s="215">
        <f>IFERROR(AJ290/AJ307,"")</f>
        <v>0.00844412504491556</v>
      </c>
      <c r="AK314" s="215">
        <f>IFERROR(AK290/AK307,"")</f>
        <v>0.00838013729161095</v>
      </c>
      <c r="AL314" s="215">
        <f>IFERROR(AL290/AL307,"")</f>
        <v>0.00785714285714286</v>
      </c>
      <c r="AM314" s="24" t="n"/>
      <c r="AN314" s="24" t="n"/>
      <c r="AO314" s="24" t="n"/>
      <c r="AP314" s="264" t="n">
        <v>0.008399999999999999</v>
      </c>
      <c r="AQ314" s="264" t="n">
        <v>0.008399999999999999</v>
      </c>
      <c r="AR314" s="264" t="n">
        <v>0.008399999999999999</v>
      </c>
      <c r="AS314" s="264" t="n">
        <v>0.008399999999999999</v>
      </c>
      <c r="AT314" s="264" t="n">
        <v>0.008399999999999999</v>
      </c>
      <c r="AU314" s="153" t="inlineStr">
        <is>
          <t>Other working-capital ratios held at fiscal-year-end (31-Mar-2026) levels on FY2026 revenue: other current assets 1.5%, accrued compensation 5.7%, other current liabilities 0.8% (payables &amp; accrued: solved to the FY27 FCF guidance).</t>
        </is>
      </c>
    </row>
    <row r="315" ht="15" customHeight="1" s="251">
      <c r="B315" s="25" t="inlineStr">
        <is>
          <t xml:space="preserve">  Operating NWC (receivables + other current assets − payables &amp; accrued − accrued compensation − other current liabilities)</t>
        </is>
      </c>
      <c r="C315" s="260">
        <f>IF(ISNUMBER(C277),C277+C278-C288-C289-C290,"")</f>
        <v>301.349</v>
      </c>
      <c r="D315" s="260">
        <f>IF(ISNUMBER(D277),D277+D278-D288-D289-D290,"")</f>
        <v>164.884</v>
      </c>
      <c r="E315" s="260">
        <f>IF(ISNUMBER(E277),E277+E278-E288-E289-E290,"")</f>
        <v>152.567</v>
      </c>
      <c r="F315" s="260">
        <f>IF(ISNUMBER(F277),F277+F278-F288-F289-F290,"")</f>
        <v>164.06</v>
      </c>
      <c r="G315" s="260">
        <f>IF(ISNUMBER(G277),G277+G278-G288-G289-G290,"")</f>
        <v>175.142</v>
      </c>
      <c r="H315" s="260">
        <f>IF(ISNUMBER(H277),H277+H278-H288-H289-H290,"")</f>
        <v>168.812</v>
      </c>
      <c r="I315" s="260">
        <f>IF(ISNUMBER(I277),I277+I278-I288-I289-I290,"")</f>
        <v>228.695</v>
      </c>
      <c r="J315" s="260">
        <f>IF(ISNUMBER(J277),J277+J278-J288-J289-J290,"")</f>
        <v>294.035</v>
      </c>
      <c r="K315" s="260">
        <f>IF(ISNUMBER(K277),K277+K278-K288-K289-K290,"")</f>
        <v>436.474</v>
      </c>
      <c r="L315" s="260">
        <f>IF(ISNUMBER(L277),L277+L278-L288-L289-L290,"")</f>
        <v>431.977</v>
      </c>
      <c r="M315" s="260">
        <f>IF(ISNUMBER(M277),M277+M278-M288-M289-M290,"")</f>
        <v>561.905</v>
      </c>
      <c r="N315" s="260">
        <f>IF(ISNUMBER(N277),N277+N278-N288-N289-N290,"")</f>
        <v>262.307</v>
      </c>
      <c r="O315" s="260">
        <f>IF(ISNUMBER(O277),O277+O278-O288-O289-O290,"")</f>
        <v>388.456</v>
      </c>
      <c r="P315" s="260">
        <f>IF(ISNUMBER(P277),P277+P278-P288-P289-P290,"")</f>
        <v>284.191</v>
      </c>
      <c r="Q315" s="260">
        <f>IF(ISNUMBER(Q277),Q277+Q278-Q288-Q289-Q290,"")</f>
        <v>284.191</v>
      </c>
      <c r="R315" s="260">
        <f>IF(ISNUMBER(R277),R277+R278-R288-R289-R290,"")</f>
        <v>475.713</v>
      </c>
      <c r="S315" s="260">
        <f>IF(ISNUMBER(S277),S277+S278-S288-S289-S290,"")</f>
        <v>502.597</v>
      </c>
      <c r="T315" s="260">
        <f>IF(ISNUMBER(T277),T277+T278-T288-T289-T290,"")</f>
        <v>372.958</v>
      </c>
      <c r="U315" s="260">
        <f>IF(ISNUMBER(U277),U277+U278-U288-U289-U290,"")</f>
        <v>27.3919999999998</v>
      </c>
      <c r="V315" s="260">
        <f>IF(ISNUMBER(V277),V277+V278-V288-V289-V290,"")</f>
        <v>27.3919999999998</v>
      </c>
      <c r="W315" s="260">
        <f>IF(ISNUMBER(W277),W277+W278-W288-W289-W290,"")</f>
        <v>321.911</v>
      </c>
      <c r="X315" s="260">
        <f>IF(ISNUMBER(X277),X277+X278-X288-X289-X290,"")</f>
        <v>578.768</v>
      </c>
      <c r="Y315" s="260">
        <f>IF(ISNUMBER(Y277),Y277+Y278-Y288-Y289-Y290,"")</f>
        <v>529.277</v>
      </c>
      <c r="Z315" s="260">
        <f>IF(ISNUMBER(Z277),Z277+Z278-Z288-Z289-Z290,"")</f>
        <v>554.337</v>
      </c>
      <c r="AA315" s="260">
        <f>IF(ISNUMBER(AA277),AA277+AA278-AA288-AA289-AA290,"")</f>
        <v>554.337</v>
      </c>
      <c r="AB315" s="260">
        <f>IF(ISNUMBER(AB277),AB277+AB278-AB288-AB289-AB290,"")</f>
        <v>738.271</v>
      </c>
      <c r="AC315" s="260">
        <f>IF(ISNUMBER(AC277),AC277+AC278-AC288-AC289-AC290,"")</f>
        <v>565.944</v>
      </c>
      <c r="AD315" s="260">
        <f>IF(ISNUMBER(AD277),AD277+AD278-AD288-AD289-AD290,"")</f>
        <v>661.025</v>
      </c>
      <c r="AE315" s="260">
        <f>IF(ISNUMBER(AE277),AE277+AE278-AE288-AE289-AE290,"")</f>
        <v>665</v>
      </c>
      <c r="AF315" s="260">
        <f>IF(ISNUMBER(AF277),AF277+AF278-AF288-AF289-AF290,"")</f>
        <v>665</v>
      </c>
      <c r="AG315" s="260">
        <f>IF(ISNUMBER(AG277),AG277+AG278-AG288-AG289-AG290,"")</f>
        <v>747</v>
      </c>
      <c r="AH315" s="260">
        <f>IF(ISNUMBER(AH277),AH277+AH278-AH288-AH289-AH290,"")</f>
        <v>654</v>
      </c>
      <c r="AI315" s="260">
        <f>IF(ISNUMBER(AI277),AI277+AI278-AI288-AI289-AI290,"")</f>
        <v>575</v>
      </c>
      <c r="AJ315" s="260">
        <f>IF(ISNUMBER(AJ277),AJ277+AJ278-AJ288-AJ289-AJ290,"")</f>
        <v>589</v>
      </c>
      <c r="AK315" s="260">
        <f>IF(ISNUMBER(AK277),AK277+AK278-AK288-AK289-AK290,"")</f>
        <v>589</v>
      </c>
      <c r="AL315" s="260">
        <f>IF(ISNUMBER(AL277),AL277+AL278-AL288-AL289-AL290,"")</f>
        <v>613</v>
      </c>
      <c r="AM315" s="35" t="n"/>
      <c r="AN315" s="35" t="n"/>
      <c r="AO315" s="35" t="n"/>
      <c r="AP315" s="254">
        <f>IF(ISNUMBER(AP277),AP277+AP278-AP288-AP289-AP290,"")</f>
        <v>508.007692307693</v>
      </c>
      <c r="AQ315" s="254">
        <f>IF(ISNUMBER(AQ277),AQ277+AQ278-AQ288-AQ289-AQ290,"")</f>
        <v>523.901995413743</v>
      </c>
      <c r="AR315" s="254">
        <f>IF(ISNUMBER(AR277),AR277+AR278-AR288-AR289-AR290,"")</f>
        <v>548.266023908173</v>
      </c>
      <c r="AS315" s="254">
        <f>IF(ISNUMBER(AS277),AS277+AS278-AS288-AS289-AS290,"")</f>
        <v>576.118643086459</v>
      </c>
      <c r="AT315" s="254">
        <f>IF(ISNUMBER(AT277),AT277+AT278-AT288-AT289-AT290,"")</f>
        <v>606.392362049635</v>
      </c>
      <c r="AU315" s="19" t="n"/>
    </row>
    <row r="316" ht="15" customHeight="1" s="251">
      <c r="B316" s="25" t="inlineStr">
        <is>
          <t xml:space="preserve">  NWC % of revenue</t>
        </is>
      </c>
      <c r="C316" s="215">
        <f>IF(ISNUMBER(C315),IFERROR(C315/C307,""),"")</f>
        <v>0.0514316074261105</v>
      </c>
      <c r="D316" s="215">
        <f>IF(ISNUMBER(D315),IFERROR(D315/D307,""),"")</f>
        <v>0.0286353439587889</v>
      </c>
      <c r="E316" s="215">
        <f>IF(ISNUMBER(E315),IFERROR(E315/E307,""),"")</f>
        <v>0.0278473351217161</v>
      </c>
      <c r="F316" s="215">
        <f>IF(ISNUMBER(F315),IFERROR(F315/F307,""),"")</f>
        <v>0.0311027779410287</v>
      </c>
      <c r="G316" s="215">
        <f>IF(ISNUMBER(G315),IFERROR(G315/G307,""),"")</f>
        <v>0.0323992764725187</v>
      </c>
      <c r="H316" s="215">
        <f>IF(ISNUMBER(H315),IFERROR(H315/H307,""),"")</f>
        <v>0.0290840351712631</v>
      </c>
      <c r="I316" s="215">
        <f>IF(ISNUMBER(I315),IFERROR(I315/I307,""),"")</f>
        <v>0.0370545118297536</v>
      </c>
      <c r="J316" s="215">
        <f>IF(ISNUMBER(J315),IFERROR(J315/J307,""),"")</f>
        <v>0.0438593939741085</v>
      </c>
      <c r="K316" s="215">
        <f>IF(ISNUMBER(K315),IFERROR(K315/K307,""),"")</f>
        <v>0.0584784697316034</v>
      </c>
      <c r="L316" s="215">
        <f>IF(ISNUMBER(L315),IFERROR(L315/L307,""),"")</f>
        <v>0.0549663326011734</v>
      </c>
      <c r="M316" s="215">
        <f>IF(ISNUMBER(M315),IFERROR(M315/M307,""),"")</f>
        <v>0.0706242276525766</v>
      </c>
      <c r="N316" s="215">
        <f>IF(ISNUMBER(N315),IFERROR(N315/N307,""),"")</f>
        <v>0.0311374960945624</v>
      </c>
      <c r="O316" s="215">
        <f>IF(ISNUMBER(O315),IFERROR(O315/O307,""),"")</f>
        <v>0.0478271575753994</v>
      </c>
      <c r="P316" s="215">
        <f>IF(ISNUMBER(P315),IFERROR(P315/P307,""),"")</f>
        <v>0.0317450122337222</v>
      </c>
      <c r="Q316" s="215">
        <f>IF(ISNUMBER(Q315),IFERROR(Q315/Q307,""),"")</f>
        <v>0.0339791001590205</v>
      </c>
      <c r="R316" s="215">
        <f>IF(ISNUMBER(R315),IFERROR(R315/R307,""),"")</f>
        <v>0.0528663984708393</v>
      </c>
      <c r="S316" s="215">
        <f>IF(ISNUMBER(S315),IFERROR(S315/S307,""),"")</f>
        <v>0.0546544418036552</v>
      </c>
      <c r="T316" s="215">
        <f>IF(ISNUMBER(T315),IFERROR(T315/T307,""),"")</f>
        <v>0.0409470662789176</v>
      </c>
      <c r="U316" s="215">
        <f>IF(ISNUMBER(U315),IFERROR(U315/U307,""),"")</f>
        <v>0.00281433023420009</v>
      </c>
      <c r="V316" s="215">
        <f>IF(ISNUMBER(V315),IFERROR(V315/V307,""),"")</f>
        <v>0.00295844727311882</v>
      </c>
      <c r="W316" s="215">
        <f>IF(ISNUMBER(W315),IFERROR(W315/W307,""),"")</f>
        <v>0.0303176396485045</v>
      </c>
      <c r="X316" s="215">
        <f>IF(ISNUMBER(X315),IFERROR(X315/X307,""),"")</f>
        <v>0.054267328062073</v>
      </c>
      <c r="Y316" s="215">
        <f>IF(ISNUMBER(Y315),IFERROR(Y315/Y307,""),"")</f>
        <v>0.0514900764689561</v>
      </c>
      <c r="Z316" s="215">
        <f>IF(ISNUMBER(Z315),IFERROR(Z315/Z307,""),"")</f>
        <v>0.0500064589996056</v>
      </c>
      <c r="AA316" s="215">
        <f>IF(ISNUMBER(AA315),IFERROR(AA315/AA307,""),"")</f>
        <v>0.0519923473273422</v>
      </c>
      <c r="AB316" s="215">
        <f>IF(ISNUMBER(AB315),IFERROR(AB315/AB307,""),"")</f>
        <v>0.0627397981573848</v>
      </c>
      <c r="AC316" s="215">
        <f>IF(ISNUMBER(AC315),IFERROR(AC315/AC307,""),"")</f>
        <v>0.0449677820839528</v>
      </c>
      <c r="AD316" s="215">
        <f>IF(ISNUMBER(AD315),IFERROR(AD315/AD307,""),"")</f>
        <v>0.0566491212433883</v>
      </c>
      <c r="AE316" s="215">
        <f>IF(ISNUMBER(AE315),IFERROR(AE315/AE307,""),"")</f>
        <v>0.0559011432414257</v>
      </c>
      <c r="AF316" s="215">
        <f>IF(ISNUMBER(AF315),IFERROR(AF315/AF307,""),"")</f>
        <v>0.0555091819699499</v>
      </c>
      <c r="AG316" s="215">
        <f>IF(ISNUMBER(AG315),IFERROR(AG315/AG307,""),"")</f>
        <v>0.0638679890560876</v>
      </c>
      <c r="AH316" s="215">
        <f>IF(ISNUMBER(AH315),IFERROR(AH315/AH307,""),"")</f>
        <v>0.0565743944636678</v>
      </c>
      <c r="AI316" s="215">
        <f>IF(ISNUMBER(AI315),IFERROR(AI315/AI307,""),"")</f>
        <v>0.0548664122137405</v>
      </c>
      <c r="AJ316" s="215">
        <f>IF(ISNUMBER(AJ315),IFERROR(AJ315/AJ307,""),"")</f>
        <v>0.0529105282069709</v>
      </c>
      <c r="AK316" s="215">
        <f>IF(ISNUMBER(AK315),IFERROR(AK315/AK307,""),"")</f>
        <v>0.0525095836676473</v>
      </c>
      <c r="AL316" s="215">
        <f>IF(ISNUMBER(AL315),IFERROR(AL315/AL307,""),"")</f>
        <v>0.0547321428571429</v>
      </c>
      <c r="AM316" s="24" t="n"/>
      <c r="AN316" s="24" t="n"/>
      <c r="AO316" s="24" t="n"/>
      <c r="AP316" s="256">
        <f>IF(ISNUMBER(AP315),IFERROR(AP315/AP307,""),"")</f>
        <v>0.0439498977991159</v>
      </c>
      <c r="AQ316" s="256">
        <f>IF(ISNUMBER(AQ315),IFERROR(AQ315/AQ307,""),"")</f>
        <v>0.0439498977991158</v>
      </c>
      <c r="AR316" s="256">
        <f>IF(ISNUMBER(AR315),IFERROR(AR315/AR307,""),"")</f>
        <v>0.0439498977991158</v>
      </c>
      <c r="AS316" s="256">
        <f>IF(ISNUMBER(AS315),IFERROR(AS315/AS307,""),"")</f>
        <v>0.0439498977991158</v>
      </c>
      <c r="AT316" s="256">
        <f>IF(ISNUMBER(AT315),IFERROR(AT315/AT307,""),"")</f>
        <v>0.0439498977991158</v>
      </c>
      <c r="AU316" s="153" t="n"/>
      <c r="AW316" s="37">
        <f>IFERROR(AVERAGE(AP316,AQ316,AR316,AS316,AT316),"n/m")</f>
        <v>0.0439498977991158</v>
      </c>
      <c r="AX316" s="37">
        <f>IFERROR(AVERAGE(Q316,V316,AA316,AF316,AK316),"n/m")</f>
        <v>0.0393897320794158</v>
      </c>
      <c r="AY316" s="37">
        <f>IFERROR(AVERAGE(H316,I316,J316,K316,L316,Q316,V316,AA316,AF316,AK316),"n/m")</f>
        <v>0.0420391403704981</v>
      </c>
      <c r="AZ316" s="37">
        <f>IFERROR(AVERAGE(C316,D316,E316,F316,G316,H316,I316,J316,K316,L316,Q316,V316,AA316,AF316,AK316),"n/m")</f>
        <v>0.0394538496416762</v>
      </c>
    </row>
    <row r="317" ht="15" customHeight="1" s="251">
      <c r="B317" s="25" t="inlineStr">
        <is>
          <t xml:space="preserve">  ΔNWC (y/y)</t>
        </is>
      </c>
      <c r="C317" s="34" t="n"/>
      <c r="D317" s="260">
        <f>IF(AND(ISNUMBER(D315),ISNUMBER(C315)),D315-C315,"")</f>
        <v>-136.465</v>
      </c>
      <c r="E317" s="260">
        <f>IF(AND(ISNUMBER(E315),ISNUMBER(D315)),E315-D315,"")</f>
        <v>-12.3170000000001</v>
      </c>
      <c r="F317" s="260">
        <f>IF(AND(ISNUMBER(F315),ISNUMBER(E315)),F315-E315,"")</f>
        <v>11.4930000000001</v>
      </c>
      <c r="G317" s="260">
        <f>IF(AND(ISNUMBER(G315),ISNUMBER(F315)),G315-F315,"")</f>
        <v>11.082</v>
      </c>
      <c r="H317" s="260">
        <f>IF(AND(ISNUMBER(H315),ISNUMBER(G315)),H315-G315,"")</f>
        <v>-6.33000000000007</v>
      </c>
      <c r="I317" s="260">
        <f>IF(AND(ISNUMBER(I315),ISNUMBER(H315)),I315-H315,"")</f>
        <v>59.8830000000001</v>
      </c>
      <c r="J317" s="260">
        <f>IF(AND(ISNUMBER(J315),ISNUMBER(I315)),J315-I315,"")</f>
        <v>65.3400000000002</v>
      </c>
      <c r="K317" s="260">
        <f>IF(AND(ISNUMBER(K315),ISNUMBER(J315)),K315-J315,"")</f>
        <v>142.439</v>
      </c>
      <c r="L317" s="260">
        <f>IF(AND(ISNUMBER(L315),ISNUMBER(K315)),L315-K315,"")</f>
        <v>-4.49700000000001</v>
      </c>
      <c r="M317" s="34" t="n"/>
      <c r="N317" s="34" t="n"/>
      <c r="O317" s="34" t="n"/>
      <c r="P317" s="34" t="n"/>
      <c r="Q317" s="260">
        <f>IF(AND(ISNUMBER(Q315),ISNUMBER(L315)),Q315-L315,"")</f>
        <v>-147.786</v>
      </c>
      <c r="R317" s="260">
        <f>IF(AND(ISNUMBER(R315),ISNUMBER(M315)),R315-M315,"")</f>
        <v>-86.192</v>
      </c>
      <c r="S317" s="260">
        <f>IF(AND(ISNUMBER(S315),ISNUMBER(N315)),S315-N315,"")</f>
        <v>240.29</v>
      </c>
      <c r="T317" s="260">
        <f>IF(AND(ISNUMBER(T315),ISNUMBER(O315)),T315-O315,"")</f>
        <v>-15.4979999999998</v>
      </c>
      <c r="U317" s="260">
        <f>IF(AND(ISNUMBER(U315),ISNUMBER(P315)),U315-P315,"")</f>
        <v>-256.799</v>
      </c>
      <c r="V317" s="260">
        <f>IF(AND(ISNUMBER(V315),ISNUMBER(Q315)),V315-Q315,"")</f>
        <v>-256.799</v>
      </c>
      <c r="W317" s="260">
        <f>IF(AND(ISNUMBER(W315),ISNUMBER(R315)),W315-R315,"")</f>
        <v>-153.802</v>
      </c>
      <c r="X317" s="260">
        <f>IF(AND(ISNUMBER(X315),ISNUMBER(S315)),X315-S315,"")</f>
        <v>76.1710000000003</v>
      </c>
      <c r="Y317" s="260">
        <f>IF(AND(ISNUMBER(Y315),ISNUMBER(T315)),Y315-T315,"")</f>
        <v>156.319</v>
      </c>
      <c r="Z317" s="260">
        <f>IF(AND(ISNUMBER(Z315),ISNUMBER(U315)),Z315-U315,"")</f>
        <v>526.945</v>
      </c>
      <c r="AA317" s="260">
        <f>IF(AND(ISNUMBER(AA315),ISNUMBER(V315)),AA315-V315,"")</f>
        <v>526.945</v>
      </c>
      <c r="AB317" s="260">
        <f>IF(AND(ISNUMBER(AB315),ISNUMBER(W315)),AB315-W315,"")</f>
        <v>416.36</v>
      </c>
      <c r="AC317" s="260">
        <f>IF(AND(ISNUMBER(AC315),ISNUMBER(X315)),AC315-X315,"")</f>
        <v>-12.8239999999998</v>
      </c>
      <c r="AD317" s="260">
        <f>IF(AND(ISNUMBER(AD315),ISNUMBER(Y315)),AD315-Y315,"")</f>
        <v>131.748</v>
      </c>
      <c r="AE317" s="260">
        <f>IF(AND(ISNUMBER(AE315),ISNUMBER(Z315)),AE315-Z315,"")</f>
        <v>110.663</v>
      </c>
      <c r="AF317" s="260">
        <f>IF(AND(ISNUMBER(AF315),ISNUMBER(AA315)),AF315-AA315,"")</f>
        <v>110.663</v>
      </c>
      <c r="AG317" s="260">
        <f>IF(AND(ISNUMBER(AG315),ISNUMBER(AB315)),AG315-AB315,"")</f>
        <v>8.72899999999981</v>
      </c>
      <c r="AH317" s="260">
        <f>IF(AND(ISNUMBER(AH315),ISNUMBER(AC315)),AH315-AC315,"")</f>
        <v>88.0559999999998</v>
      </c>
      <c r="AI317" s="260">
        <f>IF(AND(ISNUMBER(AI315),ISNUMBER(AD315)),AI315-AD315,"")</f>
        <v>-86.0249999999999</v>
      </c>
      <c r="AJ317" s="260">
        <f>IF(AND(ISNUMBER(AJ315),ISNUMBER(AE315)),AJ315-AE315,"")</f>
        <v>-76</v>
      </c>
      <c r="AK317" s="260">
        <f>IF(AND(ISNUMBER(AK315),ISNUMBER(AF315)),AK315-AF315,"")</f>
        <v>-76</v>
      </c>
      <c r="AL317" s="260">
        <f>IF(AND(ISNUMBER(AL315),ISNUMBER(AG315)),AL315-AG315,"")</f>
        <v>-134</v>
      </c>
      <c r="AM317" s="35" t="n"/>
      <c r="AN317" s="35" t="n"/>
      <c r="AO317" s="35" t="n"/>
      <c r="AP317" s="254">
        <f>IF(AND(ISNUMBER(AP315),ISNUMBER(AK315)),AP315-AK315,"")</f>
        <v>-80.9923076923074</v>
      </c>
      <c r="AQ317" s="254">
        <f>IF(AND(ISNUMBER(AQ315),ISNUMBER(AP315)),AQ315-AP315,"")</f>
        <v>15.8943031060508</v>
      </c>
      <c r="AR317" s="254">
        <f>IF(AND(ISNUMBER(AR315),ISNUMBER(AQ315)),AR315-AQ315,"")</f>
        <v>24.3640284944291</v>
      </c>
      <c r="AS317" s="254">
        <f>IF(AND(ISNUMBER(AS315),ISNUMBER(AR315)),AS315-AR315,"")</f>
        <v>27.8526191782865</v>
      </c>
      <c r="AT317" s="254">
        <f>IF(AND(ISNUMBER(AT315),ISNUMBER(AS315)),AT315-AS315,"")</f>
        <v>30.2737189631762</v>
      </c>
      <c r="AU317" s="19" t="n"/>
    </row>
    <row r="318" ht="15" customHeight="1" s="251">
      <c r="BC318" s="11" t="n"/>
      <c r="BD318" s="12" t="n"/>
      <c r="BE318" s="12" t="n"/>
      <c r="BF318" s="12" t="n"/>
      <c r="BG318" s="13" t="n"/>
    </row>
    <row r="319" ht="15" customHeight="1" s="251">
      <c r="B319" s="10" t="inlineStr">
        <is>
          <t>BALANCE SHEET FORECAST SCHEDULES</t>
        </is>
      </c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inlineStr">
        <is>
          <t>BS FORECAST SCHEDULES — explicit driver assumptions</t>
        </is>
      </c>
    </row>
    <row r="320" ht="15" customHeight="1" s="251">
      <c r="B320" s="25" t="inlineStr">
        <is>
          <t>Acquisitions — consideration &amp; purchase-price allocation (closing-period column)</t>
        </is>
      </c>
      <c r="AU320" s="153" t="n"/>
    </row>
    <row r="321" ht="15" customHeight="1" s="251">
      <c r="B321" s="69" t="inlineStr">
        <is>
          <t xml:space="preserve">  Consideration (net of cash acquired)</t>
        </is>
      </c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  <c r="AA321" s="44" t="n"/>
      <c r="AB321" s="44" t="n"/>
      <c r="AC321" s="44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253" t="n">
        <v>235</v>
      </c>
      <c r="AM321" s="153" t="n"/>
      <c r="AN321" s="153" t="n"/>
      <c r="AO321" s="153" t="n"/>
      <c r="AP321" s="254">
        <f>AP35</f>
        <v>720</v>
      </c>
      <c r="AQ321" s="35" t="n"/>
      <c r="AR321" s="35" t="n"/>
      <c r="AS321" s="35" t="n"/>
      <c r="AT321" s="35" t="n"/>
      <c r="AU321" s="19" t="n"/>
    </row>
    <row r="322" ht="15" customHeight="1" s="251">
      <c r="B322" s="69" t="inlineStr">
        <is>
          <t xml:space="preserve">  Receivables &amp; other net working capital acquired (net)</t>
        </is>
      </c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  <c r="AC322" s="44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253" t="n">
        <v>20</v>
      </c>
      <c r="AM322" s="153" t="n"/>
      <c r="AN322" s="153" t="n"/>
      <c r="AO322" s="153" t="n"/>
      <c r="AP322" s="254">
        <f>0</f>
        <v>0</v>
      </c>
      <c r="AQ322" s="35" t="n"/>
      <c r="AR322" s="35" t="n"/>
      <c r="AS322" s="35" t="n"/>
      <c r="AT322" s="35" t="n"/>
      <c r="AU322" s="19" t="n"/>
    </row>
    <row r="323" ht="15" customHeight="1" s="251">
      <c r="B323" s="69" t="inlineStr">
        <is>
          <t xml:space="preserve">  Intangible assets (customer contracts, technology)</t>
        </is>
      </c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B323" s="44" t="n"/>
      <c r="AC323" s="44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253" t="n">
        <v>86</v>
      </c>
      <c r="AM323" s="153" t="n"/>
      <c r="AN323" s="153" t="n"/>
      <c r="AO323" s="153" t="n"/>
      <c r="AP323" s="254">
        <f>AP35*AP36</f>
        <v>288</v>
      </c>
      <c r="AQ323" s="35" t="n"/>
      <c r="AR323" s="35" t="n"/>
      <c r="AS323" s="35" t="n"/>
      <c r="AT323" s="35" t="n"/>
      <c r="AU323" s="19" t="n"/>
    </row>
    <row r="324" ht="15" customHeight="1" s="251">
      <c r="B324" s="69" t="inlineStr">
        <is>
          <t xml:space="preserve">  Goodwill</t>
        </is>
      </c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  <c r="AC324" s="44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253" t="n">
        <v>129</v>
      </c>
      <c r="AM324" s="153" t="n"/>
      <c r="AN324" s="153" t="n"/>
      <c r="AO324" s="153" t="n"/>
      <c r="AP324" s="254">
        <f>AP35*(1-AP36)</f>
        <v>432</v>
      </c>
      <c r="AQ324" s="35" t="n"/>
      <c r="AR324" s="35" t="n"/>
      <c r="AS324" s="35" t="n"/>
      <c r="AT324" s="35" t="n"/>
      <c r="AU324" s="19" t="n"/>
    </row>
    <row r="325" ht="15" customHeight="1" s="251">
      <c r="B325" s="69" t="inlineStr">
        <is>
          <t xml:space="preserve">  Other net assets / (liabilities)</t>
        </is>
      </c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B325" s="44" t="n"/>
      <c r="AC325" s="44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253" t="n">
        <v>0</v>
      </c>
      <c r="AM325" s="153" t="n"/>
      <c r="AN325" s="153" t="n"/>
      <c r="AO325" s="153" t="n"/>
      <c r="AP325" s="254">
        <f>0</f>
        <v>0</v>
      </c>
      <c r="AQ325" s="35" t="n"/>
      <c r="AR325" s="35" t="n"/>
      <c r="AS325" s="35" t="n"/>
      <c r="AT325" s="35" t="n"/>
      <c r="AU325" s="19" t="n"/>
    </row>
    <row r="326" ht="15" customHeight="1" s="251">
      <c r="B326" s="57" t="inlineStr">
        <is>
          <t xml:space="preserve">  Check: net assets acquired − consideration (should be 0; ±0.15, ±0.6 from Q4 FY25)</t>
        </is>
      </c>
      <c r="C326" s="260">
        <f>IF(ISNUMBER(C321),ROUND(N(C322)+N(C323)+N(C324)+N(C325)-C321,1),"")</f>
      </c>
      <c r="D326" s="260">
        <f>IF(ISNUMBER(D321),ROUND(N(D322)+N(D323)+N(D324)+N(D325)-D321,1),"")</f>
      </c>
      <c r="E326" s="260">
        <f>IF(ISNUMBER(E321),ROUND(N(E322)+N(E323)+N(E324)+N(E325)-E321,1),"")</f>
      </c>
      <c r="F326" s="260">
        <f>IF(ISNUMBER(F321),ROUND(N(F322)+N(F323)+N(F324)+N(F325)-F321,1),"")</f>
      </c>
      <c r="G326" s="260">
        <f>IF(ISNUMBER(G321),ROUND(N(G322)+N(G323)+N(G324)+N(G325)-G321,1),"")</f>
      </c>
      <c r="H326" s="260">
        <f>IF(ISNUMBER(H321),ROUND(N(H322)+N(H323)+N(H324)+N(H325)-H321,1),"")</f>
      </c>
      <c r="I326" s="260">
        <f>IF(ISNUMBER(I321),ROUND(N(I322)+N(I323)+N(I324)+N(I325)-I321,1),"")</f>
      </c>
      <c r="J326" s="260">
        <f>IF(ISNUMBER(J321),ROUND(N(J322)+N(J323)+N(J324)+N(J325)-J321,1),"")</f>
      </c>
      <c r="K326" s="260">
        <f>IF(ISNUMBER(K321),ROUND(N(K322)+N(K323)+N(K324)+N(K325)-K321,1),"")</f>
      </c>
      <c r="L326" s="260">
        <f>IF(ISNUMBER(L321),ROUND(N(L322)+N(L323)+N(L324)+N(L325)-L321,1),"")</f>
      </c>
      <c r="M326" s="260">
        <f>IF(ISNUMBER(M321),ROUND(N(M322)+N(M323)+N(M324)+N(M325)-M321,1),"")</f>
      </c>
      <c r="N326" s="260">
        <f>IF(ISNUMBER(N321),ROUND(N(N322)+N(N323)+N(N324)+N(N325)-N321,1),"")</f>
      </c>
      <c r="O326" s="260">
        <f>IF(ISNUMBER(O321),ROUND(N(O322)+N(O323)+N(O324)+N(O325)-O321,1),"")</f>
      </c>
      <c r="P326" s="260">
        <f>IF(ISNUMBER(P321),ROUND(N(P322)+N(P323)+N(P324)+N(P325)-P321,1),"")</f>
      </c>
      <c r="Q326" s="260">
        <f>IF(ISNUMBER(Q321),ROUND(N(Q322)+N(Q323)+N(Q324)+N(Q325)-Q321,1),"")</f>
      </c>
      <c r="R326" s="260">
        <f>IF(ISNUMBER(R321),ROUND(N(R322)+N(R323)+N(R324)+N(R325)-R321,1),"")</f>
      </c>
      <c r="S326" s="260">
        <f>IF(ISNUMBER(S321),ROUND(N(S322)+N(S323)+N(S324)+N(S325)-S321,1),"")</f>
      </c>
      <c r="T326" s="260">
        <f>IF(ISNUMBER(T321),ROUND(N(T322)+N(T323)+N(T324)+N(T325)-T321,1),"")</f>
      </c>
      <c r="U326" s="260">
        <f>IF(ISNUMBER(U321),ROUND(N(U322)+N(U323)+N(U324)+N(U325)-U321,1),"")</f>
      </c>
      <c r="V326" s="260">
        <f>IF(ISNUMBER(V321),ROUND(N(V322)+N(V323)+N(V324)+N(V325)-V321,1),"")</f>
      </c>
      <c r="W326" s="260">
        <f>IF(ISNUMBER(W321),ROUND(N(W322)+N(W323)+N(W324)+N(W325)-W321,1),"")</f>
      </c>
      <c r="X326" s="260">
        <f>IF(ISNUMBER(X321),ROUND(N(X322)+N(X323)+N(X324)+N(X325)-X321,1),"")</f>
      </c>
      <c r="Y326" s="260">
        <f>IF(ISNUMBER(Y321),ROUND(N(Y322)+N(Y323)+N(Y324)+N(Y325)-Y321,1),"")</f>
      </c>
      <c r="Z326" s="260">
        <f>IF(ISNUMBER(Z321),ROUND(N(Z322)+N(Z323)+N(Z324)+N(Z325)-Z321,1),"")</f>
      </c>
      <c r="AA326" s="260">
        <f>IF(ISNUMBER(AA321),ROUND(N(AA322)+N(AA323)+N(AA324)+N(AA325)-AA321,1),"")</f>
      </c>
      <c r="AB326" s="260">
        <f>IF(ISNUMBER(AB321),ROUND(N(AB322)+N(AB323)+N(AB324)+N(AB325)-AB321,1),"")</f>
      </c>
      <c r="AC326" s="260">
        <f>IF(ISNUMBER(AC321),ROUND(N(AC322)+N(AC323)+N(AC324)+N(AC325)-AC321,1),"")</f>
      </c>
      <c r="AD326" s="260">
        <f>IF(ISNUMBER(AD321),ROUND(N(AD322)+N(AD323)+N(AD324)+N(AD325)-AD321,1),"")</f>
      </c>
      <c r="AE326" s="260">
        <f>IF(ISNUMBER(AE321),ROUND(N(AE322)+N(AE323)+N(AE324)+N(AE325)-AE321,1),"")</f>
      </c>
      <c r="AF326" s="260">
        <f>IF(ISNUMBER(AF321),ROUND(N(AF322)+N(AF323)+N(AF324)+N(AF325)-AF321,1),"")</f>
      </c>
      <c r="AG326" s="260">
        <f>IF(ISNUMBER(AG321),ROUND(N(AG322)+N(AG323)+N(AG324)+N(AG325)-AG321,1),"")</f>
      </c>
      <c r="AH326" s="260">
        <f>IF(ISNUMBER(AH321),ROUND(N(AH322)+N(AH323)+N(AH324)+N(AH325)-AH321,1),"")</f>
      </c>
      <c r="AI326" s="260">
        <f>IF(ISNUMBER(AI321),ROUND(N(AI322)+N(AI323)+N(AI324)+N(AI325)-AI321,1),"")</f>
      </c>
      <c r="AJ326" s="260">
        <f>IF(ISNUMBER(AJ321),ROUND(N(AJ322)+N(AJ323)+N(AJ324)+N(AJ325)-AJ321,1),"")</f>
      </c>
      <c r="AK326" s="260">
        <f>IF(ISNUMBER(AK321),ROUND(N(AK322)+N(AK323)+N(AK324)+N(AK325)-AK321,1),"")</f>
      </c>
      <c r="AL326" s="260">
        <f>IF(ISNUMBER(AL321),ROUND(N(AL322)+N(AL323)+N(AL324)+N(AL325)-AL321,1),"")</f>
        <v>0</v>
      </c>
      <c r="AM326" s="153" t="n"/>
      <c r="AN326" s="153" t="n"/>
      <c r="AO326" s="153" t="n"/>
      <c r="AP326" s="286">
        <f>IF(ISNUMBER(AP321),ROUND(N(AP322)+N(AP323)+N(AP324)+N(AP325)-AP321,1),"")</f>
        <v>0</v>
      </c>
      <c r="AQ326" s="286">
        <f>IF(ISNUMBER(AQ321),ROUND(N(AQ322)+N(AQ323)+N(AQ324)+N(AQ325)-AQ321,1),"")</f>
      </c>
      <c r="AR326" s="286">
        <f>IF(ISNUMBER(AR321),ROUND(N(AR322)+N(AR323)+N(AR324)+N(AR325)-AR321,1),"")</f>
      </c>
      <c r="AS326" s="286">
        <f>IF(ISNUMBER(AS321),ROUND(N(AS322)+N(AS323)+N(AS324)+N(AS325)-AS321,1),"")</f>
      </c>
      <c r="AT326" s="286">
        <f>IF(ISNUMBER(AT321),ROUND(N(AT322)+N(AT323)+N(AT324)+N(AT325)-AT321,1),"")</f>
      </c>
      <c r="AU326" s="153" t="n"/>
    </row>
    <row r="327" ht="15" customHeight="1" s="251">
      <c r="B327" s="158" t="inlineStr">
        <is>
          <t xml:space="preserve">  Deal closed in the period</t>
        </is>
      </c>
      <c r="AL327" s="301" t="inlineStr">
        <is>
          <t>Defy Security (6-Apr-2026, $235m; provisional PPA, Q1 FY27 10-Q Note 5)</t>
        </is>
      </c>
      <c r="AM327" s="153" t="n"/>
      <c r="AN327" s="153" t="n"/>
      <c r="AO327" s="153" t="n"/>
      <c r="AP327" s="302" t="inlineStr">
        <is>
          <t>Ultra Mission Solutions (24-Aug-2026, $720m; ASSUMED PPA: 40% intangibles, no net working capital — replace with the Q2 FY27 10-Q)</t>
        </is>
      </c>
      <c r="AQ327" s="153" t="n"/>
      <c r="AR327" s="153" t="n"/>
      <c r="AS327" s="153" t="n"/>
      <c r="AT327" s="153" t="n"/>
      <c r="AU327" s="19" t="n"/>
    </row>
    <row r="328" ht="15" customHeight="1" s="251">
      <c r="B328" s="25" t="inlineStr">
        <is>
          <t>Share count &amp; pricing</t>
        </is>
      </c>
      <c r="AU328" s="153" t="n"/>
    </row>
    <row r="329" ht="15" customHeight="1" s="251">
      <c r="B329" s="69" t="inlineStr">
        <is>
          <t xml:space="preserve">  Dilutive securities (m shares; options &amp; RSUs)</t>
        </is>
      </c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  <c r="Z329" s="44" t="n"/>
      <c r="AA329" s="44" t="n"/>
      <c r="AB329" s="44" t="n"/>
      <c r="AC329" s="44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153" t="n"/>
      <c r="AN329" s="153" t="n"/>
      <c r="AO329" s="153" t="n"/>
      <c r="AP329" s="35" t="n"/>
      <c r="AQ329" s="262" t="n">
        <v>0.25</v>
      </c>
      <c r="AR329" s="262" t="n">
        <v>0.25</v>
      </c>
      <c r="AS329" s="262" t="n">
        <v>0.25</v>
      </c>
      <c r="AT329" s="262" t="n">
        <v>0.25</v>
      </c>
      <c r="AU329" s="19" t="n"/>
    </row>
    <row r="330" ht="15" customHeight="1" s="251">
      <c r="B330" s="69" t="inlineStr">
        <is>
          <t xml:space="preserve">  Share-price appreciation % (buyback pricing)</t>
        </is>
      </c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  <c r="AC330" s="44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153" t="n"/>
      <c r="AN330" s="153" t="n"/>
      <c r="AO330" s="153" t="n"/>
      <c r="AP330" s="35" t="n"/>
      <c r="AQ330" s="264" t="n">
        <v>0.07000000000000001</v>
      </c>
      <c r="AR330" s="264" t="n">
        <v>0.07000000000000001</v>
      </c>
      <c r="AS330" s="264" t="n">
        <v>0.07000000000000001</v>
      </c>
      <c r="AT330" s="264" t="n">
        <v>0.07000000000000001</v>
      </c>
      <c r="AU330" s="19" t="n"/>
    </row>
    <row r="331" ht="15" customHeight="1" s="251">
      <c r="B331" s="25" t="inlineStr">
        <is>
          <t>Debt schedule (senior notes and term loans repaid / refinanced at maturity; revolver drawn or repaid to a minimum cash balance)</t>
        </is>
      </c>
      <c r="AU331" s="153" t="n"/>
    </row>
    <row r="332" ht="15" customHeight="1" s="251">
      <c r="B332" s="69" t="inlineStr">
        <is>
          <t xml:space="preserve">  Total debt (current portion + long-term debt, carrying value)</t>
        </is>
      </c>
      <c r="C332" s="260">
        <f>IF(ISNUMBER(C292),N(C287)+C292,"")</f>
        <v>965.425</v>
      </c>
      <c r="D332" s="260">
        <f>IF(ISNUMBER(D292),N(D287)+D292,"")</f>
        <v>1715.173</v>
      </c>
      <c r="E332" s="260">
        <f>IF(ISNUMBER(E292),N(E287)+E292,"")</f>
        <v>1658.919</v>
      </c>
      <c r="F332" s="260">
        <f>IF(ISNUMBER(F292),N(F287)+F292,"")</f>
        <v>1626.335</v>
      </c>
      <c r="G332" s="260">
        <f>IF(ISNUMBER(G292),N(G287)+G292,"")</f>
        <v>1597.261</v>
      </c>
      <c r="H332" s="260">
        <f>IF(ISNUMBER(H292),N(H287)+H292,"")</f>
        <v>1663.324</v>
      </c>
      <c r="I332" s="260">
        <f>IF(ISNUMBER(I292),N(I287)+I292,"")</f>
        <v>1818.579</v>
      </c>
      <c r="J332" s="260">
        <f>IF(ISNUMBER(J292),N(J287)+J292,"")</f>
        <v>1759.761</v>
      </c>
      <c r="K332" s="260">
        <f>IF(ISNUMBER(K292),N(K287)+K292,"")</f>
        <v>2185.844</v>
      </c>
      <c r="L332" s="260">
        <f>IF(ISNUMBER(L292),N(L287)+L292,"")</f>
        <v>2356.596</v>
      </c>
      <c r="M332" s="260">
        <f>IF(ISNUMBER(M292),N(M287)+M292,"")</f>
        <v>2848.656</v>
      </c>
      <c r="N332" s="260">
        <f>IF(ISNUMBER(N292),N(N287)+N292,"")</f>
        <v>2832.462</v>
      </c>
      <c r="O332" s="260">
        <f>IF(ISNUMBER(O292),N(O287)+O292,"")</f>
        <v>2816.271</v>
      </c>
      <c r="P332" s="260">
        <f>IF(ISNUMBER(P292),N(P287)+P292,"")</f>
        <v>2800.072</v>
      </c>
      <c r="Q332" s="260">
        <f>IF(ISNUMBER(Q292),N(Q287)+Q292,"")</f>
        <v>2800.072</v>
      </c>
      <c r="R332" s="260">
        <f>IF(ISNUMBER(R292),N(R287)+R292,"")</f>
        <v>2783.876</v>
      </c>
      <c r="S332" s="260">
        <f>IF(ISNUMBER(S292),N(S287)+S292,"")</f>
        <v>2831.261</v>
      </c>
      <c r="T332" s="260">
        <f>IF(ISNUMBER(T292),N(T287)+T292,"")</f>
        <v>2821.711</v>
      </c>
      <c r="U332" s="260">
        <f>IF(ISNUMBER(U292),N(U287)+U292,"")</f>
        <v>2812.145</v>
      </c>
      <c r="V332" s="260">
        <f>IF(ISNUMBER(V292),N(V287)+V292,"")</f>
        <v>2812.145</v>
      </c>
      <c r="W332" s="260">
        <f>IF(ISNUMBER(W292),N(W287)+W292,"")</f>
        <v>2877.583</v>
      </c>
      <c r="X332" s="260">
        <f>IF(ISNUMBER(X292),N(X287)+X292,"")</f>
        <v>3430.402</v>
      </c>
      <c r="Y332" s="260">
        <f>IF(ISNUMBER(Y292),N(Y287)+Y292,"")</f>
        <v>3421.106</v>
      </c>
      <c r="Z332" s="260">
        <f>IF(ISNUMBER(Z292),N(Z287)+Z292,"")</f>
        <v>3411.816</v>
      </c>
      <c r="AA332" s="260">
        <f>IF(ISNUMBER(AA292),N(AA287)+AA292,"")</f>
        <v>3411.816</v>
      </c>
      <c r="AB332" s="260">
        <f>IF(ISNUMBER(AB292),N(AB287)+AB292,"")</f>
        <v>3402.539</v>
      </c>
      <c r="AC332" s="260">
        <f>IF(ISNUMBER(AC292),N(AC287)+AC292,"")</f>
        <v>3393.275</v>
      </c>
      <c r="AD332" s="260">
        <f>IF(ISNUMBER(AD292),N(AD287)+AD292,"")</f>
        <v>3373.715</v>
      </c>
      <c r="AE332" s="260">
        <f>IF(ISNUMBER(AE292),N(AE287)+AE292,"")</f>
        <v>3998</v>
      </c>
      <c r="AF332" s="260">
        <f>IF(ISNUMBER(AF292),N(AF287)+AF292,"")</f>
        <v>3998</v>
      </c>
      <c r="AG332" s="260">
        <f>IF(ISNUMBER(AG292),N(AG287)+AG292,"")</f>
        <v>3979</v>
      </c>
      <c r="AH332" s="260">
        <f>IF(ISNUMBER(AH292),N(AH287)+AH292,"")</f>
        <v>3960</v>
      </c>
      <c r="AI332" s="260">
        <f>IF(ISNUMBER(AI292),N(AI287)+AI292,"")</f>
        <v>3940</v>
      </c>
      <c r="AJ332" s="260">
        <f>IF(ISNUMBER(AJ292),N(AJ287)+AJ292,"")</f>
        <v>3940</v>
      </c>
      <c r="AK332" s="260">
        <f>IF(ISNUMBER(AK292),N(AK287)+AK292,"")</f>
        <v>3940</v>
      </c>
      <c r="AL332" s="260">
        <f>IF(ISNUMBER(AL292),N(AL287)+AL292,"")</f>
        <v>3936</v>
      </c>
      <c r="AM332" s="153" t="n"/>
      <c r="AN332" s="153" t="n"/>
      <c r="AO332" s="153" t="n"/>
      <c r="AP332" s="254">
        <f>AP333+AP339</f>
        <v>4407.9</v>
      </c>
      <c r="AQ332" s="254">
        <f>AQ333+AQ339</f>
        <v>4491.86488966633</v>
      </c>
      <c r="AR332" s="254">
        <f>AR333+AR339</f>
        <v>4729.235756949</v>
      </c>
      <c r="AS332" s="254">
        <f>AS333+AS339</f>
        <v>4995.47815781657</v>
      </c>
      <c r="AT332" s="254">
        <f>AT333+AT339</f>
        <v>5283.15144984886</v>
      </c>
      <c r="AU332" s="19" t="inlineStr">
        <is>
          <t>30-Jun-2026 (Q1 FY27 10-Q Note 8): Term Loan A-1 $714m (4.970%, due 7-Sep-2027), Term Loan A-2 $746m (4.870%, due 27-Feb-2031; amortises 0.625% of stated principal a quarter for two years, then 1.25%), Senior Notes 3.875% due Sep-2028 $700m, 4.000% due Jul-2029 $500m, 5.950% due Aug-2033 $650m, 5.950% due Apr-2035 $650m; unamortized costs ($24m); total $3,936m; current portion $19m. $1.5bn revolving credit facility undrawn. Interest-rate swaps $350m notional (mature Jun-2026 to Jun-2027).</t>
        </is>
      </c>
    </row>
    <row r="333" ht="15" customHeight="1" s="251">
      <c r="B333" s="69" t="inlineStr">
        <is>
          <t xml:space="preserve">  Senior notes &amp; term loans (carrying value)</t>
        </is>
      </c>
      <c r="C333" s="260">
        <f>C332</f>
        <v>965.425</v>
      </c>
      <c r="D333" s="260">
        <f>D332</f>
        <v>1715.173</v>
      </c>
      <c r="E333" s="260">
        <f>E332</f>
        <v>1658.919</v>
      </c>
      <c r="F333" s="260">
        <f>F332</f>
        <v>1626.335</v>
      </c>
      <c r="G333" s="260">
        <f>G332</f>
        <v>1597.261</v>
      </c>
      <c r="H333" s="260">
        <f>H332</f>
        <v>1663.324</v>
      </c>
      <c r="I333" s="260">
        <f>I332</f>
        <v>1818.579</v>
      </c>
      <c r="J333" s="260">
        <f>J332</f>
        <v>1759.761</v>
      </c>
      <c r="K333" s="260">
        <f>K332</f>
        <v>2185.844</v>
      </c>
      <c r="L333" s="260">
        <f>L332</f>
        <v>2356.596</v>
      </c>
      <c r="M333" s="260">
        <f>M332</f>
        <v>2848.656</v>
      </c>
      <c r="N333" s="260">
        <f>N332</f>
        <v>2832.462</v>
      </c>
      <c r="O333" s="260">
        <f>O332</f>
        <v>2816.271</v>
      </c>
      <c r="P333" s="260">
        <f>P332</f>
        <v>2800.072</v>
      </c>
      <c r="Q333" s="260">
        <f>Q332</f>
        <v>2800.072</v>
      </c>
      <c r="R333" s="260">
        <f>R332</f>
        <v>2783.876</v>
      </c>
      <c r="S333" s="260">
        <f>S332</f>
        <v>2831.261</v>
      </c>
      <c r="T333" s="260">
        <f>T332</f>
        <v>2821.711</v>
      </c>
      <c r="U333" s="260">
        <f>U332</f>
        <v>2812.145</v>
      </c>
      <c r="V333" s="260">
        <f>V332</f>
        <v>2812.145</v>
      </c>
      <c r="W333" s="260">
        <f>W332</f>
        <v>2877.583</v>
      </c>
      <c r="X333" s="260">
        <f>X332</f>
        <v>3430.402</v>
      </c>
      <c r="Y333" s="260">
        <f>Y332</f>
        <v>3421.106</v>
      </c>
      <c r="Z333" s="260">
        <f>Z332</f>
        <v>3411.816</v>
      </c>
      <c r="AA333" s="260">
        <f>AA332</f>
        <v>3411.816</v>
      </c>
      <c r="AB333" s="260">
        <f>AB332</f>
        <v>3402.539</v>
      </c>
      <c r="AC333" s="260">
        <f>AC332</f>
        <v>3393.275</v>
      </c>
      <c r="AD333" s="260">
        <f>AD332</f>
        <v>3373.715</v>
      </c>
      <c r="AE333" s="260">
        <f>AE332</f>
        <v>3998</v>
      </c>
      <c r="AF333" s="260">
        <f>AF332</f>
        <v>3998</v>
      </c>
      <c r="AG333" s="260">
        <f>AG332</f>
        <v>3979</v>
      </c>
      <c r="AH333" s="260">
        <f>AH332</f>
        <v>3960</v>
      </c>
      <c r="AI333" s="260">
        <f>AI332</f>
        <v>3940</v>
      </c>
      <c r="AJ333" s="260">
        <f>AJ332</f>
        <v>3940</v>
      </c>
      <c r="AK333" s="260">
        <f>AK332</f>
        <v>3940</v>
      </c>
      <c r="AL333" s="260">
        <f>AL332</f>
        <v>3936</v>
      </c>
      <c r="AM333" s="153" t="n"/>
      <c r="AN333" s="153" t="n"/>
      <c r="AO333" s="153" t="n"/>
      <c r="AP333" s="254">
        <f>AL333-AP335+AP334</f>
        <v>4407.9</v>
      </c>
      <c r="AQ333" s="254">
        <f>AP333-AQ335+AQ334</f>
        <v>4384.5</v>
      </c>
      <c r="AR333" s="254">
        <f>AQ333-AR335+AR334</f>
        <v>4347</v>
      </c>
      <c r="AS333" s="254">
        <f>AR333-AS335+AS334</f>
        <v>4309.5</v>
      </c>
      <c r="AT333" s="254">
        <f>AS333-AT335+AT334</f>
        <v>4281.4</v>
      </c>
      <c r="AU333" s="19" t="n"/>
    </row>
    <row r="334" ht="15" customHeight="1" s="251">
      <c r="B334" s="69" t="inlineStr">
        <is>
          <t xml:space="preserve">  New notes issued (input)</t>
        </is>
      </c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  <c r="AC334" s="44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153" t="n"/>
      <c r="AN334" s="153" t="n"/>
      <c r="AO334" s="153" t="n"/>
      <c r="AP334" s="262" t="n">
        <v>1200</v>
      </c>
      <c r="AQ334" s="262" t="n">
        <v>0</v>
      </c>
      <c r="AR334" s="262" t="n">
        <v>700</v>
      </c>
      <c r="AS334" s="262" t="n">
        <v>1200</v>
      </c>
      <c r="AT334" s="262" t="n">
        <v>605.4</v>
      </c>
      <c r="AU334" s="19" t="inlineStr">
        <is>
          <t>4-Aug-2026: $700m 5.375% Senior Notes due 2030 and $500m 5.900% Senior Notes due 2034 (8-K Items 1.01 / 2.03, 4-Aug-2026). Net proceeds ~$1,189m used to fund part of the Ultra acquisition, repay the $714m Term Loan A-1 in full, and for general corporate purposes (424B2, 30-Jul-2026, Use of Proceeds; as-adjusted cash $1,015m at 30-Jun-2026). 2029E+: maturing notes and the Term Loan A-2 balloon assumed refinanced with new notes (assumption).</t>
        </is>
      </c>
    </row>
    <row r="335" ht="15" customHeight="1" s="251">
      <c r="B335" s="69" t="inlineStr">
        <is>
          <t xml:space="preserve">  Notes / term loans repaid (input)</t>
        </is>
      </c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B335" s="44" t="n"/>
      <c r="AC335" s="44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153" t="n"/>
      <c r="AN335" s="153" t="n"/>
      <c r="AO335" s="153" t="n"/>
      <c r="AP335" s="262" t="n">
        <v>728.1</v>
      </c>
      <c r="AQ335" s="262" t="n">
        <v>23.4</v>
      </c>
      <c r="AR335" s="262" t="n">
        <v>737.5</v>
      </c>
      <c r="AS335" s="262" t="n">
        <v>1237.5</v>
      </c>
      <c r="AT335" s="262" t="n">
        <v>633.5</v>
      </c>
      <c r="AU335" s="19" t="inlineStr">
        <is>
          <t>2027E: Term Loan A-1 $714m repaid from the Aug-2026 notes + Term Loan A-2 amortization (0.625% of $750m a quarter); 2028E: A-2 amortization (1.25% a quarter from Feb-2028, assumed two years after funding); 2029E: 3.875% notes due Sep-2028 ($700m) + A-2; 2030E: 4.000% notes due Jul-2029 ($500m) + 5.375% notes due 2030 ($700m) + A-2; 2031E: A-2 balloon (Feb-2031) + amortization. Maturities refinanced with new notes (input row above; assumption).</t>
        </is>
      </c>
    </row>
    <row r="336" ht="15" customHeight="1" s="251">
      <c r="B336" s="69" t="inlineStr">
        <is>
          <t xml:space="preserve">  Maturities in the following fiscal year (current portion)</t>
        </is>
      </c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  <c r="AC336" s="44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153" t="n"/>
      <c r="AN336" s="153" t="n"/>
      <c r="AO336" s="153" t="n"/>
      <c r="AP336" s="262" t="n">
        <v>23.4</v>
      </c>
      <c r="AQ336" s="262" t="n">
        <v>737.5</v>
      </c>
      <c r="AR336" s="262" t="n">
        <v>1237.5</v>
      </c>
      <c r="AS336" s="262" t="n">
        <v>633.5</v>
      </c>
      <c r="AT336" s="262" t="n">
        <v>0</v>
      </c>
      <c r="AU336" s="19" t="n"/>
    </row>
    <row r="337" ht="15" customHeight="1" s="251">
      <c r="B337" s="69" t="inlineStr">
        <is>
          <t xml:space="preserve">  Cash before revolver draws / repayments (opening cash + CFO + CFI + buybacks, dividends, equity, other financing − notes repaid + issued)</t>
        </is>
      </c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B337" s="44" t="n"/>
      <c r="AC337" s="44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153" t="n"/>
      <c r="AN337" s="153" t="n"/>
      <c r="AO337" s="153" t="n"/>
      <c r="AP337" s="254">
        <f>AL276+(AP235-AL235)+(AP239-AL239)+(AP240-AL240)+(AP241-AL241)+(AP242-AL242)+(AP244-AL244)-AP335+AP334</f>
        <v>574.23586511</v>
      </c>
      <c r="AQ337" s="254">
        <f>AQ247+AQ235+AQ239+AQ240+AQ241+AQ242+AQ244-AQ335+AQ334</f>
        <v>292.635110333667</v>
      </c>
      <c r="AR337" s="254">
        <f>AR247+AR235+AR239+AR240+AR241+AR242+AR244-AR335+AR334</f>
        <v>125.129132717337</v>
      </c>
      <c r="AS337" s="254">
        <f>AS247+AS235+AS239+AS240+AS241+AS242+AS244-AS335+AS334</f>
        <v>96.2575991324316</v>
      </c>
      <c r="AT337" s="254">
        <f>AT247+AT235+AT239+AT240+AT241+AT242+AT244-AT335+AT334</f>
        <v>84.2267079677016</v>
      </c>
      <c r="AU337" s="19" t="n"/>
    </row>
    <row r="338" ht="15" customHeight="1" s="251">
      <c r="B338" s="69" t="inlineStr">
        <is>
          <t xml:space="preserve">  Minimum cash balance</t>
        </is>
      </c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  <c r="AC338" s="44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153" t="n"/>
      <c r="AN338" s="153" t="n"/>
      <c r="AO338" s="153" t="n"/>
      <c r="AP338" s="262" t="n">
        <v>400</v>
      </c>
      <c r="AQ338" s="262" t="n">
        <v>400</v>
      </c>
      <c r="AR338" s="262" t="n">
        <v>400</v>
      </c>
      <c r="AS338" s="262" t="n">
        <v>400</v>
      </c>
      <c r="AT338" s="262" t="n">
        <v>400</v>
      </c>
      <c r="AU338" s="19" t="inlineStr">
        <is>
          <t>Assumption: year-end cash FY2023–26 $405–885m; $1.5bn undrawn revolver.</t>
        </is>
      </c>
    </row>
    <row r="339" ht="15" customHeight="1" s="251">
      <c r="B339" s="69" t="inlineStr">
        <is>
          <t xml:space="preserve">  Revolving credit facility (year end)</t>
        </is>
      </c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153" t="n"/>
      <c r="AN339" s="153" t="n"/>
      <c r="AO339" s="153" t="n"/>
      <c r="AP339" s="254">
        <f>MAX(0,N(AL339)+AP338-AP337)</f>
        <v>0</v>
      </c>
      <c r="AQ339" s="254">
        <f>MAX(0,AP339+AQ338-AQ337)</f>
        <v>107.364889666333</v>
      </c>
      <c r="AR339" s="254">
        <f>MAX(0,AQ339+AR338-AR337)</f>
        <v>382.235756948996</v>
      </c>
      <c r="AS339" s="254">
        <f>MAX(0,AR339+AS338-AS337)</f>
        <v>685.978157816565</v>
      </c>
      <c r="AT339" s="254">
        <f>MAX(0,AS339+AT338-AT337)</f>
        <v>1001.75144984886</v>
      </c>
      <c r="AU339" s="19" t="inlineStr">
        <is>
          <t>$1.5bn revolving credit facility (undrawn at 30-Jun-2026). Shortfalls below the minimum cash balance are drawn; surplus repays the revolver.</t>
        </is>
      </c>
    </row>
    <row r="340" ht="15" customHeight="1" s="251">
      <c r="B340" s="156" t="inlineStr">
        <is>
          <t xml:space="preserve">  Memo: revolver headroom vs the $1.5bn commitment (negative = would need other financing)</t>
        </is>
      </c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  <c r="AC340" s="44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35" t="n"/>
      <c r="AN340" s="35" t="n"/>
      <c r="AO340" s="35" t="n"/>
      <c r="AP340" s="254">
        <f>1500-AP339</f>
        <v>1500</v>
      </c>
      <c r="AQ340" s="254">
        <f>1500-AQ339</f>
        <v>1392.63511033367</v>
      </c>
      <c r="AR340" s="254">
        <f>1500-AR339</f>
        <v>1117.764243051</v>
      </c>
      <c r="AS340" s="254">
        <f>1500-AS339</f>
        <v>814.021842183435</v>
      </c>
      <c r="AT340" s="254">
        <f>1500-AT339</f>
        <v>498.248550151137</v>
      </c>
      <c r="AU340" s="153" t="n"/>
    </row>
    <row r="341" ht="15" customHeight="1" s="251">
      <c r="B341" s="69" t="inlineStr">
        <is>
          <t xml:space="preserve">  Net issuance / (repayment)</t>
        </is>
      </c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153" t="n"/>
      <c r="AN341" s="153" t="n"/>
      <c r="AO341" s="153" t="n"/>
      <c r="AP341" s="254">
        <f>IFERROR(AP332-AK332,"")</f>
        <v>467.9</v>
      </c>
      <c r="AQ341" s="254">
        <f>IFERROR(AQ332-AP332,"")</f>
        <v>83.964889666333</v>
      </c>
      <c r="AR341" s="254">
        <f>IFERROR(AR332-AQ332,"")</f>
        <v>237.370867282663</v>
      </c>
      <c r="AS341" s="254">
        <f>IFERROR(AS332-AR332,"")</f>
        <v>266.242400867569</v>
      </c>
      <c r="AT341" s="254">
        <f>IFERROR(AT332-AS332,"")</f>
        <v>287.673292032298</v>
      </c>
      <c r="AU341" s="19" t="n"/>
    </row>
    <row r="342" ht="15" customHeight="1" s="251">
      <c r="B342" s="69" t="inlineStr">
        <is>
          <t xml:space="preserve">  Interest rate on opening notes &amp; term loans %</t>
        </is>
      </c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153" t="n"/>
      <c r="AN342" s="153" t="n"/>
      <c r="AO342" s="153" t="n"/>
      <c r="AP342" s="35" t="n"/>
      <c r="AQ342" s="264" t="n">
        <v>0.0515</v>
      </c>
      <c r="AR342" s="264" t="n">
        <v>0.0525</v>
      </c>
      <c r="AS342" s="264" t="n">
        <v>0.0545</v>
      </c>
      <c r="AT342" s="264" t="n">
        <v>0.056</v>
      </c>
      <c r="AU342" s="19" t="inlineStr">
        <is>
          <t>Weighted rate ~5.1% after the Aug-2026 issue (A-2 4.87%, notes 3.875% / 4.000% / 5.950% / 5.950% / 5.375% / 5.900%); rising as the 2028 / 2029 notes are refinanced at ~5.75% (assumption).</t>
        </is>
      </c>
    </row>
    <row r="343" ht="15" customHeight="1" s="251">
      <c r="B343" s="69" t="inlineStr">
        <is>
          <t xml:space="preserve">  Interest rate on opening revolver %</t>
        </is>
      </c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153" t="n"/>
      <c r="AN343" s="153" t="n"/>
      <c r="AO343" s="153" t="n"/>
      <c r="AP343" s="35" t="n"/>
      <c r="AQ343" s="264" t="n">
        <v>0.055</v>
      </c>
      <c r="AR343" s="264" t="n">
        <v>0.055</v>
      </c>
      <c r="AS343" s="264" t="n">
        <v>0.055</v>
      </c>
      <c r="AT343" s="264" t="n">
        <v>0.055</v>
      </c>
      <c r="AU343" s="19" t="inlineStr">
        <is>
          <t>Term SOFR + 1.00–1.63% (Eleventh Amendment); assumption ~5.5%.</t>
        </is>
      </c>
    </row>
    <row r="344" ht="15" customHeight="1" s="251">
      <c r="B344" s="69" t="inlineStr">
        <is>
          <t xml:space="preserve">  Commitment fees &amp; amortization of debt issuance costs ($m)</t>
        </is>
      </c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153" t="n"/>
      <c r="AN344" s="153" t="n"/>
      <c r="AO344" s="153" t="n"/>
      <c r="AP344" s="35" t="n"/>
      <c r="AQ344" s="262" t="n">
        <v>6</v>
      </c>
      <c r="AR344" s="262" t="n">
        <v>6</v>
      </c>
      <c r="AS344" s="262" t="n">
        <v>6</v>
      </c>
      <c r="AT344" s="262" t="n">
        <v>6</v>
      </c>
      <c r="AU344" s="19" t="n"/>
    </row>
    <row r="345" ht="15" customHeight="1" s="251">
      <c r="B345" s="69" t="inlineStr">
        <is>
          <t xml:space="preserve">  Interest income yield on opening cash %</t>
        </is>
      </c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153" t="n"/>
      <c r="AN345" s="153" t="n"/>
      <c r="AO345" s="153" t="n"/>
      <c r="AP345" s="35" t="n"/>
      <c r="AQ345" s="264" t="n">
        <v>0.03</v>
      </c>
      <c r="AR345" s="264" t="n">
        <v>0.03</v>
      </c>
      <c r="AS345" s="264" t="n">
        <v>0.03</v>
      </c>
      <c r="AT345" s="264" t="n">
        <v>0.03</v>
      </c>
      <c r="AU345" s="19" t="inlineStr">
        <is>
          <t>Netted in interest expense, net from Q4 FY2025. Assumption ~3%.</t>
        </is>
      </c>
    </row>
    <row r="346" ht="15" customHeight="1" s="251">
      <c r="B346" s="25" t="inlineStr">
        <is>
          <t>Leverage-targeted buybacks (repurchases plug to a target net debt / adjusted EBITDA, 2028E+)</t>
        </is>
      </c>
      <c r="AU346" s="153" t="n"/>
    </row>
    <row r="347" ht="15" customHeight="1" s="251">
      <c r="B347" s="69" t="inlineStr">
        <is>
          <t xml:space="preserve">  Target net debt / adjusted EBITDA (x) (scenario)</t>
        </is>
      </c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B347" s="44" t="n"/>
      <c r="AC347" s="44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153" t="n"/>
      <c r="AN347" s="153" t="n"/>
      <c r="AO347" s="153" t="n"/>
      <c r="AP347" s="35" t="n"/>
      <c r="AQ347" s="303">
        <f>CHOOSE(MATCH($AU$2,{"Bull","Base","Bear"},0),$BD$32,$BE$32,$BF$32)</f>
        <v>3</v>
      </c>
      <c r="AR347" s="303">
        <f>CHOOSE(MATCH($AU$2,{"Bull","Base","Bear"},0),$BD$32,$BE$32,$BF$32)</f>
        <v>3</v>
      </c>
      <c r="AS347" s="303">
        <f>CHOOSE(MATCH($AU$2,{"Bull","Base","Bear"},0),$BD$32,$BE$32,$BF$32)</f>
        <v>3</v>
      </c>
      <c r="AT347" s="303">
        <f>CHOOSE(MATCH($AU$2,{"Bull","Base","Bear"},0),$BD$32,$BE$32,$BF$32)</f>
        <v>3</v>
      </c>
      <c r="AU347" s="19" t="inlineStr">
        <is>
          <t>Assumption (no leverage target in the SEC filings). Net leverage ratio (net debt / LTM adjusted EBITDA, company definition) 2.6x at 31-Mar-2026, 2.7x at 30-Jun-2026; ~3.2x pro forma for Ultra. Target = leverage up to which surplus cash is returned via buybacks; below it free cash flow repays debt / builds cash.</t>
        </is>
      </c>
    </row>
    <row r="348" ht="15" customHeight="1" s="251">
      <c r="B348" s="69" t="inlineStr">
        <is>
          <t xml:space="preserve">  Net debt before buybacks (year end)</t>
        </is>
      </c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  <c r="AC348" s="44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153" t="n"/>
      <c r="AN348" s="153" t="n"/>
      <c r="AO348" s="153" t="n"/>
      <c r="AP348" s="35" t="n"/>
      <c r="AQ348" s="254">
        <f>AP332-AP248-AQ235-AQ239-AQ241-AQ242-AQ244</f>
        <v>3333.85535173921</v>
      </c>
      <c r="AR348" s="254">
        <f>AQ332-AQ248-AR235-AR239-AR241-AR242-AR244</f>
        <v>3546.58022144235</v>
      </c>
      <c r="AS348" s="254">
        <f>AR332-AR248-AS235-AS239-AS241-AS242-AS244</f>
        <v>3731.13441880433</v>
      </c>
      <c r="AT348" s="254">
        <f>AS332-AS248-AT235-AT239-AT241-AT242-AT244</f>
        <v>3934.38876892755</v>
      </c>
      <c r="AU348" s="19" t="n"/>
    </row>
    <row r="349" ht="15" customHeight="1" s="251">
      <c r="B349" s="69" t="inlineStr">
        <is>
          <t xml:space="preserve">  Target net debt = target leverage × adjusted EBITDA</t>
        </is>
      </c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B349" s="44" t="n"/>
      <c r="AC349" s="44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153" t="n"/>
      <c r="AN349" s="153" t="n"/>
      <c r="AO349" s="153" t="n"/>
      <c r="AP349" s="35" t="n"/>
      <c r="AQ349" s="254">
        <f>AQ347*AQ174</f>
        <v>4091.86488966633</v>
      </c>
      <c r="AR349" s="254">
        <f>AR347*AR174</f>
        <v>4329.235756949</v>
      </c>
      <c r="AS349" s="254">
        <f>AS347*AS174</f>
        <v>4595.47815781656</v>
      </c>
      <c r="AT349" s="254">
        <f>AT347*AT174</f>
        <v>4883.15144984886</v>
      </c>
      <c r="AU349" s="19" t="n"/>
    </row>
    <row r="350" ht="15" customHeight="1" s="251">
      <c r="B350" s="69" t="inlineStr">
        <is>
          <t xml:space="preserve">  Share repurchases: plug to target leverage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153" t="n"/>
      <c r="AN350" s="153" t="n"/>
      <c r="AO350" s="153" t="n"/>
      <c r="AP350" s="35" t="n"/>
      <c r="AQ350" s="254">
        <f>MAX(0,AQ349-AQ348)</f>
        <v>758.009537927119</v>
      </c>
      <c r="AR350" s="254">
        <f>MAX(0,AR349-AR348)</f>
        <v>782.655535506648</v>
      </c>
      <c r="AS350" s="254">
        <f>MAX(0,AS349-AS348)</f>
        <v>864.343739012234</v>
      </c>
      <c r="AT350" s="254">
        <f>MAX(0,AT349-AT348)</f>
        <v>948.76268092131</v>
      </c>
      <c r="AU350" s="19" t="inlineStr">
        <is>
          <t>Surplus cash beyond the leverage target is returned via buybacks; feeds the cash-flow repurchase line.</t>
        </is>
      </c>
    </row>
    <row r="351" ht="15" customHeight="1" s="251">
      <c r="B351" s="25" t="inlineStr">
        <is>
          <t>Historical reference (driver context)</t>
        </is>
      </c>
      <c r="AU351" s="153" t="n"/>
    </row>
    <row r="352" ht="15" customHeight="1" s="251">
      <c r="B352" s="25" t="inlineStr">
        <is>
          <t xml:space="preserve">  Total D&amp;A % of revenue</t>
        </is>
      </c>
      <c r="C352" s="215">
        <f>IF(AND(ISNUMBER(C139),ISNUMBER(C120)),IFERROR(C139/C120,""),"")</f>
        <v>0.0128353305850713</v>
      </c>
      <c r="D352" s="215">
        <f>IF(AND(ISNUMBER(D139),ISNUMBER(D120)),IFERROR(D139/D120,""),"")</f>
        <v>0.0128531159545256</v>
      </c>
      <c r="E352" s="215">
        <f>IF(AND(ISNUMBER(E139),ISNUMBER(E120)),IFERROR(E139/E120,""),"")</f>
        <v>0.01320150627166</v>
      </c>
      <c r="F352" s="215">
        <f>IF(AND(ISNUMBER(F139),ISNUMBER(F120)),IFERROR(F139/F120,""),"")</f>
        <v>0.0118791909410268</v>
      </c>
      <c r="G352" s="215">
        <f>IF(AND(ISNUMBER(G139),ISNUMBER(G120)),IFERROR(G139/G120,""),"")</f>
        <v>0.0113834595757323</v>
      </c>
      <c r="H352" s="215">
        <f>IF(AND(ISNUMBER(H139),ISNUMBER(H120)),IFERROR(H139/H120,""),"")</f>
        <v>0.010258629660437</v>
      </c>
      <c r="I352" s="215">
        <f>IF(AND(ISNUMBER(I139),ISNUMBER(I120)),IFERROR(I139/I120,""),"")</f>
        <v>0.0104921487922671</v>
      </c>
      <c r="J352" s="215">
        <f>IF(AND(ISNUMBER(J139),ISNUMBER(J120)),IFERROR(J139/J120,""),"")</f>
        <v>0.0102289113261159</v>
      </c>
      <c r="K352" s="215">
        <f>IF(AND(ISNUMBER(K139),ISNUMBER(K120)),IFERROR(K139/K120,""),"")</f>
        <v>0.0108631735322336</v>
      </c>
      <c r="L352" s="215">
        <f>IF(AND(ISNUMBER(L139),ISNUMBER(L120)),IFERROR(L139/L120,""),"")</f>
        <v>0.0107285488191916</v>
      </c>
      <c r="M352" s="215">
        <f>IF(AND(ISNUMBER(M139),ISNUMBER(M120)),IFERROR(M139/M120,""),"")</f>
        <v>0.0139487578592163</v>
      </c>
      <c r="N352" s="215">
        <f>IF(AND(ISNUMBER(N139),ISNUMBER(N120)),IFERROR(N139/N120,""),"")</f>
        <v>0.017854378695921</v>
      </c>
      <c r="O352" s="215">
        <f>IF(AND(ISNUMBER(O139),ISNUMBER(O120)),IFERROR(O139/O120,""),"")</f>
        <v>0.0194905738431535</v>
      </c>
      <c r="P352" s="215">
        <f>IF(AND(ISNUMBER(P139),ISNUMBER(P120)),IFERROR(P139/P120,""),"")</f>
        <v>0.0182406674304179</v>
      </c>
      <c r="Q352" s="215">
        <f>IF(AND(ISNUMBER(Q139),ISNUMBER(Q120)),IFERROR(Q139/Q120,""),"")</f>
        <v>0.0174261391489413</v>
      </c>
      <c r="R352" s="215">
        <f>IF(AND(ISNUMBER(R139),ISNUMBER(R120)),IFERROR(R139/R120,""),"")</f>
        <v>0.017826280227596</v>
      </c>
      <c r="S352" s="215">
        <f>IF(AND(ISNUMBER(S139),ISNUMBER(S120)),IFERROR(S139/S120,""),"")</f>
        <v>0.0169866932060187</v>
      </c>
      <c r="T352" s="215">
        <f>IF(AND(ISNUMBER(T139),ISNUMBER(T120)),IFERROR(T139/T120,""),"")</f>
        <v>0.0184649247235707</v>
      </c>
      <c r="U352" s="215">
        <f>IF(AND(ISNUMBER(U139),ISNUMBER(U120)),IFERROR(U139/U120,""),"")</f>
        <v>0.0181994451067929</v>
      </c>
      <c r="V352" s="215">
        <f>IF(AND(ISNUMBER(V139),ISNUMBER(V120)),IFERROR(V139/V120,""),"")</f>
        <v>0.0178729442371787</v>
      </c>
      <c r="W352" s="215">
        <f>IF(AND(ISNUMBER(W139),ISNUMBER(W120)),IFERROR(W139/W120,""),"")</f>
        <v>0.0157646339065265</v>
      </c>
      <c r="X352" s="215">
        <f>IF(AND(ISNUMBER(X139),ISNUMBER(X120)),IFERROR(X139/X120,""),"")</f>
        <v>0.0153423381322756</v>
      </c>
      <c r="Y352" s="215">
        <f>IF(AND(ISNUMBER(Y139),ISNUMBER(Y120)),IFERROR(Y139/Y120,""),"")</f>
        <v>0.0159985150601156</v>
      </c>
      <c r="Z352" s="215">
        <f>IF(AND(ISNUMBER(Z139),ISNUMBER(Z120)),IFERROR(Z139/Z120,""),"")</f>
        <v>0.0145543993906168</v>
      </c>
      <c r="AA352" s="215">
        <f>IF(AND(ISNUMBER(AA139),ISNUMBER(AA120)),IFERROR(AA139/AA120,""),"")</f>
        <v>0.0154009193111619</v>
      </c>
      <c r="AB352" s="215">
        <f>IF(AND(ISNUMBER(AB139),ISNUMBER(AB120)),IFERROR(AB139/AB120,""),"")</f>
        <v>0.0139809103075433</v>
      </c>
      <c r="AC352" s="215">
        <f>IF(AND(ISNUMBER(AC139),ISNUMBER(AC120)),IFERROR(AC139/AC120,""),"")</f>
        <v>0.0133664464563471</v>
      </c>
      <c r="AD352" s="215">
        <f>IF(AND(ISNUMBER(AD139),ISNUMBER(AD120)),IFERROR(AD139/AD120,""),"")</f>
        <v>0.0137653015401808</v>
      </c>
      <c r="AE352" s="215">
        <f>IF(AND(ISNUMBER(AE139),ISNUMBER(AE120)),IFERROR(AE139/AE120,""),"")</f>
        <v>0.0141223940820444</v>
      </c>
      <c r="AF352" s="215">
        <f>IF(AND(ISNUMBER(AF139),ISNUMBER(AF120)),IFERROR(AF139/AF120,""),"")</f>
        <v>0.0137729549248748</v>
      </c>
      <c r="AG352" s="215">
        <f>IF(AND(ISNUMBER(AG139),ISNUMBER(AG120)),IFERROR(AG139/AG120,""),"")</f>
        <v>0.0136798905608755</v>
      </c>
      <c r="AH352" s="215">
        <f>IF(AND(ISNUMBER(AH139),ISNUMBER(AH120)),IFERROR(AH139/AH120,""),"")</f>
        <v>0.0141868512110727</v>
      </c>
      <c r="AI352" s="215">
        <f>IF(AND(ISNUMBER(AI139),ISNUMBER(AI120)),IFERROR(AI139/AI120,""),"")</f>
        <v>0.0152671755725191</v>
      </c>
      <c r="AJ352" s="215">
        <f>IF(AND(ISNUMBER(AJ139),ISNUMBER(AJ120)),IFERROR(AJ139/AJ120,""),"")</f>
        <v>0.0150916277398491</v>
      </c>
      <c r="AK352" s="215">
        <f>IF(AND(ISNUMBER(AK139),ISNUMBER(AK120)),IFERROR(AK139/AK120,""),"")</f>
        <v>0.0145315146652403</v>
      </c>
      <c r="AL352" s="215">
        <f>IF(AND(ISNUMBER(AL139),ISNUMBER(AL120)),IFERROR(AL139/AL120,""),"")</f>
        <v>0.0160714285714286</v>
      </c>
      <c r="AM352" s="24" t="n"/>
      <c r="AN352" s="24" t="n"/>
      <c r="AO352" s="24" t="n"/>
      <c r="AP352" s="256">
        <f>IF(AND(ISNUMBER(AP139),ISNUMBER(AP120)),IFERROR(AP139/AP120,""),"")</f>
        <v>0.0170784807719732</v>
      </c>
      <c r="AQ352" s="256">
        <f>IF(AND(ISNUMBER(AQ139),ISNUMBER(AQ120)),IFERROR(AQ139/AQ120,""),"")</f>
        <v>0.0169109252298306</v>
      </c>
      <c r="AR352" s="256">
        <f>IF(AND(ISNUMBER(AR139),ISNUMBER(AR120)),IFERROR(AR139/AR120,""),"")</f>
        <v>0.0165446960270468</v>
      </c>
      <c r="AS352" s="256">
        <f>IF(AND(ISNUMBER(AS139),ISNUMBER(AS120)),IFERROR(AS139/AS120,""),"")</f>
        <v>0.0162178014901552</v>
      </c>
      <c r="AT352" s="256">
        <f>IF(AND(ISNUMBER(AT139),ISNUMBER(AT120)),IFERROR(AT139/AT120,""),"")</f>
        <v>0.0160713627540024</v>
      </c>
      <c r="AU352" s="153" t="n"/>
    </row>
    <row r="353" ht="15" customHeight="1" s="251">
      <c r="B353" s="25" t="inlineStr">
        <is>
          <t xml:space="preserve">  Interest expense ÷ average total debt %</t>
        </is>
      </c>
      <c r="C353" s="36" t="n"/>
      <c r="D353" s="215">
        <f>IFERROR(D129*1/AVERAGE(D332,C332),"")</f>
        <v>0.0524390453175001</v>
      </c>
      <c r="E353" s="215">
        <f>IFERROR(E129*1/AVERAGE(E332,D332),"")</f>
        <v>0.0462524436203874</v>
      </c>
      <c r="F353" s="215">
        <f>IFERROR(F129*1/AVERAGE(F332,E332),"")</f>
        <v>0.0437299520828527</v>
      </c>
      <c r="G353" s="215">
        <f>IFERROR(G129*1/AVERAGE(G332,F332),"")</f>
        <v>0.0439354062978115</v>
      </c>
      <c r="H353" s="215">
        <f>IFERROR(H129*1/AVERAGE(H332,G332),"")</f>
        <v>0.0382127747014723</v>
      </c>
      <c r="I353" s="215">
        <f>IFERROR(I129*1/AVERAGE(I332,H332),"")</f>
        <v>0.0472551934962002</v>
      </c>
      <c r="J353" s="215">
        <f>IFERROR(J129*1/AVERAGE(J332,I332),"")</f>
        <v>0.0500326967252972</v>
      </c>
      <c r="K353" s="215">
        <f>IFERROR(K129*1/AVERAGE(K332,J332),"")</f>
        <v>0.0491483562089971</v>
      </c>
      <c r="L353" s="215">
        <f>IFERROR(L129*1/AVERAGE(L332,K332),"")</f>
        <v>0.0357825309745423</v>
      </c>
      <c r="M353" s="36" t="n"/>
      <c r="N353" s="215">
        <f>IFERROR(N129*4/AVERAGE(N332,M332),"")</f>
        <v>0.0341538408461152</v>
      </c>
      <c r="O353" s="215">
        <f>IFERROR(O129*4/AVERAGE(O332,N332),"")</f>
        <v>0.0335324753356195</v>
      </c>
      <c r="P353" s="215">
        <f>IFERROR(P129*4/AVERAGE(P332,O332),"")</f>
        <v>0.0329766184152214</v>
      </c>
      <c r="Q353" s="215">
        <f>IFERROR(Q129*1/AVERAGE(Q332,L332),"")</f>
        <v>0.0358184781335545</v>
      </c>
      <c r="R353" s="215">
        <f>IFERROR(R129*4/AVERAGE(R332,P332),"")</f>
        <v>0.0353226785063185</v>
      </c>
      <c r="S353" s="215">
        <f>IFERROR(S129*4/AVERAGE(S332,R332),"")</f>
        <v>0.0403794244022897</v>
      </c>
      <c r="T353" s="215">
        <f>IFERROR(T129*4/AVERAGE(T332,S332),"")</f>
        <v>0.0453297840498768</v>
      </c>
      <c r="U353" s="215">
        <f>IFERROR(U129*4/AVERAGE(U332,T332),"")</f>
        <v>0.0494467732224608</v>
      </c>
      <c r="V353" s="215">
        <f>IFERROR(V129*1/AVERAGE(V332,Q332),"")</f>
        <v>0.0427103941276683</v>
      </c>
      <c r="W353" s="215">
        <f>IFERROR(W129*4/AVERAGE(W332,U332),"")</f>
        <v>0.0498779555015635</v>
      </c>
      <c r="X353" s="215">
        <f>IFERROR(X129*4/AVERAGE(X332,W332),"")</f>
        <v>0.0567610734648228</v>
      </c>
      <c r="Y353" s="215">
        <f>IFERROR(Y129*4/AVERAGE(Y332,X332),"")</f>
        <v>0.0543903619465963</v>
      </c>
      <c r="Z353" s="215">
        <f>IFERROR(Z129*4/AVERAGE(Z332,Y332),"")</f>
        <v>0.0539622726558272</v>
      </c>
      <c r="AA353" s="215">
        <f>IFERROR(AA129*1/AVERAGE(AA332,V332),"")</f>
        <v>0.055559795442163</v>
      </c>
      <c r="AB353" s="215">
        <f>IFERROR(AB129*4/AVERAGE(AB332,Z332),"")</f>
        <v>0.053922638312797</v>
      </c>
      <c r="AC353" s="215">
        <f>IFERROR(AC129*4/AVERAGE(AC332,AB332),"")</f>
        <v>0.0553811508084241</v>
      </c>
      <c r="AD353" s="215">
        <f>IFERROR(AD129*4/AVERAGE(AD332,AC332),"")</f>
        <v>0.0539430381898008</v>
      </c>
      <c r="AE353" s="215">
        <f>IFERROR(AE129*4/AVERAGE(AE332,AD332),"")</f>
        <v>0.0466648534296293</v>
      </c>
      <c r="AF353" s="215">
        <f>IFERROR(AF129*1/AVERAGE(AF332,AA332),"")</f>
        <v>0.0453452555367097</v>
      </c>
      <c r="AG353" s="215">
        <f>IFERROR(AG129*4/AVERAGE(AG332,AE332),"")</f>
        <v>0.0441268647361163</v>
      </c>
      <c r="AH353" s="215">
        <f>IFERROR(AH129*4/AVERAGE(AH332,AG332),"")</f>
        <v>0.0483688121929714</v>
      </c>
      <c r="AI353" s="215">
        <f>IFERROR(AI129*4/AVERAGE(AI332,AH332),"")</f>
        <v>0.0475949367088608</v>
      </c>
      <c r="AJ353" s="215">
        <f>IFERROR(AJ129*4/AVERAGE(AJ332,AI332),"")</f>
        <v>0.0456852791878173</v>
      </c>
      <c r="AK353" s="215">
        <f>IFERROR(AK129*1/AVERAGE(AK332,AF332),"")</f>
        <v>0.0463592844545226</v>
      </c>
      <c r="AL353" s="215">
        <f>IFERROR(AL129*4/AVERAGE(AL332,AJ332),"")</f>
        <v>0.0487557135601828</v>
      </c>
      <c r="AM353" s="24" t="n"/>
      <c r="AN353" s="24" t="n"/>
      <c r="AO353" s="24" t="n"/>
      <c r="AP353" s="256">
        <f>IFERROR(AP129*1/AVERAGE(AP332,AK332),"")</f>
        <v>0.051749541800932</v>
      </c>
      <c r="AQ353" s="256">
        <f>IFERROR(AQ129*1/AVERAGE(AQ332,AP332),"")</f>
        <v>0.0484911178490222</v>
      </c>
      <c r="AR353" s="256">
        <f>IFERROR(AR129*1/AVERAGE(AR332,AQ332),"")</f>
        <v>0.0499053915035848</v>
      </c>
      <c r="AS353" s="256">
        <f>IFERROR(AS129*1/AVERAGE(AS332,AR332),"")</f>
        <v>0.0518132397189945</v>
      </c>
      <c r="AT353" s="256">
        <f>IFERROR(AT129*1/AVERAGE(AT332,AS332),"")</f>
        <v>0.0531317518195757</v>
      </c>
      <c r="AU353" s="153" t="n"/>
    </row>
    <row r="354" ht="15" customHeight="1" s="251">
      <c r="BC354" s="11" t="n"/>
      <c r="BD354" s="12" t="n"/>
      <c r="BE354" s="12" t="n"/>
      <c r="BF354" s="12" t="n"/>
      <c r="BG354" s="13" t="n"/>
    </row>
    <row r="355" ht="15" customHeight="1" s="251">
      <c r="B355" s="10" t="inlineStr">
        <is>
          <t>RATIO ANALYSIS</t>
        </is>
      </c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inlineStr">
        <is>
          <t>RETURNS — annual columns (NOPAT on adjusted EBIT, full-cost)</t>
        </is>
      </c>
    </row>
    <row r="356" ht="15" customHeight="1" s="251">
      <c r="B356" s="25" t="inlineStr">
        <is>
          <t>DuPont decomposition of ROIC</t>
        </is>
      </c>
      <c r="AU356" s="153" t="n"/>
    </row>
    <row r="357" ht="15" customHeight="1" s="251">
      <c r="B357" s="25" t="inlineStr">
        <is>
          <t>Adjusted EBIT, full-cost (adjusted EBITDA − total D&amp;A)</t>
        </is>
      </c>
      <c r="C357" s="260">
        <f>C182</f>
        <v>412.855</v>
      </c>
      <c r="D357" s="260">
        <f>D182</f>
        <v>454.827</v>
      </c>
      <c r="E357" s="260">
        <f>E182</f>
        <v>461.705</v>
      </c>
      <c r="F357" s="260">
        <f>F182</f>
        <v>460.861</v>
      </c>
      <c r="G357" s="260">
        <f>G182</f>
        <v>444.584</v>
      </c>
      <c r="H357" s="260">
        <f>H182</f>
        <v>487.601</v>
      </c>
      <c r="I357" s="260">
        <f>I182</f>
        <v>520.085</v>
      </c>
      <c r="J357" s="260">
        <f>J182</f>
        <v>606.054</v>
      </c>
      <c r="K357" s="260">
        <f>K182</f>
        <v>672.993</v>
      </c>
      <c r="L357" s="260">
        <f>L182</f>
        <v>755.359</v>
      </c>
      <c r="M357" s="34" t="n"/>
      <c r="N357" s="34" t="n"/>
      <c r="O357" s="34" t="n"/>
      <c r="P357" s="34" t="n"/>
      <c r="Q357" s="260">
        <f>Q182</f>
        <v>789.178</v>
      </c>
      <c r="R357" s="34" t="n"/>
      <c r="S357" s="34" t="n"/>
      <c r="T357" s="34" t="n"/>
      <c r="U357" s="34" t="n"/>
      <c r="V357" s="260">
        <f>V182</f>
        <v>848.581</v>
      </c>
      <c r="W357" s="34" t="n"/>
      <c r="X357" s="34" t="n"/>
      <c r="Y357" s="34" t="n"/>
      <c r="Z357" s="34" t="n"/>
      <c r="AA357" s="260">
        <f>AA182</f>
        <v>1010.861</v>
      </c>
      <c r="AB357" s="34" t="n"/>
      <c r="AC357" s="34" t="n"/>
      <c r="AD357" s="34" t="n"/>
      <c r="AE357" s="34" t="n"/>
      <c r="AF357" s="260">
        <f>AF182</f>
        <v>1150</v>
      </c>
      <c r="AG357" s="34" t="n"/>
      <c r="AH357" s="34" t="n"/>
      <c r="AI357" s="34" t="n"/>
      <c r="AJ357" s="34" t="n"/>
      <c r="AK357" s="260">
        <f>AK182</f>
        <v>1066</v>
      </c>
      <c r="AL357" s="34" t="n"/>
      <c r="AM357" s="35" t="n"/>
      <c r="AN357" s="35" t="n"/>
      <c r="AO357" s="35" t="n"/>
      <c r="AP357" s="254">
        <f>AP182</f>
        <v>1094.79120879121</v>
      </c>
      <c r="AQ357" s="254">
        <f>AQ182</f>
        <v>1162.36934150585</v>
      </c>
      <c r="AR357" s="254">
        <f>AR182</f>
        <v>1236.68687231784</v>
      </c>
      <c r="AS357" s="254">
        <f>AS182</f>
        <v>1319.23448228925</v>
      </c>
      <c r="AT357" s="254">
        <f>AT182</f>
        <v>1405.97484542139</v>
      </c>
      <c r="AU357" s="19" t="n"/>
    </row>
    <row r="358" ht="15" customHeight="1" s="251">
      <c r="B358" s="25" t="inlineStr">
        <is>
          <t>Effective tax rate (adjusted)</t>
        </is>
      </c>
      <c r="C358" s="215">
        <f>IFERROR(C209+0,0.25)</f>
        <v>0.409522225369903</v>
      </c>
      <c r="D358" s="215">
        <f>IFERROR(D209+0,0.25)</f>
        <v>0.404793853371501</v>
      </c>
      <c r="E358" s="215">
        <f>IFERROR(E209+0,0.25)</f>
        <v>0.390640977206901</v>
      </c>
      <c r="F358" s="215">
        <f>IFERROR(F209+0,0.25)</f>
        <v>0.397447376274995</v>
      </c>
      <c r="G358" s="215">
        <f>IFERROR(G209+0,0.25)</f>
        <v>0.366272551480118</v>
      </c>
      <c r="H358" s="215">
        <f>IFERROR(H209+0,0.25)</f>
        <v>0.387510067819164</v>
      </c>
      <c r="I358" s="215">
        <f>IFERROR(I209+0,0.25)</f>
        <v>0.324443617400303</v>
      </c>
      <c r="J358" s="215">
        <f>IFERROR(J209+0,0.25)</f>
        <v>0.243216733111998</v>
      </c>
      <c r="K358" s="215">
        <f>IFERROR(K209+0,0.25)</f>
        <v>0.233772753662785</v>
      </c>
      <c r="L358" s="215">
        <f>IFERROR(L209+0,0.25)</f>
        <v>0.202526109314531</v>
      </c>
      <c r="M358" s="34" t="n"/>
      <c r="N358" s="34" t="n"/>
      <c r="O358" s="34" t="n"/>
      <c r="P358" s="34" t="n"/>
      <c r="Q358" s="215">
        <f>IFERROR(Q209+0,0.25)</f>
        <v>0.229151569925392</v>
      </c>
      <c r="R358" s="34" t="n"/>
      <c r="S358" s="34" t="n"/>
      <c r="T358" s="34" t="n"/>
      <c r="U358" s="34" t="n"/>
      <c r="V358" s="215">
        <f>IFERROR(V209+0,0.25)</f>
        <v>0.22760966596429</v>
      </c>
      <c r="W358" s="34" t="n"/>
      <c r="X358" s="34" t="n"/>
      <c r="Y358" s="34" t="n"/>
      <c r="Z358" s="34" t="n"/>
      <c r="AA358" s="215">
        <f>IFERROR(AA209+0,0.25)</f>
        <v>0.213696778405903</v>
      </c>
      <c r="AB358" s="34" t="n"/>
      <c r="AC358" s="34" t="n"/>
      <c r="AD358" s="34" t="n"/>
      <c r="AE358" s="34" t="n"/>
      <c r="AF358" s="215">
        <f>IFERROR(AF209+0,0.25)</f>
        <v>0.228949858088931</v>
      </c>
      <c r="AG358" s="34" t="n"/>
      <c r="AH358" s="34" t="n"/>
      <c r="AI358" s="34" t="n"/>
      <c r="AJ358" s="34" t="n"/>
      <c r="AK358" s="215">
        <f>IFERROR(AK209+0,0.25)</f>
        <v>0.148504273504274</v>
      </c>
      <c r="AL358" s="34" t="n"/>
      <c r="AM358" s="35" t="n"/>
      <c r="AN358" s="35" t="n"/>
      <c r="AO358" s="35" t="n"/>
      <c r="AP358" s="256">
        <f>IFERROR(AP209+0,0.25)</f>
        <v>0.218200268516447</v>
      </c>
      <c r="AQ358" s="256">
        <f>IFERROR(AQ209+0,0.25)</f>
        <v>0.227932429436588</v>
      </c>
      <c r="AR358" s="256">
        <f>IFERROR(AR209+0,0.25)</f>
        <v>0.227750340405317</v>
      </c>
      <c r="AS358" s="256">
        <f>IFERROR(AS209+0,0.25)</f>
        <v>0.22760218053737</v>
      </c>
      <c r="AT358" s="256">
        <f>IFERROR(AT209+0,0.25)</f>
        <v>0.22752261749591</v>
      </c>
      <c r="AU358" s="19" t="n"/>
    </row>
    <row r="359" ht="15" customHeight="1" s="251">
      <c r="B359" s="25" t="inlineStr">
        <is>
          <t>NOPAT = Adjusted EBIT × (1 − tax rate)</t>
        </is>
      </c>
      <c r="C359" s="260">
        <f>IFERROR(C357*(1-C358),"n/a")</f>
        <v>243.781701644909</v>
      </c>
      <c r="D359" s="260">
        <f>IFERROR(D357*(1-D358),"n/a")</f>
        <v>270.7158260526</v>
      </c>
      <c r="E359" s="260">
        <f>IFERROR(E357*(1-E358),"n/a")</f>
        <v>281.344107618688</v>
      </c>
      <c r="F359" s="260">
        <f>IFERROR(F357*(1-F358),"n/a")</f>
        <v>277.69300472253</v>
      </c>
      <c r="G359" s="260">
        <f>IFERROR(G357*(1-G358),"n/a")</f>
        <v>281.745083972763</v>
      </c>
      <c r="H359" s="260">
        <f>IFERROR(H357*(1-H358),"n/a")</f>
        <v>298.650703421308</v>
      </c>
      <c r="I359" s="260">
        <f>IFERROR(I357*(1-I358),"n/a")</f>
        <v>351.346741244364</v>
      </c>
      <c r="J359" s="260">
        <f>IFERROR(J357*(1-J358),"n/a")</f>
        <v>458.651526030541</v>
      </c>
      <c r="K359" s="260">
        <f>IFERROR(K357*(1-K358),"n/a")</f>
        <v>515.665573194222</v>
      </c>
      <c r="L359" s="260">
        <f>IFERROR(L357*(1-L358),"n/a")</f>
        <v>602.379080594285</v>
      </c>
      <c r="M359" s="34" t="n"/>
      <c r="N359" s="34" t="n"/>
      <c r="O359" s="34" t="n"/>
      <c r="P359" s="34" t="n"/>
      <c r="Q359" s="260">
        <f>IFERROR(Q357*(1-Q358),"n/a")</f>
        <v>608.336622349419</v>
      </c>
      <c r="R359" s="34" t="n"/>
      <c r="S359" s="34" t="n"/>
      <c r="T359" s="34" t="n"/>
      <c r="U359" s="34" t="n"/>
      <c r="V359" s="260">
        <f>IFERROR(V357*(1-V358),"n/a")</f>
        <v>655.435762046357</v>
      </c>
      <c r="W359" s="34" t="n"/>
      <c r="X359" s="34" t="n"/>
      <c r="Y359" s="34" t="n"/>
      <c r="Z359" s="34" t="n"/>
      <c r="AA359" s="260">
        <f>IFERROR(AA357*(1-AA358),"n/a")</f>
        <v>794.84326088383</v>
      </c>
      <c r="AB359" s="34" t="n"/>
      <c r="AC359" s="34" t="n"/>
      <c r="AD359" s="34" t="n"/>
      <c r="AE359" s="34" t="n"/>
      <c r="AF359" s="260">
        <f>IFERROR(AF357*(1-AF358),"n/a")</f>
        <v>886.70766319773</v>
      </c>
      <c r="AG359" s="34" t="n"/>
      <c r="AH359" s="34" t="n"/>
      <c r="AI359" s="34" t="n"/>
      <c r="AJ359" s="34" t="n"/>
      <c r="AK359" s="260">
        <f>IFERROR(AK357*(1-AK358),"n/a")</f>
        <v>907.694444444445</v>
      </c>
      <c r="AL359" s="34" t="n"/>
      <c r="AM359" s="35" t="n"/>
      <c r="AN359" s="35" t="n"/>
      <c r="AO359" s="35" t="n"/>
      <c r="AP359" s="254">
        <f>IFERROR(AP357*(1-AP358),"n/a")</f>
        <v>855.907473063522</v>
      </c>
      <c r="AQ359" s="254">
        <f>IFERROR(AQ357*(1-AQ358),"n/a")</f>
        <v>897.427673593815</v>
      </c>
      <c r="AR359" s="254">
        <f>IFERROR(AR357*(1-AR358),"n/a")</f>
        <v>955.031016172662</v>
      </c>
      <c r="AS359" s="254">
        <f>IFERROR(AS357*(1-AS358),"n/a")</f>
        <v>1018.97383748013</v>
      </c>
      <c r="AT359" s="254">
        <f>IFERROR(AT357*(1-AT358),"n/a")</f>
        <v>1086.08376845771</v>
      </c>
      <c r="AU359" s="19" t="n"/>
    </row>
    <row r="360" ht="15" customHeight="1" s="251">
      <c r="B360" s="25" t="inlineStr">
        <is>
          <t>Invested capital (IC) = Equity + Net debt</t>
        </is>
      </c>
      <c r="C360" s="260">
        <f>IFERROR(C361+C362,"n/a")</f>
        <v>1666.242</v>
      </c>
      <c r="D360" s="260">
        <f>IFERROR(D361+D362,"n/a")</f>
        <v>1591.582</v>
      </c>
      <c r="E360" s="260">
        <f>IFERROR(E361+E362,"n/a")</f>
        <v>1570.561</v>
      </c>
      <c r="F360" s="260">
        <f>IFERROR(F361+F362,"n/a")</f>
        <v>1605.616</v>
      </c>
      <c r="G360" s="260">
        <f>IFERROR(G361+G362,"n/a")</f>
        <v>1818.22</v>
      </c>
      <c r="H360" s="260">
        <f>IFERROR(H361+H362,"n/a")</f>
        <v>2019.498</v>
      </c>
      <c r="I360" s="260">
        <f>IFERROR(I361+I362,"n/a")</f>
        <v>2086.249</v>
      </c>
      <c r="J360" s="260">
        <f>IFERROR(J361+J362,"n/a")</f>
        <v>2151.137</v>
      </c>
      <c r="K360" s="260">
        <f>IFERROR(K361+K362,"n/a")</f>
        <v>2300.299</v>
      </c>
      <c r="L360" s="260">
        <f>IFERROR(L361+L362,"n/a")</f>
        <v>2436.817</v>
      </c>
      <c r="M360" s="34" t="n"/>
      <c r="N360" s="34" t="n"/>
      <c r="O360" s="34" t="n"/>
      <c r="P360" s="34" t="n"/>
      <c r="Q360" s="260">
        <f>IFERROR(Q361+Q362,"n/a")</f>
        <v>3150.883</v>
      </c>
      <c r="R360" s="34" t="n"/>
      <c r="S360" s="34" t="n"/>
      <c r="T360" s="34" t="n"/>
      <c r="U360" s="34" t="n"/>
      <c r="V360" s="260">
        <f>IFERROR(V361+V362,"n/a")</f>
        <v>3399.285</v>
      </c>
      <c r="W360" s="34" t="n"/>
      <c r="X360" s="34" t="n"/>
      <c r="Y360" s="34" t="n"/>
      <c r="Z360" s="34" t="n"/>
      <c r="AA360" s="260">
        <f>IFERROR(AA361+AA362,"n/a")</f>
        <v>3904.121</v>
      </c>
      <c r="AB360" s="34" t="n"/>
      <c r="AC360" s="34" t="n"/>
      <c r="AD360" s="34" t="n"/>
      <c r="AE360" s="34" t="n"/>
      <c r="AF360" s="260">
        <f>IFERROR(AF361+AF362,"n/a")</f>
        <v>4116</v>
      </c>
      <c r="AG360" s="34" t="n"/>
      <c r="AH360" s="34" t="n"/>
      <c r="AI360" s="34" t="n"/>
      <c r="AJ360" s="34" t="n"/>
      <c r="AK360" s="260">
        <f>IFERROR(AK361+AK362,"n/a")</f>
        <v>4317</v>
      </c>
      <c r="AL360" s="34" t="n"/>
      <c r="AM360" s="35" t="n"/>
      <c r="AN360" s="35" t="n"/>
      <c r="AO360" s="35" t="n"/>
      <c r="AP360" s="254">
        <f>IFERROR(AP361+AP362,"n/a")</f>
        <v>5260.6010989011</v>
      </c>
      <c r="AQ360" s="254">
        <f>IFERROR(AQ361+AQ362,"n/a")</f>
        <v>5322.19371483552</v>
      </c>
      <c r="AR360" s="254">
        <f>IFERROR(AR361+AR362,"n/a")</f>
        <v>5392.43919699677</v>
      </c>
      <c r="AS360" s="254">
        <f>IFERROR(AS361+AS362,"n/a")</f>
        <v>5465.67703414343</v>
      </c>
      <c r="AT360" s="254">
        <f>IFERROR(AT361+AT362,"n/a")</f>
        <v>5538.38464765378</v>
      </c>
      <c r="AU360" s="19" t="n"/>
    </row>
    <row r="361" ht="15" customHeight="1" s="251">
      <c r="B361" s="25" t="inlineStr">
        <is>
          <t xml:space="preserve">  Total equity</t>
        </is>
      </c>
      <c r="C361" s="260">
        <f>IF(ISNUMBER(C298),C298,"n/a")</f>
        <v>1185.185</v>
      </c>
      <c r="D361" s="260">
        <f>IF(ISNUMBER(D298),D298,"n/a")</f>
        <v>226.793</v>
      </c>
      <c r="E361" s="260">
        <f>IF(ISNUMBER(E298),E298,"n/a")</f>
        <v>171.636</v>
      </c>
      <c r="F361" s="260">
        <f>IF(ISNUMBER(F298),F298,"n/a")</f>
        <v>186.498</v>
      </c>
      <c r="G361" s="260">
        <f>IF(ISNUMBER(G298),G298,"n/a")</f>
        <v>408.488</v>
      </c>
      <c r="H361" s="260">
        <f>IF(ISNUMBER(H298),H298,"n/a")</f>
        <v>573.591</v>
      </c>
      <c r="I361" s="260">
        <f>IF(ISNUMBER(I298),I298,"n/a")</f>
        <v>554.628</v>
      </c>
      <c r="J361" s="260">
        <f>IF(ISNUMBER(J298),J298,"n/a")</f>
        <v>675.366</v>
      </c>
      <c r="K361" s="260">
        <f>IF(ISNUMBER(K298),K298,"n/a")</f>
        <v>856.356</v>
      </c>
      <c r="L361" s="260">
        <f>IF(ISNUMBER(L298),L298,"n/a")</f>
        <v>1071.176</v>
      </c>
      <c r="M361" s="34" t="n"/>
      <c r="N361" s="34" t="n"/>
      <c r="O361" s="34" t="n"/>
      <c r="P361" s="34" t="n"/>
      <c r="Q361" s="260">
        <f>IF(ISNUMBER(Q298),Q298,"n/a")</f>
        <v>1046.721</v>
      </c>
      <c r="R361" s="34" t="n"/>
      <c r="S361" s="34" t="n"/>
      <c r="T361" s="34" t="n"/>
      <c r="U361" s="34" t="n"/>
      <c r="V361" s="260">
        <f>IF(ISNUMBER(V298),V298,"n/a")</f>
        <v>992.002</v>
      </c>
      <c r="W361" s="34" t="n"/>
      <c r="X361" s="34" t="n"/>
      <c r="Y361" s="34" t="n"/>
      <c r="Z361" s="34" t="n"/>
      <c r="AA361" s="260">
        <f>IF(ISNUMBER(AA298),AA298,"n/a")</f>
        <v>1046.562</v>
      </c>
      <c r="AB361" s="34" t="n"/>
      <c r="AC361" s="34" t="n"/>
      <c r="AD361" s="34" t="n"/>
      <c r="AE361" s="34" t="n"/>
      <c r="AF361" s="260">
        <f>IF(ISNUMBER(AF298),AF298,"n/a")</f>
        <v>1003</v>
      </c>
      <c r="AG361" s="34" t="n"/>
      <c r="AH361" s="34" t="n"/>
      <c r="AI361" s="34" t="n"/>
      <c r="AJ361" s="34" t="n"/>
      <c r="AK361" s="260">
        <f>IF(ISNUMBER(AK298),AK298,"n/a")</f>
        <v>1105</v>
      </c>
      <c r="AL361" s="34" t="n"/>
      <c r="AM361" s="35" t="n"/>
      <c r="AN361" s="35" t="n"/>
      <c r="AO361" s="35" t="n"/>
      <c r="AP361" s="254">
        <f>IF(ISNUMBER(AP298),AP298,"n/a")</f>
        <v>1426.9369640111</v>
      </c>
      <c r="AQ361" s="254">
        <f>IF(ISNUMBER(AQ298),AQ298,"n/a")</f>
        <v>1230.32882516919</v>
      </c>
      <c r="AR361" s="254">
        <f>IF(ISNUMBER(AR298),AR298,"n/a")</f>
        <v>1063.20344004777</v>
      </c>
      <c r="AS361" s="254">
        <f>IF(ISNUMBER(AS298),AS298,"n/a")</f>
        <v>870.198876326865</v>
      </c>
      <c r="AT361" s="254">
        <f>IF(ISNUMBER(AT298),AT298,"n/a")</f>
        <v>655.23319780492</v>
      </c>
      <c r="AU361" s="19" t="n"/>
    </row>
    <row r="362" ht="15" customHeight="1" s="251">
      <c r="B362" s="25" t="inlineStr">
        <is>
          <t xml:space="preserve">  Net debt = Total debt − Cash</t>
        </is>
      </c>
      <c r="C362" s="260">
        <f>IFERROR(C332-C276,"n/a")</f>
        <v>481.057</v>
      </c>
      <c r="D362" s="260">
        <f>IFERROR(D332-D276,"n/a")</f>
        <v>1364.789</v>
      </c>
      <c r="E362" s="260">
        <f>IFERROR(E332-E276,"n/a")</f>
        <v>1398.925</v>
      </c>
      <c r="F362" s="260">
        <f>IFERROR(F332-F276,"n/a")</f>
        <v>1419.118</v>
      </c>
      <c r="G362" s="260">
        <f>IFERROR(G332-G276,"n/a")</f>
        <v>1409.732</v>
      </c>
      <c r="H362" s="260">
        <f>IFERROR(H332-H276,"n/a")</f>
        <v>1445.907</v>
      </c>
      <c r="I362" s="260">
        <f>IFERROR(I332-I276,"n/a")</f>
        <v>1531.621</v>
      </c>
      <c r="J362" s="260">
        <f>IFERROR(J332-J276,"n/a")</f>
        <v>1475.771</v>
      </c>
      <c r="K362" s="260">
        <f>IFERROR(K332-K276,"n/a")</f>
        <v>1443.943</v>
      </c>
      <c r="L362" s="260">
        <f>IFERROR(L332-L276,"n/a")</f>
        <v>1365.641</v>
      </c>
      <c r="M362" s="34" t="n"/>
      <c r="N362" s="34" t="n"/>
      <c r="O362" s="34" t="n"/>
      <c r="P362" s="34" t="n"/>
      <c r="Q362" s="260">
        <f>IFERROR(Q332-Q276,"n/a")</f>
        <v>2104.162</v>
      </c>
      <c r="R362" s="34" t="n"/>
      <c r="S362" s="34" t="n"/>
      <c r="T362" s="34" t="n"/>
      <c r="U362" s="34" t="n"/>
      <c r="V362" s="260">
        <f>IFERROR(V332-V276,"n/a")</f>
        <v>2407.283</v>
      </c>
      <c r="W362" s="34" t="n"/>
      <c r="X362" s="34" t="n"/>
      <c r="Y362" s="34" t="n"/>
      <c r="Z362" s="34" t="n"/>
      <c r="AA362" s="260">
        <f>IFERROR(AA332-AA276,"n/a")</f>
        <v>2857.559</v>
      </c>
      <c r="AB362" s="34" t="n"/>
      <c r="AC362" s="34" t="n"/>
      <c r="AD362" s="34" t="n"/>
      <c r="AE362" s="34" t="n"/>
      <c r="AF362" s="260">
        <f>IFERROR(AF332-AF276,"n/a")</f>
        <v>3113</v>
      </c>
      <c r="AG362" s="34" t="n"/>
      <c r="AH362" s="34" t="n"/>
      <c r="AI362" s="34" t="n"/>
      <c r="AJ362" s="34" t="n"/>
      <c r="AK362" s="260">
        <f>IFERROR(AK332-AK276,"n/a")</f>
        <v>3212</v>
      </c>
      <c r="AL362" s="34" t="n"/>
      <c r="AM362" s="35" t="n"/>
      <c r="AN362" s="35" t="n"/>
      <c r="AO362" s="35" t="n"/>
      <c r="AP362" s="254">
        <f>IFERROR(AP332-AP276,"n/a")</f>
        <v>3833.66413489</v>
      </c>
      <c r="AQ362" s="254">
        <f>IFERROR(AQ332-AQ276,"n/a")</f>
        <v>4091.86488966633</v>
      </c>
      <c r="AR362" s="254">
        <f>IFERROR(AR332-AR276,"n/a")</f>
        <v>4329.235756949</v>
      </c>
      <c r="AS362" s="254">
        <f>IFERROR(AS332-AS276,"n/a")</f>
        <v>4595.47815781657</v>
      </c>
      <c r="AT362" s="254">
        <f>IFERROR(AT332-AT276,"n/a")</f>
        <v>4883.15144984886</v>
      </c>
      <c r="AU362" s="19" t="n"/>
    </row>
    <row r="363" ht="15" customHeight="1" s="251">
      <c r="B363" s="55" t="inlineStr">
        <is>
          <t>ROIC = NOPAT / IC</t>
        </is>
      </c>
      <c r="C363" s="304">
        <f>IFERROR(C359/C360,"n/a")</f>
        <v>0.146306299832142</v>
      </c>
      <c r="D363" s="304">
        <f>IFERROR(D359/D360,"n/a")</f>
        <v>0.170092289340166</v>
      </c>
      <c r="E363" s="304">
        <f>IFERROR(E359/E360,"n/a")</f>
        <v>0.179136058783255</v>
      </c>
      <c r="F363" s="304">
        <f>IFERROR(F359/F360,"n/a")</f>
        <v>0.172951069696945</v>
      </c>
      <c r="G363" s="304">
        <f>IFERROR(G359/G360,"n/a")</f>
        <v>0.154956542097636</v>
      </c>
      <c r="H363" s="304">
        <f>IFERROR(H359/H360,"n/a")</f>
        <v>0.147883634161216</v>
      </c>
      <c r="I363" s="304">
        <f>IFERROR(I359/I360,"n/a")</f>
        <v>0.168410741596216</v>
      </c>
      <c r="J363" s="304">
        <f>IFERROR(J359/J360,"n/a")</f>
        <v>0.213213535925672</v>
      </c>
      <c r="K363" s="304">
        <f>IFERROR(K359/K360,"n/a")</f>
        <v>0.224173280601444</v>
      </c>
      <c r="L363" s="304">
        <f>IFERROR(L359/L360,"n/a")</f>
        <v>0.247199145686478</v>
      </c>
      <c r="M363" s="56" t="n"/>
      <c r="N363" s="56" t="n"/>
      <c r="O363" s="56" t="n"/>
      <c r="P363" s="56" t="n"/>
      <c r="Q363" s="304">
        <f>IFERROR(Q359/Q360,"n/a")</f>
        <v>0.19306861674947</v>
      </c>
      <c r="R363" s="56" t="n"/>
      <c r="S363" s="56" t="n"/>
      <c r="T363" s="56" t="n"/>
      <c r="U363" s="56" t="n"/>
      <c r="V363" s="304">
        <f>IFERROR(V359/V360,"n/a")</f>
        <v>0.192815772153955</v>
      </c>
      <c r="W363" s="56" t="n"/>
      <c r="X363" s="56" t="n"/>
      <c r="Y363" s="56" t="n"/>
      <c r="Z363" s="56" t="n"/>
      <c r="AA363" s="304">
        <f>IFERROR(AA359/AA360,"n/a")</f>
        <v>0.20359083667843</v>
      </c>
      <c r="AB363" s="56" t="n"/>
      <c r="AC363" s="56" t="n"/>
      <c r="AD363" s="56" t="n"/>
      <c r="AE363" s="56" t="n"/>
      <c r="AF363" s="304">
        <f>IFERROR(AF359/AF360,"n/a")</f>
        <v>0.215429461418302</v>
      </c>
      <c r="AG363" s="56" t="n"/>
      <c r="AH363" s="56" t="n"/>
      <c r="AI363" s="56" t="n"/>
      <c r="AJ363" s="56" t="n"/>
      <c r="AK363" s="304">
        <f>IFERROR(AK359/AK360,"n/a")</f>
        <v>0.210260468947057</v>
      </c>
      <c r="AL363" s="56" t="n"/>
      <c r="AM363" s="56" t="n"/>
      <c r="AN363" s="56" t="n"/>
      <c r="AO363" s="56" t="n"/>
      <c r="AP363" s="304">
        <f>IFERROR(AP359/AP360,"n/a")</f>
        <v>0.162701458820422</v>
      </c>
      <c r="AQ363" s="304">
        <f>IFERROR(AQ359/AQ360,"n/a")</f>
        <v>0.168619881514694</v>
      </c>
      <c r="AR363" s="304">
        <f>IFERROR(AR359/AR360,"n/a")</f>
        <v>0.1771055697215</v>
      </c>
      <c r="AS363" s="304">
        <f>IFERROR(AS359/AS360,"n/a")</f>
        <v>0.186431402937773</v>
      </c>
      <c r="AT363" s="304">
        <f>IFERROR(AT359/AT360,"n/a")</f>
        <v>0.196101180678703</v>
      </c>
      <c r="AU363" s="153" t="n"/>
      <c r="AW363" s="37">
        <f>IFERROR(AVERAGE(AP363,AQ363,AR363,AS363,AT363),"n/m")</f>
        <v>0.178191898734618</v>
      </c>
      <c r="AX363" s="37">
        <f>IFERROR(AVERAGE(Q363,V363,AA363,AF363,AK363),"n/m")</f>
        <v>0.203033031189443</v>
      </c>
      <c r="AY363" s="37">
        <f>IFERROR(AVERAGE(H363,I363,J363,K363,L363,Q363,V363,AA363,AF363,AK363),"n/m")</f>
        <v>0.201604549391824</v>
      </c>
      <c r="AZ363" s="37">
        <f>IFERROR(AVERAGE(C363,D363,E363,F363,G363,H363,I363,J363,K363,L363,Q363,V363,AA363,AF363,AK363),"n/m")</f>
        <v>0.189299183577892</v>
      </c>
    </row>
    <row r="364" ht="15" customHeight="1" s="251">
      <c r="B364" s="25" t="inlineStr">
        <is>
          <t xml:space="preserve">  Margin = Adjusted EBIT / Revenue</t>
        </is>
      </c>
      <c r="C364" s="215">
        <f>IFERROR(C357/C120,"n/a")</f>
        <v>0.0704624746851884</v>
      </c>
      <c r="D364" s="215">
        <f>IFERROR(D357/D120,"n/a")</f>
        <v>0.0789896386959564</v>
      </c>
      <c r="E364" s="215">
        <f>IFERROR(E357/E120,"n/a")</f>
        <v>0.0842728366053729</v>
      </c>
      <c r="F364" s="215">
        <f>IFERROR(F357/F120,"n/a")</f>
        <v>0.0873708237515569</v>
      </c>
      <c r="G364" s="215">
        <f>IFERROR(G357/G120,"n/a")</f>
        <v>0.0822429795894659</v>
      </c>
      <c r="H364" s="215">
        <f>IFERROR(H357/H120,"n/a")</f>
        <v>0.0840070885573483</v>
      </c>
      <c r="I364" s="215">
        <f>IFERROR(I357/I120,"n/a")</f>
        <v>0.0842672370842274</v>
      </c>
      <c r="J364" s="215">
        <f>IFERROR(J357/J120,"n/a")</f>
        <v>0.0904013507085358</v>
      </c>
      <c r="K364" s="215">
        <f>IFERROR(K357/K120,"n/a")</f>
        <v>0.0901671136885151</v>
      </c>
      <c r="L364" s="215">
        <f>IFERROR(L357/L120,"n/a")</f>
        <v>0.096114640425971</v>
      </c>
      <c r="M364" s="34" t="n"/>
      <c r="N364" s="34" t="n"/>
      <c r="O364" s="34" t="n"/>
      <c r="P364" s="34" t="n"/>
      <c r="Q364" s="215">
        <f>IFERROR(Q357/Q120,"n/a")</f>
        <v>0.0943575211927735</v>
      </c>
      <c r="R364" s="34" t="n"/>
      <c r="S364" s="34" t="n"/>
      <c r="T364" s="34" t="n"/>
      <c r="U364" s="34" t="n"/>
      <c r="V364" s="215">
        <f>IFERROR(V357/V120,"n/a")</f>
        <v>0.0916501951471399</v>
      </c>
      <c r="W364" s="34" t="n"/>
      <c r="X364" s="34" t="n"/>
      <c r="Y364" s="34" t="n"/>
      <c r="Z364" s="34" t="n"/>
      <c r="AA364" s="215">
        <f>IFERROR(AA357/AA120,"n/a")</f>
        <v>0.0948106228010478</v>
      </c>
      <c r="AB364" s="34" t="n"/>
      <c r="AC364" s="34" t="n"/>
      <c r="AD364" s="34" t="n"/>
      <c r="AE364" s="34" t="n"/>
      <c r="AF364" s="215">
        <f>IFERROR(AF357/AF120,"n/a")</f>
        <v>0.0959933222036728</v>
      </c>
      <c r="AG364" s="34" t="n"/>
      <c r="AH364" s="34" t="n"/>
      <c r="AI364" s="34" t="n"/>
      <c r="AJ364" s="34" t="n"/>
      <c r="AK364" s="215">
        <f>IFERROR(AK357/AK120,"n/a")</f>
        <v>0.0950343229027369</v>
      </c>
      <c r="AL364" s="34" t="n"/>
      <c r="AM364" s="35" t="n"/>
      <c r="AN364" s="35" t="n"/>
      <c r="AO364" s="35" t="n"/>
      <c r="AP364" s="256">
        <f>IFERROR(AP357/AP120,"n/a")</f>
        <v>0.0947150259067358</v>
      </c>
      <c r="AQ364" s="256">
        <f>IFERROR(AQ357/AQ120,"n/a")</f>
        <v>0.0975106302537812</v>
      </c>
      <c r="AR364" s="256">
        <f>IFERROR(AR357/AR120,"n/a")</f>
        <v>0.0991348346929126</v>
      </c>
      <c r="AS364" s="256">
        <f>IFERROR(AS357/AS120,"n/a")</f>
        <v>0.100639375874147</v>
      </c>
      <c r="AT364" s="256">
        <f>IFERROR(AT357/AT120,"n/a")</f>
        <v>0.101901763002978</v>
      </c>
      <c r="AU364" s="19" t="n"/>
    </row>
    <row r="365" ht="15" customHeight="1" s="251">
      <c r="B365" s="25" t="inlineStr">
        <is>
          <t xml:space="preserve">  Capital turnover = Revenue / IC</t>
        </is>
      </c>
      <c r="C365" s="274">
        <f>IFERROR(C120/C360,"n/a")</f>
        <v>3.51642678554496</v>
      </c>
      <c r="D365" s="274">
        <f>IFERROR(D120/D360,"n/a")</f>
        <v>3.61782113645417</v>
      </c>
      <c r="E365" s="274">
        <f>IFERROR(E120/E360,"n/a")</f>
        <v>3.48836689565066</v>
      </c>
      <c r="F365" s="274">
        <f>IFERROR(F120/F360,"n/a")</f>
        <v>3.28520019730745</v>
      </c>
      <c r="G365" s="274">
        <f>IFERROR(G120/G360,"n/a")</f>
        <v>2.97309346503723</v>
      </c>
      <c r="H365" s="274">
        <f>IFERROR(H120/H360,"n/a")</f>
        <v>2.8741221828395</v>
      </c>
      <c r="I365" s="274">
        <f>IFERROR(I120/I360,"n/a")</f>
        <v>2.95834917116797</v>
      </c>
      <c r="J365" s="274">
        <f>IFERROR(J120/J360,"n/a")</f>
        <v>3.11650861846549</v>
      </c>
      <c r="K365" s="274">
        <f>IFERROR(K120/K360,"n/a")</f>
        <v>3.24472644643153</v>
      </c>
      <c r="L365" s="274">
        <f>IFERROR(L120/L360,"n/a")</f>
        <v>3.22508337720888</v>
      </c>
      <c r="M365" s="34" t="n"/>
      <c r="N365" s="34" t="n"/>
      <c r="O365" s="34" t="n"/>
      <c r="P365" s="34" t="n"/>
      <c r="Q365" s="274">
        <f>IFERROR(Q120/Q360,"n/a")</f>
        <v>2.65439878281739</v>
      </c>
      <c r="R365" s="34" t="n"/>
      <c r="S365" s="34" t="n"/>
      <c r="T365" s="34" t="n"/>
      <c r="U365" s="34" t="n"/>
      <c r="V365" s="274">
        <f>IFERROR(V120/V360,"n/a")</f>
        <v>2.72378191296111</v>
      </c>
      <c r="W365" s="34" t="n"/>
      <c r="X365" s="34" t="n"/>
      <c r="Y365" s="34" t="n"/>
      <c r="Z365" s="34" t="n"/>
      <c r="AA365" s="274">
        <f>IFERROR(AA120/AA360,"n/a")</f>
        <v>2.73093380046366</v>
      </c>
      <c r="AB365" s="34" t="n"/>
      <c r="AC365" s="34" t="n"/>
      <c r="AD365" s="34" t="n"/>
      <c r="AE365" s="34" t="n"/>
      <c r="AF365" s="274">
        <f>IFERROR(AF120/AF360,"n/a")</f>
        <v>2.91059280855199</v>
      </c>
      <c r="AG365" s="34" t="n"/>
      <c r="AH365" s="34" t="n"/>
      <c r="AI365" s="34" t="n"/>
      <c r="AJ365" s="34" t="n"/>
      <c r="AK365" s="274">
        <f>IFERROR(AK120/AK360,"n/a")</f>
        <v>2.59833217512161</v>
      </c>
      <c r="AL365" s="34" t="n"/>
      <c r="AM365" s="35" t="n"/>
      <c r="AN365" s="35" t="n"/>
      <c r="AO365" s="35" t="n"/>
      <c r="AP365" s="276">
        <f>IFERROR(AP120/AP360,"n/a")</f>
        <v>2.19723772844243</v>
      </c>
      <c r="AQ365" s="276">
        <f>IFERROR(AQ120/AQ360,"n/a")</f>
        <v>2.23976010839252</v>
      </c>
      <c r="AR365" s="276">
        <f>IFERROR(AR120/AR360,"n/a")</f>
        <v>2.31338655429449</v>
      </c>
      <c r="AS365" s="276">
        <f>IFERROR(AS120/AS360,"n/a")</f>
        <v>2.39833637255549</v>
      </c>
      <c r="AT365" s="276">
        <f>IFERROR(AT120/AT360,"n/a")</f>
        <v>2.49122376479715</v>
      </c>
      <c r="AU365" s="19" t="n"/>
    </row>
    <row r="366" ht="15" customHeight="1" s="251">
      <c r="B366" s="25" t="inlineStr">
        <is>
          <t xml:space="preserve">  Tax burden = (1 − tax rate)</t>
        </is>
      </c>
      <c r="C366" s="215">
        <f>IFERROR(1-C358,"n/a")</f>
        <v>0.590477774630097</v>
      </c>
      <c r="D366" s="215">
        <f>IFERROR(1-D358,"n/a")</f>
        <v>0.595206146628499</v>
      </c>
      <c r="E366" s="215">
        <f>IFERROR(1-E358,"n/a")</f>
        <v>0.609359022793099</v>
      </c>
      <c r="F366" s="215">
        <f>IFERROR(1-F358,"n/a")</f>
        <v>0.602552623725005</v>
      </c>
      <c r="G366" s="215">
        <f>IFERROR(1-G358,"n/a")</f>
        <v>0.633727448519882</v>
      </c>
      <c r="H366" s="215">
        <f>IFERROR(1-H358,"n/a")</f>
        <v>0.612489932180836</v>
      </c>
      <c r="I366" s="215">
        <f>IFERROR(1-I358,"n/a")</f>
        <v>0.675556382599697</v>
      </c>
      <c r="J366" s="215">
        <f>IFERROR(1-J358,"n/a")</f>
        <v>0.756783266888002</v>
      </c>
      <c r="K366" s="215">
        <f>IFERROR(1-K358,"n/a")</f>
        <v>0.766227246337215</v>
      </c>
      <c r="L366" s="215">
        <f>IFERROR(1-L358,"n/a")</f>
        <v>0.797473890685469</v>
      </c>
      <c r="M366" s="34" t="n"/>
      <c r="N366" s="34" t="n"/>
      <c r="O366" s="34" t="n"/>
      <c r="P366" s="34" t="n"/>
      <c r="Q366" s="215">
        <f>IFERROR(1-Q358,"n/a")</f>
        <v>0.770848430074608</v>
      </c>
      <c r="R366" s="34" t="n"/>
      <c r="S366" s="34" t="n"/>
      <c r="T366" s="34" t="n"/>
      <c r="U366" s="34" t="n"/>
      <c r="V366" s="215">
        <f>IFERROR(1-V358,"n/a")</f>
        <v>0.77239033403571</v>
      </c>
      <c r="W366" s="34" t="n"/>
      <c r="X366" s="34" t="n"/>
      <c r="Y366" s="34" t="n"/>
      <c r="Z366" s="34" t="n"/>
      <c r="AA366" s="215">
        <f>IFERROR(1-AA358,"n/a")</f>
        <v>0.786303221594097</v>
      </c>
      <c r="AB366" s="34" t="n"/>
      <c r="AC366" s="34" t="n"/>
      <c r="AD366" s="34" t="n"/>
      <c r="AE366" s="34" t="n"/>
      <c r="AF366" s="215">
        <f>IFERROR(1-AF358,"n/a")</f>
        <v>0.771050141911069</v>
      </c>
      <c r="AG366" s="34" t="n"/>
      <c r="AH366" s="34" t="n"/>
      <c r="AI366" s="34" t="n"/>
      <c r="AJ366" s="34" t="n"/>
      <c r="AK366" s="215">
        <f>IFERROR(1-AK358,"n/a")</f>
        <v>0.851495726495727</v>
      </c>
      <c r="AL366" s="34" t="n"/>
      <c r="AM366" s="35" t="n"/>
      <c r="AN366" s="35" t="n"/>
      <c r="AO366" s="35" t="n"/>
      <c r="AP366" s="256">
        <f>IFERROR(1-AP358,"n/a")</f>
        <v>0.781799731483553</v>
      </c>
      <c r="AQ366" s="256">
        <f>IFERROR(1-AQ358,"n/a")</f>
        <v>0.772067570563412</v>
      </c>
      <c r="AR366" s="256">
        <f>IFERROR(1-AR358,"n/a")</f>
        <v>0.772249659594683</v>
      </c>
      <c r="AS366" s="256">
        <f>IFERROR(1-AS358,"n/a")</f>
        <v>0.77239781946263</v>
      </c>
      <c r="AT366" s="256">
        <f>IFERROR(1-AT358,"n/a")</f>
        <v>0.77247738250409</v>
      </c>
      <c r="AU366" s="19" t="n"/>
    </row>
    <row r="367" ht="15" customHeight="1" s="251">
      <c r="B367" s="25" t="inlineStr">
        <is>
          <t xml:space="preserve">  Check: Margin × Turnover × Tax burden = ROIC</t>
        </is>
      </c>
      <c r="C367" s="215">
        <f>IFERROR(C364*C365*C366,"n/a")</f>
        <v>0.146306299832142</v>
      </c>
      <c r="D367" s="215">
        <f>IFERROR(D364*D365*D366,"n/a")</f>
        <v>0.170092289340166</v>
      </c>
      <c r="E367" s="215">
        <f>IFERROR(E364*E365*E366,"n/a")</f>
        <v>0.179136058783255</v>
      </c>
      <c r="F367" s="215">
        <f>IFERROR(F364*F365*F366,"n/a")</f>
        <v>0.172951069696945</v>
      </c>
      <c r="G367" s="215">
        <f>IFERROR(G364*G365*G366,"n/a")</f>
        <v>0.154956542097636</v>
      </c>
      <c r="H367" s="215">
        <f>IFERROR(H364*H365*H366,"n/a")</f>
        <v>0.147883634161216</v>
      </c>
      <c r="I367" s="215">
        <f>IFERROR(I364*I365*I366,"n/a")</f>
        <v>0.168410741596216</v>
      </c>
      <c r="J367" s="215">
        <f>IFERROR(J364*J365*J366,"n/a")</f>
        <v>0.213213535925672</v>
      </c>
      <c r="K367" s="215">
        <f>IFERROR(K364*K365*K366,"n/a")</f>
        <v>0.224173280601444</v>
      </c>
      <c r="L367" s="215">
        <f>IFERROR(L364*L365*L366,"n/a")</f>
        <v>0.247199145686478</v>
      </c>
      <c r="M367" s="34" t="n"/>
      <c r="N367" s="34" t="n"/>
      <c r="O367" s="34" t="n"/>
      <c r="P367" s="34" t="n"/>
      <c r="Q367" s="215">
        <f>IFERROR(Q364*Q365*Q366,"n/a")</f>
        <v>0.19306861674947</v>
      </c>
      <c r="R367" s="34" t="n"/>
      <c r="S367" s="34" t="n"/>
      <c r="T367" s="34" t="n"/>
      <c r="U367" s="34" t="n"/>
      <c r="V367" s="215">
        <f>IFERROR(V364*V365*V366,"n/a")</f>
        <v>0.192815772153955</v>
      </c>
      <c r="W367" s="34" t="n"/>
      <c r="X367" s="34" t="n"/>
      <c r="Y367" s="34" t="n"/>
      <c r="Z367" s="34" t="n"/>
      <c r="AA367" s="215">
        <f>IFERROR(AA364*AA365*AA366,"n/a")</f>
        <v>0.20359083667843</v>
      </c>
      <c r="AB367" s="34" t="n"/>
      <c r="AC367" s="34" t="n"/>
      <c r="AD367" s="34" t="n"/>
      <c r="AE367" s="34" t="n"/>
      <c r="AF367" s="215">
        <f>IFERROR(AF364*AF365*AF366,"n/a")</f>
        <v>0.215429461418302</v>
      </c>
      <c r="AG367" s="34" t="n"/>
      <c r="AH367" s="34" t="n"/>
      <c r="AI367" s="34" t="n"/>
      <c r="AJ367" s="34" t="n"/>
      <c r="AK367" s="215">
        <f>IFERROR(AK364*AK365*AK366,"n/a")</f>
        <v>0.210260468947057</v>
      </c>
      <c r="AL367" s="34" t="n"/>
      <c r="AM367" s="35" t="n"/>
      <c r="AN367" s="35" t="n"/>
      <c r="AO367" s="35" t="n"/>
      <c r="AP367" s="256">
        <f>IFERROR(AP364*AP365*AP366,"n/a")</f>
        <v>0.162701458820422</v>
      </c>
      <c r="AQ367" s="256">
        <f>IFERROR(AQ364*AQ365*AQ366,"n/a")</f>
        <v>0.168619881514694</v>
      </c>
      <c r="AR367" s="256">
        <f>IFERROR(AR364*AR365*AR366,"n/a")</f>
        <v>0.1771055697215</v>
      </c>
      <c r="AS367" s="256">
        <f>IFERROR(AS364*AS365*AS366,"n/a")</f>
        <v>0.186431402937773</v>
      </c>
      <c r="AT367" s="256">
        <f>IFERROR(AT364*AT365*AT366,"n/a")</f>
        <v>0.196101180678703</v>
      </c>
      <c r="AU367" s="19" t="n"/>
    </row>
    <row r="368" ht="15" customHeight="1" s="251">
      <c r="B368" s="25" t="inlineStr">
        <is>
          <t>RONTA decomposition</t>
        </is>
      </c>
      <c r="AU368" s="153" t="n"/>
    </row>
    <row r="369" ht="15" customHeight="1" s="251">
      <c r="B369" s="25" t="inlineStr">
        <is>
          <t>NOPAT = Adjusted EBIT × (1 − tax rate)</t>
        </is>
      </c>
      <c r="C369" s="260">
        <f>C359</f>
        <v>243.781701644909</v>
      </c>
      <c r="D369" s="260">
        <f>D359</f>
        <v>270.7158260526</v>
      </c>
      <c r="E369" s="260">
        <f>E359</f>
        <v>281.344107618688</v>
      </c>
      <c r="F369" s="260">
        <f>F359</f>
        <v>277.69300472253</v>
      </c>
      <c r="G369" s="260">
        <f>G359</f>
        <v>281.745083972763</v>
      </c>
      <c r="H369" s="260">
        <f>H359</f>
        <v>298.650703421308</v>
      </c>
      <c r="I369" s="260">
        <f>I359</f>
        <v>351.346741244364</v>
      </c>
      <c r="J369" s="260">
        <f>J359</f>
        <v>458.651526030541</v>
      </c>
      <c r="K369" s="260">
        <f>K359</f>
        <v>515.665573194222</v>
      </c>
      <c r="L369" s="260">
        <f>L359</f>
        <v>602.379080594285</v>
      </c>
      <c r="M369" s="34" t="n"/>
      <c r="N369" s="34" t="n"/>
      <c r="O369" s="34" t="n"/>
      <c r="P369" s="34" t="n"/>
      <c r="Q369" s="260">
        <f>Q359</f>
        <v>608.336622349419</v>
      </c>
      <c r="R369" s="34" t="n"/>
      <c r="S369" s="34" t="n"/>
      <c r="T369" s="34" t="n"/>
      <c r="U369" s="34" t="n"/>
      <c r="V369" s="260">
        <f>V359</f>
        <v>655.435762046357</v>
      </c>
      <c r="W369" s="34" t="n"/>
      <c r="X369" s="34" t="n"/>
      <c r="Y369" s="34" t="n"/>
      <c r="Z369" s="34" t="n"/>
      <c r="AA369" s="260">
        <f>AA359</f>
        <v>794.84326088383</v>
      </c>
      <c r="AB369" s="34" t="n"/>
      <c r="AC369" s="34" t="n"/>
      <c r="AD369" s="34" t="n"/>
      <c r="AE369" s="34" t="n"/>
      <c r="AF369" s="260">
        <f>AF359</f>
        <v>886.70766319773</v>
      </c>
      <c r="AG369" s="34" t="n"/>
      <c r="AH369" s="34" t="n"/>
      <c r="AI369" s="34" t="n"/>
      <c r="AJ369" s="34" t="n"/>
      <c r="AK369" s="260">
        <f>AK359</f>
        <v>907.694444444445</v>
      </c>
      <c r="AL369" s="34" t="n"/>
      <c r="AM369" s="35" t="n"/>
      <c r="AN369" s="35" t="n"/>
      <c r="AO369" s="35" t="n"/>
      <c r="AP369" s="254">
        <f>AP359</f>
        <v>855.907473063522</v>
      </c>
      <c r="AQ369" s="254">
        <f>AQ359</f>
        <v>897.427673593815</v>
      </c>
      <c r="AR369" s="254">
        <f>AR359</f>
        <v>955.031016172662</v>
      </c>
      <c r="AS369" s="254">
        <f>AS359</f>
        <v>1018.97383748013</v>
      </c>
      <c r="AT369" s="254">
        <f>AT359</f>
        <v>1086.08376845771</v>
      </c>
      <c r="AU369" s="19" t="n"/>
    </row>
    <row r="370" ht="15" customHeight="1" s="251">
      <c r="B370" s="25" t="inlineStr">
        <is>
          <t xml:space="preserve">  Total assets</t>
        </is>
      </c>
      <c r="C370" s="260">
        <f>C285</f>
        <v>3314.791</v>
      </c>
      <c r="D370" s="260">
        <f>D285</f>
        <v>3177.528</v>
      </c>
      <c r="E370" s="260">
        <f>E285</f>
        <v>2940.818</v>
      </c>
      <c r="F370" s="260">
        <f>F285</f>
        <v>2877.493</v>
      </c>
      <c r="G370" s="260">
        <f>G285</f>
        <v>3010.171</v>
      </c>
      <c r="H370" s="260">
        <f>H285</f>
        <v>3373.105</v>
      </c>
      <c r="I370" s="260">
        <f>I285</f>
        <v>3603.366</v>
      </c>
      <c r="J370" s="260">
        <f>J285</f>
        <v>3831.841</v>
      </c>
      <c r="K370" s="260">
        <f>K285</f>
        <v>4793.966</v>
      </c>
      <c r="L370" s="260">
        <f>L285</f>
        <v>5499.601</v>
      </c>
      <c r="M370" s="34" t="n"/>
      <c r="N370" s="34" t="n"/>
      <c r="O370" s="34" t="n"/>
      <c r="P370" s="34" t="n"/>
      <c r="Q370" s="260">
        <f>Q285</f>
        <v>6025.575</v>
      </c>
      <c r="R370" s="34" t="n"/>
      <c r="S370" s="34" t="n"/>
      <c r="T370" s="34" t="n"/>
      <c r="U370" s="34" t="n"/>
      <c r="V370" s="260">
        <f>V285</f>
        <v>6550.652</v>
      </c>
      <c r="W370" s="34" t="n"/>
      <c r="X370" s="34" t="n"/>
      <c r="Y370" s="34" t="n"/>
      <c r="Z370" s="34" t="n"/>
      <c r="AA370" s="260">
        <f>AA285</f>
        <v>6563.688</v>
      </c>
      <c r="AB370" s="34" t="n"/>
      <c r="AC370" s="34" t="n"/>
      <c r="AD370" s="34" t="n"/>
      <c r="AE370" s="34" t="n"/>
      <c r="AF370" s="260">
        <f>AF285</f>
        <v>7312</v>
      </c>
      <c r="AG370" s="34" t="n"/>
      <c r="AH370" s="34" t="n"/>
      <c r="AI370" s="34" t="n"/>
      <c r="AJ370" s="34" t="n"/>
      <c r="AK370" s="260">
        <f>AK285</f>
        <v>7118</v>
      </c>
      <c r="AL370" s="34" t="n"/>
      <c r="AM370" s="35" t="n"/>
      <c r="AN370" s="35" t="n"/>
      <c r="AO370" s="35" t="n"/>
      <c r="AP370" s="254">
        <f>AP285</f>
        <v>8335.94529759532</v>
      </c>
      <c r="AQ370" s="254">
        <f>AQ285</f>
        <v>8293.25233480158</v>
      </c>
      <c r="AR370" s="254">
        <f>AR285</f>
        <v>8465.39429558855</v>
      </c>
      <c r="AS370" s="254">
        <f>AS285</f>
        <v>8653.68691148714</v>
      </c>
      <c r="AT370" s="254">
        <f>AT285</f>
        <v>8850.58123136491</v>
      </c>
      <c r="AU370" s="19" t="n"/>
    </row>
    <row r="371" ht="15" customHeight="1" s="251">
      <c r="B371" s="25" t="inlineStr">
        <is>
          <t xml:space="preserve">  − Goodwill &amp; intangible assets</t>
        </is>
      </c>
      <c r="C371" s="260">
        <f>IFERROR(-(C283+C282),"n/a")</f>
        <v>-1411.838</v>
      </c>
      <c r="D371" s="260">
        <f>IFERROR(-(D283+D282),"n/a")</f>
        <v>-1513.589</v>
      </c>
      <c r="E371" s="260">
        <f>IFERROR(-(E283+E282),"n/a")</f>
        <v>-1494.676</v>
      </c>
      <c r="F371" s="260">
        <f>IFERROR(-(F283+F282),"n/a")</f>
        <v>-1523.613</v>
      </c>
      <c r="G371" s="260">
        <f>IFERROR(-(G283+G282),"n/a")</f>
        <v>-1582.571</v>
      </c>
      <c r="H371" s="260">
        <f>IFERROR(-(H283+H282),"n/a")</f>
        <v>-1843.07</v>
      </c>
      <c r="I371" s="260">
        <f>IFERROR(-(I283+I282),"n/a")</f>
        <v>-1842.118</v>
      </c>
      <c r="J371" s="260">
        <f>IFERROR(-(J283+J282),"n/a")</f>
        <v>-1868.211</v>
      </c>
      <c r="K371" s="260">
        <f>IFERROR(-(K283+K282),"n/a")</f>
        <v>-1882.147</v>
      </c>
      <c r="L371" s="260">
        <f>IFERROR(-(L283+L282),"n/a")</f>
        <v>-1888.288</v>
      </c>
      <c r="M371" s="34" t="n"/>
      <c r="N371" s="34" t="n"/>
      <c r="O371" s="34" t="n"/>
      <c r="P371" s="34" t="n"/>
      <c r="Q371" s="260">
        <f>IFERROR(-(Q283+Q282),"n/a")</f>
        <v>-2668.613</v>
      </c>
      <c r="R371" s="34" t="n"/>
      <c r="S371" s="34" t="n"/>
      <c r="T371" s="34" t="n"/>
      <c r="U371" s="34" t="n"/>
      <c r="V371" s="260">
        <f>IFERROR(-(V283+V282),"n/a")</f>
        <v>-3024.014</v>
      </c>
      <c r="W371" s="34" t="n"/>
      <c r="X371" s="34" t="n"/>
      <c r="Y371" s="34" t="n"/>
      <c r="Z371" s="34" t="n"/>
      <c r="AA371" s="260">
        <f>IFERROR(-(AA283+AA282),"n/a")</f>
        <v>-2944.832</v>
      </c>
      <c r="AB371" s="34" t="n"/>
      <c r="AC371" s="34" t="n"/>
      <c r="AD371" s="34" t="n"/>
      <c r="AE371" s="34" t="n"/>
      <c r="AF371" s="260">
        <f>IFERROR(-(AF283+AF282),"n/a")</f>
        <v>-2968</v>
      </c>
      <c r="AG371" s="34" t="n"/>
      <c r="AH371" s="34" t="n"/>
      <c r="AI371" s="34" t="n"/>
      <c r="AJ371" s="34" t="n"/>
      <c r="AK371" s="260">
        <f>IFERROR(-(AK283+AK282),"n/a")</f>
        <v>-2908</v>
      </c>
      <c r="AL371" s="34" t="n"/>
      <c r="AM371" s="35" t="n"/>
      <c r="AN371" s="35" t="n"/>
      <c r="AO371" s="35" t="n"/>
      <c r="AP371" s="254">
        <f>IFERROR(-(AP283+AP282),"n/a")</f>
        <v>-3782.59340659341</v>
      </c>
      <c r="AQ371" s="254">
        <f>IFERROR(-(AQ283+AQ282),"n/a")</f>
        <v>-3847.21215659341</v>
      </c>
      <c r="AR371" s="254">
        <f>IFERROR(-(AR283+AR282),"n/a")</f>
        <v>-3912.56840659341</v>
      </c>
      <c r="AS371" s="254">
        <f>IFERROR(-(AS283+AS282),"n/a")</f>
        <v>-3978.06215659341</v>
      </c>
      <c r="AT371" s="254">
        <f>IFERROR(-(AT283+AT282),"n/a")</f>
        <v>-4041.29340659341</v>
      </c>
      <c r="AU371" s="19" t="n"/>
    </row>
    <row r="372" ht="15" customHeight="1" s="251">
      <c r="B372" s="25" t="inlineStr">
        <is>
          <t xml:space="preserve">  − Non-interest-bearing current liabilities (total CL excl. current debt)</t>
        </is>
      </c>
      <c r="C372" s="260">
        <f>IFERROR(-(C291-N(C287)),"n/a")</f>
        <v>-871.946</v>
      </c>
      <c r="D372" s="260">
        <f>IFERROR(-(D291-N(D287)),"n/a")</f>
        <v>-909.084</v>
      </c>
      <c r="E372" s="260">
        <f>IFERROR(-(E291-N(E287)),"n/a")</f>
        <v>-843.416</v>
      </c>
      <c r="F372" s="260">
        <f>IFERROR(-(F291-N(F287)),"n/a")</f>
        <v>-791.931</v>
      </c>
      <c r="G372" s="260">
        <f>IFERROR(-(G291-N(G287)),"n/a")</f>
        <v>-827.1</v>
      </c>
      <c r="H372" s="260">
        <f>IFERROR(-(H291-N(H287)),"n/a")</f>
        <v>-908.251</v>
      </c>
      <c r="I372" s="260">
        <f>IFERROR(-(I291-N(I287)),"n/a")</f>
        <v>-973.066</v>
      </c>
      <c r="J372" s="260">
        <f>IFERROR(-(J291-N(J287)),"n/a")</f>
        <v>-1121.315</v>
      </c>
      <c r="K372" s="260">
        <f>IFERROR(-(K291-N(K287)),"n/a")</f>
        <v>-1149.813</v>
      </c>
      <c r="L372" s="260">
        <f>IFERROR(-(L291-N(L287)),"n/a")</f>
        <v>-1213.24</v>
      </c>
      <c r="M372" s="34" t="n"/>
      <c r="N372" s="34" t="n"/>
      <c r="O372" s="34" t="n"/>
      <c r="P372" s="34" t="n"/>
      <c r="Q372" s="260">
        <f>IFERROR(-(Q291-N(Q287)),"n/a")</f>
        <v>-1465.575</v>
      </c>
      <c r="R372" s="34" t="n"/>
      <c r="S372" s="34" t="n"/>
      <c r="T372" s="34" t="n"/>
      <c r="U372" s="34" t="n"/>
      <c r="V372" s="260">
        <f>IFERROR(-(V291-N(V287)),"n/a")</f>
        <v>-1855.804</v>
      </c>
      <c r="W372" s="34" t="n"/>
      <c r="X372" s="34" t="n"/>
      <c r="Y372" s="34" t="n"/>
      <c r="Z372" s="34" t="n"/>
      <c r="AA372" s="260">
        <f>IFERROR(-(AA291-N(AA287)),"n/a")</f>
        <v>-1630.315</v>
      </c>
      <c r="AB372" s="34" t="n"/>
      <c r="AC372" s="34" t="n"/>
      <c r="AD372" s="34" t="n"/>
      <c r="AE372" s="34" t="n"/>
      <c r="AF372" s="260">
        <f>IFERROR(-(AF291-N(AF287)),"n/a")</f>
        <v>-1763</v>
      </c>
      <c r="AG372" s="34" t="n"/>
      <c r="AH372" s="34" t="n"/>
      <c r="AI372" s="34" t="n"/>
      <c r="AJ372" s="34" t="n"/>
      <c r="AK372" s="260">
        <f>IFERROR(-(AK291-N(AK287)),"n/a")</f>
        <v>-1644</v>
      </c>
      <c r="AL372" s="34" t="n"/>
      <c r="AM372" s="35" t="n"/>
      <c r="AN372" s="35" t="n"/>
      <c r="AO372" s="35" t="n"/>
      <c r="AP372" s="254">
        <f>IFERROR(-(AP291-N(AP287)),"n/a")</f>
        <v>-1916.10833358422</v>
      </c>
      <c r="AQ372" s="254">
        <f>IFERROR(-(AQ291-N(AQ287)),"n/a")</f>
        <v>-1976.05861996605</v>
      </c>
      <c r="AR372" s="254">
        <f>IFERROR(-(AR291-N(AR287)),"n/a")</f>
        <v>-2067.95509859178</v>
      </c>
      <c r="AS372" s="254">
        <f>IFERROR(-(AS291-N(AS287)),"n/a")</f>
        <v>-2173.00987734371</v>
      </c>
      <c r="AT372" s="254">
        <f>IFERROR(-(AT291-N(AT287)),"n/a")</f>
        <v>-2287.19658371113</v>
      </c>
      <c r="AU372" s="19" t="n"/>
    </row>
    <row r="373" ht="15" customHeight="1" s="251">
      <c r="B373" s="25" t="inlineStr">
        <is>
          <t xml:space="preserve">  = Net tangible assets</t>
        </is>
      </c>
      <c r="C373" s="260">
        <f>IFERROR(SUM(C370:C372),"n/a")</f>
        <v>1031.007</v>
      </c>
      <c r="D373" s="260">
        <f>IFERROR(SUM(D370:D372),"n/a")</f>
        <v>754.855</v>
      </c>
      <c r="E373" s="260">
        <f>IFERROR(SUM(E370:E372),"n/a")</f>
        <v>602.726</v>
      </c>
      <c r="F373" s="260">
        <f>IFERROR(SUM(F370:F372),"n/a")</f>
        <v>561.949</v>
      </c>
      <c r="G373" s="260">
        <f>IFERROR(SUM(G370:G372),"n/a")</f>
        <v>600.5</v>
      </c>
      <c r="H373" s="260">
        <f>IFERROR(SUM(H370:H372),"n/a")</f>
        <v>621.784</v>
      </c>
      <c r="I373" s="260">
        <f>IFERROR(SUM(I370:I372),"n/a")</f>
        <v>788.182</v>
      </c>
      <c r="J373" s="260">
        <f>IFERROR(SUM(J370:J372),"n/a")</f>
        <v>842.315</v>
      </c>
      <c r="K373" s="260">
        <f>IFERROR(SUM(K370:K372),"n/a")</f>
        <v>1762.006</v>
      </c>
      <c r="L373" s="260">
        <f>IFERROR(SUM(L370:L372),"n/a")</f>
        <v>2398.073</v>
      </c>
      <c r="M373" s="34" t="n"/>
      <c r="N373" s="34" t="n"/>
      <c r="O373" s="34" t="n"/>
      <c r="P373" s="34" t="n"/>
      <c r="Q373" s="260">
        <f>IFERROR(SUM(Q370:Q372),"n/a")</f>
        <v>1891.387</v>
      </c>
      <c r="R373" s="34" t="n"/>
      <c r="S373" s="34" t="n"/>
      <c r="T373" s="34" t="n"/>
      <c r="U373" s="34" t="n"/>
      <c r="V373" s="260">
        <f>IFERROR(SUM(V370:V372),"n/a")</f>
        <v>1670.834</v>
      </c>
      <c r="W373" s="34" t="n"/>
      <c r="X373" s="34" t="n"/>
      <c r="Y373" s="34" t="n"/>
      <c r="Z373" s="34" t="n"/>
      <c r="AA373" s="260">
        <f>IFERROR(SUM(AA370:AA372),"n/a")</f>
        <v>1988.541</v>
      </c>
      <c r="AB373" s="34" t="n"/>
      <c r="AC373" s="34" t="n"/>
      <c r="AD373" s="34" t="n"/>
      <c r="AE373" s="34" t="n"/>
      <c r="AF373" s="260">
        <f>IFERROR(SUM(AF370:AF372),"n/a")</f>
        <v>2581</v>
      </c>
      <c r="AG373" s="34" t="n"/>
      <c r="AH373" s="34" t="n"/>
      <c r="AI373" s="34" t="n"/>
      <c r="AJ373" s="34" t="n"/>
      <c r="AK373" s="260">
        <f>IFERROR(SUM(AK370:AK372),"n/a")</f>
        <v>2566</v>
      </c>
      <c r="AL373" s="34" t="n"/>
      <c r="AM373" s="35" t="n"/>
      <c r="AN373" s="35" t="n"/>
      <c r="AO373" s="35" t="n"/>
      <c r="AP373" s="254">
        <f>IFERROR(SUM(AP370:AP372),"n/a")</f>
        <v>2637.24355741769</v>
      </c>
      <c r="AQ373" s="254">
        <f>IFERROR(SUM(AQ370:AQ372),"n/a")</f>
        <v>2469.98155824212</v>
      </c>
      <c r="AR373" s="254">
        <f>IFERROR(SUM(AR370:AR372),"n/a")</f>
        <v>2484.87079040336</v>
      </c>
      <c r="AS373" s="254">
        <f>IFERROR(SUM(AS370:AS372),"n/a")</f>
        <v>2502.61487755002</v>
      </c>
      <c r="AT373" s="254">
        <f>IFERROR(SUM(AT370:AT372),"n/a")</f>
        <v>2522.09124106038</v>
      </c>
      <c r="AU373" s="19" t="n"/>
    </row>
    <row r="374" ht="15" customHeight="1" s="251">
      <c r="B374" s="55" t="inlineStr">
        <is>
          <t>RONTA = NOPAT / NTA</t>
        </is>
      </c>
      <c r="C374" s="304">
        <f>IFERROR(C369/C373,"n/a")</f>
        <v>0.236450093592874</v>
      </c>
      <c r="D374" s="304">
        <f>IFERROR(D369/D373,"n/a")</f>
        <v>0.358632884530936</v>
      </c>
      <c r="E374" s="304">
        <f>IFERROR(E369/E373,"n/a")</f>
        <v>0.466786081268583</v>
      </c>
      <c r="F374" s="304">
        <f>IFERROR(F369/F373,"n/a")</f>
        <v>0.494160510513462</v>
      </c>
      <c r="G374" s="304">
        <f>IFERROR(G369/G373,"n/a")</f>
        <v>0.469184153160305</v>
      </c>
      <c r="H374" s="304">
        <f>IFERROR(H369/H373,"n/a")</f>
        <v>0.480312622102382</v>
      </c>
      <c r="I374" s="304">
        <f>IFERROR(I369/I373,"n/a")</f>
        <v>0.44576854234728</v>
      </c>
      <c r="J374" s="304">
        <f>IFERROR(J369/J373,"n/a")</f>
        <v>0.544513069374926</v>
      </c>
      <c r="K374" s="304">
        <f>IFERROR(K369/K373,"n/a")</f>
        <v>0.292658239071956</v>
      </c>
      <c r="L374" s="304">
        <f>IFERROR(L369/L373,"n/a")</f>
        <v>0.251192970603599</v>
      </c>
      <c r="M374" s="56" t="n"/>
      <c r="N374" s="56" t="n"/>
      <c r="O374" s="56" t="n"/>
      <c r="P374" s="56" t="n"/>
      <c r="Q374" s="304">
        <f>IFERROR(Q369/Q373,"n/a")</f>
        <v>0.321635192770924</v>
      </c>
      <c r="R374" s="56" t="n"/>
      <c r="S374" s="56" t="n"/>
      <c r="T374" s="56" t="n"/>
      <c r="U374" s="56" t="n"/>
      <c r="V374" s="304">
        <f>IFERROR(V369/V373,"n/a")</f>
        <v>0.392280598818528</v>
      </c>
      <c r="W374" s="56" t="n"/>
      <c r="X374" s="56" t="n"/>
      <c r="Y374" s="56" t="n"/>
      <c r="Z374" s="56" t="n"/>
      <c r="AA374" s="304">
        <f>IFERROR(AA369/AA373,"n/a")</f>
        <v>0.399711779080155</v>
      </c>
      <c r="AB374" s="56" t="n"/>
      <c r="AC374" s="56" t="n"/>
      <c r="AD374" s="56" t="n"/>
      <c r="AE374" s="56" t="n"/>
      <c r="AF374" s="304">
        <f>IFERROR(AF369/AF373,"n/a")</f>
        <v>0.34355198109172</v>
      </c>
      <c r="AG374" s="56" t="n"/>
      <c r="AH374" s="56" t="n"/>
      <c r="AI374" s="56" t="n"/>
      <c r="AJ374" s="56" t="n"/>
      <c r="AK374" s="304">
        <f>IFERROR(AK369/AK373,"n/a")</f>
        <v>0.353739066424179</v>
      </c>
      <c r="AL374" s="56" t="n"/>
      <c r="AM374" s="56" t="n"/>
      <c r="AN374" s="56" t="n"/>
      <c r="AO374" s="56" t="n"/>
      <c r="AP374" s="304">
        <f>IFERROR(AP369/AP373,"n/a")</f>
        <v>0.324546237171056</v>
      </c>
      <c r="AQ374" s="304">
        <f>IFERROR(AQ369/AQ373,"n/a")</f>
        <v>0.36333375469917</v>
      </c>
      <c r="AR374" s="304">
        <f>IFERROR(AR369/AR373,"n/a")</f>
        <v>0.384338300349868</v>
      </c>
      <c r="AS374" s="304">
        <f>IFERROR(AS369/AS373,"n/a")</f>
        <v>0.407163661744738</v>
      </c>
      <c r="AT374" s="304">
        <f>IFERROR(AT369/AT373,"n/a")</f>
        <v>0.43062826228328</v>
      </c>
      <c r="AU374" s="153" t="n"/>
      <c r="AW374" s="37">
        <f>IFERROR(AVERAGE(AP374,AQ374,AR374,AS374,AT374),"n/m")</f>
        <v>0.382002043249623</v>
      </c>
      <c r="AX374" s="37">
        <f>IFERROR(AVERAGE(Q374,V374,AA374,AF374,AK374),"n/m")</f>
        <v>0.362183723637101</v>
      </c>
      <c r="AY374" s="37">
        <f>IFERROR(AVERAGE(H374,I374,J374,K374,L374,Q374,V374,AA374,AF374,AK374),"n/m")</f>
        <v>0.382536406168565</v>
      </c>
      <c r="AZ374" s="37">
        <f>IFERROR(AVERAGE(C374,D374,E374,F374,G374,H374,I374,J374,K374,L374,Q374,V374,AA374,AF374,AK374),"n/m")</f>
        <v>0.390038518983454</v>
      </c>
    </row>
    <row r="375" ht="15" customHeight="1" s="251">
      <c r="B375" s="25" t="inlineStr">
        <is>
          <t>Return on Equity (ROE)</t>
        </is>
      </c>
      <c r="AU375" s="153" t="n"/>
    </row>
    <row r="376" ht="15" customHeight="1" s="251">
      <c r="B376" s="25" t="inlineStr">
        <is>
          <t>Net income attributable to common stockholders</t>
        </is>
      </c>
      <c r="C376" s="260">
        <f>C136</f>
        <v>239.955</v>
      </c>
      <c r="D376" s="260">
        <f>D136</f>
        <v>219.058</v>
      </c>
      <c r="E376" s="260">
        <f>E136</f>
        <v>232.188</v>
      </c>
      <c r="F376" s="260">
        <f>F136</f>
        <v>232.569</v>
      </c>
      <c r="G376" s="260">
        <f>G136</f>
        <v>294.094</v>
      </c>
      <c r="H376" s="260">
        <f>H136</f>
        <v>252.49</v>
      </c>
      <c r="I376" s="260">
        <f>I136</f>
        <v>305.111</v>
      </c>
      <c r="J376" s="260">
        <f>J136</f>
        <v>418.529</v>
      </c>
      <c r="K376" s="260">
        <f>K136</f>
        <v>482.603</v>
      </c>
      <c r="L376" s="260">
        <f>L136</f>
        <v>608.958</v>
      </c>
      <c r="M376" s="34" t="n"/>
      <c r="N376" s="34" t="n"/>
      <c r="O376" s="34" t="n"/>
      <c r="P376" s="34" t="n"/>
      <c r="Q376" s="260">
        <f>Q136</f>
        <v>466.74</v>
      </c>
      <c r="R376" s="34" t="n"/>
      <c r="S376" s="34" t="n"/>
      <c r="T376" s="34" t="n"/>
      <c r="U376" s="34" t="n"/>
      <c r="V376" s="260">
        <f>V136</f>
        <v>271.791</v>
      </c>
      <c r="W376" s="34" t="n"/>
      <c r="X376" s="34" t="n"/>
      <c r="Y376" s="34" t="n"/>
      <c r="Z376" s="34" t="n"/>
      <c r="AA376" s="260">
        <f>AA136</f>
        <v>605.706</v>
      </c>
      <c r="AB376" s="34" t="n"/>
      <c r="AC376" s="34" t="n"/>
      <c r="AD376" s="34" t="n"/>
      <c r="AE376" s="34" t="n"/>
      <c r="AF376" s="260">
        <f>AF136</f>
        <v>935</v>
      </c>
      <c r="AG376" s="34" t="n"/>
      <c r="AH376" s="34" t="n"/>
      <c r="AI376" s="34" t="n"/>
      <c r="AJ376" s="34" t="n"/>
      <c r="AK376" s="260">
        <f>AK136</f>
        <v>851</v>
      </c>
      <c r="AL376" s="34" t="n"/>
      <c r="AM376" s="35" t="n"/>
      <c r="AN376" s="35" t="n"/>
      <c r="AO376" s="35" t="n"/>
      <c r="AP376" s="254">
        <f>AP136</f>
        <v>691.601098901099</v>
      </c>
      <c r="AQ376" s="254">
        <f>AQ136</f>
        <v>736.319414780842</v>
      </c>
      <c r="AR376" s="254">
        <f>AR136</f>
        <v>782.824053874296</v>
      </c>
      <c r="AS376" s="254">
        <f>AS136</f>
        <v>829.870012134216</v>
      </c>
      <c r="AT376" s="254">
        <f>AT136</f>
        <v>880.720886224649</v>
      </c>
      <c r="AU376" s="19" t="n"/>
    </row>
    <row r="377" ht="15" customHeight="1" s="251">
      <c r="B377" s="25" t="inlineStr">
        <is>
          <t>Stockholders' equity</t>
        </is>
      </c>
      <c r="C377" s="260">
        <f>C296</f>
        <v>1185.185</v>
      </c>
      <c r="D377" s="260">
        <f>D296</f>
        <v>226.793</v>
      </c>
      <c r="E377" s="260">
        <f>E296</f>
        <v>171.636</v>
      </c>
      <c r="F377" s="260">
        <f>F296</f>
        <v>186.498</v>
      </c>
      <c r="G377" s="260">
        <f>G296</f>
        <v>408.488</v>
      </c>
      <c r="H377" s="260">
        <f>H296</f>
        <v>573.591</v>
      </c>
      <c r="I377" s="260">
        <f>I296</f>
        <v>554.628</v>
      </c>
      <c r="J377" s="260">
        <f>J296</f>
        <v>675.366</v>
      </c>
      <c r="K377" s="260">
        <f>K296</f>
        <v>856.356</v>
      </c>
      <c r="L377" s="260">
        <f>L296</f>
        <v>1071.176</v>
      </c>
      <c r="M377" s="34" t="n"/>
      <c r="N377" s="34" t="n"/>
      <c r="O377" s="34" t="n"/>
      <c r="P377" s="34" t="n"/>
      <c r="Q377" s="260">
        <f>Q296</f>
        <v>1046.721</v>
      </c>
      <c r="R377" s="34" t="n"/>
      <c r="S377" s="34" t="n"/>
      <c r="T377" s="34" t="n"/>
      <c r="U377" s="34" t="n"/>
      <c r="V377" s="260">
        <f>V296</f>
        <v>992.002</v>
      </c>
      <c r="W377" s="34" t="n"/>
      <c r="X377" s="34" t="n"/>
      <c r="Y377" s="34" t="n"/>
      <c r="Z377" s="34" t="n"/>
      <c r="AA377" s="260">
        <f>AA296</f>
        <v>1046.562</v>
      </c>
      <c r="AB377" s="34" t="n"/>
      <c r="AC377" s="34" t="n"/>
      <c r="AD377" s="34" t="n"/>
      <c r="AE377" s="34" t="n"/>
      <c r="AF377" s="260">
        <f>AF296</f>
        <v>1003</v>
      </c>
      <c r="AG377" s="34" t="n"/>
      <c r="AH377" s="34" t="n"/>
      <c r="AI377" s="34" t="n"/>
      <c r="AJ377" s="34" t="n"/>
      <c r="AK377" s="260">
        <f>AK296</f>
        <v>1105</v>
      </c>
      <c r="AL377" s="34" t="n"/>
      <c r="AM377" s="35" t="n"/>
      <c r="AN377" s="35" t="n"/>
      <c r="AO377" s="35" t="n"/>
      <c r="AP377" s="254">
        <f>AP296</f>
        <v>1426.9369640111</v>
      </c>
      <c r="AQ377" s="254">
        <f>AQ296</f>
        <v>1230.32882516919</v>
      </c>
      <c r="AR377" s="254">
        <f>AR296</f>
        <v>1063.20344004777</v>
      </c>
      <c r="AS377" s="254">
        <f>AS296</f>
        <v>870.198876326865</v>
      </c>
      <c r="AT377" s="254">
        <f>AT296</f>
        <v>655.23319780492</v>
      </c>
      <c r="AU377" s="19" t="n"/>
    </row>
    <row r="378" ht="15" customHeight="1" s="251">
      <c r="B378" s="25" t="inlineStr">
        <is>
          <t>ROE = Net income / Equity</t>
        </is>
      </c>
      <c r="C378" s="215">
        <f>IFERROR(C376/C377,"n/a")</f>
        <v>0.202462062884697</v>
      </c>
      <c r="D378" s="215">
        <f>IFERROR(D376/D377,"n/a")</f>
        <v>0.965894009074354</v>
      </c>
      <c r="E378" s="215">
        <f>IFERROR(E376/E377,"n/a")</f>
        <v>1.35279312032441</v>
      </c>
      <c r="F378" s="215">
        <f>IFERROR(F376/F377,"n/a")</f>
        <v>1.24703213975485</v>
      </c>
      <c r="G378" s="215">
        <f>IFERROR(G376/G377,"n/a")</f>
        <v>0.719957501811559</v>
      </c>
      <c r="H378" s="215">
        <f>IFERROR(H376/H377,"n/a")</f>
        <v>0.440191704542087</v>
      </c>
      <c r="I378" s="215">
        <f>IFERROR(I376/I377,"n/a")</f>
        <v>0.550118277476074</v>
      </c>
      <c r="J378" s="215">
        <f>IFERROR(J376/J377,"n/a")</f>
        <v>0.619706944086614</v>
      </c>
      <c r="K378" s="215">
        <f>IFERROR(K376/K377,"n/a")</f>
        <v>0.563554176066963</v>
      </c>
      <c r="L378" s="215">
        <f>IFERROR(L376/L377,"n/a")</f>
        <v>0.568494813177293</v>
      </c>
      <c r="M378" s="34" t="n"/>
      <c r="N378" s="34" t="n"/>
      <c r="O378" s="34" t="n"/>
      <c r="P378" s="34" t="n"/>
      <c r="Q378" s="215">
        <f>IFERROR(Q376/Q377,"n/a")</f>
        <v>0.445906788915098</v>
      </c>
      <c r="R378" s="34" t="n"/>
      <c r="S378" s="34" t="n"/>
      <c r="T378" s="34" t="n"/>
      <c r="U378" s="34" t="n"/>
      <c r="V378" s="215">
        <f>IFERROR(V376/V377,"n/a")</f>
        <v>0.273982310519535</v>
      </c>
      <c r="W378" s="34" t="n"/>
      <c r="X378" s="34" t="n"/>
      <c r="Y378" s="34" t="n"/>
      <c r="Z378" s="34" t="n"/>
      <c r="AA378" s="215">
        <f>IFERROR(AA376/AA377,"n/a")</f>
        <v>0.578757875787579</v>
      </c>
      <c r="AB378" s="34" t="n"/>
      <c r="AC378" s="34" t="n"/>
      <c r="AD378" s="34" t="n"/>
      <c r="AE378" s="34" t="n"/>
      <c r="AF378" s="215">
        <f>IFERROR(AF376/AF377,"n/a")</f>
        <v>0.932203389830508</v>
      </c>
      <c r="AG378" s="34" t="n"/>
      <c r="AH378" s="34" t="n"/>
      <c r="AI378" s="34" t="n"/>
      <c r="AJ378" s="34" t="n"/>
      <c r="AK378" s="215">
        <f>IFERROR(AK376/AK377,"n/a")</f>
        <v>0.770135746606335</v>
      </c>
      <c r="AL378" s="34" t="n"/>
      <c r="AM378" s="35" t="n"/>
      <c r="AN378" s="35" t="n"/>
      <c r="AO378" s="35" t="n"/>
      <c r="AP378" s="256">
        <f>IFERROR(AP376/AP377,"n/a")</f>
        <v>0.484675298449778</v>
      </c>
      <c r="AQ378" s="256">
        <f>IFERROR(AQ376/AQ377,"n/a")</f>
        <v>0.59847367607565</v>
      </c>
      <c r="AR378" s="256">
        <f>IFERROR(AR376/AR377,"n/a")</f>
        <v>0.736288112310021</v>
      </c>
      <c r="AS378" s="256">
        <f>IFERROR(AS376/AS377,"n/a")</f>
        <v>0.953655577719338</v>
      </c>
      <c r="AT378" s="256">
        <f>IFERROR(AT376/AT377,"n/a")</f>
        <v>1.34413349197679</v>
      </c>
      <c r="AU378" s="19" t="n"/>
      <c r="AW378" s="37">
        <f>IFERROR(AVERAGE(AP378,AQ378,AR378,AS378,AT378),"n/m")</f>
        <v>0.823445231306316</v>
      </c>
      <c r="AX378" s="37">
        <f>IFERROR(AVERAGE(Q378,V378,AA378,AF378,AK378),"n/m")</f>
        <v>0.600197222331811</v>
      </c>
      <c r="AY378" s="37">
        <f>IFERROR(AVERAGE(H378,I378,J378,K378,L378,Q378,V378,AA378,AF378,AK378),"n/m")</f>
        <v>0.574305202700809</v>
      </c>
      <c r="AZ378" s="37">
        <f>IFERROR(AVERAGE(C378,D378,E378,F378,G378,H378,I378,J378,K378,L378,Q378,V378,AA378,AF378,AK378),"n/m")</f>
        <v>0.682079390723864</v>
      </c>
    </row>
    <row r="379" ht="15" customHeight="1" s="251">
      <c r="B379" s="25" t="inlineStr">
        <is>
          <t>Leverage</t>
        </is>
      </c>
      <c r="AU379" s="153" t="n"/>
    </row>
    <row r="380" ht="15" customHeight="1" s="251">
      <c r="B380" s="25" t="inlineStr">
        <is>
          <t>Net debt = Total debt − cash</t>
        </is>
      </c>
      <c r="C380" s="260">
        <f>C362</f>
        <v>481.057</v>
      </c>
      <c r="D380" s="260">
        <f>D362</f>
        <v>1364.789</v>
      </c>
      <c r="E380" s="260">
        <f>E362</f>
        <v>1398.925</v>
      </c>
      <c r="F380" s="260">
        <f>F362</f>
        <v>1419.118</v>
      </c>
      <c r="G380" s="260">
        <f>G362</f>
        <v>1409.732</v>
      </c>
      <c r="H380" s="260">
        <f>H362</f>
        <v>1445.907</v>
      </c>
      <c r="I380" s="260">
        <f>I362</f>
        <v>1531.621</v>
      </c>
      <c r="J380" s="260">
        <f>J362</f>
        <v>1475.771</v>
      </c>
      <c r="K380" s="260">
        <f>K362</f>
        <v>1443.943</v>
      </c>
      <c r="L380" s="260">
        <f>L362</f>
        <v>1365.641</v>
      </c>
      <c r="M380" s="34" t="n"/>
      <c r="N380" s="34" t="n"/>
      <c r="O380" s="34" t="n"/>
      <c r="P380" s="34" t="n"/>
      <c r="Q380" s="260">
        <f>Q362</f>
        <v>2104.162</v>
      </c>
      <c r="R380" s="34" t="n"/>
      <c r="S380" s="34" t="n"/>
      <c r="T380" s="34" t="n"/>
      <c r="U380" s="34" t="n"/>
      <c r="V380" s="260">
        <f>V362</f>
        <v>2407.283</v>
      </c>
      <c r="W380" s="34" t="n"/>
      <c r="X380" s="34" t="n"/>
      <c r="Y380" s="34" t="n"/>
      <c r="Z380" s="34" t="n"/>
      <c r="AA380" s="260">
        <f>AA362</f>
        <v>2857.559</v>
      </c>
      <c r="AB380" s="34" t="n"/>
      <c r="AC380" s="34" t="n"/>
      <c r="AD380" s="34" t="n"/>
      <c r="AE380" s="34" t="n"/>
      <c r="AF380" s="260">
        <f>AF362</f>
        <v>3113</v>
      </c>
      <c r="AG380" s="34" t="n"/>
      <c r="AH380" s="34" t="n"/>
      <c r="AI380" s="34" t="n"/>
      <c r="AJ380" s="34" t="n"/>
      <c r="AK380" s="260">
        <f>AK362</f>
        <v>3212</v>
      </c>
      <c r="AL380" s="34" t="n"/>
      <c r="AM380" s="35" t="n"/>
      <c r="AN380" s="35" t="n"/>
      <c r="AO380" s="35" t="n"/>
      <c r="AP380" s="254">
        <f>AP362</f>
        <v>3833.66413489</v>
      </c>
      <c r="AQ380" s="254">
        <f>AQ362</f>
        <v>4091.86488966633</v>
      </c>
      <c r="AR380" s="254">
        <f>AR362</f>
        <v>4329.235756949</v>
      </c>
      <c r="AS380" s="254">
        <f>AS362</f>
        <v>4595.47815781657</v>
      </c>
      <c r="AT380" s="254">
        <f>AT362</f>
        <v>4883.15144984886</v>
      </c>
      <c r="AU380" s="19" t="n"/>
    </row>
    <row r="381" ht="15" customHeight="1" s="251">
      <c r="B381" s="25" t="inlineStr">
        <is>
          <t>Adjusted EBITDA</t>
        </is>
      </c>
      <c r="C381" s="260">
        <f>C174</f>
        <v>488.06</v>
      </c>
      <c r="D381" s="260">
        <f>D174</f>
        <v>528.836</v>
      </c>
      <c r="E381" s="260">
        <f>E174</f>
        <v>534.032</v>
      </c>
      <c r="F381" s="260">
        <f>F174</f>
        <v>523.521</v>
      </c>
      <c r="G381" s="260">
        <f>G174</f>
        <v>506.12</v>
      </c>
      <c r="H381" s="260">
        <f>H174</f>
        <v>547.145</v>
      </c>
      <c r="I381" s="260">
        <f>I174</f>
        <v>584.841</v>
      </c>
      <c r="J381" s="260">
        <f>J174</f>
        <v>674.629</v>
      </c>
      <c r="K381" s="260">
        <f>K174</f>
        <v>754.074</v>
      </c>
      <c r="L381" s="260">
        <f>L174</f>
        <v>839.674</v>
      </c>
      <c r="M381" s="34" t="n"/>
      <c r="N381" s="34" t="n"/>
      <c r="O381" s="34" t="n"/>
      <c r="P381" s="34" t="n"/>
      <c r="Q381" s="260">
        <f>Q174</f>
        <v>934.925</v>
      </c>
      <c r="R381" s="34" t="n"/>
      <c r="S381" s="34" t="n"/>
      <c r="T381" s="34" t="n"/>
      <c r="U381" s="34" t="n"/>
      <c r="V381" s="260">
        <f>V174</f>
        <v>1014.065</v>
      </c>
      <c r="W381" s="34" t="n"/>
      <c r="X381" s="34" t="n"/>
      <c r="Y381" s="34" t="n"/>
      <c r="Z381" s="34" t="n"/>
      <c r="AA381" s="260">
        <f>AA174</f>
        <v>1175.064</v>
      </c>
      <c r="AB381" s="34" t="n"/>
      <c r="AC381" s="34" t="n"/>
      <c r="AD381" s="34" t="n"/>
      <c r="AE381" s="34" t="n"/>
      <c r="AF381" s="260">
        <f>AF174</f>
        <v>1315</v>
      </c>
      <c r="AG381" s="34" t="n"/>
      <c r="AH381" s="34" t="n"/>
      <c r="AI381" s="34" t="n"/>
      <c r="AJ381" s="34" t="n"/>
      <c r="AK381" s="260">
        <f>AK174</f>
        <v>1229</v>
      </c>
      <c r="AL381" s="34" t="n"/>
      <c r="AM381" s="35" t="n"/>
      <c r="AN381" s="35" t="n"/>
      <c r="AO381" s="35" t="n"/>
      <c r="AP381" s="254">
        <f>AP174</f>
        <v>1292.1978021978</v>
      </c>
      <c r="AQ381" s="254">
        <f>AQ174</f>
        <v>1363.95496322211</v>
      </c>
      <c r="AR381" s="254">
        <f>AR174</f>
        <v>1443.07858564967</v>
      </c>
      <c r="AS381" s="254">
        <f>AS174</f>
        <v>1531.82605260552</v>
      </c>
      <c r="AT381" s="254">
        <f>AT174</f>
        <v>1627.71714994962</v>
      </c>
      <c r="AU381" s="19" t="n"/>
    </row>
    <row r="382" ht="15" customHeight="1" s="251">
      <c r="B382" s="55" t="inlineStr">
        <is>
          <t>Net debt / adjusted EBITDA (x) — company "net leverage ratio" basis</t>
        </is>
      </c>
      <c r="C382" s="305">
        <f>IFERROR(C380/C381,"n/a")</f>
        <v>0.985651354341679</v>
      </c>
      <c r="D382" s="305">
        <f>IFERROR(D380/D381,"n/a")</f>
        <v>2.5807414775091</v>
      </c>
      <c r="E382" s="305">
        <f>IFERROR(E380/E381,"n/a")</f>
        <v>2.61955276088324</v>
      </c>
      <c r="F382" s="305">
        <f>IFERROR(F380/F381,"n/a")</f>
        <v>2.71071838569991</v>
      </c>
      <c r="G382" s="305">
        <f>IFERROR(G380/G381,"n/a")</f>
        <v>2.78537105824706</v>
      </c>
      <c r="H382" s="305">
        <f>IFERROR(H380/H381,"n/a")</f>
        <v>2.64263951968857</v>
      </c>
      <c r="I382" s="305">
        <f>IFERROR(I380/I381,"n/a")</f>
        <v>2.61886735027127</v>
      </c>
      <c r="J382" s="305">
        <f>IFERROR(J380/J381,"n/a")</f>
        <v>2.18752973856742</v>
      </c>
      <c r="K382" s="305">
        <f>IFERROR(K380/K381,"n/a")</f>
        <v>1.91485583642985</v>
      </c>
      <c r="L382" s="305">
        <f>IFERROR(L380/L381,"n/a")</f>
        <v>1.62639429111774</v>
      </c>
      <c r="M382" s="56" t="n"/>
      <c r="N382" s="56" t="n"/>
      <c r="O382" s="56" t="n"/>
      <c r="P382" s="56" t="n"/>
      <c r="Q382" s="305">
        <f>IFERROR(Q380/Q381,"n/a")</f>
        <v>2.25062117282135</v>
      </c>
      <c r="R382" s="56" t="n"/>
      <c r="S382" s="56" t="n"/>
      <c r="T382" s="56" t="n"/>
      <c r="U382" s="56" t="n"/>
      <c r="V382" s="305">
        <f>IFERROR(V380/V381,"n/a")</f>
        <v>2.37389417838107</v>
      </c>
      <c r="W382" s="56" t="n"/>
      <c r="X382" s="56" t="n"/>
      <c r="Y382" s="56" t="n"/>
      <c r="Z382" s="56" t="n"/>
      <c r="AA382" s="305">
        <f>IFERROR(AA380/AA381,"n/a")</f>
        <v>2.43183264911528</v>
      </c>
      <c r="AB382" s="56" t="n"/>
      <c r="AC382" s="56" t="n"/>
      <c r="AD382" s="56" t="n"/>
      <c r="AE382" s="56" t="n"/>
      <c r="AF382" s="305">
        <f>IFERROR(AF380/AF381,"n/a")</f>
        <v>2.36730038022814</v>
      </c>
      <c r="AG382" s="56" t="n"/>
      <c r="AH382" s="56" t="n"/>
      <c r="AI382" s="56" t="n"/>
      <c r="AJ382" s="56" t="n"/>
      <c r="AK382" s="305">
        <f>IFERROR(AK380/AK381,"n/a")</f>
        <v>2.61350691619203</v>
      </c>
      <c r="AL382" s="56" t="n"/>
      <c r="AM382" s="56" t="n"/>
      <c r="AN382" s="56" t="n"/>
      <c r="AO382" s="56" t="n"/>
      <c r="AP382" s="305">
        <f>IFERROR(AP380/AP381,"n/a")</f>
        <v>2.96677809571384</v>
      </c>
      <c r="AQ382" s="305">
        <f>IFERROR(AQ380/AQ381,"n/a")</f>
        <v>3</v>
      </c>
      <c r="AR382" s="305">
        <f>IFERROR(AR380/AR381,"n/a")</f>
        <v>3</v>
      </c>
      <c r="AS382" s="305">
        <f>IFERROR(AS380/AS381,"n/a")</f>
        <v>3</v>
      </c>
      <c r="AT382" s="305">
        <f>IFERROR(AT380/AT381,"n/a")</f>
        <v>3</v>
      </c>
      <c r="AU382" s="153" t="n"/>
      <c r="AW382" s="37">
        <f>IFERROR(AVERAGE(AP382,AQ382,AR382,AS382,AT382),"n/m")</f>
        <v>2.99335561914277</v>
      </c>
      <c r="AX382" s="37">
        <f>IFERROR(AVERAGE(Q382,V382,AA382,AF382,AK382),"n/m")</f>
        <v>2.40743105934757</v>
      </c>
      <c r="AY382" s="37">
        <f>IFERROR(AVERAGE(H382,I382,J382,K382,L382,Q382,V382,AA382,AF382,AK382),"n/m")</f>
        <v>2.30274420328127</v>
      </c>
      <c r="AZ382" s="37">
        <f>IFERROR(AVERAGE(C382,D382,E382,F382,G382,H382,I382,J382,K382,L382,Q382,V382,AA382,AF382,AK382),"n/m")</f>
        <v>2.31396513796625</v>
      </c>
    </row>
    <row r="383" ht="15" customHeight="1" s="251">
      <c r="BC383" s="11" t="n"/>
      <c r="BD383" s="12" t="n"/>
      <c r="BE383" s="12" t="n"/>
      <c r="BF383" s="12" t="n"/>
      <c r="BG383" s="13" t="n"/>
    </row>
    <row r="384" ht="15" customHeight="1" s="251">
      <c r="B384" s="10" t="inlineStr">
        <is>
          <t>VALUATION</t>
        </is>
      </c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inlineStr">
        <is>
          <t>VALUATION — share price input $75.00 (user-provided, 12-Oct-2026; Q1 FY27 10-Q average repurchase prices $76 May-2026 / $74 Jun-2026; ~$9.0bn market cap); update to market</t>
        </is>
      </c>
    </row>
    <row r="385" ht="15" customHeight="1" s="251">
      <c r="B385" s="69" t="inlineStr">
        <is>
          <t>Share price ($) — current</t>
        </is>
      </c>
      <c r="C385" s="44" t="n"/>
      <c r="D385" s="44" t="n"/>
      <c r="E385" s="44" t="n"/>
      <c r="F385" s="44" t="n"/>
      <c r="G385" s="44" t="n"/>
      <c r="H385" s="44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  <c r="Z385" s="44" t="n"/>
      <c r="AA385" s="44" t="n"/>
      <c r="AB385" s="44" t="n"/>
      <c r="AC385" s="44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153" t="n"/>
      <c r="AN385" s="153" t="n"/>
      <c r="AO385" s="153" t="n"/>
      <c r="AP385" s="318" t="n">
        <v>75</v>
      </c>
      <c r="AQ385" s="317">
        <f>AP385</f>
        <v>75</v>
      </c>
      <c r="AR385" s="317">
        <f>AQ385</f>
        <v>75</v>
      </c>
      <c r="AS385" s="317">
        <f>AR385</f>
        <v>75</v>
      </c>
      <c r="AT385" s="317">
        <f>AS385</f>
        <v>75</v>
      </c>
      <c r="AU385" s="19" t="n"/>
    </row>
    <row r="386" ht="15" customHeight="1" s="251">
      <c r="B386" s="25" t="inlineStr">
        <is>
          <t>Diluted shares at period end (m)</t>
        </is>
      </c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  <c r="AD386" s="34" t="n"/>
      <c r="AE386" s="34" t="n"/>
      <c r="AF386" s="34" t="n"/>
      <c r="AG386" s="34" t="n"/>
      <c r="AH386" s="34" t="n"/>
      <c r="AI386" s="34" t="n"/>
      <c r="AJ386" s="34" t="n"/>
      <c r="AK386" s="34" t="n"/>
      <c r="AL386" s="34" t="n"/>
      <c r="AM386" s="35" t="n"/>
      <c r="AN386" s="35" t="n"/>
      <c r="AO386" s="35" t="n"/>
      <c r="AP386" s="254">
        <f>AP270+(AL146-AL145)</f>
        <v>119.104145</v>
      </c>
      <c r="AQ386" s="254">
        <f>AQ270+N(AQ329)</f>
        <v>110.888655281282</v>
      </c>
      <c r="AR386" s="254">
        <f>AR270+N(AR329)</f>
        <v>102.97396653983</v>
      </c>
      <c r="AS386" s="254">
        <f>AS270+N(AS329)</f>
        <v>94.7664737523686</v>
      </c>
      <c r="AT386" s="254">
        <f>AT270+N(AT329)</f>
        <v>86.3157203304454</v>
      </c>
      <c r="AU386" s="19" t="n"/>
    </row>
    <row r="387" ht="15" customHeight="1" s="251">
      <c r="B387" s="25" t="inlineStr">
        <is>
          <t>Market capitalisation (USDm)</t>
        </is>
      </c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  <c r="AA387" s="34" t="n"/>
      <c r="AB387" s="34" t="n"/>
      <c r="AC387" s="34" t="n"/>
      <c r="AD387" s="34" t="n"/>
      <c r="AE387" s="34" t="n"/>
      <c r="AF387" s="34" t="n"/>
      <c r="AG387" s="34" t="n"/>
      <c r="AH387" s="34" t="n"/>
      <c r="AI387" s="34" t="n"/>
      <c r="AJ387" s="34" t="n"/>
      <c r="AK387" s="34" t="n"/>
      <c r="AL387" s="34" t="n"/>
      <c r="AM387" s="35" t="n"/>
      <c r="AN387" s="35" t="n"/>
      <c r="AO387" s="35" t="n"/>
      <c r="AP387" s="273">
        <f>IFERROR(AP385*AP386,"n/a")</f>
        <v>8932.810875</v>
      </c>
      <c r="AQ387" s="273">
        <f>IFERROR(AQ385*AQ386,"n/a")</f>
        <v>8316.64914609615</v>
      </c>
      <c r="AR387" s="273">
        <f>IFERROR(AR385*AR386,"n/a")</f>
        <v>7723.04749048723</v>
      </c>
      <c r="AS387" s="273">
        <f>IFERROR(AS385*AS386,"n/a")</f>
        <v>7107.48553142765</v>
      </c>
      <c r="AT387" s="273">
        <f>IFERROR(AT385*AT386,"n/a")</f>
        <v>6473.67902478341</v>
      </c>
      <c r="AU387" s="19" t="n"/>
    </row>
    <row r="388" ht="15" customHeight="1" s="251">
      <c r="B388" s="25" t="inlineStr">
        <is>
          <t>Net debt (USDm)</t>
        </is>
      </c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  <c r="AA388" s="34" t="n"/>
      <c r="AB388" s="34" t="n"/>
      <c r="AC388" s="34" t="n"/>
      <c r="AD388" s="34" t="n"/>
      <c r="AE388" s="34" t="n"/>
      <c r="AF388" s="34" t="n"/>
      <c r="AG388" s="34" t="n"/>
      <c r="AH388" s="34" t="n"/>
      <c r="AI388" s="34" t="n"/>
      <c r="AJ388" s="34" t="n"/>
      <c r="AK388" s="34" t="n"/>
      <c r="AL388" s="34" t="n"/>
      <c r="AM388" s="35" t="n"/>
      <c r="AN388" s="35" t="n"/>
      <c r="AO388" s="35" t="n"/>
      <c r="AP388" s="273">
        <f>AP380</f>
        <v>3833.66413489</v>
      </c>
      <c r="AQ388" s="273">
        <f>AQ380</f>
        <v>4091.86488966633</v>
      </c>
      <c r="AR388" s="273">
        <f>AR380</f>
        <v>4329.235756949</v>
      </c>
      <c r="AS388" s="273">
        <f>AS380</f>
        <v>4595.47815781657</v>
      </c>
      <c r="AT388" s="273">
        <f>AT380</f>
        <v>4883.15144984886</v>
      </c>
      <c r="AU388" s="19" t="n"/>
    </row>
    <row r="389" ht="15" customHeight="1" s="251">
      <c r="B389" s="25" t="inlineStr">
        <is>
          <t>Non-controlling interests (USDm)</t>
        </is>
      </c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  <c r="AA389" s="34" t="n"/>
      <c r="AB389" s="34" t="n"/>
      <c r="AC389" s="34" t="n"/>
      <c r="AD389" s="34" t="n"/>
      <c r="AE389" s="34" t="n"/>
      <c r="AF389" s="34" t="n"/>
      <c r="AG389" s="34" t="n"/>
      <c r="AH389" s="34" t="n"/>
      <c r="AI389" s="34" t="n"/>
      <c r="AJ389" s="34" t="n"/>
      <c r="AK389" s="34" t="n"/>
      <c r="AL389" s="34" t="n"/>
      <c r="AM389" s="35" t="n"/>
      <c r="AN389" s="35" t="n"/>
      <c r="AO389" s="35" t="n"/>
      <c r="AP389" s="273">
        <f>AP297</f>
        <v>0</v>
      </c>
      <c r="AQ389" s="273">
        <f>AQ297</f>
        <v>0</v>
      </c>
      <c r="AR389" s="273">
        <f>AR297</f>
        <v>0</v>
      </c>
      <c r="AS389" s="273">
        <f>AS297</f>
        <v>0</v>
      </c>
      <c r="AT389" s="273">
        <f>AT297</f>
        <v>0</v>
      </c>
      <c r="AU389" s="19" t="n"/>
    </row>
    <row r="390" ht="15" customHeight="1" s="251">
      <c r="B390" s="16" t="inlineStr">
        <is>
          <t>Enterprise value (USDm)</t>
        </is>
      </c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  <c r="AB390" s="43" t="n"/>
      <c r="AC390" s="43" t="n"/>
      <c r="AD390" s="43" t="n"/>
      <c r="AE390" s="43" t="n"/>
      <c r="AF390" s="43" t="n"/>
      <c r="AG390" s="43" t="n"/>
      <c r="AH390" s="43" t="n"/>
      <c r="AI390" s="43" t="n"/>
      <c r="AJ390" s="43" t="n"/>
      <c r="AK390" s="43" t="n"/>
      <c r="AL390" s="43" t="n"/>
      <c r="AM390" s="32" t="n"/>
      <c r="AN390" s="32" t="n"/>
      <c r="AO390" s="32" t="n"/>
      <c r="AP390" s="272">
        <f>IFERROR(AP387+AP388+AP389,"n/a")</f>
        <v>12766.47500989</v>
      </c>
      <c r="AQ390" s="272">
        <f>IFERROR(AQ387+AQ388+AQ389,"n/a")</f>
        <v>12408.5140357625</v>
      </c>
      <c r="AR390" s="272">
        <f>IFERROR(AR387+AR388+AR389,"n/a")</f>
        <v>12052.2832474362</v>
      </c>
      <c r="AS390" s="272">
        <f>IFERROR(AS387+AS388+AS389,"n/a")</f>
        <v>11702.9636892442</v>
      </c>
      <c r="AT390" s="272">
        <f>IFERROR(AT387+AT388+AT389,"n/a")</f>
        <v>11356.8304746323</v>
      </c>
      <c r="AU390" s="153" t="n"/>
    </row>
    <row r="391" ht="15" customHeight="1" s="251">
      <c r="B391" s="25" t="inlineStr">
        <is>
          <t>Multiples</t>
        </is>
      </c>
      <c r="AU391" s="153" t="n"/>
    </row>
    <row r="392" ht="15" customHeight="1" s="251">
      <c r="B392" s="25" t="inlineStr">
        <is>
          <t xml:space="preserve">  EV / Revenue</t>
        </is>
      </c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  <c r="AD392" s="34" t="n"/>
      <c r="AE392" s="34" t="n"/>
      <c r="AF392" s="34" t="n"/>
      <c r="AG392" s="34" t="n"/>
      <c r="AH392" s="34" t="n"/>
      <c r="AI392" s="34" t="n"/>
      <c r="AJ392" s="34" t="n"/>
      <c r="AK392" s="34" t="n"/>
      <c r="AL392" s="34" t="n"/>
      <c r="AM392" s="35" t="n"/>
      <c r="AN392" s="35" t="n"/>
      <c r="AO392" s="35" t="n"/>
      <c r="AP392" s="303">
        <f>IFERROR(AP390/AP120,"n/a")</f>
        <v>1.10448184237295</v>
      </c>
      <c r="AQ392" s="303">
        <f>IFERROR(AQ390/AQ120,"n/a")</f>
        <v>1.04094454398856</v>
      </c>
      <c r="AR392" s="303">
        <f>IFERROR(AR390/AR120,"n/a")</f>
        <v>0.966130662620698</v>
      </c>
      <c r="AS392" s="303">
        <f>IFERROR(AS390/AS120,"n/a")</f>
        <v>0.892774542642005</v>
      </c>
      <c r="AT392" s="303">
        <f>IFERROR(AT390/AT120,"n/a")</f>
        <v>0.823116467026207</v>
      </c>
      <c r="AU392" s="19" t="n"/>
    </row>
    <row r="393" ht="15" customHeight="1" s="251">
      <c r="B393" s="25" t="inlineStr">
        <is>
          <t xml:space="preserve">  EV / Adjusted EBITDA</t>
        </is>
      </c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  <c r="AG393" s="34" t="n"/>
      <c r="AH393" s="34" t="n"/>
      <c r="AI393" s="34" t="n"/>
      <c r="AJ393" s="34" t="n"/>
      <c r="AK393" s="34" t="n"/>
      <c r="AL393" s="34" t="n"/>
      <c r="AM393" s="35" t="n"/>
      <c r="AN393" s="35" t="n"/>
      <c r="AO393" s="35" t="n"/>
      <c r="AP393" s="303">
        <f>IFERROR(AP390/AP174,"n/a")</f>
        <v>9.87966005527672</v>
      </c>
      <c r="AQ393" s="303">
        <f>IFERROR(AQ390/AQ174,"n/a")</f>
        <v>9.09745143376984</v>
      </c>
      <c r="AR393" s="303">
        <f>IFERROR(AR390/AR174,"n/a")</f>
        <v>8.35178580521335</v>
      </c>
      <c r="AS393" s="303">
        <f>IFERROR(AS390/AS174,"n/a")</f>
        <v>7.63987769325267</v>
      </c>
      <c r="AT393" s="303">
        <f>IFERROR(AT390/AT174,"n/a")</f>
        <v>6.97715231112713</v>
      </c>
      <c r="AU393" s="19" t="n"/>
    </row>
    <row r="394" ht="15" customHeight="1" s="251">
      <c r="B394" s="25" t="inlineStr">
        <is>
          <t xml:space="preserve">  EV / Adjusted EBITA</t>
        </is>
      </c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  <c r="AD394" s="34" t="n"/>
      <c r="AE394" s="34" t="n"/>
      <c r="AF394" s="34" t="n"/>
      <c r="AG394" s="34" t="n"/>
      <c r="AH394" s="34" t="n"/>
      <c r="AI394" s="34" t="n"/>
      <c r="AJ394" s="34" t="n"/>
      <c r="AK394" s="34" t="n"/>
      <c r="AL394" s="34" t="n"/>
      <c r="AM394" s="35" t="n"/>
      <c r="AN394" s="35" t="n"/>
      <c r="AO394" s="35" t="n"/>
      <c r="AP394" s="303">
        <f>IFERROR(AP390/AP181,"n/a")</f>
        <v>10.8910586472297</v>
      </c>
      <c r="AQ394" s="303">
        <f>IFERROR(AQ390/AQ181,"n/a")</f>
        <v>9.96867494616021</v>
      </c>
      <c r="AR394" s="303">
        <f>IFERROR(AR390/AR181,"n/a")</f>
        <v>9.14207941726058</v>
      </c>
      <c r="AS394" s="303">
        <f>IFERROR(AS390/AS181,"n/a")</f>
        <v>8.35483927858506</v>
      </c>
      <c r="AT394" s="303">
        <f>IFERROR(AT390/AT181,"n/a")</f>
        <v>7.62334572844385</v>
      </c>
      <c r="AU394" s="19" t="n"/>
    </row>
    <row r="395" ht="15" customHeight="1" s="251">
      <c r="B395" s="25" t="inlineStr">
        <is>
          <t xml:space="preserve">  EV / IC</t>
        </is>
      </c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  <c r="AD395" s="34" t="n"/>
      <c r="AE395" s="34" t="n"/>
      <c r="AF395" s="34" t="n"/>
      <c r="AG395" s="34" t="n"/>
      <c r="AH395" s="34" t="n"/>
      <c r="AI395" s="34" t="n"/>
      <c r="AJ395" s="34" t="n"/>
      <c r="AK395" s="34" t="n"/>
      <c r="AL395" s="34" t="n"/>
      <c r="AM395" s="35" t="n"/>
      <c r="AN395" s="35" t="n"/>
      <c r="AO395" s="35" t="n"/>
      <c r="AP395" s="303">
        <f>IFERROR(AP390/AP360,"n/a")</f>
        <v>2.42680917444146</v>
      </c>
      <c r="AQ395" s="303">
        <f>IFERROR(AQ390/AQ360,"n/a")</f>
        <v>2.33146606467441</v>
      </c>
      <c r="AR395" s="303">
        <f>IFERROR(AR390/AR360,"n/a")</f>
        <v>2.23503368459834</v>
      </c>
      <c r="AS395" s="303">
        <f>IFERROR(AS390/AS360,"n/a")</f>
        <v>2.14117365810991</v>
      </c>
      <c r="AT395" s="303">
        <f>IFERROR(AT390/AT360,"n/a")</f>
        <v>2.05056730385156</v>
      </c>
      <c r="AU395" s="19" t="n"/>
    </row>
    <row r="396" ht="15" customHeight="1" s="251">
      <c r="B396" s="25" t="inlineStr">
        <is>
          <t xml:space="preserve">  P / E (GAAP diluted)</t>
        </is>
      </c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I396" s="34" t="n"/>
      <c r="AJ396" s="34" t="n"/>
      <c r="AK396" s="34" t="n"/>
      <c r="AL396" s="34" t="n"/>
      <c r="AM396" s="35" t="n"/>
      <c r="AN396" s="35" t="n"/>
      <c r="AO396" s="35" t="n"/>
      <c r="AP396" s="303">
        <f>IFERROR(AP385/AP147,"n/a")</f>
        <v>13.1151821297917</v>
      </c>
      <c r="AQ396" s="303">
        <f>IFERROR(AQ385/AQ147,"n/a")</f>
        <v>11.8093077769332</v>
      </c>
      <c r="AR396" s="303">
        <f>IFERROR(AR385/AR147,"n/a")</f>
        <v>10.3273838794243</v>
      </c>
      <c r="AS396" s="303">
        <f>IFERROR(AS385/AS147,"n/a")</f>
        <v>9.00751556031305</v>
      </c>
      <c r="AT396" s="303">
        <f>IFERROR(AT385/AT147,"n/a")</f>
        <v>7.77243408834835</v>
      </c>
      <c r="AU396" s="19" t="n"/>
    </row>
    <row r="397" ht="15" customHeight="1" s="251">
      <c r="B397" s="25" t="inlineStr">
        <is>
          <t xml:space="preserve">  P / E (adjusted diluted EPS)</t>
        </is>
      </c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  <c r="AG397" s="34" t="n"/>
      <c r="AH397" s="34" t="n"/>
      <c r="AI397" s="34" t="n"/>
      <c r="AJ397" s="34" t="n"/>
      <c r="AK397" s="34" t="n"/>
      <c r="AL397" s="34" t="n"/>
      <c r="AM397" s="35" t="n"/>
      <c r="AN397" s="35" t="n"/>
      <c r="AO397" s="35" t="n"/>
      <c r="AP397" s="303">
        <f>IFERROR(AP385/AP203,"n/a")</f>
        <v>11.7107249810239</v>
      </c>
      <c r="AQ397" s="303">
        <f>IFERROR(AQ385/AQ203,"n/a")</f>
        <v>10.7740880338913</v>
      </c>
      <c r="AR397" s="303">
        <f>IFERROR(AR385/AR203,"n/a")</f>
        <v>9.47333859624162</v>
      </c>
      <c r="AS397" s="303">
        <f>IFERROR(AS385/AS203,"n/a")</f>
        <v>8.29898717131322</v>
      </c>
      <c r="AT397" s="303">
        <f>IFERROR(AT385/AT203,"n/a")</f>
        <v>7.17790367427593</v>
      </c>
      <c r="AU397" s="19" t="n"/>
    </row>
    <row r="398" ht="15" customHeight="1" s="251">
      <c r="B398" s="25" t="inlineStr">
        <is>
          <t xml:space="preserve">  FCF yield</t>
        </is>
      </c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  <c r="AD398" s="34" t="n"/>
      <c r="AE398" s="34" t="n"/>
      <c r="AF398" s="34" t="n"/>
      <c r="AG398" s="34" t="n"/>
      <c r="AH398" s="34" t="n"/>
      <c r="AI398" s="34" t="n"/>
      <c r="AJ398" s="34" t="n"/>
      <c r="AK398" s="34" t="n"/>
      <c r="AL398" s="34" t="n"/>
      <c r="AM398" s="35" t="n"/>
      <c r="AN398" s="35" t="n"/>
      <c r="AO398" s="35" t="n"/>
      <c r="AP398" s="256">
        <f>IFERROR(AP252/AP387,"n/a")</f>
        <v>0.0979534899198233</v>
      </c>
      <c r="AQ398" s="256">
        <f>IFERROR(AQ252/AQ387,"n/a")</f>
        <v>0.108482349635428</v>
      </c>
      <c r="AR398" s="256">
        <f>IFERROR(AR252/AR387,"n/a")</f>
        <v>0.122188132216083</v>
      </c>
      <c r="AS398" s="256">
        <f>IFERROR(AS252/AS387,"n/a")</f>
        <v>0.13954831547774</v>
      </c>
      <c r="AT398" s="256">
        <f>IFERROR(AT252/AT387,"n/a")</f>
        <v>0.16183936199906</v>
      </c>
      <c r="AU398" s="19" t="n"/>
    </row>
    <row r="399" ht="15" customHeight="1" s="251">
      <c r="B399" s="25" t="inlineStr">
        <is>
          <t xml:space="preserve">  Dividend yield</t>
        </is>
      </c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  <c r="AG399" s="34" t="n"/>
      <c r="AH399" s="34" t="n"/>
      <c r="AI399" s="34" t="n"/>
      <c r="AJ399" s="34" t="n"/>
      <c r="AK399" s="34" t="n"/>
      <c r="AL399" s="34" t="n"/>
      <c r="AM399" s="35" t="n"/>
      <c r="AN399" s="35" t="n"/>
      <c r="AO399" s="35" t="n"/>
      <c r="AP399" s="256">
        <f>IFERROR(AP151/AP385,"n/a")</f>
        <v>0.0314666666666667</v>
      </c>
      <c r="AQ399" s="256">
        <f>IFERROR(AQ151/AQ385,"n/a")</f>
        <v>0.0333546666666667</v>
      </c>
      <c r="AR399" s="256">
        <f>IFERROR(AR151/AR385,"n/a")</f>
        <v>0.0353559466666667</v>
      </c>
      <c r="AS399" s="256">
        <f>IFERROR(AS151/AS385,"n/a")</f>
        <v>0.0374773034666667</v>
      </c>
      <c r="AT399" s="256">
        <f>IFERROR(AT151/AT385,"n/a")</f>
        <v>0.0397259416746667</v>
      </c>
      <c r="AU399" s="19" t="n"/>
    </row>
    <row r="400" ht="15" customHeight="1" s="251"/>
    <row r="401" ht="15" customHeight="1" s="251"/>
    <row r="402" ht="15" customHeight="1" s="251"/>
    <row r="403" ht="15" customHeight="1" s="251"/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AU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Booz Allen Hamilton Holding Corporation (BAH) — Bull / Base / Bear Case P&amp;L Summary</t>
        </is>
      </c>
      <c r="J2" s="152" t="inlineStr">
        <is>
          <t>Share price ($):</t>
        </is>
      </c>
      <c r="K2" s="74">
        <f>Model!$AP$385</f>
        <v>75</v>
      </c>
    </row>
    <row r="3" ht="15" customHeight="1" s="251">
      <c r="B3" s="4" t="inlineStr">
        <is>
          <t>Adjusted figures (company definitions: adjusted EBITDA, adjusted net income, adjusted diluted EPS) · USD millions · fiscal years ended 31 March · Live panel linked to Model — toggle scenario via Model!AU2. Bull and Bear panels are value snapshots generated from the Model with the switch set to each case. FY2027E = Q1 actual + Q2–Q4 calibrated to FY27 guidance (revenue $11.2–11.7bn, adjusted EBITDA $1,240–1,290m), plus Ultra Mission Solutions from 24-Aug-2026.</t>
        </is>
      </c>
      <c r="J3" s="152" t="inlineStr">
        <is>
          <t>As of:</t>
        </is>
      </c>
      <c r="K3" s="306" t="str">
        <f>TODAY()</f>
        <v>2026-10-12 00:00:00</v>
      </c>
    </row>
    <row r="5" ht="15" customHeight="1" s="251">
      <c r="B5" s="10" t="inlineStr">
        <is>
          <t>Scenario:</t>
        </is>
      </c>
      <c r="C5" s="75" t="str">
        <f>Model!$AU$2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2026A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2026A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2026A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</t>
        </is>
      </c>
      <c r="C9" s="80">
        <f>Model!AK120</f>
        <v>11217</v>
      </c>
      <c r="D9" s="81">
        <f>Model!AP120</f>
        <v>11558.7912087912</v>
      </c>
      <c r="E9" s="81">
        <f>Model!AQ120</f>
        <v>11920.437171626</v>
      </c>
      <c r="F9" s="81">
        <f>Model!AR120</f>
        <v>12474.7963331829</v>
      </c>
      <c r="G9" s="81">
        <f>Model!AS120</f>
        <v>13108.5320316274</v>
      </c>
      <c r="H9" s="81">
        <f>Model!AT120</f>
        <v>13797.3554528228</v>
      </c>
      <c r="I9" s="307">
        <f>IFERROR((H9/C9)^(1/5)-1,"n/m")</f>
        <v>0.0422786135714894</v>
      </c>
      <c r="N9" s="79" t="inlineStr">
        <is>
          <t>Revenue</t>
        </is>
      </c>
      <c r="O9" s="80" t="n">
        <v>11217</v>
      </c>
      <c r="P9" s="81" t="n">
        <v>11808.7912087912</v>
      </c>
      <c r="Q9" s="81" t="n">
        <v>12514.7475248066</v>
      </c>
      <c r="R9" s="81" t="n">
        <v>13481.9836139463</v>
      </c>
      <c r="S9" s="81" t="n">
        <v>14569.8453712223</v>
      </c>
      <c r="T9" s="81" t="n">
        <v>15759.7881672079</v>
      </c>
      <c r="U9" s="307" t="n">
        <v>0.0703719786970418</v>
      </c>
      <c r="Z9" s="79" t="inlineStr">
        <is>
          <t>Revenue</t>
        </is>
      </c>
      <c r="AA9" s="80" t="n">
        <v>11217</v>
      </c>
      <c r="AB9" s="81" t="n">
        <v>11308.7912087912</v>
      </c>
      <c r="AC9" s="81" t="n">
        <v>11249.8373489486</v>
      </c>
      <c r="AD9" s="81" t="n">
        <v>11328.2096699495</v>
      </c>
      <c r="AE9" s="81" t="n">
        <v>11458.8926707224</v>
      </c>
      <c r="AF9" s="81" t="n">
        <v>11614.5684421567</v>
      </c>
      <c r="AG9" s="307" t="n">
        <v>0.00699026376084144</v>
      </c>
    </row>
    <row r="10" ht="15" customHeight="1" s="251">
      <c r="B10" s="83" t="inlineStr">
        <is>
          <t xml:space="preserve">   Revenue y/y %</t>
        </is>
      </c>
      <c r="C10" s="308" t="n"/>
      <c r="D10" s="309">
        <f>IFERROR(D9/C9-1,"")</f>
        <v>0.0304708218588934</v>
      </c>
      <c r="E10" s="309">
        <f>IFERROR(E9/D9-1,"")</f>
        <v>0.0312875244739888</v>
      </c>
      <c r="F10" s="309">
        <f>IFERROR(F9/E9-1,"")</f>
        <v>0.0465049354797509</v>
      </c>
      <c r="G10" s="309">
        <f>IFERROR(G9/F9-1,"")</f>
        <v>0.0508012861708023</v>
      </c>
      <c r="H10" s="309">
        <f>IFERROR(H9/G9-1,"")</f>
        <v>0.0525477162151693</v>
      </c>
      <c r="N10" s="83" t="inlineStr">
        <is>
          <t xml:space="preserve">   Revenue y/y %</t>
        </is>
      </c>
      <c r="O10" s="308" t="n"/>
      <c r="P10" s="309" t="n">
        <v>0.0527584210387098</v>
      </c>
      <c r="Q10" s="309" t="n">
        <v>0.0597822675948225</v>
      </c>
      <c r="R10" s="309" t="n">
        <v>0.0772877029458641</v>
      </c>
      <c r="S10" s="309" t="n">
        <v>0.0806900370469754</v>
      </c>
      <c r="T10" s="309" t="n">
        <v>0.0816716146031229</v>
      </c>
      <c r="Z10" s="83" t="inlineStr">
        <is>
          <t xml:space="preserve">   Revenue y/y %</t>
        </is>
      </c>
      <c r="AA10" s="308" t="n"/>
      <c r="AB10" s="309" t="n">
        <v>0.008183222679077231</v>
      </c>
      <c r="AC10" s="309" t="n">
        <v>-0.00521310003466458</v>
      </c>
      <c r="AD10" s="309" t="n">
        <v>0.00696652925458818</v>
      </c>
      <c r="AE10" s="309" t="n">
        <v>0.0115360683268098</v>
      </c>
      <c r="AF10" s="309" t="n">
        <v>0.0135855859643463</v>
      </c>
    </row>
    <row r="11" ht="15" customHeight="1" s="251">
      <c r="B11" s="79" t="inlineStr">
        <is>
          <t xml:space="preserve">   National Security revenue y/y %</t>
        </is>
      </c>
      <c r="C11" s="86">
        <f>Model!AK214</f>
        <v>0.0203585147247118</v>
      </c>
      <c r="D11" s="87">
        <f>Model!AP214</f>
        <v>0.0728089654065571</v>
      </c>
      <c r="E11" s="87">
        <f>Model!AQ214</f>
        <v>0.04</v>
      </c>
      <c r="F11" s="87">
        <f>Model!AR214</f>
        <v>0.05</v>
      </c>
      <c r="G11" s="87">
        <f>Model!AS214</f>
        <v>0.05</v>
      </c>
      <c r="H11" s="87">
        <f>Model!AT214</f>
        <v>0.05</v>
      </c>
      <c r="N11" s="79" t="inlineStr">
        <is>
          <t xml:space="preserve">   National Security revenue y/y %</t>
        </is>
      </c>
      <c r="O11" s="86" t="n">
        <v>0.0203585147247118</v>
      </c>
      <c r="P11" s="87" t="n">
        <v>0.09538529469726981</v>
      </c>
      <c r="Q11" s="87" t="n">
        <v>0.0600000000000001</v>
      </c>
      <c r="R11" s="87" t="n">
        <v>0.0700000000000001</v>
      </c>
      <c r="S11" s="87" t="n">
        <v>0.0700000000000001</v>
      </c>
      <c r="T11" s="87" t="n">
        <v>0.0700000000000001</v>
      </c>
      <c r="Z11" s="79" t="inlineStr">
        <is>
          <t xml:space="preserve">   National Security revenue y/y %</t>
        </is>
      </c>
      <c r="AA11" s="86" t="n">
        <v>0.0203585147247118</v>
      </c>
      <c r="AB11" s="87" t="n">
        <v>0.0502326361158443</v>
      </c>
      <c r="AC11" s="87" t="n">
        <v>0.01</v>
      </c>
      <c r="AD11" s="87" t="n">
        <v>0.02</v>
      </c>
      <c r="AE11" s="87" t="n">
        <v>0.02</v>
      </c>
      <c r="AF11" s="87" t="n">
        <v>0.02</v>
      </c>
    </row>
    <row r="12" ht="15" customHeight="1" s="251">
      <c r="B12" s="79" t="inlineStr">
        <is>
          <t>Adjusted EBITDA</t>
        </is>
      </c>
      <c r="C12" s="80">
        <f>Model!AK174</f>
        <v>1229</v>
      </c>
      <c r="D12" s="81">
        <f>Model!AP174</f>
        <v>1292.1978021978</v>
      </c>
      <c r="E12" s="81">
        <f>Model!AQ174</f>
        <v>1363.95496322211</v>
      </c>
      <c r="F12" s="81">
        <f>Model!AR174</f>
        <v>1443.07858564967</v>
      </c>
      <c r="G12" s="81">
        <f>Model!AS174</f>
        <v>1531.82605260552</v>
      </c>
      <c r="H12" s="81">
        <f>Model!AT174</f>
        <v>1627.71714994962</v>
      </c>
      <c r="I12" s="307">
        <f>IFERROR((H12/C12)^(1/5)-1,"n/m")</f>
        <v>0.0578045026063392</v>
      </c>
      <c r="N12" s="79" t="inlineStr">
        <is>
          <t>Adjusted EBITDA</t>
        </is>
      </c>
      <c r="O12" s="80" t="n">
        <v>1229</v>
      </c>
      <c r="P12" s="81" t="n">
        <v>1317.1978021978</v>
      </c>
      <c r="Q12" s="81" t="n">
        <v>1499.65846040237</v>
      </c>
      <c r="R12" s="81" t="n">
        <v>1633.32946644566</v>
      </c>
      <c r="S12" s="81" t="n">
        <v>1783.03497817546</v>
      </c>
      <c r="T12" s="81" t="n">
        <v>1946.97515606495</v>
      </c>
      <c r="U12" s="307" t="n">
        <v>0.09638151668976749</v>
      </c>
      <c r="Z12" s="79" t="inlineStr">
        <is>
          <t>Adjusted EBITDA</t>
        </is>
      </c>
      <c r="AA12" s="80" t="n">
        <v>1229</v>
      </c>
      <c r="AB12" s="81" t="n">
        <v>1267.1978021978</v>
      </c>
      <c r="AC12" s="81" t="n">
        <v>1170.21020959276</v>
      </c>
      <c r="AD12" s="81" t="n">
        <v>1190.91719000479</v>
      </c>
      <c r="AE12" s="81" t="n">
        <v>1216.58657023513</v>
      </c>
      <c r="AF12" s="81" t="n">
        <v>1244.67004177046</v>
      </c>
      <c r="AG12" s="307" t="n">
        <v>0.00253714061096977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0.109565837567977</v>
      </c>
      <c r="D13" s="89">
        <f>IFERROR(D12/D9,"")</f>
        <v>0.111793506678709</v>
      </c>
      <c r="E13" s="89">
        <f>IFERROR(E12/E9,"")</f>
        <v>0.114421555483612</v>
      </c>
      <c r="F13" s="89">
        <f>IFERROR(F12/F9,"")</f>
        <v>0.115679530719959</v>
      </c>
      <c r="G13" s="89">
        <f>IFERROR(G12/G9,"")</f>
        <v>0.116857177364303</v>
      </c>
      <c r="H13" s="89">
        <f>IFERROR(H12/H9,"")</f>
        <v>0.11797312575698</v>
      </c>
      <c r="J13" s="90">
        <f>IFERROR(AVERAGE(Model!C175,Model!D175,Model!E175,Model!F175,Model!G175,Model!H175,Model!I175,Model!J175,Model!K175,Model!L175,Model!Q175,Model!V175,Model!AA175,Model!AF175,Model!AK175),"")</f>
        <v>0.100924710385678</v>
      </c>
      <c r="K13" s="90">
        <f>IFERROR(MIN(Model!C175,Model!D175,Model!E175,Model!F175,Model!G175,Model!H175,Model!I175,Model!J175,Model!K175,Model!L175,Model!Q175,Model!V175,Model!AA175,Model!AF175,Model!AK175),"")</f>
        <v>0.0832978052702596</v>
      </c>
      <c r="L13" s="90">
        <f>IFERROR(MAX(Model!C175,Model!D175,Model!E175,Model!F175,Model!G175,Model!H175,Model!I175,Model!J175,Model!K175,Model!L175,Model!Q175,Model!V175,Model!AA175,Model!AF175,Model!AK175),"")</f>
        <v>0.111783660341715</v>
      </c>
      <c r="N13" s="83" t="inlineStr">
        <is>
          <t xml:space="preserve">   Adjusted EBITDA margin %</t>
        </is>
      </c>
      <c r="O13" s="88" t="n">
        <v>0.109565837567977</v>
      </c>
      <c r="P13" s="89" t="n">
        <v>0.111543830262423</v>
      </c>
      <c r="Q13" s="89" t="n">
        <v>0.119831299627081</v>
      </c>
      <c r="R13" s="89" t="n">
        <v>0.121149046996028</v>
      </c>
      <c r="S13" s="89" t="n">
        <v>0.122378442100506</v>
      </c>
      <c r="T13" s="89" t="n">
        <v>0.123540693276329</v>
      </c>
      <c r="V13" s="90" t="n">
        <v>0.100924710385678</v>
      </c>
      <c r="W13" s="90" t="n">
        <v>0.0832978052702596</v>
      </c>
      <c r="X13" s="90" t="n">
        <v>0.111783660341715</v>
      </c>
      <c r="Z13" s="83" t="inlineStr">
        <is>
          <t xml:space="preserve">   Adjusted EBITDA margin %</t>
        </is>
      </c>
      <c r="AA13" s="88" t="n">
        <v>0.109565837567977</v>
      </c>
      <c r="AB13" s="89" t="n">
        <v>0.112054222135847</v>
      </c>
      <c r="AC13" s="89" t="n">
        <v>0.104020189207635</v>
      </c>
      <c r="AD13" s="89" t="n">
        <v>0.105128455837462</v>
      </c>
      <c r="AE13" s="89" t="n">
        <v>0.106169645287238</v>
      </c>
      <c r="AF13" s="89" t="n">
        <v>0.107164553549209</v>
      </c>
      <c r="AH13" s="90" t="n">
        <v>0.100924710385678</v>
      </c>
      <c r="AI13" s="90" t="n">
        <v>0.0832978052702596</v>
      </c>
      <c r="AJ13" s="90" t="n">
        <v>0.111783660341715</v>
      </c>
    </row>
    <row r="15" ht="15" customHeight="1" s="251">
      <c r="B15" s="79" t="inlineStr">
        <is>
          <t>Operating Income (GAAP)</t>
        </is>
      </c>
      <c r="C15" s="80">
        <f>Model!AK127</f>
        <v>1033</v>
      </c>
      <c r="D15" s="81">
        <f>Model!AP127</f>
        <v>1069.79120879121</v>
      </c>
      <c r="E15" s="81">
        <f>Model!AQ127</f>
        <v>1157.86934150585</v>
      </c>
      <c r="F15" s="81">
        <f>Model!AR127</f>
        <v>1232.18687231784</v>
      </c>
      <c r="G15" s="81">
        <f>Model!AS127</f>
        <v>1314.73448228925</v>
      </c>
      <c r="H15" s="81">
        <f>Model!AT127</f>
        <v>1401.47484542139</v>
      </c>
      <c r="I15" s="307">
        <f>IFERROR((H15/C15)^(1/5)-1,"n/m")</f>
        <v>0.0629112338943918</v>
      </c>
      <c r="N15" s="79" t="inlineStr">
        <is>
          <t>Operating Income (GAAP)</t>
        </is>
      </c>
      <c r="O15" s="80" t="n">
        <v>1033</v>
      </c>
      <c r="P15" s="81" t="n">
        <v>1094.79120879121</v>
      </c>
      <c r="Q15" s="81" t="n">
        <v>1279.8484851543</v>
      </c>
      <c r="R15" s="81" t="n">
        <v>1398.0221303062</v>
      </c>
      <c r="S15" s="81" t="n">
        <v>1530.42402446323</v>
      </c>
      <c r="T15" s="81" t="n">
        <v>1673.63977439287</v>
      </c>
      <c r="U15" s="307" t="n">
        <v>0.101316975413717</v>
      </c>
      <c r="Z15" s="79" t="inlineStr">
        <is>
          <t>Operating Income (GAAP)</t>
        </is>
      </c>
      <c r="AA15" s="80" t="n">
        <v>1033</v>
      </c>
      <c r="AB15" s="81" t="n">
        <v>1044.79120879121</v>
      </c>
      <c r="AC15" s="81" t="n">
        <v>978.611836103275</v>
      </c>
      <c r="AD15" s="81" t="n">
        <v>1005.8350933053</v>
      </c>
      <c r="AE15" s="81" t="n">
        <v>1036.89764352791</v>
      </c>
      <c r="AF15" s="81" t="n">
        <v>1067.72435734889</v>
      </c>
      <c r="AG15" s="307" t="n">
        <v>0.00663439569056568</v>
      </c>
    </row>
    <row r="16" ht="15" customHeight="1" s="251">
      <c r="B16" s="83" t="inlineStr">
        <is>
          <t xml:space="preserve">   Operating income y/y %</t>
        </is>
      </c>
      <c r="C16" s="308" t="n"/>
      <c r="D16" s="309">
        <f>IFERROR(D15/C15-1,"")</f>
        <v>0.0356158845994277</v>
      </c>
      <c r="E16" s="309">
        <f>IFERROR(E15/D15-1,"")</f>
        <v>0.0823320775033891</v>
      </c>
      <c r="F16" s="309">
        <f>IFERROR(F15/E15-1,"")</f>
        <v>0.0641847297859473</v>
      </c>
      <c r="G16" s="309">
        <f>IFERROR(G15/F15-1,"")</f>
        <v>0.0669927685693748</v>
      </c>
      <c r="H16" s="309">
        <f>IFERROR(H15/G15-1,"")</f>
        <v>0.0659755747648083</v>
      </c>
      <c r="N16" s="83" t="inlineStr">
        <is>
          <t xml:space="preserve">   Operating income y/y %</t>
        </is>
      </c>
      <c r="O16" s="308" t="n"/>
      <c r="P16" s="309" t="n">
        <v>0.059817239875323</v>
      </c>
      <c r="Q16" s="309" t="n">
        <v>0.1690343098091</v>
      </c>
      <c r="R16" s="309" t="n">
        <v>0.0923340899510077</v>
      </c>
      <c r="S16" s="309" t="n">
        <v>0.0947065795932969</v>
      </c>
      <c r="T16" s="309" t="n">
        <v>0.09357913077708301</v>
      </c>
      <c r="Z16" s="83" t="inlineStr">
        <is>
          <t xml:space="preserve">   Operating income y/y %</t>
        </is>
      </c>
      <c r="AA16" s="308" t="n"/>
      <c r="AB16" s="309" t="n">
        <v>0.0114145293235324</v>
      </c>
      <c r="AC16" s="309" t="n">
        <v>-0.06334219902606281</v>
      </c>
      <c r="AD16" s="309" t="n">
        <v>0.027818238240837</v>
      </c>
      <c r="AE16" s="309" t="n">
        <v>0.0308823488356647</v>
      </c>
      <c r="AF16" s="309" t="n">
        <v>0.0297297558861249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0.0920923598110012</v>
      </c>
      <c r="D17" s="89">
        <f>IFERROR(D15/D9,"")</f>
        <v>0.0925521699862148</v>
      </c>
      <c r="E17" s="89">
        <f>IFERROR(E15/E9,"")</f>
        <v>0.097133127320356</v>
      </c>
      <c r="F17" s="89">
        <f>IFERROR(F15/F9,"")</f>
        <v>0.0987741073607933</v>
      </c>
      <c r="G17" s="89">
        <f>IFERROR(G15/G9,"")</f>
        <v>0.100296088007196</v>
      </c>
      <c r="H17" s="89">
        <f>IFERROR(H15/H9,"")</f>
        <v>0.101575613545179</v>
      </c>
      <c r="J17" s="90">
        <f>IFERROR(AVERAGE(Model!C223,Model!D223,Model!E223,Model!F223,Model!G223,Model!H223,Model!I223,Model!J223,Model!K223,Model!L223,Model!Q223,Model!V223,Model!AA223,Model!AF223,Model!AK223),"")</f>
        <v>0.0847869639949023</v>
      </c>
      <c r="K17" s="90">
        <f>IFERROR(MIN(Model!C223,Model!D223,Model!E223,Model!F223,Model!G223,Model!H223,Model!I223,Model!J223,Model!K223,Model!L223,Model!Q223,Model!V223,Model!AA223,Model!AF223,Model!AK223),"")</f>
        <v>0.048261399207747</v>
      </c>
      <c r="L17" s="90">
        <f>IFERROR(MAX(Model!C223,Model!D223,Model!E223,Model!F223,Model!G223,Model!H223,Model!I223,Model!J223,Model!K223,Model!L223,Model!Q223,Model!V223,Model!AA223,Model!AF223,Model!AK223),"")</f>
        <v>0.114357262103506</v>
      </c>
      <c r="N17" s="83" t="inlineStr">
        <is>
          <t xml:space="preserve">   Operating margin (GAAP) %</t>
        </is>
      </c>
      <c r="O17" s="88" t="n">
        <v>0.0920923598110012</v>
      </c>
      <c r="P17" s="89" t="n">
        <v>0.0927098455239159</v>
      </c>
      <c r="Q17" s="89" t="n">
        <v>0.102267223738825</v>
      </c>
      <c r="R17" s="89" t="n">
        <v>0.103695581476603</v>
      </c>
      <c r="S17" s="89" t="n">
        <v>0.105040512474213</v>
      </c>
      <c r="T17" s="89" t="n">
        <v>0.106196844566432</v>
      </c>
      <c r="V17" s="90" t="n">
        <v>0.08478696399490231</v>
      </c>
      <c r="W17" s="90" t="n">
        <v>0.048261399207747</v>
      </c>
      <c r="X17" s="90" t="n">
        <v>0.114357262103506</v>
      </c>
      <c r="Z17" s="83" t="inlineStr">
        <is>
          <t xml:space="preserve">   Operating margin (GAAP) %</t>
        </is>
      </c>
      <c r="AA17" s="88" t="n">
        <v>0.0920923598110012</v>
      </c>
      <c r="AB17" s="89" t="n">
        <v>0.0923875230784181</v>
      </c>
      <c r="AC17" s="89" t="n">
        <v>0.0869889764401555</v>
      </c>
      <c r="AD17" s="89" t="n">
        <v>0.0887902963142973</v>
      </c>
      <c r="AE17" s="89" t="n">
        <v>0.090488468067878</v>
      </c>
      <c r="AF17" s="89" t="n">
        <v>0.0919297486313337</v>
      </c>
      <c r="AH17" s="90" t="n">
        <v>0.08478696399490231</v>
      </c>
      <c r="AI17" s="90" t="n">
        <v>0.048261399207747</v>
      </c>
      <c r="AJ17" s="90" t="n">
        <v>0.114357262103506</v>
      </c>
    </row>
    <row r="19" ht="15" customHeight="1" s="251">
      <c r="B19" s="79" t="inlineStr">
        <is>
          <t>Adjusted Net Income</t>
        </is>
      </c>
      <c r="C19" s="80">
        <f>Model!AK199</f>
        <v>797</v>
      </c>
      <c r="D19" s="81">
        <f>Model!AP199</f>
        <v>767.881978021978</v>
      </c>
      <c r="E19" s="81">
        <f>Model!AQ199</f>
        <v>800.611539780842</v>
      </c>
      <c r="F19" s="81">
        <f>Model!AR199</f>
        <v>846.570428874296</v>
      </c>
      <c r="G19" s="81">
        <f>Model!AS199</f>
        <v>893.514637134216</v>
      </c>
      <c r="H19" s="81">
        <f>Model!AT199</f>
        <v>946.039761224649</v>
      </c>
      <c r="I19" s="307">
        <f>IFERROR((H19/C19)^(1/5)-1,"n/m")</f>
        <v>0.0348805237401719</v>
      </c>
      <c r="N19" s="79" t="inlineStr">
        <is>
          <t>Adjusted Net Income</t>
        </is>
      </c>
      <c r="O19" s="80" t="n">
        <v>797</v>
      </c>
      <c r="P19" s="81" t="n">
        <v>787.5069780219779</v>
      </c>
      <c r="Q19" s="81" t="n">
        <v>898.619653608391</v>
      </c>
      <c r="R19" s="81" t="n">
        <v>952.373308644689</v>
      </c>
      <c r="S19" s="81" t="n">
        <v>1034.41115881046</v>
      </c>
      <c r="T19" s="81" t="n">
        <v>1126.1706483341</v>
      </c>
      <c r="U19" s="307" t="n">
        <v>0.07159129385963151</v>
      </c>
      <c r="Z19" s="79" t="inlineStr">
        <is>
          <t>Adjusted Net Income</t>
        </is>
      </c>
      <c r="AA19" s="80" t="n">
        <v>797</v>
      </c>
      <c r="AB19" s="81" t="n">
        <v>748.2569780219779</v>
      </c>
      <c r="AC19" s="81" t="n">
        <v>657.0639130938461</v>
      </c>
      <c r="AD19" s="81" t="n">
        <v>681.820323205926</v>
      </c>
      <c r="AE19" s="81" t="n">
        <v>701.5589495650991</v>
      </c>
      <c r="AF19" s="81" t="n">
        <v>716.477857550472</v>
      </c>
      <c r="AG19" s="307" t="n">
        <v>-0.0210761932646179</v>
      </c>
    </row>
    <row r="21" ht="15" customHeight="1" s="251">
      <c r="B21" s="79" t="inlineStr">
        <is>
          <t>FDSO (m)</t>
        </is>
      </c>
      <c r="C21" s="91">
        <f>Model!AK146</f>
        <v>122.375151</v>
      </c>
      <c r="D21" s="92">
        <f>Model!AP146</f>
        <v>119.8993955</v>
      </c>
      <c r="E21" s="92">
        <f>Model!AQ146</f>
        <v>115.011456140641</v>
      </c>
      <c r="F21" s="92">
        <f>Model!AR146</f>
        <v>106.931310910556</v>
      </c>
      <c r="G21" s="92">
        <f>Model!AS146</f>
        <v>98.8702201460992</v>
      </c>
      <c r="H21" s="92">
        <f>Model!AT146</f>
        <v>90.541097041407</v>
      </c>
      <c r="I21" s="307">
        <f>IFERROR((H21/C21)^(1/5)-1,"n/m")</f>
        <v>-0.0584779350777149</v>
      </c>
      <c r="N21" s="79" t="inlineStr">
        <is>
          <t>FDSO (m)</t>
        </is>
      </c>
      <c r="O21" s="91" t="n">
        <v>122.375151</v>
      </c>
      <c r="P21" s="92" t="n">
        <v>119.1493955</v>
      </c>
      <c r="Q21" s="92" t="n">
        <v>109.110352023506</v>
      </c>
      <c r="R21" s="92" t="n">
        <v>96.1340780013109</v>
      </c>
      <c r="S21" s="92" t="n">
        <v>85.7713972509011</v>
      </c>
      <c r="T21" s="92" t="n">
        <v>74.5199618063824</v>
      </c>
      <c r="U21" s="307" t="n">
        <v>-0.09444282370501419</v>
      </c>
      <c r="Z21" s="79" t="inlineStr">
        <is>
          <t>FDSO (m)</t>
        </is>
      </c>
      <c r="AA21" s="91" t="n">
        <v>122.375151</v>
      </c>
      <c r="AB21" s="92" t="n">
        <v>120.3993955</v>
      </c>
      <c r="AC21" s="92" t="n">
        <v>121.067590333333</v>
      </c>
      <c r="AD21" s="92" t="n">
        <v>120.949984119782</v>
      </c>
      <c r="AE21" s="92" t="n">
        <v>117.675305531814</v>
      </c>
      <c r="AF21" s="92" t="n">
        <v>112.692342456217</v>
      </c>
      <c r="AG21" s="307" t="n">
        <v>-0.0163508225254204</v>
      </c>
    </row>
    <row r="23" ht="15" customHeight="1" s="251">
      <c r="B23" s="79" t="inlineStr">
        <is>
          <t>Adjusted EPS — Diluted ($)</t>
        </is>
      </c>
      <c r="C23" s="93">
        <f>Model!AK203</f>
        <v>6.51276009457181</v>
      </c>
      <c r="D23" s="94">
        <f>Model!AP203</f>
        <v>6.40438573372105</v>
      </c>
      <c r="E23" s="94">
        <f>Model!AQ203</f>
        <v>6.96114601663524</v>
      </c>
      <c r="F23" s="94">
        <f>Model!AR203</f>
        <v>7.91695548914032</v>
      </c>
      <c r="G23" s="94">
        <f>Model!AS203</f>
        <v>9.03724737149246</v>
      </c>
      <c r="H23" s="94">
        <f>Model!AT203</f>
        <v>10.4487331403992</v>
      </c>
      <c r="I23" s="307">
        <f>IFERROR((H23/C23)^(1/5)-1,"n/m")</f>
        <v>0.0991569526579208</v>
      </c>
      <c r="N23" s="79" t="inlineStr">
        <is>
          <t>Adjusted EPS — Diluted ($)</t>
        </is>
      </c>
      <c r="O23" s="93" t="n">
        <v>6.51276009457181</v>
      </c>
      <c r="P23" s="94" t="n">
        <v>6.60940808568331</v>
      </c>
      <c r="Q23" s="94" t="n">
        <v>8.23587896971318</v>
      </c>
      <c r="R23" s="94" t="n">
        <v>9.90671912026558</v>
      </c>
      <c r="S23" s="94" t="n">
        <v>12.0600945299348</v>
      </c>
      <c r="T23" s="94" t="n">
        <v>15.1123352862166</v>
      </c>
      <c r="U23" s="307" t="n">
        <v>0.183350231118438</v>
      </c>
      <c r="Z23" s="79" t="inlineStr">
        <is>
          <t>Adjusted EPS — Diluted ($)</t>
        </is>
      </c>
      <c r="AA23" s="93" t="n">
        <v>6.51276009457181</v>
      </c>
      <c r="AB23" s="94" t="n">
        <v>6.21479015666634</v>
      </c>
      <c r="AC23" s="94" t="n">
        <v>5.42724862438216</v>
      </c>
      <c r="AD23" s="94" t="n">
        <v>5.63720886916936</v>
      </c>
      <c r="AE23" s="94" t="n">
        <v>5.96181965616765</v>
      </c>
      <c r="AF23" s="94" t="n">
        <v>6.35782203062147</v>
      </c>
      <c r="AG23" s="307" t="n">
        <v>-0.00480391876230646</v>
      </c>
    </row>
    <row r="24" ht="15" customHeight="1" s="251">
      <c r="B24" s="83" t="inlineStr">
        <is>
          <t xml:space="preserve">   EPS y/y %</t>
        </is>
      </c>
      <c r="C24" s="308" t="n"/>
      <c r="D24" s="309">
        <f>IFERROR(D23/C23-1,"")</f>
        <v>-0.0166403121375663</v>
      </c>
      <c r="E24" s="309">
        <f>IFERROR(E23/D23-1,"")</f>
        <v>0.0869342207142019</v>
      </c>
      <c r="F24" s="309">
        <f>IFERROR(F23/E23-1,"")</f>
        <v>0.137306338671959</v>
      </c>
      <c r="G24" s="309">
        <f>IFERROR(G23/F23-1,"")</f>
        <v>0.141505391041902</v>
      </c>
      <c r="H24" s="309">
        <f>IFERROR(H23/G23-1,"")</f>
        <v>0.156185363848642</v>
      </c>
      <c r="N24" s="83" t="inlineStr">
        <is>
          <t xml:space="preserve">   EPS y/y %</t>
        </is>
      </c>
      <c r="O24" s="308" t="n"/>
      <c r="P24" s="309" t="n">
        <v>0.0148397898445616</v>
      </c>
      <c r="Q24" s="309" t="n">
        <v>0.246084197396282</v>
      </c>
      <c r="R24" s="309" t="n">
        <v>0.202873324959825</v>
      </c>
      <c r="S24" s="309" t="n">
        <v>0.217365142135116</v>
      </c>
      <c r="T24" s="309" t="n">
        <v>0.253085972809394</v>
      </c>
      <c r="Z24" s="83" t="inlineStr">
        <is>
          <t xml:space="preserve">   EPS y/y %</t>
        </is>
      </c>
      <c r="AA24" s="308" t="n"/>
      <c r="AB24" s="309" t="n">
        <v>-0.0457517141087108</v>
      </c>
      <c r="AC24" s="309" t="n">
        <v>-0.126720534793829</v>
      </c>
      <c r="AD24" s="309" t="n">
        <v>0.0386863140641731</v>
      </c>
      <c r="AE24" s="309" t="n">
        <v>0.0575836011281445</v>
      </c>
      <c r="AF24" s="309" t="n">
        <v>0.06642307169492261</v>
      </c>
    </row>
    <row r="26" ht="15" customHeight="1" s="251">
      <c r="B26" s="83" t="inlineStr">
        <is>
          <t>P / E (x) — assumed (adjusted EPS)</t>
        </is>
      </c>
      <c r="C26" s="310" t="n"/>
      <c r="D26" s="310" t="n"/>
      <c r="E26" s="310" t="n"/>
      <c r="F26" s="310" t="n"/>
      <c r="G26" s="310" t="n">
        <v>13</v>
      </c>
      <c r="H26" s="310" t="n">
        <v>13</v>
      </c>
      <c r="N26" s="83" t="inlineStr">
        <is>
          <t>P / E (x) — assumed (adjusted EPS)</t>
        </is>
      </c>
      <c r="O26" s="310" t="n"/>
      <c r="P26" s="310" t="n"/>
      <c r="Q26" s="310" t="n"/>
      <c r="R26" s="310" t="n"/>
      <c r="S26" s="310" t="n">
        <v>15</v>
      </c>
      <c r="T26" s="310" t="n">
        <v>15</v>
      </c>
      <c r="Z26" s="83" t="inlineStr">
        <is>
          <t>P / E (x) — assumed (adjusted EPS)</t>
        </is>
      </c>
      <c r="AA26" s="310" t="n"/>
      <c r="AB26" s="310" t="n"/>
      <c r="AC26" s="310" t="n"/>
      <c r="AD26" s="310" t="n">
        <v>10</v>
      </c>
      <c r="AE26" s="310" t="n">
        <v>10</v>
      </c>
      <c r="AF26" s="310" t="n">
        <v>10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117.484215829402</v>
      </c>
      <c r="H27" s="96">
        <f>H26*H23</f>
        <v>135.833530825189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180.901417949022</v>
      </c>
      <c r="T27" s="96">
        <f>T26*T23</f>
        <v>226.685029293249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56.3720886916936</v>
      </c>
      <c r="AE27" s="96">
        <f>AE26*AE23</f>
        <v>59.6181965616765</v>
      </c>
      <c r="AF27" s="96">
        <f>AF26*AF23</f>
        <v>63.5782203062147</v>
      </c>
    </row>
    <row r="28" ht="15" customHeight="1" s="251">
      <c r="B28" t="inlineStr">
        <is>
          <t xml:space="preserve">   Upside / (Downside) vs current</t>
        </is>
      </c>
      <c r="E28" s="311" t="n"/>
      <c r="F28" s="311" t="n"/>
      <c r="G28" s="311">
        <f>IFERROR(G27/$K$2-1,"")</f>
        <v>0.566456211058693</v>
      </c>
      <c r="H28" s="311">
        <f>IFERROR(H27/$K$2-1,"")</f>
        <v>0.811113744335859</v>
      </c>
      <c r="N28" t="inlineStr">
        <is>
          <t xml:space="preserve">   Upside / (Downside) vs current</t>
        </is>
      </c>
      <c r="O28" s="311" t="n"/>
      <c r="P28" s="311" t="n"/>
      <c r="Q28" s="311" t="n"/>
      <c r="R28" s="311" t="n"/>
      <c r="S28" s="311">
        <f>IFERROR(S27/$K$2-1,"")</f>
        <v>1.41201890598696</v>
      </c>
      <c r="T28" s="311">
        <f>IFERROR(T27/$K$2-1,"")</f>
        <v>2.02246705724332</v>
      </c>
      <c r="Z28" t="inlineStr">
        <is>
          <t xml:space="preserve">   Upside / (Downside) vs current</t>
        </is>
      </c>
      <c r="AA28" s="311" t="n"/>
      <c r="AB28" s="311" t="n"/>
      <c r="AC28" s="311" t="n"/>
      <c r="AD28" s="311">
        <f>IFERROR(AD27/$K$2-1,"")</f>
        <v>-0.248372150777419</v>
      </c>
      <c r="AE28" s="311">
        <f>IFERROR(AE27/$K$2-1,"")</f>
        <v>-0.20509071251098</v>
      </c>
      <c r="AF28" s="311">
        <f>IFERROR(AF27/$K$2-1,"")</f>
        <v>-0.152290395917137</v>
      </c>
    </row>
    <row r="29" ht="15" customHeight="1" s="251">
      <c r="B29" s="75" t="inlineStr">
        <is>
          <t>IRR (to 31-Mar of Y-1)</t>
        </is>
      </c>
      <c r="C29" s="312" t="n"/>
      <c r="D29" s="312" t="n"/>
      <c r="E29" s="312" t="n"/>
      <c r="F29" s="312" t="n"/>
      <c r="G29" s="312">
        <f>IFERROR((G27/$K$2)^(1/((DATE(2030-1,3,31)-$K$3)/365.25))-1,"")</f>
        <v>0.199544960849456</v>
      </c>
      <c r="H29" s="312">
        <f>IFERROR((H27/$K$2)^(1/((DATE(2031-1,3,31)-$K$3)/365.25))-1,"")</f>
        <v>0.186913790382069</v>
      </c>
      <c r="N29" s="75" t="inlineStr">
        <is>
          <t>IRR (to 31-Mar of Y-1)</t>
        </is>
      </c>
      <c r="O29" s="312" t="n"/>
      <c r="P29" s="312" t="n"/>
      <c r="Q29" s="312" t="n"/>
      <c r="R29" s="312" t="n"/>
      <c r="S29" s="312">
        <f>IFERROR((S27/$K$2)^(1/((DATE(2030-1,3,31)-$K$3)/365.25))-1,"")</f>
        <v>0.428928844918784</v>
      </c>
      <c r="T29" s="312">
        <f>IFERROR((T27/$K$2)^(1/((DATE(2031-1,3,31)-$K$3)/365.25))-1,"")</f>
        <v>0.375902721205437</v>
      </c>
      <c r="Z29" s="75" t="inlineStr">
        <is>
          <t>IRR (to 31-Mar of Y-1)</t>
        </is>
      </c>
      <c r="AA29" s="312" t="n"/>
      <c r="AB29" s="312" t="n"/>
      <c r="AC29" s="312" t="n"/>
      <c r="AD29" s="312">
        <f>IFERROR((AD27/$K$2)^(1/((DATE(2029-1,3,31)-$K$3)/365.25))-1,"")</f>
        <v>-0.176802928573213</v>
      </c>
      <c r="AE29" s="312">
        <f>IFERROR((AE27/$K$2)^(1/((DATE(2030-1,3,31)-$K$3)/365.25))-1,"")</f>
        <v>-0.0888488091037829</v>
      </c>
      <c r="AF29" s="312">
        <f>IFERROR((AF27/$K$2)^(1/((DATE(2031-1,3,31)-$K$3)/365.25))-1,"")</f>
        <v>-0.0465481203296377</v>
      </c>
    </row>
    <row r="31" ht="15" customHeight="1" s="251">
      <c r="B31" s="79" t="inlineStr">
        <is>
          <t>Free Cash Flow</t>
        </is>
      </c>
      <c r="C31" s="80">
        <f>Model!AK252</f>
        <v>951</v>
      </c>
      <c r="D31" s="81">
        <f>Model!AP252</f>
        <v>875</v>
      </c>
      <c r="E31" s="81">
        <f>Model!AQ252</f>
        <v>902.209640461986</v>
      </c>
      <c r="F31" s="81">
        <f>Model!AR252</f>
        <v>943.664747878739</v>
      </c>
      <c r="G31" s="81">
        <f>Model!AS252</f>
        <v>991.837633193134</v>
      </c>
      <c r="H31" s="81">
        <f>Model!AT252</f>
        <v>1047.69608315764</v>
      </c>
      <c r="I31" s="307">
        <f>IFERROR((H31/C31)^(1/5)-1,"n/m")</f>
        <v>0.0195557086595959</v>
      </c>
      <c r="N31" s="79" t="inlineStr">
        <is>
          <t>Free Cash Flow</t>
        </is>
      </c>
      <c r="O31" s="80" t="n">
        <v>951</v>
      </c>
      <c r="P31" s="81" t="n">
        <v>925</v>
      </c>
      <c r="Q31" s="81" t="n">
        <v>989.538544620866</v>
      </c>
      <c r="R31" s="81" t="n">
        <v>1041.49293171139</v>
      </c>
      <c r="S31" s="81" t="n">
        <v>1128.48127297443</v>
      </c>
      <c r="T31" s="81" t="n">
        <v>1227.33093996056</v>
      </c>
      <c r="U31" s="307" t="n">
        <v>0.0523403747253979</v>
      </c>
      <c r="Z31" s="79" t="inlineStr">
        <is>
          <t>Free Cash Flow</t>
        </is>
      </c>
      <c r="AA31" s="80" t="n">
        <v>951</v>
      </c>
      <c r="AB31" s="81" t="n">
        <v>825</v>
      </c>
      <c r="AC31" s="81" t="n">
        <v>774.810336042893</v>
      </c>
      <c r="AD31" s="81" t="n">
        <v>791.718789513818</v>
      </c>
      <c r="AE31" s="81" t="n">
        <v>808.205160398311</v>
      </c>
      <c r="AF31" s="81" t="n">
        <v>821.983794633413</v>
      </c>
      <c r="AG31" s="307" t="n">
        <v>-0.0287376642191649</v>
      </c>
    </row>
    <row r="32" ht="15" customHeight="1" s="251">
      <c r="B32" s="83" t="inlineStr">
        <is>
          <t xml:space="preserve">   FCF %</t>
        </is>
      </c>
      <c r="C32" s="88">
        <f>IFERROR(C31/C9,"")</f>
        <v>0.0847820272800214</v>
      </c>
      <c r="D32" s="89">
        <f>IFERROR(D31/D9,"")</f>
        <v>0.0756999572182345</v>
      </c>
      <c r="E32" s="89">
        <f>IFERROR(E31/E9,"")</f>
        <v>0.0756859524086499</v>
      </c>
      <c r="F32" s="89">
        <f>IFERROR(F31/F9,"")</f>
        <v>0.075645703759395</v>
      </c>
      <c r="G32" s="89">
        <f>IFERROR(G31/G9,"")</f>
        <v>0.0756635167690856</v>
      </c>
      <c r="H32" s="89">
        <f>IFERROR(H31/H9,"")</f>
        <v>0.075934557657808</v>
      </c>
      <c r="J32" s="90">
        <f>IFERROR(AVERAGE(Model!C256,Model!D256,Model!E256,Model!F256,Model!G256,Model!H256,Model!I256,Model!J256,Model!K256,Model!L256,Model!Q256,Model!V256,Model!AA256,Model!AF256,Model!AK256),"")</f>
        <v>0.058751099755174</v>
      </c>
      <c r="K32" s="90">
        <f>IFERROR(MIN(Model!C256,Model!D256,Model!E256,Model!F256,Model!G256,Model!H256,Model!I256,Model!J256,Model!K256,Model!L256,Model!Q256,Model!V256,Model!AA256,Model!AF256,Model!AK256),"")</f>
        <v>0.0180210911830316</v>
      </c>
      <c r="L32" s="90">
        <f>IFERROR(MAX(Model!C256,Model!D256,Model!E256,Model!F256,Model!G256,Model!H256,Model!I256,Model!J256,Model!K256,Model!L256,Model!Q256,Model!V256,Model!AA256,Model!AF256,Model!AK256),"")</f>
        <v>0.0847820272800214</v>
      </c>
      <c r="N32" s="83" t="inlineStr">
        <is>
          <t xml:space="preserve">   FCF %</t>
        </is>
      </c>
      <c r="O32" s="88" t="n">
        <v>0.0847820272800214</v>
      </c>
      <c r="P32" s="89" t="n">
        <v>0.07833147217569331</v>
      </c>
      <c r="Q32" s="89" t="n">
        <v>0.0790697968664103</v>
      </c>
      <c r="R32" s="89" t="n">
        <v>0.0772507192957891</v>
      </c>
      <c r="S32" s="89" t="n">
        <v>0.0774532086114899</v>
      </c>
      <c r="T32" s="89" t="n">
        <v>0.0778773754405101</v>
      </c>
      <c r="V32" s="90" t="n">
        <v>0.058751099755174</v>
      </c>
      <c r="W32" s="90" t="n">
        <v>0.0180210911830316</v>
      </c>
      <c r="X32" s="90" t="n">
        <v>0.0847820272800214</v>
      </c>
      <c r="Z32" s="83" t="inlineStr">
        <is>
          <t xml:space="preserve">   FCF %</t>
        </is>
      </c>
      <c r="AA32" s="88" t="n">
        <v>0.0847820272800214</v>
      </c>
      <c r="AB32" s="89" t="n">
        <v>0.0729520940627733</v>
      </c>
      <c r="AC32" s="89" t="n">
        <v>0.06887302562781519</v>
      </c>
      <c r="AD32" s="89" t="n">
        <v>0.0698891362872656</v>
      </c>
      <c r="AE32" s="89" t="n">
        <v>0.07053082558869619</v>
      </c>
      <c r="AF32" s="89" t="n">
        <v>0.0707717896473799</v>
      </c>
      <c r="AH32" s="90" t="n">
        <v>0.058751099755174</v>
      </c>
      <c r="AI32" s="90" t="n">
        <v>0.0180210911830316</v>
      </c>
      <c r="AJ32" s="90" t="n">
        <v>0.0847820272800214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7.77118550807754</v>
      </c>
      <c r="D33" s="100">
        <f>IFERROR(D31/D21,"")</f>
        <v>7.29778491668876</v>
      </c>
      <c r="E33" s="100">
        <f>IFERROR(E31/E21,"")</f>
        <v>7.84451976122035</v>
      </c>
      <c r="F33" s="100">
        <f>IFERROR(F31/F21,"")</f>
        <v>8.82496192970158</v>
      </c>
      <c r="G33" s="100">
        <f>IFERROR(G31/G21,"")</f>
        <v>10.0317125998861</v>
      </c>
      <c r="H33" s="100">
        <f>IFERROR(H31/H21,"")</f>
        <v>11.571497556281</v>
      </c>
      <c r="N33" s="83" t="inlineStr">
        <is>
          <t xml:space="preserve">   FCF / share ($)</t>
        </is>
      </c>
      <c r="O33" s="99" t="n">
        <v>7.77118550807754</v>
      </c>
      <c r="P33" s="100" t="n">
        <v>7.76336292868561</v>
      </c>
      <c r="Q33" s="100" t="n">
        <v>9.06915362538369</v>
      </c>
      <c r="R33" s="100" t="n">
        <v>10.8337537880916</v>
      </c>
      <c r="S33" s="100" t="n">
        <v>13.1568484266773</v>
      </c>
      <c r="T33" s="100" t="n">
        <v>16.4698278180739</v>
      </c>
      <c r="Z33" s="83" t="inlineStr">
        <is>
          <t xml:space="preserve">   FCF / share ($)</t>
        </is>
      </c>
      <c r="AA33" s="99" t="n">
        <v>7.77118550807754</v>
      </c>
      <c r="AB33" s="100" t="n">
        <v>6.85219387168767</v>
      </c>
      <c r="AC33" s="100" t="n">
        <v>6.39981628369426</v>
      </c>
      <c r="AD33" s="100" t="n">
        <v>6.545836241944</v>
      </c>
      <c r="AE33" s="100" t="n">
        <v>6.86809485427521</v>
      </c>
      <c r="AF33" s="100" t="n">
        <v>7.29405190022358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0.0853877478694931</v>
      </c>
      <c r="H34" s="101">
        <f>IFERROR(H33/H$27,"")</f>
        <v>0.085188815206261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0.0727293825324515</v>
      </c>
      <c r="T34" s="101">
        <f>IFERROR(T33/T$27,"")</f>
        <v>0.0726551191731672</v>
      </c>
      <c r="Z34" s="83" t="inlineStr">
        <is>
          <t xml:space="preserve">   FCF Yield (on PT)</t>
        </is>
      </c>
      <c r="AC34" s="101" t="n"/>
      <c r="AD34" s="101">
        <f>IFERROR(AD33/AD$27,"")</f>
        <v>0.116118391102094</v>
      </c>
      <c r="AE34" s="101">
        <f>IFERROR(AE33/AE$27,"")</f>
        <v>0.115201318563368</v>
      </c>
      <c r="AF34" s="101">
        <f>IFERROR(AF33/AF$27,"")</f>
        <v>0.114725638199574</v>
      </c>
    </row>
    <row r="35" ht="15" customHeight="1" s="251">
      <c r="B35" s="79" t="inlineStr">
        <is>
          <t>Adjusted EBITDA (leverage basis)</t>
        </is>
      </c>
      <c r="C35" s="80">
        <f>Model!AK174</f>
        <v>1229</v>
      </c>
      <c r="D35" s="81">
        <f>Model!AP174</f>
        <v>1292.1978021978</v>
      </c>
      <c r="E35" s="81">
        <f>Model!AQ174</f>
        <v>1363.95496322211</v>
      </c>
      <c r="F35" s="81">
        <f>Model!AR174</f>
        <v>1443.07858564967</v>
      </c>
      <c r="G35" s="81">
        <f>Model!AS174</f>
        <v>1531.82605260552</v>
      </c>
      <c r="H35" s="81">
        <f>Model!AT174</f>
        <v>1627.71714994962</v>
      </c>
      <c r="I35" s="307">
        <f>IFERROR((H35/C35)^(1/5)-1,"n/m")</f>
        <v>0.0578045026063392</v>
      </c>
      <c r="N35" s="79" t="inlineStr">
        <is>
          <t>Adjusted EBITDA (leverage basis)</t>
        </is>
      </c>
      <c r="O35" s="80" t="n">
        <v>1229</v>
      </c>
      <c r="P35" s="81" t="n">
        <v>1317.1978021978</v>
      </c>
      <c r="Q35" s="81" t="n">
        <v>1499.65846040237</v>
      </c>
      <c r="R35" s="81" t="n">
        <v>1633.32946644566</v>
      </c>
      <c r="S35" s="81" t="n">
        <v>1783.03497817546</v>
      </c>
      <c r="T35" s="81" t="n">
        <v>1946.97515606495</v>
      </c>
      <c r="U35" s="307" t="n">
        <v>0.09638151668976749</v>
      </c>
      <c r="Z35" s="79" t="inlineStr">
        <is>
          <t>Adjusted EBITDA (leverage basis)</t>
        </is>
      </c>
      <c r="AA35" s="80" t="n">
        <v>1229</v>
      </c>
      <c r="AB35" s="81" t="n">
        <v>1267.1978021978</v>
      </c>
      <c r="AC35" s="81" t="n">
        <v>1170.21020959276</v>
      </c>
      <c r="AD35" s="81" t="n">
        <v>1190.91719000479</v>
      </c>
      <c r="AE35" s="81" t="n">
        <v>1216.58657023513</v>
      </c>
      <c r="AF35" s="81" t="n">
        <v>1244.67004177046</v>
      </c>
      <c r="AG35" s="307" t="n">
        <v>0.00253714061096977</v>
      </c>
    </row>
    <row r="36" ht="15" customHeight="1" s="251">
      <c r="B36" s="83" t="inlineStr">
        <is>
          <t xml:space="preserve">   Adjusted EBITDA % of revenue</t>
        </is>
      </c>
      <c r="C36" s="88">
        <f>IFERROR(C35/C9,"")</f>
        <v>0.109565837567977</v>
      </c>
      <c r="D36" s="89">
        <f>IFERROR(D35/D9,"")</f>
        <v>0.111793506678709</v>
      </c>
      <c r="E36" s="89">
        <f>IFERROR(E35/E9,"")</f>
        <v>0.114421555483612</v>
      </c>
      <c r="F36" s="89">
        <f>IFERROR(F35/F9,"")</f>
        <v>0.115679530719959</v>
      </c>
      <c r="G36" s="89">
        <f>IFERROR(G35/G9,"")</f>
        <v>0.116857177364303</v>
      </c>
      <c r="H36" s="89">
        <f>IFERROR(H35/H9,"")</f>
        <v>0.11797312575698</v>
      </c>
      <c r="J36" s="90">
        <f>IFERROR(AVERAGE(Model!C221,Model!D221,Model!E221,Model!F221,Model!G221,Model!H221,Model!I221,Model!J221,Model!K221,Model!L221,Model!Q221,Model!V221,Model!AA221,Model!AF221,Model!AK221),"")</f>
        <v>0.100924710385678</v>
      </c>
      <c r="K36" s="90">
        <f>IFERROR(MIN(Model!C221,Model!D221,Model!E221,Model!F221,Model!G221,Model!H221,Model!I221,Model!J221,Model!K221,Model!L221,Model!Q221,Model!V221,Model!AA221,Model!AF221,Model!AK221),"")</f>
        <v>0.0832978052702596</v>
      </c>
      <c r="L36" s="90">
        <f>IFERROR(MAX(Model!C221,Model!D221,Model!E221,Model!F221,Model!G221,Model!H221,Model!I221,Model!J221,Model!K221,Model!L221,Model!Q221,Model!V221,Model!AA221,Model!AF221,Model!AK221),"")</f>
        <v>0.111783660341715</v>
      </c>
      <c r="N36" s="83" t="inlineStr">
        <is>
          <t xml:space="preserve">   Adjusted EBITDA % of revenue</t>
        </is>
      </c>
      <c r="O36" s="88" t="n">
        <v>0.109565837567977</v>
      </c>
      <c r="P36" s="89" t="n">
        <v>0.111543830262423</v>
      </c>
      <c r="Q36" s="89" t="n">
        <v>0.119831299627081</v>
      </c>
      <c r="R36" s="89" t="n">
        <v>0.121149046996028</v>
      </c>
      <c r="S36" s="89" t="n">
        <v>0.122378442100506</v>
      </c>
      <c r="T36" s="89" t="n">
        <v>0.123540693276329</v>
      </c>
      <c r="V36" s="90" t="n">
        <v>0.100924710385678</v>
      </c>
      <c r="W36" s="90" t="n">
        <v>0.0832978052702596</v>
      </c>
      <c r="X36" s="90" t="n">
        <v>0.111783660341715</v>
      </c>
      <c r="Z36" s="83" t="inlineStr">
        <is>
          <t xml:space="preserve">   Adjusted EBITDA % of revenue</t>
        </is>
      </c>
      <c r="AA36" s="88" t="n">
        <v>0.109565837567977</v>
      </c>
      <c r="AB36" s="89" t="n">
        <v>0.112054222135847</v>
      </c>
      <c r="AC36" s="89" t="n">
        <v>0.104020189207635</v>
      </c>
      <c r="AD36" s="89" t="n">
        <v>0.105128455837462</v>
      </c>
      <c r="AE36" s="89" t="n">
        <v>0.106169645287238</v>
      </c>
      <c r="AF36" s="89" t="n">
        <v>0.107164553549209</v>
      </c>
      <c r="AH36" s="90" t="n">
        <v>0.100924710385678</v>
      </c>
      <c r="AI36" s="90" t="n">
        <v>0.0832978052702596</v>
      </c>
      <c r="AJ36" s="90" t="n">
        <v>0.111783660341715</v>
      </c>
    </row>
    <row r="38" ht="15" customHeight="1" s="251">
      <c r="B38" s="79" t="inlineStr">
        <is>
          <t>Net Debt</t>
        </is>
      </c>
      <c r="C38" s="80">
        <f>Model!AK380</f>
        <v>3212</v>
      </c>
      <c r="D38" s="81">
        <f>Model!AP380</f>
        <v>3833.66413489</v>
      </c>
      <c r="E38" s="81">
        <f>Model!AQ380</f>
        <v>4091.86488966633</v>
      </c>
      <c r="F38" s="81">
        <f>Model!AR380</f>
        <v>4329.235756949</v>
      </c>
      <c r="G38" s="81">
        <f>Model!AS380</f>
        <v>4595.47815781657</v>
      </c>
      <c r="H38" s="81">
        <f>Model!AT380</f>
        <v>4883.15144984886</v>
      </c>
      <c r="N38" s="79" t="inlineStr">
        <is>
          <t>Net Debt</t>
        </is>
      </c>
      <c r="O38" s="80" t="n">
        <v>3212</v>
      </c>
      <c r="P38" s="81" t="n">
        <v>3931.89413489</v>
      </c>
      <c r="Q38" s="81" t="n">
        <v>4873.88999630769</v>
      </c>
      <c r="R38" s="81" t="n">
        <v>5308.3207659484</v>
      </c>
      <c r="S38" s="81" t="n">
        <v>5794.86367907024</v>
      </c>
      <c r="T38" s="81" t="n">
        <v>6327.66925721108</v>
      </c>
      <c r="Z38" s="79" t="inlineStr">
        <is>
          <t>Net Debt</t>
        </is>
      </c>
      <c r="AA38" s="80" t="n">
        <v>3212</v>
      </c>
      <c r="AB38" s="81" t="n">
        <v>3784.84413489</v>
      </c>
      <c r="AC38" s="81" t="n">
        <v>3265.77012282497</v>
      </c>
      <c r="AD38" s="81" t="n">
        <v>2977.29297501198</v>
      </c>
      <c r="AE38" s="81" t="n">
        <v>3041.46642558783</v>
      </c>
      <c r="AF38" s="81" t="n">
        <v>3111.67510442614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2.61350691619203</v>
      </c>
      <c r="D39" s="103">
        <f>IFERROR(D38/D35,"")</f>
        <v>2.96677809571384</v>
      </c>
      <c r="E39" s="103">
        <f>IFERROR(E38/E35,"")</f>
        <v>3</v>
      </c>
      <c r="F39" s="103">
        <f>IFERROR(F38/F35,"")</f>
        <v>3</v>
      </c>
      <c r="G39" s="103">
        <f>IFERROR(G38/G35,"")</f>
        <v>3</v>
      </c>
      <c r="H39" s="103">
        <f>IFERROR(H38/H35,"")</f>
        <v>3</v>
      </c>
      <c r="N39" s="83" t="inlineStr">
        <is>
          <t xml:space="preserve">   Net Debt / Adjusted EBITDA (x)</t>
        </is>
      </c>
      <c r="O39" s="102" t="n">
        <v>2.61350691619203</v>
      </c>
      <c r="P39" s="103" t="n">
        <v>2.98504456075577</v>
      </c>
      <c r="Q39" s="103" t="n">
        <v>3.25</v>
      </c>
      <c r="R39" s="103" t="n">
        <v>3.25</v>
      </c>
      <c r="S39" s="103" t="n">
        <v>3.25</v>
      </c>
      <c r="T39" s="103" t="n">
        <v>3.25</v>
      </c>
      <c r="Z39" s="83" t="inlineStr">
        <is>
          <t xml:space="preserve">   Net Debt / Adjusted EBITDA (x)</t>
        </is>
      </c>
      <c r="AA39" s="102" t="n">
        <v>2.61350691619203</v>
      </c>
      <c r="AB39" s="103" t="n">
        <v>2.98678243311789</v>
      </c>
      <c r="AC39" s="103" t="n">
        <v>2.7907551105382</v>
      </c>
      <c r="AD39" s="103" t="n">
        <v>2.5</v>
      </c>
      <c r="AE39" s="103" t="n">
        <v>2.5</v>
      </c>
      <c r="AF39" s="103" t="n">
        <v>2.5</v>
      </c>
    </row>
    <row r="40" ht="15" customHeight="1" s="251">
      <c r="B40" s="252" t="inlineStr">
        <is>
          <t xml:space="preserve">   Share repurchases ($m; FY2027E = Q2–Q4)</t>
        </is>
      </c>
      <c r="C40" s="102" t="n"/>
      <c r="D40" s="248">
        <f>Model!AP266</f>
        <v>150</v>
      </c>
      <c r="E40" s="248">
        <f>Model!AQ266</f>
        <v>758.009537927119</v>
      </c>
      <c r="F40" s="248">
        <f>Model!AR266</f>
        <v>782.655535506648</v>
      </c>
      <c r="G40" s="248">
        <f>Model!AS266</f>
        <v>864.343739012234</v>
      </c>
      <c r="H40" s="248">
        <f>Model!AT266</f>
        <v>948.76268092131</v>
      </c>
      <c r="N40" s="252" t="inlineStr">
        <is>
          <t xml:space="preserve">   Share repurchases ($m; FY2027E = Q2–Q4)</t>
        </is>
      </c>
      <c r="O40" s="102" t="n"/>
      <c r="P40" s="248" t="n">
        <v>300</v>
      </c>
      <c r="Q40" s="248" t="n">
        <v>1384.13674872736</v>
      </c>
      <c r="R40" s="248" t="n">
        <v>953.536098063331</v>
      </c>
      <c r="S40" s="248" t="n">
        <v>1104.43354225087</v>
      </c>
      <c r="T40" s="248" t="n">
        <v>1266.44989470874</v>
      </c>
      <c r="Z40" s="83" t="n"/>
      <c r="AA40" s="102" t="n"/>
      <c r="AB40" s="103" t="n">
        <v>50</v>
      </c>
      <c r="AC40" s="103" t="n">
        <v>0</v>
      </c>
      <c r="AD40" s="103" t="n">
        <v>226.27910308429</v>
      </c>
      <c r="AE40" s="103" t="n">
        <v>580.13241191585</v>
      </c>
      <c r="AF40" s="103" t="n">
        <v>594.948818670521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Model!AP265</f>
        <v>75</v>
      </c>
      <c r="E41" s="249">
        <f>Model!AQ265</f>
        <v>80.25</v>
      </c>
      <c r="F41" s="249">
        <f>Model!AR265</f>
        <v>85.8675</v>
      </c>
      <c r="G41" s="249">
        <f>Model!AS265</f>
        <v>91.878225</v>
      </c>
      <c r="H41" s="249">
        <f>Model!AT265</f>
        <v>98.30970075</v>
      </c>
      <c r="N41" s="252" t="inlineStr">
        <is>
          <t xml:space="preserve">   Implied avg buyback price ($)</t>
        </is>
      </c>
      <c r="O41" s="102" t="n"/>
      <c r="P41" s="249" t="n">
        <v>75</v>
      </c>
      <c r="Q41" s="249" t="n">
        <v>80.25</v>
      </c>
      <c r="R41" s="249" t="n">
        <v>85.86750000000001</v>
      </c>
      <c r="S41" s="249" t="n">
        <v>91.878225</v>
      </c>
      <c r="T41" s="249" t="n">
        <v>98.30970075</v>
      </c>
      <c r="Z41" s="83" t="n"/>
      <c r="AA41" s="102" t="n"/>
      <c r="AB41" s="103" t="n">
        <v>75</v>
      </c>
      <c r="AC41" s="103" t="n">
        <v>80.25</v>
      </c>
      <c r="AD41" s="103" t="n">
        <v>85.86750000000001</v>
      </c>
      <c r="AE41" s="103" t="n">
        <v>91.878225</v>
      </c>
      <c r="AF41" s="103" t="n">
        <v>98.30970075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Model!AP267</f>
        <v>2</v>
      </c>
      <c r="E42" s="250">
        <f>Model!AQ267</f>
        <v>9.44560171871799</v>
      </c>
      <c r="F42" s="250">
        <f>Model!AR267</f>
        <v>9.11468874145221</v>
      </c>
      <c r="G42" s="250">
        <f>Model!AS267</f>
        <v>9.40749278746116</v>
      </c>
      <c r="H42" s="250">
        <f>Model!AT267</f>
        <v>9.65075342192322</v>
      </c>
      <c r="N42" s="252" t="inlineStr">
        <is>
          <t xml:space="preserve">   Shares repurchased (m)</t>
        </is>
      </c>
      <c r="O42" s="102" t="n"/>
      <c r="P42" s="250" t="n">
        <v>4</v>
      </c>
      <c r="Q42" s="250" t="n">
        <v>17.2478099529889</v>
      </c>
      <c r="R42" s="250" t="n">
        <v>11.1047380914005</v>
      </c>
      <c r="S42" s="250" t="n">
        <v>12.020623409419</v>
      </c>
      <c r="T42" s="250" t="n">
        <v>12.8822474796185</v>
      </c>
      <c r="Z42" s="83" t="n"/>
      <c r="AA42" s="102" t="n"/>
      <c r="AB42" s="103" t="n">
        <v>0.666666666666667</v>
      </c>
      <c r="AC42" s="103" t="n">
        <v>0</v>
      </c>
      <c r="AD42" s="103" t="n">
        <v>2.63521242710327</v>
      </c>
      <c r="AE42" s="103" t="n">
        <v>6.31414474883303</v>
      </c>
      <c r="AF42" s="103" t="n">
        <v>6.05178140236095</v>
      </c>
    </row>
    <row r="44" ht="15" customHeight="1" s="251">
      <c r="B44" s="79" t="inlineStr">
        <is>
          <t>ROIC</t>
        </is>
      </c>
      <c r="C44" s="86">
        <f>Model!AK363</f>
        <v>0.210260468947057</v>
      </c>
      <c r="D44" s="87">
        <f>Model!AP363</f>
        <v>0.162701458820422</v>
      </c>
      <c r="E44" s="87">
        <f>Model!AQ363</f>
        <v>0.168619881514694</v>
      </c>
      <c r="F44" s="87">
        <f>Model!AR363</f>
        <v>0.1771055697215</v>
      </c>
      <c r="G44" s="87">
        <f>Model!AS363</f>
        <v>0.186431402937773</v>
      </c>
      <c r="H44" s="87">
        <f>Model!AT363</f>
        <v>0.196101180678703</v>
      </c>
      <c r="J44" s="90">
        <f>IFERROR(AVERAGE(Model!C363,Model!D363,Model!E363,Model!F363,Model!G363,Model!H363,Model!I363,Model!J363,Model!K363,Model!L363,Model!Q363,Model!V363,Model!AA363,Model!AF363,Model!AK363),"")</f>
        <v>0.189299183577892</v>
      </c>
      <c r="K44" s="90">
        <f>IFERROR(MIN(Model!C363,Model!D363,Model!E363,Model!F363,Model!G363,Model!H363,Model!I363,Model!J363,Model!K363,Model!L363,Model!Q363,Model!V363,Model!AA363,Model!AF363,Model!AK363),"")</f>
        <v>0.146306299832142</v>
      </c>
      <c r="L44" s="90">
        <f>IFERROR(MAX(Model!C363,Model!D363,Model!E363,Model!F363,Model!G363,Model!H363,Model!I363,Model!J363,Model!K363,Model!L363,Model!Q363,Model!V363,Model!AA363,Model!AF363,Model!AK363),"")</f>
        <v>0.247199145686478</v>
      </c>
      <c r="N44" s="79" t="inlineStr">
        <is>
          <t>ROIC</t>
        </is>
      </c>
      <c r="O44" s="86" t="n">
        <v>0.210260468947057</v>
      </c>
      <c r="P44" s="87" t="n">
        <v>0.16740029978814</v>
      </c>
      <c r="Q44" s="87" t="n">
        <v>0.18258317028007</v>
      </c>
      <c r="R44" s="87" t="n">
        <v>0.191449667838069</v>
      </c>
      <c r="S44" s="87" t="n">
        <v>0.201610943065892</v>
      </c>
      <c r="T44" s="87" t="n">
        <v>0.212596838716479</v>
      </c>
      <c r="V44" s="90" t="n">
        <v>0.189299183577892</v>
      </c>
      <c r="W44" s="90" t="n">
        <v>0.146306299832142</v>
      </c>
      <c r="X44" s="90" t="n">
        <v>0.247199145686478</v>
      </c>
      <c r="Z44" s="79" t="inlineStr">
        <is>
          <t>ROIC</t>
        </is>
      </c>
      <c r="AA44" s="86" t="n">
        <v>0.210260468947057</v>
      </c>
      <c r="AB44" s="87" t="n">
        <v>0.158056480768376</v>
      </c>
      <c r="AC44" s="87" t="n">
        <v>0.145579850667905</v>
      </c>
      <c r="AD44" s="87" t="n">
        <v>0.152333323421235</v>
      </c>
      <c r="AE44" s="87" t="n">
        <v>0.159621491876336</v>
      </c>
      <c r="AF44" s="87" t="n">
        <v>0.16690719935567</v>
      </c>
      <c r="AH44" s="90" t="n">
        <v>0.189299183577892</v>
      </c>
      <c r="AI44" s="90" t="n">
        <v>0.146306299832142</v>
      </c>
      <c r="AJ44" s="90" t="n">
        <v>0.247199145686478</v>
      </c>
    </row>
    <row r="45" ht="15" customHeight="1" s="251">
      <c r="B45" s="79" t="inlineStr">
        <is>
          <t>RONTA</t>
        </is>
      </c>
      <c r="C45" s="86">
        <f>Model!AK374</f>
        <v>0.353739066424179</v>
      </c>
      <c r="D45" s="87">
        <f>Model!AP374</f>
        <v>0.324546237171056</v>
      </c>
      <c r="E45" s="87">
        <f>Model!AQ374</f>
        <v>0.36333375469917</v>
      </c>
      <c r="F45" s="87">
        <f>Model!AR374</f>
        <v>0.384338300349868</v>
      </c>
      <c r="G45" s="87">
        <f>Model!AS374</f>
        <v>0.407163661744738</v>
      </c>
      <c r="H45" s="87">
        <f>Model!AT374</f>
        <v>0.43062826228328</v>
      </c>
      <c r="J45" s="90">
        <f>IFERROR(AVERAGE(Model!C374,Model!D374,Model!E374,Model!F374,Model!G374,Model!H374,Model!I374,Model!J374,Model!K374,Model!L374,Model!Q374,Model!V374,Model!AA374,Model!AF374,Model!AK374),"")</f>
        <v>0.390038518983454</v>
      </c>
      <c r="K45" s="90">
        <f>IFERROR(MIN(Model!C374,Model!D374,Model!E374,Model!F374,Model!G374,Model!H374,Model!I374,Model!J374,Model!K374,Model!L374,Model!Q374,Model!V374,Model!AA374,Model!AF374,Model!AK374),"")</f>
        <v>0.236450093592874</v>
      </c>
      <c r="L45" s="90">
        <f>IFERROR(MAX(Model!C374,Model!D374,Model!E374,Model!F374,Model!G374,Model!H374,Model!I374,Model!J374,Model!K374,Model!L374,Model!Q374,Model!V374,Model!AA374,Model!AF374,Model!AK374),"")</f>
        <v>0.544513069374926</v>
      </c>
      <c r="N45" s="79" t="inlineStr">
        <is>
          <t>RONTA</t>
        </is>
      </c>
      <c r="O45" s="86" t="n">
        <v>0.353739066424179</v>
      </c>
      <c r="P45" s="87" t="n">
        <v>0.34901058756629</v>
      </c>
      <c r="Q45" s="87" t="n">
        <v>0.405426215247273</v>
      </c>
      <c r="R45" s="87" t="n">
        <v>0.436964489849164</v>
      </c>
      <c r="S45" s="87" t="n">
        <v>0.471401457770889</v>
      </c>
      <c r="T45" s="87" t="n">
        <v>0.507544760111158</v>
      </c>
      <c r="V45" s="90" t="n">
        <v>0.390038518983454</v>
      </c>
      <c r="W45" s="90" t="n">
        <v>0.236450093592874</v>
      </c>
      <c r="X45" s="90" t="n">
        <v>0.5445130693749261</v>
      </c>
      <c r="Z45" s="79" t="inlineStr">
        <is>
          <t>RONTA</t>
        </is>
      </c>
      <c r="AA45" s="86" t="n">
        <v>0.353739066424179</v>
      </c>
      <c r="AB45" s="87" t="n">
        <v>0.307856424633024</v>
      </c>
      <c r="AC45" s="87" t="n">
        <v>0.236156585218051</v>
      </c>
      <c r="AD45" s="87" t="n">
        <v>0.22567893629045</v>
      </c>
      <c r="AE45" s="87" t="n">
        <v>0.240212373619492</v>
      </c>
      <c r="AF45" s="87" t="n">
        <v>0.255269969504789</v>
      </c>
      <c r="AH45" s="90" t="n">
        <v>0.390038518983454</v>
      </c>
      <c r="AI45" s="90" t="n">
        <v>0.236450093592874</v>
      </c>
      <c r="AJ45" s="90" t="n">
        <v>0.5445130693749261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11615.6902827448</v>
      </c>
      <c r="H47" s="104">
        <f>H27*H21</f>
        <v>12298.5168959204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15516.1673821569</v>
      </c>
      <c r="T47" s="104">
        <f>T27*T21</f>
        <v>16892.5597250116</v>
      </c>
      <c r="Z47" s="83" t="inlineStr">
        <is>
          <t>Implied Market Cap (USDm)</t>
        </is>
      </c>
      <c r="AC47" s="104" t="n"/>
      <c r="AD47" s="104">
        <f>AD27*AD21</f>
        <v>6818.20323205928</v>
      </c>
      <c r="AE47" s="104">
        <f>AE27*AE21</f>
        <v>7015.58949565103</v>
      </c>
      <c r="AF47" s="104">
        <f>AF27*AF21</f>
        <v>7164.77857550476</v>
      </c>
    </row>
    <row r="48" ht="15" customHeight="1" s="251">
      <c r="B48" s="83" t="inlineStr">
        <is>
          <t>(+) Net Debt &amp; NCI</t>
        </is>
      </c>
      <c r="E48" s="104" t="n"/>
      <c r="F48" s="104">
        <f>F38+Model!AR297</f>
        <v>4329.235756949</v>
      </c>
      <c r="G48" s="104">
        <f>G38+Model!AS297</f>
        <v>4595.47815781657</v>
      </c>
      <c r="H48" s="104">
        <f>H38+Model!AT297</f>
        <v>4883.15144984886</v>
      </c>
      <c r="N48" s="83" t="inlineStr">
        <is>
          <t>(+) Net Debt &amp; NCI</t>
        </is>
      </c>
      <c r="Q48" s="104" t="n"/>
      <c r="R48" s="104">
        <f>R38+Model!AR297</f>
        <v>5308.3207659484</v>
      </c>
      <c r="S48" s="104">
        <f>S38+Model!AS297</f>
        <v>5794.86367907024</v>
      </c>
      <c r="T48" s="104">
        <f>T38+Model!AT297</f>
        <v>6327.66925721108</v>
      </c>
      <c r="Z48" s="83" t="inlineStr">
        <is>
          <t>(+) Net Debt &amp; NCI</t>
        </is>
      </c>
      <c r="AC48" s="104" t="n"/>
      <c r="AD48" s="104">
        <f>AD38+Model!AR297</f>
        <v>2977.29297501198</v>
      </c>
      <c r="AE48" s="104">
        <f>AE38+Model!AS297</f>
        <v>3041.46642558783</v>
      </c>
      <c r="AF48" s="104">
        <f>AF38+Model!AT297</f>
        <v>3111.67510442614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4329.235756949</v>
      </c>
      <c r="G49" s="104">
        <f>G47+G48</f>
        <v>16211.1684405614</v>
      </c>
      <c r="H49" s="104">
        <f>H47+H48</f>
        <v>17181.6683457693</v>
      </c>
      <c r="N49" s="83" t="inlineStr">
        <is>
          <t>Implied Enterprise Value (USDm)</t>
        </is>
      </c>
      <c r="Q49" s="104" t="n"/>
      <c r="R49" s="104">
        <f>R47+R48</f>
        <v>5308.3207659484</v>
      </c>
      <c r="S49" s="104">
        <f>S47+S48</f>
        <v>21311.0310612271</v>
      </c>
      <c r="T49" s="104">
        <f>T47+T48</f>
        <v>23220.2289822227</v>
      </c>
      <c r="Z49" s="83" t="inlineStr">
        <is>
          <t>Implied Enterprise Value (USDm)</t>
        </is>
      </c>
      <c r="AC49" s="104" t="n"/>
      <c r="AD49" s="104">
        <f>AD47+AD48</f>
        <v>9795.49620707127</v>
      </c>
      <c r="AE49" s="104">
        <f>AE47+AE48</f>
        <v>10057.0559212389</v>
      </c>
      <c r="AF49" s="104">
        <f>AF47+AF48</f>
        <v>10276.4536799309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3</v>
      </c>
      <c r="G50" s="105">
        <f>IFERROR(G49/G35,"")</f>
        <v>10.582904248813</v>
      </c>
      <c r="H50" s="105">
        <f>IFERROR(H49/H35,"")</f>
        <v>10.5556842884534</v>
      </c>
      <c r="N50" s="83" t="inlineStr">
        <is>
          <t>Implied EV / Adjusted EBITDA (x)</t>
        </is>
      </c>
      <c r="Q50" s="105" t="n"/>
      <c r="R50" s="105">
        <f>IFERROR(R49/R35,"")</f>
        <v>3.25</v>
      </c>
      <c r="S50" s="105">
        <f>IFERROR(S49/S35,"")</f>
        <v>11.9521104869374</v>
      </c>
      <c r="T50" s="105">
        <f>IFERROR(T49/T35,"")</f>
        <v>11.9263098503801</v>
      </c>
      <c r="Z50" s="83" t="inlineStr">
        <is>
          <t>Implied EV / Adjusted EBITDA (x)</t>
        </is>
      </c>
      <c r="AC50" s="105" t="n"/>
      <c r="AD50" s="105">
        <f>IFERROR(AD49/AD35,"")</f>
        <v>8.22516988526454</v>
      </c>
      <c r="AE50" s="105">
        <f>IFERROR(AE49/AE35,"")</f>
        <v>8.26661757354031</v>
      </c>
      <c r="AF50" s="105">
        <f>IFERROR(AF49/AF35,"")</f>
        <v>8.25636782043322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BOOZ ALLEN HAMILTON HOLDING CORPORATION (BAH)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</v>
      </c>
      <c r="D7" s="198" t="inlineStr">
        <is>
          <t>Assumption: government IT / consulting services peers (CACI, SAIC, Leidos, Parsons) ~0.6–1.0; ~98% U.S. government revenue on cost-reimbursable contracts, but Civil budget and procurement-policy risk (FY26 Civil −22%) and the 2025–26 de-rating argue for the top of the range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0.0925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0.0575</v>
      </c>
      <c r="D9" s="198" t="inlineStr">
        <is>
          <t>Aug-2026 notes at 5.375% (2030) and 5.900% (2034) (8-K 4-Aug-2026); 2033 / 2035 notes 5.950%; marginal cost ~5.75%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0.225</v>
      </c>
      <c r="D10" s="198" t="inlineStr">
        <is>
          <t>Model FY2028E+ effective tax rate (FY27 guidance 20–23%)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0.0445625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0.3</v>
      </c>
      <c r="D12" s="198" t="inlineStr">
        <is>
          <t>Net debt ~$3.9bn at FY2027E YE (post-Ultra) vs ~$9.0bn market cap ($75.00 × ~120m diluted shares); net leverage ~3.0x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0.07811875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2026-10-12 00:00:00</v>
      </c>
      <c r="D15" s="198" t="inlineStr">
        <is>
          <t>Periods = (31-Mar of fiscal year − today) / 365.25; cash flows assumed at fiscal year-end (31 March). FY2027E UFCF is excluded from the PV (its cash flows, incl. the $720m Ultra payment, are in the FY2027E year-end net debt deducted below); explicit years FY2028E–31E.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28–31E</t>
        </is>
      </c>
      <c r="Q17" s="204" t="inlineStr">
        <is>
          <t>CAGR 28–36E</t>
        </is>
      </c>
    </row>
    <row r="18" ht="15.75" customHeight="1" s="251">
      <c r="A18" s="192" t="n"/>
      <c r="B18" s="197" t="inlineStr">
        <is>
          <t>Adj. EBITA (before acquisition amortization) less acquisition, restructuring, legal &amp; financing costs</t>
        </is>
      </c>
      <c r="C18" s="192" t="n"/>
      <c r="D18" s="173">
        <f>Model!AP181-Model!AP184</f>
        <v>1147.1978021978</v>
      </c>
      <c r="E18" s="173">
        <f>Model!AQ181-Model!AQ184</f>
        <v>1240.25059150585</v>
      </c>
      <c r="F18" s="173">
        <f>Model!AR181-Model!AR184</f>
        <v>1313.83062231784</v>
      </c>
      <c r="G18" s="173">
        <f>Model!AS181-Model!AS184</f>
        <v>1396.24073228925</v>
      </c>
      <c r="H18" s="173">
        <f>Model!AT181-Model!AT184</f>
        <v>1485.24359542139</v>
      </c>
      <c r="I18" s="174">
        <f>H18*(1+I$26)</f>
        <v>1552.07955721536</v>
      </c>
      <c r="J18" s="174">
        <f>I18*(1+J$26)</f>
        <v>1616.10283895049</v>
      </c>
      <c r="K18" s="174">
        <f>J18*(1+K$26)</f>
        <v>1676.70669541113</v>
      </c>
      <c r="L18" s="174">
        <f>K18*(1+L$26)</f>
        <v>1733.29554638126</v>
      </c>
      <c r="M18" s="174">
        <f>L18*(1+M$26)</f>
        <v>1785.2944127727</v>
      </c>
      <c r="N18" s="192" t="n"/>
      <c r="O18" s="192" t="n"/>
      <c r="P18" s="176">
        <f>(H18/D18)^(1/(COLUMNS(D18:H18)-1))-1</f>
        <v>0.0666939834185889</v>
      </c>
      <c r="Q18" s="176">
        <f>(M18/D18)^(1/(COLUMNS(D18:M18)-1))-1</f>
        <v>0.0503675160228385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0.775</v>
      </c>
      <c r="E19" s="177">
        <f>1-$C$10</f>
        <v>0.775</v>
      </c>
      <c r="F19" s="177">
        <f>1-$C$10</f>
        <v>0.775</v>
      </c>
      <c r="G19" s="177">
        <f>1-$C$10</f>
        <v>0.775</v>
      </c>
      <c r="H19" s="177">
        <f>1-$C$10</f>
        <v>0.775</v>
      </c>
      <c r="I19" s="177">
        <f>1-$C$10</f>
        <v>0.775</v>
      </c>
      <c r="J19" s="177">
        <f>1-$C$10</f>
        <v>0.775</v>
      </c>
      <c r="K19" s="177">
        <f>1-$C$10</f>
        <v>0.775</v>
      </c>
      <c r="L19" s="177">
        <f>1-$C$10</f>
        <v>0.775</v>
      </c>
      <c r="M19" s="177">
        <f>1-$C$10</f>
        <v>0.775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889.078296703297</v>
      </c>
      <c r="E20" s="174">
        <f>E18*E19</f>
        <v>961.194208417035</v>
      </c>
      <c r="F20" s="174">
        <f>F18*F19</f>
        <v>1018.21873229632</v>
      </c>
      <c r="G20" s="174">
        <f>G18*G19</f>
        <v>1082.08656752417</v>
      </c>
      <c r="H20" s="174">
        <f>H18*H19</f>
        <v>1151.06378645158</v>
      </c>
      <c r="I20" s="174">
        <f>I18*I19</f>
        <v>1202.8616568419</v>
      </c>
      <c r="J20" s="174">
        <f>J18*J19</f>
        <v>1252.47970018663</v>
      </c>
      <c r="K20" s="174">
        <f>K18*K19</f>
        <v>1299.44768894363</v>
      </c>
      <c r="L20" s="174">
        <f>L18*L19</f>
        <v>1343.30404844548</v>
      </c>
      <c r="M20" s="174">
        <f>M18*M19</f>
        <v>1383.60316989884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depreciation &amp; other amortization (acquisition amortization is outside the NOPAT basis)</t>
        </is>
      </c>
      <c r="C21" s="192" t="n"/>
      <c r="D21" s="173">
        <f>Model!AP104</f>
        <v>120</v>
      </c>
      <c r="E21" s="173">
        <f>Model!AQ104</f>
        <v>119.20437171626</v>
      </c>
      <c r="F21" s="173">
        <f>Model!AR104</f>
        <v>124.747963331829</v>
      </c>
      <c r="G21" s="173">
        <f>Model!AS104</f>
        <v>131.085320316274</v>
      </c>
      <c r="H21" s="173">
        <f>Model!AT104</f>
        <v>137.973554528228</v>
      </c>
      <c r="I21" s="174">
        <f>H21*(1+I$26)</f>
        <v>144.182364481998</v>
      </c>
      <c r="J21" s="174">
        <f>I21*(1+J$26)</f>
        <v>150.129887016881</v>
      </c>
      <c r="K21" s="174">
        <f>J21*(1+K$26)</f>
        <v>155.759757780014</v>
      </c>
      <c r="L21" s="174">
        <f>K21*(1+L$26)</f>
        <v>161.016649605089</v>
      </c>
      <c r="M21" s="174">
        <f>L21*(1+M$26)</f>
        <v>165.847149093242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and acquisitions (Ultra in FY2027E; M&amp;A lever 2028E–31E)</t>
        </is>
      </c>
      <c r="C22" s="192" t="n"/>
      <c r="D22" s="173">
        <f>Model!AP236+Model!AP237</f>
        <v>-1160</v>
      </c>
      <c r="E22" s="173">
        <f>Model!AQ236+Model!AQ237</f>
        <v>-257.283934544634</v>
      </c>
      <c r="F22" s="173">
        <f>Model!AR236+Model!AR237</f>
        <v>-262.273166998646</v>
      </c>
      <c r="G22" s="173">
        <f>Model!AS236+Model!AS237</f>
        <v>-267.976788284646</v>
      </c>
      <c r="H22" s="173">
        <f>Model!AT236+Model!AT237</f>
        <v>-274.176199075405</v>
      </c>
      <c r="I22" s="174">
        <f>Model!AT236*(1+I$26)</f>
        <v>-129.764128033798</v>
      </c>
      <c r="J22" s="174">
        <f>I22*(1+J$26)</f>
        <v>-135.116898315193</v>
      </c>
      <c r="K22" s="174">
        <f>J22*(1+K$26)</f>
        <v>-140.183782002012</v>
      </c>
      <c r="L22" s="174">
        <f>K22*(1+L$26)</f>
        <v>-144.91498464458</v>
      </c>
      <c r="M22" s="174">
        <f>L22*(1+M$26)</f>
        <v>-149.262434183918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Model!AP234</f>
        <v>121.992307692308</v>
      </c>
      <c r="E23" s="173">
        <f>Model!AQ234</f>
        <v>-15.8943031060511</v>
      </c>
      <c r="F23" s="173">
        <f>Model!AR234</f>
        <v>-24.3640284944291</v>
      </c>
      <c r="G23" s="173">
        <f>Model!AS234</f>
        <v>-27.8526191782864</v>
      </c>
      <c r="H23" s="173">
        <f>Model!AT234</f>
        <v>-30.273718963176</v>
      </c>
      <c r="I23" s="174">
        <f>H23*(1+I$26)</f>
        <v>-31.6360363165189</v>
      </c>
      <c r="J23" s="174">
        <f>I23*(1+J$26)</f>
        <v>-32.9410228145754</v>
      </c>
      <c r="K23" s="174">
        <f>J23*(1+K$26)</f>
        <v>-34.1763111701219</v>
      </c>
      <c r="L23" s="174">
        <f>K23*(1+L$26)</f>
        <v>-35.3297616721135</v>
      </c>
      <c r="M23" s="174">
        <f>L23*(1+M$26)</f>
        <v>-36.389654522277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-28.9293956043956</v>
      </c>
      <c r="E24" s="219">
        <f>E20+E21+E22+E23</f>
        <v>807.22034248261</v>
      </c>
      <c r="F24" s="219">
        <f>F20+F21+F22+F23</f>
        <v>856.329500135077</v>
      </c>
      <c r="G24" s="219">
        <f>G20+G21+G22+G23</f>
        <v>917.342480377508</v>
      </c>
      <c r="H24" s="219">
        <f>H20+H21+H22+H23</f>
        <v>984.587422941227</v>
      </c>
      <c r="I24" s="219">
        <f>I20+I21+I22+I23</f>
        <v>1185.64385697358</v>
      </c>
      <c r="J24" s="219">
        <f>J20+J21+J22+J23</f>
        <v>1234.55166607374</v>
      </c>
      <c r="K24" s="219">
        <f>K20+K21+K22+K23</f>
        <v>1280.84735355151</v>
      </c>
      <c r="L24" s="219">
        <f>L20+L21+L22+L23</f>
        <v>1324.07595173387</v>
      </c>
      <c r="M24" s="219">
        <f>M20+M21+M22+M23</f>
        <v>1363.79823028589</v>
      </c>
      <c r="N24" s="219">
        <f>M24*(1+$C$27)</f>
        <v>1397.89318604303</v>
      </c>
      <c r="O24" s="192" t="n"/>
      <c r="P24" s="181">
        <f>IFERROR((H24/E24)^(1/(COLUMNS(E24:H24)-1))-1,"n/m")</f>
        <v>0.068449652085353</v>
      </c>
      <c r="Q24" s="181">
        <f>IFERROR((M24/E24)^(1/(COLUMNS(E24:M24)-1))-1,"n/m")</f>
        <v>0.0677504253012031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26316.3795466391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4.5% → 3.0%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0.045</v>
      </c>
      <c r="J26" s="183">
        <f>I26+($M$26-$I$26)/4</f>
        <v>0.04125</v>
      </c>
      <c r="K26" s="183">
        <f>J26+($M$26-$I$26)/4</f>
        <v>0.0375</v>
      </c>
      <c r="L26" s="183">
        <f>K26+($M$26-$I$26)/4</f>
        <v>0.03375</v>
      </c>
      <c r="M26" s="182" t="n">
        <v>0.03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0.025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(DATE(2027,3,31)-$C$15)/365.25</f>
        <v>0.465434633812457</v>
      </c>
      <c r="E29" s="177">
        <f>(DATE(2028,3,31)-$C$15)/365.25</f>
        <v>1.46748802190281</v>
      </c>
      <c r="F29" s="177">
        <f>(DATE(2029,3,31)-$C$15)/365.25</f>
        <v>2.46680355920602</v>
      </c>
      <c r="G29" s="177">
        <f>(DATE(2030,3,31)-$C$15)/365.25</f>
        <v>3.46611909650924</v>
      </c>
      <c r="H29" s="177">
        <f>(DATE(2031,3,31)-$C$15)/365.25</f>
        <v>4.46543463381246</v>
      </c>
      <c r="I29" s="177">
        <f>(DATE(2032,3,31)-$C$15)/365.25</f>
        <v>5.46748802190281</v>
      </c>
      <c r="J29" s="177">
        <f>(DATE(2033,3,31)-$C$15)/365.25</f>
        <v>6.46680355920602</v>
      </c>
      <c r="K29" s="177">
        <f>(DATE(2034,3,31)-$C$15)/365.25</f>
        <v>7.46611909650924</v>
      </c>
      <c r="L29" s="177">
        <f>(DATE(2035,3,31)-$C$15)/365.25</f>
        <v>8.46543463381246</v>
      </c>
      <c r="M29" s="177">
        <f>(DATE(2036,3,31)-$C$15)/365.25</f>
        <v>9.46748802190281</v>
      </c>
      <c r="N29" s="177">
        <f>M29</f>
        <v>9.46748802190281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0.965596834633774</v>
      </c>
      <c r="E30" s="185">
        <f>1/(1+$C$13)^E29</f>
        <v>0.895492921145486</v>
      </c>
      <c r="F30" s="185">
        <f>1/(1+$C$13)^F29</f>
        <v>0.830649708655422</v>
      </c>
      <c r="G30" s="185">
        <f>1/(1+$C$13)^G29</f>
        <v>0.77050183446089</v>
      </c>
      <c r="H30" s="185">
        <f>1/(1+$C$13)^H29</f>
        <v>0.714709306126861</v>
      </c>
      <c r="I30" s="185">
        <f>1/(1+$C$13)^I29</f>
        <v>0.662820238589689</v>
      </c>
      <c r="J30" s="185">
        <f>1/(1+$C$13)^J29</f>
        <v>0.614825003162693</v>
      </c>
      <c r="K30" s="185">
        <f>1/(1+$C$13)^K29</f>
        <v>0.570305133286686</v>
      </c>
      <c r="L30" s="185">
        <f>1/(1+$C$13)^L29</f>
        <v>0.529008975529706</v>
      </c>
      <c r="M30" s="185">
        <f>1/(1+$C$13)^M29</f>
        <v>0.490602056487632</v>
      </c>
      <c r="N30" s="185">
        <f>1/(1+$C$13)^N29</f>
        <v>0.490602056487632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0*D24*D30</f>
        <v>0</v>
      </c>
      <c r="E31" s="222">
        <f>E24*E30</f>
        <v>722.860102497812</v>
      </c>
      <c r="F31" s="222">
        <f>F24*F30</f>
        <v>711.309849800245</v>
      </c>
      <c r="G31" s="222">
        <f>G24*G30</f>
        <v>706.814063959772</v>
      </c>
      <c r="H31" s="222">
        <f>H24*H30</f>
        <v>703.693793871559</v>
      </c>
      <c r="I31" s="222">
        <f>I24*I30</f>
        <v>785.868744161628</v>
      </c>
      <c r="J31" s="222">
        <f>J24*J30</f>
        <v>759.033231998296</v>
      </c>
      <c r="K31" s="222">
        <f>K24*K30</f>
        <v>730.473820687091</v>
      </c>
      <c r="L31" s="222">
        <f>L24*L30</f>
        <v>700.448062750255</v>
      </c>
      <c r="M31" s="222">
        <f>M24*M30</f>
        <v>669.082216412449</v>
      </c>
      <c r="N31" s="222">
        <f>N25*N30</f>
        <v>12910.8699248902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Booz Allen's adjusted EBITDA expenses stock-based compensation (not adjusted out since FY2016). NOPAT is taxed on adjusted EBITA (before acquisition amortization, which is non-cash and excluded) less the cash items the company adjusts out (other corporate / acquisition costs, restructuring, legal matters, financing costs); row 21 adds back depreciation &amp; other amortization only. FY2027E (column D) is shown but not discounted: its cash flows, including the $720m Ultra acquisition, are already in the FY2027E year-end net debt. Row 22 includes bolt-on acquisitions in FY2028E–31E; the fade period and terminal value assume no new acquisitions. Operating leases are treated as operating costs (not in net debt).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Model!AK360</f>
        <v>4317</v>
      </c>
      <c r="E34" s="174">
        <f>D38</f>
        <v>5235.00769230769</v>
      </c>
      <c r="F34" s="174">
        <f>E38</f>
        <v>5388.98155824212</v>
      </c>
      <c r="G34" s="174">
        <f>F38</f>
        <v>5550.87079040336</v>
      </c>
      <c r="H34" s="174">
        <f>G38</f>
        <v>5715.61487755002</v>
      </c>
      <c r="I34" s="174">
        <f>H38</f>
        <v>5882.09124106038</v>
      </c>
      <c r="J34" s="174">
        <f>I38</f>
        <v>5899.3090409287</v>
      </c>
      <c r="K34" s="174">
        <f>J38</f>
        <v>5917.23707504158</v>
      </c>
      <c r="L34" s="174">
        <f>K38</f>
        <v>5935.8374104337</v>
      </c>
      <c r="M34" s="174">
        <f>L38</f>
        <v>5955.06550714531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1160</v>
      </c>
      <c r="E35" s="174">
        <f>-E22</f>
        <v>257.283934544634</v>
      </c>
      <c r="F35" s="174">
        <f>-F22</f>
        <v>262.273166998646</v>
      </c>
      <c r="G35" s="174">
        <f>-G22</f>
        <v>267.976788284646</v>
      </c>
      <c r="H35" s="174">
        <f>-H22</f>
        <v>274.176199075405</v>
      </c>
      <c r="I35" s="174">
        <f>-I22</f>
        <v>129.764128033798</v>
      </c>
      <c r="J35" s="174">
        <f>-J22</f>
        <v>135.116898315193</v>
      </c>
      <c r="K35" s="174">
        <f>-K22</f>
        <v>140.183782002012</v>
      </c>
      <c r="L35" s="174">
        <f>-L22</f>
        <v>144.91498464458</v>
      </c>
      <c r="M35" s="174">
        <f>-M22</f>
        <v>149.262434183918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-120</v>
      </c>
      <c r="E36" s="174">
        <f>-E21</f>
        <v>-119.20437171626</v>
      </c>
      <c r="F36" s="174">
        <f>-F21</f>
        <v>-124.747963331829</v>
      </c>
      <c r="G36" s="174">
        <f>-G21</f>
        <v>-131.085320316274</v>
      </c>
      <c r="H36" s="174">
        <f>-H21</f>
        <v>-137.973554528228</v>
      </c>
      <c r="I36" s="174">
        <f>-I21</f>
        <v>-144.182364481998</v>
      </c>
      <c r="J36" s="174">
        <f>-J21</f>
        <v>-150.129887016881</v>
      </c>
      <c r="K36" s="174">
        <f>-K21</f>
        <v>-155.759757780014</v>
      </c>
      <c r="L36" s="174">
        <f>-L21</f>
        <v>-161.016649605089</v>
      </c>
      <c r="M36" s="174">
        <f>-M21</f>
        <v>-165.847149093242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-121.992307692308</v>
      </c>
      <c r="E37" s="174">
        <f>-E23</f>
        <v>15.8943031060511</v>
      </c>
      <c r="F37" s="174">
        <f>-F23</f>
        <v>24.3640284944291</v>
      </c>
      <c r="G37" s="174">
        <f>-G23</f>
        <v>27.8526191782864</v>
      </c>
      <c r="H37" s="174">
        <f>-H23</f>
        <v>30.273718963176</v>
      </c>
      <c r="I37" s="174">
        <f>-I23</f>
        <v>31.6360363165189</v>
      </c>
      <c r="J37" s="174">
        <f>-J23</f>
        <v>32.9410228145754</v>
      </c>
      <c r="K37" s="174">
        <f>-K23</f>
        <v>34.1763111701219</v>
      </c>
      <c r="L37" s="174">
        <f>-L23</f>
        <v>35.3297616721135</v>
      </c>
      <c r="M37" s="174">
        <f>-M23</f>
        <v>36.389654522277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5235.00769230769</v>
      </c>
      <c r="E38" s="224">
        <f>SUM(E34:E37)</f>
        <v>5388.98155824212</v>
      </c>
      <c r="F38" s="224">
        <f>SUM(F34:F37)</f>
        <v>5550.87079040336</v>
      </c>
      <c r="G38" s="224">
        <f>SUM(G34:G37)</f>
        <v>5715.61487755002</v>
      </c>
      <c r="H38" s="224">
        <f>SUM(H34:H37)</f>
        <v>5882.09124106038</v>
      </c>
      <c r="I38" s="224">
        <f>SUM(I34:I37)</f>
        <v>5899.3090409287</v>
      </c>
      <c r="J38" s="224">
        <f>SUM(J34:J37)</f>
        <v>5917.23707504158</v>
      </c>
      <c r="K38" s="224">
        <f>SUM(K34:K37)</f>
        <v>5935.8374104337</v>
      </c>
      <c r="L38" s="224">
        <f>SUM(L34:L37)</f>
        <v>5955.06550714531</v>
      </c>
      <c r="M38" s="224">
        <f>SUM(M34:M37)</f>
        <v>5974.87044675826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889.078296703297</v>
      </c>
      <c r="E39" s="174">
        <f>E20</f>
        <v>961.194208417035</v>
      </c>
      <c r="F39" s="174">
        <f>F20</f>
        <v>1018.21873229632</v>
      </c>
      <c r="G39" s="174">
        <f>G20</f>
        <v>1082.08656752417</v>
      </c>
      <c r="H39" s="174">
        <f>H20</f>
        <v>1151.06378645158</v>
      </c>
      <c r="I39" s="174">
        <f>I20</f>
        <v>1202.8616568419</v>
      </c>
      <c r="J39" s="174">
        <f>J20</f>
        <v>1252.47970018663</v>
      </c>
      <c r="K39" s="174">
        <f>K20</f>
        <v>1299.44768894363</v>
      </c>
      <c r="L39" s="174">
        <f>L20</f>
        <v>1343.30404844548</v>
      </c>
      <c r="M39" s="174">
        <f>M20</f>
        <v>1383.60316989884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0.186155272345369</v>
      </c>
      <c r="E40" s="180">
        <f>IFERROR(E39/AVERAGE(E34,E38),"")</f>
        <v>0.18094788798234</v>
      </c>
      <c r="F40" s="180">
        <f>IFERROR(F39/AVERAGE(F34,F38),"")</f>
        <v>0.186148532877118</v>
      </c>
      <c r="G40" s="180">
        <f>IFERROR(G39/AVERAGE(G34,G38),"")</f>
        <v>0.192089458845552</v>
      </c>
      <c r="H40" s="180">
        <f>IFERROR(H39/AVERAGE(H34,H38),"")</f>
        <v>0.198498526291248</v>
      </c>
      <c r="I40" s="180">
        <f>IFERROR(I39/AVERAGE(I34,I38),"")</f>
        <v>0.204196721620738</v>
      </c>
      <c r="J40" s="180">
        <f>IFERROR(J39/AVERAGE(J34,J38),"")</f>
        <v>0.211987443351807</v>
      </c>
      <c r="K40" s="180">
        <f>IFERROR(K39/AVERAGE(K34,K38),"")</f>
        <v>0.219259178795504</v>
      </c>
      <c r="L40" s="180">
        <f>IFERROR(L39/AVERAGE(L34,L38),"")</f>
        <v>0.225938107098594</v>
      </c>
      <c r="M40" s="180">
        <f>IFERROR(M39/AVERAGE(M34,M38),"")</f>
        <v>0.23195483617766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1.0325386365989</v>
      </c>
      <c r="E41" s="175">
        <f>IFERROR(SUM(E35:E37)/E39,"")</f>
        <v>0.160190172377339</v>
      </c>
      <c r="F41" s="175">
        <f>IFERROR(SUM(F35:F37)/F39,"")</f>
        <v>0.158992588749716</v>
      </c>
      <c r="G41" s="175">
        <f>IFERROR(SUM(G35:G37)/G39,"")</f>
        <v>0.15224667978607</v>
      </c>
      <c r="H41" s="175">
        <f>IFERROR(SUM(H35:H37)/H39,"")</f>
        <v>0.144628269492827</v>
      </c>
      <c r="I41" s="175">
        <f>IFERROR(SUM(I35:I37)/I39,"")</f>
        <v>0.0143140316846779</v>
      </c>
      <c r="J41" s="175">
        <f>IFERROR(SUM(J35:J37)/J39,"")</f>
        <v>0.0143140316846779</v>
      </c>
      <c r="K41" s="175">
        <f>IFERROR(SUM(K35:K37)/K39,"")</f>
        <v>0.0143140316846779</v>
      </c>
      <c r="L41" s="175">
        <f>IFERROR(SUM(L35:L37)/L39,"")</f>
        <v>0.0143140316846779</v>
      </c>
      <c r="M41" s="175">
        <f>IFERROR(SUM(M35:M37)/M39,"")</f>
        <v>0.0143140316846779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1.74653798110288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FY2026A book IC (equity + net debt), rolled forward with capex + acquisitions (incl. Ultra in FY2027E) − depreciation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6489.58388613911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12910.8699248902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19400.4538110293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FY2027E year end, 31-Mar-2027, after the Ultra payment)</t>
        </is>
      </c>
      <c r="C48" s="173">
        <f>Model!AP380+Model!AP297</f>
        <v>3833.66413489</v>
      </c>
      <c r="D48" s="198" t="inlineStr">
        <is>
          <t>BAH: no non-controlling interests after FY2025; net debt taken at the FY2027E year end, so the FY2027E UFCF (column D) is excluded from the PV.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15566.7896761393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FY2027E period end)</t>
        </is>
      </c>
      <c r="C50" s="186">
        <f>Model!AP386</f>
        <v>119.104145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130.698975053633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Model!AP385</f>
        <v>75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0.742653000715107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0.176039720535134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107.690764010963</v>
      </c>
      <c r="D55" s="175">
        <f>C55/C52-1</f>
        <v>0.435876853479507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0.06811875</v>
      </c>
      <c r="E61" s="228">
        <f>F61-0.005</f>
        <v>0.07311875</v>
      </c>
      <c r="F61" s="228">
        <f>$C$13</f>
        <v>0.07811875</v>
      </c>
      <c r="G61" s="228">
        <f>F61+0.005</f>
        <v>0.08311875</v>
      </c>
      <c r="H61" s="234">
        <f>F61+0.01</f>
        <v>0.08811875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0.015</v>
      </c>
      <c r="C62" s="192" t="n"/>
      <c r="D62" s="225">
        <f t="array" ref="D62">IFERROR((SUMPRODUCT($D$24:$M$24/(1+D$61)^$D$29:$M$29)+($M$24*(1+$B62)/(D$61-$B62))/(1+D$61)^$M$29-$C$48)/$C$50,"")</f>
        <v>142.158196363453</v>
      </c>
      <c r="E62" s="225">
        <f t="array" ref="E62">IFERROR((SUMPRODUCT($D$24:$M$24/(1+E$61)^$D$29:$M$29)+($M$24*(1+$B62)/(E$61-$B62))/(1+E$61)^$M$29-$C$48)/$C$50,"")</f>
        <v>125.986166970456</v>
      </c>
      <c r="F62" s="225">
        <f t="array" ref="F62">IFERROR((SUMPRODUCT($D$24:$M$24/(1+F$61)^$D$29:$M$29)+($M$24*(1+$B62)/(F$61-$B62))/(1+F$61)^$M$29-$C$48)/$C$50,"")</f>
        <v>112.400479236997</v>
      </c>
      <c r="G62" s="225">
        <f t="array" ref="G62">IFERROR((SUMPRODUCT($D$24:$M$24/(1+G$61)^$D$29:$M$29)+($M$24*(1+$B62)/(G$61-$B62))/(1+G$61)^$M$29-$C$48)/$C$50,"")</f>
        <v>100.83089076351</v>
      </c>
      <c r="H62" s="235">
        <f t="array" ref="H62">IFERROR((SUMPRODUCT($D$24:$M$24/(1+H$61)^$D$29:$M$29)+($M$24*(1+$B62)/(H$61-$B62))/(1+H$61)^$M$29-$C$48)/$C$50,"")</f>
        <v>90.8631625849801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0.02</v>
      </c>
      <c r="C63" s="192" t="n"/>
      <c r="D63" s="225">
        <f t="array" ref="D63">IFERROR((SUMPRODUCT($D$24:$M$24/(1+D$61)^$D$29:$M$29)+($M$24*(1+$B63)/(D$61-$B63))/(1+D$61)^$M$29-$C$48)/$C$50,"")</f>
        <v>154.978415988198</v>
      </c>
      <c r="E63" s="225">
        <f t="array" ref="E63">IFERROR((SUMPRODUCT($D$24:$M$24/(1+E$61)^$D$29:$M$29)+($M$24*(1+$B63)/(E$61-$B63))/(1+E$61)^$M$29-$C$48)/$C$50,"")</f>
        <v>136.188967662787</v>
      </c>
      <c r="F63" s="225">
        <f t="array" ref="F63">IFERROR((SUMPRODUCT($D$24:$M$24/(1+F$61)^$D$29:$M$29)+($M$24*(1+$B63)/(F$61-$B63))/(1+F$61)^$M$29-$C$48)/$C$50,"")</f>
        <v>120.655431380831</v>
      </c>
      <c r="G63" s="225">
        <f t="array" ref="G63">IFERROR((SUMPRODUCT($D$24:$M$24/(1+G$61)^$D$29:$M$29)+($M$24*(1+$B63)/(G$61-$B63))/(1+G$61)^$M$29-$C$48)/$C$50,"")</f>
        <v>107.60338977227</v>
      </c>
      <c r="H63" s="235">
        <f t="array" ref="H63">IFERROR((SUMPRODUCT($D$24:$M$24/(1+H$61)^$D$29:$M$29)+($M$24*(1+$B63)/(H$61-$B63))/(1+H$61)^$M$29-$C$48)/$C$50,"")</f>
        <v>96.4858215553833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0.025</v>
      </c>
      <c r="C64" s="192" t="n"/>
      <c r="D64" s="225">
        <f t="array" ref="D64">IFERROR((SUMPRODUCT($D$24:$M$24/(1+D$61)^$D$29:$M$29)+($M$24*(1+$B64)/(D$61-$B64))/(1+D$61)^$M$29-$C$48)/$C$50,"")</f>
        <v>170.771871067298</v>
      </c>
      <c r="E64" s="225">
        <f t="array" ref="E64">IFERROR((SUMPRODUCT($D$24:$M$24/(1+E$61)^$D$29:$M$29)+($M$24*(1+$B64)/(E$61-$B64))/(1+E$61)^$M$29-$C$48)/$C$50,"")</f>
        <v>148.512106205193</v>
      </c>
      <c r="F64" s="226">
        <f t="array" ref="F64">IFERROR((SUMPRODUCT($D$24:$M$24/(1+F$61)^$D$29:$M$29)+($M$24*(1+$B64)/(F$61-$B64))/(1+F$61)^$M$29-$C$48)/$C$50,"")</f>
        <v>130.464439699524</v>
      </c>
      <c r="G64" s="225">
        <f t="array" ref="G64">IFERROR((SUMPRODUCT($D$24:$M$24/(1+G$61)^$D$29:$M$29)+($M$24*(1+$B64)/(G$61-$B64))/(1+G$61)^$M$29-$C$48)/$C$50,"")</f>
        <v>115.54117520043</v>
      </c>
      <c r="H64" s="235">
        <f t="array" ref="H64">IFERROR((SUMPRODUCT($D$24:$M$24/(1+H$61)^$D$29:$M$29)+($M$24*(1+$B64)/(H$61-$B64))/(1+H$61)^$M$29-$C$48)/$C$50,"")</f>
        <v>102.999286977182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0.03</v>
      </c>
      <c r="C65" s="192" t="n"/>
      <c r="D65" s="225">
        <f t="array" ref="D65">IFERROR((SUMPRODUCT($D$24:$M$24/(1+D$61)^$D$29:$M$29)+($M$24*(1+$B65)/(D$61-$B65))/(1+D$61)^$M$29-$C$48)/$C$50,"")</f>
        <v>190.708550958098</v>
      </c>
      <c r="E65" s="225">
        <f t="array" ref="E65">IFERROR((SUMPRODUCT($D$24:$M$24/(1+E$61)^$D$29:$M$29)+($M$24*(1+$B65)/(E$61-$B65))/(1+E$61)^$M$29-$C$48)/$C$50,"")</f>
        <v>163.693198315921</v>
      </c>
      <c r="F65" s="225">
        <f t="array" ref="F65">IFERROR((SUMPRODUCT($D$24:$M$24/(1+F$61)^$D$29:$M$29)+($M$24*(1+$B65)/(F$61-$B65))/(1+F$61)^$M$29-$C$48)/$C$50,"")</f>
        <v>142.3119482533</v>
      </c>
      <c r="G65" s="225">
        <f t="array" ref="G65">IFERROR((SUMPRODUCT($D$24:$M$24/(1+G$61)^$D$29:$M$29)+($M$24*(1+$B65)/(G$61-$B65))/(1+G$61)^$M$29-$C$48)/$C$50,"")</f>
        <v>124.973307808854</v>
      </c>
      <c r="H65" s="235">
        <f t="array" ref="H65">IFERROR((SUMPRODUCT($D$24:$M$24/(1+H$61)^$D$29:$M$29)+($M$24*(1+$B65)/(H$61-$B65))/(1+H$61)^$M$29-$C$48)/$C$50,"")</f>
        <v>110.633469107754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0.035</v>
      </c>
      <c r="C66" s="229" t="n"/>
      <c r="D66" s="230">
        <f t="array" ref="D66">IFERROR((SUMPRODUCT($D$24:$M$24/(1+D$61)^$D$29:$M$29)+($M$24*(1+$B66)/(D$61-$B66))/(1+D$61)^$M$29-$C$48)/$C$50,"")</f>
        <v>216.664986996337</v>
      </c>
      <c r="E66" s="230">
        <f t="array" ref="E66">IFERROR((SUMPRODUCT($D$24:$M$24/(1+E$61)^$D$29:$M$29)+($M$24*(1+$B66)/(E$61-$B66))/(1+E$61)^$M$29-$C$48)/$C$50,"")</f>
        <v>182.856869107934</v>
      </c>
      <c r="F66" s="230">
        <f t="array" ref="F66">IFERROR((SUMPRODUCT($D$24:$M$24/(1+F$61)^$D$29:$M$29)+($M$24*(1+$B66)/(F$61-$B66))/(1+F$61)^$M$29-$C$48)/$C$50,"")</f>
        <v>156.907103377021</v>
      </c>
      <c r="G66" s="230">
        <f t="array" ref="G66">IFERROR((SUMPRODUCT($D$24:$M$24/(1+G$61)^$D$29:$M$29)+($M$24*(1+$B66)/(G$61-$B66))/(1+G$61)^$M$29-$C$48)/$C$50,"")</f>
        <v>136.365618644773</v>
      </c>
      <c r="H66" s="236">
        <f t="array" ref="H66">IFERROR((SUMPRODUCT($D$24:$M$24/(1+H$61)^$D$29:$M$29)+($M$24*(1+$B66)/(H$61-$B66))/(1+H$61)^$M$29-$C$48)/$C$50,"")</f>
        <v>119.704842838386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(Booz Allen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0.07811875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0.06</v>
      </c>
      <c r="D78" s="198" t="inlineStr">
        <is>
          <t>Model adjusted EBITA CAGR FY2027–31E: low-to-mid single-digit National Security growth, Civil trough, Ultra double-digit growth and slight margin expansion → ~6%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0.25</v>
      </c>
      <c r="D79" s="198" t="inlineStr">
        <is>
          <t>Asset-light services model: invested capital is mostly acquisition goodwill and receivables; organic growth needs little capital (capex ~1% of revenue), so incremental returns are high; acquisitions (Liberty, EverWatch, Ultra) earn high-single-digit returns on price paid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12</v>
      </c>
      <c r="D80" s="198" t="inlineStr">
        <is>
          <t>Cleared workforce, incumbent positions on multi-year IDIQ vehicles and a $39bn backlog sustain the advantage; exposure to U.S. budget priorities, procurement reform and outcome-based pricing shortens it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12.8010240819266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0.687525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29.144474365814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0.184035632249845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5.36362176650199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13">
        <f>C83+C87</f>
        <v>18.1646458484286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FY2029E Adj. EBITA less acquisition, restructuring, legal &amp; financing costs</t>
        </is>
      </c>
      <c r="C91" s="209">
        <f>Model!AR181-Model!AR184</f>
        <v>1313.83062231784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0.225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FY2029E NOPAT</t>
        </is>
      </c>
      <c r="C93" s="211">
        <f>C91*(1-C92)</f>
        <v>1018.21873229632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14">
        <f>C88</f>
        <v>18.1646458484286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(FY2029E basis)</t>
        </is>
      </c>
      <c r="C95" s="211">
        <f>C93*C94</f>
        <v>18495.5826683986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FY2028E year-end net debt + NCI (Model)</t>
        </is>
      </c>
      <c r="C96" s="209">
        <f>Model!AQ380+Model!AQ297</f>
        <v>4091.86488966633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14403.7177787323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FY2029E (m, Model)</t>
        </is>
      </c>
      <c r="C98" s="212">
        <f>Model!AR386</f>
        <v>102.97396653983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FY2029 ($)</t>
        </is>
      </c>
      <c r="C99" s="213">
        <f>C97/C98</f>
        <v>139.877274448401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75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0.865030325978684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8932.810875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FY2027E year-end net debt + NCI</t>
        </is>
      </c>
      <c r="C106" s="211">
        <f>C48</f>
        <v>3833.66413489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12766.47500989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BAH market-implied EV/NOPAT (on FY2029E NOPAT)</t>
        </is>
      </c>
      <c r="C108" s="315">
        <f>C107/C93</f>
        <v>12.5380476757667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5.62659817266188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0.448761906013237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Booz Allen Hamilton — Operating Performance (FY2012–FY2026) and Model Forecast (FY2027E–FY2031E)</t>
        </is>
      </c>
    </row>
    <row r="3" ht="15" customHeight="1" s="251">
      <c r="B3" s="4" t="inlineStr">
        <is>
          <t>USDm · fiscal years ended 31 March · Linked to Model. Bars = contribution to revenue growth (pp): National Security (Defense + Intelligence) vs Civil &amp; Commercial, Ultra and other (customer split published from FY2017; earlier years shown as other). Adjusted EBITDA = company definition. ROIC / RONTA on adjusted EBIT (full-cost).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n">
        <v>2026</v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National Security contribution (pp)</t>
        </is>
      </c>
      <c r="C8" s="108" t="n">
        <v>0</v>
      </c>
      <c r="D8" s="108">
        <f>IF(AND(ISNUMBER(Model!D11),ISNUMBER(Model!C11)),IFERROR((Model!D11-Model!C11)/Model!C120,0),0)</f>
        <v>0</v>
      </c>
      <c r="E8" s="108">
        <f>IF(AND(ISNUMBER(Model!E11),ISNUMBER(Model!D11)),IFERROR((Model!E11-Model!D11)/Model!D120,0),0)</f>
        <v>0</v>
      </c>
      <c r="F8" s="108">
        <f>IF(AND(ISNUMBER(Model!F11),ISNUMBER(Model!E11)),IFERROR((Model!F11-Model!E11)/Model!E120,0),0)</f>
        <v>0</v>
      </c>
      <c r="G8" s="108">
        <f>IF(AND(ISNUMBER(Model!G11),ISNUMBER(Model!F11)),IFERROR((Model!G11-Model!F11)/Model!F120,0),0)</f>
        <v>0</v>
      </c>
      <c r="H8" s="108">
        <f>IF(AND(ISNUMBER(Model!H11),ISNUMBER(Model!G11)),IFERROR((Model!H11-Model!G11)/Model!G120,0),0)</f>
        <v>0</v>
      </c>
      <c r="I8" s="108">
        <f>IF(AND(ISNUMBER(Model!I11),ISNUMBER(Model!H11)),IFERROR((Model!I11-Model!H11)/Model!H120,0),0)</f>
        <v>0.0483093177384153</v>
      </c>
      <c r="J8" s="108">
        <f>IF(AND(ISNUMBER(Model!J11),ISNUMBER(Model!I11)),IFERROR((Model!J11-Model!I11)/Model!I120,0),0)</f>
        <v>0.0578189402761212</v>
      </c>
      <c r="K8" s="108">
        <f>IF(AND(ISNUMBER(Model!K11),ISNUMBER(Model!J11)),IFERROR((Model!K11-Model!J11)/Model!J120,0),0)</f>
        <v>0.0748105954665824</v>
      </c>
      <c r="L8" s="108">
        <f>IF(AND(ISNUMBER(Model!L11),ISNUMBER(Model!K11)),IFERROR((Model!L11-Model!K11)/Model!K120,0),0)</f>
        <v>0.0384840727448508</v>
      </c>
      <c r="M8" s="108">
        <f>IF(AND(ISNUMBER(Model!Q11),ISNUMBER(Model!L11)),IFERROR((Model!Q11-Model!L11)/Model!L120,0),0)</f>
        <v>0.00741792338863094</v>
      </c>
      <c r="N8" s="108">
        <f>IF(AND(ISNUMBER(Model!V11),ISNUMBER(Model!Q11)),IFERROR((Model!V11-Model!Q11)/Model!Q120,0),0)</f>
        <v>0.0449396798067841</v>
      </c>
      <c r="O8" s="108">
        <f>IF(AND(ISNUMBER(Model!AA11),ISNUMBER(Model!V11)),IFERROR((Model!AA11-Model!V11)/Model!V120,0),0)</f>
        <v>0.0999914568786761</v>
      </c>
      <c r="P8" s="108">
        <f>IF(AND(ISNUMBER(Model!AF11),ISNUMBER(Model!AA11)),IFERROR((Model!AF11-Model!AA11)/Model!AA120,0),0)</f>
        <v>0.0918988517614503</v>
      </c>
      <c r="Q8" s="108">
        <f>IF(AND(ISNUMBER(Model!AK11),ISNUMBER(Model!AF11)),IFERROR((Model!AK11-Model!AF11)/Model!AF120,0),0)</f>
        <v>0.0132721202003339</v>
      </c>
      <c r="R8" s="108">
        <f>IF(AND(ISNUMBER(Model!AP11),ISNUMBER(Model!AK11)),IFERROR((Model!AP11-Model!AK11)/Model!AK120,0),0)</f>
        <v>0.0517263658130385</v>
      </c>
      <c r="S8" s="108">
        <f>IF(AND(ISNUMBER(Model!AQ11),ISNUMBER(Model!AP11)),IFERROR((Model!AQ11-Model!AP11)/Model!AP120,0),0)</f>
        <v>0.0295851512183129</v>
      </c>
      <c r="T8" s="108">
        <f>IF(AND(ISNUMBER(Model!AR11),ISNUMBER(Model!AQ11)),IFERROR((Model!AR11-Model!AQ11)/Model!AQ120,0),0)</f>
        <v>0.0372938639041753</v>
      </c>
      <c r="U8" s="108">
        <f>IF(AND(ISNUMBER(Model!AS11),ISNUMBER(Model!AR11)),IFERROR((Model!AS11-Model!AR11)/Model!AR120,0),0)</f>
        <v>0.0374184160741034</v>
      </c>
      <c r="V8" s="108">
        <f>IF(AND(ISNUMBER(Model!AT11),ISNUMBER(Model!AS11)),IFERROR((Model!AT11-Model!AS11)/Model!AS120,0),0)</f>
        <v>0.0373898827446071</v>
      </c>
    </row>
    <row r="9" ht="15" customHeight="1" s="251">
      <c r="B9" t="inlineStr">
        <is>
          <t>Civil &amp; Commercial, Ultra &amp; other (pp)</t>
        </is>
      </c>
      <c r="C9" s="108" t="n">
        <v>0</v>
      </c>
      <c r="D9" s="108">
        <f>IFERROR(Model!D213-D8,0)</f>
        <v>-0.0172649319414296</v>
      </c>
      <c r="E9" s="108">
        <f>IFERROR(Model!E213-E8,0)</f>
        <v>-0.0485173910166603</v>
      </c>
      <c r="F9" s="108">
        <f>IFERROR(Model!F213-F8,0)</f>
        <v>-0.0372211036464354</v>
      </c>
      <c r="G9" s="108">
        <f>IFERROR(Model!G213-G8,0)</f>
        <v>0.0248291394695883</v>
      </c>
      <c r="H9" s="108">
        <f>IFERROR(Model!H213-H8,0)</f>
        <v>0.0737264736100787</v>
      </c>
      <c r="I9" s="108">
        <f>IFERROR(Model!I213-I8,0)</f>
        <v>0.015017873005525</v>
      </c>
      <c r="J9" s="108">
        <f>IFERROR(Model!J213-J8,0)</f>
        <v>0.0284086480996876</v>
      </c>
      <c r="K9" s="108">
        <f>IFERROR(Model!K213-K8,0)</f>
        <v>0.0385246978797999</v>
      </c>
      <c r="L9" s="108">
        <f>IFERROR(Model!L213-L8,0)</f>
        <v>0.0144507365577589</v>
      </c>
      <c r="M9" s="108">
        <f>IFERROR(Model!Q213-M8,0)</f>
        <v>0.0568098386830384</v>
      </c>
      <c r="N9" s="108">
        <f>IFERROR(Model!V213-N8,0)</f>
        <v>0.0620956036204072</v>
      </c>
      <c r="O9" s="108">
        <f>IFERROR(Model!AA213-O8,0)</f>
        <v>0.0515366223954417</v>
      </c>
      <c r="P9" s="108">
        <f>IFERROR(Model!AF213-P8,0)</f>
        <v>0.0317286906568963</v>
      </c>
      <c r="Q9" s="108">
        <f>IFERROR(Model!AK213-Q8,0)</f>
        <v>-0.0769616026711185</v>
      </c>
      <c r="R9" s="108">
        <f>IFERROR(Model!AP213-R8,0)</f>
        <v>-0.0212555439541452</v>
      </c>
      <c r="S9" s="108">
        <f>IFERROR(Model!AQ213-S8,0)</f>
        <v>0.0017023732556758</v>
      </c>
      <c r="T9" s="108">
        <f>IFERROR(Model!AR213-T8,0)</f>
        <v>0.00921107157557558</v>
      </c>
      <c r="U9" s="108">
        <f>IFERROR(Model!AS213-U8,0)</f>
        <v>0.0133828700966988</v>
      </c>
      <c r="V9" s="108">
        <f>IFERROR(Model!AT213-V8,0)</f>
        <v>0.0151578334705621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>
        <f>Q7</f>
        <v>2026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Model!C174</f>
        <v>488.06</v>
      </c>
      <c r="D12" s="106">
        <f>Model!D174</f>
        <v>528.836</v>
      </c>
      <c r="E12" s="106">
        <f>Model!E174</f>
        <v>534.032</v>
      </c>
      <c r="F12" s="106">
        <f>Model!F174</f>
        <v>523.521</v>
      </c>
      <c r="G12" s="106">
        <f>Model!G174</f>
        <v>506.12</v>
      </c>
      <c r="H12" s="106">
        <f>Model!H174</f>
        <v>547.145</v>
      </c>
      <c r="I12" s="106">
        <f>Model!I174</f>
        <v>584.841</v>
      </c>
      <c r="J12" s="106">
        <f>Model!J174</f>
        <v>674.629</v>
      </c>
      <c r="K12" s="106">
        <f>Model!K174</f>
        <v>754.074</v>
      </c>
      <c r="L12" s="106">
        <f>Model!L174</f>
        <v>839.674</v>
      </c>
      <c r="M12" s="106">
        <f>Model!Q174</f>
        <v>934.925</v>
      </c>
      <c r="N12" s="106">
        <f>Model!V174</f>
        <v>1014.065</v>
      </c>
      <c r="O12" s="106">
        <f>Model!AA174</f>
        <v>1175.064</v>
      </c>
      <c r="P12" s="106">
        <f>Model!AF174</f>
        <v>1315</v>
      </c>
      <c r="Q12" s="106">
        <f>Model!AK174</f>
        <v>1229</v>
      </c>
      <c r="R12" s="106">
        <f>Model!AP174</f>
        <v>1292.1978021978</v>
      </c>
      <c r="S12" s="106">
        <f>Model!AQ174</f>
        <v>1363.95496322211</v>
      </c>
      <c r="T12" s="106">
        <f>Model!AR174</f>
        <v>1443.07858564967</v>
      </c>
      <c r="U12" s="106">
        <f>Model!AS174</f>
        <v>1531.82605260552</v>
      </c>
      <c r="V12" s="106">
        <f>Model!AT174</f>
        <v>1627.71714994962</v>
      </c>
    </row>
    <row r="13" ht="15" customHeight="1" s="251">
      <c r="B13" t="inlineStr">
        <is>
          <t>Operating income (GAAP)</t>
        </is>
      </c>
      <c r="C13" s="106">
        <f>Model!C127</f>
        <v>387.432</v>
      </c>
      <c r="D13" s="106">
        <f>Model!D127</f>
        <v>446.234</v>
      </c>
      <c r="E13" s="106">
        <f>Model!E127</f>
        <v>460.611</v>
      </c>
      <c r="F13" s="106">
        <f>Model!F127</f>
        <v>458.822</v>
      </c>
      <c r="G13" s="106">
        <f>Model!G127</f>
        <v>444.584</v>
      </c>
      <c r="H13" s="106">
        <f>Model!H127</f>
        <v>484.247</v>
      </c>
      <c r="I13" s="106">
        <f>Model!I127</f>
        <v>520.085</v>
      </c>
      <c r="J13" s="106">
        <f>Model!J127</f>
        <v>602.394</v>
      </c>
      <c r="K13" s="106">
        <f>Model!K127</f>
        <v>669.202</v>
      </c>
      <c r="L13" s="106">
        <f>Model!L127</f>
        <v>754.371</v>
      </c>
      <c r="M13" s="106">
        <f>Model!Q127</f>
        <v>685.181</v>
      </c>
      <c r="N13" s="106">
        <f>Model!V127</f>
        <v>446.848</v>
      </c>
      <c r="O13" s="106">
        <f>Model!AA127</f>
        <v>1013.403</v>
      </c>
      <c r="P13" s="106">
        <f>Model!AF127</f>
        <v>1370</v>
      </c>
      <c r="Q13" s="106">
        <f>Model!AK127</f>
        <v>1033</v>
      </c>
      <c r="R13" s="106">
        <f>Model!AP127</f>
        <v>1069.79120879121</v>
      </c>
      <c r="S13" s="106">
        <f>Model!AQ127</f>
        <v>1157.86934150585</v>
      </c>
      <c r="T13" s="106">
        <f>Model!AR127</f>
        <v>1232.18687231784</v>
      </c>
      <c r="U13" s="106">
        <f>Model!AS127</f>
        <v>1314.73448228925</v>
      </c>
      <c r="V13" s="106">
        <f>Model!AT127</f>
        <v>1401.47484542139</v>
      </c>
    </row>
    <row r="14" ht="15" customHeight="1" s="251">
      <c r="B14" t="inlineStr">
        <is>
          <t>Adj. EBITDA Margin %</t>
        </is>
      </c>
      <c r="C14" s="108">
        <f>Model!C221</f>
        <v>0.0832978052702596</v>
      </c>
      <c r="D14" s="108">
        <f>Model!D221</f>
        <v>0.091842754650482</v>
      </c>
      <c r="E14" s="108">
        <f>Model!E221</f>
        <v>0.0974743428770329</v>
      </c>
      <c r="F14" s="108">
        <f>Model!F221</f>
        <v>0.0992500146925837</v>
      </c>
      <c r="G14" s="108">
        <f>Model!G221</f>
        <v>0.0936264391651982</v>
      </c>
      <c r="H14" s="108">
        <f>Model!H221</f>
        <v>0.0942657182177853</v>
      </c>
      <c r="I14" s="108">
        <f>Model!I221</f>
        <v>0.0947593858764945</v>
      </c>
      <c r="J14" s="108">
        <f>Model!J221</f>
        <v>0.100630262034652</v>
      </c>
      <c r="K14" s="108">
        <f>Model!K221</f>
        <v>0.101030287220749</v>
      </c>
      <c r="L14" s="108">
        <f>Model!L221</f>
        <v>0.106843189245163</v>
      </c>
      <c r="M14" s="108">
        <f>Model!Q221</f>
        <v>0.111783660341715</v>
      </c>
      <c r="N14" s="108">
        <f>Model!V221</f>
        <v>0.109523139384319</v>
      </c>
      <c r="O14" s="108">
        <f>Model!AA221</f>
        <v>0.11021154211221</v>
      </c>
      <c r="P14" s="108">
        <f>Model!AF221</f>
        <v>0.109766277128548</v>
      </c>
      <c r="Q14" s="108">
        <f>Model!AK221</f>
        <v>0.109565837567977</v>
      </c>
      <c r="R14" s="108">
        <f>Model!AP221</f>
        <v>0.111793506678709</v>
      </c>
      <c r="S14" s="108">
        <f>Model!AQ221</f>
        <v>0.114421555483612</v>
      </c>
      <c r="T14" s="108">
        <f>Model!AR221</f>
        <v>0.115679530719959</v>
      </c>
      <c r="U14" s="108">
        <f>Model!AS221</f>
        <v>0.116857177364303</v>
      </c>
      <c r="V14" s="108">
        <f>Model!AT221</f>
        <v>0.11797312575698</v>
      </c>
    </row>
    <row r="15" ht="15" customHeight="1" s="251">
      <c r="B15" t="inlineStr">
        <is>
          <t>Operating Margin %</t>
        </is>
      </c>
      <c r="C15" s="108">
        <f>Model!C223</f>
        <v>0.0661234997571348</v>
      </c>
      <c r="D15" s="108">
        <f>Model!D223</f>
        <v>0.0774972955296221</v>
      </c>
      <c r="E15" s="108">
        <f>Model!E223</f>
        <v>0.084073153943833</v>
      </c>
      <c r="F15" s="108">
        <f>Model!F223</f>
        <v>0.0869842666125727</v>
      </c>
      <c r="G15" s="108">
        <f>Model!G223</f>
        <v>0.0822429795894659</v>
      </c>
      <c r="H15" s="108">
        <f>Model!H223</f>
        <v>0.0834292395065438</v>
      </c>
      <c r="I15" s="108">
        <f>Model!I223</f>
        <v>0.0842672370842274</v>
      </c>
      <c r="J15" s="108">
        <f>Model!J223</f>
        <v>0.0898554110008641</v>
      </c>
      <c r="K15" s="108">
        <f>Model!K223</f>
        <v>0.0896591982599844</v>
      </c>
      <c r="L15" s="108">
        <f>Model!L223</f>
        <v>0.0959889236942701</v>
      </c>
      <c r="M15" s="108">
        <f>Model!Q223</f>
        <v>0.0819231918887574</v>
      </c>
      <c r="N15" s="108">
        <f>Model!V223</f>
        <v>0.048261399207747</v>
      </c>
      <c r="O15" s="108">
        <f>Model!AA223</f>
        <v>0.095049041934005</v>
      </c>
      <c r="P15" s="108">
        <f>Model!AF223</f>
        <v>0.114357262103506</v>
      </c>
      <c r="Q15" s="108">
        <f>Model!AK223</f>
        <v>0.0920923598110012</v>
      </c>
      <c r="R15" s="108">
        <f>Model!AP223</f>
        <v>0.0925521699862148</v>
      </c>
      <c r="S15" s="108">
        <f>Model!AQ223</f>
        <v>0.097133127320356</v>
      </c>
      <c r="T15" s="108">
        <f>Model!AR223</f>
        <v>0.0987741073607933</v>
      </c>
      <c r="U15" s="108">
        <f>Model!AS223</f>
        <v>0.100296088007196</v>
      </c>
      <c r="V15" s="108">
        <f>Model!AT223</f>
        <v>0.101575613545179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>
        <f>Q7</f>
        <v>2026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IFERROR(Model!C363+0,NA())</f>
        <v>0.146306299832142</v>
      </c>
      <c r="D18" s="108">
        <f>IFERROR(Model!D363+0,NA())</f>
        <v>0.170092289340166</v>
      </c>
      <c r="E18" s="108">
        <f>IFERROR(Model!E363+0,NA())</f>
        <v>0.179136058783255</v>
      </c>
      <c r="F18" s="108">
        <f>IFERROR(Model!F363+0,NA())</f>
        <v>0.172951069696945</v>
      </c>
      <c r="G18" s="108">
        <f>IFERROR(Model!G363+0,NA())</f>
        <v>0.154956542097636</v>
      </c>
      <c r="H18" s="108">
        <f>IFERROR(Model!H363+0,NA())</f>
        <v>0.147883634161216</v>
      </c>
      <c r="I18" s="108">
        <f>IFERROR(Model!I363+0,NA())</f>
        <v>0.168410741596216</v>
      </c>
      <c r="J18" s="108">
        <f>IFERROR(Model!J363+0,NA())</f>
        <v>0.213213535925672</v>
      </c>
      <c r="K18" s="108">
        <f>IFERROR(Model!K363+0,NA())</f>
        <v>0.224173280601444</v>
      </c>
      <c r="L18" s="108">
        <f>IFERROR(Model!L363+0,NA())</f>
        <v>0.247199145686478</v>
      </c>
      <c r="M18" s="108">
        <f>IFERROR(Model!Q363+0,NA())</f>
        <v>0.19306861674947</v>
      </c>
      <c r="N18" s="108">
        <f>IFERROR(Model!V363+0,NA())</f>
        <v>0.192815772153955</v>
      </c>
      <c r="O18" s="108">
        <f>IFERROR(Model!AA363+0,NA())</f>
        <v>0.20359083667843</v>
      </c>
      <c r="P18" s="108">
        <f>IFERROR(Model!AF363+0,NA())</f>
        <v>0.215429461418302</v>
      </c>
      <c r="Q18" s="108">
        <f>IFERROR(Model!AK363+0,NA())</f>
        <v>0.210260468947057</v>
      </c>
      <c r="R18" s="108">
        <f>IFERROR(Model!AP363+0,NA())</f>
        <v>0.162701458820422</v>
      </c>
      <c r="S18" s="108">
        <f>IFERROR(Model!AQ363+0,NA())</f>
        <v>0.168619881514694</v>
      </c>
      <c r="T18" s="108">
        <f>IFERROR(Model!AR363+0,NA())</f>
        <v>0.1771055697215</v>
      </c>
      <c r="U18" s="108">
        <f>IFERROR(Model!AS363+0,NA())</f>
        <v>0.186431402937773</v>
      </c>
      <c r="V18" s="108">
        <f>IFERROR(Model!AT363+0,NA())</f>
        <v>0.196101180678703</v>
      </c>
    </row>
    <row r="19" ht="15" customHeight="1" s="251">
      <c r="B19" t="inlineStr">
        <is>
          <t>RONTA</t>
        </is>
      </c>
      <c r="C19" s="108">
        <f>IFERROR(Model!C374+0,NA())</f>
        <v>0.236450093592874</v>
      </c>
      <c r="D19" s="108">
        <f>IFERROR(Model!D374+0,NA())</f>
        <v>0.358632884530936</v>
      </c>
      <c r="E19" s="108">
        <f>IFERROR(Model!E374+0,NA())</f>
        <v>0.466786081268583</v>
      </c>
      <c r="F19" s="108">
        <f>IFERROR(Model!F374+0,NA())</f>
        <v>0.494160510513462</v>
      </c>
      <c r="G19" s="108">
        <f>IFERROR(Model!G374+0,NA())</f>
        <v>0.469184153160305</v>
      </c>
      <c r="H19" s="108">
        <f>IFERROR(Model!H374+0,NA())</f>
        <v>0.480312622102382</v>
      </c>
      <c r="I19" s="108">
        <f>IFERROR(Model!I374+0,NA())</f>
        <v>0.44576854234728</v>
      </c>
      <c r="J19" s="108">
        <f>IFERROR(Model!J374+0,NA())</f>
        <v>0.544513069374926</v>
      </c>
      <c r="K19" s="108">
        <f>IFERROR(Model!K374+0,NA())</f>
        <v>0.292658239071956</v>
      </c>
      <c r="L19" s="108">
        <f>IFERROR(Model!L374+0,NA())</f>
        <v>0.251192970603599</v>
      </c>
      <c r="M19" s="108">
        <f>IFERROR(Model!Q374+0,NA())</f>
        <v>0.321635192770924</v>
      </c>
      <c r="N19" s="108">
        <f>IFERROR(Model!V374+0,NA())</f>
        <v>0.392280598818528</v>
      </c>
      <c r="O19" s="108">
        <f>IFERROR(Model!AA374+0,NA())</f>
        <v>0.399711779080155</v>
      </c>
      <c r="P19" s="108">
        <f>IFERROR(Model!AF374+0,NA())</f>
        <v>0.34355198109172</v>
      </c>
      <c r="Q19" s="108">
        <f>IFERROR(Model!AK374+0,NA())</f>
        <v>0.353739066424179</v>
      </c>
      <c r="R19" s="108">
        <f>IFERROR(Model!AP374+0,NA())</f>
        <v>0.324546237171056</v>
      </c>
      <c r="S19" s="108">
        <f>IFERROR(Model!AQ374+0,NA())</f>
        <v>0.36333375469917</v>
      </c>
      <c r="T19" s="108">
        <f>IFERROR(Model!AR374+0,NA())</f>
        <v>0.384338300349868</v>
      </c>
      <c r="U19" s="108">
        <f>IFERROR(Model!AS374+0,NA())</f>
        <v>0.407163661744738</v>
      </c>
      <c r="V19" s="108">
        <f>IFERROR(Model!AT374+0,NA())</f>
        <v>0.43062826228328</v>
      </c>
    </row>
    <row r="20" ht="15" customHeight="1" s="251">
      <c r="B20" t="inlineStr">
        <is>
          <t>Adj. EBITDA margin %</t>
        </is>
      </c>
      <c r="C20" s="108">
        <f>IFERROR(Model!C221+0,NA())</f>
        <v>0.0832978052702596</v>
      </c>
      <c r="D20" s="108">
        <f>IFERROR(Model!D221+0,NA())</f>
        <v>0.091842754650482</v>
      </c>
      <c r="E20" s="108">
        <f>IFERROR(Model!E221+0,NA())</f>
        <v>0.0974743428770329</v>
      </c>
      <c r="F20" s="108">
        <f>IFERROR(Model!F221+0,NA())</f>
        <v>0.0992500146925837</v>
      </c>
      <c r="G20" s="108">
        <f>IFERROR(Model!G221+0,NA())</f>
        <v>0.0936264391651982</v>
      </c>
      <c r="H20" s="108">
        <f>IFERROR(Model!H221+0,NA())</f>
        <v>0.0942657182177853</v>
      </c>
      <c r="I20" s="108">
        <f>IFERROR(Model!I221+0,NA())</f>
        <v>0.0947593858764945</v>
      </c>
      <c r="J20" s="108">
        <f>IFERROR(Model!J221+0,NA())</f>
        <v>0.100630262034652</v>
      </c>
      <c r="K20" s="108">
        <f>IFERROR(Model!K221+0,NA())</f>
        <v>0.101030287220749</v>
      </c>
      <c r="L20" s="108">
        <f>IFERROR(Model!L221+0,NA())</f>
        <v>0.106843189245163</v>
      </c>
      <c r="M20" s="108">
        <f>IFERROR(Model!Q221+0,NA())</f>
        <v>0.111783660341715</v>
      </c>
      <c r="N20" s="108">
        <f>IFERROR(Model!V221+0,NA())</f>
        <v>0.109523139384319</v>
      </c>
      <c r="O20" s="108">
        <f>IFERROR(Model!AA221+0,NA())</f>
        <v>0.11021154211221</v>
      </c>
      <c r="P20" s="108">
        <f>IFERROR(Model!AF221+0,NA())</f>
        <v>0.109766277128548</v>
      </c>
      <c r="Q20" s="108">
        <f>IFERROR(Model!AK221+0,NA())</f>
        <v>0.109565837567977</v>
      </c>
      <c r="R20" s="108">
        <f>IFERROR(Model!AP221+0,NA())</f>
        <v>0.111793506678709</v>
      </c>
      <c r="S20" s="108">
        <f>IFERROR(Model!AQ221+0,NA())</f>
        <v>0.114421555483612</v>
      </c>
      <c r="T20" s="108">
        <f>IFERROR(Model!AR221+0,NA())</f>
        <v>0.115679530719959</v>
      </c>
      <c r="U20" s="108">
        <f>IFERROR(Model!AS221+0,NA())</f>
        <v>0.116857177364303</v>
      </c>
      <c r="V20" s="108">
        <f>IFERROR(Model!AT221+0,NA())</f>
        <v>0.11797312575698</v>
      </c>
    </row>
    <row r="21" ht="15" customHeight="1" s="251">
      <c r="B21" t="inlineStr">
        <is>
          <t>FCF margin %</t>
        </is>
      </c>
      <c r="C21" s="108">
        <f>IFERROR(Model!C256+0,NA())</f>
        <v>0.0483206120680268</v>
      </c>
      <c r="D21" s="108">
        <f>IFERROR(Model!D256+0,NA())</f>
        <v>0.0749455675949135</v>
      </c>
      <c r="E21" s="108">
        <f>IFERROR(Model!E256+0,NA())</f>
        <v>0.0569137566204202</v>
      </c>
      <c r="F21" s="108">
        <f>IFERROR(Model!F256+0,NA())</f>
        <v>0.051929657596445</v>
      </c>
      <c r="G21" s="108">
        <f>IFERROR(Model!G256+0,NA())</f>
        <v>0.0337787365943374</v>
      </c>
      <c r="H21" s="108">
        <f>IFERROR(Model!H256+0,NA())</f>
        <v>0.056571663274919</v>
      </c>
      <c r="I21" s="108">
        <f>IFERROR(Model!I256+0,NA())</f>
        <v>0.0471018995429736</v>
      </c>
      <c r="J21" s="108">
        <f>IFERROR(Model!J256+0,NA())</f>
        <v>0.0604007704611416</v>
      </c>
      <c r="K21" s="108">
        <f>IFERROR(Model!K256+0,NA())</f>
        <v>0.0567199917575951</v>
      </c>
      <c r="L21" s="108">
        <f>IFERROR(Model!L256+0,NA())</f>
        <v>0.0803510601559651</v>
      </c>
      <c r="M21" s="108">
        <f>IFERROR(Model!Q256+0,NA())</f>
        <v>0.0785013809677535</v>
      </c>
      <c r="N21" s="108">
        <f>IFERROR(Model!V256+0,NA())</f>
        <v>0.0568848755539393</v>
      </c>
      <c r="O21" s="108">
        <f>IFERROR(Model!AA256+0,NA())</f>
        <v>0.0180210911830316</v>
      </c>
      <c r="P21" s="108">
        <f>IFERROR(Model!AF256+0,NA())</f>
        <v>0.0760434056761269</v>
      </c>
      <c r="Q21" s="108">
        <f>IFERROR(Model!AK256+0,NA())</f>
        <v>0.0847820272800214</v>
      </c>
      <c r="R21" s="108">
        <f>IFERROR(Model!AP256+0,NA())</f>
        <v>0.0756999572182345</v>
      </c>
      <c r="S21" s="108">
        <f>IFERROR(Model!AQ256+0,NA())</f>
        <v>0.0756859524086499</v>
      </c>
      <c r="T21" s="108">
        <f>IFERROR(Model!AR256+0,NA())</f>
        <v>0.075645703759395</v>
      </c>
      <c r="U21" s="108">
        <f>IFERROR(Model!AS256+0,NA())</f>
        <v>0.0756635167690856</v>
      </c>
      <c r="V21" s="108">
        <f>IFERROR(Model!AT256+0,NA())</f>
        <v>0.075934557657808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2026-10-12T22:10:50Z</dcterms:modified>
  <cp:lastModifiedBy>Payton Liske</cp:lastModifiedBy>
  <cp:revision>3</cp:revision>
</cp:coreProperties>
</file>